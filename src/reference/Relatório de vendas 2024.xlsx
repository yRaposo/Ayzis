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aposo\Downloads\"/>
    </mc:Choice>
  </mc:AlternateContent>
  <xr:revisionPtr revIDLastSave="0" documentId="13_ncr:1_{5B05CD32-7D8E-45C1-AAE3-F27B80468207}" xr6:coauthVersionLast="47" xr6:coauthVersionMax="47" xr10:uidLastSave="{00000000-0000-0000-0000-000000000000}"/>
  <bookViews>
    <workbookView xWindow="5100" yWindow="2025" windowWidth="15300" windowHeight="7995" firstSheet="1" activeTab="2" xr2:uid="{00000000-000D-0000-FFFF-FFFF00000000}"/>
  </bookViews>
  <sheets>
    <sheet name="hidden" sheetId="2" state="veryHidden" r:id="rId1"/>
    <sheet name="Fornecedores" sheetId="10" r:id="rId2"/>
    <sheet name="2024" sheetId="8" r:id="rId3"/>
    <sheet name="Curva ABC moto" sheetId="12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2" hidden="1">'2024'!$A$2:$BA$1605</definedName>
    <definedName name="_xlnm._FilterDatabase" localSheetId="3" hidden="1">'Curva ABC moto'!$A$2:$J$2</definedName>
    <definedName name="_xlnm.Print_Titles" localSheetId="2">'2024'!$2:$2</definedName>
    <definedName name="_xlnm.Print_Titles" localSheetId="3">'Curva ABC moto'!$2:$2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" i="8" l="1"/>
  <c r="R100" i="8"/>
  <c r="AU1" i="8" l="1"/>
  <c r="AT1" i="8"/>
  <c r="AQ393" i="8"/>
  <c r="AQ394" i="8"/>
  <c r="AQ530" i="8"/>
  <c r="AP394" i="8" l="1"/>
  <c r="AP530" i="8"/>
  <c r="AP393" i="8"/>
  <c r="AR1" i="8"/>
  <c r="AQ145" i="8"/>
  <c r="AQ531" i="8"/>
  <c r="AQ532" i="8"/>
  <c r="AQ395" i="8"/>
  <c r="AP395" i="8" s="1"/>
  <c r="AQ533" i="8"/>
  <c r="AQ396" i="8"/>
  <c r="AQ534" i="8"/>
  <c r="AP534" i="8" s="1"/>
  <c r="AQ18" i="8"/>
  <c r="AP18" i="8" s="1"/>
  <c r="AQ53" i="8"/>
  <c r="AQ535" i="8"/>
  <c r="AQ253" i="8"/>
  <c r="AP253" i="8" s="1"/>
  <c r="AQ203" i="8"/>
  <c r="AP203" i="8" s="1"/>
  <c r="AQ536" i="8"/>
  <c r="AQ25" i="8"/>
  <c r="AQ537" i="8"/>
  <c r="AP537" i="8" s="1"/>
  <c r="AQ538" i="8"/>
  <c r="AP538" i="8" s="1"/>
  <c r="AQ57" i="8"/>
  <c r="AQ129" i="8"/>
  <c r="AQ397" i="8"/>
  <c r="AP397" i="8" s="1"/>
  <c r="AQ165" i="8"/>
  <c r="AP165" i="8" s="1"/>
  <c r="AQ146" i="8"/>
  <c r="AQ147" i="8"/>
  <c r="AQ148" i="8"/>
  <c r="AQ398" i="8"/>
  <c r="AP398" i="8" s="1"/>
  <c r="AQ149" i="8"/>
  <c r="AQ39" i="8"/>
  <c r="AQ99" i="8"/>
  <c r="AP99" i="8" s="1"/>
  <c r="AQ539" i="8"/>
  <c r="AP539" i="8" s="1"/>
  <c r="AQ540" i="8"/>
  <c r="AQ541" i="8"/>
  <c r="AQ542" i="8"/>
  <c r="AP542" i="8" s="1"/>
  <c r="AQ309" i="8"/>
  <c r="AP309" i="8" s="1"/>
  <c r="AQ310" i="8"/>
  <c r="AQ254" i="8"/>
  <c r="AQ311" i="8"/>
  <c r="AP311" i="8" s="1"/>
  <c r="AQ255" i="8"/>
  <c r="AP255" i="8" s="1"/>
  <c r="AQ543" i="8"/>
  <c r="AQ544" i="8"/>
  <c r="AQ545" i="8"/>
  <c r="AP545" i="8" s="1"/>
  <c r="AQ546" i="8"/>
  <c r="AP546" i="8" s="1"/>
  <c r="AQ547" i="8"/>
  <c r="AQ548" i="8"/>
  <c r="AQ549" i="8"/>
  <c r="AP549" i="8" s="1"/>
  <c r="AQ312" i="8"/>
  <c r="AP312" i="8" s="1"/>
  <c r="AQ550" i="8"/>
  <c r="AQ399" i="8"/>
  <c r="AQ166" i="8"/>
  <c r="AP166" i="8" s="1"/>
  <c r="AQ551" i="8"/>
  <c r="AP551" i="8" s="1"/>
  <c r="AQ400" i="8"/>
  <c r="AQ552" i="8"/>
  <c r="AQ553" i="8"/>
  <c r="AP553" i="8" s="1"/>
  <c r="AQ554" i="8"/>
  <c r="AP554" i="8" s="1"/>
  <c r="AQ167" i="8"/>
  <c r="AQ74" i="8"/>
  <c r="AQ168" i="8"/>
  <c r="AQ555" i="8"/>
  <c r="AP555" i="8" s="1"/>
  <c r="AQ556" i="8"/>
  <c r="AQ557" i="8"/>
  <c r="AQ558" i="8"/>
  <c r="AP558" i="8" s="1"/>
  <c r="AQ559" i="8"/>
  <c r="AP559" i="8" s="1"/>
  <c r="AQ560" i="8"/>
  <c r="AQ561" i="8"/>
  <c r="AQ130" i="8"/>
  <c r="AP130" i="8" s="1"/>
  <c r="AQ562" i="8"/>
  <c r="AP562" i="8" s="1"/>
  <c r="AQ563" i="8"/>
  <c r="AQ564" i="8"/>
  <c r="AQ565" i="8"/>
  <c r="AQ566" i="8"/>
  <c r="AP566" i="8" s="1"/>
  <c r="AQ567" i="8"/>
  <c r="AQ568" i="8"/>
  <c r="AQ569" i="8"/>
  <c r="AP569" i="8" s="1"/>
  <c r="AQ401" i="8"/>
  <c r="AP401" i="8" s="1"/>
  <c r="AQ402" i="8"/>
  <c r="AQ256" i="8"/>
  <c r="AQ403" i="8"/>
  <c r="AP403" i="8" s="1"/>
  <c r="AQ570" i="8"/>
  <c r="AP570" i="8" s="1"/>
  <c r="AQ571" i="8"/>
  <c r="AQ572" i="8"/>
  <c r="AQ573" i="8"/>
  <c r="AP573" i="8" s="1"/>
  <c r="AQ574" i="8"/>
  <c r="AP574" i="8" s="1"/>
  <c r="AQ575" i="8"/>
  <c r="AQ404" i="8"/>
  <c r="AQ405" i="8"/>
  <c r="AP405" i="8" s="1"/>
  <c r="AQ406" i="8"/>
  <c r="AP406" i="8" s="1"/>
  <c r="AQ313" i="8"/>
  <c r="AQ576" i="8"/>
  <c r="AQ577" i="8"/>
  <c r="AQ407" i="8"/>
  <c r="AP407" i="8" s="1"/>
  <c r="AQ114" i="8"/>
  <c r="AQ578" i="8"/>
  <c r="AQ579" i="8"/>
  <c r="AP579" i="8" s="1"/>
  <c r="AQ580" i="8"/>
  <c r="AP580" i="8" s="1"/>
  <c r="AQ408" i="8"/>
  <c r="AQ581" i="8"/>
  <c r="AQ582" i="8"/>
  <c r="AP582" i="8" s="1"/>
  <c r="AQ583" i="8"/>
  <c r="AP583" i="8" s="1"/>
  <c r="AQ584" i="8"/>
  <c r="AQ314" i="8"/>
  <c r="AQ585" i="8"/>
  <c r="AP585" i="8" s="1"/>
  <c r="AQ586" i="8"/>
  <c r="AP586" i="8" s="1"/>
  <c r="AQ169" i="8"/>
  <c r="AQ315" i="8"/>
  <c r="AQ204" i="8"/>
  <c r="AP204" i="8" s="1"/>
  <c r="AQ587" i="8"/>
  <c r="AP587" i="8" s="1"/>
  <c r="AQ588" i="8"/>
  <c r="AQ316" i="8"/>
  <c r="AQ87" i="8"/>
  <c r="AP87" i="8" s="1"/>
  <c r="AQ589" i="8"/>
  <c r="AP589" i="8" s="1"/>
  <c r="AQ205" i="8"/>
  <c r="AQ150" i="8"/>
  <c r="AQ590" i="8"/>
  <c r="AP590" i="8" s="1"/>
  <c r="AQ409" i="8"/>
  <c r="AP409" i="8" s="1"/>
  <c r="AQ591" i="8"/>
  <c r="AQ410" i="8"/>
  <c r="AQ317" i="8"/>
  <c r="AP317" i="8" s="1"/>
  <c r="AQ592" i="8"/>
  <c r="AP592" i="8" s="1"/>
  <c r="AQ593" i="8"/>
  <c r="AQ594" i="8"/>
  <c r="AQ595" i="8"/>
  <c r="AQ596" i="8"/>
  <c r="AP596" i="8" s="1"/>
  <c r="AQ597" i="8"/>
  <c r="AQ598" i="8"/>
  <c r="AQ599" i="8"/>
  <c r="AP599" i="8" s="1"/>
  <c r="AQ600" i="8"/>
  <c r="AP600" i="8" s="1"/>
  <c r="AQ601" i="8"/>
  <c r="AQ602" i="8"/>
  <c r="AQ603" i="8"/>
  <c r="AP603" i="8" s="1"/>
  <c r="AQ604" i="8"/>
  <c r="AP604" i="8" s="1"/>
  <c r="AQ605" i="8"/>
  <c r="AQ170" i="8"/>
  <c r="AQ606" i="8"/>
  <c r="AQ206" i="8"/>
  <c r="AP206" i="8" s="1"/>
  <c r="AQ607" i="8"/>
  <c r="AQ608" i="8"/>
  <c r="AQ609" i="8"/>
  <c r="AP609" i="8" s="1"/>
  <c r="AQ610" i="8"/>
  <c r="AP610" i="8" s="1"/>
  <c r="AQ611" i="8"/>
  <c r="AQ612" i="8"/>
  <c r="AQ613" i="8"/>
  <c r="AP613" i="8" s="1"/>
  <c r="AQ614" i="8"/>
  <c r="AP614" i="8" s="1"/>
  <c r="AQ615" i="8"/>
  <c r="AQ616" i="8"/>
  <c r="AQ617" i="8"/>
  <c r="AP617" i="8" s="1"/>
  <c r="AQ618" i="8"/>
  <c r="AP618" i="8" s="1"/>
  <c r="AQ207" i="8"/>
  <c r="AQ171" i="8"/>
  <c r="AQ619" i="8"/>
  <c r="AP619" i="8" s="1"/>
  <c r="AQ620" i="8"/>
  <c r="AP620" i="8" s="1"/>
  <c r="AQ621" i="8"/>
  <c r="AQ622" i="8"/>
  <c r="AQ623" i="8"/>
  <c r="AQ624" i="8"/>
  <c r="AP624" i="8" s="1"/>
  <c r="AQ625" i="8"/>
  <c r="AQ626" i="8"/>
  <c r="AQ318" i="8"/>
  <c r="AP318" i="8" s="1"/>
  <c r="AQ627" i="8"/>
  <c r="AP627" i="8" s="1"/>
  <c r="AQ628" i="8"/>
  <c r="AQ629" i="8"/>
  <c r="AQ630" i="8"/>
  <c r="AP630" i="8" s="1"/>
  <c r="AQ631" i="8"/>
  <c r="AP631" i="8" s="1"/>
  <c r="AQ632" i="8"/>
  <c r="AQ633" i="8"/>
  <c r="AQ634" i="8"/>
  <c r="AP634" i="8" s="1"/>
  <c r="AQ635" i="8"/>
  <c r="AP635" i="8" s="1"/>
  <c r="AQ636" i="8"/>
  <c r="AQ637" i="8"/>
  <c r="AQ638" i="8"/>
  <c r="AP638" i="8" s="1"/>
  <c r="AQ639" i="8"/>
  <c r="AP639" i="8" s="1"/>
  <c r="AQ640" i="8"/>
  <c r="AQ641" i="8"/>
  <c r="AQ319" i="8"/>
  <c r="AP319" i="8" s="1"/>
  <c r="AQ642" i="8"/>
  <c r="AP642" i="8" s="1"/>
  <c r="AQ643" i="8"/>
  <c r="AQ644" i="8"/>
  <c r="AQ645" i="8"/>
  <c r="AP645" i="8" s="1"/>
  <c r="AQ646" i="8"/>
  <c r="AP646" i="8" s="1"/>
  <c r="AQ44" i="8"/>
  <c r="AQ647" i="8"/>
  <c r="AQ648" i="8"/>
  <c r="AP648" i="8" s="1"/>
  <c r="AQ649" i="8"/>
  <c r="AP649" i="8" s="1"/>
  <c r="AQ650" i="8"/>
  <c r="AQ651" i="8"/>
  <c r="AQ652" i="8"/>
  <c r="AQ653" i="8"/>
  <c r="AP653" i="8" s="1"/>
  <c r="AQ654" i="8"/>
  <c r="AQ655" i="8"/>
  <c r="AQ656" i="8"/>
  <c r="AP656" i="8" s="1"/>
  <c r="AQ657" i="8"/>
  <c r="AP657" i="8" s="1"/>
  <c r="AQ658" i="8"/>
  <c r="AQ659" i="8"/>
  <c r="AQ660" i="8"/>
  <c r="AP660" i="8" s="1"/>
  <c r="AQ661" i="8"/>
  <c r="AP661" i="8" s="1"/>
  <c r="AQ662" i="8"/>
  <c r="AQ663" i="8"/>
  <c r="AQ664" i="8"/>
  <c r="AQ665" i="8"/>
  <c r="AP665" i="8" s="1"/>
  <c r="AQ320" i="8"/>
  <c r="AQ321" i="8"/>
  <c r="AQ666" i="8"/>
  <c r="AP666" i="8" s="1"/>
  <c r="AQ667" i="8"/>
  <c r="AP667" i="8" s="1"/>
  <c r="AQ668" i="8"/>
  <c r="AQ669" i="8"/>
  <c r="AQ670" i="8"/>
  <c r="AP670" i="8" s="1"/>
  <c r="AQ671" i="8"/>
  <c r="AP671" i="8" s="1"/>
  <c r="AQ672" i="8"/>
  <c r="AQ673" i="8"/>
  <c r="AQ674" i="8"/>
  <c r="AP674" i="8" s="1"/>
  <c r="AQ675" i="8"/>
  <c r="AP675" i="8" s="1"/>
  <c r="AQ676" i="8"/>
  <c r="AQ677" i="8"/>
  <c r="AQ678" i="8"/>
  <c r="AP678" i="8" s="1"/>
  <c r="AQ679" i="8"/>
  <c r="AP679" i="8" s="1"/>
  <c r="AQ680" i="8"/>
  <c r="AQ40" i="8"/>
  <c r="AQ681" i="8"/>
  <c r="AQ682" i="8"/>
  <c r="AP682" i="8" s="1"/>
  <c r="AQ683" i="8"/>
  <c r="AQ684" i="8"/>
  <c r="AQ685" i="8"/>
  <c r="AP685" i="8" s="1"/>
  <c r="AQ686" i="8"/>
  <c r="AP686" i="8" s="1"/>
  <c r="AQ687" i="8"/>
  <c r="AQ411" i="8"/>
  <c r="AQ688" i="8"/>
  <c r="AP688" i="8" s="1"/>
  <c r="AQ689" i="8"/>
  <c r="AP689" i="8" s="1"/>
  <c r="AQ690" i="8"/>
  <c r="AQ412" i="8"/>
  <c r="AQ691" i="8"/>
  <c r="AP691" i="8" s="1"/>
  <c r="AQ322" i="8"/>
  <c r="AP322" i="8" s="1"/>
  <c r="AQ692" i="8"/>
  <c r="AQ693" i="8"/>
  <c r="AQ45" i="8"/>
  <c r="AP45" i="8" s="1"/>
  <c r="AQ323" i="8"/>
  <c r="AP323" i="8" s="1"/>
  <c r="AQ257" i="8"/>
  <c r="AQ694" i="8"/>
  <c r="AQ695" i="8"/>
  <c r="AP695" i="8" s="1"/>
  <c r="AQ696" i="8"/>
  <c r="AP696" i="8" s="1"/>
  <c r="AQ697" i="8"/>
  <c r="AQ698" i="8"/>
  <c r="AQ699" i="8"/>
  <c r="AP699" i="8" s="1"/>
  <c r="AQ700" i="8"/>
  <c r="AP700" i="8" s="1"/>
  <c r="AQ701" i="8"/>
  <c r="AQ702" i="8"/>
  <c r="AQ703" i="8"/>
  <c r="AP703" i="8" s="1"/>
  <c r="AQ704" i="8"/>
  <c r="AP704" i="8" s="1"/>
  <c r="AQ705" i="8"/>
  <c r="AQ706" i="8"/>
  <c r="AQ707" i="8"/>
  <c r="AQ708" i="8"/>
  <c r="AP708" i="8" s="1"/>
  <c r="AQ709" i="8"/>
  <c r="AQ710" i="8"/>
  <c r="AQ711" i="8"/>
  <c r="AP711" i="8" s="1"/>
  <c r="AQ712" i="8"/>
  <c r="AP712" i="8" s="1"/>
  <c r="AQ713" i="8"/>
  <c r="AQ714" i="8"/>
  <c r="AQ715" i="8"/>
  <c r="AP715" i="8" s="1"/>
  <c r="AQ716" i="8"/>
  <c r="AP716" i="8" s="1"/>
  <c r="AQ717" i="8"/>
  <c r="AQ718" i="8"/>
  <c r="AQ719" i="8"/>
  <c r="AQ720" i="8"/>
  <c r="AP720" i="8" s="1"/>
  <c r="AQ721" i="8"/>
  <c r="AQ722" i="8"/>
  <c r="AQ324" i="8"/>
  <c r="AP324" i="8" s="1"/>
  <c r="AQ325" i="8"/>
  <c r="AP325" i="8" s="1"/>
  <c r="AQ723" i="8"/>
  <c r="AQ724" i="8"/>
  <c r="AQ725" i="8"/>
  <c r="AP725" i="8" s="1"/>
  <c r="AQ326" i="8"/>
  <c r="AP326" i="8" s="1"/>
  <c r="AQ726" i="8"/>
  <c r="AQ727" i="8"/>
  <c r="AQ728" i="8"/>
  <c r="AP728" i="8" s="1"/>
  <c r="AQ729" i="8"/>
  <c r="AP729" i="8" s="1"/>
  <c r="AQ730" i="8"/>
  <c r="AQ731" i="8"/>
  <c r="AQ732" i="8"/>
  <c r="AP732" i="8" s="1"/>
  <c r="AQ733" i="8"/>
  <c r="AP733" i="8" s="1"/>
  <c r="AQ734" i="8"/>
  <c r="AP734" i="8" s="1"/>
  <c r="AQ735" i="8"/>
  <c r="AQ736" i="8"/>
  <c r="AP736" i="8" s="1"/>
  <c r="AQ737" i="8"/>
  <c r="AP737" i="8" s="1"/>
  <c r="AQ738" i="8"/>
  <c r="AQ739" i="8"/>
  <c r="AQ740" i="8"/>
  <c r="AP740" i="8" s="1"/>
  <c r="AQ413" i="8"/>
  <c r="AP413" i="8" s="1"/>
  <c r="AQ741" i="8"/>
  <c r="AQ172" i="8"/>
  <c r="AQ327" i="8"/>
  <c r="AP327" i="8" s="1"/>
  <c r="AQ742" i="8"/>
  <c r="AP742" i="8" s="1"/>
  <c r="AQ743" i="8"/>
  <c r="AQ744" i="8"/>
  <c r="AQ745" i="8"/>
  <c r="AP745" i="8" s="1"/>
  <c r="AQ746" i="8"/>
  <c r="AP746" i="8" s="1"/>
  <c r="AQ747" i="8"/>
  <c r="AQ748" i="8"/>
  <c r="AQ749" i="8"/>
  <c r="AP749" i="8" s="1"/>
  <c r="AQ750" i="8"/>
  <c r="AP750" i="8" s="1"/>
  <c r="AQ751" i="8"/>
  <c r="AQ752" i="8"/>
  <c r="AQ753" i="8"/>
  <c r="AP753" i="8" s="1"/>
  <c r="AQ328" i="8"/>
  <c r="AP328" i="8" s="1"/>
  <c r="AQ754" i="8"/>
  <c r="AQ755" i="8"/>
  <c r="AQ414" i="8"/>
  <c r="AP414" i="8" s="1"/>
  <c r="AQ15" i="8"/>
  <c r="AP15" i="8" s="1"/>
  <c r="AQ756" i="8"/>
  <c r="AQ757" i="8"/>
  <c r="AQ758" i="8"/>
  <c r="AQ415" i="8"/>
  <c r="AP415" i="8" s="1"/>
  <c r="AQ759" i="8"/>
  <c r="AP759" i="8" s="1"/>
  <c r="AQ760" i="8"/>
  <c r="AP760" i="8" s="1"/>
  <c r="AQ258" i="8"/>
  <c r="AP258" i="8" s="1"/>
  <c r="AQ761" i="8"/>
  <c r="AP761" i="8" s="1"/>
  <c r="AQ762" i="8"/>
  <c r="AQ173" i="8"/>
  <c r="AQ763" i="8"/>
  <c r="AP763" i="8" s="1"/>
  <c r="AQ764" i="8"/>
  <c r="AP764" i="8" s="1"/>
  <c r="AQ765" i="8"/>
  <c r="AQ766" i="8"/>
  <c r="AP766" i="8" s="1"/>
  <c r="AQ767" i="8"/>
  <c r="AP767" i="8" s="1"/>
  <c r="AQ768" i="8"/>
  <c r="AP768" i="8" s="1"/>
  <c r="AQ79" i="8"/>
  <c r="AQ151" i="8"/>
  <c r="AQ208" i="8"/>
  <c r="AP208" i="8" s="1"/>
  <c r="AQ37" i="8"/>
  <c r="AP37" i="8" s="1"/>
  <c r="AQ769" i="8"/>
  <c r="AQ41" i="8"/>
  <c r="AP41" i="8" s="1"/>
  <c r="AQ49" i="8"/>
  <c r="AP49" i="8" s="1"/>
  <c r="AQ100" i="8"/>
  <c r="AP100" i="8" s="1"/>
  <c r="AQ13" i="8"/>
  <c r="AQ770" i="8"/>
  <c r="AP770" i="8" s="1"/>
  <c r="AQ58" i="8"/>
  <c r="AP58" i="8" s="1"/>
  <c r="AQ259" i="8"/>
  <c r="AP259" i="8" s="1"/>
  <c r="AQ771" i="8"/>
  <c r="AQ416" i="8"/>
  <c r="AP416" i="8" s="1"/>
  <c r="AQ772" i="8"/>
  <c r="AP772" i="8" s="1"/>
  <c r="AQ773" i="8"/>
  <c r="AP773" i="8" s="1"/>
  <c r="AQ774" i="8"/>
  <c r="AQ29" i="8"/>
  <c r="AQ775" i="8"/>
  <c r="AP775" i="8" s="1"/>
  <c r="AQ776" i="8"/>
  <c r="AP776" i="8" s="1"/>
  <c r="AQ777" i="8"/>
  <c r="AP777" i="8" s="1"/>
  <c r="AQ329" i="8"/>
  <c r="AP329" i="8" s="1"/>
  <c r="AQ75" i="8"/>
  <c r="AP75" i="8" s="1"/>
  <c r="AQ66" i="8"/>
  <c r="AP66" i="8" s="1"/>
  <c r="AQ34" i="8"/>
  <c r="AQ60" i="8"/>
  <c r="AQ174" i="8"/>
  <c r="AP174" i="8" s="1"/>
  <c r="AQ778" i="8"/>
  <c r="AP778" i="8" s="1"/>
  <c r="AQ417" i="8"/>
  <c r="AQ131" i="8"/>
  <c r="AP131" i="8" s="1"/>
  <c r="AQ418" i="8"/>
  <c r="AP418" i="8" s="1"/>
  <c r="AQ779" i="8"/>
  <c r="AP779" i="8" s="1"/>
  <c r="AQ419" i="8"/>
  <c r="AQ175" i="8"/>
  <c r="AP175" i="8" s="1"/>
  <c r="AQ780" i="8"/>
  <c r="AP780" i="8" s="1"/>
  <c r="AQ781" i="8"/>
  <c r="AP781" i="8" s="1"/>
  <c r="AQ420" i="8"/>
  <c r="AQ782" i="8"/>
  <c r="AP782" i="8" s="1"/>
  <c r="AQ783" i="8"/>
  <c r="AP783" i="8" s="1"/>
  <c r="AQ784" i="8"/>
  <c r="AP784" i="8" s="1"/>
  <c r="AQ152" i="8"/>
  <c r="AQ785" i="8"/>
  <c r="AP785" i="8" s="1"/>
  <c r="AQ80" i="8"/>
  <c r="AP80" i="8" s="1"/>
  <c r="AQ260" i="8"/>
  <c r="AP260" i="8" s="1"/>
  <c r="AQ176" i="8"/>
  <c r="AQ209" i="8"/>
  <c r="AP209" i="8" s="1"/>
  <c r="AQ786" i="8"/>
  <c r="AP786" i="8" s="1"/>
  <c r="AQ261" i="8"/>
  <c r="AP261" i="8" s="1"/>
  <c r="AQ787" i="8"/>
  <c r="AQ788" i="8"/>
  <c r="AP788" i="8" s="1"/>
  <c r="AQ421" i="8"/>
  <c r="AP421" i="8" s="1"/>
  <c r="AQ789" i="8"/>
  <c r="AP789" i="8" s="1"/>
  <c r="AQ330" i="8"/>
  <c r="AQ790" i="8"/>
  <c r="AP790" i="8" s="1"/>
  <c r="AQ791" i="8"/>
  <c r="AP791" i="8" s="1"/>
  <c r="AQ792" i="8"/>
  <c r="AP792" i="8" s="1"/>
  <c r="AQ793" i="8"/>
  <c r="AQ794" i="8"/>
  <c r="AP794" i="8" s="1"/>
  <c r="AQ795" i="8"/>
  <c r="AP795" i="8" s="1"/>
  <c r="AQ153" i="8"/>
  <c r="AP153" i="8" s="1"/>
  <c r="AQ331" i="8"/>
  <c r="AQ422" i="8"/>
  <c r="AP422" i="8" s="1"/>
  <c r="AQ177" i="8"/>
  <c r="AP177" i="8" s="1"/>
  <c r="AQ796" i="8"/>
  <c r="AP796" i="8" s="1"/>
  <c r="AQ423" i="8"/>
  <c r="AQ262" i="8"/>
  <c r="AP262" i="8" s="1"/>
  <c r="AQ797" i="8"/>
  <c r="AP797" i="8" s="1"/>
  <c r="AQ332" i="8"/>
  <c r="AP332" i="8" s="1"/>
  <c r="AQ798" i="8"/>
  <c r="AQ154" i="8"/>
  <c r="AP154" i="8" s="1"/>
  <c r="AQ72" i="8"/>
  <c r="AP72" i="8" s="1"/>
  <c r="AQ67" i="8"/>
  <c r="AP67" i="8" s="1"/>
  <c r="AQ799" i="8"/>
  <c r="AQ424" i="8"/>
  <c r="AP424" i="8" s="1"/>
  <c r="AQ101" i="8"/>
  <c r="AP101" i="8" s="1"/>
  <c r="AQ178" i="8"/>
  <c r="AP178" i="8" s="1"/>
  <c r="AQ800" i="8"/>
  <c r="AQ801" i="8"/>
  <c r="AP801" i="8" s="1"/>
  <c r="AQ425" i="8"/>
  <c r="AP425" i="8" s="1"/>
  <c r="AQ802" i="8"/>
  <c r="AP802" i="8" s="1"/>
  <c r="AQ81" i="8"/>
  <c r="AQ73" i="8"/>
  <c r="AP73" i="8" s="1"/>
  <c r="AQ803" i="8"/>
  <c r="AP803" i="8" s="1"/>
  <c r="AQ426" i="8"/>
  <c r="AP426" i="8" s="1"/>
  <c r="AQ427" i="8"/>
  <c r="AP427" i="8" s="1"/>
  <c r="AQ210" i="8"/>
  <c r="AP210" i="8" s="1"/>
  <c r="AQ263" i="8"/>
  <c r="AP263" i="8" s="1"/>
  <c r="AQ264" i="8"/>
  <c r="AP264" i="8" s="1"/>
  <c r="AQ804" i="8"/>
  <c r="AQ805" i="8"/>
  <c r="AP805" i="8" s="1"/>
  <c r="AQ806" i="8"/>
  <c r="AP806" i="8" s="1"/>
  <c r="AQ807" i="8"/>
  <c r="AP807" i="8" s="1"/>
  <c r="AQ102" i="8"/>
  <c r="AP102" i="8" s="1"/>
  <c r="AQ179" i="8"/>
  <c r="AP179" i="8" s="1"/>
  <c r="AQ211" i="8"/>
  <c r="AP211" i="8" s="1"/>
  <c r="AQ7" i="8"/>
  <c r="AP7" i="8" s="1"/>
  <c r="AQ808" i="8"/>
  <c r="AQ428" i="8"/>
  <c r="AP428" i="8" s="1"/>
  <c r="AQ14" i="8"/>
  <c r="AP14" i="8" s="1"/>
  <c r="AQ76" i="8"/>
  <c r="AP76" i="8" s="1"/>
  <c r="AQ809" i="8"/>
  <c r="AP809" i="8" s="1"/>
  <c r="AQ429" i="8"/>
  <c r="AP429" i="8" s="1"/>
  <c r="AQ430" i="8"/>
  <c r="AP430" i="8" s="1"/>
  <c r="AQ265" i="8"/>
  <c r="AP265" i="8" s="1"/>
  <c r="AQ431" i="8"/>
  <c r="AQ180" i="8"/>
  <c r="AP180" i="8" s="1"/>
  <c r="AQ432" i="8"/>
  <c r="AP432" i="8" s="1"/>
  <c r="AQ810" i="8"/>
  <c r="AP810" i="8" s="1"/>
  <c r="AQ811" i="8"/>
  <c r="AP811" i="8" s="1"/>
  <c r="AQ433" i="8"/>
  <c r="AP433" i="8" s="1"/>
  <c r="AQ266" i="8"/>
  <c r="AP266" i="8" s="1"/>
  <c r="AQ434" i="8"/>
  <c r="AP434" i="8" s="1"/>
  <c r="AQ812" i="8"/>
  <c r="AQ813" i="8"/>
  <c r="AP813" i="8" s="1"/>
  <c r="AQ814" i="8"/>
  <c r="AP814" i="8" s="1"/>
  <c r="AQ5" i="8"/>
  <c r="AP5" i="8" s="1"/>
  <c r="AQ815" i="8"/>
  <c r="AP815" i="8" s="1"/>
  <c r="AQ77" i="8"/>
  <c r="AP77" i="8" s="1"/>
  <c r="AQ816" i="8"/>
  <c r="AP816" i="8" s="1"/>
  <c r="AQ267" i="8"/>
  <c r="AP267" i="8" s="1"/>
  <c r="AQ333" i="8"/>
  <c r="AQ4" i="8"/>
  <c r="AP4" i="8" s="1"/>
  <c r="AQ12" i="8"/>
  <c r="AP12" i="8" s="1"/>
  <c r="AQ19" i="8"/>
  <c r="AP19" i="8" s="1"/>
  <c r="AQ20" i="8"/>
  <c r="AP20" i="8" s="1"/>
  <c r="AQ21" i="8"/>
  <c r="AP21" i="8" s="1"/>
  <c r="AQ23" i="8"/>
  <c r="AP23" i="8" s="1"/>
  <c r="AQ61" i="8"/>
  <c r="AP61" i="8" s="1"/>
  <c r="AQ50" i="8"/>
  <c r="AQ8" i="8"/>
  <c r="AP8" i="8" s="1"/>
  <c r="AQ35" i="8"/>
  <c r="AP35" i="8" s="1"/>
  <c r="AQ68" i="8"/>
  <c r="AP68" i="8" s="1"/>
  <c r="AQ32" i="8"/>
  <c r="AP32" i="8" s="1"/>
  <c r="AQ33" i="8"/>
  <c r="AP33" i="8" s="1"/>
  <c r="AQ46" i="8"/>
  <c r="AP46" i="8" s="1"/>
  <c r="AQ212" i="8"/>
  <c r="AP212" i="8" s="1"/>
  <c r="AQ22" i="8"/>
  <c r="AQ59" i="8"/>
  <c r="AP59" i="8" s="1"/>
  <c r="AQ43" i="8"/>
  <c r="AP43" i="8" s="1"/>
  <c r="AQ47" i="8"/>
  <c r="AP47" i="8" s="1"/>
  <c r="AQ55" i="8"/>
  <c r="AP55" i="8" s="1"/>
  <c r="AQ62" i="8"/>
  <c r="AP62" i="8" s="1"/>
  <c r="AQ213" i="8"/>
  <c r="AP213" i="8" s="1"/>
  <c r="AQ82" i="8"/>
  <c r="AP82" i="8" s="1"/>
  <c r="AQ132" i="8"/>
  <c r="AQ268" i="8"/>
  <c r="AP268" i="8" s="1"/>
  <c r="AQ133" i="8"/>
  <c r="AP133" i="8" s="1"/>
  <c r="AQ103" i="8"/>
  <c r="AP103" i="8" s="1"/>
  <c r="AQ88" i="8"/>
  <c r="AP88" i="8" s="1"/>
  <c r="AQ63" i="8"/>
  <c r="AP63" i="8" s="1"/>
  <c r="AQ214" i="8"/>
  <c r="AP214" i="8" s="1"/>
  <c r="AQ269" i="8"/>
  <c r="AP269" i="8" s="1"/>
  <c r="AQ435" i="8"/>
  <c r="AQ104" i="8"/>
  <c r="AP104" i="8" s="1"/>
  <c r="AQ181" i="8"/>
  <c r="AP181" i="8" s="1"/>
  <c r="AQ182" i="8"/>
  <c r="AP182" i="8" s="1"/>
  <c r="AQ10" i="8"/>
  <c r="AP10" i="8" s="1"/>
  <c r="AQ48" i="8"/>
  <c r="AP48" i="8" s="1"/>
  <c r="AQ52" i="8"/>
  <c r="AP52" i="8" s="1"/>
  <c r="AQ334" i="8"/>
  <c r="AP334" i="8" s="1"/>
  <c r="AQ436" i="8"/>
  <c r="AQ155" i="8"/>
  <c r="AP155" i="8" s="1"/>
  <c r="AQ83" i="8"/>
  <c r="AP83" i="8" s="1"/>
  <c r="AQ134" i="8"/>
  <c r="AP134" i="8" s="1"/>
  <c r="AQ115" i="8"/>
  <c r="AP115" i="8" s="1"/>
  <c r="AQ215" i="8"/>
  <c r="AP215" i="8" s="1"/>
  <c r="AQ135" i="8"/>
  <c r="AP135" i="8" s="1"/>
  <c r="AQ817" i="8"/>
  <c r="AP817" i="8" s="1"/>
  <c r="AQ216" i="8"/>
  <c r="AQ105" i="8"/>
  <c r="AP105" i="8" s="1"/>
  <c r="AQ217" i="8"/>
  <c r="AP217" i="8" s="1"/>
  <c r="AQ818" i="8"/>
  <c r="AP818" i="8" s="1"/>
  <c r="AQ335" i="8"/>
  <c r="AP335" i="8" s="1"/>
  <c r="AQ156" i="8"/>
  <c r="AP156" i="8" s="1"/>
  <c r="AQ136" i="8"/>
  <c r="AP136" i="8" s="1"/>
  <c r="AQ92" i="8"/>
  <c r="AP92" i="8" s="1"/>
  <c r="AQ93" i="8"/>
  <c r="AQ116" i="8"/>
  <c r="AP116" i="8" s="1"/>
  <c r="AQ117" i="8"/>
  <c r="AP117" i="8" s="1"/>
  <c r="AQ69" i="8"/>
  <c r="AP69" i="8" s="1"/>
  <c r="AQ70" i="8"/>
  <c r="AP70" i="8" s="1"/>
  <c r="AQ336" i="8"/>
  <c r="AP336" i="8" s="1"/>
  <c r="AQ437" i="8"/>
  <c r="AP437" i="8" s="1"/>
  <c r="AQ118" i="8"/>
  <c r="AP118" i="8" s="1"/>
  <c r="AQ119" i="8"/>
  <c r="AQ106" i="8"/>
  <c r="AP106" i="8" s="1"/>
  <c r="AQ157" i="8"/>
  <c r="AP157" i="8" s="1"/>
  <c r="AQ78" i="8"/>
  <c r="AP78" i="8" s="1"/>
  <c r="AQ819" i="8"/>
  <c r="AP819" i="8" s="1"/>
  <c r="AQ820" i="8"/>
  <c r="AP820" i="8" s="1"/>
  <c r="AQ821" i="8"/>
  <c r="AP821" i="8" s="1"/>
  <c r="AQ822" i="8"/>
  <c r="AP822" i="8" s="1"/>
  <c r="AQ823" i="8"/>
  <c r="AQ438" i="8"/>
  <c r="AP438" i="8" s="1"/>
  <c r="AQ120" i="8"/>
  <c r="AP120" i="8" s="1"/>
  <c r="AQ824" i="8"/>
  <c r="AP824" i="8" s="1"/>
  <c r="AQ270" i="8"/>
  <c r="AP270" i="8" s="1"/>
  <c r="AQ218" i="8"/>
  <c r="AP218" i="8" s="1"/>
  <c r="AQ183" i="8"/>
  <c r="AP183" i="8" s="1"/>
  <c r="AQ271" i="8"/>
  <c r="AP271" i="8" s="1"/>
  <c r="AQ439" i="8"/>
  <c r="AQ137" i="8"/>
  <c r="AP137" i="8" s="1"/>
  <c r="AQ825" i="8"/>
  <c r="AP825" i="8" s="1"/>
  <c r="AQ440" i="8"/>
  <c r="AP440" i="8" s="1"/>
  <c r="AQ272" i="8"/>
  <c r="AP272" i="8" s="1"/>
  <c r="AQ158" i="8"/>
  <c r="AP158" i="8" s="1"/>
  <c r="AQ159" i="8"/>
  <c r="AP159" i="8" s="1"/>
  <c r="AQ107" i="8"/>
  <c r="AP107" i="8" s="1"/>
  <c r="AQ84" i="8"/>
  <c r="AQ94" i="8"/>
  <c r="AP94" i="8" s="1"/>
  <c r="AQ441" i="8"/>
  <c r="AP441" i="8" s="1"/>
  <c r="AQ219" i="8"/>
  <c r="AP219" i="8" s="1"/>
  <c r="AQ442" i="8"/>
  <c r="AP442" i="8" s="1"/>
  <c r="AQ121" i="8"/>
  <c r="AP121" i="8" s="1"/>
  <c r="AQ826" i="8"/>
  <c r="AP826" i="8" s="1"/>
  <c r="AQ827" i="8"/>
  <c r="AP827" i="8" s="1"/>
  <c r="AQ443" i="8"/>
  <c r="AQ444" i="8"/>
  <c r="AP444" i="8" s="1"/>
  <c r="AQ828" i="8"/>
  <c r="AP828" i="8" s="1"/>
  <c r="AQ829" i="8"/>
  <c r="AP829" i="8" s="1"/>
  <c r="AQ830" i="8"/>
  <c r="AP830" i="8" s="1"/>
  <c r="AQ445" i="8"/>
  <c r="AP445" i="8" s="1"/>
  <c r="AQ337" i="8"/>
  <c r="AP337" i="8" s="1"/>
  <c r="AQ831" i="8"/>
  <c r="AP831" i="8" s="1"/>
  <c r="AQ832" i="8"/>
  <c r="AQ833" i="8"/>
  <c r="AP833" i="8" s="1"/>
  <c r="AQ273" i="8"/>
  <c r="AP273" i="8" s="1"/>
  <c r="AQ834" i="8"/>
  <c r="AP834" i="8" s="1"/>
  <c r="AQ138" i="8"/>
  <c r="AP138" i="8" s="1"/>
  <c r="AQ274" i="8"/>
  <c r="AP274" i="8" s="1"/>
  <c r="AQ338" i="8"/>
  <c r="AP338" i="8" s="1"/>
  <c r="AQ835" i="8"/>
  <c r="AP835" i="8" s="1"/>
  <c r="AQ446" i="8"/>
  <c r="AQ447" i="8"/>
  <c r="AP447" i="8" s="1"/>
  <c r="AQ160" i="8"/>
  <c r="AP160" i="8" s="1"/>
  <c r="AQ184" i="8"/>
  <c r="AP184" i="8" s="1"/>
  <c r="AQ108" i="8"/>
  <c r="AP108" i="8" s="1"/>
  <c r="AQ122" i="8"/>
  <c r="AP122" i="8" s="1"/>
  <c r="AQ109" i="8"/>
  <c r="AP109" i="8" s="1"/>
  <c r="AQ220" i="8"/>
  <c r="AP220" i="8" s="1"/>
  <c r="AQ448" i="8"/>
  <c r="AQ275" i="8"/>
  <c r="AP275" i="8" s="1"/>
  <c r="AQ276" i="8"/>
  <c r="AP276" i="8" s="1"/>
  <c r="AQ449" i="8"/>
  <c r="AP449" i="8" s="1"/>
  <c r="AQ836" i="8"/>
  <c r="AP836" i="8" s="1"/>
  <c r="AQ339" i="8"/>
  <c r="AP339" i="8" s="1"/>
  <c r="AQ837" i="8"/>
  <c r="AP837" i="8" s="1"/>
  <c r="AQ838" i="8"/>
  <c r="AP838" i="8" s="1"/>
  <c r="AQ340" i="8"/>
  <c r="AQ839" i="8"/>
  <c r="AP839" i="8" s="1"/>
  <c r="AQ840" i="8"/>
  <c r="AP840" i="8" s="1"/>
  <c r="AQ841" i="8"/>
  <c r="AP841" i="8" s="1"/>
  <c r="AQ221" i="8"/>
  <c r="AP221" i="8" s="1"/>
  <c r="AQ277" i="8"/>
  <c r="AP277" i="8" s="1"/>
  <c r="AQ64" i="8"/>
  <c r="AP64" i="8" s="1"/>
  <c r="AQ450" i="8"/>
  <c r="AP450" i="8" s="1"/>
  <c r="AQ451" i="8"/>
  <c r="AQ278" i="8"/>
  <c r="AP278" i="8" s="1"/>
  <c r="AQ95" i="8"/>
  <c r="AP95" i="8" s="1"/>
  <c r="AQ185" i="8"/>
  <c r="AP185" i="8" s="1"/>
  <c r="AQ186" i="8"/>
  <c r="AP186" i="8" s="1"/>
  <c r="AQ842" i="8"/>
  <c r="AP842" i="8" s="1"/>
  <c r="AQ89" i="8"/>
  <c r="AP89" i="8" s="1"/>
  <c r="AQ341" i="8"/>
  <c r="AP341" i="8" s="1"/>
  <c r="AQ843" i="8"/>
  <c r="AQ844" i="8"/>
  <c r="AP844" i="8" s="1"/>
  <c r="AQ452" i="8"/>
  <c r="AP452" i="8" s="1"/>
  <c r="AQ279" i="8"/>
  <c r="AP279" i="8" s="1"/>
  <c r="AQ845" i="8"/>
  <c r="AP845" i="8" s="1"/>
  <c r="AQ846" i="8"/>
  <c r="AP846" i="8" s="1"/>
  <c r="AQ847" i="8"/>
  <c r="AP847" i="8" s="1"/>
  <c r="AQ848" i="8"/>
  <c r="AP848" i="8" s="1"/>
  <c r="AQ849" i="8"/>
  <c r="AQ850" i="8"/>
  <c r="AP850" i="8" s="1"/>
  <c r="AQ851" i="8"/>
  <c r="AP851" i="8" s="1"/>
  <c r="AQ852" i="8"/>
  <c r="AP852" i="8" s="1"/>
  <c r="AQ853" i="8"/>
  <c r="AP853" i="8" s="1"/>
  <c r="AQ854" i="8"/>
  <c r="AP854" i="8" s="1"/>
  <c r="AQ855" i="8"/>
  <c r="AP855" i="8" s="1"/>
  <c r="AQ856" i="8"/>
  <c r="AP856" i="8" s="1"/>
  <c r="AQ342" i="8"/>
  <c r="AQ857" i="8"/>
  <c r="AP857" i="8" s="1"/>
  <c r="AQ222" i="8"/>
  <c r="AP222" i="8" s="1"/>
  <c r="AQ280" i="8"/>
  <c r="AP280" i="8" s="1"/>
  <c r="AQ281" i="8"/>
  <c r="AP281" i="8" s="1"/>
  <c r="AQ858" i="8"/>
  <c r="AP858" i="8" s="1"/>
  <c r="AQ859" i="8"/>
  <c r="AP859" i="8" s="1"/>
  <c r="AQ860" i="8"/>
  <c r="AP860" i="8" s="1"/>
  <c r="AQ223" i="8"/>
  <c r="AQ861" i="8"/>
  <c r="AP861" i="8" s="1"/>
  <c r="AQ862" i="8"/>
  <c r="AP862" i="8" s="1"/>
  <c r="AQ863" i="8"/>
  <c r="AP863" i="8" s="1"/>
  <c r="AQ864" i="8"/>
  <c r="AP864" i="8" s="1"/>
  <c r="AQ865" i="8"/>
  <c r="AP865" i="8" s="1"/>
  <c r="AQ187" i="8"/>
  <c r="AP187" i="8" s="1"/>
  <c r="AQ188" i="8"/>
  <c r="AP188" i="8" s="1"/>
  <c r="AQ343" i="8"/>
  <c r="AQ224" i="8"/>
  <c r="AP224" i="8" s="1"/>
  <c r="AQ866" i="8"/>
  <c r="AP866" i="8" s="1"/>
  <c r="AQ867" i="8"/>
  <c r="AP867" i="8" s="1"/>
  <c r="AQ868" i="8"/>
  <c r="AP868" i="8" s="1"/>
  <c r="AQ869" i="8"/>
  <c r="AP869" i="8" s="1"/>
  <c r="AQ870" i="8"/>
  <c r="AP870" i="8" s="1"/>
  <c r="AQ453" i="8"/>
  <c r="AP453" i="8" s="1"/>
  <c r="AQ454" i="8"/>
  <c r="AQ455" i="8"/>
  <c r="AP455" i="8" s="1"/>
  <c r="AQ344" i="8"/>
  <c r="AP344" i="8" s="1"/>
  <c r="AQ345" i="8"/>
  <c r="AP345" i="8" s="1"/>
  <c r="AQ871" i="8"/>
  <c r="AP871" i="8" s="1"/>
  <c r="AQ225" i="8"/>
  <c r="AP225" i="8" s="1"/>
  <c r="AQ226" i="8"/>
  <c r="AP226" i="8" s="1"/>
  <c r="AQ456" i="8"/>
  <c r="AP456" i="8" s="1"/>
  <c r="AQ457" i="8"/>
  <c r="AQ872" i="8"/>
  <c r="AP872" i="8" s="1"/>
  <c r="AQ873" i="8"/>
  <c r="AP873" i="8" s="1"/>
  <c r="AQ458" i="8"/>
  <c r="AP458" i="8" s="1"/>
  <c r="AQ459" i="8"/>
  <c r="AP459" i="8" s="1"/>
  <c r="AQ874" i="8"/>
  <c r="AP874" i="8" s="1"/>
  <c r="AQ460" i="8"/>
  <c r="AP460" i="8" s="1"/>
  <c r="AQ461" i="8"/>
  <c r="AP461" i="8" s="1"/>
  <c r="AQ462" i="8"/>
  <c r="AQ875" i="8"/>
  <c r="AP875" i="8" s="1"/>
  <c r="AQ876" i="8"/>
  <c r="AP876" i="8" s="1"/>
  <c r="AQ877" i="8"/>
  <c r="AP877" i="8" s="1"/>
  <c r="AQ878" i="8"/>
  <c r="AP878" i="8" s="1"/>
  <c r="AQ879" i="8"/>
  <c r="AP879" i="8" s="1"/>
  <c r="AQ282" i="8"/>
  <c r="AP282" i="8" s="1"/>
  <c r="AQ463" i="8"/>
  <c r="AP463" i="8" s="1"/>
  <c r="AQ464" i="8"/>
  <c r="AQ465" i="8"/>
  <c r="AP465" i="8" s="1"/>
  <c r="AQ880" i="8"/>
  <c r="AP880" i="8" s="1"/>
  <c r="AQ881" i="8"/>
  <c r="AP881" i="8" s="1"/>
  <c r="AQ283" i="8"/>
  <c r="AP283" i="8" s="1"/>
  <c r="AQ882" i="8"/>
  <c r="AP882" i="8" s="1"/>
  <c r="AQ883" i="8"/>
  <c r="AP883" i="8" s="1"/>
  <c r="AQ884" i="8"/>
  <c r="AP884" i="8" s="1"/>
  <c r="AQ885" i="8"/>
  <c r="AQ886" i="8"/>
  <c r="AP886" i="8" s="1"/>
  <c r="AQ227" i="8"/>
  <c r="AP227" i="8" s="1"/>
  <c r="AQ466" i="8"/>
  <c r="AP466" i="8" s="1"/>
  <c r="AQ887" i="8"/>
  <c r="AP887" i="8" s="1"/>
  <c r="AQ888" i="8"/>
  <c r="AP888" i="8" s="1"/>
  <c r="AQ889" i="8"/>
  <c r="AP889" i="8" s="1"/>
  <c r="AQ890" i="8"/>
  <c r="AP890" i="8" s="1"/>
  <c r="AQ891" i="8"/>
  <c r="AQ892" i="8"/>
  <c r="AP892" i="8" s="1"/>
  <c r="AQ893" i="8"/>
  <c r="AP893" i="8" s="1"/>
  <c r="AQ228" i="8"/>
  <c r="AP228" i="8" s="1"/>
  <c r="AQ894" i="8"/>
  <c r="AP894" i="8" s="1"/>
  <c r="AQ895" i="8"/>
  <c r="AP895" i="8" s="1"/>
  <c r="AQ896" i="8"/>
  <c r="AP896" i="8" s="1"/>
  <c r="AQ897" i="8"/>
  <c r="AP897" i="8" s="1"/>
  <c r="AQ898" i="8"/>
  <c r="AQ899" i="8"/>
  <c r="AP899" i="8" s="1"/>
  <c r="AQ900" i="8"/>
  <c r="AP900" i="8" s="1"/>
  <c r="AQ901" i="8"/>
  <c r="AP901" i="8" s="1"/>
  <c r="AQ902" i="8"/>
  <c r="AP902" i="8" s="1"/>
  <c r="AQ284" i="8"/>
  <c r="AP284" i="8" s="1"/>
  <c r="AQ285" i="8"/>
  <c r="AP285" i="8" s="1"/>
  <c r="AQ903" i="8"/>
  <c r="AP903" i="8" s="1"/>
  <c r="AQ904" i="8"/>
  <c r="AQ467" i="8"/>
  <c r="AP467" i="8" s="1"/>
  <c r="AQ346" i="8"/>
  <c r="AP346" i="8" s="1"/>
  <c r="AQ905" i="8"/>
  <c r="AP905" i="8" s="1"/>
  <c r="AQ906" i="8"/>
  <c r="AP906" i="8" s="1"/>
  <c r="AQ468" i="8"/>
  <c r="AP468" i="8" s="1"/>
  <c r="AQ347" i="8"/>
  <c r="AP347" i="8" s="1"/>
  <c r="AQ348" i="8"/>
  <c r="AP348" i="8" s="1"/>
  <c r="AQ907" i="8"/>
  <c r="AQ286" i="8"/>
  <c r="AP286" i="8" s="1"/>
  <c r="AQ908" i="8"/>
  <c r="AP908" i="8" s="1"/>
  <c r="AQ909" i="8"/>
  <c r="AP909" i="8" s="1"/>
  <c r="AQ910" i="8"/>
  <c r="AP910" i="8" s="1"/>
  <c r="AQ911" i="8"/>
  <c r="AP911" i="8" s="1"/>
  <c r="AQ469" i="8"/>
  <c r="AP469" i="8" s="1"/>
  <c r="AQ912" i="8"/>
  <c r="AP912" i="8" s="1"/>
  <c r="AQ913" i="8"/>
  <c r="AQ914" i="8"/>
  <c r="AP914" i="8" s="1"/>
  <c r="AQ915" i="8"/>
  <c r="AP915" i="8" s="1"/>
  <c r="AQ916" i="8"/>
  <c r="AP916" i="8" s="1"/>
  <c r="AQ917" i="8"/>
  <c r="AP917" i="8" s="1"/>
  <c r="AQ918" i="8"/>
  <c r="AP918" i="8" s="1"/>
  <c r="AQ919" i="8"/>
  <c r="AP919" i="8" s="1"/>
  <c r="AQ920" i="8"/>
  <c r="AP920" i="8" s="1"/>
  <c r="AQ349" i="8"/>
  <c r="AQ350" i="8"/>
  <c r="AP350" i="8" s="1"/>
  <c r="AQ921" i="8"/>
  <c r="AP921" i="8" s="1"/>
  <c r="AQ922" i="8"/>
  <c r="AP922" i="8" s="1"/>
  <c r="AQ923" i="8"/>
  <c r="AP923" i="8" s="1"/>
  <c r="AQ470" i="8"/>
  <c r="AP470" i="8" s="1"/>
  <c r="AQ924" i="8"/>
  <c r="AP924" i="8" s="1"/>
  <c r="AQ925" i="8"/>
  <c r="AP925" i="8" s="1"/>
  <c r="AQ926" i="8"/>
  <c r="AQ927" i="8"/>
  <c r="AP927" i="8" s="1"/>
  <c r="AQ928" i="8"/>
  <c r="AP928" i="8" s="1"/>
  <c r="AQ929" i="8"/>
  <c r="AP929" i="8" s="1"/>
  <c r="AQ930" i="8"/>
  <c r="AP930" i="8" s="1"/>
  <c r="AQ931" i="8"/>
  <c r="AP931" i="8" s="1"/>
  <c r="AQ932" i="8"/>
  <c r="AP932" i="8" s="1"/>
  <c r="AQ933" i="8"/>
  <c r="AP933" i="8" s="1"/>
  <c r="AQ934" i="8"/>
  <c r="AQ935" i="8"/>
  <c r="AP935" i="8" s="1"/>
  <c r="AQ936" i="8"/>
  <c r="AP936" i="8" s="1"/>
  <c r="AQ937" i="8"/>
  <c r="AP937" i="8" s="1"/>
  <c r="AQ938" i="8"/>
  <c r="AP938" i="8" s="1"/>
  <c r="AQ939" i="8"/>
  <c r="AP939" i="8" s="1"/>
  <c r="AQ940" i="8"/>
  <c r="AP940" i="8" s="1"/>
  <c r="AQ941" i="8"/>
  <c r="AP941" i="8" s="1"/>
  <c r="AQ942" i="8"/>
  <c r="AQ943" i="8"/>
  <c r="AP943" i="8" s="1"/>
  <c r="AQ944" i="8"/>
  <c r="AP944" i="8" s="1"/>
  <c r="AQ945" i="8"/>
  <c r="AP945" i="8" s="1"/>
  <c r="AQ946" i="8"/>
  <c r="AP946" i="8" s="1"/>
  <c r="AQ947" i="8"/>
  <c r="AP947" i="8" s="1"/>
  <c r="AQ948" i="8"/>
  <c r="AP948" i="8" s="1"/>
  <c r="AQ471" i="8"/>
  <c r="AP471" i="8" s="1"/>
  <c r="AQ287" i="8"/>
  <c r="AP287" i="8" s="1"/>
  <c r="AQ949" i="8"/>
  <c r="AP949" i="8" s="1"/>
  <c r="AQ950" i="8"/>
  <c r="AP950" i="8" s="1"/>
  <c r="AQ951" i="8"/>
  <c r="AP951" i="8" s="1"/>
  <c r="AQ472" i="8"/>
  <c r="AQ288" i="8"/>
  <c r="AP288" i="8" s="1"/>
  <c r="AQ289" i="8"/>
  <c r="AP289" i="8" s="1"/>
  <c r="AQ952" i="8"/>
  <c r="AP952" i="8" s="1"/>
  <c r="AQ953" i="8"/>
  <c r="AP953" i="8" s="1"/>
  <c r="AQ139" i="8"/>
  <c r="AP139" i="8" s="1"/>
  <c r="AQ140" i="8"/>
  <c r="AP140" i="8" s="1"/>
  <c r="AQ473" i="8"/>
  <c r="AP473" i="8" s="1"/>
  <c r="AQ474" i="8"/>
  <c r="AQ954" i="8"/>
  <c r="AP954" i="8" s="1"/>
  <c r="AQ955" i="8"/>
  <c r="AP955" i="8" s="1"/>
  <c r="AQ290" i="8"/>
  <c r="AP290" i="8" s="1"/>
  <c r="AQ956" i="8"/>
  <c r="AP956" i="8" s="1"/>
  <c r="AQ957" i="8"/>
  <c r="AP957" i="8" s="1"/>
  <c r="AQ958" i="8"/>
  <c r="AP958" i="8" s="1"/>
  <c r="AQ959" i="8"/>
  <c r="AP959" i="8" s="1"/>
  <c r="AQ960" i="8"/>
  <c r="AP960" i="8" s="1"/>
  <c r="AQ961" i="8"/>
  <c r="AP961" i="8" s="1"/>
  <c r="AQ351" i="8"/>
  <c r="AP351" i="8" s="1"/>
  <c r="AQ962" i="8"/>
  <c r="AP962" i="8" s="1"/>
  <c r="AQ963" i="8"/>
  <c r="AP963" i="8" s="1"/>
  <c r="AQ964" i="8"/>
  <c r="AP964" i="8" s="1"/>
  <c r="AQ965" i="8"/>
  <c r="AP965" i="8" s="1"/>
  <c r="AQ966" i="8"/>
  <c r="AP966" i="8" s="1"/>
  <c r="AQ967" i="8"/>
  <c r="AP967" i="8" s="1"/>
  <c r="AQ968" i="8"/>
  <c r="AP968" i="8" s="1"/>
  <c r="AQ969" i="8"/>
  <c r="AP969" i="8" s="1"/>
  <c r="AQ970" i="8"/>
  <c r="AP970" i="8" s="1"/>
  <c r="AQ475" i="8"/>
  <c r="AQ291" i="8"/>
  <c r="AP291" i="8" s="1"/>
  <c r="AQ971" i="8"/>
  <c r="AP971" i="8" s="1"/>
  <c r="AQ972" i="8"/>
  <c r="AP972" i="8" s="1"/>
  <c r="AQ973" i="8"/>
  <c r="AP973" i="8" s="1"/>
  <c r="AQ974" i="8"/>
  <c r="AP974" i="8" s="1"/>
  <c r="AQ975" i="8"/>
  <c r="AP975" i="8" s="1"/>
  <c r="AQ976" i="8"/>
  <c r="AP976" i="8" s="1"/>
  <c r="AQ977" i="8"/>
  <c r="AP977" i="8" s="1"/>
  <c r="AQ476" i="8"/>
  <c r="AP476" i="8" s="1"/>
  <c r="AQ978" i="8"/>
  <c r="AP978" i="8" s="1"/>
  <c r="AQ979" i="8"/>
  <c r="AP979" i="8" s="1"/>
  <c r="AQ980" i="8"/>
  <c r="AP980" i="8" s="1"/>
  <c r="AQ981" i="8"/>
  <c r="AP981" i="8" s="1"/>
  <c r="AQ982" i="8"/>
  <c r="AP982" i="8" s="1"/>
  <c r="AQ983" i="8"/>
  <c r="AP983" i="8" s="1"/>
  <c r="AQ984" i="8"/>
  <c r="AP984" i="8" s="1"/>
  <c r="AQ985" i="8"/>
  <c r="AP985" i="8" s="1"/>
  <c r="AQ986" i="8"/>
  <c r="AP986" i="8" s="1"/>
  <c r="AQ987" i="8"/>
  <c r="AP987" i="8" s="1"/>
  <c r="AQ988" i="8"/>
  <c r="AQ989" i="8"/>
  <c r="AP989" i="8" s="1"/>
  <c r="AQ85" i="8"/>
  <c r="AP85" i="8" s="1"/>
  <c r="AQ990" i="8"/>
  <c r="AP990" i="8" s="1"/>
  <c r="AQ991" i="8"/>
  <c r="AP991" i="8" s="1"/>
  <c r="AQ992" i="8"/>
  <c r="AP992" i="8" s="1"/>
  <c r="AQ993" i="8"/>
  <c r="AP993" i="8" s="1"/>
  <c r="AQ994" i="8"/>
  <c r="AP994" i="8" s="1"/>
  <c r="AQ292" i="8"/>
  <c r="AP292" i="8" s="1"/>
  <c r="AQ995" i="8"/>
  <c r="AP995" i="8" s="1"/>
  <c r="AQ996" i="8"/>
  <c r="AP996" i="8" s="1"/>
  <c r="AQ997" i="8"/>
  <c r="AP997" i="8" s="1"/>
  <c r="AQ998" i="8"/>
  <c r="AP998" i="8" s="1"/>
  <c r="AQ999" i="8"/>
  <c r="AP999" i="8" s="1"/>
  <c r="AQ477" i="8"/>
  <c r="AP477" i="8" s="1"/>
  <c r="AQ478" i="8"/>
  <c r="AP478" i="8" s="1"/>
  <c r="AQ1000" i="8"/>
  <c r="AP1000" i="8" s="1"/>
  <c r="AQ1001" i="8"/>
  <c r="AP1001" i="8" s="1"/>
  <c r="AQ1002" i="8"/>
  <c r="AP1002" i="8" s="1"/>
  <c r="AQ1003" i="8"/>
  <c r="AP1003" i="8" s="1"/>
  <c r="AQ1004" i="8"/>
  <c r="AQ1005" i="8"/>
  <c r="AP1005" i="8" s="1"/>
  <c r="AQ1006" i="8"/>
  <c r="AP1006" i="8" s="1"/>
  <c r="AQ1007" i="8"/>
  <c r="AP1007" i="8" s="1"/>
  <c r="AQ1008" i="8"/>
  <c r="AP1008" i="8" s="1"/>
  <c r="AQ1009" i="8"/>
  <c r="AP1009" i="8" s="1"/>
  <c r="AQ1010" i="8"/>
  <c r="AP1010" i="8" s="1"/>
  <c r="AQ1011" i="8"/>
  <c r="AP1011" i="8" s="1"/>
  <c r="AQ1012" i="8"/>
  <c r="AP1012" i="8" s="1"/>
  <c r="AQ1013" i="8"/>
  <c r="AP1013" i="8" s="1"/>
  <c r="AQ1014" i="8"/>
  <c r="AP1014" i="8" s="1"/>
  <c r="AQ1015" i="8"/>
  <c r="AP1015" i="8" s="1"/>
  <c r="AQ1016" i="8"/>
  <c r="AP1016" i="8" s="1"/>
  <c r="AQ1017" i="8"/>
  <c r="AP1017" i="8" s="1"/>
  <c r="AQ1018" i="8"/>
  <c r="AP1018" i="8" s="1"/>
  <c r="AQ1019" i="8"/>
  <c r="AP1019" i="8" s="1"/>
  <c r="AQ1020" i="8"/>
  <c r="AP1020" i="8" s="1"/>
  <c r="AQ1021" i="8"/>
  <c r="AP1021" i="8" s="1"/>
  <c r="AQ1022" i="8"/>
  <c r="AP1022" i="8" s="1"/>
  <c r="AQ1023" i="8"/>
  <c r="AP1023" i="8" s="1"/>
  <c r="AQ1024" i="8"/>
  <c r="AQ1025" i="8"/>
  <c r="AP1025" i="8" s="1"/>
  <c r="AQ1026" i="8"/>
  <c r="AP1026" i="8" s="1"/>
  <c r="AQ1027" i="8"/>
  <c r="AP1027" i="8" s="1"/>
  <c r="AQ1028" i="8"/>
  <c r="AP1028" i="8" s="1"/>
  <c r="AQ352" i="8"/>
  <c r="AP352" i="8" s="1"/>
  <c r="AQ1029" i="8"/>
  <c r="AP1029" i="8" s="1"/>
  <c r="AQ479" i="8"/>
  <c r="AP479" i="8" s="1"/>
  <c r="AQ1030" i="8"/>
  <c r="AP1030" i="8" s="1"/>
  <c r="AQ1031" i="8"/>
  <c r="AP1031" i="8" s="1"/>
  <c r="AQ1032" i="8"/>
  <c r="AP1032" i="8" s="1"/>
  <c r="AQ1033" i="8"/>
  <c r="AP1033" i="8" s="1"/>
  <c r="AQ1034" i="8"/>
  <c r="AP1034" i="8" s="1"/>
  <c r="AQ1035" i="8"/>
  <c r="AP1035" i="8" s="1"/>
  <c r="AQ1036" i="8"/>
  <c r="AP1036" i="8" s="1"/>
  <c r="AQ1037" i="8"/>
  <c r="AP1037" i="8" s="1"/>
  <c r="AQ1038" i="8"/>
  <c r="AP1038" i="8" s="1"/>
  <c r="AQ1039" i="8"/>
  <c r="AP1039" i="8" s="1"/>
  <c r="AQ1040" i="8"/>
  <c r="AP1040" i="8" s="1"/>
  <c r="AQ1041" i="8"/>
  <c r="AP1041" i="8" s="1"/>
  <c r="AQ1042" i="8"/>
  <c r="AQ1043" i="8"/>
  <c r="AP1043" i="8" s="1"/>
  <c r="AQ1044" i="8"/>
  <c r="AP1044" i="8" s="1"/>
  <c r="AQ1045" i="8"/>
  <c r="AP1045" i="8" s="1"/>
  <c r="AQ1046" i="8"/>
  <c r="AP1046" i="8" s="1"/>
  <c r="AQ480" i="8"/>
  <c r="AP480" i="8" s="1"/>
  <c r="AQ1047" i="8"/>
  <c r="AP1047" i="8" s="1"/>
  <c r="AQ481" i="8"/>
  <c r="AP481" i="8" s="1"/>
  <c r="AQ1048" i="8"/>
  <c r="AQ1049" i="8"/>
  <c r="AP1049" i="8" s="1"/>
  <c r="AQ1050" i="8"/>
  <c r="AP1050" i="8" s="1"/>
  <c r="AQ1051" i="8"/>
  <c r="AP1051" i="8" s="1"/>
  <c r="AQ1052" i="8"/>
  <c r="AP1052" i="8" s="1"/>
  <c r="AQ482" i="8"/>
  <c r="AP482" i="8" s="1"/>
  <c r="AQ1053" i="8"/>
  <c r="AP1053" i="8" s="1"/>
  <c r="AQ1054" i="8"/>
  <c r="AP1054" i="8" s="1"/>
  <c r="AQ1055" i="8"/>
  <c r="AP1055" i="8" s="1"/>
  <c r="AQ1056" i="8"/>
  <c r="AP1056" i="8" s="1"/>
  <c r="AQ1057" i="8"/>
  <c r="AP1057" i="8" s="1"/>
  <c r="AQ1058" i="8"/>
  <c r="AP1058" i="8" s="1"/>
  <c r="AQ1059" i="8"/>
  <c r="AQ1060" i="8"/>
  <c r="AP1060" i="8" s="1"/>
  <c r="AQ1061" i="8"/>
  <c r="AP1061" i="8" s="1"/>
  <c r="AQ1062" i="8"/>
  <c r="AP1062" i="8" s="1"/>
  <c r="AQ1063" i="8"/>
  <c r="AP1063" i="8" s="1"/>
  <c r="AQ1064" i="8"/>
  <c r="AP1064" i="8" s="1"/>
  <c r="AQ1065" i="8"/>
  <c r="AP1065" i="8" s="1"/>
  <c r="AQ1066" i="8"/>
  <c r="AP1066" i="8" s="1"/>
  <c r="AQ1067" i="8"/>
  <c r="AQ1068" i="8"/>
  <c r="AP1068" i="8" s="1"/>
  <c r="AQ1069" i="8"/>
  <c r="AP1069" i="8" s="1"/>
  <c r="AQ1070" i="8"/>
  <c r="AP1070" i="8" s="1"/>
  <c r="AQ1071" i="8"/>
  <c r="AP1071" i="8" s="1"/>
  <c r="AQ1072" i="8"/>
  <c r="AP1072" i="8" s="1"/>
  <c r="AQ483" i="8"/>
  <c r="AP483" i="8" s="1"/>
  <c r="AQ484" i="8"/>
  <c r="AP484" i="8" s="1"/>
  <c r="AQ1073" i="8"/>
  <c r="AP1073" i="8" s="1"/>
  <c r="AQ1074" i="8"/>
  <c r="AP1074" i="8" s="1"/>
  <c r="AQ1075" i="8"/>
  <c r="AP1075" i="8" s="1"/>
  <c r="AQ1076" i="8"/>
  <c r="AP1076" i="8" s="1"/>
  <c r="AQ353" i="8"/>
  <c r="AP353" i="8" s="1"/>
  <c r="AQ485" i="8"/>
  <c r="AP485" i="8" s="1"/>
  <c r="AQ1077" i="8"/>
  <c r="AP1077" i="8" s="1"/>
  <c r="AQ1078" i="8"/>
  <c r="AP1078" i="8" s="1"/>
  <c r="AQ354" i="8"/>
  <c r="AP354" i="8" s="1"/>
  <c r="AQ1079" i="8"/>
  <c r="AP1079" i="8" s="1"/>
  <c r="AQ1080" i="8"/>
  <c r="AP1080" i="8" s="1"/>
  <c r="AQ1081" i="8"/>
  <c r="AP1081" i="8" s="1"/>
  <c r="AQ1082" i="8"/>
  <c r="AQ1083" i="8"/>
  <c r="AP1083" i="8" s="1"/>
  <c r="AQ1084" i="8"/>
  <c r="AP1084" i="8" s="1"/>
  <c r="AQ1085" i="8"/>
  <c r="AP1085" i="8" s="1"/>
  <c r="AQ1086" i="8"/>
  <c r="AP1086" i="8" s="1"/>
  <c r="AQ1087" i="8"/>
  <c r="AP1087" i="8" s="1"/>
  <c r="AQ1088" i="8"/>
  <c r="AP1088" i="8" s="1"/>
  <c r="AQ1089" i="8"/>
  <c r="AP1089" i="8" s="1"/>
  <c r="AQ1090" i="8"/>
  <c r="AP1090" i="8" s="1"/>
  <c r="AQ1091" i="8"/>
  <c r="AP1091" i="8" s="1"/>
  <c r="AQ1092" i="8"/>
  <c r="AP1092" i="8" s="1"/>
  <c r="AQ1093" i="8"/>
  <c r="AP1093" i="8" s="1"/>
  <c r="AQ1094" i="8"/>
  <c r="AP1094" i="8" s="1"/>
  <c r="AQ1095" i="8"/>
  <c r="AP1095" i="8" s="1"/>
  <c r="AQ1096" i="8"/>
  <c r="AP1096" i="8" s="1"/>
  <c r="AQ1097" i="8"/>
  <c r="AP1097" i="8" s="1"/>
  <c r="AQ1098" i="8"/>
  <c r="AP1098" i="8" s="1"/>
  <c r="AQ1099" i="8"/>
  <c r="AP1099" i="8" s="1"/>
  <c r="AQ1100" i="8"/>
  <c r="AP1100" i="8" s="1"/>
  <c r="AQ1101" i="8"/>
  <c r="AP1101" i="8" s="1"/>
  <c r="AQ1102" i="8"/>
  <c r="AQ1103" i="8"/>
  <c r="AP1103" i="8" s="1"/>
  <c r="AQ1104" i="8"/>
  <c r="AP1104" i="8" s="1"/>
  <c r="AQ1105" i="8"/>
  <c r="AP1105" i="8" s="1"/>
  <c r="AQ1106" i="8"/>
  <c r="AP1106" i="8" s="1"/>
  <c r="AQ1107" i="8"/>
  <c r="AP1107" i="8" s="1"/>
  <c r="AQ1108" i="8"/>
  <c r="AP1108" i="8" s="1"/>
  <c r="AQ1109" i="8"/>
  <c r="AP1109" i="8" s="1"/>
  <c r="AQ1110" i="8"/>
  <c r="AP1110" i="8" s="1"/>
  <c r="AQ1111" i="8"/>
  <c r="AP1111" i="8" s="1"/>
  <c r="AQ1112" i="8"/>
  <c r="AP1112" i="8" s="1"/>
  <c r="AQ1113" i="8"/>
  <c r="AP1113" i="8" s="1"/>
  <c r="AQ1114" i="8"/>
  <c r="AP1114" i="8" s="1"/>
  <c r="AQ1115" i="8"/>
  <c r="AP1115" i="8" s="1"/>
  <c r="AQ1116" i="8"/>
  <c r="AP1116" i="8" s="1"/>
  <c r="AQ486" i="8"/>
  <c r="AP486" i="8" s="1"/>
  <c r="AQ487" i="8"/>
  <c r="AP487" i="8" s="1"/>
  <c r="AQ488" i="8"/>
  <c r="AP488" i="8" s="1"/>
  <c r="AQ1117" i="8"/>
  <c r="AP1117" i="8" s="1"/>
  <c r="AQ1118" i="8"/>
  <c r="AP1118" i="8" s="1"/>
  <c r="AQ1119" i="8"/>
  <c r="AQ355" i="8"/>
  <c r="AP355" i="8" s="1"/>
  <c r="AQ356" i="8"/>
  <c r="AP356" i="8" s="1"/>
  <c r="AQ1120" i="8"/>
  <c r="AP1120" i="8" s="1"/>
  <c r="AQ1121" i="8"/>
  <c r="AP1121" i="8" s="1"/>
  <c r="AQ1122" i="8"/>
  <c r="AP1122" i="8" s="1"/>
  <c r="AQ1123" i="8"/>
  <c r="AP1123" i="8" s="1"/>
  <c r="AQ1124" i="8"/>
  <c r="AP1124" i="8" s="1"/>
  <c r="AQ1125" i="8"/>
  <c r="AP1125" i="8" s="1"/>
  <c r="AQ1126" i="8"/>
  <c r="AP1126" i="8" s="1"/>
  <c r="AQ1127" i="8"/>
  <c r="AP1127" i="8" s="1"/>
  <c r="AQ1128" i="8"/>
  <c r="AP1128" i="8" s="1"/>
  <c r="AQ1129" i="8"/>
  <c r="AQ1130" i="8"/>
  <c r="AP1130" i="8" s="1"/>
  <c r="AQ1131" i="8"/>
  <c r="AP1131" i="8" s="1"/>
  <c r="AQ1132" i="8"/>
  <c r="AP1132" i="8" s="1"/>
  <c r="AQ1133" i="8"/>
  <c r="AP1133" i="8" s="1"/>
  <c r="AQ1134" i="8"/>
  <c r="AP1134" i="8" s="1"/>
  <c r="AQ1135" i="8"/>
  <c r="AP1135" i="8" s="1"/>
  <c r="AQ1136" i="8"/>
  <c r="AP1136" i="8" s="1"/>
  <c r="AQ1137" i="8"/>
  <c r="AP1137" i="8" s="1"/>
  <c r="AQ1138" i="8"/>
  <c r="AP1138" i="8" s="1"/>
  <c r="AQ1139" i="8"/>
  <c r="AP1139" i="8" s="1"/>
  <c r="AQ1140" i="8"/>
  <c r="AP1140" i="8" s="1"/>
  <c r="AQ1141" i="8"/>
  <c r="AP1141" i="8" s="1"/>
  <c r="AQ1142" i="8"/>
  <c r="AP1142" i="8" s="1"/>
  <c r="AQ1143" i="8"/>
  <c r="AP1143" i="8" s="1"/>
  <c r="AQ1144" i="8"/>
  <c r="AP1144" i="8" s="1"/>
  <c r="AQ1145" i="8"/>
  <c r="AQ1146" i="8"/>
  <c r="AP1146" i="8" s="1"/>
  <c r="AQ1147" i="8"/>
  <c r="AP1147" i="8" s="1"/>
  <c r="AQ1148" i="8"/>
  <c r="AP1148" i="8" s="1"/>
  <c r="AQ1149" i="8"/>
  <c r="AP1149" i="8" s="1"/>
  <c r="AQ1150" i="8"/>
  <c r="AP1150" i="8" s="1"/>
  <c r="AQ489" i="8"/>
  <c r="AP489" i="8" s="1"/>
  <c r="AQ1151" i="8"/>
  <c r="AP1151" i="8" s="1"/>
  <c r="AQ1152" i="8"/>
  <c r="AP1152" i="8" s="1"/>
  <c r="AQ1153" i="8"/>
  <c r="AP1153" i="8" s="1"/>
  <c r="AQ1154" i="8"/>
  <c r="AP1154" i="8" s="1"/>
  <c r="AQ1155" i="8"/>
  <c r="AP1155" i="8" s="1"/>
  <c r="AQ1156" i="8"/>
  <c r="AQ1157" i="8"/>
  <c r="AP1157" i="8" s="1"/>
  <c r="AQ1158" i="8"/>
  <c r="AP1158" i="8" s="1"/>
  <c r="AQ1159" i="8"/>
  <c r="AP1159" i="8" s="1"/>
  <c r="AQ1160" i="8"/>
  <c r="AP1160" i="8" s="1"/>
  <c r="AQ1161" i="8"/>
  <c r="AP1161" i="8" s="1"/>
  <c r="AQ1162" i="8"/>
  <c r="AP1162" i="8" s="1"/>
  <c r="AQ9" i="8"/>
  <c r="AP9" i="8" s="1"/>
  <c r="AQ1163" i="8"/>
  <c r="AP1163" i="8" s="1"/>
  <c r="AQ1164" i="8"/>
  <c r="AP1164" i="8" s="1"/>
  <c r="AQ1165" i="8"/>
  <c r="AP1165" i="8" s="1"/>
  <c r="AQ1166" i="8"/>
  <c r="AP1166" i="8" s="1"/>
  <c r="AQ1167" i="8"/>
  <c r="AP1167" i="8" s="1"/>
  <c r="AQ490" i="8"/>
  <c r="AP490" i="8" s="1"/>
  <c r="AQ491" i="8"/>
  <c r="AP491" i="8" s="1"/>
  <c r="AQ1168" i="8"/>
  <c r="AP1168" i="8" s="1"/>
  <c r="AQ357" i="8"/>
  <c r="AQ358" i="8"/>
  <c r="AP358" i="8" s="1"/>
  <c r="AQ189" i="8"/>
  <c r="AP189" i="8" s="1"/>
  <c r="AQ1169" i="8"/>
  <c r="AP1169" i="8" s="1"/>
  <c r="AQ1170" i="8"/>
  <c r="AP1170" i="8" s="1"/>
  <c r="AQ1171" i="8"/>
  <c r="AP1171" i="8" s="1"/>
  <c r="AQ229" i="8"/>
  <c r="AP229" i="8" s="1"/>
  <c r="AQ1172" i="8"/>
  <c r="AP1172" i="8" s="1"/>
  <c r="AQ1173" i="8"/>
  <c r="AP1173" i="8" s="1"/>
  <c r="AQ1174" i="8"/>
  <c r="AP1174" i="8" s="1"/>
  <c r="AQ1175" i="8"/>
  <c r="AP1175" i="8" s="1"/>
  <c r="AQ1176" i="8"/>
  <c r="AP1176" i="8" s="1"/>
  <c r="AQ1177" i="8"/>
  <c r="AQ36" i="8"/>
  <c r="AP36" i="8" s="1"/>
  <c r="AQ1178" i="8"/>
  <c r="AP1178" i="8" s="1"/>
  <c r="AQ1179" i="8"/>
  <c r="AP1179" i="8" s="1"/>
  <c r="AQ1180" i="8"/>
  <c r="AP1180" i="8" s="1"/>
  <c r="AQ1181" i="8"/>
  <c r="AP1181" i="8" s="1"/>
  <c r="AQ1182" i="8"/>
  <c r="AP1182" i="8" s="1"/>
  <c r="AQ1183" i="8"/>
  <c r="AP1183" i="8" s="1"/>
  <c r="AQ1184" i="8"/>
  <c r="AP1184" i="8" s="1"/>
  <c r="AQ1185" i="8"/>
  <c r="AP1185" i="8" s="1"/>
  <c r="AQ359" i="8"/>
  <c r="AP359" i="8" s="1"/>
  <c r="AQ1186" i="8"/>
  <c r="AP1186" i="8" s="1"/>
  <c r="AQ1187" i="8"/>
  <c r="AP1187" i="8" s="1"/>
  <c r="AQ1188" i="8"/>
  <c r="AP1188" i="8" s="1"/>
  <c r="AQ1189" i="8"/>
  <c r="AP1189" i="8" s="1"/>
  <c r="AQ1190" i="8"/>
  <c r="AP1190" i="8" s="1"/>
  <c r="AQ1191" i="8"/>
  <c r="AQ1192" i="8"/>
  <c r="AP1192" i="8" s="1"/>
  <c r="AQ1193" i="8"/>
  <c r="AP1193" i="8" s="1"/>
  <c r="AQ1194" i="8"/>
  <c r="AP1194" i="8" s="1"/>
  <c r="AQ1195" i="8"/>
  <c r="AP1195" i="8" s="1"/>
  <c r="AQ1196" i="8"/>
  <c r="AP1196" i="8" s="1"/>
  <c r="AQ1197" i="8"/>
  <c r="AP1197" i="8" s="1"/>
  <c r="AQ1198" i="8"/>
  <c r="AP1198" i="8" s="1"/>
  <c r="AQ161" i="8"/>
  <c r="AP161" i="8" s="1"/>
  <c r="AQ96" i="8"/>
  <c r="AP96" i="8" s="1"/>
  <c r="AQ1199" i="8"/>
  <c r="AP1199" i="8" s="1"/>
  <c r="AQ51" i="8"/>
  <c r="AP51" i="8" s="1"/>
  <c r="AQ1200" i="8"/>
  <c r="AQ1254" i="8"/>
  <c r="AP1254" i="8" s="1"/>
  <c r="AQ1247" i="8"/>
  <c r="AP1247" i="8" s="1"/>
  <c r="AQ1203" i="8"/>
  <c r="AP1203" i="8" s="1"/>
  <c r="AQ1204" i="8"/>
  <c r="AP1204" i="8" s="1"/>
  <c r="AQ1205" i="8"/>
  <c r="AP1205" i="8" s="1"/>
  <c r="AQ360" i="8"/>
  <c r="AP360" i="8" s="1"/>
  <c r="AQ293" i="8"/>
  <c r="AP293" i="8" s="1"/>
  <c r="AQ1206" i="8"/>
  <c r="AP1206" i="8" s="1"/>
  <c r="AQ294" i="8"/>
  <c r="AP294" i="8" s="1"/>
  <c r="AQ1207" i="8"/>
  <c r="AP1207" i="8" s="1"/>
  <c r="AQ141" i="8"/>
  <c r="AP141" i="8" s="1"/>
  <c r="AQ1208" i="8"/>
  <c r="AQ361" i="8"/>
  <c r="AP361" i="8" s="1"/>
  <c r="AQ1209" i="8"/>
  <c r="AP1209" i="8" s="1"/>
  <c r="AQ1210" i="8"/>
  <c r="AP1210" i="8" s="1"/>
  <c r="AQ1211" i="8"/>
  <c r="AP1211" i="8" s="1"/>
  <c r="AQ362" i="8"/>
  <c r="AP362" i="8" s="1"/>
  <c r="AQ1212" i="8"/>
  <c r="AP1212" i="8" s="1"/>
  <c r="AQ1213" i="8"/>
  <c r="AP1213" i="8" s="1"/>
  <c r="AQ1214" i="8"/>
  <c r="AP1214" i="8" s="1"/>
  <c r="AQ1215" i="8"/>
  <c r="AP1215" i="8" s="1"/>
  <c r="AQ1216" i="8"/>
  <c r="AP1216" i="8" s="1"/>
  <c r="AQ1217" i="8"/>
  <c r="AP1217" i="8" s="1"/>
  <c r="AQ123" i="8"/>
  <c r="AP123" i="8" s="1"/>
  <c r="AQ86" i="8"/>
  <c r="AP86" i="8" s="1"/>
  <c r="AQ90" i="8"/>
  <c r="AP90" i="8" s="1"/>
  <c r="AQ91" i="8"/>
  <c r="AP91" i="8" s="1"/>
  <c r="AQ363" i="8"/>
  <c r="AP363" i="8" s="1"/>
  <c r="AQ364" i="8"/>
  <c r="AP364" i="8" s="1"/>
  <c r="AQ365" i="8"/>
  <c r="AP365" i="8" s="1"/>
  <c r="AQ295" i="8"/>
  <c r="AP295" i="8" s="1"/>
  <c r="AQ1218" i="8"/>
  <c r="AP1218" i="8" s="1"/>
  <c r="AQ296" i="8"/>
  <c r="AP296" i="8" s="1"/>
  <c r="AQ1219" i="8"/>
  <c r="AP1219" i="8" s="1"/>
  <c r="AQ297" i="8"/>
  <c r="AP297" i="8" s="1"/>
  <c r="AQ1220" i="8"/>
  <c r="AP1220" i="8" s="1"/>
  <c r="AQ1221" i="8"/>
  <c r="AP1221" i="8" s="1"/>
  <c r="AQ1222" i="8"/>
  <c r="AP1222" i="8" s="1"/>
  <c r="AQ30" i="8"/>
  <c r="AP30" i="8" s="1"/>
  <c r="AQ27" i="8"/>
  <c r="AP27" i="8" s="1"/>
  <c r="AQ1223" i="8"/>
  <c r="AP1223" i="8" s="1"/>
  <c r="AQ1224" i="8"/>
  <c r="AP1224" i="8" s="1"/>
  <c r="AQ1225" i="8"/>
  <c r="AP1225" i="8" s="1"/>
  <c r="AQ1226" i="8"/>
  <c r="AQ1227" i="8"/>
  <c r="AP1227" i="8" s="1"/>
  <c r="AQ1228" i="8"/>
  <c r="AP1228" i="8" s="1"/>
  <c r="AQ1229" i="8"/>
  <c r="AP1229" i="8" s="1"/>
  <c r="AQ1230" i="8"/>
  <c r="AP1230" i="8" s="1"/>
  <c r="AQ1231" i="8"/>
  <c r="AP1231" i="8" s="1"/>
  <c r="AQ1232" i="8"/>
  <c r="AP1232" i="8" s="1"/>
  <c r="AQ1233" i="8"/>
  <c r="AP1233" i="8" s="1"/>
  <c r="AQ1234" i="8"/>
  <c r="AP1234" i="8" s="1"/>
  <c r="AQ1248" i="8"/>
  <c r="AP1248" i="8" s="1"/>
  <c r="AQ1236" i="8"/>
  <c r="AP1236" i="8" s="1"/>
  <c r="AQ1249" i="8"/>
  <c r="AP1249" i="8" s="1"/>
  <c r="AQ1238" i="8"/>
  <c r="AQ1239" i="8"/>
  <c r="AP1239" i="8" s="1"/>
  <c r="AQ1240" i="8"/>
  <c r="AP1240" i="8" s="1"/>
  <c r="AQ1241" i="8"/>
  <c r="AP1241" i="8" s="1"/>
  <c r="AQ1242" i="8"/>
  <c r="AP1242" i="8" s="1"/>
  <c r="AQ1255" i="8"/>
  <c r="AP1255" i="8" s="1"/>
  <c r="AQ1256" i="8"/>
  <c r="AP1256" i="8" s="1"/>
  <c r="AQ1257" i="8"/>
  <c r="AP1257" i="8" s="1"/>
  <c r="AQ1258" i="8"/>
  <c r="AP1258" i="8" s="1"/>
  <c r="AQ1259" i="8"/>
  <c r="AP1259" i="8" s="1"/>
  <c r="AQ1250" i="8"/>
  <c r="AP1250" i="8" s="1"/>
  <c r="AQ1237" i="8"/>
  <c r="AP1237" i="8" s="1"/>
  <c r="AQ1251" i="8"/>
  <c r="AQ1252" i="8"/>
  <c r="AP1252" i="8" s="1"/>
  <c r="AQ1253" i="8"/>
  <c r="AP1253" i="8" s="1"/>
  <c r="AQ1246" i="8"/>
  <c r="AP1246" i="8" s="1"/>
  <c r="AQ1243" i="8"/>
  <c r="AP1243" i="8" s="1"/>
  <c r="AQ1235" i="8"/>
  <c r="AP1235" i="8" s="1"/>
  <c r="AQ1260" i="8"/>
  <c r="AP1260" i="8" s="1"/>
  <c r="AQ1261" i="8"/>
  <c r="AP1261" i="8" s="1"/>
  <c r="AQ1244" i="8"/>
  <c r="AP1244" i="8" s="1"/>
  <c r="AQ1262" i="8"/>
  <c r="AP1262" i="8" s="1"/>
  <c r="AQ1202" i="8"/>
  <c r="AP1202" i="8" s="1"/>
  <c r="AQ1245" i="8"/>
  <c r="AP1245" i="8" s="1"/>
  <c r="AQ1263" i="8"/>
  <c r="AQ372" i="8"/>
  <c r="AP372" i="8" s="1"/>
  <c r="AQ1264" i="8"/>
  <c r="AP1264" i="8" s="1"/>
  <c r="AQ1265" i="8"/>
  <c r="AP1265" i="8" s="1"/>
  <c r="AQ1266" i="8"/>
  <c r="AP1266" i="8" s="1"/>
  <c r="AQ1267" i="8"/>
  <c r="AP1267" i="8" s="1"/>
  <c r="AQ1268" i="8"/>
  <c r="AP1268" i="8" s="1"/>
  <c r="AQ1269" i="8"/>
  <c r="AP1269" i="8" s="1"/>
  <c r="AQ1270" i="8"/>
  <c r="AP1270" i="8" s="1"/>
  <c r="AQ1271" i="8"/>
  <c r="AP1271" i="8" s="1"/>
  <c r="AQ1272" i="8"/>
  <c r="AP1272" i="8" s="1"/>
  <c r="AQ1273" i="8"/>
  <c r="AP1273" i="8" s="1"/>
  <c r="AQ492" i="8"/>
  <c r="AP492" i="8" s="1"/>
  <c r="AQ493" i="8"/>
  <c r="AP493" i="8" s="1"/>
  <c r="AQ230" i="8"/>
  <c r="AP230" i="8" s="1"/>
  <c r="AQ298" i="8"/>
  <c r="AP298" i="8" s="1"/>
  <c r="AQ366" i="8"/>
  <c r="AQ1274" i="8"/>
  <c r="AP1274" i="8" s="1"/>
  <c r="AQ1275" i="8"/>
  <c r="AP1275" i="8" s="1"/>
  <c r="AQ1276" i="8"/>
  <c r="AP1276" i="8" s="1"/>
  <c r="AQ1277" i="8"/>
  <c r="AP1277" i="8" s="1"/>
  <c r="AQ1278" i="8"/>
  <c r="AP1278" i="8" s="1"/>
  <c r="AQ1279" i="8"/>
  <c r="AP1279" i="8" s="1"/>
  <c r="AQ494" i="8"/>
  <c r="AP494" i="8" s="1"/>
  <c r="AQ1280" i="8"/>
  <c r="AP1280" i="8" s="1"/>
  <c r="AQ367" i="8"/>
  <c r="AP367" i="8" s="1"/>
  <c r="AQ1281" i="8"/>
  <c r="AP1281" i="8" s="1"/>
  <c r="AQ1282" i="8"/>
  <c r="AP1282" i="8" s="1"/>
  <c r="AQ1283" i="8"/>
  <c r="AP1283" i="8" s="1"/>
  <c r="AQ1284" i="8"/>
  <c r="AP1284" i="8" s="1"/>
  <c r="AQ1285" i="8"/>
  <c r="AP1285" i="8" s="1"/>
  <c r="AQ1286" i="8"/>
  <c r="AP1286" i="8" s="1"/>
  <c r="AQ1287" i="8"/>
  <c r="AP1287" i="8" s="1"/>
  <c r="AQ1288" i="8"/>
  <c r="AP1288" i="8" s="1"/>
  <c r="AQ1289" i="8"/>
  <c r="AP1289" i="8" s="1"/>
  <c r="AQ1290" i="8"/>
  <c r="AP1290" i="8" s="1"/>
  <c r="AQ1291" i="8"/>
  <c r="AP1291" i="8" s="1"/>
  <c r="AQ1292" i="8"/>
  <c r="AP1292" i="8" s="1"/>
  <c r="AQ1293" i="8"/>
  <c r="AP1293" i="8" s="1"/>
  <c r="AQ368" i="8"/>
  <c r="AP368" i="8" s="1"/>
  <c r="AQ231" i="8"/>
  <c r="AP231" i="8" s="1"/>
  <c r="AQ1294" i="8"/>
  <c r="AP1294" i="8" s="1"/>
  <c r="AQ1295" i="8"/>
  <c r="AP1295" i="8" s="1"/>
  <c r="AQ1296" i="8"/>
  <c r="AP1296" i="8" s="1"/>
  <c r="AQ232" i="8"/>
  <c r="AP232" i="8" s="1"/>
  <c r="AQ162" i="8"/>
  <c r="AP162" i="8" s="1"/>
  <c r="AQ163" i="8"/>
  <c r="AP163" i="8" s="1"/>
  <c r="AQ369" i="8"/>
  <c r="AP369" i="8" s="1"/>
  <c r="AQ124" i="8"/>
  <c r="AP124" i="8" s="1"/>
  <c r="AQ1297" i="8"/>
  <c r="AP1297" i="8" s="1"/>
  <c r="AQ370" i="8"/>
  <c r="AP370" i="8" s="1"/>
  <c r="AQ1298" i="8"/>
  <c r="AP1298" i="8" s="1"/>
  <c r="AQ1299" i="8"/>
  <c r="AP1299" i="8" s="1"/>
  <c r="AQ1300" i="8"/>
  <c r="AP1300" i="8" s="1"/>
  <c r="AQ1301" i="8"/>
  <c r="AP1301" i="8" s="1"/>
  <c r="AQ1302" i="8"/>
  <c r="AP1302" i="8" s="1"/>
  <c r="AQ1303" i="8"/>
  <c r="AP1303" i="8" s="1"/>
  <c r="AQ1304" i="8"/>
  <c r="AP1304" i="8" s="1"/>
  <c r="AQ1305" i="8"/>
  <c r="AP1305" i="8" s="1"/>
  <c r="AQ1306" i="8"/>
  <c r="AP1306" i="8" s="1"/>
  <c r="AQ1307" i="8"/>
  <c r="AP1307" i="8" s="1"/>
  <c r="AQ1308" i="8"/>
  <c r="AP1308" i="8" s="1"/>
  <c r="AQ1309" i="8"/>
  <c r="AP1309" i="8" s="1"/>
  <c r="AQ1310" i="8"/>
  <c r="AP1310" i="8" s="1"/>
  <c r="AQ1311" i="8"/>
  <c r="AQ1312" i="8"/>
  <c r="AP1312" i="8" s="1"/>
  <c r="AQ1313" i="8"/>
  <c r="AP1313" i="8" s="1"/>
  <c r="AQ1314" i="8"/>
  <c r="AP1314" i="8" s="1"/>
  <c r="AQ1315" i="8"/>
  <c r="AP1315" i="8" s="1"/>
  <c r="AQ190" i="8"/>
  <c r="AP190" i="8" s="1"/>
  <c r="AQ1316" i="8"/>
  <c r="AP1316" i="8" s="1"/>
  <c r="AQ1317" i="8"/>
  <c r="AP1317" i="8" s="1"/>
  <c r="AQ71" i="8"/>
  <c r="AP71" i="8" s="1"/>
  <c r="AQ1318" i="8"/>
  <c r="AP1318" i="8" s="1"/>
  <c r="AQ1319" i="8"/>
  <c r="AP1319" i="8" s="1"/>
  <c r="AQ1320" i="8"/>
  <c r="AP1320" i="8" s="1"/>
  <c r="AQ1321" i="8"/>
  <c r="AP1321" i="8" s="1"/>
  <c r="AQ1322" i="8"/>
  <c r="AP1322" i="8" s="1"/>
  <c r="AQ1323" i="8"/>
  <c r="AP1323" i="8" s="1"/>
  <c r="AQ1324" i="8"/>
  <c r="AP1324" i="8" s="1"/>
  <c r="AQ1325" i="8"/>
  <c r="AP1325" i="8" s="1"/>
  <c r="AQ1326" i="8"/>
  <c r="AP1326" i="8" s="1"/>
  <c r="AQ1327" i="8"/>
  <c r="AP1327" i="8" s="1"/>
  <c r="AQ1328" i="8"/>
  <c r="AP1328" i="8" s="1"/>
  <c r="AQ495" i="8"/>
  <c r="AP495" i="8" s="1"/>
  <c r="AQ1329" i="8"/>
  <c r="AP1329" i="8" s="1"/>
  <c r="AQ1330" i="8"/>
  <c r="AP1330" i="8" s="1"/>
  <c r="AQ1331" i="8"/>
  <c r="AP1331" i="8" s="1"/>
  <c r="AQ1332" i="8"/>
  <c r="AP1332" i="8" s="1"/>
  <c r="AQ496" i="8"/>
  <c r="AP496" i="8" s="1"/>
  <c r="AQ497" i="8"/>
  <c r="AP497" i="8" s="1"/>
  <c r="AQ1333" i="8"/>
  <c r="AP1333" i="8" s="1"/>
  <c r="AQ1334" i="8"/>
  <c r="AP1334" i="8" s="1"/>
  <c r="AQ1335" i="8"/>
  <c r="AP1335" i="8" s="1"/>
  <c r="AQ1336" i="8"/>
  <c r="AP1336" i="8" s="1"/>
  <c r="AQ1337" i="8"/>
  <c r="AP1337" i="8" s="1"/>
  <c r="AQ1338" i="8"/>
  <c r="AP1338" i="8" s="1"/>
  <c r="AQ1339" i="8"/>
  <c r="AP1339" i="8" s="1"/>
  <c r="AQ1340" i="8"/>
  <c r="AP1340" i="8" s="1"/>
  <c r="AQ1341" i="8"/>
  <c r="AP1341" i="8" s="1"/>
  <c r="AQ1342" i="8"/>
  <c r="AP1342" i="8" s="1"/>
  <c r="AQ371" i="8"/>
  <c r="AP371" i="8" s="1"/>
  <c r="AQ498" i="8"/>
  <c r="AP498" i="8" s="1"/>
  <c r="AQ1343" i="8"/>
  <c r="AP1343" i="8" s="1"/>
  <c r="AQ1344" i="8"/>
  <c r="AP1344" i="8" s="1"/>
  <c r="AQ1345" i="8"/>
  <c r="AP1345" i="8" s="1"/>
  <c r="AQ1346" i="8"/>
  <c r="AP1346" i="8" s="1"/>
  <c r="AQ233" i="8"/>
  <c r="AP233" i="8" s="1"/>
  <c r="AQ1347" i="8"/>
  <c r="AP1347" i="8" s="1"/>
  <c r="AQ1348" i="8"/>
  <c r="AP1348" i="8" s="1"/>
  <c r="AQ1349" i="8"/>
  <c r="AP1349" i="8" s="1"/>
  <c r="AQ499" i="8"/>
  <c r="AP499" i="8" s="1"/>
  <c r="AQ1350" i="8"/>
  <c r="AP1350" i="8" s="1"/>
  <c r="AQ1351" i="8"/>
  <c r="AP1351" i="8" s="1"/>
  <c r="AQ1352" i="8"/>
  <c r="AP1352" i="8" s="1"/>
  <c r="AQ1353" i="8"/>
  <c r="AP1353" i="8" s="1"/>
  <c r="AQ1354" i="8"/>
  <c r="AP1354" i="8" s="1"/>
  <c r="AQ1355" i="8"/>
  <c r="AP1355" i="8" s="1"/>
  <c r="AQ1356" i="8"/>
  <c r="AP1356" i="8" s="1"/>
  <c r="AQ1357" i="8"/>
  <c r="AP1357" i="8" s="1"/>
  <c r="AQ1358" i="8"/>
  <c r="AQ1359" i="8"/>
  <c r="AP1359" i="8" s="1"/>
  <c r="AQ1360" i="8"/>
  <c r="AP1360" i="8" s="1"/>
  <c r="AQ1361" i="8"/>
  <c r="AP1361" i="8" s="1"/>
  <c r="AQ1362" i="8"/>
  <c r="AP1362" i="8" s="1"/>
  <c r="AQ1363" i="8"/>
  <c r="AP1363" i="8" s="1"/>
  <c r="AQ1364" i="8"/>
  <c r="AP1364" i="8" s="1"/>
  <c r="AQ1365" i="8"/>
  <c r="AP1365" i="8" s="1"/>
  <c r="AQ1366" i="8"/>
  <c r="AP1366" i="8" s="1"/>
  <c r="AQ1367" i="8"/>
  <c r="AP1367" i="8" s="1"/>
  <c r="AQ1368" i="8"/>
  <c r="AP1368" i="8" s="1"/>
  <c r="AQ1369" i="8"/>
  <c r="AP1369" i="8" s="1"/>
  <c r="AQ1370" i="8"/>
  <c r="AP1370" i="8" s="1"/>
  <c r="AQ1371" i="8"/>
  <c r="AP1371" i="8" s="1"/>
  <c r="AQ1372" i="8"/>
  <c r="AP1372" i="8" s="1"/>
  <c r="AQ1373" i="8"/>
  <c r="AP1373" i="8" s="1"/>
  <c r="AQ1374" i="8"/>
  <c r="AP1374" i="8" s="1"/>
  <c r="AQ1375" i="8"/>
  <c r="AP1375" i="8" s="1"/>
  <c r="AQ1376" i="8"/>
  <c r="AP1376" i="8" s="1"/>
  <c r="AQ1377" i="8"/>
  <c r="AP1377" i="8" s="1"/>
  <c r="AQ1378" i="8"/>
  <c r="AP1378" i="8" s="1"/>
  <c r="AQ1379" i="8"/>
  <c r="AP1379" i="8" s="1"/>
  <c r="AQ1380" i="8"/>
  <c r="AP1380" i="8" s="1"/>
  <c r="AQ1381" i="8"/>
  <c r="AP1381" i="8" s="1"/>
  <c r="AQ1382" i="8"/>
  <c r="AP1382" i="8" s="1"/>
  <c r="AQ142" i="8"/>
  <c r="AP142" i="8" s="1"/>
  <c r="AQ1383" i="8"/>
  <c r="AP1383" i="8" s="1"/>
  <c r="AQ1384" i="8"/>
  <c r="AP1384" i="8" s="1"/>
  <c r="AQ500" i="8"/>
  <c r="AP500" i="8" s="1"/>
  <c r="AQ501" i="8"/>
  <c r="AP501" i="8" s="1"/>
  <c r="AQ1385" i="8"/>
  <c r="AP1385" i="8" s="1"/>
  <c r="AQ164" i="8"/>
  <c r="AP164" i="8" s="1"/>
  <c r="AQ299" i="8"/>
  <c r="AP299" i="8" s="1"/>
  <c r="AQ1386" i="8"/>
  <c r="AP1386" i="8" s="1"/>
  <c r="AQ1387" i="8"/>
  <c r="AP1387" i="8" s="1"/>
  <c r="AQ1388" i="8"/>
  <c r="AP1388" i="8" s="1"/>
  <c r="AQ1389" i="8"/>
  <c r="AP1389" i="8" s="1"/>
  <c r="AQ143" i="8"/>
  <c r="AP143" i="8" s="1"/>
  <c r="AQ110" i="8"/>
  <c r="AP110" i="8" s="1"/>
  <c r="AQ1390" i="8"/>
  <c r="AP1390" i="8" s="1"/>
  <c r="AQ56" i="8"/>
  <c r="AP56" i="8" s="1"/>
  <c r="AQ1391" i="8"/>
  <c r="AP1391" i="8" s="1"/>
  <c r="AQ1392" i="8"/>
  <c r="AP1392" i="8" s="1"/>
  <c r="AQ502" i="8"/>
  <c r="AP502" i="8" s="1"/>
  <c r="AQ111" i="8"/>
  <c r="AP111" i="8" s="1"/>
  <c r="AQ234" i="8"/>
  <c r="AP234" i="8" s="1"/>
  <c r="AQ235" i="8"/>
  <c r="AP235" i="8" s="1"/>
  <c r="AQ1393" i="8"/>
  <c r="AP1393" i="8" s="1"/>
  <c r="AQ191" i="8"/>
  <c r="AP191" i="8" s="1"/>
  <c r="AQ1394" i="8"/>
  <c r="AP1394" i="8" s="1"/>
  <c r="AQ1395" i="8"/>
  <c r="AP1395" i="8" s="1"/>
  <c r="AQ38" i="8"/>
  <c r="AP38" i="8" s="1"/>
  <c r="AQ236" i="8"/>
  <c r="AP236" i="8" s="1"/>
  <c r="AQ1396" i="8"/>
  <c r="AP1396" i="8" s="1"/>
  <c r="AQ1201" i="8"/>
  <c r="AP1201" i="8" s="1"/>
  <c r="AQ1397" i="8"/>
  <c r="AP1397" i="8" s="1"/>
  <c r="AQ503" i="8"/>
  <c r="AP503" i="8" s="1"/>
  <c r="AQ1398" i="8"/>
  <c r="AP1398" i="8" s="1"/>
  <c r="AQ1399" i="8"/>
  <c r="AP1399" i="8" s="1"/>
  <c r="AQ26" i="8"/>
  <c r="AP26" i="8" s="1"/>
  <c r="AQ237" i="8"/>
  <c r="AP237" i="8" s="1"/>
  <c r="AQ504" i="8"/>
  <c r="AP504" i="8" s="1"/>
  <c r="AQ1400" i="8"/>
  <c r="AP1400" i="8" s="1"/>
  <c r="AQ505" i="8"/>
  <c r="AP505" i="8" s="1"/>
  <c r="AQ1401" i="8"/>
  <c r="AP1401" i="8" s="1"/>
  <c r="AQ1402" i="8"/>
  <c r="AP1402" i="8" s="1"/>
  <c r="AQ1403" i="8"/>
  <c r="AP1403" i="8" s="1"/>
  <c r="AQ1404" i="8"/>
  <c r="AP1404" i="8" s="1"/>
  <c r="AQ1405" i="8"/>
  <c r="AP1405" i="8" s="1"/>
  <c r="AQ1406" i="8"/>
  <c r="AP1406" i="8" s="1"/>
  <c r="AQ1407" i="8"/>
  <c r="AP1407" i="8" s="1"/>
  <c r="AQ1408" i="8"/>
  <c r="AP1408" i="8" s="1"/>
  <c r="AQ1409" i="8"/>
  <c r="AP1409" i="8" s="1"/>
  <c r="AQ1410" i="8"/>
  <c r="AP1410" i="8" s="1"/>
  <c r="AQ1411" i="8"/>
  <c r="AP1411" i="8" s="1"/>
  <c r="AQ6" i="8"/>
  <c r="AP6" i="8" s="1"/>
  <c r="AQ11" i="8"/>
  <c r="AP11" i="8" s="1"/>
  <c r="AQ31" i="8"/>
  <c r="AP31" i="8" s="1"/>
  <c r="AQ1412" i="8"/>
  <c r="AP1412" i="8" s="1"/>
  <c r="AQ300" i="8"/>
  <c r="AP300" i="8" s="1"/>
  <c r="AQ1413" i="8"/>
  <c r="AP1413" i="8" s="1"/>
  <c r="AQ1414" i="8"/>
  <c r="AP1414" i="8" s="1"/>
  <c r="AQ1415" i="8"/>
  <c r="AP1415" i="8" s="1"/>
  <c r="AQ1416" i="8"/>
  <c r="AP1416" i="8" s="1"/>
  <c r="AQ1417" i="8"/>
  <c r="AP1417" i="8" s="1"/>
  <c r="AQ1418" i="8"/>
  <c r="AP1418" i="8" s="1"/>
  <c r="AQ1419" i="8"/>
  <c r="AP1419" i="8" s="1"/>
  <c r="AQ1420" i="8"/>
  <c r="AP1420" i="8" s="1"/>
  <c r="AQ1421" i="8"/>
  <c r="AP1421" i="8" s="1"/>
  <c r="AQ1422" i="8"/>
  <c r="AP1422" i="8" s="1"/>
  <c r="AQ1423" i="8"/>
  <c r="AP1423" i="8" s="1"/>
  <c r="AQ1424" i="8"/>
  <c r="AP1424" i="8" s="1"/>
  <c r="AQ1425" i="8"/>
  <c r="AP1425" i="8" s="1"/>
  <c r="AQ301" i="8"/>
  <c r="AP301" i="8" s="1"/>
  <c r="AQ1426" i="8"/>
  <c r="AP1426" i="8" s="1"/>
  <c r="AQ24" i="8"/>
  <c r="AP24" i="8" s="1"/>
  <c r="AQ373" i="8"/>
  <c r="AP373" i="8" s="1"/>
  <c r="AQ1427" i="8"/>
  <c r="AP1427" i="8" s="1"/>
  <c r="AQ1428" i="8"/>
  <c r="AP1428" i="8" s="1"/>
  <c r="AQ1429" i="8"/>
  <c r="AP1429" i="8" s="1"/>
  <c r="AQ1430" i="8"/>
  <c r="AP1430" i="8" s="1"/>
  <c r="AQ1431" i="8"/>
  <c r="AP1431" i="8" s="1"/>
  <c r="AQ1432" i="8"/>
  <c r="AP1432" i="8" s="1"/>
  <c r="AQ1433" i="8"/>
  <c r="AP1433" i="8" s="1"/>
  <c r="AQ1434" i="8"/>
  <c r="AP1434" i="8" s="1"/>
  <c r="AQ1435" i="8"/>
  <c r="AP1435" i="8" s="1"/>
  <c r="AQ1436" i="8"/>
  <c r="AP1436" i="8" s="1"/>
  <c r="AQ1437" i="8"/>
  <c r="AP1437" i="8" s="1"/>
  <c r="AQ3" i="8"/>
  <c r="AP3" i="8" s="1"/>
  <c r="AQ1438" i="8"/>
  <c r="AP1438" i="8" s="1"/>
  <c r="AQ1439" i="8"/>
  <c r="AP1439" i="8" s="1"/>
  <c r="AQ1440" i="8"/>
  <c r="AP1440" i="8" s="1"/>
  <c r="AQ1441" i="8"/>
  <c r="AP1441" i="8" s="1"/>
  <c r="AQ1442" i="8"/>
  <c r="AP1442" i="8" s="1"/>
  <c r="AQ1443" i="8"/>
  <c r="AP1443" i="8" s="1"/>
  <c r="AQ1444" i="8"/>
  <c r="AP1444" i="8" s="1"/>
  <c r="AQ1445" i="8"/>
  <c r="AP1445" i="8" s="1"/>
  <c r="AQ1446" i="8"/>
  <c r="AP1446" i="8" s="1"/>
  <c r="AQ1447" i="8"/>
  <c r="AP1447" i="8" s="1"/>
  <c r="AQ1448" i="8"/>
  <c r="AP1448" i="8" s="1"/>
  <c r="AQ1449" i="8"/>
  <c r="AP1449" i="8" s="1"/>
  <c r="AQ1450" i="8"/>
  <c r="AP1450" i="8" s="1"/>
  <c r="AQ1451" i="8"/>
  <c r="AP1451" i="8" s="1"/>
  <c r="AQ506" i="8"/>
  <c r="AP506" i="8" s="1"/>
  <c r="AQ17" i="8"/>
  <c r="AP17" i="8" s="1"/>
  <c r="AQ16" i="8"/>
  <c r="AP16" i="8" s="1"/>
  <c r="AQ1452" i="8"/>
  <c r="AP1452" i="8" s="1"/>
  <c r="AQ1453" i="8"/>
  <c r="AP1453" i="8" s="1"/>
  <c r="AQ1454" i="8"/>
  <c r="AP1454" i="8" s="1"/>
  <c r="AQ1455" i="8"/>
  <c r="AP1455" i="8" s="1"/>
  <c r="AQ192" i="8"/>
  <c r="AP192" i="8" s="1"/>
  <c r="AQ1456" i="8"/>
  <c r="AP1456" i="8" s="1"/>
  <c r="AQ1457" i="8"/>
  <c r="AP1457" i="8" s="1"/>
  <c r="AQ1458" i="8"/>
  <c r="AP1458" i="8" s="1"/>
  <c r="AQ374" i="8"/>
  <c r="AP374" i="8" s="1"/>
  <c r="AQ1459" i="8"/>
  <c r="AP1459" i="8" s="1"/>
  <c r="AQ1460" i="8"/>
  <c r="AP1460" i="8" s="1"/>
  <c r="AQ1461" i="8"/>
  <c r="AP1461" i="8" s="1"/>
  <c r="AQ1462" i="8"/>
  <c r="AP1462" i="8" s="1"/>
  <c r="AQ1463" i="8"/>
  <c r="AP1463" i="8" s="1"/>
  <c r="AQ1464" i="8"/>
  <c r="AP1464" i="8" s="1"/>
  <c r="AQ1465" i="8"/>
  <c r="AP1465" i="8" s="1"/>
  <c r="AQ1466" i="8"/>
  <c r="AP1466" i="8" s="1"/>
  <c r="AQ1467" i="8"/>
  <c r="AP1467" i="8" s="1"/>
  <c r="AQ1468" i="8"/>
  <c r="AP1468" i="8" s="1"/>
  <c r="AQ1469" i="8"/>
  <c r="AP1469" i="8" s="1"/>
  <c r="AQ238" i="8"/>
  <c r="AP238" i="8" s="1"/>
  <c r="AQ239" i="8"/>
  <c r="AP239" i="8" s="1"/>
  <c r="AQ1470" i="8"/>
  <c r="AP1470" i="8" s="1"/>
  <c r="AQ42" i="8"/>
  <c r="AP42" i="8" s="1"/>
  <c r="AQ1471" i="8"/>
  <c r="AP1471" i="8" s="1"/>
  <c r="AQ1472" i="8"/>
  <c r="AP1472" i="8" s="1"/>
  <c r="AQ1473" i="8"/>
  <c r="AP1473" i="8" s="1"/>
  <c r="AQ240" i="8"/>
  <c r="AP240" i="8" s="1"/>
  <c r="AQ112" i="8"/>
  <c r="AP112" i="8" s="1"/>
  <c r="AQ1474" i="8"/>
  <c r="AP1474" i="8" s="1"/>
  <c r="AQ1475" i="8"/>
  <c r="AP1475" i="8" s="1"/>
  <c r="AQ1476" i="8"/>
  <c r="AP1476" i="8" s="1"/>
  <c r="AQ1477" i="8"/>
  <c r="AP1477" i="8" s="1"/>
  <c r="AQ241" i="8"/>
  <c r="AP241" i="8" s="1"/>
  <c r="AQ1478" i="8"/>
  <c r="AP1478" i="8" s="1"/>
  <c r="AQ242" i="8"/>
  <c r="AP242" i="8" s="1"/>
  <c r="AQ1479" i="8"/>
  <c r="AP1479" i="8" s="1"/>
  <c r="AQ1480" i="8"/>
  <c r="AP1480" i="8" s="1"/>
  <c r="AQ1481" i="8"/>
  <c r="AP1481" i="8" s="1"/>
  <c r="AQ1482" i="8"/>
  <c r="AP1482" i="8" s="1"/>
  <c r="AQ1483" i="8"/>
  <c r="AP1483" i="8" s="1"/>
  <c r="AQ97" i="8"/>
  <c r="AP97" i="8" s="1"/>
  <c r="AQ1484" i="8"/>
  <c r="AP1484" i="8" s="1"/>
  <c r="AQ1485" i="8"/>
  <c r="AP1485" i="8" s="1"/>
  <c r="AQ1486" i="8"/>
  <c r="AP1486" i="8" s="1"/>
  <c r="AQ1487" i="8"/>
  <c r="AP1487" i="8" s="1"/>
  <c r="AQ243" i="8"/>
  <c r="AP243" i="8" s="1"/>
  <c r="AQ1488" i="8"/>
  <c r="AP1488" i="8" s="1"/>
  <c r="AQ1489" i="8"/>
  <c r="AP1489" i="8" s="1"/>
  <c r="AQ1490" i="8"/>
  <c r="AP1490" i="8" s="1"/>
  <c r="AQ1491" i="8"/>
  <c r="AP1491" i="8" s="1"/>
  <c r="AQ1492" i="8"/>
  <c r="AP1492" i="8" s="1"/>
  <c r="AQ1493" i="8"/>
  <c r="AP1493" i="8" s="1"/>
  <c r="AQ1494" i="8"/>
  <c r="AP1494" i="8" s="1"/>
  <c r="AQ1495" i="8"/>
  <c r="AP1495" i="8" s="1"/>
  <c r="AQ1496" i="8"/>
  <c r="AP1496" i="8" s="1"/>
  <c r="AQ1497" i="8"/>
  <c r="AP1497" i="8" s="1"/>
  <c r="AQ244" i="8"/>
  <c r="AP244" i="8" s="1"/>
  <c r="AQ1498" i="8"/>
  <c r="AP1498" i="8" s="1"/>
  <c r="AQ1499" i="8"/>
  <c r="AP1499" i="8" s="1"/>
  <c r="AQ1500" i="8"/>
  <c r="AP1500" i="8" s="1"/>
  <c r="AQ1501" i="8"/>
  <c r="AP1501" i="8" s="1"/>
  <c r="AQ193" i="8"/>
  <c r="AP193" i="8" s="1"/>
  <c r="AQ1502" i="8"/>
  <c r="AP1502" i="8" s="1"/>
  <c r="AQ1503" i="8"/>
  <c r="AP1503" i="8" s="1"/>
  <c r="AQ1504" i="8"/>
  <c r="AP1504" i="8" s="1"/>
  <c r="AQ1505" i="8"/>
  <c r="AP1505" i="8" s="1"/>
  <c r="AQ1506" i="8"/>
  <c r="AP1506" i="8" s="1"/>
  <c r="AQ507" i="8"/>
  <c r="AP507" i="8" s="1"/>
  <c r="AQ1507" i="8"/>
  <c r="AP1507" i="8" s="1"/>
  <c r="AQ1508" i="8"/>
  <c r="AP1508" i="8" s="1"/>
  <c r="AQ1509" i="8"/>
  <c r="AP1509" i="8" s="1"/>
  <c r="AQ1510" i="8"/>
  <c r="AP1510" i="8" s="1"/>
  <c r="AQ1511" i="8"/>
  <c r="AP1511" i="8" s="1"/>
  <c r="AQ245" i="8"/>
  <c r="AP245" i="8" s="1"/>
  <c r="AQ1512" i="8"/>
  <c r="AP1512" i="8" s="1"/>
  <c r="AQ1513" i="8"/>
  <c r="AP1513" i="8" s="1"/>
  <c r="AQ1514" i="8"/>
  <c r="AP1514" i="8" s="1"/>
  <c r="AQ1515" i="8"/>
  <c r="AP1515" i="8" s="1"/>
  <c r="AQ1516" i="8"/>
  <c r="AP1516" i="8" s="1"/>
  <c r="AQ1517" i="8"/>
  <c r="AP1517" i="8" s="1"/>
  <c r="AQ1518" i="8"/>
  <c r="AP1518" i="8" s="1"/>
  <c r="AQ1519" i="8"/>
  <c r="AP1519" i="8" s="1"/>
  <c r="AQ1520" i="8"/>
  <c r="AP1520" i="8" s="1"/>
  <c r="AQ1521" i="8"/>
  <c r="AP1521" i="8" s="1"/>
  <c r="AQ1522" i="8"/>
  <c r="AP1522" i="8" s="1"/>
  <c r="AQ1523" i="8"/>
  <c r="AP1523" i="8" s="1"/>
  <c r="AQ1524" i="8"/>
  <c r="AP1524" i="8" s="1"/>
  <c r="AQ1525" i="8"/>
  <c r="AP1525" i="8" s="1"/>
  <c r="AQ1526" i="8"/>
  <c r="AP1526" i="8" s="1"/>
  <c r="AQ1527" i="8"/>
  <c r="AP1527" i="8" s="1"/>
  <c r="AQ1528" i="8"/>
  <c r="AP1528" i="8" s="1"/>
  <c r="AQ1529" i="8"/>
  <c r="AP1529" i="8" s="1"/>
  <c r="AQ1530" i="8"/>
  <c r="AP1530" i="8" s="1"/>
  <c r="AQ1531" i="8"/>
  <c r="AP1531" i="8" s="1"/>
  <c r="AQ1532" i="8"/>
  <c r="AP1532" i="8" s="1"/>
  <c r="AQ1533" i="8"/>
  <c r="AP1533" i="8" s="1"/>
  <c r="AQ302" i="8"/>
  <c r="AP302" i="8" s="1"/>
  <c r="AQ303" i="8"/>
  <c r="AP303" i="8" s="1"/>
  <c r="AQ1534" i="8"/>
  <c r="AP1534" i="8" s="1"/>
  <c r="AQ1535" i="8"/>
  <c r="AP1535" i="8" s="1"/>
  <c r="AQ194" i="8"/>
  <c r="AP194" i="8" s="1"/>
  <c r="AQ508" i="8"/>
  <c r="AP508" i="8" s="1"/>
  <c r="AQ1536" i="8"/>
  <c r="AP1536" i="8" s="1"/>
  <c r="AQ1537" i="8"/>
  <c r="AP1537" i="8" s="1"/>
  <c r="AQ509" i="8"/>
  <c r="AP509" i="8" s="1"/>
  <c r="AQ1538" i="8"/>
  <c r="AP1538" i="8" s="1"/>
  <c r="AQ98" i="8"/>
  <c r="AP98" i="8" s="1"/>
  <c r="AQ510" i="8"/>
  <c r="AP510" i="8" s="1"/>
  <c r="AQ1539" i="8"/>
  <c r="AP1539" i="8" s="1"/>
  <c r="AQ1540" i="8"/>
  <c r="AP1540" i="8" s="1"/>
  <c r="AQ1541" i="8"/>
  <c r="AP1541" i="8" s="1"/>
  <c r="AQ1542" i="8"/>
  <c r="AP1542" i="8" s="1"/>
  <c r="AQ1543" i="8"/>
  <c r="AP1543" i="8" s="1"/>
  <c r="AQ1544" i="8"/>
  <c r="AP1544" i="8" s="1"/>
  <c r="AQ1545" i="8"/>
  <c r="AP1545" i="8" s="1"/>
  <c r="AQ1546" i="8"/>
  <c r="AP1546" i="8" s="1"/>
  <c r="AQ1547" i="8"/>
  <c r="AP1547" i="8" s="1"/>
  <c r="AQ1548" i="8"/>
  <c r="AP1548" i="8" s="1"/>
  <c r="AQ1549" i="8"/>
  <c r="AP1549" i="8" s="1"/>
  <c r="AQ1550" i="8"/>
  <c r="AP1550" i="8" s="1"/>
  <c r="AQ1551" i="8"/>
  <c r="AP1551" i="8" s="1"/>
  <c r="AQ1552" i="8"/>
  <c r="AP1552" i="8" s="1"/>
  <c r="AQ1553" i="8"/>
  <c r="AP1553" i="8" s="1"/>
  <c r="AQ1554" i="8"/>
  <c r="AP1554" i="8" s="1"/>
  <c r="AQ1555" i="8"/>
  <c r="AP1555" i="8" s="1"/>
  <c r="AQ1556" i="8"/>
  <c r="AP1556" i="8" s="1"/>
  <c r="AQ1557" i="8"/>
  <c r="AP1557" i="8" s="1"/>
  <c r="AQ1558" i="8"/>
  <c r="AP1558" i="8" s="1"/>
  <c r="AQ1559" i="8"/>
  <c r="AP1559" i="8" s="1"/>
  <c r="AQ1560" i="8"/>
  <c r="AP1560" i="8" s="1"/>
  <c r="AQ1561" i="8"/>
  <c r="AP1561" i="8" s="1"/>
  <c r="AQ1562" i="8"/>
  <c r="AP1562" i="8" s="1"/>
  <c r="AQ1563" i="8"/>
  <c r="AP1563" i="8" s="1"/>
  <c r="AQ1564" i="8"/>
  <c r="AP1564" i="8" s="1"/>
  <c r="AQ1565" i="8"/>
  <c r="AP1565" i="8" s="1"/>
  <c r="AQ511" i="8"/>
  <c r="AP511" i="8" s="1"/>
  <c r="AQ304" i="8"/>
  <c r="AP304" i="8" s="1"/>
  <c r="AQ1566" i="8"/>
  <c r="AP1566" i="8" s="1"/>
  <c r="AQ1567" i="8"/>
  <c r="AP1567" i="8" s="1"/>
  <c r="AQ1568" i="8"/>
  <c r="AP1568" i="8" s="1"/>
  <c r="AQ1569" i="8"/>
  <c r="AP1569" i="8" s="1"/>
  <c r="AQ1570" i="8"/>
  <c r="AP1570" i="8" s="1"/>
  <c r="AQ375" i="8"/>
  <c r="AP375" i="8" s="1"/>
  <c r="AQ1571" i="8"/>
  <c r="AP1571" i="8" s="1"/>
  <c r="AQ512" i="8"/>
  <c r="AP512" i="8" s="1"/>
  <c r="AQ1572" i="8"/>
  <c r="AP1572" i="8" s="1"/>
  <c r="AQ1573" i="8"/>
  <c r="AP1573" i="8" s="1"/>
  <c r="AQ1574" i="8"/>
  <c r="AP1574" i="8" s="1"/>
  <c r="AQ1575" i="8"/>
  <c r="AP1575" i="8" s="1"/>
  <c r="AQ1576" i="8"/>
  <c r="AP1576" i="8" s="1"/>
  <c r="AQ376" i="8"/>
  <c r="AP376" i="8" s="1"/>
  <c r="AQ377" i="8"/>
  <c r="AP377" i="8" s="1"/>
  <c r="AQ513" i="8"/>
  <c r="AP513" i="8" s="1"/>
  <c r="AQ378" i="8"/>
  <c r="AP378" i="8" s="1"/>
  <c r="AQ1577" i="8"/>
  <c r="AP1577" i="8" s="1"/>
  <c r="AQ1578" i="8"/>
  <c r="AP1578" i="8" s="1"/>
  <c r="AQ1579" i="8"/>
  <c r="AP1579" i="8" s="1"/>
  <c r="AQ54" i="8"/>
  <c r="AP54" i="8" s="1"/>
  <c r="AQ1580" i="8"/>
  <c r="AP1580" i="8" s="1"/>
  <c r="AQ1581" i="8"/>
  <c r="AP1581" i="8" s="1"/>
  <c r="AQ1582" i="8"/>
  <c r="AP1582" i="8" s="1"/>
  <c r="AQ1583" i="8"/>
  <c r="AP1583" i="8" s="1"/>
  <c r="AQ1584" i="8"/>
  <c r="AP1584" i="8" s="1"/>
  <c r="AQ1585" i="8"/>
  <c r="AP1585" i="8" s="1"/>
  <c r="AQ28" i="8"/>
  <c r="AP28" i="8" s="1"/>
  <c r="AQ1586" i="8"/>
  <c r="AP1586" i="8" s="1"/>
  <c r="AQ1587" i="8"/>
  <c r="AP1587" i="8" s="1"/>
  <c r="AQ125" i="8"/>
  <c r="AP125" i="8" s="1"/>
  <c r="AQ144" i="8"/>
  <c r="AP144" i="8" s="1"/>
  <c r="AQ1588" i="8"/>
  <c r="AP1588" i="8" s="1"/>
  <c r="AQ1589" i="8"/>
  <c r="AP1589" i="8" s="1"/>
  <c r="AQ1590" i="8"/>
  <c r="AP1590" i="8" s="1"/>
  <c r="AQ1591" i="8"/>
  <c r="AP1591" i="8" s="1"/>
  <c r="AQ379" i="8"/>
  <c r="AP379" i="8" s="1"/>
  <c r="AQ246" i="8"/>
  <c r="AP246" i="8" s="1"/>
  <c r="AQ1592" i="8"/>
  <c r="AP1592" i="8" s="1"/>
  <c r="AQ1593" i="8"/>
  <c r="AP1593" i="8" s="1"/>
  <c r="AQ1594" i="8"/>
  <c r="AP1594" i="8" s="1"/>
  <c r="AQ1595" i="8"/>
  <c r="AP1595" i="8" s="1"/>
  <c r="AQ195" i="8"/>
  <c r="AP195" i="8" s="1"/>
  <c r="AQ1596" i="8"/>
  <c r="AP1596" i="8" s="1"/>
  <c r="AQ1597" i="8"/>
  <c r="AP1597" i="8" s="1"/>
  <c r="AQ1598" i="8"/>
  <c r="AP1598" i="8" s="1"/>
  <c r="AQ1599" i="8"/>
  <c r="AP1599" i="8" s="1"/>
  <c r="AQ1600" i="8"/>
  <c r="AP1600" i="8" s="1"/>
  <c r="AQ1601" i="8"/>
  <c r="AP1601" i="8" s="1"/>
  <c r="AQ1602" i="8"/>
  <c r="AP1602" i="8" s="1"/>
  <c r="AQ1603" i="8"/>
  <c r="AP1603" i="8" s="1"/>
  <c r="AQ1604" i="8"/>
  <c r="AP1604" i="8" s="1"/>
  <c r="AQ1605" i="8"/>
  <c r="AP1605" i="8" s="1"/>
  <c r="AQ514" i="8"/>
  <c r="AP514" i="8" s="1"/>
  <c r="AQ380" i="8"/>
  <c r="AP380" i="8" s="1"/>
  <c r="AQ515" i="8"/>
  <c r="AP515" i="8" s="1"/>
  <c r="AQ381" i="8"/>
  <c r="AP381" i="8" s="1"/>
  <c r="AQ126" i="8"/>
  <c r="AP126" i="8" s="1"/>
  <c r="AQ127" i="8"/>
  <c r="AP127" i="8" s="1"/>
  <c r="AQ196" i="8"/>
  <c r="AP196" i="8" s="1"/>
  <c r="AQ516" i="8"/>
  <c r="AP516" i="8" s="1"/>
  <c r="AQ517" i="8"/>
  <c r="AP517" i="8" s="1"/>
  <c r="AQ518" i="8"/>
  <c r="AP518" i="8" s="1"/>
  <c r="AQ519" i="8"/>
  <c r="AP519" i="8" s="1"/>
  <c r="AQ520" i="8"/>
  <c r="AP520" i="8" s="1"/>
  <c r="AQ521" i="8"/>
  <c r="AP521" i="8" s="1"/>
  <c r="AQ113" i="8"/>
  <c r="AP113" i="8" s="1"/>
  <c r="AQ247" i="8"/>
  <c r="AP247" i="8" s="1"/>
  <c r="AQ522" i="8"/>
  <c r="AP522" i="8" s="1"/>
  <c r="AQ248" i="8"/>
  <c r="AP248" i="8" s="1"/>
  <c r="AQ305" i="8"/>
  <c r="AP305" i="8" s="1"/>
  <c r="AQ382" i="8"/>
  <c r="AP382" i="8" s="1"/>
  <c r="AQ197" i="8"/>
  <c r="AP197" i="8" s="1"/>
  <c r="AQ523" i="8"/>
  <c r="AP523" i="8" s="1"/>
  <c r="AQ383" i="8"/>
  <c r="AP383" i="8" s="1"/>
  <c r="AQ524" i="8"/>
  <c r="AP524" i="8" s="1"/>
  <c r="AQ384" i="8"/>
  <c r="AP384" i="8" s="1"/>
  <c r="AQ306" i="8"/>
  <c r="AP306" i="8" s="1"/>
  <c r="AQ307" i="8"/>
  <c r="AP307" i="8" s="1"/>
  <c r="AQ385" i="8"/>
  <c r="AP385" i="8" s="1"/>
  <c r="AQ128" i="8"/>
  <c r="AP128" i="8" s="1"/>
  <c r="AQ386" i="8"/>
  <c r="AP386" i="8" s="1"/>
  <c r="AQ198" i="8"/>
  <c r="AP198" i="8" s="1"/>
  <c r="AQ387" i="8"/>
  <c r="AP387" i="8" s="1"/>
  <c r="AQ525" i="8"/>
  <c r="AP525" i="8" s="1"/>
  <c r="AQ388" i="8"/>
  <c r="AP388" i="8" s="1"/>
  <c r="AQ249" i="8"/>
  <c r="AP249" i="8" s="1"/>
  <c r="AQ389" i="8"/>
  <c r="AP389" i="8" s="1"/>
  <c r="AQ526" i="8"/>
  <c r="AP526" i="8" s="1"/>
  <c r="AQ250" i="8"/>
  <c r="AP250" i="8" s="1"/>
  <c r="AQ527" i="8"/>
  <c r="AP527" i="8" s="1"/>
  <c r="AQ199" i="8"/>
  <c r="AP199" i="8" s="1"/>
  <c r="AQ200" i="8"/>
  <c r="AP200" i="8" s="1"/>
  <c r="AQ201" i="8"/>
  <c r="AP201" i="8" s="1"/>
  <c r="AQ202" i="8"/>
  <c r="AP202" i="8" s="1"/>
  <c r="AQ308" i="8"/>
  <c r="AP308" i="8" s="1"/>
  <c r="AQ528" i="8"/>
  <c r="AP528" i="8" s="1"/>
  <c r="AQ390" i="8"/>
  <c r="AP390" i="8" s="1"/>
  <c r="AQ391" i="8"/>
  <c r="AP391" i="8" s="1"/>
  <c r="AQ251" i="8"/>
  <c r="AP251" i="8" s="1"/>
  <c r="AQ392" i="8"/>
  <c r="AP392" i="8" s="1"/>
  <c r="AQ529" i="8"/>
  <c r="AP529" i="8" s="1"/>
  <c r="AQ252" i="8"/>
  <c r="AP252" i="8" s="1"/>
  <c r="AQ65" i="8"/>
  <c r="AP65" i="8" s="1"/>
  <c r="AP145" i="8"/>
  <c r="AP531" i="8"/>
  <c r="AP532" i="8"/>
  <c r="AP533" i="8"/>
  <c r="AP396" i="8"/>
  <c r="AP53" i="8"/>
  <c r="AP535" i="8"/>
  <c r="AP536" i="8"/>
  <c r="AP25" i="8"/>
  <c r="AP57" i="8"/>
  <c r="AP129" i="8"/>
  <c r="AP146" i="8"/>
  <c r="AP147" i="8"/>
  <c r="AP148" i="8"/>
  <c r="AP149" i="8"/>
  <c r="AP39" i="8"/>
  <c r="AP540" i="8"/>
  <c r="AP541" i="8"/>
  <c r="AP310" i="8"/>
  <c r="AP254" i="8"/>
  <c r="AP543" i="8"/>
  <c r="AP544" i="8"/>
  <c r="AP547" i="8"/>
  <c r="AP548" i="8"/>
  <c r="AP550" i="8"/>
  <c r="AP399" i="8"/>
  <c r="AP400" i="8"/>
  <c r="AP552" i="8"/>
  <c r="AP167" i="8"/>
  <c r="AP74" i="8"/>
  <c r="AP168" i="8"/>
  <c r="AP556" i="8"/>
  <c r="AP557" i="8"/>
  <c r="AP560" i="8"/>
  <c r="AP561" i="8"/>
  <c r="AP563" i="8"/>
  <c r="AP564" i="8"/>
  <c r="AP565" i="8"/>
  <c r="AP567" i="8"/>
  <c r="AP568" i="8"/>
  <c r="AP402" i="8"/>
  <c r="AP256" i="8"/>
  <c r="AP571" i="8"/>
  <c r="AP572" i="8"/>
  <c r="AP575" i="8"/>
  <c r="AP404" i="8"/>
  <c r="AP313" i="8"/>
  <c r="AP576" i="8"/>
  <c r="AP577" i="8"/>
  <c r="AP114" i="8"/>
  <c r="AP578" i="8"/>
  <c r="AP408" i="8"/>
  <c r="AP581" i="8"/>
  <c r="AP584" i="8"/>
  <c r="AP314" i="8"/>
  <c r="AP169" i="8"/>
  <c r="AP315" i="8"/>
  <c r="AP588" i="8"/>
  <c r="AP316" i="8"/>
  <c r="AP205" i="8"/>
  <c r="AP150" i="8"/>
  <c r="AP591" i="8"/>
  <c r="AP410" i="8"/>
  <c r="AP593" i="8"/>
  <c r="AP594" i="8"/>
  <c r="AP595" i="8"/>
  <c r="AP597" i="8"/>
  <c r="AP598" i="8"/>
  <c r="AP601" i="8"/>
  <c r="AP602" i="8"/>
  <c r="AP605" i="8"/>
  <c r="AP170" i="8"/>
  <c r="AP606" i="8"/>
  <c r="AP607" i="8"/>
  <c r="AP608" i="8"/>
  <c r="AP611" i="8"/>
  <c r="AP612" i="8"/>
  <c r="AP615" i="8"/>
  <c r="AP616" i="8"/>
  <c r="AP207" i="8"/>
  <c r="AP171" i="8"/>
  <c r="AP621" i="8"/>
  <c r="AP622" i="8"/>
  <c r="AP623" i="8"/>
  <c r="AP625" i="8"/>
  <c r="AP626" i="8"/>
  <c r="AP628" i="8"/>
  <c r="AP629" i="8"/>
  <c r="AP632" i="8"/>
  <c r="AP633" i="8"/>
  <c r="AP636" i="8"/>
  <c r="AP637" i="8"/>
  <c r="AP640" i="8"/>
  <c r="AP641" i="8"/>
  <c r="AP643" i="8"/>
  <c r="AP644" i="8"/>
  <c r="AP44" i="8"/>
  <c r="AP647" i="8"/>
  <c r="AP650" i="8"/>
  <c r="AP651" i="8"/>
  <c r="AP652" i="8"/>
  <c r="AP654" i="8"/>
  <c r="AP655" i="8"/>
  <c r="AP658" i="8"/>
  <c r="AP659" i="8"/>
  <c r="AP662" i="8"/>
  <c r="AP663" i="8"/>
  <c r="AP664" i="8"/>
  <c r="AP320" i="8"/>
  <c r="AP321" i="8"/>
  <c r="AP668" i="8"/>
  <c r="AP669" i="8"/>
  <c r="AP672" i="8"/>
  <c r="AP673" i="8"/>
  <c r="AP676" i="8"/>
  <c r="AP677" i="8"/>
  <c r="AP680" i="8"/>
  <c r="AP40" i="8"/>
  <c r="AP681" i="8"/>
  <c r="AP683" i="8"/>
  <c r="AP684" i="8"/>
  <c r="AP687" i="8"/>
  <c r="AP411" i="8"/>
  <c r="AP690" i="8"/>
  <c r="AP412" i="8"/>
  <c r="AP692" i="8"/>
  <c r="AP693" i="8"/>
  <c r="AP257" i="8"/>
  <c r="AP694" i="8"/>
  <c r="AP697" i="8"/>
  <c r="AP698" i="8"/>
  <c r="AP701" i="8"/>
  <c r="AP702" i="8"/>
  <c r="AP705" i="8"/>
  <c r="AP706" i="8"/>
  <c r="AP707" i="8"/>
  <c r="AP709" i="8"/>
  <c r="AP710" i="8"/>
  <c r="AP713" i="8"/>
  <c r="AP714" i="8"/>
  <c r="AP717" i="8"/>
  <c r="AP718" i="8"/>
  <c r="AP719" i="8"/>
  <c r="AP721" i="8"/>
  <c r="AP722" i="8"/>
  <c r="AP723" i="8"/>
  <c r="AP724" i="8"/>
  <c r="AP726" i="8"/>
  <c r="AP727" i="8"/>
  <c r="AP730" i="8"/>
  <c r="AP731" i="8"/>
  <c r="AP735" i="8"/>
  <c r="AP738" i="8"/>
  <c r="AP739" i="8"/>
  <c r="AP741" i="8"/>
  <c r="AP172" i="8"/>
  <c r="AP743" i="8"/>
  <c r="AP744" i="8"/>
  <c r="AP747" i="8"/>
  <c r="AP748" i="8"/>
  <c r="AP751" i="8"/>
  <c r="AP752" i="8"/>
  <c r="AP754" i="8"/>
  <c r="AP755" i="8"/>
  <c r="AP756" i="8"/>
  <c r="AP757" i="8"/>
  <c r="AP758" i="8"/>
  <c r="AP762" i="8"/>
  <c r="AP173" i="8"/>
  <c r="AP765" i="8"/>
  <c r="AP79" i="8"/>
  <c r="AP151" i="8"/>
  <c r="AP769" i="8"/>
  <c r="AP13" i="8"/>
  <c r="AP771" i="8"/>
  <c r="AP774" i="8"/>
  <c r="AP29" i="8"/>
  <c r="AP34" i="8"/>
  <c r="AP60" i="8"/>
  <c r="AP417" i="8"/>
  <c r="AP419" i="8"/>
  <c r="AP420" i="8"/>
  <c r="AP152" i="8"/>
  <c r="AP176" i="8"/>
  <c r="AP787" i="8"/>
  <c r="AP330" i="8"/>
  <c r="AP793" i="8"/>
  <c r="AP331" i="8"/>
  <c r="AP423" i="8"/>
  <c r="AP798" i="8"/>
  <c r="AP799" i="8"/>
  <c r="AP800" i="8"/>
  <c r="AP81" i="8"/>
  <c r="AP804" i="8"/>
  <c r="AP808" i="8"/>
  <c r="AP431" i="8"/>
  <c r="AP812" i="8"/>
  <c r="AP333" i="8"/>
  <c r="AP50" i="8"/>
  <c r="AP22" i="8"/>
  <c r="AP132" i="8"/>
  <c r="AP435" i="8"/>
  <c r="AP436" i="8"/>
  <c r="AP216" i="8"/>
  <c r="AP93" i="8"/>
  <c r="AP119" i="8"/>
  <c r="AP823" i="8"/>
  <c r="AP439" i="8"/>
  <c r="AP84" i="8"/>
  <c r="AP443" i="8"/>
  <c r="AP832" i="8"/>
  <c r="AP446" i="8"/>
  <c r="AP448" i="8"/>
  <c r="AP340" i="8"/>
  <c r="AP451" i="8"/>
  <c r="AP843" i="8"/>
  <c r="AP849" i="8"/>
  <c r="AP342" i="8"/>
  <c r="AP223" i="8"/>
  <c r="AP343" i="8"/>
  <c r="AP454" i="8"/>
  <c r="AP457" i="8"/>
  <c r="AP462" i="8"/>
  <c r="AP464" i="8"/>
  <c r="AP885" i="8"/>
  <c r="AP891" i="8"/>
  <c r="AP898" i="8"/>
  <c r="AP904" i="8"/>
  <c r="AP907" i="8"/>
  <c r="AP913" i="8"/>
  <c r="AP349" i="8"/>
  <c r="AP926" i="8"/>
  <c r="AP934" i="8"/>
  <c r="AP942" i="8"/>
  <c r="AP472" i="8"/>
  <c r="AP474" i="8"/>
  <c r="AP475" i="8"/>
  <c r="AP988" i="8"/>
  <c r="AP1004" i="8"/>
  <c r="AP1024" i="8"/>
  <c r="AP1042" i="8"/>
  <c r="AP1048" i="8"/>
  <c r="AP1059" i="8"/>
  <c r="AP1067" i="8"/>
  <c r="AP1082" i="8"/>
  <c r="AP1102" i="8"/>
  <c r="AP1119" i="8"/>
  <c r="AP1129" i="8"/>
  <c r="AP1145" i="8"/>
  <c r="AP1156" i="8"/>
  <c r="AP357" i="8"/>
  <c r="AP1177" i="8"/>
  <c r="AP1191" i="8"/>
  <c r="AP1200" i="8"/>
  <c r="AP1208" i="8"/>
  <c r="AP1226" i="8"/>
  <c r="AP1238" i="8"/>
  <c r="AP1251" i="8"/>
  <c r="AP1263" i="8"/>
  <c r="AP366" i="8"/>
  <c r="AP1311" i="8"/>
  <c r="AP1358" i="8"/>
  <c r="AQ1" i="8" l="1"/>
  <c r="AO1" i="8"/>
  <c r="AL1590" i="8"/>
  <c r="AL246" i="8"/>
  <c r="AL357" i="8"/>
  <c r="AL1391" i="8"/>
  <c r="AL1200" i="8"/>
  <c r="AL358" i="8"/>
  <c r="AL1242" i="8"/>
  <c r="AL1602" i="8"/>
  <c r="AL1587" i="8"/>
  <c r="AL1589" i="8"/>
  <c r="AL1584" i="8"/>
  <c r="AL195" i="8"/>
  <c r="AL1605" i="8"/>
  <c r="AL1597" i="8"/>
  <c r="AL1583" i="8"/>
  <c r="AL1604" i="8"/>
  <c r="AL1598" i="8"/>
  <c r="AL379" i="8"/>
  <c r="AL1599" i="8"/>
  <c r="AL1595" i="8"/>
  <c r="AL1586" i="8"/>
  <c r="AL1593" i="8"/>
  <c r="AL1385" i="8"/>
  <c r="AL1592" i="8"/>
  <c r="AL514" i="8"/>
  <c r="AL1591" i="8"/>
  <c r="AL1585" i="8"/>
  <c r="AL144" i="8"/>
  <c r="AL229" i="8"/>
  <c r="AL1172" i="8"/>
  <c r="AL110" i="8"/>
  <c r="AL28" i="8"/>
  <c r="AL1601" i="8"/>
  <c r="AL125" i="8"/>
  <c r="AL1582" i="8"/>
  <c r="AL1603" i="8"/>
  <c r="AL1596" i="8"/>
  <c r="AL1600" i="8"/>
  <c r="AL1594" i="8"/>
  <c r="AL1588" i="8"/>
  <c r="AL4" i="8" l="1"/>
  <c r="AL5" i="8"/>
  <c r="AL301" i="8"/>
  <c r="AL7" i="8"/>
  <c r="AL11" i="8"/>
  <c r="AL6" i="8"/>
  <c r="AL12" i="8"/>
  <c r="AL26" i="8"/>
  <c r="AL373" i="8"/>
  <c r="AL36" i="8"/>
  <c r="AL13" i="8"/>
  <c r="AL18" i="8"/>
  <c r="AL29" i="8"/>
  <c r="AL212" i="8"/>
  <c r="AL15" i="8"/>
  <c r="AL14" i="8"/>
  <c r="AL31" i="8"/>
  <c r="AL45" i="8"/>
  <c r="AL19" i="8"/>
  <c r="AL20" i="8"/>
  <c r="AL23" i="8"/>
  <c r="AL17" i="8"/>
  <c r="AL37" i="8"/>
  <c r="AL21" i="8"/>
  <c r="AL80" i="8"/>
  <c r="AL38" i="8"/>
  <c r="AL9" i="8"/>
  <c r="AL24" i="8"/>
  <c r="AL25" i="8"/>
  <c r="AL41" i="8"/>
  <c r="AL49" i="8"/>
  <c r="AL53" i="8"/>
  <c r="AL65" i="8"/>
  <c r="AL40" i="8"/>
  <c r="AL57" i="8"/>
  <c r="AL506" i="8"/>
  <c r="AL816" i="8"/>
  <c r="AL16" i="8"/>
  <c r="AL22" i="8"/>
  <c r="AL34" i="8"/>
  <c r="AL79" i="8"/>
  <c r="AL207" i="8"/>
  <c r="AL428" i="8"/>
  <c r="AL681" i="8"/>
  <c r="AL68" i="8"/>
  <c r="AL231" i="8"/>
  <c r="AL800" i="8"/>
  <c r="AL1193" i="8"/>
  <c r="AL362" i="8"/>
  <c r="AL60" i="8"/>
  <c r="AL1451" i="8"/>
  <c r="AL71" i="8"/>
  <c r="AL801" i="8"/>
  <c r="AL76" i="8"/>
  <c r="AL82" i="8"/>
  <c r="AL8" i="8"/>
  <c r="AL32" i="8"/>
  <c r="AL35" i="8"/>
  <c r="AL33" i="8"/>
  <c r="AL73" i="8"/>
  <c r="AL808" i="8"/>
  <c r="AL1164" i="8"/>
  <c r="AL81" i="8"/>
  <c r="AL27" i="8"/>
  <c r="AL177" i="8"/>
  <c r="AL86" i="8"/>
  <c r="AL30" i="8"/>
  <c r="AL178" i="8"/>
  <c r="AL39" i="8"/>
  <c r="AL77" i="8"/>
  <c r="AL10" i="8"/>
  <c r="AL376" i="8"/>
  <c r="AL75" i="8"/>
  <c r="AL54" i="8"/>
  <c r="AL145" i="8"/>
  <c r="AL58" i="8"/>
  <c r="AL44" i="8"/>
  <c r="AL72" i="8"/>
  <c r="AL153" i="8"/>
  <c r="AL64" i="8"/>
  <c r="AL149" i="8"/>
  <c r="AL56" i="8"/>
  <c r="AL66" i="8"/>
  <c r="AL95" i="8"/>
  <c r="AL47" i="8"/>
  <c r="AL48" i="8"/>
  <c r="AL511" i="8"/>
  <c r="AL61" i="8"/>
  <c r="AL230" i="8"/>
  <c r="AL50" i="8"/>
  <c r="AL1563" i="8"/>
  <c r="AL1174" i="8"/>
  <c r="AL67" i="8"/>
  <c r="AL218" i="8"/>
  <c r="AL46" i="8"/>
  <c r="AL93" i="8"/>
  <c r="AL55" i="8"/>
  <c r="AL319" i="8"/>
  <c r="AL170" i="8"/>
  <c r="AL401" i="8"/>
  <c r="AL52" i="8"/>
  <c r="AL101" i="8"/>
  <c r="AL183" i="8"/>
  <c r="AL43" i="8"/>
  <c r="AL408" i="8"/>
  <c r="AL83" i="8"/>
  <c r="AL236" i="8"/>
  <c r="AL1576" i="8"/>
  <c r="AL59" i="8"/>
  <c r="AL257" i="8"/>
  <c r="AL641" i="8"/>
  <c r="AL1468" i="8"/>
  <c r="AL1469" i="8"/>
  <c r="AL1578" i="8"/>
  <c r="AL62" i="8"/>
  <c r="AL186" i="8"/>
  <c r="AL63" i="8"/>
  <c r="AL74" i="8"/>
  <c r="AL298" i="8"/>
  <c r="AL133" i="8"/>
  <c r="AL1214" i="8"/>
  <c r="AL92" i="8"/>
  <c r="AL51" i="8"/>
  <c r="AL235" i="8"/>
  <c r="AL132" i="8"/>
  <c r="AL147" i="8"/>
  <c r="AL435" i="8"/>
  <c r="AL104" i="8"/>
  <c r="AL100" i="8"/>
  <c r="AL1155" i="8"/>
  <c r="AL234" i="8"/>
  <c r="AL407" i="8"/>
  <c r="AL154" i="8"/>
  <c r="AL103" i="8"/>
  <c r="AL268" i="8"/>
  <c r="AL88" i="8"/>
  <c r="AL329" i="8"/>
  <c r="AL205" i="8"/>
  <c r="AL97" i="8"/>
  <c r="AL162" i="8"/>
  <c r="AL1404" i="8"/>
  <c r="AL233" i="8"/>
  <c r="AL69" i="8"/>
  <c r="AL163" i="8"/>
  <c r="AL181" i="8"/>
  <c r="AL121" i="8"/>
  <c r="AL215" i="8"/>
  <c r="AL105" i="8"/>
  <c r="AL70" i="8"/>
  <c r="AL124" i="8"/>
  <c r="AL1217" i="8"/>
  <c r="AL134" i="8"/>
  <c r="AL118" i="8"/>
  <c r="AL334" i="8"/>
  <c r="AL135" i="8"/>
  <c r="AL366" i="8"/>
  <c r="AL150" i="8"/>
  <c r="AL115" i="8"/>
  <c r="AL434" i="8"/>
  <c r="AL317" i="8"/>
  <c r="AL217" i="8"/>
  <c r="AL606" i="8"/>
  <c r="AL111" i="8"/>
  <c r="AL1564" i="8"/>
  <c r="AL245" i="8"/>
  <c r="AL1513" i="8"/>
  <c r="AL421" i="8"/>
  <c r="AL182" i="8"/>
  <c r="AL151" i="8"/>
  <c r="AL611" i="8"/>
  <c r="AL323" i="8"/>
  <c r="AL204" i="8"/>
  <c r="AL1412" i="8"/>
  <c r="AL213" i="8"/>
  <c r="AL87" i="8"/>
  <c r="AL142" i="8"/>
  <c r="AL270" i="8"/>
  <c r="AL1383" i="8"/>
  <c r="AL94" i="8"/>
  <c r="AL189" i="8"/>
  <c r="AL309" i="8"/>
  <c r="AL214" i="8"/>
  <c r="AL96" i="8"/>
  <c r="AL99" i="8"/>
  <c r="AL436" i="8"/>
  <c r="AL155" i="8"/>
  <c r="AL1487" i="8"/>
  <c r="AL129" i="8"/>
  <c r="AL208" i="8"/>
  <c r="AL120" i="8"/>
  <c r="AL505" i="8"/>
  <c r="AL171" i="8"/>
  <c r="AL336" i="8"/>
  <c r="AL119" i="8"/>
  <c r="AL220" i="8"/>
  <c r="AL331" i="8"/>
  <c r="AL333" i="8"/>
  <c r="AL784" i="8"/>
  <c r="AL156" i="8"/>
  <c r="AL211" i="8"/>
  <c r="AL179" i="8"/>
  <c r="AL363" i="8"/>
  <c r="AL1165" i="8"/>
  <c r="AL1171" i="8"/>
  <c r="AL136" i="8"/>
  <c r="AL1436" i="8"/>
  <c r="AL258" i="8"/>
  <c r="AL185" i="8"/>
  <c r="AL269" i="8"/>
  <c r="AL402" i="8"/>
  <c r="AL328" i="8"/>
  <c r="AL216" i="8"/>
  <c r="AL191" i="8"/>
  <c r="AL146" i="8"/>
  <c r="AL311" i="8"/>
  <c r="AL224" i="8"/>
  <c r="AL1551" i="8"/>
  <c r="AL117" i="8"/>
  <c r="AL169" i="8"/>
  <c r="AL148" i="8"/>
  <c r="AL102" i="8"/>
  <c r="AL375" i="8"/>
  <c r="AL278" i="8"/>
  <c r="AL116" i="8"/>
  <c r="AL395" i="8"/>
  <c r="AL535" i="8"/>
  <c r="AL594" i="8"/>
  <c r="AL300" i="8"/>
  <c r="AL184" i="8"/>
  <c r="AL108" i="8"/>
  <c r="AL175" i="8"/>
  <c r="AL1162" i="8"/>
  <c r="AL1439" i="8"/>
  <c r="AL90" i="8"/>
  <c r="AL91" i="8"/>
  <c r="AL165" i="8"/>
  <c r="AL536" i="8"/>
  <c r="AL839" i="8"/>
  <c r="AL1222" i="8"/>
  <c r="AL817" i="8"/>
  <c r="AL123" i="8"/>
  <c r="AL266" i="8"/>
  <c r="AL180" i="8"/>
  <c r="AL272" i="8"/>
  <c r="AL441" i="8"/>
  <c r="AL232" i="8"/>
  <c r="AL776" i="8"/>
  <c r="AL316" i="8"/>
  <c r="AL1381" i="8"/>
  <c r="AL265" i="8"/>
  <c r="AL122" i="8"/>
  <c r="AL452" i="8"/>
  <c r="AL820" i="8"/>
  <c r="AL310" i="8"/>
  <c r="AL273" i="8"/>
  <c r="AL263" i="8"/>
  <c r="AL1182" i="8"/>
  <c r="AL378" i="8"/>
  <c r="AL312" i="8"/>
  <c r="AL161" i="8"/>
  <c r="AL596" i="8"/>
  <c r="AL313" i="8"/>
  <c r="AL259" i="8"/>
  <c r="AL422" i="8"/>
  <c r="AL280" i="8"/>
  <c r="AL1292" i="8"/>
  <c r="AL502" i="8"/>
  <c r="AL474" i="8"/>
  <c r="AL1565" i="8"/>
  <c r="AL302" i="8"/>
  <c r="AL1537" i="8"/>
  <c r="AL1571" i="8"/>
  <c r="AL98" i="8"/>
  <c r="AL1380" i="8"/>
  <c r="AL143" i="8"/>
  <c r="AL367" i="8"/>
  <c r="AL166" i="8"/>
  <c r="AL1581" i="8"/>
  <c r="AL210" i="8"/>
  <c r="AL340" i="8"/>
  <c r="AL152" i="8"/>
  <c r="AL424" i="8"/>
  <c r="AL786" i="8"/>
  <c r="AL89" i="8"/>
  <c r="AL1483" i="8"/>
  <c r="AL1567" i="8"/>
  <c r="AL1568" i="8"/>
  <c r="AL1401" i="8"/>
  <c r="AL361" i="8"/>
  <c r="AL759" i="8"/>
  <c r="AL797" i="8"/>
  <c r="AL243" i="8"/>
  <c r="AL295" i="8"/>
  <c r="AL296" i="8"/>
  <c r="AL168" i="8"/>
  <c r="AL138" i="8"/>
  <c r="AL831" i="8"/>
  <c r="AL447" i="8"/>
  <c r="AL281" i="8"/>
  <c r="AL344" i="8"/>
  <c r="AL326" i="8"/>
  <c r="AL1395" i="8"/>
  <c r="AL437" i="8"/>
  <c r="AL823" i="8"/>
  <c r="AL271" i="8"/>
  <c r="AL359" i="8"/>
  <c r="AL726" i="8"/>
  <c r="AL223" i="8"/>
  <c r="AL1398" i="8"/>
  <c r="AL377" i="8"/>
  <c r="AL139" i="8"/>
  <c r="AL140" i="8"/>
  <c r="AL902" i="8"/>
  <c r="AL338" i="8"/>
  <c r="AL297" i="8"/>
  <c r="AL1520" i="8"/>
  <c r="AL1548" i="8"/>
  <c r="AL160" i="8"/>
  <c r="AL345" i="8"/>
  <c r="AL1270" i="8"/>
  <c r="AL1561" i="8"/>
  <c r="AL1467" i="8"/>
  <c r="AL750" i="8"/>
  <c r="AL439" i="8"/>
  <c r="AL825" i="8"/>
  <c r="AL254" i="8"/>
  <c r="AL1384" i="8"/>
  <c r="AL507" i="8"/>
  <c r="AL274" i="8"/>
  <c r="AL356" i="8"/>
  <c r="AL504" i="8"/>
  <c r="AL172" i="8"/>
  <c r="AL342" i="8"/>
  <c r="AL279" i="8"/>
  <c r="AL431" i="8"/>
  <c r="AL364" i="8"/>
  <c r="AL747" i="8"/>
  <c r="AL130" i="8"/>
  <c r="AL322" i="8"/>
  <c r="AL157" i="8"/>
  <c r="AL137" i="8"/>
  <c r="AL554" i="8"/>
  <c r="AL337" i="8"/>
  <c r="AL429" i="8"/>
  <c r="AL206" i="8"/>
  <c r="AL1273" i="8"/>
  <c r="AL398" i="8"/>
  <c r="AL294" i="8"/>
  <c r="AL453" i="8"/>
  <c r="AL752" i="8"/>
  <c r="AL1119" i="8"/>
  <c r="AL1499" i="8"/>
  <c r="AL131" i="8"/>
  <c r="AL768" i="8"/>
  <c r="AL427" i="8"/>
  <c r="AL1152" i="8"/>
  <c r="AL1170" i="8"/>
  <c r="AL372" i="8"/>
  <c r="AL1502" i="8"/>
  <c r="AL292" i="8"/>
  <c r="AL482" i="8"/>
  <c r="AL228" i="8"/>
  <c r="AL692" i="8"/>
  <c r="AL1574" i="8"/>
  <c r="AL1575" i="8"/>
  <c r="AL335" i="8"/>
  <c r="AL106" i="8"/>
  <c r="AL78" i="8"/>
  <c r="AL159" i="8"/>
  <c r="AL84" i="8"/>
  <c r="AL842" i="8"/>
  <c r="AL242" i="8"/>
  <c r="AL293" i="8"/>
  <c r="AL225" i="8"/>
  <c r="AL226" i="8"/>
  <c r="AL455" i="8"/>
  <c r="AL777" i="8"/>
  <c r="AL451" i="8"/>
  <c r="AL1223" i="8"/>
  <c r="AL351" i="8"/>
  <c r="AL1042" i="8"/>
  <c r="AL1492" i="8"/>
  <c r="AL1491" i="8"/>
  <c r="AL368" i="8"/>
  <c r="AL1535" i="8"/>
  <c r="AL174" i="8"/>
  <c r="AL647" i="8"/>
  <c r="AL1541" i="8"/>
  <c r="AL114" i="8"/>
  <c r="AL727" i="8"/>
  <c r="AL164" i="8"/>
  <c r="AL790" i="8"/>
  <c r="AL460" i="8"/>
  <c r="AL1480" i="8"/>
  <c r="AL638" i="8"/>
  <c r="AL1220" i="8"/>
  <c r="AL470" i="8"/>
  <c r="AL1570" i="8"/>
  <c r="AL1402" i="8"/>
  <c r="AL966" i="8"/>
  <c r="AL158" i="8"/>
  <c r="AL219" i="8"/>
  <c r="AL581" i="8"/>
  <c r="AL533" i="8"/>
  <c r="AL256" i="8"/>
  <c r="AL728" i="8"/>
  <c r="AL262" i="8"/>
  <c r="AL951" i="8"/>
  <c r="AL860" i="8"/>
  <c r="AL463" i="8"/>
  <c r="AL275" i="8"/>
  <c r="AL449" i="8"/>
  <c r="AL866" i="8"/>
  <c r="AL276" i="8"/>
  <c r="AL339" i="8"/>
  <c r="AL1225" i="8"/>
  <c r="AL253" i="8"/>
  <c r="AL761" i="8"/>
  <c r="AL1504" i="8"/>
  <c r="AL1033" i="8"/>
  <c r="AL1024" i="8"/>
  <c r="AL409" i="8"/>
  <c r="AL426" i="8"/>
  <c r="AL446" i="8"/>
  <c r="AL107" i="8"/>
  <c r="AL442" i="8"/>
  <c r="AL827" i="8"/>
  <c r="AL255" i="8"/>
  <c r="AL371" i="8"/>
  <c r="AL539" i="8"/>
  <c r="AL625" i="8"/>
  <c r="AL425" i="8"/>
  <c r="AL1197" i="8"/>
  <c r="AL190" i="8"/>
  <c r="AL396" i="8"/>
  <c r="AL203" i="8"/>
  <c r="AL454" i="8"/>
  <c r="AL267" i="8"/>
  <c r="AL365" i="8"/>
  <c r="AL766" i="8"/>
  <c r="AL773" i="8"/>
  <c r="AL779" i="8"/>
  <c r="AL1169" i="8"/>
  <c r="AL1426" i="8"/>
  <c r="AL1482" i="8"/>
  <c r="AL1032" i="8"/>
  <c r="AL818" i="8"/>
  <c r="AL1481" i="8"/>
  <c r="AL314" i="8"/>
  <c r="AL733" i="8"/>
  <c r="AL1516" i="8"/>
  <c r="AL287" i="8"/>
  <c r="AL397" i="8"/>
  <c r="AL222" i="8"/>
  <c r="AL461" i="8"/>
  <c r="AL867" i="8"/>
  <c r="AL1448" i="8"/>
  <c r="AL1577" i="8"/>
  <c r="AL1444" i="8"/>
  <c r="AL864" i="8"/>
  <c r="AL462" i="8"/>
  <c r="AL764" i="8"/>
  <c r="AL1271" i="8"/>
  <c r="AL261" i="8"/>
  <c r="AL1508" i="8"/>
  <c r="AL1523" i="8"/>
  <c r="AL304" i="8"/>
  <c r="AL1546" i="8"/>
  <c r="AL1569" i="8"/>
  <c r="AL512" i="8"/>
  <c r="AL1552" i="8"/>
  <c r="AL1566" i="8"/>
  <c r="AL1559" i="8"/>
  <c r="AL1493" i="8"/>
  <c r="AL1560" i="8"/>
  <c r="AL1510" i="8"/>
  <c r="AL1477" i="8"/>
  <c r="AL1511" i="8"/>
  <c r="AL1531" i="8"/>
  <c r="AL1555" i="8"/>
  <c r="AL1393" i="8"/>
  <c r="AL1530" i="8"/>
  <c r="AL648" i="8"/>
  <c r="AL794" i="8"/>
  <c r="AL804" i="8"/>
  <c r="AL374" i="8"/>
  <c r="AL1572" i="8"/>
  <c r="AL1573" i="8"/>
  <c r="AL227" i="8"/>
  <c r="AL480" i="8"/>
  <c r="AL354" i="8"/>
  <c r="AL898" i="8"/>
  <c r="AL897" i="8"/>
  <c r="AL440" i="8"/>
  <c r="AL589" i="8"/>
  <c r="AL1201" i="8"/>
  <c r="AL830" i="8"/>
  <c r="AL492" i="8"/>
  <c r="AL493" i="8"/>
  <c r="AL1339" i="8"/>
  <c r="AL494" i="8"/>
  <c r="AL855" i="8"/>
  <c r="AL856" i="8"/>
  <c r="AL315" i="8"/>
  <c r="AL109" i="8"/>
  <c r="AL282" i="8"/>
  <c r="AL868" i="8"/>
  <c r="AL767" i="8"/>
  <c r="AL873" i="8"/>
  <c r="AL221" i="8"/>
  <c r="AL778" i="8"/>
  <c r="AL209" i="8"/>
  <c r="AL636" i="8"/>
  <c r="AL637" i="8"/>
  <c r="AL1529" i="8"/>
  <c r="AL580" i="8"/>
  <c r="AL1289" i="8"/>
  <c r="AL299" i="8"/>
  <c r="AL1386" i="8"/>
  <c r="AL615" i="8"/>
  <c r="AL682" i="8"/>
  <c r="AL685" i="8"/>
  <c r="AL787" i="8"/>
  <c r="AL1202" i="8"/>
  <c r="AL1335" i="8"/>
  <c r="AL237" i="8"/>
  <c r="AL1497" i="8"/>
  <c r="AL1006" i="8"/>
  <c r="AL1330" i="8"/>
  <c r="AL824" i="8"/>
  <c r="AL173" i="8"/>
  <c r="AL591" i="8"/>
  <c r="AL832" i="8"/>
  <c r="AL833" i="8"/>
  <c r="AL834" i="8"/>
  <c r="AL836" i="8"/>
  <c r="AL583" i="8"/>
  <c r="AL430" i="8"/>
  <c r="AL410" i="8"/>
  <c r="AL783" i="8"/>
  <c r="AL1389" i="8"/>
  <c r="AL1387" i="8"/>
  <c r="AL433" i="8"/>
  <c r="AL639" i="8"/>
  <c r="AL640" i="8"/>
  <c r="AL749" i="8"/>
  <c r="AL1528" i="8"/>
  <c r="AL1388" i="8"/>
  <c r="AL1394" i="8"/>
  <c r="AL545" i="8"/>
  <c r="AL557" i="8"/>
  <c r="AL406" i="8"/>
  <c r="AL654" i="8"/>
  <c r="AL669" i="8"/>
  <c r="AL795" i="8"/>
  <c r="AL811" i="8"/>
  <c r="AL1235" i="8"/>
  <c r="AL1484" i="8"/>
  <c r="AL1543" i="8"/>
  <c r="AL993" i="8"/>
  <c r="AL283" i="8"/>
  <c r="AL347" i="8"/>
  <c r="AL1007" i="8"/>
  <c r="AL1392" i="8"/>
  <c r="AL770" i="8"/>
  <c r="AL1435" i="8"/>
  <c r="AL1557" i="8"/>
  <c r="AL1558" i="8"/>
  <c r="AL1465" i="8"/>
  <c r="AL1478" i="8"/>
  <c r="AL1479" i="8"/>
  <c r="AL1486" i="8"/>
  <c r="AL1553" i="8"/>
  <c r="AL1554" i="8"/>
  <c r="AL1556" i="8"/>
  <c r="AL1562" i="8"/>
  <c r="AL621" i="8"/>
  <c r="AL438" i="8"/>
  <c r="AL537" i="8"/>
  <c r="AL538" i="8"/>
  <c r="AL760" i="8"/>
  <c r="AL829" i="8"/>
  <c r="AL445" i="8"/>
  <c r="AL826" i="8"/>
  <c r="AL1186" i="8"/>
  <c r="AL774" i="8"/>
  <c r="AL796" i="8"/>
  <c r="AL1183" i="8"/>
  <c r="AL1244" i="8"/>
  <c r="AL858" i="8"/>
  <c r="AL869" i="8"/>
  <c r="AL464" i="8"/>
  <c r="AL465" i="8"/>
  <c r="AL413" i="8"/>
  <c r="AL542" i="8"/>
  <c r="AL668" i="8"/>
  <c r="AL414" i="8"/>
  <c r="AL420" i="8"/>
  <c r="AL176" i="8"/>
  <c r="AL1145" i="8"/>
  <c r="AL498" i="8"/>
  <c r="AL629" i="8"/>
  <c r="AL360" i="8"/>
  <c r="AL1496" i="8"/>
  <c r="AL1507" i="8"/>
  <c r="AL618" i="8"/>
  <c r="AL741" i="8"/>
  <c r="AL415" i="8"/>
  <c r="AL1309" i="8"/>
  <c r="AL1403" i="8"/>
  <c r="AL1489" i="8"/>
  <c r="AL510" i="8"/>
  <c r="AL570" i="8"/>
  <c r="AL649" i="8"/>
  <c r="AL655" i="8"/>
  <c r="AL320" i="8"/>
  <c r="AL675" i="8"/>
  <c r="AL695" i="8"/>
  <c r="AL712" i="8"/>
  <c r="AL324" i="8"/>
  <c r="AL325" i="8"/>
  <c r="AL739" i="8"/>
  <c r="AL740" i="8"/>
  <c r="AL799" i="8"/>
  <c r="AL843" i="8"/>
  <c r="AL1153" i="8"/>
  <c r="AL1160" i="8"/>
  <c r="AL1175" i="8"/>
  <c r="AL1211" i="8"/>
  <c r="AL1213" i="8"/>
  <c r="AL1237" i="8"/>
  <c r="AL1243" i="8"/>
  <c r="AL1245" i="8"/>
  <c r="AL1325" i="8"/>
  <c r="AL1341" i="8"/>
  <c r="AL1379" i="8"/>
  <c r="AL1501" i="8"/>
  <c r="AL1041" i="8"/>
  <c r="AL346" i="8"/>
  <c r="AL932" i="8"/>
  <c r="AL284" i="8"/>
  <c r="AL349" i="8"/>
  <c r="AL467" i="8"/>
  <c r="AL473" i="8"/>
  <c r="AL1545" i="8"/>
  <c r="AL1494" i="8"/>
  <c r="AL1512" i="8"/>
  <c r="AL1450" i="8"/>
  <c r="AL1519" i="8"/>
  <c r="AL1521" i="8"/>
  <c r="AL1495" i="8"/>
  <c r="AL1490" i="8"/>
  <c r="AL1524" i="8"/>
  <c r="AL1525" i="8"/>
  <c r="AL1526" i="8"/>
  <c r="AL1527" i="8"/>
  <c r="AL417" i="8"/>
  <c r="AL1139" i="8"/>
  <c r="AL444" i="8"/>
  <c r="AL835" i="8"/>
  <c r="AL443" i="8"/>
  <c r="AL828" i="8"/>
  <c r="AL553" i="8"/>
  <c r="AL260" i="8"/>
  <c r="AL1440" i="8"/>
  <c r="AL459" i="8"/>
  <c r="AL188" i="8"/>
  <c r="AL343" i="8"/>
  <c r="AL277" i="8"/>
  <c r="AL187" i="8"/>
  <c r="AL838" i="8"/>
  <c r="AL458" i="8"/>
  <c r="AL875" i="8"/>
  <c r="AL877" i="8"/>
  <c r="AL878" i="8"/>
  <c r="AL879" i="8"/>
  <c r="AL497" i="8"/>
  <c r="AL418" i="8"/>
  <c r="AL791" i="8"/>
  <c r="AL403" i="8"/>
  <c r="AL782" i="8"/>
  <c r="AL264" i="8"/>
  <c r="AL141" i="8"/>
  <c r="AL1506" i="8"/>
  <c r="AL540" i="8"/>
  <c r="AL617" i="8"/>
  <c r="AL731" i="8"/>
  <c r="AL805" i="8"/>
  <c r="AL432" i="8"/>
  <c r="AL1233" i="8"/>
  <c r="AL500" i="8"/>
  <c r="AL501" i="8"/>
  <c r="AL513" i="8"/>
  <c r="AL567" i="8"/>
  <c r="AL714" i="8"/>
  <c r="AL719" i="8"/>
  <c r="AL720" i="8"/>
  <c r="AL762" i="8"/>
  <c r="AL1148" i="8"/>
  <c r="AL490" i="8"/>
  <c r="AL1180" i="8"/>
  <c r="AL1246" i="8"/>
  <c r="AL1288" i="8"/>
  <c r="AL1334" i="8"/>
  <c r="AL1342" i="8"/>
  <c r="AL1397" i="8"/>
  <c r="AL1460" i="8"/>
  <c r="AL1514" i="8"/>
  <c r="AL1515" i="8"/>
  <c r="AL1544" i="8"/>
  <c r="AL887" i="8"/>
  <c r="AL353" i="8"/>
  <c r="AL892" i="8"/>
  <c r="AL893" i="8"/>
  <c r="AL1088" i="8"/>
  <c r="AL990" i="8"/>
  <c r="AL906" i="8"/>
  <c r="AL933" i="8"/>
  <c r="AL1017" i="8"/>
  <c r="AL1238" i="8"/>
  <c r="AL1488" i="8"/>
  <c r="AL1498" i="8"/>
  <c r="AL1500" i="8"/>
  <c r="AL1549" i="8"/>
  <c r="AL1550" i="8"/>
  <c r="AL1579" i="8"/>
  <c r="AL555" i="8"/>
  <c r="AL753" i="8"/>
  <c r="AL369" i="8"/>
  <c r="AL870" i="8"/>
  <c r="AL448" i="8"/>
  <c r="AL871" i="8"/>
  <c r="AL857" i="8"/>
  <c r="AL862" i="8"/>
  <c r="AL863" i="8"/>
  <c r="AL872" i="8"/>
  <c r="AL876" i="8"/>
  <c r="AL880" i="8"/>
  <c r="AL563" i="8"/>
  <c r="AL1540" i="8"/>
  <c r="AL1390" i="8"/>
  <c r="AL332" i="8"/>
  <c r="AL1316" i="8"/>
  <c r="AL1441" i="8"/>
  <c r="AL1485" i="8"/>
  <c r="AL612" i="8"/>
  <c r="AL716" i="8"/>
  <c r="AL793" i="8"/>
  <c r="AL813" i="8"/>
  <c r="AL1252" i="8"/>
  <c r="AL1317" i="8"/>
  <c r="AL645" i="8"/>
  <c r="AL693" i="8"/>
  <c r="AL341" i="8"/>
  <c r="AL534" i="8"/>
  <c r="AL167" i="8"/>
  <c r="AL575" i="8"/>
  <c r="AL404" i="8"/>
  <c r="AL405" i="8"/>
  <c r="AL603" i="8"/>
  <c r="AL622" i="8"/>
  <c r="AL632" i="8"/>
  <c r="AL644" i="8"/>
  <c r="AL687" i="8"/>
  <c r="AL411" i="8"/>
  <c r="AL412" i="8"/>
  <c r="AL732" i="8"/>
  <c r="AL327" i="8"/>
  <c r="AL756" i="8"/>
  <c r="AL798" i="8"/>
  <c r="AL848" i="8"/>
  <c r="AL1188" i="8"/>
  <c r="AL1198" i="8"/>
  <c r="AL1247" i="8"/>
  <c r="AL1249" i="8"/>
  <c r="AL1250" i="8"/>
  <c r="AL1251" i="8"/>
  <c r="AL1253" i="8"/>
  <c r="AL1290" i="8"/>
  <c r="AL1293" i="8"/>
  <c r="AL1294" i="8"/>
  <c r="AL370" i="8"/>
  <c r="AL1308" i="8"/>
  <c r="AL1314" i="8"/>
  <c r="AL1318" i="8"/>
  <c r="AL1332" i="8"/>
  <c r="AL503" i="8"/>
  <c r="AL1407" i="8"/>
  <c r="AL1427" i="8"/>
  <c r="AL1428" i="8"/>
  <c r="AL1458" i="8"/>
  <c r="AL241" i="8"/>
  <c r="AL193" i="8"/>
  <c r="AL1503" i="8"/>
  <c r="AL1509" i="8"/>
  <c r="AL1517" i="8"/>
  <c r="AL910" i="8"/>
  <c r="AL940" i="8"/>
  <c r="AL941" i="8"/>
  <c r="AL479" i="8"/>
  <c r="AL477" i="8"/>
  <c r="AL1015" i="8"/>
  <c r="AL1070" i="8"/>
  <c r="AL1087" i="8"/>
  <c r="AL962" i="8"/>
  <c r="AL963" i="8"/>
  <c r="AL1008" i="8"/>
  <c r="AL905" i="8"/>
  <c r="AL468" i="8"/>
  <c r="AL918" i="8"/>
  <c r="AL946" i="8"/>
  <c r="AL953" i="8"/>
  <c r="AL968" i="8"/>
  <c r="AL1011" i="8"/>
  <c r="AL1053" i="8"/>
  <c r="AL1060" i="8"/>
  <c r="AL1103" i="8"/>
  <c r="AL837" i="8"/>
  <c r="AL840" i="8"/>
  <c r="AL841" i="8"/>
  <c r="AL859" i="8"/>
  <c r="AL861" i="8"/>
  <c r="AL865" i="8"/>
  <c r="AL456" i="8"/>
  <c r="AL457" i="8"/>
  <c r="AL874" i="8"/>
  <c r="AL399" i="8"/>
  <c r="AL652" i="8"/>
  <c r="AL653" i="8"/>
  <c r="AL729" i="8"/>
  <c r="AL1323" i="8"/>
  <c r="AL496" i="8"/>
  <c r="AL715" i="8"/>
  <c r="AL577" i="8"/>
  <c r="AL561" i="8"/>
  <c r="AL1150" i="8"/>
  <c r="AL1232" i="8"/>
  <c r="AL1302" i="8"/>
  <c r="AL1505" i="8"/>
  <c r="AL1522" i="8"/>
  <c r="AL531" i="8"/>
  <c r="AL532" i="8"/>
  <c r="AL546" i="8"/>
  <c r="AL574" i="8"/>
  <c r="AL576" i="8"/>
  <c r="AL626" i="8"/>
  <c r="AL658" i="8"/>
  <c r="AL659" i="8"/>
  <c r="AL708" i="8"/>
  <c r="AL737" i="8"/>
  <c r="AL738" i="8"/>
  <c r="AL742" i="8"/>
  <c r="AL757" i="8"/>
  <c r="AL758" i="8"/>
  <c r="AL763" i="8"/>
  <c r="AL771" i="8"/>
  <c r="AL419" i="8"/>
  <c r="AL330" i="8"/>
  <c r="AL802" i="8"/>
  <c r="AL809" i="8"/>
  <c r="AL810" i="8"/>
  <c r="AL819" i="8"/>
  <c r="AL845" i="8"/>
  <c r="AL955" i="8"/>
  <c r="AL478" i="8"/>
  <c r="AL983" i="8"/>
  <c r="AL984" i="8"/>
  <c r="AL1020" i="8"/>
  <c r="AL1072" i="8"/>
  <c r="AL1156" i="8"/>
  <c r="AL466" i="8"/>
  <c r="AL888" i="8"/>
  <c r="AL889" i="8"/>
  <c r="AL950" i="8"/>
  <c r="AL894" i="8"/>
  <c r="AL895" i="8"/>
  <c r="AL896" i="8"/>
  <c r="AL348" i="8"/>
  <c r="AL914" i="8"/>
  <c r="AL923" i="8"/>
  <c r="AL964" i="8"/>
  <c r="AL934" i="8"/>
  <c r="AL935" i="8"/>
  <c r="AL939" i="8"/>
  <c r="AL945" i="8"/>
  <c r="AL471" i="8"/>
  <c r="AL472" i="8"/>
  <c r="AL952" i="8"/>
  <c r="AL954" i="8"/>
  <c r="AL290" i="8"/>
  <c r="AL959" i="8"/>
  <c r="AL960" i="8"/>
  <c r="AL967" i="8"/>
  <c r="AL973" i="8"/>
  <c r="AL974" i="8"/>
  <c r="AL476" i="8"/>
  <c r="AL978" i="8"/>
  <c r="AL981" i="8"/>
  <c r="AL982" i="8"/>
  <c r="AL1012" i="8"/>
  <c r="AL1023" i="8"/>
  <c r="AL1036" i="8"/>
  <c r="AL1043" i="8"/>
  <c r="AL1044" i="8"/>
  <c r="AL1045" i="8"/>
  <c r="AL1046" i="8"/>
  <c r="AL1047" i="8"/>
  <c r="AL481" i="8"/>
  <c r="AL1048" i="8"/>
  <c r="AL1049" i="8"/>
  <c r="AL1050" i="8"/>
  <c r="AL1051" i="8"/>
  <c r="AL1052" i="8"/>
  <c r="AL1054" i="8"/>
  <c r="AL355" i="8"/>
  <c r="AL1057" i="8"/>
  <c r="AL489" i="8"/>
  <c r="AL1058" i="8"/>
  <c r="AL1062" i="8"/>
  <c r="AL491" i="8"/>
  <c r="AL1173" i="8"/>
  <c r="AL1176" i="8"/>
  <c r="AL1184" i="8"/>
  <c r="AL1185" i="8"/>
  <c r="AL1189" i="8"/>
  <c r="AL1191" i="8"/>
  <c r="AL1192" i="8"/>
  <c r="AL1230" i="8"/>
  <c r="AL1231" i="8"/>
  <c r="AL1236" i="8"/>
  <c r="AL1280" i="8"/>
  <c r="AL1315" i="8"/>
  <c r="AL495" i="8"/>
  <c r="AL1329" i="8"/>
  <c r="AL1396" i="8"/>
  <c r="AL1400" i="8"/>
  <c r="AL1449" i="8"/>
  <c r="AL244" i="8"/>
  <c r="AL1542" i="8"/>
  <c r="AL1063" i="8"/>
  <c r="AL1077" i="8"/>
  <c r="AL1078" i="8"/>
  <c r="AL1083" i="8"/>
  <c r="AL1090" i="8"/>
  <c r="AL1091" i="8"/>
  <c r="AL1092" i="8"/>
  <c r="AL1106" i="8"/>
  <c r="AL1107" i="8"/>
  <c r="AL1112" i="8"/>
  <c r="AL1115" i="8"/>
  <c r="AL1135" i="8"/>
  <c r="AL1140" i="8"/>
  <c r="AL676" i="8"/>
  <c r="AL678" i="8"/>
  <c r="AL679" i="8"/>
  <c r="AL683" i="8"/>
  <c r="AL684" i="8"/>
  <c r="AL688" i="8"/>
  <c r="AL689" i="8"/>
  <c r="AL697" i="8"/>
  <c r="AL698" i="8"/>
  <c r="AL699" i="8"/>
  <c r="AL700" i="8"/>
  <c r="AL701" i="8"/>
  <c r="AL702" i="8"/>
  <c r="AL703" i="8"/>
  <c r="AL705" i="8"/>
  <c r="AL706" i="8"/>
  <c r="AL709" i="8"/>
  <c r="AL710" i="8"/>
  <c r="AL711" i="8"/>
  <c r="AL713" i="8"/>
  <c r="AL717" i="8"/>
  <c r="AL718" i="8"/>
  <c r="AL721" i="8"/>
  <c r="AL846" i="8"/>
  <c r="AL847" i="8"/>
  <c r="AL849" i="8"/>
  <c r="AL850" i="8"/>
  <c r="AL851" i="8"/>
  <c r="AL1118" i="8"/>
  <c r="AL593" i="8"/>
  <c r="AL597" i="8"/>
  <c r="AL604" i="8"/>
  <c r="AL609" i="8"/>
  <c r="AL616" i="8"/>
  <c r="AL620" i="8"/>
  <c r="AL624" i="8"/>
  <c r="AL627" i="8"/>
  <c r="AL628" i="8"/>
  <c r="AL630" i="8"/>
  <c r="AL631" i="8"/>
  <c r="AL633" i="8"/>
  <c r="AL635" i="8"/>
  <c r="AL642" i="8"/>
  <c r="AL643" i="8"/>
  <c r="AL651" i="8"/>
  <c r="AL663" i="8"/>
  <c r="AL664" i="8"/>
  <c r="AL665" i="8"/>
  <c r="AL666" i="8"/>
  <c r="AL667" i="8"/>
  <c r="AL949" i="8"/>
  <c r="AL547" i="8"/>
  <c r="AL548" i="8"/>
  <c r="AL549" i="8"/>
  <c r="AL556" i="8"/>
  <c r="AL558" i="8"/>
  <c r="AL559" i="8"/>
  <c r="AL562" i="8"/>
  <c r="AL564" i="8"/>
  <c r="AL568" i="8"/>
  <c r="AL569" i="8"/>
  <c r="AL578" i="8"/>
  <c r="AL582" i="8"/>
  <c r="AL584" i="8"/>
  <c r="AL586" i="8"/>
  <c r="AL587" i="8"/>
  <c r="AL588" i="8"/>
  <c r="AL788" i="8"/>
  <c r="AL541" i="8"/>
  <c r="AL543" i="8"/>
  <c r="AL544" i="8"/>
  <c r="AL550" i="8"/>
  <c r="AL551" i="8"/>
  <c r="AL400" i="8"/>
  <c r="AL552" i="8"/>
  <c r="AL560" i="8"/>
  <c r="AL565" i="8"/>
  <c r="AL566" i="8"/>
  <c r="AL571" i="8"/>
  <c r="AL572" i="8"/>
  <c r="AL573" i="8"/>
  <c r="AL579" i="8"/>
  <c r="AL585" i="8"/>
  <c r="AL590" i="8"/>
  <c r="AL592" i="8"/>
  <c r="AL595" i="8"/>
  <c r="AL598" i="8"/>
  <c r="AL599" i="8"/>
  <c r="AL600" i="8"/>
  <c r="AL601" i="8"/>
  <c r="AL602" i="8"/>
  <c r="AL605" i="8"/>
  <c r="AL607" i="8"/>
  <c r="AL608" i="8"/>
  <c r="AL610" i="8"/>
  <c r="AL613" i="8"/>
  <c r="AL614" i="8"/>
  <c r="AL619" i="8"/>
  <c r="AL623" i="8"/>
  <c r="AL318" i="8"/>
  <c r="AL634" i="8"/>
  <c r="AL646" i="8"/>
  <c r="AL650" i="8"/>
  <c r="AL656" i="8"/>
  <c r="AL657" i="8"/>
  <c r="AL660" i="8"/>
  <c r="AL661" i="8"/>
  <c r="AL662" i="8"/>
  <c r="AL321" i="8"/>
  <c r="AL670" i="8"/>
  <c r="AL671" i="8"/>
  <c r="AL672" i="8"/>
  <c r="AL673" i="8"/>
  <c r="AL674" i="8"/>
  <c r="AL677" i="8"/>
  <c r="AL680" i="8"/>
  <c r="AL686" i="8"/>
  <c r="AL690" i="8"/>
  <c r="AL691" i="8"/>
  <c r="AL694" i="8"/>
  <c r="AL696" i="8"/>
  <c r="AL704" i="8"/>
  <c r="AL707" i="8"/>
  <c r="AL722" i="8"/>
  <c r="AL723" i="8"/>
  <c r="AL724" i="8"/>
  <c r="AL725" i="8"/>
  <c r="AL730" i="8"/>
  <c r="AL734" i="8"/>
  <c r="AL735" i="8"/>
  <c r="AL736" i="8"/>
  <c r="AL743" i="8"/>
  <c r="AL744" i="8"/>
  <c r="AL745" i="8"/>
  <c r="AL746" i="8"/>
  <c r="AL748" i="8"/>
  <c r="AL751" i="8"/>
  <c r="AL754" i="8"/>
  <c r="AL755" i="8"/>
  <c r="AL765" i="8"/>
  <c r="AL769" i="8"/>
  <c r="AL416" i="8"/>
  <c r="AL772" i="8"/>
  <c r="AL775" i="8"/>
  <c r="AL780" i="8"/>
  <c r="AL781" i="8"/>
  <c r="AL785" i="8"/>
  <c r="AL789" i="8"/>
  <c r="AL792" i="8"/>
  <c r="AL423" i="8"/>
  <c r="AL803" i="8"/>
  <c r="AL806" i="8"/>
  <c r="AL807" i="8"/>
  <c r="AL812" i="8"/>
  <c r="AL814" i="8"/>
  <c r="AL815" i="8"/>
  <c r="AL450" i="8"/>
  <c r="AL844" i="8"/>
  <c r="AL852" i="8"/>
  <c r="AL853" i="8"/>
  <c r="AL854" i="8"/>
  <c r="AL881" i="8"/>
  <c r="AL882" i="8"/>
  <c r="AL883" i="8"/>
  <c r="AL884" i="8"/>
  <c r="AL885" i="8"/>
  <c r="AL886" i="8"/>
  <c r="AL890" i="8"/>
  <c r="AL891" i="8"/>
  <c r="AL899" i="8"/>
  <c r="AL900" i="8"/>
  <c r="AL901" i="8"/>
  <c r="AL285" i="8"/>
  <c r="AL903" i="8"/>
  <c r="AL904" i="8"/>
  <c r="AL907" i="8"/>
  <c r="AL286" i="8"/>
  <c r="AL908" i="8"/>
  <c r="AL909" i="8"/>
  <c r="AL911" i="8"/>
  <c r="AL469" i="8"/>
  <c r="AL912" i="8"/>
  <c r="AL913" i="8"/>
  <c r="AL915" i="8"/>
  <c r="AL916" i="8"/>
  <c r="AL917" i="8"/>
  <c r="AL919" i="8"/>
  <c r="AL920" i="8"/>
  <c r="AL350" i="8"/>
  <c r="AL921" i="8"/>
  <c r="AL922" i="8"/>
  <c r="AL924" i="8"/>
  <c r="AL925" i="8"/>
  <c r="AL926" i="8"/>
  <c r="AL927" i="8"/>
  <c r="AL928" i="8"/>
  <c r="AL929" i="8"/>
  <c r="AL930" i="8"/>
  <c r="AL931" i="8"/>
  <c r="AL936" i="8"/>
  <c r="AL937" i="8"/>
  <c r="AL938" i="8"/>
  <c r="AL942" i="8"/>
  <c r="AL943" i="8"/>
  <c r="AL944" i="8"/>
  <c r="AL947" i="8"/>
  <c r="AL948" i="8"/>
  <c r="AL288" i="8"/>
  <c r="AL289" i="8"/>
  <c r="AL956" i="8"/>
  <c r="AL957" i="8"/>
  <c r="AL958" i="8"/>
  <c r="AL961" i="8"/>
  <c r="AL969" i="8"/>
  <c r="AL970" i="8"/>
  <c r="AL475" i="8"/>
  <c r="AL291" i="8"/>
  <c r="AL971" i="8"/>
  <c r="AL965" i="8"/>
  <c r="AL972" i="8"/>
  <c r="AL975" i="8"/>
  <c r="AL976" i="8"/>
  <c r="AL977" i="8"/>
  <c r="AL979" i="8"/>
  <c r="AL980" i="8"/>
  <c r="AL985" i="8"/>
  <c r="AL986" i="8"/>
  <c r="AL987" i="8"/>
  <c r="AL988" i="8"/>
  <c r="AL989" i="8"/>
  <c r="AL85" i="8"/>
  <c r="AL991" i="8"/>
  <c r="AL992" i="8"/>
  <c r="AL994" i="8"/>
  <c r="AL996" i="8"/>
  <c r="AL997" i="8"/>
  <c r="AL995" i="8"/>
  <c r="AL998" i="8"/>
  <c r="AL999" i="8"/>
  <c r="AL1000" i="8"/>
  <c r="AL1001" i="8"/>
  <c r="AL1002" i="8"/>
  <c r="AL1003" i="8"/>
  <c r="AL1004" i="8"/>
  <c r="AL1005" i="8"/>
  <c r="AL1009" i="8"/>
  <c r="AL1010" i="8"/>
  <c r="AL1013" i="8"/>
  <c r="AL1014" i="8"/>
  <c r="AL1016" i="8"/>
  <c r="AL1018" i="8"/>
  <c r="AL1019" i="8"/>
  <c r="AL1021" i="8"/>
  <c r="AL1022" i="8"/>
  <c r="AL1025" i="8"/>
  <c r="AL1026" i="8"/>
  <c r="AL1027" i="8"/>
  <c r="AL1028" i="8"/>
  <c r="AL352" i="8"/>
  <c r="AL1029" i="8"/>
  <c r="AL1030" i="8"/>
  <c r="AL1031" i="8"/>
  <c r="AL1034" i="8"/>
  <c r="AL1035" i="8"/>
  <c r="AL1037" i="8"/>
  <c r="AL1038" i="8"/>
  <c r="AL1039" i="8"/>
  <c r="AL1040" i="8"/>
  <c r="AL1055" i="8"/>
  <c r="AL1056" i="8"/>
  <c r="AL1059" i="8"/>
  <c r="AL1061" i="8"/>
  <c r="AL1064" i="8"/>
  <c r="AL1065" i="8"/>
  <c r="AL1066" i="8"/>
  <c r="AL1067" i="8"/>
  <c r="AL1068" i="8"/>
  <c r="AL1069" i="8"/>
  <c r="AL1071" i="8"/>
  <c r="AL483" i="8"/>
  <c r="AL484" i="8"/>
  <c r="AL1073" i="8"/>
  <c r="AL1074" i="8"/>
  <c r="AL1075" i="8"/>
  <c r="AL1076" i="8"/>
  <c r="AL485" i="8"/>
  <c r="AL1079" i="8"/>
  <c r="AL1080" i="8"/>
  <c r="AL1081" i="8"/>
  <c r="AL1082" i="8"/>
  <c r="AL1084" i="8"/>
  <c r="AL1085" i="8"/>
  <c r="AL1086" i="8"/>
  <c r="AL1089" i="8"/>
  <c r="AL1093" i="8"/>
  <c r="AL1094" i="8"/>
  <c r="AL1095" i="8"/>
  <c r="AL1096" i="8"/>
  <c r="AL1097" i="8"/>
  <c r="AL1098" i="8"/>
  <c r="AL1099" i="8"/>
  <c r="AL1100" i="8"/>
  <c r="AL1101" i="8"/>
  <c r="AL1102" i="8"/>
  <c r="AL1104" i="8"/>
  <c r="AL1105" i="8"/>
  <c r="AL1108" i="8"/>
  <c r="AL1109" i="8"/>
  <c r="AL1110" i="8"/>
  <c r="AL1111" i="8"/>
  <c r="AL1113" i="8"/>
  <c r="AL1114" i="8"/>
  <c r="AL1116" i="8"/>
  <c r="AL486" i="8"/>
  <c r="AL487" i="8"/>
  <c r="AL488" i="8"/>
  <c r="AL1117" i="8"/>
  <c r="AL1120" i="8"/>
  <c r="AL1121" i="8"/>
  <c r="AL1122" i="8"/>
  <c r="AL1123" i="8"/>
  <c r="AL1124" i="8"/>
  <c r="AL1125" i="8"/>
  <c r="AL1126" i="8"/>
  <c r="AL1127" i="8"/>
  <c r="AL1128" i="8"/>
  <c r="AL1129" i="8"/>
  <c r="AL1130" i="8"/>
  <c r="AL1131" i="8"/>
  <c r="AL1132" i="8"/>
  <c r="AL1133" i="8"/>
  <c r="AL1143" i="8"/>
  <c r="AL1144" i="8"/>
  <c r="AL1146" i="8"/>
  <c r="AL1147" i="8"/>
  <c r="AL1149" i="8"/>
  <c r="AL1151" i="8"/>
  <c r="AL1154" i="8"/>
  <c r="AL1134" i="8"/>
  <c r="AL1161" i="8"/>
  <c r="AL1163" i="8"/>
  <c r="AL1136" i="8"/>
  <c r="AL1137" i="8"/>
  <c r="AL1138" i="8"/>
  <c r="AL1141" i="8"/>
  <c r="AL1142" i="8"/>
  <c r="AL1157" i="8"/>
  <c r="AL1158" i="8"/>
  <c r="AL1177" i="8"/>
  <c r="AL1178" i="8"/>
  <c r="AL1179" i="8"/>
  <c r="AL1181" i="8"/>
  <c r="AL1187" i="8"/>
  <c r="AL1190" i="8"/>
  <c r="AL1194" i="8"/>
  <c r="AL1195" i="8"/>
  <c r="AL1196" i="8"/>
  <c r="AL1199" i="8"/>
  <c r="AL1254" i="8"/>
  <c r="AL1205" i="8"/>
  <c r="AL1206" i="8"/>
  <c r="AL1207" i="8"/>
  <c r="AL1208" i="8"/>
  <c r="AL1209" i="8"/>
  <c r="AL1210" i="8"/>
  <c r="AL1212" i="8"/>
  <c r="AL1215" i="8"/>
  <c r="AL1216" i="8"/>
  <c r="AL1218" i="8"/>
  <c r="AL1219" i="8"/>
  <c r="AL1221" i="8"/>
  <c r="AL1224" i="8"/>
  <c r="AL1226" i="8"/>
  <c r="AL1227" i="8"/>
  <c r="AL1228" i="8"/>
  <c r="AL1229" i="8"/>
  <c r="AL1234" i="8"/>
  <c r="AL1248" i="8"/>
  <c r="AL1239" i="8"/>
  <c r="AL1240" i="8"/>
  <c r="AL1241" i="8"/>
  <c r="AL1255" i="8"/>
  <c r="AL1256" i="8"/>
  <c r="AL1257" i="8"/>
  <c r="AL1258" i="8"/>
  <c r="AL1259" i="8"/>
  <c r="AL1260" i="8"/>
  <c r="AL1261" i="8"/>
  <c r="AL1262" i="8"/>
  <c r="AL1263" i="8"/>
  <c r="AL1264" i="8"/>
  <c r="AL1265" i="8"/>
  <c r="AL1266" i="8"/>
  <c r="AL1267" i="8"/>
  <c r="AL1268" i="8"/>
  <c r="AL1269" i="8"/>
  <c r="AL1272" i="8"/>
  <c r="AL1274" i="8"/>
  <c r="AL1275" i="8"/>
  <c r="AL1276" i="8"/>
  <c r="AL1277" i="8"/>
  <c r="AL1278" i="8"/>
  <c r="AL1279" i="8"/>
  <c r="AL1281" i="8"/>
  <c r="AL1282" i="8"/>
  <c r="AL1283" i="8"/>
  <c r="AL1284" i="8"/>
  <c r="AL1285" i="8"/>
  <c r="AL1286" i="8"/>
  <c r="AL1287" i="8"/>
  <c r="AL1291" i="8"/>
  <c r="AL1295" i="8"/>
  <c r="AL1296" i="8"/>
  <c r="AL1297" i="8"/>
  <c r="AL1298" i="8"/>
  <c r="AL1299" i="8"/>
  <c r="AL1300" i="8"/>
  <c r="AL1301" i="8"/>
  <c r="AL1303" i="8"/>
  <c r="AL1304" i="8"/>
  <c r="AL1305" i="8"/>
  <c r="AL1306" i="8"/>
  <c r="AL1307" i="8"/>
  <c r="AL1310" i="8"/>
  <c r="AL1311" i="8"/>
  <c r="AL1312" i="8"/>
  <c r="AL1313" i="8"/>
  <c r="AL1319" i="8"/>
  <c r="AL1320" i="8"/>
  <c r="AL1321" i="8"/>
  <c r="AL1322" i="8"/>
  <c r="AL1324" i="8"/>
  <c r="AL1326" i="8"/>
  <c r="AL1327" i="8"/>
  <c r="AL1328" i="8"/>
  <c r="AL1331" i="8"/>
  <c r="AL1333" i="8"/>
  <c r="AL1336" i="8"/>
  <c r="AL1337" i="8"/>
  <c r="AL1338" i="8"/>
  <c r="AL1340" i="8"/>
  <c r="AL1343" i="8"/>
  <c r="AL1344" i="8"/>
  <c r="AL1345" i="8"/>
  <c r="AL1346" i="8"/>
  <c r="AL1347" i="8"/>
  <c r="AL1348" i="8"/>
  <c r="AL1349" i="8"/>
  <c r="AL499" i="8"/>
  <c r="AL1350" i="8"/>
  <c r="AL1351" i="8"/>
  <c r="AL1352" i="8"/>
  <c r="AL1353" i="8"/>
  <c r="AL1354" i="8"/>
  <c r="AL1355" i="8"/>
  <c r="AL1356" i="8"/>
  <c r="AL1357" i="8"/>
  <c r="AL1358" i="8"/>
  <c r="AL1359" i="8"/>
  <c r="AL1360" i="8"/>
  <c r="AL1361" i="8"/>
  <c r="AL1362" i="8"/>
  <c r="AL1363" i="8"/>
  <c r="AL1364" i="8"/>
  <c r="AL1365" i="8"/>
  <c r="AL1366" i="8"/>
  <c r="AL1367" i="8"/>
  <c r="AL1368" i="8"/>
  <c r="AL1369" i="8"/>
  <c r="AL1370" i="8"/>
  <c r="AL1371" i="8"/>
  <c r="AL1372" i="8"/>
  <c r="AL1373" i="8"/>
  <c r="AL1374" i="8"/>
  <c r="AL1375" i="8"/>
  <c r="AL1376" i="8"/>
  <c r="AL1377" i="8"/>
  <c r="AL1378" i="8"/>
  <c r="AL1382" i="8"/>
  <c r="AL1399" i="8"/>
  <c r="AL1405" i="8"/>
  <c r="AL1406" i="8"/>
  <c r="AL1408" i="8"/>
  <c r="AL1409" i="8"/>
  <c r="AL1410" i="8"/>
  <c r="AL1411" i="8"/>
  <c r="AL1413" i="8"/>
  <c r="AL1414" i="8"/>
  <c r="AL1415" i="8"/>
  <c r="AL1416" i="8"/>
  <c r="AL1417" i="8"/>
  <c r="AL1418" i="8"/>
  <c r="AL1419" i="8"/>
  <c r="AL1420" i="8"/>
  <c r="AL1421" i="8"/>
  <c r="AL1422" i="8"/>
  <c r="AL1423" i="8"/>
  <c r="AL1424" i="8"/>
  <c r="AL1425" i="8"/>
  <c r="AL1430" i="8"/>
  <c r="AL1431" i="8"/>
  <c r="AL1432" i="8"/>
  <c r="AL1433" i="8"/>
  <c r="AL1434" i="8"/>
  <c r="AL1437" i="8"/>
  <c r="AL1438" i="8"/>
  <c r="AL1463" i="8"/>
  <c r="AL1464" i="8"/>
  <c r="AL1466" i="8"/>
  <c r="AL1539" i="8"/>
  <c r="AL1159" i="8"/>
  <c r="AL1166" i="8"/>
  <c r="AL1167" i="8"/>
  <c r="AL1168" i="8"/>
  <c r="AL1203" i="8"/>
  <c r="AL1470" i="8"/>
  <c r="AL1532" i="8"/>
  <c r="AL1204" i="8"/>
  <c r="AL192" i="8"/>
  <c r="AL1580" i="8"/>
  <c r="AL1538" i="8"/>
  <c r="AL194" i="8"/>
  <c r="AL508" i="8"/>
  <c r="AL239" i="8"/>
  <c r="AL1457" i="8"/>
  <c r="AL1476" i="8"/>
  <c r="AL42" i="8"/>
  <c r="AL822" i="8"/>
  <c r="AL821" i="8"/>
  <c r="AL1446" i="8"/>
  <c r="AL1534" i="8"/>
  <c r="AL1454" i="8"/>
  <c r="AL1533" i="8"/>
  <c r="AL1442" i="8"/>
  <c r="AL1447" i="8"/>
  <c r="AL1455" i="8"/>
  <c r="AL1475" i="8"/>
  <c r="AL1445" i="8"/>
  <c r="AL1453" i="8"/>
  <c r="AL1443" i="8"/>
  <c r="AL1429" i="8"/>
  <c r="AL1462" i="8"/>
  <c r="AL1547" i="8"/>
  <c r="AL1471" i="8"/>
  <c r="AL1536" i="8"/>
  <c r="AL238" i="8"/>
  <c r="AL303" i="8"/>
  <c r="AL1472" i="8"/>
  <c r="AL509" i="8"/>
  <c r="AL1473" i="8"/>
  <c r="AL1459" i="8"/>
  <c r="AL1456" i="8"/>
  <c r="AL1452" i="8"/>
  <c r="AL240" i="8"/>
  <c r="AL112" i="8"/>
  <c r="AL1461" i="8"/>
  <c r="AL1518" i="8"/>
  <c r="AL1474" i="8"/>
  <c r="AN1" i="8"/>
  <c r="AM1" i="8"/>
  <c r="AH1532" i="8" l="1"/>
  <c r="AH1446" i="8"/>
  <c r="AH821" i="8"/>
  <c r="AH1470" i="8"/>
  <c r="AH1447" i="8"/>
  <c r="AH194" i="8"/>
  <c r="AH1453" i="8"/>
  <c r="AH508" i="8"/>
  <c r="AH1534" i="8"/>
  <c r="AH1547" i="8"/>
  <c r="AH1471" i="8"/>
  <c r="AH509" i="8"/>
  <c r="AH1459" i="8"/>
  <c r="AH1456" i="8"/>
  <c r="AH1455" i="8"/>
  <c r="AH1461" i="8"/>
  <c r="AH1518" i="8"/>
  <c r="AH1203" i="8"/>
  <c r="AH1533" i="8"/>
  <c r="AH1204" i="8"/>
  <c r="AH1442" i="8"/>
  <c r="AH1538" i="8"/>
  <c r="AH1475" i="8"/>
  <c r="AH192" i="8"/>
  <c r="AH1443" i="8"/>
  <c r="AH1429" i="8"/>
  <c r="AH1462" i="8"/>
  <c r="AH1536" i="8"/>
  <c r="AH238" i="8"/>
  <c r="AH1473" i="8"/>
  <c r="AH1452" i="8"/>
  <c r="AH1454" i="8"/>
  <c r="AH112" i="8"/>
  <c r="AH1474" i="8"/>
  <c r="AH1580" i="8"/>
  <c r="AH822" i="8"/>
  <c r="AH1476" i="8"/>
  <c r="AH1445" i="8"/>
  <c r="AH239" i="8"/>
  <c r="AH1457" i="8"/>
  <c r="AH303" i="8"/>
  <c r="AH1472" i="8"/>
  <c r="AH240" i="8"/>
  <c r="AH42" i="8"/>
  <c r="AJ1" i="8" l="1"/>
  <c r="AH6" i="8" l="1"/>
  <c r="AH12" i="8"/>
  <c r="AH36" i="8"/>
  <c r="AH18" i="8"/>
  <c r="AH15" i="8"/>
  <c r="AH37" i="8"/>
  <c r="AH25" i="8"/>
  <c r="AH41" i="8"/>
  <c r="AH9" i="8"/>
  <c r="AH57" i="8"/>
  <c r="AH53" i="8"/>
  <c r="AH816" i="8"/>
  <c r="AH1193" i="8"/>
  <c r="AH68" i="8"/>
  <c r="AH60" i="8"/>
  <c r="AH82" i="8"/>
  <c r="AH808" i="8"/>
  <c r="AH71" i="8"/>
  <c r="AH35" i="8"/>
  <c r="AH177" i="8"/>
  <c r="AH27" i="8"/>
  <c r="AH178" i="8"/>
  <c r="AH75" i="8"/>
  <c r="AH64" i="8"/>
  <c r="AH1451" i="8"/>
  <c r="AH95" i="8"/>
  <c r="AH67" i="8"/>
  <c r="AH506" i="8"/>
  <c r="AH319" i="8"/>
  <c r="AH401" i="8"/>
  <c r="AH1468" i="8"/>
  <c r="AH1469" i="8"/>
  <c r="AH55" i="8"/>
  <c r="AH408" i="8"/>
  <c r="AH1576" i="8"/>
  <c r="AH236" i="8"/>
  <c r="AH51" i="8"/>
  <c r="AH205" i="8"/>
  <c r="AH59" i="8"/>
  <c r="AH121" i="8"/>
  <c r="AH435" i="8"/>
  <c r="AH74" i="8"/>
  <c r="AH329" i="8"/>
  <c r="AH103" i="8"/>
  <c r="AH70" i="8"/>
  <c r="AH88" i="8"/>
  <c r="AH118" i="8"/>
  <c r="AH1513" i="8"/>
  <c r="AH1217" i="8"/>
  <c r="AH50" i="8"/>
  <c r="AH135" i="8"/>
  <c r="AH309" i="8"/>
  <c r="AH323" i="8"/>
  <c r="AH189" i="8"/>
  <c r="AH94" i="8"/>
  <c r="AH333" i="8"/>
  <c r="AH220" i="8"/>
  <c r="AH120" i="8"/>
  <c r="AH1487" i="8"/>
  <c r="AH208" i="8"/>
  <c r="AH182" i="8"/>
  <c r="AH224" i="8"/>
  <c r="AH436" i="8"/>
  <c r="AH155" i="8"/>
  <c r="AH1162" i="8"/>
  <c r="AH148" i="8"/>
  <c r="AH87" i="8"/>
  <c r="AH536" i="8"/>
  <c r="AH96" i="8"/>
  <c r="AH300" i="8"/>
  <c r="AH191" i="8"/>
  <c r="AH328" i="8"/>
  <c r="AH165" i="8"/>
  <c r="AH117" i="8"/>
  <c r="AH122" i="8"/>
  <c r="AH116" i="8"/>
  <c r="AH123" i="8"/>
  <c r="AH265" i="8"/>
  <c r="AH1565" i="8"/>
  <c r="AH1571" i="8"/>
  <c r="AH98" i="8"/>
  <c r="AH786" i="8"/>
  <c r="AH180" i="8"/>
  <c r="AH820" i="8"/>
  <c r="AH89" i="8"/>
  <c r="AH1567" i="8"/>
  <c r="AH326" i="8"/>
  <c r="AH776" i="8"/>
  <c r="AH1395" i="8"/>
  <c r="AH139" i="8"/>
  <c r="AH140" i="8"/>
  <c r="AH367" i="8"/>
  <c r="AH377" i="8"/>
  <c r="AH168" i="8"/>
  <c r="AH1561" i="8"/>
  <c r="AH1467" i="8"/>
  <c r="AH138" i="8"/>
  <c r="AH143" i="8"/>
  <c r="AH447" i="8"/>
  <c r="AH313" i="8"/>
  <c r="AH452" i="8"/>
  <c r="AH752" i="8"/>
  <c r="AH1119" i="8"/>
  <c r="AH292" i="8"/>
  <c r="AH297" i="8"/>
  <c r="AH1499" i="8"/>
  <c r="AH1222" i="8"/>
  <c r="AH768" i="8"/>
  <c r="AH279" i="8"/>
  <c r="AH228" i="8"/>
  <c r="AH1170" i="8"/>
  <c r="AH1574" i="8"/>
  <c r="AH759" i="8"/>
  <c r="AH797" i="8"/>
  <c r="AH356" i="8"/>
  <c r="AH274" i="8"/>
  <c r="AH243" i="8"/>
  <c r="AH1548" i="8"/>
  <c r="AH638" i="8"/>
  <c r="AH429" i="8"/>
  <c r="AH226" i="8"/>
  <c r="AH161" i="8"/>
  <c r="AH398" i="8"/>
  <c r="AH507" i="8"/>
  <c r="AH337" i="8"/>
  <c r="AH439" i="8"/>
  <c r="AH1220" i="8"/>
  <c r="AH1570" i="8"/>
  <c r="AH554" i="8"/>
  <c r="AH727" i="8"/>
  <c r="AH312" i="8"/>
  <c r="AH164" i="8"/>
  <c r="AH460" i="8"/>
  <c r="AH1024" i="8"/>
  <c r="AH242" i="8"/>
  <c r="AH364" i="8"/>
  <c r="AH728" i="8"/>
  <c r="AH747" i="8"/>
  <c r="AH78" i="8"/>
  <c r="AH766" i="8"/>
  <c r="AH130" i="8"/>
  <c r="AH866" i="8"/>
  <c r="AH1482" i="8"/>
  <c r="AH1380" i="8"/>
  <c r="AH581" i="8"/>
  <c r="AH227" i="8"/>
  <c r="AH1508" i="8"/>
  <c r="AH304" i="8"/>
  <c r="AH1546" i="8"/>
  <c r="AH1520" i="8"/>
  <c r="AH1552" i="8"/>
  <c r="AH1560" i="8"/>
  <c r="AH1531" i="8"/>
  <c r="AH396" i="8"/>
  <c r="AH219" i="8"/>
  <c r="AH1530" i="8"/>
  <c r="AH256" i="8"/>
  <c r="AH804" i="8"/>
  <c r="AH454" i="8"/>
  <c r="AH374" i="8"/>
  <c r="AH1572" i="8"/>
  <c r="AH966" i="8"/>
  <c r="AH209" i="8"/>
  <c r="AH636" i="8"/>
  <c r="AH371" i="8"/>
  <c r="AH1529" i="8"/>
  <c r="AH442" i="8"/>
  <c r="AH397" i="8"/>
  <c r="AH615" i="8"/>
  <c r="AH685" i="8"/>
  <c r="AH787" i="8"/>
  <c r="AH827" i="8"/>
  <c r="AH1006" i="8"/>
  <c r="AH1202" i="8"/>
  <c r="AH190" i="8"/>
  <c r="AH855" i="8"/>
  <c r="AH639" i="8"/>
  <c r="AH640" i="8"/>
  <c r="AH426" i="8"/>
  <c r="AH1528" i="8"/>
  <c r="AH1388" i="8"/>
  <c r="AH557" i="8"/>
  <c r="AH406" i="8"/>
  <c r="AH733" i="8"/>
  <c r="AH767" i="8"/>
  <c r="AH873" i="8"/>
  <c r="AH221" i="8"/>
  <c r="AH1007" i="8"/>
  <c r="AH1543" i="8"/>
  <c r="AH1435" i="8"/>
  <c r="AH1465" i="8"/>
  <c r="AH1478" i="8"/>
  <c r="AH1486" i="8"/>
  <c r="AH1553" i="8"/>
  <c r="AH629" i="8"/>
  <c r="AH314" i="8"/>
  <c r="AH430" i="8"/>
  <c r="AH492" i="8"/>
  <c r="AH493" i="8"/>
  <c r="AH1507" i="8"/>
  <c r="AH410" i="8"/>
  <c r="AH415" i="8"/>
  <c r="AH783" i="8"/>
  <c r="AH494" i="8"/>
  <c r="AH1309" i="8"/>
  <c r="AH510" i="8"/>
  <c r="AH1389" i="8"/>
  <c r="AH647" i="8"/>
  <c r="AH649" i="8"/>
  <c r="AH675" i="8"/>
  <c r="AH695" i="8"/>
  <c r="AH739" i="8"/>
  <c r="AH799" i="8"/>
  <c r="AH433" i="8"/>
  <c r="AH349" i="8"/>
  <c r="AH843" i="8"/>
  <c r="AH1153" i="8"/>
  <c r="AH1160" i="8"/>
  <c r="AH1213" i="8"/>
  <c r="AH1237" i="8"/>
  <c r="AH1341" i="8"/>
  <c r="AH1545" i="8"/>
  <c r="AH1492" i="8"/>
  <c r="AH1512" i="8"/>
  <c r="AH1450" i="8"/>
  <c r="AH1521" i="8"/>
  <c r="AH1524" i="8"/>
  <c r="AH1525" i="8"/>
  <c r="AH1444" i="8"/>
  <c r="AH403" i="8"/>
  <c r="AH887" i="8"/>
  <c r="AH858" i="8"/>
  <c r="AH1506" i="8"/>
  <c r="AH540" i="8"/>
  <c r="AH731" i="8"/>
  <c r="AH413" i="8"/>
  <c r="AH805" i="8"/>
  <c r="AH892" i="8"/>
  <c r="AH893" i="8"/>
  <c r="AH869" i="8"/>
  <c r="AH1088" i="8"/>
  <c r="AH1233" i="8"/>
  <c r="AH500" i="8"/>
  <c r="AH542" i="8"/>
  <c r="AH714" i="8"/>
  <c r="AH719" i="8"/>
  <c r="AH762" i="8"/>
  <c r="AH420" i="8"/>
  <c r="AH990" i="8"/>
  <c r="AH440" i="8"/>
  <c r="AH1017" i="8"/>
  <c r="AH1145" i="8"/>
  <c r="AH1180" i="8"/>
  <c r="AH1246" i="8"/>
  <c r="AH1342" i="8"/>
  <c r="AH498" i="8"/>
  <c r="AH1514" i="8"/>
  <c r="AH1515" i="8"/>
  <c r="AH770" i="8"/>
  <c r="AH1238" i="8"/>
  <c r="AH1500" i="8"/>
  <c r="AH1549" i="8"/>
  <c r="AH910" i="8"/>
  <c r="AH612" i="8"/>
  <c r="AH793" i="8"/>
  <c r="AH813" i="8"/>
  <c r="AH829" i="8"/>
  <c r="AH1186" i="8"/>
  <c r="AH1252" i="8"/>
  <c r="AH645" i="8"/>
  <c r="AH693" i="8"/>
  <c r="AH173" i="8"/>
  <c r="AH940" i="8"/>
  <c r="AH941" i="8"/>
  <c r="AH343" i="8"/>
  <c r="AH341" i="8"/>
  <c r="AH1015" i="8"/>
  <c r="AH1070" i="8"/>
  <c r="AH1087" i="8"/>
  <c r="AH418" i="8"/>
  <c r="AH167" i="8"/>
  <c r="AH405" i="8"/>
  <c r="AH591" i="8"/>
  <c r="AH603" i="8"/>
  <c r="AH632" i="8"/>
  <c r="AH644" i="8"/>
  <c r="AH412" i="8"/>
  <c r="AH732" i="8"/>
  <c r="AH327" i="8"/>
  <c r="AH791" i="8"/>
  <c r="AH796" i="8"/>
  <c r="AH963" i="8"/>
  <c r="AH445" i="8"/>
  <c r="AH848" i="8"/>
  <c r="AH905" i="8"/>
  <c r="AH826" i="8"/>
  <c r="AH918" i="8"/>
  <c r="AH838" i="8"/>
  <c r="AH824" i="8"/>
  <c r="AH953" i="8"/>
  <c r="AH968" i="8"/>
  <c r="AH1053" i="8"/>
  <c r="AH1060" i="8"/>
  <c r="AH1103" i="8"/>
  <c r="AH877" i="8"/>
  <c r="AH1183" i="8"/>
  <c r="AH1188" i="8"/>
  <c r="AH1249" i="8"/>
  <c r="AH1250" i="8"/>
  <c r="AH1290" i="8"/>
  <c r="AH1293" i="8"/>
  <c r="AH370" i="8"/>
  <c r="AH1308" i="8"/>
  <c r="AH1332" i="8"/>
  <c r="AH503" i="8"/>
  <c r="AH1407" i="8"/>
  <c r="AH1458" i="8"/>
  <c r="AH193" i="8"/>
  <c r="AH1503" i="8"/>
  <c r="AH378" i="8"/>
  <c r="AH1578" i="8"/>
  <c r="AH444" i="8"/>
  <c r="AH955" i="8"/>
  <c r="AH1150" i="8"/>
  <c r="AH1232" i="8"/>
  <c r="AH1302" i="8"/>
  <c r="AH1522" i="8"/>
  <c r="AH1540" i="8"/>
  <c r="AH537" i="8"/>
  <c r="AH538" i="8"/>
  <c r="AH553" i="8"/>
  <c r="AH574" i="8"/>
  <c r="AH658" i="8"/>
  <c r="AH659" i="8"/>
  <c r="AH738" i="8"/>
  <c r="AH742" i="8"/>
  <c r="AH760" i="8"/>
  <c r="AH763" i="8"/>
  <c r="AH260" i="8"/>
  <c r="AH330" i="8"/>
  <c r="AH809" i="8"/>
  <c r="AH810" i="8"/>
  <c r="AH819" i="8"/>
  <c r="AH983" i="8"/>
  <c r="AH984" i="8"/>
  <c r="AH1072" i="8"/>
  <c r="AH835" i="8"/>
  <c r="AH466" i="8"/>
  <c r="AH888" i="8"/>
  <c r="AH889" i="8"/>
  <c r="AH895" i="8"/>
  <c r="AH896" i="8"/>
  <c r="AH923" i="8"/>
  <c r="AH438" i="8"/>
  <c r="AH935" i="8"/>
  <c r="AH939" i="8"/>
  <c r="AH945" i="8"/>
  <c r="AH472" i="8"/>
  <c r="AH952" i="8"/>
  <c r="AH290" i="8"/>
  <c r="AH959" i="8"/>
  <c r="AH960" i="8"/>
  <c r="AH967" i="8"/>
  <c r="AH950" i="8"/>
  <c r="AH974" i="8"/>
  <c r="AH476" i="8"/>
  <c r="AH978" i="8"/>
  <c r="AH964" i="8"/>
  <c r="AH862" i="8"/>
  <c r="AH1012" i="8"/>
  <c r="AH1023" i="8"/>
  <c r="AH1036" i="8"/>
  <c r="AH1045" i="8"/>
  <c r="AH1046" i="8"/>
  <c r="AH481" i="8"/>
  <c r="AH1049" i="8"/>
  <c r="AH1052" i="8"/>
  <c r="AH1054" i="8"/>
  <c r="AH1057" i="8"/>
  <c r="AH1063" i="8"/>
  <c r="AH1078" i="8"/>
  <c r="AH1083" i="8"/>
  <c r="AH1090" i="8"/>
  <c r="AH1092" i="8"/>
  <c r="AH876" i="8"/>
  <c r="AH1107" i="8"/>
  <c r="AH1115" i="8"/>
  <c r="AH489" i="8"/>
  <c r="AH880" i="8"/>
  <c r="AH1173" i="8"/>
  <c r="AH1176" i="8"/>
  <c r="AH1184" i="8"/>
  <c r="AH1189" i="8"/>
  <c r="AH1191" i="8"/>
  <c r="AH1230" i="8"/>
  <c r="AH1231" i="8"/>
  <c r="AH1236" i="8"/>
  <c r="AH1316" i="8"/>
  <c r="AH495" i="8"/>
  <c r="AH1396" i="8"/>
  <c r="AH1400" i="8"/>
  <c r="AH1449" i="8"/>
  <c r="AH1485" i="8"/>
  <c r="AH244" i="8"/>
  <c r="AH541" i="8"/>
  <c r="AH543" i="8"/>
  <c r="AH544" i="8"/>
  <c r="AH399" i="8"/>
  <c r="AH551" i="8"/>
  <c r="AH555" i="8"/>
  <c r="AH560" i="8"/>
  <c r="AH571" i="8"/>
  <c r="AH572" i="8"/>
  <c r="AH579" i="8"/>
  <c r="AH585" i="8"/>
  <c r="AH590" i="8"/>
  <c r="AH598" i="8"/>
  <c r="AH599" i="8"/>
  <c r="AH601" i="8"/>
  <c r="AH602" i="8"/>
  <c r="AH605" i="8"/>
  <c r="AH610" i="8"/>
  <c r="AH613" i="8"/>
  <c r="AH614" i="8"/>
  <c r="AH621" i="8"/>
  <c r="AH623" i="8"/>
  <c r="AH646" i="8"/>
  <c r="AH650" i="8"/>
  <c r="AH652" i="8"/>
  <c r="AH656" i="8"/>
  <c r="AH657" i="8"/>
  <c r="AH661" i="8"/>
  <c r="AH662" i="8"/>
  <c r="AH321" i="8"/>
  <c r="AH672" i="8"/>
  <c r="AH673" i="8"/>
  <c r="AH677" i="8"/>
  <c r="AH680" i="8"/>
  <c r="AH686" i="8"/>
  <c r="AH696" i="8"/>
  <c r="AH704" i="8"/>
  <c r="AH722" i="8"/>
  <c r="AH723" i="8"/>
  <c r="AH729" i="8"/>
  <c r="AH730" i="8"/>
  <c r="AH734" i="8"/>
  <c r="AH736" i="8"/>
  <c r="AH743" i="8"/>
  <c r="AH748" i="8"/>
  <c r="AH754" i="8"/>
  <c r="AH755" i="8"/>
  <c r="AH769" i="8"/>
  <c r="AH416" i="8"/>
  <c r="AH772" i="8"/>
  <c r="AH781" i="8"/>
  <c r="AH785" i="8"/>
  <c r="AH792" i="8"/>
  <c r="AH423" i="8"/>
  <c r="AH803" i="8"/>
  <c r="AH812" i="8"/>
  <c r="AH814" i="8"/>
  <c r="AH815" i="8"/>
  <c r="AH844" i="8"/>
  <c r="AH852" i="8"/>
  <c r="AH881" i="8"/>
  <c r="AH882" i="8"/>
  <c r="AH883" i="8"/>
  <c r="AH885" i="8"/>
  <c r="AH886" i="8"/>
  <c r="AH891" i="8"/>
  <c r="AH899" i="8"/>
  <c r="AH900" i="8"/>
  <c r="AH903" i="8"/>
  <c r="AH904" i="8"/>
  <c r="AH286" i="8"/>
  <c r="AH908" i="8"/>
  <c r="AH837" i="8"/>
  <c r="AH909" i="8"/>
  <c r="AH469" i="8"/>
  <c r="AH912" i="8"/>
  <c r="AH913" i="8"/>
  <c r="AH916" i="8"/>
  <c r="AH917" i="8"/>
  <c r="AH350" i="8"/>
  <c r="AH921" i="8"/>
  <c r="AH922" i="8"/>
  <c r="AH925" i="8"/>
  <c r="AH926" i="8"/>
  <c r="AH930" i="8"/>
  <c r="AH931" i="8"/>
  <c r="AH937" i="8"/>
  <c r="AH938" i="8"/>
  <c r="AH943" i="8"/>
  <c r="AH944" i="8"/>
  <c r="AH947" i="8"/>
  <c r="AH840" i="8"/>
  <c r="AH841" i="8"/>
  <c r="AH956" i="8"/>
  <c r="AH957" i="8"/>
  <c r="AH958" i="8"/>
  <c r="AH970" i="8"/>
  <c r="AH475" i="8"/>
  <c r="AH291" i="8"/>
  <c r="AH972" i="8"/>
  <c r="AH975" i="8"/>
  <c r="AH976" i="8"/>
  <c r="AH979" i="8"/>
  <c r="AH980" i="8"/>
  <c r="AH985" i="8"/>
  <c r="AH987" i="8"/>
  <c r="AH988" i="8"/>
  <c r="AH965" i="8"/>
  <c r="AH989" i="8"/>
  <c r="AH85" i="8"/>
  <c r="AH859" i="8"/>
  <c r="AH991" i="8"/>
  <c r="AH994" i="8"/>
  <c r="AH996" i="8"/>
  <c r="AH998" i="8"/>
  <c r="AH999" i="8"/>
  <c r="AH1000" i="8"/>
  <c r="AH1001" i="8"/>
  <c r="AH1003" i="8"/>
  <c r="AH1004" i="8"/>
  <c r="AH1005" i="8"/>
  <c r="AH995" i="8"/>
  <c r="AH1009" i="8"/>
  <c r="AH1014" i="8"/>
  <c r="AH1016" i="8"/>
  <c r="AH865" i="8"/>
  <c r="AH1019" i="8"/>
  <c r="AH1021" i="8"/>
  <c r="AH1026" i="8"/>
  <c r="AH1027" i="8"/>
  <c r="AH1028" i="8"/>
  <c r="AH1029" i="8"/>
  <c r="AH1030" i="8"/>
  <c r="AH1034" i="8"/>
  <c r="AH1035" i="8"/>
  <c r="AH1037" i="8"/>
  <c r="AH1038" i="8"/>
  <c r="AH1040" i="8"/>
  <c r="AH1055" i="8"/>
  <c r="AH1056" i="8"/>
  <c r="AH1059" i="8"/>
  <c r="AH1061" i="8"/>
  <c r="AH1064" i="8"/>
  <c r="AH1065" i="8"/>
  <c r="AH1067" i="8"/>
  <c r="AH1068" i="8"/>
  <c r="AH1069" i="8"/>
  <c r="AH456" i="8"/>
  <c r="AH457" i="8"/>
  <c r="AH483" i="8"/>
  <c r="AH1074" i="8"/>
  <c r="AH1075" i="8"/>
  <c r="AH874" i="8"/>
  <c r="AH485" i="8"/>
  <c r="AH1080" i="8"/>
  <c r="AH1081" i="8"/>
  <c r="AH1082" i="8"/>
  <c r="AH1084" i="8"/>
  <c r="AH1086" i="8"/>
  <c r="AH1089" i="8"/>
  <c r="AH1094" i="8"/>
  <c r="AH1095" i="8"/>
  <c r="AH1096" i="8"/>
  <c r="AH1099" i="8"/>
  <c r="AH1100" i="8"/>
  <c r="AH1101" i="8"/>
  <c r="AH1104" i="8"/>
  <c r="AH1105" i="8"/>
  <c r="AH1110" i="8"/>
  <c r="AH1111" i="8"/>
  <c r="AH1113" i="8"/>
  <c r="AH1116" i="8"/>
  <c r="AH486" i="8"/>
  <c r="AH487" i="8"/>
  <c r="AH1120" i="8"/>
  <c r="AH1122" i="8"/>
  <c r="AH1123" i="8"/>
  <c r="AH1124" i="8"/>
  <c r="AH1125" i="8"/>
  <c r="AH1126" i="8"/>
  <c r="AH1127" i="8"/>
  <c r="AH1128" i="8"/>
  <c r="AH1129" i="8"/>
  <c r="AH1130" i="8"/>
  <c r="AH1131" i="8"/>
  <c r="AH1132" i="8"/>
  <c r="AH1133" i="8"/>
  <c r="AH1134" i="8"/>
  <c r="AH1136" i="8"/>
  <c r="AH1137" i="8"/>
  <c r="AH1144" i="8"/>
  <c r="AH1146" i="8"/>
  <c r="AH1147" i="8"/>
  <c r="AH1151" i="8"/>
  <c r="AH1154" i="8"/>
  <c r="AH1141" i="8"/>
  <c r="AH1163" i="8"/>
  <c r="AH1142" i="8"/>
  <c r="AH1157" i="8"/>
  <c r="AH1158" i="8"/>
  <c r="AH1159" i="8"/>
  <c r="AH1166" i="8"/>
  <c r="AH1168" i="8"/>
  <c r="AH1177" i="8"/>
  <c r="AH1178" i="8"/>
  <c r="AH1179" i="8"/>
  <c r="AH1181" i="8"/>
  <c r="AH1187" i="8"/>
  <c r="AH1190" i="8"/>
  <c r="AH1194" i="8"/>
  <c r="AH1195" i="8"/>
  <c r="AH1196" i="8"/>
  <c r="AH1199" i="8"/>
  <c r="AH1254" i="8"/>
  <c r="AH1205" i="8"/>
  <c r="AH1206" i="8"/>
  <c r="AH1207" i="8"/>
  <c r="AH1208" i="8"/>
  <c r="AH1209" i="8"/>
  <c r="AH1210" i="8"/>
  <c r="AH1212" i="8"/>
  <c r="AH1215" i="8"/>
  <c r="AH1218" i="8"/>
  <c r="AH1219" i="8"/>
  <c r="AH1221" i="8"/>
  <c r="AH1224" i="8"/>
  <c r="AH1226" i="8"/>
  <c r="AH1227" i="8"/>
  <c r="AH1234" i="8"/>
  <c r="AH1248" i="8"/>
  <c r="AH1239" i="8"/>
  <c r="AH1240" i="8"/>
  <c r="AH1241" i="8"/>
  <c r="AH1255" i="8"/>
  <c r="AH1256" i="8"/>
  <c r="AH1257" i="8"/>
  <c r="AH1258" i="8"/>
  <c r="AH1259" i="8"/>
  <c r="AH1260" i="8"/>
  <c r="AH1261" i="8"/>
  <c r="AH1262" i="8"/>
  <c r="AH1263" i="8"/>
  <c r="AH1265" i="8"/>
  <c r="AH1266" i="8"/>
  <c r="AH1267" i="8"/>
  <c r="AH1272" i="8"/>
  <c r="AH1274" i="8"/>
  <c r="AH1275" i="8"/>
  <c r="AH1276" i="8"/>
  <c r="AH1277" i="8"/>
  <c r="AH1278" i="8"/>
  <c r="AH1279" i="8"/>
  <c r="AH1282" i="8"/>
  <c r="AH1283" i="8"/>
  <c r="AH1284" i="8"/>
  <c r="AH1285" i="8"/>
  <c r="AH1286" i="8"/>
  <c r="AH1287" i="8"/>
  <c r="AH1295" i="8"/>
  <c r="AH1296" i="8"/>
  <c r="AH369" i="8"/>
  <c r="AH1297" i="8"/>
  <c r="AH1298" i="8"/>
  <c r="AH1299" i="8"/>
  <c r="AH1300" i="8"/>
  <c r="AH1301" i="8"/>
  <c r="AH1303" i="8"/>
  <c r="AH1304" i="8"/>
  <c r="AH1305" i="8"/>
  <c r="AH1307" i="8"/>
  <c r="AH1310" i="8"/>
  <c r="AH1311" i="8"/>
  <c r="AH1312" i="8"/>
  <c r="AH1313" i="8"/>
  <c r="AH1319" i="8"/>
  <c r="AH1320" i="8"/>
  <c r="AH1321" i="8"/>
  <c r="AH1323" i="8"/>
  <c r="AH1324" i="8"/>
  <c r="AH1326" i="8"/>
  <c r="AH1327" i="8"/>
  <c r="AH1328" i="8"/>
  <c r="AH1331" i="8"/>
  <c r="AH496" i="8"/>
  <c r="AH1336" i="8"/>
  <c r="AH1337" i="8"/>
  <c r="AH1338" i="8"/>
  <c r="AH1340" i="8"/>
  <c r="AH1344" i="8"/>
  <c r="AH1345" i="8"/>
  <c r="AH1346" i="8"/>
  <c r="AH1347" i="8"/>
  <c r="AH1348" i="8"/>
  <c r="AH499" i="8"/>
  <c r="AH1350" i="8"/>
  <c r="AH1351" i="8"/>
  <c r="AH1352" i="8"/>
  <c r="AH1353" i="8"/>
  <c r="AH1354" i="8"/>
  <c r="AH1355" i="8"/>
  <c r="AH1356" i="8"/>
  <c r="AH1358" i="8"/>
  <c r="AH1359" i="8"/>
  <c r="AH1360" i="8"/>
  <c r="AH1361" i="8"/>
  <c r="AH1362" i="8"/>
  <c r="AH1363" i="8"/>
  <c r="AH1364" i="8"/>
  <c r="AH1366" i="8"/>
  <c r="AH1367" i="8"/>
  <c r="AH1368" i="8"/>
  <c r="AH1369" i="8"/>
  <c r="AH1370" i="8"/>
  <c r="AH1371" i="8"/>
  <c r="AH1372" i="8"/>
  <c r="AH1373" i="8"/>
  <c r="AH1374" i="8"/>
  <c r="AH1375" i="8"/>
  <c r="AH1377" i="8"/>
  <c r="AH1378" i="8"/>
  <c r="AH1382" i="8"/>
  <c r="AH1399" i="8"/>
  <c r="AH1405" i="8"/>
  <c r="AH1406" i="8"/>
  <c r="AH1408" i="8"/>
  <c r="AH1409" i="8"/>
  <c r="AH1410" i="8"/>
  <c r="AH1411" i="8"/>
  <c r="AH1413" i="8"/>
  <c r="AH1414" i="8"/>
  <c r="AH1415" i="8"/>
  <c r="AH1416" i="8"/>
  <c r="AH1417" i="8"/>
  <c r="AH1418" i="8"/>
  <c r="AH1420" i="8"/>
  <c r="AH1421" i="8"/>
  <c r="AH1422" i="8"/>
  <c r="AH1423" i="8"/>
  <c r="AH1424" i="8"/>
  <c r="AH1425" i="8"/>
  <c r="AH1430" i="8"/>
  <c r="AH1432" i="8"/>
  <c r="AH1433" i="8"/>
  <c r="AH1437" i="8"/>
  <c r="AH1438" i="8"/>
  <c r="AH1463" i="8"/>
  <c r="AH1464" i="8"/>
  <c r="AH1466" i="8"/>
  <c r="AH1539" i="8"/>
  <c r="AH1270" i="8"/>
  <c r="AH898" i="8"/>
  <c r="AH897" i="8"/>
  <c r="AH1139" i="8"/>
  <c r="AH417" i="8"/>
  <c r="AH764" i="8"/>
  <c r="AH368" i="8"/>
  <c r="AH864" i="8"/>
  <c r="AY864" i="8" s="1"/>
  <c r="AH462" i="8"/>
  <c r="AY462" i="8" s="1"/>
  <c r="AH1271" i="8"/>
  <c r="AY1271" i="8" s="1"/>
  <c r="AH3" i="8"/>
  <c r="AH342" i="8"/>
  <c r="AH1225" i="8"/>
  <c r="AH1493" i="8"/>
  <c r="AH1511" i="8"/>
  <c r="AH255" i="8"/>
  <c r="AH1289" i="8"/>
  <c r="AH409" i="8"/>
  <c r="AH868" i="8"/>
  <c r="AH325" i="8"/>
  <c r="AH1325" i="8"/>
  <c r="AH1491" i="8"/>
  <c r="AH1244" i="8"/>
  <c r="AH1428" i="8"/>
  <c r="AH1048" i="8"/>
  <c r="AH1062" i="8"/>
  <c r="AH694" i="8"/>
  <c r="AH746" i="8"/>
  <c r="AH929" i="8"/>
  <c r="AH289" i="8"/>
  <c r="AH1073" i="8"/>
  <c r="AH1117" i="8"/>
  <c r="AH1343" i="8"/>
  <c r="AH676" i="8"/>
  <c r="AH678" i="8"/>
  <c r="AH679" i="8"/>
  <c r="AH683" i="8"/>
  <c r="AH684" i="8"/>
  <c r="AH688" i="8"/>
  <c r="AH689" i="8"/>
  <c r="AH697" i="8"/>
  <c r="AH698" i="8"/>
  <c r="AH699" i="8"/>
  <c r="AH700" i="8"/>
  <c r="AH701" i="8"/>
  <c r="AH702" i="8"/>
  <c r="AH703" i="8"/>
  <c r="AH705" i="8"/>
  <c r="AH706" i="8"/>
  <c r="AH709" i="8"/>
  <c r="AH710" i="8"/>
  <c r="AH711" i="8"/>
  <c r="AH713" i="8"/>
  <c r="AH715" i="8"/>
  <c r="AH717" i="8"/>
  <c r="AH718" i="8"/>
  <c r="AH721" i="8"/>
  <c r="AH846" i="8"/>
  <c r="AH847" i="8"/>
  <c r="AH849" i="8"/>
  <c r="AH850" i="8"/>
  <c r="AH851" i="8"/>
  <c r="AH1118" i="8"/>
  <c r="AH593" i="8"/>
  <c r="AH597" i="8"/>
  <c r="AH604" i="8"/>
  <c r="AH609" i="8"/>
  <c r="AH616" i="8"/>
  <c r="AH620" i="8"/>
  <c r="AH624" i="8"/>
  <c r="AH627" i="8"/>
  <c r="AH628" i="8"/>
  <c r="AH630" i="8"/>
  <c r="AH631" i="8"/>
  <c r="AH633" i="8"/>
  <c r="AH635" i="8"/>
  <c r="AH642" i="8"/>
  <c r="AH643" i="8"/>
  <c r="AH651" i="8"/>
  <c r="AH663" i="8"/>
  <c r="AH664" i="8"/>
  <c r="AH665" i="8"/>
  <c r="AH666" i="8"/>
  <c r="AH667" i="8"/>
  <c r="AH949" i="8"/>
  <c r="AH577" i="8"/>
  <c r="AH547" i="8"/>
  <c r="AH548" i="8"/>
  <c r="AH549" i="8"/>
  <c r="AH556" i="8"/>
  <c r="AH558" i="8"/>
  <c r="AH559" i="8"/>
  <c r="AH562" i="8"/>
  <c r="AH564" i="8"/>
  <c r="AH568" i="8"/>
  <c r="AH569" i="8"/>
  <c r="AH578" i="8"/>
  <c r="AH582" i="8"/>
  <c r="AH584" i="8"/>
  <c r="AH586" i="8"/>
  <c r="AH587" i="8"/>
  <c r="AH588" i="8"/>
  <c r="AH788" i="8"/>
  <c r="AH5" i="8"/>
  <c r="AH4" i="8"/>
  <c r="AH26" i="8"/>
  <c r="AH11" i="8"/>
  <c r="AH29" i="8"/>
  <c r="AH13" i="8"/>
  <c r="AH31" i="8"/>
  <c r="AH32" i="8"/>
  <c r="AH33" i="8"/>
  <c r="AH21" i="8"/>
  <c r="AH80" i="8"/>
  <c r="AH38" i="8"/>
  <c r="AH49" i="8"/>
  <c r="AH681" i="8"/>
  <c r="AH23" i="8"/>
  <c r="AH54" i="8"/>
  <c r="AH34" i="8"/>
  <c r="AH22" i="8"/>
  <c r="AH1174" i="8"/>
  <c r="AH24" i="8"/>
  <c r="AH14" i="8"/>
  <c r="AH428" i="8"/>
  <c r="AH17" i="8"/>
  <c r="AH40" i="8"/>
  <c r="AH231" i="8"/>
  <c r="AH45" i="8"/>
  <c r="AH44" i="8"/>
  <c r="AH65" i="8"/>
  <c r="AH30" i="8"/>
  <c r="AH73" i="8"/>
  <c r="AH81" i="8"/>
  <c r="AH20" i="8"/>
  <c r="AH19" i="8"/>
  <c r="AH79" i="8"/>
  <c r="AH39" i="8"/>
  <c r="AH212" i="8"/>
  <c r="AH376" i="8"/>
  <c r="AH16" i="8"/>
  <c r="AH511" i="8"/>
  <c r="AH1563" i="8"/>
  <c r="AH7" i="8"/>
  <c r="AH149" i="8"/>
  <c r="AH207" i="8"/>
  <c r="AH46" i="8"/>
  <c r="AH61" i="8"/>
  <c r="AH145" i="8"/>
  <c r="AH97" i="8"/>
  <c r="AH58" i="8"/>
  <c r="AH77" i="8"/>
  <c r="AH56" i="8"/>
  <c r="AH47" i="8"/>
  <c r="AH43" i="8"/>
  <c r="AH147" i="8"/>
  <c r="AH606" i="8"/>
  <c r="AH101" i="8"/>
  <c r="AH133" i="8"/>
  <c r="AH162" i="8"/>
  <c r="AH105" i="8"/>
  <c r="AH215" i="8"/>
  <c r="AH611" i="8"/>
  <c r="AH1436" i="8"/>
  <c r="AH163" i="8"/>
  <c r="AH1381" i="8"/>
  <c r="AH218" i="8"/>
  <c r="AH641" i="8"/>
  <c r="AH104" i="8"/>
  <c r="AH132" i="8"/>
  <c r="AH151" i="8"/>
  <c r="AH100" i="8"/>
  <c r="AH62" i="8"/>
  <c r="AH154" i="8"/>
  <c r="AH1551" i="8"/>
  <c r="AH1480" i="8"/>
  <c r="AH1564" i="8"/>
  <c r="AH245" i="8"/>
  <c r="AH153" i="8"/>
  <c r="AH257" i="8"/>
  <c r="AH421" i="8"/>
  <c r="AH270" i="8"/>
  <c r="AH86" i="8"/>
  <c r="AH170" i="8"/>
  <c r="AH93" i="8"/>
  <c r="AH92" i="8"/>
  <c r="AH298" i="8"/>
  <c r="AH1404" i="8"/>
  <c r="AH317" i="8"/>
  <c r="AH268" i="8"/>
  <c r="AH179" i="8"/>
  <c r="AH594" i="8"/>
  <c r="AH235" i="8"/>
  <c r="AH48" i="8"/>
  <c r="AH183" i="8"/>
  <c r="AH52" i="8"/>
  <c r="AH63" i="8"/>
  <c r="AH111" i="8"/>
  <c r="AH204" i="8"/>
  <c r="AH234" i="8"/>
  <c r="AH129" i="8"/>
  <c r="AH99" i="8"/>
  <c r="AH184" i="8"/>
  <c r="AH375" i="8"/>
  <c r="AH230" i="8"/>
  <c r="AH407" i="8"/>
  <c r="AH217" i="8"/>
  <c r="AH211" i="8"/>
  <c r="AH336" i="8"/>
  <c r="AH258" i="8"/>
  <c r="AH216" i="8"/>
  <c r="AH124" i="8"/>
  <c r="AH152" i="8"/>
  <c r="AH266" i="8"/>
  <c r="AH295" i="8"/>
  <c r="AH296" i="8"/>
  <c r="AH159" i="8"/>
  <c r="AH114" i="8"/>
  <c r="AH158" i="8"/>
  <c r="AH778" i="8"/>
  <c r="AH301" i="8"/>
  <c r="AH83" i="8"/>
  <c r="AH181" i="8"/>
  <c r="AH434" i="8"/>
  <c r="AH108" i="8"/>
  <c r="AH363" i="8"/>
  <c r="AH784" i="8"/>
  <c r="AH146" i="8"/>
  <c r="AH169" i="8"/>
  <c r="AH424" i="8"/>
  <c r="AH1398" i="8"/>
  <c r="AH259" i="8"/>
  <c r="AH339" i="8"/>
  <c r="AH157" i="8"/>
  <c r="AH856" i="8"/>
  <c r="AH1568" i="8"/>
  <c r="AH302" i="8"/>
  <c r="AH1537" i="8"/>
  <c r="AH801" i="8"/>
  <c r="AH8" i="8"/>
  <c r="AH10" i="8"/>
  <c r="AH186" i="8"/>
  <c r="AH233" i="8"/>
  <c r="AH134" i="8"/>
  <c r="AH334" i="8"/>
  <c r="AH331" i="8"/>
  <c r="AH366" i="8"/>
  <c r="AH1182" i="8"/>
  <c r="AH395" i="8"/>
  <c r="AH278" i="8"/>
  <c r="AH90" i="8"/>
  <c r="AH91" i="8"/>
  <c r="AH1292" i="8"/>
  <c r="AH1401" i="8"/>
  <c r="AH817" i="8"/>
  <c r="AH902" i="8"/>
  <c r="AH232" i="8"/>
  <c r="AH431" i="8"/>
  <c r="AH160" i="8"/>
  <c r="AH359" i="8"/>
  <c r="AH777" i="8"/>
  <c r="AH254" i="8"/>
  <c r="AH860" i="8"/>
  <c r="AH106" i="8"/>
  <c r="AH360" i="8"/>
  <c r="AH115" i="8"/>
  <c r="AH505" i="8"/>
  <c r="AH175" i="8"/>
  <c r="AH214" i="8"/>
  <c r="AH839" i="8"/>
  <c r="AH441" i="8"/>
  <c r="AH340" i="8"/>
  <c r="AH596" i="8"/>
  <c r="AH823" i="8"/>
  <c r="AH535" i="8"/>
  <c r="AH262" i="8"/>
  <c r="AH267" i="8"/>
  <c r="AH365" i="8"/>
  <c r="AH502" i="8"/>
  <c r="AH261" i="8"/>
  <c r="AH446" i="8"/>
  <c r="AH583" i="8"/>
  <c r="AH1516" i="8"/>
  <c r="AH373" i="8"/>
  <c r="AH800" i="8"/>
  <c r="AH362" i="8"/>
  <c r="AH72" i="8"/>
  <c r="AH66" i="8"/>
  <c r="AH213" i="8"/>
  <c r="AH272" i="8"/>
  <c r="AH269" i="8"/>
  <c r="AH273" i="8"/>
  <c r="AH280" i="8"/>
  <c r="AH166" i="8"/>
  <c r="AH281" i="8"/>
  <c r="AH344" i="8"/>
  <c r="AH750" i="8"/>
  <c r="AH422" i="8"/>
  <c r="AH345" i="8"/>
  <c r="AH351" i="8"/>
  <c r="AH1042" i="8"/>
  <c r="AH437" i="8"/>
  <c r="AH206" i="8"/>
  <c r="AH225" i="8"/>
  <c r="AH1273" i="8"/>
  <c r="AH1384" i="8"/>
  <c r="AH1033" i="8"/>
  <c r="AH137" i="8"/>
  <c r="AH692" i="8"/>
  <c r="AH463" i="8"/>
  <c r="AH951" i="8"/>
  <c r="AH637" i="8"/>
  <c r="AH335" i="8"/>
  <c r="AH315" i="8"/>
  <c r="AH749" i="8"/>
  <c r="AH993" i="8"/>
  <c r="AH1041" i="8"/>
  <c r="AH830" i="8"/>
  <c r="AH1339" i="8"/>
  <c r="AH782" i="8"/>
  <c r="AH264" i="8"/>
  <c r="AH353" i="8"/>
  <c r="AH141" i="8"/>
  <c r="AH716" i="8"/>
  <c r="AH174" i="8"/>
  <c r="AH459" i="8"/>
  <c r="AH1317" i="8"/>
  <c r="AH497" i="8"/>
  <c r="AH1523" i="8"/>
  <c r="AH1496" i="8"/>
  <c r="AH1535" i="8"/>
  <c r="AH1569" i="8"/>
  <c r="AH512" i="8"/>
  <c r="AH1566" i="8"/>
  <c r="AH1559" i="8"/>
  <c r="AH1510" i="8"/>
  <c r="AH1477" i="8"/>
  <c r="AH1555" i="8"/>
  <c r="AH69" i="8"/>
  <c r="AH1412" i="8"/>
  <c r="AH185" i="8"/>
  <c r="AH102" i="8"/>
  <c r="AH156" i="8"/>
  <c r="AH311" i="8"/>
  <c r="AH253" i="8"/>
  <c r="AH402" i="8"/>
  <c r="AH263" i="8"/>
  <c r="AH474" i="8"/>
  <c r="AH310" i="8"/>
  <c r="AH533" i="8"/>
  <c r="AH831" i="8"/>
  <c r="AH223" i="8"/>
  <c r="AH172" i="8"/>
  <c r="AH131" i="8"/>
  <c r="AH294" i="8"/>
  <c r="AH455" i="8"/>
  <c r="AH293" i="8"/>
  <c r="AH84" i="8"/>
  <c r="AH842" i="8"/>
  <c r="AH1032" i="8"/>
  <c r="AH275" i="8"/>
  <c r="AH449" i="8"/>
  <c r="AH203" i="8"/>
  <c r="AH580" i="8"/>
  <c r="AH222" i="8"/>
  <c r="AH107" i="8"/>
  <c r="AH287" i="8"/>
  <c r="AH461" i="8"/>
  <c r="AH109" i="8"/>
  <c r="AH282" i="8"/>
  <c r="AH618" i="8"/>
  <c r="AH741" i="8"/>
  <c r="AH836" i="8"/>
  <c r="AH346" i="8"/>
  <c r="AH1403" i="8"/>
  <c r="AH589" i="8"/>
  <c r="AH617" i="8"/>
  <c r="AH432" i="8"/>
  <c r="AH832" i="8"/>
  <c r="AH833" i="8"/>
  <c r="AH464" i="8"/>
  <c r="AH465" i="8"/>
  <c r="AH501" i="8"/>
  <c r="AH1201" i="8"/>
  <c r="AH1393" i="8"/>
  <c r="AH774" i="8"/>
  <c r="AH188" i="8"/>
  <c r="AH479" i="8"/>
  <c r="AH277" i="8"/>
  <c r="AH477" i="8"/>
  <c r="AH561" i="8"/>
  <c r="AH563" i="8"/>
  <c r="AH478" i="8"/>
  <c r="AH870" i="8"/>
  <c r="AH1581" i="8"/>
  <c r="AH1557" i="8"/>
  <c r="AH1558" i="8"/>
  <c r="AH1489" i="8"/>
  <c r="AH513" i="8"/>
  <c r="AH1505" i="8"/>
  <c r="AH1448" i="8"/>
  <c r="AH1494" i="8"/>
  <c r="AH1577" i="8"/>
  <c r="AH1519" i="8"/>
  <c r="AH1495" i="8"/>
  <c r="AH1490" i="8"/>
  <c r="AH1526" i="8"/>
  <c r="AH1527" i="8"/>
  <c r="AH76" i="8"/>
  <c r="AH1164" i="8"/>
  <c r="AH1214" i="8"/>
  <c r="AH1155" i="8"/>
  <c r="AH1383" i="8"/>
  <c r="AH171" i="8"/>
  <c r="AH142" i="8"/>
  <c r="AH150" i="8"/>
  <c r="AH1165" i="8"/>
  <c r="AH1171" i="8"/>
  <c r="AH299" i="8"/>
  <c r="AH119" i="8"/>
  <c r="AH1386" i="8"/>
  <c r="AH136" i="8"/>
  <c r="AH316" i="8"/>
  <c r="AH210" i="8"/>
  <c r="AH726" i="8"/>
  <c r="AH427" i="8"/>
  <c r="AH482" i="8"/>
  <c r="AH271" i="8"/>
  <c r="AH338" i="8"/>
  <c r="AH1152" i="8"/>
  <c r="AH372" i="8"/>
  <c r="AH453" i="8"/>
  <c r="AH451" i="8"/>
  <c r="AH1223" i="8"/>
  <c r="AH504" i="8"/>
  <c r="AH470" i="8"/>
  <c r="AH825" i="8"/>
  <c r="AH1402" i="8"/>
  <c r="AH761" i="8"/>
  <c r="AH790" i="8"/>
  <c r="AH322" i="8"/>
  <c r="AH773" i="8"/>
  <c r="AH779" i="8"/>
  <c r="AH276" i="8"/>
  <c r="AH1169" i="8"/>
  <c r="AH1426" i="8"/>
  <c r="AH648" i="8"/>
  <c r="AH794" i="8"/>
  <c r="AH480" i="8"/>
  <c r="AH354" i="8"/>
  <c r="AH539" i="8"/>
  <c r="AH625" i="8"/>
  <c r="AH682" i="8"/>
  <c r="AH425" i="8"/>
  <c r="AH867" i="8"/>
  <c r="AH1197" i="8"/>
  <c r="AH361" i="8"/>
  <c r="AH1335" i="8"/>
  <c r="AH1394" i="8"/>
  <c r="AH237" i="8"/>
  <c r="AH545" i="8"/>
  <c r="AH654" i="8"/>
  <c r="AH669" i="8"/>
  <c r="AH795" i="8"/>
  <c r="AH811" i="8"/>
  <c r="AH283" i="8"/>
  <c r="AH347" i="8"/>
  <c r="AH1235" i="8"/>
  <c r="AH1387" i="8"/>
  <c r="AH1392" i="8"/>
  <c r="AH570" i="8"/>
  <c r="AH655" i="8"/>
  <c r="AH320" i="8"/>
  <c r="AH712" i="8"/>
  <c r="AH324" i="8"/>
  <c r="AH740" i="8"/>
  <c r="AH932" i="8"/>
  <c r="AH284" i="8"/>
  <c r="AH467" i="8"/>
  <c r="AH473" i="8"/>
  <c r="AH1175" i="8"/>
  <c r="AH1211" i="8"/>
  <c r="AH1243" i="8"/>
  <c r="AH1245" i="8"/>
  <c r="AH1379" i="8"/>
  <c r="AH534" i="8"/>
  <c r="AH567" i="8"/>
  <c r="AH668" i="8"/>
  <c r="AH720" i="8"/>
  <c r="AH414" i="8"/>
  <c r="AH176" i="8"/>
  <c r="AH834" i="8"/>
  <c r="AH906" i="8"/>
  <c r="AH933" i="8"/>
  <c r="AH1148" i="8"/>
  <c r="AH490" i="8"/>
  <c r="AH1288" i="8"/>
  <c r="AH1334" i="8"/>
  <c r="AH1397" i="8"/>
  <c r="AH575" i="8"/>
  <c r="AH404" i="8"/>
  <c r="AH622" i="8"/>
  <c r="AH687" i="8"/>
  <c r="AH411" i="8"/>
  <c r="AH756" i="8"/>
  <c r="AH531" i="8"/>
  <c r="AH798" i="8"/>
  <c r="AH962" i="8"/>
  <c r="AH1008" i="8"/>
  <c r="AH187" i="8"/>
  <c r="AH468" i="8"/>
  <c r="AH946" i="8"/>
  <c r="AH818" i="8"/>
  <c r="AH1011" i="8"/>
  <c r="AH458" i="8"/>
  <c r="AH875" i="8"/>
  <c r="AH878" i="8"/>
  <c r="AH879" i="8"/>
  <c r="AH1198" i="8"/>
  <c r="AH1247" i="8"/>
  <c r="AH1251" i="8"/>
  <c r="AH1253" i="8"/>
  <c r="AH1294" i="8"/>
  <c r="AH1314" i="8"/>
  <c r="AH1318" i="8"/>
  <c r="AH1427" i="8"/>
  <c r="AH532" i="8"/>
  <c r="AH1390" i="8"/>
  <c r="AH546" i="8"/>
  <c r="AH576" i="8"/>
  <c r="AH626" i="8"/>
  <c r="AH708" i="8"/>
  <c r="AH737" i="8"/>
  <c r="AH757" i="8"/>
  <c r="AH758" i="8"/>
  <c r="AH771" i="8"/>
  <c r="AH419" i="8"/>
  <c r="AH332" i="8"/>
  <c r="AH802" i="8"/>
  <c r="AH448" i="8"/>
  <c r="AH1020" i="8"/>
  <c r="AH871" i="8"/>
  <c r="AH845" i="8"/>
  <c r="AH1156" i="8"/>
  <c r="AH894" i="8"/>
  <c r="AH348" i="8"/>
  <c r="AH914" i="8"/>
  <c r="AH443" i="8"/>
  <c r="AH934" i="8"/>
  <c r="AH471" i="8"/>
  <c r="AH828" i="8"/>
  <c r="AH954" i="8"/>
  <c r="AH857" i="8"/>
  <c r="AH973" i="8"/>
  <c r="AH981" i="8"/>
  <c r="AH982" i="8"/>
  <c r="AH863" i="8"/>
  <c r="AH1043" i="8"/>
  <c r="AH1044" i="8"/>
  <c r="AH1047" i="8"/>
  <c r="AH1050" i="8"/>
  <c r="AH1051" i="8"/>
  <c r="AH1058" i="8"/>
  <c r="AH872" i="8"/>
  <c r="AH1077" i="8"/>
  <c r="AH1091" i="8"/>
  <c r="AH1106" i="8"/>
  <c r="AH1112" i="8"/>
  <c r="AH355" i="8"/>
  <c r="AH1135" i="8"/>
  <c r="AH1140" i="8"/>
  <c r="AH491" i="8"/>
  <c r="AH1185" i="8"/>
  <c r="AH1192" i="8"/>
  <c r="AH1280" i="8"/>
  <c r="AH1315" i="8"/>
  <c r="AH1329" i="8"/>
  <c r="AH1330" i="8"/>
  <c r="AH550" i="8"/>
  <c r="AH400" i="8"/>
  <c r="AH552" i="8"/>
  <c r="AH565" i="8"/>
  <c r="AH566" i="8"/>
  <c r="AH573" i="8"/>
  <c r="AH592" i="8"/>
  <c r="AH595" i="8"/>
  <c r="AH600" i="8"/>
  <c r="AH607" i="8"/>
  <c r="AH608" i="8"/>
  <c r="AH619" i="8"/>
  <c r="AH318" i="8"/>
  <c r="AH634" i="8"/>
  <c r="AH653" i="8"/>
  <c r="AH660" i="8"/>
  <c r="AH670" i="8"/>
  <c r="AH671" i="8"/>
  <c r="AH674" i="8"/>
  <c r="AH690" i="8"/>
  <c r="AH691" i="8"/>
  <c r="AH707" i="8"/>
  <c r="AH724" i="8"/>
  <c r="AH725" i="8"/>
  <c r="AH735" i="8"/>
  <c r="AH744" i="8"/>
  <c r="AH745" i="8"/>
  <c r="AH751" i="8"/>
  <c r="AH753" i="8"/>
  <c r="AH765" i="8"/>
  <c r="AH775" i="8"/>
  <c r="AH780" i="8"/>
  <c r="AH789" i="8"/>
  <c r="AH806" i="8"/>
  <c r="AH807" i="8"/>
  <c r="AH450" i="8"/>
  <c r="AH853" i="8"/>
  <c r="AH854" i="8"/>
  <c r="AH884" i="8"/>
  <c r="AH890" i="8"/>
  <c r="AH901" i="8"/>
  <c r="AH285" i="8"/>
  <c r="AH907" i="8"/>
  <c r="AH911" i="8"/>
  <c r="AH915" i="8"/>
  <c r="AH919" i="8"/>
  <c r="AH920" i="8"/>
  <c r="AH924" i="8"/>
  <c r="AH927" i="8"/>
  <c r="AH928" i="8"/>
  <c r="AH936" i="8"/>
  <c r="AH942" i="8"/>
  <c r="AH948" i="8"/>
  <c r="AH288" i="8"/>
  <c r="AH961" i="8"/>
  <c r="AH969" i="8"/>
  <c r="AH971" i="8"/>
  <c r="AH977" i="8"/>
  <c r="AH986" i="8"/>
  <c r="AH992" i="8"/>
  <c r="AH997" i="8"/>
  <c r="AH1002" i="8"/>
  <c r="AH861" i="8"/>
  <c r="AH1010" i="8"/>
  <c r="AH1013" i="8"/>
  <c r="AH1018" i="8"/>
  <c r="AH1022" i="8"/>
  <c r="AH1025" i="8"/>
  <c r="AH352" i="8"/>
  <c r="AH1031" i="8"/>
  <c r="AH1039" i="8"/>
  <c r="AH1066" i="8"/>
  <c r="AH1071" i="8"/>
  <c r="AH484" i="8"/>
  <c r="AH1076" i="8"/>
  <c r="AH1079" i="8"/>
  <c r="AH1085" i="8"/>
  <c r="AH1093" i="8"/>
  <c r="AH1097" i="8"/>
  <c r="AH1098" i="8"/>
  <c r="AH1102" i="8"/>
  <c r="AH1108" i="8"/>
  <c r="AH1109" i="8"/>
  <c r="AH1114" i="8"/>
  <c r="AH488" i="8"/>
  <c r="AH1121" i="8"/>
  <c r="AH1138" i="8"/>
  <c r="AH1143" i="8"/>
  <c r="AH1149" i="8"/>
  <c r="AH1161" i="8"/>
  <c r="AH1167" i="8"/>
  <c r="AH1216" i="8"/>
  <c r="AH1228" i="8"/>
  <c r="AH1229" i="8"/>
  <c r="AH1264" i="8"/>
  <c r="AH1268" i="8"/>
  <c r="AH1269" i="8"/>
  <c r="AH1281" i="8"/>
  <c r="AH1291" i="8"/>
  <c r="AH1306" i="8"/>
  <c r="AH1322" i="8"/>
  <c r="AH1333" i="8"/>
  <c r="AH1349" i="8"/>
  <c r="AH1357" i="8"/>
  <c r="AH1365" i="8"/>
  <c r="AH1376" i="8"/>
  <c r="AH1419" i="8"/>
  <c r="AH1431" i="8"/>
  <c r="AH1434" i="8"/>
  <c r="AH1439" i="8"/>
  <c r="AH1575" i="8"/>
  <c r="AH1502" i="8"/>
  <c r="AH1504" i="8"/>
  <c r="AH1573" i="8"/>
  <c r="AH1541" i="8"/>
  <c r="AH1479" i="8"/>
  <c r="AH1483" i="8"/>
  <c r="AH1497" i="8"/>
  <c r="AH1554" i="8"/>
  <c r="AH1556" i="8"/>
  <c r="AH1562" i="8"/>
  <c r="AH1484" i="8"/>
  <c r="AH1501" i="8"/>
  <c r="AH1460" i="8"/>
  <c r="AH1488" i="8"/>
  <c r="AH1498" i="8"/>
  <c r="AH1544" i="8"/>
  <c r="AH1550" i="8"/>
  <c r="AH1579" i="8"/>
  <c r="AH241" i="8"/>
  <c r="AH1481" i="8"/>
  <c r="AH1509" i="8"/>
  <c r="AH1517" i="8"/>
  <c r="AH1440" i="8"/>
  <c r="AH1441" i="8"/>
  <c r="AH1542" i="8"/>
  <c r="AK1" i="8"/>
  <c r="AI1" i="8" l="1"/>
  <c r="AY24" i="8"/>
  <c r="F24" i="8"/>
  <c r="G1444" i="8" l="1"/>
  <c r="G1527" i="8"/>
  <c r="G1526" i="8"/>
  <c r="G1525" i="8"/>
  <c r="G1524" i="8"/>
  <c r="G1490" i="8"/>
  <c r="G1495" i="8"/>
  <c r="G1521" i="8"/>
  <c r="G1491" i="8"/>
  <c r="G1519" i="8"/>
  <c r="G1577" i="8"/>
  <c r="G1450" i="8"/>
  <c r="G1512" i="8"/>
  <c r="G1494" i="8"/>
  <c r="G1448" i="8"/>
  <c r="G1492" i="8"/>
  <c r="G897" i="8"/>
  <c r="G1555" i="8"/>
  <c r="G898" i="8"/>
  <c r="G1531" i="8"/>
  <c r="G1511" i="8"/>
  <c r="G1477" i="8"/>
  <c r="G1510" i="8"/>
  <c r="G1560" i="8"/>
  <c r="G1493" i="8"/>
  <c r="G1559" i="8"/>
  <c r="G1566" i="8"/>
  <c r="G1552" i="8"/>
  <c r="G1520" i="8"/>
  <c r="G512" i="8"/>
  <c r="G1569" i="8"/>
  <c r="G1546" i="8"/>
  <c r="G304" i="8"/>
  <c r="G1535" i="8"/>
  <c r="G1548" i="8"/>
  <c r="G1467" i="8"/>
  <c r="G1561" i="8"/>
  <c r="G98" i="8"/>
  <c r="G1571" i="8"/>
  <c r="G1537" i="8"/>
  <c r="G302" i="8"/>
  <c r="G1565" i="8"/>
  <c r="G375" i="8"/>
  <c r="G1513" i="8"/>
  <c r="G245" i="8"/>
  <c r="G1564" i="8"/>
  <c r="G1563" i="8"/>
  <c r="G511" i="8"/>
  <c r="G16" i="8"/>
  <c r="E1444" i="8"/>
  <c r="D1444" i="8"/>
  <c r="E1527" i="8"/>
  <c r="D1527" i="8"/>
  <c r="E1526" i="8"/>
  <c r="D1526" i="8"/>
  <c r="E1525" i="8"/>
  <c r="D1525" i="8"/>
  <c r="E1524" i="8"/>
  <c r="D1524" i="8"/>
  <c r="E1490" i="8"/>
  <c r="D1490" i="8"/>
  <c r="E1495" i="8"/>
  <c r="D1495" i="8"/>
  <c r="E1521" i="8"/>
  <c r="D1521" i="8"/>
  <c r="E1491" i="8"/>
  <c r="D1491" i="8"/>
  <c r="E1519" i="8"/>
  <c r="D1519" i="8"/>
  <c r="E1577" i="8"/>
  <c r="D1577" i="8"/>
  <c r="E1450" i="8"/>
  <c r="D1450" i="8"/>
  <c r="E1512" i="8"/>
  <c r="D1512" i="8"/>
  <c r="E1494" i="8"/>
  <c r="D1494" i="8"/>
  <c r="E1448" i="8"/>
  <c r="D1448" i="8"/>
  <c r="E1492" i="8"/>
  <c r="D1492" i="8"/>
  <c r="E897" i="8"/>
  <c r="D897" i="8"/>
  <c r="E1555" i="8"/>
  <c r="D1555" i="8"/>
  <c r="E898" i="8"/>
  <c r="D898" i="8"/>
  <c r="E1531" i="8"/>
  <c r="D1531" i="8"/>
  <c r="E1511" i="8"/>
  <c r="D1511" i="8"/>
  <c r="E1477" i="8"/>
  <c r="D1477" i="8"/>
  <c r="E1510" i="8"/>
  <c r="D1510" i="8"/>
  <c r="E1560" i="8"/>
  <c r="D1560" i="8"/>
  <c r="E1493" i="8"/>
  <c r="D1493" i="8"/>
  <c r="E1559" i="8"/>
  <c r="D1559" i="8"/>
  <c r="E1566" i="8"/>
  <c r="D1566" i="8"/>
  <c r="E1552" i="8"/>
  <c r="D1552" i="8"/>
  <c r="E1520" i="8"/>
  <c r="D1520" i="8"/>
  <c r="E512" i="8"/>
  <c r="D512" i="8"/>
  <c r="E1569" i="8"/>
  <c r="D1569" i="8"/>
  <c r="E1546" i="8"/>
  <c r="D1546" i="8"/>
  <c r="E304" i="8"/>
  <c r="D304" i="8"/>
  <c r="E1535" i="8"/>
  <c r="D1535" i="8"/>
  <c r="E1548" i="8"/>
  <c r="D1548" i="8"/>
  <c r="E1467" i="8"/>
  <c r="D1467" i="8"/>
  <c r="E1561" i="8"/>
  <c r="D1561" i="8"/>
  <c r="E98" i="8"/>
  <c r="D98" i="8"/>
  <c r="E1571" i="8"/>
  <c r="D1571" i="8"/>
  <c r="E1537" i="8"/>
  <c r="D1537" i="8"/>
  <c r="E302" i="8"/>
  <c r="D302" i="8"/>
  <c r="E1565" i="8"/>
  <c r="D1565" i="8"/>
  <c r="E375" i="8"/>
  <c r="D375" i="8"/>
  <c r="E1513" i="8"/>
  <c r="D1513" i="8"/>
  <c r="E245" i="8"/>
  <c r="D245" i="8"/>
  <c r="E1564" i="8"/>
  <c r="D1564" i="8"/>
  <c r="E1563" i="8"/>
  <c r="D1563" i="8"/>
  <c r="E511" i="8"/>
  <c r="D511" i="8"/>
  <c r="E16" i="8"/>
  <c r="D16" i="8"/>
  <c r="G17" i="8"/>
  <c r="E17" i="8"/>
  <c r="D17" i="8"/>
  <c r="C16" i="8"/>
  <c r="C511" i="8"/>
  <c r="C1563" i="8"/>
  <c r="C1564" i="8"/>
  <c r="C245" i="8"/>
  <c r="C1513" i="8"/>
  <c r="C375" i="8"/>
  <c r="C1565" i="8"/>
  <c r="C302" i="8"/>
  <c r="C1537" i="8"/>
  <c r="C1571" i="8"/>
  <c r="C98" i="8"/>
  <c r="C1561" i="8"/>
  <c r="C1467" i="8"/>
  <c r="C1548" i="8"/>
  <c r="C1535" i="8"/>
  <c r="C304" i="8"/>
  <c r="C1546" i="8"/>
  <c r="C1569" i="8"/>
  <c r="C512" i="8"/>
  <c r="C1520" i="8"/>
  <c r="C1552" i="8"/>
  <c r="C1566" i="8"/>
  <c r="C1559" i="8"/>
  <c r="C1493" i="8"/>
  <c r="C1560" i="8"/>
  <c r="C1510" i="8"/>
  <c r="C1477" i="8"/>
  <c r="C1511" i="8"/>
  <c r="C1531" i="8"/>
  <c r="C898" i="8"/>
  <c r="C1555" i="8"/>
  <c r="C897" i="8"/>
  <c r="C1492" i="8"/>
  <c r="C1448" i="8"/>
  <c r="C1494" i="8"/>
  <c r="C1512" i="8"/>
  <c r="C1450" i="8"/>
  <c r="C1577" i="8"/>
  <c r="C1519" i="8"/>
  <c r="C1491" i="8"/>
  <c r="C1521" i="8"/>
  <c r="C1495" i="8"/>
  <c r="C1490" i="8"/>
  <c r="C1524" i="8"/>
  <c r="C1525" i="8"/>
  <c r="C1526" i="8"/>
  <c r="C1527" i="8"/>
  <c r="C1444" i="8"/>
  <c r="C17" i="8"/>
  <c r="AD1270" i="8"/>
  <c r="AY1270" i="8" s="1"/>
  <c r="AD1139" i="8"/>
  <c r="AY1139" i="8" s="1"/>
  <c r="AD417" i="8"/>
  <c r="AY417" i="8" s="1"/>
  <c r="AD764" i="8"/>
  <c r="AY764" i="8" s="1"/>
  <c r="AD1545" i="8"/>
  <c r="AY1545" i="8" s="1"/>
  <c r="AD368" i="8"/>
  <c r="AY368" i="8" s="1"/>
  <c r="AD17" i="8"/>
  <c r="AY17" i="8" s="1"/>
  <c r="AD16" i="8"/>
  <c r="AY16" i="8" s="1"/>
  <c r="AD511" i="8"/>
  <c r="AY511" i="8" s="1"/>
  <c r="AD1563" i="8"/>
  <c r="AY1563" i="8" s="1"/>
  <c r="AD1564" i="8"/>
  <c r="AY1564" i="8" s="1"/>
  <c r="AD245" i="8"/>
  <c r="AY245" i="8" s="1"/>
  <c r="AD1513" i="8"/>
  <c r="AY1513" i="8" s="1"/>
  <c r="AD375" i="8"/>
  <c r="AY375" i="8" s="1"/>
  <c r="AD1565" i="8"/>
  <c r="AY1565" i="8" s="1"/>
  <c r="AD302" i="8"/>
  <c r="AY302" i="8" s="1"/>
  <c r="AD1537" i="8"/>
  <c r="AY1537" i="8" s="1"/>
  <c r="AD1571" i="8"/>
  <c r="AY1571" i="8" s="1"/>
  <c r="AD98" i="8"/>
  <c r="AY98" i="8" s="1"/>
  <c r="AD1561" i="8"/>
  <c r="AY1561" i="8" s="1"/>
  <c r="AD1467" i="8"/>
  <c r="AY1467" i="8" s="1"/>
  <c r="AD1548" i="8"/>
  <c r="AY1548" i="8" s="1"/>
  <c r="AD1535" i="8"/>
  <c r="AY1535" i="8" s="1"/>
  <c r="AD304" i="8"/>
  <c r="AY304" i="8" s="1"/>
  <c r="AD1546" i="8"/>
  <c r="AY1546" i="8" s="1"/>
  <c r="AD1569" i="8"/>
  <c r="AY1569" i="8" s="1"/>
  <c r="AD512" i="8"/>
  <c r="AY512" i="8" s="1"/>
  <c r="AD1520" i="8"/>
  <c r="AY1520" i="8" s="1"/>
  <c r="AD1552" i="8"/>
  <c r="AY1552" i="8" s="1"/>
  <c r="AD1566" i="8"/>
  <c r="AY1566" i="8" s="1"/>
  <c r="AD1559" i="8"/>
  <c r="AY1559" i="8" s="1"/>
  <c r="AD1493" i="8"/>
  <c r="AY1493" i="8" s="1"/>
  <c r="AD1560" i="8"/>
  <c r="AY1560" i="8" s="1"/>
  <c r="AD1510" i="8"/>
  <c r="AY1510" i="8" s="1"/>
  <c r="AD1477" i="8"/>
  <c r="AY1477" i="8" s="1"/>
  <c r="AD1511" i="8"/>
  <c r="AY1511" i="8" s="1"/>
  <c r="AD1531" i="8"/>
  <c r="AY1531" i="8" s="1"/>
  <c r="AD898" i="8"/>
  <c r="AY898" i="8" s="1"/>
  <c r="AD1555" i="8"/>
  <c r="AY1555" i="8" s="1"/>
  <c r="AD897" i="8"/>
  <c r="AY897" i="8" s="1"/>
  <c r="AD1492" i="8"/>
  <c r="AY1492" i="8" s="1"/>
  <c r="AD1448" i="8"/>
  <c r="AY1448" i="8" s="1"/>
  <c r="AD1494" i="8"/>
  <c r="AY1494" i="8" s="1"/>
  <c r="AD1512" i="8"/>
  <c r="AY1512" i="8" s="1"/>
  <c r="AD1450" i="8"/>
  <c r="AY1450" i="8" s="1"/>
  <c r="AD1577" i="8"/>
  <c r="AY1577" i="8" s="1"/>
  <c r="AD1519" i="8"/>
  <c r="AY1519" i="8" s="1"/>
  <c r="AD1491" i="8"/>
  <c r="AY1491" i="8" s="1"/>
  <c r="AD1521" i="8"/>
  <c r="AY1521" i="8" s="1"/>
  <c r="AD1495" i="8"/>
  <c r="AY1495" i="8" s="1"/>
  <c r="AD1490" i="8"/>
  <c r="AY1490" i="8" s="1"/>
  <c r="AD1524" i="8"/>
  <c r="AY1524" i="8" s="1"/>
  <c r="AD1525" i="8"/>
  <c r="AY1525" i="8" s="1"/>
  <c r="AD1526" i="8"/>
  <c r="AY1526" i="8" s="1"/>
  <c r="AD1527" i="8"/>
  <c r="AY1527" i="8" s="1"/>
  <c r="AD1444" i="8"/>
  <c r="AY1444" i="8" s="1"/>
  <c r="AG1" i="8"/>
  <c r="AE788" i="8" l="1"/>
  <c r="AE676" i="8"/>
  <c r="AE678" i="8"/>
  <c r="AE679" i="8"/>
  <c r="AE683" i="8"/>
  <c r="AE684" i="8"/>
  <c r="AE688" i="8"/>
  <c r="AE689" i="8"/>
  <c r="AE697" i="8"/>
  <c r="AE698" i="8"/>
  <c r="AE699" i="8"/>
  <c r="AE700" i="8"/>
  <c r="AE701" i="8"/>
  <c r="AE702" i="8"/>
  <c r="AE703" i="8"/>
  <c r="AE705" i="8"/>
  <c r="AE706" i="8"/>
  <c r="AE709" i="8"/>
  <c r="AE710" i="8"/>
  <c r="AE711" i="8"/>
  <c r="AE713" i="8"/>
  <c r="AE715" i="8"/>
  <c r="AE717" i="8"/>
  <c r="AE718" i="8"/>
  <c r="AE721" i="8"/>
  <c r="AE846" i="8"/>
  <c r="AE847" i="8"/>
  <c r="AE849" i="8"/>
  <c r="AE850" i="8"/>
  <c r="AE851" i="8"/>
  <c r="AE1118" i="8"/>
  <c r="AE593" i="8"/>
  <c r="AE597" i="8"/>
  <c r="AE604" i="8"/>
  <c r="AE609" i="8"/>
  <c r="AE616" i="8"/>
  <c r="AE620" i="8"/>
  <c r="AE624" i="8"/>
  <c r="AE627" i="8"/>
  <c r="AE628" i="8"/>
  <c r="AE630" i="8"/>
  <c r="AE631" i="8"/>
  <c r="AE633" i="8"/>
  <c r="AE635" i="8"/>
  <c r="AE642" i="8"/>
  <c r="AE643" i="8"/>
  <c r="AE651" i="8"/>
  <c r="AE663" i="8"/>
  <c r="AE664" i="8"/>
  <c r="AE665" i="8"/>
  <c r="AE666" i="8"/>
  <c r="AE667" i="8"/>
  <c r="AE949" i="8"/>
  <c r="AE577" i="8"/>
  <c r="AE547" i="8"/>
  <c r="AE548" i="8"/>
  <c r="AE549" i="8"/>
  <c r="AE556" i="8"/>
  <c r="AE558" i="8"/>
  <c r="AE559" i="8"/>
  <c r="AE562" i="8"/>
  <c r="AE564" i="8"/>
  <c r="AE568" i="8"/>
  <c r="AE569" i="8"/>
  <c r="AE578" i="8"/>
  <c r="AE582" i="8"/>
  <c r="AE584" i="8"/>
  <c r="AE586" i="8"/>
  <c r="AE587" i="8"/>
  <c r="AE588" i="8"/>
  <c r="F1270" i="8"/>
  <c r="F1139" i="8"/>
  <c r="F417" i="8"/>
  <c r="F764" i="8"/>
  <c r="F1545" i="8"/>
  <c r="F368" i="8"/>
  <c r="AD588" i="8" l="1"/>
  <c r="AD587" i="8"/>
  <c r="AD586" i="8"/>
  <c r="AD584" i="8"/>
  <c r="AD582" i="8"/>
  <c r="AD578" i="8"/>
  <c r="AD569" i="8"/>
  <c r="AD568" i="8"/>
  <c r="AD564" i="8"/>
  <c r="AD562" i="8"/>
  <c r="AD559" i="8"/>
  <c r="AD558" i="8"/>
  <c r="AD556" i="8"/>
  <c r="AD549" i="8"/>
  <c r="AD548" i="8"/>
  <c r="AD547" i="8"/>
  <c r="AD577" i="8"/>
  <c r="AD949" i="8"/>
  <c r="AD667" i="8"/>
  <c r="AD666" i="8"/>
  <c r="AD665" i="8"/>
  <c r="AD664" i="8"/>
  <c r="AD663" i="8"/>
  <c r="AD651" i="8"/>
  <c r="AD643" i="8"/>
  <c r="AD642" i="8"/>
  <c r="AD635" i="8"/>
  <c r="AD633" i="8"/>
  <c r="AD631" i="8"/>
  <c r="AD630" i="8"/>
  <c r="AD628" i="8"/>
  <c r="AD627" i="8"/>
  <c r="AD624" i="8"/>
  <c r="AD620" i="8"/>
  <c r="AD616" i="8"/>
  <c r="AD609" i="8"/>
  <c r="AD604" i="8"/>
  <c r="AD597" i="8"/>
  <c r="AD593" i="8"/>
  <c r="AD1118" i="8"/>
  <c r="AD851" i="8"/>
  <c r="AD850" i="8"/>
  <c r="AD849" i="8"/>
  <c r="AD847" i="8"/>
  <c r="AD846" i="8"/>
  <c r="AD721" i="8"/>
  <c r="AD718" i="8"/>
  <c r="AD717" i="8"/>
  <c r="AD715" i="8"/>
  <c r="AD713" i="8"/>
  <c r="AD711" i="8"/>
  <c r="AD710" i="8"/>
  <c r="AD709" i="8"/>
  <c r="AD706" i="8"/>
  <c r="AD705" i="8"/>
  <c r="AD703" i="8"/>
  <c r="AD702" i="8"/>
  <c r="AD701" i="8"/>
  <c r="AD700" i="8"/>
  <c r="AD699" i="8"/>
  <c r="AD698" i="8"/>
  <c r="AD697" i="8"/>
  <c r="AD689" i="8"/>
  <c r="AD688" i="8"/>
  <c r="AD684" i="8"/>
  <c r="AD683" i="8"/>
  <c r="AD679" i="8"/>
  <c r="AD1581" i="8"/>
  <c r="AD1438" i="8"/>
  <c r="AD3" i="8"/>
  <c r="AD1437" i="8"/>
  <c r="AD1436" i="8"/>
  <c r="AD1435" i="8"/>
  <c r="AD1434" i="8"/>
  <c r="AD1433" i="8"/>
  <c r="AD1432" i="8"/>
  <c r="AD1431" i="8"/>
  <c r="AD1430" i="8"/>
  <c r="AD1428" i="8"/>
  <c r="AD1427" i="8"/>
  <c r="AD373" i="8"/>
  <c r="AD1426" i="8"/>
  <c r="AD301" i="8"/>
  <c r="AD54" i="8"/>
  <c r="AD1579" i="8"/>
  <c r="AD1578" i="8"/>
  <c r="AD378" i="8"/>
  <c r="AD513" i="8"/>
  <c r="AD377" i="8"/>
  <c r="AD376" i="8"/>
  <c r="AD1576" i="8"/>
  <c r="AY1576" i="8" s="1"/>
  <c r="AD1575" i="8"/>
  <c r="AD1574" i="8"/>
  <c r="AD1573" i="8"/>
  <c r="AD1572" i="8"/>
  <c r="AD1425" i="8"/>
  <c r="AD1424" i="8"/>
  <c r="AD1423" i="8"/>
  <c r="AD1422" i="8"/>
  <c r="AD1421" i="8"/>
  <c r="AD1420" i="8"/>
  <c r="AD1419" i="8"/>
  <c r="AD1418" i="8"/>
  <c r="AD1417" i="8"/>
  <c r="AD1416" i="8"/>
  <c r="AD1415" i="8"/>
  <c r="AD1414" i="8"/>
  <c r="AD1413" i="8"/>
  <c r="AD300" i="8"/>
  <c r="AD1412" i="8"/>
  <c r="AD31" i="8"/>
  <c r="AD11" i="8"/>
  <c r="AD6" i="8"/>
  <c r="AD1570" i="8"/>
  <c r="AY1570" i="8" s="1"/>
  <c r="AD1568" i="8"/>
  <c r="AY1568" i="8" s="1"/>
  <c r="AD1567" i="8"/>
  <c r="AY1567" i="8" s="1"/>
  <c r="AD1411" i="8"/>
  <c r="AD1410" i="8"/>
  <c r="AD1409" i="8"/>
  <c r="AD1408" i="8"/>
  <c r="AD1407" i="8"/>
  <c r="AD1406" i="8"/>
  <c r="AD1405" i="8"/>
  <c r="AD1404" i="8"/>
  <c r="AD1403" i="8"/>
  <c r="AD1402" i="8"/>
  <c r="AD1562" i="8"/>
  <c r="AD1401" i="8"/>
  <c r="AD505" i="8"/>
  <c r="AD1400" i="8"/>
  <c r="AD504" i="8"/>
  <c r="AD237" i="8"/>
  <c r="AD26" i="8"/>
  <c r="AD1399" i="8"/>
  <c r="AD1398" i="8"/>
  <c r="AD503" i="8"/>
  <c r="AD1397" i="8"/>
  <c r="AD1201" i="8"/>
  <c r="AD1396" i="8"/>
  <c r="AD236" i="8"/>
  <c r="AD38" i="8"/>
  <c r="AD1395" i="8"/>
  <c r="AD1394" i="8"/>
  <c r="AD191" i="8"/>
  <c r="AD1393" i="8"/>
  <c r="AD235" i="8"/>
  <c r="AD234" i="8"/>
  <c r="AD111" i="8"/>
  <c r="AD502" i="8"/>
  <c r="AD1392" i="8"/>
  <c r="AD56" i="8"/>
  <c r="AD1390" i="8"/>
  <c r="AD143" i="8"/>
  <c r="AD1389" i="8"/>
  <c r="AD1388" i="8"/>
  <c r="AD1387" i="8"/>
  <c r="AD1386" i="8"/>
  <c r="AD299" i="8"/>
  <c r="AD164" i="8"/>
  <c r="AD1558" i="8"/>
  <c r="AD1557" i="8"/>
  <c r="AD1556" i="8"/>
  <c r="AD1554" i="8"/>
  <c r="AD1553" i="8"/>
  <c r="AD1551" i="8"/>
  <c r="AY1551" i="8" s="1"/>
  <c r="AD1550" i="8"/>
  <c r="AD1549" i="8"/>
  <c r="AD501" i="8"/>
  <c r="AD500" i="8"/>
  <c r="AD1384" i="8"/>
  <c r="AD1383" i="8"/>
  <c r="AD142" i="8"/>
  <c r="AD1382" i="8"/>
  <c r="AD1381" i="8"/>
  <c r="AD1380" i="8"/>
  <c r="AD1379" i="8"/>
  <c r="AD1378" i="8"/>
  <c r="AD1377" i="8"/>
  <c r="AD1376" i="8"/>
  <c r="AD1375" i="8"/>
  <c r="AD1374" i="8"/>
  <c r="AD1373" i="8"/>
  <c r="AD1372" i="8"/>
  <c r="AD1371" i="8"/>
  <c r="AD1370" i="8"/>
  <c r="AD1369" i="8"/>
  <c r="AD1368" i="8"/>
  <c r="AD1367" i="8"/>
  <c r="AD1366" i="8"/>
  <c r="AD1365" i="8"/>
  <c r="AD1364" i="8"/>
  <c r="AD1363" i="8"/>
  <c r="AD1362" i="8"/>
  <c r="AD1361" i="8"/>
  <c r="AD1360" i="8"/>
  <c r="AD1359" i="8"/>
  <c r="AD1358" i="8"/>
  <c r="AD1357" i="8"/>
  <c r="AD1356" i="8"/>
  <c r="AD1355" i="8"/>
  <c r="AD1354" i="8"/>
  <c r="AD1353" i="8"/>
  <c r="AD1352" i="8"/>
  <c r="AD1351" i="8"/>
  <c r="AD1350" i="8"/>
  <c r="AD499" i="8"/>
  <c r="AD1349" i="8"/>
  <c r="AD1348" i="8"/>
  <c r="AD1347" i="8"/>
  <c r="AD233" i="8"/>
  <c r="AD1346" i="8"/>
  <c r="AD1345" i="8"/>
  <c r="AD1344" i="8"/>
  <c r="AD1343" i="8"/>
  <c r="AD498" i="8"/>
  <c r="AD371" i="8"/>
  <c r="AD1342" i="8"/>
  <c r="AD1341" i="8"/>
  <c r="AD1340" i="8"/>
  <c r="AD1339" i="8"/>
  <c r="AD1338" i="8"/>
  <c r="AD1337" i="8"/>
  <c r="AD1336" i="8"/>
  <c r="AD1335" i="8"/>
  <c r="AD1334" i="8"/>
  <c r="AD1333" i="8"/>
  <c r="AD497" i="8"/>
  <c r="AD496" i="8"/>
  <c r="AD1332" i="8"/>
  <c r="AD1331" i="8"/>
  <c r="AD1330" i="8"/>
  <c r="AD1329" i="8"/>
  <c r="AD495" i="8"/>
  <c r="AD1328" i="8"/>
  <c r="AD1327" i="8"/>
  <c r="AD1326" i="8"/>
  <c r="AD1325" i="8"/>
  <c r="AD1324" i="8"/>
  <c r="AD1323" i="8"/>
  <c r="AD1322" i="8"/>
  <c r="AD1321" i="8"/>
  <c r="AD1320" i="8"/>
  <c r="AD1319" i="8"/>
  <c r="AD1318" i="8"/>
  <c r="AD71" i="8"/>
  <c r="AD1317" i="8"/>
  <c r="AD1316" i="8"/>
  <c r="AD190" i="8"/>
  <c r="AD1315" i="8"/>
  <c r="AD1314" i="8"/>
  <c r="AD1313" i="8"/>
  <c r="AD1312" i="8"/>
  <c r="AD1311" i="8"/>
  <c r="AD1310" i="8"/>
  <c r="AD1309" i="8"/>
  <c r="AD1308" i="8"/>
  <c r="AD1307" i="8"/>
  <c r="AD1306" i="8"/>
  <c r="AD1305" i="8"/>
  <c r="AD1304" i="8"/>
  <c r="AD1303" i="8"/>
  <c r="AD1302" i="8"/>
  <c r="AD1301" i="8"/>
  <c r="AD1300" i="8"/>
  <c r="AD1299" i="8"/>
  <c r="AD1298" i="8"/>
  <c r="AD370" i="8"/>
  <c r="AD1297" i="8"/>
  <c r="AD124" i="8"/>
  <c r="AD369" i="8"/>
  <c r="AD163" i="8"/>
  <c r="AD162" i="8"/>
  <c r="AD232" i="8"/>
  <c r="AD1296" i="8"/>
  <c r="AD1295" i="8"/>
  <c r="AD1294" i="8"/>
  <c r="AD231" i="8"/>
  <c r="AD1293" i="8"/>
  <c r="AD1292" i="8"/>
  <c r="AD1291" i="8"/>
  <c r="AD1290" i="8"/>
  <c r="AD1289" i="8"/>
  <c r="AD1288" i="8"/>
  <c r="AD1287" i="8"/>
  <c r="AD1286" i="8"/>
  <c r="AD1285" i="8"/>
  <c r="AD1284" i="8"/>
  <c r="AD1283" i="8"/>
  <c r="AD1282" i="8"/>
  <c r="AD1281" i="8"/>
  <c r="AD367" i="8"/>
  <c r="AD1280" i="8"/>
  <c r="AD494" i="8"/>
  <c r="AD1279" i="8"/>
  <c r="AD1278" i="8"/>
  <c r="AD1277" i="8"/>
  <c r="AD1276" i="8"/>
  <c r="AD1275" i="8"/>
  <c r="AD1274" i="8"/>
  <c r="AD366" i="8"/>
  <c r="AD298" i="8"/>
  <c r="AD230" i="8"/>
  <c r="AD493" i="8"/>
  <c r="AD492" i="8"/>
  <c r="AD1273" i="8"/>
  <c r="AD1544" i="8"/>
  <c r="AD1543" i="8"/>
  <c r="AD1272" i="8"/>
  <c r="AD1542" i="8"/>
  <c r="AD1541" i="8"/>
  <c r="AD1540" i="8"/>
  <c r="AD1539" i="8"/>
  <c r="AD510" i="8"/>
  <c r="AD1269" i="8"/>
  <c r="AD1268" i="8"/>
  <c r="AD1267" i="8"/>
  <c r="AD1266" i="8"/>
  <c r="AD1265" i="8"/>
  <c r="AD1264" i="8"/>
  <c r="AD372" i="8"/>
  <c r="AD1263" i="8"/>
  <c r="AD1245" i="8"/>
  <c r="AD1202" i="8"/>
  <c r="AD1262" i="8"/>
  <c r="AD1244" i="8"/>
  <c r="AD1261" i="8"/>
  <c r="AD1260" i="8"/>
  <c r="AD1235" i="8"/>
  <c r="AD1243" i="8"/>
  <c r="AD1246" i="8"/>
  <c r="AD1253" i="8"/>
  <c r="AD1252" i="8"/>
  <c r="AD1251" i="8"/>
  <c r="AD1237" i="8"/>
  <c r="AD1250" i="8"/>
  <c r="AD1259" i="8"/>
  <c r="AD1258" i="8"/>
  <c r="AD1257" i="8"/>
  <c r="AD1256" i="8"/>
  <c r="AD1255" i="8"/>
  <c r="AD1241" i="8"/>
  <c r="AD1240" i="8"/>
  <c r="AD1239" i="8"/>
  <c r="AD1238" i="8"/>
  <c r="AD1249" i="8"/>
  <c r="AD1236" i="8"/>
  <c r="AD1248" i="8"/>
  <c r="AD1234" i="8"/>
  <c r="AD1233" i="8"/>
  <c r="AD1232" i="8"/>
  <c r="AD1231" i="8"/>
  <c r="AD1230" i="8"/>
  <c r="AD1229" i="8"/>
  <c r="AD1228" i="8"/>
  <c r="AD1227" i="8"/>
  <c r="AD1226" i="8"/>
  <c r="AD1225" i="8"/>
  <c r="AD1224" i="8"/>
  <c r="AD1223" i="8"/>
  <c r="AD27" i="8"/>
  <c r="AD30" i="8"/>
  <c r="AD1222" i="8"/>
  <c r="AD1221" i="8"/>
  <c r="AD1220" i="8"/>
  <c r="AD297" i="8"/>
  <c r="AD1219" i="8"/>
  <c r="AD296" i="8"/>
  <c r="AD1218" i="8"/>
  <c r="AD295" i="8"/>
  <c r="AD365" i="8"/>
  <c r="AD364" i="8"/>
  <c r="AD363" i="8"/>
  <c r="AD91" i="8"/>
  <c r="AD90" i="8"/>
  <c r="AD86" i="8"/>
  <c r="AD123" i="8"/>
  <c r="AD1217" i="8"/>
  <c r="AD1216" i="8"/>
  <c r="AD1215" i="8"/>
  <c r="AD1214" i="8"/>
  <c r="AD1213" i="8"/>
  <c r="AD1212" i="8"/>
  <c r="AD362" i="8"/>
  <c r="AD1211" i="8"/>
  <c r="AD1210" i="8"/>
  <c r="AD1209" i="8"/>
  <c r="AD361" i="8"/>
  <c r="AD1208" i="8"/>
  <c r="AD141" i="8"/>
  <c r="AD1207" i="8"/>
  <c r="AD294" i="8"/>
  <c r="AD1206" i="8"/>
  <c r="AD293" i="8"/>
  <c r="AD360" i="8"/>
  <c r="AD1205" i="8"/>
  <c r="AD1247" i="8"/>
  <c r="AD1254" i="8"/>
  <c r="AD51" i="8"/>
  <c r="AD1199" i="8"/>
  <c r="AD96" i="8"/>
  <c r="AD161" i="8"/>
  <c r="AD1198" i="8"/>
  <c r="AD1197" i="8"/>
  <c r="AD1196" i="8"/>
  <c r="AD1195" i="8"/>
  <c r="AD1194" i="8"/>
  <c r="AD1193" i="8"/>
  <c r="AD1192" i="8"/>
  <c r="AD1191" i="8"/>
  <c r="AD1190" i="8"/>
  <c r="AD1189" i="8"/>
  <c r="AD1188" i="8"/>
  <c r="AD1187" i="8"/>
  <c r="AD1186" i="8"/>
  <c r="AD359" i="8"/>
  <c r="AD1185" i="8"/>
  <c r="AD1184" i="8"/>
  <c r="AD1183" i="8"/>
  <c r="AD1182" i="8"/>
  <c r="AD1181" i="8"/>
  <c r="AD1180" i="8"/>
  <c r="AD1179" i="8"/>
  <c r="AD1178" i="8"/>
  <c r="AD36" i="8"/>
  <c r="AD1177" i="8"/>
  <c r="AD1176" i="8"/>
  <c r="AD1175" i="8"/>
  <c r="AD1530" i="8"/>
  <c r="AD1529" i="8"/>
  <c r="AD1528" i="8"/>
  <c r="AD1523" i="8"/>
  <c r="AD1522" i="8"/>
  <c r="AD1517" i="8"/>
  <c r="AD1516" i="8"/>
  <c r="AD1515" i="8"/>
  <c r="AD1514" i="8"/>
  <c r="AD1509" i="8"/>
  <c r="AD1508" i="8"/>
  <c r="AY1508" i="8" s="1"/>
  <c r="AD1507" i="8"/>
  <c r="AD507" i="8"/>
  <c r="AD1506" i="8"/>
  <c r="AD1505" i="8"/>
  <c r="AD1504" i="8"/>
  <c r="AD1503" i="8"/>
  <c r="AD1502" i="8"/>
  <c r="AD193" i="8"/>
  <c r="AD1501" i="8"/>
  <c r="AD1500" i="8"/>
  <c r="AD1499" i="8"/>
  <c r="AD1498" i="8"/>
  <c r="AD244" i="8"/>
  <c r="AD1497" i="8"/>
  <c r="AD1496" i="8"/>
  <c r="AD1489" i="8"/>
  <c r="AD1488" i="8"/>
  <c r="AD243" i="8"/>
  <c r="AD1487" i="8"/>
  <c r="AD1486" i="8"/>
  <c r="AD1485" i="8"/>
  <c r="AD1484" i="8"/>
  <c r="AD97" i="8"/>
  <c r="AD1483" i="8"/>
  <c r="AD1482" i="8"/>
  <c r="AD1481" i="8"/>
  <c r="AD1480" i="8"/>
  <c r="AD1479" i="8"/>
  <c r="AD242" i="8"/>
  <c r="AD1478" i="8"/>
  <c r="AD241" i="8"/>
  <c r="AD1174" i="8"/>
  <c r="AD1173" i="8"/>
  <c r="AD1168" i="8"/>
  <c r="AD1167" i="8"/>
  <c r="AD1171" i="8"/>
  <c r="AD1170" i="8"/>
  <c r="AD1169" i="8"/>
  <c r="AD189" i="8"/>
  <c r="AD1166" i="8"/>
  <c r="AD1159" i="8"/>
  <c r="AD1158" i="8"/>
  <c r="AD491" i="8"/>
  <c r="AD490" i="8"/>
  <c r="AD1157" i="8"/>
  <c r="AD1142" i="8"/>
  <c r="AD1469" i="8"/>
  <c r="AD1165" i="8"/>
  <c r="AD1164" i="8"/>
  <c r="AD1163" i="8"/>
  <c r="AD9" i="8"/>
  <c r="AD1468" i="8"/>
  <c r="AD1466" i="8"/>
  <c r="AD1465" i="8"/>
  <c r="AD1464" i="8"/>
  <c r="AD1463" i="8"/>
  <c r="AD1460" i="8"/>
  <c r="AD374" i="8"/>
  <c r="AD1458" i="8"/>
  <c r="AD1162" i="8"/>
  <c r="AD1161" i="8"/>
  <c r="AD1160" i="8"/>
  <c r="AD1141" i="8"/>
  <c r="AD1140" i="8"/>
  <c r="AD880" i="8"/>
  <c r="AD465" i="8"/>
  <c r="AD1155" i="8"/>
  <c r="AD1154" i="8"/>
  <c r="AD1153" i="8"/>
  <c r="AD1152" i="8"/>
  <c r="AD1151" i="8"/>
  <c r="AD489" i="8"/>
  <c r="AD1150" i="8"/>
  <c r="AD1149" i="8"/>
  <c r="AD1148" i="8"/>
  <c r="AD1147" i="8"/>
  <c r="AD1146" i="8"/>
  <c r="AD1145" i="8"/>
  <c r="AD1144" i="8"/>
  <c r="AD1143" i="8"/>
  <c r="AD678" i="8"/>
  <c r="AD464" i="8"/>
  <c r="AD676" i="8"/>
  <c r="AD1138" i="8"/>
  <c r="AD1137" i="8"/>
  <c r="AD1136" i="8"/>
  <c r="AD1135" i="8"/>
  <c r="AD1134" i="8"/>
  <c r="AD1133" i="8"/>
  <c r="AD1132" i="8"/>
  <c r="AD1131" i="8"/>
  <c r="AD1130" i="8"/>
  <c r="AD1129" i="8"/>
  <c r="AD1128" i="8"/>
  <c r="AD1127" i="8"/>
  <c r="AD1126" i="8"/>
  <c r="AD1125" i="8"/>
  <c r="AD282" i="8"/>
  <c r="AD879" i="8"/>
  <c r="AD1124" i="8"/>
  <c r="AD1123" i="8"/>
  <c r="AD1122" i="8"/>
  <c r="AD1121" i="8"/>
  <c r="AD356" i="8"/>
  <c r="AD355" i="8"/>
  <c r="AD1119" i="8"/>
  <c r="AD878" i="8"/>
  <c r="AD877" i="8"/>
  <c r="AD1120" i="8"/>
  <c r="AD1117" i="8"/>
  <c r="AD488" i="8"/>
  <c r="AD487" i="8"/>
  <c r="AD486" i="8"/>
  <c r="AD1116" i="8"/>
  <c r="AD1115" i="8"/>
  <c r="AD1114" i="8"/>
  <c r="AD1113" i="8"/>
  <c r="AD446" i="8"/>
  <c r="AD1112" i="8"/>
  <c r="AD1111" i="8"/>
  <c r="AD1110" i="8"/>
  <c r="AD1109" i="8"/>
  <c r="AD1108" i="8"/>
  <c r="AD1107" i="8"/>
  <c r="AD1106" i="8"/>
  <c r="AD1105" i="8"/>
  <c r="AD1104" i="8"/>
  <c r="AD876" i="8"/>
  <c r="AD1103" i="8"/>
  <c r="AD1102" i="8"/>
  <c r="AD1101" i="8"/>
  <c r="AD1100" i="8"/>
  <c r="AD1099" i="8"/>
  <c r="AD1098" i="8"/>
  <c r="AD1097" i="8"/>
  <c r="AD1096" i="8"/>
  <c r="AD1095" i="8"/>
  <c r="AD1094" i="8"/>
  <c r="AD1093" i="8"/>
  <c r="AD1092" i="8"/>
  <c r="AD1091" i="8"/>
  <c r="AD1090" i="8"/>
  <c r="AD1089" i="8"/>
  <c r="AD1088" i="8"/>
  <c r="AD1087" i="8"/>
  <c r="AD1086" i="8"/>
  <c r="AD1085" i="8"/>
  <c r="AD1084" i="8"/>
  <c r="AD1083" i="8"/>
  <c r="AD875" i="8"/>
  <c r="AD1082" i="8"/>
  <c r="AD1081" i="8"/>
  <c r="AD1080" i="8"/>
  <c r="AD1079" i="8"/>
  <c r="AD461" i="8"/>
  <c r="AD354" i="8"/>
  <c r="AD1078" i="8"/>
  <c r="AD1077" i="8"/>
  <c r="AD485" i="8"/>
  <c r="AD353" i="8"/>
  <c r="AD825" i="8"/>
  <c r="AD874" i="8"/>
  <c r="AD459" i="8"/>
  <c r="AD1076" i="8"/>
  <c r="AD1075" i="8"/>
  <c r="AD458" i="8"/>
  <c r="AD872" i="8"/>
  <c r="AD1074" i="8"/>
  <c r="AD1073" i="8"/>
  <c r="AD484" i="8"/>
  <c r="AD483" i="8"/>
  <c r="AD457" i="8"/>
  <c r="AD456" i="8"/>
  <c r="AD1071" i="8"/>
  <c r="AD1070" i="8"/>
  <c r="AD1069" i="8"/>
  <c r="AD1068" i="8"/>
  <c r="AD1067" i="8"/>
  <c r="AD1066" i="8"/>
  <c r="AD1065" i="8"/>
  <c r="AD1064" i="8"/>
  <c r="AD1063" i="8"/>
  <c r="AD1062" i="8"/>
  <c r="AD1061" i="8"/>
  <c r="AD1060" i="8"/>
  <c r="AD1059" i="8"/>
  <c r="AD1058" i="8"/>
  <c r="AD1057" i="8"/>
  <c r="AD1056" i="8"/>
  <c r="AD1055" i="8"/>
  <c r="AD345" i="8"/>
  <c r="AD344" i="8"/>
  <c r="AD338" i="8"/>
  <c r="AD274" i="8"/>
  <c r="AD1054" i="8"/>
  <c r="AD1053" i="8"/>
  <c r="AD1052" i="8"/>
  <c r="AD1051" i="8"/>
  <c r="AD1050" i="8"/>
  <c r="AD1049" i="8"/>
  <c r="AD1048" i="8"/>
  <c r="AD481" i="8"/>
  <c r="AD1047" i="8"/>
  <c r="AD870" i="8"/>
  <c r="AD869" i="8"/>
  <c r="AD480" i="8"/>
  <c r="AD1046" i="8"/>
  <c r="AD1045" i="8"/>
  <c r="AD1044" i="8"/>
  <c r="AD1043" i="8"/>
  <c r="AD1040" i="8"/>
  <c r="AD1039" i="8"/>
  <c r="AD1038" i="8"/>
  <c r="AD1037" i="8"/>
  <c r="AD1036" i="8"/>
  <c r="AD1035" i="8"/>
  <c r="AD1034" i="8"/>
  <c r="AD1031" i="8"/>
  <c r="AD1030" i="8"/>
  <c r="AD833" i="8"/>
  <c r="AD832" i="8"/>
  <c r="AD1029" i="8"/>
  <c r="AD352" i="8"/>
  <c r="AD1028" i="8"/>
  <c r="AD1027" i="8"/>
  <c r="AD1026" i="8"/>
  <c r="AD1025" i="8"/>
  <c r="AD1023" i="8"/>
  <c r="AD1022" i="8"/>
  <c r="AD1021" i="8"/>
  <c r="AD1019" i="8"/>
  <c r="AD1018" i="8"/>
  <c r="AD865" i="8"/>
  <c r="AD1017" i="8"/>
  <c r="AD1016" i="8"/>
  <c r="AD1015" i="8"/>
  <c r="AD1014" i="8"/>
  <c r="AD1013" i="8"/>
  <c r="AD1012" i="8"/>
  <c r="AD1011" i="8"/>
  <c r="AD1010" i="8"/>
  <c r="AD1009" i="8"/>
  <c r="AD995" i="8"/>
  <c r="AD1007" i="8"/>
  <c r="AD1006" i="8"/>
  <c r="AD863" i="8"/>
  <c r="AD862" i="8"/>
  <c r="AD861" i="8"/>
  <c r="AD1005" i="8"/>
  <c r="AD1004" i="8"/>
  <c r="AD1003" i="8"/>
  <c r="AD1002" i="8"/>
  <c r="AD1001" i="8"/>
  <c r="AD1000" i="8"/>
  <c r="AD478" i="8"/>
  <c r="AD477" i="8"/>
  <c r="AD999" i="8"/>
  <c r="AD998" i="8"/>
  <c r="AD997" i="8"/>
  <c r="AD996" i="8"/>
  <c r="AD106" i="8"/>
  <c r="AD118" i="8"/>
  <c r="AD994" i="8"/>
  <c r="AD437" i="8"/>
  <c r="AD817" i="8"/>
  <c r="AD992" i="8"/>
  <c r="AD991" i="8"/>
  <c r="AD859" i="8"/>
  <c r="AD858" i="8"/>
  <c r="AD215" i="8"/>
  <c r="AD281" i="8"/>
  <c r="AD280" i="8"/>
  <c r="AD85" i="8"/>
  <c r="AD989" i="8"/>
  <c r="AD966" i="8"/>
  <c r="AD965" i="8"/>
  <c r="AD964" i="8"/>
  <c r="AD988" i="8"/>
  <c r="AD987" i="8"/>
  <c r="AD986" i="8"/>
  <c r="AD985" i="8"/>
  <c r="AD982" i="8"/>
  <c r="AD981" i="8"/>
  <c r="AD980" i="8"/>
  <c r="AD979" i="8"/>
  <c r="AD978" i="8"/>
  <c r="AD476" i="8"/>
  <c r="AD977" i="8"/>
  <c r="AD976" i="8"/>
  <c r="AD975" i="8"/>
  <c r="AD974" i="8"/>
  <c r="AD973" i="8"/>
  <c r="AD972" i="8"/>
  <c r="AD971" i="8"/>
  <c r="AD291" i="8"/>
  <c r="AD475" i="8"/>
  <c r="AD970" i="8"/>
  <c r="AD969" i="8"/>
  <c r="AD951" i="8"/>
  <c r="AD950" i="8"/>
  <c r="AD287" i="8"/>
  <c r="AD968" i="8"/>
  <c r="AD967" i="8"/>
  <c r="AD857" i="8"/>
  <c r="AD961" i="8"/>
  <c r="AD960" i="8"/>
  <c r="AD959" i="8"/>
  <c r="AD342" i="8"/>
  <c r="AD958" i="8"/>
  <c r="AD957" i="8"/>
  <c r="AD956" i="8"/>
  <c r="AD277" i="8"/>
  <c r="AD290" i="8"/>
  <c r="AD221" i="8"/>
  <c r="AD955" i="8"/>
  <c r="AD954" i="8"/>
  <c r="AD473" i="8"/>
  <c r="AD829" i="8"/>
  <c r="AD841" i="8"/>
  <c r="AD840" i="8"/>
  <c r="AD828" i="8"/>
  <c r="AD140" i="8"/>
  <c r="AD139" i="8"/>
  <c r="AD953" i="8"/>
  <c r="AD952" i="8"/>
  <c r="AD444" i="8"/>
  <c r="AD289" i="8"/>
  <c r="AD288" i="8"/>
  <c r="AD472" i="8"/>
  <c r="AD471" i="8"/>
  <c r="AD948" i="8"/>
  <c r="AD947" i="8"/>
  <c r="AD824" i="8"/>
  <c r="AD818" i="8"/>
  <c r="AD946" i="8"/>
  <c r="AD945" i="8"/>
  <c r="AD944" i="8"/>
  <c r="AD943" i="8"/>
  <c r="AD942" i="8"/>
  <c r="AD939" i="8"/>
  <c r="AD938" i="8"/>
  <c r="AD937" i="8"/>
  <c r="AD936" i="8"/>
  <c r="AD935" i="8"/>
  <c r="AD934" i="8"/>
  <c r="AD933" i="8"/>
  <c r="AD443" i="8"/>
  <c r="AD438" i="8"/>
  <c r="AD827" i="8"/>
  <c r="AD931" i="8"/>
  <c r="AD930" i="8"/>
  <c r="AD929" i="8"/>
  <c r="AD928" i="8"/>
  <c r="AD927" i="8"/>
  <c r="AD926" i="8"/>
  <c r="AD925" i="8"/>
  <c r="AD924" i="8"/>
  <c r="AD470" i="8"/>
  <c r="AD923" i="8"/>
  <c r="AD922" i="8"/>
  <c r="AD921" i="8"/>
  <c r="AD350" i="8"/>
  <c r="AD920" i="8"/>
  <c r="AD919" i="8"/>
  <c r="AD838" i="8"/>
  <c r="AD918" i="8"/>
  <c r="AD917" i="8"/>
  <c r="AD916" i="8"/>
  <c r="AD915" i="8"/>
  <c r="AD914" i="8"/>
  <c r="AD913" i="8"/>
  <c r="AD912" i="8"/>
  <c r="AD469" i="8"/>
  <c r="AD911" i="8"/>
  <c r="AD910" i="8"/>
  <c r="AD909" i="8"/>
  <c r="AD837" i="8"/>
  <c r="AD908" i="8"/>
  <c r="AD286" i="8"/>
  <c r="AD907" i="8"/>
  <c r="AD348" i="8"/>
  <c r="AD347" i="8"/>
  <c r="AD468" i="8"/>
  <c r="AD906" i="8"/>
  <c r="AD826" i="8"/>
  <c r="AD449" i="8"/>
  <c r="AD905" i="8"/>
  <c r="AD346" i="8"/>
  <c r="AD467" i="8"/>
  <c r="AD904" i="8"/>
  <c r="AD903" i="8"/>
  <c r="AD285" i="8"/>
  <c r="AD902" i="8"/>
  <c r="AD901" i="8"/>
  <c r="AD900" i="8"/>
  <c r="AD899" i="8"/>
  <c r="AD276" i="8"/>
  <c r="AD275" i="8"/>
  <c r="AD216" i="8"/>
  <c r="AD436" i="8"/>
  <c r="AD896" i="8"/>
  <c r="AD895" i="8"/>
  <c r="AD442" i="8"/>
  <c r="AD894" i="8"/>
  <c r="AD823" i="8"/>
  <c r="AD893" i="8"/>
  <c r="AD892" i="8"/>
  <c r="AD891" i="8"/>
  <c r="AD890" i="8"/>
  <c r="AD70" i="8"/>
  <c r="AD69" i="8"/>
  <c r="AD78" i="8"/>
  <c r="AD889" i="8"/>
  <c r="AD888" i="8"/>
  <c r="AD107" i="8"/>
  <c r="AD109" i="8"/>
  <c r="AD122" i="8"/>
  <c r="AD108" i="8"/>
  <c r="AD887" i="8"/>
  <c r="AD466" i="8"/>
  <c r="AD227" i="8"/>
  <c r="AD157" i="8"/>
  <c r="AD160" i="8"/>
  <c r="AD886" i="8"/>
  <c r="AD885" i="8"/>
  <c r="AD884" i="8"/>
  <c r="AD883" i="8"/>
  <c r="AD882" i="8"/>
  <c r="AD283" i="8"/>
  <c r="AD881" i="8"/>
  <c r="AD1156" i="8"/>
  <c r="AD463" i="8"/>
  <c r="AD272" i="8"/>
  <c r="AD440" i="8"/>
  <c r="AD460" i="8"/>
  <c r="AD856" i="8"/>
  <c r="AD855" i="8"/>
  <c r="AD854" i="8"/>
  <c r="AD853" i="8"/>
  <c r="AD852" i="8"/>
  <c r="AD848" i="8"/>
  <c r="AD845" i="8"/>
  <c r="AD873" i="8"/>
  <c r="AD452" i="8"/>
  <c r="AD844" i="8"/>
  <c r="AD843" i="8"/>
  <c r="AD341" i="8"/>
  <c r="AD89" i="8"/>
  <c r="AD842" i="8"/>
  <c r="AD186" i="8"/>
  <c r="AD185" i="8"/>
  <c r="AD95" i="8"/>
  <c r="AD278" i="8"/>
  <c r="AD451" i="8"/>
  <c r="AD450" i="8"/>
  <c r="AD64" i="8"/>
  <c r="AD835" i="8"/>
  <c r="AD1072" i="8"/>
  <c r="AD226" i="8"/>
  <c r="AD225" i="8"/>
  <c r="AD117" i="8"/>
  <c r="AD116" i="8"/>
  <c r="AD871" i="8"/>
  <c r="AD138" i="8"/>
  <c r="AD339" i="8"/>
  <c r="AD137" i="8"/>
  <c r="AD454" i="8"/>
  <c r="AD453" i="8"/>
  <c r="AD868" i="8"/>
  <c r="AD867" i="8"/>
  <c r="AD866" i="8"/>
  <c r="AD439" i="8"/>
  <c r="AD55" i="8"/>
  <c r="AD343" i="8"/>
  <c r="AD479" i="8"/>
  <c r="AD1024" i="8"/>
  <c r="AD188" i="8"/>
  <c r="AD187" i="8"/>
  <c r="AD1020" i="8"/>
  <c r="AD1008" i="8"/>
  <c r="AD119" i="8"/>
  <c r="AD860" i="8"/>
  <c r="AD135" i="8"/>
  <c r="AD335" i="8"/>
  <c r="AD990" i="8"/>
  <c r="AD270" i="8"/>
  <c r="AD445" i="8"/>
  <c r="AD830" i="8"/>
  <c r="AD984" i="8"/>
  <c r="AD983" i="8"/>
  <c r="AD963" i="8"/>
  <c r="AD962" i="8"/>
  <c r="AD222" i="8"/>
  <c r="AD474" i="8"/>
  <c r="AD941" i="8"/>
  <c r="AD940" i="8"/>
  <c r="AD349" i="8"/>
  <c r="AD182" i="8"/>
  <c r="AD155" i="8"/>
  <c r="AD836" i="8"/>
  <c r="AD134" i="8"/>
  <c r="AD284" i="8"/>
  <c r="AD219" i="8"/>
  <c r="AD448" i="8"/>
  <c r="AD441" i="8"/>
  <c r="AD220" i="8"/>
  <c r="AD94" i="8"/>
  <c r="AD84" i="8"/>
  <c r="AD159" i="8"/>
  <c r="AD158" i="8"/>
  <c r="AD132" i="8"/>
  <c r="AD447" i="8"/>
  <c r="AD455" i="8"/>
  <c r="AD1042" i="8"/>
  <c r="AD1041" i="8"/>
  <c r="AD271" i="8"/>
  <c r="AD1033" i="8"/>
  <c r="AD1032" i="8"/>
  <c r="AD183" i="8"/>
  <c r="AD223" i="8"/>
  <c r="AD820" i="8"/>
  <c r="AD819" i="8"/>
  <c r="AD292" i="8"/>
  <c r="AD993" i="8"/>
  <c r="AD351" i="8"/>
  <c r="AD839" i="8"/>
  <c r="AD340" i="8"/>
  <c r="AD10" i="8"/>
  <c r="AD8" i="8"/>
  <c r="AD932" i="8"/>
  <c r="AD217" i="8"/>
  <c r="AD115" i="8"/>
  <c r="AD228" i="8"/>
  <c r="AD133" i="8"/>
  <c r="AD184" i="8"/>
  <c r="AD214" i="8"/>
  <c r="AD334" i="8"/>
  <c r="AD834" i="8"/>
  <c r="AD273" i="8"/>
  <c r="AD279" i="8"/>
  <c r="AD120" i="8"/>
  <c r="AD268" i="8"/>
  <c r="AD269" i="8"/>
  <c r="AD213" i="8"/>
  <c r="AD482" i="8"/>
  <c r="AD47" i="8"/>
  <c r="AD46" i="8"/>
  <c r="AD43" i="8"/>
  <c r="AD136" i="8"/>
  <c r="AD156" i="8"/>
  <c r="AD181" i="8"/>
  <c r="AD93" i="8"/>
  <c r="AD92" i="8"/>
  <c r="AD224" i="8"/>
  <c r="AD218" i="8"/>
  <c r="AD33" i="8"/>
  <c r="AD32" i="8"/>
  <c r="AD337" i="8"/>
  <c r="AD62" i="8"/>
  <c r="AD59" i="8"/>
  <c r="AD61" i="8"/>
  <c r="AD50" i="8"/>
  <c r="AD121" i="8"/>
  <c r="AD63" i="8"/>
  <c r="AD105" i="8"/>
  <c r="AD104" i="8"/>
  <c r="AD435" i="8"/>
  <c r="AD336" i="8"/>
  <c r="AD831" i="8"/>
  <c r="AD83" i="8"/>
  <c r="AD52" i="8"/>
  <c r="AD82" i="8"/>
  <c r="AD68" i="8"/>
  <c r="AD48" i="8"/>
  <c r="AD88" i="8"/>
  <c r="AD103" i="8"/>
  <c r="AD22" i="8"/>
  <c r="AD35" i="8"/>
  <c r="AD21" i="8"/>
  <c r="AD23" i="8"/>
  <c r="AD212" i="8"/>
  <c r="AD12" i="8"/>
  <c r="AD19" i="8"/>
  <c r="AD20" i="8"/>
  <c r="AD5" i="8"/>
  <c r="AD333" i="8"/>
  <c r="AD267" i="8"/>
  <c r="AD816" i="8"/>
  <c r="AD77" i="8"/>
  <c r="AD815" i="8"/>
  <c r="AD4" i="8"/>
  <c r="AD814" i="8"/>
  <c r="AD813" i="8"/>
  <c r="AD812" i="8"/>
  <c r="AD434" i="8"/>
  <c r="AD266" i="8"/>
  <c r="AD433" i="8"/>
  <c r="AD811" i="8"/>
  <c r="AD810" i="8"/>
  <c r="AD432" i="8"/>
  <c r="AD180" i="8"/>
  <c r="AD431" i="8"/>
  <c r="AD265" i="8"/>
  <c r="AD430" i="8"/>
  <c r="AD429" i="8"/>
  <c r="AD809" i="8"/>
  <c r="AD76" i="8"/>
  <c r="AD14" i="8"/>
  <c r="AD428" i="8"/>
  <c r="AD808" i="8"/>
  <c r="AD7" i="8"/>
  <c r="AD211" i="8"/>
  <c r="AD179" i="8"/>
  <c r="AD102" i="8"/>
  <c r="AD807" i="8"/>
  <c r="AD806" i="8"/>
  <c r="AD805" i="8"/>
  <c r="AD804" i="8"/>
  <c r="AD264" i="8"/>
  <c r="AD263" i="8"/>
  <c r="AD210" i="8"/>
  <c r="AD427" i="8"/>
  <c r="AD426" i="8"/>
  <c r="AD803" i="8"/>
  <c r="AD73" i="8"/>
  <c r="AD81" i="8"/>
  <c r="AD802" i="8"/>
  <c r="AD425" i="8"/>
  <c r="AD801" i="8"/>
  <c r="AD800" i="8"/>
  <c r="AD178" i="8"/>
  <c r="AD101" i="8"/>
  <c r="AD424" i="8"/>
  <c r="AD799" i="8"/>
  <c r="AD67" i="8"/>
  <c r="AD72" i="8"/>
  <c r="AD154" i="8"/>
  <c r="AD798" i="8"/>
  <c r="AD332" i="8"/>
  <c r="AD797" i="8"/>
  <c r="AD262" i="8"/>
  <c r="AD423" i="8"/>
  <c r="AD796" i="8"/>
  <c r="AD177" i="8"/>
  <c r="AD422" i="8"/>
  <c r="AD331" i="8"/>
  <c r="AD153" i="8"/>
  <c r="AD795" i="8"/>
  <c r="AD794" i="8"/>
  <c r="AD793" i="8"/>
  <c r="AD792" i="8"/>
  <c r="AD791" i="8"/>
  <c r="AD790" i="8"/>
  <c r="AD330" i="8"/>
  <c r="AD789" i="8"/>
  <c r="AD421" i="8"/>
  <c r="AD788" i="8"/>
  <c r="AD787" i="8"/>
  <c r="AD261" i="8"/>
  <c r="AD786" i="8"/>
  <c r="AD209" i="8"/>
  <c r="AD176" i="8"/>
  <c r="AD260" i="8"/>
  <c r="AD80" i="8"/>
  <c r="AD785" i="8"/>
  <c r="AD152" i="8"/>
  <c r="AD784" i="8"/>
  <c r="AD783" i="8"/>
  <c r="AD782" i="8"/>
  <c r="AD420" i="8"/>
  <c r="AD781" i="8"/>
  <c r="AD780" i="8"/>
  <c r="AD175" i="8"/>
  <c r="AD419" i="8"/>
  <c r="AD779" i="8"/>
  <c r="AD418" i="8"/>
  <c r="AD131" i="8"/>
  <c r="AD778" i="8"/>
  <c r="AD174" i="8"/>
  <c r="AD60" i="8"/>
  <c r="AD34" i="8"/>
  <c r="AD66" i="8"/>
  <c r="AD75" i="8"/>
  <c r="AD329" i="8"/>
  <c r="AD777" i="8"/>
  <c r="AD776" i="8"/>
  <c r="AD775" i="8"/>
  <c r="AD29" i="8"/>
  <c r="AD774" i="8"/>
  <c r="AD773" i="8"/>
  <c r="AD772" i="8"/>
  <c r="AD416" i="8"/>
  <c r="AD771" i="8"/>
  <c r="AD259" i="8"/>
  <c r="AD58" i="8"/>
  <c r="AD770" i="8"/>
  <c r="AD506" i="8"/>
  <c r="AY506" i="8" s="1"/>
  <c r="AD1451" i="8"/>
  <c r="AY1451" i="8" s="1"/>
  <c r="AD13" i="8"/>
  <c r="AD100" i="8"/>
  <c r="AD49" i="8"/>
  <c r="AD41" i="8"/>
  <c r="AD769" i="8"/>
  <c r="AD37" i="8"/>
  <c r="AD208" i="8"/>
  <c r="AD151" i="8"/>
  <c r="AD79" i="8"/>
  <c r="AD768" i="8"/>
  <c r="AD767" i="8"/>
  <c r="AD766" i="8"/>
  <c r="AD765" i="8"/>
  <c r="AD763" i="8"/>
  <c r="AD173" i="8"/>
  <c r="AD762" i="8"/>
  <c r="AD761" i="8"/>
  <c r="AD258" i="8"/>
  <c r="AD760" i="8"/>
  <c r="AD759" i="8"/>
  <c r="AD1449" i="8"/>
  <c r="AD1441" i="8"/>
  <c r="AD1440" i="8"/>
  <c r="AD415" i="8"/>
  <c r="AD758" i="8"/>
  <c r="AD757" i="8"/>
  <c r="AD756" i="8"/>
  <c r="AD15" i="8"/>
  <c r="AD414" i="8"/>
  <c r="AD755" i="8"/>
  <c r="AD754" i="8"/>
  <c r="AD328" i="8"/>
  <c r="AD753" i="8"/>
  <c r="AD752" i="8"/>
  <c r="AD751" i="8"/>
  <c r="AD750" i="8"/>
  <c r="AD749" i="8"/>
  <c r="AD748" i="8"/>
  <c r="AD747" i="8"/>
  <c r="AD746" i="8"/>
  <c r="AD745" i="8"/>
  <c r="AD744" i="8"/>
  <c r="AD743" i="8"/>
  <c r="AD742" i="8"/>
  <c r="AD327" i="8"/>
  <c r="AD172" i="8"/>
  <c r="AD741" i="8"/>
  <c r="AD413" i="8"/>
  <c r="AD740" i="8"/>
  <c r="AD739" i="8"/>
  <c r="AD738" i="8"/>
  <c r="AD737" i="8"/>
  <c r="AD736" i="8"/>
  <c r="AD735" i="8"/>
  <c r="AD734" i="8"/>
  <c r="AD733" i="8"/>
  <c r="AD732" i="8"/>
  <c r="AD731" i="8"/>
  <c r="AD730" i="8"/>
  <c r="AD729" i="8"/>
  <c r="AD1439" i="8"/>
  <c r="AD728" i="8"/>
  <c r="AD727" i="8"/>
  <c r="AD726" i="8"/>
  <c r="AD326" i="8"/>
  <c r="AD725" i="8"/>
  <c r="AD724" i="8"/>
  <c r="AD723" i="8"/>
  <c r="AD325" i="8"/>
  <c r="AD324" i="8"/>
  <c r="AD722" i="8"/>
  <c r="AD720" i="8"/>
  <c r="AD719" i="8"/>
  <c r="AD716" i="8"/>
  <c r="AD714" i="8"/>
  <c r="AD712" i="8"/>
  <c r="AD708" i="8"/>
  <c r="AD707" i="8"/>
  <c r="AD704" i="8"/>
  <c r="AD696" i="8"/>
  <c r="AD695" i="8"/>
  <c r="AD694" i="8"/>
  <c r="AD257" i="8"/>
  <c r="AD323" i="8"/>
  <c r="AD45" i="8"/>
  <c r="AD693" i="8"/>
  <c r="AD692" i="8"/>
  <c r="AD322" i="8"/>
  <c r="AD691" i="8"/>
  <c r="AD412" i="8"/>
  <c r="AD690" i="8"/>
  <c r="AD411" i="8"/>
  <c r="AD687" i="8"/>
  <c r="AD686" i="8"/>
  <c r="AD685" i="8"/>
  <c r="AD682" i="8"/>
  <c r="AD681" i="8"/>
  <c r="AD40" i="8"/>
  <c r="AD680" i="8"/>
  <c r="AD677" i="8"/>
  <c r="AD675" i="8"/>
  <c r="AD674" i="8"/>
  <c r="AD673" i="8"/>
  <c r="AD672" i="8"/>
  <c r="AD671" i="8"/>
  <c r="AD670" i="8"/>
  <c r="AD669" i="8"/>
  <c r="AD668" i="8"/>
  <c r="AD321" i="8"/>
  <c r="AD320" i="8"/>
  <c r="AD662" i="8"/>
  <c r="AD661" i="8"/>
  <c r="AD660" i="8"/>
  <c r="AD659" i="8"/>
  <c r="AD658" i="8"/>
  <c r="AD657" i="8"/>
  <c r="AD656" i="8"/>
  <c r="AD655" i="8"/>
  <c r="AD654" i="8"/>
  <c r="AD653" i="8"/>
  <c r="AD652" i="8"/>
  <c r="AD650" i="8"/>
  <c r="AD649" i="8"/>
  <c r="AD648" i="8"/>
  <c r="AD647" i="8"/>
  <c r="AD44" i="8"/>
  <c r="AD646" i="8"/>
  <c r="AD645" i="8"/>
  <c r="AD644" i="8"/>
  <c r="AD319" i="8"/>
  <c r="AD641" i="8"/>
  <c r="AD640" i="8"/>
  <c r="AD639" i="8"/>
  <c r="AD638" i="8"/>
  <c r="AD637" i="8"/>
  <c r="AD636" i="8"/>
  <c r="AD634" i="8"/>
  <c r="AD632" i="8"/>
  <c r="AD629" i="8"/>
  <c r="AD318" i="8"/>
  <c r="AD626" i="8"/>
  <c r="AD625" i="8"/>
  <c r="AD623" i="8"/>
  <c r="AD622" i="8"/>
  <c r="AD621" i="8"/>
  <c r="AD619" i="8"/>
  <c r="AD171" i="8"/>
  <c r="AD207" i="8"/>
  <c r="AD618" i="8"/>
  <c r="AD617" i="8"/>
  <c r="AD615" i="8"/>
  <c r="AD614" i="8"/>
  <c r="AD613" i="8"/>
  <c r="AD612" i="8"/>
  <c r="AD611" i="8"/>
  <c r="AD610" i="8"/>
  <c r="AD608" i="8"/>
  <c r="AD607" i="8"/>
  <c r="AD206" i="8"/>
  <c r="AD606" i="8"/>
  <c r="AD170" i="8"/>
  <c r="AD605" i="8"/>
  <c r="AD603" i="8"/>
  <c r="AD602" i="8"/>
  <c r="AD601" i="8"/>
  <c r="AD600" i="8"/>
  <c r="AD599" i="8"/>
  <c r="AD598" i="8"/>
  <c r="AD596" i="8"/>
  <c r="AD595" i="8"/>
  <c r="AD594" i="8"/>
  <c r="AD592" i="8"/>
  <c r="AD317" i="8"/>
  <c r="AD410" i="8"/>
  <c r="AD591" i="8"/>
  <c r="AD409" i="8"/>
  <c r="AD590" i="8"/>
  <c r="AD150" i="8"/>
  <c r="AD205" i="8"/>
  <c r="AD589" i="8"/>
  <c r="AD87" i="8"/>
  <c r="AD316" i="8"/>
  <c r="AD204" i="8"/>
  <c r="AD315" i="8"/>
  <c r="AD169" i="8"/>
  <c r="AD585" i="8"/>
  <c r="AD314" i="8"/>
  <c r="AD583" i="8"/>
  <c r="AD581" i="8"/>
  <c r="AD408" i="8"/>
  <c r="AD580" i="8"/>
  <c r="AD579" i="8"/>
  <c r="AD114" i="8"/>
  <c r="AD407" i="8"/>
  <c r="AD576" i="8"/>
  <c r="AD313" i="8"/>
  <c r="AD406" i="8"/>
  <c r="AD405" i="8"/>
  <c r="AD404" i="8"/>
  <c r="AD575" i="8"/>
  <c r="AD574" i="8"/>
  <c r="AD573" i="8"/>
  <c r="AD572" i="8"/>
  <c r="AD571" i="8"/>
  <c r="AD570" i="8"/>
  <c r="AD403" i="8"/>
  <c r="AD256" i="8"/>
  <c r="AD402" i="8"/>
  <c r="AD401" i="8"/>
  <c r="AD567" i="8"/>
  <c r="AD566" i="8"/>
  <c r="AD565" i="8"/>
  <c r="AD563" i="8"/>
  <c r="AD130" i="8"/>
  <c r="AD561" i="8"/>
  <c r="AD560" i="8"/>
  <c r="AD557" i="8"/>
  <c r="AD555" i="8"/>
  <c r="AD168" i="8"/>
  <c r="AD74" i="8"/>
  <c r="AD167" i="8"/>
  <c r="AD554" i="8"/>
  <c r="AD553" i="8"/>
  <c r="AD552" i="8"/>
  <c r="AD400" i="8"/>
  <c r="AD551" i="8"/>
  <c r="AD166" i="8"/>
  <c r="AD399" i="8"/>
  <c r="AD550" i="8"/>
  <c r="AD312" i="8"/>
  <c r="AD546" i="8"/>
  <c r="AD545" i="8"/>
  <c r="AD544" i="8"/>
  <c r="AD543" i="8"/>
  <c r="AD255" i="8"/>
  <c r="AD311" i="8"/>
  <c r="AD254" i="8"/>
  <c r="AD310" i="8"/>
  <c r="AD309" i="8"/>
  <c r="AD542" i="8"/>
  <c r="AD541" i="8"/>
  <c r="AD540" i="8"/>
  <c r="AD539" i="8"/>
  <c r="AD99" i="8"/>
  <c r="AD39" i="8"/>
  <c r="AD149" i="8"/>
  <c r="AD398" i="8"/>
  <c r="AD148" i="8"/>
  <c r="AD147" i="8"/>
  <c r="AD146" i="8"/>
  <c r="AD165" i="8"/>
  <c r="AD397" i="8"/>
  <c r="AD129" i="8"/>
  <c r="AD57" i="8"/>
  <c r="AD538" i="8"/>
  <c r="AD537" i="8"/>
  <c r="AD25" i="8"/>
  <c r="AD536" i="8"/>
  <c r="AD203" i="8"/>
  <c r="AD253" i="8"/>
  <c r="AD535" i="8"/>
  <c r="AD53" i="8"/>
  <c r="AD18" i="8"/>
  <c r="AD534" i="8"/>
  <c r="AD396" i="8"/>
  <c r="AD533" i="8"/>
  <c r="AD395" i="8"/>
  <c r="AD532" i="8"/>
  <c r="AD531" i="8"/>
  <c r="AD145" i="8"/>
  <c r="AD65" i="8"/>
  <c r="AF1" i="8"/>
  <c r="AE1" i="8"/>
  <c r="R1540" i="8" l="1"/>
  <c r="R428" i="8"/>
  <c r="AY1469" i="8" l="1"/>
  <c r="AY1468" i="8"/>
  <c r="AY1439" i="8"/>
  <c r="AY1574" i="8"/>
  <c r="AY1575" i="8"/>
  <c r="AY374" i="8"/>
  <c r="AY1572" i="8"/>
  <c r="AY1573" i="8"/>
  <c r="AY1562" i="8"/>
  <c r="AY1556" i="8"/>
  <c r="AY1465" i="8"/>
  <c r="AY1554" i="8"/>
  <c r="AY1483" i="8"/>
  <c r="AY1479" i="8"/>
  <c r="AY1486" i="8"/>
  <c r="AY1553" i="8"/>
  <c r="AY1478" i="8"/>
  <c r="AY1550" i="8"/>
  <c r="AY1500" i="8"/>
  <c r="AY1488" i="8"/>
  <c r="AY1498" i="8"/>
  <c r="AY1549" i="8"/>
  <c r="AY1557" i="8"/>
  <c r="AY1558" i="8"/>
  <c r="AY1579" i="8"/>
  <c r="G1496" i="8" l="1"/>
  <c r="G1508" i="8"/>
  <c r="G1579" i="8"/>
  <c r="G1558" i="8"/>
  <c r="G1551" i="8"/>
  <c r="G1557" i="8"/>
  <c r="G1549" i="8"/>
  <c r="G1498" i="8"/>
  <c r="G1488" i="8"/>
  <c r="G1500" i="8"/>
  <c r="G1550" i="8"/>
  <c r="G1478" i="8"/>
  <c r="G1553" i="8"/>
  <c r="G1486" i="8"/>
  <c r="G1479" i="8"/>
  <c r="G1570" i="8"/>
  <c r="G1567" i="8"/>
  <c r="G1483" i="8"/>
  <c r="G1554" i="8"/>
  <c r="G1568" i="8"/>
  <c r="G1465" i="8"/>
  <c r="G1556" i="8"/>
  <c r="G1562" i="8"/>
  <c r="G1573" i="8"/>
  <c r="G1572" i="8"/>
  <c r="G374" i="8"/>
  <c r="G1576" i="8"/>
  <c r="G1575" i="8"/>
  <c r="G1574" i="8"/>
  <c r="G1439" i="8"/>
  <c r="G506" i="8"/>
  <c r="G1468" i="8"/>
  <c r="G1469" i="8"/>
  <c r="G1451" i="8"/>
  <c r="G1154" i="8"/>
  <c r="G1175" i="8"/>
  <c r="G244" i="8"/>
  <c r="G1126" i="8"/>
  <c r="G1096" i="8"/>
  <c r="G1076" i="8"/>
  <c r="G1075" i="8"/>
  <c r="G1074" i="8"/>
  <c r="G1073" i="8"/>
  <c r="G1069" i="8"/>
  <c r="G1068" i="8"/>
  <c r="G1056" i="8"/>
  <c r="G1055" i="8"/>
  <c r="G1038" i="8"/>
  <c r="G1029" i="8"/>
  <c r="G989" i="8"/>
  <c r="G976" i="8"/>
  <c r="G975" i="8"/>
  <c r="G948" i="8"/>
  <c r="G947" i="8"/>
  <c r="G854" i="8"/>
  <c r="G931" i="8"/>
  <c r="G927" i="8"/>
  <c r="G926" i="8"/>
  <c r="G925" i="8"/>
  <c r="G924" i="8"/>
  <c r="G922" i="8"/>
  <c r="G921" i="8"/>
  <c r="G900" i="8"/>
  <c r="G899" i="8"/>
  <c r="G889" i="8"/>
  <c r="G888" i="8"/>
  <c r="G815" i="8"/>
  <c r="G579" i="8"/>
  <c r="G566" i="8"/>
  <c r="G560" i="8"/>
  <c r="G552" i="8"/>
  <c r="G550" i="8"/>
  <c r="G850" i="8"/>
  <c r="G849" i="8"/>
  <c r="G847" i="8"/>
  <c r="G846" i="8"/>
  <c r="G1514" i="8"/>
  <c r="G1460" i="8"/>
  <c r="G1449" i="8"/>
  <c r="G1441" i="8"/>
  <c r="G1440" i="8"/>
  <c r="G1173" i="8"/>
  <c r="G819" i="8"/>
  <c r="G1506" i="8"/>
  <c r="G1578" i="8"/>
  <c r="G378" i="8"/>
  <c r="G513" i="8"/>
  <c r="G1517" i="8"/>
  <c r="G1515" i="8"/>
  <c r="G193" i="8"/>
  <c r="G1499" i="8"/>
  <c r="G1160" i="8"/>
  <c r="G1153" i="8"/>
  <c r="G1435" i="8"/>
  <c r="G1392" i="8"/>
  <c r="G1238" i="8"/>
  <c r="G770" i="8"/>
  <c r="G1530" i="8"/>
  <c r="G1497" i="8"/>
  <c r="G1482" i="8"/>
  <c r="G692" i="8"/>
  <c r="G1155" i="8"/>
  <c r="G9" i="8"/>
  <c r="G1164" i="8"/>
  <c r="E1508" i="8"/>
  <c r="E1579" i="8"/>
  <c r="E1558" i="8"/>
  <c r="E1551" i="8"/>
  <c r="E1557" i="8"/>
  <c r="E1549" i="8"/>
  <c r="E1498" i="8"/>
  <c r="E1488" i="8"/>
  <c r="E1500" i="8"/>
  <c r="E1550" i="8"/>
  <c r="E1478" i="8"/>
  <c r="E1553" i="8"/>
  <c r="E1486" i="8"/>
  <c r="E1479" i="8"/>
  <c r="E1570" i="8"/>
  <c r="E1567" i="8"/>
  <c r="E1483" i="8"/>
  <c r="E1554" i="8"/>
  <c r="E1568" i="8"/>
  <c r="E1465" i="8"/>
  <c r="E1556" i="8"/>
  <c r="E1562" i="8"/>
  <c r="E1573" i="8"/>
  <c r="E1572" i="8"/>
  <c r="E374" i="8"/>
  <c r="E1576" i="8"/>
  <c r="E1575" i="8"/>
  <c r="E1574" i="8"/>
  <c r="E1439" i="8"/>
  <c r="E506" i="8"/>
  <c r="E1468" i="8"/>
  <c r="E1469" i="8"/>
  <c r="E1451" i="8"/>
  <c r="E1154" i="8"/>
  <c r="E1434" i="8"/>
  <c r="E1144" i="8"/>
  <c r="E1143" i="8"/>
  <c r="E856" i="8"/>
  <c r="E855" i="8"/>
  <c r="E815" i="8"/>
  <c r="E850" i="8"/>
  <c r="E849" i="8"/>
  <c r="E847" i="8"/>
  <c r="E846" i="8"/>
  <c r="E1173" i="8"/>
  <c r="E819" i="8"/>
  <c r="E1578" i="8"/>
  <c r="E1160" i="8"/>
  <c r="E1153" i="8"/>
  <c r="E1435" i="8"/>
  <c r="E1392" i="8"/>
  <c r="E1238" i="8"/>
  <c r="E770" i="8"/>
  <c r="E1169" i="8"/>
  <c r="E692" i="8"/>
  <c r="E1171" i="8"/>
  <c r="E1155" i="8"/>
  <c r="E9" i="8"/>
  <c r="E1164" i="8"/>
  <c r="AY1182" i="8" l="1"/>
  <c r="F1516" i="8" l="1"/>
  <c r="F1504" i="8"/>
  <c r="N1504" i="8"/>
  <c r="AY692" i="8"/>
  <c r="AY1435" i="8"/>
  <c r="AY1392" i="8"/>
  <c r="AY1238" i="8"/>
  <c r="AY770" i="8"/>
  <c r="AD1" i="8"/>
  <c r="AH1" i="8"/>
  <c r="AY1154" i="8" l="1"/>
  <c r="AA1" i="8"/>
  <c r="N54" i="8" l="1"/>
  <c r="R1441" i="8"/>
  <c r="I1164" i="8"/>
  <c r="N1164" i="8"/>
  <c r="I1175" i="8"/>
  <c r="N1175" i="8"/>
  <c r="I533" i="8"/>
  <c r="N533" i="8"/>
  <c r="I531" i="8"/>
  <c r="N531" i="8"/>
  <c r="I532" i="8"/>
  <c r="N532" i="8"/>
  <c r="I815" i="8"/>
  <c r="N815" i="8"/>
  <c r="I819" i="8"/>
  <c r="N819" i="8"/>
  <c r="I846" i="8"/>
  <c r="N846" i="8"/>
  <c r="I847" i="8"/>
  <c r="N847" i="8"/>
  <c r="I849" i="8"/>
  <c r="N849" i="8"/>
  <c r="I850" i="8"/>
  <c r="N850" i="8"/>
  <c r="I851" i="8"/>
  <c r="N851" i="8"/>
  <c r="I1118" i="8"/>
  <c r="N1118" i="8"/>
  <c r="I1173" i="8"/>
  <c r="N1173" i="8"/>
  <c r="I1507" i="8"/>
  <c r="N1507" i="8"/>
  <c r="I1176" i="8"/>
  <c r="N1176" i="8"/>
  <c r="I534" i="8"/>
  <c r="N534" i="8"/>
  <c r="I1155" i="8"/>
  <c r="N1155" i="8"/>
  <c r="I1482" i="8"/>
  <c r="N1482" i="8"/>
  <c r="I1530" i="8"/>
  <c r="N1530" i="8"/>
  <c r="I1497" i="8"/>
  <c r="N1497" i="8"/>
  <c r="I513" i="8"/>
  <c r="N513" i="8"/>
  <c r="I193" i="8"/>
  <c r="N193" i="8"/>
  <c r="I1578" i="8"/>
  <c r="N1578" i="8"/>
  <c r="I1515" i="8"/>
  <c r="N1515" i="8"/>
  <c r="I1517" i="8"/>
  <c r="N1517" i="8"/>
  <c r="I378" i="8"/>
  <c r="N378" i="8"/>
  <c r="I1460" i="8"/>
  <c r="N1460" i="8"/>
  <c r="I1440" i="8"/>
  <c r="N1440" i="8"/>
  <c r="I896" i="8"/>
  <c r="N896" i="8"/>
  <c r="I1485" i="8"/>
  <c r="N1485" i="8"/>
  <c r="I1506" i="8"/>
  <c r="N1506" i="8"/>
  <c r="I1449" i="8"/>
  <c r="N1449" i="8"/>
  <c r="I895" i="8"/>
  <c r="N895" i="8"/>
  <c r="I348" i="8"/>
  <c r="N348" i="8"/>
  <c r="I1441" i="8"/>
  <c r="N1441" i="8"/>
  <c r="N1160" i="8"/>
  <c r="I1160" i="8"/>
  <c r="N1436" i="8"/>
  <c r="N1373" i="8"/>
  <c r="N1375" i="8"/>
  <c r="N1372" i="8"/>
  <c r="N1379" i="8"/>
  <c r="N1376" i="8"/>
  <c r="N1374" i="8"/>
  <c r="N1378" i="8"/>
  <c r="N1377" i="8"/>
  <c r="N1382" i="8"/>
  <c r="N1381" i="8"/>
  <c r="N1380" i="8"/>
  <c r="N1020" i="8"/>
  <c r="N1021" i="8"/>
  <c r="N108" i="8"/>
  <c r="N133" i="8"/>
  <c r="N122" i="8"/>
  <c r="N1067" i="8"/>
  <c r="N136" i="8"/>
  <c r="N977" i="8"/>
  <c r="N957" i="8"/>
  <c r="N958" i="8"/>
  <c r="N156" i="8"/>
  <c r="N352" i="8"/>
  <c r="N479" i="8"/>
  <c r="N343" i="8"/>
  <c r="N69" i="8"/>
  <c r="N890" i="8"/>
  <c r="N68" i="8"/>
  <c r="N82" i="8"/>
  <c r="N61" i="8"/>
  <c r="N50" i="8"/>
  <c r="N953" i="8"/>
  <c r="N22" i="8"/>
  <c r="N212" i="8"/>
  <c r="N85" i="8"/>
  <c r="N871" i="8"/>
  <c r="N1059" i="8"/>
  <c r="N1094" i="8"/>
  <c r="N961" i="8"/>
  <c r="N1025" i="8"/>
  <c r="N1045" i="8"/>
  <c r="N284" i="8"/>
  <c r="N268" i="8"/>
  <c r="N181" i="8"/>
  <c r="N219" i="8"/>
  <c r="N93" i="8"/>
  <c r="N879" i="8"/>
  <c r="N1057" i="8"/>
  <c r="N446" i="8"/>
  <c r="N1062" i="8"/>
  <c r="N334" i="8"/>
  <c r="N292" i="8"/>
  <c r="N905" i="8"/>
  <c r="N47" i="8"/>
  <c r="N225" i="8"/>
  <c r="N353" i="8"/>
  <c r="N138" i="8"/>
  <c r="N1049" i="8"/>
  <c r="N1051" i="8"/>
  <c r="N1081" i="8"/>
  <c r="N969" i="8"/>
  <c r="N923" i="8"/>
  <c r="N444" i="8"/>
  <c r="N1087" i="8"/>
  <c r="N983" i="8"/>
  <c r="N872" i="8"/>
  <c r="N903" i="8"/>
  <c r="N875" i="8"/>
  <c r="N1044" i="8"/>
  <c r="N344" i="8"/>
  <c r="N1123" i="8"/>
  <c r="N1034" i="8"/>
  <c r="N1060" i="8"/>
  <c r="N1002" i="8"/>
  <c r="N1111" i="8"/>
  <c r="N894" i="8"/>
  <c r="N1036" i="8"/>
  <c r="N823" i="8"/>
  <c r="N887" i="8"/>
  <c r="N1125" i="8"/>
  <c r="N857" i="8"/>
  <c r="N1026" i="8"/>
  <c r="N1046" i="8"/>
  <c r="N968" i="8"/>
  <c r="N442" i="8"/>
  <c r="N155" i="8"/>
  <c r="N182" i="8"/>
  <c r="N92" i="8"/>
  <c r="N223" i="8"/>
  <c r="N1058" i="8"/>
  <c r="N449" i="8"/>
  <c r="N1063" i="8"/>
  <c r="N214" i="8"/>
  <c r="N55" i="8"/>
  <c r="N485" i="8"/>
  <c r="N285" i="8"/>
  <c r="N440" i="8"/>
  <c r="N137" i="8"/>
  <c r="N1050" i="8"/>
  <c r="N1052" i="8"/>
  <c r="N1082" i="8"/>
  <c r="N952" i="8"/>
  <c r="N470" i="8"/>
  <c r="N1024" i="8"/>
  <c r="N1088" i="8"/>
  <c r="N984" i="8"/>
  <c r="N835" i="8"/>
  <c r="N904" i="8"/>
  <c r="N1083" i="8"/>
  <c r="N1043" i="8"/>
  <c r="N1124" i="8"/>
  <c r="N1112" i="8"/>
  <c r="N1035" i="8"/>
  <c r="N1061" i="8"/>
  <c r="N1003" i="8"/>
  <c r="N448" i="8"/>
  <c r="N1037" i="8"/>
  <c r="N345" i="8"/>
  <c r="N226" i="8"/>
  <c r="N441" i="8"/>
  <c r="N466" i="8"/>
  <c r="N1095" i="8"/>
  <c r="N282" i="8"/>
  <c r="N467" i="8"/>
  <c r="N346" i="8"/>
  <c r="N222" i="8"/>
  <c r="N351" i="8"/>
  <c r="N488" i="8"/>
  <c r="N1115" i="8"/>
  <c r="N1116" i="8"/>
  <c r="N866" i="8"/>
  <c r="N439" i="8"/>
  <c r="N901" i="8"/>
  <c r="N1093" i="8"/>
  <c r="N486" i="8"/>
  <c r="N956" i="8"/>
  <c r="N487" i="8"/>
  <c r="N277" i="8"/>
  <c r="N336" i="8"/>
  <c r="N436" i="8"/>
  <c r="N224" i="8"/>
  <c r="N221" i="8"/>
  <c r="N59" i="8"/>
  <c r="N859" i="8"/>
  <c r="N978" i="8"/>
  <c r="N274" i="8"/>
  <c r="N1048" i="8"/>
  <c r="N454" i="8"/>
  <c r="N471" i="8"/>
  <c r="N1053" i="8"/>
  <c r="N482" i="8"/>
  <c r="N48" i="8"/>
  <c r="N1141" i="8"/>
  <c r="N94" i="8"/>
  <c r="N1030" i="8"/>
  <c r="N78" i="8"/>
  <c r="N275" i="8"/>
  <c r="N158" i="8"/>
  <c r="N132" i="8"/>
  <c r="N109" i="8"/>
  <c r="N1012" i="8"/>
  <c r="N216" i="8"/>
  <c r="N290" i="8"/>
  <c r="N273" i="8"/>
  <c r="N62" i="8"/>
  <c r="N476" i="8"/>
  <c r="N338" i="8"/>
  <c r="N481" i="8"/>
  <c r="N453" i="8"/>
  <c r="N1054" i="8"/>
  <c r="N472" i="8"/>
  <c r="N455" i="8"/>
  <c r="N159" i="8"/>
  <c r="N337" i="8"/>
  <c r="N52" i="8"/>
  <c r="N1142" i="8"/>
  <c r="N84" i="8"/>
  <c r="N1031" i="8"/>
  <c r="N220" i="8"/>
  <c r="N276" i="8"/>
  <c r="N120" i="8"/>
  <c r="N918" i="8"/>
  <c r="N217" i="8"/>
  <c r="N838" i="8"/>
  <c r="N907" i="8"/>
  <c r="N1039" i="8"/>
  <c r="N1040" i="8"/>
  <c r="N1032" i="8"/>
  <c r="N1033" i="8"/>
  <c r="N858" i="8"/>
  <c r="N335" i="8"/>
  <c r="N140" i="8"/>
  <c r="N831" i="8"/>
  <c r="N902" i="8"/>
  <c r="N228" i="8"/>
  <c r="N837" i="8"/>
  <c r="N106" i="8"/>
  <c r="N990" i="8"/>
  <c r="N135" i="8"/>
  <c r="N1086" i="8"/>
  <c r="N187" i="8"/>
  <c r="N188" i="8"/>
  <c r="N286" i="8"/>
  <c r="N1133" i="8"/>
  <c r="N1134" i="8"/>
  <c r="N967" i="8"/>
  <c r="N1137" i="8"/>
  <c r="N1138" i="8"/>
  <c r="N862" i="8"/>
  <c r="N841" i="8"/>
  <c r="N973" i="8"/>
  <c r="N959" i="8"/>
  <c r="N43" i="8"/>
  <c r="N1047" i="8"/>
  <c r="N1084" i="8"/>
  <c r="N962" i="8"/>
  <c r="N936" i="8"/>
  <c r="N272" i="8"/>
  <c r="N1042" i="8"/>
  <c r="N916" i="8"/>
  <c r="N438" i="8"/>
  <c r="N940" i="8"/>
  <c r="N1011" i="8"/>
  <c r="N134" i="8"/>
  <c r="N1089" i="8"/>
  <c r="N213" i="8"/>
  <c r="N218" i="8"/>
  <c r="N839" i="8"/>
  <c r="N1129" i="8"/>
  <c r="N215" i="8"/>
  <c r="N892" i="8"/>
  <c r="N1127" i="8"/>
  <c r="N473" i="8"/>
  <c r="N873" i="8"/>
  <c r="N817" i="8"/>
  <c r="N456" i="8"/>
  <c r="N1159" i="8"/>
  <c r="N1008" i="8"/>
  <c r="N464" i="8"/>
  <c r="N1023" i="8"/>
  <c r="N987" i="8"/>
  <c r="N828" i="8"/>
  <c r="N996" i="8"/>
  <c r="N945" i="8"/>
  <c r="N867" i="8"/>
  <c r="N1121" i="8"/>
  <c r="N914" i="8"/>
  <c r="N939" i="8"/>
  <c r="N942" i="8"/>
  <c r="N1027" i="8"/>
  <c r="N869" i="8"/>
  <c r="N1016" i="8"/>
  <c r="N991" i="8"/>
  <c r="N280" i="8"/>
  <c r="N1135" i="8"/>
  <c r="N63" i="8"/>
  <c r="N908" i="8"/>
  <c r="N954" i="8"/>
  <c r="N116" i="8"/>
  <c r="N477" i="8"/>
  <c r="N354" i="8"/>
  <c r="N349" i="8"/>
  <c r="N920" i="8"/>
  <c r="N910" i="8"/>
  <c r="N157" i="8"/>
  <c r="N160" i="8"/>
  <c r="N347" i="8"/>
  <c r="N468" i="8"/>
  <c r="N469" i="8"/>
  <c r="N913" i="8"/>
  <c r="N1066" i="8"/>
  <c r="N971" i="8"/>
  <c r="N1106" i="8"/>
  <c r="N1079" i="8"/>
  <c r="N1070" i="8"/>
  <c r="N998" i="8"/>
  <c r="N1120" i="8"/>
  <c r="N1078" i="8"/>
  <c r="N834" i="8"/>
  <c r="N972" i="8"/>
  <c r="N863" i="8"/>
  <c r="N829" i="8"/>
  <c r="N960" i="8"/>
  <c r="N46" i="8"/>
  <c r="N1085" i="8"/>
  <c r="N963" i="8"/>
  <c r="N937" i="8"/>
  <c r="N447" i="8"/>
  <c r="N70" i="8"/>
  <c r="N891" i="8"/>
  <c r="N1041" i="8"/>
  <c r="N917" i="8"/>
  <c r="N443" i="8"/>
  <c r="N941" i="8"/>
  <c r="N115" i="8"/>
  <c r="N1090" i="8"/>
  <c r="N269" i="8"/>
  <c r="N183" i="8"/>
  <c r="N437" i="8"/>
  <c r="N1130" i="8"/>
  <c r="N340" i="8"/>
  <c r="N870" i="8"/>
  <c r="N1158" i="8"/>
  <c r="N270" i="8"/>
  <c r="N970" i="8"/>
  <c r="N893" i="8"/>
  <c r="N1128" i="8"/>
  <c r="N478" i="8"/>
  <c r="N474" i="8"/>
  <c r="N457" i="8"/>
  <c r="N227" i="8"/>
  <c r="N184" i="8"/>
  <c r="N1010" i="8"/>
  <c r="N1166" i="8"/>
  <c r="N1009" i="8"/>
  <c r="N836" i="8"/>
  <c r="N465" i="8"/>
  <c r="N1107" i="8"/>
  <c r="N988" i="8"/>
  <c r="N840" i="8"/>
  <c r="N997" i="8"/>
  <c r="N1022" i="8"/>
  <c r="N480" i="8"/>
  <c r="N1122" i="8"/>
  <c r="N915" i="8"/>
  <c r="N938" i="8"/>
  <c r="N943" i="8"/>
  <c r="N1028" i="8"/>
  <c r="N946" i="8"/>
  <c r="N139" i="8"/>
  <c r="N868" i="8"/>
  <c r="N1015" i="8"/>
  <c r="N992" i="8"/>
  <c r="N1136" i="8"/>
  <c r="N861" i="8"/>
  <c r="N955" i="8"/>
  <c r="N117" i="8"/>
  <c r="N974" i="8"/>
  <c r="N461" i="8"/>
  <c r="N458" i="8"/>
  <c r="N350" i="8"/>
  <c r="N919" i="8"/>
  <c r="N909" i="8"/>
  <c r="N911" i="8"/>
  <c r="N912" i="8"/>
  <c r="N107" i="8"/>
  <c r="N281" i="8"/>
  <c r="N1080" i="8"/>
  <c r="N1071" i="8"/>
  <c r="N1117" i="8"/>
  <c r="N1077" i="8"/>
  <c r="N999" i="8"/>
  <c r="N83" i="8"/>
  <c r="N881" i="8"/>
  <c r="N475" i="8"/>
  <c r="N291" i="8"/>
  <c r="N271" i="8"/>
  <c r="N827" i="8"/>
  <c r="N1167" i="8"/>
  <c r="N825" i="8"/>
  <c r="N459" i="8"/>
  <c r="N1065" i="8"/>
  <c r="N1168" i="8"/>
  <c r="N460" i="8"/>
  <c r="N874" i="8"/>
  <c r="N1064" i="8"/>
  <c r="N21" i="8"/>
  <c r="N832" i="8"/>
  <c r="N23" i="8"/>
  <c r="N118" i="8"/>
  <c r="N833" i="8"/>
  <c r="N119" i="8"/>
  <c r="N33" i="8"/>
  <c r="N32" i="8"/>
  <c r="N1018" i="8"/>
  <c r="N1019" i="8"/>
  <c r="N1098" i="8"/>
  <c r="N877" i="8"/>
  <c r="N878" i="8"/>
  <c r="N1092" i="8"/>
  <c r="N483" i="8"/>
  <c r="N985" i="8"/>
  <c r="N929" i="8"/>
  <c r="N105" i="8"/>
  <c r="N826" i="8"/>
  <c r="N979" i="8"/>
  <c r="N1108" i="8"/>
  <c r="N981" i="8"/>
  <c r="N830" i="8"/>
  <c r="N1091" i="8"/>
  <c r="N1006" i="8"/>
  <c r="N1099" i="8"/>
  <c r="N1103" i="8"/>
  <c r="N279" i="8"/>
  <c r="N818" i="8"/>
  <c r="N860" i="8"/>
  <c r="N1007" i="8"/>
  <c r="N980" i="8"/>
  <c r="N824" i="8"/>
  <c r="N484" i="8"/>
  <c r="N986" i="8"/>
  <c r="N930" i="8"/>
  <c r="N121" i="8"/>
  <c r="N906" i="8"/>
  <c r="N876" i="8"/>
  <c r="N1109" i="8"/>
  <c r="N982" i="8"/>
  <c r="N445" i="8"/>
  <c r="N1100" i="8"/>
  <c r="N342" i="8"/>
  <c r="N993" i="8"/>
  <c r="N928" i="8"/>
  <c r="N283" i="8"/>
  <c r="N35" i="8"/>
  <c r="N1013" i="8"/>
  <c r="N1004" i="8"/>
  <c r="N1014" i="8"/>
  <c r="N1005" i="8"/>
  <c r="N1001" i="8"/>
  <c r="N1000" i="8"/>
  <c r="N733" i="8"/>
  <c r="N695" i="8"/>
  <c r="N753" i="8"/>
  <c r="N328" i="8"/>
  <c r="N750" i="8"/>
  <c r="N751" i="8"/>
  <c r="N748" i="8"/>
  <c r="N709" i="8"/>
  <c r="N721" i="8"/>
  <c r="N718" i="8"/>
  <c r="N704" i="8"/>
  <c r="N697" i="8"/>
  <c r="N735" i="8"/>
  <c r="N717" i="8"/>
  <c r="N705" i="8"/>
  <c r="N698" i="8"/>
  <c r="N736" i="8"/>
  <c r="N324" i="8"/>
  <c r="N325" i="8"/>
  <c r="N722" i="8"/>
  <c r="N696" i="8"/>
  <c r="N706" i="8"/>
  <c r="N725" i="8"/>
  <c r="N700" i="8"/>
  <c r="N724" i="8"/>
  <c r="N327" i="8"/>
  <c r="N618" i="8"/>
  <c r="N694" i="8"/>
  <c r="N650" i="8"/>
  <c r="N624" i="8"/>
  <c r="N647" i="8"/>
  <c r="N649" i="8"/>
  <c r="N686" i="8"/>
  <c r="N632" i="8"/>
  <c r="N172" i="8"/>
  <c r="N626" i="8"/>
  <c r="N651" i="8"/>
  <c r="N320" i="8"/>
  <c r="N672" i="8"/>
  <c r="N673" i="8"/>
  <c r="N412" i="8"/>
  <c r="N646" i="8"/>
  <c r="N719" i="8"/>
  <c r="N684" i="8"/>
  <c r="N732" i="8"/>
  <c r="N675" i="8"/>
  <c r="N630" i="8"/>
  <c r="N631" i="8"/>
  <c r="N720" i="8"/>
  <c r="N326" i="8"/>
  <c r="N628" i="8"/>
  <c r="N629" i="8"/>
  <c r="N622" i="8"/>
  <c r="N318" i="8"/>
  <c r="N627" i="8"/>
  <c r="N693" i="8"/>
  <c r="N645" i="8"/>
  <c r="N644" i="8"/>
  <c r="N731" i="8"/>
  <c r="N635" i="8"/>
  <c r="N321" i="8"/>
  <c r="N612" i="8"/>
  <c r="N45" i="8"/>
  <c r="N607" i="8"/>
  <c r="N613" i="8"/>
  <c r="N609" i="8"/>
  <c r="N593" i="8"/>
  <c r="N608" i="8"/>
  <c r="N610" i="8"/>
  <c r="N690" i="8"/>
  <c r="N411" i="8"/>
  <c r="N680" i="8"/>
  <c r="N615" i="8"/>
  <c r="N742" i="8"/>
  <c r="N634" i="8"/>
  <c r="N674" i="8"/>
  <c r="N716" i="8"/>
  <c r="N603" i="8"/>
  <c r="N685" i="8"/>
  <c r="N257" i="8"/>
  <c r="N734" i="8"/>
  <c r="N641" i="8"/>
  <c r="N745" i="8"/>
  <c r="N638" i="8"/>
  <c r="N739" i="8"/>
  <c r="N413" i="8"/>
  <c r="N659" i="8"/>
  <c r="N688" i="8"/>
  <c r="N741" i="8"/>
  <c r="N636" i="8"/>
  <c r="N643" i="8"/>
  <c r="N665" i="8"/>
  <c r="N676" i="8"/>
  <c r="N652" i="8"/>
  <c r="N654" i="8"/>
  <c r="N668" i="8"/>
  <c r="N707" i="8"/>
  <c r="N714" i="8"/>
  <c r="N661" i="8"/>
  <c r="N727" i="8"/>
  <c r="N604" i="8"/>
  <c r="N500" i="8"/>
  <c r="N670" i="8"/>
  <c r="N655" i="8"/>
  <c r="N740" i="8"/>
  <c r="N658" i="8"/>
  <c r="N689" i="8"/>
  <c r="N664" i="8"/>
  <c r="N677" i="8"/>
  <c r="N653" i="8"/>
  <c r="N669" i="8"/>
  <c r="N708" i="8"/>
  <c r="N715" i="8"/>
  <c r="N728" i="8"/>
  <c r="N605" i="8"/>
  <c r="N640" i="8"/>
  <c r="N501" i="8"/>
  <c r="N671" i="8"/>
  <c r="N207" i="8"/>
  <c r="N592" i="8"/>
  <c r="N594" i="8"/>
  <c r="N602" i="8"/>
  <c r="N681" i="8"/>
  <c r="N599" i="8"/>
  <c r="N729" i="8"/>
  <c r="N637" i="8"/>
  <c r="N642" i="8"/>
  <c r="N730" i="8"/>
  <c r="N746" i="8"/>
  <c r="N639" i="8"/>
  <c r="N600" i="8"/>
  <c r="N617" i="8"/>
  <c r="N595" i="8"/>
  <c r="N317" i="8"/>
  <c r="N755" i="8"/>
  <c r="N171" i="8"/>
  <c r="N623" i="8"/>
  <c r="N660" i="8"/>
  <c r="N170" i="8"/>
  <c r="N614" i="8"/>
  <c r="N323" i="8"/>
  <c r="N596" i="8"/>
  <c r="N625" i="8"/>
  <c r="N621" i="8"/>
  <c r="N744" i="8"/>
  <c r="N44" i="8"/>
  <c r="N395" i="8"/>
  <c r="N949" i="8"/>
  <c r="N964" i="8"/>
  <c r="N965" i="8"/>
  <c r="N749" i="8"/>
  <c r="N712" i="8"/>
  <c r="N710" i="8"/>
  <c r="N713" i="8"/>
  <c r="N711" i="8"/>
  <c r="N726" i="8"/>
  <c r="N723" i="8"/>
  <c r="N701" i="8"/>
  <c r="N699" i="8"/>
  <c r="N691" i="8"/>
  <c r="N633" i="8"/>
  <c r="N752" i="8"/>
  <c r="N616" i="8"/>
  <c r="N679" i="8"/>
  <c r="N678" i="8"/>
  <c r="N648" i="8"/>
  <c r="N754" i="8"/>
  <c r="N683" i="8"/>
  <c r="N687" i="8"/>
  <c r="N597" i="8"/>
  <c r="N601" i="8"/>
  <c r="N611" i="8"/>
  <c r="N620" i="8"/>
  <c r="N319" i="8"/>
  <c r="N743" i="8"/>
  <c r="N656" i="8"/>
  <c r="N663" i="8"/>
  <c r="N666" i="8"/>
  <c r="N737" i="8"/>
  <c r="N703" i="8"/>
  <c r="N657" i="8"/>
  <c r="N662" i="8"/>
  <c r="N667" i="8"/>
  <c r="N738" i="8"/>
  <c r="N702" i="8"/>
  <c r="N747" i="8"/>
  <c r="N598" i="8"/>
  <c r="N619" i="8"/>
  <c r="N682" i="8"/>
  <c r="N756" i="8"/>
  <c r="N415" i="8"/>
  <c r="N758" i="8"/>
  <c r="N757" i="8"/>
  <c r="N880" i="8"/>
  <c r="N1140" i="8"/>
  <c r="N882" i="8"/>
  <c r="N12" i="8"/>
  <c r="N463" i="8"/>
  <c r="N933" i="8"/>
  <c r="N934" i="8"/>
  <c r="N935" i="8"/>
  <c r="N103" i="8"/>
  <c r="N288" i="8"/>
  <c r="N88" i="8"/>
  <c r="N944" i="8"/>
  <c r="N932" i="8"/>
  <c r="N322" i="8"/>
  <c r="N1132" i="8"/>
  <c r="N1131" i="8"/>
  <c r="N1156" i="8"/>
  <c r="N435" i="8"/>
  <c r="N1157" i="8"/>
  <c r="N104" i="8"/>
  <c r="N289" i="8"/>
  <c r="N885" i="8"/>
  <c r="N883" i="8"/>
  <c r="N886" i="8"/>
  <c r="N884" i="8"/>
  <c r="N1072" i="8"/>
  <c r="N190" i="8"/>
  <c r="N1197" i="8"/>
  <c r="N231" i="8"/>
  <c r="N1317" i="8"/>
  <c r="N1319" i="8"/>
  <c r="N1344" i="8"/>
  <c r="N1346" i="8"/>
  <c r="N1295" i="8"/>
  <c r="N1209" i="8"/>
  <c r="N1216" i="8"/>
  <c r="N1296" i="8"/>
  <c r="N1363" i="8"/>
  <c r="N1360" i="8"/>
  <c r="N1279" i="8"/>
  <c r="N1226" i="8"/>
  <c r="N1234" i="8"/>
  <c r="N233" i="8"/>
  <c r="N1369" i="8"/>
  <c r="N1367" i="8"/>
  <c r="N1362" i="8"/>
  <c r="N71" i="8"/>
  <c r="N1348" i="8"/>
  <c r="N1358" i="8"/>
  <c r="N1364" i="8"/>
  <c r="N1321" i="8"/>
  <c r="N1386" i="8"/>
  <c r="N1195" i="8"/>
  <c r="N1194" i="8"/>
  <c r="N1196" i="8"/>
  <c r="N1298" i="8"/>
  <c r="N1347" i="8"/>
  <c r="N1333" i="8"/>
  <c r="N1232" i="8"/>
  <c r="N496" i="8"/>
  <c r="N1278" i="8"/>
  <c r="N1281" i="8"/>
  <c r="N1331" i="8"/>
  <c r="N1356" i="8"/>
  <c r="N1275" i="8"/>
  <c r="N1370" i="8"/>
  <c r="N1355" i="8"/>
  <c r="N1353" i="8"/>
  <c r="N1299" i="8"/>
  <c r="N1206" i="8"/>
  <c r="N1228" i="8"/>
  <c r="N1208" i="8"/>
  <c r="N1337" i="8"/>
  <c r="N1340" i="8"/>
  <c r="N1322" i="8"/>
  <c r="N1366" i="8"/>
  <c r="N1318" i="8"/>
  <c r="N1294" i="8"/>
  <c r="N18" i="8"/>
  <c r="N53" i="8"/>
  <c r="N1316" i="8"/>
  <c r="N538" i="8"/>
  <c r="N537" i="8"/>
  <c r="N1349" i="8"/>
  <c r="N1359" i="8"/>
  <c r="N1343" i="8"/>
  <c r="N1345" i="8"/>
  <c r="N1231" i="8"/>
  <c r="N1276" i="8"/>
  <c r="N497" i="8"/>
  <c r="N1277" i="8"/>
  <c r="N1357" i="8"/>
  <c r="N1207" i="8"/>
  <c r="N1371" i="8"/>
  <c r="N1205" i="8"/>
  <c r="N1352" i="8"/>
  <c r="N1227" i="8"/>
  <c r="N1233" i="8"/>
  <c r="N1320" i="8"/>
  <c r="N1354" i="8"/>
  <c r="N1339" i="8"/>
  <c r="N1368" i="8"/>
  <c r="N1323" i="8"/>
  <c r="N1365" i="8"/>
  <c r="N1338" i="8"/>
  <c r="N1332" i="8"/>
  <c r="N1174" i="8"/>
  <c r="N785" i="8"/>
  <c r="N185" i="8"/>
  <c r="N278" i="8"/>
  <c r="N429" i="8"/>
  <c r="N772" i="8"/>
  <c r="N452" i="8"/>
  <c r="N95" i="8"/>
  <c r="N430" i="8"/>
  <c r="N431" i="8"/>
  <c r="N995" i="8"/>
  <c r="N180" i="8"/>
  <c r="N782" i="8"/>
  <c r="N854" i="8"/>
  <c r="N154" i="8"/>
  <c r="N72" i="8"/>
  <c r="N800" i="8"/>
  <c r="N77" i="8"/>
  <c r="N792" i="8"/>
  <c r="N790" i="8"/>
  <c r="N262" i="8"/>
  <c r="N791" i="8"/>
  <c r="N797" i="8"/>
  <c r="N820" i="8"/>
  <c r="N966" i="8"/>
  <c r="N806" i="8"/>
  <c r="N263" i="8"/>
  <c r="N131" i="8"/>
  <c r="N102" i="8"/>
  <c r="N264" i="8"/>
  <c r="N265" i="8"/>
  <c r="N805" i="8"/>
  <c r="N804" i="8"/>
  <c r="N786" i="8"/>
  <c r="N783" i="8"/>
  <c r="N58" i="8"/>
  <c r="N267" i="8"/>
  <c r="N261" i="8"/>
  <c r="N186" i="8"/>
  <c r="N341" i="8"/>
  <c r="N153" i="8"/>
  <c r="N796" i="8"/>
  <c r="N421" i="8"/>
  <c r="N779" i="8"/>
  <c r="N780" i="8"/>
  <c r="N781" i="8"/>
  <c r="N426" i="8"/>
  <c r="N423" i="8"/>
  <c r="N177" i="8"/>
  <c r="N422" i="8"/>
  <c r="N420" i="8"/>
  <c r="N843" i="8"/>
  <c r="N89" i="8"/>
  <c r="N451" i="8"/>
  <c r="N419" i="8"/>
  <c r="N333" i="8"/>
  <c r="N14" i="8"/>
  <c r="N809" i="8"/>
  <c r="N798" i="8"/>
  <c r="N802" i="8"/>
  <c r="N799" i="8"/>
  <c r="N424" i="8"/>
  <c r="N425" i="8"/>
  <c r="N101" i="8"/>
  <c r="N856" i="8"/>
  <c r="N855" i="8"/>
  <c r="N339" i="8"/>
  <c r="N811" i="8"/>
  <c r="N789" i="8"/>
  <c r="N784" i="8"/>
  <c r="N152" i="8"/>
  <c r="N951" i="8"/>
  <c r="N80" i="8"/>
  <c r="N260" i="8"/>
  <c r="N179" i="8"/>
  <c r="N432" i="8"/>
  <c r="N810" i="8"/>
  <c r="N795" i="8"/>
  <c r="N794" i="8"/>
  <c r="N428" i="8"/>
  <c r="N450" i="8"/>
  <c r="N189" i="8"/>
  <c r="N64" i="8"/>
  <c r="N808" i="8"/>
  <c r="N67" i="8"/>
  <c r="N7" i="8"/>
  <c r="N1528" i="8"/>
  <c r="N852" i="8"/>
  <c r="N1119" i="8"/>
  <c r="N427" i="8"/>
  <c r="N176" i="8"/>
  <c r="N844" i="8"/>
  <c r="N330" i="8"/>
  <c r="N210" i="8"/>
  <c r="N1581" i="8"/>
  <c r="N178" i="8"/>
  <c r="N76" i="8"/>
  <c r="N816" i="8"/>
  <c r="N842" i="8"/>
  <c r="N803" i="8"/>
  <c r="N175" i="8"/>
  <c r="N331" i="8"/>
  <c r="N211" i="8"/>
  <c r="N807" i="8"/>
  <c r="N209" i="8"/>
  <c r="N787" i="8"/>
  <c r="N332" i="8"/>
  <c r="N778" i="8"/>
  <c r="N801" i="8"/>
  <c r="N1177" i="8"/>
  <c r="N542" i="8"/>
  <c r="N540" i="8"/>
  <c r="N573" i="8"/>
  <c r="N572" i="8"/>
  <c r="N578" i="8"/>
  <c r="N587" i="8"/>
  <c r="N574" i="8"/>
  <c r="N588" i="8"/>
  <c r="N150" i="8"/>
  <c r="N315" i="8"/>
  <c r="N589" i="8"/>
  <c r="N585" i="8"/>
  <c r="N409" i="8"/>
  <c r="N590" i="8"/>
  <c r="N399" i="8"/>
  <c r="N407" i="8"/>
  <c r="N561" i="8"/>
  <c r="N204" i="8"/>
  <c r="N545" i="8"/>
  <c r="N544" i="8"/>
  <c r="N557" i="8"/>
  <c r="N254" i="8"/>
  <c r="N400" i="8"/>
  <c r="N405" i="8"/>
  <c r="N255" i="8"/>
  <c r="N166" i="8"/>
  <c r="N582" i="8"/>
  <c r="N549" i="8"/>
  <c r="N562" i="8"/>
  <c r="N404" i="8"/>
  <c r="N546" i="8"/>
  <c r="N87" i="8"/>
  <c r="N563" i="8"/>
  <c r="N314" i="8"/>
  <c r="N312" i="8"/>
  <c r="N547" i="8"/>
  <c r="N568" i="8"/>
  <c r="N114" i="8"/>
  <c r="N167" i="8"/>
  <c r="N569" i="8"/>
  <c r="N591" i="8"/>
  <c r="N169" i="8"/>
  <c r="N586" i="8"/>
  <c r="N576" i="8"/>
  <c r="N570" i="8"/>
  <c r="N406" i="8"/>
  <c r="N580" i="8"/>
  <c r="N548" i="8"/>
  <c r="N130" i="8"/>
  <c r="N555" i="8"/>
  <c r="N402" i="8"/>
  <c r="N556" i="8"/>
  <c r="N168" i="8"/>
  <c r="N575" i="8"/>
  <c r="N310" i="8"/>
  <c r="N74" i="8"/>
  <c r="N577" i="8"/>
  <c r="N567" i="8"/>
  <c r="N583" i="8"/>
  <c r="N584" i="8"/>
  <c r="N313" i="8"/>
  <c r="N554" i="8"/>
  <c r="N311" i="8"/>
  <c r="N581" i="8"/>
  <c r="N490" i="8"/>
  <c r="N403" i="8"/>
  <c r="N309" i="8"/>
  <c r="N551" i="8"/>
  <c r="N1384" i="8"/>
  <c r="N316" i="8"/>
  <c r="N571" i="8"/>
  <c r="N408" i="8"/>
  <c r="N553" i="8"/>
  <c r="N401" i="8"/>
  <c r="N241" i="8"/>
  <c r="N242" i="8"/>
  <c r="N1480" i="8"/>
  <c r="N1481" i="8"/>
  <c r="N97" i="8"/>
  <c r="N1484" i="8"/>
  <c r="N1487" i="8"/>
  <c r="N243" i="8"/>
  <c r="N1489" i="8"/>
  <c r="N1502" i="8"/>
  <c r="N1503" i="8"/>
  <c r="R1175" i="8"/>
  <c r="R533" i="8"/>
  <c r="R531" i="8"/>
  <c r="R532" i="8"/>
  <c r="R815" i="8"/>
  <c r="R819" i="8"/>
  <c r="R846" i="8"/>
  <c r="R847" i="8"/>
  <c r="R849" i="8"/>
  <c r="R850" i="8"/>
  <c r="R851" i="8"/>
  <c r="R1118" i="8"/>
  <c r="R1173" i="8"/>
  <c r="R1507" i="8"/>
  <c r="R1176" i="8"/>
  <c r="R534" i="8"/>
  <c r="R1155" i="8"/>
  <c r="R1482" i="8"/>
  <c r="R1530" i="8"/>
  <c r="R1497" i="8"/>
  <c r="R513" i="8"/>
  <c r="R193" i="8"/>
  <c r="R1578" i="8"/>
  <c r="R1515" i="8"/>
  <c r="R1517" i="8"/>
  <c r="R378" i="8"/>
  <c r="R1460" i="8"/>
  <c r="R1440" i="8"/>
  <c r="R896" i="8"/>
  <c r="R1485" i="8"/>
  <c r="R1506" i="8"/>
  <c r="R1449" i="8"/>
  <c r="R895" i="8"/>
  <c r="R348" i="8"/>
  <c r="E951" i="8"/>
  <c r="E1175" i="8"/>
  <c r="E759" i="8"/>
  <c r="E761" i="8"/>
  <c r="E762" i="8"/>
  <c r="E173" i="8"/>
  <c r="E765" i="8"/>
  <c r="E766" i="8"/>
  <c r="E767" i="8"/>
  <c r="E773" i="8"/>
  <c r="E774" i="8"/>
  <c r="E1425" i="8"/>
  <c r="E1427" i="8"/>
  <c r="E533" i="8"/>
  <c r="E531" i="8"/>
  <c r="E532" i="8"/>
  <c r="E851" i="8"/>
  <c r="E1118" i="8"/>
  <c r="E1507" i="8"/>
  <c r="F1507" i="8" s="1"/>
  <c r="E534" i="8"/>
  <c r="E1482" i="8"/>
  <c r="E1530" i="8"/>
  <c r="E1497" i="8"/>
  <c r="E513" i="8"/>
  <c r="E193" i="8"/>
  <c r="E1515" i="8"/>
  <c r="E1517" i="8"/>
  <c r="E378" i="8"/>
  <c r="E1460" i="8"/>
  <c r="E1440" i="8"/>
  <c r="E896" i="8"/>
  <c r="E1485" i="8"/>
  <c r="F1485" i="8" s="1"/>
  <c r="E1506" i="8"/>
  <c r="F1506" i="8" s="1"/>
  <c r="E1449" i="8"/>
  <c r="E895" i="8"/>
  <c r="E348" i="8"/>
  <c r="E1441" i="8"/>
  <c r="E810" i="8"/>
  <c r="AB1" i="8" l="1"/>
  <c r="AY348" i="8"/>
  <c r="AY895" i="8"/>
  <c r="AY1506" i="8"/>
  <c r="AY896" i="8"/>
  <c r="AY1460" i="8"/>
  <c r="AY1517" i="8"/>
  <c r="AY1578" i="8"/>
  <c r="AY513" i="8"/>
  <c r="AY1530" i="8"/>
  <c r="AY1155" i="8"/>
  <c r="AY1441" i="8"/>
  <c r="AY1449" i="8"/>
  <c r="AY1485" i="8"/>
  <c r="AY1440" i="8"/>
  <c r="AY378" i="8"/>
  <c r="AY1515" i="8"/>
  <c r="AY193" i="8"/>
  <c r="AY1497" i="8"/>
  <c r="AY1482" i="8"/>
  <c r="AY1175" i="8"/>
  <c r="AY533" i="8"/>
  <c r="AY531" i="8"/>
  <c r="AY532" i="8"/>
  <c r="AY847" i="8" l="1"/>
  <c r="AY849" i="8"/>
  <c r="AY851" i="8"/>
  <c r="AY1507" i="8"/>
  <c r="AY1176" i="8"/>
  <c r="AY534" i="8"/>
  <c r="AY846" i="8"/>
  <c r="AY850" i="8"/>
  <c r="W1" i="8"/>
  <c r="Y1" i="8"/>
  <c r="X1" i="8" l="1"/>
  <c r="J5" i="12"/>
  <c r="I5" i="12"/>
  <c r="I1" i="12"/>
  <c r="I6" i="12"/>
  <c r="I7" i="12"/>
  <c r="I8" i="12"/>
  <c r="I9" i="12"/>
  <c r="I10" i="12"/>
  <c r="I3" i="12"/>
  <c r="I16" i="12"/>
  <c r="I17" i="12"/>
  <c r="I15" i="12"/>
  <c r="I11" i="12"/>
  <c r="I12" i="12"/>
  <c r="I13" i="12"/>
  <c r="I14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4" i="12"/>
  <c r="J35" i="12"/>
  <c r="J18" i="12"/>
  <c r="J26" i="12"/>
  <c r="J25" i="12"/>
  <c r="J23" i="12"/>
  <c r="J24" i="12"/>
  <c r="J22" i="12"/>
  <c r="J21" i="12"/>
  <c r="J20" i="12"/>
  <c r="J34" i="12"/>
  <c r="J33" i="12"/>
  <c r="J32" i="12"/>
  <c r="J19" i="12"/>
  <c r="J31" i="12"/>
  <c r="J30" i="12"/>
  <c r="J29" i="12"/>
  <c r="J28" i="12"/>
  <c r="J27" i="12"/>
  <c r="J14" i="12"/>
  <c r="J13" i="12"/>
  <c r="J12" i="12"/>
  <c r="J11" i="12"/>
  <c r="J15" i="12"/>
  <c r="J17" i="12"/>
  <c r="J16" i="12"/>
  <c r="J3" i="12"/>
  <c r="J10" i="12"/>
  <c r="J7" i="12"/>
  <c r="J9" i="12"/>
  <c r="J8" i="12"/>
  <c r="J6" i="12"/>
  <c r="J4" i="12"/>
  <c r="J1" i="12" l="1"/>
  <c r="I183" i="8"/>
  <c r="BA1" i="8" l="1"/>
  <c r="BF9" i="8"/>
  <c r="BF10" i="8"/>
  <c r="BF12" i="8"/>
  <c r="BF22" i="8"/>
  <c r="BF35" i="8"/>
  <c r="BF44" i="8"/>
  <c r="BF48" i="8"/>
  <c r="BF50" i="8"/>
  <c r="BF52" i="8"/>
  <c r="BF62" i="8"/>
  <c r="BF66" i="8"/>
  <c r="BF68" i="8"/>
  <c r="BF70" i="8"/>
  <c r="BF71" i="8"/>
  <c r="BF76" i="8"/>
  <c r="BF80" i="8"/>
  <c r="BF81" i="8"/>
  <c r="BF83" i="8"/>
  <c r="BF92" i="8"/>
  <c r="BF95" i="8"/>
  <c r="BF97" i="8"/>
  <c r="BF99" i="8"/>
  <c r="BF105" i="8"/>
  <c r="BF107" i="8"/>
  <c r="BF112" i="8"/>
  <c r="BF113" i="8"/>
  <c r="BF118" i="8"/>
  <c r="BF125" i="8"/>
  <c r="BF131" i="8"/>
  <c r="BF138" i="8"/>
  <c r="BF140" i="8"/>
  <c r="BF147" i="8"/>
  <c r="BF153" i="8"/>
  <c r="BF156" i="8"/>
  <c r="BF158" i="8"/>
  <c r="BF161" i="8"/>
  <c r="BF162" i="8"/>
  <c r="BF164" i="8"/>
  <c r="BF165" i="8"/>
  <c r="BF166" i="8"/>
  <c r="BF169" i="8"/>
  <c r="BF174" i="8"/>
  <c r="BF190" i="8"/>
  <c r="BF194" i="8"/>
  <c r="BF201" i="8"/>
  <c r="BF205" i="8"/>
  <c r="BF207" i="8"/>
  <c r="BF215" i="8"/>
  <c r="BF217" i="8"/>
  <c r="BF230" i="8"/>
  <c r="BF231" i="8"/>
  <c r="BF235" i="8"/>
  <c r="BF236" i="8"/>
  <c r="BF238" i="8"/>
  <c r="BF242" i="8"/>
  <c r="BF244" i="8"/>
  <c r="BF245" i="8"/>
  <c r="BF246" i="8"/>
  <c r="BF251" i="8"/>
  <c r="BF252" i="8"/>
  <c r="BF256" i="8"/>
  <c r="BF258" i="8"/>
  <c r="BF262" i="8"/>
  <c r="BF263" i="8"/>
  <c r="BF264" i="8"/>
  <c r="BF265" i="8"/>
  <c r="BF266" i="8"/>
  <c r="BF267" i="8"/>
  <c r="BF268" i="8"/>
  <c r="BF269" i="8"/>
  <c r="BF272" i="8"/>
  <c r="BF275" i="8"/>
  <c r="BF276" i="8"/>
  <c r="BF279" i="8"/>
  <c r="BF286" i="8"/>
  <c r="BF287" i="8"/>
  <c r="BF289" i="8"/>
  <c r="BF292" i="8"/>
  <c r="BF294" i="8"/>
  <c r="BF295" i="8"/>
  <c r="BF296" i="8"/>
  <c r="BF297" i="8"/>
  <c r="BF298" i="8"/>
  <c r="BF300" i="8"/>
  <c r="BF307" i="8"/>
  <c r="BF308" i="8"/>
  <c r="BF309" i="8"/>
  <c r="BF313" i="8"/>
  <c r="BF315" i="8"/>
  <c r="BF316" i="8"/>
  <c r="BF319" i="8"/>
  <c r="BF320" i="8"/>
  <c r="BF322" i="8"/>
  <c r="BF323" i="8"/>
  <c r="BF324" i="8"/>
  <c r="BF331" i="8"/>
  <c r="BF334" i="8"/>
  <c r="BF337" i="8"/>
  <c r="BF338" i="8"/>
  <c r="BF339" i="8"/>
  <c r="BF340" i="8"/>
  <c r="BF343" i="8"/>
  <c r="BF344" i="8"/>
  <c r="BF345" i="8"/>
  <c r="BF350" i="8"/>
  <c r="BF351" i="8"/>
  <c r="BF353" i="8"/>
  <c r="BF354" i="8"/>
  <c r="BF355" i="8"/>
  <c r="BF359" i="8"/>
  <c r="BF362" i="8"/>
  <c r="BF364" i="8"/>
  <c r="BF365" i="8"/>
  <c r="BF377" i="8"/>
  <c r="BF381" i="8"/>
  <c r="BF390" i="8"/>
  <c r="BF393" i="8"/>
  <c r="BF396" i="8"/>
  <c r="BF397" i="8"/>
  <c r="BF398" i="8"/>
  <c r="BF399" i="8"/>
  <c r="BF403" i="8"/>
  <c r="BF404" i="8"/>
  <c r="BF406" i="8"/>
  <c r="BF407" i="8"/>
  <c r="BF408" i="8"/>
  <c r="BF409" i="8"/>
  <c r="BF413" i="8"/>
  <c r="BF415" i="8"/>
  <c r="BF417" i="8"/>
  <c r="BF890" i="8"/>
  <c r="BF891" i="8"/>
  <c r="BF425" i="8"/>
  <c r="BF431" i="8"/>
  <c r="BF435" i="8"/>
  <c r="BF436" i="8"/>
  <c r="BF439" i="8"/>
  <c r="BF440" i="8"/>
  <c r="BF447" i="8"/>
  <c r="BF448" i="8"/>
  <c r="BF451" i="8"/>
  <c r="BF457" i="8"/>
  <c r="BF459" i="8"/>
  <c r="BF460" i="8"/>
  <c r="BF461" i="8"/>
  <c r="BF462" i="8"/>
  <c r="BF466" i="8"/>
  <c r="BF467" i="8"/>
  <c r="BF468" i="8"/>
  <c r="BF471" i="8"/>
  <c r="BF473" i="8"/>
  <c r="BF474" i="8"/>
  <c r="BF480" i="8"/>
  <c r="BF481" i="8"/>
  <c r="BF482" i="8"/>
  <c r="BF483" i="8"/>
  <c r="BF484" i="8"/>
  <c r="BF931" i="8"/>
  <c r="BF944" i="8"/>
  <c r="BF488" i="8"/>
  <c r="BF892" i="8"/>
  <c r="BF489" i="8"/>
  <c r="BF502" i="8"/>
  <c r="BF503" i="8"/>
  <c r="BF514" i="8"/>
  <c r="BF522" i="8"/>
  <c r="BF523" i="8"/>
  <c r="BF525" i="8"/>
  <c r="BF526" i="8"/>
  <c r="BF527" i="8"/>
  <c r="BF530" i="8"/>
  <c r="BF533" i="8"/>
  <c r="BF539" i="8"/>
  <c r="BF544" i="8"/>
  <c r="BF545" i="8"/>
  <c r="BF550" i="8"/>
  <c r="BF554" i="8"/>
  <c r="BF558" i="8"/>
  <c r="BF561" i="8"/>
  <c r="BF569" i="8"/>
  <c r="BF573" i="8"/>
  <c r="BF575" i="8"/>
  <c r="BF576" i="8"/>
  <c r="BF578" i="8"/>
  <c r="BF579" i="8"/>
  <c r="BF580" i="8"/>
  <c r="BF588" i="8"/>
  <c r="BF589" i="8"/>
  <c r="BF593" i="8"/>
  <c r="BF594" i="8"/>
  <c r="BF595" i="8"/>
  <c r="BF596" i="8"/>
  <c r="BF597" i="8"/>
  <c r="BF598" i="8"/>
  <c r="BF599" i="8"/>
  <c r="BF606" i="8"/>
  <c r="BF609" i="8"/>
  <c r="BF613" i="8"/>
  <c r="BF614" i="8"/>
  <c r="BF615" i="8"/>
  <c r="BF616" i="8"/>
  <c r="BF617" i="8"/>
  <c r="BF618" i="8"/>
  <c r="BF619" i="8"/>
  <c r="BF621" i="8"/>
  <c r="BF622" i="8"/>
  <c r="BF623" i="8"/>
  <c r="BF624" i="8"/>
  <c r="BF627" i="8"/>
  <c r="BF628" i="8"/>
  <c r="BF629" i="8"/>
  <c r="BF630" i="8"/>
  <c r="BF631" i="8"/>
  <c r="BF633" i="8"/>
  <c r="BF634" i="8"/>
  <c r="BF635" i="8"/>
  <c r="BF636" i="8"/>
  <c r="BF637" i="8"/>
  <c r="BF638" i="8"/>
  <c r="BF639" i="8"/>
  <c r="BF640" i="8"/>
  <c r="BF641" i="8"/>
  <c r="BF675" i="8"/>
  <c r="BF676" i="8"/>
  <c r="BF678" i="8"/>
  <c r="BF682" i="8"/>
  <c r="BF685" i="8"/>
  <c r="BF686" i="8"/>
  <c r="BF687" i="8"/>
  <c r="BF691" i="8"/>
  <c r="BF692" i="8"/>
  <c r="BF693" i="8"/>
  <c r="BF695" i="8"/>
  <c r="BF696" i="8"/>
  <c r="BF697" i="8"/>
  <c r="BF698" i="8"/>
  <c r="BF703" i="8"/>
  <c r="BF705" i="8"/>
  <c r="BF707" i="8"/>
  <c r="BF708" i="8"/>
  <c r="BF712" i="8"/>
  <c r="BF714" i="8"/>
  <c r="BF716" i="8"/>
  <c r="BF717" i="8"/>
  <c r="BF718" i="8"/>
  <c r="BF719" i="8"/>
  <c r="BF720" i="8"/>
  <c r="BF721" i="8"/>
  <c r="BF733" i="8"/>
  <c r="BF748" i="8"/>
  <c r="BF749" i="8"/>
  <c r="BF750" i="8"/>
  <c r="BF752" i="8"/>
  <c r="BF753" i="8"/>
  <c r="BF754" i="8"/>
  <c r="BF755" i="8"/>
  <c r="BF756" i="8"/>
  <c r="BF757" i="8"/>
  <c r="BF770" i="8"/>
  <c r="BF771" i="8"/>
  <c r="BF772" i="8"/>
  <c r="BF775" i="8"/>
  <c r="BF778" i="8"/>
  <c r="BF779" i="8"/>
  <c r="BF780" i="8"/>
  <c r="BF781" i="8"/>
  <c r="BF782" i="8"/>
  <c r="BF783" i="8"/>
  <c r="BF784" i="8"/>
  <c r="BF785" i="8"/>
  <c r="BF786" i="8"/>
  <c r="BF787" i="8"/>
  <c r="BF788" i="8"/>
  <c r="BF790" i="8"/>
  <c r="BF791" i="8"/>
  <c r="BF792" i="8"/>
  <c r="BF793" i="8"/>
  <c r="BF794" i="8"/>
  <c r="BF795" i="8"/>
  <c r="BF819" i="8"/>
  <c r="BF822" i="8"/>
  <c r="BF823" i="8"/>
  <c r="BF824" i="8"/>
  <c r="BF825" i="8"/>
  <c r="BF826" i="8"/>
  <c r="BF827" i="8"/>
  <c r="BF828" i="8"/>
  <c r="BF831" i="8"/>
  <c r="BF832" i="8"/>
  <c r="BF833" i="8"/>
  <c r="BF834" i="8"/>
  <c r="BF835" i="8"/>
  <c r="BF836" i="8"/>
  <c r="BF837" i="8"/>
  <c r="BF838" i="8"/>
  <c r="BF839" i="8"/>
  <c r="BF840" i="8"/>
  <c r="BF841" i="8"/>
  <c r="BF842" i="8"/>
  <c r="BF843" i="8"/>
  <c r="BF844" i="8"/>
  <c r="BF845" i="8"/>
  <c r="BF846" i="8"/>
  <c r="BF847" i="8"/>
  <c r="BF848" i="8"/>
  <c r="BF849" i="8"/>
  <c r="BF851" i="8"/>
  <c r="BF872" i="8"/>
  <c r="BF878" i="8"/>
  <c r="BF879" i="8"/>
  <c r="BF880" i="8"/>
  <c r="BF886" i="8"/>
  <c r="BF887" i="8"/>
  <c r="BF888" i="8"/>
  <c r="BF889" i="8"/>
  <c r="BF893" i="8"/>
  <c r="BF894" i="8"/>
  <c r="BF901" i="8"/>
  <c r="BF914" i="8"/>
  <c r="BF925" i="8"/>
  <c r="BF895" i="8"/>
  <c r="BF896" i="8"/>
  <c r="BF902" i="8"/>
  <c r="BF903" i="8"/>
  <c r="BF904" i="8"/>
  <c r="BF905" i="8"/>
  <c r="BF906" i="8"/>
  <c r="BF907" i="8"/>
  <c r="BF908" i="8"/>
  <c r="BF909" i="8"/>
  <c r="BF910" i="8"/>
  <c r="BF911" i="8"/>
  <c r="BF912" i="8"/>
  <c r="BF913" i="8"/>
  <c r="BF950" i="8"/>
  <c r="BF915" i="8"/>
  <c r="BF916" i="8"/>
  <c r="BF917" i="8"/>
  <c r="BF918" i="8"/>
  <c r="BF919" i="8"/>
  <c r="BF920" i="8"/>
  <c r="BF921" i="8"/>
  <c r="BF922" i="8"/>
  <c r="BF923" i="8"/>
  <c r="BF924" i="8"/>
  <c r="BF959" i="8"/>
  <c r="BF926" i="8"/>
  <c r="BF410" i="8"/>
  <c r="BF928" i="8"/>
  <c r="BF929" i="8"/>
  <c r="BF960" i="8"/>
  <c r="BF932" i="8"/>
  <c r="BF933" i="8"/>
  <c r="BF934" i="8"/>
  <c r="BF935" i="8"/>
  <c r="BF936" i="8"/>
  <c r="BF937" i="8"/>
  <c r="BF938" i="8"/>
  <c r="BF939" i="8"/>
  <c r="BF940" i="8"/>
  <c r="BF941" i="8"/>
  <c r="BF942" i="8"/>
  <c r="BF943" i="8"/>
  <c r="BF961" i="8"/>
  <c r="BF962" i="8"/>
  <c r="BF946" i="8"/>
  <c r="BF947" i="8"/>
  <c r="BF948" i="8"/>
  <c r="BF963" i="8"/>
  <c r="BF964" i="8"/>
  <c r="BF951" i="8"/>
  <c r="BF952" i="8"/>
  <c r="BF953" i="8"/>
  <c r="BF954" i="8"/>
  <c r="BF955" i="8"/>
  <c r="BF956" i="8"/>
  <c r="BF957" i="8"/>
  <c r="BF958" i="8"/>
  <c r="BF971" i="8"/>
  <c r="BF485" i="8"/>
  <c r="BF626" i="8"/>
  <c r="BF975" i="8"/>
  <c r="BF966" i="8"/>
  <c r="BF967" i="8"/>
  <c r="BF968" i="8"/>
  <c r="BF969" i="8"/>
  <c r="BF970" i="8"/>
  <c r="BF976" i="8"/>
  <c r="BF972" i="8"/>
  <c r="BF973" i="8"/>
  <c r="BF974" i="8"/>
  <c r="BF977" i="8"/>
  <c r="BF979" i="8"/>
  <c r="BF980" i="8"/>
  <c r="BF981" i="8"/>
  <c r="BF982" i="8"/>
  <c r="BF983" i="8"/>
  <c r="BF984" i="8"/>
  <c r="BF985" i="8"/>
  <c r="BF986" i="8"/>
  <c r="BF987" i="8"/>
  <c r="BF988" i="8"/>
  <c r="BF989" i="8"/>
  <c r="BF990" i="8"/>
  <c r="BF991" i="8"/>
  <c r="BF992" i="8"/>
  <c r="BF993" i="8"/>
  <c r="BF994" i="8"/>
  <c r="BF995" i="8"/>
  <c r="BF996" i="8"/>
  <c r="BF997" i="8"/>
  <c r="BF998" i="8"/>
  <c r="BF999" i="8"/>
  <c r="BF1000" i="8"/>
  <c r="BF1001" i="8"/>
  <c r="BF1002" i="8"/>
  <c r="BF1003" i="8"/>
  <c r="BF1004" i="8"/>
  <c r="BF1005" i="8"/>
  <c r="BF1006" i="8"/>
  <c r="BF1007" i="8"/>
  <c r="BF1008" i="8"/>
  <c r="BF1009" i="8"/>
  <c r="BF1010" i="8"/>
  <c r="BF1011" i="8"/>
  <c r="BF1012" i="8"/>
  <c r="BF1013" i="8"/>
  <c r="BF1014" i="8"/>
  <c r="BF1015" i="8"/>
  <c r="BF1033" i="8"/>
  <c r="BF1134" i="8"/>
  <c r="BF1247" i="8"/>
  <c r="BF1258" i="8"/>
  <c r="BF1277" i="8"/>
  <c r="BF1278" i="8"/>
  <c r="BF1317" i="8"/>
  <c r="BF1318" i="8"/>
  <c r="BF1319" i="8"/>
  <c r="BF1321" i="8"/>
  <c r="BF1324" i="8"/>
  <c r="BF1325" i="8"/>
  <c r="I396" i="8"/>
  <c r="I99" i="8"/>
  <c r="I39" i="8"/>
  <c r="I1390" i="8"/>
  <c r="I1396" i="8"/>
  <c r="I1516" i="8"/>
  <c r="I1489" i="8"/>
  <c r="N396" i="8"/>
  <c r="N99" i="8"/>
  <c r="N39" i="8"/>
  <c r="N1390" i="8"/>
  <c r="N1396" i="8"/>
  <c r="N1516" i="8"/>
  <c r="R396" i="8"/>
  <c r="R99" i="8"/>
  <c r="R39" i="8"/>
  <c r="R1390" i="8"/>
  <c r="R1396" i="8"/>
  <c r="R1516" i="8"/>
  <c r="R1489" i="8"/>
  <c r="F373" i="8"/>
  <c r="F4" i="8"/>
  <c r="F5" i="8"/>
  <c r="F301" i="8"/>
  <c r="F7" i="8"/>
  <c r="F26" i="8"/>
  <c r="F6" i="8"/>
  <c r="F11" i="8"/>
  <c r="F362" i="8"/>
  <c r="F13" i="8"/>
  <c r="F12" i="8"/>
  <c r="F14" i="8"/>
  <c r="F45" i="8"/>
  <c r="F36" i="8"/>
  <c r="F57" i="8"/>
  <c r="F25" i="8"/>
  <c r="F41" i="8"/>
  <c r="F15" i="8"/>
  <c r="F37" i="8"/>
  <c r="F76" i="8"/>
  <c r="F31" i="8"/>
  <c r="F23" i="8"/>
  <c r="F207" i="8"/>
  <c r="F18" i="8"/>
  <c r="F1214" i="8"/>
  <c r="F80" i="8"/>
  <c r="F40" i="8"/>
  <c r="F65" i="8"/>
  <c r="F22" i="8"/>
  <c r="F21" i="8"/>
  <c r="F53" i="8"/>
  <c r="F49" i="8"/>
  <c r="F29" i="8"/>
  <c r="F77" i="8"/>
  <c r="F170" i="8"/>
  <c r="F38" i="8"/>
  <c r="F79" i="8"/>
  <c r="F66" i="8"/>
  <c r="F93" i="8"/>
  <c r="F1165" i="8"/>
  <c r="F1193" i="8"/>
  <c r="F34" i="8"/>
  <c r="F969" i="8"/>
  <c r="F60" i="8"/>
  <c r="F816" i="8"/>
  <c r="F641" i="8"/>
  <c r="F1162" i="8"/>
  <c r="F428" i="8"/>
  <c r="F20" i="8"/>
  <c r="F19" i="8"/>
  <c r="F801" i="8"/>
  <c r="F47" i="8"/>
  <c r="F183" i="8"/>
  <c r="F10" i="8"/>
  <c r="F8" i="8"/>
  <c r="F73" i="8"/>
  <c r="F800" i="8"/>
  <c r="F218" i="8"/>
  <c r="F681" i="8"/>
  <c r="F319" i="8"/>
  <c r="F82" i="8"/>
  <c r="F333" i="8"/>
  <c r="F64" i="8"/>
  <c r="F48" i="8"/>
  <c r="F177" i="8"/>
  <c r="F142" i="8"/>
  <c r="F68" i="8"/>
  <c r="F52" i="8"/>
  <c r="F86" i="8"/>
  <c r="F81" i="8"/>
  <c r="F230" i="8"/>
  <c r="F145" i="8"/>
  <c r="F92" i="8"/>
  <c r="F83" i="8"/>
  <c r="F231" i="8"/>
  <c r="F212" i="8"/>
  <c r="F63" i="8"/>
  <c r="F205" i="8"/>
  <c r="F149" i="8"/>
  <c r="F441" i="8"/>
  <c r="F1581" i="8"/>
  <c r="F186" i="8"/>
  <c r="F100" i="8"/>
  <c r="F153" i="8"/>
  <c r="F171" i="8"/>
  <c r="F75" i="8"/>
  <c r="F72" i="8"/>
  <c r="F408" i="8"/>
  <c r="F488" i="8"/>
  <c r="F298" i="8"/>
  <c r="F55" i="8"/>
  <c r="F268" i="8"/>
  <c r="F69" i="8"/>
  <c r="F486" i="8"/>
  <c r="F1170" i="8"/>
  <c r="F121" i="8"/>
  <c r="F334" i="8"/>
  <c r="F95" i="8"/>
  <c r="F265" i="8"/>
  <c r="F487" i="8"/>
  <c r="F300" i="8"/>
  <c r="F101" i="8"/>
  <c r="F51" i="8"/>
  <c r="F316" i="8"/>
  <c r="F35" i="8"/>
  <c r="F32" i="8"/>
  <c r="F535" i="8"/>
  <c r="F1436" i="8"/>
  <c r="F150" i="8"/>
  <c r="F44" i="8"/>
  <c r="F1133" i="8"/>
  <c r="F118" i="8"/>
  <c r="F178" i="8"/>
  <c r="F839" i="8"/>
  <c r="F808" i="8"/>
  <c r="F407" i="8"/>
  <c r="F309" i="8"/>
  <c r="F329" i="8"/>
  <c r="F135" i="8"/>
  <c r="F817" i="8"/>
  <c r="F115" i="8"/>
  <c r="F175" i="8"/>
  <c r="F133" i="8"/>
  <c r="F820" i="8"/>
  <c r="F208" i="8"/>
  <c r="F323" i="8"/>
  <c r="F257" i="8"/>
  <c r="F33" i="8"/>
  <c r="F120" i="8"/>
  <c r="F280" i="8"/>
  <c r="F155" i="8"/>
  <c r="F134" i="8"/>
  <c r="F340" i="8"/>
  <c r="F132" i="8"/>
  <c r="F263" i="8"/>
  <c r="F27" i="8"/>
  <c r="F427" i="8"/>
  <c r="F102" i="8"/>
  <c r="F179" i="8"/>
  <c r="F804" i="8"/>
  <c r="F776" i="8"/>
  <c r="F56" i="8"/>
  <c r="F536" i="8"/>
  <c r="F311" i="8"/>
  <c r="F1223" i="8"/>
  <c r="F151" i="8"/>
  <c r="F43" i="8"/>
  <c r="F272" i="8"/>
  <c r="F453" i="8"/>
  <c r="F119" i="8"/>
  <c r="F437" i="8"/>
  <c r="F214" i="8"/>
  <c r="F436" i="8"/>
  <c r="F786" i="8"/>
  <c r="F638" i="8"/>
  <c r="F211" i="8"/>
  <c r="F402" i="8"/>
  <c r="F1398" i="8"/>
  <c r="F131" i="8"/>
  <c r="F30" i="8"/>
  <c r="F105" i="8"/>
  <c r="F425" i="8"/>
  <c r="F104" i="8"/>
  <c r="F435" i="8"/>
  <c r="F46" i="8"/>
  <c r="F215" i="8"/>
  <c r="F270" i="8"/>
  <c r="F181" i="8"/>
  <c r="F182" i="8"/>
  <c r="F470" i="8"/>
  <c r="F59" i="8"/>
  <c r="F62" i="8"/>
  <c r="F136" i="8"/>
  <c r="F452" i="8"/>
  <c r="F148" i="8"/>
  <c r="F596" i="8"/>
  <c r="F504" i="8"/>
  <c r="F191" i="8"/>
  <c r="F1426" i="8"/>
  <c r="F695" i="8"/>
  <c r="F1220" i="8"/>
  <c r="F124" i="8"/>
  <c r="F152" i="8"/>
  <c r="F161" i="8"/>
  <c r="F1222" i="8"/>
  <c r="F154" i="8"/>
  <c r="F784" i="8"/>
  <c r="F281" i="8"/>
  <c r="F88" i="8"/>
  <c r="F103" i="8"/>
  <c r="F338" i="8"/>
  <c r="F138" i="8"/>
  <c r="F447" i="8"/>
  <c r="F336" i="8"/>
  <c r="F116" i="8"/>
  <c r="F1134" i="8"/>
  <c r="F117" i="8"/>
  <c r="F223" i="8"/>
  <c r="F156" i="8"/>
  <c r="F235" i="8"/>
  <c r="F1217" i="8"/>
  <c r="F426" i="8"/>
  <c r="F790" i="8"/>
  <c r="F431" i="8"/>
  <c r="F168" i="8"/>
  <c r="F267" i="8"/>
  <c r="F451" i="8"/>
  <c r="F1225" i="8"/>
  <c r="F1383" i="8"/>
  <c r="F750" i="8"/>
  <c r="F1235" i="8"/>
  <c r="F1213" i="8"/>
  <c r="F258" i="8"/>
  <c r="F1137" i="8"/>
  <c r="F799" i="8"/>
  <c r="F654" i="8"/>
  <c r="F655" i="8"/>
  <c r="F91" i="8"/>
  <c r="F90" i="8"/>
  <c r="F331" i="8"/>
  <c r="F310" i="8"/>
  <c r="F67" i="8"/>
  <c r="F210" i="8"/>
  <c r="F89" i="8"/>
  <c r="F203" i="8"/>
  <c r="F363" i="8"/>
  <c r="F234" i="8"/>
  <c r="F184" i="8"/>
  <c r="F160" i="8"/>
  <c r="F274" i="8"/>
  <c r="F217" i="8"/>
  <c r="F342" i="8"/>
  <c r="F147" i="8"/>
  <c r="F279" i="8"/>
  <c r="F454" i="8"/>
  <c r="F1024" i="8"/>
  <c r="F482" i="8"/>
  <c r="F313" i="8"/>
  <c r="F256" i="8"/>
  <c r="F166" i="8"/>
  <c r="F545" i="8"/>
  <c r="F1384" i="8"/>
  <c r="F236" i="8"/>
  <c r="F365" i="8"/>
  <c r="F204" i="8"/>
  <c r="F1138" i="8"/>
  <c r="F367" i="8"/>
  <c r="F189" i="8"/>
  <c r="F464" i="8"/>
  <c r="F1135" i="8"/>
  <c r="F424" i="8"/>
  <c r="F317" i="8"/>
  <c r="F129" i="8"/>
  <c r="F842" i="8"/>
  <c r="F422" i="8"/>
  <c r="F500" i="8"/>
  <c r="F501" i="8"/>
  <c r="F611" i="8"/>
  <c r="F1288" i="8"/>
  <c r="F96" i="8"/>
  <c r="F366" i="8"/>
  <c r="F752" i="8"/>
  <c r="F797" i="8"/>
  <c r="F1290" i="8"/>
  <c r="F220" i="8"/>
  <c r="F228" i="8"/>
  <c r="F227" i="8"/>
  <c r="F157" i="8"/>
  <c r="F429" i="8"/>
  <c r="F271" i="8"/>
  <c r="F137" i="8"/>
  <c r="F747" i="8"/>
  <c r="F860" i="8"/>
  <c r="F282" i="8"/>
  <c r="F505" i="8"/>
  <c r="F347" i="8"/>
  <c r="F1032" i="8"/>
  <c r="F1033" i="8"/>
  <c r="F1379" i="8"/>
  <c r="F216" i="8"/>
  <c r="F292" i="8"/>
  <c r="F449" i="8"/>
  <c r="F474" i="8"/>
  <c r="F1407" i="8"/>
  <c r="F1006" i="8"/>
  <c r="F1103" i="8"/>
  <c r="F480" i="8"/>
  <c r="F221" i="8"/>
  <c r="F455" i="8"/>
  <c r="F777" i="8"/>
  <c r="F756" i="8"/>
  <c r="F70" i="8"/>
  <c r="F682" i="8"/>
  <c r="F783" i="8"/>
  <c r="F648" i="8"/>
  <c r="F364" i="8"/>
  <c r="F359" i="8"/>
  <c r="F726" i="8"/>
  <c r="F1245" i="8"/>
  <c r="F372" i="8"/>
  <c r="F575" i="8"/>
  <c r="F356" i="8"/>
  <c r="F465" i="8"/>
  <c r="F74" i="8"/>
  <c r="F615" i="8"/>
  <c r="F406" i="8"/>
  <c r="F87" i="8"/>
  <c r="F176" i="8"/>
  <c r="F185" i="8"/>
  <c r="F685" i="8"/>
  <c r="F328" i="8"/>
  <c r="F1237" i="8"/>
  <c r="F714" i="8"/>
  <c r="F326" i="8"/>
  <c r="F1136" i="8"/>
  <c r="F421" i="8"/>
  <c r="F1389" i="8"/>
  <c r="F1188" i="8"/>
  <c r="F720" i="8"/>
  <c r="F143" i="8"/>
  <c r="F299" i="8"/>
  <c r="F1132" i="8"/>
  <c r="F1131" i="8"/>
  <c r="F798" i="8"/>
  <c r="F401" i="8"/>
  <c r="F123" i="8"/>
  <c r="F146" i="8"/>
  <c r="F398" i="8"/>
  <c r="F141" i="8"/>
  <c r="F809" i="8"/>
  <c r="F727" i="8"/>
  <c r="F278" i="8"/>
  <c r="F639" i="8"/>
  <c r="F640" i="8"/>
  <c r="F94" i="8"/>
  <c r="F224" i="8"/>
  <c r="F273" i="8"/>
  <c r="F61" i="8"/>
  <c r="F106" i="8"/>
  <c r="F636" i="8"/>
  <c r="F824" i="8"/>
  <c r="F468" i="8"/>
  <c r="F795" i="8"/>
  <c r="F818" i="8"/>
  <c r="F1197" i="8"/>
  <c r="F122" i="8"/>
  <c r="F108" i="8"/>
  <c r="F945" i="8"/>
  <c r="F959" i="8"/>
  <c r="F960" i="8"/>
  <c r="F219" i="8"/>
  <c r="F1036" i="8"/>
  <c r="F260" i="8"/>
  <c r="F836" i="8"/>
  <c r="F879" i="8"/>
  <c r="F825" i="8"/>
  <c r="F439" i="8"/>
  <c r="F794" i="8"/>
  <c r="F1317" i="8"/>
  <c r="F473" i="8"/>
  <c r="F993" i="8"/>
  <c r="F973" i="8"/>
  <c r="F974" i="8"/>
  <c r="F1007" i="8"/>
  <c r="F312" i="8"/>
  <c r="F1201" i="8"/>
  <c r="F71" i="8"/>
  <c r="F968" i="8"/>
  <c r="F637" i="8"/>
  <c r="F1386" i="8"/>
  <c r="F344" i="8"/>
  <c r="F283" i="8"/>
  <c r="F430" i="8"/>
  <c r="F460" i="8"/>
  <c r="F866" i="8"/>
  <c r="F918" i="8"/>
  <c r="F477" i="8"/>
  <c r="F857" i="8"/>
  <c r="F933" i="8"/>
  <c r="F458" i="8"/>
  <c r="F1012" i="8"/>
  <c r="F1017" i="8"/>
  <c r="F1091" i="8"/>
  <c r="F952" i="8"/>
  <c r="F418" i="8"/>
  <c r="F868" i="8"/>
  <c r="F345" i="8"/>
  <c r="F1045" i="8"/>
  <c r="F1092" i="8"/>
  <c r="F1046" i="8"/>
  <c r="F1083" i="8"/>
  <c r="F791" i="8"/>
  <c r="F902" i="8"/>
  <c r="F1348" i="8"/>
  <c r="F1042" i="8"/>
  <c r="F467" i="8"/>
  <c r="F539" i="8"/>
  <c r="F914" i="8"/>
  <c r="F1011" i="8"/>
  <c r="F1023" i="8"/>
  <c r="F873" i="8"/>
  <c r="F1358" i="8"/>
  <c r="F1077" i="8"/>
  <c r="F1078" i="8"/>
  <c r="F876" i="8"/>
  <c r="F811" i="8"/>
  <c r="F1106" i="8"/>
  <c r="F1107" i="8"/>
  <c r="F213" i="8"/>
  <c r="F290" i="8"/>
  <c r="F1191" i="8"/>
  <c r="F1192" i="8"/>
  <c r="F172" i="8"/>
  <c r="F237" i="8"/>
  <c r="F760" i="8"/>
  <c r="F130" i="8"/>
  <c r="F405" i="8"/>
  <c r="F409" i="8"/>
  <c r="F1364" i="8"/>
  <c r="F589" i="8"/>
  <c r="F768" i="8"/>
  <c r="F1198" i="8"/>
  <c r="F1253" i="8"/>
  <c r="F261" i="8"/>
  <c r="F1394" i="8"/>
  <c r="F510" i="8"/>
  <c r="F293" i="8"/>
  <c r="F294" i="8"/>
  <c r="F708" i="8"/>
  <c r="F737" i="8"/>
  <c r="F738" i="8"/>
  <c r="F779" i="8"/>
  <c r="F546" i="8"/>
  <c r="F580" i="8"/>
  <c r="F626" i="8"/>
  <c r="F715" i="8"/>
  <c r="F758" i="8"/>
  <c r="F419" i="8"/>
  <c r="F577" i="8"/>
  <c r="F1189" i="8"/>
  <c r="F1341" i="8"/>
  <c r="F1342" i="8"/>
  <c r="F1321" i="8"/>
  <c r="F1380" i="8"/>
  <c r="F1195" i="8"/>
  <c r="F763" i="8"/>
  <c r="F259" i="8"/>
  <c r="F1194" i="8"/>
  <c r="F1400" i="8"/>
  <c r="F180" i="8"/>
  <c r="F1541" i="8"/>
  <c r="F1196" i="8"/>
  <c r="F1298" i="8"/>
  <c r="F802" i="8"/>
  <c r="F376" i="8"/>
  <c r="F1333" i="8"/>
  <c r="F1278" i="8"/>
  <c r="F1221" i="8"/>
  <c r="F1381" i="8"/>
  <c r="F1212" i="8"/>
  <c r="F1372" i="8"/>
  <c r="F594" i="8"/>
  <c r="F1412" i="8"/>
  <c r="F1375" i="8"/>
  <c r="F966" i="8"/>
  <c r="F1174" i="8"/>
  <c r="F1376" i="8"/>
  <c r="F1377" i="8"/>
  <c r="F1378" i="8"/>
  <c r="F1382" i="8"/>
  <c r="F785" i="8"/>
  <c r="F1365" i="8"/>
  <c r="F1205" i="8"/>
  <c r="F165" i="8"/>
  <c r="F262" i="8"/>
  <c r="F1208" i="8"/>
  <c r="F361" i="8"/>
  <c r="F1481" i="8"/>
  <c r="F1502" i="8"/>
  <c r="F1430" i="8"/>
  <c r="F1431" i="8"/>
  <c r="F1432" i="8"/>
  <c r="F1433" i="8"/>
  <c r="F1209" i="8"/>
  <c r="F507" i="8"/>
  <c r="F377" i="8"/>
  <c r="F287" i="8"/>
  <c r="F728" i="8"/>
  <c r="F592" i="8"/>
  <c r="F1216" i="8"/>
  <c r="F538" i="8"/>
  <c r="F1226" i="8"/>
  <c r="F1215" i="8"/>
  <c r="F733" i="8"/>
  <c r="F1227" i="8"/>
  <c r="F1228" i="8"/>
  <c r="F1230" i="8"/>
  <c r="F1232" i="8"/>
  <c r="F1233" i="8"/>
  <c r="F1234" i="8"/>
  <c r="F542" i="8"/>
  <c r="F570" i="8"/>
  <c r="F253" i="8"/>
  <c r="F318" i="8"/>
  <c r="F209" i="8"/>
  <c r="F493" i="8"/>
  <c r="F264" i="8"/>
  <c r="F537" i="8"/>
  <c r="F1505" i="8"/>
  <c r="F490" i="8"/>
  <c r="F1275" i="8"/>
  <c r="F805" i="8"/>
  <c r="F1484" i="8"/>
  <c r="F1509" i="8"/>
  <c r="F1276" i="8"/>
  <c r="F647" i="8"/>
  <c r="F1337" i="8"/>
  <c r="F324" i="8"/>
  <c r="F325" i="8"/>
  <c r="F1294" i="8"/>
  <c r="F492" i="8"/>
  <c r="F719" i="8"/>
  <c r="F1395" i="8"/>
  <c r="F1279" i="8"/>
  <c r="F1281" i="8"/>
  <c r="F341" i="8"/>
  <c r="F1295" i="8"/>
  <c r="F678" i="8"/>
  <c r="F652" i="8"/>
  <c r="F653" i="8"/>
  <c r="F411" i="8"/>
  <c r="F649" i="8"/>
  <c r="F255" i="8"/>
  <c r="F1296" i="8"/>
  <c r="F395" i="8"/>
  <c r="F397" i="8"/>
  <c r="F1244" i="8"/>
  <c r="F1299" i="8"/>
  <c r="F1320" i="8"/>
  <c r="F1322" i="8"/>
  <c r="F772" i="8"/>
  <c r="F1277" i="8"/>
  <c r="F254" i="8"/>
  <c r="F1503" i="8"/>
  <c r="F330" i="8"/>
  <c r="F854" i="8"/>
  <c r="F1323" i="8"/>
  <c r="F731" i="8"/>
  <c r="F856" i="8"/>
  <c r="F1340" i="8"/>
  <c r="F1343" i="8"/>
  <c r="F1345" i="8"/>
  <c r="F1346" i="8"/>
  <c r="F1347" i="8"/>
  <c r="F591" i="8"/>
  <c r="F1354" i="8"/>
  <c r="F1355" i="8"/>
  <c r="F1356" i="8"/>
  <c r="F1357" i="8"/>
  <c r="F1249" i="8"/>
  <c r="F541" i="8"/>
  <c r="F687" i="8"/>
  <c r="F540" i="8"/>
  <c r="F831" i="8"/>
  <c r="F1044" i="8"/>
  <c r="F297" i="8"/>
  <c r="F622" i="8"/>
  <c r="F675" i="8"/>
  <c r="F1043" i="8"/>
  <c r="F932" i="8"/>
  <c r="F716" i="8"/>
  <c r="F910" i="8"/>
  <c r="F909" i="8"/>
  <c r="F353" i="8"/>
  <c r="F50" i="8"/>
  <c r="F603" i="8"/>
  <c r="F1359" i="8"/>
  <c r="F337" i="8"/>
  <c r="F1360" i="8"/>
  <c r="F485" i="8"/>
  <c r="F335" i="8"/>
  <c r="F432" i="8"/>
  <c r="F403" i="8"/>
  <c r="F275" i="8"/>
  <c r="F1140" i="8"/>
  <c r="F276" i="8"/>
  <c r="F834" i="8"/>
  <c r="F954" i="8"/>
  <c r="F827" i="8"/>
  <c r="F226" i="8"/>
  <c r="F225" i="8"/>
  <c r="F1403" i="8"/>
  <c r="F880" i="8"/>
  <c r="F442" i="8"/>
  <c r="F84" i="8"/>
  <c r="F619" i="8"/>
  <c r="F621" i="8"/>
  <c r="F625" i="8"/>
  <c r="F320" i="8"/>
  <c r="F778" i="8"/>
  <c r="F553" i="8"/>
  <c r="F574" i="8"/>
  <c r="F355" i="8"/>
  <c r="F1362" i="8"/>
  <c r="F360" i="8"/>
  <c r="F1361" i="8"/>
  <c r="F1397" i="8"/>
  <c r="F1404" i="8"/>
  <c r="F629" i="8"/>
  <c r="F78" i="8"/>
  <c r="F1098" i="8"/>
  <c r="F461" i="8"/>
  <c r="F1265" i="8"/>
  <c r="F946" i="8"/>
  <c r="F955" i="8"/>
  <c r="F1259" i="8"/>
  <c r="F741" i="8"/>
  <c r="F339" i="8"/>
  <c r="F979" i="8"/>
  <c r="F980" i="8"/>
  <c r="F503" i="8"/>
  <c r="F463" i="8"/>
  <c r="F1363" i="8"/>
  <c r="F1366" i="8"/>
  <c r="F351" i="8"/>
  <c r="F953" i="8"/>
  <c r="F823" i="8"/>
  <c r="F354" i="8"/>
  <c r="F111" i="8"/>
  <c r="F855" i="8"/>
  <c r="F884" i="8"/>
  <c r="F886" i="8"/>
  <c r="F444" i="8"/>
  <c r="F882" i="8"/>
  <c r="F870" i="8"/>
  <c r="F1367" i="8"/>
  <c r="F420" i="8"/>
  <c r="F843" i="8"/>
  <c r="F950" i="8"/>
  <c r="F572" i="8"/>
  <c r="F58" i="8"/>
  <c r="F1297" i="8"/>
  <c r="F1274" i="8"/>
  <c r="F1421" i="8"/>
  <c r="F1243" i="8"/>
  <c r="F322" i="8"/>
  <c r="F964" i="8"/>
  <c r="F965" i="8"/>
  <c r="F658" i="8"/>
  <c r="F659" i="8"/>
  <c r="F612" i="8"/>
  <c r="F1368" i="8"/>
  <c r="F601" i="8"/>
  <c r="F608" i="8"/>
  <c r="F613" i="8"/>
  <c r="F617" i="8"/>
  <c r="F712" i="8"/>
  <c r="F835" i="8"/>
  <c r="F990" i="8"/>
  <c r="F479" i="8"/>
  <c r="F109" i="8"/>
  <c r="F167" i="8"/>
  <c r="F951" i="8"/>
  <c r="F977" i="8"/>
  <c r="F190" i="8"/>
  <c r="F581" i="8"/>
  <c r="F169" i="8"/>
  <c r="F475" i="8"/>
  <c r="F327" i="8"/>
  <c r="F645" i="8"/>
  <c r="F985" i="8"/>
  <c r="F869" i="8"/>
  <c r="F978" i="8"/>
  <c r="F471" i="8"/>
  <c r="F923" i="8"/>
  <c r="F905" i="8"/>
  <c r="F913" i="8"/>
  <c r="F291" i="8"/>
  <c r="F476" i="8"/>
  <c r="F1156" i="8"/>
  <c r="F288" i="8"/>
  <c r="F289" i="8"/>
  <c r="F343" i="8"/>
  <c r="F863" i="8"/>
  <c r="F448" i="8"/>
  <c r="F872" i="8"/>
  <c r="F887" i="8"/>
  <c r="F1021" i="8"/>
  <c r="F912" i="8"/>
  <c r="F961" i="8"/>
  <c r="F858" i="8"/>
  <c r="F188" i="8"/>
  <c r="F1035" i="8"/>
  <c r="F107" i="8"/>
  <c r="F1112" i="8"/>
  <c r="F1111" i="8"/>
  <c r="F222" i="8"/>
  <c r="F832" i="8"/>
  <c r="F833" i="8"/>
  <c r="F841" i="8"/>
  <c r="F1093" i="8"/>
  <c r="F595" i="8"/>
  <c r="F605" i="8"/>
  <c r="F644" i="8"/>
  <c r="F680" i="8"/>
  <c r="F693" i="8"/>
  <c r="F742" i="8"/>
  <c r="F749" i="8"/>
  <c r="F757" i="8"/>
  <c r="F1369" i="8"/>
  <c r="F1370" i="8"/>
  <c r="F1319" i="8"/>
  <c r="F796" i="8"/>
  <c r="F787" i="8"/>
  <c r="F1371" i="8"/>
  <c r="F810" i="8"/>
  <c r="F561" i="8"/>
  <c r="F563" i="8"/>
  <c r="F1528" i="8"/>
  <c r="F371" i="8"/>
  <c r="F369" i="8"/>
  <c r="F1424" i="8"/>
  <c r="F852" i="8"/>
  <c r="F1388" i="8"/>
  <c r="F1263" i="8"/>
  <c r="F670" i="8"/>
  <c r="F671" i="8"/>
  <c r="F662" i="8"/>
  <c r="F412" i="8"/>
  <c r="F241" i="8"/>
  <c r="F1115" i="8"/>
  <c r="F865" i="8"/>
  <c r="F1020" i="8"/>
  <c r="F729" i="8"/>
  <c r="F242" i="8"/>
  <c r="F1119" i="8"/>
  <c r="F878" i="8"/>
  <c r="F438" i="8"/>
  <c r="F1480" i="8"/>
  <c r="F1059" i="8"/>
  <c r="F972" i="8"/>
  <c r="F987" i="8"/>
  <c r="F988" i="8"/>
  <c r="F97" i="8"/>
  <c r="F140" i="8"/>
  <c r="F139" i="8"/>
  <c r="F908" i="8"/>
  <c r="F456" i="8"/>
  <c r="F883" i="8"/>
  <c r="F862" i="8"/>
  <c r="F1026" i="8"/>
  <c r="F1062" i="8"/>
  <c r="F1128" i="8"/>
  <c r="F1089" i="8"/>
  <c r="F877" i="8"/>
  <c r="F1090" i="8"/>
  <c r="F1053" i="8"/>
  <c r="F894" i="8"/>
  <c r="F1063" i="8"/>
  <c r="F1008" i="8"/>
  <c r="F859" i="8"/>
  <c r="F1061" i="8"/>
  <c r="F1125" i="8"/>
  <c r="F350" i="8"/>
  <c r="F349" i="8"/>
  <c r="F838" i="8"/>
  <c r="F472" i="8"/>
  <c r="F867" i="8"/>
  <c r="F466" i="8"/>
  <c r="F669" i="8"/>
  <c r="F704" i="8"/>
  <c r="F732" i="8"/>
  <c r="F415" i="8"/>
  <c r="F1487" i="8"/>
  <c r="F1239" i="8"/>
  <c r="F1240" i="8"/>
  <c r="F1241" i="8"/>
  <c r="F1282" i="8"/>
  <c r="F1283" i="8"/>
  <c r="F995" i="8"/>
  <c r="F780" i="8"/>
  <c r="F332" i="8"/>
  <c r="F400" i="8"/>
  <c r="F576" i="8"/>
  <c r="F491" i="8"/>
  <c r="F788" i="8"/>
  <c r="F416" i="8"/>
  <c r="F414" i="8"/>
  <c r="F1284" i="8"/>
  <c r="F243" i="8"/>
  <c r="F874" i="8"/>
  <c r="F1178" i="8"/>
  <c r="F598" i="8"/>
  <c r="F610" i="8"/>
  <c r="F672" i="8"/>
  <c r="F1489" i="8"/>
  <c r="F469" i="8"/>
  <c r="F459" i="8"/>
  <c r="F277" i="8"/>
  <c r="F984" i="8"/>
  <c r="F1015" i="8"/>
  <c r="F1264" i="8"/>
  <c r="F657" i="8"/>
  <c r="F707" i="8"/>
  <c r="F1311" i="8"/>
  <c r="F498" i="8"/>
  <c r="F983" i="8"/>
  <c r="F885" i="8"/>
  <c r="F158" i="8"/>
  <c r="F1010" i="8"/>
  <c r="F1025" i="8"/>
  <c r="F1037" i="8"/>
  <c r="F1047" i="8"/>
  <c r="F1060" i="8"/>
  <c r="F1095" i="8"/>
  <c r="F1127" i="8"/>
  <c r="F346" i="8"/>
  <c r="F935" i="8"/>
  <c r="F967" i="8"/>
  <c r="F443" i="8"/>
  <c r="F828" i="8"/>
  <c r="F830" i="8"/>
  <c r="F1310" i="8"/>
  <c r="F413" i="8"/>
  <c r="F769" i="8"/>
  <c r="F1313" i="8"/>
  <c r="F1179" i="8"/>
  <c r="F1180" i="8"/>
  <c r="F1181" i="8"/>
  <c r="F1329" i="8"/>
  <c r="F1301" i="8"/>
  <c r="F1303" i="8"/>
  <c r="F1022" i="8"/>
  <c r="F875" i="8"/>
  <c r="F1085" i="8"/>
  <c r="F1088" i="8"/>
  <c r="F1117" i="8"/>
  <c r="F892" i="8"/>
  <c r="F893" i="8"/>
  <c r="F940" i="8"/>
  <c r="F941" i="8"/>
  <c r="F829" i="8"/>
  <c r="F481" i="8"/>
  <c r="F1048" i="8"/>
  <c r="F881" i="8"/>
  <c r="F159" i="8"/>
  <c r="F1335" i="8"/>
  <c r="F1334" i="8"/>
  <c r="F890" i="8"/>
  <c r="F891" i="8"/>
  <c r="F1287" i="8"/>
  <c r="F1291" i="8"/>
  <c r="F901" i="8"/>
  <c r="F284" i="8"/>
  <c r="F285" i="8"/>
  <c r="F1314" i="8"/>
  <c r="F1312" i="8"/>
  <c r="F1327" i="8"/>
  <c r="F286" i="8"/>
  <c r="F837" i="8"/>
  <c r="F911" i="8"/>
  <c r="F915" i="8"/>
  <c r="F916" i="8"/>
  <c r="F917" i="8"/>
  <c r="F919" i="8"/>
  <c r="F920" i="8"/>
  <c r="F1280" i="8"/>
  <c r="F1325" i="8"/>
  <c r="F1350" i="8"/>
  <c r="F1285" i="8"/>
  <c r="F1324" i="8"/>
  <c r="F1286" i="8"/>
  <c r="F928" i="8"/>
  <c r="F1304" i="8"/>
  <c r="F1293" i="8"/>
  <c r="F1326" i="8"/>
  <c r="F936" i="8"/>
  <c r="F937" i="8"/>
  <c r="F938" i="8"/>
  <c r="F939" i="8"/>
  <c r="F942" i="8"/>
  <c r="F943" i="8"/>
  <c r="F944" i="8"/>
  <c r="F1307" i="8"/>
  <c r="F1336" i="8"/>
  <c r="F840" i="8"/>
  <c r="F956" i="8"/>
  <c r="F1289" i="8"/>
  <c r="F1308" i="8"/>
  <c r="F962" i="8"/>
  <c r="F963" i="8"/>
  <c r="F970" i="8"/>
  <c r="F1236" i="8"/>
  <c r="F1328" i="8"/>
  <c r="F445" i="8"/>
  <c r="F986" i="8"/>
  <c r="F1351" i="8"/>
  <c r="F85" i="8"/>
  <c r="F991" i="8"/>
  <c r="F992" i="8"/>
  <c r="F996" i="8"/>
  <c r="F997" i="8"/>
  <c r="F998" i="8"/>
  <c r="F999" i="8"/>
  <c r="F478" i="8"/>
  <c r="F1002" i="8"/>
  <c r="F1003" i="8"/>
  <c r="F1004" i="8"/>
  <c r="F1005" i="8"/>
  <c r="F861" i="8"/>
  <c r="F1009" i="8"/>
  <c r="F1013" i="8"/>
  <c r="F1014" i="8"/>
  <c r="F1016" i="8"/>
  <c r="F1018" i="8"/>
  <c r="F1019" i="8"/>
  <c r="F187" i="8"/>
  <c r="F1027" i="8"/>
  <c r="F1028" i="8"/>
  <c r="F495" i="8"/>
  <c r="F1305" i="8"/>
  <c r="F1030" i="8"/>
  <c r="F1031" i="8"/>
  <c r="F1034" i="8"/>
  <c r="F1300" i="8"/>
  <c r="F1039" i="8"/>
  <c r="F1040" i="8"/>
  <c r="F1041" i="8"/>
  <c r="F1049" i="8"/>
  <c r="F1050" i="8"/>
  <c r="F1051" i="8"/>
  <c r="F1052" i="8"/>
  <c r="F1054" i="8"/>
  <c r="F1306" i="8"/>
  <c r="F494" i="8"/>
  <c r="F1057" i="8"/>
  <c r="F1058" i="8"/>
  <c r="F871" i="8"/>
  <c r="F1064" i="8"/>
  <c r="F1065" i="8"/>
  <c r="F1066" i="8"/>
  <c r="F1067" i="8"/>
  <c r="F1273" i="8"/>
  <c r="F1309" i="8"/>
  <c r="F1070" i="8"/>
  <c r="F1071" i="8"/>
  <c r="F1072" i="8"/>
  <c r="F457" i="8"/>
  <c r="F483" i="8"/>
  <c r="F484" i="8"/>
  <c r="F1292" i="8"/>
  <c r="F1269" i="8"/>
  <c r="F206" i="8"/>
  <c r="F1406" i="8"/>
  <c r="F1408" i="8"/>
  <c r="F1081" i="8"/>
  <c r="F1082" i="8"/>
  <c r="F1084" i="8"/>
  <c r="F1087" i="8"/>
  <c r="F1094" i="8"/>
  <c r="F1501" i="8"/>
  <c r="F1522" i="8"/>
  <c r="F1523" i="8"/>
  <c r="F1529" i="8"/>
  <c r="F502" i="8"/>
  <c r="F845" i="8"/>
  <c r="F848" i="8"/>
  <c r="F1143" i="8"/>
  <c r="F1248" i="8"/>
  <c r="F1144" i="8"/>
  <c r="F1163" i="8"/>
  <c r="F269" i="8"/>
  <c r="F1116" i="8"/>
  <c r="F1120" i="8"/>
  <c r="F1121" i="8"/>
  <c r="F1122" i="8"/>
  <c r="F1123" i="8"/>
  <c r="F1124" i="8"/>
  <c r="F1410" i="8"/>
  <c r="F1129" i="8"/>
  <c r="F1130" i="8"/>
  <c r="F1141" i="8"/>
  <c r="F1142" i="8"/>
  <c r="F1157" i="8"/>
  <c r="F1158" i="8"/>
  <c r="F1159" i="8"/>
  <c r="F1166" i="8"/>
  <c r="F1167" i="8"/>
  <c r="F1168" i="8"/>
  <c r="F593" i="8"/>
  <c r="F597" i="8"/>
  <c r="F599" i="8"/>
  <c r="F600" i="8"/>
  <c r="F602" i="8"/>
  <c r="F604" i="8"/>
  <c r="F607" i="8"/>
  <c r="F609" i="8"/>
  <c r="F614" i="8"/>
  <c r="F616" i="8"/>
  <c r="F618" i="8"/>
  <c r="F620" i="8"/>
  <c r="F623" i="8"/>
  <c r="F624" i="8"/>
  <c r="F627" i="8"/>
  <c r="F628" i="8"/>
  <c r="F630" i="8"/>
  <c r="F631" i="8"/>
  <c r="F632" i="8"/>
  <c r="F633" i="8"/>
  <c r="F634" i="8"/>
  <c r="F635" i="8"/>
  <c r="F642" i="8"/>
  <c r="F643" i="8"/>
  <c r="F646" i="8"/>
  <c r="F650" i="8"/>
  <c r="F651" i="8"/>
  <c r="F656" i="8"/>
  <c r="F660" i="8"/>
  <c r="F661" i="8"/>
  <c r="F663" i="8"/>
  <c r="F664" i="8"/>
  <c r="F665" i="8"/>
  <c r="F321" i="8"/>
  <c r="F666" i="8"/>
  <c r="F667" i="8"/>
  <c r="F668" i="8"/>
  <c r="F673" i="8"/>
  <c r="F674" i="8"/>
  <c r="F676" i="8"/>
  <c r="F677" i="8"/>
  <c r="F679" i="8"/>
  <c r="F683" i="8"/>
  <c r="F684" i="8"/>
  <c r="F686" i="8"/>
  <c r="F688" i="8"/>
  <c r="F689" i="8"/>
  <c r="F690" i="8"/>
  <c r="F691" i="8"/>
  <c r="F694" i="8"/>
  <c r="F696" i="8"/>
  <c r="F697" i="8"/>
  <c r="F698" i="8"/>
  <c r="F699" i="8"/>
  <c r="F700" i="8"/>
  <c r="F701" i="8"/>
  <c r="F702" i="8"/>
  <c r="F703" i="8"/>
  <c r="F705" i="8"/>
  <c r="F706" i="8"/>
  <c r="F709" i="8"/>
  <c r="F710" i="8"/>
  <c r="F711" i="8"/>
  <c r="F713" i="8"/>
  <c r="F717" i="8"/>
  <c r="F718" i="8"/>
  <c r="F721" i="8"/>
  <c r="F722" i="8"/>
  <c r="F723" i="8"/>
  <c r="F724" i="8"/>
  <c r="F725" i="8"/>
  <c r="F730" i="8"/>
  <c r="F734" i="8"/>
  <c r="F735" i="8"/>
  <c r="F736" i="8"/>
  <c r="F739" i="8"/>
  <c r="F740" i="8"/>
  <c r="F743" i="8"/>
  <c r="F744" i="8"/>
  <c r="F745" i="8"/>
  <c r="F746" i="8"/>
  <c r="F748" i="8"/>
  <c r="F751" i="8"/>
  <c r="F753" i="8"/>
  <c r="F754" i="8"/>
  <c r="F755" i="8"/>
  <c r="F949" i="8"/>
  <c r="F1161" i="8"/>
  <c r="F1411" i="8"/>
  <c r="F1206" i="8"/>
  <c r="F1438" i="8"/>
  <c r="F1387" i="8"/>
  <c r="F164" i="8"/>
  <c r="F1396" i="8"/>
  <c r="F1540" i="8"/>
  <c r="F489" i="8"/>
  <c r="F813" i="8"/>
  <c r="F1302" i="8"/>
  <c r="F812" i="8"/>
  <c r="F1331" i="8"/>
  <c r="F1332" i="8"/>
  <c r="F496" i="8"/>
  <c r="F497" i="8"/>
  <c r="F1339" i="8"/>
  <c r="F1344" i="8"/>
  <c r="F1352" i="8"/>
  <c r="F1229" i="8"/>
  <c r="F1231" i="8"/>
  <c r="F1177" i="8"/>
  <c r="F1316" i="8"/>
  <c r="F1318" i="8"/>
  <c r="F1437" i="8"/>
  <c r="F1147" i="8"/>
  <c r="F1149" i="8"/>
  <c r="F1151" i="8"/>
  <c r="F1338" i="8"/>
  <c r="F1150" i="8"/>
  <c r="F793" i="8"/>
  <c r="F1146" i="8"/>
  <c r="F1148" i="8"/>
  <c r="F54" i="8"/>
  <c r="F1349" i="8"/>
  <c r="F1390" i="8"/>
  <c r="F39" i="8"/>
  <c r="F99" i="8"/>
  <c r="F396" i="8"/>
  <c r="F1152" i="8"/>
  <c r="F1171" i="8"/>
  <c r="F1169" i="8"/>
  <c r="F1428" i="8"/>
  <c r="F1514" i="8"/>
  <c r="F173" i="8"/>
  <c r="F1539" i="8"/>
  <c r="F773" i="8"/>
  <c r="F433" i="8"/>
  <c r="F1315" i="8"/>
  <c r="F1544" i="8"/>
  <c r="F1207" i="8"/>
  <c r="F1353" i="8"/>
  <c r="F450" i="8"/>
  <c r="F792" i="8"/>
  <c r="F806" i="8"/>
  <c r="F789" i="8"/>
  <c r="F844" i="8"/>
  <c r="F781" i="8"/>
  <c r="F423" i="8"/>
  <c r="F803" i="8"/>
  <c r="F1126" i="8"/>
  <c r="F807" i="8"/>
  <c r="F543" i="8"/>
  <c r="F761" i="8"/>
  <c r="F766" i="8"/>
  <c r="F759" i="8"/>
  <c r="F767" i="8"/>
  <c r="F399" i="8"/>
  <c r="F551" i="8"/>
  <c r="F1114" i="8"/>
  <c r="F1113" i="8"/>
  <c r="F1110" i="8"/>
  <c r="F1109" i="8"/>
  <c r="F1108" i="8"/>
  <c r="F1105" i="8"/>
  <c r="F1104" i="8"/>
  <c r="F1102" i="8"/>
  <c r="F1101" i="8"/>
  <c r="F1100" i="8"/>
  <c r="F1099" i="8"/>
  <c r="F1097" i="8"/>
  <c r="F1096" i="8"/>
  <c r="F1086" i="8"/>
  <c r="F1080" i="8"/>
  <c r="F1079" i="8"/>
  <c r="F1076" i="8"/>
  <c r="F1075" i="8"/>
  <c r="F1074" i="8"/>
  <c r="F1073" i="8"/>
  <c r="F1069" i="8"/>
  <c r="F1068" i="8"/>
  <c r="F1056" i="8"/>
  <c r="F1055" i="8"/>
  <c r="F1038" i="8"/>
  <c r="F1029" i="8"/>
  <c r="F352" i="8"/>
  <c r="F1001" i="8"/>
  <c r="F1543" i="8"/>
  <c r="F1374" i="8"/>
  <c r="F1542" i="8"/>
  <c r="F233" i="8"/>
  <c r="F765" i="8"/>
  <c r="F1373" i="8"/>
  <c r="F1330" i="8"/>
  <c r="F1000" i="8"/>
  <c r="F1409" i="8"/>
  <c r="F994" i="8"/>
  <c r="F989" i="8"/>
  <c r="F775" i="8"/>
  <c r="F174" i="8"/>
  <c r="F1183" i="8"/>
  <c r="F1184" i="8"/>
  <c r="F1185" i="8"/>
  <c r="F1186" i="8"/>
  <c r="F1187" i="8"/>
  <c r="F1190" i="8"/>
  <c r="F295" i="8"/>
  <c r="F1218" i="8"/>
  <c r="F296" i="8"/>
  <c r="F1219" i="8"/>
  <c r="F1224" i="8"/>
  <c r="F370" i="8"/>
  <c r="F1413" i="8"/>
  <c r="F1414" i="8"/>
  <c r="F1415" i="8"/>
  <c r="F1416" i="8"/>
  <c r="F1417" i="8"/>
  <c r="F1418" i="8"/>
  <c r="F1419" i="8"/>
  <c r="F1420" i="8"/>
  <c r="F1422" i="8"/>
  <c r="F1423" i="8"/>
  <c r="F814" i="8"/>
  <c r="F982" i="8"/>
  <c r="F1247" i="8"/>
  <c r="F1256" i="8"/>
  <c r="F1260" i="8"/>
  <c r="F1262" i="8"/>
  <c r="F1268" i="8"/>
  <c r="F1399" i="8"/>
  <c r="F981" i="8"/>
  <c r="F499" i="8"/>
  <c r="F976" i="8"/>
  <c r="F975" i="8"/>
  <c r="F971" i="8"/>
  <c r="F762" i="8"/>
  <c r="F958" i="8"/>
  <c r="F957" i="8"/>
  <c r="F948" i="8"/>
  <c r="F947" i="8"/>
  <c r="F774" i="8"/>
  <c r="F1272" i="8"/>
  <c r="F1210" i="8"/>
  <c r="F853" i="8"/>
  <c r="F1199" i="8"/>
  <c r="F771" i="8"/>
  <c r="F266" i="8"/>
  <c r="F1402" i="8"/>
  <c r="F446" i="8"/>
  <c r="F440" i="8"/>
  <c r="F1401" i="8"/>
  <c r="F232" i="8"/>
  <c r="F1466" i="8"/>
  <c r="F1464" i="8"/>
  <c r="F1463" i="8"/>
  <c r="F1458" i="8"/>
  <c r="F163" i="8"/>
  <c r="F606" i="8"/>
  <c r="F782" i="8"/>
  <c r="F434" i="8"/>
  <c r="F1211" i="8"/>
  <c r="F162" i="8"/>
  <c r="F1425" i="8"/>
  <c r="F934" i="8"/>
  <c r="F931" i="8"/>
  <c r="F930" i="8"/>
  <c r="F929" i="8"/>
  <c r="F927" i="8"/>
  <c r="F926" i="8"/>
  <c r="F925" i="8"/>
  <c r="F924" i="8"/>
  <c r="F922" i="8"/>
  <c r="F921" i="8"/>
  <c r="F907" i="8"/>
  <c r="F1434" i="8"/>
  <c r="F906" i="8"/>
  <c r="F826" i="8"/>
  <c r="F904" i="8"/>
  <c r="F903" i="8"/>
  <c r="F900" i="8"/>
  <c r="F899" i="8"/>
  <c r="F889" i="8"/>
  <c r="F888" i="8"/>
  <c r="F1251" i="8"/>
  <c r="F1252" i="8"/>
  <c r="F1255" i="8"/>
  <c r="F1250" i="8"/>
  <c r="F1254" i="8"/>
  <c r="F410" i="8"/>
  <c r="F590" i="8"/>
  <c r="F588" i="8"/>
  <c r="F587" i="8"/>
  <c r="F315" i="8"/>
  <c r="F586" i="8"/>
  <c r="F585" i="8"/>
  <c r="F314" i="8"/>
  <c r="F584" i="8"/>
  <c r="F583" i="8"/>
  <c r="F582" i="8"/>
  <c r="F579" i="8"/>
  <c r="F578" i="8"/>
  <c r="F114" i="8"/>
  <c r="F404" i="8"/>
  <c r="F573" i="8"/>
  <c r="F571" i="8"/>
  <c r="F569" i="8"/>
  <c r="F568" i="8"/>
  <c r="F567" i="8"/>
  <c r="F566" i="8"/>
  <c r="F565" i="8"/>
  <c r="F564" i="8"/>
  <c r="F562" i="8"/>
  <c r="F560" i="8"/>
  <c r="F559" i="8"/>
  <c r="F558" i="8"/>
  <c r="F557" i="8"/>
  <c r="F556" i="8"/>
  <c r="F555" i="8"/>
  <c r="F554" i="8"/>
  <c r="F552" i="8"/>
  <c r="F550" i="8"/>
  <c r="F549" i="8"/>
  <c r="F548" i="8"/>
  <c r="F547" i="8"/>
  <c r="F544" i="8"/>
  <c r="F1267" i="8"/>
  <c r="F1405" i="8"/>
  <c r="F1258" i="8"/>
  <c r="F1499" i="8"/>
  <c r="F1257" i="8"/>
  <c r="F1246" i="8"/>
  <c r="F244" i="8"/>
  <c r="F1202" i="8"/>
  <c r="F1496" i="8"/>
  <c r="F1261" i="8"/>
  <c r="F1266" i="8"/>
  <c r="F1145" i="8"/>
  <c r="F1427" i="8"/>
  <c r="F1393" i="8"/>
  <c r="F9" i="8"/>
  <c r="F1153" i="8"/>
  <c r="F1118" i="8"/>
  <c r="F815" i="8"/>
  <c r="F1164" i="8"/>
  <c r="F1160" i="8"/>
  <c r="F819" i="8"/>
  <c r="F1173" i="8"/>
  <c r="F3" i="8"/>
  <c r="AY1516" i="8" l="1"/>
  <c r="AY1489" i="8"/>
  <c r="AY1396" i="8"/>
  <c r="AY396" i="8"/>
  <c r="AY1390" i="8"/>
  <c r="AY99" i="8"/>
  <c r="AY39" i="8"/>
  <c r="P1" i="8"/>
  <c r="Q1" i="8"/>
  <c r="S1" i="8"/>
  <c r="T1" i="8"/>
  <c r="U1" i="8"/>
  <c r="V1" i="8"/>
  <c r="Z1" i="8"/>
  <c r="AP1" i="8"/>
  <c r="AS1" i="8"/>
  <c r="AW1" i="8"/>
  <c r="AX1" i="8"/>
  <c r="BC1" i="8"/>
  <c r="BD1" i="8"/>
  <c r="BE1" i="8"/>
  <c r="I1314" i="8"/>
  <c r="N1314" i="8"/>
  <c r="R1314" i="8"/>
  <c r="I1313" i="8"/>
  <c r="I1312" i="8"/>
  <c r="N1313" i="8"/>
  <c r="R1313" i="8"/>
  <c r="N1312" i="8"/>
  <c r="R1312" i="8"/>
  <c r="I1311" i="8"/>
  <c r="I1310" i="8"/>
  <c r="N1311" i="8"/>
  <c r="R1311" i="8"/>
  <c r="N1310" i="8"/>
  <c r="R1310" i="8"/>
  <c r="I1309" i="8"/>
  <c r="I1307" i="8"/>
  <c r="I1306" i="8"/>
  <c r="N1309" i="8"/>
  <c r="R1309" i="8"/>
  <c r="N1307" i="8"/>
  <c r="R1307" i="8"/>
  <c r="N1306" i="8"/>
  <c r="R1306" i="8"/>
  <c r="I1305" i="8"/>
  <c r="I1303" i="8"/>
  <c r="I1300" i="8"/>
  <c r="I1293" i="8"/>
  <c r="I1292" i="8"/>
  <c r="I1291" i="8"/>
  <c r="N1305" i="8"/>
  <c r="R1305" i="8"/>
  <c r="N1303" i="8"/>
  <c r="R1303" i="8"/>
  <c r="N1300" i="8"/>
  <c r="R1300" i="8"/>
  <c r="N1293" i="8"/>
  <c r="R1293" i="8"/>
  <c r="N1292" i="8"/>
  <c r="R1292" i="8"/>
  <c r="N1291" i="8"/>
  <c r="R1291" i="8"/>
  <c r="I1289" i="8"/>
  <c r="I1287" i="8"/>
  <c r="I1286" i="8"/>
  <c r="N1289" i="8"/>
  <c r="R1289" i="8"/>
  <c r="N1287" i="8"/>
  <c r="R1287" i="8"/>
  <c r="N1286" i="8"/>
  <c r="R1286" i="8"/>
  <c r="I1285" i="8"/>
  <c r="I494" i="8"/>
  <c r="N1285" i="8"/>
  <c r="R1285" i="8"/>
  <c r="N494" i="8"/>
  <c r="R494" i="8"/>
  <c r="I1272" i="8"/>
  <c r="I1540" i="8"/>
  <c r="N1272" i="8"/>
  <c r="R1272" i="8"/>
  <c r="N1540" i="8"/>
  <c r="I1269" i="8"/>
  <c r="I1267" i="8"/>
  <c r="N1269" i="8"/>
  <c r="R1269" i="8"/>
  <c r="N1267" i="8"/>
  <c r="R1267" i="8"/>
  <c r="I1266" i="8"/>
  <c r="N1266" i="8"/>
  <c r="R1266" i="8"/>
  <c r="I1261" i="8"/>
  <c r="I1246" i="8"/>
  <c r="N1261" i="8"/>
  <c r="R1261" i="8"/>
  <c r="N1246" i="8"/>
  <c r="R1246" i="8"/>
  <c r="I1252" i="8"/>
  <c r="N1252" i="8"/>
  <c r="R1252" i="8"/>
  <c r="I1251" i="8"/>
  <c r="I1258" i="8"/>
  <c r="N1251" i="8"/>
  <c r="R1251" i="8"/>
  <c r="N1258" i="8"/>
  <c r="R1258" i="8"/>
  <c r="I1257" i="8"/>
  <c r="I1255" i="8"/>
  <c r="N1257" i="8"/>
  <c r="R1257" i="8"/>
  <c r="N1255" i="8"/>
  <c r="R1255" i="8"/>
  <c r="I1236" i="8"/>
  <c r="I1248" i="8"/>
  <c r="I1210" i="8"/>
  <c r="I1254" i="8"/>
  <c r="I1197" i="8"/>
  <c r="I1523" i="8"/>
  <c r="N1236" i="8"/>
  <c r="R1236" i="8"/>
  <c r="N1248" i="8"/>
  <c r="R1248" i="8"/>
  <c r="N1210" i="8"/>
  <c r="R1210" i="8"/>
  <c r="N1254" i="8"/>
  <c r="R1254" i="8"/>
  <c r="R1197" i="8"/>
  <c r="N1523" i="8"/>
  <c r="R1523" i="8"/>
  <c r="I1522" i="8"/>
  <c r="I1514" i="8"/>
  <c r="I1501" i="8"/>
  <c r="I1499" i="8"/>
  <c r="I244" i="8"/>
  <c r="I1496" i="8"/>
  <c r="I243" i="8"/>
  <c r="I1487" i="8"/>
  <c r="I97" i="8"/>
  <c r="I1480" i="8"/>
  <c r="I242" i="8"/>
  <c r="I241" i="8"/>
  <c r="I1163" i="8"/>
  <c r="N1522" i="8"/>
  <c r="R1522" i="8"/>
  <c r="N1514" i="8"/>
  <c r="R1514" i="8"/>
  <c r="N1501" i="8"/>
  <c r="R1501" i="8"/>
  <c r="N1499" i="8"/>
  <c r="R1499" i="8"/>
  <c r="N244" i="8"/>
  <c r="R244" i="8"/>
  <c r="N1496" i="8"/>
  <c r="R1496" i="8"/>
  <c r="R243" i="8"/>
  <c r="R1487" i="8"/>
  <c r="R97" i="8"/>
  <c r="R1480" i="8"/>
  <c r="R242" i="8"/>
  <c r="R241" i="8"/>
  <c r="N1163" i="8"/>
  <c r="R1163" i="8"/>
  <c r="I9" i="8"/>
  <c r="N9" i="8"/>
  <c r="R9" i="8"/>
  <c r="I1161" i="8"/>
  <c r="I1153" i="8"/>
  <c r="N1161" i="8"/>
  <c r="R1161" i="8"/>
  <c r="N1153" i="8"/>
  <c r="R1153" i="8"/>
  <c r="I1151" i="8"/>
  <c r="I489" i="8"/>
  <c r="I1150" i="8"/>
  <c r="I1149" i="8"/>
  <c r="I1148" i="8"/>
  <c r="I1147" i="8"/>
  <c r="I1146" i="8"/>
  <c r="N1151" i="8"/>
  <c r="R1151" i="8"/>
  <c r="N489" i="8"/>
  <c r="R489" i="8"/>
  <c r="N1150" i="8"/>
  <c r="R1150" i="8"/>
  <c r="N1149" i="8"/>
  <c r="R1149" i="8"/>
  <c r="N1148" i="8"/>
  <c r="R1148" i="8"/>
  <c r="N1147" i="8"/>
  <c r="R1147" i="8"/>
  <c r="N1146" i="8"/>
  <c r="R1146" i="8"/>
  <c r="I1145" i="8"/>
  <c r="N1145" i="8"/>
  <c r="R1145" i="8"/>
  <c r="I1144" i="8"/>
  <c r="I1143" i="8"/>
  <c r="N1144" i="8"/>
  <c r="R1144" i="8"/>
  <c r="N1143" i="8"/>
  <c r="R1143" i="8"/>
  <c r="I1138" i="8"/>
  <c r="R1138" i="8"/>
  <c r="I1137" i="8"/>
  <c r="I1136" i="8"/>
  <c r="R1137" i="8"/>
  <c r="R1136" i="8"/>
  <c r="I1134" i="8"/>
  <c r="I1133" i="8"/>
  <c r="I1132" i="8"/>
  <c r="I1131" i="8"/>
  <c r="R1134" i="8"/>
  <c r="R1133" i="8"/>
  <c r="R1132" i="8"/>
  <c r="R1131" i="8"/>
  <c r="I1126" i="8"/>
  <c r="N1126" i="8"/>
  <c r="R1126" i="8"/>
  <c r="I488" i="8"/>
  <c r="I487" i="8"/>
  <c r="I486" i="8"/>
  <c r="R488" i="8"/>
  <c r="R487" i="8"/>
  <c r="R486" i="8"/>
  <c r="I1114" i="8"/>
  <c r="I1113" i="8"/>
  <c r="I1110" i="8"/>
  <c r="I1109" i="8"/>
  <c r="I1108" i="8"/>
  <c r="I1105" i="8"/>
  <c r="I1104" i="8"/>
  <c r="I1102" i="8"/>
  <c r="I1101" i="8"/>
  <c r="I1100" i="8"/>
  <c r="I1099" i="8"/>
  <c r="I1097" i="8"/>
  <c r="I1096" i="8"/>
  <c r="I1086" i="8"/>
  <c r="I1080" i="8"/>
  <c r="I1079" i="8"/>
  <c r="I1076" i="8"/>
  <c r="I1075" i="8"/>
  <c r="I1074" i="8"/>
  <c r="I1073" i="8"/>
  <c r="I1069" i="8"/>
  <c r="I1068" i="8"/>
  <c r="I1056" i="8"/>
  <c r="I1055" i="8"/>
  <c r="I1038" i="8"/>
  <c r="I1029" i="8"/>
  <c r="I352" i="8"/>
  <c r="I1001" i="8"/>
  <c r="N1114" i="8"/>
  <c r="R1114" i="8"/>
  <c r="N1113" i="8"/>
  <c r="R1113" i="8"/>
  <c r="N1110" i="8"/>
  <c r="R1110" i="8"/>
  <c r="R1109" i="8"/>
  <c r="R1108" i="8"/>
  <c r="N1105" i="8"/>
  <c r="R1105" i="8"/>
  <c r="N1104" i="8"/>
  <c r="R1104" i="8"/>
  <c r="N1102" i="8"/>
  <c r="R1102" i="8"/>
  <c r="N1101" i="8"/>
  <c r="R1101" i="8"/>
  <c r="R1100" i="8"/>
  <c r="R1099" i="8"/>
  <c r="N1097" i="8"/>
  <c r="R1097" i="8"/>
  <c r="N1096" i="8"/>
  <c r="R1096" i="8"/>
  <c r="R1086" i="8"/>
  <c r="R1080" i="8"/>
  <c r="R1079" i="8"/>
  <c r="N1076" i="8"/>
  <c r="R1076" i="8"/>
  <c r="N1075" i="8"/>
  <c r="R1075" i="8"/>
  <c r="N1074" i="8"/>
  <c r="R1074" i="8"/>
  <c r="N1073" i="8"/>
  <c r="R1073" i="8"/>
  <c r="N1069" i="8"/>
  <c r="R1069" i="8"/>
  <c r="N1068" i="8"/>
  <c r="R1068" i="8"/>
  <c r="N1056" i="8"/>
  <c r="R1056" i="8"/>
  <c r="N1055" i="8"/>
  <c r="R1055" i="8"/>
  <c r="N1038" i="8"/>
  <c r="R1038" i="8"/>
  <c r="N1029" i="8"/>
  <c r="R1029" i="8"/>
  <c r="R352" i="8"/>
  <c r="R1001" i="8"/>
  <c r="I1000" i="8"/>
  <c r="R1000" i="8"/>
  <c r="I994" i="8"/>
  <c r="I989" i="8"/>
  <c r="N994" i="8"/>
  <c r="R994" i="8"/>
  <c r="N989" i="8"/>
  <c r="R989" i="8"/>
  <c r="I982" i="8"/>
  <c r="R982" i="8"/>
  <c r="I981" i="8"/>
  <c r="R981" i="8"/>
  <c r="I976" i="8"/>
  <c r="I975" i="8"/>
  <c r="I971" i="8"/>
  <c r="I969" i="8"/>
  <c r="I958" i="8"/>
  <c r="I957" i="8"/>
  <c r="I948" i="8"/>
  <c r="I947" i="8"/>
  <c r="I856" i="8"/>
  <c r="I855" i="8"/>
  <c r="I854" i="8"/>
  <c r="I853" i="8"/>
  <c r="I852" i="8"/>
  <c r="N976" i="8"/>
  <c r="R976" i="8"/>
  <c r="N975" i="8"/>
  <c r="R975" i="8"/>
  <c r="R971" i="8"/>
  <c r="R969" i="8"/>
  <c r="R958" i="8"/>
  <c r="R957" i="8"/>
  <c r="N948" i="8"/>
  <c r="R948" i="8"/>
  <c r="N947" i="8"/>
  <c r="R947" i="8"/>
  <c r="R856" i="8"/>
  <c r="R855" i="8"/>
  <c r="R854" i="8"/>
  <c r="N853" i="8"/>
  <c r="R853" i="8"/>
  <c r="R852" i="8"/>
  <c r="I934" i="8"/>
  <c r="I931" i="8"/>
  <c r="I930" i="8"/>
  <c r="I929" i="8"/>
  <c r="I927" i="8"/>
  <c r="I926" i="8"/>
  <c r="I925" i="8"/>
  <c r="I924" i="8"/>
  <c r="I922" i="8"/>
  <c r="I921" i="8"/>
  <c r="I907" i="8"/>
  <c r="I347" i="8"/>
  <c r="I906" i="8"/>
  <c r="I826" i="8"/>
  <c r="I904" i="8"/>
  <c r="I903" i="8"/>
  <c r="I900" i="8"/>
  <c r="I899" i="8"/>
  <c r="I889" i="8"/>
  <c r="I888" i="8"/>
  <c r="I813" i="8"/>
  <c r="I812" i="8"/>
  <c r="I810" i="8"/>
  <c r="I767" i="8"/>
  <c r="I410" i="8"/>
  <c r="I590" i="8"/>
  <c r="I588" i="8"/>
  <c r="I587" i="8"/>
  <c r="I315" i="8"/>
  <c r="I586" i="8"/>
  <c r="I585" i="8"/>
  <c r="I314" i="8"/>
  <c r="I584" i="8"/>
  <c r="I583" i="8"/>
  <c r="I582" i="8"/>
  <c r="I579" i="8"/>
  <c r="I578" i="8"/>
  <c r="I114" i="8"/>
  <c r="I404" i="8"/>
  <c r="I573" i="8"/>
  <c r="I571" i="8"/>
  <c r="I569" i="8"/>
  <c r="I568" i="8"/>
  <c r="I567" i="8"/>
  <c r="I566" i="8"/>
  <c r="I565" i="8"/>
  <c r="I564" i="8"/>
  <c r="I562" i="8"/>
  <c r="I560" i="8"/>
  <c r="I559" i="8"/>
  <c r="I558" i="8"/>
  <c r="I557" i="8"/>
  <c r="I556" i="8"/>
  <c r="I555" i="8"/>
  <c r="I554" i="8"/>
  <c r="I552" i="8"/>
  <c r="I550" i="8"/>
  <c r="I549" i="8"/>
  <c r="I548" i="8"/>
  <c r="I547" i="8"/>
  <c r="I544" i="8"/>
  <c r="I1529" i="8"/>
  <c r="I1393" i="8"/>
  <c r="I848" i="8"/>
  <c r="I1280" i="8"/>
  <c r="I1387" i="8"/>
  <c r="I1199" i="8"/>
  <c r="I54" i="8"/>
  <c r="I1401" i="8"/>
  <c r="I1402" i="8"/>
  <c r="I1504" i="8"/>
  <c r="R934" i="8"/>
  <c r="N931" i="8"/>
  <c r="R931" i="8"/>
  <c r="R930" i="8"/>
  <c r="R929" i="8"/>
  <c r="N927" i="8"/>
  <c r="R927" i="8"/>
  <c r="N926" i="8"/>
  <c r="R926" i="8"/>
  <c r="N925" i="8"/>
  <c r="R925" i="8"/>
  <c r="N924" i="8"/>
  <c r="R924" i="8"/>
  <c r="N922" i="8"/>
  <c r="R922" i="8"/>
  <c r="N921" i="8"/>
  <c r="R921" i="8"/>
  <c r="R907" i="8"/>
  <c r="R347" i="8"/>
  <c r="R906" i="8"/>
  <c r="R826" i="8"/>
  <c r="R904" i="8"/>
  <c r="R903" i="8"/>
  <c r="N900" i="8"/>
  <c r="R900" i="8"/>
  <c r="N899" i="8"/>
  <c r="R899" i="8"/>
  <c r="N889" i="8"/>
  <c r="R889" i="8"/>
  <c r="N888" i="8"/>
  <c r="R888" i="8"/>
  <c r="N813" i="8"/>
  <c r="R813" i="8"/>
  <c r="N812" i="8"/>
  <c r="R812" i="8"/>
  <c r="R810" i="8"/>
  <c r="N767" i="8"/>
  <c r="R767" i="8"/>
  <c r="N410" i="8"/>
  <c r="R410" i="8"/>
  <c r="R590" i="8"/>
  <c r="R588" i="8"/>
  <c r="R587" i="8"/>
  <c r="R315" i="8"/>
  <c r="R586" i="8"/>
  <c r="R585" i="8"/>
  <c r="R314" i="8"/>
  <c r="R584" i="8"/>
  <c r="R583" i="8"/>
  <c r="R582" i="8"/>
  <c r="N579" i="8"/>
  <c r="R579" i="8"/>
  <c r="R578" i="8"/>
  <c r="R114" i="8"/>
  <c r="R404" i="8"/>
  <c r="R573" i="8"/>
  <c r="R571" i="8"/>
  <c r="R569" i="8"/>
  <c r="R568" i="8"/>
  <c r="R567" i="8"/>
  <c r="N566" i="8"/>
  <c r="R566" i="8"/>
  <c r="N565" i="8"/>
  <c r="R565" i="8"/>
  <c r="N564" i="8"/>
  <c r="R564" i="8"/>
  <c r="R562" i="8"/>
  <c r="N560" i="8"/>
  <c r="R560" i="8"/>
  <c r="N559" i="8"/>
  <c r="R559" i="8"/>
  <c r="N558" i="8"/>
  <c r="R558" i="8"/>
  <c r="R557" i="8"/>
  <c r="R556" i="8"/>
  <c r="R555" i="8"/>
  <c r="R554" i="8"/>
  <c r="N552" i="8"/>
  <c r="R552" i="8"/>
  <c r="N550" i="8"/>
  <c r="R550" i="8"/>
  <c r="R549" i="8"/>
  <c r="R548" i="8"/>
  <c r="R547" i="8"/>
  <c r="R544" i="8"/>
  <c r="N1529" i="8"/>
  <c r="R1529" i="8"/>
  <c r="N1393" i="8"/>
  <c r="R1393" i="8"/>
  <c r="N848" i="8"/>
  <c r="R848" i="8"/>
  <c r="N1280" i="8"/>
  <c r="R1280" i="8"/>
  <c r="N1387" i="8"/>
  <c r="R1387" i="8"/>
  <c r="R1199" i="8"/>
  <c r="R1164" i="8"/>
  <c r="R54" i="8"/>
  <c r="R1401" i="8"/>
  <c r="R1402" i="8"/>
  <c r="R1160" i="8"/>
  <c r="R1504" i="8"/>
  <c r="AY1487" i="8" l="1"/>
  <c r="AY97" i="8"/>
  <c r="AY1523" i="8"/>
  <c r="AY1499" i="8"/>
  <c r="AY1529" i="8"/>
  <c r="AY1480" i="8"/>
  <c r="AY1496" i="8"/>
  <c r="AY994" i="8"/>
  <c r="AY1132" i="8"/>
  <c r="AY1137" i="8"/>
  <c r="AY1145" i="8"/>
  <c r="AY1514" i="8"/>
  <c r="AY1293" i="8"/>
  <c r="AY981" i="8"/>
  <c r="AY1000" i="8"/>
  <c r="AY1138" i="8"/>
  <c r="AY1146" i="8"/>
  <c r="AY1150" i="8"/>
  <c r="AY1252" i="8"/>
  <c r="AY1266" i="8"/>
  <c r="AY1314" i="8"/>
  <c r="AY819" i="8"/>
  <c r="AY1402" i="8"/>
  <c r="AY1199" i="8"/>
  <c r="AY848" i="8"/>
  <c r="AY547" i="8"/>
  <c r="AY552" i="8"/>
  <c r="AY557" i="8"/>
  <c r="AY562" i="8"/>
  <c r="AY567" i="8"/>
  <c r="AY573" i="8"/>
  <c r="AY579" i="8"/>
  <c r="AY314" i="8"/>
  <c r="AY587" i="8"/>
  <c r="AY767" i="8"/>
  <c r="AY815" i="8"/>
  <c r="AY900" i="8"/>
  <c r="AY906" i="8"/>
  <c r="AY922" i="8"/>
  <c r="AY927" i="8"/>
  <c r="AY934" i="8"/>
  <c r="AY853" i="8"/>
  <c r="AY947" i="8"/>
  <c r="AY969" i="8"/>
  <c r="AY352" i="8"/>
  <c r="AY1056" i="8"/>
  <c r="AY1074" i="8"/>
  <c r="AY1080" i="8"/>
  <c r="AY1099" i="8"/>
  <c r="AY1104" i="8"/>
  <c r="AY1110" i="8"/>
  <c r="AY487" i="8"/>
  <c r="AY1133" i="8"/>
  <c r="AY1144" i="8"/>
  <c r="AY1148" i="8"/>
  <c r="AY1151" i="8"/>
  <c r="AY1163" i="8"/>
  <c r="AY244" i="8"/>
  <c r="AY1522" i="8"/>
  <c r="AY1210" i="8"/>
  <c r="AY1286" i="8"/>
  <c r="AY1300" i="8"/>
  <c r="AY1306" i="8"/>
  <c r="AY1504" i="8"/>
  <c r="AY1401" i="8"/>
  <c r="AY1387" i="8"/>
  <c r="AY1393" i="8"/>
  <c r="AY548" i="8"/>
  <c r="AY554" i="8"/>
  <c r="AY558" i="8"/>
  <c r="AY564" i="8"/>
  <c r="AY568" i="8"/>
  <c r="AY404" i="8"/>
  <c r="AY582" i="8"/>
  <c r="AY585" i="8"/>
  <c r="AY588" i="8"/>
  <c r="AY810" i="8"/>
  <c r="AY888" i="8"/>
  <c r="AY903" i="8"/>
  <c r="AY347" i="8"/>
  <c r="AY924" i="8"/>
  <c r="AY929" i="8"/>
  <c r="AY854" i="8"/>
  <c r="AY948" i="8"/>
  <c r="AY971" i="8"/>
  <c r="AY982" i="8"/>
  <c r="AY1029" i="8"/>
  <c r="AY1068" i="8"/>
  <c r="AY1075" i="8"/>
  <c r="AY1086" i="8"/>
  <c r="AY1100" i="8"/>
  <c r="AY1105" i="8"/>
  <c r="AY1113" i="8"/>
  <c r="AY488" i="8"/>
  <c r="AY1126" i="8"/>
  <c r="AY1134" i="8"/>
  <c r="AY1149" i="8"/>
  <c r="AY1153" i="8"/>
  <c r="AY9" i="8"/>
  <c r="AY241" i="8"/>
  <c r="AY1248" i="8"/>
  <c r="AY1255" i="8"/>
  <c r="AY1258" i="8"/>
  <c r="AY1246" i="8"/>
  <c r="AY1267" i="8"/>
  <c r="AY1540" i="8"/>
  <c r="AY494" i="8"/>
  <c r="AY1287" i="8"/>
  <c r="AY1291" i="8"/>
  <c r="AY1303" i="8"/>
  <c r="AY1307" i="8"/>
  <c r="AY1310" i="8"/>
  <c r="AY1312" i="8"/>
  <c r="AY1160" i="8"/>
  <c r="AY54" i="8"/>
  <c r="AY549" i="8"/>
  <c r="AY555" i="8"/>
  <c r="AY559" i="8"/>
  <c r="AY565" i="8"/>
  <c r="AY569" i="8"/>
  <c r="AY114" i="8"/>
  <c r="AY583" i="8"/>
  <c r="AY586" i="8"/>
  <c r="AY590" i="8"/>
  <c r="AY812" i="8"/>
  <c r="AY889" i="8"/>
  <c r="AY904" i="8"/>
  <c r="AY907" i="8"/>
  <c r="AY925" i="8"/>
  <c r="AY930" i="8"/>
  <c r="AY855" i="8"/>
  <c r="AY957" i="8"/>
  <c r="AY975" i="8"/>
  <c r="AY989" i="8"/>
  <c r="AY1038" i="8"/>
  <c r="AY1069" i="8"/>
  <c r="AY1076" i="8"/>
  <c r="AY1096" i="8"/>
  <c r="AY1101" i="8"/>
  <c r="AY1108" i="8"/>
  <c r="AY1114" i="8"/>
  <c r="AY1118" i="8"/>
  <c r="AY1131" i="8"/>
  <c r="AY1136" i="8"/>
  <c r="AY1161" i="8"/>
  <c r="AY242" i="8"/>
  <c r="AY243" i="8"/>
  <c r="AY1501" i="8"/>
  <c r="AY1197" i="8"/>
  <c r="AY1236" i="8"/>
  <c r="AY1257" i="8"/>
  <c r="AY1251" i="8"/>
  <c r="AY1261" i="8"/>
  <c r="AY1269" i="8"/>
  <c r="AY1272" i="8"/>
  <c r="AY1285" i="8"/>
  <c r="AY1289" i="8"/>
  <c r="AY1292" i="8"/>
  <c r="AY1305" i="8"/>
  <c r="AY1309" i="8"/>
  <c r="AY1311" i="8"/>
  <c r="AY1313" i="8"/>
  <c r="AY1173" i="8"/>
  <c r="AY1164" i="8"/>
  <c r="AY1280" i="8"/>
  <c r="AY544" i="8"/>
  <c r="AY550" i="8"/>
  <c r="AY556" i="8"/>
  <c r="AY560" i="8"/>
  <c r="AY566" i="8"/>
  <c r="AY571" i="8"/>
  <c r="AY578" i="8"/>
  <c r="AY584" i="8"/>
  <c r="AY315" i="8"/>
  <c r="AY410" i="8"/>
  <c r="AY813" i="8"/>
  <c r="AY899" i="8"/>
  <c r="AY826" i="8"/>
  <c r="AY921" i="8"/>
  <c r="AY926" i="8"/>
  <c r="AY931" i="8"/>
  <c r="AY852" i="8"/>
  <c r="AY856" i="8"/>
  <c r="AY958" i="8"/>
  <c r="AY976" i="8"/>
  <c r="AY1001" i="8"/>
  <c r="AY1055" i="8"/>
  <c r="AY1073" i="8"/>
  <c r="AY1079" i="8"/>
  <c r="AY1097" i="8"/>
  <c r="AY1102" i="8"/>
  <c r="AY1109" i="8"/>
  <c r="AY486" i="8"/>
  <c r="AY1143" i="8"/>
  <c r="AY1147" i="8"/>
  <c r="AY489" i="8"/>
  <c r="AY1254" i="8"/>
  <c r="AZ1" i="8"/>
  <c r="R373" i="8" l="1"/>
  <c r="R4" i="8"/>
  <c r="R5" i="8"/>
  <c r="R301" i="8"/>
  <c r="R7" i="8"/>
  <c r="R26" i="8"/>
  <c r="R6" i="8"/>
  <c r="R11" i="8"/>
  <c r="R362" i="8"/>
  <c r="R13" i="8"/>
  <c r="R12" i="8"/>
  <c r="R14" i="8"/>
  <c r="R45" i="8"/>
  <c r="R36" i="8"/>
  <c r="R57" i="8"/>
  <c r="R25" i="8"/>
  <c r="R41" i="8"/>
  <c r="R15" i="8"/>
  <c r="R37" i="8"/>
  <c r="R76" i="8"/>
  <c r="R31" i="8"/>
  <c r="R23" i="8"/>
  <c r="R207" i="8"/>
  <c r="R18" i="8"/>
  <c r="R1214" i="8"/>
  <c r="R80" i="8"/>
  <c r="R40" i="8"/>
  <c r="R65" i="8"/>
  <c r="R22" i="8"/>
  <c r="R21" i="8"/>
  <c r="R53" i="8"/>
  <c r="R49" i="8"/>
  <c r="R29" i="8"/>
  <c r="R77" i="8"/>
  <c r="R170" i="8"/>
  <c r="R38" i="8"/>
  <c r="R79" i="8"/>
  <c r="R66" i="8"/>
  <c r="R1171" i="8"/>
  <c r="R1165" i="8"/>
  <c r="R1193" i="8"/>
  <c r="R34" i="8"/>
  <c r="R60" i="8"/>
  <c r="R816" i="8"/>
  <c r="R641" i="8"/>
  <c r="R1162" i="8"/>
  <c r="R20" i="8"/>
  <c r="R19" i="8"/>
  <c r="R801" i="8"/>
  <c r="R47" i="8"/>
  <c r="R183" i="8"/>
  <c r="R10" i="8"/>
  <c r="R8" i="8"/>
  <c r="R73" i="8"/>
  <c r="R800" i="8"/>
  <c r="R218" i="8"/>
  <c r="R681" i="8"/>
  <c r="R319" i="8"/>
  <c r="R82" i="8"/>
  <c r="R333" i="8"/>
  <c r="R64" i="8"/>
  <c r="R48" i="8"/>
  <c r="R177" i="8"/>
  <c r="R142" i="8"/>
  <c r="R68" i="8"/>
  <c r="R52" i="8"/>
  <c r="R86" i="8"/>
  <c r="R81" i="8"/>
  <c r="R230" i="8"/>
  <c r="R145" i="8"/>
  <c r="R71" i="8"/>
  <c r="R83" i="8"/>
  <c r="R231" i="8"/>
  <c r="R212" i="8"/>
  <c r="R63" i="8"/>
  <c r="R205" i="8"/>
  <c r="R149" i="8"/>
  <c r="R93" i="8"/>
  <c r="R1581" i="8"/>
  <c r="R186" i="8"/>
  <c r="R153" i="8"/>
  <c r="R171" i="8"/>
  <c r="R75" i="8"/>
  <c r="R72" i="8"/>
  <c r="R408" i="8"/>
  <c r="R1152" i="8"/>
  <c r="R298" i="8"/>
  <c r="R55" i="8"/>
  <c r="R268" i="8"/>
  <c r="R69" i="8"/>
  <c r="R58" i="8"/>
  <c r="R1170" i="8"/>
  <c r="R121" i="8"/>
  <c r="R334" i="8"/>
  <c r="R95" i="8"/>
  <c r="R265" i="8"/>
  <c r="R70" i="8"/>
  <c r="R300" i="8"/>
  <c r="R101" i="8"/>
  <c r="R51" i="8"/>
  <c r="R316" i="8"/>
  <c r="R35" i="8"/>
  <c r="R32" i="8"/>
  <c r="R535" i="8"/>
  <c r="R1436" i="8"/>
  <c r="R150" i="8"/>
  <c r="R44" i="8"/>
  <c r="R92" i="8"/>
  <c r="R118" i="8"/>
  <c r="R178" i="8"/>
  <c r="R839" i="8"/>
  <c r="R808" i="8"/>
  <c r="R407" i="8"/>
  <c r="R309" i="8"/>
  <c r="R329" i="8"/>
  <c r="R135" i="8"/>
  <c r="R817" i="8"/>
  <c r="R115" i="8"/>
  <c r="R175" i="8"/>
  <c r="R133" i="8"/>
  <c r="R820" i="8"/>
  <c r="R208" i="8"/>
  <c r="R323" i="8"/>
  <c r="R257" i="8"/>
  <c r="R33" i="8"/>
  <c r="R120" i="8"/>
  <c r="R280" i="8"/>
  <c r="R155" i="8"/>
  <c r="R134" i="8"/>
  <c r="R340" i="8"/>
  <c r="R132" i="8"/>
  <c r="R263" i="8"/>
  <c r="R27" i="8"/>
  <c r="R427" i="8"/>
  <c r="R102" i="8"/>
  <c r="R179" i="8"/>
  <c r="R804" i="8"/>
  <c r="R776" i="8"/>
  <c r="R56" i="8"/>
  <c r="R536" i="8"/>
  <c r="R311" i="8"/>
  <c r="R1223" i="8"/>
  <c r="R151" i="8"/>
  <c r="R43" i="8"/>
  <c r="R272" i="8"/>
  <c r="R453" i="8"/>
  <c r="R119" i="8"/>
  <c r="R437" i="8"/>
  <c r="R214" i="8"/>
  <c r="R436" i="8"/>
  <c r="R786" i="8"/>
  <c r="R638" i="8"/>
  <c r="R211" i="8"/>
  <c r="R402" i="8"/>
  <c r="R1398" i="8"/>
  <c r="R131" i="8"/>
  <c r="R30" i="8"/>
  <c r="R105" i="8"/>
  <c r="R425" i="8"/>
  <c r="R104" i="8"/>
  <c r="R435" i="8"/>
  <c r="R46" i="8"/>
  <c r="R215" i="8"/>
  <c r="R270" i="8"/>
  <c r="R181" i="8"/>
  <c r="R182" i="8"/>
  <c r="R470" i="8"/>
  <c r="R59" i="8"/>
  <c r="R62" i="8"/>
  <c r="R136" i="8"/>
  <c r="R452" i="8"/>
  <c r="R148" i="8"/>
  <c r="R596" i="8"/>
  <c r="R504" i="8"/>
  <c r="R191" i="8"/>
  <c r="R1426" i="8"/>
  <c r="R695" i="8"/>
  <c r="R1220" i="8"/>
  <c r="R124" i="8"/>
  <c r="R152" i="8"/>
  <c r="R161" i="8"/>
  <c r="R1222" i="8"/>
  <c r="R154" i="8"/>
  <c r="R784" i="8"/>
  <c r="R281" i="8"/>
  <c r="R88" i="8"/>
  <c r="R103" i="8"/>
  <c r="R338" i="8"/>
  <c r="R138" i="8"/>
  <c r="R447" i="8"/>
  <c r="R336" i="8"/>
  <c r="R116" i="8"/>
  <c r="R1411" i="8"/>
  <c r="R117" i="8"/>
  <c r="R223" i="8"/>
  <c r="R156" i="8"/>
  <c r="R235" i="8"/>
  <c r="R1217" i="8"/>
  <c r="R426" i="8"/>
  <c r="R790" i="8"/>
  <c r="R431" i="8"/>
  <c r="R168" i="8"/>
  <c r="R267" i="8"/>
  <c r="R451" i="8"/>
  <c r="R1225" i="8"/>
  <c r="R1383" i="8"/>
  <c r="R750" i="8"/>
  <c r="R1235" i="8"/>
  <c r="R1213" i="8"/>
  <c r="R258" i="8"/>
  <c r="R206" i="8"/>
  <c r="R799" i="8"/>
  <c r="R654" i="8"/>
  <c r="R655" i="8"/>
  <c r="R91" i="8"/>
  <c r="R90" i="8"/>
  <c r="R331" i="8"/>
  <c r="R310" i="8"/>
  <c r="R67" i="8"/>
  <c r="R210" i="8"/>
  <c r="R89" i="8"/>
  <c r="R203" i="8"/>
  <c r="R363" i="8"/>
  <c r="R234" i="8"/>
  <c r="R184" i="8"/>
  <c r="R160" i="8"/>
  <c r="R274" i="8"/>
  <c r="R217" i="8"/>
  <c r="R342" i="8"/>
  <c r="R147" i="8"/>
  <c r="R279" i="8"/>
  <c r="R454" i="8"/>
  <c r="R1024" i="8"/>
  <c r="R482" i="8"/>
  <c r="R313" i="8"/>
  <c r="R256" i="8"/>
  <c r="R166" i="8"/>
  <c r="R545" i="8"/>
  <c r="R1384" i="8"/>
  <c r="R236" i="8"/>
  <c r="R365" i="8"/>
  <c r="R204" i="8"/>
  <c r="R761" i="8"/>
  <c r="R367" i="8"/>
  <c r="R189" i="8"/>
  <c r="R762" i="8"/>
  <c r="R759" i="8"/>
  <c r="R424" i="8"/>
  <c r="R317" i="8"/>
  <c r="R129" i="8"/>
  <c r="R842" i="8"/>
  <c r="R422" i="8"/>
  <c r="R500" i="8"/>
  <c r="R501" i="8"/>
  <c r="R611" i="8"/>
  <c r="R1288" i="8"/>
  <c r="R96" i="8"/>
  <c r="R366" i="8"/>
  <c r="R752" i="8"/>
  <c r="R797" i="8"/>
  <c r="R1290" i="8"/>
  <c r="R220" i="8"/>
  <c r="R228" i="8"/>
  <c r="R227" i="8"/>
  <c r="R157" i="8"/>
  <c r="R429" i="8"/>
  <c r="R271" i="8"/>
  <c r="R137" i="8"/>
  <c r="R747" i="8"/>
  <c r="R860" i="8"/>
  <c r="R282" i="8"/>
  <c r="R505" i="8"/>
  <c r="R1308" i="8"/>
  <c r="R1032" i="8"/>
  <c r="R1033" i="8"/>
  <c r="R1379" i="8"/>
  <c r="R216" i="8"/>
  <c r="R292" i="8"/>
  <c r="R449" i="8"/>
  <c r="R474" i="8"/>
  <c r="R1407" i="8"/>
  <c r="R1006" i="8"/>
  <c r="R1103" i="8"/>
  <c r="R480" i="8"/>
  <c r="R221" i="8"/>
  <c r="R455" i="8"/>
  <c r="R777" i="8"/>
  <c r="R756" i="8"/>
  <c r="R1202" i="8"/>
  <c r="R682" i="8"/>
  <c r="R783" i="8"/>
  <c r="R648" i="8"/>
  <c r="R364" i="8"/>
  <c r="R359" i="8"/>
  <c r="R726" i="8"/>
  <c r="R1245" i="8"/>
  <c r="R372" i="8"/>
  <c r="R575" i="8"/>
  <c r="R356" i="8"/>
  <c r="R766" i="8"/>
  <c r="R74" i="8"/>
  <c r="R615" i="8"/>
  <c r="R406" i="8"/>
  <c r="R87" i="8"/>
  <c r="R176" i="8"/>
  <c r="R185" i="8"/>
  <c r="R685" i="8"/>
  <c r="R328" i="8"/>
  <c r="R1237" i="8"/>
  <c r="R714" i="8"/>
  <c r="R326" i="8"/>
  <c r="R1427" i="8"/>
  <c r="R421" i="8"/>
  <c r="R1389" i="8"/>
  <c r="R1188" i="8"/>
  <c r="R1273" i="8"/>
  <c r="R502" i="8"/>
  <c r="R143" i="8"/>
  <c r="R299" i="8"/>
  <c r="R164" i="8"/>
  <c r="R720" i="8"/>
  <c r="R798" i="8"/>
  <c r="R401" i="8"/>
  <c r="R123" i="8"/>
  <c r="R146" i="8"/>
  <c r="R398" i="8"/>
  <c r="R141" i="8"/>
  <c r="R809" i="8"/>
  <c r="R727" i="8"/>
  <c r="R278" i="8"/>
  <c r="R639" i="8"/>
  <c r="R640" i="8"/>
  <c r="R94" i="8"/>
  <c r="R224" i="8"/>
  <c r="R273" i="8"/>
  <c r="R61" i="8"/>
  <c r="R106" i="8"/>
  <c r="R636" i="8"/>
  <c r="R824" i="8"/>
  <c r="R468" i="8"/>
  <c r="R795" i="8"/>
  <c r="R818" i="8"/>
  <c r="R773" i="8"/>
  <c r="R122" i="8"/>
  <c r="R108" i="8"/>
  <c r="R945" i="8"/>
  <c r="R959" i="8"/>
  <c r="R960" i="8"/>
  <c r="R219" i="8"/>
  <c r="R1036" i="8"/>
  <c r="R260" i="8"/>
  <c r="R836" i="8"/>
  <c r="R879" i="8"/>
  <c r="R825" i="8"/>
  <c r="R439" i="8"/>
  <c r="R794" i="8"/>
  <c r="R951" i="8"/>
  <c r="R473" i="8"/>
  <c r="R993" i="8"/>
  <c r="R973" i="8"/>
  <c r="R974" i="8"/>
  <c r="R1007" i="8"/>
  <c r="R312" i="8"/>
  <c r="R1201" i="8"/>
  <c r="R1135" i="8"/>
  <c r="R968" i="8"/>
  <c r="R637" i="8"/>
  <c r="R1386" i="8"/>
  <c r="R344" i="8"/>
  <c r="R283" i="8"/>
  <c r="R430" i="8"/>
  <c r="R460" i="8"/>
  <c r="R866" i="8"/>
  <c r="R918" i="8"/>
  <c r="R477" i="8"/>
  <c r="R857" i="8"/>
  <c r="R933" i="8"/>
  <c r="R458" i="8"/>
  <c r="R1012" i="8"/>
  <c r="R1017" i="8"/>
  <c r="R1091" i="8"/>
  <c r="R952" i="8"/>
  <c r="R418" i="8"/>
  <c r="R868" i="8"/>
  <c r="R345" i="8"/>
  <c r="R1045" i="8"/>
  <c r="R1092" i="8"/>
  <c r="R1046" i="8"/>
  <c r="R1083" i="8"/>
  <c r="R791" i="8"/>
  <c r="R902" i="8"/>
  <c r="R1335" i="8"/>
  <c r="R1042" i="8"/>
  <c r="R467" i="8"/>
  <c r="R539" i="8"/>
  <c r="R914" i="8"/>
  <c r="R1011" i="8"/>
  <c r="R1023" i="8"/>
  <c r="R873" i="8"/>
  <c r="R1528" i="8"/>
  <c r="R1077" i="8"/>
  <c r="R1078" i="8"/>
  <c r="R876" i="8"/>
  <c r="R811" i="8"/>
  <c r="R1106" i="8"/>
  <c r="R1107" i="8"/>
  <c r="R213" i="8"/>
  <c r="R290" i="8"/>
  <c r="R1191" i="8"/>
  <c r="R1192" i="8"/>
  <c r="R172" i="8"/>
  <c r="R237" i="8"/>
  <c r="R760" i="8"/>
  <c r="R130" i="8"/>
  <c r="R405" i="8"/>
  <c r="R409" i="8"/>
  <c r="R1428" i="8"/>
  <c r="R1119" i="8"/>
  <c r="R589" i="8"/>
  <c r="R768" i="8"/>
  <c r="R1198" i="8"/>
  <c r="R1253" i="8"/>
  <c r="R261" i="8"/>
  <c r="R1394" i="8"/>
  <c r="R510" i="8"/>
  <c r="R293" i="8"/>
  <c r="R294" i="8"/>
  <c r="R708" i="8"/>
  <c r="R737" i="8"/>
  <c r="R738" i="8"/>
  <c r="R779" i="8"/>
  <c r="R546" i="8"/>
  <c r="R580" i="8"/>
  <c r="R626" i="8"/>
  <c r="R715" i="8"/>
  <c r="R758" i="8"/>
  <c r="R419" i="8"/>
  <c r="R577" i="8"/>
  <c r="R1189" i="8"/>
  <c r="R1341" i="8"/>
  <c r="R1342" i="8"/>
  <c r="R441" i="8"/>
  <c r="R1380" i="8"/>
  <c r="R1329" i="8"/>
  <c r="R763" i="8"/>
  <c r="R259" i="8"/>
  <c r="R845" i="8"/>
  <c r="R1400" i="8"/>
  <c r="R180" i="8"/>
  <c r="R1541" i="8"/>
  <c r="R464" i="8"/>
  <c r="R465" i="8"/>
  <c r="R802" i="8"/>
  <c r="R376" i="8"/>
  <c r="R1250" i="8"/>
  <c r="R1410" i="8"/>
  <c r="R1221" i="8"/>
  <c r="R1381" i="8"/>
  <c r="R1212" i="8"/>
  <c r="R1372" i="8"/>
  <c r="R594" i="8"/>
  <c r="R1412" i="8"/>
  <c r="R1375" i="8"/>
  <c r="R966" i="8"/>
  <c r="R1174" i="8"/>
  <c r="R1376" i="8"/>
  <c r="R1377" i="8"/>
  <c r="R1378" i="8"/>
  <c r="R1382" i="8"/>
  <c r="R785" i="8"/>
  <c r="R1365" i="8"/>
  <c r="R1205" i="8"/>
  <c r="R165" i="8"/>
  <c r="R262" i="8"/>
  <c r="R1208" i="8"/>
  <c r="R361" i="8"/>
  <c r="R1481" i="8"/>
  <c r="R1502" i="8"/>
  <c r="R1430" i="8"/>
  <c r="R1431" i="8"/>
  <c r="R1432" i="8"/>
  <c r="R1433" i="8"/>
  <c r="R1209" i="8"/>
  <c r="R507" i="8"/>
  <c r="R377" i="8"/>
  <c r="R287" i="8"/>
  <c r="R728" i="8"/>
  <c r="R592" i="8"/>
  <c r="R1216" i="8"/>
  <c r="R538" i="8"/>
  <c r="R1226" i="8"/>
  <c r="R1215" i="8"/>
  <c r="R733" i="8"/>
  <c r="R1227" i="8"/>
  <c r="R1228" i="8"/>
  <c r="R1230" i="8"/>
  <c r="R1232" i="8"/>
  <c r="R1233" i="8"/>
  <c r="R1234" i="8"/>
  <c r="R542" i="8"/>
  <c r="R570" i="8"/>
  <c r="R253" i="8"/>
  <c r="R318" i="8"/>
  <c r="R209" i="8"/>
  <c r="R493" i="8"/>
  <c r="R264" i="8"/>
  <c r="R537" i="8"/>
  <c r="R1505" i="8"/>
  <c r="R490" i="8"/>
  <c r="R1275" i="8"/>
  <c r="R805" i="8"/>
  <c r="R1484" i="8"/>
  <c r="R1509" i="8"/>
  <c r="R1276" i="8"/>
  <c r="R647" i="8"/>
  <c r="R1277" i="8"/>
  <c r="R324" i="8"/>
  <c r="R325" i="8"/>
  <c r="R1278" i="8"/>
  <c r="R492" i="8"/>
  <c r="R719" i="8"/>
  <c r="R1395" i="8"/>
  <c r="R1279" i="8"/>
  <c r="R1281" i="8"/>
  <c r="R341" i="8"/>
  <c r="R1295" i="8"/>
  <c r="R678" i="8"/>
  <c r="R652" i="8"/>
  <c r="R653" i="8"/>
  <c r="R411" i="8"/>
  <c r="R649" i="8"/>
  <c r="R255" i="8"/>
  <c r="R1296" i="8"/>
  <c r="R395" i="8"/>
  <c r="R397" i="8"/>
  <c r="R1244" i="8"/>
  <c r="R1299" i="8"/>
  <c r="R1320" i="8"/>
  <c r="R1322" i="8"/>
  <c r="R772" i="8"/>
  <c r="R1408" i="8"/>
  <c r="R254" i="8"/>
  <c r="R1503" i="8"/>
  <c r="R330" i="8"/>
  <c r="R1405" i="8"/>
  <c r="R1323" i="8"/>
  <c r="R731" i="8"/>
  <c r="R1333" i="8"/>
  <c r="R1340" i="8"/>
  <c r="R1343" i="8"/>
  <c r="R1345" i="8"/>
  <c r="R1346" i="8"/>
  <c r="R1347" i="8"/>
  <c r="R591" i="8"/>
  <c r="R1354" i="8"/>
  <c r="R1355" i="8"/>
  <c r="R1356" i="8"/>
  <c r="R1357" i="8"/>
  <c r="R1249" i="8"/>
  <c r="R541" i="8"/>
  <c r="R687" i="8"/>
  <c r="R540" i="8"/>
  <c r="R831" i="8"/>
  <c r="R1044" i="8"/>
  <c r="R297" i="8"/>
  <c r="R622" i="8"/>
  <c r="R675" i="8"/>
  <c r="R1043" i="8"/>
  <c r="R932" i="8"/>
  <c r="R716" i="8"/>
  <c r="R910" i="8"/>
  <c r="R909" i="8"/>
  <c r="R353" i="8"/>
  <c r="R50" i="8"/>
  <c r="R603" i="8"/>
  <c r="R1359" i="8"/>
  <c r="R337" i="8"/>
  <c r="R1360" i="8"/>
  <c r="R485" i="8"/>
  <c r="R335" i="8"/>
  <c r="R432" i="8"/>
  <c r="R403" i="8"/>
  <c r="R275" i="8"/>
  <c r="R1140" i="8"/>
  <c r="R276" i="8"/>
  <c r="R834" i="8"/>
  <c r="R954" i="8"/>
  <c r="R827" i="8"/>
  <c r="R226" i="8"/>
  <c r="R225" i="8"/>
  <c r="R1403" i="8"/>
  <c r="R880" i="8"/>
  <c r="R442" i="8"/>
  <c r="R84" i="8"/>
  <c r="R619" i="8"/>
  <c r="R621" i="8"/>
  <c r="R625" i="8"/>
  <c r="R320" i="8"/>
  <c r="R778" i="8"/>
  <c r="R553" i="8"/>
  <c r="R574" i="8"/>
  <c r="R355" i="8"/>
  <c r="R1362" i="8"/>
  <c r="R360" i="8"/>
  <c r="R1361" i="8"/>
  <c r="R1397" i="8"/>
  <c r="R1404" i="8"/>
  <c r="R629" i="8"/>
  <c r="R78" i="8"/>
  <c r="R1098" i="8"/>
  <c r="R461" i="8"/>
  <c r="R1265" i="8"/>
  <c r="R946" i="8"/>
  <c r="R955" i="8"/>
  <c r="R1259" i="8"/>
  <c r="R741" i="8"/>
  <c r="R339" i="8"/>
  <c r="R979" i="8"/>
  <c r="R980" i="8"/>
  <c r="R503" i="8"/>
  <c r="R463" i="8"/>
  <c r="R1363" i="8"/>
  <c r="R1366" i="8"/>
  <c r="R351" i="8"/>
  <c r="R953" i="8"/>
  <c r="R823" i="8"/>
  <c r="R354" i="8"/>
  <c r="R111" i="8"/>
  <c r="R884" i="8"/>
  <c r="R886" i="8"/>
  <c r="R444" i="8"/>
  <c r="R882" i="8"/>
  <c r="R870" i="8"/>
  <c r="R1367" i="8"/>
  <c r="R420" i="8"/>
  <c r="R843" i="8"/>
  <c r="R950" i="8"/>
  <c r="R572" i="8"/>
  <c r="R1297" i="8"/>
  <c r="R1274" i="8"/>
  <c r="R1421" i="8"/>
  <c r="R1243" i="8"/>
  <c r="R322" i="8"/>
  <c r="R964" i="8"/>
  <c r="R965" i="8"/>
  <c r="R658" i="8"/>
  <c r="R659" i="8"/>
  <c r="R612" i="8"/>
  <c r="R1368" i="8"/>
  <c r="R601" i="8"/>
  <c r="R608" i="8"/>
  <c r="R613" i="8"/>
  <c r="R617" i="8"/>
  <c r="R712" i="8"/>
  <c r="R835" i="8"/>
  <c r="R990" i="8"/>
  <c r="R479" i="8"/>
  <c r="R109" i="8"/>
  <c r="R167" i="8"/>
  <c r="R1364" i="8"/>
  <c r="R977" i="8"/>
  <c r="R190" i="8"/>
  <c r="R581" i="8"/>
  <c r="R169" i="8"/>
  <c r="R475" i="8"/>
  <c r="R327" i="8"/>
  <c r="R645" i="8"/>
  <c r="R985" i="8"/>
  <c r="R869" i="8"/>
  <c r="R978" i="8"/>
  <c r="R471" i="8"/>
  <c r="R923" i="8"/>
  <c r="R905" i="8"/>
  <c r="R913" i="8"/>
  <c r="R291" i="8"/>
  <c r="R476" i="8"/>
  <c r="R1156" i="8"/>
  <c r="R288" i="8"/>
  <c r="R289" i="8"/>
  <c r="R343" i="8"/>
  <c r="R863" i="8"/>
  <c r="R448" i="8"/>
  <c r="R872" i="8"/>
  <c r="R887" i="8"/>
  <c r="R1021" i="8"/>
  <c r="R912" i="8"/>
  <c r="R961" i="8"/>
  <c r="R858" i="8"/>
  <c r="R188" i="8"/>
  <c r="R1035" i="8"/>
  <c r="R107" i="8"/>
  <c r="R1112" i="8"/>
  <c r="R1111" i="8"/>
  <c r="R222" i="8"/>
  <c r="R832" i="8"/>
  <c r="R833" i="8"/>
  <c r="R841" i="8"/>
  <c r="R1093" i="8"/>
  <c r="R595" i="8"/>
  <c r="R605" i="8"/>
  <c r="R644" i="8"/>
  <c r="R680" i="8"/>
  <c r="R693" i="8"/>
  <c r="R742" i="8"/>
  <c r="R749" i="8"/>
  <c r="R757" i="8"/>
  <c r="R1369" i="8"/>
  <c r="R1370" i="8"/>
  <c r="R1319" i="8"/>
  <c r="R796" i="8"/>
  <c r="R787" i="8"/>
  <c r="R1371" i="8"/>
  <c r="R1358" i="8"/>
  <c r="R561" i="8"/>
  <c r="R563" i="8"/>
  <c r="R1350" i="8"/>
  <c r="R371" i="8"/>
  <c r="R369" i="8"/>
  <c r="R1424" i="8"/>
  <c r="R1195" i="8"/>
  <c r="R1388" i="8"/>
  <c r="R1263" i="8"/>
  <c r="R670" i="8"/>
  <c r="R671" i="8"/>
  <c r="R662" i="8"/>
  <c r="R412" i="8"/>
  <c r="R1196" i="8"/>
  <c r="R1115" i="8"/>
  <c r="R865" i="8"/>
  <c r="R1020" i="8"/>
  <c r="R729" i="8"/>
  <c r="R1348" i="8"/>
  <c r="R1336" i="8"/>
  <c r="R878" i="8"/>
  <c r="R438" i="8"/>
  <c r="R1334" i="8"/>
  <c r="R495" i="8"/>
  <c r="R1059" i="8"/>
  <c r="R972" i="8"/>
  <c r="R987" i="8"/>
  <c r="R988" i="8"/>
  <c r="R1328" i="8"/>
  <c r="R140" i="8"/>
  <c r="R139" i="8"/>
  <c r="R908" i="8"/>
  <c r="R456" i="8"/>
  <c r="R883" i="8"/>
  <c r="R862" i="8"/>
  <c r="R1026" i="8"/>
  <c r="R1062" i="8"/>
  <c r="R1128" i="8"/>
  <c r="R1089" i="8"/>
  <c r="R877" i="8"/>
  <c r="R1090" i="8"/>
  <c r="R1053" i="8"/>
  <c r="R894" i="8"/>
  <c r="R1063" i="8"/>
  <c r="R1008" i="8"/>
  <c r="R859" i="8"/>
  <c r="R1061" i="8"/>
  <c r="R1125" i="8"/>
  <c r="R350" i="8"/>
  <c r="R349" i="8"/>
  <c r="R838" i="8"/>
  <c r="R472" i="8"/>
  <c r="R867" i="8"/>
  <c r="R466" i="8"/>
  <c r="R669" i="8"/>
  <c r="R704" i="8"/>
  <c r="R732" i="8"/>
  <c r="R415" i="8"/>
  <c r="R1298" i="8"/>
  <c r="R1239" i="8"/>
  <c r="R1240" i="8"/>
  <c r="R1241" i="8"/>
  <c r="R1282" i="8"/>
  <c r="R1283" i="8"/>
  <c r="R995" i="8"/>
  <c r="R780" i="8"/>
  <c r="R332" i="8"/>
  <c r="R400" i="8"/>
  <c r="R576" i="8"/>
  <c r="R491" i="8"/>
  <c r="R788" i="8"/>
  <c r="R416" i="8"/>
  <c r="R414" i="8"/>
  <c r="R1284" i="8"/>
  <c r="R1438" i="8"/>
  <c r="R874" i="8"/>
  <c r="R1178" i="8"/>
  <c r="R598" i="8"/>
  <c r="R610" i="8"/>
  <c r="R672" i="8"/>
  <c r="R1327" i="8"/>
  <c r="R469" i="8"/>
  <c r="R459" i="8"/>
  <c r="R277" i="8"/>
  <c r="R984" i="8"/>
  <c r="R1015" i="8"/>
  <c r="R1264" i="8"/>
  <c r="R657" i="8"/>
  <c r="R707" i="8"/>
  <c r="R1326" i="8"/>
  <c r="R498" i="8"/>
  <c r="R983" i="8"/>
  <c r="R885" i="8"/>
  <c r="R158" i="8"/>
  <c r="R1010" i="8"/>
  <c r="R1025" i="8"/>
  <c r="R1037" i="8"/>
  <c r="R1047" i="8"/>
  <c r="R1060" i="8"/>
  <c r="R1095" i="8"/>
  <c r="R1127" i="8"/>
  <c r="R346" i="8"/>
  <c r="R935" i="8"/>
  <c r="R967" i="8"/>
  <c r="R443" i="8"/>
  <c r="R828" i="8"/>
  <c r="R830" i="8"/>
  <c r="R1325" i="8"/>
  <c r="R413" i="8"/>
  <c r="R769" i="8"/>
  <c r="R1324" i="8"/>
  <c r="R1179" i="8"/>
  <c r="R1180" i="8"/>
  <c r="R1181" i="8"/>
  <c r="R1425" i="8"/>
  <c r="R1321" i="8"/>
  <c r="R1022" i="8"/>
  <c r="R875" i="8"/>
  <c r="R1085" i="8"/>
  <c r="R1088" i="8"/>
  <c r="R1117" i="8"/>
  <c r="R892" i="8"/>
  <c r="R893" i="8"/>
  <c r="R940" i="8"/>
  <c r="R941" i="8"/>
  <c r="R829" i="8"/>
  <c r="R481" i="8"/>
  <c r="R1048" i="8"/>
  <c r="R881" i="8"/>
  <c r="R159" i="8"/>
  <c r="R890" i="8"/>
  <c r="R891" i="8"/>
  <c r="R901" i="8"/>
  <c r="R284" i="8"/>
  <c r="R285" i="8"/>
  <c r="R286" i="8"/>
  <c r="R837" i="8"/>
  <c r="R911" i="8"/>
  <c r="R915" i="8"/>
  <c r="R916" i="8"/>
  <c r="R917" i="8"/>
  <c r="R919" i="8"/>
  <c r="R920" i="8"/>
  <c r="R928" i="8"/>
  <c r="R936" i="8"/>
  <c r="R937" i="8"/>
  <c r="R938" i="8"/>
  <c r="R939" i="8"/>
  <c r="R942" i="8"/>
  <c r="R943" i="8"/>
  <c r="R944" i="8"/>
  <c r="R840" i="8"/>
  <c r="R956" i="8"/>
  <c r="R962" i="8"/>
  <c r="R963" i="8"/>
  <c r="R970" i="8"/>
  <c r="R445" i="8"/>
  <c r="R986" i="8"/>
  <c r="R85" i="8"/>
  <c r="R991" i="8"/>
  <c r="R992" i="8"/>
  <c r="R996" i="8"/>
  <c r="R997" i="8"/>
  <c r="R998" i="8"/>
  <c r="R999" i="8"/>
  <c r="R478" i="8"/>
  <c r="R1002" i="8"/>
  <c r="R1003" i="8"/>
  <c r="R1004" i="8"/>
  <c r="R1005" i="8"/>
  <c r="R861" i="8"/>
  <c r="R1009" i="8"/>
  <c r="R1013" i="8"/>
  <c r="R1014" i="8"/>
  <c r="R1016" i="8"/>
  <c r="R1018" i="8"/>
  <c r="R1019" i="8"/>
  <c r="R187" i="8"/>
  <c r="R1027" i="8"/>
  <c r="R1028" i="8"/>
  <c r="R1030" i="8"/>
  <c r="R1031" i="8"/>
  <c r="R1034" i="8"/>
  <c r="R1039" i="8"/>
  <c r="R1040" i="8"/>
  <c r="R1041" i="8"/>
  <c r="R1049" i="8"/>
  <c r="R1050" i="8"/>
  <c r="R1051" i="8"/>
  <c r="R1052" i="8"/>
  <c r="R1054" i="8"/>
  <c r="R1057" i="8"/>
  <c r="R1058" i="8"/>
  <c r="R871" i="8"/>
  <c r="R1064" i="8"/>
  <c r="R1065" i="8"/>
  <c r="R1066" i="8"/>
  <c r="R1067" i="8"/>
  <c r="R1070" i="8"/>
  <c r="R1071" i="8"/>
  <c r="R1072" i="8"/>
  <c r="R457" i="8"/>
  <c r="R483" i="8"/>
  <c r="R484" i="8"/>
  <c r="R1081" i="8"/>
  <c r="R1082" i="8"/>
  <c r="R1084" i="8"/>
  <c r="R1087" i="8"/>
  <c r="R1094" i="8"/>
  <c r="R269" i="8"/>
  <c r="R1116" i="8"/>
  <c r="R1120" i="8"/>
  <c r="R1121" i="8"/>
  <c r="R1122" i="8"/>
  <c r="R1123" i="8"/>
  <c r="R1124" i="8"/>
  <c r="R1129" i="8"/>
  <c r="R1130" i="8"/>
  <c r="R1141" i="8"/>
  <c r="R1142" i="8"/>
  <c r="R1157" i="8"/>
  <c r="R1158" i="8"/>
  <c r="R1159" i="8"/>
  <c r="R1166" i="8"/>
  <c r="R1167" i="8"/>
  <c r="R1168" i="8"/>
  <c r="R593" i="8"/>
  <c r="R597" i="8"/>
  <c r="R599" i="8"/>
  <c r="R600" i="8"/>
  <c r="R602" i="8"/>
  <c r="R604" i="8"/>
  <c r="R607" i="8"/>
  <c r="R609" i="8"/>
  <c r="R614" i="8"/>
  <c r="R616" i="8"/>
  <c r="R618" i="8"/>
  <c r="R620" i="8"/>
  <c r="R623" i="8"/>
  <c r="R624" i="8"/>
  <c r="R627" i="8"/>
  <c r="R628" i="8"/>
  <c r="R630" i="8"/>
  <c r="R631" i="8"/>
  <c r="R632" i="8"/>
  <c r="R633" i="8"/>
  <c r="R634" i="8"/>
  <c r="R635" i="8"/>
  <c r="R642" i="8"/>
  <c r="R643" i="8"/>
  <c r="R646" i="8"/>
  <c r="R650" i="8"/>
  <c r="R651" i="8"/>
  <c r="R656" i="8"/>
  <c r="R660" i="8"/>
  <c r="R661" i="8"/>
  <c r="R663" i="8"/>
  <c r="R664" i="8"/>
  <c r="R665" i="8"/>
  <c r="R321" i="8"/>
  <c r="R666" i="8"/>
  <c r="R667" i="8"/>
  <c r="R668" i="8"/>
  <c r="R673" i="8"/>
  <c r="R674" i="8"/>
  <c r="R676" i="8"/>
  <c r="R677" i="8"/>
  <c r="R679" i="8"/>
  <c r="R683" i="8"/>
  <c r="R684" i="8"/>
  <c r="R686" i="8"/>
  <c r="R688" i="8"/>
  <c r="R689" i="8"/>
  <c r="R690" i="8"/>
  <c r="R691" i="8"/>
  <c r="R694" i="8"/>
  <c r="R696" i="8"/>
  <c r="R697" i="8"/>
  <c r="R698" i="8"/>
  <c r="R699" i="8"/>
  <c r="R700" i="8"/>
  <c r="R701" i="8"/>
  <c r="R702" i="8"/>
  <c r="R703" i="8"/>
  <c r="R705" i="8"/>
  <c r="R706" i="8"/>
  <c r="R709" i="8"/>
  <c r="R710" i="8"/>
  <c r="R711" i="8"/>
  <c r="R713" i="8"/>
  <c r="R717" i="8"/>
  <c r="R718" i="8"/>
  <c r="R721" i="8"/>
  <c r="R722" i="8"/>
  <c r="R723" i="8"/>
  <c r="R724" i="8"/>
  <c r="R725" i="8"/>
  <c r="R730" i="8"/>
  <c r="R734" i="8"/>
  <c r="R735" i="8"/>
  <c r="R736" i="8"/>
  <c r="R739" i="8"/>
  <c r="R740" i="8"/>
  <c r="R743" i="8"/>
  <c r="R744" i="8"/>
  <c r="R745" i="8"/>
  <c r="R746" i="8"/>
  <c r="R748" i="8"/>
  <c r="R751" i="8"/>
  <c r="R753" i="8"/>
  <c r="R754" i="8"/>
  <c r="R755" i="8"/>
  <c r="R949" i="8"/>
  <c r="R1206" i="8"/>
  <c r="R1302" i="8"/>
  <c r="R1331" i="8"/>
  <c r="R1332" i="8"/>
  <c r="R496" i="8"/>
  <c r="R497" i="8"/>
  <c r="R1339" i="8"/>
  <c r="R1344" i="8"/>
  <c r="R1352" i="8"/>
  <c r="R1229" i="8"/>
  <c r="R1231" i="8"/>
  <c r="R1177" i="8"/>
  <c r="R1316" i="8"/>
  <c r="R1318" i="8"/>
  <c r="R1437" i="8"/>
  <c r="R1294" i="8"/>
  <c r="R1338" i="8"/>
  <c r="R1194" i="8"/>
  <c r="R793" i="8"/>
  <c r="R774" i="8"/>
  <c r="R765" i="8"/>
  <c r="R1406" i="8"/>
  <c r="R1349" i="8"/>
  <c r="R1351" i="8"/>
  <c r="R1301" i="8"/>
  <c r="R1304" i="8"/>
  <c r="R1539" i="8"/>
  <c r="R173" i="8"/>
  <c r="R433" i="8"/>
  <c r="R1315" i="8"/>
  <c r="R1544" i="8"/>
  <c r="R1207" i="8"/>
  <c r="R1353" i="8"/>
  <c r="R450" i="8"/>
  <c r="R792" i="8"/>
  <c r="R806" i="8"/>
  <c r="R789" i="8"/>
  <c r="R844" i="8"/>
  <c r="R781" i="8"/>
  <c r="R423" i="8"/>
  <c r="R803" i="8"/>
  <c r="R807" i="8"/>
  <c r="R543" i="8"/>
  <c r="R399" i="8"/>
  <c r="R551" i="8"/>
  <c r="R1543" i="8"/>
  <c r="R1374" i="8"/>
  <c r="R1542" i="8"/>
  <c r="R233" i="8"/>
  <c r="R1337" i="8"/>
  <c r="R1373" i="8"/>
  <c r="R1330" i="8"/>
  <c r="R1409" i="8"/>
  <c r="R775" i="8"/>
  <c r="R174" i="8"/>
  <c r="R1183" i="8"/>
  <c r="R1184" i="8"/>
  <c r="R1185" i="8"/>
  <c r="R1186" i="8"/>
  <c r="R1187" i="8"/>
  <c r="R1190" i="8"/>
  <c r="R295" i="8"/>
  <c r="R1218" i="8"/>
  <c r="R296" i="8"/>
  <c r="R1219" i="8"/>
  <c r="R1224" i="8"/>
  <c r="R370" i="8"/>
  <c r="R1413" i="8"/>
  <c r="R1414" i="8"/>
  <c r="R1415" i="8"/>
  <c r="R1416" i="8"/>
  <c r="R1417" i="8"/>
  <c r="R1418" i="8"/>
  <c r="R1419" i="8"/>
  <c r="R1420" i="8"/>
  <c r="R1422" i="8"/>
  <c r="R1423" i="8"/>
  <c r="R814" i="8"/>
  <c r="R1247" i="8"/>
  <c r="R1256" i="8"/>
  <c r="R1260" i="8"/>
  <c r="R1262" i="8"/>
  <c r="R1268" i="8"/>
  <c r="R1399" i="8"/>
  <c r="R499" i="8"/>
  <c r="R771" i="8"/>
  <c r="R266" i="8"/>
  <c r="R1434" i="8"/>
  <c r="R446" i="8"/>
  <c r="R440" i="8"/>
  <c r="R1169" i="8"/>
  <c r="R232" i="8"/>
  <c r="R1466" i="8"/>
  <c r="R1464" i="8"/>
  <c r="R1463" i="8"/>
  <c r="R1458" i="8"/>
  <c r="R163" i="8"/>
  <c r="R606" i="8"/>
  <c r="R782" i="8"/>
  <c r="R434" i="8"/>
  <c r="R1211" i="8"/>
  <c r="R162" i="8"/>
  <c r="R1317" i="8"/>
  <c r="R3" i="8"/>
  <c r="N3" i="8"/>
  <c r="R1" i="8" l="1"/>
  <c r="N5" i="8"/>
  <c r="N6" i="8"/>
  <c r="N57" i="8"/>
  <c r="N25" i="8"/>
  <c r="N37" i="8"/>
  <c r="N40" i="8"/>
  <c r="N65" i="8"/>
  <c r="N66" i="8"/>
  <c r="N34" i="8"/>
  <c r="N1162" i="8"/>
  <c r="N19" i="8"/>
  <c r="N10" i="8"/>
  <c r="N8" i="8"/>
  <c r="N81" i="8"/>
  <c r="N205" i="8"/>
  <c r="N149" i="8"/>
  <c r="N100" i="8"/>
  <c r="N75" i="8"/>
  <c r="N298" i="8"/>
  <c r="N1170" i="8"/>
  <c r="N535" i="8"/>
  <c r="N329" i="8"/>
  <c r="N56" i="8"/>
  <c r="N536" i="8"/>
  <c r="N151" i="8"/>
  <c r="N1398" i="8"/>
  <c r="N148" i="8"/>
  <c r="N191" i="8"/>
  <c r="N1426" i="8"/>
  <c r="N1220" i="8"/>
  <c r="N124" i="8"/>
  <c r="N1222" i="8"/>
  <c r="N1217" i="8"/>
  <c r="N1383" i="8"/>
  <c r="N258" i="8"/>
  <c r="N206" i="8"/>
  <c r="N91" i="8"/>
  <c r="N203" i="8"/>
  <c r="N363" i="8"/>
  <c r="N147" i="8"/>
  <c r="N761" i="8"/>
  <c r="N762" i="8"/>
  <c r="N759" i="8"/>
  <c r="N129" i="8"/>
  <c r="N366" i="8"/>
  <c r="N777" i="8"/>
  <c r="N359" i="8"/>
  <c r="N356" i="8"/>
  <c r="N1389" i="8"/>
  <c r="N1188" i="8"/>
  <c r="N143" i="8"/>
  <c r="N146" i="8"/>
  <c r="N398" i="8"/>
  <c r="N1191" i="8"/>
  <c r="N1192" i="8"/>
  <c r="N760" i="8"/>
  <c r="N1428" i="8"/>
  <c r="N1198" i="8"/>
  <c r="N1253" i="8"/>
  <c r="N510" i="8"/>
  <c r="N293" i="8"/>
  <c r="N1342" i="8"/>
  <c r="N763" i="8"/>
  <c r="N259" i="8"/>
  <c r="N1541" i="8"/>
  <c r="N376" i="8"/>
  <c r="N1221" i="8"/>
  <c r="N1412" i="8"/>
  <c r="N165" i="8"/>
  <c r="N1432" i="8"/>
  <c r="N1433" i="8"/>
  <c r="N377" i="8"/>
  <c r="N287" i="8"/>
  <c r="N253" i="8"/>
  <c r="N493" i="8"/>
  <c r="N1509" i="8"/>
  <c r="N492" i="8"/>
  <c r="N1244" i="8"/>
  <c r="N1408" i="8"/>
  <c r="N541" i="8"/>
  <c r="N297" i="8"/>
  <c r="N360" i="8"/>
  <c r="N1361" i="8"/>
  <c r="N1265" i="8"/>
  <c r="N503" i="8"/>
  <c r="N111" i="8"/>
  <c r="N1297" i="8"/>
  <c r="N1243" i="8"/>
  <c r="N369" i="8"/>
  <c r="N1424" i="8"/>
  <c r="N1263" i="8"/>
  <c r="N1328" i="8"/>
  <c r="N1240" i="8"/>
  <c r="N1241" i="8"/>
  <c r="N491" i="8"/>
  <c r="N414" i="8"/>
  <c r="N1284" i="8"/>
  <c r="N1178" i="8"/>
  <c r="N1327" i="8"/>
  <c r="N1326" i="8"/>
  <c r="N769" i="8"/>
  <c r="N1180" i="8"/>
  <c r="N1181" i="8"/>
  <c r="N1302" i="8"/>
  <c r="N1229" i="8"/>
  <c r="N1437" i="8"/>
  <c r="N774" i="8"/>
  <c r="N765" i="8"/>
  <c r="N1406" i="8"/>
  <c r="N1351" i="8"/>
  <c r="N1304" i="8"/>
  <c r="N1539" i="8"/>
  <c r="N433" i="8"/>
  <c r="N1315" i="8"/>
  <c r="N1544" i="8"/>
  <c r="N1543" i="8"/>
  <c r="N1542" i="8"/>
  <c r="N1409" i="8"/>
  <c r="N775" i="8"/>
  <c r="N174" i="8"/>
  <c r="N1184" i="8"/>
  <c r="N1185" i="8"/>
  <c r="N1186" i="8"/>
  <c r="N1190" i="8"/>
  <c r="N295" i="8"/>
  <c r="N1218" i="8"/>
  <c r="N296" i="8"/>
  <c r="N1219" i="8"/>
  <c r="N1224" i="8"/>
  <c r="N370" i="8"/>
  <c r="N1413" i="8"/>
  <c r="N1414" i="8"/>
  <c r="N1415" i="8"/>
  <c r="N1416" i="8"/>
  <c r="N1419" i="8"/>
  <c r="N1420" i="8"/>
  <c r="N1423" i="8"/>
  <c r="N814" i="8"/>
  <c r="N1247" i="8"/>
  <c r="N1256" i="8"/>
  <c r="N1260" i="8"/>
  <c r="N1262" i="8"/>
  <c r="N1268" i="8"/>
  <c r="N1399" i="8"/>
  <c r="N499" i="8"/>
  <c r="N771" i="8"/>
  <c r="N266" i="8"/>
  <c r="N1434" i="8"/>
  <c r="N1169" i="8"/>
  <c r="N232" i="8"/>
  <c r="N1464" i="8"/>
  <c r="N1463" i="8"/>
  <c r="N1458" i="8"/>
  <c r="N163" i="8"/>
  <c r="N606" i="8"/>
  <c r="N434" i="8"/>
  <c r="N1211" i="8"/>
  <c r="N11" i="8"/>
  <c r="N1171" i="8"/>
  <c r="N230" i="8"/>
  <c r="N51" i="8"/>
  <c r="N1405" i="8"/>
  <c r="N373" i="8"/>
  <c r="N4" i="8"/>
  <c r="N301" i="8"/>
  <c r="N26" i="8"/>
  <c r="N362" i="8"/>
  <c r="N13" i="8"/>
  <c r="N36" i="8"/>
  <c r="N41" i="8"/>
  <c r="N15" i="8"/>
  <c r="N31" i="8"/>
  <c r="N1214" i="8"/>
  <c r="N49" i="8"/>
  <c r="N29" i="8"/>
  <c r="N38" i="8"/>
  <c r="N79" i="8"/>
  <c r="N1165" i="8"/>
  <c r="N1193" i="8"/>
  <c r="N60" i="8"/>
  <c r="N20" i="8"/>
  <c r="N73" i="8"/>
  <c r="N142" i="8"/>
  <c r="N86" i="8"/>
  <c r="N145" i="8"/>
  <c r="N1152" i="8"/>
  <c r="N300" i="8"/>
  <c r="N208" i="8"/>
  <c r="N27" i="8"/>
  <c r="N776" i="8"/>
  <c r="N1223" i="8"/>
  <c r="N30" i="8"/>
  <c r="N504" i="8"/>
  <c r="N161" i="8"/>
  <c r="N1411" i="8"/>
  <c r="N235" i="8"/>
  <c r="N1225" i="8"/>
  <c r="N1235" i="8"/>
  <c r="N1213" i="8"/>
  <c r="N90" i="8"/>
  <c r="N234" i="8"/>
  <c r="N256" i="8"/>
  <c r="N236" i="8"/>
  <c r="N365" i="8"/>
  <c r="N367" i="8"/>
  <c r="N1288" i="8"/>
  <c r="N96" i="8"/>
  <c r="N1290" i="8"/>
  <c r="N505" i="8"/>
  <c r="N1308" i="8"/>
  <c r="N1407" i="8"/>
  <c r="N1202" i="8"/>
  <c r="N364" i="8"/>
  <c r="N1245" i="8"/>
  <c r="N372" i="8"/>
  <c r="N766" i="8"/>
  <c r="N1237" i="8"/>
  <c r="N1427" i="8"/>
  <c r="N1273" i="8"/>
  <c r="N502" i="8"/>
  <c r="N299" i="8"/>
  <c r="N164" i="8"/>
  <c r="N123" i="8"/>
  <c r="N141" i="8"/>
  <c r="N773" i="8"/>
  <c r="N1201" i="8"/>
  <c r="N1017" i="8"/>
  <c r="N418" i="8"/>
  <c r="N1335" i="8"/>
  <c r="N539" i="8"/>
  <c r="N237" i="8"/>
  <c r="N768" i="8"/>
  <c r="N1394" i="8"/>
  <c r="N294" i="8"/>
  <c r="N1189" i="8"/>
  <c r="N1341" i="8"/>
  <c r="N1329" i="8"/>
  <c r="N845" i="8"/>
  <c r="N1400" i="8"/>
  <c r="N1250" i="8"/>
  <c r="N1410" i="8"/>
  <c r="N1212" i="8"/>
  <c r="N361" i="8"/>
  <c r="N1430" i="8"/>
  <c r="N1431" i="8"/>
  <c r="N507" i="8"/>
  <c r="N1215" i="8"/>
  <c r="N1230" i="8"/>
  <c r="N1505" i="8"/>
  <c r="N1395" i="8"/>
  <c r="N397" i="8"/>
  <c r="N1249" i="8"/>
  <c r="N1403" i="8"/>
  <c r="N355" i="8"/>
  <c r="N1397" i="8"/>
  <c r="N1404" i="8"/>
  <c r="N1259" i="8"/>
  <c r="N950" i="8"/>
  <c r="N1274" i="8"/>
  <c r="N1421" i="8"/>
  <c r="N1350" i="8"/>
  <c r="N371" i="8"/>
  <c r="N1388" i="8"/>
  <c r="N865" i="8"/>
  <c r="N1336" i="8"/>
  <c r="N1334" i="8"/>
  <c r="N495" i="8"/>
  <c r="N1239" i="8"/>
  <c r="N1282" i="8"/>
  <c r="N1283" i="8"/>
  <c r="N788" i="8"/>
  <c r="N416" i="8"/>
  <c r="N1438" i="8"/>
  <c r="N1264" i="8"/>
  <c r="N498" i="8"/>
  <c r="N1325" i="8"/>
  <c r="N1324" i="8"/>
  <c r="N1179" i="8"/>
  <c r="N1425" i="8"/>
  <c r="N793" i="8"/>
  <c r="N1301" i="8"/>
  <c r="N173" i="8"/>
  <c r="N543" i="8"/>
  <c r="N1330" i="8"/>
  <c r="N1183" i="8"/>
  <c r="N1187" i="8"/>
  <c r="N1417" i="8"/>
  <c r="N1418" i="8"/>
  <c r="N1422" i="8"/>
  <c r="N1466" i="8"/>
  <c r="N162" i="8"/>
  <c r="L1" i="8"/>
  <c r="J1" i="8"/>
  <c r="N1" i="8" l="1"/>
  <c r="I604" i="8"/>
  <c r="AY604" i="8" s="1"/>
  <c r="I683" i="8"/>
  <c r="AY683" i="8" s="1"/>
  <c r="I424" i="8" l="1"/>
  <c r="I802" i="8"/>
  <c r="I798" i="8"/>
  <c r="I799" i="8"/>
  <c r="AY424" i="8" l="1"/>
  <c r="AY799" i="8"/>
  <c r="AY798" i="8"/>
  <c r="AY802" i="8"/>
  <c r="I1152" i="8"/>
  <c r="AY1152" i="8" l="1"/>
  <c r="I465" i="8"/>
  <c r="I1328" i="8"/>
  <c r="I1350" i="8"/>
  <c r="I1358" i="8"/>
  <c r="I1326" i="8"/>
  <c r="I1348" i="8"/>
  <c r="I1364" i="8"/>
  <c r="I1321" i="8"/>
  <c r="I1325" i="8"/>
  <c r="I1327" i="8"/>
  <c r="I495" i="8"/>
  <c r="I1334" i="8"/>
  <c r="I1336" i="8"/>
  <c r="I1405" i="8"/>
  <c r="I206" i="8"/>
  <c r="I164" i="8"/>
  <c r="I720" i="8"/>
  <c r="I464" i="8"/>
  <c r="I1400" i="8"/>
  <c r="I771" i="8"/>
  <c r="I180" i="8"/>
  <c r="I1211" i="8"/>
  <c r="I1541" i="8"/>
  <c r="I299" i="8"/>
  <c r="I3" i="8"/>
  <c r="AY1400" i="8" l="1"/>
  <c r="AY495" i="8"/>
  <c r="AY1364" i="8"/>
  <c r="AY1350" i="8"/>
  <c r="AY1211" i="8"/>
  <c r="AY464" i="8"/>
  <c r="AY1405" i="8"/>
  <c r="AY1327" i="8"/>
  <c r="AY1348" i="8"/>
  <c r="AY1328" i="8"/>
  <c r="AY180" i="8"/>
  <c r="AY1325" i="8"/>
  <c r="AY1326" i="8"/>
  <c r="AY465" i="8"/>
  <c r="AY1541" i="8"/>
  <c r="AY720" i="8"/>
  <c r="AY1336" i="8"/>
  <c r="AY299" i="8"/>
  <c r="AY771" i="8"/>
  <c r="AY164" i="8"/>
  <c r="AY1334" i="8"/>
  <c r="AY1321" i="8"/>
  <c r="AY1358" i="8"/>
  <c r="AY206" i="8"/>
  <c r="I7" i="8"/>
  <c r="I4" i="8"/>
  <c r="AY4" i="8" s="1"/>
  <c r="I11" i="8"/>
  <c r="AY11" i="8" s="1"/>
  <c r="I36" i="8"/>
  <c r="AY36" i="8" s="1"/>
  <c r="I13" i="8"/>
  <c r="AY13" i="8" s="1"/>
  <c r="I6" i="8"/>
  <c r="AY6" i="8" s="1"/>
  <c r="I373" i="8"/>
  <c r="AY373" i="8" s="1"/>
  <c r="I26" i="8"/>
  <c r="AY26" i="8" s="1"/>
  <c r="I45" i="8"/>
  <c r="AY45" i="8" s="1"/>
  <c r="I65" i="8"/>
  <c r="AY65" i="8" s="1"/>
  <c r="I21" i="8"/>
  <c r="AY21" i="8" s="1"/>
  <c r="I29" i="8"/>
  <c r="AY29" i="8" s="1"/>
  <c r="I12" i="8"/>
  <c r="AY12" i="8" s="1"/>
  <c r="I23" i="8"/>
  <c r="AY23" i="8" s="1"/>
  <c r="I18" i="8"/>
  <c r="AY18" i="8" s="1"/>
  <c r="I31" i="8"/>
  <c r="AY31" i="8" s="1"/>
  <c r="I15" i="8"/>
  <c r="AY15" i="8" s="1"/>
  <c r="I207" i="8"/>
  <c r="AY207" i="8" s="1"/>
  <c r="I25" i="8"/>
  <c r="AY25" i="8" s="1"/>
  <c r="I57" i="8"/>
  <c r="AY57" i="8" s="1"/>
  <c r="I38" i="8"/>
  <c r="AY38" i="8" s="1"/>
  <c r="I681" i="8"/>
  <c r="AY681" i="8" s="1"/>
  <c r="I79" i="8"/>
  <c r="AY79" i="8" s="1"/>
  <c r="I37" i="8"/>
  <c r="AY37" i="8" s="1"/>
  <c r="I1165" i="8"/>
  <c r="AY1165" i="8" s="1"/>
  <c r="I34" i="8"/>
  <c r="AY34" i="8" s="1"/>
  <c r="I80" i="8"/>
  <c r="AY80" i="8" s="1"/>
  <c r="I66" i="8"/>
  <c r="AY66" i="8" s="1"/>
  <c r="I408" i="8"/>
  <c r="AY408" i="8" s="1"/>
  <c r="I40" i="8"/>
  <c r="AY40" i="8" s="1"/>
  <c r="I1426" i="8"/>
  <c r="AY1426" i="8" s="1"/>
  <c r="I301" i="8"/>
  <c r="AY301" i="8" s="1"/>
  <c r="I170" i="8"/>
  <c r="AY170" i="8" s="1"/>
  <c r="I145" i="8"/>
  <c r="AY145" i="8" s="1"/>
  <c r="I1162" i="8"/>
  <c r="AY1162" i="8" s="1"/>
  <c r="I1171" i="8"/>
  <c r="AY1171" i="8" s="1"/>
  <c r="I177" i="8"/>
  <c r="AY177" i="8" s="1"/>
  <c r="I231" i="8"/>
  <c r="AY231" i="8" s="1"/>
  <c r="I428" i="8"/>
  <c r="AY428" i="8" s="1"/>
  <c r="I22" i="8"/>
  <c r="AY22" i="8" s="1"/>
  <c r="I82" i="8"/>
  <c r="AY82" i="8" s="1"/>
  <c r="I401" i="8"/>
  <c r="AY401" i="8" s="1"/>
  <c r="I212" i="8"/>
  <c r="AY212" i="8" s="1"/>
  <c r="I53" i="8"/>
  <c r="AY53" i="8" s="1"/>
  <c r="I317" i="8"/>
  <c r="AY317" i="8" s="1"/>
  <c r="I60" i="8"/>
  <c r="AY60" i="8" s="1"/>
  <c r="I407" i="8"/>
  <c r="AY407" i="8" s="1"/>
  <c r="I44" i="8"/>
  <c r="AY44" i="8" s="1"/>
  <c r="I64" i="8"/>
  <c r="AY64" i="8" s="1"/>
  <c r="I319" i="8"/>
  <c r="AY319" i="8" s="1"/>
  <c r="I100" i="8"/>
  <c r="AY100" i="8" s="1"/>
  <c r="I20" i="8"/>
  <c r="AY20" i="8" s="1"/>
  <c r="I19" i="8"/>
  <c r="AY19" i="8" s="1"/>
  <c r="I41" i="8"/>
  <c r="AY41" i="8" s="1"/>
  <c r="I63" i="8"/>
  <c r="AY63" i="8" s="1"/>
  <c r="I376" i="8"/>
  <c r="AY376" i="8" s="1"/>
  <c r="I94" i="8"/>
  <c r="AY94" i="8" s="1"/>
  <c r="I816" i="8"/>
  <c r="AY816" i="8" s="1"/>
  <c r="I73" i="8"/>
  <c r="AY73" i="8" s="1"/>
  <c r="I300" i="8"/>
  <c r="AY300" i="8" s="1"/>
  <c r="I83" i="8"/>
  <c r="AY83" i="8" s="1"/>
  <c r="I153" i="8"/>
  <c r="AY153" i="8" s="1"/>
  <c r="I1193" i="8"/>
  <c r="AY1193" i="8" s="1"/>
  <c r="I68" i="8"/>
  <c r="AY68" i="8" s="1"/>
  <c r="I81" i="8"/>
  <c r="AY81" i="8" s="1"/>
  <c r="I49" i="8"/>
  <c r="AY49" i="8" s="1"/>
  <c r="I101" i="8"/>
  <c r="AY101" i="8" s="1"/>
  <c r="I220" i="8"/>
  <c r="AY220" i="8" s="1"/>
  <c r="I1317" i="8"/>
  <c r="AY1317" i="8" s="1"/>
  <c r="I641" i="8"/>
  <c r="AY641" i="8" s="1"/>
  <c r="I695" i="8"/>
  <c r="AY695" i="8" s="1"/>
  <c r="I323" i="8"/>
  <c r="AY323" i="8" s="1"/>
  <c r="I536" i="8"/>
  <c r="AY536" i="8" s="1"/>
  <c r="I171" i="8"/>
  <c r="AY171" i="8" s="1"/>
  <c r="I35" i="8"/>
  <c r="AY35" i="8" s="1"/>
  <c r="I162" i="8"/>
  <c r="AY162" i="8" s="1"/>
  <c r="I311" i="8"/>
  <c r="AY311" i="8" s="1"/>
  <c r="I309" i="8"/>
  <c r="AY309" i="8" s="1"/>
  <c r="I1220" i="8"/>
  <c r="AY1220" i="8" s="1"/>
  <c r="I149" i="8"/>
  <c r="AY149" i="8" s="1"/>
  <c r="I1221" i="8"/>
  <c r="AY1221" i="8" s="1"/>
  <c r="I218" i="8"/>
  <c r="AY218" i="8" s="1"/>
  <c r="I93" i="8"/>
  <c r="AY93" i="8" s="1"/>
  <c r="I92" i="8"/>
  <c r="AY92" i="8" s="1"/>
  <c r="I105" i="8"/>
  <c r="AY105" i="8" s="1"/>
  <c r="AY183" i="8"/>
  <c r="I1170" i="8"/>
  <c r="AY1170" i="8" s="1"/>
  <c r="I129" i="8"/>
  <c r="AY129" i="8" s="1"/>
  <c r="I654" i="8"/>
  <c r="AY654" i="8" s="1"/>
  <c r="I51" i="8"/>
  <c r="AY51" i="8" s="1"/>
  <c r="I163" i="8"/>
  <c r="AY163" i="8" s="1"/>
  <c r="I655" i="8"/>
  <c r="AY655" i="8" s="1"/>
  <c r="I86" i="8"/>
  <c r="AY86" i="8" s="1"/>
  <c r="I136" i="8"/>
  <c r="AY136" i="8" s="1"/>
  <c r="I298" i="8"/>
  <c r="AY298" i="8" s="1"/>
  <c r="I842" i="8"/>
  <c r="AY842" i="8" s="1"/>
  <c r="I831" i="8"/>
  <c r="AY831" i="8" s="1"/>
  <c r="I316" i="8"/>
  <c r="AY316" i="8" s="1"/>
  <c r="I156" i="8"/>
  <c r="AY156" i="8" s="1"/>
  <c r="I257" i="8"/>
  <c r="AY257" i="8" s="1"/>
  <c r="I121" i="8"/>
  <c r="AY121" i="8" s="1"/>
  <c r="I124" i="8"/>
  <c r="AY124" i="8" s="1"/>
  <c r="I75" i="8"/>
  <c r="AY75" i="8" s="1"/>
  <c r="I10" i="8"/>
  <c r="AY10" i="8" s="1"/>
  <c r="I8" i="8"/>
  <c r="AY8" i="8" s="1"/>
  <c r="I1044" i="8"/>
  <c r="AY1044" i="8" s="1"/>
  <c r="I1212" i="8"/>
  <c r="AY1212" i="8" s="1"/>
  <c r="I434" i="8"/>
  <c r="AY434" i="8" s="1"/>
  <c r="I329" i="8"/>
  <c r="AY329" i="8" s="1"/>
  <c r="I1581" i="8"/>
  <c r="AY1581" i="8" s="1"/>
  <c r="I422" i="8"/>
  <c r="AY422" i="8" s="1"/>
  <c r="I72" i="8"/>
  <c r="AY72" i="8" s="1"/>
  <c r="I1043" i="8"/>
  <c r="AY1043" i="8" s="1"/>
  <c r="I594" i="8"/>
  <c r="AY594" i="8" s="1"/>
  <c r="I184" i="8"/>
  <c r="AY184" i="8" s="1"/>
  <c r="I178" i="8"/>
  <c r="AY178" i="8" s="1"/>
  <c r="I48" i="8"/>
  <c r="AY48" i="8" s="1"/>
  <c r="I104" i="8"/>
  <c r="AY104" i="8" s="1"/>
  <c r="I1223" i="8"/>
  <c r="AY1223" i="8" s="1"/>
  <c r="I932" i="8"/>
  <c r="AY932" i="8" s="1"/>
  <c r="I91" i="8"/>
  <c r="AY91" i="8" s="1"/>
  <c r="I435" i="8"/>
  <c r="AY435" i="8" s="1"/>
  <c r="I175" i="8"/>
  <c r="AY175" i="8" s="1"/>
  <c r="I47" i="8"/>
  <c r="AY47" i="8" s="1"/>
  <c r="I90" i="8"/>
  <c r="AY90" i="8" s="1"/>
  <c r="I152" i="8"/>
  <c r="AY152" i="8" s="1"/>
  <c r="I331" i="8"/>
  <c r="AY331" i="8" s="1"/>
  <c r="I77" i="8"/>
  <c r="AY77" i="8" s="1"/>
  <c r="I133" i="8"/>
  <c r="AY133" i="8" s="1"/>
  <c r="I52" i="8"/>
  <c r="AY52" i="8" s="1"/>
  <c r="I161" i="8"/>
  <c r="AY161" i="8" s="1"/>
  <c r="I228" i="8"/>
  <c r="AY228" i="8" s="1"/>
  <c r="I132" i="8"/>
  <c r="AY132" i="8" s="1"/>
  <c r="I227" i="8"/>
  <c r="AY227" i="8" s="1"/>
  <c r="I1412" i="8"/>
  <c r="AY1412" i="8" s="1"/>
  <c r="I310" i="8"/>
  <c r="AY310" i="8" s="1"/>
  <c r="I71" i="8"/>
  <c r="AY71" i="8" s="1"/>
  <c r="I76" i="8"/>
  <c r="AY76" i="8" s="1"/>
  <c r="I55" i="8"/>
  <c r="AY55" i="8" s="1"/>
  <c r="I500" i="8"/>
  <c r="AY500" i="8" s="1"/>
  <c r="I151" i="8"/>
  <c r="AY151" i="8" s="1"/>
  <c r="I135" i="8"/>
  <c r="AY135" i="8" s="1"/>
  <c r="I131" i="8"/>
  <c r="AY131" i="8" s="1"/>
  <c r="I30" i="8"/>
  <c r="AY30" i="8" s="1"/>
  <c r="I160" i="8"/>
  <c r="AY160" i="8" s="1"/>
  <c r="I501" i="8"/>
  <c r="AY501" i="8" s="1"/>
  <c r="I205" i="8"/>
  <c r="AY205" i="8" s="1"/>
  <c r="I611" i="8"/>
  <c r="AY611" i="8" s="1"/>
  <c r="I801" i="8"/>
  <c r="AY801" i="8" s="1"/>
  <c r="I1273" i="8"/>
  <c r="AY1273" i="8" s="1"/>
  <c r="I800" i="8"/>
  <c r="AY800" i="8" s="1"/>
  <c r="I33" i="8"/>
  <c r="AY33" i="8" s="1"/>
  <c r="I910" i="8"/>
  <c r="AY910" i="8" s="1"/>
  <c r="I263" i="8"/>
  <c r="AY263" i="8" s="1"/>
  <c r="I67" i="8"/>
  <c r="AY67" i="8" s="1"/>
  <c r="I32" i="8"/>
  <c r="AY32" i="8" s="1"/>
  <c r="I157" i="8"/>
  <c r="AY157" i="8" s="1"/>
  <c r="I224" i="8"/>
  <c r="AY224" i="8" s="1"/>
  <c r="I123" i="8"/>
  <c r="AY123" i="8" s="1"/>
  <c r="I273" i="8"/>
  <c r="AY273" i="8" s="1"/>
  <c r="I142" i="8"/>
  <c r="AY142" i="8" s="1"/>
  <c r="I820" i="8"/>
  <c r="AY820" i="8" s="1"/>
  <c r="I966" i="8"/>
  <c r="AY966" i="8" s="1"/>
  <c r="I808" i="8"/>
  <c r="AY808" i="8" s="1"/>
  <c r="I14" i="8"/>
  <c r="AY14" i="8" s="1"/>
  <c r="I909" i="8"/>
  <c r="AY909" i="8" s="1"/>
  <c r="I1174" i="8"/>
  <c r="AY1174" i="8" s="1"/>
  <c r="I1466" i="8"/>
  <c r="AY1466" i="8" s="1"/>
  <c r="I1464" i="8"/>
  <c r="AY1464" i="8" s="1"/>
  <c r="I1463" i="8"/>
  <c r="AY1463" i="8" s="1"/>
  <c r="I1458" i="8"/>
  <c r="AY1458" i="8" s="1"/>
  <c r="I425" i="8"/>
  <c r="AY425" i="8" s="1"/>
  <c r="I95" i="8"/>
  <c r="AY95" i="8" s="1"/>
  <c r="I27" i="8"/>
  <c r="AY27" i="8" s="1"/>
  <c r="I839" i="8"/>
  <c r="AY839" i="8" s="1"/>
  <c r="I230" i="8"/>
  <c r="AY230" i="8" s="1"/>
  <c r="I265" i="8"/>
  <c r="AY265" i="8" s="1"/>
  <c r="I427" i="8"/>
  <c r="AY427" i="8" s="1"/>
  <c r="I786" i="8"/>
  <c r="AY786" i="8" s="1"/>
  <c r="I785" i="8"/>
  <c r="AY785" i="8" s="1"/>
  <c r="I353" i="8"/>
  <c r="AY353" i="8" s="1"/>
  <c r="I1222" i="8"/>
  <c r="AY1222" i="8" s="1"/>
  <c r="I50" i="8"/>
  <c r="AY50" i="8" s="1"/>
  <c r="I210" i="8"/>
  <c r="AY210" i="8" s="1"/>
  <c r="I120" i="8"/>
  <c r="AY120" i="8" s="1"/>
  <c r="I337" i="8"/>
  <c r="AY337" i="8" s="1"/>
  <c r="I61" i="8"/>
  <c r="AY61" i="8" s="1"/>
  <c r="I146" i="8"/>
  <c r="AY146" i="8" s="1"/>
  <c r="I102" i="8"/>
  <c r="AY102" i="8" s="1"/>
  <c r="I535" i="8"/>
  <c r="AY535" i="8" s="1"/>
  <c r="I154" i="8"/>
  <c r="AY154" i="8" s="1"/>
  <c r="I784" i="8"/>
  <c r="AY784" i="8" s="1"/>
  <c r="I96" i="8"/>
  <c r="AY96" i="8" s="1"/>
  <c r="I232" i="8"/>
  <c r="AY232" i="8" s="1"/>
  <c r="I333" i="8"/>
  <c r="AY333" i="8" s="1"/>
  <c r="I485" i="8"/>
  <c r="AY485" i="8" s="1"/>
  <c r="I340" i="8"/>
  <c r="AY340" i="8" s="1"/>
  <c r="I366" i="8"/>
  <c r="AY366" i="8" s="1"/>
  <c r="I106" i="8"/>
  <c r="AY106" i="8" s="1"/>
  <c r="I1436" i="8"/>
  <c r="AY1436" i="8" s="1"/>
  <c r="I1169" i="8"/>
  <c r="AY1169" i="8" s="1"/>
  <c r="I280" i="8"/>
  <c r="AY280" i="8" s="1"/>
  <c r="I335" i="8"/>
  <c r="AY335" i="8" s="1"/>
  <c r="I452" i="8"/>
  <c r="AY452" i="8" s="1"/>
  <c r="I638" i="8"/>
  <c r="AY638" i="8" s="1"/>
  <c r="I274" i="8"/>
  <c r="AY274" i="8" s="1"/>
  <c r="I211" i="8"/>
  <c r="AY211" i="8" s="1"/>
  <c r="I179" i="8"/>
  <c r="AY179" i="8" s="1"/>
  <c r="I804" i="8"/>
  <c r="AY804" i="8" s="1"/>
  <c r="I281" i="8"/>
  <c r="AY281" i="8" s="1"/>
  <c r="I165" i="8"/>
  <c r="AY165" i="8" s="1"/>
  <c r="I89" i="8"/>
  <c r="AY89" i="8" s="1"/>
  <c r="I752" i="8"/>
  <c r="AY752" i="8" s="1"/>
  <c r="I262" i="8"/>
  <c r="AY262" i="8" s="1"/>
  <c r="I275" i="8"/>
  <c r="AY275" i="8" s="1"/>
  <c r="I88" i="8"/>
  <c r="AY88" i="8" s="1"/>
  <c r="I103" i="8"/>
  <c r="AY103" i="8" s="1"/>
  <c r="I208" i="8"/>
  <c r="AY208" i="8" s="1"/>
  <c r="I203" i="8"/>
  <c r="AY203" i="8" s="1"/>
  <c r="I338" i="8"/>
  <c r="AY338" i="8" s="1"/>
  <c r="I361" i="8"/>
  <c r="AY361" i="8" s="1"/>
  <c r="I1140" i="8"/>
  <c r="AY1140" i="8" s="1"/>
  <c r="I1481" i="8"/>
  <c r="AY1481" i="8" s="1"/>
  <c r="I1502" i="8"/>
  <c r="AY1502" i="8" s="1"/>
  <c r="I1430" i="8"/>
  <c r="AY1430" i="8" s="1"/>
  <c r="I1431" i="8"/>
  <c r="AY1431" i="8" s="1"/>
  <c r="I1432" i="8"/>
  <c r="AY1432" i="8" s="1"/>
  <c r="I1433" i="8"/>
  <c r="AY1433" i="8" s="1"/>
  <c r="I1434" i="8"/>
  <c r="AY1434" i="8" s="1"/>
  <c r="I271" i="8"/>
  <c r="AY271" i="8" s="1"/>
  <c r="I363" i="8"/>
  <c r="AY363" i="8" s="1"/>
  <c r="I258" i="8"/>
  <c r="AY258" i="8" s="1"/>
  <c r="I797" i="8"/>
  <c r="AY797" i="8" s="1"/>
  <c r="I398" i="8"/>
  <c r="AY398" i="8" s="1"/>
  <c r="I276" i="8"/>
  <c r="AY276" i="8" s="1"/>
  <c r="I834" i="8"/>
  <c r="AY834" i="8" s="1"/>
  <c r="I217" i="8"/>
  <c r="AY217" i="8" s="1"/>
  <c r="I234" i="8"/>
  <c r="AY234" i="8" s="1"/>
  <c r="I507" i="8"/>
  <c r="AY507" i="8" s="1"/>
  <c r="I377" i="8"/>
  <c r="AY377" i="8" s="1"/>
  <c r="I118" i="8"/>
  <c r="AY118" i="8" s="1"/>
  <c r="I1427" i="8"/>
  <c r="AY1427" i="8" s="1"/>
  <c r="I845" i="8"/>
  <c r="AY845" i="8" s="1"/>
  <c r="I824" i="8"/>
  <c r="AY824" i="8" s="1"/>
  <c r="I148" i="8"/>
  <c r="AY148" i="8" s="1"/>
  <c r="I954" i="8"/>
  <c r="AY954" i="8" s="1"/>
  <c r="I468" i="8"/>
  <c r="AY468" i="8" s="1"/>
  <c r="I46" i="8"/>
  <c r="AY46" i="8" s="1"/>
  <c r="I147" i="8"/>
  <c r="AY147" i="8" s="1"/>
  <c r="I776" i="8"/>
  <c r="AY776" i="8" s="1"/>
  <c r="I287" i="8"/>
  <c r="AY287" i="8" s="1"/>
  <c r="I235" i="8"/>
  <c r="AY235" i="8" s="1"/>
  <c r="I342" i="8"/>
  <c r="AY342" i="8" s="1"/>
  <c r="I596" i="8"/>
  <c r="AY596" i="8" s="1"/>
  <c r="I728" i="8"/>
  <c r="AY728" i="8" s="1"/>
  <c r="I818" i="8"/>
  <c r="AY818" i="8" s="1"/>
  <c r="I186" i="8"/>
  <c r="AY186" i="8" s="1"/>
  <c r="I56" i="8"/>
  <c r="AY56" i="8" s="1"/>
  <c r="I137" i="8"/>
  <c r="AY137" i="8" s="1"/>
  <c r="I827" i="8"/>
  <c r="AY827" i="8" s="1"/>
  <c r="I43" i="8"/>
  <c r="AY43" i="8" s="1"/>
  <c r="I1217" i="8"/>
  <c r="AY1217" i="8" s="1"/>
  <c r="I226" i="8"/>
  <c r="AY226" i="8" s="1"/>
  <c r="I122" i="8"/>
  <c r="AY122" i="8" s="1"/>
  <c r="I592" i="8"/>
  <c r="AY592" i="8" s="1"/>
  <c r="I426" i="8"/>
  <c r="AY426" i="8" s="1"/>
  <c r="I225" i="8"/>
  <c r="AY225" i="8" s="1"/>
  <c r="I809" i="8"/>
  <c r="AY809" i="8" s="1"/>
  <c r="I150" i="8"/>
  <c r="AY150" i="8" s="1"/>
  <c r="I266" i="8"/>
  <c r="AY266" i="8" s="1"/>
  <c r="I429" i="8"/>
  <c r="AY429" i="8" s="1"/>
  <c r="I538" i="8"/>
  <c r="AY538" i="8" s="1"/>
  <c r="I138" i="8"/>
  <c r="AY138" i="8" s="1"/>
  <c r="I1330" i="8"/>
  <c r="AY1330" i="8" s="1"/>
  <c r="I1215" i="8"/>
  <c r="AY1215" i="8" s="1"/>
  <c r="I733" i="8"/>
  <c r="AY733" i="8" s="1"/>
  <c r="I268" i="8"/>
  <c r="AY268" i="8" s="1"/>
  <c r="I747" i="8"/>
  <c r="AY747" i="8" s="1"/>
  <c r="I272" i="8"/>
  <c r="AY272" i="8" s="1"/>
  <c r="I447" i="8"/>
  <c r="AY447" i="8" s="1"/>
  <c r="I505" i="8"/>
  <c r="AY505" i="8" s="1"/>
  <c r="I1202" i="8"/>
  <c r="AY1202" i="8" s="1"/>
  <c r="I727" i="8"/>
  <c r="AY727" i="8" s="1"/>
  <c r="I1409" i="8"/>
  <c r="AY1409" i="8" s="1"/>
  <c r="I278" i="8"/>
  <c r="AY278" i="8" s="1"/>
  <c r="I215" i="8"/>
  <c r="AY215" i="8" s="1"/>
  <c r="I270" i="8"/>
  <c r="AY270" i="8" s="1"/>
  <c r="I639" i="8"/>
  <c r="AY639" i="8" s="1"/>
  <c r="I640" i="8"/>
  <c r="AY640" i="8" s="1"/>
  <c r="I1324" i="8"/>
  <c r="AY1324" i="8" s="1"/>
  <c r="I766" i="8"/>
  <c r="AY766" i="8" s="1"/>
  <c r="I336" i="8"/>
  <c r="AY336" i="8" s="1"/>
  <c r="I279" i="8"/>
  <c r="AY279" i="8" s="1"/>
  <c r="I542" i="8"/>
  <c r="AY542" i="8" s="1"/>
  <c r="I880" i="8"/>
  <c r="AY880" i="8" s="1"/>
  <c r="I570" i="8"/>
  <c r="AY570" i="8" s="1"/>
  <c r="I253" i="8"/>
  <c r="AY253" i="8" s="1"/>
  <c r="I318" i="8"/>
  <c r="AY318" i="8" s="1"/>
  <c r="I326" i="8"/>
  <c r="AY326" i="8" s="1"/>
  <c r="I209" i="8"/>
  <c r="AY209" i="8" s="1"/>
  <c r="I402" i="8"/>
  <c r="AY402" i="8" s="1"/>
  <c r="I493" i="8"/>
  <c r="AY493" i="8" s="1"/>
  <c r="I108" i="8"/>
  <c r="AY108" i="8" s="1"/>
  <c r="I442" i="8"/>
  <c r="AY442" i="8" s="1"/>
  <c r="I264" i="8"/>
  <c r="AY264" i="8" s="1"/>
  <c r="I313" i="8"/>
  <c r="AY313" i="8" s="1"/>
  <c r="I454" i="8"/>
  <c r="AY454" i="8" s="1"/>
  <c r="I945" i="8"/>
  <c r="AY945" i="8" s="1"/>
  <c r="I537" i="8"/>
  <c r="AY537" i="8" s="1"/>
  <c r="I790" i="8"/>
  <c r="AY790" i="8" s="1"/>
  <c r="I1505" i="8"/>
  <c r="AY1505" i="8" s="1"/>
  <c r="I84" i="8"/>
  <c r="AY84" i="8" s="1"/>
  <c r="I453" i="8"/>
  <c r="AY453" i="8" s="1"/>
  <c r="I78" i="8"/>
  <c r="AY78" i="8" s="1"/>
  <c r="I959" i="8"/>
  <c r="AY959" i="8" s="1"/>
  <c r="I860" i="8"/>
  <c r="AY860" i="8" s="1"/>
  <c r="I960" i="8"/>
  <c r="AY960" i="8" s="1"/>
  <c r="I636" i="8"/>
  <c r="AY636" i="8" s="1"/>
  <c r="I490" i="8"/>
  <c r="AY490" i="8" s="1"/>
  <c r="I1373" i="8"/>
  <c r="AY1373" i="8" s="1"/>
  <c r="I282" i="8"/>
  <c r="AY282" i="8" s="1"/>
  <c r="I1098" i="8"/>
  <c r="AY1098" i="8" s="1"/>
  <c r="I805" i="8"/>
  <c r="AY805" i="8" s="1"/>
  <c r="I795" i="8"/>
  <c r="AY795" i="8" s="1"/>
  <c r="I1484" i="8"/>
  <c r="AY1484" i="8" s="1"/>
  <c r="I1509" i="8"/>
  <c r="AY1509" i="8" s="1"/>
  <c r="I233" i="8"/>
  <c r="AY233" i="8" s="1"/>
  <c r="I647" i="8"/>
  <c r="AY647" i="8" s="1"/>
  <c r="I1337" i="8"/>
  <c r="AY1337" i="8" s="1"/>
  <c r="I155" i="8"/>
  <c r="AY155" i="8" s="1"/>
  <c r="I1329" i="8"/>
  <c r="AY1329" i="8" s="1"/>
  <c r="I324" i="8"/>
  <c r="AY324" i="8" s="1"/>
  <c r="I325" i="8"/>
  <c r="AY325" i="8" s="1"/>
  <c r="I777" i="8"/>
  <c r="AY777" i="8" s="1"/>
  <c r="I219" i="8"/>
  <c r="AY219" i="8" s="1"/>
  <c r="I58" i="8"/>
  <c r="AY58" i="8" s="1"/>
  <c r="I1032" i="8"/>
  <c r="AY1032" i="8" s="1"/>
  <c r="I1033" i="8"/>
  <c r="AY1033" i="8" s="1"/>
  <c r="I461" i="8"/>
  <c r="AY461" i="8" s="1"/>
  <c r="I756" i="8"/>
  <c r="AY756" i="8" s="1"/>
  <c r="I1542" i="8"/>
  <c r="AY1542" i="8" s="1"/>
  <c r="I431" i="8"/>
  <c r="AY431" i="8" s="1"/>
  <c r="I946" i="8"/>
  <c r="AY946" i="8" s="1"/>
  <c r="I955" i="8"/>
  <c r="AY955" i="8" s="1"/>
  <c r="I216" i="8"/>
  <c r="AY216" i="8" s="1"/>
  <c r="I260" i="8"/>
  <c r="AY260" i="8" s="1"/>
  <c r="I979" i="8"/>
  <c r="AY979" i="8" s="1"/>
  <c r="I980" i="8"/>
  <c r="AY980" i="8" s="1"/>
  <c r="I1036" i="8"/>
  <c r="AY1036" i="8" s="1"/>
  <c r="I794" i="8"/>
  <c r="AY794" i="8" s="1"/>
  <c r="I763" i="8"/>
  <c r="AY763" i="8" s="1"/>
  <c r="I492" i="8"/>
  <c r="AY492" i="8" s="1"/>
  <c r="I836" i="8"/>
  <c r="AY836" i="8" s="1"/>
  <c r="I719" i="8"/>
  <c r="AY719" i="8" s="1"/>
  <c r="I1407" i="8"/>
  <c r="AY1407" i="8" s="1"/>
  <c r="I168" i="8"/>
  <c r="AY168" i="8" s="1"/>
  <c r="I1395" i="8"/>
  <c r="AY1395" i="8" s="1"/>
  <c r="I292" i="8"/>
  <c r="AY292" i="8" s="1"/>
  <c r="I463" i="8"/>
  <c r="AY463" i="8" s="1"/>
  <c r="I1543" i="8"/>
  <c r="AY1543" i="8" s="1"/>
  <c r="I682" i="8"/>
  <c r="AY682" i="8" s="1"/>
  <c r="I879" i="8"/>
  <c r="AY879" i="8" s="1"/>
  <c r="I334" i="8"/>
  <c r="AY334" i="8" s="1"/>
  <c r="I783" i="8"/>
  <c r="AY783" i="8" s="1"/>
  <c r="I312" i="8"/>
  <c r="AY312" i="8" s="1"/>
  <c r="I1201" i="8"/>
  <c r="AY1201" i="8" s="1"/>
  <c r="I1374" i="8"/>
  <c r="AY1374" i="8" s="1"/>
  <c r="I1380" i="8"/>
  <c r="AY1380" i="8" s="1"/>
  <c r="I825" i="8"/>
  <c r="AY825" i="8" s="1"/>
  <c r="I637" i="8"/>
  <c r="AY637" i="8" s="1"/>
  <c r="I648" i="8"/>
  <c r="AY648" i="8" s="1"/>
  <c r="I267" i="8"/>
  <c r="AY267" i="8" s="1"/>
  <c r="I341" i="8"/>
  <c r="AY341" i="8" s="1"/>
  <c r="I364" i="8"/>
  <c r="AY364" i="8" s="1"/>
  <c r="I1386" i="8"/>
  <c r="AY1386" i="8" s="1"/>
  <c r="I504" i="8"/>
  <c r="AY504" i="8" s="1"/>
  <c r="I451" i="8"/>
  <c r="AY451" i="8" s="1"/>
  <c r="I1353" i="8"/>
  <c r="AY1353" i="8" s="1"/>
  <c r="I678" i="8"/>
  <c r="AY678" i="8" s="1"/>
  <c r="I439" i="8"/>
  <c r="AY439" i="8" s="1"/>
  <c r="I362" i="8"/>
  <c r="AY362" i="8" s="1"/>
  <c r="I652" i="8"/>
  <c r="AY652" i="8" s="1"/>
  <c r="I653" i="8"/>
  <c r="AY653" i="8" s="1"/>
  <c r="I411" i="8"/>
  <c r="AY411" i="8" s="1"/>
  <c r="I351" i="8"/>
  <c r="AY351" i="8" s="1"/>
  <c r="I430" i="8"/>
  <c r="AY430" i="8" s="1"/>
  <c r="I649" i="8"/>
  <c r="AY649" i="8" s="1"/>
  <c r="I449" i="8"/>
  <c r="AY449" i="8" s="1"/>
  <c r="I953" i="8"/>
  <c r="AY953" i="8" s="1"/>
  <c r="I181" i="8"/>
  <c r="AY181" i="8" s="1"/>
  <c r="I473" i="8"/>
  <c r="AY473" i="8" s="1"/>
  <c r="I255" i="8"/>
  <c r="AY255" i="8" s="1"/>
  <c r="I993" i="8"/>
  <c r="AY993" i="8" s="1"/>
  <c r="I1207" i="8"/>
  <c r="AY1207" i="8" s="1"/>
  <c r="I395" i="8"/>
  <c r="AY395" i="8" s="1"/>
  <c r="I359" i="8"/>
  <c r="AY359" i="8" s="1"/>
  <c r="I397" i="8"/>
  <c r="AY397" i="8" s="1"/>
  <c r="I726" i="8"/>
  <c r="AY726" i="8" s="1"/>
  <c r="I119" i="8"/>
  <c r="AY119" i="8" s="1"/>
  <c r="I1244" i="8"/>
  <c r="AY1244" i="8" s="1"/>
  <c r="I823" i="8"/>
  <c r="AY823" i="8" s="1"/>
  <c r="I1225" i="8"/>
  <c r="AY1225" i="8" s="1"/>
  <c r="I1406" i="8"/>
  <c r="AY1406" i="8" s="1"/>
  <c r="I354" i="8"/>
  <c r="AY354" i="8" s="1"/>
  <c r="I1411" i="8"/>
  <c r="AY1411" i="8" s="1"/>
  <c r="I69" i="8"/>
  <c r="AY69" i="8" s="1"/>
  <c r="I221" i="8"/>
  <c r="AY221" i="8" s="1"/>
  <c r="I290" i="8"/>
  <c r="AY290" i="8" s="1"/>
  <c r="I1351" i="8"/>
  <c r="AY1351" i="8" s="1"/>
  <c r="I772" i="8"/>
  <c r="AY772" i="8" s="1"/>
  <c r="I111" i="8"/>
  <c r="AY111" i="8" s="1"/>
  <c r="I254" i="8"/>
  <c r="AY254" i="8" s="1"/>
  <c r="I418" i="8"/>
  <c r="AY418" i="8" s="1"/>
  <c r="I817" i="8"/>
  <c r="AY817" i="8" s="1"/>
  <c r="I1503" i="8"/>
  <c r="AY1503" i="8" s="1"/>
  <c r="I330" i="8"/>
  <c r="AY330" i="8" s="1"/>
  <c r="I1383" i="8"/>
  <c r="AY1383" i="8" s="1"/>
  <c r="I474" i="8"/>
  <c r="AY474" i="8" s="1"/>
  <c r="I973" i="8"/>
  <c r="AY973" i="8" s="1"/>
  <c r="I974" i="8"/>
  <c r="AY974" i="8" s="1"/>
  <c r="I791" i="8"/>
  <c r="AY791" i="8" s="1"/>
  <c r="I503" i="8"/>
  <c r="AY503" i="8" s="1"/>
  <c r="I116" i="8"/>
  <c r="AY116" i="8" s="1"/>
  <c r="I731" i="8"/>
  <c r="AY731" i="8" s="1"/>
  <c r="I1301" i="8"/>
  <c r="AY1301" i="8" s="1"/>
  <c r="I1304" i="8"/>
  <c r="AY1304" i="8" s="1"/>
  <c r="I1245" i="8"/>
  <c r="AY1245" i="8" s="1"/>
  <c r="I372" i="8"/>
  <c r="AY372" i="8" s="1"/>
  <c r="I1408" i="8"/>
  <c r="AY1408" i="8" s="1"/>
  <c r="I70" i="8"/>
  <c r="AY70" i="8" s="1"/>
  <c r="I441" i="8"/>
  <c r="AY441" i="8" s="1"/>
  <c r="I256" i="8"/>
  <c r="AY256" i="8" s="1"/>
  <c r="I117" i="8"/>
  <c r="AY117" i="8" s="1"/>
  <c r="I223" i="8"/>
  <c r="AY223" i="8" s="1"/>
  <c r="I591" i="8"/>
  <c r="AY591" i="8" s="1"/>
  <c r="I539" i="8"/>
  <c r="AY539" i="8" s="1"/>
  <c r="I1539" i="8"/>
  <c r="AY1539" i="8" s="1"/>
  <c r="I173" i="8"/>
  <c r="AY173" i="8" s="1"/>
  <c r="I433" i="8"/>
  <c r="AY433" i="8" s="1"/>
  <c r="I1249" i="8"/>
  <c r="AY1249" i="8" s="1"/>
  <c r="I541" i="8"/>
  <c r="AY541" i="8" s="1"/>
  <c r="I687" i="8"/>
  <c r="AY687" i="8" s="1"/>
  <c r="I182" i="8"/>
  <c r="AY182" i="8" s="1"/>
  <c r="I1006" i="8"/>
  <c r="AY1006" i="8" s="1"/>
  <c r="I1007" i="8"/>
  <c r="AY1007" i="8" s="1"/>
  <c r="I884" i="8"/>
  <c r="AY884" i="8" s="1"/>
  <c r="I540" i="8"/>
  <c r="AY540" i="8" s="1"/>
  <c r="I166" i="8"/>
  <c r="AY166" i="8" s="1"/>
  <c r="I259" i="8"/>
  <c r="AY259" i="8" s="1"/>
  <c r="I575" i="8"/>
  <c r="AY575" i="8" s="1"/>
  <c r="I356" i="8"/>
  <c r="AY356" i="8" s="1"/>
  <c r="I886" i="8"/>
  <c r="AY886" i="8" s="1"/>
  <c r="I968" i="8"/>
  <c r="AY968" i="8" s="1"/>
  <c r="I444" i="8"/>
  <c r="AY444" i="8" s="1"/>
  <c r="I811" i="8"/>
  <c r="AY811" i="8" s="1"/>
  <c r="I437" i="8"/>
  <c r="AY437" i="8" s="1"/>
  <c r="I1024" i="8"/>
  <c r="AY1024" i="8" s="1"/>
  <c r="I882" i="8"/>
  <c r="AY882" i="8" s="1"/>
  <c r="I344" i="8"/>
  <c r="AY344" i="8" s="1"/>
  <c r="I870" i="8"/>
  <c r="AY870" i="8" s="1"/>
  <c r="I835" i="8"/>
  <c r="AY835" i="8" s="1"/>
  <c r="I545" i="8"/>
  <c r="AY545" i="8" s="1"/>
  <c r="I1384" i="8"/>
  <c r="AY1384" i="8" s="1"/>
  <c r="I297" i="8"/>
  <c r="AY297" i="8" s="1"/>
  <c r="I622" i="8"/>
  <c r="AY622" i="8" s="1"/>
  <c r="I675" i="8"/>
  <c r="AY675" i="8" s="1"/>
  <c r="I990" i="8"/>
  <c r="AY990" i="8" s="1"/>
  <c r="I1379" i="8"/>
  <c r="AY1379" i="8" s="1"/>
  <c r="I283" i="8"/>
  <c r="AY283" i="8" s="1"/>
  <c r="I716" i="8"/>
  <c r="AY716" i="8" s="1"/>
  <c r="I479" i="8"/>
  <c r="AY479" i="8" s="1"/>
  <c r="I1191" i="8"/>
  <c r="AY1191" i="8" s="1"/>
  <c r="I1192" i="8"/>
  <c r="AY1192" i="8" s="1"/>
  <c r="I109" i="8"/>
  <c r="AY109" i="8" s="1"/>
  <c r="I214" i="8"/>
  <c r="AY214" i="8" s="1"/>
  <c r="I236" i="8"/>
  <c r="AY236" i="8" s="1"/>
  <c r="I134" i="8"/>
  <c r="AY134" i="8" s="1"/>
  <c r="I603" i="8"/>
  <c r="AY603" i="8" s="1"/>
  <c r="I793" i="8"/>
  <c r="AY793" i="8" s="1"/>
  <c r="I365" i="8"/>
  <c r="AY365" i="8" s="1"/>
  <c r="I74" i="8"/>
  <c r="AY74" i="8" s="1"/>
  <c r="I774" i="8"/>
  <c r="AY774" i="8" s="1"/>
  <c r="I436" i="8"/>
  <c r="AY436" i="8" s="1"/>
  <c r="I977" i="8"/>
  <c r="AY977" i="8" s="1"/>
  <c r="I432" i="8"/>
  <c r="AY432" i="8" s="1"/>
  <c r="I403" i="8"/>
  <c r="AY403" i="8" s="1"/>
  <c r="I460" i="8"/>
  <c r="AY460" i="8" s="1"/>
  <c r="I475" i="8"/>
  <c r="AY475" i="8" s="1"/>
  <c r="I985" i="8"/>
  <c r="AY985" i="8" s="1"/>
  <c r="I869" i="8"/>
  <c r="AY869" i="8" s="1"/>
  <c r="I978" i="8"/>
  <c r="AY978" i="8" s="1"/>
  <c r="I471" i="8"/>
  <c r="AY471" i="8" s="1"/>
  <c r="I923" i="8"/>
  <c r="AY923" i="8" s="1"/>
  <c r="I905" i="8"/>
  <c r="AY905" i="8" s="1"/>
  <c r="I913" i="8"/>
  <c r="AY913" i="8" s="1"/>
  <c r="I291" i="8"/>
  <c r="AY291" i="8" s="1"/>
  <c r="I476" i="8"/>
  <c r="AY476" i="8" s="1"/>
  <c r="I1156" i="8"/>
  <c r="AY1156" i="8" s="1"/>
  <c r="I615" i="8"/>
  <c r="AY615" i="8" s="1"/>
  <c r="I619" i="8"/>
  <c r="AY619" i="8" s="1"/>
  <c r="I621" i="8"/>
  <c r="AY621" i="8" s="1"/>
  <c r="I625" i="8"/>
  <c r="AY625" i="8" s="1"/>
  <c r="I320" i="8"/>
  <c r="AY320" i="8" s="1"/>
  <c r="I172" i="8"/>
  <c r="AY172" i="8" s="1"/>
  <c r="I778" i="8"/>
  <c r="AY778" i="8" s="1"/>
  <c r="I553" i="8"/>
  <c r="AY553" i="8" s="1"/>
  <c r="I574" i="8"/>
  <c r="AY574" i="8" s="1"/>
  <c r="I204" i="8"/>
  <c r="AY204" i="8" s="1"/>
  <c r="I355" i="8"/>
  <c r="AY355" i="8" s="1"/>
  <c r="I765" i="8"/>
  <c r="AY765" i="8" s="1"/>
  <c r="I360" i="8"/>
  <c r="AY360" i="8" s="1"/>
  <c r="I1361" i="8"/>
  <c r="AY1361" i="8" s="1"/>
  <c r="I1397" i="8"/>
  <c r="AY1397" i="8" s="1"/>
  <c r="I237" i="8"/>
  <c r="AY237" i="8" s="1"/>
  <c r="I1404" i="8"/>
  <c r="AY1404" i="8" s="1"/>
  <c r="I629" i="8"/>
  <c r="AY629" i="8" s="1"/>
  <c r="I866" i="8"/>
  <c r="AY866" i="8" s="1"/>
  <c r="I288" i="8"/>
  <c r="AY288" i="8" s="1"/>
  <c r="I289" i="8"/>
  <c r="AY289" i="8" s="1"/>
  <c r="I1265" i="8"/>
  <c r="AY1265" i="8" s="1"/>
  <c r="I115" i="8"/>
  <c r="AY115" i="8" s="1"/>
  <c r="I343" i="8"/>
  <c r="AY343" i="8" s="1"/>
  <c r="I1119" i="8"/>
  <c r="AY1119" i="8" s="1"/>
  <c r="I762" i="8"/>
  <c r="AY762" i="8" s="1"/>
  <c r="I130" i="8"/>
  <c r="AY130" i="8" s="1"/>
  <c r="I1259" i="8"/>
  <c r="AY1259" i="8" s="1"/>
  <c r="I405" i="8"/>
  <c r="AY405" i="8" s="1"/>
  <c r="I409" i="8"/>
  <c r="AY409" i="8" s="1"/>
  <c r="I1428" i="8"/>
  <c r="AY1428" i="8" s="1"/>
  <c r="I741" i="8"/>
  <c r="AY741" i="8" s="1"/>
  <c r="I339" i="8"/>
  <c r="AY339" i="8" s="1"/>
  <c r="I863" i="8"/>
  <c r="AY863" i="8" s="1"/>
  <c r="I768" i="8"/>
  <c r="AY768" i="8" s="1"/>
  <c r="I406" i="8"/>
  <c r="AY406" i="8" s="1"/>
  <c r="I87" i="8"/>
  <c r="AY87" i="8" s="1"/>
  <c r="I191" i="8"/>
  <c r="AY191" i="8" s="1"/>
  <c r="I482" i="8"/>
  <c r="AY482" i="8" s="1"/>
  <c r="I448" i="8"/>
  <c r="AY448" i="8" s="1"/>
  <c r="I872" i="8"/>
  <c r="AY872" i="8" s="1"/>
  <c r="I470" i="8"/>
  <c r="AY470" i="8" s="1"/>
  <c r="I887" i="8"/>
  <c r="AY887" i="8" s="1"/>
  <c r="I1021" i="8"/>
  <c r="AY1021" i="8" s="1"/>
  <c r="I918" i="8"/>
  <c r="AY918" i="8" s="1"/>
  <c r="I477" i="8"/>
  <c r="AY477" i="8" s="1"/>
  <c r="I912" i="8"/>
  <c r="AY912" i="8" s="1"/>
  <c r="I961" i="8"/>
  <c r="AY961" i="8" s="1"/>
  <c r="I857" i="8"/>
  <c r="AY857" i="8" s="1"/>
  <c r="I858" i="8"/>
  <c r="AY858" i="8" s="1"/>
  <c r="I188" i="8"/>
  <c r="AY188" i="8" s="1"/>
  <c r="I1035" i="8"/>
  <c r="AY1035" i="8" s="1"/>
  <c r="I1194" i="8"/>
  <c r="AY1194" i="8" s="1"/>
  <c r="I176" i="8"/>
  <c r="AY176" i="8" s="1"/>
  <c r="I420" i="8"/>
  <c r="AY420" i="8" s="1"/>
  <c r="I843" i="8"/>
  <c r="AY843" i="8" s="1"/>
  <c r="I950" i="8"/>
  <c r="AY950" i="8" s="1"/>
  <c r="I572" i="8"/>
  <c r="AY572" i="8" s="1"/>
  <c r="I589" i="8"/>
  <c r="AY589" i="8" s="1"/>
  <c r="I510" i="8"/>
  <c r="AY510" i="8" s="1"/>
  <c r="I1198" i="8"/>
  <c r="AY1198" i="8" s="1"/>
  <c r="I1297" i="8"/>
  <c r="AY1297" i="8" s="1"/>
  <c r="I1274" i="8"/>
  <c r="AY1274" i="8" s="1"/>
  <c r="I1421" i="8"/>
  <c r="AY1421" i="8" s="1"/>
  <c r="I1253" i="8"/>
  <c r="AY1253" i="8" s="1"/>
  <c r="I1243" i="8"/>
  <c r="AY1243" i="8" s="1"/>
  <c r="I322" i="8"/>
  <c r="AY322" i="8" s="1"/>
  <c r="I964" i="8"/>
  <c r="AY964" i="8" s="1"/>
  <c r="I965" i="8"/>
  <c r="AY965" i="8" s="1"/>
  <c r="I658" i="8"/>
  <c r="AY658" i="8" s="1"/>
  <c r="I659" i="8"/>
  <c r="AY659" i="8" s="1"/>
  <c r="I612" i="8"/>
  <c r="AY612" i="8" s="1"/>
  <c r="I1294" i="8"/>
  <c r="AY1294" i="8" s="1"/>
  <c r="I601" i="8"/>
  <c r="AY601" i="8" s="1"/>
  <c r="I608" i="8"/>
  <c r="AY608" i="8" s="1"/>
  <c r="I613" i="8"/>
  <c r="AY613" i="8" s="1"/>
  <c r="I617" i="8"/>
  <c r="AY617" i="8" s="1"/>
  <c r="I712" i="8"/>
  <c r="AY712" i="8" s="1"/>
  <c r="I107" i="8"/>
  <c r="AY107" i="8" s="1"/>
  <c r="I1112" i="8"/>
  <c r="AY1112" i="8" s="1"/>
  <c r="I1111" i="8"/>
  <c r="AY1111" i="8" s="1"/>
  <c r="I222" i="8"/>
  <c r="AY222" i="8" s="1"/>
  <c r="I167" i="8"/>
  <c r="AY167" i="8" s="1"/>
  <c r="I832" i="8"/>
  <c r="AY832" i="8" s="1"/>
  <c r="I833" i="8"/>
  <c r="AY833" i="8" s="1"/>
  <c r="I190" i="8"/>
  <c r="AY190" i="8" s="1"/>
  <c r="I581" i="8"/>
  <c r="AY581" i="8" s="1"/>
  <c r="I169" i="8"/>
  <c r="AY169" i="8" s="1"/>
  <c r="I841" i="8"/>
  <c r="AY841" i="8" s="1"/>
  <c r="I327" i="8"/>
  <c r="AY327" i="8" s="1"/>
  <c r="I645" i="8"/>
  <c r="AY645" i="8" s="1"/>
  <c r="I185" i="8"/>
  <c r="AY185" i="8" s="1"/>
  <c r="I1093" i="8"/>
  <c r="AY1093" i="8" s="1"/>
  <c r="I1115" i="8"/>
  <c r="AY1115" i="8" s="1"/>
  <c r="I865" i="8"/>
  <c r="AY865" i="8" s="1"/>
  <c r="I1020" i="8"/>
  <c r="AY1020" i="8" s="1"/>
  <c r="I933" i="8"/>
  <c r="AY933" i="8" s="1"/>
  <c r="I878" i="8"/>
  <c r="AY878" i="8" s="1"/>
  <c r="I438" i="8"/>
  <c r="AY438" i="8" s="1"/>
  <c r="I458" i="8"/>
  <c r="AY458" i="8" s="1"/>
  <c r="I1103" i="8"/>
  <c r="AY1103" i="8" s="1"/>
  <c r="I1059" i="8"/>
  <c r="AY1059" i="8" s="1"/>
  <c r="I972" i="8"/>
  <c r="AY972" i="8" s="1"/>
  <c r="I987" i="8"/>
  <c r="AY987" i="8" s="1"/>
  <c r="I988" i="8"/>
  <c r="AY988" i="8" s="1"/>
  <c r="I1012" i="8"/>
  <c r="AY1012" i="8" s="1"/>
  <c r="I1017" i="8"/>
  <c r="AY1017" i="8" s="1"/>
  <c r="I140" i="8"/>
  <c r="AY140" i="8" s="1"/>
  <c r="I139" i="8"/>
  <c r="AY139" i="8" s="1"/>
  <c r="I908" i="8"/>
  <c r="AY908" i="8" s="1"/>
  <c r="I456" i="8"/>
  <c r="AY456" i="8" s="1"/>
  <c r="I1091" i="8"/>
  <c r="AY1091" i="8" s="1"/>
  <c r="I952" i="8"/>
  <c r="AY952" i="8" s="1"/>
  <c r="I883" i="8"/>
  <c r="AY883" i="8" s="1"/>
  <c r="I862" i="8"/>
  <c r="AY862" i="8" s="1"/>
  <c r="I1026" i="8"/>
  <c r="AY1026" i="8" s="1"/>
  <c r="I1062" i="8"/>
  <c r="AY1062" i="8" s="1"/>
  <c r="I1128" i="8"/>
  <c r="AY1128" i="8" s="1"/>
  <c r="I595" i="8"/>
  <c r="AY595" i="8" s="1"/>
  <c r="I605" i="8"/>
  <c r="AY605" i="8" s="1"/>
  <c r="I644" i="8"/>
  <c r="AY644" i="8" s="1"/>
  <c r="I680" i="8"/>
  <c r="AY680" i="8" s="1"/>
  <c r="I685" i="8"/>
  <c r="AY685" i="8" s="1"/>
  <c r="I693" i="8"/>
  <c r="AY693" i="8" s="1"/>
  <c r="I742" i="8"/>
  <c r="AY742" i="8" s="1"/>
  <c r="I749" i="8"/>
  <c r="AY749" i="8" s="1"/>
  <c r="I750" i="8"/>
  <c r="AY750" i="8" s="1"/>
  <c r="I328" i="8"/>
  <c r="AY328" i="8" s="1"/>
  <c r="I757" i="8"/>
  <c r="AY757" i="8" s="1"/>
  <c r="I1229" i="8"/>
  <c r="AY1229" i="8" s="1"/>
  <c r="I1231" i="8"/>
  <c r="AY1231" i="8" s="1"/>
  <c r="I1319" i="8"/>
  <c r="AY1319" i="8" s="1"/>
  <c r="I261" i="8"/>
  <c r="AY261" i="8" s="1"/>
  <c r="I796" i="8"/>
  <c r="AY796" i="8" s="1"/>
  <c r="I787" i="8"/>
  <c r="AY787" i="8" s="1"/>
  <c r="I1177" i="8"/>
  <c r="AY1177" i="8" s="1"/>
  <c r="I561" i="8"/>
  <c r="AY561" i="8" s="1"/>
  <c r="I563" i="8"/>
  <c r="AY563" i="8" s="1"/>
  <c r="I1394" i="8"/>
  <c r="AY1394" i="8" s="1"/>
  <c r="I760" i="8"/>
  <c r="AY760" i="8" s="1"/>
  <c r="I371" i="8"/>
  <c r="AY371" i="8" s="1"/>
  <c r="I369" i="8"/>
  <c r="AY369" i="8" s="1"/>
  <c r="I1424" i="8"/>
  <c r="AY1424" i="8" s="1"/>
  <c r="I1437" i="8"/>
  <c r="AY1437" i="8" s="1"/>
  <c r="I1388" i="8"/>
  <c r="AY1388" i="8" s="1"/>
  <c r="I1263" i="8"/>
  <c r="AY1263" i="8" s="1"/>
  <c r="I1237" i="8"/>
  <c r="AY1237" i="8" s="1"/>
  <c r="I670" i="8"/>
  <c r="AY670" i="8" s="1"/>
  <c r="I671" i="8"/>
  <c r="AY671" i="8" s="1"/>
  <c r="I662" i="8"/>
  <c r="AY662" i="8" s="1"/>
  <c r="I412" i="8"/>
  <c r="AY412" i="8" s="1"/>
  <c r="I1352" i="8"/>
  <c r="AY1352" i="8" s="1"/>
  <c r="I1089" i="8"/>
  <c r="AY1089" i="8" s="1"/>
  <c r="I877" i="8"/>
  <c r="AY877" i="8" s="1"/>
  <c r="I1090" i="8"/>
  <c r="AY1090" i="8" s="1"/>
  <c r="I714" i="8"/>
  <c r="AY714" i="8" s="1"/>
  <c r="I729" i="8"/>
  <c r="AY729" i="8" s="1"/>
  <c r="I868" i="8"/>
  <c r="AY868" i="8" s="1"/>
  <c r="I1053" i="8"/>
  <c r="AY1053" i="8" s="1"/>
  <c r="I894" i="8"/>
  <c r="AY894" i="8" s="1"/>
  <c r="I1063" i="8"/>
  <c r="AY1063" i="8" s="1"/>
  <c r="I1008" i="8"/>
  <c r="AY1008" i="8" s="1"/>
  <c r="I859" i="8"/>
  <c r="AY859" i="8" s="1"/>
  <c r="I1061" i="8"/>
  <c r="AY1061" i="8" s="1"/>
  <c r="I1125" i="8"/>
  <c r="AY1125" i="8" s="1"/>
  <c r="I293" i="8"/>
  <c r="AY293" i="8" s="1"/>
  <c r="I294" i="8"/>
  <c r="AY294" i="8" s="1"/>
  <c r="I350" i="8"/>
  <c r="AY350" i="8" s="1"/>
  <c r="I349" i="8"/>
  <c r="AY349" i="8" s="1"/>
  <c r="I838" i="8"/>
  <c r="AY838" i="8" s="1"/>
  <c r="I345" i="8"/>
  <c r="AY345" i="8" s="1"/>
  <c r="I59" i="8"/>
  <c r="AY59" i="8" s="1"/>
  <c r="I472" i="8"/>
  <c r="AY472" i="8" s="1"/>
  <c r="I867" i="8"/>
  <c r="AY867" i="8" s="1"/>
  <c r="I466" i="8"/>
  <c r="AY466" i="8" s="1"/>
  <c r="I874" i="8"/>
  <c r="AY874" i="8" s="1"/>
  <c r="I469" i="8"/>
  <c r="AY469" i="8" s="1"/>
  <c r="I459" i="8"/>
  <c r="AY459" i="8" s="1"/>
  <c r="I277" i="8"/>
  <c r="AY277" i="8" s="1"/>
  <c r="I984" i="8"/>
  <c r="AY984" i="8" s="1"/>
  <c r="I1015" i="8"/>
  <c r="AY1015" i="8" s="1"/>
  <c r="I1045" i="8"/>
  <c r="AY1045" i="8" s="1"/>
  <c r="I1092" i="8"/>
  <c r="AY1092" i="8" s="1"/>
  <c r="I983" i="8"/>
  <c r="AY983" i="8" s="1"/>
  <c r="I1046" i="8"/>
  <c r="AY1046" i="8" s="1"/>
  <c r="I1083" i="8"/>
  <c r="AY1083" i="8" s="1"/>
  <c r="I885" i="8"/>
  <c r="AY885" i="8" s="1"/>
  <c r="I158" i="8"/>
  <c r="AY158" i="8" s="1"/>
  <c r="I1010" i="8"/>
  <c r="AY1010" i="8" s="1"/>
  <c r="I1025" i="8"/>
  <c r="AY1025" i="8" s="1"/>
  <c r="I1037" i="8"/>
  <c r="AY1037" i="8" s="1"/>
  <c r="I1047" i="8"/>
  <c r="AY1047" i="8" s="1"/>
  <c r="I1060" i="8"/>
  <c r="AY1060" i="8" s="1"/>
  <c r="I1095" i="8"/>
  <c r="AY1095" i="8" s="1"/>
  <c r="I1127" i="8"/>
  <c r="AY1127" i="8" s="1"/>
  <c r="I669" i="8"/>
  <c r="AY669" i="8" s="1"/>
  <c r="I704" i="8"/>
  <c r="AY704" i="8" s="1"/>
  <c r="I708" i="8"/>
  <c r="AY708" i="8" s="1"/>
  <c r="I732" i="8"/>
  <c r="AY732" i="8" s="1"/>
  <c r="I737" i="8"/>
  <c r="AY737" i="8" s="1"/>
  <c r="I738" i="8"/>
  <c r="AY738" i="8" s="1"/>
  <c r="I415" i="8"/>
  <c r="AY415" i="8" s="1"/>
  <c r="I1331" i="8"/>
  <c r="AY1331" i="8" s="1"/>
  <c r="I1332" i="8"/>
  <c r="AY1332" i="8" s="1"/>
  <c r="I496" i="8"/>
  <c r="AY496" i="8" s="1"/>
  <c r="I497" i="8"/>
  <c r="AY497" i="8" s="1"/>
  <c r="I1339" i="8"/>
  <c r="AY1339" i="8" s="1"/>
  <c r="I1344" i="8"/>
  <c r="AY1344" i="8" s="1"/>
  <c r="I995" i="8"/>
  <c r="AY995" i="8" s="1"/>
  <c r="I779" i="8"/>
  <c r="AY779" i="8" s="1"/>
  <c r="I780" i="8"/>
  <c r="AY780" i="8" s="1"/>
  <c r="I332" i="8"/>
  <c r="AY332" i="8" s="1"/>
  <c r="I546" i="8"/>
  <c r="AY546" i="8" s="1"/>
  <c r="I400" i="8"/>
  <c r="AY400" i="8" s="1"/>
  <c r="I576" i="8"/>
  <c r="AY576" i="8" s="1"/>
  <c r="I491" i="8"/>
  <c r="AY491" i="8" s="1"/>
  <c r="I788" i="8"/>
  <c r="AY788" i="8" s="1"/>
  <c r="I416" i="8"/>
  <c r="AY416" i="8" s="1"/>
  <c r="I414" i="8"/>
  <c r="AY414" i="8" s="1"/>
  <c r="I1288" i="8"/>
  <c r="AY1288" i="8" s="1"/>
  <c r="I1290" i="8"/>
  <c r="AY1290" i="8" s="1"/>
  <c r="I1250" i="8"/>
  <c r="AY1250" i="8" s="1"/>
  <c r="I902" i="8"/>
  <c r="AY902" i="8" s="1"/>
  <c r="I1381" i="8"/>
  <c r="AY1381" i="8" s="1"/>
  <c r="I598" i="8"/>
  <c r="AY598" i="8" s="1"/>
  <c r="I367" i="8"/>
  <c r="AY367" i="8" s="1"/>
  <c r="I610" i="8"/>
  <c r="AY610" i="8" s="1"/>
  <c r="I672" i="8"/>
  <c r="AY672" i="8" s="1"/>
  <c r="I1398" i="8"/>
  <c r="AY1398" i="8" s="1"/>
  <c r="I346" i="8"/>
  <c r="AY346" i="8" s="1"/>
  <c r="I935" i="8"/>
  <c r="AY935" i="8" s="1"/>
  <c r="I967" i="8"/>
  <c r="AY967" i="8" s="1"/>
  <c r="I480" i="8"/>
  <c r="AY480" i="8" s="1"/>
  <c r="I455" i="8"/>
  <c r="AY455" i="8" s="1"/>
  <c r="I1264" i="8"/>
  <c r="AY1264" i="8" s="1"/>
  <c r="I657" i="8"/>
  <c r="AY657" i="8" s="1"/>
  <c r="I707" i="8"/>
  <c r="AY707" i="8" s="1"/>
  <c r="I580" i="8"/>
  <c r="AY580" i="8" s="1"/>
  <c r="I498" i="8"/>
  <c r="AY498" i="8" s="1"/>
  <c r="I1235" i="8"/>
  <c r="AY1235" i="8" s="1"/>
  <c r="I443" i="8"/>
  <c r="AY443" i="8" s="1"/>
  <c r="I828" i="8"/>
  <c r="AY828" i="8" s="1"/>
  <c r="I830" i="8"/>
  <c r="AY830" i="8" s="1"/>
  <c r="I1022" i="8"/>
  <c r="AY1022" i="8" s="1"/>
  <c r="I1042" i="8"/>
  <c r="AY1042" i="8" s="1"/>
  <c r="I875" i="8"/>
  <c r="AY875" i="8" s="1"/>
  <c r="I1085" i="8"/>
  <c r="AY1085" i="8" s="1"/>
  <c r="I1088" i="8"/>
  <c r="AY1088" i="8" s="1"/>
  <c r="I1117" i="8"/>
  <c r="AY1117" i="8" s="1"/>
  <c r="I892" i="8"/>
  <c r="AY892" i="8" s="1"/>
  <c r="I893" i="8"/>
  <c r="AY893" i="8" s="1"/>
  <c r="I940" i="8"/>
  <c r="AY940" i="8" s="1"/>
  <c r="I941" i="8"/>
  <c r="AY941" i="8" s="1"/>
  <c r="I829" i="8"/>
  <c r="AY829" i="8" s="1"/>
  <c r="I481" i="8"/>
  <c r="AY481" i="8" s="1"/>
  <c r="I1048" i="8"/>
  <c r="AY1048" i="8" s="1"/>
  <c r="I413" i="8"/>
  <c r="AY413" i="8" s="1"/>
  <c r="I769" i="8"/>
  <c r="AY769" i="8" s="1"/>
  <c r="I1372" i="8"/>
  <c r="AY1372" i="8" s="1"/>
  <c r="I1375" i="8"/>
  <c r="AY1375" i="8" s="1"/>
  <c r="I1376" i="8"/>
  <c r="AY1376" i="8" s="1"/>
  <c r="I1377" i="8"/>
  <c r="AY1377" i="8" s="1"/>
  <c r="I1378" i="8"/>
  <c r="AY1378" i="8" s="1"/>
  <c r="I1382" i="8"/>
  <c r="AY1382" i="8" s="1"/>
  <c r="I881" i="8"/>
  <c r="AY881" i="8" s="1"/>
  <c r="I159" i="8"/>
  <c r="AY159" i="8" s="1"/>
  <c r="I890" i="8"/>
  <c r="AY890" i="8" s="1"/>
  <c r="I891" i="8"/>
  <c r="AY891" i="8" s="1"/>
  <c r="I62" i="8"/>
  <c r="AY62" i="8" s="1"/>
  <c r="I901" i="8"/>
  <c r="AY901" i="8" s="1"/>
  <c r="I284" i="8"/>
  <c r="AY284" i="8" s="1"/>
  <c r="I285" i="8"/>
  <c r="AY285" i="8" s="1"/>
  <c r="I467" i="8"/>
  <c r="AY467" i="8" s="1"/>
  <c r="I286" i="8"/>
  <c r="AY286" i="8" s="1"/>
  <c r="I837" i="8"/>
  <c r="AY837" i="8" s="1"/>
  <c r="I911" i="8"/>
  <c r="AY911" i="8" s="1"/>
  <c r="I914" i="8"/>
  <c r="AY914" i="8" s="1"/>
  <c r="I915" i="8"/>
  <c r="AY915" i="8" s="1"/>
  <c r="I916" i="8"/>
  <c r="AY916" i="8" s="1"/>
  <c r="I917" i="8"/>
  <c r="AY917" i="8" s="1"/>
  <c r="I919" i="8"/>
  <c r="AY919" i="8" s="1"/>
  <c r="I920" i="8"/>
  <c r="AY920" i="8" s="1"/>
  <c r="I928" i="8"/>
  <c r="AY928" i="8" s="1"/>
  <c r="I936" i="8"/>
  <c r="AY936" i="8" s="1"/>
  <c r="I937" i="8"/>
  <c r="AY937" i="8" s="1"/>
  <c r="I938" i="8"/>
  <c r="AY938" i="8" s="1"/>
  <c r="I939" i="8"/>
  <c r="AY939" i="8" s="1"/>
  <c r="I942" i="8"/>
  <c r="AY942" i="8" s="1"/>
  <c r="I943" i="8"/>
  <c r="AY943" i="8" s="1"/>
  <c r="I944" i="8"/>
  <c r="AY944" i="8" s="1"/>
  <c r="I840" i="8"/>
  <c r="AY840" i="8" s="1"/>
  <c r="I956" i="8"/>
  <c r="AY956" i="8" s="1"/>
  <c r="I962" i="8"/>
  <c r="AY962" i="8" s="1"/>
  <c r="I963" i="8"/>
  <c r="AY963" i="8" s="1"/>
  <c r="I970" i="8"/>
  <c r="AY970" i="8" s="1"/>
  <c r="I445" i="8"/>
  <c r="AY445" i="8" s="1"/>
  <c r="I986" i="8"/>
  <c r="AY986" i="8" s="1"/>
  <c r="I85" i="8"/>
  <c r="AY85" i="8" s="1"/>
  <c r="I991" i="8"/>
  <c r="AY991" i="8" s="1"/>
  <c r="I992" i="8"/>
  <c r="AY992" i="8" s="1"/>
  <c r="I996" i="8"/>
  <c r="AY996" i="8" s="1"/>
  <c r="I997" i="8"/>
  <c r="AY997" i="8" s="1"/>
  <c r="I998" i="8"/>
  <c r="AY998" i="8" s="1"/>
  <c r="I999" i="8"/>
  <c r="AY999" i="8" s="1"/>
  <c r="I478" i="8"/>
  <c r="AY478" i="8" s="1"/>
  <c r="I1002" i="8"/>
  <c r="AY1002" i="8" s="1"/>
  <c r="I1003" i="8"/>
  <c r="AY1003" i="8" s="1"/>
  <c r="I1004" i="8"/>
  <c r="AY1004" i="8" s="1"/>
  <c r="I1005" i="8"/>
  <c r="AY1005" i="8" s="1"/>
  <c r="I861" i="8"/>
  <c r="AY861" i="8" s="1"/>
  <c r="I1009" i="8"/>
  <c r="AY1009" i="8" s="1"/>
  <c r="I1011" i="8"/>
  <c r="AY1011" i="8" s="1"/>
  <c r="I1013" i="8"/>
  <c r="AY1013" i="8" s="1"/>
  <c r="I1014" i="8"/>
  <c r="AY1014" i="8" s="1"/>
  <c r="I1016" i="8"/>
  <c r="AY1016" i="8" s="1"/>
  <c r="I1018" i="8"/>
  <c r="AY1018" i="8" s="1"/>
  <c r="I1019" i="8"/>
  <c r="AY1019" i="8" s="1"/>
  <c r="I187" i="8"/>
  <c r="AY187" i="8" s="1"/>
  <c r="I1023" i="8"/>
  <c r="AY1023" i="8" s="1"/>
  <c r="I1027" i="8"/>
  <c r="AY1027" i="8" s="1"/>
  <c r="I1028" i="8"/>
  <c r="AY1028" i="8" s="1"/>
  <c r="I1030" i="8"/>
  <c r="AY1030" i="8" s="1"/>
  <c r="I1031" i="8"/>
  <c r="AY1031" i="8" s="1"/>
  <c r="I1034" i="8"/>
  <c r="AY1034" i="8" s="1"/>
  <c r="I1039" i="8"/>
  <c r="AY1039" i="8" s="1"/>
  <c r="I1040" i="8"/>
  <c r="AY1040" i="8" s="1"/>
  <c r="I1041" i="8"/>
  <c r="AY1041" i="8" s="1"/>
  <c r="I1049" i="8"/>
  <c r="AY1049" i="8" s="1"/>
  <c r="I1050" i="8"/>
  <c r="AY1050" i="8" s="1"/>
  <c r="I1051" i="8"/>
  <c r="AY1051" i="8" s="1"/>
  <c r="I1052" i="8"/>
  <c r="AY1052" i="8" s="1"/>
  <c r="I1054" i="8"/>
  <c r="AY1054" i="8" s="1"/>
  <c r="I1057" i="8"/>
  <c r="AY1057" i="8" s="1"/>
  <c r="I1058" i="8"/>
  <c r="AY1058" i="8" s="1"/>
  <c r="I871" i="8"/>
  <c r="AY871" i="8" s="1"/>
  <c r="I1064" i="8"/>
  <c r="AY1064" i="8" s="1"/>
  <c r="I1065" i="8"/>
  <c r="AY1065" i="8" s="1"/>
  <c r="I1066" i="8"/>
  <c r="AY1066" i="8" s="1"/>
  <c r="I1067" i="8"/>
  <c r="AY1067" i="8" s="1"/>
  <c r="I1070" i="8"/>
  <c r="AY1070" i="8" s="1"/>
  <c r="I1071" i="8"/>
  <c r="AY1071" i="8" s="1"/>
  <c r="I1072" i="8"/>
  <c r="AY1072" i="8" s="1"/>
  <c r="I457" i="8"/>
  <c r="AY457" i="8" s="1"/>
  <c r="I483" i="8"/>
  <c r="AY483" i="8" s="1"/>
  <c r="I484" i="8"/>
  <c r="AY484" i="8" s="1"/>
  <c r="I873" i="8"/>
  <c r="AY873" i="8" s="1"/>
  <c r="I1077" i="8"/>
  <c r="AY1077" i="8" s="1"/>
  <c r="I1078" i="8"/>
  <c r="AY1078" i="8" s="1"/>
  <c r="I1081" i="8"/>
  <c r="AY1081" i="8" s="1"/>
  <c r="I1082" i="8"/>
  <c r="AY1082" i="8" s="1"/>
  <c r="I1084" i="8"/>
  <c r="AY1084" i="8" s="1"/>
  <c r="I1087" i="8"/>
  <c r="AY1087" i="8" s="1"/>
  <c r="I1094" i="8"/>
  <c r="AY1094" i="8" s="1"/>
  <c r="I876" i="8"/>
  <c r="AY876" i="8" s="1"/>
  <c r="I1106" i="8"/>
  <c r="AY1106" i="8" s="1"/>
  <c r="I1107" i="8"/>
  <c r="AY1107" i="8" s="1"/>
  <c r="I213" i="8"/>
  <c r="AY213" i="8" s="1"/>
  <c r="I269" i="8"/>
  <c r="AY269" i="8" s="1"/>
  <c r="I1116" i="8"/>
  <c r="AY1116" i="8" s="1"/>
  <c r="I1120" i="8"/>
  <c r="AY1120" i="8" s="1"/>
  <c r="I1121" i="8"/>
  <c r="AY1121" i="8" s="1"/>
  <c r="I1122" i="8"/>
  <c r="AY1122" i="8" s="1"/>
  <c r="I1123" i="8"/>
  <c r="AY1123" i="8" s="1"/>
  <c r="I1124" i="8"/>
  <c r="AY1124" i="8" s="1"/>
  <c r="I1129" i="8"/>
  <c r="AY1129" i="8" s="1"/>
  <c r="I1130" i="8"/>
  <c r="AY1130" i="8" s="1"/>
  <c r="I1141" i="8"/>
  <c r="AY1141" i="8" s="1"/>
  <c r="I1142" i="8"/>
  <c r="AY1142" i="8" s="1"/>
  <c r="I1157" i="8"/>
  <c r="AY1157" i="8" s="1"/>
  <c r="I1158" i="8"/>
  <c r="AY1158" i="8" s="1"/>
  <c r="I1159" i="8"/>
  <c r="AY1159" i="8" s="1"/>
  <c r="I1166" i="8"/>
  <c r="AY1166" i="8" s="1"/>
  <c r="I1167" i="8"/>
  <c r="AY1167" i="8" s="1"/>
  <c r="I1168" i="8"/>
  <c r="AY1168" i="8" s="1"/>
  <c r="I593" i="8"/>
  <c r="AY593" i="8" s="1"/>
  <c r="I597" i="8"/>
  <c r="AY597" i="8" s="1"/>
  <c r="I599" i="8"/>
  <c r="AY599" i="8" s="1"/>
  <c r="I600" i="8"/>
  <c r="AY600" i="8" s="1"/>
  <c r="I602" i="8"/>
  <c r="AY602" i="8" s="1"/>
  <c r="I607" i="8"/>
  <c r="AY607" i="8" s="1"/>
  <c r="I609" i="8"/>
  <c r="AY609" i="8" s="1"/>
  <c r="I614" i="8"/>
  <c r="AY614" i="8" s="1"/>
  <c r="I616" i="8"/>
  <c r="AY616" i="8" s="1"/>
  <c r="I618" i="8"/>
  <c r="AY618" i="8" s="1"/>
  <c r="I620" i="8"/>
  <c r="AY620" i="8" s="1"/>
  <c r="I623" i="8"/>
  <c r="AY623" i="8" s="1"/>
  <c r="I624" i="8"/>
  <c r="AY624" i="8" s="1"/>
  <c r="I626" i="8"/>
  <c r="AY626" i="8" s="1"/>
  <c r="I627" i="8"/>
  <c r="AY627" i="8" s="1"/>
  <c r="I628" i="8"/>
  <c r="AY628" i="8" s="1"/>
  <c r="I630" i="8"/>
  <c r="AY630" i="8" s="1"/>
  <c r="I631" i="8"/>
  <c r="AY631" i="8" s="1"/>
  <c r="I632" i="8"/>
  <c r="AY632" i="8" s="1"/>
  <c r="I633" i="8"/>
  <c r="AY633" i="8" s="1"/>
  <c r="I634" i="8"/>
  <c r="AY634" i="8" s="1"/>
  <c r="I635" i="8"/>
  <c r="AY635" i="8" s="1"/>
  <c r="I642" i="8"/>
  <c r="AY642" i="8" s="1"/>
  <c r="I643" i="8"/>
  <c r="AY643" i="8" s="1"/>
  <c r="I646" i="8"/>
  <c r="AY646" i="8" s="1"/>
  <c r="I650" i="8"/>
  <c r="AY650" i="8" s="1"/>
  <c r="I651" i="8"/>
  <c r="AY651" i="8" s="1"/>
  <c r="I656" i="8"/>
  <c r="AY656" i="8" s="1"/>
  <c r="I660" i="8"/>
  <c r="AY660" i="8" s="1"/>
  <c r="I661" i="8"/>
  <c r="AY661" i="8" s="1"/>
  <c r="I663" i="8"/>
  <c r="AY663" i="8" s="1"/>
  <c r="I664" i="8"/>
  <c r="AY664" i="8" s="1"/>
  <c r="I665" i="8"/>
  <c r="AY665" i="8" s="1"/>
  <c r="I321" i="8"/>
  <c r="AY321" i="8" s="1"/>
  <c r="I666" i="8"/>
  <c r="AY666" i="8" s="1"/>
  <c r="I667" i="8"/>
  <c r="AY667" i="8" s="1"/>
  <c r="I668" i="8"/>
  <c r="AY668" i="8" s="1"/>
  <c r="I673" i="8"/>
  <c r="AY673" i="8" s="1"/>
  <c r="I674" i="8"/>
  <c r="AY674" i="8" s="1"/>
  <c r="I676" i="8"/>
  <c r="AY676" i="8" s="1"/>
  <c r="I677" i="8"/>
  <c r="AY677" i="8" s="1"/>
  <c r="I679" i="8"/>
  <c r="AY679" i="8" s="1"/>
  <c r="I684" i="8"/>
  <c r="AY684" i="8" s="1"/>
  <c r="I686" i="8"/>
  <c r="AY686" i="8" s="1"/>
  <c r="I688" i="8"/>
  <c r="AY688" i="8" s="1"/>
  <c r="I689" i="8"/>
  <c r="AY689" i="8" s="1"/>
  <c r="I690" i="8"/>
  <c r="AY690" i="8" s="1"/>
  <c r="I691" i="8"/>
  <c r="AY691" i="8" s="1"/>
  <c r="I694" i="8"/>
  <c r="AY694" i="8" s="1"/>
  <c r="I696" i="8"/>
  <c r="AY696" i="8" s="1"/>
  <c r="I697" i="8"/>
  <c r="AY697" i="8" s="1"/>
  <c r="I698" i="8"/>
  <c r="AY698" i="8" s="1"/>
  <c r="I699" i="8"/>
  <c r="AY699" i="8" s="1"/>
  <c r="I700" i="8"/>
  <c r="AY700" i="8" s="1"/>
  <c r="I701" i="8"/>
  <c r="AY701" i="8" s="1"/>
  <c r="I702" i="8"/>
  <c r="AY702" i="8" s="1"/>
  <c r="I703" i="8"/>
  <c r="AY703" i="8" s="1"/>
  <c r="I705" i="8"/>
  <c r="AY705" i="8" s="1"/>
  <c r="I706" i="8"/>
  <c r="AY706" i="8" s="1"/>
  <c r="I709" i="8"/>
  <c r="AY709" i="8" s="1"/>
  <c r="I710" i="8"/>
  <c r="AY710" i="8" s="1"/>
  <c r="I711" i="8"/>
  <c r="AY711" i="8" s="1"/>
  <c r="I713" i="8"/>
  <c r="AY713" i="8" s="1"/>
  <c r="I715" i="8"/>
  <c r="AY715" i="8" s="1"/>
  <c r="I717" i="8"/>
  <c r="AY717" i="8" s="1"/>
  <c r="I718" i="8"/>
  <c r="AY718" i="8" s="1"/>
  <c r="I721" i="8"/>
  <c r="AY721" i="8" s="1"/>
  <c r="I722" i="8"/>
  <c r="AY722" i="8" s="1"/>
  <c r="I723" i="8"/>
  <c r="AY723" i="8" s="1"/>
  <c r="I724" i="8"/>
  <c r="AY724" i="8" s="1"/>
  <c r="I725" i="8"/>
  <c r="AY725" i="8" s="1"/>
  <c r="I730" i="8"/>
  <c r="AY730" i="8" s="1"/>
  <c r="I734" i="8"/>
  <c r="AY734" i="8" s="1"/>
  <c r="I735" i="8"/>
  <c r="AY735" i="8" s="1"/>
  <c r="I736" i="8"/>
  <c r="AY736" i="8" s="1"/>
  <c r="I739" i="8"/>
  <c r="AY739" i="8" s="1"/>
  <c r="I740" i="8"/>
  <c r="AY740" i="8" s="1"/>
  <c r="I743" i="8"/>
  <c r="AY743" i="8" s="1"/>
  <c r="I744" i="8"/>
  <c r="AY744" i="8" s="1"/>
  <c r="I745" i="8"/>
  <c r="AY745" i="8" s="1"/>
  <c r="I746" i="8"/>
  <c r="AY746" i="8" s="1"/>
  <c r="I748" i="8"/>
  <c r="AY748" i="8" s="1"/>
  <c r="I751" i="8"/>
  <c r="AY751" i="8" s="1"/>
  <c r="I753" i="8"/>
  <c r="AY753" i="8" s="1"/>
  <c r="I754" i="8"/>
  <c r="AY754" i="8" s="1"/>
  <c r="I755" i="8"/>
  <c r="AY755" i="8" s="1"/>
  <c r="I949" i="8"/>
  <c r="AY949" i="8" s="1"/>
  <c r="I758" i="8"/>
  <c r="AY758" i="8" s="1"/>
  <c r="I1365" i="8"/>
  <c r="AY1365" i="8" s="1"/>
  <c r="I1205" i="8"/>
  <c r="AY1205" i="8" s="1"/>
  <c r="I1206" i="8"/>
  <c r="AY1206" i="8" s="1"/>
  <c r="I1208" i="8"/>
  <c r="AY1208" i="8" s="1"/>
  <c r="I1209" i="8"/>
  <c r="AY1209" i="8" s="1"/>
  <c r="I1216" i="8"/>
  <c r="AY1216" i="8" s="1"/>
  <c r="I1226" i="8"/>
  <c r="AY1226" i="8" s="1"/>
  <c r="I1227" i="8"/>
  <c r="AY1227" i="8" s="1"/>
  <c r="I1228" i="8"/>
  <c r="AY1228" i="8" s="1"/>
  <c r="I1230" i="8"/>
  <c r="AY1230" i="8" s="1"/>
  <c r="I1232" i="8"/>
  <c r="AY1232" i="8" s="1"/>
  <c r="I1233" i="8"/>
  <c r="AY1233" i="8" s="1"/>
  <c r="I1234" i="8"/>
  <c r="AY1234" i="8" s="1"/>
  <c r="I1275" i="8"/>
  <c r="AY1275" i="8" s="1"/>
  <c r="I1276" i="8"/>
  <c r="AY1276" i="8" s="1"/>
  <c r="I1277" i="8"/>
  <c r="AY1277" i="8" s="1"/>
  <c r="I1278" i="8"/>
  <c r="AY1278" i="8" s="1"/>
  <c r="I1279" i="8"/>
  <c r="AY1279" i="8" s="1"/>
  <c r="I1281" i="8"/>
  <c r="AY1281" i="8" s="1"/>
  <c r="I1295" i="8"/>
  <c r="AY1295" i="8" s="1"/>
  <c r="I1296" i="8"/>
  <c r="AY1296" i="8" s="1"/>
  <c r="I1299" i="8"/>
  <c r="AY1299" i="8" s="1"/>
  <c r="I1316" i="8"/>
  <c r="AY1316" i="8" s="1"/>
  <c r="I1318" i="8"/>
  <c r="AY1318" i="8" s="1"/>
  <c r="I1320" i="8"/>
  <c r="AY1320" i="8" s="1"/>
  <c r="I1322" i="8"/>
  <c r="AY1322" i="8" s="1"/>
  <c r="I1323" i="8"/>
  <c r="AY1323" i="8" s="1"/>
  <c r="I1333" i="8"/>
  <c r="AY1333" i="8" s="1"/>
  <c r="I1338" i="8"/>
  <c r="AY1338" i="8" s="1"/>
  <c r="I1340" i="8"/>
  <c r="AY1340" i="8" s="1"/>
  <c r="I1343" i="8"/>
  <c r="AY1343" i="8" s="1"/>
  <c r="I1345" i="8"/>
  <c r="AY1345" i="8" s="1"/>
  <c r="I1346" i="8"/>
  <c r="AY1346" i="8" s="1"/>
  <c r="I1347" i="8"/>
  <c r="AY1347" i="8" s="1"/>
  <c r="I1349" i="8"/>
  <c r="AY1349" i="8" s="1"/>
  <c r="I1354" i="8"/>
  <c r="AY1354" i="8" s="1"/>
  <c r="I1355" i="8"/>
  <c r="AY1355" i="8" s="1"/>
  <c r="I1356" i="8"/>
  <c r="AY1356" i="8" s="1"/>
  <c r="I1357" i="8"/>
  <c r="AY1357" i="8" s="1"/>
  <c r="I1359" i="8"/>
  <c r="AY1359" i="8" s="1"/>
  <c r="I1360" i="8"/>
  <c r="AY1360" i="8" s="1"/>
  <c r="I1362" i="8"/>
  <c r="AY1362" i="8" s="1"/>
  <c r="I1363" i="8"/>
  <c r="AY1363" i="8" s="1"/>
  <c r="I1366" i="8"/>
  <c r="AY1366" i="8" s="1"/>
  <c r="I1367" i="8"/>
  <c r="AY1367" i="8" s="1"/>
  <c r="I1368" i="8"/>
  <c r="AY1368" i="8" s="1"/>
  <c r="I1369" i="8"/>
  <c r="AY1369" i="8" s="1"/>
  <c r="I1370" i="8"/>
  <c r="AY1370" i="8" s="1"/>
  <c r="I1371" i="8"/>
  <c r="AY1371" i="8" s="1"/>
  <c r="I1195" i="8"/>
  <c r="AY1195" i="8" s="1"/>
  <c r="I1196" i="8"/>
  <c r="AY1196" i="8" s="1"/>
  <c r="I1298" i="8"/>
  <c r="AY1298" i="8" s="1"/>
  <c r="I450" i="8"/>
  <c r="AY450" i="8" s="1"/>
  <c r="I189" i="8"/>
  <c r="AY189" i="8" s="1"/>
  <c r="I792" i="8"/>
  <c r="AY792" i="8" s="1"/>
  <c r="I806" i="8"/>
  <c r="AY806" i="8" s="1"/>
  <c r="I789" i="8"/>
  <c r="AY789" i="8" s="1"/>
  <c r="I844" i="8"/>
  <c r="AY844" i="8" s="1"/>
  <c r="I419" i="8"/>
  <c r="AY419" i="8" s="1"/>
  <c r="I781" i="8"/>
  <c r="AY781" i="8" s="1"/>
  <c r="I421" i="8"/>
  <c r="AY421" i="8" s="1"/>
  <c r="I423" i="8"/>
  <c r="AY423" i="8" s="1"/>
  <c r="I803" i="8"/>
  <c r="AY803" i="8" s="1"/>
  <c r="I807" i="8"/>
  <c r="AY807" i="8" s="1"/>
  <c r="I543" i="8"/>
  <c r="AY543" i="8" s="1"/>
  <c r="I399" i="8"/>
  <c r="AY399" i="8" s="1"/>
  <c r="I551" i="8"/>
  <c r="AY551" i="8" s="1"/>
  <c r="I577" i="8"/>
  <c r="AY577" i="8" s="1"/>
  <c r="I1239" i="8"/>
  <c r="AY1239" i="8" s="1"/>
  <c r="I1240" i="8"/>
  <c r="AY1240" i="8" s="1"/>
  <c r="I1241" i="8"/>
  <c r="AY1241" i="8" s="1"/>
  <c r="I1282" i="8"/>
  <c r="AY1282" i="8" s="1"/>
  <c r="I1283" i="8"/>
  <c r="AY1283" i="8" s="1"/>
  <c r="I1284" i="8"/>
  <c r="AY1284" i="8" s="1"/>
  <c r="I1389" i="8"/>
  <c r="AY1389" i="8" s="1"/>
  <c r="I1438" i="8"/>
  <c r="AY1438" i="8" s="1"/>
  <c r="I1178" i="8"/>
  <c r="AY1178" i="8" s="1"/>
  <c r="I1179" i="8"/>
  <c r="AY1179" i="8" s="1"/>
  <c r="I1180" i="8"/>
  <c r="AY1180" i="8" s="1"/>
  <c r="I1181" i="8"/>
  <c r="AY1181" i="8" s="1"/>
  <c r="I775" i="8"/>
  <c r="AY775" i="8" s="1"/>
  <c r="I174" i="8"/>
  <c r="AY174" i="8" s="1"/>
  <c r="I1183" i="8"/>
  <c r="AY1183" i="8" s="1"/>
  <c r="I1184" i="8"/>
  <c r="AY1184" i="8" s="1"/>
  <c r="I1185" i="8"/>
  <c r="AY1185" i="8" s="1"/>
  <c r="I1186" i="8"/>
  <c r="AY1186" i="8" s="1"/>
  <c r="I1187" i="8"/>
  <c r="AY1187" i="8" s="1"/>
  <c r="I1188" i="8"/>
  <c r="AY1188" i="8" s="1"/>
  <c r="I1189" i="8"/>
  <c r="AY1189" i="8" s="1"/>
  <c r="I1190" i="8"/>
  <c r="AY1190" i="8" s="1"/>
  <c r="I1213" i="8"/>
  <c r="AY1213" i="8" s="1"/>
  <c r="I1214" i="8"/>
  <c r="AY1214" i="8" s="1"/>
  <c r="I295" i="8"/>
  <c r="AY295" i="8" s="1"/>
  <c r="I1218" i="8"/>
  <c r="AY1218" i="8" s="1"/>
  <c r="I296" i="8"/>
  <c r="AY296" i="8" s="1"/>
  <c r="I1219" i="8"/>
  <c r="AY1219" i="8" s="1"/>
  <c r="I1224" i="8"/>
  <c r="AY1224" i="8" s="1"/>
  <c r="I370" i="8"/>
  <c r="AY370" i="8" s="1"/>
  <c r="I1341" i="8"/>
  <c r="AY1341" i="8" s="1"/>
  <c r="I1342" i="8"/>
  <c r="AY1342" i="8" s="1"/>
  <c r="I1413" i="8"/>
  <c r="AY1413" i="8" s="1"/>
  <c r="I1414" i="8"/>
  <c r="AY1414" i="8" s="1"/>
  <c r="I1415" i="8"/>
  <c r="AY1415" i="8" s="1"/>
  <c r="I1416" i="8"/>
  <c r="AY1416" i="8" s="1"/>
  <c r="I1417" i="8"/>
  <c r="AY1417" i="8" s="1"/>
  <c r="I1418" i="8"/>
  <c r="AY1418" i="8" s="1"/>
  <c r="I1419" i="8"/>
  <c r="AY1419" i="8" s="1"/>
  <c r="I1420" i="8"/>
  <c r="AY1420" i="8" s="1"/>
  <c r="I1422" i="8"/>
  <c r="AY1422" i="8" s="1"/>
  <c r="I1423" i="8"/>
  <c r="AY1423" i="8" s="1"/>
  <c r="I814" i="8"/>
  <c r="AY814" i="8" s="1"/>
  <c r="I1425" i="8"/>
  <c r="AY1425" i="8" s="1"/>
  <c r="I1247" i="8"/>
  <c r="AY1247" i="8" s="1"/>
  <c r="I1256" i="8"/>
  <c r="AY1256" i="8" s="1"/>
  <c r="I1260" i="8"/>
  <c r="AY1260" i="8" s="1"/>
  <c r="I1262" i="8"/>
  <c r="AY1262" i="8" s="1"/>
  <c r="I1268" i="8"/>
  <c r="AY1268" i="8" s="1"/>
  <c r="I1399" i="8"/>
  <c r="AY1399" i="8" s="1"/>
  <c r="I1403" i="8"/>
  <c r="AY1403" i="8" s="1"/>
  <c r="I141" i="8"/>
  <c r="AY141" i="8" s="1"/>
  <c r="I499" i="8"/>
  <c r="AY499" i="8" s="1"/>
  <c r="I1410" i="8"/>
  <c r="AY1410" i="8" s="1"/>
  <c r="I446" i="8"/>
  <c r="AY446" i="8" s="1"/>
  <c r="I440" i="8"/>
  <c r="AY440" i="8" s="1"/>
  <c r="I761" i="8"/>
  <c r="AY761" i="8" s="1"/>
  <c r="I759" i="8"/>
  <c r="AY759" i="8" s="1"/>
  <c r="I773" i="8"/>
  <c r="AY773" i="8" s="1"/>
  <c r="I951" i="8"/>
  <c r="AY951" i="8" s="1"/>
  <c r="I1135" i="8"/>
  <c r="AY1135" i="8" s="1"/>
  <c r="I1308" i="8"/>
  <c r="AY1308" i="8" s="1"/>
  <c r="I1335" i="8"/>
  <c r="AY1335" i="8" s="1"/>
  <c r="I1528" i="8"/>
  <c r="AY1528" i="8" s="1"/>
  <c r="I502" i="8"/>
  <c r="AY502" i="8" s="1"/>
  <c r="I143" i="8"/>
  <c r="AY143" i="8" s="1"/>
  <c r="I1315" i="8"/>
  <c r="AY1315" i="8" s="1"/>
  <c r="I1544" i="8"/>
  <c r="AY1544" i="8" s="1"/>
  <c r="I606" i="8"/>
  <c r="AY606" i="8" s="1"/>
  <c r="I1302" i="8"/>
  <c r="AY1302" i="8" s="1"/>
  <c r="I782" i="8"/>
  <c r="AY782" i="8" s="1"/>
  <c r="BB334" i="8" l="1"/>
  <c r="BB1048" i="8"/>
  <c r="BB1324" i="8"/>
  <c r="BB305" i="8"/>
  <c r="BB310" i="8"/>
  <c r="BB1187" i="8"/>
  <c r="BB1325" i="8"/>
  <c r="BB206" i="8"/>
  <c r="BB769" i="8"/>
  <c r="BB1142" i="8"/>
  <c r="BG655" i="8"/>
  <c r="BB289" i="8"/>
  <c r="BB1290" i="8"/>
  <c r="BB798" i="8"/>
  <c r="BB1009" i="8"/>
  <c r="BB1025" i="8"/>
  <c r="BB989" i="8"/>
  <c r="BB569" i="8"/>
  <c r="BB842" i="8"/>
  <c r="BB997" i="8"/>
  <c r="BB815" i="8"/>
  <c r="BB245" i="8"/>
  <c r="BB998" i="8"/>
  <c r="BB936" i="8"/>
  <c r="BB1121" i="8"/>
  <c r="BB785" i="8"/>
  <c r="BB1071" i="8"/>
  <c r="BB918" i="8"/>
  <c r="BB996" i="8"/>
  <c r="BB840" i="8"/>
  <c r="BB1166" i="8"/>
  <c r="BB1154" i="8"/>
  <c r="BB277" i="8"/>
  <c r="BB243" i="8"/>
  <c r="BG1063" i="8"/>
  <c r="BB922" i="8"/>
  <c r="BB1010" i="8"/>
  <c r="BB967" i="8"/>
  <c r="BB930" i="8"/>
  <c r="BB909" i="8"/>
  <c r="BB949" i="8"/>
  <c r="BB923" i="8"/>
  <c r="BB985" i="8"/>
  <c r="BB987" i="8"/>
  <c r="BB958" i="8"/>
  <c r="BB304" i="8"/>
  <c r="BB823" i="8"/>
  <c r="BB300" i="8"/>
  <c r="BB253" i="8"/>
  <c r="BB1068" i="8"/>
  <c r="BB515" i="8"/>
  <c r="BB255" i="8"/>
  <c r="BB1133" i="8"/>
  <c r="BB306" i="8"/>
  <c r="BB948" i="8"/>
  <c r="BB1125" i="8"/>
  <c r="BB1189" i="8"/>
  <c r="BB814" i="8"/>
  <c r="BB1106" i="8"/>
  <c r="BB959" i="8"/>
  <c r="BB278" i="8"/>
  <c r="BB757" i="8"/>
  <c r="BB917" i="8"/>
  <c r="BB264" i="8"/>
  <c r="BB1134" i="8"/>
  <c r="BB519" i="8"/>
  <c r="BB1260" i="8"/>
  <c r="BB1113" i="8"/>
  <c r="BB1136" i="8"/>
  <c r="BB1183" i="8"/>
  <c r="BB988" i="8"/>
  <c r="BB1118" i="8"/>
  <c r="BB1299" i="8"/>
  <c r="BB1111" i="8"/>
  <c r="BB1186" i="8"/>
  <c r="BB1182" i="8"/>
  <c r="BB1286" i="8"/>
  <c r="BB244" i="8"/>
  <c r="BB897" i="8"/>
  <c r="BB896" i="8"/>
  <c r="BB1278" i="8"/>
  <c r="BB982" i="8"/>
  <c r="BB1114" i="8"/>
  <c r="BB832" i="8"/>
  <c r="BB884" i="8"/>
  <c r="BB955" i="8"/>
  <c r="BB954" i="8"/>
  <c r="BB960" i="8"/>
  <c r="BB910" i="8"/>
  <c r="BB991" i="8"/>
  <c r="BB1188" i="8"/>
  <c r="BB945" i="8"/>
  <c r="BB1161" i="8"/>
  <c r="BB332" i="8"/>
  <c r="BB995" i="8"/>
  <c r="BB946" i="8"/>
  <c r="BB670" i="8"/>
  <c r="BB983" i="8"/>
  <c r="BB806" i="8"/>
  <c r="BB951" i="8"/>
  <c r="BB950" i="8"/>
  <c r="BG661" i="8"/>
  <c r="BB752" i="8"/>
  <c r="BB328" i="8"/>
  <c r="BB598" i="8"/>
  <c r="BB994" i="8"/>
  <c r="BB993" i="8"/>
  <c r="BB715" i="8"/>
  <c r="BB311" i="8"/>
  <c r="BB984" i="8"/>
  <c r="BB871" i="8"/>
  <c r="BB1079" i="8"/>
  <c r="BB1184" i="8"/>
  <c r="BB807" i="8"/>
  <c r="BB784" i="8"/>
  <c r="BB720" i="8"/>
  <c r="BB625" i="8"/>
  <c r="BB318" i="8"/>
  <c r="BB346" i="8"/>
  <c r="BB672" i="8"/>
  <c r="BB321" i="8"/>
  <c r="BB1119" i="8"/>
  <c r="BB671" i="8"/>
  <c r="BB750" i="8"/>
  <c r="BB768" i="8"/>
  <c r="BB1165" i="8"/>
  <c r="BB743" i="8"/>
  <c r="BB668" i="8"/>
  <c r="BB336" i="8"/>
  <c r="BB746" i="8"/>
  <c r="BB293" i="8"/>
  <c r="BB929" i="8"/>
  <c r="BB1107" i="8"/>
  <c r="BB990" i="8"/>
  <c r="BB14" i="8"/>
  <c r="BB10" i="8"/>
  <c r="BB571" i="8"/>
  <c r="BB977" i="8"/>
  <c r="BB612" i="8"/>
  <c r="BB1163" i="8"/>
  <c r="BB358" i="8"/>
  <c r="BB962" i="8"/>
  <c r="BB13" i="8"/>
  <c r="BB1070" i="8"/>
  <c r="BB1177" i="8"/>
  <c r="BB242" i="8"/>
  <c r="BB714" i="8"/>
  <c r="BB719" i="8"/>
  <c r="BB1160" i="8"/>
  <c r="BB15" i="8"/>
  <c r="BB745" i="8"/>
  <c r="BB592" i="8"/>
  <c r="BB312" i="8"/>
  <c r="BB999" i="8"/>
  <c r="BB600" i="8"/>
  <c r="BB576" i="8"/>
  <c r="BB572" i="8"/>
  <c r="BB12" i="8"/>
  <c r="BB1190" i="8"/>
  <c r="BB742" i="8"/>
  <c r="BB1159" i="8"/>
  <c r="BB343" i="8"/>
  <c r="BB1282" i="8"/>
  <c r="BB1180" i="8"/>
  <c r="BB1008" i="8"/>
  <c r="BB872" i="8"/>
  <c r="BB431" i="8"/>
  <c r="BB751" i="8"/>
  <c r="BB1153" i="8"/>
  <c r="BB298" i="8"/>
  <c r="BB747" i="8"/>
  <c r="BB664" i="8"/>
  <c r="BB748" i="8"/>
  <c r="BB597" i="8"/>
  <c r="BB1258" i="8"/>
  <c r="BB316" i="8"/>
  <c r="BB802" i="8"/>
  <c r="BB723" i="8"/>
  <c r="BB11" i="8"/>
  <c r="BB669" i="8"/>
  <c r="BB970" i="8"/>
  <c r="BB1298" i="8"/>
  <c r="BB327" i="8"/>
  <c r="BB1033" i="8"/>
  <c r="BG1080" i="8"/>
  <c r="BG1079" i="8"/>
  <c r="BB1036" i="8"/>
  <c r="BB965" i="8"/>
  <c r="BG1230" i="8"/>
  <c r="BB1257" i="8"/>
  <c r="BB1002" i="8"/>
  <c r="BB1037" i="8"/>
  <c r="BB966" i="8"/>
  <c r="BB137" i="8"/>
  <c r="BB1034" i="8"/>
  <c r="BB1256" i="8"/>
  <c r="BB1047" i="8"/>
  <c r="BB1041" i="8"/>
  <c r="BB1029" i="8"/>
  <c r="BB1252" i="8"/>
  <c r="BB1027" i="8"/>
  <c r="BB1031" i="8"/>
  <c r="BB1046" i="8"/>
  <c r="BB1139" i="8"/>
  <c r="BB1035" i="8"/>
  <c r="BB1028" i="8"/>
  <c r="BB1038" i="8"/>
  <c r="BG181" i="8"/>
  <c r="BG1238" i="8"/>
  <c r="BG1234" i="8"/>
  <c r="BG453" i="8"/>
  <c r="BG1075" i="8"/>
  <c r="BG221" i="8"/>
  <c r="BG1236" i="8"/>
  <c r="BG568" i="8"/>
  <c r="BG1235" i="8"/>
  <c r="BG1242" i="8"/>
  <c r="BG1099" i="8"/>
  <c r="BG1081" i="8"/>
  <c r="BG976" i="8"/>
  <c r="BH976" i="8"/>
  <c r="BG1241" i="8"/>
  <c r="BG1076" i="8"/>
  <c r="BG971" i="8"/>
  <c r="BH971" i="8"/>
  <c r="BG1094" i="8"/>
  <c r="BG499" i="8"/>
  <c r="BG47" i="8"/>
  <c r="BG206" i="8"/>
  <c r="BG498" i="8"/>
  <c r="BG1093" i="8"/>
  <c r="BG1069" i="8"/>
  <c r="BG633" i="8"/>
  <c r="BG743" i="8"/>
  <c r="BG1026" i="8"/>
  <c r="BH1026" i="8"/>
  <c r="BG1071" i="8"/>
  <c r="BG963" i="8"/>
  <c r="BH963" i="8"/>
  <c r="BG488" i="8"/>
  <c r="BH488" i="8"/>
  <c r="BG463" i="8"/>
  <c r="BG1324" i="8"/>
  <c r="BH1324" i="8"/>
  <c r="BH1025" i="8"/>
  <c r="BG1025" i="8"/>
  <c r="BG1206" i="8"/>
  <c r="BH1206" i="8"/>
  <c r="BG1086" i="8"/>
  <c r="BG961" i="8"/>
  <c r="BH961" i="8"/>
  <c r="BH1278" i="8"/>
  <c r="BG1278" i="8"/>
  <c r="BG1239" i="8"/>
  <c r="BG1327" i="8"/>
  <c r="BH1327" i="8"/>
  <c r="BG1245" i="8"/>
  <c r="BG1237" i="8"/>
  <c r="BG1233" i="8"/>
  <c r="BG1085" i="8"/>
  <c r="BH1085" i="8"/>
  <c r="BG555" i="8"/>
  <c r="BG805" i="8"/>
  <c r="BG801" i="8"/>
  <c r="BG960" i="8"/>
  <c r="BH960" i="8"/>
  <c r="BG437" i="8"/>
  <c r="BH437" i="8"/>
  <c r="BG1277" i="8"/>
  <c r="BH1277" i="8"/>
  <c r="BH962" i="8"/>
  <c r="BG962" i="8"/>
  <c r="BG176" i="8"/>
  <c r="BG1326" i="8"/>
  <c r="BH1326" i="8"/>
  <c r="BG959" i="8"/>
  <c r="BH959" i="8"/>
  <c r="BH1205" i="8"/>
  <c r="BG1205" i="8"/>
  <c r="BG1064" i="8"/>
  <c r="BG445" i="8"/>
  <c r="BG489" i="8"/>
  <c r="BH489" i="8"/>
  <c r="BH1209" i="8"/>
  <c r="BG1209" i="8"/>
  <c r="BG1322" i="8"/>
  <c r="BH1322" i="8"/>
  <c r="BH1325" i="8"/>
  <c r="BG1325" i="8"/>
  <c r="BG411" i="8"/>
  <c r="BG729" i="8"/>
  <c r="BG867" i="8"/>
  <c r="BG1095" i="8"/>
  <c r="BG394" i="8"/>
  <c r="BG412" i="8"/>
  <c r="BG537" i="8"/>
  <c r="BG1100" i="8"/>
  <c r="BG1219" i="8"/>
  <c r="BG1192" i="8"/>
  <c r="BH1192" i="8"/>
  <c r="BG1226" i="8"/>
  <c r="BG1199" i="8"/>
  <c r="BH1199" i="8"/>
  <c r="BG1222" i="8"/>
  <c r="BG1195" i="8"/>
  <c r="BH1195" i="8"/>
  <c r="BG1218" i="8"/>
  <c r="BH1191" i="8"/>
  <c r="BG1191" i="8"/>
  <c r="BG1215" i="8"/>
  <c r="BG1188" i="8"/>
  <c r="BH1188" i="8"/>
  <c r="BH672" i="8"/>
  <c r="BG672" i="8"/>
  <c r="BG668" i="8"/>
  <c r="BH668" i="8"/>
  <c r="BG664" i="8"/>
  <c r="BH664" i="8"/>
  <c r="BG1112" i="8"/>
  <c r="BG660" i="8"/>
  <c r="BH660" i="8"/>
  <c r="BG1105" i="8"/>
  <c r="BG653" i="8"/>
  <c r="BG1101" i="8"/>
  <c r="BH649" i="8"/>
  <c r="BG649" i="8"/>
  <c r="BG336" i="8"/>
  <c r="BH336" i="8"/>
  <c r="BG1208" i="8"/>
  <c r="BH1208" i="8"/>
  <c r="BG320" i="8"/>
  <c r="BH320" i="8"/>
  <c r="BG1180" i="8"/>
  <c r="BH1180" i="8"/>
  <c r="BG391" i="8"/>
  <c r="BG731" i="8"/>
  <c r="BG427" i="8"/>
  <c r="BG586" i="8"/>
  <c r="BG1174" i="8"/>
  <c r="BH1174" i="8"/>
  <c r="BG1134" i="8"/>
  <c r="BH1134" i="8"/>
  <c r="BH1247" i="8"/>
  <c r="BG1247" i="8"/>
  <c r="BG157" i="8"/>
  <c r="BH1130" i="8"/>
  <c r="BG1130" i="8"/>
  <c r="BG1217" i="8"/>
  <c r="BG1190" i="8"/>
  <c r="BH1190" i="8"/>
  <c r="BG1004" i="8"/>
  <c r="BH1004" i="8"/>
  <c r="BG1232" i="8"/>
  <c r="BG1280" i="8"/>
  <c r="BH1280" i="8"/>
  <c r="BG1229" i="8"/>
  <c r="BG1225" i="8"/>
  <c r="BG1198" i="8"/>
  <c r="BH1198" i="8"/>
  <c r="BG1221" i="8"/>
  <c r="BG1194" i="8"/>
  <c r="BH1194" i="8"/>
  <c r="BG1220" i="8"/>
  <c r="BG1193" i="8"/>
  <c r="BH1193" i="8"/>
  <c r="BG1214" i="8"/>
  <c r="BG1187" i="8"/>
  <c r="BH1187" i="8"/>
  <c r="BH950" i="8"/>
  <c r="BG950" i="8"/>
  <c r="BH671" i="8"/>
  <c r="BG671" i="8"/>
  <c r="BG667" i="8"/>
  <c r="BH667" i="8"/>
  <c r="BG663" i="8"/>
  <c r="BH663" i="8"/>
  <c r="BH640" i="8"/>
  <c r="BG640" i="8"/>
  <c r="BG645" i="8"/>
  <c r="BG410" i="8"/>
  <c r="BH410" i="8"/>
  <c r="BH1184" i="8"/>
  <c r="BG1184" i="8"/>
  <c r="BG1321" i="8"/>
  <c r="BH1321" i="8"/>
  <c r="BG237" i="8"/>
  <c r="BG855" i="8"/>
  <c r="BG1183" i="8"/>
  <c r="BH1183" i="8"/>
  <c r="BG1049" i="8"/>
  <c r="BH1049" i="8"/>
  <c r="BG931" i="8"/>
  <c r="BH931" i="8"/>
  <c r="BG804" i="8"/>
  <c r="BG1179" i="8"/>
  <c r="BH1179" i="8"/>
  <c r="BG1323" i="8"/>
  <c r="BH1323" i="8"/>
  <c r="BG1175" i="8"/>
  <c r="BH1175" i="8"/>
  <c r="BG414" i="8"/>
  <c r="BH1319" i="8"/>
  <c r="BG1319" i="8"/>
  <c r="BG1317" i="8"/>
  <c r="BH1317" i="8"/>
  <c r="BH1147" i="8"/>
  <c r="BG1147" i="8"/>
  <c r="BG1248" i="8"/>
  <c r="BH1248" i="8"/>
  <c r="BG1149" i="8"/>
  <c r="BH1149" i="8"/>
  <c r="BG188" i="8"/>
  <c r="BG1173" i="8"/>
  <c r="BH1173" i="8"/>
  <c r="BG1015" i="8"/>
  <c r="BH1015" i="8"/>
  <c r="BH176" i="8"/>
  <c r="BG1224" i="8"/>
  <c r="BG1197" i="8"/>
  <c r="BH1197" i="8"/>
  <c r="BG666" i="8"/>
  <c r="BH666" i="8"/>
  <c r="BG1114" i="8"/>
  <c r="BH662" i="8"/>
  <c r="BG662" i="8"/>
  <c r="BG1103" i="8"/>
  <c r="BG1091" i="8"/>
  <c r="BG363" i="8"/>
  <c r="BH363" i="8"/>
  <c r="BG854" i="8"/>
  <c r="BG1182" i="8"/>
  <c r="BH1182" i="8"/>
  <c r="BG317" i="8"/>
  <c r="BH317" i="8"/>
  <c r="BG1178" i="8"/>
  <c r="BH1178" i="8"/>
  <c r="BH1177" i="8"/>
  <c r="BG1177" i="8"/>
  <c r="BG189" i="8"/>
  <c r="BG342" i="8"/>
  <c r="BG1153" i="8"/>
  <c r="BH1153" i="8"/>
  <c r="BG1168" i="8"/>
  <c r="BH1168" i="8"/>
  <c r="BG212" i="8"/>
  <c r="BG219" i="8"/>
  <c r="BG375" i="8"/>
  <c r="BG856" i="8"/>
  <c r="BG1269" i="8"/>
  <c r="BG1249" i="8"/>
  <c r="BG58" i="8"/>
  <c r="BH58" i="8"/>
  <c r="BG1148" i="8"/>
  <c r="BH1148" i="8"/>
  <c r="BG111" i="8"/>
  <c r="BG1213" i="8"/>
  <c r="BG1186" i="8"/>
  <c r="BH1186" i="8"/>
  <c r="BG1231" i="8"/>
  <c r="BG1240" i="8"/>
  <c r="BG1227" i="8"/>
  <c r="BG1200" i="8"/>
  <c r="BH1200" i="8"/>
  <c r="BG1223" i="8"/>
  <c r="BG1196" i="8"/>
  <c r="BG1216" i="8"/>
  <c r="BH1189" i="8"/>
  <c r="BG1189" i="8"/>
  <c r="BG1185" i="8"/>
  <c r="BH1185" i="8"/>
  <c r="BG433" i="8"/>
  <c r="BG1024" i="8"/>
  <c r="BH1024" i="8"/>
  <c r="BH1001" i="8"/>
  <c r="BG1001" i="8"/>
  <c r="BG669" i="8"/>
  <c r="BH669" i="8"/>
  <c r="BG665" i="8"/>
  <c r="BH665" i="8"/>
  <c r="BG1106" i="8"/>
  <c r="BG654" i="8"/>
  <c r="BG1098" i="8"/>
  <c r="BG646" i="8"/>
  <c r="BH646" i="8"/>
  <c r="BG626" i="8"/>
  <c r="BH626" i="8"/>
  <c r="BG328" i="8"/>
  <c r="BG999" i="8"/>
  <c r="BH999" i="8"/>
  <c r="BG853" i="8"/>
  <c r="BG1181" i="8"/>
  <c r="BH1181" i="8"/>
  <c r="BG572" i="8"/>
  <c r="BH572" i="8"/>
  <c r="BG332" i="8"/>
  <c r="BG1176" i="8"/>
  <c r="BH1176" i="8"/>
  <c r="BG730" i="8"/>
  <c r="BG330" i="8"/>
  <c r="BG1201" i="8"/>
  <c r="BG746" i="8"/>
  <c r="BG1151" i="8"/>
  <c r="BH1151" i="8"/>
  <c r="BH502" i="8"/>
  <c r="BG502" i="8"/>
  <c r="BG1023" i="8"/>
  <c r="BH1023" i="8"/>
  <c r="BG1022" i="8"/>
  <c r="BH1022" i="8"/>
  <c r="BG1320" i="8"/>
  <c r="BH1320" i="8"/>
  <c r="BG358" i="8"/>
  <c r="BG1155" i="8"/>
  <c r="BH1155" i="8"/>
  <c r="BH280" i="8"/>
  <c r="BG280" i="8"/>
  <c r="BH861" i="8"/>
  <c r="BG861" i="8"/>
  <c r="BG305" i="8"/>
  <c r="BH305" i="8"/>
  <c r="BG306" i="8"/>
  <c r="BH306" i="8"/>
  <c r="BG361" i="8"/>
  <c r="BH361" i="8"/>
  <c r="BG871" i="8"/>
  <c r="BH871" i="8"/>
  <c r="BG60" i="8"/>
  <c r="BG866" i="8"/>
  <c r="BH866" i="8"/>
  <c r="BH304" i="8"/>
  <c r="BG304" i="8"/>
  <c r="AY7" i="8"/>
  <c r="BG7" i="8" s="1"/>
  <c r="BG928" i="8"/>
  <c r="BH928" i="8"/>
  <c r="BG927" i="8"/>
  <c r="BH927" i="8"/>
  <c r="BG894" i="8"/>
  <c r="BH894" i="8"/>
  <c r="BG1171" i="8"/>
  <c r="BH1171" i="8"/>
  <c r="BG1166" i="8"/>
  <c r="BH1166" i="8"/>
  <c r="BG1164" i="8"/>
  <c r="BH1164" i="8"/>
  <c r="BG218" i="8"/>
  <c r="BH218" i="8"/>
  <c r="BG679" i="8"/>
  <c r="BH679" i="8"/>
  <c r="BG806" i="8"/>
  <c r="BH806" i="8"/>
  <c r="BG775" i="8"/>
  <c r="BH775" i="8"/>
  <c r="BG754" i="8"/>
  <c r="BH754" i="8"/>
  <c r="BG751" i="8"/>
  <c r="BH751" i="8"/>
  <c r="BG747" i="8"/>
  <c r="BH747" i="8"/>
  <c r="BG737" i="8"/>
  <c r="BH737" i="8"/>
  <c r="BG735" i="8"/>
  <c r="BH735" i="8"/>
  <c r="BG726" i="8"/>
  <c r="BH726" i="8"/>
  <c r="BG720" i="8"/>
  <c r="BH720" i="8"/>
  <c r="BG574" i="8"/>
  <c r="BH574" i="8"/>
  <c r="BG709" i="8"/>
  <c r="BH709" i="8"/>
  <c r="BG698" i="8"/>
  <c r="BH698" i="8"/>
  <c r="BG1128" i="8"/>
  <c r="BH1128" i="8"/>
  <c r="BG1124" i="8"/>
  <c r="BH1124" i="8"/>
  <c r="BG1120" i="8"/>
  <c r="BH1120" i="8"/>
  <c r="BG1116" i="8"/>
  <c r="BH1116" i="8"/>
  <c r="BG1108" i="8"/>
  <c r="BH1108" i="8"/>
  <c r="BG1097" i="8"/>
  <c r="BH1097" i="8"/>
  <c r="BG1089" i="8"/>
  <c r="BH1089" i="8"/>
  <c r="BG1084" i="8"/>
  <c r="BH1084" i="8"/>
  <c r="BG1077" i="8"/>
  <c r="BH1077" i="8"/>
  <c r="BG1073" i="8"/>
  <c r="BH1073" i="8"/>
  <c r="BG1065" i="8"/>
  <c r="BH1065" i="8"/>
  <c r="BG1061" i="8"/>
  <c r="BH1061" i="8"/>
  <c r="BG563" i="8"/>
  <c r="BH563" i="8"/>
  <c r="BG1054" i="8"/>
  <c r="BH1054" i="8"/>
  <c r="BG1050" i="8"/>
  <c r="BH1050" i="8"/>
  <c r="BG1045" i="8"/>
  <c r="BH1045" i="8"/>
  <c r="BG1041" i="8"/>
  <c r="BH1041" i="8"/>
  <c r="BG1037" i="8"/>
  <c r="BH1037" i="8"/>
  <c r="BG1032" i="8"/>
  <c r="BH1032" i="8"/>
  <c r="BG1028" i="8"/>
  <c r="BH1028" i="8"/>
  <c r="BG551" i="8"/>
  <c r="BH551" i="8"/>
  <c r="BG643" i="8"/>
  <c r="BH643" i="8"/>
  <c r="BG548" i="8"/>
  <c r="BH548" i="8"/>
  <c r="BG1013" i="8"/>
  <c r="BH1013" i="8"/>
  <c r="BG641" i="8"/>
  <c r="BH641" i="8"/>
  <c r="BG1006" i="8"/>
  <c r="BH1006" i="8"/>
  <c r="BG637" i="8"/>
  <c r="BH637" i="8"/>
  <c r="BG998" i="8"/>
  <c r="BH998" i="8"/>
  <c r="BG996" i="8"/>
  <c r="BH996" i="8"/>
  <c r="BG545" i="8"/>
  <c r="BH545" i="8"/>
  <c r="BG989" i="8"/>
  <c r="BH989" i="8"/>
  <c r="BG985" i="8"/>
  <c r="BH985" i="8"/>
  <c r="BG981" i="8"/>
  <c r="BH981" i="8"/>
  <c r="BG630" i="8"/>
  <c r="BH630" i="8"/>
  <c r="BG973" i="8"/>
  <c r="BH973" i="8"/>
  <c r="BG969" i="8"/>
  <c r="BH969" i="8"/>
  <c r="BG966" i="8"/>
  <c r="BH966" i="8"/>
  <c r="BG956" i="8"/>
  <c r="BH956" i="8"/>
  <c r="BG953" i="8"/>
  <c r="BH953" i="8"/>
  <c r="BG948" i="8"/>
  <c r="BH948" i="8"/>
  <c r="BG943" i="8"/>
  <c r="BH943" i="8"/>
  <c r="BG695" i="8"/>
  <c r="BH695" i="8"/>
  <c r="BG689" i="8"/>
  <c r="BH689" i="8"/>
  <c r="BG939" i="8"/>
  <c r="BH939" i="8"/>
  <c r="BG935" i="8"/>
  <c r="BH935" i="8"/>
  <c r="BG622" i="8"/>
  <c r="BH622" i="8"/>
  <c r="BG932" i="8"/>
  <c r="BH932" i="8"/>
  <c r="BG290" i="8"/>
  <c r="BH290" i="8"/>
  <c r="BG912" i="8"/>
  <c r="BH912" i="8"/>
  <c r="BG924" i="8"/>
  <c r="BH924" i="8"/>
  <c r="BG906" i="8"/>
  <c r="BH906" i="8"/>
  <c r="BG686" i="8"/>
  <c r="BH686" i="8"/>
  <c r="BG890" i="8"/>
  <c r="BH890" i="8"/>
  <c r="BG611" i="8"/>
  <c r="BH611" i="8"/>
  <c r="BG610" i="8"/>
  <c r="BH610" i="8"/>
  <c r="BG1141" i="8"/>
  <c r="BH1141" i="8"/>
  <c r="BG494" i="8"/>
  <c r="BH494" i="8"/>
  <c r="BG559" i="8"/>
  <c r="BH559" i="8"/>
  <c r="BG483" i="8"/>
  <c r="BH483" i="8"/>
  <c r="BG918" i="8"/>
  <c r="BH918" i="8"/>
  <c r="BG916" i="8"/>
  <c r="BH916" i="8"/>
  <c r="BG909" i="8"/>
  <c r="BH909" i="8"/>
  <c r="BG902" i="8"/>
  <c r="BH902" i="8"/>
  <c r="BG885" i="8"/>
  <c r="BH885" i="8"/>
  <c r="BG883" i="8"/>
  <c r="BH883" i="8"/>
  <c r="BG881" i="8"/>
  <c r="BH881" i="8"/>
  <c r="BG1142" i="8"/>
  <c r="BH1142" i="8"/>
  <c r="BG858" i="8"/>
  <c r="BH858" i="8"/>
  <c r="BG1146" i="8"/>
  <c r="BH1146" i="8"/>
  <c r="BG1144" i="8"/>
  <c r="BH1144" i="8"/>
  <c r="BG846" i="8"/>
  <c r="BH846" i="8"/>
  <c r="BG275" i="8"/>
  <c r="BH275" i="8"/>
  <c r="BG843" i="8"/>
  <c r="BH843" i="8"/>
  <c r="BG840" i="8"/>
  <c r="BH840" i="8"/>
  <c r="BG877" i="8"/>
  <c r="BH877" i="8"/>
  <c r="BG536" i="8"/>
  <c r="BH536" i="8"/>
  <c r="BG872" i="8"/>
  <c r="BH872" i="8"/>
  <c r="BG869" i="8"/>
  <c r="BH869" i="8"/>
  <c r="BG443" i="8"/>
  <c r="BH443" i="8"/>
  <c r="BG863" i="8"/>
  <c r="BH863" i="8"/>
  <c r="BG115" i="8"/>
  <c r="BH115" i="8"/>
  <c r="BG835" i="8"/>
  <c r="BH835" i="8"/>
  <c r="BG596" i="8"/>
  <c r="BH596" i="8"/>
  <c r="BG809" i="8"/>
  <c r="BH809" i="8"/>
  <c r="BH800" i="8"/>
  <c r="BG450" i="8"/>
  <c r="BH450" i="8"/>
  <c r="BG403" i="8"/>
  <c r="BH403" i="8"/>
  <c r="BG833" i="8"/>
  <c r="BH833" i="8"/>
  <c r="BG831" i="8"/>
  <c r="BH831" i="8"/>
  <c r="BG829" i="8"/>
  <c r="BH829" i="8"/>
  <c r="BG826" i="8"/>
  <c r="BH826" i="8"/>
  <c r="BG376" i="8"/>
  <c r="BH376" i="8"/>
  <c r="BH783" i="8"/>
  <c r="BG782" i="8"/>
  <c r="BH782" i="8"/>
  <c r="BG825" i="8"/>
  <c r="BH825" i="8"/>
  <c r="BG823" i="8"/>
  <c r="BH823" i="8"/>
  <c r="BG1203" i="8"/>
  <c r="BH1203" i="8"/>
  <c r="BG773" i="8"/>
  <c r="BH773" i="8"/>
  <c r="BG352" i="8"/>
  <c r="BH352" i="8"/>
  <c r="BG822" i="8"/>
  <c r="BH822" i="8"/>
  <c r="BG480" i="8"/>
  <c r="BH480" i="8"/>
  <c r="BG479" i="8"/>
  <c r="BH479" i="8"/>
  <c r="BG584" i="8"/>
  <c r="BH584" i="8"/>
  <c r="BG1246" i="8"/>
  <c r="BH1246" i="8"/>
  <c r="BG764" i="8"/>
  <c r="BH764" i="8"/>
  <c r="BG590" i="8"/>
  <c r="BH590" i="8"/>
  <c r="BG760" i="8"/>
  <c r="BH760" i="8"/>
  <c r="BG758" i="8"/>
  <c r="BH758" i="8"/>
  <c r="BG366" i="8"/>
  <c r="BH366" i="8"/>
  <c r="BG793" i="8"/>
  <c r="BH793" i="8"/>
  <c r="BG792" i="8"/>
  <c r="BH792" i="8"/>
  <c r="BG790" i="8"/>
  <c r="BH790" i="8"/>
  <c r="BG471" i="8"/>
  <c r="BH471" i="8"/>
  <c r="BG1156" i="8"/>
  <c r="BH1156" i="8"/>
  <c r="BG252" i="8"/>
  <c r="BH252" i="8"/>
  <c r="BG107" i="8"/>
  <c r="BH107" i="8"/>
  <c r="BG625" i="8"/>
  <c r="BH625" i="8"/>
  <c r="BG588" i="8"/>
  <c r="BH588" i="8"/>
  <c r="BG138" i="8"/>
  <c r="BH138" i="8"/>
  <c r="BG163" i="8"/>
  <c r="BH163" i="8"/>
  <c r="BG98" i="8"/>
  <c r="BH98" i="8"/>
  <c r="BG289" i="8"/>
  <c r="BH289" i="8"/>
  <c r="BG203" i="8"/>
  <c r="BH203" i="8"/>
  <c r="BG1158" i="8"/>
  <c r="BH1158" i="8"/>
  <c r="BG169" i="8"/>
  <c r="BH169" i="8"/>
  <c r="BG532" i="8"/>
  <c r="BH532" i="8"/>
  <c r="BG1159" i="8"/>
  <c r="BH1159" i="8"/>
  <c r="BG384" i="8"/>
  <c r="BH384" i="8"/>
  <c r="BG530" i="8"/>
  <c r="BH530" i="8"/>
  <c r="BG526" i="8"/>
  <c r="BH526" i="8"/>
  <c r="BG373" i="8"/>
  <c r="BH373" i="8"/>
  <c r="BG725" i="8"/>
  <c r="BH725" i="8"/>
  <c r="BG382" i="8"/>
  <c r="BH382" i="8"/>
  <c r="BG524" i="8"/>
  <c r="BH524" i="8"/>
  <c r="BG372" i="8"/>
  <c r="BH372" i="8"/>
  <c r="BG256" i="8"/>
  <c r="BH256" i="8"/>
  <c r="BG153" i="8"/>
  <c r="BH153" i="8"/>
  <c r="BG722" i="8"/>
  <c r="BH722" i="8"/>
  <c r="BG462" i="8"/>
  <c r="BH462" i="8"/>
  <c r="BG576" i="8"/>
  <c r="BH576" i="8"/>
  <c r="BG521" i="8"/>
  <c r="BH521" i="8"/>
  <c r="BG719" i="8"/>
  <c r="BH719" i="8"/>
  <c r="BG318" i="8"/>
  <c r="BH318" i="8"/>
  <c r="BG259" i="8"/>
  <c r="BH259" i="8"/>
  <c r="BG232" i="8"/>
  <c r="BH232" i="8"/>
  <c r="BG362" i="8"/>
  <c r="BH362" i="8"/>
  <c r="BG183" i="8"/>
  <c r="BH183" i="8"/>
  <c r="BG335" i="8"/>
  <c r="BH335" i="8"/>
  <c r="BG210" i="8"/>
  <c r="BH210" i="8"/>
  <c r="BG711" i="8"/>
  <c r="BH711" i="8"/>
  <c r="BG368" i="8"/>
  <c r="BH368" i="8"/>
  <c r="BG402" i="8"/>
  <c r="BH402" i="8"/>
  <c r="BG401" i="8"/>
  <c r="BH401" i="8"/>
  <c r="BG325" i="8"/>
  <c r="BH325" i="8"/>
  <c r="BG397" i="8"/>
  <c r="BH397" i="8"/>
  <c r="BG456" i="8"/>
  <c r="BH456" i="8"/>
  <c r="BG439" i="8"/>
  <c r="BH439" i="8"/>
  <c r="BG644" i="8"/>
  <c r="BH644" i="8"/>
  <c r="BG707" i="8"/>
  <c r="BH707" i="8"/>
  <c r="BG303" i="8"/>
  <c r="BH303" i="8"/>
  <c r="BG227" i="8"/>
  <c r="BH227" i="8"/>
  <c r="BG704" i="8"/>
  <c r="BH704" i="8"/>
  <c r="BG700" i="8"/>
  <c r="BH700" i="8"/>
  <c r="BG365" i="8"/>
  <c r="BH365" i="8"/>
  <c r="BG349" i="8"/>
  <c r="BH349" i="8"/>
  <c r="BG345" i="8"/>
  <c r="BH345" i="8"/>
  <c r="BG167" i="8"/>
  <c r="BH167" i="8"/>
  <c r="BG582" i="8"/>
  <c r="BH582" i="8"/>
  <c r="BG378" i="8"/>
  <c r="BH378" i="8"/>
  <c r="BG95" i="8"/>
  <c r="BH95" i="8"/>
  <c r="BG313" i="8"/>
  <c r="BH313" i="8"/>
  <c r="BG258" i="8"/>
  <c r="BH258" i="8"/>
  <c r="BG215" i="8"/>
  <c r="BH215" i="8"/>
  <c r="BG696" i="8"/>
  <c r="BH696" i="8"/>
  <c r="BG63" i="8"/>
  <c r="BH63" i="8"/>
  <c r="BG286" i="8"/>
  <c r="BH286" i="8"/>
  <c r="BG55" i="8"/>
  <c r="BH55" i="8"/>
  <c r="BG235" i="8"/>
  <c r="BH235" i="8"/>
  <c r="BG80" i="8"/>
  <c r="BH80" i="8"/>
  <c r="BG87" i="8"/>
  <c r="BH87" i="8"/>
  <c r="BG229" i="8"/>
  <c r="BH229" i="8"/>
  <c r="BG81" i="8"/>
  <c r="BH81" i="8"/>
  <c r="BG417" i="8"/>
  <c r="BH417" i="8"/>
  <c r="BG253" i="8"/>
  <c r="BH253" i="8"/>
  <c r="BG323" i="8"/>
  <c r="BH323" i="8"/>
  <c r="BG51" i="8"/>
  <c r="BH51" i="8"/>
  <c r="BG759" i="8"/>
  <c r="BH759" i="8"/>
  <c r="BG66" i="8"/>
  <c r="BH66" i="8"/>
  <c r="BG35" i="8"/>
  <c r="BH35" i="8"/>
  <c r="BG119" i="8"/>
  <c r="BH119" i="8"/>
  <c r="BG273" i="8"/>
  <c r="BH273" i="8"/>
  <c r="BG364" i="8"/>
  <c r="BH364" i="8"/>
  <c r="BG122" i="8"/>
  <c r="BH122" i="8"/>
  <c r="BG101" i="8"/>
  <c r="BH101" i="8"/>
  <c r="BG75" i="8"/>
  <c r="BH75" i="8"/>
  <c r="BG135" i="8"/>
  <c r="BH135" i="8"/>
  <c r="BG173" i="8"/>
  <c r="BH173" i="8"/>
  <c r="BG40" i="8"/>
  <c r="BH40" i="8"/>
  <c r="BG110" i="8"/>
  <c r="BH110" i="8"/>
  <c r="BG29" i="8"/>
  <c r="BH29" i="8"/>
  <c r="BG93" i="8"/>
  <c r="BH93" i="8"/>
  <c r="BG41" i="8"/>
  <c r="BH41" i="8"/>
  <c r="BG38" i="8"/>
  <c r="BH38" i="8"/>
  <c r="BG52" i="8"/>
  <c r="BH52" i="8"/>
  <c r="BG109" i="8"/>
  <c r="BH109" i="8"/>
  <c r="BG84" i="8"/>
  <c r="BH84" i="8"/>
  <c r="BG14" i="8"/>
  <c r="BH14" i="8"/>
  <c r="BG13" i="8"/>
  <c r="BH13" i="8"/>
  <c r="BG11" i="8"/>
  <c r="BH11" i="8"/>
  <c r="BB1213" i="8"/>
  <c r="BG945" i="8"/>
  <c r="BH945" i="8"/>
  <c r="BB1215" i="8"/>
  <c r="BG1136" i="8"/>
  <c r="BH1136" i="8"/>
  <c r="BB1202" i="8"/>
  <c r="BG975" i="8"/>
  <c r="BH975" i="8"/>
  <c r="BB1227" i="8"/>
  <c r="BG674" i="8"/>
  <c r="BH674" i="8"/>
  <c r="BB1297" i="8"/>
  <c r="BG571" i="8"/>
  <c r="BH571" i="8"/>
  <c r="BG892" i="8"/>
  <c r="BH892" i="8"/>
  <c r="BG1033" i="8"/>
  <c r="BH1033" i="8"/>
  <c r="BG334" i="8"/>
  <c r="BH334" i="8"/>
  <c r="BG514" i="8"/>
  <c r="BH514" i="8"/>
  <c r="BG1210" i="8"/>
  <c r="BH1210" i="8"/>
  <c r="BG903" i="8"/>
  <c r="BH903" i="8"/>
  <c r="BG925" i="8"/>
  <c r="BH925" i="8"/>
  <c r="BG893" i="8"/>
  <c r="BH893" i="8"/>
  <c r="BG1170" i="8"/>
  <c r="BH1170" i="8"/>
  <c r="BG174" i="8"/>
  <c r="BH174" i="8"/>
  <c r="BG1163" i="8"/>
  <c r="BH1163" i="8"/>
  <c r="BG1160" i="8"/>
  <c r="BH1160" i="8"/>
  <c r="BG849" i="8"/>
  <c r="BH849" i="8"/>
  <c r="BG795" i="8"/>
  <c r="BH795" i="8"/>
  <c r="BG766" i="8"/>
  <c r="BH766" i="8"/>
  <c r="BG753" i="8"/>
  <c r="BH753" i="8"/>
  <c r="BG750" i="8"/>
  <c r="BH750" i="8"/>
  <c r="BG1150" i="8"/>
  <c r="BH1150" i="8"/>
  <c r="BG736" i="8"/>
  <c r="BH736" i="8"/>
  <c r="BG734" i="8"/>
  <c r="BH734" i="8"/>
  <c r="BG684" i="8"/>
  <c r="BH684" i="8"/>
  <c r="BG715" i="8"/>
  <c r="BH715" i="8"/>
  <c r="BG713" i="8"/>
  <c r="BH713" i="8"/>
  <c r="BG706" i="8"/>
  <c r="BH706" i="8"/>
  <c r="BG697" i="8"/>
  <c r="BH697" i="8"/>
  <c r="BG1127" i="8"/>
  <c r="BH1127" i="8"/>
  <c r="BG1123" i="8"/>
  <c r="BH1123" i="8"/>
  <c r="BG1119" i="8"/>
  <c r="BH1119" i="8"/>
  <c r="BG1115" i="8"/>
  <c r="BH1115" i="8"/>
  <c r="BG1111" i="8"/>
  <c r="BH1111" i="8"/>
  <c r="BG1107" i="8"/>
  <c r="BH1107" i="8"/>
  <c r="BG1104" i="8"/>
  <c r="BH1104" i="8"/>
  <c r="BG1096" i="8"/>
  <c r="BH1096" i="8"/>
  <c r="BG1092" i="8"/>
  <c r="BH1092" i="8"/>
  <c r="BG1088" i="8"/>
  <c r="BH1088" i="8"/>
  <c r="BG1083" i="8"/>
  <c r="BH1083" i="8"/>
  <c r="BG1072" i="8"/>
  <c r="BH1072" i="8"/>
  <c r="BG1068" i="8"/>
  <c r="BH1068" i="8"/>
  <c r="BG1060" i="8"/>
  <c r="BH1060" i="8"/>
  <c r="BG1057" i="8"/>
  <c r="BH1057" i="8"/>
  <c r="BG1053" i="8"/>
  <c r="BH1053" i="8"/>
  <c r="BG1048" i="8"/>
  <c r="BH1048" i="8"/>
  <c r="BG1044" i="8"/>
  <c r="BH1044" i="8"/>
  <c r="BG1040" i="8"/>
  <c r="BH1040" i="8"/>
  <c r="BG1036" i="8"/>
  <c r="BH1036" i="8"/>
  <c r="BG1031" i="8"/>
  <c r="BH1031" i="8"/>
  <c r="BG1027" i="8"/>
  <c r="BH1027" i="8"/>
  <c r="BG550" i="8"/>
  <c r="BH550" i="8"/>
  <c r="BG1020" i="8"/>
  <c r="BH1020" i="8"/>
  <c r="BG547" i="8"/>
  <c r="BH547" i="8"/>
  <c r="BG1012" i="8"/>
  <c r="BH1012" i="8"/>
  <c r="BG1009" i="8"/>
  <c r="BH1009" i="8"/>
  <c r="BG1005" i="8"/>
  <c r="BH1005" i="8"/>
  <c r="BG636" i="8"/>
  <c r="BH636" i="8"/>
  <c r="BG1003" i="8"/>
  <c r="BH1003" i="8"/>
  <c r="BG1000" i="8"/>
  <c r="BH1000" i="8"/>
  <c r="BG546" i="8"/>
  <c r="BH546" i="8"/>
  <c r="BG995" i="8"/>
  <c r="BH995" i="8"/>
  <c r="BG992" i="8"/>
  <c r="BH992" i="8"/>
  <c r="BG988" i="8"/>
  <c r="BH988" i="8"/>
  <c r="BG984" i="8"/>
  <c r="BH984" i="8"/>
  <c r="BG980" i="8"/>
  <c r="BH980" i="8"/>
  <c r="BG974" i="8"/>
  <c r="BH974" i="8"/>
  <c r="BG972" i="8"/>
  <c r="BH972" i="8"/>
  <c r="BG627" i="8"/>
  <c r="BH627" i="8"/>
  <c r="BG955" i="8"/>
  <c r="BH955" i="8"/>
  <c r="BG952" i="8"/>
  <c r="BH952" i="8"/>
  <c r="BG947" i="8"/>
  <c r="BH947" i="8"/>
  <c r="BG942" i="8"/>
  <c r="BH942" i="8"/>
  <c r="BG694" i="8"/>
  <c r="BH694" i="8"/>
  <c r="BG688" i="8"/>
  <c r="BH688" i="8"/>
  <c r="BG938" i="8"/>
  <c r="BH938" i="8"/>
  <c r="BG933" i="8"/>
  <c r="BH933" i="8"/>
  <c r="BG619" i="8"/>
  <c r="BH619" i="8"/>
  <c r="BG915" i="8"/>
  <c r="BH915" i="8"/>
  <c r="BG911" i="8"/>
  <c r="BH911" i="8"/>
  <c r="BG616" i="8"/>
  <c r="BH616" i="8"/>
  <c r="BG905" i="8"/>
  <c r="BH905" i="8"/>
  <c r="BG238" i="8"/>
  <c r="BH238" i="8"/>
  <c r="BG612" i="8"/>
  <c r="BH612" i="8"/>
  <c r="BG898" i="8"/>
  <c r="BH898" i="8"/>
  <c r="BG896" i="8"/>
  <c r="BH896" i="8"/>
  <c r="BG495" i="8"/>
  <c r="BH495" i="8"/>
  <c r="BG1138" i="8"/>
  <c r="BH1138" i="8"/>
  <c r="BG889" i="8"/>
  <c r="BH889" i="8"/>
  <c r="BG923" i="8"/>
  <c r="BH923" i="8"/>
  <c r="BG921" i="8"/>
  <c r="BH921" i="8"/>
  <c r="BG917" i="8"/>
  <c r="BH917" i="8"/>
  <c r="BG540" i="8"/>
  <c r="BH540" i="8"/>
  <c r="BG613" i="8"/>
  <c r="BH613" i="8"/>
  <c r="BG887" i="8"/>
  <c r="BH887" i="8"/>
  <c r="BG393" i="8"/>
  <c r="BH393" i="8"/>
  <c r="BG882" i="8"/>
  <c r="BH882" i="8"/>
  <c r="BG482" i="8"/>
  <c r="BH482" i="8"/>
  <c r="BG606" i="8"/>
  <c r="BH606" i="8"/>
  <c r="BG601" i="8"/>
  <c r="BH601" i="8"/>
  <c r="BG431" i="8"/>
  <c r="BH431" i="8"/>
  <c r="BG449" i="8"/>
  <c r="BH449" i="8"/>
  <c r="BG848" i="8"/>
  <c r="BH848" i="8"/>
  <c r="BG225" i="8"/>
  <c r="BH225" i="8"/>
  <c r="BG333" i="8"/>
  <c r="BH333" i="8"/>
  <c r="BG839" i="8"/>
  <c r="BH839" i="8"/>
  <c r="BG604" i="8"/>
  <c r="BH604" i="8"/>
  <c r="BG875" i="8"/>
  <c r="BH875" i="8"/>
  <c r="BG389" i="8"/>
  <c r="BH389" i="8"/>
  <c r="BG868" i="8"/>
  <c r="BH868" i="8"/>
  <c r="BG603" i="8"/>
  <c r="BH603" i="8"/>
  <c r="BG862" i="8"/>
  <c r="BH862" i="8"/>
  <c r="BG592" i="8"/>
  <c r="BH592" i="8"/>
  <c r="BG591" i="8"/>
  <c r="BH591" i="8"/>
  <c r="BG477" i="8"/>
  <c r="BH477" i="8"/>
  <c r="BG481" i="8"/>
  <c r="BH481" i="8"/>
  <c r="BG808" i="8"/>
  <c r="BH808" i="8"/>
  <c r="BG475" i="8"/>
  <c r="BH475" i="8"/>
  <c r="BG799" i="8"/>
  <c r="BH799" i="8"/>
  <c r="BG556" i="8"/>
  <c r="BH556" i="8"/>
  <c r="BG832" i="8"/>
  <c r="BH832" i="8"/>
  <c r="BG830" i="8"/>
  <c r="BH830" i="8"/>
  <c r="BG828" i="8"/>
  <c r="BH828" i="8"/>
  <c r="BG271" i="8"/>
  <c r="BH271" i="8"/>
  <c r="BG343" i="8"/>
  <c r="BH343" i="8"/>
  <c r="BG496" i="8"/>
  <c r="BH496" i="8"/>
  <c r="BG112" i="8"/>
  <c r="BH112" i="8"/>
  <c r="BG387" i="8"/>
  <c r="BH387" i="8"/>
  <c r="BG587" i="8"/>
  <c r="BH587" i="8"/>
  <c r="BG774" i="8"/>
  <c r="BH774" i="8"/>
  <c r="BG772" i="8"/>
  <c r="BH772" i="8"/>
  <c r="BG770" i="8"/>
  <c r="BH770" i="8"/>
  <c r="BG821" i="8"/>
  <c r="BH821" i="8"/>
  <c r="BG593" i="8"/>
  <c r="BH593" i="8"/>
  <c r="BG816" i="8"/>
  <c r="BH816" i="8"/>
  <c r="BG583" i="8"/>
  <c r="BH583" i="8"/>
  <c r="BG149" i="8"/>
  <c r="BH149" i="8"/>
  <c r="BG108" i="8"/>
  <c r="BH108" i="8"/>
  <c r="BG554" i="8"/>
  <c r="BH554" i="8"/>
  <c r="BG472" i="8"/>
  <c r="BH472" i="8"/>
  <c r="BG811" i="8"/>
  <c r="BH811" i="8"/>
  <c r="BG270" i="8"/>
  <c r="BH270" i="8"/>
  <c r="BG531" i="8"/>
  <c r="BH531" i="8"/>
  <c r="BG344" i="8"/>
  <c r="BH344" i="8"/>
  <c r="BG383" i="8"/>
  <c r="BH383" i="8"/>
  <c r="BG757" i="8"/>
  <c r="BH757" i="8"/>
  <c r="BG1157" i="8"/>
  <c r="BH1157" i="8"/>
  <c r="BG185" i="8"/>
  <c r="BH185" i="8"/>
  <c r="BG1017" i="8"/>
  <c r="BH1017" i="8"/>
  <c r="BG620" i="8"/>
  <c r="BH620" i="8"/>
  <c r="BG543" i="8"/>
  <c r="BH543" i="8"/>
  <c r="BG82" i="8"/>
  <c r="BH82" i="8"/>
  <c r="BG444" i="8"/>
  <c r="BH444" i="8"/>
  <c r="BG978" i="8"/>
  <c r="BH978" i="8"/>
  <c r="BG1131" i="8"/>
  <c r="BH1131" i="8"/>
  <c r="BG279" i="8"/>
  <c r="BH279" i="8"/>
  <c r="BG468" i="8"/>
  <c r="BH468" i="8"/>
  <c r="BG527" i="8"/>
  <c r="BH527" i="8"/>
  <c r="BG589" i="8"/>
  <c r="BH589" i="8"/>
  <c r="BG474" i="8"/>
  <c r="BH474" i="8"/>
  <c r="BG199" i="8"/>
  <c r="BH199" i="8"/>
  <c r="BG728" i="8"/>
  <c r="BH728" i="8"/>
  <c r="BG276" i="8"/>
  <c r="BH276" i="8"/>
  <c r="BG277" i="8"/>
  <c r="BH277" i="8"/>
  <c r="BG426" i="8"/>
  <c r="BH426" i="8"/>
  <c r="BG347" i="8"/>
  <c r="BH347" i="8"/>
  <c r="BG525" i="8"/>
  <c r="BH525" i="8"/>
  <c r="BG523" i="8"/>
  <c r="BH523" i="8"/>
  <c r="BG190" i="8"/>
  <c r="BH190" i="8"/>
  <c r="BG1202" i="8"/>
  <c r="BH1202" i="8"/>
  <c r="BG371" i="8"/>
  <c r="BH371" i="8"/>
  <c r="BG464" i="8"/>
  <c r="BH464" i="8"/>
  <c r="BG724" i="8"/>
  <c r="BH724" i="8"/>
  <c r="BG302" i="8"/>
  <c r="BH302" i="8"/>
  <c r="BG779" i="8"/>
  <c r="BH779" i="8"/>
  <c r="BG379" i="8"/>
  <c r="BH379" i="8"/>
  <c r="BG353" i="8"/>
  <c r="BH353" i="8"/>
  <c r="BG292" i="8"/>
  <c r="BH292" i="8"/>
  <c r="BG717" i="8"/>
  <c r="BH717" i="8"/>
  <c r="BG716" i="8"/>
  <c r="BH716" i="8"/>
  <c r="BG458" i="8"/>
  <c r="BH458" i="8"/>
  <c r="BG485" i="8"/>
  <c r="BH485" i="8"/>
  <c r="BG168" i="8"/>
  <c r="BH168" i="8"/>
  <c r="BG282" i="8"/>
  <c r="BH282" i="8"/>
  <c r="BG326" i="8"/>
  <c r="BH326" i="8"/>
  <c r="BG486" i="8"/>
  <c r="BH486" i="8"/>
  <c r="BG141" i="8"/>
  <c r="BH141" i="8"/>
  <c r="BG248" i="8"/>
  <c r="BH248" i="8"/>
  <c r="BG193" i="8"/>
  <c r="BH193" i="8"/>
  <c r="BG503" i="8"/>
  <c r="BH503" i="8"/>
  <c r="BG200" i="8"/>
  <c r="BH200" i="8"/>
  <c r="BG377" i="8"/>
  <c r="BH377" i="8"/>
  <c r="BG295" i="8"/>
  <c r="BH295" i="8"/>
  <c r="BG703" i="8"/>
  <c r="BH703" i="8"/>
  <c r="BG585" i="8"/>
  <c r="BH585" i="8"/>
  <c r="BG118" i="8"/>
  <c r="BH118" i="8"/>
  <c r="BG396" i="8"/>
  <c r="BH396" i="8"/>
  <c r="BG267" i="8"/>
  <c r="BH267" i="8"/>
  <c r="BG254" i="8"/>
  <c r="BH254" i="8"/>
  <c r="BG207" i="8"/>
  <c r="BH207" i="8"/>
  <c r="BG148" i="8"/>
  <c r="BH148" i="8"/>
  <c r="BG26" i="8"/>
  <c r="BG251" i="8"/>
  <c r="BH251" i="8"/>
  <c r="BG299" i="8"/>
  <c r="BH299" i="8"/>
  <c r="BG400" i="8"/>
  <c r="BH400" i="8"/>
  <c r="BG166" i="8"/>
  <c r="BH166" i="8"/>
  <c r="BG162" i="8"/>
  <c r="BH162" i="8"/>
  <c r="BG691" i="8"/>
  <c r="BH691" i="8"/>
  <c r="BG690" i="8"/>
  <c r="BH690" i="8"/>
  <c r="BG257" i="8"/>
  <c r="BH257" i="8"/>
  <c r="BG106" i="8"/>
  <c r="BH106" i="8"/>
  <c r="BG69" i="8"/>
  <c r="BH69" i="8"/>
  <c r="BG264" i="8"/>
  <c r="BH264" i="8"/>
  <c r="BG104" i="8"/>
  <c r="BH104" i="8"/>
  <c r="BG266" i="8"/>
  <c r="BH266" i="8"/>
  <c r="BG114" i="8"/>
  <c r="BH114" i="8"/>
  <c r="BG209" i="8"/>
  <c r="BH209" i="8"/>
  <c r="BG274" i="8"/>
  <c r="BH274" i="8"/>
  <c r="BG687" i="8"/>
  <c r="BH687" i="8"/>
  <c r="BG156" i="8"/>
  <c r="BH156" i="8"/>
  <c r="BG124" i="8"/>
  <c r="BH124" i="8"/>
  <c r="BG158" i="8"/>
  <c r="BH158" i="8"/>
  <c r="BG64" i="8"/>
  <c r="BH64" i="8"/>
  <c r="BG197" i="8"/>
  <c r="BH197" i="8"/>
  <c r="BG92" i="8"/>
  <c r="BH92" i="8"/>
  <c r="BG311" i="8"/>
  <c r="BH311" i="8"/>
  <c r="BG99" i="8"/>
  <c r="BH99" i="8"/>
  <c r="BG76" i="8"/>
  <c r="BH76" i="8"/>
  <c r="BG62" i="8"/>
  <c r="BH62" i="8"/>
  <c r="BG103" i="8"/>
  <c r="BH103" i="8"/>
  <c r="BG97" i="8"/>
  <c r="BH97" i="8"/>
  <c r="BG140" i="8"/>
  <c r="BH140" i="8"/>
  <c r="BG9" i="8"/>
  <c r="BH9" i="8"/>
  <c r="BG171" i="8"/>
  <c r="BH171" i="8"/>
  <c r="BG89" i="8"/>
  <c r="BH89" i="8"/>
  <c r="BG53" i="8"/>
  <c r="BH53" i="8"/>
  <c r="BG22" i="8"/>
  <c r="BH22" i="8"/>
  <c r="BG20" i="8"/>
  <c r="BH20" i="8"/>
  <c r="BG15" i="8"/>
  <c r="BH15" i="8"/>
  <c r="BG10" i="8"/>
  <c r="BH10" i="8"/>
  <c r="BB360" i="8"/>
  <c r="BG360" i="8"/>
  <c r="BH360" i="8"/>
  <c r="BB258" i="8"/>
  <c r="BG308" i="8"/>
  <c r="BH308" i="8"/>
  <c r="BB469" i="8"/>
  <c r="BG435" i="8"/>
  <c r="BH435" i="8"/>
  <c r="BB208" i="8"/>
  <c r="BG944" i="8"/>
  <c r="BH944" i="8"/>
  <c r="BB1203" i="8"/>
  <c r="BG964" i="8"/>
  <c r="BH964" i="8"/>
  <c r="BB1230" i="8"/>
  <c r="BG965" i="8"/>
  <c r="BG500" i="8"/>
  <c r="BH500" i="8"/>
  <c r="BG244" i="8"/>
  <c r="BH244" i="8"/>
  <c r="BG930" i="8"/>
  <c r="BH930" i="8"/>
  <c r="BG436" i="8"/>
  <c r="BH436" i="8"/>
  <c r="BG56" i="8"/>
  <c r="BH56" i="8"/>
  <c r="BG434" i="8"/>
  <c r="BH434" i="8"/>
  <c r="BG929" i="8"/>
  <c r="BH929" i="8"/>
  <c r="BG1133" i="8"/>
  <c r="BH1133" i="8"/>
  <c r="BG914" i="8"/>
  <c r="BH914" i="8"/>
  <c r="BG567" i="8"/>
  <c r="BH567" i="8"/>
  <c r="BG1169" i="8"/>
  <c r="BH1169" i="8"/>
  <c r="BG1165" i="8"/>
  <c r="BH1165" i="8"/>
  <c r="BG1162" i="8"/>
  <c r="BH1162" i="8"/>
  <c r="BG682" i="8"/>
  <c r="BH682" i="8"/>
  <c r="BG845" i="8"/>
  <c r="BH845" i="8"/>
  <c r="BG788" i="8"/>
  <c r="BH788" i="8"/>
  <c r="BG765" i="8"/>
  <c r="BH765" i="8"/>
  <c r="BG752" i="8"/>
  <c r="BH752" i="8"/>
  <c r="BG749" i="8"/>
  <c r="BH749" i="8"/>
  <c r="BG683" i="8"/>
  <c r="BH683" i="8"/>
  <c r="BG1145" i="8"/>
  <c r="BH1145" i="8"/>
  <c r="BG739" i="8"/>
  <c r="BH739" i="8"/>
  <c r="BG457" i="8"/>
  <c r="BH457" i="8"/>
  <c r="BG712" i="8"/>
  <c r="BH712" i="8"/>
  <c r="BG699" i="8"/>
  <c r="BH699" i="8"/>
  <c r="BG565" i="8"/>
  <c r="BH565" i="8"/>
  <c r="BG1126" i="8"/>
  <c r="BH1126" i="8"/>
  <c r="BG1122" i="8"/>
  <c r="BH1122" i="8"/>
  <c r="BG1118" i="8"/>
  <c r="BH1118" i="8"/>
  <c r="BG1110" i="8"/>
  <c r="BH1110" i="8"/>
  <c r="BG564" i="8"/>
  <c r="BH564" i="8"/>
  <c r="BG1087" i="8"/>
  <c r="BH1087" i="8"/>
  <c r="BG1082" i="8"/>
  <c r="BH1082" i="8"/>
  <c r="BG1067" i="8"/>
  <c r="BH1067" i="8"/>
  <c r="BG1059" i="8"/>
  <c r="BH1059" i="8"/>
  <c r="BG1056" i="8"/>
  <c r="BH1056" i="8"/>
  <c r="BG1047" i="8"/>
  <c r="BH1047" i="8"/>
  <c r="BG1043" i="8"/>
  <c r="BH1043" i="8"/>
  <c r="BG1039" i="8"/>
  <c r="BH1039" i="8"/>
  <c r="BG1035" i="8"/>
  <c r="BH1035" i="8"/>
  <c r="BG1030" i="8"/>
  <c r="BH1030" i="8"/>
  <c r="BG220" i="8"/>
  <c r="BH220" i="8"/>
  <c r="BG1019" i="8"/>
  <c r="BH1019" i="8"/>
  <c r="BG390" i="8"/>
  <c r="BH390" i="8"/>
  <c r="BG1011" i="8"/>
  <c r="BH1011" i="8"/>
  <c r="BG1008" i="8"/>
  <c r="BH1008" i="8"/>
  <c r="BG639" i="8"/>
  <c r="BH639" i="8"/>
  <c r="BG635" i="8"/>
  <c r="BH635" i="8"/>
  <c r="BG631" i="8"/>
  <c r="BH631" i="8"/>
  <c r="BG994" i="8"/>
  <c r="BH994" i="8"/>
  <c r="BG991" i="8"/>
  <c r="BH991" i="8"/>
  <c r="BG987" i="8"/>
  <c r="BH987" i="8"/>
  <c r="BG983" i="8"/>
  <c r="BH983" i="8"/>
  <c r="BG979" i="8"/>
  <c r="BH979" i="8"/>
  <c r="BG629" i="8"/>
  <c r="BH629" i="8"/>
  <c r="BG968" i="8"/>
  <c r="BH968" i="8"/>
  <c r="BG958" i="8"/>
  <c r="BH958" i="8"/>
  <c r="BG954" i="8"/>
  <c r="BH954" i="8"/>
  <c r="BG951" i="8"/>
  <c r="BH951" i="8"/>
  <c r="BG946" i="8"/>
  <c r="BH946" i="8"/>
  <c r="BG941" i="8"/>
  <c r="BH941" i="8"/>
  <c r="BG693" i="8"/>
  <c r="BH693" i="8"/>
  <c r="BG926" i="8"/>
  <c r="BH926" i="8"/>
  <c r="BG937" i="8"/>
  <c r="BH937" i="8"/>
  <c r="BG623" i="8"/>
  <c r="BH623" i="8"/>
  <c r="BG621" i="8"/>
  <c r="BH621" i="8"/>
  <c r="BG618" i="8"/>
  <c r="BH618" i="8"/>
  <c r="BG562" i="8"/>
  <c r="BH562" i="8"/>
  <c r="BG329" i="8"/>
  <c r="BH329" i="8"/>
  <c r="BG408" i="8"/>
  <c r="BH408" i="8"/>
  <c r="BG217" i="8"/>
  <c r="BH217" i="8"/>
  <c r="BG1279" i="8"/>
  <c r="BH1279" i="8"/>
  <c r="BG900" i="8"/>
  <c r="BH900" i="8"/>
  <c r="BG897" i="8"/>
  <c r="BH897" i="8"/>
  <c r="BG452" i="8"/>
  <c r="BH452" i="8"/>
  <c r="BG1140" i="8"/>
  <c r="BH1140" i="8"/>
  <c r="BG484" i="8"/>
  <c r="BH484" i="8"/>
  <c r="BG558" i="8"/>
  <c r="BH558" i="8"/>
  <c r="BG922" i="8"/>
  <c r="BH922" i="8"/>
  <c r="BG920" i="8"/>
  <c r="BH920" i="8"/>
  <c r="BG542" i="8"/>
  <c r="BH542" i="8"/>
  <c r="BG539" i="8"/>
  <c r="BH539" i="8"/>
  <c r="BG908" i="8"/>
  <c r="BH908" i="8"/>
  <c r="BG407" i="8"/>
  <c r="BH407" i="8"/>
  <c r="BG609" i="8"/>
  <c r="BH609" i="8"/>
  <c r="BG451" i="8"/>
  <c r="BH451" i="8"/>
  <c r="BG608" i="8"/>
  <c r="BH608" i="8"/>
  <c r="BG538" i="8"/>
  <c r="BH538" i="8"/>
  <c r="BG880" i="8"/>
  <c r="BH880" i="8"/>
  <c r="BG860" i="8"/>
  <c r="BH860" i="8"/>
  <c r="BG857" i="8"/>
  <c r="BH857" i="8"/>
  <c r="BG852" i="8"/>
  <c r="BH852" i="8"/>
  <c r="BG847" i="8"/>
  <c r="BH847" i="8"/>
  <c r="BG1143" i="8"/>
  <c r="BH1143" i="8"/>
  <c r="BG404" i="8"/>
  <c r="BH404" i="8"/>
  <c r="BG842" i="8"/>
  <c r="BH842" i="8"/>
  <c r="BG878" i="8"/>
  <c r="BH878" i="8"/>
  <c r="BG876" i="8"/>
  <c r="BH876" i="8"/>
  <c r="BG874" i="8"/>
  <c r="BH874" i="8"/>
  <c r="BG535" i="8"/>
  <c r="BH535" i="8"/>
  <c r="BG865" i="8"/>
  <c r="BH865" i="8"/>
  <c r="BG602" i="8"/>
  <c r="BH602" i="8"/>
  <c r="BG478" i="8"/>
  <c r="BH478" i="8"/>
  <c r="BG357" i="8"/>
  <c r="BH357" i="8"/>
  <c r="BG476" i="8"/>
  <c r="BH476" i="8"/>
  <c r="BG807" i="8"/>
  <c r="BH807" i="8"/>
  <c r="BG803" i="8"/>
  <c r="BH803" i="8"/>
  <c r="BG356" i="8"/>
  <c r="BH356" i="8"/>
  <c r="BG798" i="8"/>
  <c r="BH798" i="8"/>
  <c r="BG797" i="8"/>
  <c r="BH797" i="8"/>
  <c r="BG430" i="8"/>
  <c r="BH430" i="8"/>
  <c r="BG595" i="8"/>
  <c r="BH595" i="8"/>
  <c r="BG533" i="8"/>
  <c r="BH533" i="8"/>
  <c r="BG249" i="8"/>
  <c r="BH249" i="8"/>
  <c r="BG594" i="8"/>
  <c r="BH594" i="8"/>
  <c r="BG413" i="8"/>
  <c r="BH413" i="8"/>
  <c r="BG780" i="8"/>
  <c r="BH780" i="8"/>
  <c r="BG778" i="8"/>
  <c r="BH778" i="8"/>
  <c r="BG777" i="8"/>
  <c r="BH777" i="8"/>
  <c r="BG820" i="8"/>
  <c r="BH820" i="8"/>
  <c r="BG818" i="8"/>
  <c r="BH818" i="8"/>
  <c r="BG815" i="8"/>
  <c r="BH815" i="8"/>
  <c r="BG814" i="8"/>
  <c r="BH814" i="8"/>
  <c r="BG294" i="8"/>
  <c r="BH294" i="8"/>
  <c r="BG422" i="8"/>
  <c r="BH422" i="8"/>
  <c r="BG399" i="8"/>
  <c r="BH399" i="8"/>
  <c r="BG794" i="8"/>
  <c r="BH794" i="8"/>
  <c r="BG791" i="8"/>
  <c r="BH791" i="8"/>
  <c r="BG272" i="8"/>
  <c r="BH272" i="8"/>
  <c r="BG327" i="8"/>
  <c r="BH327" i="8"/>
  <c r="BG756" i="8"/>
  <c r="BH756" i="8"/>
  <c r="BG340" i="8"/>
  <c r="BH340" i="8"/>
  <c r="BG319" i="8"/>
  <c r="BH319" i="8"/>
  <c r="BG231" i="8"/>
  <c r="BH231" i="8"/>
  <c r="BG745" i="8"/>
  <c r="BH745" i="8"/>
  <c r="BG529" i="8"/>
  <c r="BH529" i="8"/>
  <c r="BG742" i="8"/>
  <c r="BH742" i="8"/>
  <c r="BG740" i="8"/>
  <c r="BH740" i="8"/>
  <c r="BG552" i="8"/>
  <c r="BH552" i="8"/>
  <c r="BG355" i="8"/>
  <c r="BH355" i="8"/>
  <c r="BG469" i="8"/>
  <c r="BH469" i="8"/>
  <c r="BG578" i="8"/>
  <c r="BH578" i="8"/>
  <c r="BG296" i="8"/>
  <c r="BH296" i="8"/>
  <c r="BG466" i="8"/>
  <c r="BH466" i="8"/>
  <c r="BG381" i="8"/>
  <c r="BH381" i="8"/>
  <c r="BG287" i="8"/>
  <c r="BH287" i="8"/>
  <c r="BG288" i="8"/>
  <c r="BH288" i="8"/>
  <c r="BG569" i="8"/>
  <c r="BH569" i="8"/>
  <c r="BG315" i="8"/>
  <c r="BH315" i="8"/>
  <c r="BG577" i="8"/>
  <c r="BH577" i="8"/>
  <c r="BG786" i="8"/>
  <c r="BH786" i="8"/>
  <c r="BG781" i="8"/>
  <c r="BH781" i="8"/>
  <c r="BG425" i="8"/>
  <c r="BH425" i="8"/>
  <c r="BG88" i="8"/>
  <c r="BH88" i="8"/>
  <c r="BG346" i="8"/>
  <c r="BH346" i="8"/>
  <c r="BG721" i="8"/>
  <c r="BH721" i="8"/>
  <c r="BG421" i="8"/>
  <c r="BH421" i="8"/>
  <c r="BG522" i="8"/>
  <c r="BH522" i="8"/>
  <c r="BG211" i="8"/>
  <c r="BH211" i="8"/>
  <c r="BG718" i="8"/>
  <c r="BH718" i="8"/>
  <c r="BG182" i="8"/>
  <c r="BH182" i="8"/>
  <c r="BG460" i="8"/>
  <c r="BH460" i="8"/>
  <c r="BG255" i="8"/>
  <c r="BH255" i="8"/>
  <c r="BG519" i="8"/>
  <c r="BH519" i="8"/>
  <c r="BG204" i="8"/>
  <c r="BH204" i="8"/>
  <c r="BG202" i="8"/>
  <c r="BH202" i="8"/>
  <c r="BG116" i="8"/>
  <c r="BH116" i="8"/>
  <c r="BG214" i="8"/>
  <c r="BH214" i="8"/>
  <c r="BG130" i="8"/>
  <c r="BH130" i="8"/>
  <c r="BG708" i="8"/>
  <c r="BH708" i="8"/>
  <c r="BG126" i="8"/>
  <c r="BH126" i="8"/>
  <c r="BG79" i="8"/>
  <c r="BH79" i="8"/>
  <c r="BG228" i="8"/>
  <c r="BH228" i="8"/>
  <c r="BG201" i="8"/>
  <c r="BH201" i="8"/>
  <c r="BG196" i="8"/>
  <c r="BH196" i="8"/>
  <c r="BG94" i="8"/>
  <c r="BH94" i="8"/>
  <c r="BG133" i="8"/>
  <c r="BH133" i="8"/>
  <c r="BG230" i="8"/>
  <c r="BH230" i="8"/>
  <c r="BG702" i="8"/>
  <c r="BH702" i="8"/>
  <c r="BG455" i="8"/>
  <c r="BH455" i="8"/>
  <c r="BG155" i="8"/>
  <c r="BH155" i="8"/>
  <c r="BG322" i="8"/>
  <c r="BH322" i="8"/>
  <c r="BG246" i="8"/>
  <c r="BH246" i="8"/>
  <c r="BG262" i="8"/>
  <c r="BH262" i="8"/>
  <c r="BG245" i="8"/>
  <c r="BH245" i="8"/>
  <c r="BG161" i="8"/>
  <c r="BH161" i="8"/>
  <c r="BG348" i="8"/>
  <c r="BH348" i="8"/>
  <c r="BG198" i="8"/>
  <c r="BH198" i="8"/>
  <c r="BG208" i="8"/>
  <c r="BH208" i="8"/>
  <c r="BG762" i="8"/>
  <c r="BH762" i="8"/>
  <c r="BG151" i="8"/>
  <c r="BH151" i="8"/>
  <c r="BG234" i="8"/>
  <c r="BH234" i="8"/>
  <c r="BG164" i="8"/>
  <c r="BH164" i="8"/>
  <c r="BG490" i="8"/>
  <c r="BH490" i="8"/>
  <c r="BG418" i="8"/>
  <c r="BH418" i="8"/>
  <c r="BG105" i="8"/>
  <c r="BH105" i="8"/>
  <c r="BG24" i="8"/>
  <c r="BH24" i="8"/>
  <c r="BG324" i="8"/>
  <c r="BH324" i="8"/>
  <c r="BG86" i="8"/>
  <c r="BH86" i="8"/>
  <c r="BG312" i="8"/>
  <c r="BH312" i="8"/>
  <c r="BG143" i="8"/>
  <c r="BH143" i="8"/>
  <c r="BG142" i="8"/>
  <c r="BH142" i="8"/>
  <c r="BG240" i="8"/>
  <c r="BH240" i="8"/>
  <c r="BG139" i="8"/>
  <c r="BH139" i="8"/>
  <c r="BG580" i="8"/>
  <c r="BH580" i="8"/>
  <c r="BG265" i="8"/>
  <c r="BH265" i="8"/>
  <c r="BG160" i="8"/>
  <c r="BH160" i="8"/>
  <c r="BG100" i="8"/>
  <c r="BH100" i="8"/>
  <c r="BG68" i="8"/>
  <c r="BH68" i="8"/>
  <c r="BG117" i="8"/>
  <c r="BH117" i="8"/>
  <c r="BG90" i="8"/>
  <c r="BH90" i="8"/>
  <c r="BG39" i="8"/>
  <c r="BH39" i="8"/>
  <c r="BH37" i="8"/>
  <c r="BG78" i="8"/>
  <c r="BH78" i="8"/>
  <c r="BG48" i="8"/>
  <c r="BH48" i="8"/>
  <c r="BG123" i="8"/>
  <c r="BG102" i="8"/>
  <c r="BH102" i="8"/>
  <c r="BG250" i="8"/>
  <c r="BH250" i="8"/>
  <c r="BG43" i="8"/>
  <c r="BH43" i="8"/>
  <c r="BG21" i="8"/>
  <c r="BH21" i="8"/>
  <c r="BG31" i="8"/>
  <c r="BH31" i="8"/>
  <c r="BB1238" i="8"/>
  <c r="BG675" i="8"/>
  <c r="BH675" i="8"/>
  <c r="BB522" i="8"/>
  <c r="BG1251" i="8"/>
  <c r="BB1140" i="8"/>
  <c r="BG395" i="8"/>
  <c r="BH395" i="8"/>
  <c r="BB91" i="8"/>
  <c r="BG239" i="8"/>
  <c r="BH239" i="8"/>
  <c r="BB1300" i="8"/>
  <c r="BG1318" i="8"/>
  <c r="BH1318" i="8"/>
  <c r="BG677" i="8"/>
  <c r="BH677" i="8"/>
  <c r="BG1211" i="8"/>
  <c r="BH1211" i="8"/>
  <c r="BG676" i="8"/>
  <c r="BH676" i="8"/>
  <c r="BG670" i="8"/>
  <c r="BH670" i="8"/>
  <c r="BG516" i="8"/>
  <c r="BH516" i="8"/>
  <c r="BG1258" i="8"/>
  <c r="BH1258" i="8"/>
  <c r="BG1228" i="8"/>
  <c r="BH1228" i="8"/>
  <c r="BG652" i="8"/>
  <c r="BH652" i="8"/>
  <c r="BG307" i="8"/>
  <c r="BH307" i="8"/>
  <c r="BG651" i="8"/>
  <c r="BH651" i="8"/>
  <c r="BG309" i="8"/>
  <c r="BH309" i="8"/>
  <c r="BG769" i="8"/>
  <c r="BH769" i="8"/>
  <c r="BG316" i="8"/>
  <c r="BH316" i="8"/>
  <c r="BG1212" i="8"/>
  <c r="BH1212" i="8"/>
  <c r="BG409" i="8"/>
  <c r="BH409" i="8"/>
  <c r="BG901" i="8"/>
  <c r="BH901" i="8"/>
  <c r="BG1172" i="8"/>
  <c r="BH1172" i="8"/>
  <c r="BG1167" i="8"/>
  <c r="BH1167" i="8"/>
  <c r="BG566" i="8"/>
  <c r="BH566" i="8"/>
  <c r="BG1161" i="8"/>
  <c r="BH1161" i="8"/>
  <c r="BG681" i="8"/>
  <c r="BH681" i="8"/>
  <c r="BG844" i="8"/>
  <c r="BH844" i="8"/>
  <c r="BG787" i="8"/>
  <c r="BH787" i="8"/>
  <c r="BG755" i="8"/>
  <c r="BH755" i="8"/>
  <c r="BG1154" i="8"/>
  <c r="BH1154" i="8"/>
  <c r="BG748" i="8"/>
  <c r="BH748" i="8"/>
  <c r="BG744" i="8"/>
  <c r="BH744" i="8"/>
  <c r="BG648" i="8"/>
  <c r="BH648" i="8"/>
  <c r="BG727" i="8"/>
  <c r="BH727" i="8"/>
  <c r="BG723" i="8"/>
  <c r="BH723" i="8"/>
  <c r="BG714" i="8"/>
  <c r="BH714" i="8"/>
  <c r="BG710" i="8"/>
  <c r="BH710" i="8"/>
  <c r="BG1132" i="8"/>
  <c r="BH1132" i="8"/>
  <c r="BG1129" i="8"/>
  <c r="BH1129" i="8"/>
  <c r="BG1125" i="8"/>
  <c r="BH1125" i="8"/>
  <c r="BG1121" i="8"/>
  <c r="BH1121" i="8"/>
  <c r="BG1117" i="8"/>
  <c r="BH1117" i="8"/>
  <c r="BG1113" i="8"/>
  <c r="BH1113" i="8"/>
  <c r="BG1109" i="8"/>
  <c r="BH1109" i="8"/>
  <c r="BG1102" i="8"/>
  <c r="BH1102" i="8"/>
  <c r="BG1090" i="8"/>
  <c r="BH1090" i="8"/>
  <c r="BG1078" i="8"/>
  <c r="BH1078" i="8"/>
  <c r="BG1074" i="8"/>
  <c r="BH1074" i="8"/>
  <c r="BG1070" i="8"/>
  <c r="BH1070" i="8"/>
  <c r="BG1066" i="8"/>
  <c r="BH1066" i="8"/>
  <c r="BG1062" i="8"/>
  <c r="BH1062" i="8"/>
  <c r="BG1058" i="8"/>
  <c r="BH1058" i="8"/>
  <c r="BG1055" i="8"/>
  <c r="BH1055" i="8"/>
  <c r="BG1051" i="8"/>
  <c r="BH1051" i="8"/>
  <c r="BG1046" i="8"/>
  <c r="BH1046" i="8"/>
  <c r="BG1042" i="8"/>
  <c r="BH1042" i="8"/>
  <c r="BG1038" i="8"/>
  <c r="BH1038" i="8"/>
  <c r="BG1034" i="8"/>
  <c r="BH1034" i="8"/>
  <c r="BG1029" i="8"/>
  <c r="BH1029" i="8"/>
  <c r="BG175" i="8"/>
  <c r="BH175" i="8"/>
  <c r="BG1021" i="8"/>
  <c r="BH1021" i="8"/>
  <c r="BG1018" i="8"/>
  <c r="BH1018" i="8"/>
  <c r="BG1014" i="8"/>
  <c r="BH1014" i="8"/>
  <c r="BG1010" i="8"/>
  <c r="BH1010" i="8"/>
  <c r="BG1007" i="8"/>
  <c r="BH1007" i="8"/>
  <c r="BG638" i="8"/>
  <c r="BH638" i="8"/>
  <c r="BG634" i="8"/>
  <c r="BH634" i="8"/>
  <c r="BG1002" i="8"/>
  <c r="BH1002" i="8"/>
  <c r="BG997" i="8"/>
  <c r="BH997" i="8"/>
  <c r="BG993" i="8"/>
  <c r="BH993" i="8"/>
  <c r="BG990" i="8"/>
  <c r="BH990" i="8"/>
  <c r="BG986" i="8"/>
  <c r="BH986" i="8"/>
  <c r="BG982" i="8"/>
  <c r="BH982" i="8"/>
  <c r="BG977" i="8"/>
  <c r="BH977" i="8"/>
  <c r="BG628" i="8"/>
  <c r="BH628" i="8"/>
  <c r="BG970" i="8"/>
  <c r="BH970" i="8"/>
  <c r="BG967" i="8"/>
  <c r="BH967" i="8"/>
  <c r="BG957" i="8"/>
  <c r="BH957" i="8"/>
  <c r="BG544" i="8"/>
  <c r="BH544" i="8"/>
  <c r="BG339" i="8"/>
  <c r="BH339" i="8"/>
  <c r="BG940" i="8"/>
  <c r="BH940" i="8"/>
  <c r="BG692" i="8"/>
  <c r="BH692" i="8"/>
  <c r="BG936" i="8"/>
  <c r="BH936" i="8"/>
  <c r="BG934" i="8"/>
  <c r="BH934" i="8"/>
  <c r="BG260" i="8"/>
  <c r="BH260" i="8"/>
  <c r="BG913" i="8"/>
  <c r="BH913" i="8"/>
  <c r="BG263" i="8"/>
  <c r="BH263" i="8"/>
  <c r="BG904" i="8"/>
  <c r="BH904" i="8"/>
  <c r="BG891" i="8"/>
  <c r="BH891" i="8"/>
  <c r="BG899" i="8"/>
  <c r="BH899" i="8"/>
  <c r="BG561" i="8"/>
  <c r="BH561" i="8"/>
  <c r="BG895" i="8"/>
  <c r="BH895" i="8"/>
  <c r="BG1139" i="8"/>
  <c r="BH1139" i="8"/>
  <c r="BG560" i="8"/>
  <c r="BH560" i="8"/>
  <c r="BG888" i="8"/>
  <c r="BH888" i="8"/>
  <c r="BG919" i="8"/>
  <c r="BH919" i="8"/>
  <c r="BG541" i="8"/>
  <c r="BH541" i="8"/>
  <c r="BG910" i="8"/>
  <c r="BH910" i="8"/>
  <c r="BG907" i="8"/>
  <c r="BH907" i="8"/>
  <c r="BG886" i="8"/>
  <c r="BH886" i="8"/>
  <c r="BG884" i="8"/>
  <c r="BH884" i="8"/>
  <c r="BG864" i="8"/>
  <c r="BH864" i="8"/>
  <c r="BG879" i="8"/>
  <c r="BH879" i="8"/>
  <c r="BG859" i="8"/>
  <c r="BH859" i="8"/>
  <c r="BG600" i="8"/>
  <c r="BH600" i="8"/>
  <c r="BG851" i="8"/>
  <c r="BH851" i="8"/>
  <c r="BG557" i="8"/>
  <c r="BH557" i="8"/>
  <c r="BG599" i="8"/>
  <c r="BH599" i="8"/>
  <c r="BG598" i="8"/>
  <c r="BH598" i="8"/>
  <c r="BG841" i="8"/>
  <c r="BH841" i="8"/>
  <c r="BG605" i="8"/>
  <c r="BH605" i="8"/>
  <c r="BG873" i="8"/>
  <c r="BH873" i="8"/>
  <c r="BG870" i="8"/>
  <c r="BH870" i="8"/>
  <c r="BG424" i="8"/>
  <c r="BH424" i="8"/>
  <c r="BG388" i="8"/>
  <c r="BH388" i="8"/>
  <c r="BG838" i="8"/>
  <c r="BH838" i="8"/>
  <c r="BG837" i="8"/>
  <c r="BH837" i="8"/>
  <c r="BG836" i="8"/>
  <c r="BH836" i="8"/>
  <c r="BG834" i="8"/>
  <c r="BH834" i="8"/>
  <c r="BG810" i="8"/>
  <c r="BH810" i="8"/>
  <c r="BG465" i="8"/>
  <c r="BH465" i="8"/>
  <c r="BG802" i="8"/>
  <c r="BH802" i="8"/>
  <c r="BG448" i="8"/>
  <c r="BH448" i="8"/>
  <c r="BG447" i="8"/>
  <c r="BH447" i="8"/>
  <c r="BG796" i="8"/>
  <c r="BH796" i="8"/>
  <c r="BG680" i="8"/>
  <c r="BH680" i="8"/>
  <c r="BG534" i="8"/>
  <c r="BH534" i="8"/>
  <c r="BG442" i="8"/>
  <c r="BH442" i="8"/>
  <c r="BG827" i="8"/>
  <c r="BH827" i="8"/>
  <c r="BG784" i="8"/>
  <c r="BH784" i="8"/>
  <c r="BG405" i="8"/>
  <c r="BH405" i="8"/>
  <c r="BG824" i="8"/>
  <c r="BH824" i="8"/>
  <c r="BG242" i="8"/>
  <c r="BH242" i="8"/>
  <c r="BG776" i="8"/>
  <c r="BH776" i="8"/>
  <c r="BG771" i="8"/>
  <c r="BH771" i="8"/>
  <c r="BG429" i="8"/>
  <c r="BH429" i="8"/>
  <c r="BG819" i="8"/>
  <c r="BH819" i="8"/>
  <c r="BG817" i="8"/>
  <c r="BH817" i="8"/>
  <c r="BG386" i="8"/>
  <c r="BH386" i="8"/>
  <c r="BG1152" i="8"/>
  <c r="BH1152" i="8"/>
  <c r="BG813" i="8"/>
  <c r="BH813" i="8"/>
  <c r="BG812" i="8"/>
  <c r="BH812" i="8"/>
  <c r="BG293" i="8"/>
  <c r="BH293" i="8"/>
  <c r="BG236" i="8"/>
  <c r="BH236" i="8"/>
  <c r="BG341" i="8"/>
  <c r="BH341" i="8"/>
  <c r="BG297" i="8"/>
  <c r="BH297" i="8"/>
  <c r="BG579" i="8"/>
  <c r="BH579" i="8"/>
  <c r="BG650" i="8"/>
  <c r="BH650" i="8"/>
  <c r="BG470" i="8"/>
  <c r="BH470" i="8"/>
  <c r="BG191" i="8"/>
  <c r="BH191" i="8"/>
  <c r="BG331" i="8"/>
  <c r="BH331" i="8"/>
  <c r="BG184" i="8"/>
  <c r="BH184" i="8"/>
  <c r="BG528" i="8"/>
  <c r="BH528" i="8"/>
  <c r="BG741" i="8"/>
  <c r="BH741" i="8"/>
  <c r="BG205" i="8"/>
  <c r="BH205" i="8"/>
  <c r="BG120" i="8"/>
  <c r="BH120" i="8"/>
  <c r="BG467" i="8"/>
  <c r="BH467" i="8"/>
  <c r="BG441" i="8"/>
  <c r="BH441" i="8"/>
  <c r="BG733" i="8"/>
  <c r="BH733" i="8"/>
  <c r="BG732" i="8"/>
  <c r="BH732" i="8"/>
  <c r="BG338" i="8"/>
  <c r="BH338" i="8"/>
  <c r="BG129" i="8"/>
  <c r="BH129" i="8"/>
  <c r="BG423" i="8"/>
  <c r="BH423" i="8"/>
  <c r="BG570" i="8"/>
  <c r="BH570" i="8"/>
  <c r="BG785" i="8"/>
  <c r="BH785" i="8"/>
  <c r="BG473" i="8"/>
  <c r="BH473" i="8"/>
  <c r="BG354" i="8"/>
  <c r="BH354" i="8"/>
  <c r="BG337" i="8"/>
  <c r="BH337" i="8"/>
  <c r="BG487" i="8"/>
  <c r="BH487" i="8"/>
  <c r="BG134" i="8"/>
  <c r="BH134" i="8"/>
  <c r="BG380" i="8"/>
  <c r="BH380" i="8"/>
  <c r="BG1204" i="8"/>
  <c r="BH1204" i="8"/>
  <c r="BG369" i="8"/>
  <c r="BH369" i="8"/>
  <c r="BG351" i="8"/>
  <c r="BH351" i="8"/>
  <c r="BG520" i="8"/>
  <c r="BH520" i="8"/>
  <c r="BG350" i="8"/>
  <c r="BH350" i="8"/>
  <c r="BG461" i="8"/>
  <c r="BH461" i="8"/>
  <c r="BG459" i="8"/>
  <c r="BH459" i="8"/>
  <c r="BG224" i="8"/>
  <c r="BH224" i="8"/>
  <c r="BG518" i="8"/>
  <c r="BH518" i="8"/>
  <c r="BG1207" i="8"/>
  <c r="BH1207" i="8"/>
  <c r="BG223" i="8"/>
  <c r="BH223" i="8"/>
  <c r="BG301" i="8"/>
  <c r="BH301" i="8"/>
  <c r="BG573" i="8"/>
  <c r="BH573" i="8"/>
  <c r="BG517" i="8"/>
  <c r="BH517" i="8"/>
  <c r="BG300" i="8"/>
  <c r="BH300" i="8"/>
  <c r="BG278" i="8"/>
  <c r="BH278" i="8"/>
  <c r="BG186" i="8"/>
  <c r="BH186" i="8"/>
  <c r="BG121" i="8"/>
  <c r="BH121" i="8"/>
  <c r="BG438" i="8"/>
  <c r="BH438" i="8"/>
  <c r="BG241" i="8"/>
  <c r="BH241" i="8"/>
  <c r="BG768" i="8"/>
  <c r="BH768" i="8"/>
  <c r="BG187" i="8"/>
  <c r="BH187" i="8"/>
  <c r="BG705" i="8"/>
  <c r="BH705" i="8"/>
  <c r="BG701" i="8"/>
  <c r="BH701" i="8"/>
  <c r="BG213" i="8"/>
  <c r="BH213" i="8"/>
  <c r="BG172" i="8"/>
  <c r="BH172" i="8"/>
  <c r="BG226" i="8"/>
  <c r="BH226" i="8"/>
  <c r="BG154" i="8"/>
  <c r="BH154" i="8"/>
  <c r="BG192" i="8"/>
  <c r="BH192" i="8"/>
  <c r="BG767" i="8"/>
  <c r="BH767" i="8"/>
  <c r="BG321" i="8"/>
  <c r="BH321" i="8"/>
  <c r="BG136" i="8"/>
  <c r="BH136" i="8"/>
  <c r="BG152" i="8"/>
  <c r="BH152" i="8"/>
  <c r="BG763" i="8"/>
  <c r="BH763" i="8"/>
  <c r="BG159" i="8"/>
  <c r="BH159" i="8"/>
  <c r="BG83" i="8"/>
  <c r="BH83" i="8"/>
  <c r="BG12" i="8"/>
  <c r="BH12" i="8"/>
  <c r="BG96" i="8"/>
  <c r="BH96" i="8"/>
  <c r="BG367" i="8"/>
  <c r="BH367" i="8"/>
  <c r="BG761" i="8"/>
  <c r="BH761" i="8"/>
  <c r="BG46" i="8"/>
  <c r="BH46" i="8"/>
  <c r="BG216" i="8"/>
  <c r="BH216" i="8"/>
  <c r="BG165" i="8"/>
  <c r="BH165" i="8"/>
  <c r="BG49" i="8"/>
  <c r="BH49" i="8"/>
  <c r="BG125" i="8"/>
  <c r="BH125" i="8"/>
  <c r="BG113" i="8"/>
  <c r="BH113" i="8"/>
  <c r="BG269" i="8"/>
  <c r="BH269" i="8"/>
  <c r="BG268" i="8"/>
  <c r="BH268" i="8"/>
  <c r="BG65" i="8"/>
  <c r="BH65" i="8"/>
  <c r="BG581" i="8"/>
  <c r="BH581" i="8"/>
  <c r="BG131" i="8"/>
  <c r="BH131" i="8"/>
  <c r="BG36" i="8"/>
  <c r="BH36" i="8"/>
  <c r="BG128" i="8"/>
  <c r="BH128" i="8"/>
  <c r="BG398" i="8"/>
  <c r="BH398" i="8"/>
  <c r="BG50" i="8"/>
  <c r="BH50" i="8"/>
  <c r="BG291" i="8"/>
  <c r="BH291" i="8"/>
  <c r="BG195" i="8"/>
  <c r="BH195" i="8"/>
  <c r="BG685" i="8"/>
  <c r="BH685" i="8"/>
  <c r="BG180" i="8"/>
  <c r="BH180" i="8"/>
  <c r="BG194" i="8"/>
  <c r="BH194" i="8"/>
  <c r="BG67" i="8"/>
  <c r="BH67" i="8"/>
  <c r="BG91" i="8"/>
  <c r="BH91" i="8"/>
  <c r="BG233" i="8"/>
  <c r="BH233" i="8"/>
  <c r="BG137" i="8"/>
  <c r="BH137" i="8"/>
  <c r="BG42" i="8"/>
  <c r="BH42" i="8"/>
  <c r="BG54" i="8"/>
  <c r="BH54" i="8"/>
  <c r="BG77" i="8"/>
  <c r="BG44" i="8"/>
  <c r="BH44" i="8"/>
  <c r="BG85" i="8"/>
  <c r="BH85" i="8"/>
  <c r="BG32" i="8"/>
  <c r="BH32" i="8"/>
  <c r="BG19" i="8"/>
  <c r="BH19" i="8"/>
  <c r="BG33" i="8"/>
  <c r="BH33" i="8"/>
  <c r="BH8" i="8"/>
  <c r="BB1198" i="8"/>
  <c r="BG678" i="8"/>
  <c r="BH678" i="8"/>
  <c r="BB259" i="8"/>
  <c r="BG298" i="8"/>
  <c r="BH298" i="8"/>
  <c r="BB254" i="8"/>
  <c r="BG515" i="8"/>
  <c r="BH515" i="8"/>
  <c r="BB1204" i="8"/>
  <c r="BG1256" i="8"/>
  <c r="BH1256" i="8"/>
  <c r="BB252" i="8"/>
  <c r="BG513" i="8"/>
  <c r="BH513" i="8"/>
  <c r="BB1205" i="8"/>
  <c r="BG632" i="8"/>
  <c r="BH632" i="8"/>
  <c r="K1" i="8"/>
  <c r="M1" i="8"/>
  <c r="BB37" i="8"/>
  <c r="BB19" i="8"/>
  <c r="BB22" i="8"/>
  <c r="BB1326" i="8"/>
  <c r="BB21" i="8"/>
  <c r="BB47" i="8"/>
  <c r="BB36" i="8"/>
  <c r="BB24" i="8"/>
  <c r="BB48" i="8"/>
  <c r="BB40" i="8"/>
  <c r="BB20" i="8"/>
  <c r="BB27" i="8"/>
  <c r="BB501" i="8"/>
  <c r="BB38" i="8"/>
  <c r="BB268" i="8"/>
  <c r="BB271" i="8"/>
  <c r="BB1288" i="8"/>
  <c r="BB120" i="8"/>
  <c r="BB41" i="8"/>
  <c r="BB1011" i="8"/>
  <c r="BB43" i="8"/>
  <c r="BB122" i="8"/>
  <c r="BB67" i="8"/>
  <c r="BB330" i="8"/>
  <c r="BB429" i="8"/>
  <c r="BB261" i="8"/>
  <c r="BB260" i="8"/>
  <c r="BB161" i="8"/>
  <c r="BB68" i="8"/>
  <c r="BB1003" i="8"/>
  <c r="BB1022" i="8"/>
  <c r="BB225" i="8"/>
  <c r="BB32" i="8"/>
  <c r="BB992" i="8"/>
  <c r="BB42" i="8"/>
  <c r="BB313" i="8"/>
  <c r="BB44" i="8"/>
  <c r="BB31" i="8"/>
  <c r="BB347" i="8"/>
  <c r="BB326" i="8"/>
  <c r="BB119" i="8"/>
  <c r="BB89" i="8"/>
  <c r="BB175" i="8"/>
  <c r="BB46" i="8"/>
  <c r="BB39" i="8"/>
  <c r="BB107" i="8"/>
  <c r="BB1322" i="8"/>
  <c r="BB230" i="8"/>
  <c r="BB602" i="8"/>
  <c r="BB57" i="8"/>
  <c r="BB1308" i="8"/>
  <c r="BB106" i="8"/>
  <c r="BB560" i="8"/>
  <c r="BB197" i="8"/>
  <c r="BB58" i="8"/>
  <c r="BB56" i="8"/>
  <c r="BB55" i="8"/>
  <c r="BB573" i="8"/>
  <c r="BB228" i="8"/>
  <c r="BB1194" i="8"/>
  <c r="BB389" i="8"/>
  <c r="BB444" i="8"/>
  <c r="BB168" i="8"/>
  <c r="BB267" i="8"/>
  <c r="BB118" i="8"/>
  <c r="BB49" i="8"/>
  <c r="BB1170" i="8"/>
  <c r="BB286" i="8"/>
  <c r="BB283" i="8"/>
  <c r="BB1092" i="8"/>
  <c r="BB276" i="8"/>
  <c r="BB1093" i="8"/>
  <c r="BB60" i="8"/>
  <c r="BB92" i="8"/>
  <c r="BB93" i="8"/>
  <c r="BB133" i="8"/>
  <c r="BB61" i="8"/>
  <c r="BB1021" i="8"/>
  <c r="BB214" i="8"/>
  <c r="BB401" i="8"/>
  <c r="BB99" i="8"/>
  <c r="BB1171" i="8"/>
  <c r="BB402" i="8"/>
  <c r="BB140" i="8"/>
  <c r="BB124" i="8"/>
  <c r="BB100" i="8"/>
  <c r="BB654" i="8"/>
  <c r="BB677" i="8"/>
  <c r="BB338" i="8"/>
  <c r="BB90" i="8"/>
  <c r="BB134" i="8"/>
  <c r="BB102" i="8"/>
  <c r="BB69" i="8"/>
  <c r="BB105" i="8"/>
  <c r="BB104" i="8"/>
  <c r="BB889" i="8"/>
  <c r="BB1080" i="8"/>
  <c r="BB596" i="8"/>
  <c r="BB176" i="8"/>
  <c r="BB1337" i="8"/>
  <c r="BB226" i="8"/>
  <c r="BB33" i="8"/>
  <c r="BB888" i="8"/>
  <c r="BB117" i="8"/>
  <c r="BB611" i="8"/>
  <c r="BB574" i="8"/>
  <c r="BB78" i="8"/>
  <c r="BB1095" i="8"/>
  <c r="BB755" i="8"/>
  <c r="BB87" i="8"/>
  <c r="BB77" i="8"/>
  <c r="BB531" i="8"/>
  <c r="BB126" i="8"/>
  <c r="BB86" i="8"/>
  <c r="BB534" i="8"/>
  <c r="BB532" i="8"/>
  <c r="BB601" i="8"/>
  <c r="BB84" i="8"/>
  <c r="BB76" i="8"/>
  <c r="BB198" i="8"/>
  <c r="BB96" i="8"/>
  <c r="BB85" i="8"/>
  <c r="BB706" i="8"/>
  <c r="BB1307" i="8"/>
  <c r="BB284" i="8"/>
  <c r="BB82" i="8"/>
  <c r="BB587" i="8"/>
  <c r="BB128" i="8"/>
  <c r="BB1275" i="8"/>
  <c r="BB121" i="8"/>
  <c r="BB608" i="8"/>
  <c r="BB535" i="8"/>
  <c r="BB50" i="8"/>
  <c r="BB610" i="8"/>
  <c r="BB1276" i="8"/>
  <c r="BB341" i="8"/>
  <c r="BB88" i="8"/>
  <c r="BB29" i="8"/>
  <c r="BB141" i="8"/>
  <c r="BB54" i="8"/>
  <c r="BB728" i="8"/>
  <c r="BB536" i="8"/>
  <c r="BB34" i="8"/>
  <c r="BB53" i="8"/>
  <c r="BB705" i="8"/>
  <c r="BB153" i="8"/>
  <c r="BB139" i="8"/>
  <c r="BB154" i="8"/>
  <c r="BB1272" i="8"/>
  <c r="BB539" i="8"/>
  <c r="BB540" i="8"/>
  <c r="BB227" i="8"/>
  <c r="BB177" i="8"/>
  <c r="BB727" i="8"/>
  <c r="BB1026" i="8"/>
  <c r="BB1007" i="8"/>
  <c r="BB1006" i="8"/>
  <c r="BB1005" i="8"/>
  <c r="BB1004" i="8"/>
  <c r="BB651" i="8"/>
  <c r="BB51" i="8"/>
  <c r="BB127" i="8"/>
  <c r="BB52" i="8"/>
  <c r="BB541" i="8"/>
  <c r="BB538" i="8"/>
  <c r="BB537" i="8"/>
  <c r="BB543" i="8"/>
  <c r="BB1094" i="8"/>
  <c r="BB542" i="8"/>
  <c r="BB621" i="8"/>
  <c r="BB629" i="8"/>
  <c r="BB151" i="8"/>
  <c r="BB116" i="8"/>
  <c r="BB586" i="8"/>
  <c r="BB265" i="8"/>
  <c r="BB570" i="8"/>
  <c r="BB545" i="8"/>
  <c r="BB81" i="8"/>
  <c r="BB207" i="8"/>
  <c r="BB35" i="8"/>
  <c r="BB604" i="8"/>
  <c r="BB926" i="8"/>
  <c r="BB135" i="8"/>
  <c r="BB101" i="8"/>
  <c r="BB833" i="8"/>
  <c r="BB1334" i="8"/>
  <c r="BB1020" i="8"/>
  <c r="BB97" i="8"/>
  <c r="BB192" i="8"/>
  <c r="BB659" i="8"/>
  <c r="BB388" i="8"/>
  <c r="BB185" i="8"/>
  <c r="BB547" i="8"/>
  <c r="BB546" i="8"/>
  <c r="BB544" i="8"/>
  <c r="BB98" i="8"/>
  <c r="BB115" i="8"/>
  <c r="BB655" i="8"/>
  <c r="BB496" i="8"/>
  <c r="BB548" i="8"/>
  <c r="BB181" i="8"/>
  <c r="BB145" i="8"/>
  <c r="BB144" i="8"/>
  <c r="BB517" i="8"/>
  <c r="BB266" i="8"/>
  <c r="BB184" i="8"/>
  <c r="BB136" i="8"/>
  <c r="BB1000" i="8"/>
  <c r="BB1030" i="8"/>
  <c r="BB1039" i="8"/>
  <c r="BB1329" i="8"/>
  <c r="BB1330" i="8"/>
  <c r="BB1331" i="8"/>
  <c r="BB1332" i="8"/>
  <c r="BB1333" i="8"/>
  <c r="BB631" i="8"/>
  <c r="BB1085" i="8"/>
  <c r="BB508" i="8"/>
  <c r="BB549" i="8"/>
  <c r="BB275" i="8"/>
  <c r="BB182" i="8"/>
  <c r="BB883" i="8"/>
  <c r="BB112" i="8"/>
  <c r="BB1043" i="8"/>
  <c r="BB1323" i="8"/>
  <c r="BB605" i="8"/>
  <c r="BB1327" i="8"/>
  <c r="BB661" i="8"/>
  <c r="BB767" i="8"/>
  <c r="BB274" i="8"/>
  <c r="BB660" i="8"/>
  <c r="BB641" i="8"/>
  <c r="BB273" i="8"/>
  <c r="BB528" i="8"/>
  <c r="BB552" i="8"/>
  <c r="BB113" i="8"/>
  <c r="BB232" i="8"/>
  <c r="BB351" i="8"/>
  <c r="BB222" i="8"/>
  <c r="BB644" i="8"/>
  <c r="BB653" i="8"/>
  <c r="BB1283" i="8"/>
  <c r="BB235" i="8"/>
  <c r="BB626" i="8"/>
  <c r="BB200" i="8"/>
  <c r="BB111" i="8"/>
  <c r="BB348" i="8"/>
  <c r="BB131" i="8"/>
  <c r="BB588" i="8"/>
  <c r="BB342" i="8"/>
  <c r="BB595" i="8"/>
  <c r="BB270" i="8"/>
  <c r="BB233" i="8"/>
  <c r="BB1207" i="8"/>
  <c r="BB1083" i="8"/>
  <c r="BB479" i="8"/>
  <c r="BB492" i="8"/>
  <c r="BB190" i="8"/>
  <c r="BB186" i="8"/>
  <c r="BB142" i="8"/>
  <c r="BB1128" i="8"/>
  <c r="BB221" i="8"/>
  <c r="BB1304" i="8"/>
  <c r="BB650" i="8"/>
  <c r="BB80" i="8"/>
  <c r="BB75" i="8"/>
  <c r="BB217" i="8"/>
  <c r="BB218" i="8"/>
  <c r="BB1201" i="8"/>
  <c r="BB514" i="8"/>
  <c r="BB125" i="8"/>
  <c r="BB234" i="8"/>
  <c r="BB282" i="8"/>
  <c r="BB698" i="8"/>
  <c r="BB315" i="8"/>
  <c r="BB213" i="8"/>
  <c r="BB377" i="8"/>
  <c r="BB169" i="8"/>
  <c r="BB555" i="8"/>
  <c r="BB1146" i="8"/>
  <c r="BB108" i="8"/>
  <c r="BB558" i="8"/>
  <c r="BB324" i="8"/>
  <c r="BB685" i="8"/>
  <c r="BB766" i="8"/>
  <c r="BB269" i="8"/>
  <c r="BB559" i="8"/>
  <c r="BB1042" i="8"/>
  <c r="BB684" i="8"/>
  <c r="BB790" i="8"/>
  <c r="BB829" i="8"/>
  <c r="BB791" i="8"/>
  <c r="BB386" i="8"/>
  <c r="BB1014" i="8"/>
  <c r="BB1262" i="8"/>
  <c r="BB251" i="8"/>
  <c r="BB947" i="8"/>
  <c r="BB562" i="8"/>
  <c r="BB561" i="8"/>
  <c r="BB1032" i="8"/>
  <c r="BB1044" i="8"/>
  <c r="BB1045" i="8"/>
  <c r="BB66" i="8"/>
  <c r="BB395" i="8"/>
  <c r="BB1216" i="8"/>
  <c r="BB152" i="8"/>
  <c r="BB1206" i="8"/>
  <c r="BB219" i="8"/>
  <c r="BB220" i="8"/>
  <c r="BB529" i="8"/>
  <c r="BB636" i="8"/>
  <c r="BB520" i="8"/>
  <c r="BB187" i="8"/>
  <c r="BB188" i="8"/>
  <c r="BB237" i="8"/>
  <c r="BB502" i="8"/>
  <c r="BB1141" i="8"/>
  <c r="BB564" i="8"/>
  <c r="BB627" i="8"/>
  <c r="BB781" i="8"/>
  <c r="BB618" i="8"/>
  <c r="BB565" i="8"/>
  <c r="BB812" i="8"/>
  <c r="BB813" i="8"/>
  <c r="BB881" i="8"/>
  <c r="BB563" i="8"/>
  <c r="BB512" i="8"/>
  <c r="BB1145" i="8"/>
  <c r="BB722" i="8"/>
  <c r="BB468" i="8"/>
  <c r="BB1302" i="8"/>
  <c r="BB303" i="8"/>
  <c r="BB103" i="8"/>
  <c r="BB679" i="8"/>
  <c r="BB697" i="8"/>
  <c r="BB1143" i="8"/>
  <c r="BB430" i="8"/>
  <c r="BB250" i="8"/>
  <c r="BB178" i="8"/>
  <c r="BB554" i="8"/>
  <c r="BB292" i="8"/>
  <c r="BB1291" i="8"/>
  <c r="BB1263" i="8"/>
  <c r="BB1269" i="8"/>
  <c r="BB146" i="8"/>
  <c r="BB387" i="8"/>
  <c r="BB396" i="8"/>
  <c r="BB567" i="8"/>
  <c r="BB656" i="8"/>
  <c r="BB201" i="8"/>
  <c r="BB1277" i="8"/>
  <c r="BB1296" i="8"/>
  <c r="BB649" i="8"/>
  <c r="BB1233" i="8"/>
  <c r="BB426" i="8"/>
  <c r="BB129" i="8"/>
  <c r="BB138" i="8"/>
  <c r="BB399" i="8"/>
  <c r="BB400" i="8"/>
  <c r="BB436" i="8"/>
  <c r="BB155" i="8"/>
  <c r="BB568" i="8"/>
  <c r="BB165" i="8"/>
  <c r="BB640" i="8"/>
  <c r="BB645" i="8"/>
  <c r="BB646" i="8"/>
  <c r="BB287" i="8"/>
  <c r="BB830" i="8"/>
  <c r="BB1075" i="8"/>
  <c r="BB114" i="8"/>
  <c r="BB1057" i="8"/>
  <c r="BB272" i="8"/>
  <c r="BB475" i="8"/>
  <c r="BB606" i="8"/>
  <c r="BB1126" i="8"/>
  <c r="BB202" i="8"/>
  <c r="BB1301" i="8"/>
  <c r="BB236" i="8"/>
  <c r="BB1306" i="8"/>
  <c r="BB62" i="8"/>
  <c r="BB673" i="8"/>
  <c r="BB782" i="8"/>
  <c r="BB1231" i="8"/>
  <c r="BB524" i="8"/>
  <c r="BB1285" i="8"/>
  <c r="BB285" i="8"/>
  <c r="BB533" i="8"/>
  <c r="BB678" i="8"/>
  <c r="BB1040" i="8"/>
  <c r="BB577" i="8"/>
  <c r="BB1273" i="8"/>
  <c r="BB628" i="8"/>
  <c r="BB804" i="8"/>
  <c r="BB805" i="8"/>
  <c r="BB578" i="8"/>
  <c r="BB1293" i="8"/>
  <c r="BB109" i="8"/>
  <c r="BB478" i="8"/>
  <c r="BB1178" i="8"/>
  <c r="BB1181" i="8"/>
  <c r="BB1129" i="8"/>
  <c r="BB204" i="8"/>
  <c r="BB1303" i="8"/>
  <c r="BB63" i="8"/>
  <c r="BB616" i="8"/>
  <c r="BB314" i="8"/>
  <c r="BB110" i="8"/>
  <c r="BB622" i="8"/>
  <c r="BB345" i="8"/>
  <c r="BB279" i="8"/>
  <c r="BB1138" i="8"/>
  <c r="BB511" i="8"/>
  <c r="BB594" i="8"/>
  <c r="BB203" i="8"/>
  <c r="BB281" i="8"/>
  <c r="BB435" i="8"/>
  <c r="BB79" i="8"/>
  <c r="BB193" i="8"/>
  <c r="BB194" i="8"/>
  <c r="BB702" i="8"/>
  <c r="BB280" i="8"/>
  <c r="BB295" i="8"/>
  <c r="BB521" i="8"/>
  <c r="BB320" i="8"/>
  <c r="BB704" i="8"/>
  <c r="BB797" i="8"/>
  <c r="BB773" i="8"/>
  <c r="BB593" i="8"/>
  <c r="BB831" i="8"/>
  <c r="BB681" i="8"/>
  <c r="BB700" i="8"/>
  <c r="BB148" i="8"/>
  <c r="BB893" i="8"/>
  <c r="BB920" i="8"/>
  <c r="BB290" i="8"/>
  <c r="BB1274" i="8"/>
  <c r="BB1091" i="8"/>
  <c r="BB372" i="8"/>
  <c r="BB423" i="8"/>
  <c r="BB825" i="8"/>
  <c r="BB1268" i="8"/>
  <c r="BB191" i="8"/>
  <c r="BB465" i="8"/>
  <c r="BB875" i="8"/>
  <c r="BB1063" i="8"/>
  <c r="BB1064" i="8"/>
  <c r="BB709" i="8"/>
  <c r="BB180" i="8"/>
  <c r="BB1289" i="8"/>
  <c r="BB94" i="8"/>
  <c r="BB160" i="8"/>
  <c r="BB557" i="8"/>
  <c r="BB1086" i="8"/>
  <c r="BB302" i="8"/>
  <c r="BB526" i="8"/>
  <c r="BB609" i="8"/>
  <c r="BB808" i="8"/>
  <c r="BB591" i="8"/>
  <c r="BB156" i="8"/>
  <c r="BB800" i="8"/>
  <c r="BB819" i="8"/>
  <c r="BB633" i="8"/>
  <c r="BB247" i="8"/>
  <c r="BB744" i="8"/>
  <c r="BB721" i="8"/>
  <c r="BB732" i="8"/>
  <c r="BB801" i="8"/>
  <c r="BB246" i="8"/>
  <c r="BB1012" i="8"/>
  <c r="BB163" i="8"/>
  <c r="BB369" i="8"/>
  <c r="BB371" i="8"/>
  <c r="BB375" i="8"/>
  <c r="BB166" i="8"/>
  <c r="BB485" i="8"/>
  <c r="BB579" i="8"/>
  <c r="BB299" i="8"/>
  <c r="BB319" i="8"/>
  <c r="BB337" i="8"/>
  <c r="BB971" i="8"/>
  <c r="BB513" i="8"/>
  <c r="BB1073" i="8"/>
  <c r="BB1241" i="8"/>
  <c r="BB1292" i="8"/>
  <c r="BB1295" i="8"/>
  <c r="BB83" i="8"/>
  <c r="BB380" i="8"/>
  <c r="BB130" i="8"/>
  <c r="BB771" i="8"/>
  <c r="BB772" i="8"/>
  <c r="BB1132" i="8"/>
  <c r="BB95" i="8"/>
  <c r="BB876" i="8"/>
  <c r="BB510" i="8"/>
  <c r="BB308" i="8"/>
  <c r="BB1115" i="8"/>
  <c r="BB322" i="8"/>
  <c r="BB344" i="8"/>
  <c r="BB1328" i="8"/>
  <c r="BB224" i="8"/>
  <c r="BB566" i="8"/>
  <c r="BB849" i="8"/>
  <c r="BB516" i="8"/>
  <c r="BB323" i="8"/>
  <c r="BB339" i="8"/>
  <c r="BB1287" i="8"/>
  <c r="BB183" i="8"/>
  <c r="BB713" i="8"/>
  <c r="BB919" i="8"/>
  <c r="BB620" i="8"/>
  <c r="BB241" i="8"/>
  <c r="BB863" i="8"/>
  <c r="BB737" i="8"/>
  <c r="BB838" i="8"/>
  <c r="BB731" i="8"/>
  <c r="BB792" i="8"/>
  <c r="BB793" i="8"/>
  <c r="BB676" i="8"/>
  <c r="BB864" i="8"/>
  <c r="BB880" i="8"/>
  <c r="BB1065" i="8"/>
  <c r="BB581" i="8"/>
  <c r="BB580" i="8"/>
  <c r="BB657" i="8"/>
  <c r="BB582" i="8"/>
  <c r="BB317" i="8"/>
  <c r="BB340" i="8"/>
  <c r="BB1137" i="8"/>
  <c r="BB1069" i="8"/>
  <c r="BB1173" i="8"/>
  <c r="BB1147" i="8"/>
  <c r="BB1317" i="8"/>
  <c r="BB1120" i="8"/>
  <c r="BB1122" i="8"/>
  <c r="BB167" i="8"/>
  <c r="BB809" i="8"/>
  <c r="BB810" i="8"/>
  <c r="BB405" i="8"/>
  <c r="BB406" i="8"/>
  <c r="BB365" i="8"/>
  <c r="BB1167" i="8"/>
  <c r="BB356" i="8"/>
  <c r="BB362" i="8"/>
  <c r="BB366" i="8"/>
  <c r="BB215" i="8"/>
  <c r="BB461" i="8"/>
  <c r="BB635" i="8"/>
  <c r="BB694" i="8"/>
  <c r="BB961" i="8"/>
  <c r="BB157" i="8"/>
  <c r="BB301" i="8"/>
  <c r="BB873" i="8"/>
  <c r="BB874" i="8"/>
  <c r="BB1192" i="8"/>
  <c r="BB331" i="8"/>
  <c r="BB335" i="8"/>
  <c r="BB779" i="8"/>
  <c r="BB486" i="8"/>
  <c r="BB393" i="8"/>
  <c r="BB652" i="8"/>
  <c r="BB942" i="8"/>
  <c r="BB963" i="8"/>
  <c r="BB859" i="8"/>
  <c r="BB862" i="8"/>
  <c r="BB756" i="8"/>
  <c r="BB196" i="8"/>
  <c r="BB753" i="8"/>
  <c r="BB691" i="8"/>
  <c r="BB952" i="8"/>
  <c r="BB900" i="8"/>
  <c r="BB803" i="8"/>
  <c r="BB821" i="8"/>
  <c r="BB822" i="8"/>
  <c r="BB854" i="8"/>
  <c r="BB630" i="8"/>
  <c r="BB776" i="8"/>
  <c r="BB775" i="8"/>
  <c r="BB725" i="8"/>
  <c r="BB913" i="8"/>
  <c r="BB940" i="8"/>
  <c r="BB774" i="8"/>
  <c r="BB701" i="8"/>
  <c r="BB848" i="8"/>
  <c r="BB868" i="8"/>
  <c r="BB903" i="8"/>
  <c r="BB979" i="8"/>
  <c r="BB350" i="8"/>
  <c r="BB392" i="8"/>
  <c r="BB433" i="8"/>
  <c r="BB442" i="8"/>
  <c r="BB487" i="8"/>
  <c r="BB494" i="8"/>
  <c r="BB173" i="8"/>
  <c r="BB174" i="8"/>
  <c r="BB503" i="8"/>
  <c r="BB1100" i="8"/>
  <c r="BB1102" i="8"/>
  <c r="BB1196" i="8"/>
  <c r="BB584" i="8"/>
  <c r="BB585" i="8"/>
  <c r="BB583" i="8"/>
  <c r="BB1049" i="8"/>
  <c r="BB307" i="8"/>
  <c r="BB309" i="8"/>
  <c r="BB209" i="8"/>
  <c r="BB507" i="8"/>
  <c r="BB1220" i="8"/>
  <c r="BB1172" i="8"/>
  <c r="BB1320" i="8"/>
  <c r="BB1335" i="8"/>
  <c r="BB1279" i="8"/>
  <c r="BB1130" i="8"/>
  <c r="BB1117" i="8"/>
  <c r="BB418" i="8"/>
  <c r="BB419" i="8"/>
  <c r="BB409" i="8"/>
  <c r="BB1232" i="8"/>
  <c r="BB939" i="8"/>
  <c r="BB195" i="8"/>
  <c r="BB693" i="8"/>
  <c r="BB463" i="8"/>
  <c r="BB476" i="8"/>
  <c r="BB892" i="8"/>
  <c r="BB634" i="8"/>
  <c r="BB712" i="8"/>
  <c r="BB904" i="8"/>
  <c r="BB850" i="8"/>
  <c r="BB826" i="8"/>
  <c r="BB902" i="8"/>
  <c r="BB976" i="8"/>
  <c r="BB158" i="8"/>
  <c r="BB159" i="8"/>
  <c r="BB741" i="8"/>
  <c r="BB619" i="8"/>
  <c r="BB149" i="8"/>
  <c r="BB64" i="8"/>
  <c r="BB770" i="8"/>
  <c r="BB682" i="8"/>
  <c r="BB240" i="8"/>
  <c r="BB925" i="8"/>
  <c r="BB730" i="8"/>
  <c r="BB924" i="8"/>
  <c r="BB674" i="8"/>
  <c r="BB817" i="8"/>
  <c r="BB857" i="8"/>
  <c r="BB890" i="8"/>
  <c r="BB941" i="8"/>
  <c r="BB816" i="8"/>
  <c r="BB891" i="8"/>
  <c r="BB933" i="8"/>
  <c r="BB703" i="8"/>
  <c r="BB707" i="8"/>
  <c r="BB852" i="8"/>
  <c r="BB867" i="8"/>
  <c r="BB882" i="8"/>
  <c r="BB683" i="8"/>
  <c r="BB901" i="8"/>
  <c r="BB944" i="8"/>
  <c r="BB978" i="8"/>
  <c r="BB417" i="8"/>
  <c r="BB453" i="8"/>
  <c r="BB457" i="8"/>
  <c r="BB170" i="8"/>
  <c r="BB483" i="8"/>
  <c r="BB484" i="8"/>
  <c r="BB505" i="8"/>
  <c r="BB1208" i="8"/>
  <c r="BB1209" i="8"/>
  <c r="BB1210" i="8"/>
  <c r="BB1211" i="8"/>
  <c r="BB1218" i="8"/>
  <c r="BB1223" i="8"/>
  <c r="BB590" i="8"/>
  <c r="BB589" i="8"/>
  <c r="BB291" i="8"/>
  <c r="BB297" i="8"/>
  <c r="BB325" i="8"/>
  <c r="BB1015" i="8"/>
  <c r="BB550" i="8"/>
  <c r="BB523" i="8"/>
  <c r="BB500" i="8"/>
  <c r="BB1162" i="8"/>
  <c r="BB1164" i="8"/>
  <c r="BB1116" i="8"/>
  <c r="BB179" i="8"/>
  <c r="BB1270" i="8"/>
  <c r="BB353" i="8"/>
  <c r="BB205" i="8"/>
  <c r="BB364" i="8"/>
  <c r="BB420" i="8"/>
  <c r="BB210" i="8"/>
  <c r="BB639" i="8"/>
  <c r="BB642" i="8"/>
  <c r="BB796" i="8"/>
  <c r="BB632" i="8"/>
  <c r="BB189" i="8"/>
  <c r="BB1131" i="8"/>
  <c r="BB404" i="8"/>
  <c r="BB456" i="8"/>
  <c r="BB329" i="8"/>
  <c r="BB1221" i="8"/>
  <c r="BB1123" i="8"/>
  <c r="BB754" i="8"/>
  <c r="BB777" i="8"/>
  <c r="BB675" i="8"/>
  <c r="BB865" i="8"/>
  <c r="BB623" i="8"/>
  <c r="BB692" i="8"/>
  <c r="BB935" i="8"/>
  <c r="BB938" i="8"/>
  <c r="BB968" i="8"/>
  <c r="BB238" i="8"/>
  <c r="BB239" i="8"/>
  <c r="BB761" i="8"/>
  <c r="BB762" i="8"/>
  <c r="BB780" i="8"/>
  <c r="BB248" i="8"/>
  <c r="BB249" i="8"/>
  <c r="BB223" i="8"/>
  <c r="BB518" i="8"/>
  <c r="BB1261" i="8"/>
  <c r="BB1264" i="8"/>
  <c r="BB1265" i="8"/>
  <c r="BB1266" i="8"/>
  <c r="BB1267" i="8"/>
  <c r="BB1271" i="8"/>
  <c r="BB699" i="8"/>
  <c r="BB708" i="8"/>
  <c r="BB710" i="8"/>
  <c r="BB711" i="8"/>
  <c r="BB65" i="8"/>
  <c r="BB716" i="8"/>
  <c r="BB717" i="8"/>
  <c r="BB718" i="8"/>
  <c r="BB637" i="8"/>
  <c r="BB724" i="8"/>
  <c r="BB726" i="8"/>
  <c r="BB729" i="8"/>
  <c r="BB733" i="8"/>
  <c r="BB734" i="8"/>
  <c r="BB735" i="8"/>
  <c r="BB736" i="8"/>
  <c r="BB739" i="8"/>
  <c r="BB740" i="8"/>
  <c r="BB749" i="8"/>
  <c r="BB758" i="8"/>
  <c r="BB759" i="8"/>
  <c r="BB760" i="8"/>
  <c r="BB643" i="8"/>
  <c r="BB763" i="8"/>
  <c r="BB764" i="8"/>
  <c r="BB765" i="8"/>
  <c r="BB778" i="8"/>
  <c r="BB783" i="8"/>
  <c r="BB794" i="8"/>
  <c r="BB795" i="8"/>
  <c r="BB799" i="8"/>
  <c r="BB818" i="8"/>
  <c r="BB820" i="8"/>
  <c r="BB824" i="8"/>
  <c r="BB827" i="8"/>
  <c r="BB828" i="8"/>
  <c r="BB834" i="8"/>
  <c r="BB835" i="8"/>
  <c r="BB836" i="8"/>
  <c r="BB837" i="8"/>
  <c r="BB839" i="8"/>
  <c r="BB843" i="8"/>
  <c r="BB844" i="8"/>
  <c r="BB845" i="8"/>
  <c r="BB846" i="8"/>
  <c r="BB847" i="8"/>
  <c r="BB851" i="8"/>
  <c r="BB853" i="8"/>
  <c r="BB855" i="8"/>
  <c r="BB856" i="8"/>
  <c r="BB858" i="8"/>
  <c r="BB860" i="8"/>
  <c r="BB861" i="8"/>
  <c r="BB680" i="8"/>
  <c r="BB866" i="8"/>
  <c r="BB869" i="8"/>
  <c r="BB870" i="8"/>
  <c r="BB877" i="8"/>
  <c r="BB878" i="8"/>
  <c r="BB879" i="8"/>
  <c r="BB885" i="8"/>
  <c r="BB886" i="8"/>
  <c r="BB887" i="8"/>
  <c r="BB686" i="8"/>
  <c r="BB687" i="8"/>
  <c r="BB894" i="8"/>
  <c r="BB895" i="8"/>
  <c r="BB688" i="8"/>
  <c r="BB898" i="8"/>
  <c r="BB689" i="8"/>
  <c r="BB899" i="8"/>
  <c r="BB905" i="8"/>
  <c r="BB906" i="8"/>
  <c r="BB907" i="8"/>
  <c r="BB908" i="8"/>
  <c r="BB690" i="8"/>
  <c r="BB911" i="8"/>
  <c r="BB912" i="8"/>
  <c r="BB914" i="8"/>
  <c r="BB915" i="8"/>
  <c r="BB916" i="8"/>
  <c r="BB921" i="8"/>
  <c r="BB927" i="8"/>
  <c r="BB928" i="8"/>
  <c r="BB931" i="8"/>
  <c r="BB932" i="8"/>
  <c r="BB934" i="8"/>
  <c r="BB937" i="8"/>
  <c r="BB943" i="8"/>
  <c r="BB953" i="8"/>
  <c r="BB956" i="8"/>
  <c r="BB957" i="8"/>
  <c r="BB231" i="8"/>
  <c r="BB229" i="8"/>
  <c r="BB964" i="8"/>
  <c r="BB969" i="8"/>
  <c r="BB972" i="8"/>
  <c r="BB973" i="8"/>
  <c r="BB974" i="8"/>
  <c r="BB975" i="8"/>
  <c r="BB980" i="8"/>
  <c r="BB981" i="8"/>
  <c r="BB1001" i="8"/>
  <c r="BB1013" i="8"/>
  <c r="BB1017" i="8"/>
  <c r="BB1018" i="8"/>
  <c r="BB1023" i="8"/>
  <c r="BB1024" i="8"/>
  <c r="BB349" i="8"/>
  <c r="BB352" i="8"/>
  <c r="BB354" i="8"/>
  <c r="BB355" i="8"/>
  <c r="BB357" i="8"/>
  <c r="BB361" i="8"/>
  <c r="BB363" i="8"/>
  <c r="BB367" i="8"/>
  <c r="BB368" i="8"/>
  <c r="BB216" i="8"/>
  <c r="BB370" i="8"/>
  <c r="BB373" i="8"/>
  <c r="BB374" i="8"/>
  <c r="BB376" i="8"/>
  <c r="BB378" i="8"/>
  <c r="BB379" i="8"/>
  <c r="BB381" i="8"/>
  <c r="BB382" i="8"/>
  <c r="BB164" i="8"/>
  <c r="BB383" i="8"/>
  <c r="BB384" i="8"/>
  <c r="BB390" i="8"/>
  <c r="BB391" i="8"/>
  <c r="BB394" i="8"/>
  <c r="BB397" i="8"/>
  <c r="BB398" i="8"/>
  <c r="BB403" i="8"/>
  <c r="BB407" i="8"/>
  <c r="BB408" i="8"/>
  <c r="BB410" i="8"/>
  <c r="BB411" i="8"/>
  <c r="BB412" i="8"/>
  <c r="BB413" i="8"/>
  <c r="BB414" i="8"/>
  <c r="BB415" i="8"/>
  <c r="BB416" i="8"/>
  <c r="BB421" i="8"/>
  <c r="BB422" i="8"/>
  <c r="BB424" i="8"/>
  <c r="BB425" i="8"/>
  <c r="BB427" i="8"/>
  <c r="BB432" i="8"/>
  <c r="BB434" i="8"/>
  <c r="BB437" i="8"/>
  <c r="BB438" i="8"/>
  <c r="BB439" i="8"/>
  <c r="BB441" i="8"/>
  <c r="BB443" i="8"/>
  <c r="BB445" i="8"/>
  <c r="BB446" i="8"/>
  <c r="BB447" i="8"/>
  <c r="BB448" i="8"/>
  <c r="BB449" i="8"/>
  <c r="BB450" i="8"/>
  <c r="BB451" i="8"/>
  <c r="BB452" i="8"/>
  <c r="BB455" i="8"/>
  <c r="BB458" i="8"/>
  <c r="BB459" i="8"/>
  <c r="BB460" i="8"/>
  <c r="BB462" i="8"/>
  <c r="BB464" i="8"/>
  <c r="BB466" i="8"/>
  <c r="BB467" i="8"/>
  <c r="BB470" i="8"/>
  <c r="BB471" i="8"/>
  <c r="BB472" i="8"/>
  <c r="BB473" i="8"/>
  <c r="BB474" i="8"/>
  <c r="BB477" i="8"/>
  <c r="BB480" i="8"/>
  <c r="BB481" i="8"/>
  <c r="BB482" i="8"/>
  <c r="BB171" i="8"/>
  <c r="BB172" i="8"/>
  <c r="BB488" i="8"/>
  <c r="BB489" i="8"/>
  <c r="BB490" i="8"/>
  <c r="BB491" i="8"/>
  <c r="BB493" i="8"/>
  <c r="BB495" i="8"/>
  <c r="BB497" i="8"/>
  <c r="BB498" i="8"/>
  <c r="BB499" i="8"/>
  <c r="BB787" i="8"/>
  <c r="BB504" i="8"/>
  <c r="BB1245" i="8"/>
  <c r="BB1072" i="8"/>
  <c r="BB1074" i="8"/>
  <c r="BB1077" i="8"/>
  <c r="BB1078" i="8"/>
  <c r="BB1084" i="8"/>
  <c r="BB1097" i="8"/>
  <c r="BB1098" i="8"/>
  <c r="BB1099" i="8"/>
  <c r="BB1101" i="8"/>
  <c r="BB1103" i="8"/>
  <c r="BB1104" i="8"/>
  <c r="BB1105" i="8"/>
  <c r="BB1148" i="8"/>
  <c r="BB1149" i="8"/>
  <c r="BB1150" i="8"/>
  <c r="BB1151" i="8"/>
  <c r="BB1152" i="8"/>
  <c r="BB1155" i="8"/>
  <c r="BB1168" i="8"/>
  <c r="BB1169" i="8"/>
  <c r="BB1176" i="8"/>
  <c r="BB1193" i="8"/>
  <c r="BB1195" i="8"/>
  <c r="BB1197" i="8"/>
  <c r="BB1199" i="8"/>
  <c r="BB1200" i="8"/>
  <c r="BB1212" i="8"/>
  <c r="BB1217" i="8"/>
  <c r="BB1219" i="8"/>
  <c r="BB1222" i="8"/>
  <c r="BB1224" i="8"/>
  <c r="BB1225" i="8"/>
  <c r="BB1226" i="8"/>
  <c r="BB1228" i="8"/>
  <c r="BB1234" i="8"/>
  <c r="BB1235" i="8"/>
  <c r="BB1236" i="8"/>
  <c r="BB1237" i="8"/>
  <c r="BB1239" i="8"/>
  <c r="BB1240" i="8"/>
  <c r="BB1242" i="8"/>
  <c r="BB1243" i="8"/>
  <c r="BB1246" i="8"/>
  <c r="BB1247" i="8"/>
  <c r="BB1248" i="8"/>
  <c r="BB1249" i="8"/>
  <c r="BB1250" i="8"/>
  <c r="BB1251" i="8"/>
  <c r="BB1066" i="8"/>
  <c r="BB1067" i="8"/>
  <c r="BB1175" i="8"/>
  <c r="BB648" i="8"/>
  <c r="BB1019" i="8"/>
  <c r="BB556" i="8"/>
  <c r="BB811" i="8"/>
  <c r="BB638" i="8"/>
  <c r="BB658" i="8"/>
  <c r="BB613" i="8"/>
  <c r="BB551" i="8"/>
  <c r="BB786" i="8"/>
  <c r="BB788" i="8"/>
  <c r="BB841" i="8"/>
  <c r="BB288" i="8"/>
  <c r="BB294" i="8"/>
  <c r="BB296" i="8"/>
  <c r="BB9" i="8"/>
  <c r="BB1108" i="8"/>
  <c r="BB1109" i="8"/>
  <c r="BB1110" i="8"/>
  <c r="BB1156" i="8"/>
  <c r="BB1157" i="8"/>
  <c r="BB1158" i="8"/>
  <c r="BB1280" i="8"/>
  <c r="BB1336" i="8"/>
  <c r="BB1050" i="8"/>
  <c r="BB1051" i="8"/>
  <c r="BB1053" i="8"/>
  <c r="BB527" i="8"/>
  <c r="BB530" i="8"/>
  <c r="BB1054" i="8"/>
  <c r="BB1055" i="8"/>
  <c r="BB1056" i="8"/>
  <c r="BB1058" i="8"/>
  <c r="BB1059" i="8"/>
  <c r="BB1060" i="8"/>
  <c r="BB1061" i="8"/>
  <c r="BB1062" i="8"/>
  <c r="BB1081" i="8"/>
  <c r="BB1082" i="8"/>
  <c r="BB1087" i="8"/>
  <c r="BB1088" i="8"/>
  <c r="BB1089" i="8"/>
  <c r="BB1090" i="8"/>
  <c r="BB1096" i="8"/>
  <c r="BB1174" i="8"/>
  <c r="BB256" i="8"/>
  <c r="BB257" i="8"/>
  <c r="BB1309" i="8"/>
  <c r="BB1310" i="8"/>
  <c r="BB1311" i="8"/>
  <c r="BB1312" i="8"/>
  <c r="BB1313" i="8"/>
  <c r="BB1314" i="8"/>
  <c r="BB1315" i="8"/>
  <c r="BB1316" i="8"/>
  <c r="BB1318" i="8"/>
  <c r="BB1319" i="8"/>
  <c r="BB599" i="8"/>
  <c r="BB1321" i="8"/>
  <c r="BB199" i="8"/>
  <c r="BB1112" i="8"/>
  <c r="BB1124" i="8"/>
  <c r="BB1127" i="8"/>
  <c r="BB1135" i="8"/>
  <c r="BB1294" i="8"/>
  <c r="BB211" i="8"/>
  <c r="BB1076" i="8"/>
  <c r="BB1229" i="8"/>
  <c r="BB1305" i="8"/>
  <c r="BB695" i="8"/>
  <c r="BB696" i="8"/>
  <c r="BB509" i="8"/>
  <c r="BB506" i="8"/>
  <c r="BB525" i="8"/>
  <c r="BB789" i="8"/>
  <c r="BB986" i="8"/>
  <c r="BB1185" i="8"/>
  <c r="BB1214" i="8"/>
  <c r="BB1254" i="8"/>
  <c r="BB1255" i="8"/>
  <c r="BB1259" i="8"/>
  <c r="BB1284" i="8"/>
  <c r="BB1253" i="8"/>
  <c r="BB1281" i="8"/>
  <c r="BB1191" i="8"/>
  <c r="BB1144" i="8"/>
  <c r="BB162" i="8"/>
  <c r="BB1179" i="8"/>
  <c r="BB603" i="8"/>
  <c r="BH7" i="8" l="1"/>
  <c r="BG783" i="8"/>
  <c r="BB7" i="8"/>
  <c r="BH77" i="8"/>
  <c r="BH132" i="8"/>
  <c r="BB132" i="8"/>
  <c r="BG132" i="8"/>
  <c r="BH59" i="8"/>
  <c r="BB59" i="8"/>
  <c r="BG59" i="8"/>
  <c r="BB123" i="8"/>
  <c r="BH123" i="8"/>
  <c r="BG549" i="8"/>
  <c r="BH428" i="8"/>
  <c r="BB428" i="8"/>
  <c r="BG428" i="8"/>
  <c r="BB359" i="8"/>
  <c r="BH359" i="8"/>
  <c r="BG359" i="8"/>
  <c r="BB45" i="8"/>
  <c r="BH45" i="8"/>
  <c r="BG45" i="8"/>
  <c r="BH26" i="8"/>
  <c r="BB26" i="8"/>
  <c r="BH415" i="8"/>
  <c r="BG415" i="8"/>
  <c r="BG37" i="8"/>
  <c r="BG8" i="8"/>
  <c r="BB8" i="8"/>
  <c r="BG800" i="8"/>
  <c r="BB333" i="8"/>
  <c r="BG789" i="8"/>
  <c r="BH406" i="8"/>
  <c r="BG406" i="8"/>
  <c r="BB23" i="8" l="1"/>
  <c r="BG28" i="8"/>
  <c r="BH28" i="8"/>
  <c r="BB28" i="8"/>
  <c r="BB1016" i="8"/>
  <c r="BG1016" i="8"/>
  <c r="BH1016" i="8"/>
  <c r="BG1243" i="8"/>
  <c r="BG1244" i="8"/>
  <c r="BB1244" i="8"/>
  <c r="BF1" i="8" l="1"/>
  <c r="I5" i="8" l="1"/>
  <c r="I1" i="8" s="1"/>
  <c r="AY5" i="8" l="1"/>
  <c r="BB440" i="8" l="1"/>
  <c r="BG440" i="8"/>
  <c r="BH440" i="8"/>
  <c r="BH624" i="8"/>
  <c r="BB624" i="8"/>
  <c r="BG624" i="8"/>
  <c r="BH647" i="8"/>
  <c r="BB647" i="8"/>
  <c r="BG647" i="8"/>
  <c r="BH150" i="8"/>
  <c r="BG150" i="8"/>
  <c r="BB150" i="8"/>
  <c r="BH73" i="8"/>
  <c r="BG73" i="8"/>
  <c r="BB73" i="8"/>
  <c r="BG74" i="8"/>
  <c r="BB74" i="8"/>
  <c r="BH74" i="8"/>
  <c r="BH5" i="8"/>
  <c r="BG5" i="8"/>
  <c r="BB5" i="8"/>
  <c r="BG71" i="8"/>
  <c r="BB71" i="8"/>
  <c r="BH71" i="8"/>
  <c r="BH72" i="8"/>
  <c r="BG72" i="8"/>
  <c r="BB72" i="8"/>
  <c r="BB70" i="8"/>
  <c r="BG70" i="8"/>
  <c r="BH70" i="8"/>
  <c r="BG454" i="8"/>
  <c r="BH454" i="8"/>
  <c r="BB454" i="8"/>
  <c r="BH385" i="8"/>
  <c r="BB385" i="8"/>
  <c r="BG385" i="8"/>
  <c r="BH553" i="8"/>
  <c r="BB553" i="8"/>
  <c r="BG553" i="8"/>
  <c r="BH575" i="8"/>
  <c r="BG575" i="8"/>
  <c r="BB575" i="8"/>
  <c r="BG4" i="8"/>
  <c r="BB4" i="8"/>
  <c r="BH4" i="8"/>
  <c r="BG25" i="8"/>
  <c r="BH25" i="8"/>
  <c r="BB25" i="8"/>
  <c r="BG617" i="8"/>
  <c r="BB617" i="8"/>
  <c r="BH617" i="8"/>
  <c r="BG615" i="8"/>
  <c r="BB615" i="8"/>
  <c r="BH615" i="8"/>
  <c r="BG614" i="8"/>
  <c r="BH614" i="8"/>
  <c r="BB614" i="8"/>
  <c r="BG30" i="8"/>
  <c r="BH30" i="8"/>
  <c r="BB30" i="8"/>
  <c r="BG1052" i="8"/>
  <c r="BH1052" i="8"/>
  <c r="BB1052" i="8"/>
  <c r="BB16" i="8"/>
  <c r="BG738" i="8"/>
  <c r="BB738" i="8"/>
  <c r="BH738" i="8"/>
  <c r="BG17" i="8"/>
  <c r="BH17" i="8"/>
  <c r="BB17" i="8"/>
  <c r="BG607" i="8"/>
  <c r="BB607" i="8"/>
  <c r="BH607" i="8"/>
  <c r="BG18" i="8"/>
  <c r="BH18" i="8"/>
  <c r="BG432" i="8"/>
  <c r="BH432" i="8"/>
  <c r="BG597" i="8"/>
  <c r="BH597" i="8"/>
  <c r="BH16" i="8"/>
  <c r="BG16" i="8"/>
  <c r="BB18" i="8"/>
  <c r="AL3" i="8" l="1"/>
  <c r="AY3" i="8" s="1"/>
  <c r="BG6" i="8" l="1"/>
  <c r="BH6" i="8"/>
  <c r="BB6" i="8"/>
  <c r="AY1" i="8"/>
  <c r="BB1" i="8" s="1"/>
  <c r="BB147" i="8"/>
  <c r="BG147" i="8"/>
  <c r="BH147" i="8"/>
  <c r="AL1" i="8"/>
  <c r="BH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Henrique</author>
  </authors>
  <commentList>
    <comment ref="A25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Promoção nos anúncios 26/07/2024
3297770985 
3297820645
3297782259</t>
        </r>
      </text>
    </comment>
    <comment ref="AH57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Henrique:
Promoção ativada</t>
        </r>
        <r>
          <rPr>
            <sz val="9"/>
            <color indexed="81"/>
            <rFont val="Segoe UI"/>
            <family val="2"/>
          </rPr>
          <t xml:space="preserve">
08/08/2024</t>
        </r>
      </text>
    </comment>
    <comment ref="AH152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Promoção ativada
08/08/2024</t>
        </r>
      </text>
    </comment>
    <comment ref="A175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Colocado os anúncios abaixo em promoção 07/08/2024
2037766479 
2819223407 
2819077665 </t>
        </r>
      </text>
    </comment>
    <comment ref="A210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Ativado promoção 08/08/2024</t>
        </r>
      </text>
    </comment>
    <comment ref="A263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Promoção ativada 07/08/2024</t>
        </r>
      </text>
    </comment>
  </commentList>
</comments>
</file>

<file path=xl/sharedStrings.xml><?xml version="1.0" encoding="utf-8"?>
<sst xmlns="http://schemas.openxmlformats.org/spreadsheetml/2006/main" count="8994" uniqueCount="2223">
  <si>
    <t>b420c00c-cd5c-42ab-a8fc-1d8589e80ae7</t>
  </si>
  <si>
    <t>V2</t>
  </si>
  <si>
    <t>SKU</t>
  </si>
  <si>
    <t>Bieleta Dianteira Mini Cooper R50 R53 2001 A 2006</t>
  </si>
  <si>
    <t>Caixa Rótula Alavanca Câmbio Santana Até 2005</t>
  </si>
  <si>
    <t>PVI1047</t>
  </si>
  <si>
    <t>Caixa Rótula Alavanca Câmbio Gol G1 G2 G3</t>
  </si>
  <si>
    <t>Capa De Pedal Freio E Embreagem C10 C20 C40</t>
  </si>
  <si>
    <t>Bieleta Dianteira Ambos Os Lados Jac J2 2012 A 2016</t>
  </si>
  <si>
    <t>FTK7739-MB</t>
  </si>
  <si>
    <t>Bucha Traseira Da Bandeja Dianteira Corolla 1997 A 2002</t>
  </si>
  <si>
    <t>FTK11140-MB</t>
  </si>
  <si>
    <t>Bucha Da Bandeja Superior Suspensão Dianteira Blazer 96 A 11</t>
  </si>
  <si>
    <t>Bieleta Dianteira Le Fusion 2006 A 2009</t>
  </si>
  <si>
    <t>442105P</t>
  </si>
  <si>
    <t>Kit Pino Da Pinça De Freio Hyundai Hr 2005 A 2018</t>
  </si>
  <si>
    <t>FTK22286-GP</t>
  </si>
  <si>
    <t>Bucha Da Bandeja Superior Dianteira Ranger 2012 Em Diante</t>
  </si>
  <si>
    <t>Bieleta Traseira Ambos Lados Azera 2007 A 2009</t>
  </si>
  <si>
    <t>FTK11019</t>
  </si>
  <si>
    <t>Pivô Bandeja Inferior Dianteira Ambos Os Lados Van 98 À 02</t>
  </si>
  <si>
    <t>Bandeja Inferior Belina Scala 1984 A 1991</t>
  </si>
  <si>
    <t>PF005</t>
  </si>
  <si>
    <t>Bandeja Direita Inferior Corolla 1997 A 2002 Sem Pivô</t>
  </si>
  <si>
    <t>Bandeja Inferior C3 Lado Direito Com Pivô</t>
  </si>
  <si>
    <t>FTK11053</t>
  </si>
  <si>
    <t>T-112006</t>
  </si>
  <si>
    <t>Bandeja Clio Inferior Direito 2005 Á 2016 Sem Pivô</t>
  </si>
  <si>
    <t>Bandeja Clio Inferior Esquerdo 2005 Á 2016 Sem Pivô</t>
  </si>
  <si>
    <t>FTK22404</t>
  </si>
  <si>
    <t>FTK110165</t>
  </si>
  <si>
    <t>Bandeja Inferior Direito Com Pivô Passat 2012 A 2015</t>
  </si>
  <si>
    <t>FTK11049</t>
  </si>
  <si>
    <t>Pivô Bandeja Inferior Dianteira Esquerda Doblô 2003 À 2017</t>
  </si>
  <si>
    <t>Bandeja Inferior Esquerda Com Pivô Montana 2003 A 2010</t>
  </si>
  <si>
    <t>Bandeja Direita Sem Pivô Palio Weekend 2005 A 2019</t>
  </si>
  <si>
    <t>Bandeja Dianteira Direita Sem Pivô Hyundai Ix35 2010 A 2015</t>
  </si>
  <si>
    <t>FTK44008-AMW</t>
  </si>
  <si>
    <t>Bucha Central Bandeja Dianteira Dodge Journey 2007 Em Diante</t>
  </si>
  <si>
    <t>Bandeja Dianteira Direita Sem Pivô Outlander 2007 À 2013</t>
  </si>
  <si>
    <t>Bieleta Dianteira Lado Esquerdo Kia Soul 2009 A 2015</t>
  </si>
  <si>
    <t>Bandeja Dianteira Esquerda Com Pivô Toro 4x4 2016 A 2020</t>
  </si>
  <si>
    <t>Bandeja Inferior Direito Chapa Simples Courier Sem Pivô</t>
  </si>
  <si>
    <t>Bandeja Dianteira Ambos Lados Sem Pivô Variant 1970 A 1977</t>
  </si>
  <si>
    <t>Pivô Inferior Bandeja Dianteira Ka 1997 À 2007</t>
  </si>
  <si>
    <t>PVI0605</t>
  </si>
  <si>
    <t>Pivô Da Bandeja Dianteira Ambos Lados Oroch 2016 A 2019</t>
  </si>
  <si>
    <t>Bandeja Dianteira Esquerda Com Pivô Sandero 2014 A 2019</t>
  </si>
  <si>
    <t>Bandeja Dianteira Direita Com Pivô Sandero 2014 A 2019</t>
  </si>
  <si>
    <t>Bandeja Inferior Direito Com Pivô Vera Cruz 2009 À 2012</t>
  </si>
  <si>
    <t>Bandeja Com Pivô Direita Sandero 2006 Em Diante</t>
  </si>
  <si>
    <t>Bieleta Dianteira Fiesta 1996 A 2002</t>
  </si>
  <si>
    <t>Bieleta Dianteira Lado Direito Kia Soul 2009 A 2015</t>
  </si>
  <si>
    <t>Bandeja Dianteira Sem Pivô Esquerda Toro  2018 À 2020</t>
  </si>
  <si>
    <t>Bandeja Inferior Direito Ka Direção Hidráulica  08 Á 13</t>
  </si>
  <si>
    <t>FTK11225-MB</t>
  </si>
  <si>
    <t>Bandeja Esquerda Inferior Sem Pivô Tucson 2005 Em Diante</t>
  </si>
  <si>
    <t>Bandeja  Inferior Esquerdo Sem Pivô Livina 2010 Á 2014</t>
  </si>
  <si>
    <t>Bandeja Superior Dianteira Direita C/ Pivô Hilux 4x4 06 À 20</t>
  </si>
  <si>
    <t>Cabo De Embreagem Saveiro 1982 A 1987 Motor 1.5 1.6</t>
  </si>
  <si>
    <t>FTK77015-MB</t>
  </si>
  <si>
    <t>Bucha Dianteira Da Bandeja Dianteira Sentra 2014 Em Diante</t>
  </si>
  <si>
    <t>Braço Traseiro Curvo New Civic 2006 A 2011</t>
  </si>
  <si>
    <t>Cabo Capô Com Alavanca Fiesta 1996 A 2002</t>
  </si>
  <si>
    <t>FTK66001-MB</t>
  </si>
  <si>
    <t>Bucha Traseira Da Bandeja Suspensão Dianteira Fit 2009 A 14</t>
  </si>
  <si>
    <t>FTK11224-MB</t>
  </si>
  <si>
    <t>Bandeja Com Pivô Direita Fiorino 2014 Em Diante</t>
  </si>
  <si>
    <t>Cabo De Capô Com Alavanca Opala 1984 Em Diante</t>
  </si>
  <si>
    <t>Cabo De Câmbio Engate Strada 1.5 1.6 1999 A 2002</t>
  </si>
  <si>
    <t>FTK3395-MB</t>
  </si>
  <si>
    <t>Bucha Dianteira Da Bandeja Dianteira New Fiesta 2010 Diante</t>
  </si>
  <si>
    <t>Bandeja Inferior Esquerdo Com Pivô Santa Fé 2006 À 2011</t>
  </si>
  <si>
    <t>Cabo De Freio Dianteiro Journey 2009 A 2016</t>
  </si>
  <si>
    <t>Bandeja Superior Dianteira Esquerda C Pivô Hilux 4x4 06 À 20</t>
  </si>
  <si>
    <t>Bandeja Dianteira Esquerda Sem Pivô Sportage 2011 A 2022</t>
  </si>
  <si>
    <t>FTK99171-MB</t>
  </si>
  <si>
    <t>Bucha Da Bandeja Superior Dianteira Civic 1992 A 1995</t>
  </si>
  <si>
    <t>Bandeja Dianteira Lado Esquerdo Com Pivô Fluence 2011 À 2018</t>
  </si>
  <si>
    <t>Bandeja Inferior Esquerda Com Pivô Idea Elx 2005 A 2016</t>
  </si>
  <si>
    <t>Bieleta Dianteira Land Rover Evoque 2011 Em Diante</t>
  </si>
  <si>
    <t>Cabo De Seleção Siena 1.5 1.6 1998 A 2001</t>
  </si>
  <si>
    <t>Bomba Combustível Monza 2.0 Efi 1991 A 1996</t>
  </si>
  <si>
    <t>FTK22204-MB</t>
  </si>
  <si>
    <t>Bucha Dianteira Da Bandeja Dianteira Focus 2000 A 2009</t>
  </si>
  <si>
    <t>Bandeja Inferior Esquerda Com Pivô Fiorino 2014 Em Diante</t>
  </si>
  <si>
    <t>FTK33029-MB</t>
  </si>
  <si>
    <t>Bucha Da Bandeja Superior Dianteira Amarok 2010 Em Diante</t>
  </si>
  <si>
    <t>Bandeja Inferior Esquerdo Fiesta Sem Pivô 2003 Á 2009</t>
  </si>
  <si>
    <t>Bandeja Ambos Lados Tracker 1.4 Lt Ltz 2017 A 2020</t>
  </si>
  <si>
    <t>ftk11028-mb</t>
  </si>
  <si>
    <t>Bucha Da Bandeja Inferior Dianteira Pajero Tr4 2002 Diante</t>
  </si>
  <si>
    <t>Bandeja Inferior Direito Ecosport Sem Pivô 2003 Á 2011</t>
  </si>
  <si>
    <t>Bandeja Inferior Esquerdo Ecosport Com Pivô</t>
  </si>
  <si>
    <t>Kit Pino Guia Pinça Freio Pajero Tr4 2003 Em Diante</t>
  </si>
  <si>
    <t>Bandeja Ibiza 1995 Á 2003  Lado Esquerdo Com Pivô</t>
  </si>
  <si>
    <t>Bieleta Dianteira Direita Nissan Altima 2013 A 2019</t>
  </si>
  <si>
    <t>Bandeja Superior Esquerdo Sem Pivô  Del Rey 1984 À 1991</t>
  </si>
  <si>
    <t>NZT0012</t>
  </si>
  <si>
    <t>Bieleta Dianteira Esquerda Nissan Altima 2013 A 2019</t>
  </si>
  <si>
    <t>PVI3395</t>
  </si>
  <si>
    <t>Pivô Inferior Dianteira Ambos Lados Ecosport 2003 A 2013</t>
  </si>
  <si>
    <t>Bandeja Superior Direito Sem Pivô Pampa 1984 À 1997</t>
  </si>
  <si>
    <t>Rolamento Da Roda Dianteira Sem Abs Fiat Marea 1999 A 2007</t>
  </si>
  <si>
    <t>Bieleta Dianteira Cruze 2010 Em Diante</t>
  </si>
  <si>
    <t>Bandeja Dianteira Esquerda Com Pivô Fiesta 2003 A 2009</t>
  </si>
  <si>
    <t>Bucha Traseira Da Bandeja Dianteira Prisma 2013 Em Diante</t>
  </si>
  <si>
    <t>Kit Cupula Alavanca Ré Para Frente Strada Até 2001</t>
  </si>
  <si>
    <t>FTK99140-MB</t>
  </si>
  <si>
    <t>Bucha Da Bandeja Superior Dianteira Civic 1996 A 2000</t>
  </si>
  <si>
    <t>Bandeja Dianteira Lado Direito Com Pivô Fluence 2011 À 2018</t>
  </si>
  <si>
    <t>Cabo De Capô Sem Alavanca Amarok 2010 Em Diante</t>
  </si>
  <si>
    <t>Garfo Da Embreagem Peugeot Partner 2012 A 2018</t>
  </si>
  <si>
    <t>Bandeja Esquerda Inferior Sem Pivô Kadett 1989 A 1998</t>
  </si>
  <si>
    <t>Suporte Do Radiador Vectra Cd 2.2 16v 2000</t>
  </si>
  <si>
    <t>Rolamento Coifa Palio G1 1.0 1996 A 2000</t>
  </si>
  <si>
    <t>FTK11203-MB</t>
  </si>
  <si>
    <t>Suporte Dianteiro Da Bandeja Dianteira Meriva 2002 A 2014</t>
  </si>
  <si>
    <t>Bandeja Inferior Esquerda Sem Pivô Kwid 2017 Em Diante</t>
  </si>
  <si>
    <t>Kit Reparo Trambulador Cambio Astra Com Liame 1993 A 2006</t>
  </si>
  <si>
    <t>Bandeja Inferior Direito Sem Pivô Nissan Sentra 2013 À 2020</t>
  </si>
  <si>
    <t>Bandeja Inferior Esquerdo Ecosport Sem Pivô</t>
  </si>
  <si>
    <t>Bandeja Dianteira Direita Sem Pivô Civic 2011 A 2016</t>
  </si>
  <si>
    <t>Bandeja Dianteira Direita Hr 2005 Em Diante</t>
  </si>
  <si>
    <t>Cabo Embreagem 805mm Monza Todos</t>
  </si>
  <si>
    <t>Bandeja Dianteira Esquerda Hr 2005 Em Diante</t>
  </si>
  <si>
    <t>Haste  Bieleta Câmbio 206 207 1.4 / 1.6 Longo 34cm</t>
  </si>
  <si>
    <t>Bandeja Lado Esquerdo Hb20 Hatch 2012 A 2019 Com Pivô</t>
  </si>
  <si>
    <t>Bandeja Inferior Esquerda Com Pivô Passat Cc 2009 2010</t>
  </si>
  <si>
    <t>Cabo De Capô Com Alavanca Chevette 1983 A 1994</t>
  </si>
  <si>
    <t>FTK99370-MB</t>
  </si>
  <si>
    <t>Bucha Dianteira Da Bandeja Dianteira Kwid 2017 Em Diante</t>
  </si>
  <si>
    <t>Bucha Dianteira Da Bandeja Dianteira Cobalt 2011 Em Diante</t>
  </si>
  <si>
    <t>Bandeja Inferior Direito Sem Pivô Rav 4 2006 Á 2017</t>
  </si>
  <si>
    <t>Bandeja Direita Inferior Sem Pivô Kadett 1989 A 1998</t>
  </si>
  <si>
    <t>Cabo De Capô Com Alavanca 1624mm Uno Mille 1991 Em Diante</t>
  </si>
  <si>
    <t>Bandeja Direita Sem Pivô Uno Vivace 2010 Em Diante</t>
  </si>
  <si>
    <t>Pino Da Pinça De Freio Chevrolet S10 4x4</t>
  </si>
  <si>
    <t>Bandeja Inferior Direito Sem Pivô Passat 2012 A 2015</t>
  </si>
  <si>
    <t>FTK99325-MB</t>
  </si>
  <si>
    <t>Bucha Da Bandeja Suspensão Dianteira Logan 2007 Em Diante</t>
  </si>
  <si>
    <t>Bieleta Traseira Direita Mercedes E300 2008 A 2014</t>
  </si>
  <si>
    <t>Bieleta Dianteira Direita L200 Triton Sport 2016 A 2019</t>
  </si>
  <si>
    <t>Bieleta Dianteira Direita L200 Triton 4x4 2007 A 2013</t>
  </si>
  <si>
    <t>Bieleta Dianteira Ambos Lados Blazer 1997 A 2011</t>
  </si>
  <si>
    <t>Bieleta Dianteira Ambos Os Lados Soul 2015 Em Diante</t>
  </si>
  <si>
    <t>Bieleta Dianteira Ambos Lados Towner Jr Cabine Dupla</t>
  </si>
  <si>
    <t>Bieleta Traseira Ambos Lados Mini Cooper Hacth 2001 Diante</t>
  </si>
  <si>
    <t>Bieleta Dianteira Ambos Os Lados Ix35 2010 A 2015</t>
  </si>
  <si>
    <t>Bieleta Traseira Ambos Lados Sportage 2011 Em Diante</t>
  </si>
  <si>
    <t>Cabo De Capô Com Alavanca Kadett 1989 A 1998</t>
  </si>
  <si>
    <t>Bieleta Dianteira Esquerda L200 Triton 4x4 2007 A 2013</t>
  </si>
  <si>
    <t>Bieleta Dianteira Logus 1993 A 1996</t>
  </si>
  <si>
    <t>Bieleta Dianteira Ambos Os Lados Symbol 2010 Em Diante</t>
  </si>
  <si>
    <t>FTK3320K</t>
  </si>
  <si>
    <t>Coifa Homocinética Lado Câmbio Premio 1994 A 1996</t>
  </si>
  <si>
    <t>Bandeja Traseira Direita Fusion 2006 A 2009</t>
  </si>
  <si>
    <t>Kit Alavanca Cambio Parati Cht Ap 1982 À 2005</t>
  </si>
  <si>
    <t>Bandeja Inferior Esquerda Sem Pivô Berlingo 1998 A 2007</t>
  </si>
  <si>
    <t>Bieleta Traseira Esquerda Mercedes C230 2008 A 2014</t>
  </si>
  <si>
    <t>Bandeja Inferior Direita Sem Pivô 306 1994 A 2001</t>
  </si>
  <si>
    <t>Bandeja Inferior Esquerda Fiat Tempra Sw 1995 A 2003</t>
  </si>
  <si>
    <t>Kit Reparo Trambulador Com Mola Megane Até 2004</t>
  </si>
  <si>
    <t>Bieleta Dianteira Ambos Os Lados I30 2006 A 2010</t>
  </si>
  <si>
    <t>Bieleta Dianteira Ambos Lados Azera 2007 A 2011 Motor 3.3</t>
  </si>
  <si>
    <t>Bieleta Traseira Ou Dianteira Focus 2008 A 2013 2 Geração</t>
  </si>
  <si>
    <t>Bieleta Dianteira Ambos Os Lados S10 1995 A 2011</t>
  </si>
  <si>
    <t>FTK66000-MB</t>
  </si>
  <si>
    <t>Bucha Dianteira Da Bandeja Dianteira Fit 2009 A 2014</t>
  </si>
  <si>
    <t>Pivô Bandeja Dianteira Ambos Os Lados Fluence 2011 Em Diante</t>
  </si>
  <si>
    <t>Capa De Pedal Freio E Embreagem Meriva</t>
  </si>
  <si>
    <t>Pivô Da Bandeja Dianteira Ambos Lados Montana 2004 A 2010</t>
  </si>
  <si>
    <t>Bandeja Inferior Esquerdo Sem Pivô Audi 80 Ano 1981 A 1991</t>
  </si>
  <si>
    <t>Kit Capa Pedal Freio Embreagem Kombi 1976 Em Diante</t>
  </si>
  <si>
    <t>FTK99371-MB</t>
  </si>
  <si>
    <t>Bucha Traseira Da Bandeja Dianteira Kwid 2017 Em Diante</t>
  </si>
  <si>
    <t>Haste Bieleta Do Câmbio Peugeot 206 207  1.4 .16 161mm Curta</t>
  </si>
  <si>
    <t>FTK99103-MB</t>
  </si>
  <si>
    <t>Bucha Traseira Da Bandeja Dianteira Scenic 2007 Em Diante</t>
  </si>
  <si>
    <t>Bieleta Barra Peugeot 307 308 408 3008 C4 - C4  Picasso</t>
  </si>
  <si>
    <t>FTK99104-MB</t>
  </si>
  <si>
    <t>Bucha Dianteira Da Bandeja Dianteira Megane 2007 Em Diante</t>
  </si>
  <si>
    <t>Cabo De Freio Gol G3 2002 Em Diante</t>
  </si>
  <si>
    <t>Kit Reparo Alavanca Câmbio Del Rey Motor Ap  1990 À 1997</t>
  </si>
  <si>
    <t>Bieleta Dianteira I30 Cerato</t>
  </si>
  <si>
    <t>Terminal De Cabo De Engate Gol</t>
  </si>
  <si>
    <t>Cabo De Embreagem Peugeot 206 1.1 / 1.3 / 1.6 Chassi 9683/..</t>
  </si>
  <si>
    <t>FTK3321K</t>
  </si>
  <si>
    <t>Coifa Homocinética Câmbio Ambos Lados Fiorino 1996 A 2017</t>
  </si>
  <si>
    <t>Suporte Do Para Choque Fusca</t>
  </si>
  <si>
    <t>Bieleta Haste Curta Trambulador Peugeot 306</t>
  </si>
  <si>
    <t>VA-10008</t>
  </si>
  <si>
    <t>Aditivo Para Radiador Valclei</t>
  </si>
  <si>
    <t>Braço Tensor Esquerdo Com Terminal Elba 1985 A 2004</t>
  </si>
  <si>
    <t>PVI772102</t>
  </si>
  <si>
    <t>Pivô Nissan March 2011 Em Diante</t>
  </si>
  <si>
    <t>Cabo De Velocímetro Kombi T2 2006 Em Diante Motor Água</t>
  </si>
  <si>
    <t>PVI2004</t>
  </si>
  <si>
    <t>Pivô Bandeja Inferior Ambos Lados City 2009 A 2013</t>
  </si>
  <si>
    <t>Cabo De Embreagem Fiat Palio 2012 Até 2017</t>
  </si>
  <si>
    <t>Terminal Da Direção Braço Tensor Ambos Lados Premio 91 A 96</t>
  </si>
  <si>
    <t>FTK11055</t>
  </si>
  <si>
    <t>Pivô Bandeja Dianteira Ambos Os Lados Punto 2008 A 2017</t>
  </si>
  <si>
    <t>PVI1026</t>
  </si>
  <si>
    <t>Pivô Inferior Bandeja Dianteira Ambos Lados Classic 02 À 09</t>
  </si>
  <si>
    <t>Cabo De Velocímetro Vectra Todos Câmbio Mecânico 1993 A 1996</t>
  </si>
  <si>
    <t>Pivô Bandeja Dianteira Ambos Os Lados Toro 2016 A 2020</t>
  </si>
  <si>
    <t>FTK11050</t>
  </si>
  <si>
    <t>Pivô Bandeja Inferior Dianteira Direita Doblô 2003 À 2017</t>
  </si>
  <si>
    <t>Bandeja Esquerda Inferior Com Pivô I30 2008 A 2012</t>
  </si>
  <si>
    <t>Bandeja Direita Inferior Com Pivô Kia Cerato 2009 Em Diante</t>
  </si>
  <si>
    <t>Bandeja Esquerda Inferior Sem Pivô I30 2008 A 2012</t>
  </si>
  <si>
    <t>FTK11052</t>
  </si>
  <si>
    <t>Pivô Inferior Direita Strada Adventure Locker 2009 A 2017</t>
  </si>
  <si>
    <t>PVI1058</t>
  </si>
  <si>
    <t>Pivô Inferior Bandeja Dianteira Idea Ambos Lados 2006 À 2017</t>
  </si>
  <si>
    <t>Pivô Inferior Da Bandeja Esquerda Idea Adventure 2006 A 2017</t>
  </si>
  <si>
    <t>PVI1003</t>
  </si>
  <si>
    <t>Pivô Da Bandeja Inferior Ambos Os Lados Parati 1992 À 1997</t>
  </si>
  <si>
    <t>Cabo De Capô Com Alavanca 1566mm Uno Sporting 2010 Em Diante</t>
  </si>
  <si>
    <t>FTK11060</t>
  </si>
  <si>
    <t>Pivô Da Bandeja Inferior Ambos Lados Aircross 2011 A 2021</t>
  </si>
  <si>
    <t>Kit Rolamento Dianteira Corsa</t>
  </si>
  <si>
    <t>Cabo De Embreagem Kombi T2 1996 Em Diante</t>
  </si>
  <si>
    <t>Cabo De Embreagem Novo Uno Fase 2 2016 Até 2021</t>
  </si>
  <si>
    <t>Rolamento Da Roda Dianteira Sem Abs Passat Gol Até 1994</t>
  </si>
  <si>
    <t>Cabo De Câmbio Engate Linea 2009 A 2014</t>
  </si>
  <si>
    <t>Cabo Capô Sem Alavanca L200 Glx Outdoor Savana 2015 Diante</t>
  </si>
  <si>
    <t>Cabo De Embreagem Kombi Std 1996 A 2005</t>
  </si>
  <si>
    <t>Cabo Limitador Da Tampa Traseira S10 Lado Direito 95 A 2001</t>
  </si>
  <si>
    <t>FTK3322K</t>
  </si>
  <si>
    <t>Coifa Homocinética Lado Roda Fiat Tipo 1.6 Todos Os Anos</t>
  </si>
  <si>
    <t>Kit Cupula Alavanca Ré Para Trás Siena 1996 Em Diante</t>
  </si>
  <si>
    <t>FTK44003-AMW</t>
  </si>
  <si>
    <t>Bucha Esquerda Traseira Bandeja Dianteira Tipo 1993 A 1997</t>
  </si>
  <si>
    <t>PG003</t>
  </si>
  <si>
    <t>Kit Rolamento Eixo Traseiro Picasso Sem Barra</t>
  </si>
  <si>
    <t>FTK44002-AMW</t>
  </si>
  <si>
    <t>Bucha Ambos Lados Bandeja Dianteira Tipo 1993 A 1997</t>
  </si>
  <si>
    <t>Bandeja Lado Esquerdo Hb20 Hatch Automático</t>
  </si>
  <si>
    <t>PVI2182</t>
  </si>
  <si>
    <t>Pivô Inferior Da Bandeja Ambos Lados Renault R11 1983 A 1997</t>
  </si>
  <si>
    <t>Cabo De Capô Com Botão Opala 1975 A 1983</t>
  </si>
  <si>
    <t>PVI1048</t>
  </si>
  <si>
    <t>Cabo De Embreagem Fusca 1300 1500 1600 De 1968 Em Diante</t>
  </si>
  <si>
    <t>FTK99128-MB</t>
  </si>
  <si>
    <t>Bucha Dianteira Da Bandeja Dianteira Fluence 2010 Em Diante</t>
  </si>
  <si>
    <t>FTK99129-MB</t>
  </si>
  <si>
    <t>Bucha Traseira Da Bandeja Dianteira Fluence 2010 Em Diante</t>
  </si>
  <si>
    <t>FTK4476-MB</t>
  </si>
  <si>
    <t>Bucha Dianteira Da Bandeja Dianteira Stilo 2002 A 2010</t>
  </si>
  <si>
    <t>FTK4477-MB</t>
  </si>
  <si>
    <t>Bucha Traseira Da Bandeja Dianteira Stilo 2002 A 2010</t>
  </si>
  <si>
    <t>FTK44406-MB</t>
  </si>
  <si>
    <t>Bucha Traseira Da Bandeja Dianteira Punto 2008 A 2018</t>
  </si>
  <si>
    <t>Morceguinho Lado Direito Corsa 1994 A 1998</t>
  </si>
  <si>
    <t>FTK7742-MB</t>
  </si>
  <si>
    <t>Bucha Central Da Bandeja Dianteira Corolla 2003 Em Diante</t>
  </si>
  <si>
    <t>Bieleta Dianteira Ld S10 Trailblazer 2012 Em Diante</t>
  </si>
  <si>
    <t>hl5610</t>
  </si>
  <si>
    <t>Bieleta Dianteira Esquerda Vera Cruz 2007 A 2012</t>
  </si>
  <si>
    <t>Bieleta Dianteira New Civic 2011 Esquerdo</t>
  </si>
  <si>
    <t>222010b</t>
  </si>
  <si>
    <t>Braço Oscilante Direito Com Bucha Verona 1990 A 1992</t>
  </si>
  <si>
    <t>Bieleta Dianteira Ambos Os Lados Outlander 2008 Em Diante</t>
  </si>
  <si>
    <t>Bandeja Sem Pivô Lado Direito Gol G6 2012 Em Diante</t>
  </si>
  <si>
    <t>nzt636114</t>
  </si>
  <si>
    <t>Rolamento Roda Dianteira Sem Abs Corsa Classic Prisma Agile</t>
  </si>
  <si>
    <t>Braço Da Suspensão Esquerdo Corsa Classic Sem Pivô</t>
  </si>
  <si>
    <t>hl5609</t>
  </si>
  <si>
    <t>Bieleta Dianteira Direita Vera Cruz 2007 A 2012</t>
  </si>
  <si>
    <t>Bieleta Dianteira Esquerda Honda Civic 2001 A 2006</t>
  </si>
  <si>
    <t>Bieleta Dianteira Lado Direito Fusion 2006 A 2009</t>
  </si>
  <si>
    <t>FTK22208-MB</t>
  </si>
  <si>
    <t>Bucha Traseira Da Bandeja Dianteira Courier 1996 A 2013</t>
  </si>
  <si>
    <t>FTK2263-MB</t>
  </si>
  <si>
    <t>Bucha Dianteira Da Bandeja Dianteira Fiesta 1996 A 2002</t>
  </si>
  <si>
    <t>Bandeja Dianteira Ambos Lados Parati 1993 A 2008</t>
  </si>
  <si>
    <t>FTK77014-MB</t>
  </si>
  <si>
    <t>Bucha Traseira Da Bandeja Dianteira Sentra 2008 Em Diante</t>
  </si>
  <si>
    <t>112005B</t>
  </si>
  <si>
    <t>Bracinho Oscilante Com Pivô Fiat Uno 1986 A 1996</t>
  </si>
  <si>
    <t>Bandeja Direita Sem Pivô Citroen C3 2003 A 2012</t>
  </si>
  <si>
    <t>Bandeja Inferior Direito Fiat Coupe</t>
  </si>
  <si>
    <t>Bandeja Inferior Esquerda Com Pivô Etios 2012 A 2018</t>
  </si>
  <si>
    <t>Bandeja Inferior Esquerda Fiat Marea Weekend 1999 A 2008</t>
  </si>
  <si>
    <t>Bandeja Dianteira Direita Com Pivô Fiat Punto 2006 A 2014</t>
  </si>
  <si>
    <t>44911/12</t>
  </si>
  <si>
    <t>Cabo De Marcha Gm Astra Zafira 2008</t>
  </si>
  <si>
    <t>PG001</t>
  </si>
  <si>
    <t>Reparo Rolamento Eixo Traseiro Pegeout 207 47mm 2008 A 2010</t>
  </si>
  <si>
    <t>Bandeja Inferior Direita Com Pivô Etios 2012 A 2018</t>
  </si>
  <si>
    <t>Bandeja Dianteira Vectra Sem Pivô 1997 Á 2011</t>
  </si>
  <si>
    <t>FTK00311</t>
  </si>
  <si>
    <t>Pivô Bandeja Spin 2013 Em Diante</t>
  </si>
  <si>
    <t>Bieleta Dianteira Ranger 1999 A 2011</t>
  </si>
  <si>
    <t>Bandeja Esquerda Com Pivô Megane Grand Tour 2006 A 2012</t>
  </si>
  <si>
    <t>Cabo Embreagem Gol G2 1994 A 1998</t>
  </si>
  <si>
    <t>Bieleta Dianteira Spin 2012 Em Diante</t>
  </si>
  <si>
    <t>Bandeja Dianteira Direita Hilux 2005 A 2015 Com Pivô</t>
  </si>
  <si>
    <t xml:space="preserve">Capa Pedal Hyundai Hr E H100 Kia Bongo K2500 K2700 K2799 </t>
  </si>
  <si>
    <t>Bandeja Superior Direita Opala 1969 A 1992</t>
  </si>
  <si>
    <t>PG002</t>
  </si>
  <si>
    <t>Rolamento 47mm Suspensão Trás 206 207 Sem Barra Estabiliza</t>
  </si>
  <si>
    <t>Bieleta Traseira Ambos Lados Chery Cielo 2008 A 2013</t>
  </si>
  <si>
    <t>Kit Reparo Trambulador Sandero 2007 À 2019</t>
  </si>
  <si>
    <t>Bandeja Fluence Lado Esquerdo 2011 Á 2018</t>
  </si>
  <si>
    <t>FTK77002-AMW</t>
  </si>
  <si>
    <t>Bucha Traseira Da Bandeja Dianteira Xsara 1998 A 2004</t>
  </si>
  <si>
    <t>Pivô Da Bandeja Dianteira Ambos Lados Clio 2003 A 2016</t>
  </si>
  <si>
    <t>Bandeja Dianteira Esquerda Hilux 2005 A 2015 Com Pivô</t>
  </si>
  <si>
    <t>Bandeja Dianteira Direita Com Pivô Polo Gti 2006 A 2017</t>
  </si>
  <si>
    <t>Morceguinho Dianteiro Esquerdo Montana 2011 A 2016</t>
  </si>
  <si>
    <t>FTK11043</t>
  </si>
  <si>
    <t>Pivô Bandeja Dianteira Esquerda Polo 2002 A 2017</t>
  </si>
  <si>
    <t>Braço Da Suspensão Esquerdo Celta Sem Pivô 2000 A 2015</t>
  </si>
  <si>
    <t>Bandeja Dianteira Direita Com Pivô Sentra 2007 A 2012</t>
  </si>
  <si>
    <t>Suporte Coxin Radiador Esquerdo Corsa Frente Montana 2002/12</t>
  </si>
  <si>
    <t>Cabo Do Trambulador Engate Palio Weekend G2 G3 2003 A 2008</t>
  </si>
  <si>
    <t>Bomba Combustível Flex Universal Sistema Bosch 12 Bar</t>
  </si>
  <si>
    <t>YBR 125 Velocímetro</t>
  </si>
  <si>
    <t>Cabo De Velocímetro Yamaha Ybr 125 2003 2004 2005</t>
  </si>
  <si>
    <t>Cabo De Capô Gol Com Alavanca 1984 Em Diante</t>
  </si>
  <si>
    <t>Bandeja Inferior Direita Com Pivô Edge 2008 A 2015</t>
  </si>
  <si>
    <t>Morceguinho Dianteiro Classic Lado Esquerdo 2004 A 2015</t>
  </si>
  <si>
    <t>FTK88002-AMW</t>
  </si>
  <si>
    <t>Bucha Traseira Da Bandeja Dianteira C4 2007 A 2019</t>
  </si>
  <si>
    <t>Cabo De Marcha Hyundai Hr 2005 A 2012</t>
  </si>
  <si>
    <t>Cabo De Embreagem Toyota Etios 1.3/1.5 16v 2012/2013... Novo</t>
  </si>
  <si>
    <t>Cabo Do Trambulador Onix 2012 A 2014</t>
  </si>
  <si>
    <t>NZT311396</t>
  </si>
  <si>
    <t>Rolamento Da Roda Dianteira Sem Abs Kadett 89 A 97</t>
  </si>
  <si>
    <t>Bandeja Inferior Esquerda Com Pivô S10 4x4 1996 A 2000</t>
  </si>
  <si>
    <t>Braço Bandeja Ambos Lados Com Pivô Chery Qq 1.1 2011 A 2018</t>
  </si>
  <si>
    <t>Cabo De Embreagem Montana Nova 2012 A 2016</t>
  </si>
  <si>
    <t>Bandeja Inferior Esquerda Com Pivô Edge 2008 A 2015</t>
  </si>
  <si>
    <t>FTK889628</t>
  </si>
  <si>
    <t>Rolamento Semi Eixo Renault Laguna 1994 Até 2012</t>
  </si>
  <si>
    <t>FTK44006-AMW</t>
  </si>
  <si>
    <t>Bucha Direita Traseira Bandeja Dianteira Tipo 93 A 97</t>
  </si>
  <si>
    <t>Bandeja Le Voyage G5 2008 Em Diante Com Direção Hidraulica</t>
  </si>
  <si>
    <t>Bandeja Ld Voyage G5 2008 Em Diante Com Direção Hidraulica</t>
  </si>
  <si>
    <t>FTK11204-MB</t>
  </si>
  <si>
    <t>Bucha Traseira Da Bandeja Dianteira Corsa 2002 A 2012</t>
  </si>
  <si>
    <t>Cabo Limitador Da Tampa Traseira Saveiro G5 2009 Em Diante</t>
  </si>
  <si>
    <t>Cabo De Capô Com Botão Opala 1969 A 1974</t>
  </si>
  <si>
    <t>Bieleta Dianteira Vw Spacefox E Spacecross Todas Versões</t>
  </si>
  <si>
    <t>FTK11203A-MB</t>
  </si>
  <si>
    <t>Refil Bucha Dianteira Da Bandeja Dianteira Meriva 2002 A 12</t>
  </si>
  <si>
    <t>Cabo De Capô Com Alavanca 1608mm Strada 2012 Em Diante</t>
  </si>
  <si>
    <t>Morceguinho Lado Esquerdo Corsa 1994 A 1998</t>
  </si>
  <si>
    <t>FD001</t>
  </si>
  <si>
    <t>Kit Rolamento Roda Traseira Ford Verona 1993 1994 1995 1996.</t>
  </si>
  <si>
    <t>Bandeja Inferior Direita Sem Pivô Royale 1991 A 1996</t>
  </si>
  <si>
    <t>Bieleta Dianteira Le Idea 2006 Strada 2009 Em Diante</t>
  </si>
  <si>
    <t>Bieleta Dianteira Equerdo Honda Fit 2003 Até 2008 1.4 1.5</t>
  </si>
  <si>
    <t>Braço Suspensão Esquerdo Corsa Wagon Sem Pivô 1995 A 1997</t>
  </si>
  <si>
    <t>Reparo Traseiro Rolamento Blindado Palio Weekend Marea Brava</t>
  </si>
  <si>
    <t>Bandeja Superior Direita Com Pivô Ranger 1998 A 2011</t>
  </si>
  <si>
    <t>Bandeja Inferior Oroch Lado Passageiro 2015 Á 2020 Sem Pivô</t>
  </si>
  <si>
    <t>Bieleta Dianteira Citroen C3 Aircross</t>
  </si>
  <si>
    <t>Bieleta Dianteira Ambos Os Lados  Cr-v 2006 A 2011</t>
  </si>
  <si>
    <t>Bandeja Dianteira Esquerda Sem Pivô Sandero 2008 A 2014</t>
  </si>
  <si>
    <t>Terminal Cabo De Engate Audi A3 2003</t>
  </si>
  <si>
    <t>Bieleta Traseira Compass 4x4 2015 Em Diante Ld Ou Le</t>
  </si>
  <si>
    <t>Bieleta Traseira Land Rover Freelander 2 2008 A 2014</t>
  </si>
  <si>
    <t>Bieleta Dianteira Toro 4x4 4x2 2016 Em Diante</t>
  </si>
  <si>
    <t>Bieleta Traseira Renegade 4x2 2015 Em Diante</t>
  </si>
  <si>
    <t>Bieleta Dianteira Mobi Uno Palio Fiorino Grand Siena</t>
  </si>
  <si>
    <t>Braço Tensor Direita Sem Terminal Uno Fase I 2004 A 2013</t>
  </si>
  <si>
    <t>Braço Da Suspensão Direito Corsa Wagon Sem Pivô 1995 A 1997</t>
  </si>
  <si>
    <t>Bieleta Dianteira Montana 2004 A 2010</t>
  </si>
  <si>
    <t>Bieleta Dianteir Ld Idea Adventure 2005 A 2016</t>
  </si>
  <si>
    <t>Bieleta Dianteira 206 1.0 16v Todos</t>
  </si>
  <si>
    <t>Bieleta Dianteira Fusion 2009 A 2012</t>
  </si>
  <si>
    <t>Bandeja Inferior Direita Com Pivô Kwid 2017 Em Diante</t>
  </si>
  <si>
    <t>Bandeja Esquerda Inferior Corolla 2001 A 2019</t>
  </si>
  <si>
    <t>Capa Pedal Acelerador Freio Embreagem Opala Todos</t>
  </si>
  <si>
    <t>FTK11018-MB</t>
  </si>
  <si>
    <t>Bucha Dianteira Da Bandeja Dianteira Pajero Sport 03 Diante</t>
  </si>
  <si>
    <t>4004r</t>
  </si>
  <si>
    <t>Capa Pedal Acelerador Freio Embreagem Rosa Kadett 89 A 98</t>
  </si>
  <si>
    <t>Bieleta Dianteira Strada 2020 2021 2022</t>
  </si>
  <si>
    <t>Capa De Pedal Freio Embreagem Spacefox 2012 A 2015</t>
  </si>
  <si>
    <t>Bieleta Dianteira Direita Honda Fit 2003 Até 2008 1.4 1.5</t>
  </si>
  <si>
    <t>hl4047</t>
  </si>
  <si>
    <t>Capa Pedal De Freio Zafira 2004 A 2011 Automático</t>
  </si>
  <si>
    <t>Kit Guia Pinça De Freio Sonic Lt Flex 1.6man 2013</t>
  </si>
  <si>
    <t>4017C</t>
  </si>
  <si>
    <t>Kit Capa Pedal Acelerador Freio Embregaem Brasília</t>
  </si>
  <si>
    <t>Capa Pedal Embreagem Freio Renault Logan 2007 Até 2011</t>
  </si>
  <si>
    <t>FTK99347-MB</t>
  </si>
  <si>
    <t>Bucha Traseira Da Bandeja Dianteira Sportage 2011 Em Diante</t>
  </si>
  <si>
    <t>Corsa Sedan Class. Super 1.6 2004 A 2006</t>
  </si>
  <si>
    <t>Bandeja Direita Com Pivô New Megane 2007 Em Diante</t>
  </si>
  <si>
    <t>Reparo Pino Guia Pinça De Freio Dianteiro Nissan Versa</t>
  </si>
  <si>
    <t>Capa Pedal Freio Embreagem Variant Até 1975</t>
  </si>
  <si>
    <t>Cabo De Capô Fox Flex Com Alavanca 2003 A 2005</t>
  </si>
  <si>
    <t>FTK11019-MB</t>
  </si>
  <si>
    <t>Bucha Da Bandeja Dianteira Pajero Sport 2001 Em Diante</t>
  </si>
  <si>
    <t>Cabo Limitador Da Tampa Traseira Strada Fase 3 2008 A 2012</t>
  </si>
  <si>
    <t>Bandeja Superior Esquerda Chevrolet Chevette</t>
  </si>
  <si>
    <t>Bandeja Inferior Esquerda Pajero Tr4 Sem Pivô 2000 Á 2014</t>
  </si>
  <si>
    <t>Bandeja Inferior Direita Com Pivô Civic 2007 A 2011</t>
  </si>
  <si>
    <t>Bandeja Dianteira Inferior Direita Com Pivô Ipanema 89 À 98</t>
  </si>
  <si>
    <t>Bandeja Traseira Uno Cs S Sx 1984 A 1996</t>
  </si>
  <si>
    <t>Bandeja Dianteira Direita Com Pivô Ecosport 2003 A 2011</t>
  </si>
  <si>
    <t>Bandeja Superior Direito Sem Pivô Chevy 500 1984 À 1995</t>
  </si>
  <si>
    <t>FTK11001-MB</t>
  </si>
  <si>
    <t>Bucha Traseira Da Bandeja Dianteira L200 4x4 1995 A 2006</t>
  </si>
  <si>
    <t>Cabo De Freio Ecosport Todos 4x2 Flex 2012/2017</t>
  </si>
  <si>
    <t>Cabo De Velocímetro Mitsubishi L200 Sport 2003 Em Diante</t>
  </si>
  <si>
    <t>Bandeja Inferior Direito Pajero Tr4 Sem Pivô 2000 Á 2014</t>
  </si>
  <si>
    <t>Cabo Embreagem Uno Mille Motor 1.0 8v Mpi Fire 2002 A 2004</t>
  </si>
  <si>
    <t>Bandeja Inca 1999 Á 2001</t>
  </si>
  <si>
    <t>Suporte Sup. Radiador Celta 2009 Le Ld</t>
  </si>
  <si>
    <t>Capa Pedal Acelerador Freio Embreagem Corsa 1994 Até 2015</t>
  </si>
  <si>
    <t>Cabo De Capô Com Alavanca 1575mm Siena 1998 A 2000</t>
  </si>
  <si>
    <t>Kit Capa De Pedal Vw Voyage 2008 A 2021</t>
  </si>
  <si>
    <t>Pino Buchas Da Dobradiça Porta Belina 1989</t>
  </si>
  <si>
    <t>Bandeja Direita Com Pivô Mobi 2016 Em Diante</t>
  </si>
  <si>
    <t>Bandeja Dianteira Direita Com Pivô J3 2011 À 2015</t>
  </si>
  <si>
    <t>Kit Capa De Pedal New Fiesta</t>
  </si>
  <si>
    <t>FP270</t>
  </si>
  <si>
    <t>Pastilha De Freio De Cerâmica Cruze 2017 Em Diante</t>
  </si>
  <si>
    <t>Pastilha De Freio Dianteira Classic 2010 Em Diante</t>
  </si>
  <si>
    <t>Bandeja Direita Inferior Corolla Fielder 2002 A 2019</t>
  </si>
  <si>
    <t>Bandeja Esquerda Com Pivô Tracker 1.8 2014 A 2016</t>
  </si>
  <si>
    <t>Pastilha De Freio Dianteira Cobalt 1.4 1.8 2012 A 2016 C Abs</t>
  </si>
  <si>
    <t>fp963</t>
  </si>
  <si>
    <t>Pastilha De Freio Diant Cerâmica Trailblazer 2013 Em Diante</t>
  </si>
  <si>
    <t>Pastilha De Freio Dianteira Daewoo Lanos 1997 Em Diante</t>
  </si>
  <si>
    <t>Capa De Pedal Freio E Embreagem Citroen C3</t>
  </si>
  <si>
    <t>Pastilha De Freio Dianteira Novo Hb20 2016 A 2019</t>
  </si>
  <si>
    <t>Pastilha De Freio Dianteira Gol G5 G6 1.0 1.6 2012 Em Diante</t>
  </si>
  <si>
    <t>Bandeja Direita Com Pivô Polo Classic 1996 A 2001</t>
  </si>
  <si>
    <t>Bandeja Dianteira Direita Sem Pivô J3 2011 À 2015</t>
  </si>
  <si>
    <t>Bandeja Direita Sem Pivô Megane Grand Tour 2006 A 2012</t>
  </si>
  <si>
    <t>t1006</t>
  </si>
  <si>
    <t>Terminal Cabo Trambulador Seleção 10mm Grand Siena 2014 2015</t>
  </si>
  <si>
    <t>Reparo Bucha Cabo Marcha Zafira A Partir De 2006 Até 2012</t>
  </si>
  <si>
    <t>Bandeja Esquerda Sem Pivô New Megane 2007 Em Diante</t>
  </si>
  <si>
    <t>Bieleta Dianteira Lado Esquerdo Captiva Tracker</t>
  </si>
  <si>
    <t>FTK66029-MB</t>
  </si>
  <si>
    <t>Bucha Dianteira Da Bandeja Dianteira Crv 2007 A 2012</t>
  </si>
  <si>
    <t>Capa De Pedal Freio Embreagem E Acelerador Astra Sport</t>
  </si>
  <si>
    <t>fp991</t>
  </si>
  <si>
    <t>Pastilha Freio Diant Cerâmica Amarok 3.0 Tdi 2018 Em Diante</t>
  </si>
  <si>
    <t>Capa Pedal Freio Embreagem Gm Spin 2012 Em Diante</t>
  </si>
  <si>
    <t>Capa Pedal Acelerador Freio Embregaem Fusca Variant Brasilia</t>
  </si>
  <si>
    <t>Cabo De Engate Siena El 1.0/1.4 Mpi 8v 2013 Flex  55208207</t>
  </si>
  <si>
    <t>Bandeja Direita Com Pivô Tracker 1.4 Turbo 2017 A 2020</t>
  </si>
  <si>
    <t>Bandeja Inferior Direito Berlingo 1999 Em Diante</t>
  </si>
  <si>
    <t>Cabo De Engate E Seleção Montana 2011 2012 2013 2014 Novo</t>
  </si>
  <si>
    <t>Cabo De Marcha Vectra 2006 A 2011  Todos ( Câmbio Mecânico )</t>
  </si>
  <si>
    <t>Cabo De Embreagem Peugeot 206 Até 03 1.1 1.3 1.6 Reg Manual</t>
  </si>
  <si>
    <t>Capa Pedal Acelerador Freio Embreagem Voyage Saveiro Gol</t>
  </si>
  <si>
    <t>Kit Reparo Trambulador Sem Mola Kangoo Todos Os Anos</t>
  </si>
  <si>
    <t>Bandeja Inferior Esquerda Com Pivô Kia Soul 2009 A 2014</t>
  </si>
  <si>
    <t>Bandeja Inferior Direita Com Pivô Kia Soul 2009 A 2014</t>
  </si>
  <si>
    <t>LT5609</t>
  </si>
  <si>
    <t>Kit Reparo Terminal Cabo Engate Seleção Nissan Versa</t>
  </si>
  <si>
    <t>FTK11042</t>
  </si>
  <si>
    <t>Pivô Bandeja Dianteira Direita Polo Gti 2006 A 2017</t>
  </si>
  <si>
    <t>Braço Da Suspensão  Corsa Classic Sem Pivô 98 A 2016</t>
  </si>
  <si>
    <t>Suporte Traseiro Do Motor Câmbio Manual Astra 2004</t>
  </si>
  <si>
    <t>Bandeja Inferior Esquerdo Cobalt 2013 Em Diante Sem Pivô</t>
  </si>
  <si>
    <t>FTK11006-AMW</t>
  </si>
  <si>
    <t>Bucha Traseira Da Bandeja Dianteira Golf 1999 A 2007</t>
  </si>
  <si>
    <t>Bieleta Traseira Barra Estabilizadora Blazer 1996 Até 2011</t>
  </si>
  <si>
    <t>Bucha Eixo Tras Elimina Folga 47mm Peugeot 206 1999 A 2010</t>
  </si>
  <si>
    <t>Bandeja Superior Direita Civic 1996 A 2001 Com Pivô</t>
  </si>
  <si>
    <t>Bandeja Dianteira Direita Com Pivô Sportage 2011 A 2022</t>
  </si>
  <si>
    <t>Bandeja Dianteira Esquerda Com Pivô Sportage 2011 A 2022</t>
  </si>
  <si>
    <t>Bandeja Inferior Direito Cobalt 2013 Em Diante Sem Pivô</t>
  </si>
  <si>
    <t>Bieleta Dianteira Cobalt Onix Spin Sonic Malibu Le Ld</t>
  </si>
  <si>
    <t>Bandeja Dianteira Esquerda Com Pivô Linea 2008 A 2016</t>
  </si>
  <si>
    <t>FTK22003</t>
  </si>
  <si>
    <t>Pivô Da Bandeja Inferior Lado Esquerdo New Civic 2006 A 2011</t>
  </si>
  <si>
    <t>Bandeja Inferior Esquerda Com Pivô New Civic 2007 A 2011</t>
  </si>
  <si>
    <t>Bieleta Dianteira Ambos Os Lados Jumper 1994 À 2017</t>
  </si>
  <si>
    <t>ftk00205</t>
  </si>
  <si>
    <t>Pivô Ambos Os Lados Bandeja Grand Santa Fé 2014 A 2019 3.3</t>
  </si>
  <si>
    <t>Bucha Trambulador Corsa Todos De 94 Até 2012</t>
  </si>
  <si>
    <t>Bucha Reparo Alavanca Trambulador Astra 1993 A 2006</t>
  </si>
  <si>
    <t>Bieleta Dianteira Pallas 2007 A 2013</t>
  </si>
  <si>
    <t>Cabo Limitador Da Tampa Traseira Saveiro G2</t>
  </si>
  <si>
    <t>Bandeja Superior Esquerda Civic 1996 A 2001 Com Pivô</t>
  </si>
  <si>
    <t>Cabo De Câmbio Engate Strada 1.6 1.8 16v 2011 Em Diante</t>
  </si>
  <si>
    <t>FTK22002</t>
  </si>
  <si>
    <t>Pivô Da Bandeja Inferior Lado Direito New Civic 2006 A 2011</t>
  </si>
  <si>
    <t>Cabo Trambulador Seleção Strada 1.4 Fire Mpi 8v 2012</t>
  </si>
  <si>
    <t>Bandeja Dianteira Direita Com Pivô Punto 2008 A 2017</t>
  </si>
  <si>
    <t>Pastilha De Freio Dianteira Palio 1.4 2006 A Set 2009</t>
  </si>
  <si>
    <t>FTK22104</t>
  </si>
  <si>
    <t>Pivô Da Bandeja Dianteira Ambos Lados Ix35 2010 A 2017</t>
  </si>
  <si>
    <t>FTK11057</t>
  </si>
  <si>
    <t>Pivô Lado Esquerdo Gol G6 2012 Em Diante</t>
  </si>
  <si>
    <t>fpi023</t>
  </si>
  <si>
    <t>Pastilha De Freio Diant Cerâmica Citroen Jumpy Expert 2018</t>
  </si>
  <si>
    <t>Bandeja Inferior Direito Fiat Tempra Sw</t>
  </si>
  <si>
    <t>FTK11056</t>
  </si>
  <si>
    <t>Pivô Lado Direito Crossfox 2014 Em Diante</t>
  </si>
  <si>
    <t>Cabo De Embreagem 206 1.0 16v Chassi .../9456 - Reg. Manual</t>
  </si>
  <si>
    <t>FTK11004-AMW</t>
  </si>
  <si>
    <t>Bucha Dianteira Da Bandeja Dianteira Nivus 2020 Em Diante</t>
  </si>
  <si>
    <t>Morceguinho Dianteira Direita Agile 2010 A 2014</t>
  </si>
  <si>
    <t>Cabo De Embreagem Palio 1.0 (46781013) 2000 2001 2002 2003</t>
  </si>
  <si>
    <t>Bucha Eixo Traseiro Elimina Folga Pegeout 206 207 50mm</t>
  </si>
  <si>
    <t>Cabo De Freio Fusca 1.200 1.300 E Karmanghia</t>
  </si>
  <si>
    <t>Bandeja Dianteira Esquerda Com Pivô Fox 2003 A 2014</t>
  </si>
  <si>
    <t>Cabo De Capô Com Alavanca 1623mm Palio 2008 A 2012</t>
  </si>
  <si>
    <t>Suporte Coxin Radiador Direito Montana Antiga 2002 A 2012</t>
  </si>
  <si>
    <t>Cabo De Embreagem Fiorino</t>
  </si>
  <si>
    <t>FTK7740-MB</t>
  </si>
  <si>
    <t>Bucha Central Da Bandeja Dianteira Corolla 1992 A 2002</t>
  </si>
  <si>
    <t>FTK7741-MB</t>
  </si>
  <si>
    <t>Bucha Traseira Da Bandeja Dianteira Corolla 2003 Em Diante</t>
  </si>
  <si>
    <t>Cabo De Capô Com Alavanca 1610mm Siena 2001 A 2007</t>
  </si>
  <si>
    <t>Cabo De Freio Traseiro Ld Siena Attractive Elx 2008 Diante</t>
  </si>
  <si>
    <t>Cabo De Freio Elba Cs Csl Weekend 1.6 Spi Traseiro Até 1991</t>
  </si>
  <si>
    <t>Cabo De Freio Fusca Brasília 1300 1500 De  1981 Em Diante</t>
  </si>
  <si>
    <t>Cabo De Freio Traseiro Le Palio Attractive Elx 2008 Diante</t>
  </si>
  <si>
    <t>Bieleta Dianteira Compass 2007 A 2015</t>
  </si>
  <si>
    <t>Bieleta Dianteira Direita New Civic 2011 Direito</t>
  </si>
  <si>
    <t>Bandeja Fit Inferior Esquerdo 2003 Á 2008 Sem Pivô</t>
  </si>
  <si>
    <t>Bandeja Direita Siena  1997 Á 2001 Sem Pivô</t>
  </si>
  <si>
    <t>Bieleta Traseira Tucson Le</t>
  </si>
  <si>
    <t>Bandeja Superior Direito Amarok 2010 Á 2020</t>
  </si>
  <si>
    <t>Bandeja Direita Siena 1997 Á 2001 Com Pivô</t>
  </si>
  <si>
    <t>Bieleta Dianteira Direita Honda Civic 2001 A 2006</t>
  </si>
  <si>
    <t>Suporte Coxim Câmbio Clio 2003 Em Diante</t>
  </si>
  <si>
    <t>Bandeja Inferior Ambos Os Lados Chapa. D Fiesta Street</t>
  </si>
  <si>
    <t>Bandeja Esquerda Palio 1996 Á 2001 Sem Pivô</t>
  </si>
  <si>
    <t>Bandeja Inferior Chapa Simples Direito Fiesta Sem Pivô</t>
  </si>
  <si>
    <t>Bandeja  Direita Palio 1996 Á 2001 Sem Pivô</t>
  </si>
  <si>
    <t>Bandeja Inferior Esquerdo Palio 1996 Á 2001 Com Pivô</t>
  </si>
  <si>
    <t>Bieleta Dianteira Esquerda S10 Trailblazer 2012 Em Diante</t>
  </si>
  <si>
    <t>Suporte Radiador Lado Motorista - Corsa Sedan 1.6 - 1999</t>
  </si>
  <si>
    <t>Bandeja Inferior Direito Livina 2010 Á 2014</t>
  </si>
  <si>
    <t>Bandeja Fit Inferior Direito 2003 Á 2008 Sem Pivô</t>
  </si>
  <si>
    <t>Bandeja Inferior Esquerdo Sem Pivô Nissan Sentra 2013 À 2020</t>
  </si>
  <si>
    <t>Cabo De Velocímetro Uno S Cs Sx Furgoneta 1985 A 1990</t>
  </si>
  <si>
    <t>Bandeja  Esquerda Palio 1996 Á 2001 Sem Pivô</t>
  </si>
  <si>
    <t>Cabo De Capô 1580mm Sem Alavanca Fiorino 2015 Em Diante</t>
  </si>
  <si>
    <t>Bandeja Inferior Esquerda Ka Sem Pivô 1996 Á 2007</t>
  </si>
  <si>
    <t>Bandeja Up Dianteira Esquerda 2014 Em Diante Sem Pivô</t>
  </si>
  <si>
    <t>Bandeja Inferior Direito Ecosport Sem Pivô</t>
  </si>
  <si>
    <t>Bandeja Lado Esquerdo Peugeot 206 Todos 1999 A 2010 C Pivô</t>
  </si>
  <si>
    <t>Bandeja Inferior Esquerdo Xsara Picasso 2001 A 2011</t>
  </si>
  <si>
    <t>Bandeja Superior Esquerda Amarok 2010 Á 2020</t>
  </si>
  <si>
    <t>Bandeja Inferior Esquerda Sem Pivô Polo 2017 Em Diante</t>
  </si>
  <si>
    <t>Braço Tensor Direito Com Terminal Uno Mille 1985 A 2004</t>
  </si>
  <si>
    <t>Pino Regulagem Da Ponta Do Cabo De Marcha Corsa Celta Vectra</t>
  </si>
  <si>
    <t>Cabo De Trambulador Corsa Classic 2005/2014</t>
  </si>
  <si>
    <t>Bandeja Ld Peugeot 207 Exceto Escapade 2008 Em Diante C Pivô</t>
  </si>
  <si>
    <t>Bandeja Inferior Direita Sem Pivô Ranger 2012 A 2019</t>
  </si>
  <si>
    <t>Braço Tensor Esquerda Sem Terminal Uno Mille 1985 A 2004</t>
  </si>
  <si>
    <t>Bandeja Lado Direito Hb20 2012 A 2019 Com Pivô</t>
  </si>
  <si>
    <t>Bandeja Esquerda Inferior Corolla 1997 A 2002 Sem Pivô</t>
  </si>
  <si>
    <t>Bandeja Direita Sem Pivô Idea Hlx 2005 A 2016 Motor 1.8</t>
  </si>
  <si>
    <t>Bandeja Lado Direito Hb20 Hatch Automático 2012 Á 2019</t>
  </si>
  <si>
    <t>Pastilha De Freio Dianteira Kia Sephia Set 1993 A 2001</t>
  </si>
  <si>
    <t>Cabo De Embreagem 206 1.0 16v D4d 1060mm Regulagem Manual</t>
  </si>
  <si>
    <t>Bomba Combustível Flex Universal Sistema Bosch</t>
  </si>
  <si>
    <t>Bandeja Inferior Esquerda Sem Pivô Ranger 2012 A 2019</t>
  </si>
  <si>
    <t>Bandeja Inferior Direita Com Pivô Meriva 2003 A 2012</t>
  </si>
  <si>
    <t>T1005</t>
  </si>
  <si>
    <t>Terminal Do Cabo De Marcha Engate 13mm Uno 2014 Em Diante</t>
  </si>
  <si>
    <t>Cabo De Marcha Engate E Seleção Hyundai Hr 2013 Em Diante</t>
  </si>
  <si>
    <t>Bandeja C4 Picasso 2009 Á 2014 Lado Direito</t>
  </si>
  <si>
    <t>Bandeja 307 Esquerdo 2002 Á 2012</t>
  </si>
  <si>
    <t xml:space="preserve">Kit Pino Guia Bucha Pinça Freio Vw Crossfox Fox Gol Saveiro </t>
  </si>
  <si>
    <t>Kit Articulador Alavanca Câmbio Up Polo Golf</t>
  </si>
  <si>
    <t>Pino Dobradiça Porta Uno Mille Ld Le 2011</t>
  </si>
  <si>
    <t>Bieleta Dianteira C3 2003 A 2008 E 2013 Em  Diante</t>
  </si>
  <si>
    <t>Pino Reparo Da Dobradiça Porta Uno Mille Ld Le 2007</t>
  </si>
  <si>
    <t>Cabo De Marcha Astra 2001/2005 Original 93306003</t>
  </si>
  <si>
    <t>Reparo Alavanca Cambio Corsa Classic Celta 2005/2014</t>
  </si>
  <si>
    <t>Capa De Pedal Freio E Embreagem Renault Kwid</t>
  </si>
  <si>
    <t>Cabo De Freio Gol G2 Todos Traseiro 1994 A 2002</t>
  </si>
  <si>
    <t>Cabo Embreagem (regulagem Manual) Peugeot 206 1999 Em Diante</t>
  </si>
  <si>
    <t>FTK66039-MB</t>
  </si>
  <si>
    <t>Bucha Traseira Da Bandeja Dianteira Crv 2007 A 2012</t>
  </si>
  <si>
    <t>NZT3601</t>
  </si>
  <si>
    <t>Kit Rolamento Roda Traseira Meriva Le</t>
  </si>
  <si>
    <t>Pino Da Dobradiça Da Porta Blazer 1996 A 2011</t>
  </si>
  <si>
    <t>Kit Bomba Combustível Gasolina Sistema Bosch Verona 94 A 96</t>
  </si>
  <si>
    <t>Bandeja Inferior Esquerda Com Pivô Logus 1993 A 1996</t>
  </si>
  <si>
    <t>Kit Reparo Alavanca Câmbio Trambulador Vectra 2006 Até 2011</t>
  </si>
  <si>
    <t>Cabo De Velocímetro Corsa Wind Gl Gls Gsi 1994 Em Diante</t>
  </si>
  <si>
    <t>Tubo Flexível Kombi Todos Até 1996</t>
  </si>
  <si>
    <t>Cabo Limitador Tampa Traseira Nova Strada Iv 2013  Em Diante</t>
  </si>
  <si>
    <t>Cabo Freio Tras Esquerdo Prisma 2006 Em Diante Com Conector</t>
  </si>
  <si>
    <t>Tubo Flexível Kombi T2 Motor A Água 2006 Em Diante</t>
  </si>
  <si>
    <t>Cabo De Freio Traseira Lado Direito Celta 2001 Em Diante</t>
  </si>
  <si>
    <t>FTK33028-MB</t>
  </si>
  <si>
    <t>Bucha Central Da Bandeja Inferior Amarok 2010 Em Diante</t>
  </si>
  <si>
    <t>Bieleta Dianteira Ambos Os Lados Tucson 2005 A 2017</t>
  </si>
  <si>
    <t>PVI1022</t>
  </si>
  <si>
    <t>Pivô Bandeja Inferior Ambos Lados Escort 1993 A 1996</t>
  </si>
  <si>
    <t>Bandeja Inferior Direita Com Pivô Verona 1993 A 1996</t>
  </si>
  <si>
    <t>Kit Pino Guia Pinça De Freio Diant 1lado L200 Sport 2004</t>
  </si>
  <si>
    <t>Bandeja Inferior Direita Com Pivô Idea Elx 2005 A 2016</t>
  </si>
  <si>
    <t>Cabo De Capô Com Alavanca Montana 2003 Em Diante</t>
  </si>
  <si>
    <t>Bandeja Direita Inferior Sem Pivô Kia Cerato 2009 Em Diante</t>
  </si>
  <si>
    <t>Cabo De Capô Com Alavanca Santana Quantum 1992 A 2001</t>
  </si>
  <si>
    <t>Bandeja Inferior Esquerda Com Pivô Amarok 2010 A 2020 2.0</t>
  </si>
  <si>
    <t>222011b</t>
  </si>
  <si>
    <t>Braço Oscilante Esquerdo Com Bucha Apollo 1990 A 1992</t>
  </si>
  <si>
    <t>Braço Oscilante Esquerdo Sem Bucha Escort 1983 A 1996</t>
  </si>
  <si>
    <t>Bieleta Barra Dianteira Zx 10mm</t>
  </si>
  <si>
    <t>Bieleta Dianteira Fiat Bravo 2011 Em Diante</t>
  </si>
  <si>
    <t>Bandeja Inferior Direito Com Pivô Grand Livina 2009 A 2014</t>
  </si>
  <si>
    <t>Capa Pedal Acelerador Freio Embreagem Santana 1984 A 1991</t>
  </si>
  <si>
    <t>Bieleta Dianteira Fiesta Ecosport</t>
  </si>
  <si>
    <t>Braço Oscilante Direito Sem Bucha Apollo 1990 A 1992</t>
  </si>
  <si>
    <t>Kit Pino Da Pinça De Freio Chevrolet S10 2012 Em Diante</t>
  </si>
  <si>
    <t>Pino Guia Pinça Freio S10 4x2 1995 A 2010</t>
  </si>
  <si>
    <t>Reparo Pino Guia Pinça De Freio Del Rey 1986 Até1991</t>
  </si>
  <si>
    <t>Kit Pino Deslizante Pinça De Freio Corsa 2003 Em Diante</t>
  </si>
  <si>
    <t>Suporte Da Alavanca De Seleção Do Trambulador Corsa Celta</t>
  </si>
  <si>
    <t>Bandeja Inferior Direito Ka 1997 Á 1999 Sem Pivô</t>
  </si>
  <si>
    <t>Reparo Pino Guia Pinça De Freio Dianteiro Corolla 2003a2008</t>
  </si>
  <si>
    <t>Bandeja Dianteira Inferior Esquerda Com Pivô Daewoo 97 À 02</t>
  </si>
  <si>
    <t>Bandeja Dianteira Direita Sem Pivô Sandero 2008 A 2014</t>
  </si>
  <si>
    <t>Bandeja Inferior Ambos Lados Escort 1993 A 1996 Sem Pivô</t>
  </si>
  <si>
    <t>Bandeja Dianteira Esquerda Sem Pivô Honda Fit 2°geração 2008</t>
  </si>
  <si>
    <t>Bandeja Dianteira Esquerda Partner 1999 A 2008</t>
  </si>
  <si>
    <t>Bandeja Dianteira Esquerda Sentra 2007 A 2012 Com Pivô</t>
  </si>
  <si>
    <t>Bandeja Inferior Direito Sem Pivô Vera Cruz 2007 À 2012</t>
  </si>
  <si>
    <t>Bandeja Dianteira Esquerda Alfa 147 1997 Á 2003</t>
  </si>
  <si>
    <t>Bandeja Inferior Direita Sem Pivô Polo 2017 Em Diante</t>
  </si>
  <si>
    <t>Bandeja Com Pivô Lado Direito March 2011 Em Diante</t>
  </si>
  <si>
    <t>Bandeja Esquerda Sem Pivô Audi A3 1996 A 2006</t>
  </si>
  <si>
    <t>Bandeja Esquerda Sem Pivô Strada 2005 A 2008 Motor 1.8</t>
  </si>
  <si>
    <t>Bandeja Inferior Esquerda Com Pivô Fit 2003 A 2018</t>
  </si>
  <si>
    <t>Bandeja Superior Esquerda Caravan 1975 A 1992</t>
  </si>
  <si>
    <t>Bandeja Inferior Esquerda Com Pivô Zafira 2001 A 2012</t>
  </si>
  <si>
    <t>Bandeja Inferior Direita Jetta 2.0 2.5 2005 A 2010 Sem Pivô</t>
  </si>
  <si>
    <t>Bandeja Fluence Lado Direito 2011 Á 2018</t>
  </si>
  <si>
    <t>442122P</t>
  </si>
  <si>
    <t>Bandeja Inferior Direita Jetta 2.0 2.5 2005 A 2010 Com Pivô</t>
  </si>
  <si>
    <t>Bandeja Dianteira Direita Sem Pivô Honda Fit 2009 A 2013</t>
  </si>
  <si>
    <t>442123P</t>
  </si>
  <si>
    <t>Bandeja Inferior Esquerda Jetta 2.0 2.5 2005 A 2010 Com Pivô</t>
  </si>
  <si>
    <t>Bandeja Inferior Direita Com Pivô Vectra 1997 A 2005</t>
  </si>
  <si>
    <t>Cabo De Engate E Seleção Prisma 2014 Em Diante</t>
  </si>
  <si>
    <t>PG001A</t>
  </si>
  <si>
    <t>Kit De Rolamento Eixo Traseiro 207 Passion Com Barra 50mm</t>
  </si>
  <si>
    <t>Bandeja Inferior Direita Com Pivô Fit 2003 A 2018</t>
  </si>
  <si>
    <t>Bandeja Dianteira Esquerda Sem Pivô J3 2011 À 2015</t>
  </si>
  <si>
    <t>Bandeja Inferior Esquerda Com Pivô Kwid 2017 Em Diante</t>
  </si>
  <si>
    <t>FTK222014</t>
  </si>
  <si>
    <t>Pivô Inferior Ambos Os Lados Ranger 4x2 4x4 1998 A 2012</t>
  </si>
  <si>
    <t>Bandeja Direita Inferior Sem Pivô Sportage 2006 A 2009</t>
  </si>
  <si>
    <t>Bandeja Inferior Esquerdo Com Pivô  Livina 2010 Á 2014</t>
  </si>
  <si>
    <t>Bandeja Inferior Ambos Os Lados Crossfox  2005 Á 2013</t>
  </si>
  <si>
    <t>Bandeja Inferior Ambos Os Lados Bravo Sem Pivô 2011 Á 2014</t>
  </si>
  <si>
    <t>Cabo Capô Com Alavanca Fiesta 2002 A 2012</t>
  </si>
  <si>
    <t>Bandeja Com Pivô Lado Esquerdo Nissan March 2011 Em Diante</t>
  </si>
  <si>
    <t>Bandeja Inferior Ambos Lados Renegade Sem Pivô 2015 A 2020</t>
  </si>
  <si>
    <t>Bandeja Inferior Esquerdo Sem Pivô Volkswagen Cc 2010 A 2017</t>
  </si>
  <si>
    <t>Cabo De Capô Com Alavanca 2037mm S10 1995 Em Diante</t>
  </si>
  <si>
    <t>Bandeja Lado Esquerdo March 2011 Em Diante Sem Pivô</t>
  </si>
  <si>
    <t>Bandeja Superior Direito S10 4x2 E 4x4 1995 Á 2011</t>
  </si>
  <si>
    <t>Bandeja Dianteira Direita Sem Pivô Logan 2014 A 2019</t>
  </si>
  <si>
    <t>Bandeja Dianteira Direita Sem Pivô Punto 2006 A 2014</t>
  </si>
  <si>
    <t>Bandeja Inferior Esquerdo Ka Direção Hidráulica Pivô 08 A 13</t>
  </si>
  <si>
    <t>Bandeja Inferior Esquerda Jetta 2.0 2.5 2005 A 2010 Sem Pivô</t>
  </si>
  <si>
    <t>Bandeja Esquerda Sem Pivô Idea Elx 2005 A 2016 Motor 1.4</t>
  </si>
  <si>
    <t>Bandeja Inferior Esquerdo Ka Direção Hidráulica 08 Á 13</t>
  </si>
  <si>
    <t>Bandeja Sem Pivô Lado Esquerdo Saveiro G6 2012 Em Diante</t>
  </si>
  <si>
    <t>Bandeja Inferior Direito Ka Direção Hidráulica Pivô 08 Á 13</t>
  </si>
  <si>
    <t>Bomba Combustível Suprema 4.1 Até 1997</t>
  </si>
  <si>
    <t>Cabo De Embreagem Parati G1 G2 Ap Efi 1.6 1.8 E 2.0</t>
  </si>
  <si>
    <t>Bandeja Com Pivô Esquerda Logan 2004 Em Diante</t>
  </si>
  <si>
    <t>Bandeja Esquerda Sem Pivô Citroen C3 2003 A 2012</t>
  </si>
  <si>
    <t>Par Amortecedor Dianteiro Turbogás L200 Triton 2013 A 2016</t>
  </si>
  <si>
    <t>Morceguinho Dianteiro Classic Lado Direito 2004 A 2015</t>
  </si>
  <si>
    <t>Bandeja Dianteira Esquerda Com Pivô Fiat Punto 2006 A 2014</t>
  </si>
  <si>
    <t>Bandeja Dianteira Esquerda Sem Pivô Logan 2014 A 2019</t>
  </si>
  <si>
    <t>Bandeja Dianteira Direita Com Pivô Oroch 2012 A 2016</t>
  </si>
  <si>
    <t>Bandeja Dianteira Esquerda Sem Pivô Punto 2006 A 2014</t>
  </si>
  <si>
    <t>Bandeja Inferior Direita Com Pivô Amarok 2010 A 2020 2.0</t>
  </si>
  <si>
    <t>Cabo De Embreagem Ducato(2.8mglu)2001 2002 2003 2004 2005...</t>
  </si>
  <si>
    <t>Bieleta Dianteira New Fiesta 2010 Em Diante</t>
  </si>
  <si>
    <t>Bandeja Inferior Direita Sem Pivô New Civic 2007 A 2011</t>
  </si>
  <si>
    <t>Bandeja Inferior Duster Lado Motorista 2011 Á 2014 Sem Pivô</t>
  </si>
  <si>
    <t>Bracinho Oscilante Com Pivô Sem Bucha Fiat Panorama</t>
  </si>
  <si>
    <t>VW001</t>
  </si>
  <si>
    <t>Kit De Rolamento Roda Traseira Versailles 1992 A 1996</t>
  </si>
  <si>
    <t>112004b</t>
  </si>
  <si>
    <t>Bracinho Oscilante Com Pivô E Buchas Fiat Oggi</t>
  </si>
  <si>
    <t>Bandeja Inferior Esquerda Sem Pivô New Civic 2007 A 2011</t>
  </si>
  <si>
    <t>Bandeja Superior Esquerdo S10 4x2 E 4x4 1995 Á 2011</t>
  </si>
  <si>
    <t>Bandeja Inferior Esquerdo Sem Pivô Rav 4 2006 Á 2017</t>
  </si>
  <si>
    <t>Bandeja Inferior Esquerda Sem Pivô Etios 2012 A 2018</t>
  </si>
  <si>
    <t>Bandeja Inferior Direita Sem Pivô Etios 2012 A 2018</t>
  </si>
  <si>
    <t>Bieleta Dianteira Logus Verona Escort Pointer 93 96</t>
  </si>
  <si>
    <t>Bandeja Lado Direito Versa 2011 Em Diante Sem Pivô</t>
  </si>
  <si>
    <t>Bieleta Dianteira Ambos Os Lados Citroen Ds3</t>
  </si>
  <si>
    <t>Bandeja Superior Esquerda Com Pivô Ranger 1998 A 2011</t>
  </si>
  <si>
    <t>Bandeja Inferior Lado Esquerdo Alfa Romeu 145 1995 A 1999</t>
  </si>
  <si>
    <t>FTK1191-MB</t>
  </si>
  <si>
    <t>Bucha Da Bandeja Suspensão Dianteira C14 C15 1982 A 1984</t>
  </si>
  <si>
    <t>Bandeja Inferior Direito Ecosport Com Pivô 2012 Em Diante</t>
  </si>
  <si>
    <t>Bieleta Dianteira Direita Captiva 2008 A 2015</t>
  </si>
  <si>
    <t>Cabo De Embreagem Palio 1.0 (46522369) 1996 1997 98 99 2000</t>
  </si>
  <si>
    <t>Kit Reparo Bucha Alavanca Câmbio Varão Corsa</t>
  </si>
  <si>
    <t xml:space="preserve">Bandeja Esquerda Com Pivô Palio Weekend Adventure Locker </t>
  </si>
  <si>
    <t>Bandeja Esquerda Com Pivô Grand Siena 2012 Em Diante</t>
  </si>
  <si>
    <t>Bandeja Dianteira Direita Com Pivô Compass 4x4 2015 A 2020</t>
  </si>
  <si>
    <t>Bandeja Esquerda Sem Pivô Uno Vivace 2010 Em Diante</t>
  </si>
  <si>
    <t>Bandeja Dianteira Esquerda Com Pivô Oroch 2012 A 2016</t>
  </si>
  <si>
    <t>Bandeja Infeiror Direita Sem Pivô Meriva 2003 A 2012</t>
  </si>
  <si>
    <t>Bandeja Inferior Direita Sem Pivô Kwid 2017 Em Diante</t>
  </si>
  <si>
    <t>Bandeja Dianteira Esquerda Sem Pivô Civic 2011 A 2016</t>
  </si>
  <si>
    <t>Bandeja Inferior C3 Lado Esquerdo Com Pivô</t>
  </si>
  <si>
    <t>Bandeja Dianteira Esquerda Sem Pivô Lancer 2011 À 2019</t>
  </si>
  <si>
    <t>Bandeja Inferior Esquerda Sem Pivô Montana 2003 A 2010</t>
  </si>
  <si>
    <t>Bandeja Dianteira Esquerdo Com Pivô J3 2011 À 2015</t>
  </si>
  <si>
    <t>Bandeja Inferior Esquerdo Sem Pivô Vera Cruz 2007 À 2012</t>
  </si>
  <si>
    <t>Bandeja Direita Com Pivô Palio Weekend Adventure2005 A 2008</t>
  </si>
  <si>
    <t>Descrição / Aplicação</t>
  </si>
  <si>
    <t>Categoria</t>
  </si>
  <si>
    <t>Cabo Embreagem</t>
  </si>
  <si>
    <t>Importação</t>
  </si>
  <si>
    <t>Bandeja</t>
  </si>
  <si>
    <t>Haste Câmbio</t>
  </si>
  <si>
    <t>LT CORREA</t>
  </si>
  <si>
    <t>Reparo alavanta Câmbio</t>
  </si>
  <si>
    <t>MundiFlex</t>
  </si>
  <si>
    <t>Suporte Radiador</t>
  </si>
  <si>
    <t>Garfo Embreagem</t>
  </si>
  <si>
    <t>Bieleta</t>
  </si>
  <si>
    <t>HOLYMAN</t>
  </si>
  <si>
    <t>Cabo Câmbio</t>
  </si>
  <si>
    <t>BRK</t>
  </si>
  <si>
    <t>Terminal Cabo Câmbio</t>
  </si>
  <si>
    <t>Rolamento Roda</t>
  </si>
  <si>
    <t>POLO</t>
  </si>
  <si>
    <t>Rolamento semi Eixo</t>
  </si>
  <si>
    <t>Roletan</t>
  </si>
  <si>
    <t>Rolamento Eixo</t>
  </si>
  <si>
    <t>Pivô</t>
  </si>
  <si>
    <t>Replabor</t>
  </si>
  <si>
    <t>Pastilha de Freio</t>
  </si>
  <si>
    <t>WILL TEC</t>
  </si>
  <si>
    <t>Pino de Freio</t>
  </si>
  <si>
    <t>MultiKit</t>
  </si>
  <si>
    <t>Coifa Homocinética</t>
  </si>
  <si>
    <t>Cabo limitador tampa traseira</t>
  </si>
  <si>
    <t>IMPORTAÇÃO / LT CORREA</t>
  </si>
  <si>
    <t>Bomba Combustível</t>
  </si>
  <si>
    <t>Cabo velocímetro Moto</t>
  </si>
  <si>
    <t>Pino de Porta</t>
  </si>
  <si>
    <t>Suporte Câmbio</t>
  </si>
  <si>
    <t>Fabreck</t>
  </si>
  <si>
    <t>Cupula alavanca</t>
  </si>
  <si>
    <t>Capa Pedal</t>
  </si>
  <si>
    <t>Caixa Rótula</t>
  </si>
  <si>
    <t>Aditivos</t>
  </si>
  <si>
    <t>Bucha Bandeja</t>
  </si>
  <si>
    <t>MOBENSANI</t>
  </si>
  <si>
    <t>Suporte Parachoque</t>
  </si>
  <si>
    <t>Amortecedor</t>
  </si>
  <si>
    <t>Bucha Eixo Suspensão</t>
  </si>
  <si>
    <t>Coxim Câmbio</t>
  </si>
  <si>
    <t>Valclei</t>
  </si>
  <si>
    <t>GUARU BORRACHAS</t>
  </si>
  <si>
    <t>FTK11021</t>
  </si>
  <si>
    <t>Cabo Do Trambulador Sprinter Cdi 313 2004 A 2019</t>
  </si>
  <si>
    <t>Kit Pino Guia Pinça Freio Logan 2008 A 2013</t>
  </si>
  <si>
    <t>ESTOQUE</t>
  </si>
  <si>
    <t>MESES DE 
ESTOQUE</t>
  </si>
  <si>
    <t>FORNECEDOR</t>
  </si>
  <si>
    <t>NZT3600</t>
  </si>
  <si>
    <t>NZT311315</t>
  </si>
  <si>
    <t>BRASFREIO</t>
  </si>
  <si>
    <t>SPARE</t>
  </si>
  <si>
    <t>Mini Gráfico</t>
  </si>
  <si>
    <t>FTK11032</t>
  </si>
  <si>
    <t>FTK33395</t>
  </si>
  <si>
    <t>FTK-00605</t>
  </si>
  <si>
    <t>FTK11030</t>
  </si>
  <si>
    <t>FTK11058</t>
  </si>
  <si>
    <t>FTK11022</t>
  </si>
  <si>
    <t>FTK33006-AMW</t>
  </si>
  <si>
    <t>FTK44004-AMW</t>
  </si>
  <si>
    <t>FTK33005-AMW</t>
  </si>
  <si>
    <t>FTK77001-AMW</t>
  </si>
  <si>
    <t>FTK99134-MB</t>
  </si>
  <si>
    <t>FTK66075-MB</t>
  </si>
  <si>
    <t>FTK11170-MB</t>
  </si>
  <si>
    <t>FTK11171-MB</t>
  </si>
  <si>
    <t>FTK99282-MB</t>
  </si>
  <si>
    <t>FTK99283-MB</t>
  </si>
  <si>
    <t>FTK44005-AMW</t>
  </si>
  <si>
    <t>FTK22222-MB</t>
  </si>
  <si>
    <t>FTK22220-MB</t>
  </si>
  <si>
    <t>FTK77503-AMW</t>
  </si>
  <si>
    <t>FTK99166-MB</t>
  </si>
  <si>
    <t>FTK99083-MB</t>
  </si>
  <si>
    <t>772144P</t>
  </si>
  <si>
    <t>772145P</t>
  </si>
  <si>
    <t>FTK88001-AMW</t>
  </si>
  <si>
    <t>FTK99355-MB</t>
  </si>
  <si>
    <t>FTK99082-MB</t>
  </si>
  <si>
    <t>FTK00606</t>
  </si>
  <si>
    <t>FTK-11049</t>
  </si>
  <si>
    <t>FTK-11050</t>
  </si>
  <si>
    <t>FTK22183</t>
  </si>
  <si>
    <t>Pvi552012</t>
  </si>
  <si>
    <t>FTK00903</t>
  </si>
  <si>
    <t>FTK11004</t>
  </si>
  <si>
    <t>FTK11005</t>
  </si>
  <si>
    <t>FTK22182</t>
  </si>
  <si>
    <t>FTK33305</t>
  </si>
  <si>
    <t>FTK11045</t>
  </si>
  <si>
    <t>T-10111</t>
  </si>
  <si>
    <t>Vendas Direta / Distribuidor</t>
  </si>
  <si>
    <t>FTK11048</t>
  </si>
  <si>
    <t>FTK18273</t>
  </si>
  <si>
    <t>FTK200123PA</t>
  </si>
  <si>
    <t>FTK00122</t>
  </si>
  <si>
    <t>FTK00131</t>
  </si>
  <si>
    <t>FTK00132</t>
  </si>
  <si>
    <t>FTK00313</t>
  </si>
  <si>
    <t>FTK00321</t>
  </si>
  <si>
    <t>FTK00353</t>
  </si>
  <si>
    <t>FTK10212</t>
  </si>
  <si>
    <t>FTK11023</t>
  </si>
  <si>
    <t>FTK11051</t>
  </si>
  <si>
    <t>FTK14272</t>
  </si>
  <si>
    <t>FTK18012</t>
  </si>
  <si>
    <t>FTK18045</t>
  </si>
  <si>
    <t>FTK18088</t>
  </si>
  <si>
    <t>FTK18102</t>
  </si>
  <si>
    <t>FTK18169</t>
  </si>
  <si>
    <t>FTK18193</t>
  </si>
  <si>
    <t>FTK18241</t>
  </si>
  <si>
    <t>FTK18458R</t>
  </si>
  <si>
    <t>FTK18583</t>
  </si>
  <si>
    <t>FTK18599</t>
  </si>
  <si>
    <t>FTK18627</t>
  </si>
  <si>
    <t>FTK18630</t>
  </si>
  <si>
    <t>FTK18647</t>
  </si>
  <si>
    <t>FTK18736</t>
  </si>
  <si>
    <t>FTK3385</t>
  </si>
  <si>
    <t>Bracinho Oscilante Com Pivô Uno 2002 A 2011</t>
  </si>
  <si>
    <t>Braço Da Suspensão Inferior Fusion 2006 A 2012</t>
  </si>
  <si>
    <t>Bandeja  Esquerda Palio 1996 Á 2001  Com Pivô</t>
  </si>
  <si>
    <t>Bandeja Superior Besta 1998 A 2003 Ambos Os Lados</t>
  </si>
  <si>
    <t>Bandeja - AX 96/ - inferior - Direita</t>
  </si>
  <si>
    <t>Bandeja - AX 96/ - inferior - Esquerda</t>
  </si>
  <si>
    <t>Bandeja Inferior Direita Sem Pivô Chevy 500 1984 A 1995</t>
  </si>
  <si>
    <t>Bandeja Inferior Opala 1980 Até 1992 Lado Direito</t>
  </si>
  <si>
    <t>Bandeja Inferior Opala 1980 Até 1992 Lado Esquerdo</t>
  </si>
  <si>
    <t>Bandeja Inferior Direita Com Pivô Citroen C3 2013 A 2022</t>
  </si>
  <si>
    <t>Bandeja Inferior Esquerda Com Pivô Tiggo 2018 A 2021</t>
  </si>
  <si>
    <t>Bandeja Dianteira Esquerda New Fiesta 2011 A 2018 Com Pivô</t>
  </si>
  <si>
    <t>Bandeja Inferior Esquerda Sem Pivô Marajó 1973 A 1993</t>
  </si>
  <si>
    <t>Bandeja Dianteira Direita Monza 1991 A 1996 Com Pivô</t>
  </si>
  <si>
    <t>Bandeja Dianteira Esquerda Monza 1991 A 1996 Com Pivô</t>
  </si>
  <si>
    <t>Bandeja Dianteira Ambos Lados Monza 1991 A 1996 Sem Pivô</t>
  </si>
  <si>
    <t>Bandeja Dianteira Direita Chevette 1973 A 1993 Com Pivô</t>
  </si>
  <si>
    <t>Bandeja Dianteira Esquerda Chevette 1973 A 1993 Com Pivô</t>
  </si>
  <si>
    <t>Bandeja Dianteira Esquerda Com Pivô Cruze 2011 A 2016</t>
  </si>
  <si>
    <t>Bandeja Inferior Ambos Os Lados Sem Pivô Santana 1988 A 2002</t>
  </si>
  <si>
    <t>Bandeja Dianteira Esquerda Citroen C5 2001 A 2007 2.0 3.0</t>
  </si>
  <si>
    <t>Bandeja Dianteira Esquerda Topic 1993 A 2022</t>
  </si>
  <si>
    <t>Bandeja Dianteira Esquerda Com Pivô Fiesta 2000 A 2003</t>
  </si>
  <si>
    <t>Bieleta Traseira Ambos Os Lados Fusion 2013 A 2020</t>
  </si>
  <si>
    <t>Bieleta Dianteira Esquerda Ranger 2012 Em Diante</t>
  </si>
  <si>
    <t>Bieleta Dianteira Esquerda Hrv 2016 A 2021</t>
  </si>
  <si>
    <t>Bieleta Traseira Ambos Lados Hilux Sw4 Motor 3.0</t>
  </si>
  <si>
    <t>Bieleta Dianteira Ambos Os Lados Transit 2009 A 2015</t>
  </si>
  <si>
    <t>Bieleta Dianteira Ambos Lados Audi A3 2003 A 2020</t>
  </si>
  <si>
    <t>Bieleta Dianteira Ambos Lados Civic 2012 A 2016</t>
  </si>
  <si>
    <t>Bieleta Dianteira Ambos Lados Santana 1985 A 2006</t>
  </si>
  <si>
    <t>Bieleta Dianteira Ambos Lados Polo Classic 1996 A 2000</t>
  </si>
  <si>
    <t>Bieleta Traseira Ambos Lados Jetta 2007 A 2018</t>
  </si>
  <si>
    <t>Bieleta Dianteira Ambos Lados Partner 1999 Em Diante</t>
  </si>
  <si>
    <t>Bieleta Traseira Esquerda Pajero Full 2001 A 2009</t>
  </si>
  <si>
    <t>Bieleta Traseira Direita Pajero Full 2001 A 2009</t>
  </si>
  <si>
    <t>Bieleta Dianteira Ambos Lados Grand Tour 2006 A 2013</t>
  </si>
  <si>
    <t>Bieleta Dianteira Direita Bmw 320i 2005 A 2012 E90 92 93</t>
  </si>
  <si>
    <t>Bieleta Dianteira Ambos Lados Hb20s 2012 A 2020</t>
  </si>
  <si>
    <t>Bieleta Dianteira Ambos Lados Bmw 116d 116i 2011 Em Diante</t>
  </si>
  <si>
    <t>Bucha</t>
  </si>
  <si>
    <t>Bucha Traseira Da Bandeja Dianteira Vera Cruz 2006 Em Diante</t>
  </si>
  <si>
    <t>Cabo De Câmbio Mercedes Benz 1720 2765mm</t>
  </si>
  <si>
    <t>Cabo De Embreagem Sandero 2004 Em Diante 1.6 16v</t>
  </si>
  <si>
    <t>Bieleta Dianteira Ambos Lados Monza 1991 A 1997</t>
  </si>
  <si>
    <t>Capa De Pedal Freio Embreagem Acelerador Fiorino 1981 A 2016</t>
  </si>
  <si>
    <t>Capa De Pedal Freio Embreagem Acelerador Chevette 1973 A 80</t>
  </si>
  <si>
    <t>Capa De Pedal Freio Embreagem F-250</t>
  </si>
  <si>
    <t>Capa De Pedal Freio Embreagem Acelerador Vectra 1997 A 2005</t>
  </si>
  <si>
    <t>Capa De Pedal Freio Embreagem Acelerador Fusca Até 1975</t>
  </si>
  <si>
    <t>Capa De Pedal Freio Embreagem Sprinter 310 312 412 311 313</t>
  </si>
  <si>
    <t>Capa De Pedal Freio Embreagem Sandero 2012 A 2014</t>
  </si>
  <si>
    <t>Capa pedal</t>
  </si>
  <si>
    <t>Capa De Pedal Freio Automatico Etios 2016 A 2021</t>
  </si>
  <si>
    <t>Capa De Pedal Freio Embreagem Scania T113</t>
  </si>
  <si>
    <t>Capa De Pedal Freio Embreagem Master 2014 A 2021</t>
  </si>
  <si>
    <t>Capa De Pedal Freio Automático Focus 2008 A 2016</t>
  </si>
  <si>
    <t>Capa De Pedal Freio Embreagem Acelerador Passat G1 74 A 78</t>
  </si>
  <si>
    <t>Capa De Pedal Freio Embreagem Iveco Daily 1997 A 2012</t>
  </si>
  <si>
    <t>Capa De Pedal Freio Embreagem Mercedes 709 1978 A 2018</t>
  </si>
  <si>
    <t>Capa De Pedal Freio Automatico Civic 2000 Em Diante</t>
  </si>
  <si>
    <t>Capa De Pedal Freio Embreagem Micro Ônibus Vw</t>
  </si>
  <si>
    <t>Capa De Pedal Freio Embreagem Volare</t>
  </si>
  <si>
    <t>Capa De Pedal Freio Embreagem Mercedes 180 D</t>
  </si>
  <si>
    <t>Capa De Pedal Freio Automático Santa Fé 2010 A 2014</t>
  </si>
  <si>
    <t>Capa De Pedal Freio Embreagem L200 Hpe Sport 2003 A 2008</t>
  </si>
  <si>
    <t>Capa De Pedal Freio Embreagem Del Rey</t>
  </si>
  <si>
    <t>Kit Cúpula Alavanca Do Cambio 6 Marchas Siena 1999 A 2000</t>
  </si>
  <si>
    <t>Junta moto</t>
  </si>
  <si>
    <t>KRATER</t>
  </si>
  <si>
    <t>Kit Juntas Superior Do Cabeçote Cg150 Titan 2006 Diante</t>
  </si>
  <si>
    <t>Pino Da Dobradiça Da Porta Siena G3 2005 A 2008</t>
  </si>
  <si>
    <t>Pivô Inferior Bandeja Lifan 620 2010 Á 2017 1.6 16v</t>
  </si>
  <si>
    <t>IRB</t>
  </si>
  <si>
    <t>Rolamento Roda Traseira Bmw Série 3 325 2005 A 2012 2.5</t>
  </si>
  <si>
    <t>BUCHA BRAÇO TENSOR UNO NÃO EXPORTAR</t>
  </si>
  <si>
    <t>BUCHA BRAÇO TENSOR ESCORT NÃO EXPORTAR</t>
  </si>
  <si>
    <t>BUCHA DA BANDEJA SUSPENSÃO TRASEIRA UNO MILLE 1991 A 2013 NÃO EXPORTAR</t>
  </si>
  <si>
    <t>Pivô Inferior Dianteira Ambos Lados Ford Ka 2008 A 2014</t>
  </si>
  <si>
    <t>Pivô Bandeja Inferior Ambos Lados Verona 1993 A 1996</t>
  </si>
  <si>
    <t>Pivô Da Bandeja Inferior Peugeot 208 2013 A 2022</t>
  </si>
  <si>
    <t>Pivô Da Bandeja Inferior Ambos Os Lados Kadett 1989 À 1998</t>
  </si>
  <si>
    <t>BIELETA DIANTEIRA AMBOS LADOS OPALA 1969 A 1988</t>
  </si>
  <si>
    <t>BUCHA DIANTEIRA DA BANDEJA DIANTEIRA MONDEO 1993 A 2001</t>
  </si>
  <si>
    <t>Pivô Inferior Ambos Lados Grand Siena 2012 A 2021</t>
  </si>
  <si>
    <t>BUCHA DIANTEIRA DA BANDEJA DIANTEIRA PICASSO 2001 A 2012 NÃO EXPORTAR</t>
  </si>
  <si>
    <t>BUCHA TRASEIRA DA BANDEJA DIANTEIRA CIVIC 2007 A 2016</t>
  </si>
  <si>
    <t>BUCHA DIANTEIRA DA BANDEJA DIANTEIRA CIVIC 2012 A 2016</t>
  </si>
  <si>
    <t>BUCHA TRASEIRA DA BANDEJA DIANTEIRA OMEGA SUPREMA 93 A 98</t>
  </si>
  <si>
    <t>BUCHA DIANTEIRA DA BANDEJA DIANTEIRA OMEGA SUPREMA 93 A 98</t>
  </si>
  <si>
    <t>BUCHA DIANTEIRA DA BANDEJA DIANTEIRA TUCSON 2005 EM DIANTE</t>
  </si>
  <si>
    <t>BUCHA DIANTEIRA DA BANDEJA DIANTEIRA ECOSPORT 2003 A 2012</t>
  </si>
  <si>
    <t>BUCHA TRASEIRA DA BANDEJA DIANTEIRA ECOSPORT 2003 A 2012</t>
  </si>
  <si>
    <t>BUCHA DA BANDEJA SUSPENSÃO DIANTEIRA CLIO 1998 EM DIANTE NÃO EXPORTAR</t>
  </si>
  <si>
    <t>BUCHA DA BANDEJA SUSPENSÃO DIANTEIRA MEGANE 1995 EM DIANTE</t>
  </si>
  <si>
    <t>Bandeja Inferior Esquerda Com Pivô Tiguan 2010 A 2017</t>
  </si>
  <si>
    <t>Bandeja Up Dianteira direita 2014 Em Diante Sem Pivô</t>
  </si>
  <si>
    <t>BIELETA DIANTEIRA ESQUERDA ACCORD 1998 A 2002</t>
  </si>
  <si>
    <t>BIELETA DIANTEIRA DIREITA ACCORD 1998 A 2002</t>
  </si>
  <si>
    <t>BIELETA DIANTEIRA AMBOS LADOS AMAROK 2010 A 2022</t>
  </si>
  <si>
    <t>BIELETA DIANTEIRA PALIO WEEKEND</t>
  </si>
  <si>
    <t>BIELETA DIANTEIRA AMBOS LADOS ASTRA 1995 1996</t>
  </si>
  <si>
    <t>BIELETA DIANTEIRA AMBOS LADOS AUDI A3 1999 A 2003</t>
  </si>
  <si>
    <t>BIELETA DIANTEIRA DIREITA AZERA 2011 A 2015</t>
  </si>
  <si>
    <t>BIELETA DIANTEIRA ESQUERDA AZERA 2011 A 2015</t>
  </si>
  <si>
    <t>BIELETA DIANTEIRA AMBOS OS LADOS BRAVA 1999 A 2003</t>
  </si>
  <si>
    <t>BIELETA DIANTEIRA AMBOS LADOS CHEVETTE 1973 A 1993</t>
  </si>
  <si>
    <t>BIELETA DIANTEIRA AMBOS LADOS CIVIC 1998 A 2000</t>
  </si>
  <si>
    <t>BIELETA DIANTEIRA AMBOS LADOS CIVIC G10 2017 EM DIANTE</t>
  </si>
  <si>
    <t>BIELETA DIANTEIRA AMBOS OS LADOS CORCEL</t>
  </si>
  <si>
    <t>BIELETA DIANTEIRA AMBOS LADOS COROLLA 1993 A 2003</t>
  </si>
  <si>
    <t>BIELETA DIANTEIRA AMBOS OS LADOS COUPE 1995 A 1997 16V</t>
  </si>
  <si>
    <t>BIELETA DIANTEIRA AMBOS LADOS CRETA 2017 A 2020</t>
  </si>
  <si>
    <t>BIELETA DIANTEIRA LADO ESQUERDO CRUZE 2016 A 2020</t>
  </si>
  <si>
    <t>BIELETA DIANTEIRA DIREITA CRUZE 2016 A 2020</t>
  </si>
  <si>
    <t>BIELETA DIANTEIRA AMBOS OS LADOS EDGE 2008 A 2014</t>
  </si>
  <si>
    <t>BIELETA REFORÇADA DIANTEIRA AMBOS LADOS EXPLORER 1992 A 1994</t>
  </si>
  <si>
    <t>BIELETA DIANTEIRA AMBOS OS LADOS F-250</t>
  </si>
  <si>
    <t>BIELETA DIANTEIRA ESQUERDA FIT 2003 A 2008 COFAP MONROE</t>
  </si>
  <si>
    <t>BIELETA DIANTEIRA DIREITA FIT 2003 A 2008 COFAP MONROE</t>
  </si>
  <si>
    <t>BIELETA DIANTEIRA AMBOS OS LADOS FOCUS 2014 EM DIANTE</t>
  </si>
  <si>
    <t>BIELETA DIANTEIRA AMBOS OS LADOS FUSION 2013 A 2020</t>
  </si>
  <si>
    <t>BIELETA DIANTEIRA AMBOS LADOS GOLF GL GLX 1995 A 1998</t>
  </si>
  <si>
    <t>BIELETA DIANTEIRA AMBOS LADOS H100 1994 EM DIANTE</t>
  </si>
  <si>
    <t>BIELETA DIANTEIRA DIREITA HILUX PICK UP 2004 EM DIANTE</t>
  </si>
  <si>
    <t>BIELETA DIANTEIRA ESQUERDA HILUX PICK UP 2004 EM DIANTE</t>
  </si>
  <si>
    <t>BIELETA DIANTEIRA AMBOS LADOS HILUX SW4 4X4 1996 A 2004</t>
  </si>
  <si>
    <t>BIELETA DIANTEIRA DIREITA HRV 2016 A 2021</t>
  </si>
  <si>
    <t>BIELETA DIANTEIRA AMBOS LADOS IPANEMA 1989 1990</t>
  </si>
  <si>
    <t>BIELETA DIANTEIRA AMBOS LADOS IPANEMA 1989 A 1998</t>
  </si>
  <si>
    <t>BIELETA REFORÇADA DIANTEIRA DIREITA L200 TRITON 2007 A 2013</t>
  </si>
  <si>
    <t>BIELETA REFORÇADA DIANTEIRA ESQUERDA L200 TRITON 2007 A 2013</t>
  </si>
  <si>
    <t>BIELETA DIANTEIRA ESQUERDA L200 TRITON SPORT 2016 A 201</t>
  </si>
  <si>
    <t>BIELETA DIANTEIRA AMBOS LADOS MONZA 1982 A 1990</t>
  </si>
  <si>
    <t>BIELETA DIANTEIRA AMBOS LADOS OMEGA 1993 A 1998</t>
  </si>
  <si>
    <t>BIELETA DIANTEIRA AMBOS LADOS OPALA 1988 a 1992</t>
  </si>
  <si>
    <t>BIELETA DIANTEIRA DIREITA RANGER 2012 EM DIANTE</t>
  </si>
  <si>
    <t>BIELETA DIANTEIRA AMBOS LADOS TRACKER 2001 A 2008</t>
  </si>
  <si>
    <t>BIELETA DIANTEIRA DIREITA WR-V 2017 EM DIANTE</t>
  </si>
  <si>
    <t>BIELETA DIANTEIRA ESQUERDA WR-V 2017 EM DIANTE</t>
  </si>
  <si>
    <t>BIELETA TRASEIRA AMBOS OS LADOS JOURNEY 2012 A 2019</t>
  </si>
  <si>
    <t>BIELETA TRASEIRA AMBOS LADOS CAPTIVA 2008 EM DIANTE</t>
  </si>
  <si>
    <t>BIELETA TRASEIRA DIREITA CIVIC 2001 A 2005</t>
  </si>
  <si>
    <t>BIELETA TRASEIRA ESQUERDA CIVIC 2001 A 2005</t>
  </si>
  <si>
    <t>BIELETA TRASEIRA ESQUERDA CIVIC 2006 A 2011</t>
  </si>
  <si>
    <t>BIELETA TRASEIRA DIREITA CIVIC 2006 A 2011</t>
  </si>
  <si>
    <t>BIELETA TRASEIRA DIREITA CRV 2007 EM DIANTE</t>
  </si>
  <si>
    <t>BIELETA TRASEIRA ESQUERDA CRV 2007 EM DIANTE</t>
  </si>
  <si>
    <t>BIELETA TRASEIRA AMBOS LADOS DOBLO TODAS EXCETO CARGO</t>
  </si>
  <si>
    <t>BIELETA TRASEIRA AMBOS OS LADOS ECOSPORT 4X4 2004 EM DIANTE</t>
  </si>
  <si>
    <t>BIELETA TRASEIRA AMBOS OS LADOS FUSION 2006 A 2009</t>
  </si>
  <si>
    <t>BIELETA TRASEIRA AMBOS LADOS HILUX SW4 MOTOR 2.8</t>
  </si>
  <si>
    <t>BIELETA TRASEIRA AMBOS LADOS SANTA FÉ 2007 A 2012</t>
  </si>
  <si>
    <t>BRAÇO DA SUSPENSÃO TRASEIRA I30 2009 A 2012</t>
  </si>
  <si>
    <t>BUCHA DIANTEIRA DA BANDEJA DIANTEIRA 206 1998 A 2010</t>
  </si>
  <si>
    <t>BUCHA DA BANDEJA SUSPENSÃO DIANTEIRA DUSTER 2012 EM DIANTE</t>
  </si>
  <si>
    <t>BUCHA TRASEIRA DA BANDEJA DIANTEIRA MONDEO 1996 A 2001</t>
  </si>
  <si>
    <t>Pivô Inferior Bandeja Dianteira Direito Parati 1983 À 1992</t>
  </si>
  <si>
    <t>Pivô Inferior Bandeja Dianteira Esquerdo Voyage 1981 À 1992</t>
  </si>
  <si>
    <t>Bandeja Up Dianteira Esquerda 2014 Em Diante Com Pivô</t>
  </si>
  <si>
    <t>BUCHA DO BRAÇO SUPERIOR SUSPENSÃO DIANTEIRA EXPLORER 1996 1997 NÃO EXPORTAR</t>
  </si>
  <si>
    <t>Bandeja Up Dianteira direita 2014 Em Diante Com Pivô</t>
  </si>
  <si>
    <t>BIELETA DIANT. L200 / L300</t>
  </si>
  <si>
    <t>BIELETA DIANT. DIR. PAJERO SPORT TODOS</t>
  </si>
  <si>
    <t>BIELETA DIANT. ESQ. PAJERO SPORT TODOS</t>
  </si>
  <si>
    <t>BIELETA TRAS. PAJERO TR4 4X4</t>
  </si>
  <si>
    <t>BIELETA DIANT. PAJERO TR4 4X4</t>
  </si>
  <si>
    <t>BIELETA TRAS. PAJERO SPORT TODOS</t>
  </si>
  <si>
    <t>BIELETA DIANT. DIR. PAJERO FULL 98/07</t>
  </si>
  <si>
    <t>BIELETA DIANT. ESQ. PAJERO FULL 98/08</t>
  </si>
  <si>
    <t>BIELETA DIANT. L200 GLS 82/02 CENTRAL</t>
  </si>
  <si>
    <t>BIELETA DIANT. AIRTREK 03/10</t>
  </si>
  <si>
    <t>BIELETA TRAS. DIR. OUTLANDER 08/...</t>
  </si>
  <si>
    <t>BIELETA TRAS. ESQ. OUTLANDER 08/...</t>
  </si>
  <si>
    <t>BIELETA TRAS. AIRTREK 03/08</t>
  </si>
  <si>
    <t>BIELETA TRAS. ESQ. ASX 11/...</t>
  </si>
  <si>
    <t>BIELETA DIANT. ESQ. MASTER 03/...</t>
  </si>
  <si>
    <t>BIELETA DIANT. DIR. MASTER 03/...</t>
  </si>
  <si>
    <t>BIELETA DIANT. CAPTUR 17/...</t>
  </si>
  <si>
    <t>BIELETA DIANT. FRONTIER 4X4</t>
  </si>
  <si>
    <t>BIELETA DIANT. ESQ. X-TERRA / FRONTIER SET 07/...</t>
  </si>
  <si>
    <t>BIELETA TRAS. FRONTIER 4X2 03/07</t>
  </si>
  <si>
    <t>BIELETA DIANT. SENTRA 2007/...</t>
  </si>
  <si>
    <t>BIELETA DIANT. LIVINA 06/... / MARCH T / TIIDA 07/13 / VERSA 11/13</t>
  </si>
  <si>
    <t>BIELETA TRAS. FRONTIER 17/....</t>
  </si>
  <si>
    <t>BIELETA DIANT. DIR. SPRINTER 97/12</t>
  </si>
  <si>
    <t>BIELETA DIANT. ESQ. SPRINTER 97/12</t>
  </si>
  <si>
    <t>BIELETA DIANTEIRA DIR SPRINTER 2012...</t>
  </si>
  <si>
    <t>BIELETA DIANTEIRA ESQ SPRINTER 2012...</t>
  </si>
  <si>
    <t>BIELETA DIANT. TROLLER</t>
  </si>
  <si>
    <t>BIELETA DIANT FREELANDER 97/...</t>
  </si>
  <si>
    <t>BIELETA TRAS FREELANDER 2 07/16</t>
  </si>
  <si>
    <t>BIELETA DIANT DISCOVERY 3 04/09 DISCOVERY 4 09/11</t>
  </si>
  <si>
    <t>BIELETA DIANT FREELANDER 2 06/14</t>
  </si>
  <si>
    <t>BIELETA DIAN. ESQUERDA / DIREITA AUDI A4 07...16 /A5 07...15 /A6 11....18 / A8</t>
  </si>
  <si>
    <t>BIELETA DIANT .MINI COOPER / COUPE / ONE 01/CLUBMAN/CABRIOLET</t>
  </si>
  <si>
    <t>BRAÇO CURVO TRASEIRO BUMERANGUE FUSION 2006 A 2012</t>
  </si>
  <si>
    <t>PIVÔ INFERIOR BANDEJA AMBOS LADOS BRAVO 2011 A 2015</t>
  </si>
  <si>
    <t>PIVÔ INFERIOR ESQUERDO ARGO DRIVE 1.0 1.3 GSR 2018 A 2021</t>
  </si>
  <si>
    <t>PIVÔ INFERIOR DIREITA ARGO DRIVE 1.0 1.3 GSR 2018 A 2021</t>
  </si>
  <si>
    <t>Bucha Barra estabilizadora</t>
  </si>
  <si>
    <t>BUCHA DA SUSPENSÃO DIANTEIRA ESCORT 1993 A JANEIRO 1995</t>
  </si>
  <si>
    <t>BUCHA DA SUSPENSÃO DIANTEIRA ASTRA 1999 EM DIANTE</t>
  </si>
  <si>
    <t>BUCHA DA SUSPENSÃO DIANTEIRA STILO 2012 A 2016</t>
  </si>
  <si>
    <t>ROLAMENTO RODA DIANTEIRA AUDI S3 2001 A 2003</t>
  </si>
  <si>
    <t>PIVÔ INFERIOR CHEVETTE CHEVY MARAJÓ</t>
  </si>
  <si>
    <t>PIVÔ INFERIOR AMBOS LADOS MERIVA 1.4 1.8 2003 A 2012</t>
  </si>
  <si>
    <t>ROLAMENTO RODA DIANTEIRA SUBARU FORESTER 2.0 2.5 1997 A 2008</t>
  </si>
  <si>
    <t>ROLAMENTO RODA DIANTEIRA JUMPY 1.6 2017 A 2021</t>
  </si>
  <si>
    <t>ROLAMENTO RODA DIANTEIRA CELER 1.5 16V 2012 EM DIANTE</t>
  </si>
  <si>
    <t>ROLAMENTO RODA DIANTEIRA ALFA ROMEO 145 ATÉ 1999</t>
  </si>
  <si>
    <t>ROLAMENTO RODA TRASEIRA LAND ROVER DISCOVERY 3 2005 A 2009</t>
  </si>
  <si>
    <t>ROLAMENTO RODA DIANTEIRA JAC MOTORS J2 2012 A 2017</t>
  </si>
  <si>
    <t>ROLAMENTO RODA DIANTEIRA DAIHATSU CHARADE 1994</t>
  </si>
  <si>
    <t>ROLAMENTO RODA TRASEIRA HILUX 2016 A 2020</t>
  </si>
  <si>
    <t>ROLAMENTO RODA TRASEIRA H1 STAREK 2007 A 2013</t>
  </si>
  <si>
    <t>ROLAMENTO RODA DIANTEIRA CIVIC 1.5 1.6 16V ATÉ 1995</t>
  </si>
  <si>
    <t>ROLAMENTO RODA TRASEIRA MARCH 2011 EM DIANTE</t>
  </si>
  <si>
    <t>ROLAMENTO RODA DIANTEIRA AMAROK 2011 EM DIANTE</t>
  </si>
  <si>
    <t>ROLAMENTO RODA TRASEIRA AMAROK 2010 A 2019 2.0 3.0</t>
  </si>
  <si>
    <t>ROLAMENTO RODA DIANTEIRA RANGER 4X2 4X4 MARÇO 2012 EM DIANTE</t>
  </si>
  <si>
    <t>ROLAMENTO RODA DIANTEIRA KWID 2018 EM DIANTE</t>
  </si>
  <si>
    <t>BUCHA DA SUSPENSÃO TRASEIRA PAJERO DAKAR SPORT 2009 A 2016</t>
  </si>
  <si>
    <t>Bandeja Inferior Esquerda Com Pivô Citroen C3 2013 A 2022</t>
  </si>
  <si>
    <t>Terminal Cabo De Engate Seleção Mercedes Benz 1720 - Mesmo que 110601</t>
  </si>
  <si>
    <t>-</t>
  </si>
  <si>
    <t>Anúnciado?</t>
  </si>
  <si>
    <t>Sim</t>
  </si>
  <si>
    <t>Bandeja Superior 106 Lado Direito Sem Pivô 1992 Á 2001</t>
  </si>
  <si>
    <t>Bandeja Superior 106 Lado Esquerdo Sem Pivô 1992 Á 2001</t>
  </si>
  <si>
    <t>Bandeja Fiesta 2008 A 2014 Lado Esquerdo Sem Pivô</t>
  </si>
  <si>
    <t>Bandeja Fiesta 2008 A 2014 Lado Direito Sem Pivô</t>
  </si>
  <si>
    <t>Bandeja Fiesta 2008 A 2014 Lado Esquerdo Com Pivô</t>
  </si>
  <si>
    <t>Bandeja Fiesta 2008 A 2014 Lado Direito Com Pivô</t>
  </si>
  <si>
    <t>Pivô Da Bandeja Inferior C3 2002 À 2013</t>
  </si>
  <si>
    <t>Pivô DA BANDEJA INFERIOR C3 2002 À 2013</t>
  </si>
  <si>
    <t>Não</t>
  </si>
  <si>
    <t>Vendas 
Unitárias</t>
  </si>
  <si>
    <t>Vendas 
KIT</t>
  </si>
  <si>
    <t>FTK-T325/T</t>
  </si>
  <si>
    <t>LT5637</t>
  </si>
  <si>
    <t>LT2273</t>
  </si>
  <si>
    <t>FTK201366A</t>
  </si>
  <si>
    <t>LT5561</t>
  </si>
  <si>
    <t>LT2271</t>
  </si>
  <si>
    <t>FTK11003</t>
  </si>
  <si>
    <t>LT2266</t>
  </si>
  <si>
    <t>FTK11047</t>
  </si>
  <si>
    <t>LT5577</t>
  </si>
  <si>
    <t>112028p</t>
  </si>
  <si>
    <t>112029p</t>
  </si>
  <si>
    <t>FTK00206</t>
  </si>
  <si>
    <t>FTK00208</t>
  </si>
  <si>
    <t>FTK00212</t>
  </si>
  <si>
    <t>FTK00213</t>
  </si>
  <si>
    <t>FTK00223</t>
  </si>
  <si>
    <t>FTK00226</t>
  </si>
  <si>
    <t>FTK00227</t>
  </si>
  <si>
    <t>FTK11024</t>
  </si>
  <si>
    <t>FTK11026</t>
  </si>
  <si>
    <t>FTK11038</t>
  </si>
  <si>
    <t>FTK11110</t>
  </si>
  <si>
    <t>FTK1510</t>
  </si>
  <si>
    <t>FTK1511</t>
  </si>
  <si>
    <t>FTK-1512</t>
  </si>
  <si>
    <t>FTK232</t>
  </si>
  <si>
    <t>FTK233</t>
  </si>
  <si>
    <t>FTK234</t>
  </si>
  <si>
    <t>FTK33396</t>
  </si>
  <si>
    <t>FTK77365</t>
  </si>
  <si>
    <t>FTK77366</t>
  </si>
  <si>
    <t>FTK77368</t>
  </si>
  <si>
    <t>FTK77369</t>
  </si>
  <si>
    <t>FTK99162</t>
  </si>
  <si>
    <t>FTK-PDA147</t>
  </si>
  <si>
    <t>FTK-PDA151</t>
  </si>
  <si>
    <t>FTK-PDA152</t>
  </si>
  <si>
    <t>FTK-PDA155</t>
  </si>
  <si>
    <t>FTK-PDA157</t>
  </si>
  <si>
    <t>FTK-PDA158</t>
  </si>
  <si>
    <t>FTK-PDA160</t>
  </si>
  <si>
    <t>FTK-PDA162</t>
  </si>
  <si>
    <t>FTK-PDA163</t>
  </si>
  <si>
    <t>FTK-PDA164</t>
  </si>
  <si>
    <t>FTK-PDA50</t>
  </si>
  <si>
    <t>LT5562</t>
  </si>
  <si>
    <t>LT5576</t>
  </si>
  <si>
    <t>Pivô Bandeja Ambos Lados Corsa Frente Montana 2004 A 2010</t>
  </si>
  <si>
    <t>HASTE DO TRAMBULADOR 230MM - Golf 98/01 - Audi A4 98/01 Motor 1.6</t>
  </si>
  <si>
    <t>Bandeja Dianteira Captur 2017 á 2021  Duster 2021 Lado Direito COM PIVÔ</t>
  </si>
  <si>
    <t>Bandeja Dianteira Captur 2017 á 2021  Duster 2021 Lado Esquerdo Com Pivô</t>
  </si>
  <si>
    <t>Bandeja Dianteira Journey 2009 á 2015 Freemont 2011 á 2016 Lado Direito</t>
  </si>
  <si>
    <t>Bandeja Dianteira Journey 2009 á 2015 Freemont 2011 á 2016 Lado Esquerdo</t>
  </si>
  <si>
    <t>Bandeja Direita sem Pivô Fiorino 2014 em diante modelo novo</t>
  </si>
  <si>
    <t>Bandeja Esquerda sem Pivô Fiorino 2014 em diante modelo novo</t>
  </si>
  <si>
    <t>PIVÔ SUPERIOR AMBOS LADOS FUSION 2006 A 2012</t>
  </si>
  <si>
    <t>PIVÔ INFERIOR DIREITO CR-V 2008 A 2011</t>
  </si>
  <si>
    <t>PIVÔ INFERIOR AMBOS LADOS RANGER 2013 A 2017</t>
  </si>
  <si>
    <t>PIVÔ SUPERIOR AMBOS LADOS RANGER 2013 A 2016</t>
  </si>
  <si>
    <t>PIVÔ INFERIOR AMBOS LADOS S10 2.4 2012 A 2016</t>
  </si>
  <si>
    <t>PIVÔ INFERIOR DIREITO FOCUS 2014 EM DIANTE</t>
  </si>
  <si>
    <t>PIVÔ INFERIOR ESQUERDO FOCUS 2014 EM DIANTE</t>
  </si>
  <si>
    <t>Pivô Inferior Bandeja Dianteira Ambos Os Lados Corsa 1994 até 1998</t>
  </si>
  <si>
    <t>PIVÔ INFERIOR AMBOS LADOS PALIO 1996 A 1999</t>
  </si>
  <si>
    <t>PIVÔ INFERIOR AMBOS LADOS ELANTRA 2009 A 2013</t>
  </si>
  <si>
    <t>COIFA HOMOCINETICA LADO RODA HB20 1.0 1.6 2012 EM DIANTE</t>
  </si>
  <si>
    <t>COIFA HOMOCINETICA LADO CÂMBIO HB20 1.6 2012 EM DIANTE</t>
  </si>
  <si>
    <t>COIFA HOMOCINETICA LADO CÂMBIO HB20 1.0 2012 EM DIANTE</t>
  </si>
  <si>
    <t>COIFA HOMOCINETICA LADO CÂMBIO ASTRA 1995 1996</t>
  </si>
  <si>
    <t>COIFA HOMOCINETICA LADO CÂMBIO AGILE LS LT LTZ</t>
  </si>
  <si>
    <t>COIFA HOMOCINETICA LADO RODA CELTA 2001 EM DIANTE</t>
  </si>
  <si>
    <t>PIVÔ INFERIOR AMBOS LADOS FOCUS 1998 A 2008</t>
  </si>
  <si>
    <t>PIVÔ INFERIOR ESQUERDO AUDI A3 1999 A 2006</t>
  </si>
  <si>
    <t>PIVÔ INFERIOR DIREITO AUDI A3 1999 A 2006</t>
  </si>
  <si>
    <t>PIVÔ INFERIOR JETTA LADO DIREITO</t>
  </si>
  <si>
    <t>PIVÔ INFERIOR JETTA LADO ESQUERDO</t>
  </si>
  <si>
    <t>PIVÔ INFERIOR AMBOS LADOS L200 TRITON 2008 A 2022</t>
  </si>
  <si>
    <t>AMORTECEDOR MOLA A GÁS PORTA MALAS ESCORT XR3 1984 A 1992</t>
  </si>
  <si>
    <t>AMORTECEDOR MOLA A GÁS PORTA MALAS AGILE 2009 A 2013</t>
  </si>
  <si>
    <t>AMORTECEDOR MOLA A GÁS PORTA MALAS JOY 2020 2021</t>
  </si>
  <si>
    <t>AMORTECEDOR MOLA A GÁS PORTA MALAS CROSSFOX 2005 EM DIANTE</t>
  </si>
  <si>
    <t>AMORTECEDOR MOLA A GÁS PORTA MALAS JAC J6 2011 A 2017</t>
  </si>
  <si>
    <t>AMORTECEDOR MOLA A GÁS PORTA MALAS PAJERO SPORT 2006 A 2011</t>
  </si>
  <si>
    <t>AMORTECEDOR MOLA A GÁS PORTA MALAS NEW KA 2008 A 2013</t>
  </si>
  <si>
    <t>AMORTECEDOR MOLA A GÁS PORTA MALAS FOCUS HATCH 2009 A 2013</t>
  </si>
  <si>
    <t>AMORTECEDOR MOLA A GÁS PORTA MALAS ZAFIRA 2001 EM DIANTE</t>
  </si>
  <si>
    <t>AMORTECEDOR MOLA A GÁS PORTA MALAS SPACEFOX 2006 A 2012</t>
  </si>
  <si>
    <t>AMORTECEDOR MOLA A GÁS PORTA MALAS PEUGEOT 206 1999 A 2009</t>
  </si>
  <si>
    <t>TERMINAL DO CABO DE ENGATE 8 MM</t>
  </si>
  <si>
    <t>TERMINAL DO CABO DE ENGATE 10 MM</t>
  </si>
  <si>
    <t>HASTE DO TRAMBULADOR 105MM - Golf 98/01 - Audi A4 98/01 Motor 1.6</t>
  </si>
  <si>
    <t>AMW</t>
  </si>
  <si>
    <t>CXD-PG</t>
  </si>
  <si>
    <t>CCA0031</t>
  </si>
  <si>
    <t>CCA0036</t>
  </si>
  <si>
    <t>CCE0045</t>
  </si>
  <si>
    <t>CCE0047</t>
  </si>
  <si>
    <t>CCE0051</t>
  </si>
  <si>
    <t>CCE0053</t>
  </si>
  <si>
    <t>CCE0054</t>
  </si>
  <si>
    <t>CCE0056</t>
  </si>
  <si>
    <t>OC504</t>
  </si>
  <si>
    <t>5W30-MAX</t>
  </si>
  <si>
    <t>VKM4837</t>
  </si>
  <si>
    <t>NZT0055AA</t>
  </si>
  <si>
    <t>TK0912</t>
  </si>
  <si>
    <t>TK1912</t>
  </si>
  <si>
    <t>TK2124</t>
  </si>
  <si>
    <t>TK2130VM</t>
  </si>
  <si>
    <t>TM982</t>
  </si>
  <si>
    <t xml:space="preserve">CAIXA DE DIREÇÃO PEUGEOT  </t>
  </si>
  <si>
    <t xml:space="preserve">CCA0031 CABO ACELERADOR HONDA CG 150 TITAN 08&gt;  </t>
  </si>
  <si>
    <t xml:space="preserve">CCA0036 CABO ACELERADOR HONDA CG NXR 150 BROS ES KS 09&gt;12  </t>
  </si>
  <si>
    <t xml:space="preserve">CCE0045 CABO EMBREAGEM HONDA CG 150 TITAN ES/KS 08&gt;  </t>
  </si>
  <si>
    <t xml:space="preserve">CCE0047 CABO EMBREAGEM HONDA NXR 150 BROS ESD 08&gt;  </t>
  </si>
  <si>
    <t xml:space="preserve">CCE0051 CABO EMBREAGEM HONDA BROS 160 16&gt;  </t>
  </si>
  <si>
    <t xml:space="preserve">CCE0053 CABO EMBREAGEM HONDA POP 110 16&gt;  </t>
  </si>
  <si>
    <t xml:space="preserve">CCE0054 CABO EMBREAGEM YAMAHA YBR 125 FACTOR ED/EK 09&gt;  </t>
  </si>
  <si>
    <t xml:space="preserve">CCE0056 CABO EMBREAGEM HONDA CG 150 TITAN ES/KS 09&gt;  </t>
  </si>
  <si>
    <t xml:space="preserve">Filtro de Óleo OC504 METAL LEVE  </t>
  </si>
  <si>
    <t xml:space="preserve">Óleo 5W30 Maxi Lubrificantes  </t>
  </si>
  <si>
    <t xml:space="preserve">Pastilha De Freio Dianteira Palio 1998  </t>
  </si>
  <si>
    <t xml:space="preserve">POLIA ALTERNADOR GOL  </t>
  </si>
  <si>
    <t xml:space="preserve">ROLAMENTO RODA DIANTEIRA PALIO PUNTO BRAVO  </t>
  </si>
  <si>
    <t xml:space="preserve">TK0912 2821 12V 3W T10 WEDGE ESMAGADA GRANDE  </t>
  </si>
  <si>
    <t xml:space="preserve">TK1912 1156 12V 21W T20 WEDGE 6941  </t>
  </si>
  <si>
    <t xml:space="preserve">TK2124 67 12V 5W G18 BA15S  </t>
  </si>
  <si>
    <t xml:space="preserve">TK2130VM 67 12V 10W G18 BA15S VERMELHO  </t>
  </si>
  <si>
    <t xml:space="preserve">Rolamento 6202 TM982 6202 RODA DIANTEIRA CG TITAN 125 - NX 200 / NX 350 SAHARA / NX4 FALCON 400 / XLX 250R / XLX 350 / XR 200  </t>
  </si>
  <si>
    <t xml:space="preserve">Pivô Inferior Bandeja Dianteira Celta 2001 À 2002  </t>
  </si>
  <si>
    <t>Amortecedor Pota Malas</t>
  </si>
  <si>
    <t>Pandão</t>
  </si>
  <si>
    <t>ALENCAR</t>
  </si>
  <si>
    <t>Caixa Direção</t>
  </si>
  <si>
    <t>RMP / Presidente</t>
  </si>
  <si>
    <t>Filtro de Óleo</t>
  </si>
  <si>
    <t>Óleo Motor</t>
  </si>
  <si>
    <t>MAX Lubrificantes</t>
  </si>
  <si>
    <t>Polia Alternador</t>
  </si>
  <si>
    <t>Rolamento Moto</t>
  </si>
  <si>
    <t>Rolamento roda</t>
  </si>
  <si>
    <t>Lampada</t>
  </si>
  <si>
    <t>CAMARG</t>
  </si>
  <si>
    <t>Trambulador Do Câmbio Completo Gol Quadrado 5 Marchas</t>
  </si>
  <si>
    <t>Reparo Bucha Alavanca Câmbio Golf Mk4 1999 A 2006</t>
  </si>
  <si>
    <t>Pastilhas De Freio Traseiro Corolla 2.0 Automatico 11 A 19</t>
  </si>
  <si>
    <t>Cabo De Freio Traseiro Direito Ranger 2009 Em Diante</t>
  </si>
  <si>
    <t>Pastilhas De Freio Dianteiro Gol 1.6 G3 Julho 2000 A 2005</t>
  </si>
  <si>
    <t>Copo Tampa Filtro De Óleo Citroen C3 1.4  8v 2006  Á 2012</t>
  </si>
  <si>
    <t>Kit Junta Superior Do Cabeçote Xtz 125 2000 A 2008</t>
  </si>
  <si>
    <t>Terminal Cabo Engate Seleção C3 Picasso 2012 Em Diante</t>
  </si>
  <si>
    <t>Bucha Da Caixa De Direção Elétrica Citroen C3 2003 Á 2012</t>
  </si>
  <si>
    <t>Copo Filtro Óleo</t>
  </si>
  <si>
    <t>Reparo Caixa de direção</t>
  </si>
  <si>
    <t>SUGESTÃO
PEDIDO</t>
  </si>
  <si>
    <t>Importação / Mundiflex</t>
  </si>
  <si>
    <t>Fornecedor</t>
  </si>
  <si>
    <t>Código</t>
  </si>
  <si>
    <t>CÓDIGO
FORNECEDOR</t>
  </si>
  <si>
    <t>FTK00605</t>
  </si>
  <si>
    <t>FTK200116PA</t>
  </si>
  <si>
    <t>FTK200119AE190</t>
  </si>
  <si>
    <t>FTK281</t>
  </si>
  <si>
    <t>FTK-33395</t>
  </si>
  <si>
    <t>FTK616</t>
  </si>
  <si>
    <t>FTK-T350</t>
  </si>
  <si>
    <t>LT5526</t>
  </si>
  <si>
    <t>LT5553</t>
  </si>
  <si>
    <t>LT5568</t>
  </si>
  <si>
    <t>T112006</t>
  </si>
  <si>
    <t>FTK347</t>
  </si>
  <si>
    <t>NZT0186</t>
  </si>
  <si>
    <t>FTK314</t>
  </si>
  <si>
    <t>FTK363</t>
  </si>
  <si>
    <t>R6202</t>
  </si>
  <si>
    <t>Rolamento 6202</t>
  </si>
  <si>
    <t>CCE0043</t>
  </si>
  <si>
    <t>OC235</t>
  </si>
  <si>
    <t>WO120</t>
  </si>
  <si>
    <t>15W40-MAX</t>
  </si>
  <si>
    <t>20W50-MAX</t>
  </si>
  <si>
    <t>Suporte Ar condicionado</t>
  </si>
  <si>
    <t>Rolamento 6000</t>
  </si>
  <si>
    <t>Cabo Embreagem moto</t>
  </si>
  <si>
    <t>Filtro de óleo</t>
  </si>
  <si>
    <t>Óleo</t>
  </si>
  <si>
    <t>HOLYMAN / BRK</t>
  </si>
  <si>
    <t>NZT1206</t>
  </si>
  <si>
    <t>2</t>
  </si>
  <si>
    <t>NZT563644</t>
  </si>
  <si>
    <t>4</t>
  </si>
  <si>
    <t>NZT636096</t>
  </si>
  <si>
    <t>0</t>
  </si>
  <si>
    <t>3</t>
  </si>
  <si>
    <t>1</t>
  </si>
  <si>
    <t>ESTOQUE
Bandeja SEM BUCHA</t>
  </si>
  <si>
    <t>ESTOQUE
SUCATAS
Bandeja</t>
  </si>
  <si>
    <t>Bandeja DIANTEIRA ESQUERDA TEMPRA 1992 A 1999 SEM PIVÔ</t>
  </si>
  <si>
    <t>Bandeja DIANTEIRA DIREITA TEMPRA 1992 A 1999 SEM PIVÔ</t>
  </si>
  <si>
    <t>Bandeja INFERIOR DIREITA COM PIVÔ STRADA 1998 A 2000</t>
  </si>
  <si>
    <t>Bandeja INFERIOR ESQUERDA COM PIVÔ STRADA 1998 A 2000</t>
  </si>
  <si>
    <t>Bandeja DIANTEIRA INFERIOR  ARGO CRONOS STRADA LADO DIREITO COM PIVÔ</t>
  </si>
  <si>
    <t>Bandeja DIANTEIRA INFERIOR  ARGO CRONOS STRADA LADO ESQUERDO COM PIVÔ</t>
  </si>
  <si>
    <t>Bandeja DIANTEIRA DIREITA COM PIVÔ COURIER 2000 A 2003</t>
  </si>
  <si>
    <t>Bandeja INFERIOR DIREITA SEM PIVÔ FOCUS 1999 A 2008</t>
  </si>
  <si>
    <t>Bandeja INFERIOR ESQUERDA SEM PIVÔ FOCUS 1999 A 2008</t>
  </si>
  <si>
    <t>Bandeja INFERIOR DIREITA COM PIVÔ FOCUS 1999 A 2008</t>
  </si>
  <si>
    <t>Bandeja INFERIOR ESQUERDA COM PIVÔ FOCUS 1999 A 2008</t>
  </si>
  <si>
    <t>Bandeja DIANTEIRA DIREITA KA 2014 A 2020 COM PIVÔ</t>
  </si>
  <si>
    <t>Bandeja INFERIOR TRASEIRA AMBOS LADOS ESCORT ATÉ 1992</t>
  </si>
  <si>
    <t>Bandeja INFERIOR DIREITA COM PIVÔ FOCUS 2009 A 2012</t>
  </si>
  <si>
    <t>Bandeja INFERIOR ESQUERDA COM PIVÔ FOCUS 2009 A 2012</t>
  </si>
  <si>
    <t>Bandeja INFERIOR ESQUERDA SEM PIVÔ FOCUS 2009 A 2012</t>
  </si>
  <si>
    <t>Bandeja INFERIOR DIREITA SEM PIVÔ FOCUS 2009 A 2012</t>
  </si>
  <si>
    <t>Bandeja INFERIOR DIREITA COM PIVÔ FOCUS 2013 A 2018</t>
  </si>
  <si>
    <t>Bandeja INFERIOR ESQUERDA COM PIVÔ FOCUS 2013 A 2018</t>
  </si>
  <si>
    <t>Bandeja INFERIOR DIREITA SEM PIVÔ FOCUS 2013 A 2018</t>
  </si>
  <si>
    <t>Bandeja INFERIOR ESQUERDA SEM PIVÔ FOCUS 2013 A 2018</t>
  </si>
  <si>
    <t>Bandeja INFERIOR DIREITA SEM PIVÔ ASTRA 1995 1996</t>
  </si>
  <si>
    <t>Bandeja INFERIOR ESQUERDA SEM PIVÔ ASTRA 1995 1996</t>
  </si>
  <si>
    <t>Bandeja INFERIOR DIREITA COM PIVÔ ASTRA 1995 1996</t>
  </si>
  <si>
    <t>Bandeja INFERIOR ESQUERDA COM PIVÔ ASTRA 1995 1996</t>
  </si>
  <si>
    <t>Bandeja DIANTEIRA SUPERIOR ESQUERDA ÔMEGA/SUPREMA</t>
  </si>
  <si>
    <t>Bandeja DIANTEIRA SUPERIOR DIREITA ÔMEGA/SUPREMA NÃO EXPORTAR/SEM ESTOQUE</t>
  </si>
  <si>
    <t>Bandeja INFERIOR DIREITA COM PIVÔ CRUZE 2017 A 2021</t>
  </si>
  <si>
    <t>Bandeja INFERIOR ESQUERDA COM PIVÔ CRUZE 2017 A 2021</t>
  </si>
  <si>
    <t>Bandeja INFERIOR CRUZE 16/20 - LADO DIREITO</t>
  </si>
  <si>
    <t>Bandeja INFERIOR ESQUERDA  OPALA 69/79 CARAVAN 75/79 SEM PIVÔ</t>
  </si>
  <si>
    <t>Bandeja INFERIOR DIREITA COM PIVÔ CARAVAN 1980 A 1992</t>
  </si>
  <si>
    <t>Bandeja INFERIOR ESQUERDO COM PIVÔ CARAVAN 1980 A 1992</t>
  </si>
  <si>
    <t>Bandeja DIANTEIRA DIREITA S10 2012 A 2016 COM PIVÔ</t>
  </si>
  <si>
    <t>Bandeja DIANTEIRA ESQUERDA S10 2012 A 2016 COM PIVÔ</t>
  </si>
  <si>
    <t>Bandeja SUPERIOR DIREITA SEM PIVÔ TRAILBLAZER 2012 A 2020</t>
  </si>
  <si>
    <t>Bandeja SUPERIOR ESQUERDA SEM PIVÔ TRAILBLAZER 2012 A 2020</t>
  </si>
  <si>
    <t>Bandeja SUPERIOR DIREITA COM PIVÔ A10 1993 A 1996</t>
  </si>
  <si>
    <t>Bandeja SUPERIOR ESQUERDA COM PIVÔ A10 1993 A 1996</t>
  </si>
  <si>
    <t>Bandeja INFERIOR DIREITA SEM PIVÔ A10 1984 A 1992</t>
  </si>
  <si>
    <t>Bandeja INFERIOR ESQUERDA SEM PIVÔ A10 1984 A 1992</t>
  </si>
  <si>
    <t>Bandeja INFERIOR DIREITA COM PIVÔ QUANTUM 1988 A 2006</t>
  </si>
  <si>
    <t>Bandeja INFERIOR ESQUERDA COM PIVÔ QUANTUM 1988 A 2006</t>
  </si>
  <si>
    <t>Bandeja INFERIOR DIREITA SEM PIVÔ AUDI A3 2013 A 2018</t>
  </si>
  <si>
    <t>Bandeja INFERIOR ESQUERDA SEM PIVÔ AUDI A3 2013 A 2018</t>
  </si>
  <si>
    <t>Bandeja DIANTEIRA DIREITA SEM Pivô NEW BEETLE 1999 A 2002</t>
  </si>
  <si>
    <t>Bandeja DIANTEIRA ESQUERDA SEM Pivô NEW BEETLE 1999 A 2002</t>
  </si>
  <si>
    <t>Bandeja INFERIOR ESQUERDA SEM PIVÔ UP 2014 A 2020</t>
  </si>
  <si>
    <t>Bandeja INFERIOR DIREITA COM PIVÔ GOLF GERAÇÃO 7 2014 A 2018</t>
  </si>
  <si>
    <t>Bandeja ESQUERDA COM PIVÔ GOLF GERAÇÃO 7 2014 A 2018</t>
  </si>
  <si>
    <t>SUPORTE Bandeja BALANÇA DIREITA FOX 2004 A 2014</t>
  </si>
  <si>
    <t>SUPORTE Bandeja BALANÇA ESQUERDA FOX 2004 A 2014</t>
  </si>
  <si>
    <t>Bandeja DIANTEIRA DIREITA CITROEN C5 2001 A 2007 2.0 3.0</t>
  </si>
  <si>
    <t xml:space="preserve">Bandeja LD CLIO II 1.0, 1.6 98/05, KANGOO, SYMBOL 1.6 8/16V 09/ - COM PIVO  </t>
  </si>
  <si>
    <t xml:space="preserve">Bandeja LE CLIO II 1.0, 1.6 98/05, KANGOO, SYMBOL 1.6 8/16V 09/ - COM PIVO  </t>
  </si>
  <si>
    <t>Bandeja DIANTEIRA DIREITA CITY 2014 A 2021 COM PIVÔ</t>
  </si>
  <si>
    <t>Bandeja DIANTEIRA ESQUERDA CITY 2014 A 2021 COM PIVÔ</t>
  </si>
  <si>
    <t>Bandeja INFERIOR DIREITA SEM PIVÔ CIVIC 2001 A 2006</t>
  </si>
  <si>
    <t>Bandeja INFERIOR ESQUERDA SEM PIVÔ CIVIC 2001 A 2006</t>
  </si>
  <si>
    <t>Bandeja DIANTEIRA ESQUERDA COROLLA COM Pivô</t>
  </si>
  <si>
    <t>Bandeja DIANTEIRA DIREITA COROLLA COM Pivô</t>
  </si>
  <si>
    <t>Bandeja DIANTEIRA DIREITA HILUX PICK UP 2005 A 2015 SEM PIVÔ</t>
  </si>
  <si>
    <t>Bandeja DIANTEIRA ESQUERDA HILUX PICK UP 2005 A 15 SEM PIVÔ</t>
  </si>
  <si>
    <t>Bandeja DIANTEIRA DIREITA COM PIVÔ L200 TRITON 2007 A 2016</t>
  </si>
  <si>
    <t>Bandeja DIANTEIRA ESQUERDA COM PIVÔ L200 TRITON 2007 A 2016</t>
  </si>
  <si>
    <t>Bandeja DIANTEIRA DIREITA SEM PIVÔ MONDEO 1997 A 2000</t>
  </si>
  <si>
    <t>Bandeja DIANTEIRA ESQUERDA SEM PIVÔ MONDEO 1997 A 2000</t>
  </si>
  <si>
    <t>Bandeja DIANTEIRA DIREITA COM PIVÔ MONDEO 1994 A 2001</t>
  </si>
  <si>
    <t>Bandeja DIANTEIRA ESQUERDA COM PIVÔ MONDEO 1994 A 2001</t>
  </si>
  <si>
    <t>Bandeja INFERIOR DIREITA CRV 2012 Á 2014 SEM PIVÔ</t>
  </si>
  <si>
    <t>Bandeja INFERIOR ESQUERDA CRV 2012 Á 2014 SEM PIVÔ</t>
  </si>
  <si>
    <t>Bandeja INFERIOR DIREITA COM PIVÔ VELOSTER 2010 A 2014</t>
  </si>
  <si>
    <t>Bandeja INFERIOR ESQUERDO COM PIVÔ VELOSTER 2010 A 2014</t>
  </si>
  <si>
    <t>Bandeja DIANTEIRA DIREITA SEM PIVÔ GRAND SANTA FÉ 2014 2015</t>
  </si>
  <si>
    <t>Bandeja DIANTEIRA ESQUERDA SEM PIVÔ GRAND SANTA FÉ 2014 2015</t>
  </si>
  <si>
    <t>Bandeja INFERIOR DIREITA COM PIVÔ CRETA 2017 A 2021</t>
  </si>
  <si>
    <t>Bandeja INFERIOR ESQUERDA COM PIVÔ CRETA 2017 A 2021</t>
  </si>
  <si>
    <t>Bandeja DIANTEIRA DIREITA PICANTO 2011 EM DIANTE SEM PIVÔ</t>
  </si>
  <si>
    <t>Bandeja DIANTEIRA ESQUERDA PICANTO 2011 EM DIANTE SEM PIVÔ</t>
  </si>
  <si>
    <t>Bandeja SUPERIOR DIREITA SORENTO 2002 A 2009</t>
  </si>
  <si>
    <t>Bandeja SUPERIOR DIANTEIRA ESQUERDA SORENTO 2002 A 2009</t>
  </si>
  <si>
    <t>Bandeja DIANTEIRA SUPERIOR  SPORTAGE 1997 á 2004 COM PIVÔ</t>
  </si>
  <si>
    <t>Bandeja DIANTEIRA DIREITA BESTA 1990 A 1997</t>
  </si>
  <si>
    <t>Bandeja SUPERIOR DIREITO JINBEI TOPIC  2008 Á 2017 COMPLETA</t>
  </si>
  <si>
    <t>Bandeja SUPERIOR ESQUERDA JINBEI TOPIC 2008 Á 2017 COMPLETA</t>
  </si>
  <si>
    <t>Bandeja INFERIOR DIREITA COM PIVÔ KICKS 2016 A 2020</t>
  </si>
  <si>
    <t>Bandeja INFERIOR ESQUERDA COM PIVÔ KICKS 2016 A 2020</t>
  </si>
  <si>
    <t>Bandeja INFERIOR DIREITA COM PIVÔ TIGGO 2018 A 2021</t>
  </si>
  <si>
    <t>Bandeja INFERIOR DIREITA COM PIVÔ MINI COOPER 2013 A 2017</t>
  </si>
  <si>
    <t>Bandeja INFERIOR ESQUERDA COM PIVÔ MINI COOPER 2013 A 2017</t>
  </si>
  <si>
    <t>Bandeja LADO DIREITO</t>
  </si>
  <si>
    <t>Bandeja LADO ESQUERDO HB20 HATCH 2012 A 2019</t>
  </si>
  <si>
    <t>Importação / TALIFAMA</t>
  </si>
  <si>
    <t>Importação / Polo</t>
  </si>
  <si>
    <t>Importação / LT CORREA</t>
  </si>
  <si>
    <t>T1007</t>
  </si>
  <si>
    <t>Maxi Lubrificantes</t>
  </si>
  <si>
    <t>Total Estoque Bandeja</t>
  </si>
  <si>
    <t>FTK200121A</t>
  </si>
  <si>
    <t>FTK411</t>
  </si>
  <si>
    <t>FTK728</t>
  </si>
  <si>
    <t>FTK-CCA0038</t>
  </si>
  <si>
    <t>FTK-CCA0041</t>
  </si>
  <si>
    <t>FTK-CCV0061</t>
  </si>
  <si>
    <t>LT5544</t>
  </si>
  <si>
    <t>Terminal Da Direção Do Braço Tensor Uno 1992 A 2008</t>
  </si>
  <si>
    <t>COIFA HOMOCINETICA LADO CAMBIO BRAVA 1999 A 2002</t>
  </si>
  <si>
    <t>COIFA HOMOCINETICA LADO RODA DOBLO 2002 EM DIANTE</t>
  </si>
  <si>
    <t xml:space="preserve">Filtro de Óleo OC235 METAL LEVE  </t>
  </si>
  <si>
    <t xml:space="preserve">FILTRO DE OLEO WO 120 WEGA  </t>
  </si>
  <si>
    <t>Jogo De Juntas Superior Do Cabeçote Nxr160 Bros 2015 Diante</t>
  </si>
  <si>
    <t>Jogo De Juntas Superior Do Cabeçote Cg150 Fan 2009 Em Diante</t>
  </si>
  <si>
    <t>FTK18072</t>
  </si>
  <si>
    <t>FTK18505</t>
  </si>
  <si>
    <t>FTK279</t>
  </si>
  <si>
    <t>FTK282</t>
  </si>
  <si>
    <t>FTK625</t>
  </si>
  <si>
    <t>ROLAMENTO RODA DIANTEIRA C3 1.4 16V 1.6 16V 02 2002 15</t>
  </si>
  <si>
    <t>ROLAMENTO RODA TRASEIRA DODGE DURANGO 2011 A 2017</t>
  </si>
  <si>
    <t>COIFA HOMOCINETICA LADO CAMBIO COBALT 1.8 2013 A 2016</t>
  </si>
  <si>
    <t>COIFA HOMOCINETICA LADO RODA FIAT 147 1976 A 1986</t>
  </si>
  <si>
    <t>COIFA HOMOCINETICA LADO RODA AX 1993 A 1995</t>
  </si>
  <si>
    <t>10W40</t>
  </si>
  <si>
    <t>FTK421</t>
  </si>
  <si>
    <t>OC505</t>
  </si>
  <si>
    <t>OC522</t>
  </si>
  <si>
    <t>RT001</t>
  </si>
  <si>
    <t>OC600</t>
  </si>
  <si>
    <t>CCV0029</t>
  </si>
  <si>
    <t>CCF0021</t>
  </si>
  <si>
    <t>CCA0035</t>
  </si>
  <si>
    <t>CCA0006</t>
  </si>
  <si>
    <t>CCA0040</t>
  </si>
  <si>
    <t>CCA0041</t>
  </si>
  <si>
    <t>CCV0027</t>
  </si>
  <si>
    <t>CCE0010</t>
  </si>
  <si>
    <t>CCA0002</t>
  </si>
  <si>
    <t>20W50-M</t>
  </si>
  <si>
    <t>CCA0009</t>
  </si>
  <si>
    <t>CCE0015</t>
  </si>
  <si>
    <t>CCE0012</t>
  </si>
  <si>
    <t>KIT TRANSMISSAO S/ RET CG 150 TITAN KS 04/08 ES 04/08 ESD 04/16 MIX 09/15 FAN 09/15</t>
  </si>
  <si>
    <t>Bandeja Dianteira Direita com pivô Lancer 2011 À 2019</t>
  </si>
  <si>
    <t>Bandeja Dianteira Esquerda comPivô Lancer 2011 À 2019</t>
  </si>
  <si>
    <t>Bandeja Direita Com Pivô Onix Prisma Cobalt Spin</t>
  </si>
  <si>
    <t>Bandeja Esquerda Com Pivô Joy 2020 Em Diante</t>
  </si>
  <si>
    <t>FTK-CCA0036</t>
  </si>
  <si>
    <t>LT2365</t>
  </si>
  <si>
    <t>FTK435F</t>
  </si>
  <si>
    <t>FTK201366PA</t>
  </si>
  <si>
    <t>FTK347F</t>
  </si>
  <si>
    <t>Reparo Terminal Do Cabo De Marcha Onix 2013 A 2019</t>
  </si>
  <si>
    <t>Coifa Homocinetica Lado Câmbio Com Flange Passat 95 Diante</t>
  </si>
  <si>
    <t>Jogo De Juntas Superior Do Cabeçote Ybr125 2000 A 2008</t>
  </si>
  <si>
    <t>Eixo Da Bandeja Corcel 1985 Em Diante</t>
  </si>
  <si>
    <t>Coifa Homocinetica Cambio Com Flange Palio 1.8 2001 A 2017</t>
  </si>
  <si>
    <t>Cabo De Acelerador Fusca 1300 1500 Carburação Simples</t>
  </si>
  <si>
    <t>Relação Moto</t>
  </si>
  <si>
    <t>Filtro òleo</t>
  </si>
  <si>
    <t>FTK220</t>
  </si>
  <si>
    <t>FTK313</t>
  </si>
  <si>
    <t>FTK18168</t>
  </si>
  <si>
    <t>FTK-11020</t>
  </si>
  <si>
    <t>FTK452</t>
  </si>
  <si>
    <t>RT002</t>
  </si>
  <si>
    <t>OC506</t>
  </si>
  <si>
    <t>FTK946</t>
  </si>
  <si>
    <t>BUZ0001</t>
  </si>
  <si>
    <t>5W30-SB</t>
  </si>
  <si>
    <t>5W30</t>
  </si>
  <si>
    <t>201.377K004</t>
  </si>
  <si>
    <t>200.141K006</t>
  </si>
  <si>
    <t>200.141K005</t>
  </si>
  <si>
    <t>200.121K004</t>
  </si>
  <si>
    <t>20w50-SB</t>
  </si>
  <si>
    <t>RMP</t>
  </si>
  <si>
    <t>SB LUBRIFICANTES</t>
  </si>
  <si>
    <t xml:space="preserve">KIT TRANSMISSÃO HONDA CG 125 TITAN  </t>
  </si>
  <si>
    <t xml:space="preserve">OC506 FILTRO DE OLEO  </t>
  </si>
  <si>
    <t xml:space="preserve">COXIM AMORTECEDOR DIANTEIRO CLIO II  </t>
  </si>
  <si>
    <t xml:space="preserve">BUZINA DE MOTO CG 125 150 160 NZR 125 160 POP 110i XLW 125 XRE YAHAMA FACTOR 125  </t>
  </si>
  <si>
    <t xml:space="preserve">OLEO 5W30 SB LUBRIFICANTES  </t>
  </si>
  <si>
    <t xml:space="preserve">JUNTA LATERAL MOTOR YS 250 FAZER XTZ 250 LANDER 2005 EM DIANTE LE  </t>
  </si>
  <si>
    <t xml:space="preserve">JUNTA LATERAL MOTOR CBX TWISTER 250 XR TORNADO 250 ATÉ 2015 LE  </t>
  </si>
  <si>
    <t xml:space="preserve">JUNTA LATERAL MOTOR CBX TWISTER 250 XR TORNADO 250 CB 300R XRE 300 LD  </t>
  </si>
  <si>
    <t xml:space="preserve">JUNTA LATERAL MOTOR CG 125 FAN CG 150 FAN LE  </t>
  </si>
  <si>
    <t xml:space="preserve">OLEO DE MOTOR 15W40 SB LUBRIFICANTES  </t>
  </si>
  <si>
    <t xml:space="preserve">20W50 OLEO MOTOR RB LUBRIFICANTES  </t>
  </si>
  <si>
    <t>Coxim amortecedor</t>
  </si>
  <si>
    <t>Buzina Moto</t>
  </si>
  <si>
    <t>Junta</t>
  </si>
  <si>
    <t>Cabo Acelerador</t>
  </si>
  <si>
    <t xml:space="preserve">CABO DE ENGATE GRAND SIENA ATTRACTIVE 1.4 2013 EM DIANTE  </t>
  </si>
  <si>
    <t>MÉDIA
2023</t>
  </si>
  <si>
    <t>Janeiro</t>
  </si>
  <si>
    <t>VENDAS 
Adilson / Yasmin</t>
  </si>
  <si>
    <t>Fevereiro</t>
  </si>
  <si>
    <t>Março</t>
  </si>
  <si>
    <t>Abril</t>
  </si>
  <si>
    <t>Maio</t>
  </si>
  <si>
    <t>Julho</t>
  </si>
  <si>
    <t>Agosto</t>
  </si>
  <si>
    <t>Setembro</t>
  </si>
  <si>
    <t>Outubro</t>
  </si>
  <si>
    <t>Novembro</t>
  </si>
  <si>
    <t>Dezembro</t>
  </si>
  <si>
    <t>NZT41999</t>
  </si>
  <si>
    <t>FTK-11020S</t>
  </si>
  <si>
    <t>FTK200123A</t>
  </si>
  <si>
    <t>LT2213</t>
  </si>
  <si>
    <t>Rolamento Roda Dianteira New City Com Abs 2009 Em Diante</t>
  </si>
  <si>
    <t>Pastilhas Freio</t>
  </si>
  <si>
    <t>BrasFreio</t>
  </si>
  <si>
    <t>Pastilhas Freio Dianteiro Novo Prisma 2013 Em Diante S Abs</t>
  </si>
  <si>
    <t>Cabo De Acelerador Escort 09 1996 A 11 2002 1.8 16v</t>
  </si>
  <si>
    <t>Pivô Superior Del Rey 1982 Á 1991</t>
  </si>
  <si>
    <t>Krater</t>
  </si>
  <si>
    <t>Kit Junta Superior Do Cabeçote Bros 150 2006 Diante</t>
  </si>
  <si>
    <t>Reparo Do Trambulador Longo 279mm Partner 1.6</t>
  </si>
  <si>
    <t>LT2212</t>
  </si>
  <si>
    <t>FTK377</t>
  </si>
  <si>
    <t>FTK433F</t>
  </si>
  <si>
    <t>FTK465</t>
  </si>
  <si>
    <t>FTK050N</t>
  </si>
  <si>
    <t>FTK340</t>
  </si>
  <si>
    <t>FTK902</t>
  </si>
  <si>
    <t>FTK99133</t>
  </si>
  <si>
    <t>FTK360</t>
  </si>
  <si>
    <t>FTK409</t>
  </si>
  <si>
    <t>FTK422F</t>
  </si>
  <si>
    <t>FTK455</t>
  </si>
  <si>
    <t>FTK12223</t>
  </si>
  <si>
    <t>FTK1404</t>
  </si>
  <si>
    <t>ftk88002</t>
  </si>
  <si>
    <t>FTK18005</t>
  </si>
  <si>
    <t>FTK99261</t>
  </si>
  <si>
    <t>FTK18026</t>
  </si>
  <si>
    <t>FTK18042</t>
  </si>
  <si>
    <t>FTK18096</t>
  </si>
  <si>
    <t>FTK18098</t>
  </si>
  <si>
    <t>FTK379</t>
  </si>
  <si>
    <t>FTK18242</t>
  </si>
  <si>
    <t>FTK422</t>
  </si>
  <si>
    <t>FTK433</t>
  </si>
  <si>
    <t>FTK435</t>
  </si>
  <si>
    <t>091026</t>
  </si>
  <si>
    <t>091044</t>
  </si>
  <si>
    <t>FTK44417</t>
  </si>
  <si>
    <t>FTK454</t>
  </si>
  <si>
    <t>FTK18648</t>
  </si>
  <si>
    <t>FTK464</t>
  </si>
  <si>
    <t>FTK18695</t>
  </si>
  <si>
    <t>FTK601</t>
  </si>
  <si>
    <t>FTK18782</t>
  </si>
  <si>
    <t>FTK2004</t>
  </si>
  <si>
    <t>092008</t>
  </si>
  <si>
    <t>FTK717</t>
  </si>
  <si>
    <t>FTK740</t>
  </si>
  <si>
    <t>092012</t>
  </si>
  <si>
    <t>093007</t>
  </si>
  <si>
    <t>098025</t>
  </si>
  <si>
    <t>099008</t>
  </si>
  <si>
    <t>FTK223</t>
  </si>
  <si>
    <t>FTK260</t>
  </si>
  <si>
    <t>FTK276</t>
  </si>
  <si>
    <t>FTK278</t>
  </si>
  <si>
    <t>FTK284</t>
  </si>
  <si>
    <t>NZT6916A</t>
  </si>
  <si>
    <t>FTK00404</t>
  </si>
  <si>
    <t>0W20</t>
  </si>
  <si>
    <t>15w40-SB</t>
  </si>
  <si>
    <t>MÉDIA
2024</t>
  </si>
  <si>
    <t>CABO DE ENGATE FIAT PALIO 2020</t>
  </si>
  <si>
    <t>CABO DE ENGATE FIAT PALIO 2000</t>
  </si>
  <si>
    <t>CABO DE ENGATE FIAT PUNTO</t>
  </si>
  <si>
    <t>Estoque</t>
  </si>
  <si>
    <t>Bandeja Dianteira Direita Com Pivô Honda Fit 2009 A 2013</t>
  </si>
  <si>
    <t>Óleo 0W20 MAX</t>
  </si>
  <si>
    <t>Bandeja Inferior Esquerda Com Pivô Fiorino 2014</t>
  </si>
  <si>
    <t>Bandeja Dianteira Esquerda Com Pivô Fit /City</t>
  </si>
  <si>
    <t>CABO DE CAPÔ PEUGEOT 206 1998 EM DIANTE</t>
  </si>
  <si>
    <t>KIT REPARO COMPLETO ALAVANCA CÂMBIO GOL SAVEIRO POLO FOX A3 CROSSFOX SPACEFOX GOL VOYAGE</t>
  </si>
  <si>
    <t>CAPA DE PEDAL FREIO EMBREAGEM PEUGEOT 208</t>
  </si>
  <si>
    <t>ROLAMENTO RODA TRASEIRA FUSION COM ABS</t>
  </si>
  <si>
    <t>KIT REPARO DOS CABOS DE ENGATE / SELEÇÃO FIESTA/ECO/KA 02/10</t>
  </si>
  <si>
    <t>SUPORTE CAIXA CÂMBIO REFORÇADA FUSCA</t>
  </si>
  <si>
    <t>EIXO DA BANDEJA CORCEL BELINA DEL REY PAMPA 1985 EM DIANTE</t>
  </si>
  <si>
    <t>PASTILHAS DE FREIO DIANTEIRO ASTRA 2.0 16V 2001 A 2010</t>
  </si>
  <si>
    <t>PASTILHAS DE FREIO DIANTEIRO PALIO 1996 1997</t>
  </si>
  <si>
    <t>PASTILHAS DE FREIO DIANTEIRO AUDI A3 1.6 1.8 1999 EM DIANTE</t>
  </si>
  <si>
    <t>ROLAMENTO RODA DIANTEIRA COBALT 1.4 8V 2011 EM DIANTE</t>
  </si>
  <si>
    <t>COIFA HOMOCINETICA LADO RODA ROYALE 1.8 2.0 1992</t>
  </si>
  <si>
    <t>PASTILHAS DE FREIO DIANTEIRO AUDI A3 1.6 1.8 1996 A 1998</t>
  </si>
  <si>
    <t>CAPA DE PEDAL FREIO EMBREAGEM DUSTER 2014 A 2022</t>
  </si>
  <si>
    <t>BIELETA DIANTEIRA AMBOS LADOS KICKS 2016 A 2019</t>
  </si>
  <si>
    <t>COXIM DE AMORTECEDOR DIANTEIRO FIESTA 1996 A 2001</t>
  </si>
  <si>
    <t>KIT REPARO DOS CABOS ENGATE SELEÇÃO KA ECOSPORT FIESTA 2010 EM DIANTE TODOS</t>
  </si>
  <si>
    <t>HASTE DO TRAMBULADOR 122MM PEUGEOT 206 1.0</t>
  </si>
  <si>
    <t>BIELETA DIANTEIRA AMBOS LADOS JAC J3 2011 EM DIANTE</t>
  </si>
  <si>
    <t>PASTILHAS DE FREIO DIANTEIRO ARGO DRIVE 1.3 2018 EM DIANTE</t>
  </si>
  <si>
    <t>CABO DE FREIO GOL 1984 A 1994 1.8 2.0 ÁLCOOL GASOLINA</t>
  </si>
  <si>
    <t>BRAÇO CURVO DIREITO DIANTEIRO COM PIVÔ FUSION 2007 A 2012</t>
  </si>
  <si>
    <t>COIFA HOMOCINETICA LADO CAMBIO DIREITO CLIO 2 2000 EM DIANTE</t>
  </si>
  <si>
    <t>CABO DE VELOCÍMETRO BIZ 125 2008 a 2013</t>
  </si>
  <si>
    <t>CAPA DE PEDAL FREIO EMBREAGEM PALIO 1996 A 2010</t>
  </si>
  <si>
    <t>CAPA DE PEDAL FREIO EMBREAGEM ACELERADOR NL10</t>
  </si>
  <si>
    <t>CABO DE VELOCÍMETRO CG 150 FAN ESI 2010 EM DIANTE</t>
  </si>
  <si>
    <t>CAPA DE PEDAL FREIO AUTOMÁTICO NEW FIESTA 2013 A 2020</t>
  </si>
  <si>
    <t>CAPA DE PEDAL FREIO EMBREAGEM NOVA S10 2012 A 2020</t>
  </si>
  <si>
    <t>CAPA DE PEDAL FREIO EMBREAGEM STILO 2001 EM DIANTE</t>
  </si>
  <si>
    <t>COIFA HOMOCINETICA LADO CAMBIO BERLINGO 2002 EM DIANTE</t>
  </si>
  <si>
    <t>PAR AMORTECEDOR DIANTEIRO FIESTA 1996 A 2001</t>
  </si>
  <si>
    <t xml:space="preserve">FILTRO de Óleo OC522 METAL LEVE  </t>
  </si>
  <si>
    <t xml:space="preserve">FILTRO de Óleo OC505 METAL LEVE  </t>
  </si>
  <si>
    <t xml:space="preserve">Filtro de Óleo OC600 METAL LEVE  </t>
  </si>
  <si>
    <t>ROLAMENTO RODA DIANTEIRA CIVIC 1.8 16V COM ABS de 2006 até 2014</t>
  </si>
  <si>
    <t>ROLAMENTO RODA DIANTEIRA VECTRA SEM ABS 1997 EM DIANTE</t>
  </si>
  <si>
    <t>ROLAMENTO RODA DIANTEIRA AIRCROSS 1.6 2010 EM DIANTE</t>
  </si>
  <si>
    <t>REPARO DA ALAVANCA DO CÂMBIO EATON RANGER SILVERADO FRONTIER S10</t>
  </si>
  <si>
    <t>BUCHA DA BARRA ESTABILIZADORA SUSPENSÃO DIANTEIRA PEUGEOT 307</t>
  </si>
  <si>
    <t>BUCHA DA BARRA ESTABILIZADORA SUSPENSÃO DIANTEIRA PEUGEOT 1999 A 2011</t>
  </si>
  <si>
    <t>COIFA HOMOCINETICA LADO RODA CITY 1.5 2009 EM DIANTE</t>
  </si>
  <si>
    <t>BUCHA DA BARRA ESTABILIZADORA SUSPENSÃO DIANTEIRA HYUNDAI HB20 2013/2019 HYUNDAI HB20 2020/..</t>
  </si>
  <si>
    <t>COIFA HOMOCINETICA LADO RODA KWID 2017 EM DIANTE</t>
  </si>
  <si>
    <t>COIFA HOMOCINETICA LADO CAMBIO ESQUERDO LOGAN 2007 EM DIANTE</t>
  </si>
  <si>
    <t>COXIM AMORTECEDOR DIANTEIRO FIT</t>
  </si>
  <si>
    <t>COIFA HOMOCINETICA LADO RODA UP 2014 A 2021</t>
  </si>
  <si>
    <t>COIFA HOMOCINETICA LADO CAMBIO UP 2014 A 2021</t>
  </si>
  <si>
    <t>COIFA HOMOCINETICA LADO RODA GOL 1995 EM DIANTE</t>
  </si>
  <si>
    <t>COIFA HOMOCINETICA LADO RODA BORA 2000 EM DIANTE</t>
  </si>
  <si>
    <t>COIFA HOMOCINETICA LADO RODA CROSSFOX 2004 EM DIANTE</t>
  </si>
  <si>
    <t>BUCHA DA BARRA ESTABILIZADORA SUSPENSÃO DIANTEIRA PUNTO 2008 A 2017</t>
  </si>
  <si>
    <t>Devolvido / Desativado</t>
  </si>
  <si>
    <t>Vendas 
Unitárias
ML</t>
  </si>
  <si>
    <t>Vendas 
KIT ML</t>
  </si>
  <si>
    <t>FTK-CCV0062</t>
  </si>
  <si>
    <t>LT5567</t>
  </si>
  <si>
    <t>FTK223K</t>
  </si>
  <si>
    <t>FTK-CCE0048</t>
  </si>
  <si>
    <t>LT2267</t>
  </si>
  <si>
    <t>FTK00648</t>
  </si>
  <si>
    <t>20W50MT</t>
  </si>
  <si>
    <t>RT008</t>
  </si>
  <si>
    <t>NZT6004/2RS</t>
  </si>
  <si>
    <t>NZT6302/2RS</t>
  </si>
  <si>
    <t>15W40</t>
  </si>
  <si>
    <t>CCE0048</t>
  </si>
  <si>
    <t>BBXRE300</t>
  </si>
  <si>
    <t>FTK-CCA0035</t>
  </si>
  <si>
    <t>FTK-CCA0043</t>
  </si>
  <si>
    <t>LT5506</t>
  </si>
  <si>
    <t>Oscilação</t>
  </si>
  <si>
    <t>Terminal Conector Cabo Trambulador Celta 2005 Em Diante</t>
  </si>
  <si>
    <t>COXIM DO AMORTECEDOR Corsa e Celta</t>
  </si>
  <si>
    <t>Coxim do Amortecedor Dianteiro GOL Quadrado 1980 Até 1996</t>
  </si>
  <si>
    <t>COXIM AMORTECEDOR TRASEIRO FIESTA 1996 A 2002</t>
  </si>
  <si>
    <t>Pivô Bandeja Inferior Fit 2009 A 2013</t>
  </si>
  <si>
    <t>Rolamento Roda Dianteira Tracker 2001 Até 2009</t>
  </si>
  <si>
    <t>Rolamento da Roda Traseira CRV 2.4 16v 2002 até 2004</t>
  </si>
  <si>
    <t>Bucha Barra Estabilizadora COBALT 2013 Em diante</t>
  </si>
  <si>
    <t>CCV0029 CABO VELOCIMETRO YAMAHA YBR 2002/...</t>
  </si>
  <si>
    <t>CCV0027 CABO VELOCIMETRO HONDA CG 150 TITAN KS/ES/JOB 08&gt;</t>
  </si>
  <si>
    <t>CCA0041 CABO ACELERADOR HONDA (B) TITAN FAN 160 16&gt;</t>
  </si>
  <si>
    <t>CCA0040 CABO ACELERADOR HONDA (A) TITAN FAN 160 16&gt;</t>
  </si>
  <si>
    <t>CCA0035 CABO ACELERADOR HONDA CG 150 TITAN MIX ESD 2009/...</t>
  </si>
  <si>
    <t>CCA0009 CABO ACELERADOR HONDA CG 150 FAN-TITAN 14/...</t>
  </si>
  <si>
    <t>CCA0006 CABO ACELERADOR YAMAHA YBR 125 2002/... YBR ED 2006/2008</t>
  </si>
  <si>
    <t>CCA0002 CABO ACELERADOR HONDA CG 125 TITAN ES-JOB-KS-EX DE .../ ATE 2008 CG 150 TITAN EX de ... até 2008</t>
  </si>
  <si>
    <t>Kit Amortecedor (Coifa e Batente) Dianteiro CITY NEW FIT</t>
  </si>
  <si>
    <t>KIT AMORTECEDOR TRASEIRO FIESTA</t>
  </si>
  <si>
    <t>KIT COIFA E BATENTE CORSA PRISMA MERIVA</t>
  </si>
  <si>
    <t>Suporte Compressor Ar Condicionado Onix Estoque Limitado</t>
  </si>
  <si>
    <t>Suporte Da Bandeja Suspensão Direita Ka 1997 Á 2007</t>
  </si>
  <si>
    <t>Par Amortecedor Dianteiro Sandero Logan</t>
  </si>
  <si>
    <t>Braço Curvo Esquerdo C/ Pivô FUSION 2007 até 2012</t>
  </si>
  <si>
    <t>Bandeja Inferior Direito Ka  1996 Á 2007 Com Pivô</t>
  </si>
  <si>
    <t>Kit Capa Pedal Freio Embreagem Nissan March Versa Sentra</t>
  </si>
  <si>
    <t>CAPA DE PEDAL FREIO AUTOMÁTICO TUCSON 2013 A 2015</t>
  </si>
  <si>
    <t>CAPA DE PEDAL FREIO AUTOMÁTICO FLUENCE</t>
  </si>
  <si>
    <t>CAPA DE PEDAL FREIO AUTOMÁTICO DUSTER OROCH</t>
  </si>
  <si>
    <t>CAPA DE PEDAL FREIO AUTOMÁTICO LOGAN ATÉ 2014</t>
  </si>
  <si>
    <t>CAPA DE PEDAL FREIO EMBREAGEM MASTER ATÉ 2013</t>
  </si>
  <si>
    <t>CAPA DE PEDAL FREIO AUTOMÁTICO PEUGEOT 306</t>
  </si>
  <si>
    <t>CAPA DE PEDAL FREIO EMBREAGEM EFFA</t>
  </si>
  <si>
    <t>CAPA DE PEDAL FREIO EMBREAGEM UNO G2 COM ENCAIXE</t>
  </si>
  <si>
    <t>CAPA DE PEDAL FREIO EMBREAGEM UNO G2 2011 EM DIANTE</t>
  </si>
  <si>
    <t>CAPA DE PEDAL FREIO EMBREAGEM AMAROK 2010 EM DIANTE</t>
  </si>
  <si>
    <t>CAPA DE PEDAL FREIO AUTOMÁTICO CIVIC ATÉ 1999</t>
  </si>
  <si>
    <t>CAPA DE PEDAL FREIO EMBREAGEM HILUX 2005 A 2015</t>
  </si>
  <si>
    <t>CAPA DE PEDAL FREIO EMBREAGEM CARGO 1991 EM DIANTE</t>
  </si>
  <si>
    <t>Capa Pedal Freio Automatico Honda Fit City Hrv Hr-v Todos</t>
  </si>
  <si>
    <t>CAPA DE PEDAL FREIO EMBREAGEM L200</t>
  </si>
  <si>
    <t>CAPA DE PEDAL FREIO EMBREAGEM FRONTIER</t>
  </si>
  <si>
    <t>CAPA DE PEDAL FREIO EMBREAGEM TEMPRA 1992 A 1999</t>
  </si>
  <si>
    <t>KIT CP HONDA CIVIC 1996 ATÉ 2005</t>
  </si>
  <si>
    <t>KIT CAPA PEDAL SCENIC 1999 ATÉ 2010</t>
  </si>
  <si>
    <t>CAPA DE PEDAL FREIO EMBREAGEM BRAVA 1998 A 2006</t>
  </si>
  <si>
    <t>KIT CP FIESTA/COURIER/KA .../01 (FORD)</t>
  </si>
  <si>
    <t>KIT CP ECOSPORT/FIESTA 02/... (FORD)</t>
  </si>
  <si>
    <t>CAPA DE PEDAL FREIO EMBREAGEM ACELERADOR ESCORT ATÉ 1992</t>
  </si>
  <si>
    <t>CAPA DE PEDAL FREIO EMBREAGEM RANGER 1998 A 2012</t>
  </si>
  <si>
    <t>CAPA DE PEDAL FREIO EMBREAGEM PEUGEOT 206</t>
  </si>
  <si>
    <t>CAPA DE PEDAL FREIO EMBREAGEM XSARA PICASSO 2001 A 2012</t>
  </si>
  <si>
    <t>CAPA DE PEDAL FREIO EMBREAGEM BLAZER 1995 A 2011</t>
  </si>
  <si>
    <t>CAPA DE PEDAL FREIO EMBREAGEM OPALA 1968 A 1992</t>
  </si>
  <si>
    <t>CAPA DE PEDAL FREIO EMBREAGEM FIORINO ATÉ 1986</t>
  </si>
  <si>
    <t>CAPA DE PEDAL FREIO EMBREAGEM ACELERADOR CHEVETTE 1981 A 86</t>
  </si>
  <si>
    <t>CCV0062 CABO VELOCIMETRO HONDA NXR 150 BROS ESD 08/12 ES/KS 09/127,5</t>
  </si>
  <si>
    <t>PAR DE AMORTECEDOR DIANTEIRO CORSA CELTA</t>
  </si>
  <si>
    <t>CCE0048 CABO EMBREAGEM HONDA HONDA CG 125 FAN ES/KS 09/108,63</t>
  </si>
  <si>
    <t>HASTE BIELETA PEDAL DA EMBREAGEM ( TRAVA CABO )</t>
  </si>
  <si>
    <t>Rolamento 2RS Folga C3 YAMAHA DAFRA HONDA</t>
  </si>
  <si>
    <t>Rolamento 2RS Folga C3 DIANT./TRAS. HONDA/YAMAHA/MB</t>
  </si>
  <si>
    <t>Kit Suporte Coxim Superior Do Radiador Cobalt 2012 Em Diante</t>
  </si>
  <si>
    <t>Jogo de Coxim e Trava Superior Radiador  FORD</t>
  </si>
  <si>
    <t>LT5678</t>
  </si>
  <si>
    <t>CCA0043 CABO ACELERADOR HONDA CG 125 FAN / CARGO KS / FAN 14&gt;</t>
  </si>
  <si>
    <t>CCF0056 CABO FREIO HONDA CG 150 TITAN ES/KS/JOB 08&gt;</t>
  </si>
  <si>
    <t>COIFA HOMOCINETICA LADO CÂMBIO ROYALE 1992 A 1995</t>
  </si>
  <si>
    <t>COIFA HOMOCINETICA COM FLANGE LADO CÂMBIO TEMPRA</t>
  </si>
  <si>
    <t>COIFA HOMOCINETICA LADO CÂMBIO TEMPRA</t>
  </si>
  <si>
    <t>COIFA HOMOCINETICA AMBOS LADOS COM FLANGE KOMBI 1978 A 1997</t>
  </si>
  <si>
    <t>COIFA HOMOCINETICA AMBOS LADOS KOMBI 1978 A 1997</t>
  </si>
  <si>
    <t>COIFA HOMOCINETICA LADO RODA KOMBI 1.6 1998 A 2013</t>
  </si>
  <si>
    <t>COXIM AMORTECEDOR DIANTEIRO GOL G5</t>
  </si>
  <si>
    <t>COXIM AMORTECEDOR DIANTEIRO GOL 1994 A 1997</t>
  </si>
  <si>
    <t>COIFA HOMOCINETICA LADO CAMBIO BRAVA 2000 A 2003</t>
  </si>
  <si>
    <t>COXIM AMORTECEDOR DIANTEIRO GOL 1998 EM DIANTE</t>
  </si>
  <si>
    <t>COIFA HOMOCINETICA LADO CAMBIO ONIX 1.4 2013 EM DIANTE</t>
  </si>
  <si>
    <t>COIFA HOMOCINETICA LADO RODA ONIX 2013 EM DIANTE</t>
  </si>
  <si>
    <t>COIFA HOMOCINETICA LADO CAMBIO ONIX 1.0 2013 A 2019</t>
  </si>
  <si>
    <t>COIFA HOMOCINETICA LADO RODA CRUZE 2012 EM DIANTE</t>
  </si>
  <si>
    <t>COIFA HOMOCINETICA LADO RODA CORSA 1994 A 2009</t>
  </si>
  <si>
    <t>JOGO DE JUNTAS SUPERIOR DO CABEÇOTE CG125 FAN 2009 EM DIANTE</t>
  </si>
  <si>
    <t>CUBO RODA TRASEIRA ABS MAGNETIZADO AUDI A3 2006 EM DIANTE</t>
  </si>
  <si>
    <t>ROLAMENTO RODA DIANTEIRA CITY 1.5 16V 2009 EM DIANTE SEM ABS</t>
  </si>
  <si>
    <t>ROLAMENTO RODA TRASEIRA RANGER 4X2 4X4 2012 A 2021</t>
  </si>
  <si>
    <t>ROLAMENTO RODA TRASEIRA HILUX PITBULL 2009 EM DIANTE</t>
  </si>
  <si>
    <t>ROLAMENTO RODA DIANTEIRA ACCORD 2.0 16V 02 2003 A 2011</t>
  </si>
  <si>
    <t>ROLAMENTO RODA DIANTEIRA clio 1.8 8 16V 1996 em diante</t>
  </si>
  <si>
    <t>ROLAMENTO RODA DIANTEIRA FIAT 147 1050 1.3 10 1985 EM DIANTE</t>
  </si>
  <si>
    <t>ROLAMENTO RODA DIANTEIRA C3 1.4 1.6 S ABS 02 2002 A 02 2010</t>
  </si>
  <si>
    <t>COIFA HOMOCINETICA LADO RODA SENTRA 1991 EM DIANTE</t>
  </si>
  <si>
    <t>ROLAMENTO RODA TRASEIRA CITROEN AX 1.4 8V 1992 A 1998</t>
  </si>
  <si>
    <t>PIVÔ INFERIOR CORCEL DEL REY PAMPA SCALA BELINA</t>
  </si>
  <si>
    <t>ROLAMENTO RODA DIANTEIRA CHEVETTE 1.6 1973 A 1993</t>
  </si>
  <si>
    <t>KIT AMORTECEDOR TRASEIRO CLIO 2000 EM DIANTE</t>
  </si>
  <si>
    <t>KIT AMORTECEDOR DIANTEIRO VECTRA 1996 EM DIANTE</t>
  </si>
  <si>
    <t>KIT AMORTECEDOR DIANTEIRO GOLF BORA BEETLE</t>
  </si>
  <si>
    <t>KIT AMORTECEDOR TRASEIRO GOL PARATY SAVEIRO ...C/CANECA</t>
  </si>
  <si>
    <t>ROLAMENTO RODA TRASEIRA ECOSPORT 1.0 1.6 2003 EM DIANTE</t>
  </si>
  <si>
    <t>ROLAMENTO RODA DIANTEIRA ESCORT HOBBY 1.0 1.6 1994 DIANTE</t>
  </si>
  <si>
    <t>BRAÇO DIANTEIRO ESQUERDO INFERIOR CURVO X1 E84 2009 Á 2017</t>
  </si>
  <si>
    <t>BRAÇO DIANTEIRO INFERIOR CURVO BMW X1 2009 Á 2017LADO DIREITO SÉRIE E84 XDRIVE</t>
  </si>
  <si>
    <t>Bandeja Inferior Besta Gs Completa 1998 Até 2004</t>
  </si>
  <si>
    <t>CABO DE FREIO DE MÃO TRASEIRO DIREITO FRONTIER 2003 A 2007</t>
  </si>
  <si>
    <t>CABO DE FREIO DE MÃO TRASEIRO ESQUERDO FRONTIER 2003 A 2007</t>
  </si>
  <si>
    <t>CABO DE ACELERADOR NXR 150 BROS ES</t>
  </si>
  <si>
    <t>CABO DE VELOCÍMETRO CG 125 FAN</t>
  </si>
  <si>
    <t>KIT AMORTECEDOR DIANTEIRO FIESTA KA</t>
  </si>
  <si>
    <t>KIT AMORTECEDOR DIANTEIRO GOL VOYGE PARATY SAVEIRO</t>
  </si>
  <si>
    <t>CABO DE FREIO TRASEIRO ESQUERDO RANGER 2009 EM DIANTE</t>
  </si>
  <si>
    <t>PASTILHAS DE FREIO DIANTEIRO GOL 1.0 G5 2008 EM DIANTE</t>
  </si>
  <si>
    <t>CAPA DE PEDAL FREIO AUTOMÁTICO AUDI 1990 A 2010</t>
  </si>
  <si>
    <t>TERMINAL DO CABO DE ENGATE FIESTA/ECO/KA 02/10</t>
  </si>
  <si>
    <t>COIFA HOMOCINETICA LADO RODA ASTRA 99...KADETT 94/98 ZAFIRA 2001... MONZA 94/95 VECTRA 1996 Á 2006</t>
  </si>
  <si>
    <t>PIVO INFERIOR LD/LE MONDEO 1994 á 2001</t>
  </si>
  <si>
    <t>KIT RELAÇÃO HONDA 160</t>
  </si>
  <si>
    <t>KIT TIRANTE DO CÂMBIO UNIVERSAL PEUGEOT</t>
  </si>
  <si>
    <t>Kit Suporte Coxim Superior Do Radiador Tracker 2021 a 2023</t>
  </si>
  <si>
    <t>KIT REPARO DA ALAVANCA DO CÂMBIO Gol - Saveiro - Voyage - Fox (G5/...)</t>
  </si>
  <si>
    <t>importação</t>
  </si>
  <si>
    <t>RE9BOR</t>
  </si>
  <si>
    <t>Cubo Roda</t>
  </si>
  <si>
    <t>OUTROS</t>
  </si>
  <si>
    <t>KIT AMORTECEDOR PARCIAL</t>
  </si>
  <si>
    <t>BROKITS</t>
  </si>
  <si>
    <t>Cabo Acelerador Moto</t>
  </si>
  <si>
    <t>Cabo Freio Moto</t>
  </si>
  <si>
    <t xml:space="preserve">Cabo Acelerador ESCORT  </t>
  </si>
  <si>
    <t>Cabo Acelerador CG 150 FAN ESI 2010 EM DIANTE</t>
  </si>
  <si>
    <t>Cabo Acelerador FAN 160 2016 EM DIANTE</t>
  </si>
  <si>
    <t>Cabo Acelerador Scenic 1996 Em Diante 1.6 2.0</t>
  </si>
  <si>
    <t>Cabo Acelerador Clio I I 1999 Em Diante 1.0 8v</t>
  </si>
  <si>
    <t>Cabo Acelerador Clio I I Motor 1.0 1.6 16v</t>
  </si>
  <si>
    <t>Cabo Acelerador Mitsubishi L200 Sport 2003 Em Diante</t>
  </si>
  <si>
    <t>Cabo Acelerador Corolla A Gasolina 2003, 2004, 2005, 2006</t>
  </si>
  <si>
    <t>Cabo Acelerador Civic 2001 A 2006</t>
  </si>
  <si>
    <t>Cabo Acelerador Nxr 150 Bros Ks 2009 A 2012</t>
  </si>
  <si>
    <t>Cabo Embreagem Moto</t>
  </si>
  <si>
    <t>Cabo câmbio</t>
  </si>
  <si>
    <t>Cabo capô</t>
  </si>
  <si>
    <t>Cabo Freio</t>
  </si>
  <si>
    <t>Cabo velocÍmetro</t>
  </si>
  <si>
    <t>CURVA ABC</t>
  </si>
  <si>
    <t>A</t>
  </si>
  <si>
    <t>C</t>
  </si>
  <si>
    <t>B</t>
  </si>
  <si>
    <t>Importação / MundiFlex</t>
  </si>
  <si>
    <t>CX300</t>
  </si>
  <si>
    <t>Seguimento</t>
  </si>
  <si>
    <t>CL001</t>
  </si>
  <si>
    <t>10W50l</t>
  </si>
  <si>
    <t>CCA0032</t>
  </si>
  <si>
    <t>CCV0063</t>
  </si>
  <si>
    <t>CCE0011</t>
  </si>
  <si>
    <t>RT003</t>
  </si>
  <si>
    <t>CCE0044</t>
  </si>
  <si>
    <t>RT006</t>
  </si>
  <si>
    <t>CCF0022</t>
  </si>
  <si>
    <t>CCF0057</t>
  </si>
  <si>
    <t>RT004</t>
  </si>
  <si>
    <t>200.123K003</t>
  </si>
  <si>
    <t>CCA0038</t>
  </si>
  <si>
    <t>CCE0052</t>
  </si>
  <si>
    <t>CCF0056</t>
  </si>
  <si>
    <t>AUTOMOTIVO</t>
  </si>
  <si>
    <t>COXIM BARQUINHO DO MOTOR FUSCA 1978 EM DIANTE</t>
  </si>
  <si>
    <t>COXIM MOTOR</t>
  </si>
  <si>
    <t>10w40-SB</t>
  </si>
  <si>
    <t>Bandeja DIANTEIRA ESQUERDA STILO 2002 A 2011 COM PIVÔ</t>
  </si>
  <si>
    <t>Bandeja DIANTEIRA DIREITA STILO 2002 A 2011 COM PIVÔ</t>
  </si>
  <si>
    <t>Bandeja TRASEIRA ELBA /FIORINO/FURGONETA/PREMIO/SPAZIO/UNO</t>
  </si>
  <si>
    <t>Bandeja SUPERIOR DIREITA COM PIVÔ RANGER 2012 A 2022</t>
  </si>
  <si>
    <t>Bandeja SUPERIOR ESQUERDA COM PIVÔ RANGER 2012 A 2022</t>
  </si>
  <si>
    <t>Bandeja INFERIOR DIREITA LIFAN FOISON</t>
  </si>
  <si>
    <t>Bandeja INFERIOR ESQUERDA LIFAN FOISON</t>
  </si>
  <si>
    <t>Bandeja INFERIOR DIREITA COM PIVÔ CHEVETTE 1973 A 1993</t>
  </si>
  <si>
    <t>Bandeja INFERIOR DIREITA SEM PIVÔ TIGGO 2 2018 A 2021</t>
  </si>
  <si>
    <t>Bandeja INFERIOR ESQUERDA COM PIVÔ CHEVETTE 1973 A 1993</t>
  </si>
  <si>
    <t>Bandeja SUPERIOR DIREITA S/ PIVÔ A10 1993 ATÉ 1996</t>
  </si>
  <si>
    <t>Bandeja SUPERIOR ESQUERDA S/ PIVÔ A10 1993 ATÉ 1996</t>
  </si>
  <si>
    <t>Bandeja BLAZER, S10 4x2, 4x4 95/12 - Inferior LD</t>
  </si>
  <si>
    <t>Bandeja BLAZER, S10 4x2, 4x4 95/12 - Inferior LE</t>
  </si>
  <si>
    <t>Bandeja CLIO II 1.0, 1.6 98/05, KANGOO, SYMBOL 1.6 8/16V 09/ - inferior</t>
  </si>
  <si>
    <t>Bandeja DIANTEIRA DIREITA INFERIOR COM PIVÔ S10 1995 Á 2011 BLAZE 1995 Á 2011</t>
  </si>
  <si>
    <t>Bandeja DIANTEIRA DIREITA SEM PIVÔ DUCATO 1994 A 2009</t>
  </si>
  <si>
    <t>Bandeja DIANTEIRA ESQUERDA SEM PIVÔ DUCATO 1994 A 2009</t>
  </si>
  <si>
    <t>Bandeja DIANTEIRA INFERIOR ESQUERDA FRONTIER 2008 Á 2016</t>
  </si>
  <si>
    <t>Bandeja DIANTEIRA SUPERIOR DIREITA FRONTIER 2008 Á 2016</t>
  </si>
  <si>
    <t>Bandeja DIANTEIRA SUPERIOR ESQUERDA FRONTIER 2008 Á 2016</t>
  </si>
  <si>
    <t>Bandeja FIESTA 94/95 (importado), KA 00/07 - chapa simples, direção hidraúlica  D/E</t>
  </si>
  <si>
    <t>Bandeja INFERIOR COMPLETA LADO DIREITO DISCOVERY 3 DISCOVERY 4</t>
  </si>
  <si>
    <t>Bandeja INFERIOR COMPLETA LADO ESQUERDO DISCOVERY 3 DISCOVERY 4</t>
  </si>
  <si>
    <t>Bandeja INFERIOR DIANTEIRA DIREITA TRANSIT 2008 Á 2015</t>
  </si>
  <si>
    <t>Bandeja INFERIOR DIANTEIRA ESQUERDA TRANSIT 2008 Á 2015</t>
  </si>
  <si>
    <t>Bandeja INFERIOR DIREITO OPALA 69/79 CARAVAN 75/79 SEM PIVÔ</t>
  </si>
  <si>
    <t>Bandeja INFERIOR DIREITO SEM PIVÔ H100 1997 A 2005</t>
  </si>
  <si>
    <t>Bandeja INFERIOR ESQUERDA SEM PIVÔ TIGGO 2 2018 A 2021</t>
  </si>
  <si>
    <t>Bandeja INFERIOR ESQUERDO SEM PIVÔ H100 1997 A 2005</t>
  </si>
  <si>
    <t>Bandeja SUPERIOR DIREITA COM PIVÔ FUSION 2007 A 2012</t>
  </si>
  <si>
    <t>Bandeja SUPERIOR DIREITA PAJERO FULL 2001Á 2006 SEM PIVÔ</t>
  </si>
  <si>
    <t>Bandeja SUPERIOR DIREITO BONGO K250 2013 Á 2021 COM PIVÔ</t>
  </si>
  <si>
    <t>Bandeja SUPERIOR ESQUERDA COM PIVÔ FUSION 2007 A 2012</t>
  </si>
  <si>
    <t>Bandeja SUPERIOR ESQUERDA PAJERO FULL 2001 Á 2006 SEM PIVÔ</t>
  </si>
  <si>
    <t>Bandeja SUPERIOR ESQUERDO BONGO K250 2013 Á 2021 COM PIVÔ</t>
  </si>
  <si>
    <t>Bandeja VW JETTA ESQUERDA COM PIVO</t>
  </si>
  <si>
    <t>Bandeja VW JETTA LADO DIREITO COM PIVO</t>
  </si>
  <si>
    <t>TPN001</t>
  </si>
  <si>
    <t>LT5537</t>
  </si>
  <si>
    <t>FTK146</t>
  </si>
  <si>
    <t>CCV0062</t>
  </si>
  <si>
    <t>CCV0061</t>
  </si>
  <si>
    <t>CCA0043</t>
  </si>
  <si>
    <t>MOTO PEÇAS</t>
  </si>
  <si>
    <t>FTK/PDA155</t>
  </si>
  <si>
    <t>Amortecedor Mola A Gás Porta Malas Fox 2003 A 2010</t>
  </si>
  <si>
    <t>PANDÃO</t>
  </si>
  <si>
    <t>Amortecedor Porta Mala</t>
  </si>
  <si>
    <t>20W50-VR</t>
  </si>
  <si>
    <t>20W50L</t>
  </si>
  <si>
    <t>RL63</t>
  </si>
  <si>
    <t>RL6301</t>
  </si>
  <si>
    <t>RL6302</t>
  </si>
  <si>
    <t>200.123/3A</t>
  </si>
  <si>
    <t>RL60</t>
  </si>
  <si>
    <t>RL62</t>
  </si>
  <si>
    <t>NZT6201/2RS</t>
  </si>
  <si>
    <t>JJF-M6A</t>
  </si>
  <si>
    <t>201.377K003</t>
  </si>
  <si>
    <t>PDM1372</t>
  </si>
  <si>
    <t>JJF-M6</t>
  </si>
  <si>
    <t>CCA0034</t>
  </si>
  <si>
    <t>PDM1362</t>
  </si>
  <si>
    <t>PDM1374</t>
  </si>
  <si>
    <t>CCA0007</t>
  </si>
  <si>
    <t>CCA0039</t>
  </si>
  <si>
    <t>JJF-M5B</t>
  </si>
  <si>
    <t>CCA0003</t>
  </si>
  <si>
    <t>JJFM2B</t>
  </si>
  <si>
    <t>CCE0016</t>
  </si>
  <si>
    <t>CCA0042</t>
  </si>
  <si>
    <t>CCE0013</t>
  </si>
  <si>
    <t>JJF-M13A</t>
  </si>
  <si>
    <t>JJFM8</t>
  </si>
  <si>
    <t>JJFM3B</t>
  </si>
  <si>
    <t>JJFM9</t>
  </si>
  <si>
    <t>RT007</t>
  </si>
  <si>
    <t>CCE0055</t>
  </si>
  <si>
    <t xml:space="preserve">CCE0043 CABO EMBREAGEM HONDA CG 125 TITAN ES 02&gt; E 02/08  </t>
  </si>
  <si>
    <t>TIRANTE EXTERNO DO CÂMBIO LONGO PEUGEOT 306</t>
  </si>
  <si>
    <t>ALAVANCA SELETORA DO TRAMBULADOR PEUGEOT 206 1.0</t>
  </si>
  <si>
    <t>MOBI 17/, PALIO ATTRACTIVE 1.0, 1.4 12/, UNO VIVACE 12/ - LD sem barra estabilizadora</t>
  </si>
  <si>
    <t>MOBI 17/, PALIO ATTRACTIVE 1.0, 1.4 12/, UNO VIVACE 12/ - LE sem barra estabilizadora</t>
  </si>
  <si>
    <t>Bandeja Inferior Esquerdo Ka Com Pivô</t>
  </si>
  <si>
    <t>Par Amortecedor  Dianteiro Kangoo 1999 A 2012</t>
  </si>
  <si>
    <t>Cabo De Embreagem Cg 150 Fan Esi 2010 Em Diante</t>
  </si>
  <si>
    <t>TIRANTE EXTERNO DO CÂMBIO CURTO PEUGEOT 206 1.0</t>
  </si>
  <si>
    <t>TIRANTE EXTERNO DO CÂMBIO LONGO PEUGEOT 206 1.0</t>
  </si>
  <si>
    <t xml:space="preserve">Óleo 15W40 Maxi Lubrificantes  </t>
  </si>
  <si>
    <t xml:space="preserve">OLEO 20W50 MAXI  </t>
  </si>
  <si>
    <t>Cabo Velocimetro Moto</t>
  </si>
  <si>
    <t>Motor de Partida</t>
  </si>
  <si>
    <t xml:space="preserve">Bucha direção </t>
  </si>
  <si>
    <t>Calota Eixo Peugeot</t>
  </si>
  <si>
    <t>Kit Relação moto</t>
  </si>
  <si>
    <t>Bomba Combustível Moto</t>
  </si>
  <si>
    <t>AMORTECEDOR SUSPENSÃO</t>
  </si>
  <si>
    <t>Pastilha Freio</t>
  </si>
  <si>
    <t>Óleo motor Automotivo</t>
  </si>
  <si>
    <t>Óleo Motor MOTO</t>
  </si>
  <si>
    <t>ROLAMENTO MOTO</t>
  </si>
  <si>
    <t>JUNTO MOTOR COMPLETA</t>
  </si>
  <si>
    <t>ANTENA CORTA PIPA</t>
  </si>
  <si>
    <t>pastilha Freio Moto</t>
  </si>
  <si>
    <t/>
  </si>
  <si>
    <t>FTK200121PA</t>
  </si>
  <si>
    <t>FTK-CCV0063</t>
  </si>
  <si>
    <t>FTK319K</t>
  </si>
  <si>
    <t>Jogo De Juntas Superior Do Cabeçote Cg125 Fan 2009 Em Diante</t>
  </si>
  <si>
    <t>BANDEJA</t>
  </si>
  <si>
    <t>Bandeja Dianteira Inferior Evasion 1994 A 2002</t>
  </si>
  <si>
    <t>CABO TRAATOR</t>
  </si>
  <si>
    <t>IMPORTAÇÃO</t>
  </si>
  <si>
    <t>Cabo De Freio Estacionamento Massey Ferguson 650 660 680</t>
  </si>
  <si>
    <t>PASTILHA DE FREIO</t>
  </si>
  <si>
    <t>Pastilhas De Freio Dianteiro Corolla Xrs 2.0 2013 Diante</t>
  </si>
  <si>
    <t>Cabo De Velocímetro Cg 150 Titan Esd 2009 Em Diante</t>
  </si>
  <si>
    <t>Coifa Homocinetica Lado Cambio Fiat 147 1984 A 1986</t>
  </si>
  <si>
    <t>PDM0007</t>
  </si>
  <si>
    <t>NZT6202/2RS</t>
  </si>
  <si>
    <t>nzt6203</t>
  </si>
  <si>
    <t>CCE0064</t>
  </si>
  <si>
    <t>CCE0069</t>
  </si>
  <si>
    <t>PDM1388</t>
  </si>
  <si>
    <t>NZT6204/2RS</t>
  </si>
  <si>
    <t>FBK5042</t>
  </si>
  <si>
    <t>FBK-982</t>
  </si>
  <si>
    <t>pdm1392</t>
  </si>
  <si>
    <t>FFBK5041</t>
  </si>
  <si>
    <t>NTZ6004/2RS</t>
  </si>
  <si>
    <t xml:space="preserve">20W50 </t>
  </si>
  <si>
    <t>JJFM10A</t>
  </si>
  <si>
    <t>FBK736</t>
  </si>
  <si>
    <t>PDM0263</t>
  </si>
  <si>
    <t>JJF M13A</t>
  </si>
  <si>
    <t>PDM1373</t>
  </si>
  <si>
    <t>PDM2399</t>
  </si>
  <si>
    <t>CCG0002</t>
  </si>
  <si>
    <t>JJFM5A</t>
  </si>
  <si>
    <t>PDM0299</t>
  </si>
  <si>
    <t>JJFM9A</t>
  </si>
  <si>
    <t>CCA0061</t>
  </si>
  <si>
    <t>M2B</t>
  </si>
  <si>
    <t>CCE0057</t>
  </si>
  <si>
    <t>BUZ0003</t>
  </si>
  <si>
    <t>CCE0061</t>
  </si>
  <si>
    <t>CCV0067</t>
  </si>
  <si>
    <t>JJFM6A</t>
  </si>
  <si>
    <t>CCA0051</t>
  </si>
  <si>
    <t>CCA0067</t>
  </si>
  <si>
    <t>CCE0068</t>
  </si>
  <si>
    <t>RT005</t>
  </si>
  <si>
    <t>CCF0059</t>
  </si>
  <si>
    <t>CCA0048</t>
  </si>
  <si>
    <t>CCT0001</t>
  </si>
  <si>
    <t>CCA0068</t>
  </si>
  <si>
    <t>CCA0046</t>
  </si>
  <si>
    <t>CCV0030</t>
  </si>
  <si>
    <t>CCV0058</t>
  </si>
  <si>
    <t>CCV0059</t>
  </si>
  <si>
    <t>CCV0060</t>
  </si>
  <si>
    <t>Junho</t>
  </si>
  <si>
    <t>FTK200132A</t>
  </si>
  <si>
    <t>Bandeja Dianteira Esquerda Com Pivô Vera Cruz 2007 A 2012</t>
  </si>
  <si>
    <t>Jogo De Juntas Superior Do Cabeçote Cg125 Titan 2000 Diante</t>
  </si>
  <si>
    <t>FTK1035</t>
  </si>
  <si>
    <t>EF20W50</t>
  </si>
  <si>
    <t>FA6A-D</t>
  </si>
  <si>
    <t>FTK1055</t>
  </si>
  <si>
    <t>VR-20W50</t>
  </si>
  <si>
    <t>35501/BF0-CG01</t>
  </si>
  <si>
    <t>FFBK504</t>
  </si>
  <si>
    <t>91908/DF0-TD01</t>
  </si>
  <si>
    <t>92540-DF0-CG01</t>
  </si>
  <si>
    <t>FBK-736</t>
  </si>
  <si>
    <t>133410-BF0-CG01</t>
  </si>
  <si>
    <t>10149A</t>
  </si>
  <si>
    <t>FBK-787</t>
  </si>
  <si>
    <t>T7003</t>
  </si>
  <si>
    <t>334000-BF0-CG08</t>
  </si>
  <si>
    <t>200.116K003</t>
  </si>
  <si>
    <t>FBK-608</t>
  </si>
  <si>
    <t>200.141/A</t>
  </si>
  <si>
    <t>JJF M5B</t>
  </si>
  <si>
    <t>43110-BF-CG08</t>
  </si>
  <si>
    <t>FBK-948</t>
  </si>
  <si>
    <t>33300-BB0-CG10</t>
  </si>
  <si>
    <t>fbk5241</t>
  </si>
  <si>
    <t>54310-BF0-CG06</t>
  </si>
  <si>
    <t>FBK-985</t>
  </si>
  <si>
    <t>61230-DC0-CG02</t>
  </si>
  <si>
    <t>200.123/3PA</t>
  </si>
  <si>
    <t>200.116/1PA</t>
  </si>
  <si>
    <t>*200.142/3P1A</t>
  </si>
  <si>
    <t>11135-BF0-CG07</t>
  </si>
  <si>
    <t>61240-BC0-CG15</t>
  </si>
  <si>
    <t>41260-BF0-CG07</t>
  </si>
  <si>
    <t>11135-DF0-BR01</t>
  </si>
  <si>
    <t>61410-DF0-CG03</t>
  </si>
  <si>
    <t>200.132K008</t>
  </si>
  <si>
    <t>CCF0058</t>
  </si>
  <si>
    <t>81142-DF0-CG02</t>
  </si>
  <si>
    <t>PIVÔ</t>
  </si>
  <si>
    <t>PIVO ASTRA 2000/...............</t>
  </si>
  <si>
    <t>ÓLEO MOTOR</t>
  </si>
  <si>
    <t>OLEO ELFA 20W50</t>
  </si>
  <si>
    <t>Bomba Combustível MOTO</t>
  </si>
  <si>
    <t>REFIL BOMBA DE COMBUSTÍVEL CG 150 FAN FLEX 2014 EM DIANTE</t>
  </si>
  <si>
    <t>BATERIA MOTO</t>
  </si>
  <si>
    <t>FABRECK</t>
  </si>
  <si>
    <t>bateria de moto fabreck 6 ahperes</t>
  </si>
  <si>
    <t>PIVO PUNTO 2009/.......</t>
  </si>
  <si>
    <t>OLEO 20W50 VR LUB</t>
  </si>
  <si>
    <t>Bandeja Palio 01/06, Siena 01/10, Palio WE 03/04, Strada 06/09 - S/ Barra Estabilizadora LD</t>
  </si>
  <si>
    <t>PALIO 01/06, SIENA 01/10, PALIO WEEKEND 03/04, STRADA 06/09 - motor FIRE, sem barra estabilizadora L/D</t>
  </si>
  <si>
    <t>REFIL BOMBA DE COMBUSTÍVEL HONDA BIZ 125 FLEX TITAN 150 MIX</t>
  </si>
  <si>
    <t>LAMPADA</t>
  </si>
  <si>
    <t>SMARTFOX</t>
  </si>
  <si>
    <t>LAMPADA FAROL H4 12 35X35 CG/TITAN/TODAY/FAN/YBR</t>
  </si>
  <si>
    <t>REFIL BOMBA DE COMBUSTÍVEL PCX 150 TITAN 160 POP110i START 160 FAZER 150</t>
  </si>
  <si>
    <t>LONA DE FREIO MOTO</t>
  </si>
  <si>
    <t>LONA DE FREIO SSTANDER</t>
  </si>
  <si>
    <t>MALETA DE ANEIS</t>
  </si>
  <si>
    <t>SUPORTE P/ CELULAR MOTO (C/CAREGADOR USB ) UNIVERSAL</t>
  </si>
  <si>
    <t>REFIL BOMBA DE COMBUSTÍVELFIREBOLT XB12R 1200 CBR1000 CB600 TRANSALP GSXR</t>
  </si>
  <si>
    <t>PASTILHA DE FREIO MOTO</t>
  </si>
  <si>
    <t>PASTILHA FREIO TITAN150-160 CRF250F FAZER 250</t>
  </si>
  <si>
    <t>CACHIMBO VELA CG 125 76-88/TODAY 125 89-94/TITAN 125 95-99/TITAN</t>
  </si>
  <si>
    <t>REFIL BOMBA DE COMBUSTÍVEL CITYCOM 300 LEAD 110 DOWNTOWN 300I</t>
  </si>
  <si>
    <t>PASTILHA FREIO TITAN150 CBS TITAN 160 CBS</t>
  </si>
  <si>
    <t>REFIL BOMBA DE COMBUSTÍVEL HONDA TITAM 150 BIZ 125 2009 EM DIANTE</t>
  </si>
  <si>
    <t>CABO DO MONZA 1995</t>
  </si>
  <si>
    <t>VELA DE IGNIÇÃO TITAN 150 / 160 BROS 150</t>
  </si>
  <si>
    <t>JUNTA LATERAL MOTOR NXT 160 BROS TITAN 160 2015 EM DIANTE XRE 190 2016 EM DIANTE LD</t>
  </si>
  <si>
    <t>PASTILHA FABRECK</t>
  </si>
  <si>
    <t>JOGO DE JUNTAS - TWISTER</t>
  </si>
  <si>
    <t>JOJAFER</t>
  </si>
  <si>
    <t>ANTENA CORTA PIPA JJF 6 EST GUIDAO 7/8 E 1" C/ RED INOX ABRACFIBRA PRETA</t>
  </si>
  <si>
    <t>PEDAL FREIO TITAN 150 04-08/FAN125 09</t>
  </si>
  <si>
    <t>MANETE EMBREAGEM</t>
  </si>
  <si>
    <t>MANETE DE FREIO DISCO TRASEIRA-PCX 150 (16/....) ESCOVADO</t>
  </si>
  <si>
    <t>RELE DE PARTIDA TITAN 150 09-15/FAN 150 10-13BROS 150 09-14 BROS 125</t>
  </si>
  <si>
    <t>LONA DE FREIO YBR D/T 2000...../</t>
  </si>
  <si>
    <t>PEDALEIRA TRASEIRA TITAN 125 ES 00-04/PHOENIX 50 GOLD 11-19</t>
  </si>
  <si>
    <t>MANETE ESQUERDO XT660R/FACTOR/FAZER250/XTZ125/LANDER</t>
  </si>
  <si>
    <t>Cabo de Freio</t>
  </si>
  <si>
    <t>CABO FREIO DIANTEIRO STAR 160 18...</t>
  </si>
  <si>
    <t>KIT DE RETIFICAÇÃO TITAN 150</t>
  </si>
  <si>
    <t>KIT DE RETIFICAÇÃO BROSS 160</t>
  </si>
  <si>
    <t>JUNTA CB 300R /XRE 3000 (2009/...) JOGO</t>
  </si>
  <si>
    <t>VARETA NIVEL OLEO TITAN 150 04-15/FAN125 09-18/FAN150 10-15 BROS</t>
  </si>
  <si>
    <t>CABO EMBREAGEM 160 EX/FAN160 ESDI 16-18</t>
  </si>
  <si>
    <t>ESTICADOR CORRENTE TITAN 150 04-15/FAN 150 10-15/FAN 125 09-18/ FAN</t>
  </si>
  <si>
    <t>VARETA NIVEL OLEO C/ANEL BROS 160/TITAN 160 / FAN 160</t>
  </si>
  <si>
    <t>MANICOTO EMBREAGEM TITAN 150 09-15/FAN 150 10-15 CB 250F TWISTER</t>
  </si>
  <si>
    <t>KIT DA BUCHA DA BALANCA - CG125 8</t>
  </si>
  <si>
    <t>CABO DE FREIO HONDA CG150</t>
  </si>
  <si>
    <t>FILTRO REFIL BOMBA DE COMBUSTIVÉL C/ANEL FAN 125I 16-START 160</t>
  </si>
  <si>
    <t>LT2376</t>
  </si>
  <si>
    <t>HR001</t>
  </si>
  <si>
    <t>LT5535</t>
  </si>
  <si>
    <t>FTK151K</t>
  </si>
  <si>
    <t>Bandeja Dianteira Esquerda Monza 1991 A 1996 Sem Pivô</t>
  </si>
  <si>
    <t>Bandeja Suspensão Direita Kwid 2024 Com Pivô</t>
  </si>
  <si>
    <t>Bandeja Suspensão Esquerda Kwid 2024 Com Pivô</t>
  </si>
  <si>
    <t>Bandeja Inferior Direita Com Pivô Creta 2017 A 2021</t>
  </si>
  <si>
    <t>Coifa Homocinetica Lado Roda Ecosport 1.6 2003 A 2012</t>
  </si>
  <si>
    <t>Reparo Deslizante Cabo De Engate Hr 2005 A 2012</t>
  </si>
  <si>
    <t>Inibidor De Marcha Ré Corsa Sistema Varão</t>
  </si>
  <si>
    <t>Suporte Da Alavanca Do Trambulador Saveiro G5 2009 Em Diante</t>
  </si>
  <si>
    <t>FTK0333</t>
  </si>
  <si>
    <t>Pivô Inferior Classe A 190 Elegance 1999 A 2006</t>
  </si>
  <si>
    <t>20W50 SN</t>
  </si>
  <si>
    <t>20W50-SN</t>
  </si>
  <si>
    <t>10W40-MAX</t>
  </si>
  <si>
    <t>NZT6301</t>
  </si>
  <si>
    <t>OC250</t>
  </si>
  <si>
    <t>0W20-MAX</t>
  </si>
  <si>
    <t>FBK-658</t>
  </si>
  <si>
    <t>PDM099</t>
  </si>
  <si>
    <t>PDM0085</t>
  </si>
  <si>
    <t>FBK-983</t>
  </si>
  <si>
    <t>PDA0050</t>
  </si>
  <si>
    <t>PDM0008</t>
  </si>
  <si>
    <t>135501-DF5-CG08</t>
  </si>
  <si>
    <t>FBK-968</t>
  </si>
  <si>
    <t>FTK200123K00220</t>
  </si>
  <si>
    <t>200.114/A</t>
  </si>
  <si>
    <t>FTK200141/A</t>
  </si>
  <si>
    <t>FTK200142/A</t>
  </si>
  <si>
    <t>CCE0062</t>
  </si>
  <si>
    <t>FA6A</t>
  </si>
  <si>
    <t>0c522</t>
  </si>
  <si>
    <t>CCA0072</t>
  </si>
  <si>
    <t>REFIL BOMBA DE COMBUSTÍVEL NINJA ER6N 650 ZX6 ZX10 V-STROM MIDNIGHT</t>
  </si>
  <si>
    <t>BOMBA DE COMBUSTÍVEL COMPLETA HONDA TITAN 150 GASOLINA 2009 EM DIANTE</t>
  </si>
  <si>
    <t>CABO CÂMBIO</t>
  </si>
  <si>
    <t>Cabo De Engate Uno Fire Furgoneta 2004 A 2013 1.3 1.5</t>
  </si>
  <si>
    <t>Outros</t>
  </si>
  <si>
    <t>OLEO SB 5W30 CARRO</t>
  </si>
  <si>
    <t>Diversos</t>
  </si>
  <si>
    <t>MOTOVELLO</t>
  </si>
  <si>
    <t>caixa de direção</t>
  </si>
  <si>
    <t>SAKAMOTO</t>
  </si>
  <si>
    <t>Oleo MOBIL</t>
  </si>
  <si>
    <t>BANDEJA INFERIOR ESQUERDA MONTANA 2003 A 2012</t>
  </si>
  <si>
    <t>CORSA MONTANA COM PIVO DIREITO</t>
  </si>
  <si>
    <t>Filtro Óleo</t>
  </si>
  <si>
    <t>MAX LUBRIFICANTES</t>
  </si>
  <si>
    <t>ÓLEO 0W20</t>
  </si>
  <si>
    <t>ÓLEO 10W40</t>
  </si>
  <si>
    <t>Lampada Farol LED CG/TITAN 150 09-18 YBR FACTOR/CB300R</t>
  </si>
  <si>
    <t>JUNTA BIZ POP110</t>
  </si>
  <si>
    <t>ÓLEO DE MOTOR 20W50L CARRO SN</t>
  </si>
  <si>
    <t>ÓLEO SN</t>
  </si>
  <si>
    <t>CABO ACELERADOR HONDA NX 400 FALCON</t>
  </si>
  <si>
    <t>CABO EMBREAGEM HONDA NX 400 FALCON</t>
  </si>
  <si>
    <t>PASTILHA FREIO CG TITAN 160 EX (D)</t>
  </si>
  <si>
    <t>Manete de embreagem CG 125 FAN 160 START 2018/... ESCOVADO</t>
  </si>
  <si>
    <t>Manete Esquerdo CB TWISTER/ TODAY CB300 BROS 125KS/ 150 XL 125 250 350 XLR 125.../2008</t>
  </si>
  <si>
    <t>JOGO DE JUNTAS SUPERIOR DO CABECOTE CG 150 TITAN</t>
  </si>
  <si>
    <t>JOGO DE JUNTAS SUPERIOR DO CABECOTE TWISTER</t>
  </si>
  <si>
    <t>JOGO DE JUNTAS SUPERIOR DO CABECOTE CB300R</t>
  </si>
  <si>
    <t>NZT6301/2RS</t>
  </si>
  <si>
    <t>FILTRO DE OLEO OC25O MALI</t>
  </si>
  <si>
    <t>AMORTECEDOR TAMPA TRASEIRA PEUGEOT 206 98/09</t>
  </si>
  <si>
    <t>CAMARA DE AR</t>
  </si>
  <si>
    <t>CAMARA DE AR 3.00-18 TR4</t>
  </si>
  <si>
    <t>KIT TRANSMISSÃO CB 300</t>
  </si>
  <si>
    <t>KIT TRASMISÃO XRE300</t>
  </si>
  <si>
    <t>12130-BF0-CG15</t>
  </si>
  <si>
    <t>FBK-5042</t>
  </si>
  <si>
    <t>FBK-5044</t>
  </si>
  <si>
    <t>FBK-790</t>
  </si>
  <si>
    <t>41300-DF0-FZ18</t>
  </si>
  <si>
    <t>41300-DF0-FZ06</t>
  </si>
  <si>
    <t>41300-DF1-CG15</t>
  </si>
  <si>
    <t>41300-DF0-FZ13</t>
  </si>
  <si>
    <t>FBK-957</t>
  </si>
  <si>
    <t>FTK55202-AMW</t>
  </si>
  <si>
    <t>2130-BF0-CG08</t>
  </si>
  <si>
    <t>35310-BF3-CG14</t>
  </si>
  <si>
    <t>12140-BF0-YB01</t>
  </si>
  <si>
    <t>12140-DF0-CB01</t>
  </si>
  <si>
    <t>FBK-504</t>
  </si>
  <si>
    <t>NZT0031</t>
  </si>
  <si>
    <t>CF-0001</t>
  </si>
  <si>
    <t>LT5692</t>
  </si>
  <si>
    <t>37240-BF0-CG07</t>
  </si>
  <si>
    <t>FBK-5041</t>
  </si>
  <si>
    <t>12140-DF0-FZ02</t>
  </si>
  <si>
    <t>11510-DF0-CB01</t>
  </si>
  <si>
    <t>20W50</t>
  </si>
  <si>
    <t>201.379K004</t>
  </si>
  <si>
    <t>FT250</t>
  </si>
  <si>
    <t>FBK-5241</t>
  </si>
  <si>
    <t>61240-BC0-CG07</t>
  </si>
  <si>
    <t>FBK-524</t>
  </si>
  <si>
    <t>PMD0263</t>
  </si>
  <si>
    <t>53210-BF0-CG04</t>
  </si>
  <si>
    <t>209.100K008</t>
  </si>
  <si>
    <t>200.143.K003</t>
  </si>
  <si>
    <t>200.123/CA</t>
  </si>
  <si>
    <t>200.123K004</t>
  </si>
  <si>
    <t>200.123K007/P</t>
  </si>
  <si>
    <t>61410-DF0-GC03</t>
  </si>
  <si>
    <t>12140-BF0-PO01</t>
  </si>
  <si>
    <t>CCA0055</t>
  </si>
  <si>
    <t>CCA0056</t>
  </si>
  <si>
    <t>33410-BF0-CG08</t>
  </si>
  <si>
    <t>200.119/A</t>
  </si>
  <si>
    <t>250.542K000</t>
  </si>
  <si>
    <t>DM DISTRIBUIDORA</t>
  </si>
  <si>
    <t>Fechadura Mala Porta Traseira Ducato 2.3 2010 A 2017 G2</t>
  </si>
  <si>
    <t>Bandeja Inferior Traseira Ambos Lados Hilux Sw4 2016 A 2020</t>
  </si>
  <si>
    <t>Embreagem Moto</t>
  </si>
  <si>
    <t>EMBREAGEM COMPLETA</t>
  </si>
  <si>
    <t>LONA DE FREIO</t>
  </si>
  <si>
    <t>KIT TRANSMISÃO FAZER</t>
  </si>
  <si>
    <t>KIT TRANSMISSÃO FAZER</t>
  </si>
  <si>
    <t xml:space="preserve">KIT TRANSMISSÃO </t>
  </si>
  <si>
    <t>NISSAN KICKS</t>
  </si>
  <si>
    <t>Manete de Freio</t>
  </si>
  <si>
    <t>MANETE DE FREIO</t>
  </si>
  <si>
    <t xml:space="preserve">BANDEJA SUSPENSÃO </t>
  </si>
  <si>
    <t>PISCA C/ LAMPADA</t>
  </si>
  <si>
    <t>Disco de Embreagem Moto</t>
  </si>
  <si>
    <t>DISCO DE EMBREAGEM</t>
  </si>
  <si>
    <t>LONA STD</t>
  </si>
  <si>
    <t>rolamento roda</t>
  </si>
  <si>
    <t>Rolamento Roda Dianteira Palio 1.6 16v 1996 A 2014 Sem Abs</t>
  </si>
  <si>
    <t>Kit Amortecedor</t>
  </si>
  <si>
    <t xml:space="preserve">KIT AMORTECEDOR </t>
  </si>
  <si>
    <t>Kit Reparo Da Alavanca Novo Palio 1.4 2011 A 2015</t>
  </si>
  <si>
    <t>TAMPA TANQUE TITAN</t>
  </si>
  <si>
    <t xml:space="preserve">LONA DE FREIO </t>
  </si>
  <si>
    <t xml:space="preserve">FILTRO DE OLEO </t>
  </si>
  <si>
    <t xml:space="preserve">OLEO 20W50 </t>
  </si>
  <si>
    <t>JUNTA LATERAL MOTOR</t>
  </si>
  <si>
    <t xml:space="preserve">PASTILHAS DE FREIO </t>
  </si>
  <si>
    <t>CABO DE EMBREAGEM HONDA</t>
  </si>
  <si>
    <t>CAIXA ROLAMENTO HONDA</t>
  </si>
  <si>
    <t>BUCHA BALANÇA TITAN</t>
  </si>
  <si>
    <t>ANEL DA TAMPA DO TANQUE</t>
  </si>
  <si>
    <t>JOGO DE JUNTAS</t>
  </si>
  <si>
    <t>KIT VED GRN</t>
  </si>
  <si>
    <t>MANICOTO TITAN</t>
  </si>
  <si>
    <t xml:space="preserve">CABO ACELERADOR </t>
  </si>
  <si>
    <t xml:space="preserve">FILTRO DE COMBUSTIVEL </t>
  </si>
  <si>
    <t>CACHIMBO VELA TITAN</t>
  </si>
  <si>
    <t>RETENTOR EMBREAGEM</t>
  </si>
  <si>
    <t>FTK1214K</t>
  </si>
  <si>
    <t>FTK1212K</t>
  </si>
  <si>
    <t>Bandeja Frontier</t>
  </si>
  <si>
    <t>Venda Direta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</si>
</sst>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color rgb="FF000000"/>
      <name val="Arial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04">
    <xf numFmtId="49" fontId="0" fillId="0" borderId="0" xfId="0" applyNumberFormat="1" applyFont="1" applyAlignment="1"/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4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left"/>
    </xf>
    <xf numFmtId="1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9" fontId="2" fillId="0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49" fontId="0" fillId="6" borderId="1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/>
    </xf>
    <xf numFmtId="49" fontId="0" fillId="0" borderId="3" xfId="0" applyNumberFormat="1" applyFont="1" applyFill="1" applyBorder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49" fontId="4" fillId="5" borderId="3" xfId="0" applyNumberFormat="1" applyFont="1" applyFill="1" applyBorder="1" applyAlignment="1">
      <alignment horizontal="center" vertical="center" wrapText="1"/>
    </xf>
    <xf numFmtId="9" fontId="2" fillId="6" borderId="3" xfId="1" applyFont="1" applyFill="1" applyBorder="1" applyAlignment="1">
      <alignment horizontal="center"/>
    </xf>
    <xf numFmtId="9" fontId="2" fillId="0" borderId="3" xfId="1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/>
    </xf>
    <xf numFmtId="0" fontId="13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0" fontId="15" fillId="6" borderId="1" xfId="0" applyNumberFormat="1" applyFont="1" applyFill="1" applyBorder="1" applyAlignment="1">
      <alignment vertical="center"/>
    </xf>
    <xf numFmtId="0" fontId="15" fillId="0" borderId="1" xfId="0" applyNumberFormat="1" applyFont="1" applyFill="1" applyBorder="1" applyAlignment="1">
      <alignment horizontal="left" vertical="center"/>
    </xf>
    <xf numFmtId="0" fontId="15" fillId="0" borderId="1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1" fontId="15" fillId="0" borderId="1" xfId="0" applyNumberFormat="1" applyFont="1" applyFill="1" applyBorder="1" applyAlignment="1">
      <alignment horizontal="center"/>
    </xf>
    <xf numFmtId="164" fontId="15" fillId="0" borderId="1" xfId="0" applyNumberFormat="1" applyFont="1" applyFill="1" applyBorder="1" applyAlignment="1">
      <alignment horizontal="center"/>
    </xf>
    <xf numFmtId="49" fontId="15" fillId="0" borderId="1" xfId="0" applyNumberFormat="1" applyFont="1" applyFill="1" applyBorder="1" applyAlignment="1">
      <alignment horizontal="center"/>
    </xf>
    <xf numFmtId="0" fontId="15" fillId="6" borderId="1" xfId="0" applyNumberFormat="1" applyFont="1" applyFill="1" applyBorder="1" applyAlignment="1">
      <alignment horizontal="left" vertical="center"/>
    </xf>
    <xf numFmtId="0" fontId="15" fillId="6" borderId="1" xfId="0" applyNumberFormat="1" applyFont="1" applyFill="1" applyBorder="1" applyAlignment="1">
      <alignment horizontal="left"/>
    </xf>
    <xf numFmtId="0" fontId="15" fillId="6" borderId="1" xfId="0" applyNumberFormat="1" applyFont="1" applyFill="1" applyBorder="1" applyAlignment="1">
      <alignment horizontal="center"/>
    </xf>
    <xf numFmtId="49" fontId="15" fillId="6" borderId="1" xfId="0" applyNumberFormat="1" applyFont="1" applyFill="1" applyBorder="1" applyAlignment="1">
      <alignment horizontal="center"/>
    </xf>
    <xf numFmtId="1" fontId="15" fillId="6" borderId="1" xfId="0" applyNumberFormat="1" applyFont="1" applyFill="1" applyBorder="1" applyAlignment="1">
      <alignment horizontal="center"/>
    </xf>
    <xf numFmtId="164" fontId="15" fillId="6" borderId="1" xfId="0" applyNumberFormat="1" applyFont="1" applyFill="1" applyBorder="1" applyAlignment="1">
      <alignment horizontal="center"/>
    </xf>
    <xf numFmtId="0" fontId="16" fillId="6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 vertical="center"/>
    </xf>
    <xf numFmtId="0" fontId="17" fillId="0" borderId="1" xfId="0" applyNumberFormat="1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NumberFormat="1" applyFont="1" applyBorder="1" applyAlignment="1">
      <alignment horizontal="left"/>
    </xf>
    <xf numFmtId="0" fontId="15" fillId="0" borderId="1" xfId="0" applyFont="1" applyFill="1" applyBorder="1" applyAlignment="1" applyProtection="1">
      <alignment horizontal="left"/>
    </xf>
    <xf numFmtId="0" fontId="15" fillId="0" borderId="1" xfId="0" applyNumberFormat="1" applyFont="1" applyBorder="1"/>
    <xf numFmtId="49" fontId="16" fillId="0" borderId="1" xfId="0" applyNumberFormat="1" applyFont="1" applyFill="1" applyBorder="1" applyAlignment="1">
      <alignment horizontal="center"/>
    </xf>
    <xf numFmtId="1" fontId="16" fillId="0" borderId="1" xfId="0" applyNumberFormat="1" applyFont="1" applyFill="1" applyBorder="1" applyAlignment="1">
      <alignment horizontal="center"/>
    </xf>
    <xf numFmtId="164" fontId="16" fillId="0" borderId="1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16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0" xfId="0" applyNumberFormat="1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left" vertical="center"/>
    </xf>
    <xf numFmtId="0" fontId="13" fillId="2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/>
    </xf>
    <xf numFmtId="0" fontId="0" fillId="0" borderId="1" xfId="0" applyFill="1" applyBorder="1" applyAlignment="1" applyProtection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left"/>
    </xf>
    <xf numFmtId="0" fontId="0" fillId="0" borderId="0" xfId="0" applyFill="1" applyBorder="1" applyAlignment="1" applyProtection="1">
      <alignment horizontal="left"/>
    </xf>
    <xf numFmtId="1" fontId="16" fillId="0" borderId="0" xfId="0" applyNumberFormat="1" applyFont="1" applyFill="1" applyBorder="1" applyAlignment="1">
      <alignment horizontal="center"/>
    </xf>
    <xf numFmtId="1" fontId="15" fillId="0" borderId="0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/>
    </xf>
    <xf numFmtId="0" fontId="15" fillId="0" borderId="0" xfId="0" applyFont="1" applyBorder="1" applyAlignment="1">
      <alignment horizontal="left"/>
    </xf>
    <xf numFmtId="0" fontId="16" fillId="0" borderId="0" xfId="0" applyNumberFormat="1" applyFont="1" applyFill="1" applyBorder="1" applyAlignment="1">
      <alignment horizontal="left" vertical="center"/>
    </xf>
    <xf numFmtId="0" fontId="15" fillId="0" borderId="0" xfId="0" applyNumberFormat="1" applyFont="1" applyFill="1" applyBorder="1" applyAlignment="1">
      <alignment horizontal="left"/>
    </xf>
    <xf numFmtId="0" fontId="17" fillId="0" borderId="0" xfId="0" applyNumberFormat="1" applyFont="1" applyFill="1" applyBorder="1" applyAlignment="1">
      <alignment horizontal="left"/>
    </xf>
    <xf numFmtId="0" fontId="15" fillId="0" borderId="0" xfId="0" applyNumberFormat="1" applyFont="1" applyFill="1" applyBorder="1" applyAlignment="1">
      <alignment horizontal="center"/>
    </xf>
    <xf numFmtId="49" fontId="15" fillId="0" borderId="0" xfId="0" applyNumberFormat="1" applyFont="1" applyFill="1" applyBorder="1" applyAlignment="1">
      <alignment horizontal="center"/>
    </xf>
    <xf numFmtId="164" fontId="15" fillId="0" borderId="0" xfId="0" applyNumberFormat="1" applyFont="1" applyFill="1" applyBorder="1" applyAlignment="1">
      <alignment horizontal="center"/>
    </xf>
    <xf numFmtId="0" fontId="16" fillId="0" borderId="0" xfId="0" applyNumberFormat="1" applyFont="1" applyFill="1" applyBorder="1" applyAlignment="1">
      <alignment horizontal="left"/>
    </xf>
    <xf numFmtId="0" fontId="16" fillId="0" borderId="0" xfId="0" applyNumberFormat="1" applyFont="1" applyFill="1" applyBorder="1" applyAlignment="1">
      <alignment horizontal="center"/>
    </xf>
    <xf numFmtId="49" fontId="16" fillId="0" borderId="0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64" fontId="16" fillId="0" borderId="0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Porcentagem" xfId="1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nrique/Documents/Vendas/2024/Setembro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nrique/Documents/Trust%20Parts/CMV%20mercadoria%20GER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nrique/Documents/Trust%20Parts/CMV%20mercadoria%20MERCADO%20LIVRE%20TRUST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nrique/Documents/Mercado%20Livre/Relat&#243;rios%20de%20vendas/GERAL/2024/JUNHO%202024%20-%20GERAL%20-%20Copi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nrique/Documents/Vendas/2023/Relat&#243;rio%20de%20vendas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Resumo"/>
      <sheetName val="Tab Dinâmica"/>
      <sheetName val="Tab Dinâmica (2)"/>
      <sheetName val="RESUMO GERAL"/>
      <sheetName val="KIT"/>
      <sheetName val="SIIMPL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SKU</v>
          </cell>
          <cell r="B2" t="str">
            <v>TIPO</v>
          </cell>
          <cell r="C2" t="str">
            <v>CATEGORIA</v>
          </cell>
          <cell r="D2" t="str">
            <v>FORNECEDOR</v>
          </cell>
          <cell r="E2" t="str">
            <v>DESCRIÇÃO</v>
          </cell>
          <cell r="F2" t="str">
            <v>QUANT
VENDas</v>
          </cell>
        </row>
        <row r="3">
          <cell r="A3">
            <v>77350</v>
          </cell>
          <cell r="B3" t="str">
            <v>SIMPLES</v>
          </cell>
          <cell r="C3" t="str">
            <v>Cabo Câmbio</v>
          </cell>
          <cell r="D3" t="str">
            <v>Importação</v>
          </cell>
          <cell r="E3" t="str">
            <v>Cabo De Trambulador Corsa Classic 2005/2014</v>
          </cell>
          <cell r="F3">
            <v>285</v>
          </cell>
        </row>
        <row r="4">
          <cell r="A4" t="str">
            <v>PF005</v>
          </cell>
          <cell r="B4" t="str">
            <v>SIMPLES</v>
          </cell>
          <cell r="C4" t="str">
            <v>Rolamento Eixo</v>
          </cell>
          <cell r="D4" t="str">
            <v>Importação</v>
          </cell>
          <cell r="E4" t="str">
            <v>Reparo Traseiro Rolamento Blindado Palio Weekend Marea Brava</v>
          </cell>
          <cell r="F4">
            <v>602</v>
          </cell>
        </row>
        <row r="5">
          <cell r="A5">
            <v>77354</v>
          </cell>
          <cell r="B5" t="str">
            <v>SIMPLES</v>
          </cell>
          <cell r="C5" t="str">
            <v>Cabo Câmbio</v>
          </cell>
          <cell r="D5" t="str">
            <v>Importação</v>
          </cell>
          <cell r="E5" t="str">
            <v>Cabo De Engate E Seleção Montana 2011 2012 2013 2014 Novo</v>
          </cell>
          <cell r="F5">
            <v>73</v>
          </cell>
        </row>
        <row r="6">
          <cell r="A6">
            <v>332052</v>
          </cell>
          <cell r="B6" t="str">
            <v>SIMPLES</v>
          </cell>
          <cell r="C6" t="str">
            <v>Bandeja</v>
          </cell>
          <cell r="D6" t="str">
            <v>SPARE</v>
          </cell>
          <cell r="E6" t="str">
            <v>Morceguinho Dianteiro Classic Lado Direito 2004 A 2015</v>
          </cell>
          <cell r="F6">
            <v>628</v>
          </cell>
        </row>
        <row r="7">
          <cell r="A7">
            <v>332053</v>
          </cell>
          <cell r="B7" t="str">
            <v>SIMPLES</v>
          </cell>
          <cell r="C7" t="str">
            <v>Bandeja</v>
          </cell>
          <cell r="D7" t="str">
            <v>SPARE</v>
          </cell>
          <cell r="E7" t="str">
            <v>Morceguinho Dianteiro Classic Lado Esquerdo 2004 A 2015</v>
          </cell>
          <cell r="F7">
            <v>537</v>
          </cell>
        </row>
        <row r="8">
          <cell r="A8">
            <v>10107</v>
          </cell>
          <cell r="B8" t="str">
            <v>SIMPLES</v>
          </cell>
          <cell r="C8" t="str">
            <v>Bomba Combustível</v>
          </cell>
          <cell r="D8" t="str">
            <v>POLO</v>
          </cell>
          <cell r="E8" t="str">
            <v>Kit Bomba Combustível Gasolina Sistema Bosch Verona 94 A 96</v>
          </cell>
          <cell r="F8">
            <v>77</v>
          </cell>
        </row>
        <row r="9">
          <cell r="A9">
            <v>552001</v>
          </cell>
          <cell r="B9" t="str">
            <v>SIMPLES</v>
          </cell>
          <cell r="C9" t="str">
            <v>Bandeja</v>
          </cell>
          <cell r="D9" t="str">
            <v>SPARE</v>
          </cell>
          <cell r="E9" t="str">
            <v>Bandeja Lado Esquerdo Peugeot 206 Todos 1999 A 2010 C Pivô</v>
          </cell>
          <cell r="F9">
            <v>43</v>
          </cell>
        </row>
        <row r="10">
          <cell r="A10">
            <v>552002</v>
          </cell>
          <cell r="B10" t="str">
            <v>SIMPLES</v>
          </cell>
          <cell r="C10" t="str">
            <v>Bandeja</v>
          </cell>
          <cell r="D10" t="str">
            <v>SPARE</v>
          </cell>
          <cell r="E10" t="str">
            <v>Bandeja Ld Peugeot 207 Exceto Escapade 2008 Em Diante C Pivô</v>
          </cell>
          <cell r="F10">
            <v>40</v>
          </cell>
        </row>
        <row r="11">
          <cell r="A11">
            <v>332042</v>
          </cell>
          <cell r="B11" t="str">
            <v>SIMPLES</v>
          </cell>
          <cell r="C11" t="str">
            <v>Bandeja</v>
          </cell>
          <cell r="D11" t="str">
            <v>SPARE</v>
          </cell>
          <cell r="E11" t="str">
            <v>Morceguinho Lado Direito Corsa 1994 A 1998</v>
          </cell>
          <cell r="F11">
            <v>169</v>
          </cell>
        </row>
        <row r="12">
          <cell r="A12">
            <v>225051</v>
          </cell>
          <cell r="B12" t="str">
            <v>SIMPLES</v>
          </cell>
          <cell r="C12" t="str">
            <v>Cabo Câmbio</v>
          </cell>
          <cell r="D12" t="str">
            <v>Importação</v>
          </cell>
          <cell r="E12" t="str">
            <v>Cabo De Marcha Hyundai Hr 2005 A 2012</v>
          </cell>
          <cell r="F12">
            <v>17</v>
          </cell>
        </row>
        <row r="13">
          <cell r="A13">
            <v>332043</v>
          </cell>
          <cell r="B13" t="str">
            <v>SIMPLES</v>
          </cell>
          <cell r="C13" t="str">
            <v>Bandeja</v>
          </cell>
          <cell r="D13" t="str">
            <v>SPARE</v>
          </cell>
          <cell r="E13" t="str">
            <v>Morceguinho Lado Esquerdo Corsa 1994 A 1998</v>
          </cell>
          <cell r="F13">
            <v>149</v>
          </cell>
        </row>
        <row r="14">
          <cell r="A14">
            <v>112005</v>
          </cell>
          <cell r="B14" t="str">
            <v>SIMPLES</v>
          </cell>
          <cell r="C14" t="str">
            <v>Bandeja</v>
          </cell>
          <cell r="D14" t="str">
            <v>SPARE</v>
          </cell>
          <cell r="E14" t="str">
            <v>Bracinho Oscilante Com Pivô Uno 2002 A 2011</v>
          </cell>
          <cell r="F14">
            <v>82</v>
          </cell>
        </row>
        <row r="15">
          <cell r="A15">
            <v>77365</v>
          </cell>
          <cell r="B15" t="str">
            <v>SIMPLES</v>
          </cell>
          <cell r="C15" t="str">
            <v>Cabo Câmbio</v>
          </cell>
          <cell r="D15" t="str">
            <v>Importação</v>
          </cell>
          <cell r="E15" t="str">
            <v>Cabo Do Trambulador Onix 2012 A 2014</v>
          </cell>
          <cell r="F15">
            <v>13</v>
          </cell>
        </row>
        <row r="16">
          <cell r="A16">
            <v>300621</v>
          </cell>
          <cell r="B16" t="str">
            <v>SIMPLES</v>
          </cell>
          <cell r="C16" t="str">
            <v>ÓLEO MOTOR</v>
          </cell>
          <cell r="D16" t="str">
            <v>SAKAMOTO</v>
          </cell>
          <cell r="E16" t="str">
            <v>OLEO DE MOBIL 10W30</v>
          </cell>
          <cell r="F16">
            <v>75</v>
          </cell>
        </row>
        <row r="17">
          <cell r="A17">
            <v>2316</v>
          </cell>
          <cell r="B17" t="str">
            <v>SIMPLES</v>
          </cell>
          <cell r="C17" t="str">
            <v>Reparo alavanta Câmbio</v>
          </cell>
          <cell r="D17" t="str">
            <v>LT CORREA</v>
          </cell>
          <cell r="E17" t="str">
            <v>Kit Reparo Alavanca Câmbio Trambulador Vectra 2006 Até 2011</v>
          </cell>
          <cell r="F17">
            <v>39</v>
          </cell>
        </row>
        <row r="18">
          <cell r="A18" t="str">
            <v>20W50-M</v>
          </cell>
          <cell r="B18" t="str">
            <v>SIMPLES</v>
          </cell>
          <cell r="C18" t="str">
            <v>Óleo</v>
          </cell>
          <cell r="D18">
            <v>0</v>
          </cell>
          <cell r="E18">
            <v>0</v>
          </cell>
          <cell r="F18">
            <v>168</v>
          </cell>
        </row>
        <row r="19">
          <cell r="A19">
            <v>110907</v>
          </cell>
          <cell r="B19" t="str">
            <v>SIMPLES</v>
          </cell>
          <cell r="C19" t="str">
            <v>Cabo de Câmbio</v>
          </cell>
          <cell r="D19" t="str">
            <v>Importação</v>
          </cell>
          <cell r="E19" t="str">
            <v>Cabo De Câmbio Mercedes Benz 1720 2765mm</v>
          </cell>
          <cell r="F19">
            <v>13</v>
          </cell>
        </row>
        <row r="20">
          <cell r="A20">
            <v>300620</v>
          </cell>
          <cell r="B20" t="str">
            <v>SIMPLES</v>
          </cell>
          <cell r="C20" t="str">
            <v>ÓLEO MOTOR</v>
          </cell>
          <cell r="D20" t="str">
            <v>SAKAMOTO</v>
          </cell>
          <cell r="E20" t="str">
            <v>OLEO DE MOBIL</v>
          </cell>
          <cell r="F20">
            <v>74</v>
          </cell>
        </row>
        <row r="21">
          <cell r="A21">
            <v>442055</v>
          </cell>
          <cell r="B21" t="str">
            <v>SIMPLES</v>
          </cell>
          <cell r="C21" t="str">
            <v>Bandeja</v>
          </cell>
          <cell r="D21" t="str">
            <v>SPARE</v>
          </cell>
          <cell r="E21" t="str">
            <v>Bandeja Dianteira Ambos Lados Gol 1993 A 2014 Exceto G5</v>
          </cell>
          <cell r="F21">
            <v>58</v>
          </cell>
        </row>
        <row r="22">
          <cell r="A22" t="str">
            <v>LT5609</v>
          </cell>
          <cell r="B22" t="str">
            <v>SIMPLES</v>
          </cell>
          <cell r="C22" t="str">
            <v>Reparo alavanta Câmbio</v>
          </cell>
          <cell r="D22" t="str">
            <v>LT CORREA</v>
          </cell>
          <cell r="E22" t="str">
            <v>Kit Reparo Terminal Cabo Engate Seleção Nissan Versa</v>
          </cell>
          <cell r="F22">
            <v>37</v>
          </cell>
        </row>
        <row r="23">
          <cell r="A23">
            <v>662052</v>
          </cell>
          <cell r="B23" t="str">
            <v>SIMPLES</v>
          </cell>
          <cell r="C23" t="str">
            <v>Bandeja</v>
          </cell>
          <cell r="D23" t="str">
            <v>SPARE</v>
          </cell>
          <cell r="E23" t="str">
            <v>Bandeja Com Pivô Direita Sandero 2006 Em Diante</v>
          </cell>
          <cell r="F23">
            <v>13</v>
          </cell>
        </row>
        <row r="24">
          <cell r="A24">
            <v>222104</v>
          </cell>
          <cell r="B24" t="str">
            <v>SIMPLES</v>
          </cell>
          <cell r="C24" t="str">
            <v>Bandeja</v>
          </cell>
          <cell r="D24" t="str">
            <v>SPARE</v>
          </cell>
          <cell r="E24" t="str">
            <v>Bandeja Fiesta 2008 A 2014 Lado Direito Com pivô</v>
          </cell>
          <cell r="F24">
            <v>8</v>
          </cell>
        </row>
        <row r="25">
          <cell r="A25" t="str">
            <v>LT5526</v>
          </cell>
          <cell r="B25" t="str">
            <v>SIMPLES</v>
          </cell>
          <cell r="C25" t="str">
            <v>Reparo alavanta Câmbio</v>
          </cell>
          <cell r="D25" t="str">
            <v>LT CORREA</v>
          </cell>
          <cell r="E25" t="str">
            <v>Kit Reparo Completo Alavanca Câmbio Golf 2005 Em Diante</v>
          </cell>
          <cell r="F25">
            <v>20</v>
          </cell>
        </row>
        <row r="26">
          <cell r="A26">
            <v>14104</v>
          </cell>
          <cell r="B26" t="str">
            <v>SIMPLES</v>
          </cell>
          <cell r="C26" t="str">
            <v>Pino de Freio</v>
          </cell>
          <cell r="D26" t="str">
            <v>MultiKit</v>
          </cell>
          <cell r="E26" t="str">
            <v xml:space="preserve">Kit Pino Guia Bucha Pinça Freio Vw Crossfox Fox Gol Saveiro </v>
          </cell>
          <cell r="F26">
            <v>41</v>
          </cell>
        </row>
        <row r="27">
          <cell r="A27">
            <v>332063</v>
          </cell>
          <cell r="B27" t="str">
            <v>SIMPLES</v>
          </cell>
          <cell r="C27" t="str">
            <v>BANDEJA</v>
          </cell>
          <cell r="D27" t="str">
            <v>SPARE</v>
          </cell>
          <cell r="E27" t="str">
            <v>BANDEJA INFERIOR ESQUERDA MONTANA 2003 A 2012</v>
          </cell>
          <cell r="F27">
            <v>8</v>
          </cell>
        </row>
        <row r="28">
          <cell r="A28" t="str">
            <v>44911/12</v>
          </cell>
          <cell r="B28" t="str">
            <v>SIMPLES</v>
          </cell>
          <cell r="C28" t="str">
            <v>Cabo Câmbio</v>
          </cell>
          <cell r="D28" t="str">
            <v>Importação</v>
          </cell>
          <cell r="E28" t="str">
            <v>Cabo De Marcha Gm Astra Zafira 2008</v>
          </cell>
          <cell r="F28">
            <v>5</v>
          </cell>
        </row>
        <row r="29">
          <cell r="A29">
            <v>112058</v>
          </cell>
          <cell r="B29" t="str">
            <v>SIMPLES</v>
          </cell>
          <cell r="C29" t="str">
            <v>Bandeja</v>
          </cell>
          <cell r="D29" t="str">
            <v>SPARE</v>
          </cell>
          <cell r="E29" t="str">
            <v>Bandeja Com Pivô Direita Com Pivô Idea Elx 2005 A 2016</v>
          </cell>
          <cell r="F29">
            <v>8</v>
          </cell>
        </row>
        <row r="30">
          <cell r="A30">
            <v>112059</v>
          </cell>
          <cell r="B30" t="str">
            <v>SIMPLES</v>
          </cell>
          <cell r="C30" t="str">
            <v>Bandeja</v>
          </cell>
          <cell r="D30" t="str">
            <v>SPARE</v>
          </cell>
          <cell r="E30" t="str">
            <v>Bandeja Inferior Esquerda Com Pivô Strada 2005 A 2008</v>
          </cell>
          <cell r="F30">
            <v>8</v>
          </cell>
        </row>
        <row r="31">
          <cell r="A31">
            <v>5554</v>
          </cell>
          <cell r="B31" t="str">
            <v>SIMPLES</v>
          </cell>
          <cell r="C31" t="str">
            <v>Terminal Cabo Câmbio</v>
          </cell>
          <cell r="D31" t="str">
            <v>Importação / LT CORREA</v>
          </cell>
          <cell r="E31" t="str">
            <v>Terminal Cabo De Engate Audi A3 2003</v>
          </cell>
          <cell r="F31">
            <v>35</v>
          </cell>
        </row>
        <row r="32">
          <cell r="A32">
            <v>662053</v>
          </cell>
          <cell r="B32" t="str">
            <v>SIMPLES</v>
          </cell>
          <cell r="C32" t="str">
            <v>Bandeja</v>
          </cell>
          <cell r="D32" t="str">
            <v>SPARE</v>
          </cell>
          <cell r="E32" t="str">
            <v>Bandeja Com Pivô Esquerda Logan 2004 Em Diante</v>
          </cell>
          <cell r="F32">
            <v>9</v>
          </cell>
        </row>
        <row r="33">
          <cell r="A33">
            <v>332064</v>
          </cell>
          <cell r="B33" t="str">
            <v>SIMPLES</v>
          </cell>
          <cell r="C33" t="str">
            <v>BANDEJA</v>
          </cell>
          <cell r="D33" t="str">
            <v>Importação</v>
          </cell>
          <cell r="E33" t="str">
            <v>CORSA MONTANA COM PIVO DIREITO</v>
          </cell>
          <cell r="F33">
            <v>7</v>
          </cell>
        </row>
        <row r="34">
          <cell r="A34">
            <v>66606</v>
          </cell>
          <cell r="B34" t="str">
            <v>SIMPLES</v>
          </cell>
          <cell r="C34" t="str">
            <v>Cabo Câmbio</v>
          </cell>
          <cell r="D34" t="str">
            <v>Importação</v>
          </cell>
          <cell r="E34" t="str">
            <v>Cabo De Câmbio Engate Linea 2009 A 2014</v>
          </cell>
          <cell r="F34">
            <v>6</v>
          </cell>
        </row>
        <row r="35">
          <cell r="A35">
            <v>662046</v>
          </cell>
          <cell r="B35" t="str">
            <v>SIMPLES</v>
          </cell>
          <cell r="C35" t="str">
            <v>Bandeja</v>
          </cell>
          <cell r="D35" t="str">
            <v>SPARE</v>
          </cell>
          <cell r="E35" t="str">
            <v>Bandeja Dianteira Direita Com Pivô Sandero 2014 A 2019</v>
          </cell>
          <cell r="F35">
            <v>9</v>
          </cell>
        </row>
        <row r="36">
          <cell r="A36">
            <v>112052</v>
          </cell>
          <cell r="B36" t="str">
            <v>SIMPLES</v>
          </cell>
          <cell r="C36" t="str">
            <v>Bandeja</v>
          </cell>
          <cell r="D36" t="str">
            <v>SPARE</v>
          </cell>
          <cell r="E36" t="str">
            <v>Bandeja Direita Sem Pivô Palio Weekend 2005 A 2019</v>
          </cell>
          <cell r="F36">
            <v>13</v>
          </cell>
        </row>
        <row r="37">
          <cell r="A37" t="str">
            <v>RT008</v>
          </cell>
          <cell r="B37" t="str">
            <v>SIMPLES</v>
          </cell>
          <cell r="C37" t="str">
            <v>Kit Relação moto</v>
          </cell>
          <cell r="D37" t="str">
            <v>POLO</v>
          </cell>
          <cell r="E37" t="str">
            <v>KIT RELAÇÃO HONDA 160</v>
          </cell>
          <cell r="F37">
            <v>21</v>
          </cell>
        </row>
        <row r="38">
          <cell r="A38">
            <v>112056</v>
          </cell>
          <cell r="B38" t="str">
            <v>SIMPLES</v>
          </cell>
          <cell r="C38" t="str">
            <v>Bandeja</v>
          </cell>
          <cell r="D38" t="str">
            <v>SPARE</v>
          </cell>
          <cell r="E38" t="str">
            <v>Bandeja Direita Sem Pivô Idea Hlx 2005 A 2016 Motor 1.8</v>
          </cell>
          <cell r="F38">
            <v>10</v>
          </cell>
        </row>
        <row r="39">
          <cell r="A39" t="str">
            <v>PG001</v>
          </cell>
          <cell r="B39" t="str">
            <v>SIMPLES</v>
          </cell>
          <cell r="C39" t="str">
            <v>Rolamento Eixo</v>
          </cell>
          <cell r="D39" t="str">
            <v>Importação</v>
          </cell>
          <cell r="E39" t="str">
            <v>Reparo Rolamento Eixo Traseiro Pegeout 207 47mm 2008 A 2010</v>
          </cell>
          <cell r="F39">
            <v>22</v>
          </cell>
        </row>
        <row r="40">
          <cell r="A40">
            <v>332056</v>
          </cell>
          <cell r="B40" t="str">
            <v>SIMPLES</v>
          </cell>
          <cell r="C40" t="str">
            <v>Bandeja</v>
          </cell>
          <cell r="D40" t="str">
            <v>SPARE</v>
          </cell>
          <cell r="E40" t="str">
            <v>Morceguinho Dianteira Direita Agile 2010 A 2014</v>
          </cell>
          <cell r="F40">
            <v>51</v>
          </cell>
        </row>
        <row r="41">
          <cell r="A41">
            <v>332057</v>
          </cell>
          <cell r="B41" t="str">
            <v>SIMPLES</v>
          </cell>
          <cell r="C41" t="str">
            <v>Bandeja</v>
          </cell>
          <cell r="D41" t="str">
            <v>SPARE</v>
          </cell>
          <cell r="E41" t="str">
            <v>Morceguinho Dianteiro Esquerdo Montana 2011 A 2016</v>
          </cell>
          <cell r="F41">
            <v>51</v>
          </cell>
        </row>
        <row r="42">
          <cell r="A42">
            <v>222053</v>
          </cell>
          <cell r="B42" t="str">
            <v>SIMPLES</v>
          </cell>
          <cell r="C42" t="str">
            <v>Bandeja</v>
          </cell>
          <cell r="D42" t="str">
            <v>SPARE</v>
          </cell>
          <cell r="E42" t="str">
            <v>Bandeja Dianteira Direita Com Pivô Ecosport 2003 A 2011</v>
          </cell>
          <cell r="F42">
            <v>5</v>
          </cell>
        </row>
        <row r="43">
          <cell r="A43">
            <v>222054</v>
          </cell>
          <cell r="B43" t="str">
            <v>SIMPLES</v>
          </cell>
          <cell r="C43" t="str">
            <v>Bandeja</v>
          </cell>
          <cell r="D43" t="str">
            <v>SPARE</v>
          </cell>
          <cell r="E43" t="str">
            <v>Bandeja Dianteira Esquerda Com Pivô Fiesta 2003 A 2009</v>
          </cell>
          <cell r="F43">
            <v>5</v>
          </cell>
        </row>
        <row r="44">
          <cell r="A44">
            <v>112053</v>
          </cell>
          <cell r="B44" t="str">
            <v>SIMPLES</v>
          </cell>
          <cell r="C44" t="str">
            <v>Bandeja</v>
          </cell>
          <cell r="D44" t="str">
            <v>SPARE</v>
          </cell>
          <cell r="E44" t="str">
            <v>Bandeja Esquerda Sem Pivô Idea Elx 2005 A 2016 Motor 1.4</v>
          </cell>
          <cell r="F44">
            <v>12</v>
          </cell>
        </row>
        <row r="45">
          <cell r="A45">
            <v>442093</v>
          </cell>
          <cell r="B45" t="str">
            <v>SIMPLES</v>
          </cell>
          <cell r="C45" t="str">
            <v>Bandeja</v>
          </cell>
          <cell r="D45" t="str">
            <v>SPARE</v>
          </cell>
          <cell r="E45" t="str">
            <v>Bandeja Le Voyage G5 2008 Em Diante Com Direção Hidraulica</v>
          </cell>
          <cell r="F45">
            <v>8</v>
          </cell>
        </row>
        <row r="46">
          <cell r="A46">
            <v>552031</v>
          </cell>
          <cell r="B46" t="str">
            <v>SIMPLES</v>
          </cell>
          <cell r="C46" t="str">
            <v>Bandeja</v>
          </cell>
          <cell r="D46" t="str">
            <v>SPARE</v>
          </cell>
          <cell r="E46" t="str">
            <v>Bandeja Inferior Direito Berlingo 1999 Em Diante</v>
          </cell>
          <cell r="F46">
            <v>6</v>
          </cell>
        </row>
        <row r="47">
          <cell r="A47">
            <v>442092</v>
          </cell>
          <cell r="B47" t="str">
            <v>SIMPLES</v>
          </cell>
          <cell r="C47" t="str">
            <v>Bandeja</v>
          </cell>
          <cell r="D47" t="str">
            <v>SPARE</v>
          </cell>
          <cell r="E47" t="str">
            <v>Bandeja Ld Voyage G5 2008 Em Diante Com Direção Hidraulica</v>
          </cell>
          <cell r="F47">
            <v>8</v>
          </cell>
        </row>
        <row r="48">
          <cell r="A48">
            <v>2374</v>
          </cell>
          <cell r="B48" t="str">
            <v>SIMPLES</v>
          </cell>
          <cell r="C48" t="str">
            <v>Suporte Radiador</v>
          </cell>
          <cell r="D48" t="str">
            <v>LT CORREA</v>
          </cell>
          <cell r="E48" t="str">
            <v>Kit Suporte Coxim Superior Do Radiador Cobalt 2012 Em Diante</v>
          </cell>
          <cell r="F48">
            <v>36</v>
          </cell>
        </row>
        <row r="49">
          <cell r="A49">
            <v>112010</v>
          </cell>
          <cell r="B49" t="str">
            <v>SIMPLES</v>
          </cell>
          <cell r="C49" t="str">
            <v>Bandeja</v>
          </cell>
          <cell r="D49" t="str">
            <v>SPARE</v>
          </cell>
          <cell r="E49" t="str">
            <v>Bandeja Inferior Direito Fiat Tempra Sw</v>
          </cell>
          <cell r="F49">
            <v>6</v>
          </cell>
        </row>
        <row r="50">
          <cell r="A50">
            <v>332092</v>
          </cell>
          <cell r="B50" t="str">
            <v>SIMPLES</v>
          </cell>
          <cell r="C50" t="str">
            <v>Bandeja</v>
          </cell>
          <cell r="D50" t="str">
            <v>SPARE</v>
          </cell>
          <cell r="E50" t="str">
            <v>Bandeja Direita Com Pivô Cobalt 2013 Em Diante</v>
          </cell>
          <cell r="F50">
            <v>4</v>
          </cell>
        </row>
        <row r="51">
          <cell r="A51">
            <v>227203</v>
          </cell>
          <cell r="B51" t="str">
            <v>SIMPLES</v>
          </cell>
          <cell r="C51" t="str">
            <v>Cabo Embreagem</v>
          </cell>
          <cell r="D51" t="str">
            <v>Importação</v>
          </cell>
          <cell r="E51" t="str">
            <v>Cabo De Embreagem Peugeot 206 Até 03 1.1 1.3 1.6 Reg Manual</v>
          </cell>
          <cell r="F51">
            <v>11</v>
          </cell>
        </row>
        <row r="52">
          <cell r="A52">
            <v>66611</v>
          </cell>
          <cell r="B52" t="str">
            <v>SIMPLES</v>
          </cell>
          <cell r="C52" t="str">
            <v>Cabo Câmbio</v>
          </cell>
          <cell r="D52" t="str">
            <v>Importação</v>
          </cell>
          <cell r="E52" t="str">
            <v>Cabo De Seleção Siena 1.5 1.6 1998 A 2001</v>
          </cell>
          <cell r="F52">
            <v>5</v>
          </cell>
        </row>
        <row r="53">
          <cell r="A53">
            <v>55142</v>
          </cell>
          <cell r="B53" t="str">
            <v>SIMPLES</v>
          </cell>
          <cell r="C53" t="str">
            <v>Cabo de Freio</v>
          </cell>
          <cell r="D53" t="str">
            <v>MundiFlex</v>
          </cell>
          <cell r="E53" t="str">
            <v>Cabo De Freio Gol G2 Todos Traseiro 1994 A 2002</v>
          </cell>
          <cell r="F53">
            <v>12</v>
          </cell>
        </row>
        <row r="54">
          <cell r="A54">
            <v>112011</v>
          </cell>
          <cell r="B54" t="str">
            <v>SIMPLES</v>
          </cell>
          <cell r="C54" t="str">
            <v>Bandeja</v>
          </cell>
          <cell r="D54" t="str">
            <v>SPARE</v>
          </cell>
          <cell r="E54" t="str">
            <v>Bandeja Inferior Esquerda Fiat Tempra Sw 1995 A 2003</v>
          </cell>
          <cell r="F54">
            <v>5</v>
          </cell>
        </row>
        <row r="55">
          <cell r="A55">
            <v>552032</v>
          </cell>
          <cell r="B55" t="str">
            <v>SIMPLES</v>
          </cell>
          <cell r="C55" t="str">
            <v>Bandeja</v>
          </cell>
          <cell r="D55" t="str">
            <v>SPARE</v>
          </cell>
          <cell r="E55" t="str">
            <v>Bandeja Inferior Direita Com Pivô Citroen C3 2013 A 2022</v>
          </cell>
          <cell r="F55">
            <v>9</v>
          </cell>
        </row>
        <row r="56">
          <cell r="A56">
            <v>112102</v>
          </cell>
          <cell r="B56" t="str">
            <v>SIMPLES</v>
          </cell>
          <cell r="C56" t="str">
            <v>Bandeja</v>
          </cell>
          <cell r="D56" t="str">
            <v>SPARE</v>
          </cell>
          <cell r="E56" t="str">
            <v>Bandeja Dianteira Direita Com Pivô Fiat Punto 2006 A 2014</v>
          </cell>
          <cell r="F56">
            <v>4</v>
          </cell>
        </row>
        <row r="57">
          <cell r="A57">
            <v>442095</v>
          </cell>
          <cell r="B57" t="str">
            <v>SIMPLES</v>
          </cell>
          <cell r="C57" t="str">
            <v>Bandeja</v>
          </cell>
          <cell r="D57" t="str">
            <v>SPARE</v>
          </cell>
          <cell r="E57" t="str">
            <v>Bandeja Inferior Ambos Os Lados Crossfox  2005 Á 2013</v>
          </cell>
          <cell r="F57">
            <v>7</v>
          </cell>
        </row>
        <row r="58">
          <cell r="A58" t="str">
            <v>FTK-T325/T</v>
          </cell>
          <cell r="B58" t="str">
            <v>SIMPLES</v>
          </cell>
          <cell r="C58" t="str">
            <v>Reparo alavanta Câmbio</v>
          </cell>
          <cell r="D58" t="str">
            <v>CAMARG</v>
          </cell>
          <cell r="E58" t="str">
            <v>Trambulador Do Câmbio Completo Gol Quadrado 5 Marchas</v>
          </cell>
          <cell r="F58">
            <v>7</v>
          </cell>
        </row>
        <row r="59">
          <cell r="A59">
            <v>142401</v>
          </cell>
          <cell r="B59" t="str">
            <v>SIMPLES</v>
          </cell>
          <cell r="C59" t="str">
            <v>ÓLEO MOTOR</v>
          </cell>
          <cell r="D59" t="str">
            <v>Outros</v>
          </cell>
          <cell r="E59" t="str">
            <v>OLEO SB 5W30 CARRO</v>
          </cell>
          <cell r="F59">
            <v>48</v>
          </cell>
        </row>
        <row r="60">
          <cell r="A60">
            <v>112012</v>
          </cell>
          <cell r="B60" t="str">
            <v>SIMPLES</v>
          </cell>
          <cell r="C60" t="str">
            <v>Bandeja</v>
          </cell>
          <cell r="D60" t="str">
            <v>SPARE</v>
          </cell>
          <cell r="E60" t="str">
            <v>Bandeja Inferior Direito Fiat Coupe</v>
          </cell>
          <cell r="F60">
            <v>5</v>
          </cell>
        </row>
        <row r="61">
          <cell r="A61">
            <v>112022</v>
          </cell>
          <cell r="B61" t="str">
            <v>SIMPLES</v>
          </cell>
          <cell r="C61" t="str">
            <v>Bandeja</v>
          </cell>
          <cell r="D61" t="str">
            <v>SPARE</v>
          </cell>
          <cell r="E61" t="str">
            <v>Bandeja  Direita Palio 1996 Á 2001 Sem Pivô</v>
          </cell>
          <cell r="F61">
            <v>8</v>
          </cell>
        </row>
        <row r="62">
          <cell r="A62">
            <v>222105</v>
          </cell>
          <cell r="B62" t="str">
            <v>SIMPLES</v>
          </cell>
          <cell r="C62" t="str">
            <v>Bandeja</v>
          </cell>
          <cell r="D62" t="str">
            <v>SPARE</v>
          </cell>
          <cell r="E62" t="str">
            <v>Bandeja Fiesta 2008 A 2014 Lado Esquerdo Com pivô</v>
          </cell>
          <cell r="F62">
            <v>4</v>
          </cell>
        </row>
        <row r="63">
          <cell r="A63">
            <v>2327</v>
          </cell>
          <cell r="B63" t="str">
            <v>SIMPLES</v>
          </cell>
          <cell r="C63" t="str">
            <v>Reparo alavanta Câmbio</v>
          </cell>
          <cell r="D63" t="str">
            <v>LT CORREA</v>
          </cell>
          <cell r="E63" t="str">
            <v>Kit Reparo Bucha Alavanca Câmbio Varão Corsa</v>
          </cell>
          <cell r="F63">
            <v>19</v>
          </cell>
        </row>
        <row r="64">
          <cell r="A64">
            <v>772102</v>
          </cell>
          <cell r="B64" t="str">
            <v>SIMPLES</v>
          </cell>
          <cell r="C64" t="str">
            <v>Bandeja</v>
          </cell>
          <cell r="D64" t="str">
            <v>SPARE</v>
          </cell>
          <cell r="E64" t="str">
            <v>Bandeja Com Pivô Lado Esquerdo Nissan March 2011 Em Diante</v>
          </cell>
          <cell r="F64">
            <v>8</v>
          </cell>
        </row>
        <row r="65">
          <cell r="A65">
            <v>66640</v>
          </cell>
          <cell r="B65" t="str">
            <v>SIMPLES</v>
          </cell>
          <cell r="C65" t="str">
            <v>Cabo Câmbio</v>
          </cell>
          <cell r="D65" t="str">
            <v>Importação</v>
          </cell>
          <cell r="E65" t="str">
            <v>Cabo Do Trambulador Engate Palio Weekend G2 G3 2003 A 2008</v>
          </cell>
          <cell r="F65">
            <v>5</v>
          </cell>
        </row>
        <row r="66">
          <cell r="A66">
            <v>332065</v>
          </cell>
          <cell r="B66" t="str">
            <v>SIMPLES</v>
          </cell>
          <cell r="C66" t="str">
            <v>Bandeja</v>
          </cell>
          <cell r="D66" t="str">
            <v>SPARE</v>
          </cell>
          <cell r="E66" t="str">
            <v>Bandeja Inferior Esquerda Sem Pivô Montana 2003 A 2010</v>
          </cell>
          <cell r="F66">
            <v>7</v>
          </cell>
        </row>
        <row r="67">
          <cell r="A67">
            <v>332066</v>
          </cell>
          <cell r="B67" t="str">
            <v>SIMPLES</v>
          </cell>
          <cell r="C67" t="str">
            <v>Bandeja</v>
          </cell>
          <cell r="D67" t="str">
            <v>SPARE</v>
          </cell>
          <cell r="E67" t="str">
            <v>Bandeja Infeiror Direita Sem Pivô Meriva 2003 A 2012</v>
          </cell>
          <cell r="F67">
            <v>7</v>
          </cell>
        </row>
        <row r="68">
          <cell r="A68">
            <v>112023</v>
          </cell>
          <cell r="B68" t="str">
            <v>SIMPLES</v>
          </cell>
          <cell r="C68" t="str">
            <v>Bandeja</v>
          </cell>
          <cell r="D68" t="str">
            <v>SPARE</v>
          </cell>
          <cell r="E68" t="str">
            <v>Bandeja  Esquerda Palio 1996 Á 2001 Sem Pivô</v>
          </cell>
          <cell r="F68">
            <v>7</v>
          </cell>
        </row>
        <row r="69">
          <cell r="A69">
            <v>442097</v>
          </cell>
          <cell r="B69" t="str">
            <v>SIMPLES</v>
          </cell>
          <cell r="C69" t="str">
            <v>Bandeja</v>
          </cell>
          <cell r="D69" t="str">
            <v>SPARE</v>
          </cell>
          <cell r="E69" t="str">
            <v>Bandeja Dianteira Esquerda Com Pivô Fox 2003 A 2014</v>
          </cell>
          <cell r="F69">
            <v>4</v>
          </cell>
        </row>
        <row r="70">
          <cell r="A70">
            <v>332093</v>
          </cell>
          <cell r="B70" t="str">
            <v>SIMPLES</v>
          </cell>
          <cell r="C70" t="str">
            <v>Bandeja</v>
          </cell>
          <cell r="D70" t="str">
            <v>SPARE</v>
          </cell>
          <cell r="E70" t="str">
            <v>Bandeja Esquerda Com Pivô Cobalt 2013 Em Diante</v>
          </cell>
          <cell r="F70">
            <v>3</v>
          </cell>
        </row>
        <row r="71">
          <cell r="A71">
            <v>552033</v>
          </cell>
          <cell r="B71" t="str">
            <v>SIMPLES</v>
          </cell>
          <cell r="C71" t="str">
            <v>Bandeja</v>
          </cell>
          <cell r="D71" t="str">
            <v>SPARE</v>
          </cell>
          <cell r="E71" t="str">
            <v>Bandeja Inferior Esquerda Com Pivô Peugeot 208 2013 A 2022</v>
          </cell>
          <cell r="F71">
            <v>6</v>
          </cell>
        </row>
        <row r="72">
          <cell r="A72">
            <v>112107</v>
          </cell>
          <cell r="B72" t="str">
            <v>SIMPLES</v>
          </cell>
          <cell r="C72" t="str">
            <v>Bandeja</v>
          </cell>
          <cell r="D72" t="str">
            <v>SPARE</v>
          </cell>
          <cell r="E72" t="str">
            <v>Bandeja Esquerda Com Pivô Grand Siena 2012 Em Diante</v>
          </cell>
          <cell r="F72">
            <v>4</v>
          </cell>
        </row>
        <row r="73">
          <cell r="A73">
            <v>22051</v>
          </cell>
          <cell r="B73" t="str">
            <v>SIMPLES</v>
          </cell>
          <cell r="C73" t="str">
            <v>Cabo de Capô</v>
          </cell>
          <cell r="D73" t="str">
            <v>Importação</v>
          </cell>
          <cell r="E73" t="str">
            <v>Cabo De Capô Peugeot 206 1998 Em Diante</v>
          </cell>
          <cell r="F73">
            <v>19</v>
          </cell>
        </row>
        <row r="74">
          <cell r="A74">
            <v>112024</v>
          </cell>
          <cell r="B74" t="str">
            <v>SIMPLES</v>
          </cell>
          <cell r="C74" t="str">
            <v>Bandeja</v>
          </cell>
          <cell r="D74" t="str">
            <v>SPARE</v>
          </cell>
          <cell r="E74" t="str">
            <v>Bandeja Direita Siena 1997 Á 2001 Com Pivô</v>
          </cell>
          <cell r="F74">
            <v>5</v>
          </cell>
        </row>
        <row r="75">
          <cell r="A75">
            <v>66636</v>
          </cell>
          <cell r="B75" t="str">
            <v>SIMPLES</v>
          </cell>
          <cell r="C75" t="str">
            <v>Cabo Câmbio</v>
          </cell>
          <cell r="D75" t="str">
            <v>Importação</v>
          </cell>
          <cell r="E75" t="str">
            <v>Cabo De Engate Siena El 1.0/1.4 Mpi 8v 2013 Flex  55208207</v>
          </cell>
          <cell r="F75">
            <v>9</v>
          </cell>
        </row>
        <row r="76">
          <cell r="A76">
            <v>442080</v>
          </cell>
          <cell r="B76" t="str">
            <v>SIMPLES</v>
          </cell>
          <cell r="C76" t="str">
            <v>Bandeja</v>
          </cell>
          <cell r="D76" t="str">
            <v>SPARE</v>
          </cell>
          <cell r="E76" t="str">
            <v>Bandeja Inferior Belina Scala 1984 A 1991</v>
          </cell>
          <cell r="F76">
            <v>5</v>
          </cell>
        </row>
        <row r="77">
          <cell r="A77">
            <v>112117</v>
          </cell>
          <cell r="B77" t="str">
            <v>SIMPLES</v>
          </cell>
          <cell r="C77" t="str">
            <v>Bandeja</v>
          </cell>
          <cell r="D77" t="str">
            <v>SPARE</v>
          </cell>
          <cell r="E77" t="str">
            <v>Bandeja Dianteira Direita Com Pivô Compass 4x4 2015 A 2020</v>
          </cell>
          <cell r="F77">
            <v>3</v>
          </cell>
        </row>
        <row r="78">
          <cell r="A78">
            <v>112118</v>
          </cell>
          <cell r="B78" t="str">
            <v>SIMPLES</v>
          </cell>
          <cell r="C78" t="str">
            <v>Bandeja</v>
          </cell>
          <cell r="D78" t="str">
            <v>SPARE</v>
          </cell>
          <cell r="E78" t="str">
            <v>Bandeja Dianteira Esquerda Com Pivô Toro 4x4 2016 A 2020</v>
          </cell>
          <cell r="F78">
            <v>3</v>
          </cell>
        </row>
        <row r="79">
          <cell r="A79">
            <v>442025</v>
          </cell>
          <cell r="B79" t="str">
            <v>SIMPLES</v>
          </cell>
          <cell r="C79" t="str">
            <v>Bandeja</v>
          </cell>
          <cell r="D79" t="str">
            <v>SPARE</v>
          </cell>
          <cell r="E79" t="str">
            <v>Bandeja Dianteira Ambos Lados Sem Pivô Variant 1970 A 1977</v>
          </cell>
          <cell r="F79">
            <v>12</v>
          </cell>
        </row>
        <row r="80">
          <cell r="A80">
            <v>662015</v>
          </cell>
          <cell r="B80" t="str">
            <v>SIMPLES</v>
          </cell>
          <cell r="C80" t="str">
            <v>Bandeja</v>
          </cell>
          <cell r="D80" t="str">
            <v>SPARE</v>
          </cell>
          <cell r="E80" t="str">
            <v>Bandeja Suspensão Esquerda Kwid 2024 Com Pivô</v>
          </cell>
          <cell r="F80">
            <v>4</v>
          </cell>
        </row>
        <row r="81">
          <cell r="A81">
            <v>882003</v>
          </cell>
          <cell r="B81" t="str">
            <v>SIMPLES</v>
          </cell>
          <cell r="C81" t="str">
            <v>Bandeja</v>
          </cell>
          <cell r="D81" t="str">
            <v>SPARE</v>
          </cell>
          <cell r="E81" t="str">
            <v>Bandeja Dianteira Esquerdo Com Pivô J3 2011 À 2015</v>
          </cell>
          <cell r="F81">
            <v>3</v>
          </cell>
        </row>
        <row r="82">
          <cell r="A82" t="str">
            <v>LT5637</v>
          </cell>
          <cell r="B82" t="str">
            <v>SIMPLES</v>
          </cell>
          <cell r="C82" t="str">
            <v>Reparo alavanta Câmbio</v>
          </cell>
          <cell r="D82" t="str">
            <v>LT CORREA</v>
          </cell>
          <cell r="E82" t="str">
            <v>Reparo Bucha Alavanca Câmbio Golf Mk4 1999 A 2006</v>
          </cell>
          <cell r="F82">
            <v>4</v>
          </cell>
        </row>
        <row r="83">
          <cell r="A83">
            <v>112028</v>
          </cell>
          <cell r="B83" t="str">
            <v>SIMPLES</v>
          </cell>
          <cell r="C83" t="str">
            <v>Bandeja</v>
          </cell>
          <cell r="D83" t="str">
            <v>SPARE</v>
          </cell>
          <cell r="E83" t="str">
            <v>Bandeja Direita Siena  1997 Á 2001 Sem Pivô</v>
          </cell>
          <cell r="F83">
            <v>6</v>
          </cell>
        </row>
        <row r="84">
          <cell r="A84">
            <v>112029</v>
          </cell>
          <cell r="B84" t="str">
            <v>SIMPLES</v>
          </cell>
          <cell r="C84" t="str">
            <v>Bandeja</v>
          </cell>
          <cell r="D84" t="str">
            <v>SPARE</v>
          </cell>
          <cell r="E84" t="str">
            <v>Bandeja Esquerda Palio 1996 Á 2001 Sem Pivô</v>
          </cell>
          <cell r="F84">
            <v>6</v>
          </cell>
        </row>
        <row r="85">
          <cell r="A85">
            <v>112090</v>
          </cell>
          <cell r="B85" t="str">
            <v>SIMPLES</v>
          </cell>
          <cell r="C85" t="str">
            <v>Bandeja</v>
          </cell>
          <cell r="D85" t="str">
            <v>SPARE</v>
          </cell>
          <cell r="E85" t="str">
            <v>Bandeja Inferior Ambos Os Lados Bravo Sem Pivô 2011 Á 2014</v>
          </cell>
          <cell r="F85">
            <v>4</v>
          </cell>
        </row>
        <row r="86">
          <cell r="A86">
            <v>772152</v>
          </cell>
          <cell r="B86" t="str">
            <v>SIMPLES</v>
          </cell>
          <cell r="C86" t="str">
            <v>Bandeja</v>
          </cell>
          <cell r="D86" t="str">
            <v>SPARE</v>
          </cell>
          <cell r="E86" t="str">
            <v>Bandeja Inferior Direito Com Pivô Vera Cruz 2009 À 2012</v>
          </cell>
          <cell r="F86">
            <v>2</v>
          </cell>
        </row>
        <row r="87">
          <cell r="A87">
            <v>28006</v>
          </cell>
          <cell r="B87" t="str">
            <v>SIMPLES</v>
          </cell>
          <cell r="C87" t="str">
            <v>Pino de Freio</v>
          </cell>
          <cell r="D87" t="str">
            <v>MultiKit</v>
          </cell>
          <cell r="E87" t="str">
            <v>Reparo Pino Guia Pinça De Freio Dianteiro Nissan Versa</v>
          </cell>
          <cell r="F87">
            <v>9</v>
          </cell>
        </row>
        <row r="88">
          <cell r="A88">
            <v>772148</v>
          </cell>
          <cell r="B88" t="str">
            <v>SIMPLES</v>
          </cell>
          <cell r="C88" t="str">
            <v>Bandeja</v>
          </cell>
          <cell r="D88" t="str">
            <v>SPARE</v>
          </cell>
          <cell r="E88" t="str">
            <v>Bandeja Dianteira Direita Com Pivô Sportage 2011 A 2022</v>
          </cell>
          <cell r="F88">
            <v>2</v>
          </cell>
        </row>
        <row r="89">
          <cell r="A89">
            <v>13125</v>
          </cell>
          <cell r="B89" t="str">
            <v>SIMPLES</v>
          </cell>
          <cell r="C89" t="str">
            <v>Pino de Freio</v>
          </cell>
          <cell r="D89" t="str">
            <v>MultiKit</v>
          </cell>
          <cell r="E89" t="str">
            <v>Kit Guia Pinça De Freio Sonic Lt Flex 1.6man 2013</v>
          </cell>
          <cell r="F89">
            <v>11</v>
          </cell>
        </row>
        <row r="90">
          <cell r="A90">
            <v>112025</v>
          </cell>
          <cell r="B90" t="str">
            <v>SIMPLES</v>
          </cell>
          <cell r="C90" t="str">
            <v>Bandeja</v>
          </cell>
          <cell r="D90" t="str">
            <v>SPARE</v>
          </cell>
          <cell r="E90" t="str">
            <v>Bandeja  Esquerda Palio 1996 Á 2001  Com Pivô</v>
          </cell>
          <cell r="F90">
            <v>5</v>
          </cell>
        </row>
        <row r="91">
          <cell r="A91">
            <v>772056</v>
          </cell>
          <cell r="B91" t="str">
            <v>SIMPLES</v>
          </cell>
          <cell r="C91" t="str">
            <v>Bandeja</v>
          </cell>
          <cell r="D91" t="str">
            <v>SPARE</v>
          </cell>
          <cell r="E91" t="str">
            <v>Bandeja Direita Inferior Com Pivô Kia Cerato 2009 Em Diante</v>
          </cell>
          <cell r="F91">
            <v>3</v>
          </cell>
        </row>
        <row r="92">
          <cell r="A92">
            <v>66610</v>
          </cell>
          <cell r="B92" t="str">
            <v>SIMPLES</v>
          </cell>
          <cell r="C92" t="str">
            <v>Cabo Câmbio</v>
          </cell>
          <cell r="D92" t="str">
            <v>Importação</v>
          </cell>
          <cell r="E92" t="str">
            <v>Cabo De Câmbio Engate Strada 1.5 1.6 1999 A 2002</v>
          </cell>
          <cell r="F92">
            <v>3</v>
          </cell>
        </row>
        <row r="93">
          <cell r="A93">
            <v>112057</v>
          </cell>
          <cell r="B93" t="str">
            <v>SIMPLES</v>
          </cell>
          <cell r="C93" t="str">
            <v>Bandeja</v>
          </cell>
          <cell r="D93" t="str">
            <v>SPARE</v>
          </cell>
          <cell r="E93" t="str">
            <v>Bandeja Esquerda Sem Pivô Strada 2005 A 2008 Motor 1.8</v>
          </cell>
          <cell r="F93">
            <v>4</v>
          </cell>
        </row>
        <row r="94">
          <cell r="A94">
            <v>222033</v>
          </cell>
          <cell r="B94" t="str">
            <v>SIMPLES</v>
          </cell>
          <cell r="C94" t="str">
            <v>Bandeja</v>
          </cell>
          <cell r="D94" t="str">
            <v>SPARE</v>
          </cell>
          <cell r="E94" t="str">
            <v>Bandeja Dianteira Esquerda Com Pivô Fiesta 2000 A 2003</v>
          </cell>
          <cell r="F94">
            <v>4</v>
          </cell>
        </row>
        <row r="95">
          <cell r="A95">
            <v>332137</v>
          </cell>
          <cell r="B95" t="str">
            <v>SIMPLES</v>
          </cell>
          <cell r="C95" t="str">
            <v>Bandeja</v>
          </cell>
          <cell r="D95" t="str">
            <v>SPARE</v>
          </cell>
          <cell r="E95" t="str">
            <v>Bandeja Inferior Opala 1980 Até 1992 Lado Esquerdo</v>
          </cell>
          <cell r="F95">
            <v>3</v>
          </cell>
        </row>
        <row r="96">
          <cell r="A96" t="str">
            <v>LT2365</v>
          </cell>
          <cell r="B96" t="str">
            <v>SIMPLES</v>
          </cell>
          <cell r="C96" t="str">
            <v>Reparo alavanta Câmbio</v>
          </cell>
          <cell r="D96" t="str">
            <v>LT CORREA</v>
          </cell>
          <cell r="E96" t="str">
            <v>Reparo Terminal Do Cabo De Marcha Onix 2013 A 2019</v>
          </cell>
          <cell r="F96">
            <v>7</v>
          </cell>
        </row>
        <row r="97">
          <cell r="A97">
            <v>2367</v>
          </cell>
          <cell r="B97" t="str">
            <v>SIMPLES</v>
          </cell>
          <cell r="C97" t="str">
            <v>Suporte Radiador</v>
          </cell>
          <cell r="D97" t="str">
            <v>LT CORREA</v>
          </cell>
          <cell r="E97" t="str">
            <v>Suporte Do Radiador Vectra Cd 2.2 16v 2000</v>
          </cell>
          <cell r="F97">
            <v>6</v>
          </cell>
        </row>
        <row r="98">
          <cell r="A98" t="str">
            <v>FD001</v>
          </cell>
          <cell r="B98" t="str">
            <v>SIMPLES</v>
          </cell>
          <cell r="C98" t="str">
            <v>Rolamento Roda</v>
          </cell>
          <cell r="D98" t="str">
            <v>Importação</v>
          </cell>
          <cell r="E98" t="str">
            <v>Kit Rolamento Roda Traseira Ford Verona 1993 1994 1995 1996.</v>
          </cell>
          <cell r="F98">
            <v>13</v>
          </cell>
        </row>
        <row r="99">
          <cell r="A99">
            <v>662071</v>
          </cell>
          <cell r="B99" t="str">
            <v>SIMPLES</v>
          </cell>
          <cell r="C99" t="str">
            <v>Bandeja</v>
          </cell>
          <cell r="D99" t="str">
            <v>SPARE</v>
          </cell>
          <cell r="E99" t="str">
            <v>Bandeja Dianteira Esquerda Com Pivô Oroch 2012 A 2016</v>
          </cell>
          <cell r="F99">
            <v>3</v>
          </cell>
        </row>
        <row r="100">
          <cell r="A100">
            <v>112013</v>
          </cell>
          <cell r="B100" t="str">
            <v>SIMPLES</v>
          </cell>
          <cell r="C100" t="str">
            <v>Bandeja</v>
          </cell>
          <cell r="D100" t="str">
            <v>SPARE</v>
          </cell>
          <cell r="E100" t="str">
            <v>Bandeja Inferior Esquerda Fiat Marea Weekend 1999 A 2008</v>
          </cell>
          <cell r="F100">
            <v>3</v>
          </cell>
        </row>
        <row r="101">
          <cell r="A101">
            <v>442096</v>
          </cell>
          <cell r="B101" t="str">
            <v>SIMPLES</v>
          </cell>
          <cell r="C101" t="str">
            <v>Bandeja</v>
          </cell>
          <cell r="D101" t="str">
            <v>SPARE</v>
          </cell>
          <cell r="E101" t="str">
            <v>Bandeja Dianteira Direita Com Pivô Polo Gti 2006 A 2017</v>
          </cell>
          <cell r="F101">
            <v>3</v>
          </cell>
        </row>
        <row r="102">
          <cell r="A102">
            <v>728080</v>
          </cell>
          <cell r="B102" t="str">
            <v>SIMPLES</v>
          </cell>
          <cell r="C102" t="str">
            <v>OUTROS</v>
          </cell>
          <cell r="D102" t="str">
            <v>DM DISTRIBUIDORA</v>
          </cell>
          <cell r="E102" t="str">
            <v>Fechadura Mala Porta Traseira Ducato 2.3 2010 A 2017 G2</v>
          </cell>
          <cell r="F102">
            <v>2</v>
          </cell>
        </row>
        <row r="103">
          <cell r="A103">
            <v>77173</v>
          </cell>
          <cell r="B103" t="str">
            <v>SIMPLES</v>
          </cell>
          <cell r="C103" t="str">
            <v>Cabo de Capô</v>
          </cell>
          <cell r="D103" t="str">
            <v>MundiFlex</v>
          </cell>
          <cell r="E103" t="str">
            <v>Cabo De Capô Com Alavanca Montana 2003 Em Diante</v>
          </cell>
          <cell r="F103">
            <v>9</v>
          </cell>
        </row>
        <row r="104">
          <cell r="A104">
            <v>222014</v>
          </cell>
          <cell r="B104" t="str">
            <v>SIMPLES</v>
          </cell>
          <cell r="C104" t="str">
            <v>Bandeja</v>
          </cell>
          <cell r="D104" t="str">
            <v>SPARE</v>
          </cell>
          <cell r="E104" t="str">
            <v>Bandeja Superior Direita Com Pivô Ranger 1998 A 2011</v>
          </cell>
          <cell r="F104">
            <v>3</v>
          </cell>
        </row>
        <row r="105">
          <cell r="A105">
            <v>2360</v>
          </cell>
          <cell r="B105" t="str">
            <v>SIMPLES</v>
          </cell>
          <cell r="C105" t="str">
            <v>Suporte Radiador</v>
          </cell>
          <cell r="D105" t="str">
            <v>LT CORREA</v>
          </cell>
          <cell r="E105" t="str">
            <v>Suporte Radiador Lado Motorista - Corsa Sedan 1.6 - 1999</v>
          </cell>
          <cell r="F105">
            <v>6</v>
          </cell>
        </row>
        <row r="106">
          <cell r="A106">
            <v>227200</v>
          </cell>
          <cell r="B106" t="str">
            <v>SIMPLES</v>
          </cell>
          <cell r="C106" t="str">
            <v>Cabo Embreagem</v>
          </cell>
          <cell r="D106" t="str">
            <v>Importação</v>
          </cell>
          <cell r="E106" t="str">
            <v>Cabo De Embreagem 206 1.0 16v Chassi .../9456 - Reg. Manual</v>
          </cell>
          <cell r="F106">
            <v>5</v>
          </cell>
        </row>
        <row r="107">
          <cell r="A107">
            <v>332015</v>
          </cell>
          <cell r="B107" t="str">
            <v>SIMPLES</v>
          </cell>
          <cell r="C107" t="str">
            <v>Bandeja</v>
          </cell>
          <cell r="D107" t="str">
            <v>SPARE</v>
          </cell>
          <cell r="E107" t="str">
            <v>Braço Da Suspensão Esquerdo Celta Sem Pivô 2000 A 2015</v>
          </cell>
          <cell r="F107">
            <v>9</v>
          </cell>
        </row>
        <row r="108">
          <cell r="A108">
            <v>332102</v>
          </cell>
          <cell r="B108" t="str">
            <v>SIMPLES</v>
          </cell>
          <cell r="C108" t="str">
            <v>Bandeja</v>
          </cell>
          <cell r="D108" t="str">
            <v>SPARE</v>
          </cell>
          <cell r="E108" t="str">
            <v>BANDEJA DIANTEIRA SUPERIOR ESQUERDA ÔMEGA/SUPREMA</v>
          </cell>
          <cell r="F108">
            <v>3</v>
          </cell>
        </row>
        <row r="109">
          <cell r="A109">
            <v>552015</v>
          </cell>
          <cell r="B109" t="str">
            <v>SIMPLES</v>
          </cell>
          <cell r="C109" t="str">
            <v>Bandeja</v>
          </cell>
          <cell r="D109" t="str">
            <v>SPARE</v>
          </cell>
          <cell r="E109" t="str">
            <v>Bandeja 307 Esquerdo 2002 Á 2012</v>
          </cell>
          <cell r="F109">
            <v>2</v>
          </cell>
        </row>
        <row r="110">
          <cell r="A110">
            <v>772057</v>
          </cell>
          <cell r="B110" t="str">
            <v>SIMPLES</v>
          </cell>
          <cell r="C110" t="str">
            <v>Bandeja</v>
          </cell>
          <cell r="D110" t="str">
            <v>SPARE</v>
          </cell>
          <cell r="E110" t="str">
            <v>Bandeja Esquerda Inferior Com Pivô I30 2008 A 2012</v>
          </cell>
          <cell r="F110">
            <v>2</v>
          </cell>
        </row>
        <row r="111">
          <cell r="A111">
            <v>662060</v>
          </cell>
          <cell r="B111" t="str">
            <v>SIMPLES</v>
          </cell>
          <cell r="C111" t="str">
            <v>Bandeja</v>
          </cell>
          <cell r="D111" t="str">
            <v>SPARE</v>
          </cell>
          <cell r="E111" t="str">
            <v>Bandeja Inferior Oroch Lado Passageiro 2015 Á 2020 Sem Pivô</v>
          </cell>
          <cell r="F111">
            <v>3</v>
          </cell>
        </row>
        <row r="112">
          <cell r="A112">
            <v>112127</v>
          </cell>
          <cell r="B112" t="str">
            <v>SIMPLES</v>
          </cell>
          <cell r="C112" t="str">
            <v>Bandeja</v>
          </cell>
          <cell r="D112" t="str">
            <v>SPARE</v>
          </cell>
          <cell r="E112" t="str">
            <v>Bandeja Inferior Esquerda Com Pivô Idea Elx 2005 A 2016</v>
          </cell>
          <cell r="F112">
            <v>2</v>
          </cell>
        </row>
        <row r="113">
          <cell r="A113">
            <v>772246</v>
          </cell>
          <cell r="B113" t="str">
            <v>SIMPLES</v>
          </cell>
          <cell r="C113" t="str">
            <v>Bandeja</v>
          </cell>
          <cell r="D113" t="str">
            <v>SPARE</v>
          </cell>
          <cell r="E113" t="str">
            <v>Bandeja Inferior Direita Com Pivô Etios 2012 A 2018</v>
          </cell>
          <cell r="F113">
            <v>2</v>
          </cell>
        </row>
        <row r="114">
          <cell r="A114">
            <v>332145</v>
          </cell>
          <cell r="B114" t="str">
            <v>SIMPLES</v>
          </cell>
          <cell r="C114" t="str">
            <v>Bandeja</v>
          </cell>
          <cell r="D114" t="str">
            <v>SPARE</v>
          </cell>
          <cell r="E114" t="str">
            <v>Bandeja Esquerda Com Pivô Tracker 1.8 2014 A 2016</v>
          </cell>
          <cell r="F114">
            <v>1</v>
          </cell>
        </row>
        <row r="115">
          <cell r="A115">
            <v>2361</v>
          </cell>
          <cell r="B115" t="str">
            <v>SIMPLES</v>
          </cell>
          <cell r="C115" t="str">
            <v>Suporte Parachoque</v>
          </cell>
          <cell r="D115" t="str">
            <v>LT CORREA</v>
          </cell>
          <cell r="E115" t="str">
            <v>Corsa Sedan Class. Super 1.6 2004 A 2006</v>
          </cell>
          <cell r="F115">
            <v>6</v>
          </cell>
        </row>
        <row r="116">
          <cell r="A116" t="str">
            <v>LT5568</v>
          </cell>
          <cell r="B116" t="str">
            <v>SIMPLES</v>
          </cell>
          <cell r="C116" t="str">
            <v>Reparo alavanta Câmbio</v>
          </cell>
          <cell r="D116" t="str">
            <v>LT CORREA</v>
          </cell>
          <cell r="E116" t="str">
            <v>Kit Reparo Dos Cabos De Engate  Fiesta 2002 Á 2010</v>
          </cell>
          <cell r="F116">
            <v>5</v>
          </cell>
        </row>
        <row r="117">
          <cell r="A117">
            <v>226103</v>
          </cell>
          <cell r="B117" t="str">
            <v>SIMPLES</v>
          </cell>
          <cell r="C117" t="str">
            <v>Cabo de Acelerador</v>
          </cell>
          <cell r="D117" t="str">
            <v>Importação</v>
          </cell>
          <cell r="E117" t="str">
            <v>Cabo De Acelerador Scenic 1996 Em Diante 1.6 2.0</v>
          </cell>
          <cell r="F117">
            <v>10</v>
          </cell>
        </row>
        <row r="118">
          <cell r="A118" t="str">
            <v>PG003</v>
          </cell>
          <cell r="B118" t="str">
            <v>SIMPLES</v>
          </cell>
          <cell r="C118" t="str">
            <v>Rolamento Eixo</v>
          </cell>
          <cell r="D118" t="str">
            <v>Importação</v>
          </cell>
          <cell r="E118" t="str">
            <v>Kit Rolamento Eixo Traseiro Picasso Sem Barra</v>
          </cell>
          <cell r="F118">
            <v>3</v>
          </cell>
        </row>
        <row r="119">
          <cell r="A119">
            <v>772035</v>
          </cell>
          <cell r="B119" t="str">
            <v>SIMPLES</v>
          </cell>
          <cell r="C119" t="str">
            <v>Bandeja</v>
          </cell>
          <cell r="D119" t="str">
            <v>SPARE</v>
          </cell>
          <cell r="E119" t="str">
            <v>Bandeja Inferior Traseira Ambos Lados Hilux Sw4 2016 A 2020</v>
          </cell>
          <cell r="F119">
            <v>1</v>
          </cell>
        </row>
        <row r="120">
          <cell r="A120">
            <v>332014</v>
          </cell>
          <cell r="B120" t="str">
            <v>SIMPLES</v>
          </cell>
          <cell r="C120" t="str">
            <v>Bandeja</v>
          </cell>
          <cell r="D120" t="str">
            <v>SPARE</v>
          </cell>
          <cell r="E120" t="str">
            <v>Braço Da Suspensão  Corsa Classic Sem Pivô 98 A 2016</v>
          </cell>
          <cell r="F120">
            <v>7</v>
          </cell>
        </row>
        <row r="121">
          <cell r="A121">
            <v>662047</v>
          </cell>
          <cell r="B121" t="str">
            <v>SIMPLES</v>
          </cell>
          <cell r="C121" t="str">
            <v>Bandeja</v>
          </cell>
          <cell r="D121" t="str">
            <v>SPARE</v>
          </cell>
          <cell r="E121" t="str">
            <v>Bandeja Dianteira Esquerda Com Pivô Sandero 2014 A 2019</v>
          </cell>
          <cell r="F121">
            <v>2</v>
          </cell>
        </row>
        <row r="122">
          <cell r="A122">
            <v>662014</v>
          </cell>
          <cell r="B122" t="str">
            <v>SIMPLES</v>
          </cell>
          <cell r="C122" t="str">
            <v>Bandeja</v>
          </cell>
          <cell r="D122" t="str">
            <v>SPARE</v>
          </cell>
          <cell r="E122" t="str">
            <v>Bandeja Suspensão Direita Kwid 2024 Com Pivô</v>
          </cell>
          <cell r="F122">
            <v>2</v>
          </cell>
        </row>
        <row r="123">
          <cell r="A123">
            <v>29014</v>
          </cell>
          <cell r="B123" t="str">
            <v>SIMPLES</v>
          </cell>
          <cell r="C123" t="str">
            <v>Pino de Freio</v>
          </cell>
          <cell r="D123" t="str">
            <v>MultiKit</v>
          </cell>
          <cell r="E123" t="str">
            <v>Kit Pino Guia Pinça Freio Logan 2008 A 2013</v>
          </cell>
          <cell r="F123">
            <v>6</v>
          </cell>
        </row>
        <row r="124">
          <cell r="A124">
            <v>332080</v>
          </cell>
          <cell r="B124" t="str">
            <v>SIMPLES</v>
          </cell>
          <cell r="C124" t="str">
            <v>Bandeja</v>
          </cell>
          <cell r="D124" t="str">
            <v>SPARE</v>
          </cell>
          <cell r="E124" t="str">
            <v>Bandeja Dianteira Vectra Sem Pivô 1997 Á 2011</v>
          </cell>
          <cell r="F124">
            <v>2</v>
          </cell>
        </row>
        <row r="125">
          <cell r="A125">
            <v>222015</v>
          </cell>
          <cell r="B125" t="str">
            <v>SIMPLES</v>
          </cell>
          <cell r="C125" t="str">
            <v>Bandeja</v>
          </cell>
          <cell r="D125" t="str">
            <v>SPARE</v>
          </cell>
          <cell r="E125" t="str">
            <v>Bandeja Superior Esquerda Com Pivô Ranger 1998 A 2011</v>
          </cell>
          <cell r="F125">
            <v>2</v>
          </cell>
        </row>
        <row r="126">
          <cell r="A126">
            <v>66412</v>
          </cell>
          <cell r="B126" t="str">
            <v>SIMPLES</v>
          </cell>
          <cell r="C126" t="str">
            <v>Cabo Embreagem</v>
          </cell>
          <cell r="D126" t="str">
            <v>Importação</v>
          </cell>
          <cell r="E126" t="str">
            <v>Cabo De Embreagem Ducato(2.8mglu)2001 2002 2003 2004 2005...</v>
          </cell>
          <cell r="F126">
            <v>6</v>
          </cell>
        </row>
        <row r="127">
          <cell r="A127">
            <v>552012</v>
          </cell>
          <cell r="B127" t="str">
            <v>SIMPLES</v>
          </cell>
          <cell r="C127" t="str">
            <v>Bandeja</v>
          </cell>
          <cell r="D127" t="str">
            <v>SPARE</v>
          </cell>
          <cell r="E127" t="str">
            <v>Bandeja Inferior C3 Lado Direito Com Pivô</v>
          </cell>
          <cell r="F127">
            <v>4</v>
          </cell>
        </row>
        <row r="128">
          <cell r="A128">
            <v>552013</v>
          </cell>
          <cell r="B128" t="str">
            <v>SIMPLES</v>
          </cell>
          <cell r="C128" t="str">
            <v>Bandeja</v>
          </cell>
          <cell r="D128" t="str">
            <v>SPARE</v>
          </cell>
          <cell r="E128" t="str">
            <v>Bandeja Inferior C3 Lado Esquerdo Com Pivô</v>
          </cell>
          <cell r="F128">
            <v>4</v>
          </cell>
        </row>
        <row r="129">
          <cell r="A129">
            <v>112074</v>
          </cell>
          <cell r="B129" t="str">
            <v>SIMPLES</v>
          </cell>
          <cell r="C129" t="str">
            <v>Bandeja</v>
          </cell>
          <cell r="D129" t="str">
            <v>SPARE</v>
          </cell>
          <cell r="E129" t="str">
            <v>Bandeja Direita Com Pivô Palio Weekend Adventure2005 A 2008</v>
          </cell>
          <cell r="F129">
            <v>2</v>
          </cell>
        </row>
        <row r="130">
          <cell r="A130">
            <v>332116</v>
          </cell>
          <cell r="B130" t="str">
            <v>SIMPLES</v>
          </cell>
          <cell r="C130" t="str">
            <v>Bandeja</v>
          </cell>
          <cell r="D130" t="str">
            <v>SPARE</v>
          </cell>
          <cell r="E130" t="str">
            <v>Bandeja Dianteira Inferior Direita Com Pivô Ipanema 89 À 98</v>
          </cell>
          <cell r="F130">
            <v>2</v>
          </cell>
        </row>
        <row r="131">
          <cell r="A131">
            <v>442106</v>
          </cell>
          <cell r="B131" t="str">
            <v>SIMPLES</v>
          </cell>
          <cell r="C131" t="str">
            <v>Bandeja</v>
          </cell>
          <cell r="D131" t="str">
            <v>SPARE</v>
          </cell>
          <cell r="E131" t="str">
            <v>Bandeja Inferior Direito Com Pivô Passat 2012 A 2015</v>
          </cell>
          <cell r="F131">
            <v>1</v>
          </cell>
        </row>
        <row r="132">
          <cell r="A132">
            <v>442107</v>
          </cell>
          <cell r="B132" t="str">
            <v>SIMPLES</v>
          </cell>
          <cell r="C132" t="str">
            <v>Bandeja</v>
          </cell>
          <cell r="D132" t="str">
            <v>SPARE</v>
          </cell>
          <cell r="E132" t="str">
            <v>Bandeja Inferior Esquerda Com Pivô Tiguan 2010 A 2017</v>
          </cell>
          <cell r="F132">
            <v>1</v>
          </cell>
        </row>
        <row r="133">
          <cell r="A133">
            <v>222022</v>
          </cell>
          <cell r="B133" t="str">
            <v>SIMPLES</v>
          </cell>
          <cell r="C133" t="str">
            <v>Bandeja</v>
          </cell>
          <cell r="D133" t="str">
            <v>SPARE</v>
          </cell>
          <cell r="E133" t="str">
            <v>Bandeja Inferior Direito Ka Com Pivô</v>
          </cell>
          <cell r="F133">
            <v>2</v>
          </cell>
        </row>
        <row r="134">
          <cell r="A134">
            <v>222023</v>
          </cell>
          <cell r="B134" t="str">
            <v>SIMPLES</v>
          </cell>
          <cell r="C134" t="str">
            <v>Bandeja</v>
          </cell>
          <cell r="D134" t="str">
            <v>SPARE</v>
          </cell>
          <cell r="E134" t="str">
            <v>Bandeja Inferior Esquerdo Ka Com Pivô</v>
          </cell>
          <cell r="F134">
            <v>2</v>
          </cell>
        </row>
        <row r="135">
          <cell r="A135">
            <v>112001</v>
          </cell>
          <cell r="B135" t="str">
            <v>SIMPLES</v>
          </cell>
          <cell r="C135" t="str">
            <v>Bandeja</v>
          </cell>
          <cell r="D135" t="str">
            <v>SPARE</v>
          </cell>
          <cell r="E135" t="str">
            <v>Bandeja Traseira Uno Cs S Sx 1984 A 1996</v>
          </cell>
          <cell r="F135">
            <v>3</v>
          </cell>
        </row>
        <row r="136">
          <cell r="A136">
            <v>55174</v>
          </cell>
          <cell r="B136" t="str">
            <v>SIMPLES</v>
          </cell>
          <cell r="C136" t="str">
            <v>Cabo de Velocímetro</v>
          </cell>
          <cell r="D136" t="str">
            <v>MundiFlex</v>
          </cell>
          <cell r="E136" t="str">
            <v>Cabo De Velocímetro Kombi T2 2006 Em Diante Motor Água</v>
          </cell>
          <cell r="F136">
            <v>5</v>
          </cell>
        </row>
        <row r="137">
          <cell r="A137">
            <v>332067</v>
          </cell>
          <cell r="B137" t="str">
            <v>SIMPLES</v>
          </cell>
          <cell r="C137" t="str">
            <v>Bandeja</v>
          </cell>
          <cell r="D137" t="str">
            <v>SPARE</v>
          </cell>
          <cell r="E137" t="str">
            <v>Bandeja Inferior Esquerda Com Pivô Montana 2003 A 2010</v>
          </cell>
          <cell r="F137">
            <v>2</v>
          </cell>
        </row>
        <row r="138">
          <cell r="A138">
            <v>332154</v>
          </cell>
          <cell r="B138" t="str">
            <v>SIMPLES</v>
          </cell>
          <cell r="C138" t="str">
            <v>Bandeja</v>
          </cell>
          <cell r="D138" t="str">
            <v>SPARE</v>
          </cell>
          <cell r="E138" t="str">
            <v>BANDEJA SUPERIOR ESQUERDA SEM PIVÔ TRAILBLAZER 2012 A 2020</v>
          </cell>
          <cell r="F138">
            <v>1</v>
          </cell>
        </row>
        <row r="139">
          <cell r="A139">
            <v>552010</v>
          </cell>
          <cell r="B139" t="str">
            <v>SIMPLES</v>
          </cell>
          <cell r="C139" t="str">
            <v>Bandeja</v>
          </cell>
          <cell r="D139" t="str">
            <v>SPARE</v>
          </cell>
          <cell r="E139" t="str">
            <v>Bandeja Direita Sem Pivô Citroen C3 2003 A 2012</v>
          </cell>
          <cell r="F139">
            <v>4</v>
          </cell>
        </row>
        <row r="140">
          <cell r="A140">
            <v>332081</v>
          </cell>
          <cell r="B140" t="str">
            <v>SIMPLES</v>
          </cell>
          <cell r="C140" t="str">
            <v>Bandeja</v>
          </cell>
          <cell r="D140" t="str">
            <v>SPARE</v>
          </cell>
          <cell r="E140" t="str">
            <v>Bandeja Inferior Direita Com Pivô Vectra 1997 A 2005</v>
          </cell>
          <cell r="F140">
            <v>1</v>
          </cell>
        </row>
        <row r="141">
          <cell r="A141">
            <v>44507</v>
          </cell>
          <cell r="B141" t="str">
            <v>SIMPLES</v>
          </cell>
          <cell r="C141" t="str">
            <v>Cabo de Capô</v>
          </cell>
          <cell r="D141" t="str">
            <v>MundiFlex</v>
          </cell>
          <cell r="E141" t="str">
            <v>Cabo De Capô Com Alavanca Kadett 1989 A 1998</v>
          </cell>
          <cell r="F141">
            <v>7</v>
          </cell>
        </row>
        <row r="142">
          <cell r="A142">
            <v>772141</v>
          </cell>
          <cell r="B142" t="str">
            <v>SIMPLES</v>
          </cell>
          <cell r="C142" t="str">
            <v>Bandeja</v>
          </cell>
          <cell r="D142" t="str">
            <v>SPARE</v>
          </cell>
          <cell r="E142" t="str">
            <v>Bandeja Inferior Esquerdo Com Pivô Elantra 2011 A 2016</v>
          </cell>
          <cell r="F142">
            <v>1</v>
          </cell>
        </row>
        <row r="143">
          <cell r="A143">
            <v>772033</v>
          </cell>
          <cell r="B143" t="str">
            <v>SIMPLES</v>
          </cell>
          <cell r="C143" t="str">
            <v>Bandeja</v>
          </cell>
          <cell r="D143" t="str">
            <v>SPARE</v>
          </cell>
          <cell r="E143" t="str">
            <v>BANDEJA DIANTEIRA ESQUERDA COROLLA COM pivô</v>
          </cell>
          <cell r="F143">
            <v>1</v>
          </cell>
        </row>
        <row r="144">
          <cell r="A144">
            <v>222030</v>
          </cell>
          <cell r="B144" t="str">
            <v>SIMPLES</v>
          </cell>
          <cell r="C144" t="str">
            <v>Bandeja</v>
          </cell>
          <cell r="D144" t="str">
            <v>SPARE</v>
          </cell>
          <cell r="E144" t="str">
            <v>Bandeja Inferior Chapa Simples Direito Fiesta Sem Pivô</v>
          </cell>
          <cell r="F144">
            <v>3</v>
          </cell>
        </row>
        <row r="145">
          <cell r="A145" t="str">
            <v>LT2376</v>
          </cell>
          <cell r="B145" t="str">
            <v>SIMPLES</v>
          </cell>
          <cell r="C145" t="str">
            <v>Reparo alavanta Câmbio</v>
          </cell>
          <cell r="D145" t="str">
            <v>LT CORREA</v>
          </cell>
          <cell r="E145" t="str">
            <v>Inibidor De Marcha Ré Corsa Sistema Varão</v>
          </cell>
          <cell r="F145">
            <v>9</v>
          </cell>
        </row>
        <row r="146">
          <cell r="A146">
            <v>772230</v>
          </cell>
          <cell r="B146" t="str">
            <v>SIMPLES</v>
          </cell>
          <cell r="C146" t="str">
            <v>Bandeja</v>
          </cell>
          <cell r="D146" t="str">
            <v>SPARE</v>
          </cell>
          <cell r="E146" t="str">
            <v>BANDEJA INFERIOR DIREITA COM PIVÔ KICKS 2016 A 2020</v>
          </cell>
          <cell r="F146">
            <v>2</v>
          </cell>
        </row>
        <row r="147">
          <cell r="A147">
            <v>2375</v>
          </cell>
          <cell r="B147" t="str">
            <v>SIMPLES</v>
          </cell>
          <cell r="C147" t="str">
            <v>Suporte Radiador</v>
          </cell>
          <cell r="D147" t="str">
            <v>LT CORREA</v>
          </cell>
          <cell r="E147" t="str">
            <v>Kit Suporte Coxim Superior Do Radiador Tracker 2021 a 2023</v>
          </cell>
          <cell r="F147">
            <v>9</v>
          </cell>
        </row>
        <row r="148">
          <cell r="A148">
            <v>222011</v>
          </cell>
          <cell r="B148" t="str">
            <v>SIMPLES</v>
          </cell>
          <cell r="C148" t="str">
            <v>Bandeja</v>
          </cell>
          <cell r="D148" t="str">
            <v>SPARE</v>
          </cell>
          <cell r="E148" t="str">
            <v>Braço Oscilante Esquerdo Sem Bucha Escort 1983 A 1996</v>
          </cell>
          <cell r="F148">
            <v>8</v>
          </cell>
        </row>
        <row r="149">
          <cell r="A149" t="str">
            <v>12130-BF0-CG15</v>
          </cell>
          <cell r="B149" t="str">
            <v>SIMPLES</v>
          </cell>
          <cell r="C149" t="str">
            <v>Embreagem Moto</v>
          </cell>
          <cell r="D149" t="str">
            <v>SMARTFOX</v>
          </cell>
          <cell r="E149" t="str">
            <v>EMBREAGEM COMPLETA</v>
          </cell>
          <cell r="F149">
            <v>2</v>
          </cell>
        </row>
        <row r="150">
          <cell r="A150" t="str">
            <v>FTK44002-AMW</v>
          </cell>
          <cell r="B150" t="str">
            <v>SIMPLES</v>
          </cell>
          <cell r="C150" t="str">
            <v>Bucha Bandeja</v>
          </cell>
          <cell r="D150" t="str">
            <v>AMW</v>
          </cell>
          <cell r="E150" t="str">
            <v>Bucha Ambos Lados Bandeja Dianteira Tipo 1993 A 1997</v>
          </cell>
          <cell r="F150">
            <v>5</v>
          </cell>
        </row>
        <row r="151">
          <cell r="A151">
            <v>772144</v>
          </cell>
          <cell r="B151" t="str">
            <v>SIMPLES</v>
          </cell>
          <cell r="C151" t="str">
            <v>Bandeja</v>
          </cell>
          <cell r="D151" t="str">
            <v>SPARE</v>
          </cell>
          <cell r="E151" t="str">
            <v>Bandeja Lado Direito Hb20 Hatch Automático 2012 Á 2019</v>
          </cell>
          <cell r="F151">
            <v>1</v>
          </cell>
        </row>
        <row r="152">
          <cell r="A152">
            <v>222203</v>
          </cell>
          <cell r="B152" t="str">
            <v>SIMPLES</v>
          </cell>
          <cell r="C152" t="str">
            <v>Cabo de Freio</v>
          </cell>
          <cell r="D152" t="str">
            <v>MundiFlex</v>
          </cell>
          <cell r="E152" t="str">
            <v>Cabo De Freio Dianteiro Journey 2009 A 2016</v>
          </cell>
          <cell r="F152">
            <v>2</v>
          </cell>
        </row>
        <row r="153">
          <cell r="A153">
            <v>225052</v>
          </cell>
          <cell r="B153" t="str">
            <v>SIMPLES</v>
          </cell>
          <cell r="C153" t="str">
            <v>Cabo Câmbio</v>
          </cell>
          <cell r="D153" t="str">
            <v>Importação</v>
          </cell>
          <cell r="E153" t="str">
            <v>Cabo De Marcha Engate E Seleção Hyundai Hr 2013 Em Diante</v>
          </cell>
          <cell r="F153">
            <v>1</v>
          </cell>
        </row>
        <row r="154">
          <cell r="A154">
            <v>90501</v>
          </cell>
          <cell r="B154" t="str">
            <v>SIMPLES</v>
          </cell>
          <cell r="C154" t="str">
            <v>Reparo alavanta Câmbio</v>
          </cell>
          <cell r="D154" t="str">
            <v>BRK</v>
          </cell>
          <cell r="E154" t="str">
            <v>Kit Reparo Trambulador Com Mola Megane Até 2004</v>
          </cell>
          <cell r="F154">
            <v>3</v>
          </cell>
        </row>
        <row r="155">
          <cell r="A155">
            <v>55143</v>
          </cell>
          <cell r="B155" t="str">
            <v>SIMPLES</v>
          </cell>
          <cell r="C155" t="str">
            <v>Cabo de Freio</v>
          </cell>
          <cell r="D155" t="str">
            <v>MundiFlex</v>
          </cell>
          <cell r="E155" t="str">
            <v>Cabo De Freio Gol G3 2002 Em Diante</v>
          </cell>
          <cell r="F155">
            <v>3</v>
          </cell>
        </row>
        <row r="156">
          <cell r="A156">
            <v>772160</v>
          </cell>
          <cell r="B156" t="str">
            <v>SIMPLES</v>
          </cell>
          <cell r="C156" t="str">
            <v>BANDEJA</v>
          </cell>
          <cell r="D156" t="str">
            <v>SPARE</v>
          </cell>
          <cell r="E156" t="str">
            <v>Bandeja Dianteira Esquerda Com Pivô Vera Cruz 2007 A 2012</v>
          </cell>
          <cell r="F156">
            <v>1</v>
          </cell>
        </row>
        <row r="157">
          <cell r="A157">
            <v>29037</v>
          </cell>
          <cell r="B157" t="str">
            <v>SIMPLES</v>
          </cell>
          <cell r="C157" t="str">
            <v>Pino de Freio</v>
          </cell>
          <cell r="D157" t="str">
            <v>MultiKit</v>
          </cell>
          <cell r="E157" t="str">
            <v>Kit Pino Da Pinça De Freio Hyundai Hr 2005 A 2018</v>
          </cell>
          <cell r="F157">
            <v>5</v>
          </cell>
        </row>
        <row r="158">
          <cell r="A158">
            <v>55023</v>
          </cell>
          <cell r="B158" t="str">
            <v>SIMPLES</v>
          </cell>
          <cell r="C158" t="str">
            <v>Cabo Embreagem</v>
          </cell>
          <cell r="D158" t="str">
            <v>MundiFlex</v>
          </cell>
          <cell r="E158" t="str">
            <v>Cabo Embreagem Gol G2 1994 A 1998</v>
          </cell>
          <cell r="F158">
            <v>5</v>
          </cell>
        </row>
        <row r="159">
          <cell r="A159">
            <v>772147</v>
          </cell>
          <cell r="B159" t="str">
            <v>SIMPLES</v>
          </cell>
          <cell r="C159" t="str">
            <v>Bandeja</v>
          </cell>
          <cell r="D159" t="str">
            <v>SPARE</v>
          </cell>
          <cell r="E159" t="str">
            <v>Bandeja Lado Esquerdo Hb20 Hatch 2012 A 2019 Com Pivô</v>
          </cell>
          <cell r="F159">
            <v>1</v>
          </cell>
        </row>
        <row r="160">
          <cell r="A160">
            <v>772224</v>
          </cell>
          <cell r="B160" t="str">
            <v>SIMPLES</v>
          </cell>
          <cell r="C160" t="str">
            <v>Bandeja</v>
          </cell>
          <cell r="D160" t="str">
            <v>SPARE</v>
          </cell>
          <cell r="E160" t="str">
            <v>Bandeja Dianteira Esquerda comPivô Lancer 2011 À 2019</v>
          </cell>
          <cell r="F160">
            <v>1</v>
          </cell>
        </row>
        <row r="161">
          <cell r="A161" t="str">
            <v>FTK110165</v>
          </cell>
          <cell r="B161" t="str">
            <v>SIMPLES</v>
          </cell>
          <cell r="C161" t="str">
            <v>Rolamento semi Eixo</v>
          </cell>
          <cell r="D161" t="str">
            <v>Roletan</v>
          </cell>
          <cell r="E161" t="str">
            <v>Rolamento Coifa Palio G1 1.0 1996 A 2000</v>
          </cell>
          <cell r="F161">
            <v>7</v>
          </cell>
        </row>
        <row r="162">
          <cell r="A162" t="str">
            <v>LT5553</v>
          </cell>
          <cell r="B162" t="str">
            <v>SIMPLES</v>
          </cell>
          <cell r="C162" t="str">
            <v>Reparo alavanta Câmbio</v>
          </cell>
          <cell r="D162" t="str">
            <v>LT CORREA</v>
          </cell>
          <cell r="E162" t="str">
            <v>Reparo Alavanca Do Câmbio Eaton Frontier 2002 Em Diante</v>
          </cell>
          <cell r="F162">
            <v>9</v>
          </cell>
        </row>
        <row r="163">
          <cell r="A163">
            <v>66418</v>
          </cell>
          <cell r="B163" t="str">
            <v>SIMPLES</v>
          </cell>
          <cell r="C163" t="str">
            <v>Cabo Embreagem</v>
          </cell>
          <cell r="D163" t="str">
            <v>Importação</v>
          </cell>
          <cell r="E163" t="str">
            <v>Cabo De Embreagem Palio 1.0 (46522369) 1996 1997 98 99 2000</v>
          </cell>
          <cell r="F163">
            <v>5</v>
          </cell>
        </row>
        <row r="164">
          <cell r="A164">
            <v>112125</v>
          </cell>
          <cell r="B164" t="str">
            <v>SIMPLES</v>
          </cell>
          <cell r="C164" t="str">
            <v>Bandeja</v>
          </cell>
          <cell r="D164" t="str">
            <v>SPARE</v>
          </cell>
          <cell r="E164" t="str">
            <v>Bandeja Dianteira Inferior Esq Strada 2020 Á 2022 Com Pivô</v>
          </cell>
          <cell r="F164">
            <v>1</v>
          </cell>
        </row>
        <row r="165">
          <cell r="A165">
            <v>772007</v>
          </cell>
          <cell r="B165" t="str">
            <v>SIMPLES</v>
          </cell>
          <cell r="C165" t="str">
            <v>Bandeja</v>
          </cell>
          <cell r="D165" t="str">
            <v>SPARE</v>
          </cell>
          <cell r="E165" t="str">
            <v>Bandeja Dianteira Esquerda Com Pivô Honda Fit 2008 2°geração</v>
          </cell>
          <cell r="F165">
            <v>1</v>
          </cell>
        </row>
        <row r="166">
          <cell r="A166" t="str">
            <v>FFBK5041</v>
          </cell>
          <cell r="B166" t="str">
            <v>SIMPLES</v>
          </cell>
          <cell r="C166" t="str">
            <v>LONA DE FREIO MOTO</v>
          </cell>
          <cell r="D166" t="str">
            <v>FABRECK</v>
          </cell>
          <cell r="E166" t="str">
            <v>LONA DE FREIO DIANTEIRO CG TITAN BIZ BROSS 125 TWISTER WEB</v>
          </cell>
          <cell r="F166">
            <v>10</v>
          </cell>
        </row>
        <row r="167">
          <cell r="A167">
            <v>662020</v>
          </cell>
          <cell r="B167" t="str">
            <v>SIMPLES</v>
          </cell>
          <cell r="C167" t="str">
            <v>Bandeja</v>
          </cell>
          <cell r="D167" t="str">
            <v>SPARE</v>
          </cell>
          <cell r="E167" t="str">
            <v>BANDEJA CLIO II 1.0, 1.6 98/05, KANGOO, SYMBOL 1.6 8/16V 09/ - inferior</v>
          </cell>
          <cell r="F167">
            <v>2</v>
          </cell>
        </row>
        <row r="168">
          <cell r="A168" t="str">
            <v>RT004</v>
          </cell>
          <cell r="B168" t="str">
            <v>SIMPLES</v>
          </cell>
          <cell r="C168" t="str">
            <v>Kit Relação moto</v>
          </cell>
          <cell r="D168" t="str">
            <v>POLO</v>
          </cell>
          <cell r="E168" t="str">
            <v>KIT TRANSMISSÃO YAHAMA YBR 125</v>
          </cell>
          <cell r="F168">
            <v>2</v>
          </cell>
        </row>
        <row r="169">
          <cell r="A169">
            <v>222083</v>
          </cell>
          <cell r="B169" t="str">
            <v>SIMPLES</v>
          </cell>
          <cell r="C169" t="str">
            <v>Bandeja</v>
          </cell>
          <cell r="D169" t="str">
            <v>SPARE</v>
          </cell>
          <cell r="E169" t="str">
            <v>Bandeja Dianteira Esquerda New Fiesta 2011 A 2018 Com Pivô</v>
          </cell>
          <cell r="F169">
            <v>1</v>
          </cell>
        </row>
        <row r="170">
          <cell r="A170">
            <v>10136</v>
          </cell>
          <cell r="B170" t="str">
            <v>SIMPLES</v>
          </cell>
          <cell r="C170" t="str">
            <v>Bomba Combustível</v>
          </cell>
          <cell r="D170" t="str">
            <v>POLO</v>
          </cell>
          <cell r="E170" t="str">
            <v>Bomba Combustível Flex Universal Sistema Bosch 12 Bar</v>
          </cell>
          <cell r="F170">
            <v>1</v>
          </cell>
        </row>
        <row r="171">
          <cell r="A171">
            <v>552014</v>
          </cell>
          <cell r="B171" t="str">
            <v>SIMPLES</v>
          </cell>
          <cell r="C171" t="str">
            <v>Bandeja</v>
          </cell>
          <cell r="D171" t="str">
            <v>SPARE</v>
          </cell>
          <cell r="E171" t="str">
            <v>Bandeja C4 Picasso 2009 Á 2014 Lado Direito</v>
          </cell>
          <cell r="F171">
            <v>1</v>
          </cell>
        </row>
        <row r="172">
          <cell r="A172">
            <v>222062</v>
          </cell>
          <cell r="B172" t="str">
            <v>SIMPLES</v>
          </cell>
          <cell r="C172" t="str">
            <v>Bandeja</v>
          </cell>
          <cell r="D172" t="str">
            <v>SPARE</v>
          </cell>
          <cell r="E172" t="str">
            <v>Bandeja Inferior Direito Ka Direção Hidráulica  08 Á 13</v>
          </cell>
          <cell r="F172">
            <v>1</v>
          </cell>
        </row>
        <row r="173">
          <cell r="A173">
            <v>772223</v>
          </cell>
          <cell r="B173" t="str">
            <v>SIMPLES</v>
          </cell>
          <cell r="C173" t="str">
            <v>Bandeja</v>
          </cell>
          <cell r="D173" t="str">
            <v>SPARE</v>
          </cell>
          <cell r="E173" t="str">
            <v>Bandeja Dianteira Direita com pivô Lancer 2011 À 2019</v>
          </cell>
          <cell r="F173">
            <v>1</v>
          </cell>
        </row>
        <row r="174">
          <cell r="A174">
            <v>662068</v>
          </cell>
          <cell r="B174" t="str">
            <v>SIMPLES</v>
          </cell>
          <cell r="C174" t="str">
            <v>Bandeja</v>
          </cell>
          <cell r="D174" t="str">
            <v>SPARE</v>
          </cell>
          <cell r="E174" t="str">
            <v>Bandeja Dianteira Lado Esquerdo Com Pivô Fluence 2011 À 2018</v>
          </cell>
          <cell r="F174">
            <v>1</v>
          </cell>
        </row>
        <row r="175">
          <cell r="A175">
            <v>332025</v>
          </cell>
          <cell r="B175" t="str">
            <v>SIMPLES</v>
          </cell>
          <cell r="C175" t="str">
            <v>Bandeja</v>
          </cell>
          <cell r="D175" t="str">
            <v>SPARE</v>
          </cell>
          <cell r="E175" t="str">
            <v>Bandeja Dianteira Esquerda Monza 1991 A 1996 Sem Pivô</v>
          </cell>
          <cell r="F175">
            <v>2</v>
          </cell>
        </row>
        <row r="176">
          <cell r="A176" t="str">
            <v>PG001A</v>
          </cell>
          <cell r="B176" t="str">
            <v>SIMPLES</v>
          </cell>
          <cell r="C176" t="str">
            <v>Rolamento Eixo</v>
          </cell>
          <cell r="D176" t="str">
            <v>Importação</v>
          </cell>
          <cell r="E176" t="str">
            <v>Kit De Rolamento Eixo Traseiro 207 Passion Com Barra 50mm</v>
          </cell>
          <cell r="F176">
            <v>2</v>
          </cell>
        </row>
        <row r="177">
          <cell r="A177">
            <v>112133</v>
          </cell>
          <cell r="B177" t="str">
            <v>SIMPLES</v>
          </cell>
          <cell r="C177" t="str">
            <v>Bandeja</v>
          </cell>
          <cell r="D177" t="str">
            <v>SPARE</v>
          </cell>
          <cell r="E177" t="str">
            <v>Bandeja Dianteira Esquerda Com Pivô Linea 2008 A 2016</v>
          </cell>
          <cell r="F177">
            <v>1</v>
          </cell>
        </row>
        <row r="178">
          <cell r="A178">
            <v>6617</v>
          </cell>
          <cell r="B178" t="str">
            <v>SIMPLES</v>
          </cell>
          <cell r="C178" t="str">
            <v>Bieleta</v>
          </cell>
          <cell r="D178" t="str">
            <v>HOLYMAN</v>
          </cell>
          <cell r="E178" t="str">
            <v>Bieleta Dianteira Ambos Lados Bmw 116d 116i 2011 Em Diante</v>
          </cell>
          <cell r="F178">
            <v>3</v>
          </cell>
        </row>
        <row r="179">
          <cell r="A179">
            <v>77352</v>
          </cell>
          <cell r="B179" t="str">
            <v>SIMPLES</v>
          </cell>
          <cell r="C179" t="str">
            <v>Cabo Câmbio</v>
          </cell>
          <cell r="D179" t="str">
            <v>Importação</v>
          </cell>
          <cell r="E179" t="str">
            <v>Cabo De Marcha Astra 2001/2005 Original 93306003</v>
          </cell>
          <cell r="F179">
            <v>1</v>
          </cell>
        </row>
        <row r="180">
          <cell r="A180" t="str">
            <v>FTK11051</v>
          </cell>
          <cell r="B180" t="str">
            <v>SIMPLES</v>
          </cell>
          <cell r="C180" t="str">
            <v>Pivô</v>
          </cell>
          <cell r="D180" t="str">
            <v>SPARE</v>
          </cell>
          <cell r="E180" t="str">
            <v>PIVÔ INFERIOR AMBOS LADOS MERIVA 1.4 1.8 2003 A 2012</v>
          </cell>
          <cell r="F180">
            <v>3</v>
          </cell>
        </row>
        <row r="181">
          <cell r="A181">
            <v>2357</v>
          </cell>
          <cell r="B181" t="str">
            <v>SIMPLES</v>
          </cell>
          <cell r="C181" t="str">
            <v>Suporte Radiador</v>
          </cell>
          <cell r="D181" t="str">
            <v>LT CORREA</v>
          </cell>
          <cell r="E181" t="str">
            <v>Suporte Coxin Radiador Esquerdo Corsa Frente Montana 2002/12</v>
          </cell>
          <cell r="F181">
            <v>2</v>
          </cell>
        </row>
        <row r="182">
          <cell r="A182">
            <v>88573</v>
          </cell>
          <cell r="B182" t="str">
            <v>SIMPLES</v>
          </cell>
          <cell r="C182" t="str">
            <v>Cabo Acelerador</v>
          </cell>
          <cell r="D182" t="str">
            <v>MundiFlex</v>
          </cell>
          <cell r="E182" t="str">
            <v>Cabo De Acelerador Escort 09 1996 A 11 2002 1.8 16v</v>
          </cell>
          <cell r="F182">
            <v>5</v>
          </cell>
        </row>
        <row r="183">
          <cell r="A183">
            <v>772008</v>
          </cell>
          <cell r="B183" t="str">
            <v>SIMPLES</v>
          </cell>
          <cell r="C183" t="str">
            <v>Bandeja</v>
          </cell>
          <cell r="D183" t="str">
            <v>SPARE</v>
          </cell>
          <cell r="E183" t="str">
            <v>Bandeja Dianteira Direita Com Pivô Honda City 2009 A 2013</v>
          </cell>
          <cell r="F183">
            <v>1</v>
          </cell>
        </row>
        <row r="184">
          <cell r="A184">
            <v>111301</v>
          </cell>
          <cell r="B184" t="str">
            <v>SIMPLES</v>
          </cell>
          <cell r="C184" t="str">
            <v>Cabo Embreagem</v>
          </cell>
          <cell r="D184" t="str">
            <v>Importação</v>
          </cell>
          <cell r="E184" t="str">
            <v>Cabo De Embreagem Toyota Etios 1.3/1.5 16v 2012/2013... Novo</v>
          </cell>
          <cell r="F184">
            <v>2</v>
          </cell>
        </row>
        <row r="185">
          <cell r="A185">
            <v>112103</v>
          </cell>
          <cell r="B185" t="str">
            <v>SIMPLES</v>
          </cell>
          <cell r="C185" t="str">
            <v>Bandeja</v>
          </cell>
          <cell r="D185" t="str">
            <v>SPARE</v>
          </cell>
          <cell r="E185" t="str">
            <v>Bandeja Dianteira Esquerda Com Pivô Fiat Punto 2006 A 2014</v>
          </cell>
          <cell r="F185">
            <v>1</v>
          </cell>
        </row>
        <row r="186">
          <cell r="A186">
            <v>332082</v>
          </cell>
          <cell r="B186" t="str">
            <v>SIMPLES</v>
          </cell>
          <cell r="C186" t="str">
            <v>Bandeja</v>
          </cell>
          <cell r="D186" t="str">
            <v>SPARE</v>
          </cell>
          <cell r="E186" t="str">
            <v>Bandeja Inferior Esquerda Com Pivô Zafira 2001 A 2012</v>
          </cell>
          <cell r="F186">
            <v>1</v>
          </cell>
        </row>
        <row r="187">
          <cell r="A187" t="str">
            <v>FBK-5042</v>
          </cell>
          <cell r="B187" t="str">
            <v>SIMPLES</v>
          </cell>
          <cell r="C187" t="str">
            <v>LONA DE FREIO MOTO</v>
          </cell>
          <cell r="D187" t="str">
            <v>FABRECK</v>
          </cell>
          <cell r="E187" t="str">
            <v>LONA DE FREIO</v>
          </cell>
          <cell r="F187">
            <v>8</v>
          </cell>
        </row>
        <row r="188">
          <cell r="A188" t="str">
            <v>FBK-5044</v>
          </cell>
          <cell r="B188" t="str">
            <v>SIMPLES</v>
          </cell>
          <cell r="C188" t="str">
            <v>LONA DE FREIO MOTO</v>
          </cell>
          <cell r="D188" t="str">
            <v>FABRECK</v>
          </cell>
          <cell r="E188" t="str">
            <v>LONA DE FREIO</v>
          </cell>
          <cell r="F188">
            <v>8</v>
          </cell>
        </row>
        <row r="189">
          <cell r="A189" t="str">
            <v>T1007</v>
          </cell>
          <cell r="B189" t="str">
            <v>SIMPLES</v>
          </cell>
          <cell r="C189" t="str">
            <v>Terminal Cabo Câmbio</v>
          </cell>
          <cell r="D189" t="str">
            <v>Importação / LT CORREA</v>
          </cell>
          <cell r="E189" t="str">
            <v>Terminal cabo do Corsa</v>
          </cell>
          <cell r="F189">
            <v>9</v>
          </cell>
        </row>
        <row r="190">
          <cell r="A190">
            <v>332110</v>
          </cell>
          <cell r="B190" t="str">
            <v>SIMPLES</v>
          </cell>
          <cell r="C190" t="str">
            <v>Bandeja</v>
          </cell>
          <cell r="D190" t="str">
            <v>SPARE</v>
          </cell>
          <cell r="E190" t="str">
            <v>Bandeja Superior Direito S10 4x2 E 4x4 1995 Á 2011</v>
          </cell>
          <cell r="F190">
            <v>1</v>
          </cell>
        </row>
        <row r="191">
          <cell r="A191">
            <v>112101</v>
          </cell>
          <cell r="B191" t="str">
            <v>SIMPLES</v>
          </cell>
          <cell r="C191" t="str">
            <v>Bandeja</v>
          </cell>
          <cell r="D191" t="str">
            <v>SPARE</v>
          </cell>
          <cell r="E191" t="str">
            <v>Bandeja Dianteira Esquerda Sem Pivô Punto 2006 A 2014</v>
          </cell>
          <cell r="F191">
            <v>1</v>
          </cell>
        </row>
        <row r="192">
          <cell r="A192" t="str">
            <v>FTK11057</v>
          </cell>
          <cell r="B192" t="str">
            <v>SIMPLES</v>
          </cell>
          <cell r="C192" t="str">
            <v>Pivô</v>
          </cell>
          <cell r="D192" t="str">
            <v>SPARE</v>
          </cell>
          <cell r="E192" t="str">
            <v>Pivô Lado Esquerdo Gol G6 2012 Em Diante</v>
          </cell>
          <cell r="F192">
            <v>3</v>
          </cell>
        </row>
        <row r="193">
          <cell r="A193" t="str">
            <v>FBK-790</v>
          </cell>
          <cell r="B193" t="str">
            <v>SIMPLES</v>
          </cell>
          <cell r="C193" t="str">
            <v>PASTILHA DE FREIO MOTO</v>
          </cell>
          <cell r="D193" t="str">
            <v>FABRECK</v>
          </cell>
          <cell r="E193" t="str">
            <v>PASTILHA DE FREIO</v>
          </cell>
          <cell r="F193">
            <v>5</v>
          </cell>
        </row>
        <row r="194">
          <cell r="A194">
            <v>552030</v>
          </cell>
          <cell r="B194" t="str">
            <v>SIMPLES</v>
          </cell>
          <cell r="C194" t="str">
            <v>Bandeja</v>
          </cell>
          <cell r="D194" t="str">
            <v>SPARE</v>
          </cell>
          <cell r="E194" t="str">
            <v>Bandeja Inferior Esquerdo Xsara Picasso 2001 A 2011</v>
          </cell>
          <cell r="F194">
            <v>1</v>
          </cell>
        </row>
        <row r="195">
          <cell r="A195">
            <v>11195</v>
          </cell>
          <cell r="B195" t="str">
            <v>SIMPLES</v>
          </cell>
          <cell r="C195" t="str">
            <v>Pastilha Freio</v>
          </cell>
          <cell r="D195" t="str">
            <v>Fabreck</v>
          </cell>
          <cell r="E195" t="str">
            <v>Pastilhas De Freio Dianteiro Palio Young 1.0 2001</v>
          </cell>
          <cell r="F195">
            <v>5</v>
          </cell>
        </row>
        <row r="196">
          <cell r="A196">
            <v>662013</v>
          </cell>
          <cell r="B196" t="str">
            <v>SIMPLES</v>
          </cell>
          <cell r="C196" t="str">
            <v>Bandeja</v>
          </cell>
          <cell r="D196" t="str">
            <v>SPARE</v>
          </cell>
          <cell r="E196" t="str">
            <v>Bandeja Inferior Esquerda Com Pivô Kwid 2017 Em Diante</v>
          </cell>
          <cell r="F196">
            <v>1</v>
          </cell>
        </row>
        <row r="197">
          <cell r="A197">
            <v>662070</v>
          </cell>
          <cell r="B197" t="str">
            <v>SIMPLES</v>
          </cell>
          <cell r="C197" t="str">
            <v>Bandeja</v>
          </cell>
          <cell r="D197" t="str">
            <v>SPARE</v>
          </cell>
          <cell r="E197" t="str">
            <v>Bandeja Dianteira Direita Com Pivô Oroch 2012 A 2016</v>
          </cell>
          <cell r="F197">
            <v>1</v>
          </cell>
        </row>
        <row r="198">
          <cell r="A198">
            <v>772103</v>
          </cell>
          <cell r="B198" t="str">
            <v>SIMPLES</v>
          </cell>
          <cell r="C198" t="str">
            <v>Bandeja</v>
          </cell>
          <cell r="D198" t="str">
            <v>SPARE</v>
          </cell>
          <cell r="E198" t="str">
            <v>Bandeja Com Pivô Lado Direito March 2011 Em Diante</v>
          </cell>
          <cell r="F198">
            <v>2</v>
          </cell>
        </row>
        <row r="199">
          <cell r="A199">
            <v>112106</v>
          </cell>
          <cell r="B199" t="str">
            <v>SIMPLES</v>
          </cell>
          <cell r="C199" t="str">
            <v>Bandeja</v>
          </cell>
          <cell r="D199" t="str">
            <v>SPARE</v>
          </cell>
          <cell r="E199" t="str">
            <v>Bandeja Direita Com Pivô Mobi 2016 Em Diante</v>
          </cell>
          <cell r="F199">
            <v>1</v>
          </cell>
        </row>
        <row r="200">
          <cell r="A200">
            <v>66507</v>
          </cell>
          <cell r="B200" t="str">
            <v>SIMPLES</v>
          </cell>
          <cell r="C200" t="str">
            <v>Cabo de Capô</v>
          </cell>
          <cell r="D200" t="str">
            <v>MundiFlex</v>
          </cell>
          <cell r="E200" t="str">
            <v>Cabo De Capô Com Alavanca 1575mm Siena 1998 A 2000</v>
          </cell>
          <cell r="F200">
            <v>3</v>
          </cell>
        </row>
        <row r="201">
          <cell r="A201">
            <v>880547</v>
          </cell>
          <cell r="B201" t="str">
            <v>SIMPLES</v>
          </cell>
          <cell r="C201" t="str">
            <v>Cupula alavanca</v>
          </cell>
          <cell r="D201" t="str">
            <v>HOLYMAN</v>
          </cell>
          <cell r="E201" t="str">
            <v>Kit Cupula Alavanca Ré Para Frente Strada Até 2001</v>
          </cell>
          <cell r="F201">
            <v>2</v>
          </cell>
        </row>
        <row r="202">
          <cell r="A202">
            <v>4077</v>
          </cell>
          <cell r="B202" t="str">
            <v>SIMPLES</v>
          </cell>
          <cell r="C202" t="str">
            <v>Capa Pedal</v>
          </cell>
          <cell r="D202" t="str">
            <v>HOLYMAN</v>
          </cell>
          <cell r="E202" t="str">
            <v>Capa De Pedal Freio Embreagem Logan 2014 A 2022</v>
          </cell>
          <cell r="F202">
            <v>11</v>
          </cell>
        </row>
        <row r="203">
          <cell r="A203" t="str">
            <v>ftk00205</v>
          </cell>
          <cell r="B203" t="str">
            <v>SIMPLES</v>
          </cell>
          <cell r="C203" t="str">
            <v>Pivô</v>
          </cell>
          <cell r="D203" t="str">
            <v>SPARE</v>
          </cell>
          <cell r="E203" t="str">
            <v>Pivô Ambos Os Lados Bandeja Grand Santa Fé 2014 A 2019 3.3</v>
          </cell>
          <cell r="F203">
            <v>2</v>
          </cell>
        </row>
        <row r="204">
          <cell r="A204" t="str">
            <v>41300-DF0-FZ18</v>
          </cell>
          <cell r="B204" t="str">
            <v>SIMPLES</v>
          </cell>
          <cell r="C204" t="str">
            <v>Kit Relação moto</v>
          </cell>
          <cell r="D204" t="str">
            <v>SMARTFOX</v>
          </cell>
          <cell r="E204" t="str">
            <v>KIT TRANSMISÃO FAZER</v>
          </cell>
          <cell r="F204">
            <v>1</v>
          </cell>
        </row>
        <row r="205">
          <cell r="A205">
            <v>13121</v>
          </cell>
          <cell r="B205" t="str">
            <v>SIMPLES</v>
          </cell>
          <cell r="C205" t="str">
            <v>Pino de Freio</v>
          </cell>
          <cell r="D205" t="str">
            <v>MultiKit</v>
          </cell>
          <cell r="E205" t="str">
            <v>Reparo Pino Guia Pinça De Freio Del Rey 1986 Até1991</v>
          </cell>
          <cell r="F205">
            <v>2</v>
          </cell>
        </row>
        <row r="206">
          <cell r="A206" t="str">
            <v>41300-DF0-FZ06</v>
          </cell>
          <cell r="B206" t="str">
            <v>SIMPLES</v>
          </cell>
          <cell r="C206" t="str">
            <v>Kit Relação moto</v>
          </cell>
          <cell r="D206" t="str">
            <v>SMARTFOX</v>
          </cell>
          <cell r="E206" t="str">
            <v>KIT TRANSMISSÃO FAZER</v>
          </cell>
          <cell r="F206">
            <v>1</v>
          </cell>
        </row>
        <row r="207">
          <cell r="A207" t="str">
            <v>41300-DF1-CG15</v>
          </cell>
          <cell r="B207" t="str">
            <v>SIMPLES</v>
          </cell>
          <cell r="C207" t="str">
            <v>Kit Relação moto</v>
          </cell>
          <cell r="D207" t="str">
            <v>SMARTFOX</v>
          </cell>
          <cell r="E207" t="str">
            <v xml:space="preserve">KIT TRANSMISSÃO </v>
          </cell>
          <cell r="F207">
            <v>1</v>
          </cell>
        </row>
        <row r="208">
          <cell r="A208">
            <v>772029</v>
          </cell>
          <cell r="B208" t="str">
            <v>SIMPLES</v>
          </cell>
          <cell r="C208" t="str">
            <v>Bandeja</v>
          </cell>
          <cell r="D208" t="str">
            <v>SPARE</v>
          </cell>
          <cell r="E208" t="str">
            <v>Bandeja Esquerda Inferior Corolla 1997 A 2002 Sem Pivô</v>
          </cell>
          <cell r="F208">
            <v>1</v>
          </cell>
        </row>
        <row r="209">
          <cell r="A209" t="str">
            <v>NZT0012</v>
          </cell>
          <cell r="B209" t="str">
            <v>SIMPLES</v>
          </cell>
          <cell r="C209" t="str">
            <v>Rolamento Roda</v>
          </cell>
          <cell r="D209" t="str">
            <v>POLO</v>
          </cell>
          <cell r="E209" t="str">
            <v>Rolamento Da Roda Dianteira Sem Abs Fiat Marea 1999 A 2007</v>
          </cell>
          <cell r="F209">
            <v>2</v>
          </cell>
        </row>
        <row r="210">
          <cell r="A210">
            <v>227205</v>
          </cell>
          <cell r="B210" t="str">
            <v>SIMPLES</v>
          </cell>
          <cell r="C210" t="str">
            <v>Cabo Embreagem</v>
          </cell>
          <cell r="D210" t="str">
            <v>Importação</v>
          </cell>
          <cell r="E210" t="str">
            <v>Cabo De Embreagem 206 1.0 16v D4d 1060mm Regulagem Manual</v>
          </cell>
          <cell r="F210">
            <v>2</v>
          </cell>
        </row>
        <row r="211">
          <cell r="A211">
            <v>112126</v>
          </cell>
          <cell r="B211" t="str">
            <v>SIMPLES</v>
          </cell>
          <cell r="C211" t="str">
            <v>Bandeja</v>
          </cell>
          <cell r="D211" t="str">
            <v>SPARE</v>
          </cell>
          <cell r="E211" t="str">
            <v>Bandeja Inferior Direita Com Pivô Idea Elx 2005 A 2016</v>
          </cell>
          <cell r="F211">
            <v>1</v>
          </cell>
        </row>
        <row r="212">
          <cell r="A212">
            <v>226106</v>
          </cell>
          <cell r="B212" t="str">
            <v>SIMPLES</v>
          </cell>
          <cell r="C212" t="str">
            <v>Cabo de Acelerador</v>
          </cell>
          <cell r="D212" t="str">
            <v>Importação</v>
          </cell>
          <cell r="E212" t="str">
            <v>Cabo De Acelerador Clio I I 1999 Em Diante 1.0 8v</v>
          </cell>
          <cell r="F212">
            <v>5</v>
          </cell>
        </row>
        <row r="213">
          <cell r="A213">
            <v>2358</v>
          </cell>
          <cell r="B213" t="str">
            <v>SIMPLES</v>
          </cell>
          <cell r="C213" t="str">
            <v>Suporte Radiador</v>
          </cell>
          <cell r="D213" t="str">
            <v>LT CORREA</v>
          </cell>
          <cell r="E213" t="str">
            <v>Suporte Coxin Radiador Direito Montana Antiga 2002 A 2012</v>
          </cell>
          <cell r="F213">
            <v>3</v>
          </cell>
        </row>
        <row r="214">
          <cell r="A214">
            <v>14098</v>
          </cell>
          <cell r="B214" t="str">
            <v>SIMPLES</v>
          </cell>
          <cell r="C214" t="str">
            <v>Pino de Porta</v>
          </cell>
          <cell r="D214" t="str">
            <v>MultiKit</v>
          </cell>
          <cell r="E214" t="str">
            <v>Pino Da Dobradiça Da Porta Siena G3 2005 A 2008</v>
          </cell>
          <cell r="F214">
            <v>6</v>
          </cell>
        </row>
        <row r="215">
          <cell r="A215">
            <v>332136</v>
          </cell>
          <cell r="B215" t="str">
            <v>SIMPLES</v>
          </cell>
          <cell r="C215" t="str">
            <v>Bandeja</v>
          </cell>
          <cell r="D215" t="str">
            <v>SPARE</v>
          </cell>
          <cell r="E215" t="str">
            <v>Bandeja Inferior Opala 1980 Até 1992 Lado Direito</v>
          </cell>
          <cell r="F215">
            <v>1</v>
          </cell>
        </row>
        <row r="216">
          <cell r="A216">
            <v>442085</v>
          </cell>
          <cell r="B216" t="str">
            <v>SIMPLES</v>
          </cell>
          <cell r="C216" t="str">
            <v>Bandeja</v>
          </cell>
          <cell r="D216" t="str">
            <v>SPARE</v>
          </cell>
          <cell r="E216" t="str">
            <v>Bandeja Inferior Esquerda Com Pivô Logus 1993 A 1996</v>
          </cell>
          <cell r="F216">
            <v>1</v>
          </cell>
        </row>
        <row r="217">
          <cell r="A217">
            <v>993001</v>
          </cell>
          <cell r="B217" t="str">
            <v>SIMPLES</v>
          </cell>
          <cell r="C217" t="str">
            <v>Bandeja</v>
          </cell>
          <cell r="D217" t="str">
            <v>SPARE</v>
          </cell>
          <cell r="E217" t="str">
            <v>Braço Bandeja Ambos Lados Com Pivô Chery Qq 1.1 2011 A 2018</v>
          </cell>
          <cell r="F217">
            <v>1</v>
          </cell>
        </row>
        <row r="218">
          <cell r="A218">
            <v>112092</v>
          </cell>
          <cell r="B218" t="str">
            <v>SIMPLES</v>
          </cell>
          <cell r="C218" t="str">
            <v>Bandeja</v>
          </cell>
          <cell r="D218" t="str">
            <v>SPARE</v>
          </cell>
          <cell r="E218" t="str">
            <v>Bandeja Dianteira Esquerda Stilo 2002 A 2011 Com Pivô</v>
          </cell>
          <cell r="F218">
            <v>1</v>
          </cell>
        </row>
        <row r="219">
          <cell r="A219" t="str">
            <v>RT001</v>
          </cell>
          <cell r="B219" t="str">
            <v>SIMPLES</v>
          </cell>
          <cell r="C219" t="str">
            <v>Kit Relação moto</v>
          </cell>
          <cell r="D219" t="str">
            <v>POLO</v>
          </cell>
          <cell r="E219" t="str">
            <v>KIT TRANSMISSAO S/ RET CG 150 TITAN KS 04/08 ES 04/08 ESD 04/16 MIX 09/15 FAN 09/15</v>
          </cell>
          <cell r="F219">
            <v>2</v>
          </cell>
        </row>
        <row r="220">
          <cell r="A220">
            <v>4059</v>
          </cell>
          <cell r="B220" t="str">
            <v>SIMPLES</v>
          </cell>
          <cell r="C220" t="str">
            <v>Capa Pedal</v>
          </cell>
          <cell r="D220" t="str">
            <v>HOLYMAN</v>
          </cell>
          <cell r="E220" t="str">
            <v>CAPA DE PEDAL FREIO EMBREAGEM HILUX 2005 A 2015</v>
          </cell>
          <cell r="F220">
            <v>8</v>
          </cell>
        </row>
        <row r="221">
          <cell r="A221">
            <v>332022</v>
          </cell>
          <cell r="B221" t="str">
            <v>SIMPLES</v>
          </cell>
          <cell r="C221" t="str">
            <v>Bandeja</v>
          </cell>
          <cell r="D221" t="str">
            <v>SPARE</v>
          </cell>
          <cell r="E221" t="str">
            <v>Bandeja Dianteira Direita Monza 1991 A 1996 Com Pivô</v>
          </cell>
          <cell r="F221">
            <v>1</v>
          </cell>
        </row>
        <row r="222">
          <cell r="A222">
            <v>8501</v>
          </cell>
          <cell r="B222" t="str">
            <v>SIMPLES</v>
          </cell>
          <cell r="C222" t="str">
            <v>Bieleta</v>
          </cell>
          <cell r="D222" t="str">
            <v>HOLYMAN</v>
          </cell>
          <cell r="E222" t="str">
            <v>BIELETA DIANT .MINI COOPER / COUPE / ONE 01/CLUBMAN/CABRIOLET</v>
          </cell>
          <cell r="F222">
            <v>2</v>
          </cell>
        </row>
        <row r="223">
          <cell r="A223" t="str">
            <v>NZT0186</v>
          </cell>
          <cell r="B223" t="str">
            <v>SIMPLES</v>
          </cell>
          <cell r="C223" t="str">
            <v>Rolamento Roda</v>
          </cell>
          <cell r="D223" t="str">
            <v>POLO</v>
          </cell>
          <cell r="E223" t="str">
            <v>ROLAMENTO RODA DIANTEIRA AIRCROSS 1.6 2010 EM DIANTE</v>
          </cell>
          <cell r="F223">
            <v>1</v>
          </cell>
        </row>
        <row r="224">
          <cell r="A224">
            <v>772022</v>
          </cell>
          <cell r="B224" t="str">
            <v>SIMPLES</v>
          </cell>
          <cell r="C224" t="str">
            <v>Bandeja</v>
          </cell>
          <cell r="D224" t="str">
            <v>SPARE</v>
          </cell>
          <cell r="E224" t="str">
            <v>BANDEJA INFERIOR ESQUERDA SEM PIVÔ CIVIC 2001 A 2006</v>
          </cell>
          <cell r="F224">
            <v>1</v>
          </cell>
        </row>
        <row r="225">
          <cell r="A225">
            <v>332010</v>
          </cell>
          <cell r="B225" t="str">
            <v>SIMPLES</v>
          </cell>
          <cell r="C225" t="str">
            <v>Bandeja</v>
          </cell>
          <cell r="D225" t="str">
            <v>SPARE</v>
          </cell>
          <cell r="E225" t="str">
            <v>Braço Da Suspensão Direito Corsa Wagon Sem Pivô 1995 A 1997</v>
          </cell>
          <cell r="F225">
            <v>3</v>
          </cell>
        </row>
        <row r="226">
          <cell r="A226">
            <v>332011</v>
          </cell>
          <cell r="B226" t="str">
            <v>SIMPLES</v>
          </cell>
          <cell r="C226" t="str">
            <v>Bandeja</v>
          </cell>
          <cell r="D226" t="str">
            <v>SPARE</v>
          </cell>
          <cell r="E226" t="str">
            <v>Braço Suspensão Esquerdo Corsa Wagon Sem Pivô 1995 A 1997</v>
          </cell>
          <cell r="F226">
            <v>3</v>
          </cell>
        </row>
        <row r="227">
          <cell r="A227" t="str">
            <v>41300-DF0-FZ13</v>
          </cell>
          <cell r="B227" t="str">
            <v>SIMPLES</v>
          </cell>
          <cell r="C227" t="str">
            <v>Kit Relação moto</v>
          </cell>
          <cell r="D227" t="str">
            <v>SMARTFOX</v>
          </cell>
          <cell r="E227" t="str">
            <v>KIT TRANSMISSÃO FAZER</v>
          </cell>
          <cell r="F227">
            <v>1</v>
          </cell>
        </row>
        <row r="228">
          <cell r="A228" t="str">
            <v>FTK77368</v>
          </cell>
          <cell r="B228" t="str">
            <v>SIMPLES</v>
          </cell>
          <cell r="C228" t="str">
            <v>Pivô</v>
          </cell>
          <cell r="D228" t="str">
            <v>SPARE</v>
          </cell>
          <cell r="E228" t="str">
            <v>Pivô Inferior T-cross 2019 Á 2022 Lado Direito</v>
          </cell>
          <cell r="F228">
            <v>2</v>
          </cell>
        </row>
        <row r="229">
          <cell r="A229">
            <v>77146</v>
          </cell>
          <cell r="B229" t="str">
            <v>SIMPLES</v>
          </cell>
          <cell r="C229" t="str">
            <v>Cabo de Velocímetro</v>
          </cell>
          <cell r="D229" t="str">
            <v>MundiFlex</v>
          </cell>
          <cell r="E229" t="str">
            <v>Cabo De Velocímetro Vectra Todos Câmbio Mecânico 1993 A 1996</v>
          </cell>
          <cell r="F229">
            <v>4</v>
          </cell>
        </row>
        <row r="230">
          <cell r="A230" t="str">
            <v>PDM2399</v>
          </cell>
          <cell r="B230" t="str">
            <v>SIMPLES</v>
          </cell>
          <cell r="C230" t="str">
            <v>Kit Relação moto</v>
          </cell>
          <cell r="D230" t="str">
            <v>PANDÃO</v>
          </cell>
          <cell r="E230" t="str">
            <v>KIT TRANSMISSÃO CB 250 F TWISTER 250 2016/2022</v>
          </cell>
          <cell r="F230">
            <v>1</v>
          </cell>
        </row>
        <row r="231">
          <cell r="A231">
            <v>2345</v>
          </cell>
          <cell r="B231" t="str">
            <v>SIMPLES</v>
          </cell>
          <cell r="C231" t="str">
            <v>Reparo alavanta Câmbio</v>
          </cell>
          <cell r="D231" t="str">
            <v>LT CORREA</v>
          </cell>
          <cell r="E231" t="str">
            <v>Pino Regulagem Da Ponta Do Cabo De Marcha Corsa Celta Vectra</v>
          </cell>
          <cell r="F231">
            <v>6</v>
          </cell>
        </row>
        <row r="232">
          <cell r="A232" t="str">
            <v>RT002</v>
          </cell>
          <cell r="B232" t="str">
            <v>SIMPLES</v>
          </cell>
          <cell r="C232" t="str">
            <v>Kit Relação moto</v>
          </cell>
          <cell r="D232" t="str">
            <v>POLO</v>
          </cell>
          <cell r="E232" t="str">
            <v xml:space="preserve">KIT TRANSMISSÃO HONDA CG 125 TITAN  </v>
          </cell>
          <cell r="F232">
            <v>2</v>
          </cell>
        </row>
        <row r="233">
          <cell r="A233" t="str">
            <v>PDM099</v>
          </cell>
          <cell r="B233" t="str">
            <v>SIMPLES</v>
          </cell>
          <cell r="C233" t="str">
            <v>Kit Relação moto</v>
          </cell>
          <cell r="D233" t="str">
            <v>PANDÃO</v>
          </cell>
          <cell r="E233" t="str">
            <v>KIT TRASMISÃO XRE300</v>
          </cell>
          <cell r="F233">
            <v>1</v>
          </cell>
        </row>
        <row r="234">
          <cell r="A234">
            <v>50050</v>
          </cell>
          <cell r="B234" t="str">
            <v>SIMPLES</v>
          </cell>
          <cell r="C234" t="str">
            <v>Garfo Embreagem</v>
          </cell>
          <cell r="D234" t="str">
            <v>LT CORREA</v>
          </cell>
          <cell r="E234" t="str">
            <v>Garfo Da Embreagem Peugeot Partner 2012 A 2018</v>
          </cell>
          <cell r="F234">
            <v>1</v>
          </cell>
        </row>
        <row r="235">
          <cell r="A235">
            <v>4081</v>
          </cell>
          <cell r="B235" t="str">
            <v>SIMPLES</v>
          </cell>
          <cell r="C235" t="str">
            <v>Capa pedal</v>
          </cell>
          <cell r="D235" t="str">
            <v>HOLYMAN</v>
          </cell>
          <cell r="E235" t="str">
            <v>Capa De Pedal Freio Automático Focus 2008 A 2016</v>
          </cell>
          <cell r="F235">
            <v>6</v>
          </cell>
        </row>
        <row r="236">
          <cell r="A236">
            <v>22099</v>
          </cell>
          <cell r="B236" t="str">
            <v>SIMPLES</v>
          </cell>
          <cell r="C236" t="str">
            <v>Pastilha Freio</v>
          </cell>
          <cell r="D236" t="str">
            <v>Fabreck</v>
          </cell>
          <cell r="E236" t="str">
            <v>Pastilha De Freio Dianteira Classic 2010 Em Diante</v>
          </cell>
          <cell r="F236">
            <v>3</v>
          </cell>
        </row>
        <row r="237">
          <cell r="A237">
            <v>880549</v>
          </cell>
          <cell r="B237" t="str">
            <v>SIMPLES</v>
          </cell>
          <cell r="C237" t="str">
            <v>Cupula alavanca</v>
          </cell>
          <cell r="D237" t="str">
            <v>BRK</v>
          </cell>
          <cell r="E237" t="str">
            <v>Kit Cupula Alavanca Ré Para Trás Siena 1996 Em Diante</v>
          </cell>
          <cell r="F237">
            <v>2</v>
          </cell>
        </row>
        <row r="238">
          <cell r="A238">
            <v>66630</v>
          </cell>
          <cell r="B238" t="str">
            <v>SIMPLES</v>
          </cell>
          <cell r="C238" t="str">
            <v>Pastilha Freio</v>
          </cell>
          <cell r="D238" t="str">
            <v>Importação</v>
          </cell>
          <cell r="E238" t="str">
            <v>Cabo De Engate Punto Hlx 2008 A 2010 1.8</v>
          </cell>
          <cell r="F238">
            <v>1</v>
          </cell>
        </row>
        <row r="239">
          <cell r="A239">
            <v>2353</v>
          </cell>
          <cell r="B239" t="str">
            <v>SIMPLES</v>
          </cell>
          <cell r="C239" t="str">
            <v>Suporte Câmbio</v>
          </cell>
          <cell r="D239" t="str">
            <v>LT CORREA</v>
          </cell>
          <cell r="E239" t="str">
            <v>Suporte Traseiro Do Motor Câmbio Manual Astra 2004</v>
          </cell>
          <cell r="F239">
            <v>1</v>
          </cell>
        </row>
        <row r="240">
          <cell r="A240">
            <v>77156</v>
          </cell>
          <cell r="B240" t="str">
            <v>SIMPLES</v>
          </cell>
          <cell r="C240" t="str">
            <v>Cabo de Capô</v>
          </cell>
          <cell r="D240" t="str">
            <v>MundiFlex</v>
          </cell>
          <cell r="E240" t="str">
            <v>Cabo De Capô Com Alavanca Opala 1984 Em Diante</v>
          </cell>
          <cell r="F240">
            <v>3</v>
          </cell>
        </row>
        <row r="241">
          <cell r="A241" t="str">
            <v>33300-BB0-CG10</v>
          </cell>
          <cell r="B241" t="str">
            <v>SIMPLES</v>
          </cell>
          <cell r="C241" t="str">
            <v>OUTROS</v>
          </cell>
          <cell r="D241" t="str">
            <v>SMARTFOX</v>
          </cell>
          <cell r="E241" t="str">
            <v>RELE DE PARTIDA TITAN 150 09-15/FAN 150 10-13BROS 150 09-14 BROS 125</v>
          </cell>
          <cell r="F241">
            <v>4</v>
          </cell>
        </row>
        <row r="242">
          <cell r="A242">
            <v>222032</v>
          </cell>
          <cell r="B242" t="str">
            <v>SIMPLES</v>
          </cell>
          <cell r="C242" t="str">
            <v>Bandeja</v>
          </cell>
          <cell r="D242" t="str">
            <v>SPARE</v>
          </cell>
          <cell r="E242" t="str">
            <v>BANDEJA DIANTEIRA DIREITA COM PIVÔ COURIER 2000 A 2003</v>
          </cell>
          <cell r="F242">
            <v>1</v>
          </cell>
        </row>
        <row r="243">
          <cell r="A243">
            <v>226102</v>
          </cell>
          <cell r="B243" t="str">
            <v>SIMPLES</v>
          </cell>
          <cell r="C243" t="str">
            <v>Cabo de Acelerador</v>
          </cell>
          <cell r="D243" t="str">
            <v>Importação</v>
          </cell>
          <cell r="E243" t="str">
            <v>Cabo De Acelerador Clio I I Motor 1.0 1.6 16v</v>
          </cell>
          <cell r="F243">
            <v>3</v>
          </cell>
        </row>
        <row r="244">
          <cell r="A244">
            <v>772228</v>
          </cell>
          <cell r="B244" t="str">
            <v>SIMPLES</v>
          </cell>
          <cell r="C244" t="str">
            <v>Bandeja</v>
          </cell>
          <cell r="D244" t="str">
            <v>SPARE</v>
          </cell>
          <cell r="E244" t="str">
            <v>NISSAN KICKS</v>
          </cell>
          <cell r="F244">
            <v>1</v>
          </cell>
        </row>
        <row r="245">
          <cell r="A245">
            <v>772229</v>
          </cell>
          <cell r="B245" t="str">
            <v>SIMPLES</v>
          </cell>
          <cell r="C245" t="str">
            <v>Bandeja</v>
          </cell>
          <cell r="D245" t="str">
            <v>SPARE</v>
          </cell>
          <cell r="E245" t="str">
            <v>NISSAN KICKS</v>
          </cell>
          <cell r="F245">
            <v>1</v>
          </cell>
        </row>
        <row r="246">
          <cell r="A246">
            <v>2219</v>
          </cell>
          <cell r="B246" t="str">
            <v>SIMPLES</v>
          </cell>
          <cell r="C246" t="str">
            <v>Haste Câmbio</v>
          </cell>
          <cell r="D246" t="str">
            <v>LT CORREA</v>
          </cell>
          <cell r="E246" t="str">
            <v>KIT TIRANTE DO CÂMBIO UNIVERSAL PEUGEOT</v>
          </cell>
          <cell r="F246">
            <v>1</v>
          </cell>
        </row>
        <row r="247">
          <cell r="A247">
            <v>442056</v>
          </cell>
          <cell r="B247" t="str">
            <v>SIMPLES</v>
          </cell>
          <cell r="C247" t="str">
            <v>Bandeja</v>
          </cell>
          <cell r="D247" t="str">
            <v>SPARE</v>
          </cell>
          <cell r="E247" t="str">
            <v>Bandeja Inferior Direita Sem Pivô Royale 1991 A 1996</v>
          </cell>
          <cell r="F247">
            <v>2</v>
          </cell>
        </row>
        <row r="248">
          <cell r="A248">
            <v>442057</v>
          </cell>
          <cell r="B248" t="str">
            <v>SIMPLES</v>
          </cell>
          <cell r="C248" t="str">
            <v>Bandeja</v>
          </cell>
          <cell r="D248" t="str">
            <v>SPARE</v>
          </cell>
          <cell r="E248" t="str">
            <v>Bandeja Inferior Esquerdo Sem Pivô Audi 80 Ano 1981 A 1991</v>
          </cell>
          <cell r="F248">
            <v>2</v>
          </cell>
        </row>
        <row r="249">
          <cell r="A249">
            <v>442082</v>
          </cell>
          <cell r="B249" t="str">
            <v>SIMPLES</v>
          </cell>
          <cell r="C249" t="str">
            <v>Bandeja</v>
          </cell>
          <cell r="D249" t="str">
            <v>SPARE</v>
          </cell>
          <cell r="E249" t="str">
            <v>Bandeja Superior Esquerdo Sem Pivô  Del Rey 1984 À 1991</v>
          </cell>
          <cell r="F249">
            <v>0</v>
          </cell>
        </row>
        <row r="250">
          <cell r="A250">
            <v>772034</v>
          </cell>
          <cell r="B250" t="str">
            <v>SIMPLES</v>
          </cell>
          <cell r="C250" t="str">
            <v>Bandeja</v>
          </cell>
          <cell r="D250" t="str">
            <v>SPARE</v>
          </cell>
          <cell r="E250" t="str">
            <v>BANDEJA DIANTEIRA DIREITA COROLLA COM pivô</v>
          </cell>
          <cell r="F250">
            <v>1</v>
          </cell>
        </row>
        <row r="251">
          <cell r="A251">
            <v>4071</v>
          </cell>
          <cell r="B251" t="str">
            <v>SIMPLES</v>
          </cell>
          <cell r="C251" t="str">
            <v>Capa Pedal</v>
          </cell>
          <cell r="D251" t="str">
            <v>HOLYMAN</v>
          </cell>
          <cell r="E251" t="str">
            <v>Capa De Pedal Freio Embreagem Master 2014 A 2021</v>
          </cell>
          <cell r="F251">
            <v>5</v>
          </cell>
        </row>
        <row r="252">
          <cell r="A252">
            <v>66654</v>
          </cell>
          <cell r="B252" t="str">
            <v>SIMPLES</v>
          </cell>
          <cell r="C252" t="str">
            <v>Cabo Câmbio</v>
          </cell>
          <cell r="D252" t="str">
            <v>Importação</v>
          </cell>
          <cell r="E252" t="str">
            <v xml:space="preserve">CABO DE ENGATE GRAND SIENA ATTRACTIVE 1.4 2013 EM DIANTE  </v>
          </cell>
          <cell r="F252">
            <v>1</v>
          </cell>
        </row>
        <row r="253">
          <cell r="A253">
            <v>662030</v>
          </cell>
          <cell r="B253" t="str">
            <v>SIMPLES</v>
          </cell>
          <cell r="C253" t="str">
            <v>Bandeja</v>
          </cell>
          <cell r="D253" t="str">
            <v>SPARE</v>
          </cell>
          <cell r="E253" t="str">
            <v>Bandeja Direita Com Pivô New Megane 2007 Em Diante</v>
          </cell>
          <cell r="F253">
            <v>1</v>
          </cell>
        </row>
        <row r="254">
          <cell r="A254" t="str">
            <v>CCA0035</v>
          </cell>
          <cell r="B254" t="str">
            <v>SIMPLES</v>
          </cell>
          <cell r="C254" t="str">
            <v>Cabo Acelerador Moto</v>
          </cell>
          <cell r="D254" t="str">
            <v>POLO</v>
          </cell>
          <cell r="E254" t="str">
            <v>CCA0035 CABO ACELERADOR HONDA CG 150 TITAN MIX ESD 2009/...</v>
          </cell>
          <cell r="F254">
            <v>10</v>
          </cell>
        </row>
        <row r="255">
          <cell r="A255">
            <v>22115</v>
          </cell>
          <cell r="B255" t="str">
            <v>SIMPLES</v>
          </cell>
          <cell r="C255" t="str">
            <v>Pastilha Freio</v>
          </cell>
          <cell r="D255" t="str">
            <v>BrasFreio</v>
          </cell>
          <cell r="E255" t="str">
            <v>Pastilha De Freio Dianteira Cobalt 1.4 1.8 2012 A 2016 C Abs</v>
          </cell>
          <cell r="F255">
            <v>1</v>
          </cell>
        </row>
        <row r="256">
          <cell r="A256" t="str">
            <v>PDM0263</v>
          </cell>
          <cell r="B256" t="str">
            <v>SIMPLES</v>
          </cell>
          <cell r="C256" t="str">
            <v>ROLAMENTO MOTO</v>
          </cell>
          <cell r="D256" t="str">
            <v>PANDÃO</v>
          </cell>
          <cell r="E256" t="str">
            <v>CAIXA COM 10 ROLAMENTO 6301 2RS HONDA YAMAHA</v>
          </cell>
          <cell r="F256">
            <v>3</v>
          </cell>
        </row>
        <row r="257">
          <cell r="A257" t="str">
            <v>FBK-957</v>
          </cell>
          <cell r="B257" t="str">
            <v>SIMPLES</v>
          </cell>
          <cell r="C257" t="str">
            <v>Manete de Freio</v>
          </cell>
          <cell r="D257" t="str">
            <v>FABRECK</v>
          </cell>
          <cell r="E257" t="str">
            <v>MANETE DE FREIO</v>
          </cell>
          <cell r="F257">
            <v>9</v>
          </cell>
        </row>
        <row r="258">
          <cell r="A258" t="str">
            <v>FBK-658</v>
          </cell>
          <cell r="B258" t="str">
            <v>SIMPLES</v>
          </cell>
          <cell r="C258" t="str">
            <v>PASTILHA DE FREIO MOTO</v>
          </cell>
          <cell r="D258" t="str">
            <v>FABRECK</v>
          </cell>
          <cell r="E258" t="str">
            <v>PASTILHA FREIO CG TITAN 160 EX (D)</v>
          </cell>
          <cell r="F258">
            <v>5</v>
          </cell>
        </row>
        <row r="259">
          <cell r="A259" t="str">
            <v>FTK55202-AMW</v>
          </cell>
          <cell r="B259" t="str">
            <v>SIMPLES</v>
          </cell>
          <cell r="C259" t="str">
            <v>Bucha Bandeja</v>
          </cell>
          <cell r="D259" t="str">
            <v>AMW</v>
          </cell>
          <cell r="E259" t="str">
            <v xml:space="preserve">BANDEJA SUSPENSÃO </v>
          </cell>
          <cell r="F259">
            <v>4</v>
          </cell>
        </row>
        <row r="260">
          <cell r="A260" t="str">
            <v>2130-BF0-CG08</v>
          </cell>
          <cell r="B260" t="str">
            <v>SIMPLES</v>
          </cell>
          <cell r="C260" t="str">
            <v>Embreagem Moto</v>
          </cell>
          <cell r="D260" t="str">
            <v>SMARTFOX</v>
          </cell>
          <cell r="E260" t="str">
            <v>EMBREAGEM COMPLETA</v>
          </cell>
          <cell r="F260">
            <v>1</v>
          </cell>
        </row>
        <row r="261">
          <cell r="A261">
            <v>662025</v>
          </cell>
          <cell r="B261" t="str">
            <v>SIMPLES</v>
          </cell>
          <cell r="C261" t="str">
            <v>Bandeja</v>
          </cell>
          <cell r="D261" t="str">
            <v>SPARE</v>
          </cell>
          <cell r="E261" t="str">
            <v>Bandeja Clio Inferior Esquerdo 2005 Á 2016 Sem Pivô</v>
          </cell>
          <cell r="F261">
            <v>1</v>
          </cell>
        </row>
        <row r="262">
          <cell r="A262">
            <v>4023</v>
          </cell>
          <cell r="B262" t="str">
            <v>SIMPLES</v>
          </cell>
          <cell r="C262" t="str">
            <v>Capa Pedal</v>
          </cell>
          <cell r="D262" t="str">
            <v>HOLYMAN</v>
          </cell>
          <cell r="E262" t="str">
            <v>Capa De Pedal Freio Embreagem Sprinter 310 312 412 311 313</v>
          </cell>
          <cell r="F262">
            <v>13</v>
          </cell>
        </row>
        <row r="263">
          <cell r="A263">
            <v>66413</v>
          </cell>
          <cell r="B263" t="str">
            <v>SIMPLES</v>
          </cell>
          <cell r="C263" t="str">
            <v>Cabo Embreagem</v>
          </cell>
          <cell r="D263" t="str">
            <v>MundiFlex</v>
          </cell>
          <cell r="E263" t="str">
            <v>Cabo Embreagem Uno Mille Motor 1.0 8v Mpi Fire 2002 A 2004</v>
          </cell>
          <cell r="F263">
            <v>2</v>
          </cell>
        </row>
        <row r="264">
          <cell r="A264">
            <v>36656</v>
          </cell>
          <cell r="B264" t="str">
            <v>SIMPLES</v>
          </cell>
          <cell r="C264" t="str">
            <v>CABO TRAATOR</v>
          </cell>
          <cell r="D264" t="str">
            <v>IMPORTAÇÃO</v>
          </cell>
          <cell r="E264" t="str">
            <v>Cabo De Freio Estacionamento Massey Ferguson 650 660 680</v>
          </cell>
          <cell r="F264">
            <v>1</v>
          </cell>
        </row>
        <row r="265">
          <cell r="A265" t="str">
            <v>AMT 001</v>
          </cell>
          <cell r="B265" t="str">
            <v>SIMPLES</v>
          </cell>
          <cell r="C265" t="str">
            <v>Kit amortecedor</v>
          </cell>
          <cell r="D265" t="str">
            <v>Outros</v>
          </cell>
          <cell r="E265" t="str">
            <v xml:space="preserve">KIT AMORTECEDOR </v>
          </cell>
          <cell r="F265">
            <v>2</v>
          </cell>
        </row>
        <row r="266">
          <cell r="A266" t="str">
            <v>FTK319K</v>
          </cell>
          <cell r="B266" t="str">
            <v>SIMPLES</v>
          </cell>
          <cell r="C266" t="str">
            <v>Coifa Homocinética</v>
          </cell>
          <cell r="D266" t="str">
            <v>Replabor</v>
          </cell>
          <cell r="E266" t="str">
            <v>Coifa Homocinetica Lado Cambio Fiat 147 1984 A 1986</v>
          </cell>
          <cell r="F266">
            <v>2</v>
          </cell>
        </row>
        <row r="267">
          <cell r="A267" t="str">
            <v>T-10111</v>
          </cell>
          <cell r="B267" t="str">
            <v>SIMPLES</v>
          </cell>
          <cell r="C267" t="str">
            <v>Terminal Cabo Câmbio</v>
          </cell>
          <cell r="D267" t="str">
            <v>Importação</v>
          </cell>
          <cell r="E267" t="str">
            <v>Terminal Cabo De Engate Seleção Mercedes Benz 1720</v>
          </cell>
          <cell r="F267">
            <v>2</v>
          </cell>
        </row>
        <row r="268">
          <cell r="A268" t="str">
            <v>35310-BF3-CG14</v>
          </cell>
          <cell r="B268" t="str">
            <v>SIMPLES</v>
          </cell>
          <cell r="C268" t="str">
            <v>OUTROS</v>
          </cell>
          <cell r="D268" t="str">
            <v>SMARTFOX</v>
          </cell>
          <cell r="E268" t="str">
            <v>PISCA C/ LAMPADA</v>
          </cell>
          <cell r="F268">
            <v>4</v>
          </cell>
        </row>
        <row r="269">
          <cell r="A269" t="str">
            <v>FBK-736</v>
          </cell>
          <cell r="B269" t="str">
            <v>SIMPLES</v>
          </cell>
          <cell r="C269" t="str">
            <v>PASTILHA DE FREIO MOTO</v>
          </cell>
          <cell r="D269" t="str">
            <v>FABRECK</v>
          </cell>
          <cell r="E269" t="str">
            <v>PASTILHA FREIO TITAN150-160 CRF250F FAZER 250</v>
          </cell>
          <cell r="F269">
            <v>5</v>
          </cell>
        </row>
        <row r="270">
          <cell r="A270" t="str">
            <v>12140-BF0-YB01</v>
          </cell>
          <cell r="B270" t="str">
            <v>SIMPLES</v>
          </cell>
          <cell r="C270" t="str">
            <v>Disco Embreagem</v>
          </cell>
          <cell r="D270" t="str">
            <v>SMARTFOX</v>
          </cell>
          <cell r="E270" t="str">
            <v>DISCO DE EMBREAGEM</v>
          </cell>
          <cell r="F270">
            <v>3</v>
          </cell>
        </row>
        <row r="271">
          <cell r="A271" t="str">
            <v>12140-DF0-CB01</v>
          </cell>
          <cell r="B271" t="str">
            <v>SIMPLES</v>
          </cell>
          <cell r="C271" t="str">
            <v>Disco Embreagem</v>
          </cell>
          <cell r="D271" t="str">
            <v>SMARTFOX</v>
          </cell>
          <cell r="E271" t="str">
            <v>DISCO DE EMBREAGEM</v>
          </cell>
          <cell r="F271">
            <v>2</v>
          </cell>
        </row>
        <row r="272">
          <cell r="A272">
            <v>2362</v>
          </cell>
          <cell r="B272" t="str">
            <v>SIMPLES</v>
          </cell>
          <cell r="C272" t="str">
            <v>Suporte Radiador</v>
          </cell>
          <cell r="D272" t="str">
            <v>LT CORREA</v>
          </cell>
          <cell r="E272" t="str">
            <v>Suporte Sup. Radiador Celta 2009 Le Ld</v>
          </cell>
          <cell r="F272">
            <v>1</v>
          </cell>
        </row>
        <row r="273">
          <cell r="A273">
            <v>772032</v>
          </cell>
          <cell r="B273" t="str">
            <v>SIMPLES</v>
          </cell>
          <cell r="C273" t="str">
            <v>Bandeja</v>
          </cell>
          <cell r="D273" t="str">
            <v>SPARE</v>
          </cell>
          <cell r="E273" t="str">
            <v>Bandeja Direita Inferior Corolla Fielder 2002 A 2019</v>
          </cell>
          <cell r="F273">
            <v>1</v>
          </cell>
        </row>
        <row r="274">
          <cell r="A274">
            <v>552011</v>
          </cell>
          <cell r="B274" t="str">
            <v>SIMPLES</v>
          </cell>
          <cell r="C274" t="str">
            <v>Bandeja</v>
          </cell>
          <cell r="D274" t="str">
            <v>SPARE</v>
          </cell>
          <cell r="E274" t="str">
            <v>Bandeja Esquerda Sem Pivô Citroen C3 2003 A 2012</v>
          </cell>
          <cell r="F274">
            <v>1</v>
          </cell>
        </row>
        <row r="275">
          <cell r="A275">
            <v>4024</v>
          </cell>
          <cell r="B275" t="str">
            <v>SIMPLES</v>
          </cell>
          <cell r="C275" t="str">
            <v>Capa Pedal</v>
          </cell>
          <cell r="D275" t="str">
            <v>HOLYMAN</v>
          </cell>
          <cell r="E275" t="str">
            <v>Capa De Pedal Freio Embreagem Sandero 2012 A 2014</v>
          </cell>
          <cell r="F275">
            <v>5</v>
          </cell>
        </row>
        <row r="276">
          <cell r="A276">
            <v>11097</v>
          </cell>
          <cell r="B276" t="str">
            <v>SIMPLES</v>
          </cell>
          <cell r="C276" t="str">
            <v>Pastilha Freio</v>
          </cell>
          <cell r="D276" t="str">
            <v>Fabreck</v>
          </cell>
          <cell r="E276" t="str">
            <v>Pastilha De Freio Dianteira Daewoo Lanos 1997 Em Diante</v>
          </cell>
          <cell r="F276">
            <v>3</v>
          </cell>
        </row>
        <row r="277">
          <cell r="A277" t="str">
            <v>NZT3601</v>
          </cell>
          <cell r="B277" t="str">
            <v>SIMPLES</v>
          </cell>
          <cell r="C277" t="str">
            <v>Rolamento Roda</v>
          </cell>
          <cell r="D277" t="str">
            <v>POLO</v>
          </cell>
          <cell r="E277" t="str">
            <v>Kit Rolamento Roda Traseira Meriva Le</v>
          </cell>
          <cell r="F277">
            <v>1</v>
          </cell>
        </row>
        <row r="278">
          <cell r="A278" t="str">
            <v>LT2212</v>
          </cell>
          <cell r="B278" t="str">
            <v>SIMPLES</v>
          </cell>
          <cell r="C278" t="str">
            <v>Reparo alavanta Câmbio</v>
          </cell>
          <cell r="D278" t="str">
            <v>LT CORREA</v>
          </cell>
          <cell r="E278" t="str">
            <v>HASTE DO TRAMBULADOR 122MM PEUGEOT 206 1.0</v>
          </cell>
          <cell r="F278">
            <v>3</v>
          </cell>
        </row>
        <row r="279">
          <cell r="A279">
            <v>5711</v>
          </cell>
          <cell r="B279" t="str">
            <v>SIMPLES</v>
          </cell>
          <cell r="C279" t="str">
            <v>Bieleta</v>
          </cell>
          <cell r="D279" t="str">
            <v>HOLYMAN</v>
          </cell>
          <cell r="E279" t="str">
            <v>Bieleta Dianteira C3 2003 A 2008 E 2013 Em  Diante</v>
          </cell>
          <cell r="F279">
            <v>1</v>
          </cell>
        </row>
        <row r="280">
          <cell r="A280">
            <v>772031</v>
          </cell>
          <cell r="B280" t="str">
            <v>SIMPLES</v>
          </cell>
          <cell r="C280" t="str">
            <v>Bandeja</v>
          </cell>
          <cell r="D280" t="str">
            <v>SPARE</v>
          </cell>
          <cell r="E280" t="str">
            <v>Bandeja Esquerda Inferior Corolla 2001 A 2019</v>
          </cell>
          <cell r="F280">
            <v>1</v>
          </cell>
        </row>
        <row r="281">
          <cell r="A281">
            <v>4073</v>
          </cell>
          <cell r="B281" t="str">
            <v>SIMPLES</v>
          </cell>
          <cell r="C281" t="str">
            <v>Capa Pedal</v>
          </cell>
          <cell r="D281" t="str">
            <v>HOLYMAN</v>
          </cell>
          <cell r="E281" t="str">
            <v>Capa De Pedal Freio E Embreagem Renault Kwid</v>
          </cell>
          <cell r="F281">
            <v>4</v>
          </cell>
        </row>
        <row r="282">
          <cell r="A282" t="str">
            <v>FBK-504</v>
          </cell>
          <cell r="B282" t="str">
            <v>SIMPLES</v>
          </cell>
          <cell r="C282" t="str">
            <v>LONA DE FREIO MOTO</v>
          </cell>
          <cell r="D282" t="str">
            <v>FABRECK</v>
          </cell>
          <cell r="E282" t="str">
            <v>LONA STD</v>
          </cell>
          <cell r="F282">
            <v>5</v>
          </cell>
        </row>
        <row r="283">
          <cell r="A283" t="str">
            <v>61410-DF0-CG03</v>
          </cell>
          <cell r="B283" t="str">
            <v>SIMPLES</v>
          </cell>
          <cell r="C283" t="str">
            <v>OUTROS</v>
          </cell>
          <cell r="D283" t="str">
            <v>SMARTFOX</v>
          </cell>
          <cell r="E283" t="str">
            <v>MANICOTO EMBREAGEM TITAN 150 09-15/FAN 150 10-15 CB 250F TWISTER</v>
          </cell>
          <cell r="F283">
            <v>9</v>
          </cell>
        </row>
        <row r="284">
          <cell r="A284">
            <v>90503</v>
          </cell>
          <cell r="B284" t="str">
            <v>SIMPLES</v>
          </cell>
          <cell r="C284" t="str">
            <v>Reparo alavanta Câmbio</v>
          </cell>
          <cell r="D284" t="str">
            <v>BRK</v>
          </cell>
          <cell r="E284" t="str">
            <v>Kit Reparo Trambulador Sandero 2007 À 2019</v>
          </cell>
          <cell r="F284">
            <v>1</v>
          </cell>
        </row>
        <row r="285">
          <cell r="A285">
            <v>222020</v>
          </cell>
          <cell r="B285" t="str">
            <v>SIMPLES</v>
          </cell>
          <cell r="C285" t="str">
            <v>Bandeja</v>
          </cell>
          <cell r="D285" t="str">
            <v>SPARE</v>
          </cell>
          <cell r="E285" t="str">
            <v>Bandeja Inferior Direito Ka 1997 Á 1999 Sem Pivô</v>
          </cell>
          <cell r="F285">
            <v>1</v>
          </cell>
        </row>
        <row r="286">
          <cell r="A286">
            <v>88461</v>
          </cell>
          <cell r="B286" t="str">
            <v>SIMPLES</v>
          </cell>
          <cell r="C286" t="str">
            <v>Cabo de Capô</v>
          </cell>
          <cell r="D286" t="str">
            <v>MundiFlex</v>
          </cell>
          <cell r="E286" t="str">
            <v>Cabo De Capô Com Alavanca Santana Quantum 1992 A 2001</v>
          </cell>
          <cell r="F286">
            <v>3</v>
          </cell>
        </row>
        <row r="287">
          <cell r="A287" t="str">
            <v>20W50 SN</v>
          </cell>
          <cell r="B287" t="str">
            <v>SIMPLES</v>
          </cell>
          <cell r="C287" t="str">
            <v>ÓLEO MOTOR</v>
          </cell>
          <cell r="D287" t="str">
            <v>Outros</v>
          </cell>
          <cell r="E287" t="str">
            <v>ÓLEO DE MOTOR 20W50L CARRO SN</v>
          </cell>
          <cell r="F287">
            <v>4</v>
          </cell>
        </row>
        <row r="288">
          <cell r="A288" t="str">
            <v>FTK77369</v>
          </cell>
          <cell r="B288" t="str">
            <v>SIMPLES</v>
          </cell>
          <cell r="C288" t="str">
            <v>Pivô</v>
          </cell>
          <cell r="D288" t="str">
            <v>SPARE</v>
          </cell>
          <cell r="E288" t="str">
            <v>PIVÔ INFERIOR JETTA LADO ESQUERDO</v>
          </cell>
          <cell r="F288">
            <v>1</v>
          </cell>
        </row>
        <row r="289">
          <cell r="A289">
            <v>4032</v>
          </cell>
          <cell r="B289" t="str">
            <v>SIMPLES</v>
          </cell>
          <cell r="C289" t="str">
            <v>Capa Pedal</v>
          </cell>
          <cell r="D289" t="str">
            <v>HOLYMAN</v>
          </cell>
          <cell r="E289" t="str">
            <v>Capa De Pedal Freio Embreagem Idea 1996 A 2010</v>
          </cell>
          <cell r="F289">
            <v>7</v>
          </cell>
        </row>
        <row r="290">
          <cell r="A290">
            <v>66044</v>
          </cell>
          <cell r="B290" t="str">
            <v>SIMPLES</v>
          </cell>
          <cell r="C290" t="str">
            <v>Cabo de Velocímetro</v>
          </cell>
          <cell r="D290" t="str">
            <v>MundiFlex</v>
          </cell>
          <cell r="E290" t="str">
            <v>Cabo De Velocímetro Uno S Cs Sx Furgoneta 1985 A 1990</v>
          </cell>
          <cell r="F290">
            <v>2</v>
          </cell>
        </row>
        <row r="291">
          <cell r="A291" t="str">
            <v>NZT563644</v>
          </cell>
          <cell r="B291" t="str">
            <v>SIMPLES</v>
          </cell>
          <cell r="C291" t="str">
            <v>Pastilha Freio</v>
          </cell>
          <cell r="D291" t="str">
            <v>POLO</v>
          </cell>
          <cell r="E291" t="str">
            <v>Par Rolamento Roda Dianteira Onix 1.0 1.4 2012 Em Diante</v>
          </cell>
          <cell r="F291">
            <v>1</v>
          </cell>
        </row>
        <row r="292">
          <cell r="A292" t="str">
            <v>NZT0031</v>
          </cell>
          <cell r="B292" t="str">
            <v>SIMPLES</v>
          </cell>
          <cell r="C292" t="str">
            <v>rolamento roda</v>
          </cell>
          <cell r="D292" t="str">
            <v>POLO</v>
          </cell>
          <cell r="E292" t="str">
            <v>Rolamento Roda Dianteira Palio 1.6 16v 1996 A 2014 Sem Abs</v>
          </cell>
          <cell r="F292">
            <v>1</v>
          </cell>
        </row>
        <row r="293">
          <cell r="A293">
            <v>78180</v>
          </cell>
          <cell r="B293" t="str">
            <v>SIMPLES</v>
          </cell>
          <cell r="C293" t="str">
            <v>Cabo de Acelerador</v>
          </cell>
          <cell r="D293" t="str">
            <v>Importação</v>
          </cell>
          <cell r="E293" t="str">
            <v>Cabo De Acelerador Corolla A Gasolina 2003, 2004, 2005, 2006</v>
          </cell>
          <cell r="F293">
            <v>1</v>
          </cell>
        </row>
        <row r="294">
          <cell r="A294" t="str">
            <v>CF-0001</v>
          </cell>
          <cell r="B294" t="str">
            <v>SIMPLES</v>
          </cell>
          <cell r="C294" t="str">
            <v>Kit amortecedor</v>
          </cell>
          <cell r="D294" t="str">
            <v>POLO</v>
          </cell>
          <cell r="E294" t="str">
            <v xml:space="preserve">KIT AMORTECEDOR </v>
          </cell>
          <cell r="F294">
            <v>2</v>
          </cell>
        </row>
        <row r="295">
          <cell r="A295" t="str">
            <v>41260-BF0-CG07</v>
          </cell>
          <cell r="B295" t="str">
            <v>SIMPLES</v>
          </cell>
          <cell r="C295" t="str">
            <v>OUTROS</v>
          </cell>
          <cell r="D295" t="str">
            <v>SMARTFOX</v>
          </cell>
          <cell r="E295" t="str">
            <v>ESTICADOR CORRENTE TITAN 150 04-15/FAN 150 10-15/FAN 125 09-18/ FAN</v>
          </cell>
          <cell r="F295">
            <v>32</v>
          </cell>
        </row>
        <row r="296">
          <cell r="A296">
            <v>442058</v>
          </cell>
          <cell r="B296" t="str">
            <v>SIMPLES</v>
          </cell>
          <cell r="C296" t="str">
            <v>Bandeja</v>
          </cell>
          <cell r="D296" t="str">
            <v>SPARE</v>
          </cell>
          <cell r="E296" t="str">
            <v>Bandeja Inferior Direita Com Pivô Santana 1988 A 2006</v>
          </cell>
          <cell r="F296">
            <v>1</v>
          </cell>
        </row>
        <row r="297">
          <cell r="A297" t="str">
            <v>FTK33396</v>
          </cell>
          <cell r="B297" t="str">
            <v>SIMPLES</v>
          </cell>
          <cell r="C297" t="str">
            <v>Pivô</v>
          </cell>
          <cell r="D297" t="str">
            <v>SPARE</v>
          </cell>
          <cell r="E297" t="str">
            <v>PIVÔ INFERIOR AMBOS LADOS FOCUS 1998 A 2008</v>
          </cell>
          <cell r="F297">
            <v>2</v>
          </cell>
        </row>
        <row r="298">
          <cell r="A298">
            <v>77152</v>
          </cell>
          <cell r="B298" t="str">
            <v>SIMPLES</v>
          </cell>
          <cell r="C298" t="str">
            <v>Cabo de Capô</v>
          </cell>
          <cell r="D298" t="str">
            <v>MundiFlex</v>
          </cell>
          <cell r="E298" t="str">
            <v>Cabo De Capô Com Alavanca Chevette 1983 A 1994</v>
          </cell>
          <cell r="F298">
            <v>3</v>
          </cell>
        </row>
        <row r="299">
          <cell r="A299">
            <v>55013</v>
          </cell>
          <cell r="B299" t="str">
            <v>SIMPLES</v>
          </cell>
          <cell r="C299" t="str">
            <v>Cabo Embreagem</v>
          </cell>
          <cell r="D299" t="str">
            <v>MundiFlex</v>
          </cell>
          <cell r="E299" t="str">
            <v>Cabo De Embreagem Saveiro 1982 A 1987 Motor 1.5 1.6</v>
          </cell>
          <cell r="F299">
            <v>1</v>
          </cell>
        </row>
        <row r="300">
          <cell r="A300">
            <v>112002</v>
          </cell>
          <cell r="B300" t="str">
            <v>SIMPLES</v>
          </cell>
          <cell r="C300" t="str">
            <v>BANDEJA</v>
          </cell>
          <cell r="D300" t="str">
            <v>SPARE</v>
          </cell>
          <cell r="E300" t="str">
            <v>Bandeja Traseira Fiorino  1985 Até 2004</v>
          </cell>
          <cell r="F300">
            <v>1</v>
          </cell>
        </row>
        <row r="301">
          <cell r="A301">
            <v>2210</v>
          </cell>
          <cell r="B301" t="str">
            <v>SIMPLES</v>
          </cell>
          <cell r="C301" t="str">
            <v>Haste Câmbio</v>
          </cell>
          <cell r="D301" t="str">
            <v>LT CORREA</v>
          </cell>
          <cell r="E301" t="str">
            <v>Haste Bieleta Do Câmbio Peugeot 206 207  1.4 .16 161mm Curta</v>
          </cell>
          <cell r="F301">
            <v>2</v>
          </cell>
        </row>
        <row r="302">
          <cell r="A302">
            <v>112016</v>
          </cell>
          <cell r="B302" t="str">
            <v>SIMPLES</v>
          </cell>
          <cell r="C302" t="str">
            <v>Bandeja</v>
          </cell>
          <cell r="D302" t="str">
            <v>SPARE</v>
          </cell>
          <cell r="E302" t="str">
            <v>BANDEJA DIANTEIRA ESQUERDA TEMPRA 1992 A 1999 SEM PIVÔ</v>
          </cell>
          <cell r="F302">
            <v>1</v>
          </cell>
        </row>
        <row r="303">
          <cell r="A303" t="str">
            <v>LT5692</v>
          </cell>
          <cell r="B303" t="str">
            <v>SIMPLES</v>
          </cell>
          <cell r="C303" t="str">
            <v>Reparo alavanta Câmbio</v>
          </cell>
          <cell r="D303" t="str">
            <v>LT CORREA</v>
          </cell>
          <cell r="E303" t="str">
            <v>Kit Reparo Da Alavanca Novo Palio 1.4 2011 A 2015</v>
          </cell>
          <cell r="F303">
            <v>1</v>
          </cell>
        </row>
        <row r="304">
          <cell r="A304" t="str">
            <v>37240-BF0-CG07</v>
          </cell>
          <cell r="B304" t="str">
            <v>SIMPLES</v>
          </cell>
          <cell r="C304" t="str">
            <v>OUTROS</v>
          </cell>
          <cell r="D304" t="str">
            <v>SMARTFOX</v>
          </cell>
          <cell r="E304" t="str">
            <v>TAMPA TANQUE TITAN</v>
          </cell>
          <cell r="F304">
            <v>2</v>
          </cell>
        </row>
        <row r="305">
          <cell r="A305">
            <v>88651</v>
          </cell>
          <cell r="B305" t="str">
            <v>SIMPLES</v>
          </cell>
          <cell r="C305" t="str">
            <v>Cabo de Freio</v>
          </cell>
          <cell r="D305" t="str">
            <v>Importação</v>
          </cell>
          <cell r="E305" t="str">
            <v>Cabo De Freio Traseiro Direito Ranger 2009 Em Diante</v>
          </cell>
          <cell r="F305">
            <v>1</v>
          </cell>
        </row>
        <row r="306">
          <cell r="A306">
            <v>772231</v>
          </cell>
          <cell r="B306" t="str">
            <v>SIMPLES</v>
          </cell>
          <cell r="C306" t="str">
            <v>Bandeja</v>
          </cell>
          <cell r="D306" t="str">
            <v>SPARE</v>
          </cell>
          <cell r="E306" t="str">
            <v>BANDEJA INFERIOR ESQUERDA COM PIVÔ KICKS 2016 A 2020</v>
          </cell>
          <cell r="F306">
            <v>1</v>
          </cell>
        </row>
        <row r="307">
          <cell r="A307">
            <v>5242</v>
          </cell>
          <cell r="B307" t="str">
            <v>SIMPLES</v>
          </cell>
          <cell r="C307" t="str">
            <v>LONA DE FREIO MOTO</v>
          </cell>
          <cell r="D307" t="str">
            <v>FABRECK</v>
          </cell>
          <cell r="E307" t="str">
            <v xml:space="preserve">LONA DE FREIO </v>
          </cell>
          <cell r="F307">
            <v>3</v>
          </cell>
        </row>
        <row r="308">
          <cell r="A308" t="str">
            <v>fbk5241</v>
          </cell>
          <cell r="B308" t="str">
            <v>SIMPLES</v>
          </cell>
          <cell r="C308" t="str">
            <v>LONA DE FREIO MOTO</v>
          </cell>
          <cell r="D308" t="str">
            <v>FABRECK</v>
          </cell>
          <cell r="E308" t="str">
            <v>LONA DE FREIO YBR D/T 2000...../</v>
          </cell>
          <cell r="F308">
            <v>3</v>
          </cell>
        </row>
        <row r="309">
          <cell r="A309" t="str">
            <v>FBK-5041</v>
          </cell>
          <cell r="B309" t="str">
            <v>SIMPLES</v>
          </cell>
          <cell r="C309" t="str">
            <v>LONA DE FREIO MOTO</v>
          </cell>
          <cell r="D309" t="str">
            <v>FABRECK</v>
          </cell>
          <cell r="E309" t="str">
            <v>LONA DE FREIO</v>
          </cell>
          <cell r="F309">
            <v>3</v>
          </cell>
        </row>
        <row r="310">
          <cell r="A310" t="str">
            <v>FBK5042</v>
          </cell>
          <cell r="B310" t="str">
            <v>SIMPLES</v>
          </cell>
          <cell r="C310" t="str">
            <v>LONA DE FREIO MOTO</v>
          </cell>
          <cell r="D310" t="str">
            <v>FABRECK</v>
          </cell>
          <cell r="E310" t="str">
            <v>LONA DE FREIO DIANTEIRO CG TITAN BIZ BROSS 125 TWISTER WEB</v>
          </cell>
          <cell r="F310">
            <v>3</v>
          </cell>
        </row>
        <row r="311">
          <cell r="A311" t="str">
            <v>12140-DF0-FZ02</v>
          </cell>
          <cell r="B311" t="str">
            <v>SIMPLES</v>
          </cell>
          <cell r="C311" t="str">
            <v>Disco Embreagem</v>
          </cell>
          <cell r="D311" t="str">
            <v>SMARTFOX</v>
          </cell>
          <cell r="E311" t="str">
            <v>DISCO DE EMBREAGEM</v>
          </cell>
          <cell r="F311">
            <v>2</v>
          </cell>
        </row>
        <row r="312">
          <cell r="A312">
            <v>229051</v>
          </cell>
          <cell r="B312" t="str">
            <v>SIMPLES</v>
          </cell>
          <cell r="C312" t="str">
            <v>Cabo de Acelerador</v>
          </cell>
          <cell r="D312" t="str">
            <v>Importação</v>
          </cell>
          <cell r="E312" t="str">
            <v>Cabo De Acelerador Mitsubishi L200 Sport 2003 Em Diante</v>
          </cell>
          <cell r="F312">
            <v>1</v>
          </cell>
        </row>
        <row r="313">
          <cell r="A313" t="str">
            <v>FTK22182</v>
          </cell>
          <cell r="B313" t="str">
            <v>SIMPLES</v>
          </cell>
          <cell r="C313" t="str">
            <v>Pivô</v>
          </cell>
          <cell r="D313" t="str">
            <v>SPARE</v>
          </cell>
          <cell r="E313" t="str">
            <v>Pivô Inferior Da Bandeja Ambos Lados Renault R11 1983 A 1997</v>
          </cell>
          <cell r="F313">
            <v>1</v>
          </cell>
        </row>
        <row r="314">
          <cell r="A314">
            <v>90500</v>
          </cell>
          <cell r="B314" t="str">
            <v>SIMPLES</v>
          </cell>
          <cell r="C314" t="str">
            <v>Reparo alavanta Câmbio</v>
          </cell>
          <cell r="D314" t="str">
            <v>BRK</v>
          </cell>
          <cell r="E314" t="str">
            <v>Kit Reparo Trambulador Sem Mola Kangoo Todos Os Anos</v>
          </cell>
          <cell r="F314">
            <v>1</v>
          </cell>
        </row>
        <row r="315">
          <cell r="A315">
            <v>2312</v>
          </cell>
          <cell r="B315" t="str">
            <v>SIMPLES</v>
          </cell>
          <cell r="C315" t="str">
            <v>Reparo alavanta Câmbio</v>
          </cell>
          <cell r="D315" t="str">
            <v>LT CORREA</v>
          </cell>
          <cell r="E315" t="str">
            <v>Reparo Bucha Cabo Marcha Zafira A Partir De 2006 Até 2012</v>
          </cell>
          <cell r="F315">
            <v>4</v>
          </cell>
        </row>
        <row r="316">
          <cell r="A316">
            <v>550111</v>
          </cell>
          <cell r="B316" t="str">
            <v>SIMPLES</v>
          </cell>
          <cell r="C316" t="str">
            <v>Cabo Embreagem</v>
          </cell>
          <cell r="D316" t="str">
            <v>MundiFlex</v>
          </cell>
          <cell r="E316" t="str">
            <v>Tubo Flexível Kombi Todos Até 1996</v>
          </cell>
          <cell r="F316">
            <v>3</v>
          </cell>
        </row>
        <row r="317">
          <cell r="A317">
            <v>4016</v>
          </cell>
          <cell r="B317" t="str">
            <v>SIMPLES</v>
          </cell>
          <cell r="C317" t="str">
            <v>Capa Pedal</v>
          </cell>
          <cell r="D317" t="str">
            <v>HOLYMAN</v>
          </cell>
          <cell r="E317" t="str">
            <v>Capa De Pedal Freio Embreagem Acelerador Vectra 1997 A 2005</v>
          </cell>
          <cell r="F317">
            <v>5</v>
          </cell>
        </row>
        <row r="318">
          <cell r="A318">
            <v>55030</v>
          </cell>
          <cell r="B318" t="str">
            <v>SIMPLES</v>
          </cell>
          <cell r="C318" t="str">
            <v>Cabo Embreagem</v>
          </cell>
          <cell r="D318" t="str">
            <v>MundiFlex</v>
          </cell>
          <cell r="E318" t="str">
            <v>Cabo De Embreagem Parati G1 G2 Ap Efi 1.6 1.8 E 2.0</v>
          </cell>
          <cell r="F318">
            <v>1</v>
          </cell>
        </row>
        <row r="319">
          <cell r="A319" t="str">
            <v>FTK11003</v>
          </cell>
          <cell r="B319" t="str">
            <v>SIMPLES</v>
          </cell>
          <cell r="C319" t="str">
            <v>Pivô</v>
          </cell>
          <cell r="D319" t="str">
            <v>SPARE</v>
          </cell>
          <cell r="E319" t="str">
            <v>Pivô Da Bandeja Inferior Ambos Os Lados Gol 1992 À 1997</v>
          </cell>
          <cell r="F319">
            <v>2</v>
          </cell>
        </row>
        <row r="320">
          <cell r="A320">
            <v>6615</v>
          </cell>
          <cell r="B320" t="str">
            <v>SIMPLES</v>
          </cell>
          <cell r="C320" t="str">
            <v>Bieleta</v>
          </cell>
          <cell r="D320" t="str">
            <v>HOLYMAN</v>
          </cell>
          <cell r="E320" t="str">
            <v>BIELETA DIANTEIRA DIR SPRINTER 2012...</v>
          </cell>
          <cell r="F320">
            <v>1</v>
          </cell>
        </row>
        <row r="321">
          <cell r="A321">
            <v>66425</v>
          </cell>
          <cell r="B321" t="str">
            <v>SIMPLES</v>
          </cell>
          <cell r="C321" t="str">
            <v>Cabo Embreagem</v>
          </cell>
          <cell r="D321" t="str">
            <v>MundiFlex</v>
          </cell>
          <cell r="E321" t="str">
            <v>Cabo De Embreagem Novo Uno Fase 2 2016 Até 2021</v>
          </cell>
          <cell r="F321">
            <v>1</v>
          </cell>
        </row>
        <row r="322">
          <cell r="A322">
            <v>8650</v>
          </cell>
          <cell r="B322" t="str">
            <v>SIMPLES</v>
          </cell>
          <cell r="C322" t="str">
            <v>Terminal Cabo Câmbio</v>
          </cell>
          <cell r="D322" t="str">
            <v>Importação</v>
          </cell>
          <cell r="E322" t="str">
            <v>Terminal De Cabo De Engate Gol</v>
          </cell>
          <cell r="F322">
            <v>1</v>
          </cell>
        </row>
        <row r="323">
          <cell r="A323" t="str">
            <v>CCE0044</v>
          </cell>
          <cell r="B323" t="str">
            <v>SIMPLES</v>
          </cell>
          <cell r="C323" t="str">
            <v>Cabo Embreagem moto</v>
          </cell>
          <cell r="D323" t="str">
            <v>POLO</v>
          </cell>
          <cell r="E323" t="str">
            <v>CABO DA EMBREAGEM PARA MOTO CG125 TITAN KS</v>
          </cell>
          <cell r="F323">
            <v>5</v>
          </cell>
        </row>
        <row r="324">
          <cell r="A324" t="str">
            <v>11510-DF0-CB01</v>
          </cell>
          <cell r="B324" t="str">
            <v>SIMPLES</v>
          </cell>
          <cell r="C324" t="str">
            <v>Filtro de óleo</v>
          </cell>
          <cell r="D324" t="str">
            <v>SMARTFOX</v>
          </cell>
          <cell r="E324" t="str">
            <v xml:space="preserve">FILTRO DE OLEO </v>
          </cell>
          <cell r="F324">
            <v>8</v>
          </cell>
        </row>
        <row r="325">
          <cell r="A325">
            <v>26056</v>
          </cell>
          <cell r="B325" t="str">
            <v>SIMPLES</v>
          </cell>
          <cell r="C325" t="str">
            <v>Pino de Freio</v>
          </cell>
          <cell r="D325" t="str">
            <v>MultiKit</v>
          </cell>
          <cell r="E325" t="str">
            <v>Kit Pino Guia Pinça Freio Pajero Tr4 2003 Em Diante</v>
          </cell>
          <cell r="F325">
            <v>1</v>
          </cell>
        </row>
        <row r="326">
          <cell r="A326">
            <v>4079</v>
          </cell>
          <cell r="B326" t="str">
            <v>SIMPLES</v>
          </cell>
          <cell r="C326" t="str">
            <v>Capa Pedal</v>
          </cell>
          <cell r="D326" t="str">
            <v>HOLYMAN</v>
          </cell>
          <cell r="E326" t="str">
            <v>Kit Capa De Pedal New Fiesta</v>
          </cell>
          <cell r="F326">
            <v>4</v>
          </cell>
        </row>
        <row r="327">
          <cell r="A327" t="str">
            <v>20W50</v>
          </cell>
          <cell r="B327" t="str">
            <v>SIMPLES</v>
          </cell>
          <cell r="C327" t="str">
            <v>Óleo Motor</v>
          </cell>
          <cell r="D327" t="str">
            <v>Outros</v>
          </cell>
          <cell r="E327" t="str">
            <v xml:space="preserve">OLEO 20W50 </v>
          </cell>
          <cell r="F327">
            <v>2</v>
          </cell>
        </row>
        <row r="328">
          <cell r="A328">
            <v>4022</v>
          </cell>
          <cell r="B328" t="str">
            <v>SIMPLES</v>
          </cell>
          <cell r="C328" t="str">
            <v>Capa Pedal</v>
          </cell>
          <cell r="D328" t="str">
            <v>HOLYMAN</v>
          </cell>
          <cell r="E328" t="str">
            <v>Capa De Pedal Freio Embreagem Iveco Daily 1997 A 2012</v>
          </cell>
          <cell r="F328">
            <v>5</v>
          </cell>
        </row>
        <row r="329">
          <cell r="A329" t="str">
            <v>RT003</v>
          </cell>
          <cell r="B329" t="str">
            <v>SIMPLES</v>
          </cell>
          <cell r="C329" t="str">
            <v>Kit Relação moto</v>
          </cell>
          <cell r="D329" t="str">
            <v>POLO</v>
          </cell>
          <cell r="E329" t="str">
            <v>KIT TRANSMISSÃO HONDA BROSS 150 FLEX</v>
          </cell>
          <cell r="F329">
            <v>1</v>
          </cell>
        </row>
        <row r="330">
          <cell r="A330">
            <v>226009</v>
          </cell>
          <cell r="B330" t="str">
            <v>SIMPLES</v>
          </cell>
          <cell r="C330" t="str">
            <v>Cabo Embreagem</v>
          </cell>
          <cell r="D330" t="str">
            <v>Importação</v>
          </cell>
          <cell r="E330" t="str">
            <v>Cabo De Embreagem Sandero 2004 Em Diante 1.6 16v</v>
          </cell>
          <cell r="F330">
            <v>1</v>
          </cell>
        </row>
        <row r="331">
          <cell r="A331">
            <v>5033</v>
          </cell>
          <cell r="B331" t="str">
            <v>SIMPLES</v>
          </cell>
          <cell r="C331" t="str">
            <v>Bieleta</v>
          </cell>
          <cell r="D331" t="str">
            <v>HOLYMAN</v>
          </cell>
          <cell r="E331" t="str">
            <v>Bieleta Dianteira New Fiesta 2010 Em Diante</v>
          </cell>
          <cell r="F331">
            <v>1</v>
          </cell>
        </row>
        <row r="332">
          <cell r="A332" t="str">
            <v>201.379K004</v>
          </cell>
          <cell r="B332" t="str">
            <v>SIMPLES</v>
          </cell>
          <cell r="C332" t="str">
            <v>Junta moto</v>
          </cell>
          <cell r="D332" t="str">
            <v>KRATER</v>
          </cell>
          <cell r="E332" t="str">
            <v>JUNTA LATERAL MOTOR</v>
          </cell>
          <cell r="F332">
            <v>5</v>
          </cell>
        </row>
        <row r="333">
          <cell r="A333" t="str">
            <v>FT250</v>
          </cell>
          <cell r="B333" t="str">
            <v>SIMPLES</v>
          </cell>
          <cell r="C333" t="str">
            <v>Filtro de óleo</v>
          </cell>
          <cell r="D333" t="str">
            <v>Outros</v>
          </cell>
          <cell r="E333" t="str">
            <v xml:space="preserve">FILTRO DE OLEO </v>
          </cell>
          <cell r="F333">
            <v>2</v>
          </cell>
        </row>
        <row r="334">
          <cell r="A334" t="str">
            <v>200.123/3A</v>
          </cell>
          <cell r="B334" t="str">
            <v>SIMPLES</v>
          </cell>
          <cell r="C334" t="str">
            <v>JUNTO MOTOR COMPLETA</v>
          </cell>
          <cell r="D334" t="str">
            <v>KRATER</v>
          </cell>
          <cell r="E334" t="str">
            <v>JUNTA MOTOR COMPLETO 150</v>
          </cell>
          <cell r="F334">
            <v>2</v>
          </cell>
        </row>
        <row r="335">
          <cell r="A335" t="str">
            <v>COIFA</v>
          </cell>
          <cell r="B335" t="str">
            <v>SIMPLES</v>
          </cell>
          <cell r="C335" t="str">
            <v>Diversos</v>
          </cell>
          <cell r="D335" t="str">
            <v>Outros</v>
          </cell>
          <cell r="E335" t="str">
            <v>COIFA</v>
          </cell>
          <cell r="F335">
            <v>2</v>
          </cell>
        </row>
        <row r="336">
          <cell r="A336">
            <v>88459</v>
          </cell>
          <cell r="B336" t="str">
            <v>SIMPLES</v>
          </cell>
          <cell r="C336" t="str">
            <v>Cabo de Capô</v>
          </cell>
          <cell r="D336" t="str">
            <v>MundiFlex</v>
          </cell>
          <cell r="E336" t="str">
            <v>Cabo Capô Com Alavanca Fiesta 1996 A 2002</v>
          </cell>
          <cell r="F336">
            <v>1</v>
          </cell>
        </row>
        <row r="337">
          <cell r="A337">
            <v>88487</v>
          </cell>
          <cell r="B337" t="str">
            <v>SIMPLES</v>
          </cell>
          <cell r="C337" t="str">
            <v>Cabo de Capô</v>
          </cell>
          <cell r="D337" t="str">
            <v>MundiFlex</v>
          </cell>
          <cell r="E337" t="str">
            <v>Cabo Capô Com Alavanca Fiesta 2002 A 2012</v>
          </cell>
          <cell r="F337">
            <v>1</v>
          </cell>
        </row>
        <row r="338">
          <cell r="A338">
            <v>4053</v>
          </cell>
          <cell r="B338" t="str">
            <v>SIMPLES</v>
          </cell>
          <cell r="C338" t="str">
            <v>Capa Pedal</v>
          </cell>
          <cell r="D338" t="str">
            <v>HOLYMAN</v>
          </cell>
          <cell r="E338" t="str">
            <v>Capa De Pedal Freio Embreagem Acelerador Nl10</v>
          </cell>
          <cell r="F338">
            <v>1</v>
          </cell>
        </row>
        <row r="339">
          <cell r="A339">
            <v>22182</v>
          </cell>
          <cell r="B339" t="str">
            <v>SIMPLES</v>
          </cell>
          <cell r="C339" t="str">
            <v>Pastilha de Freio</v>
          </cell>
          <cell r="D339" t="str">
            <v>Outros</v>
          </cell>
          <cell r="E339" t="str">
            <v xml:space="preserve">PASTILHAS DE FREIO </v>
          </cell>
          <cell r="F339">
            <v>1</v>
          </cell>
        </row>
        <row r="340">
          <cell r="A340">
            <v>5621</v>
          </cell>
          <cell r="B340" t="str">
            <v>SIMPLES</v>
          </cell>
          <cell r="C340" t="str">
            <v>Bieleta</v>
          </cell>
          <cell r="D340" t="str">
            <v>HOLYMAN</v>
          </cell>
          <cell r="E340" t="str">
            <v>BIELETA DIANTEIRA AMBOS LADOS CRETA 2017 A 2020</v>
          </cell>
          <cell r="F340">
            <v>1</v>
          </cell>
        </row>
        <row r="341">
          <cell r="A341">
            <v>66003</v>
          </cell>
          <cell r="B341" t="str">
            <v>SIMPLES</v>
          </cell>
          <cell r="C341" t="str">
            <v>Cabo Embreagem</v>
          </cell>
          <cell r="D341" t="str">
            <v>Importação</v>
          </cell>
          <cell r="E341" t="str">
            <v>Cabo De Embreagem Fiorino</v>
          </cell>
          <cell r="F341">
            <v>1</v>
          </cell>
        </row>
        <row r="342">
          <cell r="A342" t="str">
            <v>FBK-5241</v>
          </cell>
          <cell r="B342" t="str">
            <v>SIMPLES</v>
          </cell>
          <cell r="C342" t="str">
            <v>LONA DE FREIO MOTO</v>
          </cell>
          <cell r="D342" t="str">
            <v>FABRECK</v>
          </cell>
          <cell r="E342" t="str">
            <v>LONA DE FREIO</v>
          </cell>
          <cell r="F342">
            <v>2</v>
          </cell>
        </row>
        <row r="343">
          <cell r="A343" t="str">
            <v>LT5544</v>
          </cell>
          <cell r="B343" t="str">
            <v>SIMPLES</v>
          </cell>
          <cell r="C343" t="str">
            <v>Pastilha Freio</v>
          </cell>
          <cell r="D343" t="str">
            <v>LT CORREA</v>
          </cell>
          <cell r="E343" t="str">
            <v>Kit Reparo Dos Cabos Engate Seleção Fiesta 2010 Em Diante</v>
          </cell>
          <cell r="F343">
            <v>1</v>
          </cell>
        </row>
        <row r="344">
          <cell r="A344" t="str">
            <v>61240-BC0-CG07</v>
          </cell>
          <cell r="B344" t="str">
            <v>SIMPLES</v>
          </cell>
          <cell r="C344" t="str">
            <v>Cabo Embreagem moto</v>
          </cell>
          <cell r="D344" t="str">
            <v>SMARTFOX</v>
          </cell>
          <cell r="E344" t="str">
            <v>CABO DE EMBREAGEM HONDA</v>
          </cell>
          <cell r="F344">
            <v>4</v>
          </cell>
        </row>
        <row r="345">
          <cell r="A345" t="str">
            <v>61240-BC0-CG15</v>
          </cell>
          <cell r="B345" t="str">
            <v>SIMPLES</v>
          </cell>
          <cell r="C345" t="str">
            <v>Cabo Embreagem moto</v>
          </cell>
          <cell r="D345" t="str">
            <v>SMARTFOX</v>
          </cell>
          <cell r="E345" t="str">
            <v>CABO EMBREAGEM 160 EX/FAN160 ESDI 16-18</v>
          </cell>
          <cell r="F345">
            <v>4</v>
          </cell>
        </row>
        <row r="346">
          <cell r="A346">
            <v>77032</v>
          </cell>
          <cell r="B346" t="str">
            <v>SIMPLES</v>
          </cell>
          <cell r="C346" t="str">
            <v>Cabo Embreagem</v>
          </cell>
          <cell r="D346" t="str">
            <v>MundiFlex</v>
          </cell>
          <cell r="E346" t="str">
            <v>Cabo De Embreagem Montana Nova 2012 A 2016</v>
          </cell>
          <cell r="F346">
            <v>1</v>
          </cell>
        </row>
        <row r="347">
          <cell r="A347">
            <v>66416</v>
          </cell>
          <cell r="B347" t="str">
            <v>SIMPLES</v>
          </cell>
          <cell r="C347" t="str">
            <v>Cabo Embreagem</v>
          </cell>
          <cell r="D347" t="str">
            <v>Importação</v>
          </cell>
          <cell r="E347" t="str">
            <v>Cabo De Embreagem Palio 1.0 (46781013) 2000 2001 2002 2003</v>
          </cell>
          <cell r="F347">
            <v>1</v>
          </cell>
        </row>
        <row r="348">
          <cell r="A348">
            <v>4005</v>
          </cell>
          <cell r="B348" t="str">
            <v>SIMPLES</v>
          </cell>
          <cell r="C348" t="str">
            <v>Capa Pedal</v>
          </cell>
          <cell r="D348" t="str">
            <v>HOLYMAN</v>
          </cell>
          <cell r="E348" t="str">
            <v>Capa De Pedal Freio Embreagem Acelerador Passat G1 74 A 78</v>
          </cell>
          <cell r="F348">
            <v>3</v>
          </cell>
        </row>
        <row r="349">
          <cell r="A349" t="str">
            <v>FTK22002</v>
          </cell>
          <cell r="B349" t="str">
            <v>SIMPLES</v>
          </cell>
          <cell r="C349" t="str">
            <v>Pivô</v>
          </cell>
          <cell r="D349" t="str">
            <v>SPARE</v>
          </cell>
          <cell r="E349" t="str">
            <v>Pivô Da Bandeja Inferior Lado Direito New Civic 2006 A 2011</v>
          </cell>
          <cell r="F349">
            <v>1</v>
          </cell>
        </row>
        <row r="350">
          <cell r="A350" t="str">
            <v>FTK22003</v>
          </cell>
          <cell r="B350" t="str">
            <v>SIMPLES</v>
          </cell>
          <cell r="C350" t="str">
            <v>Pivô</v>
          </cell>
          <cell r="D350" t="str">
            <v>SPARE</v>
          </cell>
          <cell r="E350" t="str">
            <v>Pivô Da Bandeja Inferior Lado Esquerdo New Civic 2006 A 2011</v>
          </cell>
          <cell r="F350">
            <v>1</v>
          </cell>
        </row>
        <row r="351">
          <cell r="A351">
            <v>2214</v>
          </cell>
          <cell r="B351" t="str">
            <v>SIMPLES</v>
          </cell>
          <cell r="C351" t="str">
            <v>Bieleta</v>
          </cell>
          <cell r="D351" t="str">
            <v>HOLYMAN</v>
          </cell>
          <cell r="E351" t="str">
            <v>Bieleta Haste Curta Trambulador Peugeot 306</v>
          </cell>
          <cell r="F351">
            <v>1</v>
          </cell>
        </row>
        <row r="352">
          <cell r="A352" t="str">
            <v>T1005</v>
          </cell>
          <cell r="B352" t="str">
            <v>SIMPLES</v>
          </cell>
          <cell r="C352" t="str">
            <v>Terminal Cabo Câmbio</v>
          </cell>
          <cell r="D352" t="str">
            <v>Importação</v>
          </cell>
          <cell r="E352" t="str">
            <v>Terminal Do Cabo De Marcha Engate 13mm Uno 2014 Em Diante</v>
          </cell>
          <cell r="F352">
            <v>3</v>
          </cell>
        </row>
        <row r="353">
          <cell r="A353" t="str">
            <v>FBK-524</v>
          </cell>
          <cell r="B353" t="str">
            <v>SIMPLES</v>
          </cell>
          <cell r="C353" t="str">
            <v>LONA DE FREIO MOTO</v>
          </cell>
          <cell r="D353" t="str">
            <v>FABRECK</v>
          </cell>
          <cell r="E353" t="str">
            <v>LONA STD</v>
          </cell>
          <cell r="F353">
            <v>2</v>
          </cell>
        </row>
        <row r="354">
          <cell r="A354">
            <v>4054</v>
          </cell>
          <cell r="B354" t="str">
            <v>SIMPLES</v>
          </cell>
          <cell r="C354" t="str">
            <v>Capa Pedal</v>
          </cell>
          <cell r="D354" t="str">
            <v>HOLYMAN</v>
          </cell>
          <cell r="E354" t="str">
            <v>Capa De Pedal Freio Embreagem Micro Ônibus Vw</v>
          </cell>
          <cell r="F354">
            <v>1</v>
          </cell>
        </row>
        <row r="355">
          <cell r="A355" t="str">
            <v>PMD0263</v>
          </cell>
          <cell r="B355" t="str">
            <v>SIMPLES</v>
          </cell>
          <cell r="C355" t="str">
            <v>Diversos</v>
          </cell>
          <cell r="D355" t="str">
            <v>PANDÃO</v>
          </cell>
          <cell r="E355" t="str">
            <v>CAIXA ROLAMENTO HONDA</v>
          </cell>
          <cell r="F355">
            <v>1</v>
          </cell>
        </row>
        <row r="356">
          <cell r="A356">
            <v>4083</v>
          </cell>
          <cell r="B356" t="str">
            <v>SIMPLES</v>
          </cell>
          <cell r="C356" t="str">
            <v>Capa Pedal</v>
          </cell>
          <cell r="D356" t="str">
            <v>HOLYMAN</v>
          </cell>
          <cell r="E356" t="str">
            <v>Capa De Pedal Freio Automático Santa Fé 2010 A 2014</v>
          </cell>
          <cell r="F356">
            <v>1</v>
          </cell>
        </row>
        <row r="357">
          <cell r="A357" t="str">
            <v>CCE0012</v>
          </cell>
          <cell r="B357" t="str">
            <v>SIMPLES</v>
          </cell>
          <cell r="C357" t="str">
            <v>Cabo Embreagem moto</v>
          </cell>
          <cell r="D357" t="str">
            <v>POLO</v>
          </cell>
          <cell r="E357" t="str">
            <v>CABO DA EMBREAGEM PARA MOTO HONDA CG 125 TITAN KS KSE</v>
          </cell>
          <cell r="F357">
            <v>4</v>
          </cell>
        </row>
        <row r="358">
          <cell r="A358" t="str">
            <v>334000-BF0-CG08</v>
          </cell>
          <cell r="B358" t="str">
            <v>SIMPLES</v>
          </cell>
          <cell r="C358" t="str">
            <v>OUTROS</v>
          </cell>
          <cell r="D358" t="str">
            <v>SMARTFOX</v>
          </cell>
          <cell r="E358" t="str">
            <v>VELA DE IGNIÇÃO TITAN 150 / 160 BROS 150</v>
          </cell>
          <cell r="F358">
            <v>4</v>
          </cell>
        </row>
        <row r="359">
          <cell r="A359" t="str">
            <v>PDM1388</v>
          </cell>
          <cell r="B359" t="str">
            <v>SIMPLES</v>
          </cell>
          <cell r="C359" t="str">
            <v>PASTILHA DE FREIO MOTO</v>
          </cell>
          <cell r="D359" t="str">
            <v>PANDÃO</v>
          </cell>
          <cell r="E359" t="str">
            <v>PASTILHA FREIO SEMI-METALICA CRYPTON 115 ED 10/16-FACTOR</v>
          </cell>
          <cell r="F359">
            <v>2</v>
          </cell>
        </row>
        <row r="360">
          <cell r="A360" t="str">
            <v>FTK889628</v>
          </cell>
          <cell r="B360" t="str">
            <v>SIMPLES</v>
          </cell>
          <cell r="C360" t="str">
            <v>Rolamento semi Eixo</v>
          </cell>
          <cell r="D360" t="str">
            <v>POLO</v>
          </cell>
          <cell r="E360" t="str">
            <v>Rolamento Semi Eixo Renault Laguna 1994 Até 2012</v>
          </cell>
          <cell r="F360">
            <v>1</v>
          </cell>
        </row>
        <row r="361">
          <cell r="A361">
            <v>4085</v>
          </cell>
          <cell r="B361" t="str">
            <v>SIMPLES</v>
          </cell>
          <cell r="C361" t="str">
            <v>Pastilha Freio</v>
          </cell>
          <cell r="D361" t="str">
            <v>HOLYMAN</v>
          </cell>
          <cell r="E361" t="str">
            <v>Capa De Pedal Freio Embreagem Versa 2010 A 2019</v>
          </cell>
          <cell r="F361">
            <v>1</v>
          </cell>
        </row>
        <row r="362">
          <cell r="A362" t="str">
            <v>CCA0006</v>
          </cell>
          <cell r="B362" t="str">
            <v>SIMPLES</v>
          </cell>
          <cell r="C362" t="str">
            <v>Cabo Acelerador Moto</v>
          </cell>
          <cell r="D362" t="str">
            <v>POLO</v>
          </cell>
          <cell r="E362" t="str">
            <v>CCA0006 CABO ACELERADOR YAMAHA YBR 125 2002/... YBR ED 2006/2008</v>
          </cell>
          <cell r="F362">
            <v>4</v>
          </cell>
        </row>
        <row r="363">
          <cell r="A363" t="str">
            <v>53210-BF0-CG04</v>
          </cell>
          <cell r="B363" t="str">
            <v>SIMPLES</v>
          </cell>
          <cell r="C363" t="str">
            <v>Diversos</v>
          </cell>
          <cell r="D363" t="str">
            <v>SMARTFOX</v>
          </cell>
          <cell r="E363" t="str">
            <v>BUCHA BALANÇA TITAN</v>
          </cell>
          <cell r="F363">
            <v>4</v>
          </cell>
        </row>
        <row r="364">
          <cell r="A364" t="str">
            <v>209.100K008</v>
          </cell>
          <cell r="B364" t="str">
            <v>SIMPLES</v>
          </cell>
          <cell r="C364" t="str">
            <v>Diversos</v>
          </cell>
          <cell r="D364" t="str">
            <v>KRATER</v>
          </cell>
          <cell r="E364" t="str">
            <v>ANEL DA TAMPA DO TANQUE</v>
          </cell>
          <cell r="F364">
            <v>1</v>
          </cell>
        </row>
        <row r="365">
          <cell r="A365">
            <v>4018</v>
          </cell>
          <cell r="B365" t="str">
            <v>SIMPLES</v>
          </cell>
          <cell r="C365" t="str">
            <v>Capa Pedal</v>
          </cell>
          <cell r="D365" t="str">
            <v>HOLYMAN</v>
          </cell>
          <cell r="E365" t="str">
            <v>Capa De Pedal Freio Embreagem Acelerador Fusca Até 1975</v>
          </cell>
          <cell r="F365">
            <v>1</v>
          </cell>
        </row>
        <row r="366">
          <cell r="A366">
            <v>4043</v>
          </cell>
          <cell r="B366" t="str">
            <v>SIMPLES</v>
          </cell>
          <cell r="C366" t="str">
            <v>Capa Pedal</v>
          </cell>
          <cell r="D366" t="str">
            <v>HOLYMAN</v>
          </cell>
          <cell r="E366" t="str">
            <v>Kit Capa De Pedal Vw Voyage 2008 A 2021</v>
          </cell>
          <cell r="F366">
            <v>3</v>
          </cell>
        </row>
        <row r="367">
          <cell r="A367">
            <v>4055</v>
          </cell>
          <cell r="B367" t="str">
            <v>SIMPLES</v>
          </cell>
          <cell r="C367" t="str">
            <v>Capa Pedal</v>
          </cell>
          <cell r="D367" t="str">
            <v>HOLYMAN</v>
          </cell>
          <cell r="E367" t="str">
            <v>Capa De Pedal Freio Embreagem Volare</v>
          </cell>
          <cell r="F367">
            <v>2</v>
          </cell>
        </row>
        <row r="368">
          <cell r="A368" t="str">
            <v>CCA0002</v>
          </cell>
          <cell r="B368" t="str">
            <v>SIMPLES</v>
          </cell>
          <cell r="C368" t="str">
            <v>Cabo Acelerador Moto</v>
          </cell>
          <cell r="D368" t="str">
            <v>POLO</v>
          </cell>
          <cell r="E368" t="str">
            <v>CCA0002 CABO ACELERADOR HONDA CG 125 TITAN ES-JOB-KS-EX DE .../ ATE 2008 CG 150 TITAN EX de ... até 2008</v>
          </cell>
          <cell r="F368">
            <v>4</v>
          </cell>
        </row>
        <row r="369">
          <cell r="A369" t="str">
            <v>200.114/A</v>
          </cell>
          <cell r="B369" t="str">
            <v>SIMPLES</v>
          </cell>
          <cell r="C369" t="str">
            <v>Junta moto</v>
          </cell>
          <cell r="D369" t="str">
            <v>KRATER</v>
          </cell>
          <cell r="E369" t="str">
            <v>JUNTA BIZ POP110</v>
          </cell>
          <cell r="F369">
            <v>2</v>
          </cell>
        </row>
        <row r="370">
          <cell r="A370" t="str">
            <v>CCA0041</v>
          </cell>
          <cell r="B370" t="str">
            <v>SIMPLES</v>
          </cell>
          <cell r="C370" t="str">
            <v>Cabo Acelerador Moto</v>
          </cell>
          <cell r="D370" t="str">
            <v>POLO</v>
          </cell>
          <cell r="E370" t="str">
            <v>CCA0041 CABO ACELERADOR HONDA (B) TITAN FAN 160 16&gt;</v>
          </cell>
          <cell r="F370">
            <v>4</v>
          </cell>
        </row>
        <row r="371">
          <cell r="A371" t="str">
            <v>200.143.K003</v>
          </cell>
          <cell r="B371" t="str">
            <v>SIMPLES</v>
          </cell>
          <cell r="C371" t="str">
            <v>Junta moto</v>
          </cell>
          <cell r="D371" t="str">
            <v>KRATER</v>
          </cell>
          <cell r="E371" t="str">
            <v>JUNTA LATERAL MOTOR</v>
          </cell>
          <cell r="F371">
            <v>5</v>
          </cell>
        </row>
        <row r="372">
          <cell r="A372">
            <v>4076</v>
          </cell>
          <cell r="B372" t="str">
            <v>SIMPLES</v>
          </cell>
          <cell r="C372" t="str">
            <v>Capa Pedal</v>
          </cell>
          <cell r="D372" t="str">
            <v>HOLYMAN</v>
          </cell>
          <cell r="E372" t="str">
            <v>Capa Pedal Embreagem Freio Renault Logan 2007 Até 2011</v>
          </cell>
          <cell r="F372">
            <v>2</v>
          </cell>
        </row>
        <row r="373">
          <cell r="A373">
            <v>4072</v>
          </cell>
          <cell r="B373" t="str">
            <v>SIMPLES</v>
          </cell>
          <cell r="C373" t="str">
            <v>Capa Pedal</v>
          </cell>
          <cell r="D373" t="str">
            <v>HOLYMAN</v>
          </cell>
          <cell r="E373" t="str">
            <v>CAPA DE PEDAL FREIO AUTOMÁTICO LOGAN ATÉ 2014</v>
          </cell>
          <cell r="F373">
            <v>2</v>
          </cell>
        </row>
        <row r="374">
          <cell r="A374">
            <v>4068</v>
          </cell>
          <cell r="B374" t="str">
            <v>SIMPLES</v>
          </cell>
          <cell r="C374" t="str">
            <v>Capa Pedal</v>
          </cell>
          <cell r="D374" t="str">
            <v>HOLYMAN</v>
          </cell>
          <cell r="E374" t="str">
            <v>CAPA DE PEDAL FREIO EMBREAGEM EFFA</v>
          </cell>
          <cell r="F374">
            <v>2</v>
          </cell>
        </row>
        <row r="375">
          <cell r="A375" t="str">
            <v>CCE0064</v>
          </cell>
          <cell r="B375" t="str">
            <v>SIMPLES</v>
          </cell>
          <cell r="C375" t="str">
            <v>Cabo Embreagem moto</v>
          </cell>
          <cell r="D375" t="str">
            <v>POLO</v>
          </cell>
          <cell r="E375" t="str">
            <v>CABO EMBREAGEM HONDA CG 125 FAN ESD 14&gt;</v>
          </cell>
          <cell r="F375">
            <v>4</v>
          </cell>
        </row>
        <row r="376">
          <cell r="A376" t="str">
            <v>200.123/CA</v>
          </cell>
          <cell r="B376" t="str">
            <v>SIMPLES</v>
          </cell>
          <cell r="C376" t="str">
            <v>Junta moto</v>
          </cell>
          <cell r="D376" t="str">
            <v>KRATER</v>
          </cell>
          <cell r="E376" t="str">
            <v>JOGO DE JUNTAS</v>
          </cell>
          <cell r="F376">
            <v>5</v>
          </cell>
        </row>
        <row r="377">
          <cell r="A377" t="str">
            <v>200.123K004</v>
          </cell>
          <cell r="B377" t="str">
            <v>SIMPLES</v>
          </cell>
          <cell r="C377" t="str">
            <v>Junta moto</v>
          </cell>
          <cell r="D377" t="str">
            <v>KRATER</v>
          </cell>
          <cell r="E377" t="str">
            <v>JUNTA LATERAL MOTOR</v>
          </cell>
          <cell r="F377">
            <v>5</v>
          </cell>
        </row>
        <row r="378">
          <cell r="A378">
            <v>2309</v>
          </cell>
          <cell r="B378" t="str">
            <v>SIMPLES</v>
          </cell>
          <cell r="C378" t="str">
            <v>Reparo alavanta Câmbio</v>
          </cell>
          <cell r="D378" t="str">
            <v>LT CORREA</v>
          </cell>
          <cell r="E378" t="str">
            <v>Suporte Da Alavanca De Seleção Do Trambulador Corsa Celta</v>
          </cell>
          <cell r="F378">
            <v>1</v>
          </cell>
        </row>
        <row r="379">
          <cell r="A379">
            <v>70541</v>
          </cell>
          <cell r="B379" t="str">
            <v>SIMPLES</v>
          </cell>
          <cell r="C379" t="str">
            <v>Reparo alavanta Câmbio</v>
          </cell>
          <cell r="D379" t="str">
            <v>BRK</v>
          </cell>
          <cell r="E379" t="str">
            <v>Kit Reparo Alavanca Câmbio Del Rey Motor Ap  1990 À 1997</v>
          </cell>
          <cell r="F379">
            <v>2</v>
          </cell>
        </row>
        <row r="380">
          <cell r="A380">
            <v>17046</v>
          </cell>
          <cell r="B380" t="str">
            <v>SIMPLES</v>
          </cell>
          <cell r="C380" t="str">
            <v>Óleo Motor MOTO</v>
          </cell>
          <cell r="D380" t="str">
            <v>TREVILUB</v>
          </cell>
          <cell r="E380" t="str">
            <v>ÓLEO MOTOR 4T 20W50IPIRANGA</v>
          </cell>
          <cell r="F380">
            <v>1</v>
          </cell>
        </row>
        <row r="381">
          <cell r="A381" t="str">
            <v>200.123K007/P</v>
          </cell>
          <cell r="B381" t="str">
            <v>SIMPLES</v>
          </cell>
          <cell r="C381" t="str">
            <v>Diversos</v>
          </cell>
          <cell r="D381" t="str">
            <v>KRATER</v>
          </cell>
          <cell r="E381" t="str">
            <v>KIT VED GRN</v>
          </cell>
          <cell r="F381">
            <v>5</v>
          </cell>
        </row>
        <row r="382">
          <cell r="A382" t="str">
            <v>61410-DF0-GC03</v>
          </cell>
          <cell r="B382" t="str">
            <v>SIMPLES</v>
          </cell>
          <cell r="C382" t="str">
            <v>Diversos</v>
          </cell>
          <cell r="D382" t="str">
            <v>SMARTFOX</v>
          </cell>
          <cell r="E382" t="str">
            <v>MANICOTO TITAN</v>
          </cell>
          <cell r="F382">
            <v>3</v>
          </cell>
        </row>
        <row r="383">
          <cell r="A383">
            <v>4001</v>
          </cell>
          <cell r="B383" t="str">
            <v>SIMPLES</v>
          </cell>
          <cell r="C383" t="str">
            <v>Capa Pedal</v>
          </cell>
          <cell r="D383" t="str">
            <v>HOLYMAN</v>
          </cell>
          <cell r="E383" t="str">
            <v>Capa Pedal Acelerador Freio Embreagem Voyage Saveiro Gol</v>
          </cell>
          <cell r="F383">
            <v>2</v>
          </cell>
        </row>
        <row r="384">
          <cell r="A384" t="str">
            <v>12140-BF0-PO01</v>
          </cell>
          <cell r="B384" t="str">
            <v>SIMPLES</v>
          </cell>
          <cell r="C384" t="str">
            <v>Disco de Embreagem Moto</v>
          </cell>
          <cell r="D384" t="str">
            <v>SMARTFOX</v>
          </cell>
          <cell r="E384" t="str">
            <v>DISCO DE EMBREAGEM</v>
          </cell>
          <cell r="F384">
            <v>1</v>
          </cell>
        </row>
        <row r="385">
          <cell r="A385" t="str">
            <v>133410-BF0-CG01</v>
          </cell>
          <cell r="B385" t="str">
            <v>SIMPLES</v>
          </cell>
          <cell r="C385" t="str">
            <v>OUTROS</v>
          </cell>
          <cell r="D385" t="str">
            <v>SMARTFOX</v>
          </cell>
          <cell r="E385" t="str">
            <v>CACHIMBO VELA CG 125 76-88/TODAY 125 89-94/TITAN 125 95-99/TITAN</v>
          </cell>
          <cell r="F385">
            <v>5</v>
          </cell>
        </row>
        <row r="386">
          <cell r="A386">
            <v>2211</v>
          </cell>
          <cell r="B386" t="str">
            <v>SIMPLES</v>
          </cell>
          <cell r="C386" t="str">
            <v>Reparo alavanta Câmbio</v>
          </cell>
          <cell r="D386" t="str">
            <v>LT CORREA</v>
          </cell>
          <cell r="E386" t="str">
            <v>Haste  Bieleta Câmbio 206 207 1.4 / 1.6 Longo 34cm</v>
          </cell>
          <cell r="F386">
            <v>1</v>
          </cell>
        </row>
        <row r="387">
          <cell r="A387">
            <v>5113</v>
          </cell>
          <cell r="B387" t="str">
            <v>SIMPLES</v>
          </cell>
          <cell r="C387" t="str">
            <v>Bieleta</v>
          </cell>
          <cell r="D387" t="str">
            <v>HOLYMAN</v>
          </cell>
          <cell r="E387" t="str">
            <v>Bieleta Dianteira Mobi Uno Palio Fiorino Grand Siena</v>
          </cell>
          <cell r="F387">
            <v>1</v>
          </cell>
        </row>
        <row r="388">
          <cell r="A388" t="str">
            <v>CCA0055</v>
          </cell>
          <cell r="B388" t="str">
            <v>SIMPLES</v>
          </cell>
          <cell r="C388" t="str">
            <v>Cabo Acelerador Moto</v>
          </cell>
          <cell r="D388" t="str">
            <v>POLO</v>
          </cell>
          <cell r="E388" t="str">
            <v xml:space="preserve">CABO ACELERADOR </v>
          </cell>
          <cell r="F388">
            <v>2</v>
          </cell>
        </row>
        <row r="389">
          <cell r="A389" t="str">
            <v>CCA0056</v>
          </cell>
          <cell r="B389" t="str">
            <v>SIMPLES</v>
          </cell>
          <cell r="C389" t="str">
            <v>Cabo Acelerador Moto</v>
          </cell>
          <cell r="D389" t="str">
            <v>POLO</v>
          </cell>
          <cell r="E389" t="str">
            <v xml:space="preserve">CABO ACELERADOR </v>
          </cell>
          <cell r="F389">
            <v>2</v>
          </cell>
        </row>
        <row r="390">
          <cell r="A390">
            <v>240010</v>
          </cell>
          <cell r="B390" t="str">
            <v>SIMPLES</v>
          </cell>
          <cell r="C390" t="str">
            <v>Diversos</v>
          </cell>
          <cell r="D390" t="str">
            <v>KRATER</v>
          </cell>
          <cell r="E390" t="str">
            <v xml:space="preserve">FILTRO DE COMBUSTIVEL </v>
          </cell>
          <cell r="F390">
            <v>4</v>
          </cell>
        </row>
        <row r="391">
          <cell r="A391">
            <v>4004</v>
          </cell>
          <cell r="B391" t="str">
            <v>SIMPLES</v>
          </cell>
          <cell r="C391" t="str">
            <v>Capa Pedal</v>
          </cell>
          <cell r="D391" t="str">
            <v>HOLYMAN</v>
          </cell>
          <cell r="E391" t="str">
            <v>Capa Pedal Acelerador Freio Embreagem Corsa 1994 Até 2015</v>
          </cell>
          <cell r="F391">
            <v>2</v>
          </cell>
        </row>
        <row r="392">
          <cell r="A392">
            <v>77261</v>
          </cell>
          <cell r="B392" t="str">
            <v>SIMPLES</v>
          </cell>
          <cell r="C392" t="str">
            <v>Cabo de Freio</v>
          </cell>
          <cell r="D392" t="str">
            <v>MundiFlex</v>
          </cell>
          <cell r="E392" t="str">
            <v>Cabo De Freio Traseira Lado Direito Celta 2001 Em Diante</v>
          </cell>
          <cell r="F392">
            <v>1</v>
          </cell>
        </row>
        <row r="393">
          <cell r="A393">
            <v>77144</v>
          </cell>
          <cell r="B393" t="str">
            <v>SIMPLES</v>
          </cell>
          <cell r="C393" t="str">
            <v>Cabo de Velocímetro</v>
          </cell>
          <cell r="D393" t="str">
            <v>MundiFlex</v>
          </cell>
          <cell r="E393" t="str">
            <v>Cabo De Velocímetro Corsa Wind Gl Gls Gsi 1994 Em Diante</v>
          </cell>
          <cell r="F393">
            <v>1</v>
          </cell>
        </row>
        <row r="394">
          <cell r="A394" t="str">
            <v>PDM0007</v>
          </cell>
          <cell r="B394" t="str">
            <v>SIMPLES</v>
          </cell>
          <cell r="C394" t="str">
            <v>ROLAMENTO MOTO</v>
          </cell>
          <cell r="D394" t="str">
            <v>PANDÃO</v>
          </cell>
          <cell r="E394" t="str">
            <v>CAMERA DE AR 3.00-14</v>
          </cell>
          <cell r="F394">
            <v>1</v>
          </cell>
        </row>
        <row r="395">
          <cell r="A395">
            <v>4003</v>
          </cell>
          <cell r="B395" t="str">
            <v>SIMPLES</v>
          </cell>
          <cell r="C395" t="str">
            <v>Capa Pedal</v>
          </cell>
          <cell r="D395" t="str">
            <v>HOLYMAN</v>
          </cell>
          <cell r="E395" t="str">
            <v>Capa De Pedal Freio Embreagem Acelerador Fiorino 1981 A 2016</v>
          </cell>
          <cell r="F395">
            <v>3</v>
          </cell>
        </row>
        <row r="396">
          <cell r="A396" t="str">
            <v>FTK200116PA</v>
          </cell>
          <cell r="B396" t="str">
            <v>SIMPLES</v>
          </cell>
          <cell r="C396" t="str">
            <v>Junta moto</v>
          </cell>
          <cell r="D396" t="str">
            <v>KRATER</v>
          </cell>
          <cell r="E396" t="str">
            <v>Jogo De Juntas Superior Do Cabeçote Nxr160 Bros 2015 Diante</v>
          </cell>
          <cell r="F396">
            <v>1</v>
          </cell>
        </row>
        <row r="397">
          <cell r="A397">
            <v>772153</v>
          </cell>
          <cell r="B397" t="str">
            <v>SIMPLES</v>
          </cell>
          <cell r="C397" t="str">
            <v>Bandeja</v>
          </cell>
          <cell r="D397" t="str">
            <v>SPARE</v>
          </cell>
          <cell r="E397" t="str">
            <v>Bandeja Inferior Esquerdo Com Pivô Santa Fé 2006 À 2011</v>
          </cell>
          <cell r="F397">
            <v>1</v>
          </cell>
        </row>
        <row r="398">
          <cell r="A398" t="str">
            <v>FBK-985</v>
          </cell>
          <cell r="B398" t="str">
            <v>SIMPLES</v>
          </cell>
          <cell r="C398" t="str">
            <v>MANETE EMBREAGEM</v>
          </cell>
          <cell r="D398" t="str">
            <v>FABRECK</v>
          </cell>
          <cell r="E398" t="str">
            <v>MANETE ESQUERDO XT660R/FACTOR/FAZER250/XTZ125/LANDER</v>
          </cell>
          <cell r="F398">
            <v>1</v>
          </cell>
        </row>
        <row r="399">
          <cell r="A399" t="str">
            <v>FBK-787</v>
          </cell>
          <cell r="B399" t="str">
            <v>SIMPLES</v>
          </cell>
          <cell r="C399" t="str">
            <v>PASTILHA DE FREIO MOTO</v>
          </cell>
          <cell r="D399" t="str">
            <v>FABRECK</v>
          </cell>
          <cell r="E399" t="str">
            <v>PASTILHA FREIO TITAN150 CBS TITAN 160 CBS</v>
          </cell>
          <cell r="F399">
            <v>1</v>
          </cell>
        </row>
        <row r="400">
          <cell r="A400">
            <v>4002</v>
          </cell>
          <cell r="B400" t="str">
            <v>SIMPLES</v>
          </cell>
          <cell r="C400" t="str">
            <v>Capa Pedal</v>
          </cell>
          <cell r="D400" t="str">
            <v>HOLYMAN</v>
          </cell>
          <cell r="E400" t="str">
            <v>Capa De Pedal Freio Embreagem Spacefox 2012 A 2015</v>
          </cell>
          <cell r="F400">
            <v>2</v>
          </cell>
        </row>
        <row r="401">
          <cell r="A401" t="str">
            <v>33410-BF0-CG08</v>
          </cell>
          <cell r="B401" t="str">
            <v>SIMPLES</v>
          </cell>
          <cell r="C401" t="str">
            <v>Diversos</v>
          </cell>
          <cell r="D401" t="str">
            <v>SMARTFOX</v>
          </cell>
          <cell r="E401" t="str">
            <v>CACHIMBO VELA TITAN</v>
          </cell>
          <cell r="F401">
            <v>2</v>
          </cell>
        </row>
        <row r="402">
          <cell r="A402">
            <v>4042</v>
          </cell>
          <cell r="B402" t="str">
            <v>SIMPLES</v>
          </cell>
          <cell r="C402" t="str">
            <v>Capa Pedal</v>
          </cell>
          <cell r="D402" t="str">
            <v>HOLYMAN</v>
          </cell>
          <cell r="E402" t="str">
            <v>Capa De Pedal Freio Embreagem Polo 2008</v>
          </cell>
          <cell r="F402">
            <v>1</v>
          </cell>
        </row>
        <row r="403">
          <cell r="A403">
            <v>4052</v>
          </cell>
          <cell r="B403" t="str">
            <v>SIMPLES</v>
          </cell>
          <cell r="C403" t="str">
            <v>Capa Pedal</v>
          </cell>
          <cell r="D403" t="str">
            <v>HOLYMAN</v>
          </cell>
          <cell r="E403" t="str">
            <v>Capa De Pedal Freio Embreagem F12000</v>
          </cell>
          <cell r="F403">
            <v>1</v>
          </cell>
        </row>
        <row r="404">
          <cell r="A404" t="str">
            <v>200.119/A</v>
          </cell>
          <cell r="B404" t="str">
            <v>SIMPLES</v>
          </cell>
          <cell r="C404" t="str">
            <v>Junta moto</v>
          </cell>
          <cell r="D404" t="str">
            <v>KRATER</v>
          </cell>
          <cell r="E404" t="str">
            <v>JOGO DE JUNTAS</v>
          </cell>
          <cell r="F404">
            <v>1</v>
          </cell>
        </row>
        <row r="405">
          <cell r="A405">
            <v>4013</v>
          </cell>
          <cell r="B405" t="str">
            <v>SIMPLES</v>
          </cell>
          <cell r="C405" t="str">
            <v>Capa Pedal</v>
          </cell>
          <cell r="D405" t="str">
            <v>HOLYMAN</v>
          </cell>
          <cell r="E405" t="str">
            <v>Capa De Pedal Freio Embreagem F-250</v>
          </cell>
          <cell r="F405">
            <v>2</v>
          </cell>
        </row>
        <row r="406">
          <cell r="A406">
            <v>4041</v>
          </cell>
          <cell r="B406" t="str">
            <v>SIMPLES</v>
          </cell>
          <cell r="C406" t="str">
            <v>Capa Pedal</v>
          </cell>
          <cell r="D406" t="str">
            <v>HOLYMAN</v>
          </cell>
          <cell r="E406" t="str">
            <v xml:space="preserve">Capa Pedal Hyundai Hr E H100 Kia Bongo K2500 K2700 K2799 </v>
          </cell>
          <cell r="F406">
            <v>1</v>
          </cell>
        </row>
        <row r="407">
          <cell r="A407">
            <v>4063</v>
          </cell>
          <cell r="B407" t="str">
            <v>SIMPLES</v>
          </cell>
          <cell r="C407" t="str">
            <v>Capa Pedal</v>
          </cell>
          <cell r="D407" t="str">
            <v>HOLYMAN</v>
          </cell>
          <cell r="E407" t="str">
            <v>Capa Pedal Freio Embreagem Gm Spin 2012 Em Diante</v>
          </cell>
          <cell r="F407">
            <v>1</v>
          </cell>
        </row>
        <row r="408">
          <cell r="A408">
            <v>4044</v>
          </cell>
          <cell r="B408" t="str">
            <v>SIMPLES</v>
          </cell>
          <cell r="C408" t="str">
            <v>Capa Pedal</v>
          </cell>
          <cell r="D408" t="str">
            <v>HOLYMAN</v>
          </cell>
          <cell r="E408" t="str">
            <v>Capa Pedal Acelerador Freio Embreagem Santana 1984 A 1991</v>
          </cell>
          <cell r="F408">
            <v>1</v>
          </cell>
        </row>
        <row r="409">
          <cell r="A409">
            <v>4058</v>
          </cell>
          <cell r="B409" t="str">
            <v>SIMPLES</v>
          </cell>
          <cell r="C409" t="str">
            <v>Capa Pedal</v>
          </cell>
          <cell r="D409" t="str">
            <v>HOLYMAN</v>
          </cell>
          <cell r="E409" t="str">
            <v>Capa De Pedal Freio E Embreagem Citroen C3</v>
          </cell>
          <cell r="F409">
            <v>1</v>
          </cell>
        </row>
        <row r="410">
          <cell r="A410" t="str">
            <v>4017C</v>
          </cell>
          <cell r="B410" t="str">
            <v>SIMPLES</v>
          </cell>
          <cell r="C410" t="str">
            <v>Capa Pedal</v>
          </cell>
          <cell r="D410" t="str">
            <v>HOLYMAN</v>
          </cell>
          <cell r="E410" t="str">
            <v>Kit Capa Pedal Acelerador Freio Embregaem Brasília</v>
          </cell>
          <cell r="F410">
            <v>1</v>
          </cell>
        </row>
        <row r="411">
          <cell r="A411" t="str">
            <v>CCE0053</v>
          </cell>
          <cell r="B411" t="str">
            <v>SIMPLES</v>
          </cell>
          <cell r="C411" t="str">
            <v>Cabo Embreagem moto</v>
          </cell>
          <cell r="D411" t="str">
            <v>POLO</v>
          </cell>
          <cell r="E411" t="str">
            <v xml:space="preserve">CCE0053 CABO EMBREAGEM HONDA POP 110 16&gt;  </v>
          </cell>
          <cell r="F411">
            <v>1</v>
          </cell>
        </row>
        <row r="412">
          <cell r="A412" t="str">
            <v>250.542K000</v>
          </cell>
          <cell r="B412" t="str">
            <v>SIMPLES</v>
          </cell>
          <cell r="C412" t="str">
            <v>Diversos</v>
          </cell>
          <cell r="D412" t="str">
            <v>KRATER</v>
          </cell>
          <cell r="E412" t="str">
            <v>RETENTOR EMBREAGEM</v>
          </cell>
          <cell r="F412">
            <v>4</v>
          </cell>
        </row>
        <row r="413">
          <cell r="A413" t="str">
            <v>4004r</v>
          </cell>
          <cell r="B413" t="str">
            <v>SIMPLES</v>
          </cell>
          <cell r="C413" t="str">
            <v>Capa Pedal</v>
          </cell>
          <cell r="D413" t="str">
            <v>HOLYMAN</v>
          </cell>
          <cell r="E413" t="str">
            <v>Capa Pedal Acelerador Freio Embreagem Rosa Kadett 89 A 98</v>
          </cell>
          <cell r="F413">
            <v>1</v>
          </cell>
        </row>
        <row r="414">
          <cell r="A414">
            <v>4015</v>
          </cell>
          <cell r="B414" t="str">
            <v>SIMPLES</v>
          </cell>
          <cell r="C414" t="str">
            <v>Capa Pedal</v>
          </cell>
          <cell r="D414" t="str">
            <v>HOLYMAN</v>
          </cell>
          <cell r="E414" t="str">
            <v>Capa De Pedal Freio E Embreagem C10 C20 C40</v>
          </cell>
          <cell r="F414">
            <v>1</v>
          </cell>
        </row>
        <row r="415">
          <cell r="A415">
            <v>442071</v>
          </cell>
          <cell r="B415" t="str">
            <v>SIMPLES</v>
          </cell>
          <cell r="C415" t="str">
            <v>Bandeja</v>
          </cell>
          <cell r="D415" t="str">
            <v>SPARE</v>
          </cell>
          <cell r="E415" t="str">
            <v>Bandeja Inferior Esquerda Sem Pivô Ranger 2012 A 2019</v>
          </cell>
          <cell r="F415">
            <v>0</v>
          </cell>
        </row>
        <row r="416">
          <cell r="A416" t="str">
            <v>FTK-T350</v>
          </cell>
          <cell r="B416" t="str">
            <v>SIMPLES</v>
          </cell>
          <cell r="C416" t="str">
            <v>Suporte Câmbio</v>
          </cell>
          <cell r="D416" t="str">
            <v>CAMARG</v>
          </cell>
          <cell r="E416" t="str">
            <v>Suporte Caixa Câmbio Reforçada Fusca Motor A Ar</v>
          </cell>
          <cell r="F416">
            <v>0</v>
          </cell>
        </row>
        <row r="417">
          <cell r="A417" t="str">
            <v>FTK11045</v>
          </cell>
          <cell r="B417" t="str">
            <v>SIMPLES</v>
          </cell>
          <cell r="C417" t="str">
            <v>Pivô</v>
          </cell>
          <cell r="D417" t="str">
            <v>SPARE</v>
          </cell>
          <cell r="E417" t="str">
            <v>Pivô Inferior Bandeja Lifan 620 2010 Á 2017 1.6 16v</v>
          </cell>
          <cell r="F417">
            <v>0</v>
          </cell>
        </row>
        <row r="418">
          <cell r="A418">
            <v>993015</v>
          </cell>
          <cell r="B418" t="str">
            <v>SIMPLES</v>
          </cell>
          <cell r="C418" t="str">
            <v>Bandeja</v>
          </cell>
          <cell r="D418" t="str">
            <v>SPARE</v>
          </cell>
          <cell r="E418" t="str">
            <v>BANDEJA INFERIOR DIANTEIRA ESQUERDA TRANSIT 2008 Á 2015</v>
          </cell>
          <cell r="F41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"/>
      <sheetName val="CMV"/>
    </sheetNames>
    <sheetDataSet>
      <sheetData sheetId="0"/>
      <sheetData sheetId="1">
        <row r="1">
          <cell r="A1" t="str">
            <v>SKU</v>
          </cell>
          <cell r="B1" t="str">
            <v>SEGUIMENTO</v>
          </cell>
          <cell r="C1" t="str">
            <v>Categoria</v>
          </cell>
          <cell r="D1" t="str">
            <v>TIPO</v>
          </cell>
          <cell r="E1" t="str">
            <v>Fornecedor</v>
          </cell>
          <cell r="F1" t="str">
            <v>Descrição / Aplicação</v>
          </cell>
        </row>
        <row r="2">
          <cell r="A2">
            <v>2210</v>
          </cell>
          <cell r="B2" t="str">
            <v>AUTOMOTIVO</v>
          </cell>
          <cell r="C2" t="str">
            <v>Haste Câmbio</v>
          </cell>
          <cell r="D2" t="str">
            <v>SIMPLES</v>
          </cell>
          <cell r="E2" t="str">
            <v>LT CORREA</v>
          </cell>
          <cell r="F2" t="str">
            <v>Haste Bieleta Do Câmbio Peugeot 206 207  1.4 .16 161mm Curta</v>
          </cell>
        </row>
        <row r="3">
          <cell r="A3">
            <v>2211</v>
          </cell>
          <cell r="B3" t="str">
            <v>AUTOMOTIVO</v>
          </cell>
          <cell r="C3" t="str">
            <v>Reparo alavanta Câmbio</v>
          </cell>
          <cell r="D3" t="str">
            <v>SIMPLES</v>
          </cell>
          <cell r="E3" t="str">
            <v>LT CORREA</v>
          </cell>
          <cell r="F3" t="str">
            <v>Haste  Bieleta Câmbio 206 207 1.4 / 1.6 Longo 34cm</v>
          </cell>
        </row>
        <row r="4">
          <cell r="A4">
            <v>2212</v>
          </cell>
          <cell r="B4" t="str">
            <v>AUTOMOTIVO</v>
          </cell>
          <cell r="C4" t="str">
            <v>Haste Câmbio</v>
          </cell>
          <cell r="D4" t="str">
            <v>SIMPLES</v>
          </cell>
          <cell r="E4" t="str">
            <v>LT CORREA</v>
          </cell>
          <cell r="F4" t="str">
            <v>TIRANTE EXTERNO DO CÂMBIO CURTO PEUGEOT 206 1.0</v>
          </cell>
        </row>
        <row r="5">
          <cell r="A5">
            <v>2213</v>
          </cell>
          <cell r="B5" t="str">
            <v>AUTOMOTIVO</v>
          </cell>
          <cell r="C5" t="str">
            <v>Haste Câmbio</v>
          </cell>
          <cell r="D5" t="str">
            <v>SIMPLES</v>
          </cell>
          <cell r="E5" t="str">
            <v>LT CORREA</v>
          </cell>
          <cell r="F5" t="str">
            <v>TIRANTE EXTERNO DO CÂMBIO LONGO PEUGEOT 206 1.0</v>
          </cell>
        </row>
        <row r="6">
          <cell r="A6">
            <v>2214</v>
          </cell>
          <cell r="B6" t="str">
            <v>AUTOMOTIVO</v>
          </cell>
          <cell r="C6" t="str">
            <v>Bieleta</v>
          </cell>
          <cell r="D6" t="str">
            <v>SIMPLES</v>
          </cell>
          <cell r="E6" t="str">
            <v>HOLYMAN</v>
          </cell>
          <cell r="F6" t="str">
            <v>Bieleta Haste Curta Trambulador Peugeot 306</v>
          </cell>
        </row>
        <row r="7">
          <cell r="A7">
            <v>2215</v>
          </cell>
          <cell r="B7" t="str">
            <v>AUTOMOTIVO</v>
          </cell>
          <cell r="C7" t="str">
            <v>Haste Câmbio</v>
          </cell>
          <cell r="D7" t="str">
            <v>SIMPLES</v>
          </cell>
          <cell r="E7" t="str">
            <v>LT CORREA</v>
          </cell>
          <cell r="F7" t="str">
            <v>TIRANTE EXTERNO DO CÂMBIO LONGO PEUGEOT 306</v>
          </cell>
        </row>
        <row r="8">
          <cell r="A8">
            <v>2219</v>
          </cell>
          <cell r="B8" t="str">
            <v>AUTOMOTIVO</v>
          </cell>
          <cell r="C8" t="str">
            <v>Haste Câmbio</v>
          </cell>
          <cell r="D8" t="str">
            <v>SIMPLES</v>
          </cell>
          <cell r="E8" t="str">
            <v>LT CORREA</v>
          </cell>
          <cell r="F8" t="str">
            <v>KIT TIRANTE DO CÂMBIO UNIVERSAL PEUGEOT</v>
          </cell>
        </row>
        <row r="9">
          <cell r="A9">
            <v>2252</v>
          </cell>
          <cell r="B9" t="str">
            <v>AUTOMOTIVO</v>
          </cell>
          <cell r="C9" t="str">
            <v>Reparo alavanta Câmbio</v>
          </cell>
          <cell r="D9" t="str">
            <v>SIMPLES</v>
          </cell>
          <cell r="E9" t="str">
            <v>LT CORREA</v>
          </cell>
          <cell r="F9" t="str">
            <v>ALAVANCA SELETORA DO TRAMBULADOR PEUGEOT 206 1.0</v>
          </cell>
        </row>
        <row r="10">
          <cell r="A10">
            <v>2278</v>
          </cell>
          <cell r="B10" t="str">
            <v>AUTOMOTIVO</v>
          </cell>
          <cell r="C10" t="str">
            <v>Bucha Eixo Suspensão</v>
          </cell>
          <cell r="D10" t="str">
            <v>SIMPLES</v>
          </cell>
          <cell r="E10" t="str">
            <v>LT CORREA</v>
          </cell>
          <cell r="F10" t="str">
            <v>Bucha Eixo Tras Elimina Folga 47mm Peugeot 206 1999 A 2010</v>
          </cell>
        </row>
        <row r="11">
          <cell r="A11">
            <v>2279</v>
          </cell>
          <cell r="B11" t="str">
            <v>AUTOMOTIVO</v>
          </cell>
          <cell r="C11" t="str">
            <v>Bucha Eixo Suspensão</v>
          </cell>
          <cell r="D11" t="str">
            <v>KIT</v>
          </cell>
          <cell r="E11" t="str">
            <v>HOLYMAN</v>
          </cell>
          <cell r="F11" t="str">
            <v>Par De Buchas Eixo Traseiro Elimina Folga 47mm 206 1999 2010</v>
          </cell>
        </row>
        <row r="12">
          <cell r="A12">
            <v>2280</v>
          </cell>
          <cell r="B12" t="str">
            <v>AUTOMOTIVO</v>
          </cell>
          <cell r="C12" t="str">
            <v>Bucha Eixo Suspensão</v>
          </cell>
          <cell r="D12" t="str">
            <v>SIMPLES</v>
          </cell>
          <cell r="E12" t="str">
            <v>LT CORREA</v>
          </cell>
          <cell r="F12" t="str">
            <v>Bucha Eixo Traseiro Elimina Folga Pegeout 206 207 50mm</v>
          </cell>
        </row>
        <row r="13">
          <cell r="A13">
            <v>2281</v>
          </cell>
          <cell r="B13" t="str">
            <v>AUTOMOTIVO</v>
          </cell>
          <cell r="C13" t="str">
            <v>Bucha Eixo Suspensão</v>
          </cell>
          <cell r="D13" t="str">
            <v>KIT</v>
          </cell>
          <cell r="E13" t="str">
            <v>LT CORREA</v>
          </cell>
          <cell r="F13" t="str">
            <v>PAR Bucha Elimina Folga Do Eixo Tras 50mm Passion 2012 A 2015</v>
          </cell>
        </row>
        <row r="14">
          <cell r="A14">
            <v>2302</v>
          </cell>
          <cell r="B14" t="str">
            <v>AUTOMOTIVO</v>
          </cell>
          <cell r="C14" t="str">
            <v>Reparo alavanta Câmbio</v>
          </cell>
          <cell r="D14" t="str">
            <v>SIMPLES</v>
          </cell>
          <cell r="E14" t="str">
            <v>LT CORREA</v>
          </cell>
          <cell r="F14" t="str">
            <v>Kit Reparo Trambulador Cambio Astra Com Liame 1993 A 2006</v>
          </cell>
        </row>
        <row r="15">
          <cell r="A15">
            <v>2309</v>
          </cell>
          <cell r="B15" t="str">
            <v>AUTOMOTIVO</v>
          </cell>
          <cell r="C15" t="str">
            <v>Reparo alavanta Câmbio</v>
          </cell>
          <cell r="D15" t="str">
            <v>SIMPLES</v>
          </cell>
          <cell r="E15" t="str">
            <v>LT CORREA</v>
          </cell>
          <cell r="F15" t="str">
            <v>Suporte Da Alavanca De Seleção Do Trambulador Corsa Celta</v>
          </cell>
        </row>
        <row r="16">
          <cell r="A16">
            <v>2312</v>
          </cell>
          <cell r="B16" t="str">
            <v>AUTOMOTIVO</v>
          </cell>
          <cell r="C16" t="str">
            <v>Reparo alavanta Câmbio</v>
          </cell>
          <cell r="D16" t="str">
            <v>SIMPLES</v>
          </cell>
          <cell r="E16" t="str">
            <v>LT CORREA</v>
          </cell>
          <cell r="F16" t="str">
            <v>Reparo Bucha Cabo Marcha Zafira A Partir De 2006 Até 2012</v>
          </cell>
        </row>
        <row r="17">
          <cell r="A17">
            <v>2314</v>
          </cell>
          <cell r="B17" t="str">
            <v>AUTOMOTIVO</v>
          </cell>
          <cell r="C17" t="str">
            <v>Haste Câmbio</v>
          </cell>
          <cell r="D17" t="str">
            <v>SIMPLES</v>
          </cell>
          <cell r="E17" t="str">
            <v>LT CORREA</v>
          </cell>
          <cell r="F17" t="str">
            <v>Reparo Alavanca Cambio Corsa Classic Celta 2005/2014</v>
          </cell>
        </row>
        <row r="18">
          <cell r="A18">
            <v>2316</v>
          </cell>
          <cell r="B18" t="str">
            <v>AUTOMOTIVO</v>
          </cell>
          <cell r="C18" t="str">
            <v>Reparo alavanta Câmbio</v>
          </cell>
          <cell r="D18" t="str">
            <v>SIMPLES</v>
          </cell>
          <cell r="E18" t="str">
            <v>LT CORREA</v>
          </cell>
          <cell r="F18" t="str">
            <v>Kit Reparo Alavanca Câmbio Trambulador Vectra 2006 Até 2011</v>
          </cell>
        </row>
        <row r="19">
          <cell r="A19">
            <v>2324</v>
          </cell>
          <cell r="B19" t="str">
            <v>AUTOMOTIVO</v>
          </cell>
          <cell r="C19" t="str">
            <v>Reparo alavanta Câmbio</v>
          </cell>
          <cell r="D19" t="str">
            <v>SIMPLES</v>
          </cell>
          <cell r="E19" t="str">
            <v>LT CORREA</v>
          </cell>
          <cell r="F19" t="str">
            <v>Bucha Trambulador Corsa Todos De 94 Até 2012</v>
          </cell>
        </row>
        <row r="20">
          <cell r="A20">
            <v>2325</v>
          </cell>
          <cell r="B20" t="str">
            <v>AUTOMOTIVO</v>
          </cell>
          <cell r="C20" t="str">
            <v>Reparo alavanta Câmbio</v>
          </cell>
          <cell r="D20" t="str">
            <v>SIMPLES</v>
          </cell>
          <cell r="E20" t="str">
            <v>LT CORREA</v>
          </cell>
          <cell r="F20" t="str">
            <v>Bucha Reparo Alavanca Trambulador Astra 1993 A 2006</v>
          </cell>
        </row>
        <row r="21">
          <cell r="A21">
            <v>2327</v>
          </cell>
          <cell r="B21" t="str">
            <v>AUTOMOTIVO</v>
          </cell>
          <cell r="C21" t="str">
            <v>Reparo alavanta Câmbio</v>
          </cell>
          <cell r="D21" t="str">
            <v>SIMPLES</v>
          </cell>
          <cell r="E21" t="str">
            <v>LT CORREA</v>
          </cell>
          <cell r="F21" t="str">
            <v>Kit Reparo Bucha Alavanca Câmbio Varão Corsa</v>
          </cell>
        </row>
        <row r="22">
          <cell r="A22">
            <v>2345</v>
          </cell>
          <cell r="B22" t="str">
            <v>AUTOMOTIVO</v>
          </cell>
          <cell r="C22" t="str">
            <v>Reparo alavanta Câmbio</v>
          </cell>
          <cell r="D22" t="str">
            <v>SIMPLES</v>
          </cell>
          <cell r="E22" t="str">
            <v>LT CORREA</v>
          </cell>
          <cell r="F22" t="str">
            <v>Pino Regulagem Da Ponta Do Cabo De Marcha Corsa Celta Vectra</v>
          </cell>
        </row>
        <row r="23">
          <cell r="A23">
            <v>2353</v>
          </cell>
          <cell r="B23" t="str">
            <v>AUTOMOTIVO</v>
          </cell>
          <cell r="C23" t="str">
            <v>Suporte Câmbio</v>
          </cell>
          <cell r="D23" t="str">
            <v>SIMPLES</v>
          </cell>
          <cell r="E23" t="str">
            <v>LT CORREA</v>
          </cell>
          <cell r="F23" t="str">
            <v>Suporte Traseiro Do Motor Câmbio Manual Astra 2004</v>
          </cell>
        </row>
        <row r="24">
          <cell r="A24">
            <v>2357</v>
          </cell>
          <cell r="B24" t="str">
            <v>AUTOMOTIVO</v>
          </cell>
          <cell r="C24" t="str">
            <v>Suporte Radiador</v>
          </cell>
          <cell r="D24" t="str">
            <v>SIMPLES</v>
          </cell>
          <cell r="E24" t="str">
            <v>LT CORREA</v>
          </cell>
          <cell r="F24" t="str">
            <v>Suporte Coxin Radiador Esquerdo Corsa Frente Montana 2002/12</v>
          </cell>
        </row>
        <row r="25">
          <cell r="A25">
            <v>2358</v>
          </cell>
          <cell r="B25" t="str">
            <v>AUTOMOTIVO</v>
          </cell>
          <cell r="C25" t="str">
            <v>Suporte Radiador</v>
          </cell>
          <cell r="D25" t="str">
            <v>SIMPLES</v>
          </cell>
          <cell r="E25" t="str">
            <v>LT CORREA</v>
          </cell>
          <cell r="F25" t="str">
            <v>Suporte Coxin Radiador Direito Montana Antiga 2002 A 2012</v>
          </cell>
        </row>
        <row r="26">
          <cell r="A26">
            <v>2360</v>
          </cell>
          <cell r="B26" t="str">
            <v>AUTOMOTIVO</v>
          </cell>
          <cell r="C26" t="str">
            <v>Suporte Radiador</v>
          </cell>
          <cell r="D26" t="str">
            <v>SIMPLES</v>
          </cell>
          <cell r="E26" t="str">
            <v>LT CORREA</v>
          </cell>
          <cell r="F26" t="str">
            <v>Suporte Radiador Lado Motorista - Corsa Sedan 1.6 - 1999</v>
          </cell>
        </row>
        <row r="27">
          <cell r="A27">
            <v>2361</v>
          </cell>
          <cell r="B27" t="str">
            <v>AUTOMOTIVO</v>
          </cell>
          <cell r="C27" t="str">
            <v>Suporte Parachoque</v>
          </cell>
          <cell r="D27" t="str">
            <v>SIMPLES</v>
          </cell>
          <cell r="E27" t="str">
            <v>LT CORREA</v>
          </cell>
          <cell r="F27" t="str">
            <v>Corsa Sedan Class. Super 1.6 2004 A 2006</v>
          </cell>
        </row>
        <row r="28">
          <cell r="A28">
            <v>2362</v>
          </cell>
          <cell r="B28" t="str">
            <v>AUTOMOTIVO</v>
          </cell>
          <cell r="C28" t="str">
            <v>Suporte Radiador</v>
          </cell>
          <cell r="D28" t="str">
            <v>SIMPLES</v>
          </cell>
          <cell r="E28" t="str">
            <v>LT CORREA</v>
          </cell>
          <cell r="F28" t="str">
            <v>Suporte Sup. Radiador Celta 2009 Le Ld</v>
          </cell>
        </row>
        <row r="29">
          <cell r="A29">
            <v>2367</v>
          </cell>
          <cell r="B29" t="str">
            <v>AUTOMOTIVO</v>
          </cell>
          <cell r="C29" t="str">
            <v>Suporte Radiador</v>
          </cell>
          <cell r="D29" t="str">
            <v>SIMPLES</v>
          </cell>
          <cell r="E29" t="str">
            <v>LT CORREA</v>
          </cell>
          <cell r="F29" t="str">
            <v>Suporte Do Radiador Vectra Cd 2.2 16v 2000</v>
          </cell>
        </row>
        <row r="30">
          <cell r="A30">
            <v>2374</v>
          </cell>
          <cell r="B30" t="str">
            <v>AUTOMOTIVO</v>
          </cell>
          <cell r="C30" t="str">
            <v>Suporte Radiador</v>
          </cell>
          <cell r="D30" t="str">
            <v>SIMPLES</v>
          </cell>
          <cell r="E30" t="str">
            <v>LT CORREA</v>
          </cell>
          <cell r="F30" t="str">
            <v>Kit Suporte Coxim Superior Do Radiador Cobalt 2012 Em Diante</v>
          </cell>
        </row>
        <row r="31">
          <cell r="A31">
            <v>2375</v>
          </cell>
          <cell r="B31" t="str">
            <v>AUTOMOTIVO</v>
          </cell>
          <cell r="C31" t="str">
            <v>Suporte Radiador</v>
          </cell>
          <cell r="D31" t="str">
            <v>SIMPLES</v>
          </cell>
          <cell r="E31" t="str">
            <v>LT CORREA</v>
          </cell>
          <cell r="F31" t="str">
            <v>Kit Suporte Coxim Superior Do Radiador Tracker 2021 a 2023</v>
          </cell>
        </row>
        <row r="32">
          <cell r="A32">
            <v>3002</v>
          </cell>
          <cell r="B32" t="str">
            <v>AUTOMOTIVO</v>
          </cell>
          <cell r="C32" t="str">
            <v>Cupula alavanca</v>
          </cell>
          <cell r="D32" t="str">
            <v>SIMPLES</v>
          </cell>
          <cell r="E32" t="str">
            <v>HOLYMAN</v>
          </cell>
          <cell r="F32" t="str">
            <v>Kit Cúpula Alavanca Do Cambio 6 Marchas Siena 1999 A 2000</v>
          </cell>
        </row>
        <row r="33">
          <cell r="A33">
            <v>3003</v>
          </cell>
          <cell r="B33" t="str">
            <v>AUTOMOTIVO</v>
          </cell>
          <cell r="C33" t="str">
            <v>Caixa Rótula</v>
          </cell>
          <cell r="D33" t="str">
            <v>SIMPLES</v>
          </cell>
          <cell r="E33" t="str">
            <v>HOLYMAN</v>
          </cell>
          <cell r="F33" t="str">
            <v>Caixa Rótula Alavanca Câmbio Santana Até 2005</v>
          </cell>
        </row>
        <row r="34">
          <cell r="A34">
            <v>3025</v>
          </cell>
          <cell r="B34" t="str">
            <v>AUTOMOTIVO</v>
          </cell>
          <cell r="C34" t="str">
            <v>Suporte Parachoque</v>
          </cell>
          <cell r="D34" t="str">
            <v>SIMPLES</v>
          </cell>
          <cell r="E34" t="str">
            <v>HOLYMAN</v>
          </cell>
          <cell r="F34" t="str">
            <v>Suporte Do Para Choque Fusca</v>
          </cell>
        </row>
        <row r="35">
          <cell r="A35">
            <v>3037</v>
          </cell>
          <cell r="B35" t="str">
            <v>AUTOMOTIVO</v>
          </cell>
          <cell r="C35" t="str">
            <v>Caixa Rótula</v>
          </cell>
          <cell r="D35" t="str">
            <v>SIMPLES</v>
          </cell>
          <cell r="E35" t="str">
            <v>HOLYMAN</v>
          </cell>
          <cell r="F35" t="str">
            <v>Caixa Rótula Alavanca Câmbio Gol G1 G2 G3</v>
          </cell>
        </row>
        <row r="36">
          <cell r="A36">
            <v>4001</v>
          </cell>
          <cell r="B36" t="str">
            <v>AUTOMOTIVO</v>
          </cell>
          <cell r="C36" t="str">
            <v>Capa Pedal</v>
          </cell>
          <cell r="D36" t="str">
            <v>SIMPLES</v>
          </cell>
          <cell r="E36" t="str">
            <v>HOLYMAN</v>
          </cell>
          <cell r="F36" t="str">
            <v>Capa Pedal Acelerador Freio Embreagem Voyage Saveiro Gol</v>
          </cell>
        </row>
        <row r="37">
          <cell r="A37">
            <v>4002</v>
          </cell>
          <cell r="B37" t="str">
            <v>AUTOMOTIVO</v>
          </cell>
          <cell r="C37" t="str">
            <v>Capa Pedal</v>
          </cell>
          <cell r="D37" t="str">
            <v>SIMPLES</v>
          </cell>
          <cell r="E37" t="str">
            <v>HOLYMAN</v>
          </cell>
          <cell r="F37" t="str">
            <v>Capa De Pedal Freio Embreagem Spacefox 2012 A 2015</v>
          </cell>
        </row>
        <row r="38">
          <cell r="A38">
            <v>4003</v>
          </cell>
          <cell r="B38" t="str">
            <v>AUTOMOTIVO</v>
          </cell>
          <cell r="C38" t="str">
            <v>Capa Pedal</v>
          </cell>
          <cell r="D38" t="str">
            <v>SIMPLES</v>
          </cell>
          <cell r="E38" t="str">
            <v>HOLYMAN</v>
          </cell>
          <cell r="F38" t="str">
            <v>Capa De Pedal Freio Embreagem Acelerador Fiorino 1981 A 2016</v>
          </cell>
        </row>
        <row r="39">
          <cell r="A39">
            <v>4004</v>
          </cell>
          <cell r="B39" t="str">
            <v>AUTOMOTIVO</v>
          </cell>
          <cell r="C39" t="str">
            <v>Capa Pedal</v>
          </cell>
          <cell r="D39" t="str">
            <v>SIMPLES</v>
          </cell>
          <cell r="E39" t="str">
            <v>HOLYMAN</v>
          </cell>
          <cell r="F39" t="str">
            <v>Capa Pedal Acelerador Freio Embreagem Corsa 1994 Até 2015</v>
          </cell>
        </row>
        <row r="40">
          <cell r="A40">
            <v>4005</v>
          </cell>
          <cell r="B40" t="str">
            <v>AUTOMOTIVO</v>
          </cell>
          <cell r="C40" t="str">
            <v>Capa Pedal</v>
          </cell>
          <cell r="D40" t="str">
            <v>SIMPLES</v>
          </cell>
          <cell r="E40" t="str">
            <v>HOLYMAN</v>
          </cell>
          <cell r="F40" t="str">
            <v>Capa De Pedal Freio Embreagem Acelerador Passat G1 74 A 78</v>
          </cell>
        </row>
        <row r="41">
          <cell r="A41">
            <v>4006</v>
          </cell>
          <cell r="B41" t="str">
            <v>AUTOMOTIVO</v>
          </cell>
          <cell r="C41" t="str">
            <v>Capa Pedal</v>
          </cell>
          <cell r="D41" t="str">
            <v>SIMPLES</v>
          </cell>
          <cell r="E41" t="str">
            <v>HOLYMAN</v>
          </cell>
          <cell r="F41" t="str">
            <v>Kit Capa Pedal Freio Embreagem Kombi 1976 Em Diante</v>
          </cell>
        </row>
        <row r="42">
          <cell r="A42">
            <v>4007</v>
          </cell>
          <cell r="B42" t="str">
            <v>AUTOMOTIVO</v>
          </cell>
          <cell r="C42" t="str">
            <v>Capa Pedal</v>
          </cell>
          <cell r="D42" t="str">
            <v>SIMPLES</v>
          </cell>
          <cell r="E42" t="str">
            <v>HOLYMAN</v>
          </cell>
          <cell r="F42" t="str">
            <v>Capa De Pedal Freio Embreagem Acelerador Marajó 81 A 86</v>
          </cell>
        </row>
        <row r="43">
          <cell r="A43">
            <v>4008</v>
          </cell>
          <cell r="B43" t="str">
            <v>AUTOMOTIVO</v>
          </cell>
          <cell r="C43" t="str">
            <v>Capa Pedal</v>
          </cell>
          <cell r="D43" t="str">
            <v>SIMPLES</v>
          </cell>
          <cell r="E43" t="str">
            <v>HOLYMAN</v>
          </cell>
          <cell r="F43" t="str">
            <v>Capa De Pedal Freio Embreagem Acelerador Chevette 1973 A 80</v>
          </cell>
        </row>
        <row r="44">
          <cell r="A44">
            <v>4009</v>
          </cell>
          <cell r="B44" t="str">
            <v>AUTOMOTIVO</v>
          </cell>
          <cell r="C44" t="str">
            <v>Capa Pedal</v>
          </cell>
          <cell r="D44" t="str">
            <v>SIMPLES</v>
          </cell>
          <cell r="E44" t="str">
            <v>HOLYMAN</v>
          </cell>
          <cell r="F44" t="str">
            <v>Capa De Pedal Freio Embreagem Del Rey</v>
          </cell>
        </row>
        <row r="45">
          <cell r="A45">
            <v>4013</v>
          </cell>
          <cell r="B45" t="str">
            <v>AUTOMOTIVO</v>
          </cell>
          <cell r="C45" t="str">
            <v>Capa Pedal</v>
          </cell>
          <cell r="D45" t="str">
            <v>SIMPLES</v>
          </cell>
          <cell r="E45" t="str">
            <v>HOLYMAN</v>
          </cell>
          <cell r="F45" t="str">
            <v>Capa De Pedal Freio Embreagem F-250</v>
          </cell>
        </row>
        <row r="46">
          <cell r="A46">
            <v>4014</v>
          </cell>
          <cell r="B46" t="str">
            <v>AUTOMOTIVO</v>
          </cell>
          <cell r="C46" t="str">
            <v>Capa Pedal</v>
          </cell>
          <cell r="D46" t="str">
            <v>SIMPLES</v>
          </cell>
          <cell r="E46" t="str">
            <v>HOLYMAN</v>
          </cell>
        </row>
        <row r="47">
          <cell r="A47">
            <v>4015</v>
          </cell>
          <cell r="B47" t="str">
            <v>AUTOMOTIVO</v>
          </cell>
          <cell r="C47" t="str">
            <v>Capa Pedal</v>
          </cell>
          <cell r="D47" t="str">
            <v>SIMPLES</v>
          </cell>
          <cell r="E47" t="str">
            <v>HOLYMAN</v>
          </cell>
          <cell r="F47" t="str">
            <v>Capa De Pedal Freio E Embreagem C10 C20 C40</v>
          </cell>
        </row>
        <row r="48">
          <cell r="A48">
            <v>4016</v>
          </cell>
          <cell r="B48" t="str">
            <v>AUTOMOTIVO</v>
          </cell>
          <cell r="C48" t="str">
            <v>Capa Pedal</v>
          </cell>
          <cell r="D48" t="str">
            <v>SIMPLES</v>
          </cell>
          <cell r="E48" t="str">
            <v>HOLYMAN</v>
          </cell>
          <cell r="F48" t="str">
            <v>Capa De Pedal Freio Embreagem Acelerador Vectra 1997 A 2005</v>
          </cell>
        </row>
        <row r="49">
          <cell r="A49">
            <v>4017</v>
          </cell>
          <cell r="B49" t="str">
            <v>AUTOMOTIVO</v>
          </cell>
          <cell r="C49" t="str">
            <v>Capa Pedal</v>
          </cell>
          <cell r="D49" t="str">
            <v>SIMPLES</v>
          </cell>
          <cell r="E49" t="str">
            <v>HOLYMAN</v>
          </cell>
          <cell r="F49" t="str">
            <v>Capa Pedal Acelerador Freio Embregaem Fusca Variant Brasilia</v>
          </cell>
        </row>
        <row r="50">
          <cell r="A50">
            <v>4018</v>
          </cell>
          <cell r="B50" t="str">
            <v>AUTOMOTIVO</v>
          </cell>
          <cell r="C50" t="str">
            <v>Capa Pedal</v>
          </cell>
          <cell r="D50" t="str">
            <v>SIMPLES</v>
          </cell>
          <cell r="E50" t="str">
            <v>HOLYMAN</v>
          </cell>
          <cell r="F50" t="str">
            <v>Capa De Pedal Freio Embreagem Acelerador Fusca Até 1975</v>
          </cell>
        </row>
        <row r="51">
          <cell r="A51">
            <v>4019</v>
          </cell>
          <cell r="B51" t="str">
            <v>AUTOMOTIVO</v>
          </cell>
          <cell r="C51" t="str">
            <v>Capa Pedal</v>
          </cell>
          <cell r="D51" t="str">
            <v>SIMPLES</v>
          </cell>
          <cell r="E51" t="str">
            <v>HOLYMAN</v>
          </cell>
        </row>
        <row r="52">
          <cell r="A52">
            <v>4020</v>
          </cell>
          <cell r="B52" t="str">
            <v>AUTOMOTIVO</v>
          </cell>
          <cell r="C52" t="str">
            <v>Capa Pedal</v>
          </cell>
          <cell r="D52" t="str">
            <v>SIMPLES</v>
          </cell>
          <cell r="E52" t="str">
            <v>HOLYMAN</v>
          </cell>
          <cell r="F52" t="str">
            <v>Capa Pedal Freio Embreagem Variant Até 1975</v>
          </cell>
        </row>
        <row r="53">
          <cell r="A53">
            <v>4021</v>
          </cell>
          <cell r="B53" t="str">
            <v>AUTOMOTIVO</v>
          </cell>
          <cell r="C53" t="str">
            <v>Capa Pedal</v>
          </cell>
          <cell r="D53" t="str">
            <v>SIMPLES</v>
          </cell>
          <cell r="E53" t="str">
            <v>HOLYMAN</v>
          </cell>
          <cell r="F53" t="str">
            <v>CAPA DE PEDAL FREIO EMBREAGEM XSARA PICASSO 2001 A 2012</v>
          </cell>
        </row>
        <row r="54">
          <cell r="A54">
            <v>4022</v>
          </cell>
          <cell r="B54" t="str">
            <v>AUTOMOTIVO</v>
          </cell>
          <cell r="C54" t="str">
            <v>Capa Pedal</v>
          </cell>
          <cell r="D54" t="str">
            <v>SIMPLES</v>
          </cell>
          <cell r="E54" t="str">
            <v>HOLYMAN</v>
          </cell>
          <cell r="F54" t="str">
            <v>Capa De Pedal Freio Embreagem Iveco Daily 1997 A 2012</v>
          </cell>
        </row>
        <row r="55">
          <cell r="A55">
            <v>4023</v>
          </cell>
          <cell r="B55" t="str">
            <v>AUTOMOTIVO</v>
          </cell>
          <cell r="C55" t="str">
            <v>Capa Pedal</v>
          </cell>
          <cell r="D55" t="str">
            <v>SIMPLES</v>
          </cell>
          <cell r="E55" t="str">
            <v>HOLYMAN</v>
          </cell>
          <cell r="F55" t="str">
            <v>Capa De Pedal Freio Embreagem Sprinter 310 312 412 311 313</v>
          </cell>
        </row>
        <row r="56">
          <cell r="A56">
            <v>4024</v>
          </cell>
          <cell r="B56" t="str">
            <v>AUTOMOTIVO</v>
          </cell>
          <cell r="C56" t="str">
            <v>Capa Pedal</v>
          </cell>
          <cell r="D56" t="str">
            <v>SIMPLES</v>
          </cell>
          <cell r="E56" t="str">
            <v>HOLYMAN</v>
          </cell>
          <cell r="F56" t="str">
            <v>Capa De Pedal Freio Embreagem Sandero 2012 A 2014</v>
          </cell>
        </row>
        <row r="57">
          <cell r="A57">
            <v>4025</v>
          </cell>
          <cell r="B57" t="str">
            <v>AUTOMOTIVO</v>
          </cell>
          <cell r="C57" t="str">
            <v>Capa Pedal</v>
          </cell>
          <cell r="D57" t="str">
            <v>SIMPLES</v>
          </cell>
          <cell r="E57" t="str">
            <v>HOLYMAN</v>
          </cell>
          <cell r="F57" t="str">
            <v>Capa De Pedal Freio Embreagem Peugeot 206</v>
          </cell>
        </row>
        <row r="58">
          <cell r="A58">
            <v>4027</v>
          </cell>
          <cell r="B58" t="str">
            <v>AUTOMOTIVO</v>
          </cell>
          <cell r="C58" t="str">
            <v>Capa Pedal</v>
          </cell>
          <cell r="D58" t="str">
            <v>SIMPLES</v>
          </cell>
          <cell r="E58" t="str">
            <v>HOLYMAN</v>
          </cell>
          <cell r="F58" t="str">
            <v>Capa De Pedal Freio Embreagem Acelerador Verona</v>
          </cell>
        </row>
        <row r="59">
          <cell r="A59">
            <v>4030</v>
          </cell>
          <cell r="B59" t="str">
            <v>AUTOMOTIVO</v>
          </cell>
          <cell r="C59" t="str">
            <v>Capa Pedal</v>
          </cell>
          <cell r="D59" t="str">
            <v>SIMPLES</v>
          </cell>
          <cell r="E59" t="str">
            <v>HOLYMAN</v>
          </cell>
        </row>
        <row r="60">
          <cell r="A60">
            <v>4031</v>
          </cell>
          <cell r="B60" t="str">
            <v>AUTOMOTIVO</v>
          </cell>
          <cell r="C60" t="str">
            <v>Capa Pedal</v>
          </cell>
          <cell r="D60" t="str">
            <v>SIMPLES</v>
          </cell>
          <cell r="E60" t="str">
            <v>HOLYMAN</v>
          </cell>
          <cell r="F60" t="str">
            <v>Capa De Pedal Freio E Embreagem Meriva</v>
          </cell>
        </row>
        <row r="61">
          <cell r="A61">
            <v>4032</v>
          </cell>
          <cell r="B61" t="str">
            <v>AUTOMOTIVO</v>
          </cell>
          <cell r="C61" t="str">
            <v>Capa Pedal</v>
          </cell>
          <cell r="D61" t="str">
            <v>SIMPLES</v>
          </cell>
          <cell r="E61" t="str">
            <v>HOLYMAN</v>
          </cell>
          <cell r="F61" t="str">
            <v>Capa De Pedal Freio Embreagem Idea 1996 A 2010</v>
          </cell>
        </row>
        <row r="62">
          <cell r="A62">
            <v>4034</v>
          </cell>
          <cell r="B62" t="str">
            <v>AUTOMOTIVO</v>
          </cell>
          <cell r="C62" t="str">
            <v>Capa Pedal</v>
          </cell>
          <cell r="D62" t="str">
            <v>SIMPLES</v>
          </cell>
          <cell r="E62" t="str">
            <v>HOLYMAN</v>
          </cell>
          <cell r="F62" t="str">
            <v>Capa De Pedal Freio Embreagem E Acelerador Astra Sport</v>
          </cell>
        </row>
        <row r="63">
          <cell r="A63">
            <v>4036</v>
          </cell>
          <cell r="B63" t="str">
            <v>AUTOMOTIVO</v>
          </cell>
          <cell r="C63" t="str">
            <v>Capa Pedal</v>
          </cell>
          <cell r="D63" t="str">
            <v>SIMPLES</v>
          </cell>
          <cell r="E63" t="str">
            <v>HOLYMAN</v>
          </cell>
          <cell r="F63" t="str">
            <v>KIT CP HONDA CIVIC 1996 ATÉ 2005</v>
          </cell>
        </row>
        <row r="64">
          <cell r="A64">
            <v>4037</v>
          </cell>
          <cell r="B64" t="str">
            <v>AUTOMOTIVO</v>
          </cell>
          <cell r="D64" t="str">
            <v>SIMPLES</v>
          </cell>
        </row>
        <row r="65">
          <cell r="A65">
            <v>4038</v>
          </cell>
          <cell r="B65" t="str">
            <v>AUTOMOTIVO</v>
          </cell>
          <cell r="C65" t="str">
            <v>Capa Pedal</v>
          </cell>
          <cell r="D65" t="str">
            <v>SIMPLES</v>
          </cell>
          <cell r="E65" t="str">
            <v>HOLYMAN</v>
          </cell>
          <cell r="F65" t="str">
            <v>Capa De Pedal Freio Embreagem Tempra 1992 A 1999</v>
          </cell>
        </row>
        <row r="66">
          <cell r="A66">
            <v>4041</v>
          </cell>
          <cell r="B66" t="str">
            <v>AUTOMOTIVO</v>
          </cell>
          <cell r="C66" t="str">
            <v>Capa Pedal</v>
          </cell>
          <cell r="D66" t="str">
            <v>SIMPLES</v>
          </cell>
          <cell r="E66" t="str">
            <v>HOLYMAN</v>
          </cell>
          <cell r="F66" t="str">
            <v xml:space="preserve">Capa Pedal Hyundai Hr E H100 Kia Bongo K2500 K2700 K2799 </v>
          </cell>
        </row>
        <row r="67">
          <cell r="A67">
            <v>4042</v>
          </cell>
          <cell r="B67" t="str">
            <v>AUTOMOTIVO</v>
          </cell>
          <cell r="C67" t="str">
            <v>Capa Pedal</v>
          </cell>
          <cell r="D67" t="str">
            <v>SIMPLES</v>
          </cell>
          <cell r="E67" t="str">
            <v>HOLYMAN</v>
          </cell>
          <cell r="F67" t="str">
            <v>Capa De Pedal Freio Embreagem Polo 2008</v>
          </cell>
        </row>
        <row r="68">
          <cell r="A68">
            <v>4043</v>
          </cell>
          <cell r="B68" t="str">
            <v>AUTOMOTIVO</v>
          </cell>
          <cell r="C68" t="str">
            <v>Capa Pedal</v>
          </cell>
          <cell r="D68" t="str">
            <v>SIMPLES</v>
          </cell>
          <cell r="E68" t="str">
            <v>HOLYMAN</v>
          </cell>
          <cell r="F68" t="str">
            <v>Kit Capa De Pedal Vw Voyage 2008 A 2021</v>
          </cell>
        </row>
        <row r="69">
          <cell r="A69">
            <v>4044</v>
          </cell>
          <cell r="B69" t="str">
            <v>AUTOMOTIVO</v>
          </cell>
          <cell r="C69" t="str">
            <v>Capa Pedal</v>
          </cell>
          <cell r="D69" t="str">
            <v>SIMPLES</v>
          </cell>
          <cell r="E69" t="str">
            <v>HOLYMAN</v>
          </cell>
          <cell r="F69" t="str">
            <v>Capa Pedal Acelerador Freio Embreagem Santana 1984 A 1991</v>
          </cell>
        </row>
        <row r="70">
          <cell r="A70">
            <v>4045</v>
          </cell>
          <cell r="B70" t="str">
            <v>AUTOMOTIVO</v>
          </cell>
          <cell r="C70" t="str">
            <v>Capa Pedal</v>
          </cell>
          <cell r="D70" t="str">
            <v>SIMPLES</v>
          </cell>
          <cell r="E70" t="str">
            <v>HOLYMAN</v>
          </cell>
          <cell r="F70" t="str">
            <v>Capa De Pedal Freio Embreagem Mercedes 709 1978 A 2018</v>
          </cell>
        </row>
        <row r="71">
          <cell r="A71">
            <v>4046</v>
          </cell>
          <cell r="B71" t="str">
            <v>AUTOMOTIVO</v>
          </cell>
          <cell r="C71" t="str">
            <v>Capa Pedal</v>
          </cell>
          <cell r="D71" t="str">
            <v>SIMPLES</v>
          </cell>
          <cell r="E71" t="str">
            <v>HOLYMAN</v>
          </cell>
          <cell r="F71" t="str">
            <v>Capa Pedal Freio Automatico Honda Fit City Hrv Hr-v Todos</v>
          </cell>
        </row>
        <row r="72">
          <cell r="A72">
            <v>4048</v>
          </cell>
          <cell r="B72" t="str">
            <v>AUTOMOTIVO</v>
          </cell>
          <cell r="C72" t="str">
            <v>Capa Pedal</v>
          </cell>
          <cell r="D72" t="str">
            <v>SIMPLES</v>
          </cell>
          <cell r="E72" t="str">
            <v>HOLYMAN</v>
          </cell>
          <cell r="F72" t="str">
            <v>Capa De Pedal Freio Automatico Civic 2000 Em Diante</v>
          </cell>
        </row>
        <row r="73">
          <cell r="A73">
            <v>4049</v>
          </cell>
          <cell r="B73" t="str">
            <v>AUTOMOTIVO</v>
          </cell>
          <cell r="C73" t="str">
            <v>Capa Pedal</v>
          </cell>
          <cell r="D73" t="str">
            <v>SIMPLES</v>
          </cell>
          <cell r="E73" t="str">
            <v>HOLYMAN</v>
          </cell>
          <cell r="F73" t="str">
            <v>CAPA DE PEDAL FREIO AUTOMÁTICO AUDI 1990 A 2010</v>
          </cell>
        </row>
        <row r="74">
          <cell r="A74">
            <v>4050</v>
          </cell>
          <cell r="B74" t="str">
            <v>AUTOMOTIVO</v>
          </cell>
          <cell r="C74" t="str">
            <v>Capa pedal</v>
          </cell>
          <cell r="D74" t="str">
            <v>SIMPLES</v>
          </cell>
          <cell r="E74" t="str">
            <v>HOLYMAN</v>
          </cell>
          <cell r="F74" t="str">
            <v>Capa De Pedal Freio Automatico Etios 2016 A 2021</v>
          </cell>
        </row>
        <row r="75">
          <cell r="A75">
            <v>4051</v>
          </cell>
          <cell r="B75" t="str">
            <v>AUTOMOTIVO</v>
          </cell>
          <cell r="C75" t="str">
            <v>Capa Pedal</v>
          </cell>
          <cell r="D75" t="str">
            <v>SIMPLES</v>
          </cell>
          <cell r="E75" t="str">
            <v>HOLYMAN</v>
          </cell>
          <cell r="F75" t="str">
            <v>Capa De Pedal Freio Embreagem Scania T113</v>
          </cell>
        </row>
        <row r="76">
          <cell r="A76">
            <v>4052</v>
          </cell>
          <cell r="B76" t="str">
            <v>AUTOMOTIVO</v>
          </cell>
          <cell r="C76" t="str">
            <v>Capa Pedal</v>
          </cell>
          <cell r="D76" t="str">
            <v>SIMPLES</v>
          </cell>
          <cell r="E76" t="str">
            <v>HOLYMAN</v>
          </cell>
          <cell r="F76" t="str">
            <v>Capa De Pedal Freio Embreagem F12000</v>
          </cell>
        </row>
        <row r="77">
          <cell r="A77">
            <v>4053</v>
          </cell>
          <cell r="B77" t="str">
            <v>AUTOMOTIVO</v>
          </cell>
          <cell r="C77" t="str">
            <v>Capa Pedal</v>
          </cell>
          <cell r="D77" t="str">
            <v>SIMPLES</v>
          </cell>
          <cell r="E77" t="str">
            <v>HOLYMAN</v>
          </cell>
          <cell r="F77" t="str">
            <v>Capa De Pedal Freio Embreagem Acelerador Nl10</v>
          </cell>
        </row>
        <row r="78">
          <cell r="A78">
            <v>4054</v>
          </cell>
          <cell r="B78" t="str">
            <v>AUTOMOTIVO</v>
          </cell>
          <cell r="C78" t="str">
            <v>Capa Pedal</v>
          </cell>
          <cell r="D78" t="str">
            <v>SIMPLES</v>
          </cell>
          <cell r="E78" t="str">
            <v>HOLYMAN</v>
          </cell>
          <cell r="F78" t="str">
            <v>Capa De Pedal Freio Embreagem Micro Ônibus Vw</v>
          </cell>
        </row>
        <row r="79">
          <cell r="A79">
            <v>4055</v>
          </cell>
          <cell r="B79" t="str">
            <v>AUTOMOTIVO</v>
          </cell>
          <cell r="C79" t="str">
            <v>Capa Pedal</v>
          </cell>
          <cell r="D79" t="str">
            <v>SIMPLES</v>
          </cell>
          <cell r="E79" t="str">
            <v>HOLYMAN</v>
          </cell>
          <cell r="F79" t="str">
            <v>Capa De Pedal Freio Embreagem Volare</v>
          </cell>
        </row>
        <row r="80">
          <cell r="A80">
            <v>4056</v>
          </cell>
          <cell r="B80" t="str">
            <v>AUTOMOTIVO</v>
          </cell>
          <cell r="C80" t="str">
            <v>Capa Pedal</v>
          </cell>
          <cell r="D80" t="str">
            <v>SIMPLES</v>
          </cell>
          <cell r="E80" t="str">
            <v>HOLYMAN</v>
          </cell>
          <cell r="F80" t="str">
            <v>Capa De Pedal Freio Embreagem Mercedes 180 D</v>
          </cell>
        </row>
        <row r="81">
          <cell r="A81">
            <v>4057</v>
          </cell>
          <cell r="B81" t="str">
            <v>AUTOMOTIVO</v>
          </cell>
          <cell r="C81" t="str">
            <v>Pastilha Freio</v>
          </cell>
          <cell r="D81" t="str">
            <v>SIMPLES</v>
          </cell>
          <cell r="E81" t="str">
            <v>HOLYMAN</v>
          </cell>
          <cell r="F81" t="str">
            <v>Capa De Pedal Freio Embreagem Bravo 2011 Em Diante</v>
          </cell>
        </row>
        <row r="82">
          <cell r="A82">
            <v>4058</v>
          </cell>
          <cell r="B82" t="str">
            <v>AUTOMOTIVO</v>
          </cell>
          <cell r="C82" t="str">
            <v>Capa Pedal</v>
          </cell>
          <cell r="D82" t="str">
            <v>SIMPLES</v>
          </cell>
          <cell r="E82" t="str">
            <v>HOLYMAN</v>
          </cell>
          <cell r="F82" t="str">
            <v>Capa De Pedal Freio E Embreagem Citroen C3</v>
          </cell>
        </row>
        <row r="83">
          <cell r="A83">
            <v>4059</v>
          </cell>
          <cell r="B83" t="str">
            <v>AUTOMOTIVO</v>
          </cell>
          <cell r="C83" t="str">
            <v>Capa Pedal</v>
          </cell>
          <cell r="D83" t="str">
            <v>SIMPLES</v>
          </cell>
          <cell r="E83" t="str">
            <v>HOLYMAN</v>
          </cell>
          <cell r="F83" t="str">
            <v>CAPA DE PEDAL FREIO EMBREAGEM HILUX 2005 A 2015</v>
          </cell>
        </row>
        <row r="84">
          <cell r="A84">
            <v>4061</v>
          </cell>
          <cell r="B84" t="str">
            <v>AUTOMOTIVO</v>
          </cell>
        </row>
        <row r="85">
          <cell r="A85">
            <v>4062</v>
          </cell>
          <cell r="B85" t="str">
            <v>AUTOMOTIVO</v>
          </cell>
          <cell r="C85" t="str">
            <v>Capa Pedal</v>
          </cell>
          <cell r="D85" t="str">
            <v>SIMPLES</v>
          </cell>
          <cell r="E85" t="str">
            <v>HOLYMAN</v>
          </cell>
          <cell r="F85" t="str">
            <v>Capa De Pedal Freio Embreagem Nova S10 2012 A 2020</v>
          </cell>
        </row>
        <row r="86">
          <cell r="A86">
            <v>4063</v>
          </cell>
          <cell r="B86" t="str">
            <v>AUTOMOTIVO</v>
          </cell>
          <cell r="C86" t="str">
            <v>Capa Pedal</v>
          </cell>
          <cell r="D86" t="str">
            <v>SIMPLES</v>
          </cell>
          <cell r="E86" t="str">
            <v>HOLYMAN</v>
          </cell>
          <cell r="F86" t="str">
            <v>Capa Pedal Freio Embreagem Gm Spin 2012 Em Diante</v>
          </cell>
        </row>
        <row r="87">
          <cell r="A87">
            <v>4064</v>
          </cell>
          <cell r="B87" t="str">
            <v>AUTOMOTIVO</v>
          </cell>
          <cell r="C87" t="str">
            <v>Capa Pedal</v>
          </cell>
          <cell r="D87" t="str">
            <v>SIMPLES</v>
          </cell>
          <cell r="E87" t="str">
            <v>HOLYMAN</v>
          </cell>
          <cell r="F87" t="str">
            <v>Capa Pedal Acelerador Freio Embreagem Opala Todos</v>
          </cell>
        </row>
        <row r="88">
          <cell r="A88">
            <v>4066</v>
          </cell>
          <cell r="B88" t="str">
            <v>AUTOMOTIVO</v>
          </cell>
          <cell r="C88" t="str">
            <v>Capa Pedal</v>
          </cell>
          <cell r="D88" t="str">
            <v>SIMPLES</v>
          </cell>
          <cell r="E88" t="str">
            <v>HOLYMAN</v>
          </cell>
          <cell r="F88" t="str">
            <v>Capa De Pedal Freio Embreagem Stilo</v>
          </cell>
        </row>
        <row r="89">
          <cell r="A89">
            <v>4068</v>
          </cell>
          <cell r="B89" t="str">
            <v>AUTOMOTIVO</v>
          </cell>
          <cell r="C89" t="str">
            <v>Capa Pedal</v>
          </cell>
          <cell r="D89" t="str">
            <v>SIMPLES</v>
          </cell>
          <cell r="E89" t="str">
            <v>HOLYMAN</v>
          </cell>
          <cell r="F89" t="str">
            <v>CAPA DE PEDAL FREIO EMBREAGEM EFFA</v>
          </cell>
        </row>
        <row r="90">
          <cell r="A90">
            <v>4069</v>
          </cell>
          <cell r="B90" t="str">
            <v>AUTOMOTIVO</v>
          </cell>
          <cell r="C90" t="str">
            <v>Capa Pedal</v>
          </cell>
          <cell r="D90" t="str">
            <v>SIMPLES</v>
          </cell>
          <cell r="E90" t="str">
            <v>HOLYMAN</v>
          </cell>
          <cell r="F90" t="str">
            <v>CAPA DE PEDAL FREIO AUTOMÁTICO PEUGEOT 306</v>
          </cell>
        </row>
        <row r="91">
          <cell r="A91">
            <v>4071</v>
          </cell>
          <cell r="B91" t="str">
            <v>AUTOMOTIVO</v>
          </cell>
          <cell r="C91" t="str">
            <v>Capa Pedal</v>
          </cell>
          <cell r="D91" t="str">
            <v>SIMPLES</v>
          </cell>
          <cell r="E91" t="str">
            <v>HOLYMAN</v>
          </cell>
          <cell r="F91" t="str">
            <v>Capa De Pedal Freio Embreagem Master 2014 A 2021</v>
          </cell>
        </row>
        <row r="92">
          <cell r="A92">
            <v>4072</v>
          </cell>
          <cell r="B92" t="str">
            <v>AUTOMOTIVO</v>
          </cell>
          <cell r="C92" t="str">
            <v>Capa Pedal</v>
          </cell>
          <cell r="D92" t="str">
            <v>SIMPLES</v>
          </cell>
          <cell r="E92" t="str">
            <v>HOLYMAN</v>
          </cell>
          <cell r="F92" t="str">
            <v>CAPA DE PEDAL FREIO AUTOMÁTICO LOGAN ATÉ 2014</v>
          </cell>
        </row>
        <row r="93">
          <cell r="A93">
            <v>4073</v>
          </cell>
          <cell r="B93" t="str">
            <v>AUTOMOTIVO</v>
          </cell>
          <cell r="C93" t="str">
            <v>Capa Pedal</v>
          </cell>
          <cell r="D93" t="str">
            <v>SIMPLES</v>
          </cell>
          <cell r="E93" t="str">
            <v>HOLYMAN</v>
          </cell>
          <cell r="F93" t="str">
            <v>Capa De Pedal Freio E Embreagem Renault Kwid</v>
          </cell>
        </row>
        <row r="94">
          <cell r="A94">
            <v>4076</v>
          </cell>
          <cell r="B94" t="str">
            <v>AUTOMOTIVO</v>
          </cell>
          <cell r="C94" t="str">
            <v>Capa Pedal</v>
          </cell>
          <cell r="D94" t="str">
            <v>SIMPLES</v>
          </cell>
          <cell r="E94" t="str">
            <v>HOLYMAN</v>
          </cell>
          <cell r="F94" t="str">
            <v>Capa Pedal Embreagem Freio Renault Logan 2007 Até 2011</v>
          </cell>
        </row>
        <row r="95">
          <cell r="A95">
            <v>4077</v>
          </cell>
          <cell r="B95" t="str">
            <v>AUTOMOTIVO</v>
          </cell>
          <cell r="C95" t="str">
            <v>Capa Pedal</v>
          </cell>
          <cell r="D95" t="str">
            <v>SIMPLES</v>
          </cell>
          <cell r="E95" t="str">
            <v>HOLYMAN</v>
          </cell>
          <cell r="F95" t="str">
            <v>Capa De Pedal Freio Embreagem Logan 2014 A 2022</v>
          </cell>
        </row>
        <row r="96">
          <cell r="A96">
            <v>4078</v>
          </cell>
          <cell r="B96" t="str">
            <v>AUTOMOTIVO</v>
          </cell>
          <cell r="C96" t="str">
            <v>Capa Pedal</v>
          </cell>
          <cell r="D96" t="str">
            <v>SIMPLES</v>
          </cell>
          <cell r="E96" t="str">
            <v>HOLYMAN</v>
          </cell>
          <cell r="F96" t="str">
            <v>Capa De Pedal Freio Automático Ka 2014 A 2020</v>
          </cell>
        </row>
        <row r="97">
          <cell r="A97">
            <v>4079</v>
          </cell>
          <cell r="B97" t="str">
            <v>AUTOMOTIVO</v>
          </cell>
          <cell r="C97" t="str">
            <v>Capa Pedal</v>
          </cell>
          <cell r="D97" t="str">
            <v>SIMPLES</v>
          </cell>
          <cell r="E97" t="str">
            <v>HOLYMAN</v>
          </cell>
          <cell r="F97" t="str">
            <v>Kit Capa De Pedal New Fiesta</v>
          </cell>
        </row>
        <row r="98">
          <cell r="A98">
            <v>4081</v>
          </cell>
          <cell r="B98" t="str">
            <v>AUTOMOTIVO</v>
          </cell>
          <cell r="C98" t="str">
            <v>Capa pedal</v>
          </cell>
          <cell r="D98" t="str">
            <v>SIMPLES</v>
          </cell>
          <cell r="E98" t="str">
            <v>HOLYMAN</v>
          </cell>
          <cell r="F98" t="str">
            <v>Capa De Pedal Freio Automático Focus 2008 A 2016</v>
          </cell>
        </row>
        <row r="99">
          <cell r="A99">
            <v>4082</v>
          </cell>
          <cell r="B99" t="str">
            <v>AUTOMOTIVO</v>
          </cell>
          <cell r="C99" t="str">
            <v>Capa Pedal</v>
          </cell>
          <cell r="D99" t="str">
            <v>SIMPLES</v>
          </cell>
          <cell r="E99" t="str">
            <v>HOLYMAN</v>
          </cell>
          <cell r="F99" t="str">
            <v>Capa De Pedal Freio Automático Azera 2008 A 2011</v>
          </cell>
        </row>
        <row r="100">
          <cell r="A100">
            <v>4083</v>
          </cell>
          <cell r="B100" t="str">
            <v>AUTOMOTIVO</v>
          </cell>
          <cell r="C100" t="str">
            <v>Capa Pedal</v>
          </cell>
          <cell r="D100" t="str">
            <v>SIMPLES</v>
          </cell>
          <cell r="E100" t="str">
            <v>HOLYMAN</v>
          </cell>
          <cell r="F100" t="str">
            <v>Capa De Pedal Freio Automático Santa Fé 2010 A 2014</v>
          </cell>
        </row>
        <row r="101">
          <cell r="A101">
            <v>4084</v>
          </cell>
          <cell r="B101" t="str">
            <v>AUTOMOTIVO</v>
          </cell>
          <cell r="C101" t="str">
            <v>Capa Pedal</v>
          </cell>
          <cell r="D101" t="str">
            <v>SIMPLES</v>
          </cell>
          <cell r="E101" t="str">
            <v>HOLYMAN</v>
          </cell>
          <cell r="F101" t="str">
            <v>Capa De Pedal Freio Embreagem L200 Hpe Sport 2003 A 2008</v>
          </cell>
        </row>
        <row r="102">
          <cell r="A102">
            <v>4085</v>
          </cell>
          <cell r="B102" t="str">
            <v>AUTOMOTIVO</v>
          </cell>
          <cell r="C102" t="str">
            <v>Pastilha Freio</v>
          </cell>
          <cell r="D102" t="str">
            <v>SIMPLES</v>
          </cell>
          <cell r="E102" t="str">
            <v>HOLYMAN</v>
          </cell>
          <cell r="F102" t="str">
            <v>Capa De Pedal Freio Embreagem Versa 2010 A 2019</v>
          </cell>
        </row>
        <row r="103">
          <cell r="A103">
            <v>5000</v>
          </cell>
          <cell r="B103" t="str">
            <v>AUTOMOTIVO</v>
          </cell>
          <cell r="C103" t="str">
            <v>Bieleta</v>
          </cell>
          <cell r="D103" t="str">
            <v>SIMPLES</v>
          </cell>
          <cell r="E103" t="str">
            <v>HOLYMAN</v>
          </cell>
          <cell r="F103" t="str">
            <v>Bieleta Dianteira Logus Verona Escort Pointer 93 96</v>
          </cell>
        </row>
        <row r="104">
          <cell r="A104">
            <v>5001</v>
          </cell>
          <cell r="B104" t="str">
            <v>AUTOMOTIVO</v>
          </cell>
          <cell r="C104" t="str">
            <v>Bieleta</v>
          </cell>
          <cell r="D104" t="str">
            <v>SIMPLES</v>
          </cell>
          <cell r="E104" t="str">
            <v>HOLYMAN</v>
          </cell>
          <cell r="F104" t="str">
            <v>Bieleta Dianteira Fiesta 1996 A 2002</v>
          </cell>
        </row>
        <row r="105">
          <cell r="A105">
            <v>5005</v>
          </cell>
          <cell r="B105" t="str">
            <v>AUTOMOTIVO</v>
          </cell>
          <cell r="C105" t="str">
            <v>Bieleta</v>
          </cell>
          <cell r="D105" t="str">
            <v>SIMPLES</v>
          </cell>
          <cell r="E105" t="str">
            <v>HOLYMAN</v>
          </cell>
          <cell r="F105" t="str">
            <v>BIELETA DIANTEIRA AMBOS OS LADOS F-250</v>
          </cell>
        </row>
        <row r="106">
          <cell r="A106">
            <v>5009</v>
          </cell>
          <cell r="B106" t="str">
            <v>AUTOMOTIVO</v>
          </cell>
          <cell r="C106" t="str">
            <v>Bieleta</v>
          </cell>
          <cell r="D106" t="str">
            <v>SIMPLES</v>
          </cell>
          <cell r="E106" t="str">
            <v>HOLYMAN</v>
          </cell>
          <cell r="F106" t="str">
            <v>Bieleta Dianteira Fiesta Ecosport</v>
          </cell>
        </row>
        <row r="107">
          <cell r="A107">
            <v>5010</v>
          </cell>
          <cell r="B107" t="str">
            <v>AUTOMOTIVO</v>
          </cell>
          <cell r="C107" t="str">
            <v>Bieleta</v>
          </cell>
          <cell r="D107" t="str">
            <v>SIMPLES</v>
          </cell>
          <cell r="E107" t="str">
            <v>HOLYMAN</v>
          </cell>
          <cell r="F107" t="str">
            <v>Bieleta Dianteira Logus 1993 A 1996</v>
          </cell>
        </row>
        <row r="108">
          <cell r="A108">
            <v>5014</v>
          </cell>
          <cell r="B108" t="str">
            <v>AUTOMOTIVO</v>
          </cell>
          <cell r="C108" t="str">
            <v>Bieleta</v>
          </cell>
          <cell r="D108" t="str">
            <v>SIMPLES</v>
          </cell>
          <cell r="E108" t="str">
            <v>HOLYMAN</v>
          </cell>
          <cell r="F108" t="str">
            <v>Bieleta Dianteira Ranger 1999 A 2011</v>
          </cell>
        </row>
        <row r="109">
          <cell r="A109">
            <v>5015</v>
          </cell>
          <cell r="B109" t="str">
            <v>AUTOMOTIVO</v>
          </cell>
          <cell r="C109" t="str">
            <v>Bieleta</v>
          </cell>
          <cell r="D109" t="str">
            <v>SIMPLES</v>
          </cell>
          <cell r="E109" t="str">
            <v>HOLYMAN</v>
          </cell>
          <cell r="F109" t="str">
            <v>BIELETA TRASEIRA AMBOS OS LADOS ECOSPORT 4X4 2004 EM DIANTE</v>
          </cell>
        </row>
        <row r="110">
          <cell r="A110">
            <v>5018</v>
          </cell>
          <cell r="B110" t="str">
            <v>AUTOMOTIVO</v>
          </cell>
          <cell r="C110" t="str">
            <v>Bieleta</v>
          </cell>
          <cell r="D110" t="str">
            <v>SIMPLES</v>
          </cell>
          <cell r="E110" t="str">
            <v>HOLYMAN</v>
          </cell>
          <cell r="F110" t="str">
            <v>Bieleta Traseira Ou Dianteira Focus 2008 A 2013 2 Geração</v>
          </cell>
        </row>
        <row r="111">
          <cell r="A111">
            <v>5020</v>
          </cell>
          <cell r="B111" t="str">
            <v>AUTOMOTIVO</v>
          </cell>
          <cell r="C111" t="str">
            <v>Bieleta</v>
          </cell>
          <cell r="D111" t="str">
            <v>SIMPLES</v>
          </cell>
          <cell r="E111" t="str">
            <v>HOLYMAN</v>
          </cell>
          <cell r="F111" t="str">
            <v>Bieleta Dianteira Lado Direito Fusion 2006 A 2009</v>
          </cell>
        </row>
        <row r="112">
          <cell r="A112">
            <v>5021</v>
          </cell>
          <cell r="B112" t="str">
            <v>AUTOMOTIVO</v>
          </cell>
          <cell r="C112" t="str">
            <v>Bieleta</v>
          </cell>
          <cell r="D112" t="str">
            <v>SIMPLES</v>
          </cell>
          <cell r="E112" t="str">
            <v>HOLYMAN</v>
          </cell>
          <cell r="F112" t="str">
            <v>Bieleta Dianteira Le Fusion 2006 A 2009</v>
          </cell>
        </row>
        <row r="113">
          <cell r="A113">
            <v>5022</v>
          </cell>
          <cell r="B113" t="str">
            <v>AUTOMOTIVO</v>
          </cell>
          <cell r="C113" t="str">
            <v>Bieleta</v>
          </cell>
          <cell r="D113" t="str">
            <v>SIMPLES</v>
          </cell>
          <cell r="E113" t="str">
            <v>HOLYMAN</v>
          </cell>
          <cell r="F113" t="str">
            <v>BIELETA TRASEIRA AMBOS OS LADOS FUSION 2006 A 2009</v>
          </cell>
        </row>
        <row r="114">
          <cell r="A114">
            <v>5024</v>
          </cell>
          <cell r="B114" t="str">
            <v>AUTOMOTIVO</v>
          </cell>
          <cell r="C114" t="str">
            <v>Bieleta</v>
          </cell>
          <cell r="D114" t="str">
            <v>SIMPLES</v>
          </cell>
          <cell r="E114" t="str">
            <v>HOLYMAN</v>
          </cell>
          <cell r="F114" t="str">
            <v>Bieleta Dianteira Fusion 2009 A 2012</v>
          </cell>
        </row>
        <row r="115">
          <cell r="A115">
            <v>5025</v>
          </cell>
          <cell r="B115" t="str">
            <v>AUTOMOTIVO</v>
          </cell>
          <cell r="C115" t="str">
            <v>Bieleta</v>
          </cell>
          <cell r="D115" t="str">
            <v>SIMPLES</v>
          </cell>
          <cell r="E115" t="str">
            <v>HOLYMAN</v>
          </cell>
          <cell r="F115" t="str">
            <v>Bieleta Dianteira Ambos Os Lados Transit 2009 A 2015</v>
          </cell>
        </row>
        <row r="116">
          <cell r="A116">
            <v>5031</v>
          </cell>
          <cell r="B116" t="str">
            <v>AUTOMOTIVO</v>
          </cell>
          <cell r="C116" t="str">
            <v>Bieleta</v>
          </cell>
          <cell r="D116" t="str">
            <v>SIMPLES</v>
          </cell>
          <cell r="E116" t="str">
            <v>HOLYMAN</v>
          </cell>
          <cell r="F116" t="str">
            <v>BIELETA DIANTEIRA DIREITA RANGER 2012 EM DIANTE</v>
          </cell>
        </row>
        <row r="117">
          <cell r="A117">
            <v>5032</v>
          </cell>
          <cell r="B117" t="str">
            <v>AUTOMOTIVO</v>
          </cell>
          <cell r="C117" t="str">
            <v>Bieleta</v>
          </cell>
          <cell r="D117" t="str">
            <v>SIMPLES</v>
          </cell>
          <cell r="E117" t="str">
            <v>HOLYMAN</v>
          </cell>
          <cell r="F117" t="str">
            <v>Bieleta Dianteira Esquerda Ranger 2012 Em Diante</v>
          </cell>
        </row>
        <row r="118">
          <cell r="A118">
            <v>5033</v>
          </cell>
          <cell r="B118" t="str">
            <v>AUTOMOTIVO</v>
          </cell>
          <cell r="C118" t="str">
            <v>Bieleta</v>
          </cell>
          <cell r="D118" t="str">
            <v>SIMPLES</v>
          </cell>
          <cell r="E118" t="str">
            <v>HOLYMAN</v>
          </cell>
          <cell r="F118" t="str">
            <v>Bieleta Dianteira New Fiesta 2010 Em Diante</v>
          </cell>
        </row>
        <row r="119">
          <cell r="A119">
            <v>5034</v>
          </cell>
          <cell r="B119" t="str">
            <v>AUTOMOTIVO</v>
          </cell>
          <cell r="C119" t="str">
            <v>Bieleta</v>
          </cell>
          <cell r="D119" t="str">
            <v>SIMPLES</v>
          </cell>
          <cell r="E119" t="str">
            <v>HOLYMAN</v>
          </cell>
          <cell r="F119" t="str">
            <v>Eixo Da Bandeja Corcel 1985 Em Diante</v>
          </cell>
        </row>
        <row r="120">
          <cell r="A120">
            <v>5035</v>
          </cell>
          <cell r="B120" t="str">
            <v>AUTOMOTIVO</v>
          </cell>
          <cell r="C120" t="str">
            <v>Bieleta</v>
          </cell>
          <cell r="D120" t="str">
            <v>SIMPLES</v>
          </cell>
          <cell r="E120" t="str">
            <v>HOLYMAN</v>
          </cell>
          <cell r="F120" t="str">
            <v>EIXO DA BANDEJA CORCEL BELINA DEL REY PAMPA 1985 EM DIANTE</v>
          </cell>
        </row>
        <row r="121">
          <cell r="A121">
            <v>5036</v>
          </cell>
          <cell r="B121" t="str">
            <v>AUTOMOTIVO</v>
          </cell>
          <cell r="C121" t="str">
            <v>Bieleta</v>
          </cell>
          <cell r="D121" t="str">
            <v>SIMPLES</v>
          </cell>
          <cell r="E121" t="str">
            <v>HOLYMAN</v>
          </cell>
          <cell r="F121" t="str">
            <v>BIELETA DIANTEIRA AMBOS OS LADOS CORCEL</v>
          </cell>
        </row>
        <row r="122">
          <cell r="A122">
            <v>5037</v>
          </cell>
          <cell r="B122" t="str">
            <v>AUTOMOTIVO</v>
          </cell>
          <cell r="C122" t="str">
            <v>Bieleta</v>
          </cell>
          <cell r="D122" t="str">
            <v>SIMPLES</v>
          </cell>
          <cell r="E122" t="str">
            <v>HOLYMAN</v>
          </cell>
          <cell r="F122" t="str">
            <v>BIELETA DIANTEIRA AMBOS OS LADOS FOCUS 2014 EM DIANTE</v>
          </cell>
        </row>
        <row r="123">
          <cell r="A123">
            <v>5039</v>
          </cell>
          <cell r="B123" t="str">
            <v>AUTOMOTIVO</v>
          </cell>
          <cell r="C123" t="str">
            <v>Bieleta</v>
          </cell>
          <cell r="D123" t="str">
            <v>SIMPLES</v>
          </cell>
          <cell r="E123" t="str">
            <v>HOLYMAN</v>
          </cell>
          <cell r="F123" t="str">
            <v>BIELETA DIANTEIRA AMBOS OS LADOS EDGE 2008 A 2014</v>
          </cell>
        </row>
        <row r="124">
          <cell r="A124">
            <v>5040</v>
          </cell>
          <cell r="B124" t="str">
            <v>AUTOMOTIVO</v>
          </cell>
          <cell r="C124" t="str">
            <v>Bieleta</v>
          </cell>
          <cell r="D124" t="str">
            <v>SIMPLES</v>
          </cell>
          <cell r="E124" t="str">
            <v>HOLYMAN</v>
          </cell>
          <cell r="F124" t="str">
            <v>BIELETA DIANTEIRA AMBOS OS LADOS FUSION 2013 A 2020</v>
          </cell>
        </row>
        <row r="125">
          <cell r="A125">
            <v>5041</v>
          </cell>
          <cell r="B125" t="str">
            <v>AUTOMOTIVO</v>
          </cell>
          <cell r="C125" t="str">
            <v>Bieleta</v>
          </cell>
          <cell r="D125" t="str">
            <v>SIMPLES</v>
          </cell>
          <cell r="E125" t="str">
            <v>HOLYMAN</v>
          </cell>
          <cell r="F125" t="str">
            <v>Bieleta Traseira Ambos Os Lados Fusion 2013 A 2020</v>
          </cell>
        </row>
        <row r="126">
          <cell r="A126">
            <v>5100</v>
          </cell>
          <cell r="B126" t="str">
            <v>AUTOMOTIVO</v>
          </cell>
          <cell r="C126" t="str">
            <v>Bieleta</v>
          </cell>
          <cell r="D126" t="str">
            <v>SIMPLES</v>
          </cell>
          <cell r="E126" t="str">
            <v>HOLYMAN</v>
          </cell>
          <cell r="F126" t="str">
            <v>BIELETA DIANTEIRA AMBOS OS LADOS BRAVA 1999 A 2003</v>
          </cell>
        </row>
        <row r="127">
          <cell r="A127">
            <v>5101</v>
          </cell>
          <cell r="B127" t="str">
            <v>AUTOMOTIVO</v>
          </cell>
          <cell r="C127" t="str">
            <v>Bieleta</v>
          </cell>
          <cell r="D127" t="str">
            <v>SIMPLES</v>
          </cell>
          <cell r="E127" t="str">
            <v>HOLYMAN</v>
          </cell>
          <cell r="F127" t="str">
            <v>BIELETA DIANTEIRA AMBOS OS LADOS COUPE 1995 A 1997 16V</v>
          </cell>
        </row>
        <row r="128">
          <cell r="A128">
            <v>5102</v>
          </cell>
          <cell r="B128" t="str">
            <v>AUTOMOTIVO</v>
          </cell>
          <cell r="C128" t="str">
            <v>Bieleta</v>
          </cell>
          <cell r="D128" t="str">
            <v>SIMPLES</v>
          </cell>
          <cell r="E128" t="str">
            <v>HOLYMAN</v>
          </cell>
          <cell r="F128" t="str">
            <v>BIELETA DIANTEIRA PALIO WEEKEND</v>
          </cell>
        </row>
        <row r="129">
          <cell r="A129">
            <v>5103</v>
          </cell>
          <cell r="B129" t="str">
            <v>AUTOMOTIVO</v>
          </cell>
          <cell r="C129" t="str">
            <v>Bieleta</v>
          </cell>
          <cell r="D129" t="str">
            <v>SIMPLES</v>
          </cell>
          <cell r="E129" t="str">
            <v>HOLYMAN</v>
          </cell>
          <cell r="F129" t="str">
            <v>Bieleta Dianteira Ambos Os Lados Jumper 1994 À 2017</v>
          </cell>
        </row>
        <row r="130">
          <cell r="A130">
            <v>5107</v>
          </cell>
          <cell r="B130" t="str">
            <v>AUTOMOTIVO</v>
          </cell>
          <cell r="C130" t="str">
            <v>Bieleta</v>
          </cell>
          <cell r="D130" t="str">
            <v>SIMPLES</v>
          </cell>
          <cell r="E130" t="str">
            <v>HOLYMAN</v>
          </cell>
          <cell r="F130" t="str">
            <v>BIELETA TRASEIRA AMBOS LADOS DOBLO TODAS EXCETO CARGO</v>
          </cell>
        </row>
        <row r="131">
          <cell r="A131">
            <v>5108</v>
          </cell>
          <cell r="B131" t="str">
            <v>AUTOMOTIVO</v>
          </cell>
          <cell r="C131" t="str">
            <v>Bieleta</v>
          </cell>
          <cell r="D131" t="str">
            <v>SIMPLES</v>
          </cell>
          <cell r="E131" t="str">
            <v>HOLYMAN</v>
          </cell>
          <cell r="F131" t="str">
            <v>Bieleta Dianteira Le Idea 2006 Strada 2009 Em Diante</v>
          </cell>
        </row>
        <row r="132">
          <cell r="A132">
            <v>5109</v>
          </cell>
          <cell r="B132" t="str">
            <v>AUTOMOTIVO</v>
          </cell>
          <cell r="C132" t="str">
            <v>Bieleta</v>
          </cell>
          <cell r="D132" t="str">
            <v>SIMPLES</v>
          </cell>
          <cell r="E132" t="str">
            <v>HOLYMAN</v>
          </cell>
          <cell r="F132" t="str">
            <v>Bieleta Dianteir Ld Idea Adventure 2005 A 2016</v>
          </cell>
        </row>
        <row r="133">
          <cell r="A133">
            <v>5110</v>
          </cell>
          <cell r="B133" t="str">
            <v>AUTOMOTIVO</v>
          </cell>
          <cell r="C133" t="str">
            <v>Bieleta</v>
          </cell>
          <cell r="D133" t="str">
            <v>SIMPLES</v>
          </cell>
          <cell r="E133" t="str">
            <v>HOLYMAN</v>
          </cell>
          <cell r="F133" t="str">
            <v>Bieleta Dianteira Fiat Bravo 2011 Em Diante</v>
          </cell>
        </row>
        <row r="134">
          <cell r="A134">
            <v>5113</v>
          </cell>
          <cell r="B134" t="str">
            <v>AUTOMOTIVO</v>
          </cell>
          <cell r="C134" t="str">
            <v>Bieleta</v>
          </cell>
          <cell r="D134" t="str">
            <v>SIMPLES</v>
          </cell>
          <cell r="E134" t="str">
            <v>HOLYMAN</v>
          </cell>
          <cell r="F134" t="str">
            <v>Bieleta Dianteira Mobi Uno Palio Fiorino Grand Siena</v>
          </cell>
        </row>
        <row r="135">
          <cell r="A135">
            <v>5125</v>
          </cell>
          <cell r="B135" t="str">
            <v>AUTOMOTIVO</v>
          </cell>
          <cell r="C135" t="str">
            <v>Bieleta</v>
          </cell>
          <cell r="D135" t="str">
            <v>SIMPLES</v>
          </cell>
          <cell r="E135" t="str">
            <v>HOLYMAN</v>
          </cell>
          <cell r="F135" t="str">
            <v>Bieleta Traseira Renegade 4x2 2015 Em Diante</v>
          </cell>
        </row>
        <row r="136">
          <cell r="A136">
            <v>5126</v>
          </cell>
          <cell r="B136" t="str">
            <v>AUTOMOTIVO</v>
          </cell>
          <cell r="C136" t="str">
            <v>Bieleta</v>
          </cell>
          <cell r="D136" t="str">
            <v>SIMPLES</v>
          </cell>
          <cell r="E136" t="str">
            <v>HOLYMAN</v>
          </cell>
          <cell r="F136" t="str">
            <v>BIELETA TRASEIRA AMBOS OS LADOS JOURNEY 2012 A 2019</v>
          </cell>
        </row>
        <row r="137">
          <cell r="A137">
            <v>5127</v>
          </cell>
          <cell r="B137" t="str">
            <v>AUTOMOTIVO</v>
          </cell>
          <cell r="C137" t="str">
            <v>Bieleta</v>
          </cell>
          <cell r="D137" t="str">
            <v>SIMPLES</v>
          </cell>
          <cell r="E137" t="str">
            <v>HOLYMAN</v>
          </cell>
          <cell r="F137" t="str">
            <v>Bieleta Dianteira Strada 2020 2021 2022</v>
          </cell>
        </row>
        <row r="138">
          <cell r="A138">
            <v>5200</v>
          </cell>
          <cell r="B138" t="str">
            <v>AUTOMOTIVO</v>
          </cell>
          <cell r="C138" t="str">
            <v>Bieleta</v>
          </cell>
          <cell r="D138" t="str">
            <v>SIMPLES</v>
          </cell>
          <cell r="E138" t="str">
            <v>HOLYMAN</v>
          </cell>
          <cell r="F138" t="str">
            <v>BIELETA DIANTEIRA AMBOS LADOS OMEGA 1993 A 1998</v>
          </cell>
        </row>
        <row r="139">
          <cell r="A139">
            <v>5201</v>
          </cell>
          <cell r="B139" t="str">
            <v>AUTOMOTIVO</v>
          </cell>
          <cell r="C139" t="str">
            <v>Bieleta</v>
          </cell>
          <cell r="D139" t="str">
            <v>SIMPLES</v>
          </cell>
          <cell r="E139" t="str">
            <v>HOLYMAN</v>
          </cell>
          <cell r="F139" t="str">
            <v>Bieleta Dianteira Montana 2004 A 2010</v>
          </cell>
        </row>
        <row r="140">
          <cell r="A140">
            <v>5202</v>
          </cell>
          <cell r="B140" t="str">
            <v>AUTOMOTIVO</v>
          </cell>
          <cell r="C140" t="str">
            <v>Bieleta</v>
          </cell>
          <cell r="D140" t="str">
            <v>SIMPLES</v>
          </cell>
          <cell r="E140" t="str">
            <v>HOLYMAN</v>
          </cell>
          <cell r="F140" t="str">
            <v>BIELETA DIANTEIRA AMBOS LADOS ASTRA 1995 1996</v>
          </cell>
        </row>
        <row r="141">
          <cell r="A141">
            <v>5203</v>
          </cell>
          <cell r="B141" t="str">
            <v>AUTOMOTIVO</v>
          </cell>
          <cell r="C141" t="str">
            <v>Bieleta</v>
          </cell>
          <cell r="D141" t="str">
            <v>SIMPLES</v>
          </cell>
          <cell r="E141" t="str">
            <v>HOLYMAN</v>
          </cell>
          <cell r="F141" t="str">
            <v>Bieleta Dianteira Spin 2012 Em Diante</v>
          </cell>
        </row>
        <row r="142">
          <cell r="A142">
            <v>5204</v>
          </cell>
          <cell r="B142" t="str">
            <v>AUTOMOTIVO</v>
          </cell>
          <cell r="C142" t="str">
            <v>Bieleta</v>
          </cell>
          <cell r="D142" t="str">
            <v>SIMPLES</v>
          </cell>
          <cell r="E142" t="str">
            <v>HOLYMAN</v>
          </cell>
          <cell r="F142" t="str">
            <v>BIELETA DIANTEIRA AMBOS LADOS CHEVETTE 1973 A 1993</v>
          </cell>
        </row>
        <row r="143">
          <cell r="A143">
            <v>5205</v>
          </cell>
          <cell r="B143" t="str">
            <v>AUTOMOTIVO</v>
          </cell>
          <cell r="C143" t="str">
            <v>Bieleta</v>
          </cell>
          <cell r="D143" t="str">
            <v>SIMPLES</v>
          </cell>
          <cell r="E143" t="str">
            <v>HOLYMAN</v>
          </cell>
          <cell r="F143" t="str">
            <v>BIELETA DIANTEIRA AMBOS LADOS OPALA 1969 A 1988</v>
          </cell>
        </row>
        <row r="144">
          <cell r="A144">
            <v>5206</v>
          </cell>
          <cell r="B144" t="str">
            <v>AUTOMOTIVO</v>
          </cell>
          <cell r="C144" t="str">
            <v>Bieleta</v>
          </cell>
          <cell r="D144" t="str">
            <v>SIMPLES</v>
          </cell>
          <cell r="E144" t="str">
            <v>HOLYMAN</v>
          </cell>
          <cell r="F144" t="str">
            <v>BIELETA DIANTEIRA AMBOS LADOS OPALA 1988 a 1992</v>
          </cell>
        </row>
        <row r="145">
          <cell r="A145">
            <v>5207</v>
          </cell>
          <cell r="B145" t="str">
            <v>AUTOMOTIVO</v>
          </cell>
          <cell r="C145" t="str">
            <v>Bieleta</v>
          </cell>
          <cell r="D145" t="str">
            <v>SIMPLES</v>
          </cell>
          <cell r="E145" t="str">
            <v>HOLYMAN</v>
          </cell>
          <cell r="F145" t="str">
            <v>BIELETA DIANTEIRA AMBOS LADOS MONZA 1982 A 1990</v>
          </cell>
        </row>
        <row r="146">
          <cell r="A146">
            <v>5208</v>
          </cell>
          <cell r="B146" t="str">
            <v>AUTOMOTIVO</v>
          </cell>
          <cell r="C146" t="str">
            <v>Capa Pedal</v>
          </cell>
          <cell r="D146" t="str">
            <v>SIMPLES</v>
          </cell>
          <cell r="E146" t="str">
            <v>HOLYMAN</v>
          </cell>
          <cell r="F146" t="str">
            <v>Bieleta Dianteira Ambos Lados Monza 1991 A 1997</v>
          </cell>
        </row>
        <row r="147">
          <cell r="A147">
            <v>5209</v>
          </cell>
          <cell r="B147" t="str">
            <v>AUTOMOTIVO</v>
          </cell>
          <cell r="C147" t="str">
            <v>Bieleta</v>
          </cell>
          <cell r="D147" t="str">
            <v>SIMPLES</v>
          </cell>
          <cell r="E147" t="str">
            <v>HOLYMAN</v>
          </cell>
          <cell r="F147" t="str">
            <v>BIELETA DIANTEIRA AMBOS LADOS IPANEMA 1989 1990</v>
          </cell>
        </row>
        <row r="148">
          <cell r="A148">
            <v>5210</v>
          </cell>
          <cell r="B148" t="str">
            <v>AUTOMOTIVO</v>
          </cell>
          <cell r="C148" t="str">
            <v>Bieleta</v>
          </cell>
          <cell r="D148" t="str">
            <v>SIMPLES</v>
          </cell>
          <cell r="E148" t="str">
            <v>HOLYMAN</v>
          </cell>
          <cell r="F148" t="str">
            <v>BIELETA DIANTEIRA AMBOS LADOS IPANEMA 1989 A 1998</v>
          </cell>
        </row>
        <row r="149">
          <cell r="A149">
            <v>5211</v>
          </cell>
          <cell r="B149" t="str">
            <v>AUTOMOTIVO</v>
          </cell>
          <cell r="C149" t="str">
            <v>Bieleta</v>
          </cell>
          <cell r="D149" t="str">
            <v>SIMPLES</v>
          </cell>
          <cell r="E149" t="str">
            <v>HOLYMAN</v>
          </cell>
          <cell r="F149" t="str">
            <v>Bieleta Dianteira Ambos Lados Blazer 1997 A 2011</v>
          </cell>
        </row>
        <row r="150">
          <cell r="A150">
            <v>5214</v>
          </cell>
          <cell r="B150" t="str">
            <v>AUTOMOTIVO</v>
          </cell>
          <cell r="C150" t="str">
            <v>Bieleta</v>
          </cell>
          <cell r="D150" t="str">
            <v>SIMPLES</v>
          </cell>
          <cell r="E150" t="str">
            <v>HOLYMAN</v>
          </cell>
          <cell r="F150" t="str">
            <v>BIELETA TRASEIRA AMBOS LADOS CAPTIVA 2008 EM DIANTE</v>
          </cell>
        </row>
        <row r="151">
          <cell r="A151">
            <v>5216</v>
          </cell>
          <cell r="B151" t="str">
            <v>AUTOMOTIVO</v>
          </cell>
          <cell r="C151" t="str">
            <v>Bieleta</v>
          </cell>
          <cell r="D151" t="str">
            <v>SIMPLES</v>
          </cell>
          <cell r="E151" t="str">
            <v>HOLYMAN</v>
          </cell>
          <cell r="F151" t="str">
            <v>Bieleta Dianteira Ambos Os Lados S10 1995 A 2011</v>
          </cell>
        </row>
        <row r="152">
          <cell r="A152">
            <v>5217</v>
          </cell>
          <cell r="B152" t="str">
            <v>AUTOMOTIVO</v>
          </cell>
          <cell r="C152" t="str">
            <v>Bieleta</v>
          </cell>
          <cell r="D152" t="str">
            <v>SIMPLES</v>
          </cell>
          <cell r="E152" t="str">
            <v>HOLYMAN</v>
          </cell>
          <cell r="F152" t="str">
            <v>BIELETA DIANTEIRA AMBOS LADOS TRACKER 2001 A 2008</v>
          </cell>
        </row>
        <row r="153">
          <cell r="A153">
            <v>5227</v>
          </cell>
          <cell r="B153" t="str">
            <v>AUTOMOTIVO</v>
          </cell>
          <cell r="C153" t="str">
            <v>Bieleta</v>
          </cell>
          <cell r="D153" t="str">
            <v>SIMPLES</v>
          </cell>
          <cell r="E153" t="str">
            <v>HOLYMAN</v>
          </cell>
          <cell r="F153" t="str">
            <v>Bieleta Dianteira Direita Captiva 2008 A 2015</v>
          </cell>
        </row>
        <row r="154">
          <cell r="A154">
            <v>5228</v>
          </cell>
          <cell r="B154" t="str">
            <v>AUTOMOTIVO</v>
          </cell>
          <cell r="C154" t="str">
            <v>Bieleta</v>
          </cell>
          <cell r="D154" t="str">
            <v>SIMPLES</v>
          </cell>
          <cell r="E154" t="str">
            <v>HOLYMAN</v>
          </cell>
          <cell r="F154" t="str">
            <v>Bieleta Dianteira Lado Esquerdo Captiva Tracker</v>
          </cell>
        </row>
        <row r="155">
          <cell r="A155">
            <v>5229</v>
          </cell>
          <cell r="B155" t="str">
            <v>AUTOMOTIVO</v>
          </cell>
          <cell r="C155" t="str">
            <v>Bieleta</v>
          </cell>
          <cell r="D155" t="str">
            <v>SIMPLES</v>
          </cell>
          <cell r="E155" t="str">
            <v>HOLYMAN</v>
          </cell>
          <cell r="F155" t="str">
            <v>Bieleta Dianteira Cruze 2010 Em Diante</v>
          </cell>
        </row>
        <row r="156">
          <cell r="A156">
            <v>5231</v>
          </cell>
          <cell r="B156" t="str">
            <v>AUTOMOTIVO</v>
          </cell>
          <cell r="C156" t="str">
            <v>Bieleta</v>
          </cell>
          <cell r="D156" t="str">
            <v>SIMPLES</v>
          </cell>
          <cell r="E156" t="str">
            <v>HOLYMAN</v>
          </cell>
          <cell r="F156" t="str">
            <v>Bieleta Dianteira Ld S10 Trailblazer 2012 Em Diante</v>
          </cell>
        </row>
        <row r="157">
          <cell r="A157">
            <v>5232</v>
          </cell>
          <cell r="B157" t="str">
            <v>AUTOMOTIVO</v>
          </cell>
          <cell r="C157" t="str">
            <v>Bieleta</v>
          </cell>
          <cell r="D157" t="str">
            <v>SIMPLES</v>
          </cell>
          <cell r="E157" t="str">
            <v>HOLYMAN</v>
          </cell>
          <cell r="F157" t="str">
            <v>Bieleta Dianteira Esquerda S10 Trailblazer 2012 Em Diante</v>
          </cell>
        </row>
        <row r="158">
          <cell r="A158">
            <v>5233</v>
          </cell>
          <cell r="B158" t="str">
            <v>AUTOMOTIVO</v>
          </cell>
          <cell r="C158" t="str">
            <v>Bieleta</v>
          </cell>
          <cell r="D158" t="str">
            <v>SIMPLES</v>
          </cell>
          <cell r="E158" t="str">
            <v>HOLYMAN</v>
          </cell>
          <cell r="F158" t="str">
            <v>Bieleta Dianteira Cobalt Onix Spin Sonic Malibu Le Ld</v>
          </cell>
        </row>
        <row r="159">
          <cell r="A159">
            <v>5236</v>
          </cell>
          <cell r="B159" t="str">
            <v>AUTOMOTIVO</v>
          </cell>
          <cell r="C159" t="str">
            <v>Bieleta</v>
          </cell>
          <cell r="D159" t="str">
            <v>SIMPLES</v>
          </cell>
          <cell r="E159" t="str">
            <v>HOLYMAN</v>
          </cell>
          <cell r="F159" t="str">
            <v>Bieleta Traseira Barra Estabilizadora Blazer 1996 Até 2011</v>
          </cell>
        </row>
        <row r="160">
          <cell r="A160">
            <v>5237</v>
          </cell>
          <cell r="B160" t="str">
            <v>AUTOMOTIVO</v>
          </cell>
          <cell r="C160" t="str">
            <v>Bieleta</v>
          </cell>
          <cell r="D160" t="str">
            <v>SIMPLES</v>
          </cell>
          <cell r="E160" t="str">
            <v>HOLYMAN</v>
          </cell>
          <cell r="F160" t="str">
            <v>BIELETA DIANTEIRA LADO ESQUERDO CRUZE 2016 A 2020</v>
          </cell>
        </row>
        <row r="161">
          <cell r="A161">
            <v>5238</v>
          </cell>
          <cell r="B161" t="str">
            <v>AUTOMOTIVO</v>
          </cell>
          <cell r="C161" t="str">
            <v>Bieleta</v>
          </cell>
          <cell r="D161" t="str">
            <v>SIMPLES</v>
          </cell>
          <cell r="E161" t="str">
            <v>HOLYMAN</v>
          </cell>
          <cell r="F161" t="str">
            <v>BIELETA DIANTEIRA DIREITA CRUZE 2016 A 2020</v>
          </cell>
        </row>
        <row r="162">
          <cell r="A162">
            <v>5302</v>
          </cell>
          <cell r="B162" t="str">
            <v>AUTOMOTIVO</v>
          </cell>
          <cell r="C162" t="str">
            <v>Bieleta</v>
          </cell>
          <cell r="D162" t="str">
            <v>SIMPLES</v>
          </cell>
          <cell r="E162" t="str">
            <v>HOLYMAN</v>
          </cell>
          <cell r="F162" t="str">
            <v>Bieleta Dianteira Ambos Lados Santana 1985 A 2006</v>
          </cell>
        </row>
        <row r="163">
          <cell r="A163">
            <v>5303</v>
          </cell>
          <cell r="B163" t="str">
            <v>AUTOMOTIVO</v>
          </cell>
          <cell r="C163" t="str">
            <v>Bieleta</v>
          </cell>
          <cell r="D163" t="str">
            <v>SIMPLES</v>
          </cell>
          <cell r="E163" t="str">
            <v>HOLYMAN</v>
          </cell>
          <cell r="F163" t="str">
            <v>Bieleta Dianteira Ambos Lados Polo Classic 1996 A 2000</v>
          </cell>
        </row>
        <row r="164">
          <cell r="A164">
            <v>5304</v>
          </cell>
          <cell r="B164" t="str">
            <v>AUTOMOTIVO</v>
          </cell>
          <cell r="C164" t="str">
            <v>Bieleta</v>
          </cell>
          <cell r="D164" t="str">
            <v>SIMPLES</v>
          </cell>
          <cell r="E164" t="str">
            <v>HOLYMAN</v>
          </cell>
          <cell r="F164" t="str">
            <v>BIELETA DIANTEIRA AMBOS LADOS GOLF GL GLX 1995 A 1998</v>
          </cell>
        </row>
        <row r="165">
          <cell r="A165">
            <v>5307</v>
          </cell>
          <cell r="B165" t="str">
            <v>AUTOMOTIVO</v>
          </cell>
          <cell r="C165" t="str">
            <v>Bieleta</v>
          </cell>
          <cell r="D165" t="str">
            <v>SIMPLES</v>
          </cell>
          <cell r="E165" t="str">
            <v>HOLYMAN</v>
          </cell>
          <cell r="F165" t="str">
            <v>Bieleta Dianteira Vw Spacefox E Spacecross Todas Versões</v>
          </cell>
        </row>
        <row r="166">
          <cell r="A166">
            <v>5310</v>
          </cell>
          <cell r="B166" t="str">
            <v>AUTOMOTIVO</v>
          </cell>
          <cell r="C166" t="str">
            <v>Bieleta</v>
          </cell>
          <cell r="D166" t="str">
            <v>SIMPLES</v>
          </cell>
          <cell r="E166" t="str">
            <v>HOLYMAN</v>
          </cell>
          <cell r="F166" t="str">
            <v>BIELETA DIANTEIRA AMBOS LADOS AUDI A3 1999 A 2003</v>
          </cell>
        </row>
        <row r="167">
          <cell r="A167">
            <v>5312</v>
          </cell>
          <cell r="B167" t="str">
            <v>AUTOMOTIVO</v>
          </cell>
          <cell r="C167" t="str">
            <v>Bieleta</v>
          </cell>
          <cell r="D167" t="str">
            <v>SIMPLES</v>
          </cell>
          <cell r="E167" t="str">
            <v>HOLYMAN</v>
          </cell>
          <cell r="F167" t="str">
            <v>Bieleta Traseira Ambos Lados Jetta 2007 A 2018</v>
          </cell>
        </row>
        <row r="168">
          <cell r="A168">
            <v>5313</v>
          </cell>
          <cell r="B168" t="str">
            <v>AUTOMOTIVO</v>
          </cell>
          <cell r="C168" t="str">
            <v>Bieleta</v>
          </cell>
          <cell r="D168" t="str">
            <v>SIMPLES</v>
          </cell>
          <cell r="E168" t="str">
            <v>HOLYMAN</v>
          </cell>
          <cell r="F168" t="str">
            <v>Bieleta Dianteira Ambos Lados Audi A3 2003 A 2020</v>
          </cell>
        </row>
        <row r="169">
          <cell r="A169">
            <v>5318</v>
          </cell>
          <cell r="B169" t="str">
            <v>AUTOMOTIVO</v>
          </cell>
          <cell r="C169" t="str">
            <v>Bieleta</v>
          </cell>
          <cell r="D169" t="str">
            <v>SIMPLES</v>
          </cell>
          <cell r="E169" t="str">
            <v>HOLYMAN</v>
          </cell>
          <cell r="F169" t="str">
            <v>BIELETA DIANTEIRA AMBOS LADOS AMAROK 2010 A 2022</v>
          </cell>
        </row>
        <row r="170">
          <cell r="A170">
            <v>5400</v>
          </cell>
          <cell r="B170" t="str">
            <v>AUTOMOTIVO</v>
          </cell>
          <cell r="C170" t="str">
            <v>Bieleta</v>
          </cell>
          <cell r="D170" t="str">
            <v>SIMPLES</v>
          </cell>
          <cell r="E170" t="str">
            <v>HOLYMAN</v>
          </cell>
          <cell r="F170" t="str">
            <v>BIELETA DIANTEIRA AMBOS LADOS CIVIC 1998 A 2000</v>
          </cell>
        </row>
        <row r="171">
          <cell r="A171">
            <v>5402</v>
          </cell>
          <cell r="B171" t="str">
            <v>AUTOMOTIVO</v>
          </cell>
          <cell r="C171" t="str">
            <v>Bieleta</v>
          </cell>
          <cell r="D171" t="str">
            <v>SIMPLES</v>
          </cell>
          <cell r="E171" t="str">
            <v>HOLYMAN</v>
          </cell>
          <cell r="F171" t="str">
            <v>Bieleta Dianteira Direita Honda Civic 2001 A 2006</v>
          </cell>
        </row>
        <row r="172">
          <cell r="A172">
            <v>5403</v>
          </cell>
          <cell r="B172" t="str">
            <v>AUTOMOTIVO</v>
          </cell>
          <cell r="C172" t="str">
            <v>Bieleta</v>
          </cell>
          <cell r="D172" t="str">
            <v>SIMPLES</v>
          </cell>
          <cell r="E172" t="str">
            <v>HOLYMAN</v>
          </cell>
          <cell r="F172" t="str">
            <v>Bieleta Dianteira Esquerda Honda Civic 2001 A 2006</v>
          </cell>
        </row>
        <row r="173">
          <cell r="A173">
            <v>5404</v>
          </cell>
          <cell r="B173" t="str">
            <v>AUTOMOTIVO</v>
          </cell>
          <cell r="C173" t="str">
            <v>Bieleta</v>
          </cell>
          <cell r="D173" t="str">
            <v>SIMPLES</v>
          </cell>
          <cell r="E173" t="str">
            <v>HOLYMAN</v>
          </cell>
          <cell r="F173" t="str">
            <v>Bieleta Dianteira Direita Honda Fit 2003 Até 2008 1.4 1.5</v>
          </cell>
        </row>
        <row r="174">
          <cell r="A174">
            <v>5405</v>
          </cell>
          <cell r="B174" t="str">
            <v>AUTOMOTIVO</v>
          </cell>
          <cell r="C174" t="str">
            <v>Bieleta</v>
          </cell>
          <cell r="D174" t="str">
            <v>SIMPLES</v>
          </cell>
          <cell r="E174" t="str">
            <v>HOLYMAN</v>
          </cell>
          <cell r="F174" t="str">
            <v>Bieleta Dianteira Equerdo Honda Fit 2003 Até 2008 1.4 1.5</v>
          </cell>
        </row>
        <row r="175">
          <cell r="A175">
            <v>5406</v>
          </cell>
          <cell r="B175" t="str">
            <v>AUTOMOTIVO</v>
          </cell>
          <cell r="C175" t="str">
            <v>Bieleta</v>
          </cell>
          <cell r="D175" t="str">
            <v>SIMPLES</v>
          </cell>
          <cell r="E175" t="str">
            <v>HOLYMAN</v>
          </cell>
          <cell r="F175" t="str">
            <v>BIELETA TRASEIRA DIREITA CIVIC 2001 A 2005</v>
          </cell>
        </row>
        <row r="176">
          <cell r="A176">
            <v>5407</v>
          </cell>
          <cell r="B176" t="str">
            <v>AUTOMOTIVO</v>
          </cell>
          <cell r="C176" t="str">
            <v>Bieleta</v>
          </cell>
          <cell r="D176" t="str">
            <v>SIMPLES</v>
          </cell>
          <cell r="E176" t="str">
            <v>HOLYMAN</v>
          </cell>
          <cell r="F176" t="str">
            <v>BIELETA TRASEIRA ESQUERDA CIVIC 2001 A 2005</v>
          </cell>
        </row>
        <row r="177">
          <cell r="A177">
            <v>5408</v>
          </cell>
          <cell r="B177" t="str">
            <v>AUTOMOTIVO</v>
          </cell>
          <cell r="C177" t="str">
            <v>Bieleta</v>
          </cell>
          <cell r="D177" t="str">
            <v>SIMPLES</v>
          </cell>
          <cell r="E177" t="str">
            <v>HOLYMAN</v>
          </cell>
          <cell r="F177" t="str">
            <v>BIELETA DIANTEIRA ESQUERDA ACCORD 1998 A 2002</v>
          </cell>
        </row>
        <row r="178">
          <cell r="A178">
            <v>5409</v>
          </cell>
          <cell r="B178" t="str">
            <v>AUTOMOTIVO</v>
          </cell>
          <cell r="C178" t="str">
            <v>Bieleta</v>
          </cell>
          <cell r="D178" t="str">
            <v>SIMPLES</v>
          </cell>
          <cell r="E178" t="str">
            <v>HOLYMAN</v>
          </cell>
          <cell r="F178" t="str">
            <v>BIELETA DIANTEIRA DIREITA ACCORD 1998 A 2002</v>
          </cell>
        </row>
        <row r="179">
          <cell r="A179">
            <v>5410</v>
          </cell>
          <cell r="B179" t="str">
            <v>AUTOMOTIVO</v>
          </cell>
          <cell r="C179" t="str">
            <v>Bieleta</v>
          </cell>
          <cell r="D179" t="str">
            <v>SIMPLES</v>
          </cell>
          <cell r="E179" t="str">
            <v>HOLYMAN</v>
          </cell>
          <cell r="F179" t="str">
            <v>Bieleta Dianteira New Civic 2011 Esquerdo</v>
          </cell>
        </row>
        <row r="180">
          <cell r="A180">
            <v>5411</v>
          </cell>
          <cell r="B180" t="str">
            <v>AUTOMOTIVO</v>
          </cell>
          <cell r="C180" t="str">
            <v>Bieleta</v>
          </cell>
          <cell r="D180" t="str">
            <v>SIMPLES</v>
          </cell>
          <cell r="E180" t="str">
            <v>HOLYMAN</v>
          </cell>
          <cell r="F180" t="str">
            <v>Bieleta Dianteira Direita New Civic 2011 Direito</v>
          </cell>
        </row>
        <row r="181">
          <cell r="A181">
            <v>5412</v>
          </cell>
          <cell r="B181" t="str">
            <v>AUTOMOTIVO</v>
          </cell>
          <cell r="C181" t="str">
            <v>Bieleta</v>
          </cell>
          <cell r="D181" t="str">
            <v>SIMPLES</v>
          </cell>
          <cell r="E181" t="str">
            <v>HOLYMAN</v>
          </cell>
          <cell r="F181" t="str">
            <v>BIELETA TRASEIRA ESQUERDA CIVIC 2006 A 2011</v>
          </cell>
        </row>
        <row r="182">
          <cell r="A182">
            <v>5413</v>
          </cell>
          <cell r="B182" t="str">
            <v>AUTOMOTIVO</v>
          </cell>
          <cell r="C182" t="str">
            <v>Bieleta</v>
          </cell>
          <cell r="D182" t="str">
            <v>SIMPLES</v>
          </cell>
          <cell r="E182" t="str">
            <v>HOLYMAN</v>
          </cell>
          <cell r="F182" t="str">
            <v>BIELETA TRASEIRA DIREITA CIVIC 2006 A 2011</v>
          </cell>
        </row>
        <row r="183">
          <cell r="A183">
            <v>5414</v>
          </cell>
          <cell r="B183" t="str">
            <v>AUTOMOTIVO</v>
          </cell>
          <cell r="C183" t="str">
            <v>Bieleta</v>
          </cell>
          <cell r="D183" t="str">
            <v>SIMPLES</v>
          </cell>
          <cell r="E183" t="str">
            <v>HOLYMAN</v>
          </cell>
          <cell r="F183" t="str">
            <v>BIELETA DIANTEIRA ESQUERDA FIT 2003 A 2008 COFAP MONROE</v>
          </cell>
        </row>
        <row r="184">
          <cell r="A184">
            <v>5415</v>
          </cell>
          <cell r="B184" t="str">
            <v>AUTOMOTIVO</v>
          </cell>
          <cell r="C184" t="str">
            <v>Bieleta</v>
          </cell>
          <cell r="D184" t="str">
            <v>SIMPLES</v>
          </cell>
          <cell r="E184" t="str">
            <v>HOLYMAN</v>
          </cell>
          <cell r="F184" t="str">
            <v>BIELETA DIANTEIRA DIREITA FIT 2003 A 2008 COFAP MONROE</v>
          </cell>
        </row>
        <row r="185">
          <cell r="A185">
            <v>5416</v>
          </cell>
          <cell r="B185" t="str">
            <v>AUTOMOTIVO</v>
          </cell>
          <cell r="C185" t="str">
            <v>Bieleta</v>
          </cell>
          <cell r="D185" t="str">
            <v>SIMPLES</v>
          </cell>
          <cell r="E185" t="str">
            <v>HOLYMAN</v>
          </cell>
          <cell r="F185" t="str">
            <v>Bieleta Dianteira Ambos Lados Civic 2012 A 2016</v>
          </cell>
        </row>
        <row r="186">
          <cell r="A186">
            <v>5417</v>
          </cell>
          <cell r="B186" t="str">
            <v>AUTOMOTIVO</v>
          </cell>
          <cell r="C186" t="str">
            <v>Bieleta</v>
          </cell>
          <cell r="D186" t="str">
            <v>SIMPLES</v>
          </cell>
          <cell r="E186" t="str">
            <v>HOLYMAN</v>
          </cell>
          <cell r="F186" t="str">
            <v>Bieleta Dianteira Ambos Os Lados  Cr-v 2006 A 2011</v>
          </cell>
        </row>
        <row r="187">
          <cell r="A187">
            <v>5418</v>
          </cell>
          <cell r="B187" t="str">
            <v>AUTOMOTIVO</v>
          </cell>
          <cell r="C187" t="str">
            <v>Bieleta</v>
          </cell>
          <cell r="D187" t="str">
            <v>SIMPLES</v>
          </cell>
          <cell r="E187" t="str">
            <v>HOLYMAN</v>
          </cell>
          <cell r="F187" t="str">
            <v>BIELETA TRASEIRA DIREITA CRV 2007 EM DIANTE</v>
          </cell>
        </row>
        <row r="188">
          <cell r="A188">
            <v>5419</v>
          </cell>
          <cell r="B188" t="str">
            <v>AUTOMOTIVO</v>
          </cell>
          <cell r="C188" t="str">
            <v>Bieleta</v>
          </cell>
          <cell r="D188" t="str">
            <v>SIMPLES</v>
          </cell>
          <cell r="E188" t="str">
            <v>HOLYMAN</v>
          </cell>
          <cell r="F188" t="str">
            <v>BIELETA TRASEIRA ESQUERDA CRV 2007 EM DIANTE</v>
          </cell>
        </row>
        <row r="189">
          <cell r="A189">
            <v>5425</v>
          </cell>
          <cell r="B189" t="str">
            <v>AUTOMOTIVO</v>
          </cell>
          <cell r="C189" t="str">
            <v>Bieleta</v>
          </cell>
          <cell r="D189" t="str">
            <v>SIMPLES</v>
          </cell>
          <cell r="E189" t="str">
            <v>HOLYMAN</v>
          </cell>
          <cell r="F189" t="str">
            <v>BIELETA DIANTEIRA DIREITA HRV 2016 A 2021</v>
          </cell>
        </row>
        <row r="190">
          <cell r="A190">
            <v>5426</v>
          </cell>
          <cell r="B190" t="str">
            <v>AUTOMOTIVO</v>
          </cell>
          <cell r="C190" t="str">
            <v>Bieleta</v>
          </cell>
          <cell r="D190" t="str">
            <v>SIMPLES</v>
          </cell>
          <cell r="E190" t="str">
            <v>HOLYMAN</v>
          </cell>
          <cell r="F190" t="str">
            <v>Bieleta Dianteira Esquerda Hrv 2016 A 2021</v>
          </cell>
        </row>
        <row r="191">
          <cell r="A191">
            <v>5427</v>
          </cell>
          <cell r="B191" t="str">
            <v>AUTOMOTIVO</v>
          </cell>
          <cell r="C191" t="str">
            <v>Bieleta</v>
          </cell>
          <cell r="D191" t="str">
            <v>SIMPLES</v>
          </cell>
          <cell r="E191" t="str">
            <v>HOLYMAN</v>
          </cell>
          <cell r="F191" t="str">
            <v>BIELETA DIANTEIRA DIREITA WR-V 2017 EM DIANTE</v>
          </cell>
        </row>
        <row r="192">
          <cell r="A192">
            <v>5428</v>
          </cell>
          <cell r="B192" t="str">
            <v>AUTOMOTIVO</v>
          </cell>
          <cell r="C192" t="str">
            <v>Bieleta</v>
          </cell>
          <cell r="D192" t="str">
            <v>SIMPLES</v>
          </cell>
          <cell r="E192" t="str">
            <v>HOLYMAN</v>
          </cell>
          <cell r="F192" t="str">
            <v>BIELETA DIANTEIRA ESQUERDA WR-V 2017 EM DIANTE</v>
          </cell>
        </row>
        <row r="193">
          <cell r="A193">
            <v>5433</v>
          </cell>
          <cell r="B193" t="str">
            <v>AUTOMOTIVO</v>
          </cell>
          <cell r="C193" t="str">
            <v>Bieleta</v>
          </cell>
          <cell r="D193" t="str">
            <v>SIMPLES</v>
          </cell>
          <cell r="E193" t="str">
            <v>HOLYMAN</v>
          </cell>
          <cell r="F193" t="str">
            <v>BIELETA DIANTEIRA AMBOS LADOS CIVIC G10 2017 EM DIANTE</v>
          </cell>
        </row>
        <row r="194">
          <cell r="A194">
            <v>5500</v>
          </cell>
          <cell r="B194" t="str">
            <v>AUTOMOTIVO</v>
          </cell>
          <cell r="C194" t="str">
            <v>Bieleta</v>
          </cell>
          <cell r="D194" t="str">
            <v>SIMPLES</v>
          </cell>
          <cell r="E194" t="str">
            <v>HOLYMAN</v>
          </cell>
          <cell r="F194" t="str">
            <v>BIELETA DIANTEIRA AMBOS LADOS COROLLA 1993 A 2003</v>
          </cell>
        </row>
        <row r="195">
          <cell r="A195">
            <v>5501</v>
          </cell>
          <cell r="B195" t="str">
            <v>AUTOMOTIVO</v>
          </cell>
          <cell r="C195" t="str">
            <v>Bieleta</v>
          </cell>
          <cell r="D195" t="str">
            <v>SIMPLES</v>
          </cell>
          <cell r="E195" t="str">
            <v>HOLYMAN</v>
          </cell>
          <cell r="F195" t="str">
            <v>Bieleta Dianteira Ambos Os Lados Soul 2015 Em Diante</v>
          </cell>
        </row>
        <row r="196">
          <cell r="A196">
            <v>5502</v>
          </cell>
          <cell r="B196" t="str">
            <v>AUTOMOTIVO</v>
          </cell>
          <cell r="C196" t="str">
            <v>Bieleta</v>
          </cell>
          <cell r="D196" t="str">
            <v>SIMPLES</v>
          </cell>
          <cell r="E196" t="str">
            <v>HOLYMAN</v>
          </cell>
          <cell r="F196" t="str">
            <v>BIELETA DIANTEIRA AMBOS LADOS HILUX SW4 4X4 1996 A 2004</v>
          </cell>
        </row>
        <row r="197">
          <cell r="A197">
            <v>5507</v>
          </cell>
          <cell r="B197" t="str">
            <v>AUTOMOTIVO</v>
          </cell>
          <cell r="C197" t="str">
            <v>Bieleta</v>
          </cell>
          <cell r="D197" t="str">
            <v>SIMPLES</v>
          </cell>
          <cell r="E197" t="str">
            <v>HOLYMAN</v>
          </cell>
          <cell r="F197" t="str">
            <v>BIELETA DIANTEIRA DIREITA HILUX PICK UP 2004 EM DIANTE</v>
          </cell>
        </row>
        <row r="198">
          <cell r="A198">
            <v>5508</v>
          </cell>
          <cell r="B198" t="str">
            <v>AUTOMOTIVO</v>
          </cell>
          <cell r="C198" t="str">
            <v>Bieleta</v>
          </cell>
          <cell r="D198" t="str">
            <v>SIMPLES</v>
          </cell>
          <cell r="E198" t="str">
            <v>HOLYMAN</v>
          </cell>
          <cell r="F198" t="str">
            <v>BIELETA DIANTEIRA ESQUERDA HILUX PICK UP 2004 EM DIANTE</v>
          </cell>
        </row>
        <row r="199">
          <cell r="A199">
            <v>5509</v>
          </cell>
          <cell r="B199" t="str">
            <v>AUTOMOTIVO</v>
          </cell>
          <cell r="C199" t="str">
            <v>Bieleta</v>
          </cell>
          <cell r="D199" t="str">
            <v>SIMPLES</v>
          </cell>
          <cell r="E199" t="str">
            <v>HOLYMAN</v>
          </cell>
          <cell r="F199" t="str">
            <v>Bieleta Traseira Ambos Lados Hilux Sw4 Motor 3.0</v>
          </cell>
        </row>
        <row r="200">
          <cell r="A200">
            <v>5510</v>
          </cell>
          <cell r="B200" t="str">
            <v>AUTOMOTIVO</v>
          </cell>
          <cell r="C200" t="str">
            <v>Bieleta</v>
          </cell>
          <cell r="D200" t="str">
            <v>SIMPLES</v>
          </cell>
          <cell r="E200" t="str">
            <v>HOLYMAN</v>
          </cell>
          <cell r="F200" t="str">
            <v>BIELETA TRASEIRA AMBOS LADOS HILUX SW4 MOTOR 2.8</v>
          </cell>
        </row>
        <row r="201">
          <cell r="A201">
            <v>5520</v>
          </cell>
          <cell r="B201" t="str">
            <v>AUTOMOTIVO</v>
          </cell>
          <cell r="C201" t="str">
            <v>Bieleta</v>
          </cell>
          <cell r="D201" t="str">
            <v>SIMPLES</v>
          </cell>
          <cell r="E201" t="str">
            <v>HOLYMAN</v>
          </cell>
          <cell r="F201" t="str">
            <v>Bieleta Dianteira Ambos Os Lados Jac J2 2012 A 2016</v>
          </cell>
        </row>
        <row r="202">
          <cell r="A202">
            <v>5554</v>
          </cell>
          <cell r="B202" t="str">
            <v>AUTOMOTIVO</v>
          </cell>
          <cell r="C202" t="str">
            <v>Terminal Cabo Câmbio</v>
          </cell>
          <cell r="D202" t="str">
            <v>SIMPLES</v>
          </cell>
          <cell r="E202" t="str">
            <v>Importação / LT CORREA</v>
          </cell>
          <cell r="F202" t="str">
            <v>Terminal Cabo De Engate Audi A3 2003</v>
          </cell>
        </row>
        <row r="203">
          <cell r="A203">
            <v>5607</v>
          </cell>
          <cell r="B203" t="str">
            <v>AUTOMOTIVO</v>
          </cell>
          <cell r="C203" t="str">
            <v>Bieleta</v>
          </cell>
          <cell r="D203" t="str">
            <v>SIMPLES</v>
          </cell>
          <cell r="E203" t="str">
            <v>HOLYMAN</v>
          </cell>
          <cell r="F203" t="str">
            <v>Bieleta Dianteira I30 Cerato</v>
          </cell>
        </row>
        <row r="204">
          <cell r="A204">
            <v>5608</v>
          </cell>
          <cell r="B204" t="str">
            <v>AUTOMOTIVO</v>
          </cell>
          <cell r="C204" t="str">
            <v>Bieleta</v>
          </cell>
          <cell r="D204" t="str">
            <v>SIMPLES</v>
          </cell>
          <cell r="E204" t="str">
            <v>HOLYMAN</v>
          </cell>
          <cell r="F204" t="str">
            <v>Bieleta Traseira Tucson Le</v>
          </cell>
        </row>
        <row r="205">
          <cell r="A205">
            <v>5611</v>
          </cell>
          <cell r="B205" t="str">
            <v>AUTOMOTIVO</v>
          </cell>
          <cell r="C205" t="str">
            <v>Bieleta</v>
          </cell>
          <cell r="D205" t="str">
            <v>SIMPLES</v>
          </cell>
          <cell r="E205" t="str">
            <v>HOLYMAN</v>
          </cell>
          <cell r="F205" t="str">
            <v>BIELETA TRASEIRA AMBOS LADOS SANTA FÉ 2007 A 2012</v>
          </cell>
        </row>
        <row r="206">
          <cell r="A206">
            <v>5612</v>
          </cell>
          <cell r="B206" t="str">
            <v>AUTOMOTIVO</v>
          </cell>
          <cell r="C206" t="str">
            <v>Bieleta</v>
          </cell>
          <cell r="D206" t="str">
            <v>SIMPLES</v>
          </cell>
          <cell r="E206" t="str">
            <v>HOLYMAN</v>
          </cell>
          <cell r="F206" t="str">
            <v>BIELETA DIANTEIRA AMBOS LADOS H100 1994 EM DIANTE</v>
          </cell>
        </row>
        <row r="207">
          <cell r="A207">
            <v>5613</v>
          </cell>
          <cell r="B207" t="str">
            <v>AUTOMOTIVO</v>
          </cell>
          <cell r="C207" t="str">
            <v>Bieleta</v>
          </cell>
          <cell r="D207" t="str">
            <v>SIMPLES</v>
          </cell>
          <cell r="E207" t="str">
            <v>HOLYMAN</v>
          </cell>
          <cell r="F207" t="str">
            <v>Bieleta Dianteira Ambos Os Lados Tucson 2005 A 2017</v>
          </cell>
        </row>
        <row r="208">
          <cell r="A208">
            <v>5614</v>
          </cell>
          <cell r="B208" t="str">
            <v>AUTOMOTIVO</v>
          </cell>
          <cell r="C208" t="str">
            <v>Bieleta</v>
          </cell>
          <cell r="D208" t="str">
            <v>SIMPLES</v>
          </cell>
          <cell r="E208" t="str">
            <v>HOLYMAN</v>
          </cell>
          <cell r="F208" t="str">
            <v>Bieleta Dianteira Ambos Lados Azera 2007 A 2011 Motor 3.3</v>
          </cell>
        </row>
        <row r="209">
          <cell r="A209">
            <v>5615</v>
          </cell>
          <cell r="B209" t="str">
            <v>AUTOMOTIVO</v>
          </cell>
          <cell r="C209" t="str">
            <v>Bieleta</v>
          </cell>
          <cell r="D209" t="str">
            <v>SIMPLES</v>
          </cell>
          <cell r="E209" t="str">
            <v>HOLYMAN</v>
          </cell>
          <cell r="F209" t="str">
            <v>Bieleta Traseira Ambos Lados Sportage 2011 Em Diante</v>
          </cell>
        </row>
        <row r="210">
          <cell r="A210">
            <v>5616</v>
          </cell>
          <cell r="B210" t="str">
            <v>AUTOMOTIVO</v>
          </cell>
          <cell r="C210" t="str">
            <v>Bieleta</v>
          </cell>
          <cell r="D210" t="str">
            <v>SIMPLES</v>
          </cell>
          <cell r="E210" t="str">
            <v>HOLYMAN</v>
          </cell>
          <cell r="F210" t="str">
            <v>Bieleta Dianteira Ambos Os Lados Ix35 2010 A 2015</v>
          </cell>
        </row>
        <row r="211">
          <cell r="A211">
            <v>5617</v>
          </cell>
          <cell r="B211" t="str">
            <v>AUTOMOTIVO</v>
          </cell>
          <cell r="C211" t="str">
            <v>Bieleta</v>
          </cell>
          <cell r="D211" t="str">
            <v>SIMPLES</v>
          </cell>
          <cell r="E211" t="str">
            <v>HOLYMAN</v>
          </cell>
          <cell r="F211" t="str">
            <v>BIELETA DIANTEIRA DIREITA AZERA 2011 A 2015</v>
          </cell>
        </row>
        <row r="212">
          <cell r="A212">
            <v>5618</v>
          </cell>
          <cell r="B212" t="str">
            <v>AUTOMOTIVO</v>
          </cell>
          <cell r="C212" t="str">
            <v>Bieleta</v>
          </cell>
          <cell r="D212" t="str">
            <v>SIMPLES</v>
          </cell>
          <cell r="E212" t="str">
            <v>HOLYMAN</v>
          </cell>
          <cell r="F212" t="str">
            <v>BIELETA DIANTEIRA ESQUERDA AZERA 2011 A 2015</v>
          </cell>
        </row>
        <row r="213">
          <cell r="A213">
            <v>5619</v>
          </cell>
          <cell r="B213" t="str">
            <v>AUTOMOTIVO</v>
          </cell>
          <cell r="C213" t="str">
            <v>Bieleta</v>
          </cell>
          <cell r="D213" t="str">
            <v>SIMPLES</v>
          </cell>
          <cell r="E213" t="str">
            <v>HOLYMAN</v>
          </cell>
          <cell r="F213" t="str">
            <v>Bieleta Dianteira Ambos Os Lados I30 2006 A 2010</v>
          </cell>
        </row>
        <row r="214">
          <cell r="A214">
            <v>5621</v>
          </cell>
          <cell r="B214" t="str">
            <v>AUTOMOTIVO</v>
          </cell>
          <cell r="C214" t="str">
            <v>Bieleta</v>
          </cell>
          <cell r="D214" t="str">
            <v>SIMPLES</v>
          </cell>
          <cell r="E214" t="str">
            <v>HOLYMAN</v>
          </cell>
          <cell r="F214" t="str">
            <v>BIELETA DIANTEIRA AMBOS LADOS CRETA 2017 A 2020</v>
          </cell>
        </row>
        <row r="215">
          <cell r="A215">
            <v>5623</v>
          </cell>
          <cell r="B215" t="str">
            <v>AUTOMOTIVO</v>
          </cell>
          <cell r="C215" t="str">
            <v>Bieleta</v>
          </cell>
          <cell r="D215" t="str">
            <v>SIMPLES</v>
          </cell>
          <cell r="E215" t="str">
            <v>HOLYMAN</v>
          </cell>
          <cell r="F215" t="str">
            <v>Bieleta Traseira Ambos Lados Azera 2007 A 2009</v>
          </cell>
        </row>
        <row r="216">
          <cell r="A216">
            <v>5625</v>
          </cell>
          <cell r="B216" t="str">
            <v>AUTOMOTIVO</v>
          </cell>
          <cell r="C216" t="str">
            <v>Bieleta</v>
          </cell>
          <cell r="D216" t="str">
            <v>SIMPLES</v>
          </cell>
          <cell r="E216" t="str">
            <v>HOLYMAN</v>
          </cell>
          <cell r="F216" t="str">
            <v>BRAÇO DA SUSPENSÃO TRASEIRA I30 2009 A 2012</v>
          </cell>
        </row>
        <row r="217">
          <cell r="A217">
            <v>5678</v>
          </cell>
          <cell r="B217" t="str">
            <v>AUTOMOTIVO</v>
          </cell>
          <cell r="C217" t="str">
            <v>Suporte Radiador</v>
          </cell>
          <cell r="D217" t="str">
            <v>SIMPLES</v>
          </cell>
          <cell r="E217" t="str">
            <v>LT CORREA</v>
          </cell>
          <cell r="F217" t="str">
            <v>Par Coxim E Trava Superior Do Radiador New Fiesta 2012 Diant</v>
          </cell>
        </row>
        <row r="218">
          <cell r="A218">
            <v>5700</v>
          </cell>
          <cell r="B218" t="str">
            <v>AUTOMOTIVO</v>
          </cell>
          <cell r="C218" t="str">
            <v>Bieleta</v>
          </cell>
          <cell r="D218" t="str">
            <v>SIMPLES</v>
          </cell>
          <cell r="E218" t="str">
            <v>HOLYMAN</v>
          </cell>
          <cell r="F218" t="str">
            <v>Bieleta Dianteira Ambos Lados Partner 1999 Em Diante</v>
          </cell>
        </row>
        <row r="219">
          <cell r="A219">
            <v>5701</v>
          </cell>
          <cell r="B219" t="str">
            <v>AUTOMOTIVO</v>
          </cell>
          <cell r="C219" t="str">
            <v>Bieleta</v>
          </cell>
          <cell r="D219" t="str">
            <v>SIMPLES</v>
          </cell>
          <cell r="E219" t="str">
            <v>HOLYMAN</v>
          </cell>
          <cell r="F219" t="str">
            <v>Bieleta Dianteira Ambos Os Lados Citroen Ds3</v>
          </cell>
        </row>
        <row r="220">
          <cell r="A220">
            <v>5705</v>
          </cell>
          <cell r="B220" t="str">
            <v>AUTOMOTIVO</v>
          </cell>
          <cell r="C220" t="str">
            <v>Bieleta</v>
          </cell>
          <cell r="D220" t="str">
            <v>SIMPLES</v>
          </cell>
          <cell r="E220" t="str">
            <v>HOLYMAN</v>
          </cell>
          <cell r="F220" t="str">
            <v>Bieleta Dianteira Pallas 2007 A 2013</v>
          </cell>
        </row>
        <row r="221">
          <cell r="A221">
            <v>5711</v>
          </cell>
          <cell r="B221" t="str">
            <v>AUTOMOTIVO</v>
          </cell>
          <cell r="C221" t="str">
            <v>Bieleta</v>
          </cell>
          <cell r="D221" t="str">
            <v>SIMPLES</v>
          </cell>
          <cell r="E221" t="str">
            <v>HOLYMAN</v>
          </cell>
          <cell r="F221" t="str">
            <v>Bieleta Dianteira C3 2003 A 2008 E 2013 Em  Diante</v>
          </cell>
        </row>
        <row r="222">
          <cell r="A222">
            <v>5716</v>
          </cell>
          <cell r="B222" t="str">
            <v>AUTOMOTIVO</v>
          </cell>
          <cell r="C222" t="str">
            <v>Bieleta</v>
          </cell>
          <cell r="D222" t="str">
            <v>SIMPLES</v>
          </cell>
          <cell r="E222" t="str">
            <v>HOLYMAN</v>
          </cell>
          <cell r="F222" t="str">
            <v>Bieleta Dianteira 206 1.0 16v Todos</v>
          </cell>
        </row>
        <row r="223">
          <cell r="A223">
            <v>5717</v>
          </cell>
          <cell r="B223" t="str">
            <v>AUTOMOTIVO</v>
          </cell>
          <cell r="C223" t="str">
            <v>Bieleta</v>
          </cell>
          <cell r="D223" t="str">
            <v>SIMPLES</v>
          </cell>
          <cell r="E223" t="str">
            <v>HOLYMAN</v>
          </cell>
          <cell r="F223" t="str">
            <v>Bieleta Barra Peugeot 307 308 408 3008 C4 - C4  Picasso</v>
          </cell>
        </row>
        <row r="224">
          <cell r="A224">
            <v>5900</v>
          </cell>
          <cell r="B224" t="str">
            <v>AUTOMOTIVO</v>
          </cell>
          <cell r="C224" t="str">
            <v>Bieleta</v>
          </cell>
          <cell r="D224" t="str">
            <v>SIMPLES</v>
          </cell>
          <cell r="E224" t="str">
            <v>HOLYMAN</v>
          </cell>
          <cell r="F224" t="str">
            <v>BIELETA DIANT. L200 / L300</v>
          </cell>
        </row>
        <row r="225">
          <cell r="A225">
            <v>5902</v>
          </cell>
          <cell r="B225" t="str">
            <v>AUTOMOTIVO</v>
          </cell>
          <cell r="C225" t="str">
            <v>Bieleta</v>
          </cell>
          <cell r="D225" t="str">
            <v>SIMPLES</v>
          </cell>
          <cell r="E225" t="str">
            <v>HOLYMAN</v>
          </cell>
          <cell r="F225" t="str">
            <v>BIELETA DIANT. DIR. PAJERO SPORT TODOS</v>
          </cell>
        </row>
        <row r="226">
          <cell r="A226">
            <v>5903</v>
          </cell>
          <cell r="B226" t="str">
            <v>AUTOMOTIVO</v>
          </cell>
          <cell r="C226" t="str">
            <v>Bieleta</v>
          </cell>
          <cell r="D226" t="str">
            <v>SIMPLES</v>
          </cell>
          <cell r="E226" t="str">
            <v>HOLYMAN</v>
          </cell>
          <cell r="F226" t="str">
            <v>BIELETA DIANT. ESQ. PAJERO SPORT TODOS</v>
          </cell>
        </row>
        <row r="227">
          <cell r="A227">
            <v>5904</v>
          </cell>
          <cell r="B227" t="str">
            <v>AUTOMOTIVO</v>
          </cell>
          <cell r="C227" t="str">
            <v>Bieleta</v>
          </cell>
          <cell r="D227" t="str">
            <v>SIMPLES</v>
          </cell>
          <cell r="E227" t="str">
            <v>HOLYMAN</v>
          </cell>
          <cell r="F227" t="str">
            <v>BIELETA TRAS. PAJERO TR4 4X4</v>
          </cell>
        </row>
        <row r="228">
          <cell r="A228">
            <v>5905</v>
          </cell>
          <cell r="B228" t="str">
            <v>AUTOMOTIVO</v>
          </cell>
          <cell r="C228" t="str">
            <v>Bieleta</v>
          </cell>
          <cell r="D228" t="str">
            <v>SIMPLES</v>
          </cell>
          <cell r="E228" t="str">
            <v>HOLYMAN</v>
          </cell>
          <cell r="F228" t="str">
            <v>BIELETA DIANT. PAJERO TR4 4X4</v>
          </cell>
        </row>
        <row r="229">
          <cell r="A229">
            <v>5906</v>
          </cell>
          <cell r="B229" t="str">
            <v>AUTOMOTIVO</v>
          </cell>
          <cell r="C229" t="str">
            <v>Bieleta</v>
          </cell>
          <cell r="D229" t="str">
            <v>SIMPLES</v>
          </cell>
          <cell r="E229" t="str">
            <v>HOLYMAN</v>
          </cell>
          <cell r="F229" t="str">
            <v>BIELETA TRAS. PAJERO SPORT TODOS</v>
          </cell>
        </row>
        <row r="230">
          <cell r="A230">
            <v>5907</v>
          </cell>
          <cell r="B230" t="str">
            <v>AUTOMOTIVO</v>
          </cell>
          <cell r="C230" t="str">
            <v>Bieleta</v>
          </cell>
          <cell r="D230" t="str">
            <v>SIMPLES</v>
          </cell>
          <cell r="E230" t="str">
            <v>HOLYMAN</v>
          </cell>
          <cell r="F230" t="str">
            <v>Bieleta Traseira Esquerda Pajero Full 2001 A 2009</v>
          </cell>
        </row>
        <row r="231">
          <cell r="A231">
            <v>5908</v>
          </cell>
          <cell r="B231" t="str">
            <v>AUTOMOTIVO</v>
          </cell>
          <cell r="C231" t="str">
            <v>Bieleta</v>
          </cell>
          <cell r="D231" t="str">
            <v>SIMPLES</v>
          </cell>
          <cell r="E231" t="str">
            <v>HOLYMAN</v>
          </cell>
          <cell r="F231" t="str">
            <v>Bieleta Traseira Direita Pajero Full 2001 A 2009</v>
          </cell>
        </row>
        <row r="232">
          <cell r="A232">
            <v>5909</v>
          </cell>
          <cell r="B232" t="str">
            <v>AUTOMOTIVO</v>
          </cell>
          <cell r="C232" t="str">
            <v>Bieleta</v>
          </cell>
          <cell r="D232" t="str">
            <v>SIMPLES</v>
          </cell>
          <cell r="E232" t="str">
            <v>HOLYMAN</v>
          </cell>
          <cell r="F232" t="str">
            <v>BIELETA DIANT. DIR. PAJERO FULL 98/07</v>
          </cell>
        </row>
        <row r="233">
          <cell r="A233">
            <v>5910</v>
          </cell>
          <cell r="B233" t="str">
            <v>AUTOMOTIVO</v>
          </cell>
          <cell r="C233" t="str">
            <v>Bieleta</v>
          </cell>
          <cell r="D233" t="str">
            <v>SIMPLES</v>
          </cell>
          <cell r="E233" t="str">
            <v>HOLYMAN</v>
          </cell>
          <cell r="F233" t="str">
            <v>BIELETA DIANT. ESQ. PAJERO FULL 98/08</v>
          </cell>
        </row>
        <row r="234">
          <cell r="A234">
            <v>5911</v>
          </cell>
          <cell r="B234" t="str">
            <v>AUTOMOTIVO</v>
          </cell>
          <cell r="C234" t="str">
            <v>Bieleta</v>
          </cell>
          <cell r="D234" t="str">
            <v>SIMPLES</v>
          </cell>
          <cell r="E234" t="str">
            <v>HOLYMAN</v>
          </cell>
          <cell r="F234" t="str">
            <v>BIELETA DIANT. L200 GLS 82/02 CENTRAL</v>
          </cell>
        </row>
        <row r="235">
          <cell r="A235">
            <v>5913</v>
          </cell>
          <cell r="B235" t="str">
            <v>AUTOMOTIVO</v>
          </cell>
          <cell r="C235" t="str">
            <v>Bieleta</v>
          </cell>
          <cell r="D235" t="str">
            <v>SIMPLES</v>
          </cell>
          <cell r="E235" t="str">
            <v>HOLYMAN</v>
          </cell>
          <cell r="F235" t="str">
            <v>Bieleta Dianteira Direita L200 Triton 4x4 2007 A 2013</v>
          </cell>
        </row>
        <row r="236">
          <cell r="A236">
            <v>5914</v>
          </cell>
          <cell r="B236" t="str">
            <v>AUTOMOTIVO</v>
          </cell>
          <cell r="C236" t="str">
            <v>Bieleta</v>
          </cell>
          <cell r="D236" t="str">
            <v>SIMPLES</v>
          </cell>
          <cell r="E236" t="str">
            <v>HOLYMAN</v>
          </cell>
          <cell r="F236" t="str">
            <v>Bieleta Dianteira Esquerda L200 Triton 4x4 2007 A 2013</v>
          </cell>
        </row>
        <row r="237">
          <cell r="A237">
            <v>5915</v>
          </cell>
          <cell r="B237" t="str">
            <v>AUTOMOTIVO</v>
          </cell>
          <cell r="C237" t="str">
            <v>Bieleta</v>
          </cell>
          <cell r="D237" t="str">
            <v>SIMPLES</v>
          </cell>
          <cell r="E237" t="str">
            <v>HOLYMAN</v>
          </cell>
          <cell r="F237" t="str">
            <v>BIELETA DIANT. AIRTREK 03/10</v>
          </cell>
        </row>
        <row r="238">
          <cell r="A238">
            <v>5917</v>
          </cell>
          <cell r="B238" t="str">
            <v>AUTOMOTIVO</v>
          </cell>
          <cell r="C238" t="str">
            <v>Bieleta</v>
          </cell>
          <cell r="D238" t="str">
            <v>SIMPLES</v>
          </cell>
          <cell r="E238" t="str">
            <v>HOLYMAN</v>
          </cell>
          <cell r="F238" t="str">
            <v>BIELETA TRAS. DIR. OUTLANDER 08/...</v>
          </cell>
        </row>
        <row r="239">
          <cell r="A239">
            <v>5918</v>
          </cell>
          <cell r="B239" t="str">
            <v>AUTOMOTIVO</v>
          </cell>
          <cell r="C239" t="str">
            <v>Bieleta</v>
          </cell>
          <cell r="D239" t="str">
            <v>SIMPLES</v>
          </cell>
          <cell r="E239" t="str">
            <v>HOLYMAN</v>
          </cell>
          <cell r="F239" t="str">
            <v>BIELETA TRAS. ESQ. OUTLANDER 08/...</v>
          </cell>
        </row>
        <row r="240">
          <cell r="A240">
            <v>5921</v>
          </cell>
          <cell r="B240" t="str">
            <v>AUTOMOTIVO</v>
          </cell>
          <cell r="C240" t="str">
            <v>Bieleta</v>
          </cell>
          <cell r="D240" t="str">
            <v>SIMPLES</v>
          </cell>
          <cell r="E240" t="str">
            <v>HOLYMAN</v>
          </cell>
          <cell r="F240" t="str">
            <v>BIELETA TRAS. AIRTREK 03/08</v>
          </cell>
        </row>
        <row r="241">
          <cell r="A241">
            <v>5922</v>
          </cell>
          <cell r="B241" t="str">
            <v>AUTOMOTIVO</v>
          </cell>
          <cell r="C241" t="str">
            <v>Bieleta</v>
          </cell>
          <cell r="D241" t="str">
            <v>SIMPLES</v>
          </cell>
          <cell r="E241" t="str">
            <v>HOLYMAN</v>
          </cell>
          <cell r="F241" t="str">
            <v>BIELETA TRAS. ESQ. ASX 11/...</v>
          </cell>
        </row>
        <row r="242">
          <cell r="A242">
            <v>5924</v>
          </cell>
          <cell r="B242" t="str">
            <v>AUTOMOTIVO</v>
          </cell>
          <cell r="C242" t="str">
            <v>Bieleta</v>
          </cell>
          <cell r="D242" t="str">
            <v>SIMPLES</v>
          </cell>
          <cell r="E242" t="str">
            <v>HOLYMAN</v>
          </cell>
          <cell r="F242" t="str">
            <v>Bieleta Dianteira Direita L200 Triton Sport 2016 A 2019</v>
          </cell>
        </row>
        <row r="243">
          <cell r="A243">
            <v>5925</v>
          </cell>
          <cell r="B243" t="str">
            <v>AUTOMOTIVO</v>
          </cell>
          <cell r="C243" t="str">
            <v>Bieleta</v>
          </cell>
          <cell r="D243" t="str">
            <v>SIMPLES</v>
          </cell>
          <cell r="E243" t="str">
            <v>HOLYMAN</v>
          </cell>
          <cell r="F243" t="str">
            <v>BIELETA DIANTEIRA ESQUERDA L200 TRITON SPORT 2016 A 201</v>
          </cell>
        </row>
        <row r="244">
          <cell r="A244">
            <v>6001</v>
          </cell>
          <cell r="B244" t="str">
            <v>AUTOMOTIVO</v>
          </cell>
          <cell r="C244" t="str">
            <v>Bieleta</v>
          </cell>
          <cell r="D244" t="str">
            <v>SIMPLES</v>
          </cell>
          <cell r="E244" t="str">
            <v>HOLYMAN</v>
          </cell>
          <cell r="F244" t="str">
            <v>Bieleta Dianteira Ambos Os Lados Symbol 2010 Em Diante</v>
          </cell>
        </row>
        <row r="245">
          <cell r="A245">
            <v>6002</v>
          </cell>
          <cell r="B245" t="str">
            <v>AUTOMOTIVO</v>
          </cell>
          <cell r="C245" t="str">
            <v>Bieleta</v>
          </cell>
          <cell r="D245" t="str">
            <v>SIMPLES</v>
          </cell>
          <cell r="E245" t="str">
            <v>HOLYMAN</v>
          </cell>
          <cell r="F245" t="str">
            <v>BIELETA DIANT. ESQ. MASTER 03/...</v>
          </cell>
        </row>
        <row r="246">
          <cell r="A246">
            <v>6003</v>
          </cell>
          <cell r="B246" t="str">
            <v>AUTOMOTIVO</v>
          </cell>
          <cell r="C246" t="str">
            <v>Bieleta</v>
          </cell>
          <cell r="D246" t="str">
            <v>SIMPLES</v>
          </cell>
          <cell r="E246" t="str">
            <v>HOLYMAN</v>
          </cell>
          <cell r="F246" t="str">
            <v>BIELETA DIANT. DIR. MASTER 03/...</v>
          </cell>
        </row>
        <row r="247">
          <cell r="A247">
            <v>6005</v>
          </cell>
          <cell r="B247" t="str">
            <v>AUTOMOTIVO</v>
          </cell>
          <cell r="C247" t="str">
            <v>Bieleta</v>
          </cell>
          <cell r="D247" t="str">
            <v>SIMPLES</v>
          </cell>
          <cell r="E247" t="str">
            <v>HOLYMAN</v>
          </cell>
          <cell r="F247" t="str">
            <v>Bieleta Dianteira Ambos Lados Grand Tour 2006 A 2013</v>
          </cell>
        </row>
        <row r="248">
          <cell r="A248">
            <v>6009</v>
          </cell>
          <cell r="B248" t="str">
            <v>AUTOMOTIVO</v>
          </cell>
          <cell r="C248" t="str">
            <v>Bieleta</v>
          </cell>
          <cell r="D248" t="str">
            <v>SIMPLES</v>
          </cell>
          <cell r="E248" t="str">
            <v>HOLYMAN</v>
          </cell>
          <cell r="F248" t="str">
            <v>BIELETA DIANTEIRA AMBOS LADOS JAC J3 2011 EM DIANTE</v>
          </cell>
        </row>
        <row r="249">
          <cell r="A249">
            <v>6012</v>
          </cell>
          <cell r="B249" t="str">
            <v>AUTOMOTIVO</v>
          </cell>
          <cell r="C249" t="str">
            <v>Bieleta</v>
          </cell>
          <cell r="D249" t="str">
            <v>SIMPLES</v>
          </cell>
          <cell r="E249" t="str">
            <v>HOLYMAN</v>
          </cell>
          <cell r="F249" t="str">
            <v>BIELETA DIANT. CAPTUR 17/...</v>
          </cell>
        </row>
        <row r="250">
          <cell r="A250">
            <v>6201</v>
          </cell>
          <cell r="B250" t="str">
            <v>AUTOMOTIVO</v>
          </cell>
          <cell r="C250" t="str">
            <v>Bieleta</v>
          </cell>
          <cell r="D250" t="str">
            <v>SIMPLES</v>
          </cell>
          <cell r="E250" t="str">
            <v>HOLYMAN</v>
          </cell>
          <cell r="F250" t="str">
            <v>BIELETA DIANT. FRONTIER 4X4</v>
          </cell>
        </row>
        <row r="251">
          <cell r="A251">
            <v>6202</v>
          </cell>
          <cell r="B251" t="str">
            <v>AUTOMOTIVO</v>
          </cell>
          <cell r="C251" t="str">
            <v>Bieleta</v>
          </cell>
          <cell r="D251" t="str">
            <v>SIMPLES</v>
          </cell>
          <cell r="E251" t="str">
            <v>HOLYMAN</v>
          </cell>
          <cell r="F251" t="str">
            <v>BIELETA DIANT. ESQ. X-TERRA / FRONTIER SET 07/...</v>
          </cell>
        </row>
        <row r="252">
          <cell r="A252">
            <v>6203</v>
          </cell>
          <cell r="B252" t="str">
            <v>AUTOMOTIVO</v>
          </cell>
          <cell r="C252" t="str">
            <v>Bieleta</v>
          </cell>
          <cell r="D252" t="str">
            <v>SIMPLES</v>
          </cell>
          <cell r="E252" t="str">
            <v>HOLYMAN</v>
          </cell>
          <cell r="F252" t="str">
            <v>BIELETA DIANT. ESQ. X-TERRA / FRONTIER SET 07/...</v>
          </cell>
        </row>
        <row r="253">
          <cell r="A253">
            <v>6204</v>
          </cell>
          <cell r="B253" t="str">
            <v>AUTOMOTIVO</v>
          </cell>
          <cell r="C253" t="str">
            <v>Bieleta</v>
          </cell>
          <cell r="D253" t="str">
            <v>SIMPLES</v>
          </cell>
          <cell r="E253" t="str">
            <v>HOLYMAN</v>
          </cell>
          <cell r="F253" t="str">
            <v>BIELETA TRAS. FRONTIER 4X2 03/07</v>
          </cell>
        </row>
        <row r="254">
          <cell r="A254">
            <v>6205</v>
          </cell>
          <cell r="B254" t="str">
            <v>AUTOMOTIVO</v>
          </cell>
          <cell r="C254" t="str">
            <v>Bieleta</v>
          </cell>
          <cell r="D254" t="str">
            <v>SIMPLES</v>
          </cell>
          <cell r="E254" t="str">
            <v>HOLYMAN</v>
          </cell>
          <cell r="F254" t="str">
            <v>BIELETA DIANT. SENTRA 2007/...</v>
          </cell>
        </row>
        <row r="255">
          <cell r="A255">
            <v>6206</v>
          </cell>
          <cell r="B255" t="str">
            <v>AUTOMOTIVO</v>
          </cell>
          <cell r="C255" t="str">
            <v>Bieleta</v>
          </cell>
          <cell r="D255" t="str">
            <v>SIMPLES</v>
          </cell>
          <cell r="E255" t="str">
            <v>HOLYMAN</v>
          </cell>
          <cell r="F255" t="str">
            <v>BIELETA DIANT. LIVINA 06/... / MARCH T / TIIDA 07/13 / VERSA 11/13</v>
          </cell>
        </row>
        <row r="256">
          <cell r="A256">
            <v>6208</v>
          </cell>
          <cell r="B256" t="str">
            <v>AUTOMOTIVO</v>
          </cell>
          <cell r="C256" t="str">
            <v>Bieleta</v>
          </cell>
          <cell r="D256" t="str">
            <v>SIMPLES</v>
          </cell>
          <cell r="E256" t="str">
            <v>HOLYMAN</v>
          </cell>
          <cell r="F256" t="str">
            <v>Bieleta Dianteira Grand Livina 2009 A 2017</v>
          </cell>
        </row>
        <row r="257">
          <cell r="A257">
            <v>6209</v>
          </cell>
          <cell r="B257" t="str">
            <v>AUTOMOTIVO</v>
          </cell>
          <cell r="C257" t="str">
            <v>Bieleta</v>
          </cell>
          <cell r="D257" t="str">
            <v>SIMPLES</v>
          </cell>
          <cell r="E257" t="str">
            <v>HOLYMAN</v>
          </cell>
          <cell r="F257" t="str">
            <v>BIELETA TRAS. FRONTIER 17/....</v>
          </cell>
        </row>
        <row r="258">
          <cell r="A258">
            <v>6210</v>
          </cell>
          <cell r="B258" t="str">
            <v>AUTOMOTIVO</v>
          </cell>
          <cell r="C258" t="str">
            <v>Bieleta</v>
          </cell>
          <cell r="D258" t="str">
            <v>SIMPLES</v>
          </cell>
          <cell r="E258" t="str">
            <v>HOLYMAN</v>
          </cell>
          <cell r="F258" t="str">
            <v>Bieleta Dianteira Direita Nissan Altima 2013 A 2019</v>
          </cell>
        </row>
        <row r="259">
          <cell r="A259">
            <v>6211</v>
          </cell>
          <cell r="B259" t="str">
            <v>AUTOMOTIVO</v>
          </cell>
          <cell r="C259" t="str">
            <v>Bieleta</v>
          </cell>
          <cell r="D259" t="str">
            <v>SIMPLES</v>
          </cell>
          <cell r="E259" t="str">
            <v>HOLYMAN</v>
          </cell>
          <cell r="F259" t="str">
            <v>Bieleta Dianteira Esquerda Nissan Altima 2013 A 2019</v>
          </cell>
        </row>
        <row r="260">
          <cell r="A260">
            <v>6310</v>
          </cell>
          <cell r="B260" t="str">
            <v>AUTOMOTIVO</v>
          </cell>
          <cell r="C260" t="str">
            <v>Bieleta</v>
          </cell>
          <cell r="D260" t="str">
            <v>SIMPLES</v>
          </cell>
          <cell r="E260" t="str">
            <v>HOLYMAN</v>
          </cell>
          <cell r="F260" t="str">
            <v>Bieleta Dianteira Lado Direito Kia Soul 2009 A 2015</v>
          </cell>
        </row>
        <row r="261">
          <cell r="A261">
            <v>6311</v>
          </cell>
          <cell r="B261" t="str">
            <v>AUTOMOTIVO</v>
          </cell>
          <cell r="C261" t="str">
            <v>Bieleta</v>
          </cell>
          <cell r="D261" t="str">
            <v>SIMPLES</v>
          </cell>
          <cell r="E261" t="str">
            <v>HOLYMAN</v>
          </cell>
          <cell r="F261" t="str">
            <v>Bieleta Dianteira Lado Esquerdo Kia Soul 2009 A 2015</v>
          </cell>
        </row>
        <row r="262">
          <cell r="A262">
            <v>6312</v>
          </cell>
          <cell r="B262" t="str">
            <v>AUTOMOTIVO</v>
          </cell>
          <cell r="C262" t="str">
            <v>Bieleta</v>
          </cell>
          <cell r="D262" t="str">
            <v>SIMPLES</v>
          </cell>
          <cell r="E262" t="str">
            <v>HOLYMAN</v>
          </cell>
          <cell r="F262" t="str">
            <v>Bieleta Dianteira Ambos Lados Towner Jr Cabine Dupla</v>
          </cell>
        </row>
        <row r="263">
          <cell r="A263">
            <v>6316</v>
          </cell>
          <cell r="B263" t="str">
            <v>AUTOMOTIVO</v>
          </cell>
          <cell r="C263" t="str">
            <v>Bieleta</v>
          </cell>
          <cell r="D263" t="str">
            <v>SIMPLES</v>
          </cell>
          <cell r="E263" t="str">
            <v>HOLYMAN</v>
          </cell>
          <cell r="F263" t="str">
            <v>Bieleta Dianteira Ambos Lados Hb20s 2012 A 2020</v>
          </cell>
        </row>
        <row r="264">
          <cell r="A264">
            <v>6401</v>
          </cell>
          <cell r="B264" t="str">
            <v>AUTOMOTIVO</v>
          </cell>
          <cell r="C264" t="str">
            <v>Bieleta</v>
          </cell>
          <cell r="D264" t="str">
            <v>SIMPLES</v>
          </cell>
          <cell r="E264" t="str">
            <v>HOLYMAN</v>
          </cell>
          <cell r="F264" t="str">
            <v>Bieleta Barra Dianteira Zx 10mm</v>
          </cell>
        </row>
        <row r="265">
          <cell r="A265">
            <v>6408</v>
          </cell>
          <cell r="B265" t="str">
            <v>AUTOMOTIVO</v>
          </cell>
          <cell r="C265" t="str">
            <v>Bieleta</v>
          </cell>
          <cell r="D265" t="str">
            <v>SIMPLES</v>
          </cell>
          <cell r="E265" t="str">
            <v>HOLYMAN</v>
          </cell>
          <cell r="F265" t="str">
            <v>Bieleta Dianteira Citroen C3 Aircross</v>
          </cell>
        </row>
        <row r="266">
          <cell r="A266">
            <v>6502</v>
          </cell>
          <cell r="B266" t="str">
            <v>AUTOMOTIVO</v>
          </cell>
          <cell r="C266" t="str">
            <v>Bieleta</v>
          </cell>
          <cell r="D266" t="str">
            <v>SIMPLES</v>
          </cell>
          <cell r="E266" t="str">
            <v>HOLYMAN</v>
          </cell>
          <cell r="F266" t="str">
            <v>BIELETA DIANT. DIR. SPRINTER 97/12</v>
          </cell>
        </row>
        <row r="267">
          <cell r="A267">
            <v>6503</v>
          </cell>
          <cell r="B267" t="str">
            <v>AUTOMOTIVO</v>
          </cell>
          <cell r="C267" t="str">
            <v>Bieleta</v>
          </cell>
          <cell r="D267" t="str">
            <v>SIMPLES</v>
          </cell>
          <cell r="E267" t="str">
            <v>HOLYMAN</v>
          </cell>
          <cell r="F267" t="str">
            <v>BIELETA DIANT. ESQ. SPRINTER 97/12</v>
          </cell>
        </row>
        <row r="268">
          <cell r="A268">
            <v>6509</v>
          </cell>
          <cell r="B268" t="str">
            <v>AUTOMOTIVO</v>
          </cell>
          <cell r="C268" t="str">
            <v>Bieleta</v>
          </cell>
          <cell r="D268" t="str">
            <v>SIMPLES</v>
          </cell>
          <cell r="E268" t="str">
            <v>HOLYMAN</v>
          </cell>
          <cell r="F268" t="str">
            <v>Bieleta Traseira Direita Mercedes E300 2008 A 2014</v>
          </cell>
        </row>
        <row r="269">
          <cell r="A269">
            <v>6510</v>
          </cell>
          <cell r="B269" t="str">
            <v>AUTOMOTIVO</v>
          </cell>
          <cell r="C269" t="str">
            <v>Bieleta</v>
          </cell>
          <cell r="D269" t="str">
            <v>SIMPLES</v>
          </cell>
          <cell r="E269" t="str">
            <v>HOLYMAN</v>
          </cell>
          <cell r="F269" t="str">
            <v>Bieleta Traseira Esquerda Mercedes C230 2008 A 2014</v>
          </cell>
        </row>
        <row r="270">
          <cell r="A270">
            <v>6515</v>
          </cell>
          <cell r="B270" t="str">
            <v>AUTOMOTIVO</v>
          </cell>
          <cell r="C270" t="str">
            <v>Bieleta</v>
          </cell>
          <cell r="D270" t="str">
            <v>SIMPLES</v>
          </cell>
          <cell r="E270" t="str">
            <v>HOLYMAN</v>
          </cell>
          <cell r="F270" t="str">
            <v>BIELETA DIANTEIRA DIR SPRINTER 2012...</v>
          </cell>
        </row>
        <row r="271">
          <cell r="A271">
            <v>6516</v>
          </cell>
          <cell r="B271" t="str">
            <v>AUTOMOTIVO</v>
          </cell>
          <cell r="C271" t="str">
            <v>Bieleta</v>
          </cell>
          <cell r="D271" t="str">
            <v>SIMPLES</v>
          </cell>
          <cell r="E271" t="str">
            <v>HOLYMAN</v>
          </cell>
          <cell r="F271" t="str">
            <v>BIELETA DIANTEIRA ESQ SPRINTER 2012...</v>
          </cell>
        </row>
        <row r="272">
          <cell r="A272">
            <v>6615</v>
          </cell>
          <cell r="B272" t="str">
            <v>AUTOMOTIVO</v>
          </cell>
          <cell r="C272" t="str">
            <v>Bieleta</v>
          </cell>
          <cell r="D272" t="str">
            <v>SIMPLES</v>
          </cell>
          <cell r="E272" t="str">
            <v>HOLYMAN</v>
          </cell>
          <cell r="F272" t="str">
            <v>BIELETA DIANTEIRA DIR SPRINTER 2012...</v>
          </cell>
        </row>
        <row r="273">
          <cell r="A273">
            <v>6616</v>
          </cell>
          <cell r="B273" t="str">
            <v>AUTOMOTIVO</v>
          </cell>
          <cell r="C273" t="str">
            <v>Bieleta</v>
          </cell>
          <cell r="D273" t="str">
            <v>SIMPLES</v>
          </cell>
          <cell r="E273" t="str">
            <v>HOLYMAN</v>
          </cell>
          <cell r="F273" t="str">
            <v>Bieleta Dianteira Direita Bmw 320i 2005 A 2012 E90 92 93</v>
          </cell>
        </row>
        <row r="274">
          <cell r="A274">
            <v>6617</v>
          </cell>
          <cell r="B274" t="str">
            <v>AUTOMOTIVO</v>
          </cell>
          <cell r="C274" t="str">
            <v>Bieleta</v>
          </cell>
          <cell r="D274" t="str">
            <v>SIMPLES</v>
          </cell>
          <cell r="E274" t="str">
            <v>HOLYMAN</v>
          </cell>
          <cell r="F274" t="str">
            <v>Bieleta Dianteira Ambos Lados Bmw 116d 116i 2011 Em Diante</v>
          </cell>
        </row>
        <row r="275">
          <cell r="A275">
            <v>6700</v>
          </cell>
          <cell r="B275" t="str">
            <v>AUTOMOTIVO</v>
          </cell>
          <cell r="C275" t="str">
            <v>Bieleta</v>
          </cell>
          <cell r="D275" t="str">
            <v>SIMPLES</v>
          </cell>
          <cell r="E275" t="str">
            <v>HOLYMAN</v>
          </cell>
          <cell r="F275" t="str">
            <v>BIELETA DIANT. TROLLER</v>
          </cell>
        </row>
        <row r="276">
          <cell r="A276">
            <v>7300</v>
          </cell>
          <cell r="B276" t="str">
            <v>AUTOMOTIVO</v>
          </cell>
          <cell r="C276" t="str">
            <v>Bieleta</v>
          </cell>
          <cell r="D276" t="str">
            <v>SIMPLES</v>
          </cell>
          <cell r="E276" t="str">
            <v>HOLYMAN</v>
          </cell>
          <cell r="F276" t="str">
            <v>Bieleta Dianteira Ambos Os Lados Outlander 2008 Em Diante</v>
          </cell>
        </row>
        <row r="277">
          <cell r="A277">
            <v>7800</v>
          </cell>
          <cell r="B277" t="str">
            <v>AUTOMOTIVO</v>
          </cell>
          <cell r="C277" t="str">
            <v>Bieleta</v>
          </cell>
          <cell r="D277" t="str">
            <v>SIMPLES</v>
          </cell>
          <cell r="E277" t="str">
            <v>HOLYMAN</v>
          </cell>
          <cell r="F277" t="str">
            <v>Bieleta Traseira Compass 4x4 2015 Em Diante Ld Ou Le</v>
          </cell>
        </row>
        <row r="278">
          <cell r="A278">
            <v>7801</v>
          </cell>
          <cell r="B278" t="str">
            <v>AUTOMOTIVO</v>
          </cell>
          <cell r="C278" t="str">
            <v>Bieleta</v>
          </cell>
          <cell r="D278" t="str">
            <v>SIMPLES</v>
          </cell>
          <cell r="E278" t="str">
            <v>HOLYMAN</v>
          </cell>
          <cell r="F278" t="str">
            <v>Bieleta Dianteira Toro 4x4 4x2 2016 Em Diante</v>
          </cell>
        </row>
        <row r="279">
          <cell r="A279">
            <v>7802</v>
          </cell>
          <cell r="B279" t="str">
            <v>AUTOMOTIVO</v>
          </cell>
          <cell r="C279" t="str">
            <v>Bieleta</v>
          </cell>
          <cell r="D279" t="str">
            <v>SIMPLES</v>
          </cell>
          <cell r="E279" t="str">
            <v>HOLYMAN</v>
          </cell>
          <cell r="F279" t="str">
            <v>Bieleta Dianteira Compass 2007 A 2015</v>
          </cell>
        </row>
        <row r="280">
          <cell r="A280">
            <v>8000</v>
          </cell>
          <cell r="B280" t="str">
            <v>AUTOMOTIVO</v>
          </cell>
          <cell r="C280" t="str">
            <v>Bieleta</v>
          </cell>
          <cell r="D280" t="str">
            <v>SIMPLES</v>
          </cell>
          <cell r="E280" t="str">
            <v>HOLYMAN</v>
          </cell>
          <cell r="F280" t="str">
            <v>Bieleta Dianteira Land Rover Evoque 2011 Em Diante</v>
          </cell>
        </row>
        <row r="281">
          <cell r="A281">
            <v>8001</v>
          </cell>
          <cell r="B281" t="str">
            <v>AUTOMOTIVO</v>
          </cell>
          <cell r="C281" t="str">
            <v>Bieleta</v>
          </cell>
          <cell r="D281" t="str">
            <v>SIMPLES</v>
          </cell>
          <cell r="E281" t="str">
            <v>HOLYMAN</v>
          </cell>
          <cell r="F281" t="str">
            <v>Bieleta Traseira Land Rover Freelander 2 2008 A 2014</v>
          </cell>
        </row>
        <row r="282">
          <cell r="A282">
            <v>8002</v>
          </cell>
          <cell r="B282" t="str">
            <v>AUTOMOTIVO</v>
          </cell>
          <cell r="C282" t="str">
            <v>Bieleta</v>
          </cell>
          <cell r="D282" t="str">
            <v>SIMPLES</v>
          </cell>
          <cell r="E282" t="str">
            <v>HOLYMAN</v>
          </cell>
          <cell r="F282" t="str">
            <v>BIELETA DIANT FREELANDER 97/...</v>
          </cell>
        </row>
        <row r="283">
          <cell r="A283">
            <v>8003</v>
          </cell>
          <cell r="B283" t="str">
            <v>AUTOMOTIVO</v>
          </cell>
          <cell r="C283" t="str">
            <v>Bieleta</v>
          </cell>
          <cell r="D283" t="str">
            <v>SIMPLES</v>
          </cell>
          <cell r="E283" t="str">
            <v>HOLYMAN</v>
          </cell>
          <cell r="F283" t="str">
            <v>BIELETA TRAS FREELANDER 2 07/16</v>
          </cell>
        </row>
        <row r="284">
          <cell r="A284">
            <v>8004</v>
          </cell>
          <cell r="B284" t="str">
            <v>AUTOMOTIVO</v>
          </cell>
          <cell r="C284" t="str">
            <v>Bieleta</v>
          </cell>
          <cell r="D284" t="str">
            <v>SIMPLES</v>
          </cell>
          <cell r="E284" t="str">
            <v>HOLYMAN</v>
          </cell>
          <cell r="F284" t="str">
            <v>BIELETA DIANT DISCOVERY 3 04/09 DISCOVERY 4 09/11</v>
          </cell>
        </row>
        <row r="285">
          <cell r="A285">
            <v>8005</v>
          </cell>
          <cell r="B285" t="str">
            <v>AUTOMOTIVO</v>
          </cell>
          <cell r="C285" t="str">
            <v>Bieleta</v>
          </cell>
          <cell r="D285" t="str">
            <v>SIMPLES</v>
          </cell>
          <cell r="E285" t="str">
            <v>HOLYMAN</v>
          </cell>
          <cell r="F285" t="str">
            <v>BIELETA DIANT FREELANDER 2 06/14</v>
          </cell>
        </row>
        <row r="286">
          <cell r="A286">
            <v>8106</v>
          </cell>
          <cell r="B286" t="str">
            <v>AUTOMOTIVO</v>
          </cell>
          <cell r="C286" t="str">
            <v>Bieleta</v>
          </cell>
          <cell r="D286" t="str">
            <v>SIMPLES</v>
          </cell>
          <cell r="E286" t="str">
            <v>HOLYMAN</v>
          </cell>
          <cell r="F286" t="str">
            <v>Bieleta Traseira Ambos Lados Chery Cielo 2008 A 2013</v>
          </cell>
        </row>
        <row r="287">
          <cell r="A287">
            <v>8402</v>
          </cell>
          <cell r="B287" t="str">
            <v>AUTOMOTIVO</v>
          </cell>
          <cell r="C287" t="str">
            <v>Bieleta</v>
          </cell>
          <cell r="D287" t="str">
            <v>SIMPLES</v>
          </cell>
          <cell r="E287" t="str">
            <v>HOLYMAN</v>
          </cell>
          <cell r="F287" t="str">
            <v>BIELETA DIAN. ESQUERDA / DIREITA AUDI A4 07...16 /A5 07...15 /A6 11....18 / A8</v>
          </cell>
        </row>
        <row r="288">
          <cell r="A288">
            <v>8501</v>
          </cell>
          <cell r="B288" t="str">
            <v>AUTOMOTIVO</v>
          </cell>
          <cell r="C288" t="str">
            <v>Bieleta</v>
          </cell>
          <cell r="D288" t="str">
            <v>SIMPLES</v>
          </cell>
          <cell r="E288" t="str">
            <v>HOLYMAN</v>
          </cell>
          <cell r="F288" t="str">
            <v>BIELETA DIANT .MINI COOPER / COUPE / ONE 01/CLUBMAN/CABRIOLET</v>
          </cell>
        </row>
        <row r="289">
          <cell r="A289">
            <v>8502</v>
          </cell>
          <cell r="B289" t="str">
            <v>AUTOMOTIVO</v>
          </cell>
          <cell r="C289" t="str">
            <v>Bieleta</v>
          </cell>
          <cell r="D289" t="str">
            <v>SIMPLES</v>
          </cell>
          <cell r="E289" t="str">
            <v>HOLYMAN</v>
          </cell>
          <cell r="F289" t="str">
            <v>Bieleta Traseira Ambos Lados Mini Cooper Hacth 2001 Diante</v>
          </cell>
        </row>
        <row r="290">
          <cell r="A290">
            <v>8503</v>
          </cell>
          <cell r="B290" t="str">
            <v>AUTOMOTIVO</v>
          </cell>
          <cell r="C290" t="str">
            <v>Bieleta</v>
          </cell>
          <cell r="D290" t="str">
            <v>SIMPLES</v>
          </cell>
          <cell r="E290" t="str">
            <v>HOLYMAN</v>
          </cell>
          <cell r="F290" t="str">
            <v>Bieleta Dianteira Mini Cooper R50 R53 2001 A 2006</v>
          </cell>
        </row>
        <row r="291">
          <cell r="A291">
            <v>8650</v>
          </cell>
          <cell r="B291" t="str">
            <v>AUTOMOTIVO</v>
          </cell>
          <cell r="C291" t="str">
            <v>Terminal Cabo Câmbio</v>
          </cell>
          <cell r="D291" t="str">
            <v>SIMPLES</v>
          </cell>
          <cell r="E291" t="str">
            <v>Importação</v>
          </cell>
          <cell r="F291" t="str">
            <v>Terminal De Cabo De Engate Gol</v>
          </cell>
        </row>
        <row r="292">
          <cell r="A292">
            <v>10107</v>
          </cell>
          <cell r="B292" t="str">
            <v>AUTOMOTIVO</v>
          </cell>
          <cell r="C292" t="str">
            <v>Bomba Combustível</v>
          </cell>
          <cell r="D292" t="str">
            <v>SIMPLES</v>
          </cell>
          <cell r="E292" t="str">
            <v>POLO</v>
          </cell>
          <cell r="F292" t="str">
            <v>Kit Bomba Combustível Gasolina Sistema Bosch Verona 94 A 96</v>
          </cell>
        </row>
        <row r="293">
          <cell r="A293">
            <v>10128</v>
          </cell>
          <cell r="B293" t="str">
            <v>AUTOMOTIVO</v>
          </cell>
          <cell r="C293" t="str">
            <v>Bomba Combustível</v>
          </cell>
          <cell r="D293" t="str">
            <v>SIMPLES</v>
          </cell>
          <cell r="E293" t="str">
            <v>POLO</v>
          </cell>
          <cell r="F293" t="str">
            <v>Bomba Combustível Flex Universal Sistema Bosch</v>
          </cell>
        </row>
        <row r="294">
          <cell r="A294">
            <v>10132</v>
          </cell>
          <cell r="B294" t="str">
            <v>AUTOMOTIVO</v>
          </cell>
          <cell r="C294" t="str">
            <v>Bomba Combustível</v>
          </cell>
          <cell r="D294" t="str">
            <v>SIMPLES</v>
          </cell>
          <cell r="E294" t="str">
            <v>POLO</v>
          </cell>
          <cell r="F294" t="str">
            <v>Bomba Combustível Suprema 4.1 Até 1997</v>
          </cell>
        </row>
        <row r="295">
          <cell r="A295">
            <v>10135</v>
          </cell>
          <cell r="B295" t="str">
            <v>AUTOMOTIVO</v>
          </cell>
          <cell r="C295" t="str">
            <v>Bomba Combustível</v>
          </cell>
          <cell r="D295" t="str">
            <v>SIMPLES</v>
          </cell>
          <cell r="E295" t="str">
            <v>POLO</v>
          </cell>
          <cell r="F295" t="str">
            <v>Bomba Combustível Monza 2.0 Efi 1991 A 1996</v>
          </cell>
        </row>
        <row r="296">
          <cell r="A296">
            <v>10136</v>
          </cell>
          <cell r="B296" t="str">
            <v>AUTOMOTIVO</v>
          </cell>
          <cell r="C296" t="str">
            <v>Bomba Combustível</v>
          </cell>
          <cell r="D296" t="str">
            <v>SIMPLES</v>
          </cell>
          <cell r="E296" t="str">
            <v>POLO</v>
          </cell>
          <cell r="F296" t="str">
            <v>Bomba Combustível Flex Universal Sistema Bosch 12 Bar</v>
          </cell>
        </row>
        <row r="297">
          <cell r="A297">
            <v>10141</v>
          </cell>
          <cell r="B297" t="str">
            <v>MOTO PEÇAS</v>
          </cell>
          <cell r="C297" t="str">
            <v>Bomba Combustível Moto</v>
          </cell>
          <cell r="D297" t="str">
            <v>SIMPLES</v>
          </cell>
          <cell r="E297" t="str">
            <v>POLO</v>
          </cell>
          <cell r="F297" t="str">
            <v>REFIL BOMBA DE COMBUSTÍVEL COMET MIRAGE 250 YAHAMA FAZER 250 LANDER 250 TENERE 250</v>
          </cell>
        </row>
        <row r="298">
          <cell r="A298">
            <v>10145</v>
          </cell>
          <cell r="B298" t="str">
            <v>MOTO PEÇAS</v>
          </cell>
          <cell r="C298" t="str">
            <v>Bomba Combustível Moto</v>
          </cell>
          <cell r="D298" t="str">
            <v>SIMPLES</v>
          </cell>
          <cell r="E298" t="str">
            <v>POLO</v>
          </cell>
          <cell r="F298" t="str">
            <v>REFIL BOMBA DE COMBUSTÍVEL NXR150 BROS XRE 300 NXR 150 BROS MIX</v>
          </cell>
        </row>
        <row r="299">
          <cell r="A299">
            <v>10463</v>
          </cell>
          <cell r="B299" t="str">
            <v>MOTO PEÇAS</v>
          </cell>
          <cell r="C299" t="str">
            <v>Bomba Combustível Moto</v>
          </cell>
          <cell r="D299" t="str">
            <v>SIMPLES</v>
          </cell>
          <cell r="E299" t="str">
            <v>POLO</v>
          </cell>
          <cell r="F299" t="str">
            <v>BOMBA DE COMBUSTÍVEL COMPLETA HONDA TITAN 150 GASOLINA 2009 EM DIANTE</v>
          </cell>
        </row>
        <row r="300">
          <cell r="A300">
            <v>11042</v>
          </cell>
          <cell r="B300" t="str">
            <v>AUTOMOTIVO</v>
          </cell>
          <cell r="C300" t="str">
            <v>Pastilha Freio</v>
          </cell>
          <cell r="D300" t="str">
            <v>SIMPLES</v>
          </cell>
          <cell r="E300" t="str">
            <v>Fabreck</v>
          </cell>
          <cell r="F300" t="str">
            <v>Pastilhas De Freio Dianteiro Fox Aro 14 15 2002 Em Diante</v>
          </cell>
        </row>
        <row r="301">
          <cell r="A301">
            <v>11095</v>
          </cell>
          <cell r="B301" t="str">
            <v>AUTOMOTIVO</v>
          </cell>
          <cell r="C301" t="str">
            <v>Pastilha Freio</v>
          </cell>
          <cell r="D301" t="str">
            <v>SIMPLES</v>
          </cell>
          <cell r="E301" t="str">
            <v>Fabreck</v>
          </cell>
          <cell r="F301" t="str">
            <v>Pastilha De Freio Dianteira Palio 1.4 2006 A Set 2009</v>
          </cell>
        </row>
        <row r="302">
          <cell r="A302">
            <v>11097</v>
          </cell>
          <cell r="B302" t="str">
            <v>AUTOMOTIVO</v>
          </cell>
          <cell r="C302" t="str">
            <v>Pastilha Freio</v>
          </cell>
          <cell r="D302" t="str">
            <v>SIMPLES</v>
          </cell>
          <cell r="E302" t="str">
            <v>Fabreck</v>
          </cell>
          <cell r="F302" t="str">
            <v>Pastilha De Freio Dianteira Daewoo Lanos 1997 Em Diante</v>
          </cell>
        </row>
        <row r="303">
          <cell r="A303">
            <v>11104</v>
          </cell>
          <cell r="B303" t="str">
            <v>AUTOMOTIVO</v>
          </cell>
          <cell r="C303" t="str">
            <v>Pastilha Freio</v>
          </cell>
          <cell r="D303" t="str">
            <v>SIMPLES</v>
          </cell>
          <cell r="E303" t="str">
            <v>Fabreck</v>
          </cell>
          <cell r="F303" t="str">
            <v>Pastilhas De Freio Dianteiro Astra Advantage 2005 A 2009</v>
          </cell>
        </row>
        <row r="304">
          <cell r="A304">
            <v>11193</v>
          </cell>
          <cell r="B304" t="str">
            <v>AUTOMOTIVO</v>
          </cell>
          <cell r="C304" t="str">
            <v>Pastilha Freio</v>
          </cell>
          <cell r="D304" t="str">
            <v>SIMPLES</v>
          </cell>
          <cell r="E304" t="str">
            <v>Fabreck</v>
          </cell>
          <cell r="F304" t="str">
            <v>Pastilhas De Freio Dianteiro Palio 1996 A 1998</v>
          </cell>
        </row>
        <row r="305">
          <cell r="A305">
            <v>11195</v>
          </cell>
          <cell r="B305" t="str">
            <v>AUTOMOTIVO</v>
          </cell>
          <cell r="C305" t="str">
            <v>Pastilha Freio</v>
          </cell>
          <cell r="D305" t="str">
            <v>SIMPLES</v>
          </cell>
          <cell r="E305" t="str">
            <v>Fabreck</v>
          </cell>
          <cell r="F305" t="str">
            <v>Pastilhas De Freio Dianteiro Palio Young 1.0 2001</v>
          </cell>
        </row>
        <row r="306">
          <cell r="A306">
            <v>11230</v>
          </cell>
          <cell r="B306" t="str">
            <v>AUTOMOTIVO</v>
          </cell>
          <cell r="C306" t="str">
            <v>Pastilha Freio</v>
          </cell>
          <cell r="D306" t="str">
            <v>SIMPLES</v>
          </cell>
          <cell r="E306" t="str">
            <v>Fabreck</v>
          </cell>
          <cell r="F306" t="str">
            <v>Pastilha De Freio Dianteira Kia Sephia Set 1993 A 2001</v>
          </cell>
        </row>
        <row r="307">
          <cell r="A307">
            <v>11407</v>
          </cell>
          <cell r="B307" t="str">
            <v>AUTOMOTIVO</v>
          </cell>
          <cell r="C307" t="str">
            <v>Pastilha Freio</v>
          </cell>
          <cell r="D307" t="str">
            <v>SIMPLES</v>
          </cell>
          <cell r="E307" t="str">
            <v>Fabreck</v>
          </cell>
          <cell r="F307" t="str">
            <v>Pastilhas De Freio Dianteiro Gol 1.6 G3 Julho 2000 A 2005</v>
          </cell>
        </row>
        <row r="308">
          <cell r="A308">
            <v>11410</v>
          </cell>
          <cell r="B308" t="str">
            <v>AUTOMOTIVO</v>
          </cell>
          <cell r="C308" t="str">
            <v>Pastilha Freio</v>
          </cell>
          <cell r="D308" t="str">
            <v>SIMPLES</v>
          </cell>
          <cell r="E308" t="str">
            <v>Fabreck</v>
          </cell>
          <cell r="F308" t="str">
            <v>Pastilhas De Freio Dianteiro Gol 1.0 1.6 G5 2008 Diante</v>
          </cell>
        </row>
        <row r="309">
          <cell r="A309">
            <v>11418</v>
          </cell>
          <cell r="B309" t="str">
            <v>AUTOMOTIVO</v>
          </cell>
          <cell r="C309" t="str">
            <v>Pastilha Freio</v>
          </cell>
          <cell r="D309" t="str">
            <v>SIMPLES</v>
          </cell>
          <cell r="E309" t="str">
            <v>Fabreck</v>
          </cell>
          <cell r="F309" t="str">
            <v>Pastilhas De Freio Dianteiro Gol 1.0 G6 2013 Em Diante</v>
          </cell>
        </row>
        <row r="310">
          <cell r="A310">
            <v>11419</v>
          </cell>
          <cell r="B310" t="str">
            <v>AUTOMOTIVO</v>
          </cell>
          <cell r="C310" t="str">
            <v>Pastilha Freio</v>
          </cell>
          <cell r="D310" t="str">
            <v>SIMPLES</v>
          </cell>
          <cell r="E310" t="str">
            <v>BrasFreio</v>
          </cell>
          <cell r="F310" t="str">
            <v>Pastilha De Freio Dianteira Gol G5 G6 1.0 1.6 2012 Em Diante</v>
          </cell>
        </row>
        <row r="311">
          <cell r="A311">
            <v>12152</v>
          </cell>
          <cell r="B311" t="str">
            <v>AUTOMOTIVO</v>
          </cell>
          <cell r="C311" t="str">
            <v>Pino de Porta</v>
          </cell>
          <cell r="D311" t="str">
            <v>SIMPLES</v>
          </cell>
          <cell r="E311" t="str">
            <v>MultiKit</v>
          </cell>
          <cell r="F311" t="str">
            <v>Pino Buchas Da Dobradiça Porta Belina 1989</v>
          </cell>
        </row>
        <row r="312">
          <cell r="A312">
            <v>13120</v>
          </cell>
          <cell r="B312" t="str">
            <v>AUTOMOTIVO</v>
          </cell>
          <cell r="C312" t="str">
            <v>Pino de Freio</v>
          </cell>
          <cell r="D312" t="str">
            <v>SIMPLES</v>
          </cell>
          <cell r="E312" t="str">
            <v>MultiKit</v>
          </cell>
          <cell r="F312" t="str">
            <v>Kit Pino Deslizante Pinça De Freio Corsa 2003 Em Diante</v>
          </cell>
        </row>
        <row r="313">
          <cell r="A313">
            <v>13121</v>
          </cell>
          <cell r="B313" t="str">
            <v>AUTOMOTIVO</v>
          </cell>
          <cell r="C313" t="str">
            <v>Pino de Freio</v>
          </cell>
          <cell r="D313" t="str">
            <v>SIMPLES</v>
          </cell>
          <cell r="E313" t="str">
            <v>MultiKit</v>
          </cell>
          <cell r="F313" t="str">
            <v>Reparo Pino Guia Pinça De Freio Del Rey 1986 Até1991</v>
          </cell>
        </row>
        <row r="314">
          <cell r="A314">
            <v>13125</v>
          </cell>
          <cell r="B314" t="str">
            <v>AUTOMOTIVO</v>
          </cell>
          <cell r="C314" t="str">
            <v>Pino de Freio</v>
          </cell>
          <cell r="D314" t="str">
            <v>SIMPLES</v>
          </cell>
          <cell r="E314" t="str">
            <v>MultiKit</v>
          </cell>
          <cell r="F314" t="str">
            <v>Kit Guia Pinça De Freio Sonic Lt Flex 1.6man 2013</v>
          </cell>
        </row>
        <row r="315">
          <cell r="A315">
            <v>13377</v>
          </cell>
          <cell r="B315" t="str">
            <v>AUTOMOTIVO</v>
          </cell>
          <cell r="C315" t="str">
            <v>AMORTECEDOR SUSPENSÃO</v>
          </cell>
          <cell r="D315" t="str">
            <v>SIMPLES</v>
          </cell>
          <cell r="E315" t="str">
            <v>SPARE</v>
          </cell>
          <cell r="F315" t="str">
            <v>Par Amortecedor Dianteiro Turbogás L200 Triton 2013 A 2016</v>
          </cell>
        </row>
        <row r="316">
          <cell r="A316">
            <v>14097</v>
          </cell>
          <cell r="B316" t="str">
            <v>AUTOMOTIVO</v>
          </cell>
          <cell r="C316" t="str">
            <v>Pino de Freio</v>
          </cell>
          <cell r="D316" t="str">
            <v>SIMPLES</v>
          </cell>
          <cell r="E316" t="str">
            <v>MultiKit</v>
          </cell>
          <cell r="F316" t="str">
            <v>Pino Reparo Da Dobradiça Porta Uno Mille Ld Le 2007</v>
          </cell>
        </row>
        <row r="317">
          <cell r="A317">
            <v>14098</v>
          </cell>
          <cell r="B317" t="str">
            <v>AUTOMOTIVO</v>
          </cell>
          <cell r="C317" t="str">
            <v>Pino de Porta</v>
          </cell>
          <cell r="D317" t="str">
            <v>SIMPLES</v>
          </cell>
          <cell r="E317" t="str">
            <v>MultiKit</v>
          </cell>
          <cell r="F317" t="str">
            <v>Pino Da Dobradiça Da Porta Siena G3 2005 A 2008</v>
          </cell>
        </row>
        <row r="318">
          <cell r="A318">
            <v>14099</v>
          </cell>
          <cell r="B318" t="str">
            <v>AUTOMOTIVO</v>
          </cell>
          <cell r="C318" t="str">
            <v>Pino de Porta</v>
          </cell>
          <cell r="D318" t="str">
            <v>SIMPLES</v>
          </cell>
          <cell r="E318" t="str">
            <v>MultiKit</v>
          </cell>
          <cell r="F318" t="str">
            <v>Pino Dobradiça Porta Uno Mille Ld Le 2011</v>
          </cell>
        </row>
        <row r="319">
          <cell r="A319">
            <v>14104</v>
          </cell>
          <cell r="B319" t="str">
            <v>AUTOMOTIVO</v>
          </cell>
          <cell r="C319" t="str">
            <v>Pino de Freio</v>
          </cell>
          <cell r="D319" t="str">
            <v>SIMPLES</v>
          </cell>
          <cell r="E319" t="str">
            <v>MultiKit</v>
          </cell>
          <cell r="F319" t="str">
            <v xml:space="preserve">Kit Pino Guia Bucha Pinça Freio Vw Crossfox Fox Gol Saveiro </v>
          </cell>
        </row>
        <row r="320">
          <cell r="A320">
            <v>14907</v>
          </cell>
          <cell r="B320" t="str">
            <v>AUTOMOTIVO</v>
          </cell>
          <cell r="D320" t="str">
            <v>SIMPLES</v>
          </cell>
        </row>
        <row r="321">
          <cell r="A321">
            <v>20475</v>
          </cell>
          <cell r="B321" t="str">
            <v>AUTOMOTIVO</v>
          </cell>
          <cell r="C321" t="str">
            <v>Motor de Partida</v>
          </cell>
          <cell r="D321" t="str">
            <v>SIMPLES</v>
          </cell>
          <cell r="E321" t="str">
            <v>POLO</v>
          </cell>
          <cell r="F321" t="str">
            <v>Motor De Partida March 1.6 10 Dentes 2013 A 2016</v>
          </cell>
        </row>
        <row r="322">
          <cell r="A322">
            <v>22051</v>
          </cell>
          <cell r="B322" t="str">
            <v>AUTOMOTIVO</v>
          </cell>
          <cell r="C322" t="str">
            <v>Cabo de Capô</v>
          </cell>
          <cell r="D322" t="str">
            <v>SIMPLES</v>
          </cell>
          <cell r="E322" t="str">
            <v>Importação</v>
          </cell>
          <cell r="F322" t="str">
            <v>Cabo De Capô Peugeot 206 1998 Em Diante</v>
          </cell>
        </row>
        <row r="323">
          <cell r="A323">
            <v>22099</v>
          </cell>
          <cell r="B323" t="str">
            <v>AUTOMOTIVO</v>
          </cell>
          <cell r="C323" t="str">
            <v>Pastilha Freio</v>
          </cell>
          <cell r="D323" t="str">
            <v>SIMPLES</v>
          </cell>
          <cell r="E323" t="str">
            <v>Fabreck</v>
          </cell>
          <cell r="F323" t="str">
            <v>Pastilha De Freio Dianteira Classic 2010 Em Diante</v>
          </cell>
        </row>
        <row r="324">
          <cell r="A324">
            <v>22114</v>
          </cell>
          <cell r="B324" t="str">
            <v>AUTOMOTIVO</v>
          </cell>
          <cell r="C324" t="str">
            <v>Pastilha Freio</v>
          </cell>
          <cell r="D324" t="str">
            <v>SIMPLES</v>
          </cell>
          <cell r="E324" t="str">
            <v>BrasFreio</v>
          </cell>
          <cell r="F324" t="str">
            <v>Pastilhas Freio Dianteiro Novo Prisma 2013 Em Diante S Abs</v>
          </cell>
        </row>
        <row r="325">
          <cell r="A325">
            <v>22115</v>
          </cell>
          <cell r="B325" t="str">
            <v>AUTOMOTIVO</v>
          </cell>
          <cell r="C325" t="str">
            <v>Pastilha Freio</v>
          </cell>
          <cell r="D325" t="str">
            <v>SIMPLES</v>
          </cell>
          <cell r="E325" t="str">
            <v>BrasFreio</v>
          </cell>
          <cell r="F325" t="str">
            <v>Pastilha De Freio Dianteira Cobalt 1.4 1.8 2012 A 2016 C Abs</v>
          </cell>
        </row>
        <row r="326">
          <cell r="A326">
            <v>22132</v>
          </cell>
          <cell r="B326" t="str">
            <v>AUTOMOTIVO</v>
          </cell>
          <cell r="C326" t="str">
            <v>Cabo Acelerador</v>
          </cell>
          <cell r="F326" t="str">
            <v xml:space="preserve">Cabo Acelerador ESCORT  </v>
          </cell>
        </row>
        <row r="327">
          <cell r="A327">
            <v>22187</v>
          </cell>
          <cell r="B327" t="str">
            <v>AUTOMOTIVO</v>
          </cell>
          <cell r="C327" t="str">
            <v>Pastilha Freio</v>
          </cell>
          <cell r="D327" t="str">
            <v>SIMPLES</v>
          </cell>
          <cell r="E327" t="str">
            <v>BrasFreio</v>
          </cell>
          <cell r="F327" t="str">
            <v>Pastilhas De Freio Dianteiro Punto 1.6 Essence 2013 Diante</v>
          </cell>
        </row>
        <row r="328">
          <cell r="A328">
            <v>22383</v>
          </cell>
          <cell r="B328" t="str">
            <v>AUTOMOTIVO</v>
          </cell>
          <cell r="C328" t="str">
            <v>Pastilha Freio</v>
          </cell>
          <cell r="D328" t="str">
            <v>SIMPLES</v>
          </cell>
          <cell r="E328" t="str">
            <v>BRASFREIO</v>
          </cell>
          <cell r="F328" t="str">
            <v>Pastilhas De Freio Traseiro Corolla 2.0 Automatico 11 A 19</v>
          </cell>
        </row>
        <row r="329">
          <cell r="A329">
            <v>23079</v>
          </cell>
          <cell r="B329" t="str">
            <v>AUTOMOTIVO</v>
          </cell>
          <cell r="C329" t="str">
            <v>Pino de Porta</v>
          </cell>
          <cell r="D329" t="str">
            <v>SIMPLES</v>
          </cell>
          <cell r="E329" t="str">
            <v>MultiKit</v>
          </cell>
          <cell r="F329" t="str">
            <v>Pino Da Dobradiça Da Porta Blazer 1996 A 2011</v>
          </cell>
        </row>
        <row r="330">
          <cell r="A330">
            <v>23100</v>
          </cell>
          <cell r="B330" t="str">
            <v>AUTOMOTIVO</v>
          </cell>
          <cell r="C330" t="str">
            <v>Pino de Freio</v>
          </cell>
          <cell r="D330" t="str">
            <v>SIMPLES</v>
          </cell>
          <cell r="E330" t="str">
            <v>MultiKit</v>
          </cell>
          <cell r="F330" t="str">
            <v>Pino Da Pinça De Freio Chevrolet S10 4x4</v>
          </cell>
        </row>
        <row r="331">
          <cell r="A331">
            <v>23125</v>
          </cell>
          <cell r="B331" t="str">
            <v>AUTOMOTIVO</v>
          </cell>
          <cell r="C331" t="str">
            <v>Pino de Freio</v>
          </cell>
          <cell r="D331" t="str">
            <v>SIMPLES</v>
          </cell>
          <cell r="E331" t="str">
            <v>MultiKit</v>
          </cell>
          <cell r="F331" t="str">
            <v>Pino Guia Pinça Freio S10 4x2 1995 A 2010</v>
          </cell>
        </row>
        <row r="332">
          <cell r="A332">
            <v>23129</v>
          </cell>
          <cell r="B332" t="str">
            <v>AUTOMOTIVO</v>
          </cell>
          <cell r="C332" t="str">
            <v>Pino de Freio</v>
          </cell>
          <cell r="D332" t="str">
            <v>SIMPLES</v>
          </cell>
          <cell r="E332" t="str">
            <v>MultiKit</v>
          </cell>
          <cell r="F332" t="str">
            <v>Kit Pino Da Pinça De Freio Chevrolet S10 2012 Em Diante</v>
          </cell>
        </row>
        <row r="333">
          <cell r="A333">
            <v>26048</v>
          </cell>
          <cell r="B333" t="str">
            <v>AUTOMOTIVO</v>
          </cell>
          <cell r="C333" t="str">
            <v>Pino de Freio</v>
          </cell>
          <cell r="D333" t="str">
            <v>SIMPLES</v>
          </cell>
          <cell r="E333" t="str">
            <v>MultiKit</v>
          </cell>
          <cell r="F333" t="str">
            <v>Kit Pino Guia Pinça De Freio Diant 1lado L200 Sport 2004</v>
          </cell>
        </row>
        <row r="334">
          <cell r="A334">
            <v>26056</v>
          </cell>
          <cell r="B334" t="str">
            <v>AUTOMOTIVO</v>
          </cell>
          <cell r="C334" t="str">
            <v>Pino de Freio</v>
          </cell>
          <cell r="D334" t="str">
            <v>SIMPLES</v>
          </cell>
          <cell r="E334" t="str">
            <v>MultiKit</v>
          </cell>
          <cell r="F334" t="str">
            <v>Kit Pino Guia Pinça Freio Pajero Tr4 2003 Em Diante</v>
          </cell>
        </row>
        <row r="335">
          <cell r="A335">
            <v>27020</v>
          </cell>
          <cell r="B335" t="str">
            <v>AUTOMOTIVO</v>
          </cell>
          <cell r="C335" t="str">
            <v>Pino de Freio</v>
          </cell>
          <cell r="D335" t="str">
            <v>SIMPLES</v>
          </cell>
          <cell r="E335" t="str">
            <v>MultiKit</v>
          </cell>
          <cell r="F335" t="str">
            <v>Reparo Pino Guia Pinça De Freio Dianteiro Corolla 2003a2008</v>
          </cell>
        </row>
        <row r="336">
          <cell r="A336">
            <v>28006</v>
          </cell>
          <cell r="B336" t="str">
            <v>AUTOMOTIVO</v>
          </cell>
          <cell r="C336" t="str">
            <v>Pino de Freio</v>
          </cell>
          <cell r="D336" t="str">
            <v>SIMPLES</v>
          </cell>
          <cell r="E336" t="str">
            <v>MultiKit</v>
          </cell>
          <cell r="F336" t="str">
            <v>Reparo Pino Guia Pinça De Freio Dianteiro Nissan Versa</v>
          </cell>
        </row>
        <row r="337">
          <cell r="A337">
            <v>29014</v>
          </cell>
          <cell r="B337" t="str">
            <v>AUTOMOTIVO</v>
          </cell>
          <cell r="C337" t="str">
            <v>Pino de Freio</v>
          </cell>
          <cell r="D337" t="str">
            <v>SIMPLES</v>
          </cell>
          <cell r="E337" t="str">
            <v>MultiKit</v>
          </cell>
          <cell r="F337" t="str">
            <v>Kit Pino Guia Pinça Freio Logan 2008 A 2013</v>
          </cell>
        </row>
        <row r="338">
          <cell r="A338">
            <v>29037</v>
          </cell>
          <cell r="B338" t="str">
            <v>AUTOMOTIVO</v>
          </cell>
          <cell r="C338" t="str">
            <v>Pino de Freio</v>
          </cell>
          <cell r="D338" t="str">
            <v>SIMPLES</v>
          </cell>
          <cell r="E338" t="str">
            <v>MultiKit</v>
          </cell>
          <cell r="F338" t="str">
            <v>Kit Pino Da Pinça De Freio Hyundai Hr 2005 A 2018</v>
          </cell>
        </row>
        <row r="339">
          <cell r="A339">
            <v>33820</v>
          </cell>
          <cell r="B339" t="str">
            <v>AUTOMOTIVO</v>
          </cell>
          <cell r="C339" t="str">
            <v>Cabo limitador tampa traseira</v>
          </cell>
          <cell r="D339" t="str">
            <v>SIMPLES</v>
          </cell>
          <cell r="E339" t="str">
            <v>MundiFlex</v>
          </cell>
          <cell r="F339" t="str">
            <v>Cabo Limitador Tampa Traseira Nova Strada Iv 2013  Em Diante</v>
          </cell>
        </row>
        <row r="340">
          <cell r="A340">
            <v>44507</v>
          </cell>
          <cell r="B340" t="str">
            <v>AUTOMOTIVO</v>
          </cell>
          <cell r="C340" t="str">
            <v>Cabo de Capô</v>
          </cell>
          <cell r="D340" t="str">
            <v>SIMPLES</v>
          </cell>
          <cell r="E340" t="str">
            <v>MundiFlex</v>
          </cell>
          <cell r="F340" t="str">
            <v>Cabo De Capô Com Alavanca Kadett 1989 A 1998</v>
          </cell>
        </row>
        <row r="341">
          <cell r="A341">
            <v>50050</v>
          </cell>
          <cell r="B341" t="str">
            <v>AUTOMOTIVO</v>
          </cell>
          <cell r="C341" t="str">
            <v>Garfo Embreagem</v>
          </cell>
          <cell r="D341" t="str">
            <v>SIMPLES</v>
          </cell>
          <cell r="E341" t="str">
            <v>LT CORREA</v>
          </cell>
          <cell r="F341" t="str">
            <v>Garfo Da Embreagem Peugeot Partner 2012 A 2018</v>
          </cell>
        </row>
        <row r="342">
          <cell r="A342">
            <v>55006</v>
          </cell>
          <cell r="B342" t="str">
            <v>AUTOMOTIVO</v>
          </cell>
          <cell r="C342" t="str">
            <v>Cabo Embreagem</v>
          </cell>
          <cell r="D342" t="str">
            <v>SIMPLES</v>
          </cell>
          <cell r="E342" t="str">
            <v>MundiFlex</v>
          </cell>
          <cell r="F342" t="str">
            <v>Cabo De Embreagem Fusca 1300 1500 1600 De 1968 Em Diante</v>
          </cell>
        </row>
        <row r="343">
          <cell r="A343">
            <v>55013</v>
          </cell>
          <cell r="B343" t="str">
            <v>AUTOMOTIVO</v>
          </cell>
          <cell r="C343" t="str">
            <v>Cabo Embreagem</v>
          </cell>
          <cell r="D343" t="str">
            <v>SIMPLES</v>
          </cell>
          <cell r="E343" t="str">
            <v>MundiFlex</v>
          </cell>
          <cell r="F343" t="str">
            <v>Cabo De Embreagem Saveiro 1982 A 1987 Motor 1.5 1.6</v>
          </cell>
        </row>
        <row r="344">
          <cell r="A344">
            <v>55023</v>
          </cell>
          <cell r="B344" t="str">
            <v>AUTOMOTIVO</v>
          </cell>
          <cell r="C344" t="str">
            <v>Cabo Embreagem</v>
          </cell>
          <cell r="D344" t="str">
            <v>SIMPLES</v>
          </cell>
          <cell r="E344" t="str">
            <v>MundiFlex</v>
          </cell>
          <cell r="F344" t="str">
            <v>Cabo Embreagem Gol G2 1994 A 1998</v>
          </cell>
        </row>
        <row r="345">
          <cell r="A345">
            <v>55026</v>
          </cell>
          <cell r="B345" t="str">
            <v>AUTOMOTIVO</v>
          </cell>
          <cell r="C345" t="str">
            <v>Cabo Embreagem</v>
          </cell>
          <cell r="D345" t="str">
            <v>SIMPLES</v>
          </cell>
          <cell r="E345" t="str">
            <v>MundiFlex</v>
          </cell>
          <cell r="F345" t="str">
            <v>Cabo De Embreagem Kombi Std 1996 A 2005</v>
          </cell>
        </row>
        <row r="346">
          <cell r="A346">
            <v>55028</v>
          </cell>
          <cell r="B346" t="str">
            <v>AUTOMOTIVO</v>
          </cell>
          <cell r="C346" t="str">
            <v>Cabo Embreagem</v>
          </cell>
          <cell r="D346" t="str">
            <v>SIMPLES</v>
          </cell>
          <cell r="E346" t="str">
            <v>MundiFlex</v>
          </cell>
          <cell r="F346" t="str">
            <v>Cabo De Embreagem Kombi T2 1996 Em Diante</v>
          </cell>
        </row>
        <row r="347">
          <cell r="A347">
            <v>55030</v>
          </cell>
          <cell r="B347" t="str">
            <v>AUTOMOTIVO</v>
          </cell>
          <cell r="C347" t="str">
            <v>Cabo Embreagem</v>
          </cell>
          <cell r="D347" t="str">
            <v>SIMPLES</v>
          </cell>
          <cell r="E347" t="str">
            <v>MundiFlex</v>
          </cell>
          <cell r="F347" t="str">
            <v>Cabo De Embreagem Parati G1 G2 Ap Efi 1.6 1.8 E 2.0</v>
          </cell>
        </row>
        <row r="348">
          <cell r="A348">
            <v>55064</v>
          </cell>
          <cell r="B348" t="str">
            <v>AUTOMOTIVO</v>
          </cell>
          <cell r="C348" t="str">
            <v>Cabo de Acelerador</v>
          </cell>
          <cell r="D348" t="str">
            <v>SIMPLES</v>
          </cell>
          <cell r="E348" t="str">
            <v>MundiFlex</v>
          </cell>
          <cell r="F348" t="str">
            <v>Cabo De Acelerador Fusca 1300 1500 Carburação Simples</v>
          </cell>
        </row>
        <row r="349">
          <cell r="A349">
            <v>55110</v>
          </cell>
          <cell r="B349" t="str">
            <v>AUTOMOTIVO</v>
          </cell>
          <cell r="C349" t="str">
            <v>Cabo de Capô</v>
          </cell>
          <cell r="D349" t="str">
            <v>SIMPLES</v>
          </cell>
          <cell r="E349" t="str">
            <v>MundiFlex</v>
          </cell>
          <cell r="F349" t="str">
            <v>Cabo De Capô Gol Com Alavanca 1984 Em Diante</v>
          </cell>
        </row>
        <row r="350">
          <cell r="A350">
            <v>55120</v>
          </cell>
          <cell r="B350" t="str">
            <v>AUTOMOTIVO</v>
          </cell>
          <cell r="C350" t="str">
            <v>Cabo de Freio</v>
          </cell>
          <cell r="D350" t="str">
            <v>SIMPLES</v>
          </cell>
          <cell r="E350" t="str">
            <v>MundiFlex</v>
          </cell>
          <cell r="F350" t="str">
            <v>Cabo De Freio Fusca 1.200 1.300 E Karmanghia</v>
          </cell>
        </row>
        <row r="351">
          <cell r="A351">
            <v>55123</v>
          </cell>
          <cell r="B351" t="str">
            <v>AUTOMOTIVO</v>
          </cell>
          <cell r="C351" t="str">
            <v>Cabo de Freio</v>
          </cell>
          <cell r="D351" t="str">
            <v>SIMPLES</v>
          </cell>
          <cell r="E351" t="str">
            <v>MundiFlex</v>
          </cell>
          <cell r="F351" t="str">
            <v>Cabo De Freio Fusca Brasília 1300 1500 De  1981 Em Diante</v>
          </cell>
        </row>
        <row r="352">
          <cell r="A352">
            <v>55131</v>
          </cell>
          <cell r="B352" t="str">
            <v>AUTOMOTIVO</v>
          </cell>
          <cell r="C352" t="str">
            <v>Cabo de Acelerador</v>
          </cell>
          <cell r="D352" t="str">
            <v>SIMPLES</v>
          </cell>
          <cell r="E352" t="str">
            <v>MundiFlex</v>
          </cell>
          <cell r="F352" t="str">
            <v>Cabo De Acelerador Civic 2001 A 2006</v>
          </cell>
        </row>
        <row r="353">
          <cell r="A353">
            <v>55142</v>
          </cell>
          <cell r="B353" t="str">
            <v>AUTOMOTIVO</v>
          </cell>
          <cell r="C353" t="str">
            <v>Cabo de Freio</v>
          </cell>
          <cell r="D353" t="str">
            <v>SIMPLES</v>
          </cell>
          <cell r="E353" t="str">
            <v>MundiFlex</v>
          </cell>
          <cell r="F353" t="str">
            <v>Cabo De Freio Gol G2 Todos Traseiro 1994 A 2002</v>
          </cell>
        </row>
        <row r="354">
          <cell r="A354">
            <v>55143</v>
          </cell>
          <cell r="B354" t="str">
            <v>AUTOMOTIVO</v>
          </cell>
          <cell r="C354" t="str">
            <v>Cabo de Freio</v>
          </cell>
          <cell r="D354" t="str">
            <v>SIMPLES</v>
          </cell>
          <cell r="E354" t="str">
            <v>MundiFlex</v>
          </cell>
          <cell r="F354" t="str">
            <v>Cabo De Freio Gol G3 2002 Em Diante</v>
          </cell>
        </row>
        <row r="355">
          <cell r="A355">
            <v>55146</v>
          </cell>
          <cell r="B355" t="str">
            <v>AUTOMOTIVO</v>
          </cell>
          <cell r="C355" t="str">
            <v>Cabo de Freio</v>
          </cell>
          <cell r="D355" t="str">
            <v>SIMPLES</v>
          </cell>
          <cell r="E355" t="str">
            <v>Importação</v>
          </cell>
          <cell r="F355" t="str">
            <v>Cabo De Freio Saveiro G3 Flex 1997 A 2002</v>
          </cell>
        </row>
        <row r="356">
          <cell r="A356">
            <v>55174</v>
          </cell>
          <cell r="B356" t="str">
            <v>AUTOMOTIVO</v>
          </cell>
          <cell r="C356" t="str">
            <v>Cabo de Velocímetro</v>
          </cell>
          <cell r="D356" t="str">
            <v>SIMPLES</v>
          </cell>
          <cell r="E356" t="str">
            <v>MundiFlex</v>
          </cell>
          <cell r="F356" t="str">
            <v>Cabo De Velocímetro Kombi T2 2006 Em Diante Motor Água</v>
          </cell>
        </row>
        <row r="357">
          <cell r="A357">
            <v>55311</v>
          </cell>
          <cell r="B357" t="str">
            <v>AUTOMOTIVO</v>
          </cell>
          <cell r="C357" t="str">
            <v>Cabo limitador tampa traseira</v>
          </cell>
          <cell r="D357" t="str">
            <v>SIMPLES</v>
          </cell>
          <cell r="E357" t="str">
            <v>MundiFlex</v>
          </cell>
          <cell r="F357" t="str">
            <v>Cabo Limitador Da Tampa Traseira Saveiro G2</v>
          </cell>
        </row>
        <row r="358">
          <cell r="A358">
            <v>55312</v>
          </cell>
          <cell r="B358" t="str">
            <v>AUTOMOTIVO</v>
          </cell>
          <cell r="C358" t="str">
            <v>Cabo de Capô</v>
          </cell>
          <cell r="D358" t="str">
            <v>SIMPLES</v>
          </cell>
          <cell r="E358" t="str">
            <v>MundiFlex</v>
          </cell>
          <cell r="F358" t="str">
            <v>Cabo De Capô Fox Flex Com Alavanca 2003 A 2005</v>
          </cell>
        </row>
        <row r="359">
          <cell r="A359">
            <v>55323</v>
          </cell>
          <cell r="B359" t="str">
            <v>AUTOMOTIVO</v>
          </cell>
          <cell r="C359" t="str">
            <v>Cabo de Capô</v>
          </cell>
          <cell r="D359" t="str">
            <v>SIMPLES</v>
          </cell>
          <cell r="E359" t="str">
            <v>MundiFlex</v>
          </cell>
          <cell r="F359" t="str">
            <v>Cabo De Capô Sem Alavanca Amarok 2010 Em Diante</v>
          </cell>
        </row>
        <row r="360">
          <cell r="A360">
            <v>55351</v>
          </cell>
          <cell r="B360" t="str">
            <v>AUTOMOTIVO</v>
          </cell>
          <cell r="C360" t="str">
            <v>Cabo limitador tampa traseira</v>
          </cell>
          <cell r="D360" t="str">
            <v>SIMPLES</v>
          </cell>
          <cell r="E360" t="str">
            <v>MundiFlex</v>
          </cell>
          <cell r="F360" t="str">
            <v>Cabo Limitador Da Tampa Traseira Saveiro G5 2009 Em Diante</v>
          </cell>
        </row>
        <row r="361">
          <cell r="A361">
            <v>60039</v>
          </cell>
          <cell r="B361" t="str">
            <v>AUTOMOTIVO</v>
          </cell>
          <cell r="C361" t="str">
            <v>Coxim Câmbio</v>
          </cell>
          <cell r="D361" t="str">
            <v>SIMPLES</v>
          </cell>
          <cell r="E361" t="str">
            <v>DDA</v>
          </cell>
          <cell r="F361" t="str">
            <v>Suporte Coxim Câmbio Clio 2003 Em Diante</v>
          </cell>
        </row>
        <row r="362">
          <cell r="A362">
            <v>66003</v>
          </cell>
          <cell r="B362" t="str">
            <v>AUTOMOTIVO</v>
          </cell>
          <cell r="C362" t="str">
            <v>Cabo Embreagem</v>
          </cell>
          <cell r="D362" t="str">
            <v>SIMPLES</v>
          </cell>
          <cell r="E362" t="str">
            <v>Importação</v>
          </cell>
          <cell r="F362" t="str">
            <v>Cabo De Embreagem Fiorino</v>
          </cell>
        </row>
        <row r="363">
          <cell r="A363">
            <v>66031</v>
          </cell>
          <cell r="B363" t="str">
            <v>AUTOMOTIVO</v>
          </cell>
          <cell r="C363" t="str">
            <v>Cabo de Freio</v>
          </cell>
          <cell r="D363" t="str">
            <v>SIMPLES</v>
          </cell>
          <cell r="E363" t="str">
            <v>MundiFlex</v>
          </cell>
          <cell r="F363" t="str">
            <v>Cabo De Freio Elba Cs Csl Weekend 1.6 Spi Traseiro Até 1991</v>
          </cell>
        </row>
        <row r="364">
          <cell r="A364">
            <v>66044</v>
          </cell>
          <cell r="B364" t="str">
            <v>AUTOMOTIVO</v>
          </cell>
          <cell r="C364" t="str">
            <v>Cabo de Velocímetro</v>
          </cell>
          <cell r="D364" t="str">
            <v>SIMPLES</v>
          </cell>
          <cell r="E364" t="str">
            <v>MundiFlex</v>
          </cell>
          <cell r="F364" t="str">
            <v>Cabo De Velocímetro Uno S Cs Sx Furgoneta 1985 A 1990</v>
          </cell>
        </row>
        <row r="365">
          <cell r="A365">
            <v>66080</v>
          </cell>
          <cell r="B365" t="str">
            <v>AUTOMOTIVO</v>
          </cell>
          <cell r="C365" t="str">
            <v>Cabo de Capô</v>
          </cell>
          <cell r="D365" t="str">
            <v>SIMPLES</v>
          </cell>
          <cell r="E365" t="str">
            <v>MundiFlex</v>
          </cell>
          <cell r="F365" t="str">
            <v>Cabo De Capô Com Alavanca 1566mm Uno Sporting 2010 Em Diante</v>
          </cell>
        </row>
        <row r="366">
          <cell r="A366">
            <v>66081</v>
          </cell>
          <cell r="B366" t="str">
            <v>AUTOMOTIVO</v>
          </cell>
          <cell r="C366" t="str">
            <v>Cabo de Capô</v>
          </cell>
          <cell r="D366" t="str">
            <v>SIMPLES</v>
          </cell>
          <cell r="E366" t="str">
            <v>MundiFlex</v>
          </cell>
          <cell r="F366" t="str">
            <v>Cabo De Capô Com Alavanca 1608mm Strada 2012 Em Diante</v>
          </cell>
        </row>
        <row r="367">
          <cell r="A367">
            <v>66084</v>
          </cell>
          <cell r="B367" t="str">
            <v>AUTOMOTIVO</v>
          </cell>
          <cell r="C367" t="str">
            <v>Cabo de Capô</v>
          </cell>
          <cell r="D367" t="str">
            <v>SIMPLES</v>
          </cell>
          <cell r="E367" t="str">
            <v>Importação</v>
          </cell>
          <cell r="F367" t="str">
            <v>Cabo De Capô 1580mm Sem Alavanca Fiorino 2015 Em Diante</v>
          </cell>
        </row>
        <row r="368">
          <cell r="A368">
            <v>66260</v>
          </cell>
          <cell r="B368" t="str">
            <v>AUTOMOTIVO</v>
          </cell>
          <cell r="C368" t="str">
            <v>Pastilha Freio</v>
          </cell>
          <cell r="D368" t="str">
            <v>SIMPLES</v>
          </cell>
          <cell r="E368" t="str">
            <v>BrasFreio</v>
          </cell>
          <cell r="F368" t="str">
            <v>Pastilha De Freio Dianteira Novo Hb20 2016 A 2019</v>
          </cell>
        </row>
        <row r="369">
          <cell r="A369">
            <v>66300</v>
          </cell>
          <cell r="B369" t="str">
            <v>AUTOMOTIVO</v>
          </cell>
          <cell r="C369" t="str">
            <v>Cabo de Freio</v>
          </cell>
          <cell r="D369" t="str">
            <v>SIMPLES</v>
          </cell>
          <cell r="E369" t="str">
            <v>MundiFlex</v>
          </cell>
          <cell r="F369" t="str">
            <v>Cabo De Freio Traseiro Le Palio Attractive Elx 2008 Diante</v>
          </cell>
        </row>
        <row r="370">
          <cell r="A370">
            <v>66301</v>
          </cell>
          <cell r="B370" t="str">
            <v>AUTOMOTIVO</v>
          </cell>
          <cell r="C370" t="str">
            <v>Cabo de Freio</v>
          </cell>
          <cell r="D370" t="str">
            <v>SIMPLES</v>
          </cell>
          <cell r="E370" t="str">
            <v>MundiFlex</v>
          </cell>
          <cell r="F370" t="str">
            <v>Cabo De Freio Traseiro Ld Siena Attractive Elx 2008 Diante</v>
          </cell>
        </row>
        <row r="371">
          <cell r="A371">
            <v>66412</v>
          </cell>
          <cell r="B371" t="str">
            <v>AUTOMOTIVO</v>
          </cell>
          <cell r="C371" t="str">
            <v>Cabo Embreagem</v>
          </cell>
          <cell r="D371" t="str">
            <v>SIMPLES</v>
          </cell>
          <cell r="E371" t="str">
            <v>Importação</v>
          </cell>
          <cell r="F371" t="str">
            <v>Cabo De Embreagem Ducato(2.8mglu)2001 2002 2003 2004 2005...</v>
          </cell>
        </row>
        <row r="372">
          <cell r="A372">
            <v>66413</v>
          </cell>
          <cell r="B372" t="str">
            <v>AUTOMOTIVO</v>
          </cell>
          <cell r="C372" t="str">
            <v>Cabo Embreagem</v>
          </cell>
          <cell r="D372" t="str">
            <v>SIMPLES</v>
          </cell>
          <cell r="E372" t="str">
            <v>MundiFlex</v>
          </cell>
          <cell r="F372" t="str">
            <v>Cabo Embreagem Uno Mille Motor 1.0 8v Mpi Fire 2002 A 2004</v>
          </cell>
        </row>
        <row r="373">
          <cell r="A373">
            <v>66416</v>
          </cell>
          <cell r="B373" t="str">
            <v>AUTOMOTIVO</v>
          </cell>
          <cell r="C373" t="str">
            <v>Cabo Embreagem</v>
          </cell>
          <cell r="D373" t="str">
            <v>SIMPLES</v>
          </cell>
          <cell r="E373" t="str">
            <v>Importação</v>
          </cell>
          <cell r="F373" t="str">
            <v>Cabo De Embreagem Palio 1.0 (46781013) 2000 2001 2002 2003</v>
          </cell>
        </row>
        <row r="374">
          <cell r="A374">
            <v>66418</v>
          </cell>
          <cell r="B374" t="str">
            <v>AUTOMOTIVO</v>
          </cell>
          <cell r="C374" t="str">
            <v>Cabo Embreagem</v>
          </cell>
          <cell r="D374" t="str">
            <v>SIMPLES</v>
          </cell>
          <cell r="E374" t="str">
            <v>Importação</v>
          </cell>
          <cell r="F374" t="str">
            <v>Cabo De Embreagem Palio 1.0 (46522369) 1996 1997 98 99 2000</v>
          </cell>
        </row>
        <row r="375">
          <cell r="A375">
            <v>66419</v>
          </cell>
          <cell r="B375" t="str">
            <v>AUTOMOTIVO</v>
          </cell>
          <cell r="C375" t="str">
            <v>Cabo Embreagem</v>
          </cell>
          <cell r="D375" t="str">
            <v>SIMPLES</v>
          </cell>
          <cell r="E375" t="str">
            <v>MundiFlex</v>
          </cell>
          <cell r="F375" t="str">
            <v>Cabo De Embreagem Fiat Palio 2012 Até 2017</v>
          </cell>
        </row>
        <row r="376">
          <cell r="A376">
            <v>66425</v>
          </cell>
          <cell r="B376" t="str">
            <v>AUTOMOTIVO</v>
          </cell>
          <cell r="C376" t="str">
            <v>Cabo Embreagem</v>
          </cell>
          <cell r="D376" t="str">
            <v>SIMPLES</v>
          </cell>
          <cell r="E376" t="str">
            <v>MundiFlex</v>
          </cell>
          <cell r="F376" t="str">
            <v>Cabo De Embreagem Novo Uno Fase 2 2016 Até 2021</v>
          </cell>
        </row>
        <row r="377">
          <cell r="A377">
            <v>66507</v>
          </cell>
          <cell r="B377" t="str">
            <v>AUTOMOTIVO</v>
          </cell>
          <cell r="C377" t="str">
            <v>Cabo de Capô</v>
          </cell>
          <cell r="D377" t="str">
            <v>SIMPLES</v>
          </cell>
          <cell r="E377" t="str">
            <v>MundiFlex</v>
          </cell>
          <cell r="F377" t="str">
            <v>Cabo De Capô Com Alavanca 1575mm Siena 1998 A 2000</v>
          </cell>
        </row>
        <row r="378">
          <cell r="A378">
            <v>66508</v>
          </cell>
          <cell r="B378" t="str">
            <v>AUTOMOTIVO</v>
          </cell>
          <cell r="C378" t="str">
            <v>Cabo de Capô</v>
          </cell>
          <cell r="D378" t="str">
            <v>SIMPLES</v>
          </cell>
          <cell r="E378" t="str">
            <v>MundiFlex</v>
          </cell>
          <cell r="F378" t="str">
            <v>Cabo De Capô Com Alavanca 1610mm Siena 2001 A 2007</v>
          </cell>
        </row>
        <row r="379">
          <cell r="A379">
            <v>66516</v>
          </cell>
          <cell r="B379" t="str">
            <v>AUTOMOTIVO</v>
          </cell>
          <cell r="C379" t="str">
            <v>Cabo limitador tampa traseira</v>
          </cell>
          <cell r="D379" t="str">
            <v>SIMPLES</v>
          </cell>
          <cell r="E379" t="str">
            <v>MundiFlex</v>
          </cell>
          <cell r="F379" t="str">
            <v>Cabo Limitador Da Tampa Traseira Strada Fase 3 2008 A 2012</v>
          </cell>
        </row>
        <row r="380">
          <cell r="A380">
            <v>66604</v>
          </cell>
          <cell r="B380" t="str">
            <v>AUTOMOTIVO</v>
          </cell>
          <cell r="C380" t="str">
            <v>Cabo Câmbio</v>
          </cell>
          <cell r="E380" t="str">
            <v>IMPOrtação</v>
          </cell>
          <cell r="F380" t="str">
            <v>CABO DE ENGATE FIAT PALIO 2000</v>
          </cell>
        </row>
        <row r="381">
          <cell r="A381">
            <v>66606</v>
          </cell>
          <cell r="B381" t="str">
            <v>AUTOMOTIVO</v>
          </cell>
          <cell r="C381" t="str">
            <v>Cabo Câmbio</v>
          </cell>
          <cell r="D381" t="str">
            <v>SIMPLES</v>
          </cell>
          <cell r="E381" t="str">
            <v>Importação</v>
          </cell>
          <cell r="F381" t="str">
            <v>Cabo De Câmbio Engate Linea 2009 A 2014</v>
          </cell>
        </row>
        <row r="382">
          <cell r="A382">
            <v>66610</v>
          </cell>
          <cell r="B382" t="str">
            <v>AUTOMOTIVO</v>
          </cell>
          <cell r="C382" t="str">
            <v>Cabo Câmbio</v>
          </cell>
          <cell r="D382" t="str">
            <v>SIMPLES</v>
          </cell>
          <cell r="E382" t="str">
            <v>Importação</v>
          </cell>
          <cell r="F382" t="str">
            <v>Cabo De Câmbio Engate Strada 1.5 1.6 1999 A 2002</v>
          </cell>
        </row>
        <row r="383">
          <cell r="A383">
            <v>66611</v>
          </cell>
          <cell r="B383" t="str">
            <v>AUTOMOTIVO</v>
          </cell>
          <cell r="C383" t="str">
            <v>Cabo Câmbio</v>
          </cell>
          <cell r="D383" t="str">
            <v>SIMPLES</v>
          </cell>
          <cell r="E383" t="str">
            <v>Importação</v>
          </cell>
          <cell r="F383" t="str">
            <v>Cabo De Seleção Siena 1.5 1.6 1998 A 2001</v>
          </cell>
        </row>
        <row r="384">
          <cell r="A384">
            <v>66628</v>
          </cell>
          <cell r="B384" t="str">
            <v>AUTOMOTIVO</v>
          </cell>
          <cell r="C384" t="str">
            <v>Cabo Câmbio</v>
          </cell>
          <cell r="E384" t="str">
            <v>IMPOrtação</v>
          </cell>
          <cell r="F384" t="str">
            <v>CABO DE ENGATE FIAT PUNTO</v>
          </cell>
        </row>
        <row r="385">
          <cell r="A385">
            <v>66630</v>
          </cell>
          <cell r="B385" t="str">
            <v>AUTOMOTIVO</v>
          </cell>
          <cell r="C385" t="str">
            <v>Pastilha Freio</v>
          </cell>
          <cell r="D385" t="str">
            <v>SIMPLES</v>
          </cell>
          <cell r="E385" t="str">
            <v>Importação</v>
          </cell>
          <cell r="F385" t="str">
            <v>Cabo De Engate Punto Hlx 2008 A 2010 1.8</v>
          </cell>
        </row>
        <row r="386">
          <cell r="A386">
            <v>66636</v>
          </cell>
          <cell r="B386" t="str">
            <v>AUTOMOTIVO</v>
          </cell>
          <cell r="C386" t="str">
            <v>Cabo Câmbio</v>
          </cell>
          <cell r="D386" t="str">
            <v>SIMPLES</v>
          </cell>
          <cell r="E386" t="str">
            <v>Importação</v>
          </cell>
          <cell r="F386" t="str">
            <v>Cabo De Engate Siena El 1.0/1.4 Mpi 8v 2013 Flex  55208207</v>
          </cell>
        </row>
        <row r="387">
          <cell r="A387">
            <v>66640</v>
          </cell>
          <cell r="B387" t="str">
            <v>AUTOMOTIVO</v>
          </cell>
          <cell r="C387" t="str">
            <v>Cabo Câmbio</v>
          </cell>
          <cell r="D387" t="str">
            <v>SIMPLES</v>
          </cell>
          <cell r="E387" t="str">
            <v>Importação</v>
          </cell>
          <cell r="F387" t="str">
            <v>Cabo Do Trambulador Engate Palio Weekend G2 G3 2003 A 2008</v>
          </cell>
        </row>
        <row r="388">
          <cell r="A388">
            <v>66642</v>
          </cell>
          <cell r="B388" t="str">
            <v>AUTOMOTIVO</v>
          </cell>
          <cell r="C388" t="str">
            <v>Cabo Câmbio</v>
          </cell>
          <cell r="D388" t="str">
            <v>SIMPLES</v>
          </cell>
          <cell r="E388" t="str">
            <v>Importação</v>
          </cell>
          <cell r="F388" t="str">
            <v>Cabo De Câmbio Engate Strada 1.6 1.8 16v 2011 Em Diante</v>
          </cell>
        </row>
        <row r="389">
          <cell r="A389">
            <v>66643</v>
          </cell>
          <cell r="B389" t="str">
            <v>AUTOMOTIVO</v>
          </cell>
          <cell r="C389" t="str">
            <v>Cabo Câmbio</v>
          </cell>
          <cell r="D389" t="str">
            <v>SIMPLES</v>
          </cell>
          <cell r="E389" t="str">
            <v>Importação</v>
          </cell>
          <cell r="F389" t="str">
            <v>Cabo Trambulador Seleção Strada 1.4 Fire Mpi 8v 2012</v>
          </cell>
        </row>
        <row r="390">
          <cell r="A390">
            <v>66654</v>
          </cell>
          <cell r="B390" t="str">
            <v>AUTOMOTIVO</v>
          </cell>
          <cell r="C390" t="str">
            <v>Cabo Câmbio</v>
          </cell>
          <cell r="D390" t="str">
            <v>SIMPLES</v>
          </cell>
          <cell r="E390" t="str">
            <v>Importação</v>
          </cell>
          <cell r="F390" t="str">
            <v xml:space="preserve">CABO DE ENGATE GRAND SIENA ATTRACTIVE 1.4 2013 EM DIANTE  </v>
          </cell>
        </row>
        <row r="391">
          <cell r="A391">
            <v>66656</v>
          </cell>
          <cell r="B391" t="str">
            <v>AUTOMOTIVO</v>
          </cell>
          <cell r="C391" t="str">
            <v>Cabo Câmbio</v>
          </cell>
          <cell r="D391" t="str">
            <v>SIMPLES</v>
          </cell>
          <cell r="E391" t="str">
            <v>Importação</v>
          </cell>
          <cell r="F391" t="str">
            <v>CABO DE ENGATE FIAT PALIO 2020</v>
          </cell>
        </row>
        <row r="392">
          <cell r="A392">
            <v>70526</v>
          </cell>
          <cell r="B392" t="str">
            <v>AUTOMOTIVO</v>
          </cell>
          <cell r="C392" t="str">
            <v>Reparo alavanta Câmbio</v>
          </cell>
          <cell r="D392" t="str">
            <v>SIMPLES</v>
          </cell>
          <cell r="E392" t="str">
            <v>BRK</v>
          </cell>
          <cell r="F392" t="str">
            <v>Kit Alavanca Cambio Parati Cht Ap 1982 À 2005</v>
          </cell>
        </row>
        <row r="393">
          <cell r="A393">
            <v>70541</v>
          </cell>
          <cell r="B393" t="str">
            <v>AUTOMOTIVO</v>
          </cell>
          <cell r="C393" t="str">
            <v>Reparo alavanta Câmbio</v>
          </cell>
          <cell r="D393" t="str">
            <v>SIMPLES</v>
          </cell>
          <cell r="E393" t="str">
            <v>BRK</v>
          </cell>
          <cell r="F393" t="str">
            <v>Kit Reparo Alavanca Câmbio Del Rey Motor Ap  1990 À 1997</v>
          </cell>
        </row>
        <row r="394">
          <cell r="A394">
            <v>77003</v>
          </cell>
          <cell r="B394" t="str">
            <v>AUTOMOTIVO</v>
          </cell>
          <cell r="C394" t="str">
            <v>Cabo Embreagem</v>
          </cell>
          <cell r="D394" t="str">
            <v>SIMPLES</v>
          </cell>
          <cell r="E394" t="str">
            <v>MundiFlex</v>
          </cell>
          <cell r="F394" t="str">
            <v>Cabo Embreagem 805mm Monza Todos</v>
          </cell>
        </row>
        <row r="395">
          <cell r="A395">
            <v>77032</v>
          </cell>
          <cell r="B395" t="str">
            <v>AUTOMOTIVO</v>
          </cell>
          <cell r="C395" t="str">
            <v>Cabo Embreagem</v>
          </cell>
          <cell r="D395" t="str">
            <v>SIMPLES</v>
          </cell>
          <cell r="E395" t="str">
            <v>MundiFlex</v>
          </cell>
          <cell r="F395" t="str">
            <v>Cabo De Embreagem Montana Nova 2012 A 2016</v>
          </cell>
        </row>
        <row r="396">
          <cell r="A396">
            <v>77144</v>
          </cell>
          <cell r="B396" t="str">
            <v>AUTOMOTIVO</v>
          </cell>
          <cell r="C396" t="str">
            <v>Cabo de Velocímetro</v>
          </cell>
          <cell r="D396" t="str">
            <v>SIMPLES</v>
          </cell>
          <cell r="E396" t="str">
            <v>MundiFlex</v>
          </cell>
          <cell r="F396" t="str">
            <v>Cabo De Velocímetro Corsa Wind Gl Gls Gsi 1994 Em Diante</v>
          </cell>
        </row>
        <row r="397">
          <cell r="A397">
            <v>77146</v>
          </cell>
          <cell r="B397" t="str">
            <v>AUTOMOTIVO</v>
          </cell>
          <cell r="C397" t="str">
            <v>Cabo de Velocímetro</v>
          </cell>
          <cell r="D397" t="str">
            <v>SIMPLES</v>
          </cell>
          <cell r="E397" t="str">
            <v>MundiFlex</v>
          </cell>
          <cell r="F397" t="str">
            <v>Cabo De Velocímetro Vectra Todos Câmbio Mecânico 1993 A 1996</v>
          </cell>
        </row>
        <row r="398">
          <cell r="A398">
            <v>77152</v>
          </cell>
          <cell r="B398" t="str">
            <v>AUTOMOTIVO</v>
          </cell>
          <cell r="C398" t="str">
            <v>Cabo de Capô</v>
          </cell>
          <cell r="D398" t="str">
            <v>SIMPLES</v>
          </cell>
          <cell r="E398" t="str">
            <v>MundiFlex</v>
          </cell>
          <cell r="F398" t="str">
            <v>Cabo De Capô Com Alavanca Chevette 1983 A 1994</v>
          </cell>
        </row>
        <row r="399">
          <cell r="A399">
            <v>77156</v>
          </cell>
          <cell r="B399" t="str">
            <v>AUTOMOTIVO</v>
          </cell>
          <cell r="C399" t="str">
            <v>Cabo de Capô</v>
          </cell>
          <cell r="D399" t="str">
            <v>SIMPLES</v>
          </cell>
          <cell r="E399" t="str">
            <v>MundiFlex</v>
          </cell>
          <cell r="F399" t="str">
            <v>Cabo De Capô Com Alavanca Opala 1984 Em Diante</v>
          </cell>
        </row>
        <row r="400">
          <cell r="A400">
            <v>77157</v>
          </cell>
          <cell r="B400" t="str">
            <v>AUTOMOTIVO</v>
          </cell>
          <cell r="C400" t="str">
            <v>Cabo de Capô</v>
          </cell>
          <cell r="D400" t="str">
            <v>SIMPLES</v>
          </cell>
          <cell r="E400" t="str">
            <v>MundiFlex</v>
          </cell>
          <cell r="F400" t="str">
            <v>Cabo De Capô Com Botão Opala 1975 A 1983</v>
          </cell>
        </row>
        <row r="401">
          <cell r="A401">
            <v>77158</v>
          </cell>
          <cell r="B401" t="str">
            <v>AUTOMOTIVO</v>
          </cell>
          <cell r="C401" t="str">
            <v>Cabo de Capô</v>
          </cell>
          <cell r="D401" t="str">
            <v>SIMPLES</v>
          </cell>
          <cell r="E401" t="str">
            <v>MundiFlex</v>
          </cell>
          <cell r="F401" t="str">
            <v>Cabo De Capô Com Botão Opala 1969 A 1974</v>
          </cell>
        </row>
        <row r="402">
          <cell r="A402">
            <v>77169</v>
          </cell>
          <cell r="B402" t="str">
            <v>AUTOMOTIVO</v>
          </cell>
          <cell r="C402" t="str">
            <v>Cabo de Capô</v>
          </cell>
          <cell r="D402" t="str">
            <v>SIMPLES</v>
          </cell>
          <cell r="E402" t="str">
            <v>MundiFlex</v>
          </cell>
          <cell r="F402" t="str">
            <v>Cabo De Capô Com Alavanca 2037mm S10 1995 Em Diante</v>
          </cell>
        </row>
        <row r="403">
          <cell r="A403">
            <v>77171</v>
          </cell>
          <cell r="B403" t="str">
            <v>AUTOMOTIVO</v>
          </cell>
          <cell r="C403" t="str">
            <v>Cabo limitador tampa traseira</v>
          </cell>
          <cell r="D403" t="str">
            <v>SIMPLES</v>
          </cell>
          <cell r="E403" t="str">
            <v>MundiFlex</v>
          </cell>
          <cell r="F403" t="str">
            <v>Cabo Limitador Da Tampa Traseira S10 Lado Direito 95 A 2001</v>
          </cell>
        </row>
        <row r="404">
          <cell r="A404">
            <v>77173</v>
          </cell>
          <cell r="B404" t="str">
            <v>AUTOMOTIVO</v>
          </cell>
          <cell r="C404" t="str">
            <v>Cabo de Capô</v>
          </cell>
          <cell r="D404" t="str">
            <v>SIMPLES</v>
          </cell>
          <cell r="E404" t="str">
            <v>MundiFlex</v>
          </cell>
          <cell r="F404" t="str">
            <v>Cabo De Capô Com Alavanca Montana 2003 Em Diante</v>
          </cell>
        </row>
        <row r="405">
          <cell r="A405">
            <v>77261</v>
          </cell>
          <cell r="B405" t="str">
            <v>AUTOMOTIVO</v>
          </cell>
          <cell r="C405" t="str">
            <v>Cabo de Freio</v>
          </cell>
          <cell r="D405" t="str">
            <v>SIMPLES</v>
          </cell>
          <cell r="E405" t="str">
            <v>MundiFlex</v>
          </cell>
          <cell r="F405" t="str">
            <v>Cabo De Freio Traseira Lado Direito Celta 2001 Em Diante</v>
          </cell>
        </row>
        <row r="406">
          <cell r="A406">
            <v>77262</v>
          </cell>
          <cell r="B406" t="str">
            <v>AUTOMOTIVO</v>
          </cell>
          <cell r="C406" t="str">
            <v>Cabo de Freio</v>
          </cell>
          <cell r="D406" t="str">
            <v>SIMPLES</v>
          </cell>
          <cell r="E406" t="str">
            <v>MundiFlex</v>
          </cell>
          <cell r="F406" t="str">
            <v>Cabo Freio Tras Esquerdo Prisma 2006 Em Diante Com Conector</v>
          </cell>
        </row>
        <row r="407">
          <cell r="A407">
            <v>77350</v>
          </cell>
          <cell r="B407" t="str">
            <v>AUTOMOTIVO</v>
          </cell>
          <cell r="C407" t="str">
            <v>Cabo Câmbio</v>
          </cell>
          <cell r="D407" t="str">
            <v>SIMPLES</v>
          </cell>
          <cell r="E407" t="str">
            <v>Importação</v>
          </cell>
          <cell r="F407" t="str">
            <v>Cabo De Trambulador Corsa Classic 2005/2014</v>
          </cell>
        </row>
        <row r="408">
          <cell r="A408">
            <v>77351</v>
          </cell>
          <cell r="B408" t="str">
            <v>AUTOMOTIVO</v>
          </cell>
          <cell r="C408" t="str">
            <v>Cabo Câmbio</v>
          </cell>
          <cell r="D408" t="str">
            <v>SIMPLES</v>
          </cell>
          <cell r="E408" t="str">
            <v>Importação</v>
          </cell>
          <cell r="F408" t="str">
            <v>Cabo De Marcha Vectra 2006 A 2011  Todos ( Câmbio Mecânico )</v>
          </cell>
        </row>
        <row r="409">
          <cell r="A409">
            <v>77352</v>
          </cell>
          <cell r="B409" t="str">
            <v>AUTOMOTIVO</v>
          </cell>
          <cell r="C409" t="str">
            <v>Cabo Câmbio</v>
          </cell>
          <cell r="D409" t="str">
            <v>SIMPLES</v>
          </cell>
          <cell r="E409" t="str">
            <v>Importação</v>
          </cell>
          <cell r="F409" t="str">
            <v>Cabo De Marcha Astra 2001/2005 Original 93306003</v>
          </cell>
        </row>
        <row r="410">
          <cell r="A410">
            <v>77354</v>
          </cell>
          <cell r="B410" t="str">
            <v>AUTOMOTIVO</v>
          </cell>
          <cell r="C410" t="str">
            <v>Cabo Câmbio</v>
          </cell>
          <cell r="D410" t="str">
            <v>SIMPLES</v>
          </cell>
          <cell r="E410" t="str">
            <v>Importação</v>
          </cell>
          <cell r="F410" t="str">
            <v>Cabo De Engate E Seleção Montana 2011 2012 2013 2014 Novo</v>
          </cell>
        </row>
        <row r="411">
          <cell r="A411">
            <v>77365</v>
          </cell>
          <cell r="B411" t="str">
            <v>AUTOMOTIVO</v>
          </cell>
          <cell r="C411" t="str">
            <v>Cabo Câmbio</v>
          </cell>
          <cell r="D411" t="str">
            <v>SIMPLES</v>
          </cell>
          <cell r="E411" t="str">
            <v>Importação</v>
          </cell>
          <cell r="F411" t="str">
            <v>Cabo Do Trambulador Onix 2012 A 2014</v>
          </cell>
        </row>
        <row r="412">
          <cell r="A412">
            <v>77366</v>
          </cell>
          <cell r="B412" t="str">
            <v>AUTOMOTIVO</v>
          </cell>
          <cell r="C412" t="str">
            <v>Cabo Câmbio</v>
          </cell>
          <cell r="D412" t="str">
            <v>SIMPLES</v>
          </cell>
          <cell r="E412" t="str">
            <v>Importação</v>
          </cell>
          <cell r="F412" t="str">
            <v>Cabo De Engate E Seleção Prisma 2014 Em Diante</v>
          </cell>
        </row>
        <row r="413">
          <cell r="A413">
            <v>78180</v>
          </cell>
          <cell r="B413" t="str">
            <v>AUTOMOTIVO</v>
          </cell>
          <cell r="C413" t="str">
            <v>Cabo de Acelerador</v>
          </cell>
          <cell r="D413" t="str">
            <v>SIMPLES</v>
          </cell>
          <cell r="E413" t="str">
            <v>Importação</v>
          </cell>
          <cell r="F413" t="str">
            <v>Cabo De Acelerador Corolla A Gasolina 2003, 2004, 2005, 2006</v>
          </cell>
        </row>
        <row r="414">
          <cell r="A414">
            <v>88459</v>
          </cell>
          <cell r="B414" t="str">
            <v>AUTOMOTIVO</v>
          </cell>
          <cell r="C414" t="str">
            <v>Cabo de Capô</v>
          </cell>
          <cell r="D414" t="str">
            <v>SIMPLES</v>
          </cell>
          <cell r="E414" t="str">
            <v>MundiFlex</v>
          </cell>
          <cell r="F414" t="str">
            <v>Cabo Capô Com Alavanca Fiesta 1996 A 2002</v>
          </cell>
        </row>
        <row r="415">
          <cell r="A415">
            <v>88461</v>
          </cell>
          <cell r="B415" t="str">
            <v>AUTOMOTIVO</v>
          </cell>
          <cell r="C415" t="str">
            <v>Cabo de Capô</v>
          </cell>
          <cell r="D415" t="str">
            <v>SIMPLES</v>
          </cell>
          <cell r="E415" t="str">
            <v>MundiFlex</v>
          </cell>
          <cell r="F415" t="str">
            <v>Cabo De Capô Com Alavanca Santana Quantum 1992 A 2001</v>
          </cell>
        </row>
        <row r="416">
          <cell r="A416">
            <v>88487</v>
          </cell>
          <cell r="B416" t="str">
            <v>AUTOMOTIVO</v>
          </cell>
          <cell r="C416" t="str">
            <v>Cabo de Capô</v>
          </cell>
          <cell r="D416" t="str">
            <v>SIMPLES</v>
          </cell>
          <cell r="E416" t="str">
            <v>MundiFlex</v>
          </cell>
          <cell r="F416" t="str">
            <v>Cabo Capô Com Alavanca Fiesta 2002 A 2012</v>
          </cell>
        </row>
        <row r="417">
          <cell r="A417">
            <v>88573</v>
          </cell>
          <cell r="B417" t="str">
            <v>AUTOMOTIVO</v>
          </cell>
          <cell r="C417" t="str">
            <v>Cabo Acelerador</v>
          </cell>
          <cell r="D417" t="str">
            <v>SIMPLES</v>
          </cell>
          <cell r="E417" t="str">
            <v>MundiFlex</v>
          </cell>
          <cell r="F417" t="str">
            <v>Cabo De Acelerador Escort 09 1996 A 11 2002 1.8 16v</v>
          </cell>
        </row>
        <row r="418">
          <cell r="A418">
            <v>88651</v>
          </cell>
          <cell r="B418" t="str">
            <v>AUTOMOTIVO</v>
          </cell>
          <cell r="C418" t="str">
            <v>Cabo de Freio</v>
          </cell>
          <cell r="D418" t="str">
            <v>SIMPLES</v>
          </cell>
          <cell r="E418" t="str">
            <v>Importação</v>
          </cell>
          <cell r="F418" t="str">
            <v>Cabo De Freio Traseiro Direito Ranger 2009 Em Diante</v>
          </cell>
        </row>
        <row r="419">
          <cell r="A419">
            <v>88652</v>
          </cell>
          <cell r="B419" t="str">
            <v>AUTOMOTIVO</v>
          </cell>
          <cell r="C419" t="str">
            <v>Pastilha Freio</v>
          </cell>
          <cell r="D419" t="str">
            <v>SIMPLES</v>
          </cell>
          <cell r="E419" t="str">
            <v>Importação</v>
          </cell>
          <cell r="F419" t="str">
            <v>Cabo De Freio Traseiro Esquerdo Ranger 2009 Em Diante</v>
          </cell>
        </row>
        <row r="420">
          <cell r="A420">
            <v>88665</v>
          </cell>
          <cell r="B420" t="str">
            <v>AUTOMOTIVO</v>
          </cell>
          <cell r="C420" t="str">
            <v>Cabo de Freio</v>
          </cell>
          <cell r="D420" t="str">
            <v>SIMPLES</v>
          </cell>
          <cell r="E420" t="str">
            <v>Importação</v>
          </cell>
          <cell r="F420" t="str">
            <v>Cabo De Freio Ecosport Todos 4x2 Flex 2012/2017</v>
          </cell>
        </row>
        <row r="421">
          <cell r="A421">
            <v>90500</v>
          </cell>
          <cell r="B421" t="str">
            <v>AUTOMOTIVO</v>
          </cell>
          <cell r="C421" t="str">
            <v>Reparo alavanta Câmbio</v>
          </cell>
          <cell r="D421" t="str">
            <v>SIMPLES</v>
          </cell>
          <cell r="E421" t="str">
            <v>BRK</v>
          </cell>
          <cell r="F421" t="str">
            <v>Kit Reparo Trambulador Sem Mola Kangoo Todos Os Anos</v>
          </cell>
        </row>
        <row r="422">
          <cell r="A422">
            <v>90501</v>
          </cell>
          <cell r="B422" t="str">
            <v>AUTOMOTIVO</v>
          </cell>
          <cell r="C422" t="str">
            <v>Reparo alavanta Câmbio</v>
          </cell>
          <cell r="D422" t="str">
            <v>SIMPLES</v>
          </cell>
          <cell r="E422" t="str">
            <v>BRK</v>
          </cell>
          <cell r="F422" t="str">
            <v>Kit Reparo Trambulador Com Mola Megane Até 2004</v>
          </cell>
        </row>
        <row r="423">
          <cell r="A423">
            <v>90503</v>
          </cell>
          <cell r="B423" t="str">
            <v>AUTOMOTIVO</v>
          </cell>
          <cell r="C423" t="str">
            <v>Reparo alavanta Câmbio</v>
          </cell>
          <cell r="D423" t="str">
            <v>SIMPLES</v>
          </cell>
          <cell r="E423" t="str">
            <v>BRK</v>
          </cell>
          <cell r="F423" t="str">
            <v>Kit Reparo Trambulador Sandero 2007 À 2019</v>
          </cell>
        </row>
        <row r="424">
          <cell r="A424">
            <v>91009</v>
          </cell>
          <cell r="B424" t="str">
            <v>AUTOMOTIVO</v>
          </cell>
          <cell r="C424" t="str">
            <v>KIT AMORTECEDOR</v>
          </cell>
          <cell r="D424" t="str">
            <v>SIMPLES</v>
          </cell>
          <cell r="F424" t="str">
            <v>KIT AMORTECEDOR DIANTEIRO GOL VOYGE PARATY SAVEIRO</v>
          </cell>
        </row>
        <row r="425">
          <cell r="A425">
            <v>91026</v>
          </cell>
          <cell r="B425" t="str">
            <v>AUTOMOTIVO</v>
          </cell>
          <cell r="C425" t="str">
            <v>COXIM AMORTECEDOR</v>
          </cell>
          <cell r="D425" t="str">
            <v>SIMPLES</v>
          </cell>
          <cell r="F425" t="str">
            <v>KIT AMORTECEDOR TRASEIRO GOL PARATY SAVEIRO ...C/CANECA</v>
          </cell>
        </row>
        <row r="426">
          <cell r="A426">
            <v>91044</v>
          </cell>
          <cell r="B426" t="str">
            <v>AUTOMOTIVO</v>
          </cell>
          <cell r="C426" t="str">
            <v>COXIM AMORTECEDOR</v>
          </cell>
          <cell r="D426" t="str">
            <v>SIMPLES</v>
          </cell>
          <cell r="F426" t="str">
            <v>KIT AMORTECEDOR DIANTEIRO GOLF BORA BEETLE</v>
          </cell>
        </row>
        <row r="427">
          <cell r="A427">
            <v>92008</v>
          </cell>
          <cell r="B427" t="str">
            <v>AUTOMOTIVO</v>
          </cell>
          <cell r="C427" t="str">
            <v>COXIM AMORTECEDOR</v>
          </cell>
          <cell r="D427" t="str">
            <v>SIMPLES</v>
          </cell>
          <cell r="F427" t="str">
            <v>KIT AMORTECEDOR DIANTEIRO CORSA WIND 1.0</v>
          </cell>
        </row>
        <row r="428">
          <cell r="A428">
            <v>92012</v>
          </cell>
          <cell r="B428" t="str">
            <v>AUTOMOTIVO</v>
          </cell>
          <cell r="C428" t="str">
            <v>COXIM AMORTECEDOR</v>
          </cell>
          <cell r="D428" t="str">
            <v>SIMPLES</v>
          </cell>
          <cell r="F428" t="str">
            <v>KIT AMORTECEDOR DIANTEIRO VECTRA 1996 EM DIANTE</v>
          </cell>
        </row>
        <row r="429">
          <cell r="A429">
            <v>93006</v>
          </cell>
          <cell r="B429" t="str">
            <v>AUTOMOTIVO</v>
          </cell>
          <cell r="C429" t="str">
            <v>KIT AMORTECEDOR</v>
          </cell>
          <cell r="D429" t="str">
            <v>SIMPLES</v>
          </cell>
          <cell r="F429" t="str">
            <v>KIT AMORTECEDOR DIANTEIRO FIESTA KA</v>
          </cell>
        </row>
        <row r="430">
          <cell r="A430">
            <v>93007</v>
          </cell>
          <cell r="B430" t="str">
            <v>AUTOMOTIVO</v>
          </cell>
          <cell r="C430" t="str">
            <v>COXIM AMORTECEDOR</v>
          </cell>
          <cell r="D430" t="str">
            <v>SIMPLES</v>
          </cell>
          <cell r="F430" t="str">
            <v>KIT AMORTECEDOR TRASEIRO FIESTA KA</v>
          </cell>
        </row>
        <row r="431">
          <cell r="A431">
            <v>98025</v>
          </cell>
          <cell r="B431" t="str">
            <v>AUTOMOTIVO</v>
          </cell>
          <cell r="C431" t="str">
            <v>COXIM AMORTECEDOR</v>
          </cell>
          <cell r="D431" t="str">
            <v>SIMPLES</v>
          </cell>
          <cell r="F431" t="str">
            <v>KIT AMORTECEDOR DIANTEIRO CITY NEW FIT</v>
          </cell>
        </row>
        <row r="432">
          <cell r="A432">
            <v>99008</v>
          </cell>
          <cell r="B432" t="str">
            <v>AUTOMOTIVO</v>
          </cell>
          <cell r="C432" t="str">
            <v>COXIM AMORTECEDOR</v>
          </cell>
          <cell r="D432" t="str">
            <v>SIMPLES</v>
          </cell>
          <cell r="F432" t="str">
            <v>KIT AMORTECEDOR TRASEIRO CLIO 2000 EM DIANTE</v>
          </cell>
        </row>
        <row r="433">
          <cell r="A433">
            <v>100293</v>
          </cell>
          <cell r="B433" t="str">
            <v>AUTOMOTIVO</v>
          </cell>
          <cell r="C433" t="str">
            <v>Reparo alavanta Câmbio</v>
          </cell>
          <cell r="D433" t="str">
            <v>SIMPLES</v>
          </cell>
          <cell r="E433" t="str">
            <v>LT CORREA</v>
          </cell>
          <cell r="F433" t="str">
            <v>Kit Articulador Alavanca Câmbio Up Polo Golf</v>
          </cell>
        </row>
        <row r="434">
          <cell r="A434">
            <v>102011</v>
          </cell>
          <cell r="B434" t="str">
            <v>AUTOMOTIVO</v>
          </cell>
          <cell r="C434" t="str">
            <v>Bandeja</v>
          </cell>
          <cell r="D434" t="str">
            <v>SIMPLES</v>
          </cell>
          <cell r="E434" t="str">
            <v>SPARE</v>
          </cell>
          <cell r="F434" t="str">
            <v>Bandeja Inferior Lado Esquerdo Alfa Romeu 145 1995 A 1999</v>
          </cell>
        </row>
        <row r="435">
          <cell r="A435">
            <v>110601</v>
          </cell>
          <cell r="B435" t="str">
            <v>AUTOMOTIVO</v>
          </cell>
        </row>
        <row r="436">
          <cell r="A436">
            <v>110907</v>
          </cell>
          <cell r="B436" t="str">
            <v>AUTOMOTIVO</v>
          </cell>
          <cell r="C436" t="str">
            <v>Cabo de Câmbio</v>
          </cell>
          <cell r="D436" t="str">
            <v>SIMPLES</v>
          </cell>
          <cell r="E436" t="str">
            <v>Importação</v>
          </cell>
          <cell r="F436" t="str">
            <v>Cabo De Câmbio Mercedes Benz 1720 2765mm</v>
          </cell>
        </row>
        <row r="437">
          <cell r="A437">
            <v>110914</v>
          </cell>
          <cell r="B437" t="str">
            <v>AUTOMOTIVO</v>
          </cell>
          <cell r="C437" t="str">
            <v>Cabo Câmbio</v>
          </cell>
          <cell r="D437" t="str">
            <v>SIMPLES</v>
          </cell>
          <cell r="E437" t="str">
            <v>Importação</v>
          </cell>
          <cell r="F437" t="str">
            <v>Cabo Do Trambulador Sprinter Cdi 313 2004 A 2019</v>
          </cell>
        </row>
        <row r="438">
          <cell r="A438">
            <v>111288</v>
          </cell>
          <cell r="B438" t="str">
            <v>AUTOMOTIVO</v>
          </cell>
          <cell r="C438" t="str">
            <v>Cabo de Capô</v>
          </cell>
          <cell r="D438" t="str">
            <v>SIMPLES</v>
          </cell>
          <cell r="E438" t="str">
            <v>MundiFlex</v>
          </cell>
          <cell r="F438" t="str">
            <v>Cabo De Capô Sem Alavanca Amarok 2010 Em Diante</v>
          </cell>
        </row>
        <row r="439">
          <cell r="A439">
            <v>111301</v>
          </cell>
          <cell r="B439" t="str">
            <v>AUTOMOTIVO</v>
          </cell>
          <cell r="C439" t="str">
            <v>Cabo Embreagem</v>
          </cell>
          <cell r="D439" t="str">
            <v>SIMPLES</v>
          </cell>
          <cell r="E439" t="str">
            <v>Importação</v>
          </cell>
          <cell r="F439" t="str">
            <v>Cabo De Embreagem Toyota Etios 1.3/1.5 16v 2012/2013... Novo</v>
          </cell>
        </row>
        <row r="440">
          <cell r="A440">
            <v>112001</v>
          </cell>
          <cell r="B440" t="str">
            <v>AUTOMOTIVO</v>
          </cell>
          <cell r="C440" t="str">
            <v>Bandeja</v>
          </cell>
          <cell r="D440" t="str">
            <v>SIMPLES</v>
          </cell>
          <cell r="E440" t="str">
            <v>SPARE</v>
          </cell>
          <cell r="F440" t="str">
            <v>Bandeja Traseira Uno Cs S Sx 1984 A 1996</v>
          </cell>
        </row>
        <row r="441">
          <cell r="A441">
            <v>112002</v>
          </cell>
          <cell r="B441" t="str">
            <v>AUTOMOTIVO</v>
          </cell>
          <cell r="C441" t="str">
            <v>BANDEJA</v>
          </cell>
          <cell r="D441" t="str">
            <v>SIMPLES</v>
          </cell>
          <cell r="E441" t="str">
            <v>SPARE</v>
          </cell>
          <cell r="F441" t="str">
            <v>Bandeja Traseira Fiorino  1985 Até 2004</v>
          </cell>
        </row>
        <row r="442">
          <cell r="A442">
            <v>112004</v>
          </cell>
          <cell r="B442" t="str">
            <v>AUTOMOTIVO</v>
          </cell>
          <cell r="C442" t="str">
            <v>Bandeja</v>
          </cell>
          <cell r="D442" t="str">
            <v>SIMPLES</v>
          </cell>
          <cell r="E442" t="str">
            <v>SPARE</v>
          </cell>
          <cell r="F442" t="str">
            <v>Bracinho Oscilante Com Pivô Sem Bucha Fiat Panorama</v>
          </cell>
        </row>
        <row r="443">
          <cell r="A443">
            <v>112005</v>
          </cell>
          <cell r="B443" t="str">
            <v>AUTOMOTIVO</v>
          </cell>
          <cell r="C443" t="str">
            <v>Bandeja</v>
          </cell>
          <cell r="D443" t="str">
            <v>SIMPLES</v>
          </cell>
          <cell r="E443" t="str">
            <v>SPARE</v>
          </cell>
          <cell r="F443" t="str">
            <v>Bracinho Oscilante Com Pivô Uno 2002 A 2011</v>
          </cell>
        </row>
        <row r="444">
          <cell r="A444">
            <v>112006</v>
          </cell>
          <cell r="B444" t="str">
            <v>AUTOMOTIVO</v>
          </cell>
          <cell r="C444" t="str">
            <v>Bandeja</v>
          </cell>
          <cell r="D444" t="str">
            <v>SIMPLES</v>
          </cell>
          <cell r="E444" t="str">
            <v>SPARE</v>
          </cell>
          <cell r="F444" t="str">
            <v>Braço Tensor Direito Com Terminal Uno Mille 1985 A 2004</v>
          </cell>
        </row>
        <row r="445">
          <cell r="A445">
            <v>112007</v>
          </cell>
          <cell r="B445" t="str">
            <v>AUTOMOTIVO</v>
          </cell>
          <cell r="C445" t="str">
            <v>Bandeja</v>
          </cell>
          <cell r="D445" t="str">
            <v>SIMPLES</v>
          </cell>
          <cell r="E445" t="str">
            <v>SPARE</v>
          </cell>
          <cell r="F445" t="str">
            <v>Braço Tensor Esquerdo Com Terminal Elba 1985 A 2004</v>
          </cell>
        </row>
        <row r="446">
          <cell r="A446">
            <v>112008</v>
          </cell>
          <cell r="B446" t="str">
            <v>AUTOMOTIVO</v>
          </cell>
          <cell r="C446" t="str">
            <v>Bandeja</v>
          </cell>
          <cell r="D446" t="str">
            <v>SIMPLES</v>
          </cell>
          <cell r="E446" t="str">
            <v>SPARE</v>
          </cell>
          <cell r="F446" t="str">
            <v>Braço Tensor Direita Sem Terminal Uno Fase I 2004 A 2013</v>
          </cell>
        </row>
        <row r="447">
          <cell r="A447">
            <v>112009</v>
          </cell>
          <cell r="B447" t="str">
            <v>AUTOMOTIVO</v>
          </cell>
          <cell r="C447" t="str">
            <v>Bandeja</v>
          </cell>
          <cell r="D447" t="str">
            <v>SIMPLES</v>
          </cell>
          <cell r="E447" t="str">
            <v>SPARE</v>
          </cell>
          <cell r="F447" t="str">
            <v>Braço Tensor Esquerda Sem Terminal Uno Mille 1985 A 2004</v>
          </cell>
        </row>
        <row r="448">
          <cell r="A448">
            <v>112010</v>
          </cell>
          <cell r="B448" t="str">
            <v>AUTOMOTIVO</v>
          </cell>
          <cell r="C448" t="str">
            <v>Bandeja</v>
          </cell>
          <cell r="D448" t="str">
            <v>SIMPLES</v>
          </cell>
          <cell r="E448" t="str">
            <v>SPARE</v>
          </cell>
          <cell r="F448" t="str">
            <v>Bandeja Inferior Direito Fiat Tempra Sw</v>
          </cell>
        </row>
        <row r="449">
          <cell r="A449">
            <v>112011</v>
          </cell>
          <cell r="B449" t="str">
            <v>AUTOMOTIVO</v>
          </cell>
          <cell r="C449" t="str">
            <v>Bandeja</v>
          </cell>
          <cell r="D449" t="str">
            <v>SIMPLES</v>
          </cell>
          <cell r="E449" t="str">
            <v>SPARE</v>
          </cell>
          <cell r="F449" t="str">
            <v>Bandeja Inferior Esquerda Fiat Tempra Sw 1995 A 2003</v>
          </cell>
        </row>
        <row r="450">
          <cell r="A450">
            <v>112012</v>
          </cell>
          <cell r="B450" t="str">
            <v>AUTOMOTIVO</v>
          </cell>
          <cell r="C450" t="str">
            <v>Bandeja</v>
          </cell>
          <cell r="D450" t="str">
            <v>SIMPLES</v>
          </cell>
          <cell r="E450" t="str">
            <v>SPARE</v>
          </cell>
          <cell r="F450" t="str">
            <v>Bandeja Inferior Direito Fiat Coupe</v>
          </cell>
        </row>
        <row r="451">
          <cell r="A451">
            <v>112013</v>
          </cell>
          <cell r="B451" t="str">
            <v>AUTOMOTIVO</v>
          </cell>
          <cell r="C451" t="str">
            <v>Bandeja</v>
          </cell>
          <cell r="D451" t="str">
            <v>SIMPLES</v>
          </cell>
          <cell r="E451" t="str">
            <v>SPARE</v>
          </cell>
          <cell r="F451" t="str">
            <v>Bandeja Inferior Esquerda Fiat Marea Weekend 1999 A 2008</v>
          </cell>
        </row>
        <row r="452">
          <cell r="A452">
            <v>112016</v>
          </cell>
          <cell r="B452" t="str">
            <v>AUTOMOTIVO</v>
          </cell>
          <cell r="C452" t="str">
            <v>Bandeja</v>
          </cell>
          <cell r="D452" t="str">
            <v>SIMPLES</v>
          </cell>
          <cell r="E452" t="str">
            <v>SPARE</v>
          </cell>
          <cell r="F452" t="str">
            <v>BANDEJA DIANTEIRA ESQUERDA TEMPRA 1992 A 1999 SEM PIVÔ</v>
          </cell>
        </row>
        <row r="453">
          <cell r="A453">
            <v>112017</v>
          </cell>
          <cell r="B453" t="str">
            <v>AUTOMOTIVO</v>
          </cell>
          <cell r="C453" t="str">
            <v>Bandeja</v>
          </cell>
          <cell r="D453" t="str">
            <v>SIMPLES</v>
          </cell>
          <cell r="E453" t="str">
            <v>SPARE</v>
          </cell>
          <cell r="F453" t="str">
            <v>BANDEJA DIANTEIRA DIREITA TEMPRA 1992 A 1999 SEM PIVÔ</v>
          </cell>
        </row>
        <row r="454">
          <cell r="A454">
            <v>112022</v>
          </cell>
          <cell r="B454" t="str">
            <v>AUTOMOTIVO</v>
          </cell>
          <cell r="C454" t="str">
            <v>Bandeja</v>
          </cell>
          <cell r="D454" t="str">
            <v>SIMPLES</v>
          </cell>
          <cell r="E454" t="str">
            <v>SPARE</v>
          </cell>
          <cell r="F454" t="str">
            <v>Bandeja  Direita Palio 1996 Á 2001 Sem Pivô</v>
          </cell>
        </row>
        <row r="455">
          <cell r="A455">
            <v>112023</v>
          </cell>
          <cell r="B455" t="str">
            <v>AUTOMOTIVO</v>
          </cell>
          <cell r="C455" t="str">
            <v>Bandeja</v>
          </cell>
          <cell r="D455" t="str">
            <v>SIMPLES</v>
          </cell>
          <cell r="E455" t="str">
            <v>SPARE</v>
          </cell>
          <cell r="F455" t="str">
            <v>Bandeja  Esquerda Palio 1996 Á 2001 Sem Pivô</v>
          </cell>
        </row>
        <row r="456">
          <cell r="A456">
            <v>112024</v>
          </cell>
          <cell r="B456" t="str">
            <v>AUTOMOTIVO</v>
          </cell>
          <cell r="C456" t="str">
            <v>Bandeja</v>
          </cell>
          <cell r="D456" t="str">
            <v>SIMPLES</v>
          </cell>
          <cell r="E456" t="str">
            <v>SPARE</v>
          </cell>
          <cell r="F456" t="str">
            <v>Bandeja Direita Siena 1997 Á 2001 Com Pivô</v>
          </cell>
        </row>
        <row r="457">
          <cell r="A457">
            <v>112025</v>
          </cell>
          <cell r="B457" t="str">
            <v>AUTOMOTIVO</v>
          </cell>
          <cell r="C457" t="str">
            <v>Bandeja</v>
          </cell>
          <cell r="D457" t="str">
            <v>SIMPLES</v>
          </cell>
          <cell r="E457" t="str">
            <v>SPARE</v>
          </cell>
          <cell r="F457" t="str">
            <v>Bandeja  Esquerda Palio 1996 Á 2001  Com Pivô</v>
          </cell>
        </row>
        <row r="458">
          <cell r="A458">
            <v>112028</v>
          </cell>
          <cell r="B458" t="str">
            <v>AUTOMOTIVO</v>
          </cell>
          <cell r="C458" t="str">
            <v>Bandeja</v>
          </cell>
          <cell r="D458" t="str">
            <v>SIMPLES</v>
          </cell>
          <cell r="E458" t="str">
            <v>SPARE</v>
          </cell>
          <cell r="F458" t="str">
            <v>Bandeja Direita Siena  1997 Á 2001 Sem Pivô</v>
          </cell>
        </row>
        <row r="459">
          <cell r="A459">
            <v>112029</v>
          </cell>
          <cell r="B459" t="str">
            <v>AUTOMOTIVO</v>
          </cell>
          <cell r="C459" t="str">
            <v>Bandeja</v>
          </cell>
          <cell r="D459" t="str">
            <v>SIMPLES</v>
          </cell>
          <cell r="E459" t="str">
            <v>SPARE</v>
          </cell>
          <cell r="F459" t="str">
            <v>Bandeja Esquerda Palio 1996 Á 2001 Sem Pivô</v>
          </cell>
        </row>
        <row r="460">
          <cell r="A460">
            <v>112030</v>
          </cell>
          <cell r="B460" t="str">
            <v>AUTOMOTIVO</v>
          </cell>
          <cell r="C460" t="str">
            <v>Bandeja</v>
          </cell>
          <cell r="D460" t="str">
            <v>SIMPLES</v>
          </cell>
          <cell r="E460" t="str">
            <v>SPARE</v>
          </cell>
          <cell r="F460" t="str">
            <v>Bandeja Direita Siena 1997 Á 2001 Com Pivô</v>
          </cell>
        </row>
        <row r="461">
          <cell r="A461">
            <v>112031</v>
          </cell>
          <cell r="B461" t="str">
            <v>AUTOMOTIVO</v>
          </cell>
          <cell r="C461" t="str">
            <v>Bandeja</v>
          </cell>
          <cell r="D461" t="str">
            <v>SIMPLES</v>
          </cell>
          <cell r="E461" t="str">
            <v>SPARE</v>
          </cell>
          <cell r="F461" t="str">
            <v>Bandeja Inferior Esquerdo Palio 1996 Á 2001 Com Pivô</v>
          </cell>
        </row>
        <row r="462">
          <cell r="A462">
            <v>112048</v>
          </cell>
          <cell r="B462" t="str">
            <v>AUTOMOTIVO</v>
          </cell>
        </row>
        <row r="463">
          <cell r="A463">
            <v>112049</v>
          </cell>
          <cell r="B463" t="str">
            <v>AUTOMOTIVO</v>
          </cell>
        </row>
        <row r="464">
          <cell r="A464">
            <v>112052</v>
          </cell>
          <cell r="B464" t="str">
            <v>AUTOMOTIVO</v>
          </cell>
          <cell r="C464" t="str">
            <v>Bandeja</v>
          </cell>
          <cell r="D464" t="str">
            <v>SIMPLES</v>
          </cell>
          <cell r="E464" t="str">
            <v>SPARE</v>
          </cell>
          <cell r="F464" t="str">
            <v>Bandeja Direita Sem Pivô Palio Weekend 2005 A 2019</v>
          </cell>
        </row>
        <row r="465">
          <cell r="A465">
            <v>112053</v>
          </cell>
          <cell r="B465" t="str">
            <v>AUTOMOTIVO</v>
          </cell>
          <cell r="C465" t="str">
            <v>Bandeja</v>
          </cell>
          <cell r="D465" t="str">
            <v>SIMPLES</v>
          </cell>
          <cell r="E465" t="str">
            <v>SPARE</v>
          </cell>
          <cell r="F465" t="str">
            <v>Bandeja Esquerda Sem Pivô Idea Elx 2005 A 2016 Motor 1.4</v>
          </cell>
        </row>
        <row r="466">
          <cell r="A466">
            <v>112056</v>
          </cell>
          <cell r="B466" t="str">
            <v>AUTOMOTIVO</v>
          </cell>
          <cell r="C466" t="str">
            <v>Bandeja</v>
          </cell>
          <cell r="D466" t="str">
            <v>SIMPLES</v>
          </cell>
          <cell r="E466" t="str">
            <v>SPARE</v>
          </cell>
          <cell r="F466" t="str">
            <v>Bandeja Direita Sem Pivô Idea Hlx 2005 A 2016 Motor 1.8</v>
          </cell>
        </row>
        <row r="467">
          <cell r="A467">
            <v>112057</v>
          </cell>
          <cell r="B467" t="str">
            <v>AUTOMOTIVO</v>
          </cell>
          <cell r="C467" t="str">
            <v>Bandeja</v>
          </cell>
          <cell r="D467" t="str">
            <v>SIMPLES</v>
          </cell>
          <cell r="E467" t="str">
            <v>SPARE</v>
          </cell>
          <cell r="F467" t="str">
            <v>Bandeja Esquerda Sem Pivô Strada 2005 A 2008 Motor 1.8</v>
          </cell>
        </row>
        <row r="468">
          <cell r="A468">
            <v>112058</v>
          </cell>
          <cell r="B468" t="str">
            <v>AUTOMOTIVO</v>
          </cell>
          <cell r="C468" t="str">
            <v>Bandeja</v>
          </cell>
          <cell r="D468" t="str">
            <v>SIMPLES</v>
          </cell>
          <cell r="E468" t="str">
            <v>SPARE</v>
          </cell>
          <cell r="F468" t="str">
            <v>Bandeja Com Pivô Direita Com Pivô Idea Elx 2005 A 2016</v>
          </cell>
        </row>
        <row r="469">
          <cell r="A469">
            <v>112059</v>
          </cell>
          <cell r="B469" t="str">
            <v>AUTOMOTIVO</v>
          </cell>
          <cell r="C469" t="str">
            <v>Bandeja</v>
          </cell>
          <cell r="D469" t="str">
            <v>SIMPLES</v>
          </cell>
          <cell r="E469" t="str">
            <v>SPARE</v>
          </cell>
          <cell r="F469" t="str">
            <v>Bandeja Inferior Esquerda Com Pivô Strada 2005 A 2008</v>
          </cell>
        </row>
        <row r="470">
          <cell r="A470">
            <v>112062</v>
          </cell>
          <cell r="B470" t="str">
            <v>AUTOMOTIVO</v>
          </cell>
          <cell r="C470" t="str">
            <v>Bandeja</v>
          </cell>
          <cell r="D470" t="str">
            <v>SIMPLES</v>
          </cell>
          <cell r="E470" t="str">
            <v>SPARE</v>
          </cell>
          <cell r="F470" t="str">
            <v>Bandeja Com Pivô Direita Fiorino 2014 Em Diante</v>
          </cell>
        </row>
        <row r="471">
          <cell r="A471">
            <v>112063</v>
          </cell>
          <cell r="B471" t="str">
            <v>AUTOMOTIVO</v>
          </cell>
          <cell r="C471" t="str">
            <v>Bandeja</v>
          </cell>
          <cell r="D471" t="str">
            <v>SIMPLES</v>
          </cell>
          <cell r="E471" t="str">
            <v>SPARE</v>
          </cell>
          <cell r="F471" t="str">
            <v>Bandeja Inferior Esquerda Com Pivô Fiorino 2014 Em Diante</v>
          </cell>
        </row>
        <row r="472">
          <cell r="A472">
            <v>112064</v>
          </cell>
          <cell r="B472" t="str">
            <v>AUTOMOTIVO</v>
          </cell>
          <cell r="C472" t="str">
            <v>Bandeja</v>
          </cell>
          <cell r="D472" t="str">
            <v>SIMPLES</v>
          </cell>
          <cell r="E472" t="str">
            <v>SPARE</v>
          </cell>
          <cell r="F472" t="str">
            <v>BANDEJA INFERIOR DIREITA COM PIVÔ STRADA 1998 A 2000</v>
          </cell>
        </row>
        <row r="473">
          <cell r="A473">
            <v>112065</v>
          </cell>
          <cell r="B473" t="str">
            <v>AUTOMOTIVO</v>
          </cell>
          <cell r="C473" t="str">
            <v>Pastilha Freio</v>
          </cell>
          <cell r="D473" t="str">
            <v>SIMPLES</v>
          </cell>
          <cell r="E473" t="str">
            <v>SPARE</v>
          </cell>
          <cell r="F473" t="str">
            <v>BANDEJA INFERIOR ESQUERDA COM PIVÔ STRADA 1998 A 2000</v>
          </cell>
        </row>
        <row r="474">
          <cell r="A474">
            <v>112074</v>
          </cell>
          <cell r="B474" t="str">
            <v>AUTOMOTIVO</v>
          </cell>
          <cell r="C474" t="str">
            <v>Bandeja</v>
          </cell>
          <cell r="D474" t="str">
            <v>SIMPLES</v>
          </cell>
          <cell r="E474" t="str">
            <v>SPARE</v>
          </cell>
          <cell r="F474" t="str">
            <v>Bandeja Direita Com Pivô Palio Weekend Adventure2005 A 2008</v>
          </cell>
        </row>
        <row r="475">
          <cell r="A475">
            <v>112075</v>
          </cell>
          <cell r="B475" t="str">
            <v>AUTOMOTIVO</v>
          </cell>
          <cell r="C475" t="str">
            <v>Bandeja</v>
          </cell>
          <cell r="D475" t="str">
            <v>SIMPLES</v>
          </cell>
          <cell r="E475" t="str">
            <v>SPARE</v>
          </cell>
          <cell r="F475" t="str">
            <v xml:space="preserve">Bandeja Esquerda Com Pivô Palio Weekend Adventure Locker </v>
          </cell>
        </row>
        <row r="476">
          <cell r="A476">
            <v>112090</v>
          </cell>
          <cell r="B476" t="str">
            <v>AUTOMOTIVO</v>
          </cell>
          <cell r="C476" t="str">
            <v>Bandeja</v>
          </cell>
          <cell r="D476" t="str">
            <v>SIMPLES</v>
          </cell>
          <cell r="E476" t="str">
            <v>SPARE</v>
          </cell>
          <cell r="F476" t="str">
            <v>Bandeja Inferior Ambos Os Lados Bravo Sem Pivô 2011 Á 2014</v>
          </cell>
        </row>
        <row r="477">
          <cell r="A477">
            <v>112092</v>
          </cell>
          <cell r="B477" t="str">
            <v>AUTOMOTIVO</v>
          </cell>
          <cell r="C477" t="str">
            <v>Bandeja</v>
          </cell>
          <cell r="D477" t="str">
            <v>SIMPLES</v>
          </cell>
          <cell r="E477" t="str">
            <v>SPARE</v>
          </cell>
          <cell r="F477" t="str">
            <v>Bandeja Dianteira Esquerda Stilo 2002 A 2011 Com Pivô</v>
          </cell>
        </row>
        <row r="478">
          <cell r="A478">
            <v>112093</v>
          </cell>
          <cell r="B478" t="str">
            <v>AUTOMOTIVO</v>
          </cell>
          <cell r="C478" t="str">
            <v>Bandeja</v>
          </cell>
          <cell r="D478" t="str">
            <v>SIMPLES</v>
          </cell>
          <cell r="E478" t="str">
            <v>SPARE</v>
          </cell>
          <cell r="F478" t="str">
            <v>Bandeja Dianteira Direita Stilo 2002 A 2011 Com Pivô</v>
          </cell>
        </row>
        <row r="479">
          <cell r="A479">
            <v>112100</v>
          </cell>
          <cell r="B479" t="str">
            <v>AUTOMOTIVO</v>
          </cell>
          <cell r="C479" t="str">
            <v>Bandeja</v>
          </cell>
          <cell r="D479" t="str">
            <v>SIMPLES</v>
          </cell>
          <cell r="E479" t="str">
            <v>SPARE</v>
          </cell>
          <cell r="F479" t="str">
            <v>Bandeja Dianteira Direita Sem Pivô Punto 2006 A 2014</v>
          </cell>
        </row>
        <row r="480">
          <cell r="A480">
            <v>112101</v>
          </cell>
          <cell r="B480" t="str">
            <v>AUTOMOTIVO</v>
          </cell>
          <cell r="C480" t="str">
            <v>Bandeja</v>
          </cell>
          <cell r="D480" t="str">
            <v>SIMPLES</v>
          </cell>
          <cell r="E480" t="str">
            <v>SPARE</v>
          </cell>
          <cell r="F480" t="str">
            <v>Bandeja Dianteira Esquerda Sem Pivô Punto 2006 A 2014</v>
          </cell>
        </row>
        <row r="481">
          <cell r="A481">
            <v>112102</v>
          </cell>
          <cell r="B481" t="str">
            <v>AUTOMOTIVO</v>
          </cell>
          <cell r="C481" t="str">
            <v>Bandeja</v>
          </cell>
          <cell r="D481" t="str">
            <v>SIMPLES</v>
          </cell>
          <cell r="E481" t="str">
            <v>SPARE</v>
          </cell>
          <cell r="F481" t="str">
            <v>Bandeja Dianteira Direita Com Pivô Fiat Punto 2006 A 2014</v>
          </cell>
        </row>
        <row r="482">
          <cell r="A482">
            <v>112103</v>
          </cell>
          <cell r="B482" t="str">
            <v>AUTOMOTIVO</v>
          </cell>
          <cell r="C482" t="str">
            <v>Bandeja</v>
          </cell>
          <cell r="D482" t="str">
            <v>SIMPLES</v>
          </cell>
          <cell r="E482" t="str">
            <v>SPARE</v>
          </cell>
          <cell r="F482" t="str">
            <v>Bandeja Dianteira Esquerda Com Pivô Fiat Punto 2006 A 2014</v>
          </cell>
        </row>
        <row r="483">
          <cell r="A483">
            <v>112104</v>
          </cell>
          <cell r="B483" t="str">
            <v>AUTOMOTIVO</v>
          </cell>
          <cell r="C483" t="str">
            <v>Bandeja</v>
          </cell>
          <cell r="D483" t="str">
            <v>SIMPLES</v>
          </cell>
          <cell r="E483" t="str">
            <v>SPARE</v>
          </cell>
          <cell r="F483" t="str">
            <v>MOBI 17/, PALIO ATTRACTIVE 1.0, 1.4 12/, UNO VIVACE 12/ - LD sem barra estabilizadora</v>
          </cell>
        </row>
        <row r="484">
          <cell r="A484">
            <v>112105</v>
          </cell>
          <cell r="B484" t="str">
            <v>AUTOMOTIVO</v>
          </cell>
          <cell r="C484" t="str">
            <v>Bandeja</v>
          </cell>
          <cell r="D484" t="str">
            <v>SIMPLES</v>
          </cell>
          <cell r="E484" t="str">
            <v>SPARE</v>
          </cell>
          <cell r="F484" t="str">
            <v>MOBI 17/, PALIO ATTRACTIVE 1.0, 1.4 12/, UNO VIVACE 12/ - LE sem barra estabilizadora</v>
          </cell>
        </row>
        <row r="485">
          <cell r="A485">
            <v>112106</v>
          </cell>
          <cell r="B485" t="str">
            <v>AUTOMOTIVO</v>
          </cell>
          <cell r="C485" t="str">
            <v>Bandeja</v>
          </cell>
          <cell r="D485" t="str">
            <v>SIMPLES</v>
          </cell>
          <cell r="E485" t="str">
            <v>SPARE</v>
          </cell>
          <cell r="F485" t="str">
            <v>Bandeja Direita Com Pivô Mobi 2016 Em Diante</v>
          </cell>
        </row>
        <row r="486">
          <cell r="A486">
            <v>112107</v>
          </cell>
          <cell r="B486" t="str">
            <v>AUTOMOTIVO</v>
          </cell>
          <cell r="C486" t="str">
            <v>Bandeja</v>
          </cell>
          <cell r="D486" t="str">
            <v>SIMPLES</v>
          </cell>
          <cell r="E486" t="str">
            <v>SPARE</v>
          </cell>
          <cell r="F486" t="str">
            <v>Bandeja Esquerda Com Pivô Grand Siena 2012 Em Diante</v>
          </cell>
        </row>
        <row r="487">
          <cell r="A487">
            <v>112108</v>
          </cell>
          <cell r="B487" t="str">
            <v>AUTOMOTIVO</v>
          </cell>
          <cell r="C487" t="str">
            <v>Bandeja</v>
          </cell>
          <cell r="D487" t="str">
            <v>SIMPLES</v>
          </cell>
          <cell r="E487" t="str">
            <v>SPARE</v>
          </cell>
          <cell r="F487" t="str">
            <v>Bandeja Direita Sem Pivô Uno Vivace 2010 Em Diante</v>
          </cell>
        </row>
        <row r="488">
          <cell r="A488">
            <v>112109</v>
          </cell>
          <cell r="B488" t="str">
            <v>AUTOMOTIVO</v>
          </cell>
          <cell r="C488" t="str">
            <v>Bandeja</v>
          </cell>
          <cell r="D488" t="str">
            <v>SIMPLES</v>
          </cell>
          <cell r="E488" t="str">
            <v>SPARE</v>
          </cell>
          <cell r="F488" t="str">
            <v>Bandeja Esquerda Sem Pivô Uno Vivace 2010 Em Diante</v>
          </cell>
        </row>
        <row r="489">
          <cell r="A489">
            <v>112113</v>
          </cell>
          <cell r="B489" t="str">
            <v>AUTOMOTIVO</v>
          </cell>
          <cell r="D489" t="str">
            <v>SIMPLES</v>
          </cell>
        </row>
        <row r="490">
          <cell r="A490">
            <v>112114</v>
          </cell>
          <cell r="B490" t="str">
            <v>AUTOMOTIVO</v>
          </cell>
          <cell r="D490" t="str">
            <v>SIMPLES</v>
          </cell>
        </row>
        <row r="491">
          <cell r="A491">
            <v>112115</v>
          </cell>
          <cell r="B491" t="str">
            <v>AUTOMOTIVO</v>
          </cell>
          <cell r="C491" t="str">
            <v>Bandeja</v>
          </cell>
          <cell r="D491" t="str">
            <v>SIMPLES</v>
          </cell>
          <cell r="E491" t="str">
            <v>SPARE</v>
          </cell>
          <cell r="F491" t="str">
            <v>Bandeja Dianteira Sem Pivô Esquerda Toro  2018 À 2020</v>
          </cell>
        </row>
        <row r="492">
          <cell r="A492">
            <v>112116</v>
          </cell>
          <cell r="B492" t="str">
            <v>AUTOMOTIVO</v>
          </cell>
          <cell r="C492" t="str">
            <v>Bandeja</v>
          </cell>
          <cell r="D492" t="str">
            <v>SIMPLES</v>
          </cell>
          <cell r="E492" t="str">
            <v>SPARE</v>
          </cell>
          <cell r="F492" t="str">
            <v>Bandeja Inferior Ambos Lados Renegade Sem Pivô 2015 A 2020</v>
          </cell>
        </row>
        <row r="493">
          <cell r="A493">
            <v>112117</v>
          </cell>
          <cell r="B493" t="str">
            <v>AUTOMOTIVO</v>
          </cell>
          <cell r="C493" t="str">
            <v>Bandeja</v>
          </cell>
          <cell r="D493" t="str">
            <v>SIMPLES</v>
          </cell>
          <cell r="E493" t="str">
            <v>SPARE</v>
          </cell>
          <cell r="F493" t="str">
            <v>Bandeja Dianteira Direita Com Pivô Compass 4x4 2015 A 2020</v>
          </cell>
        </row>
        <row r="494">
          <cell r="A494">
            <v>112118</v>
          </cell>
          <cell r="B494" t="str">
            <v>AUTOMOTIVO</v>
          </cell>
          <cell r="C494" t="str">
            <v>Bandeja</v>
          </cell>
          <cell r="D494" t="str">
            <v>SIMPLES</v>
          </cell>
          <cell r="E494" t="str">
            <v>SPARE</v>
          </cell>
          <cell r="F494" t="str">
            <v>Bandeja Dianteira Esquerda Com Pivô Toro 4x4 2016 A 2020</v>
          </cell>
        </row>
        <row r="495">
          <cell r="A495">
            <v>112120</v>
          </cell>
          <cell r="B495" t="str">
            <v>AUTOMOTIVO</v>
          </cell>
          <cell r="C495" t="str">
            <v>Bandeja</v>
          </cell>
          <cell r="D495" t="str">
            <v>SIMPLES</v>
          </cell>
          <cell r="E495" t="str">
            <v>SPARE</v>
          </cell>
          <cell r="F495" t="str">
            <v>BANDEJA DIANTEIRA DIREITA SEM PIVÔ DUCATO 1994 A 2009</v>
          </cell>
        </row>
        <row r="496">
          <cell r="A496">
            <v>112121</v>
          </cell>
          <cell r="B496" t="str">
            <v>AUTOMOTIVO</v>
          </cell>
          <cell r="C496" t="str">
            <v>Bandeja</v>
          </cell>
          <cell r="D496" t="str">
            <v>SIMPLES</v>
          </cell>
          <cell r="E496" t="str">
            <v>SPARE</v>
          </cell>
          <cell r="F496" t="str">
            <v>BANDEJA DIANTEIRA ESQUERDA SEM PIVÔ DUCATO 1994 A 2009</v>
          </cell>
        </row>
        <row r="497">
          <cell r="A497">
            <v>112124</v>
          </cell>
          <cell r="B497" t="str">
            <v>AUTOMOTIVO</v>
          </cell>
          <cell r="C497" t="str">
            <v>Bandeja</v>
          </cell>
          <cell r="D497" t="str">
            <v>SIMPLES</v>
          </cell>
          <cell r="E497" t="str">
            <v>SPARE</v>
          </cell>
          <cell r="F497" t="str">
            <v>Bandeja Esquerda Inferior Esq Strada 2020 Á 2022 Com Pivô</v>
          </cell>
        </row>
        <row r="498">
          <cell r="A498">
            <v>112125</v>
          </cell>
          <cell r="B498" t="str">
            <v>AUTOMOTIVO</v>
          </cell>
          <cell r="C498" t="str">
            <v>Bandeja</v>
          </cell>
          <cell r="D498" t="str">
            <v>SIMPLES</v>
          </cell>
          <cell r="E498" t="str">
            <v>SPARE</v>
          </cell>
          <cell r="F498" t="str">
            <v>Bandeja Dianteira Inferior Esq Strada 2020 Á 2022 Com Pivô</v>
          </cell>
        </row>
        <row r="499">
          <cell r="A499">
            <v>112126</v>
          </cell>
          <cell r="B499" t="str">
            <v>AUTOMOTIVO</v>
          </cell>
          <cell r="C499" t="str">
            <v>Bandeja</v>
          </cell>
          <cell r="D499" t="str">
            <v>SIMPLES</v>
          </cell>
          <cell r="E499" t="str">
            <v>SPARE</v>
          </cell>
          <cell r="F499" t="str">
            <v>Bandeja Inferior Direita Com Pivô Idea Elx 2005 A 2016</v>
          </cell>
        </row>
        <row r="500">
          <cell r="A500">
            <v>112127</v>
          </cell>
          <cell r="B500" t="str">
            <v>AUTOMOTIVO</v>
          </cell>
          <cell r="C500" t="str">
            <v>Bandeja</v>
          </cell>
          <cell r="D500" t="str">
            <v>SIMPLES</v>
          </cell>
          <cell r="E500" t="str">
            <v>SPARE</v>
          </cell>
          <cell r="F500" t="str">
            <v>Bandeja Inferior Esquerda Com Pivô Idea Elx 2005 A 2016</v>
          </cell>
        </row>
        <row r="501">
          <cell r="A501">
            <v>112132</v>
          </cell>
          <cell r="B501" t="str">
            <v>AUTOMOTIVO</v>
          </cell>
          <cell r="C501" t="str">
            <v>Bandeja</v>
          </cell>
          <cell r="D501" t="str">
            <v>SIMPLES</v>
          </cell>
          <cell r="E501" t="str">
            <v>SPARE</v>
          </cell>
          <cell r="F501" t="str">
            <v>Bandeja Dianteira Direita Com Pivô Punto 2008 A 2017</v>
          </cell>
        </row>
        <row r="502">
          <cell r="A502">
            <v>112133</v>
          </cell>
          <cell r="B502" t="str">
            <v>AUTOMOTIVO</v>
          </cell>
          <cell r="C502" t="str">
            <v>Bandeja</v>
          </cell>
          <cell r="D502" t="str">
            <v>SIMPLES</v>
          </cell>
          <cell r="E502" t="str">
            <v>SPARE</v>
          </cell>
          <cell r="F502" t="str">
            <v>Bandeja Dianteira Esquerda Com Pivô Linea 2008 A 2016</v>
          </cell>
        </row>
        <row r="503">
          <cell r="A503">
            <v>205051</v>
          </cell>
          <cell r="B503" t="str">
            <v>AUTOMOTIVO</v>
          </cell>
          <cell r="D503" t="str">
            <v>SIMPLES</v>
          </cell>
        </row>
        <row r="504">
          <cell r="A504">
            <v>221142</v>
          </cell>
          <cell r="B504" t="str">
            <v>AUTOMOTIVO</v>
          </cell>
          <cell r="C504" t="str">
            <v>Cabo de Capô</v>
          </cell>
          <cell r="D504" t="str">
            <v>SIMPLES</v>
          </cell>
          <cell r="E504" t="str">
            <v>MundiFlex</v>
          </cell>
          <cell r="F504" t="str">
            <v>Cabo De Capô Com Alavanca 1623mm Palio 2008 A 2012</v>
          </cell>
        </row>
        <row r="505">
          <cell r="A505">
            <v>222010</v>
          </cell>
          <cell r="B505" t="str">
            <v>AUTOMOTIVO</v>
          </cell>
          <cell r="C505" t="str">
            <v>Bandeja</v>
          </cell>
          <cell r="D505" t="str">
            <v>SIMPLES</v>
          </cell>
          <cell r="E505" t="str">
            <v>SPARE</v>
          </cell>
          <cell r="F505" t="str">
            <v>Braço Oscilante Direito Sem Bucha Apollo 1990 A 1992</v>
          </cell>
        </row>
        <row r="506">
          <cell r="A506">
            <v>222011</v>
          </cell>
          <cell r="B506" t="str">
            <v>AUTOMOTIVO</v>
          </cell>
          <cell r="C506" t="str">
            <v>Bandeja</v>
          </cell>
          <cell r="D506" t="str">
            <v>SIMPLES</v>
          </cell>
          <cell r="E506" t="str">
            <v>SPARE</v>
          </cell>
          <cell r="F506" t="str">
            <v>Braço Oscilante Esquerdo Sem Bucha Escort 1983 A 1996</v>
          </cell>
        </row>
        <row r="507">
          <cell r="A507">
            <v>222014</v>
          </cell>
          <cell r="B507" t="str">
            <v>AUTOMOTIVO</v>
          </cell>
          <cell r="C507" t="str">
            <v>Bandeja</v>
          </cell>
          <cell r="D507" t="str">
            <v>SIMPLES</v>
          </cell>
          <cell r="E507" t="str">
            <v>SPARE</v>
          </cell>
          <cell r="F507" t="str">
            <v>Bandeja Superior Direita Com Pivô Ranger 1998 A 2011</v>
          </cell>
        </row>
        <row r="508">
          <cell r="A508">
            <v>222015</v>
          </cell>
          <cell r="B508" t="str">
            <v>AUTOMOTIVO</v>
          </cell>
          <cell r="C508" t="str">
            <v>Bandeja</v>
          </cell>
          <cell r="D508" t="str">
            <v>SIMPLES</v>
          </cell>
          <cell r="E508" t="str">
            <v>SPARE</v>
          </cell>
          <cell r="F508" t="str">
            <v>Bandeja Superior Esquerda Com Pivô Ranger 1998 A 2011</v>
          </cell>
        </row>
        <row r="509">
          <cell r="A509">
            <v>222016</v>
          </cell>
          <cell r="B509" t="str">
            <v>AUTOMOTIVO</v>
          </cell>
          <cell r="C509" t="str">
            <v>Bandeja</v>
          </cell>
          <cell r="D509" t="str">
            <v>SIMPLES</v>
          </cell>
          <cell r="E509" t="str">
            <v>SPARE</v>
          </cell>
          <cell r="F509" t="str">
            <v>BANDEJA SUPERIOR DIREITA COM PIVÔ RANGER 2012 A 2022</v>
          </cell>
        </row>
        <row r="510">
          <cell r="A510">
            <v>222017</v>
          </cell>
          <cell r="B510" t="str">
            <v>AUTOMOTIVO</v>
          </cell>
          <cell r="C510" t="str">
            <v>Bandeja</v>
          </cell>
          <cell r="D510" t="str">
            <v>SIMPLES</v>
          </cell>
          <cell r="E510" t="str">
            <v>SPARE</v>
          </cell>
          <cell r="F510" t="str">
            <v>Bandeja Superior Esquerda Com Pivô  Ranger 2012 A 2022</v>
          </cell>
        </row>
        <row r="511">
          <cell r="A511">
            <v>222020</v>
          </cell>
          <cell r="B511" t="str">
            <v>AUTOMOTIVO</v>
          </cell>
          <cell r="C511" t="str">
            <v>Bandeja</v>
          </cell>
          <cell r="D511" t="str">
            <v>SIMPLES</v>
          </cell>
          <cell r="E511" t="str">
            <v>SPARE</v>
          </cell>
          <cell r="F511" t="str">
            <v>Bandeja Inferior Direito Ka 1997 Á 1999 Sem Pivô</v>
          </cell>
        </row>
        <row r="512">
          <cell r="A512">
            <v>222021</v>
          </cell>
          <cell r="B512" t="str">
            <v>AUTOMOTIVO</v>
          </cell>
          <cell r="C512" t="str">
            <v>Bandeja</v>
          </cell>
          <cell r="D512" t="str">
            <v>SIMPLES</v>
          </cell>
          <cell r="E512" t="str">
            <v>SPARE</v>
          </cell>
          <cell r="F512" t="str">
            <v>Bandeja Inferior Esquerda Ka Sem Pivô 1996 Á 2007</v>
          </cell>
        </row>
        <row r="513">
          <cell r="A513">
            <v>222022</v>
          </cell>
          <cell r="B513" t="str">
            <v>AUTOMOTIVO</v>
          </cell>
          <cell r="C513" t="str">
            <v>Bandeja</v>
          </cell>
          <cell r="D513" t="str">
            <v>SIMPLES</v>
          </cell>
          <cell r="E513" t="str">
            <v>SPARE</v>
          </cell>
          <cell r="F513" t="str">
            <v>Bandeja Inferior Direito Ka Com Pivô</v>
          </cell>
        </row>
        <row r="514">
          <cell r="A514">
            <v>222023</v>
          </cell>
          <cell r="B514" t="str">
            <v>AUTOMOTIVO</v>
          </cell>
          <cell r="C514" t="str">
            <v>Bandeja</v>
          </cell>
          <cell r="D514" t="str">
            <v>SIMPLES</v>
          </cell>
          <cell r="E514" t="str">
            <v>SPARE</v>
          </cell>
          <cell r="F514" t="str">
            <v>Bandeja Inferior Esquerdo Ka Com Pivô</v>
          </cell>
        </row>
        <row r="515">
          <cell r="A515">
            <v>222028</v>
          </cell>
          <cell r="B515" t="str">
            <v>AUTOMOTIVO</v>
          </cell>
          <cell r="C515" t="str">
            <v>Bandeja</v>
          </cell>
          <cell r="D515" t="str">
            <v>SIMPLES</v>
          </cell>
          <cell r="E515" t="str">
            <v>SPARE</v>
          </cell>
          <cell r="F515" t="str">
            <v>BANDEJA FIESTA 94/95 (importado), KA 00/07 - chapa simples, direção hidraúlica  D/E</v>
          </cell>
        </row>
        <row r="516">
          <cell r="A516">
            <v>222030</v>
          </cell>
          <cell r="B516" t="str">
            <v>AUTOMOTIVO</v>
          </cell>
          <cell r="C516" t="str">
            <v>Bandeja</v>
          </cell>
          <cell r="D516" t="str">
            <v>SIMPLES</v>
          </cell>
          <cell r="E516" t="str">
            <v>SPARE</v>
          </cell>
          <cell r="F516" t="str">
            <v>Bandeja Inferior Chapa Simples Direito Fiesta Sem Pivô</v>
          </cell>
        </row>
        <row r="517">
          <cell r="A517">
            <v>222031</v>
          </cell>
          <cell r="B517" t="str">
            <v>AUTOMOTIVO</v>
          </cell>
          <cell r="C517" t="str">
            <v>Bandeja</v>
          </cell>
          <cell r="D517" t="str">
            <v>SIMPLES</v>
          </cell>
          <cell r="E517" t="str">
            <v>SPARE</v>
          </cell>
          <cell r="F517" t="str">
            <v>Bandeja Inferior Direito Chapa Simples Courier Sem Pivô</v>
          </cell>
        </row>
        <row r="518">
          <cell r="A518">
            <v>222032</v>
          </cell>
          <cell r="B518" t="str">
            <v>AUTOMOTIVO</v>
          </cell>
          <cell r="C518" t="str">
            <v>Bandeja</v>
          </cell>
          <cell r="D518" t="str">
            <v>SIMPLES</v>
          </cell>
          <cell r="E518" t="str">
            <v>SPARE</v>
          </cell>
          <cell r="F518" t="str">
            <v>BANDEJA DIANTEIRA DIREITA COM PIVÔ COURIER 2000 A 2003</v>
          </cell>
        </row>
        <row r="519">
          <cell r="A519">
            <v>222033</v>
          </cell>
          <cell r="B519" t="str">
            <v>AUTOMOTIVO</v>
          </cell>
          <cell r="C519" t="str">
            <v>Bandeja</v>
          </cell>
          <cell r="D519" t="str">
            <v>SIMPLES</v>
          </cell>
          <cell r="E519" t="str">
            <v>SPARE</v>
          </cell>
          <cell r="F519" t="str">
            <v>Bandeja Dianteira Esquerda Com Pivô Fiesta 2000 A 2003</v>
          </cell>
        </row>
        <row r="520">
          <cell r="A520">
            <v>222037</v>
          </cell>
          <cell r="B520" t="str">
            <v>AUTOMOTIVO</v>
          </cell>
          <cell r="C520" t="str">
            <v>Bandeja</v>
          </cell>
          <cell r="D520" t="str">
            <v>SIMPLES</v>
          </cell>
          <cell r="E520" t="str">
            <v>SPARE</v>
          </cell>
          <cell r="F520" t="str">
            <v>Bandeja Inferior Ambos Os Lados Chapa. D Fiesta Street</v>
          </cell>
        </row>
        <row r="521">
          <cell r="A521">
            <v>222051</v>
          </cell>
          <cell r="B521" t="str">
            <v>AUTOMOTIVO</v>
          </cell>
          <cell r="C521" t="str">
            <v>Bandeja</v>
          </cell>
          <cell r="D521" t="str">
            <v>SIMPLES</v>
          </cell>
          <cell r="E521" t="str">
            <v>SPARE</v>
          </cell>
          <cell r="F521" t="str">
            <v>Bandeja Inferior Esquerdo Fiesta Sem Pivô 2003 Á 2009</v>
          </cell>
        </row>
        <row r="522">
          <cell r="A522">
            <v>222052</v>
          </cell>
          <cell r="B522" t="str">
            <v>AUTOMOTIVO</v>
          </cell>
          <cell r="C522" t="str">
            <v>Bandeja</v>
          </cell>
          <cell r="D522" t="str">
            <v>SIMPLES</v>
          </cell>
          <cell r="E522" t="str">
            <v>SPARE</v>
          </cell>
          <cell r="F522" t="str">
            <v>Bandeja Inferior Direito Ecosport Sem Pivô 2003 Á 2011</v>
          </cell>
        </row>
        <row r="523">
          <cell r="A523">
            <v>222053</v>
          </cell>
          <cell r="B523" t="str">
            <v>AUTOMOTIVO</v>
          </cell>
          <cell r="C523" t="str">
            <v>Bandeja</v>
          </cell>
          <cell r="D523" t="str">
            <v>SIMPLES</v>
          </cell>
          <cell r="E523" t="str">
            <v>SPARE</v>
          </cell>
          <cell r="F523" t="str">
            <v>Bandeja Dianteira Direita Com Pivô Ecosport 2003 A 2011</v>
          </cell>
        </row>
        <row r="524">
          <cell r="A524">
            <v>222054</v>
          </cell>
          <cell r="B524" t="str">
            <v>AUTOMOTIVO</v>
          </cell>
          <cell r="C524" t="str">
            <v>Bandeja</v>
          </cell>
          <cell r="D524" t="str">
            <v>SIMPLES</v>
          </cell>
          <cell r="E524" t="str">
            <v>SPARE</v>
          </cell>
          <cell r="F524" t="str">
            <v>Bandeja Dianteira Esquerda Com Pivô Fiesta 2003 A 2009</v>
          </cell>
        </row>
        <row r="525">
          <cell r="A525">
            <v>222061</v>
          </cell>
          <cell r="B525" t="str">
            <v>AUTOMOTIVO</v>
          </cell>
          <cell r="C525" t="str">
            <v>Bandeja</v>
          </cell>
          <cell r="D525" t="str">
            <v>SIMPLES</v>
          </cell>
          <cell r="E525" t="str">
            <v>SPARE</v>
          </cell>
          <cell r="F525" t="str">
            <v>Bandeja Inferior Esquerdo Ka Direção Hidráulica 08 Á 13</v>
          </cell>
        </row>
        <row r="526">
          <cell r="A526">
            <v>222062</v>
          </cell>
          <cell r="B526" t="str">
            <v>AUTOMOTIVO</v>
          </cell>
          <cell r="C526" t="str">
            <v>Bandeja</v>
          </cell>
          <cell r="D526" t="str">
            <v>SIMPLES</v>
          </cell>
          <cell r="E526" t="str">
            <v>SPARE</v>
          </cell>
          <cell r="F526" t="str">
            <v>Bandeja Inferior Direito Ka Direção Hidráulica  08 Á 13</v>
          </cell>
        </row>
        <row r="527">
          <cell r="A527">
            <v>222063</v>
          </cell>
          <cell r="B527" t="str">
            <v>AUTOMOTIVO</v>
          </cell>
          <cell r="C527" t="str">
            <v>Bandeja</v>
          </cell>
          <cell r="D527" t="str">
            <v>SIMPLES</v>
          </cell>
          <cell r="E527" t="str">
            <v>SPARE</v>
          </cell>
          <cell r="F527" t="str">
            <v>Bandeja Inferior Esquerdo Ka Direção Hidráulica Pivô 08 A 13</v>
          </cell>
        </row>
        <row r="528">
          <cell r="A528">
            <v>222064</v>
          </cell>
          <cell r="B528" t="str">
            <v>AUTOMOTIVO</v>
          </cell>
          <cell r="C528" t="str">
            <v>Bandeja</v>
          </cell>
          <cell r="D528" t="str">
            <v>SIMPLES</v>
          </cell>
          <cell r="E528" t="str">
            <v>SPARE</v>
          </cell>
          <cell r="F528" t="str">
            <v>Bandeja Inferior Direito Ka Direção Hidráulica Pivô 08 Á 13</v>
          </cell>
        </row>
        <row r="529">
          <cell r="A529">
            <v>222067</v>
          </cell>
          <cell r="B529" t="str">
            <v>AUTOMOTIVO</v>
          </cell>
          <cell r="C529" t="str">
            <v>Bandeja</v>
          </cell>
          <cell r="D529" t="str">
            <v>SIMPLES</v>
          </cell>
          <cell r="E529" t="str">
            <v>SPARE</v>
          </cell>
          <cell r="F529" t="str">
            <v>BANDEJA INFERIOR DIREITA SEM PIVÔ FOCUS 1999 A 2008</v>
          </cell>
        </row>
        <row r="530">
          <cell r="A530">
            <v>222068</v>
          </cell>
          <cell r="B530" t="str">
            <v>AUTOMOTIVO</v>
          </cell>
          <cell r="C530" t="str">
            <v>Bandeja</v>
          </cell>
          <cell r="D530" t="str">
            <v>SIMPLES</v>
          </cell>
          <cell r="E530" t="str">
            <v>SPARE</v>
          </cell>
          <cell r="F530" t="str">
            <v>BANDEJA INFERIOR ESQUERDA SEM PIVÔ FOCUS 1999 A 2008</v>
          </cell>
        </row>
        <row r="531">
          <cell r="A531">
            <v>222069</v>
          </cell>
          <cell r="B531" t="str">
            <v>AUTOMOTIVO</v>
          </cell>
          <cell r="C531" t="str">
            <v>Bandeja</v>
          </cell>
          <cell r="D531" t="str">
            <v>SIMPLES</v>
          </cell>
          <cell r="E531" t="str">
            <v>SPARE</v>
          </cell>
          <cell r="F531" t="str">
            <v>BANDEJA INFERIOR DIREITA COM PIVÔ FOCUS 1999 A 2008</v>
          </cell>
        </row>
        <row r="532">
          <cell r="A532">
            <v>222070</v>
          </cell>
          <cell r="B532" t="str">
            <v>AUTOMOTIVO</v>
          </cell>
          <cell r="C532" t="str">
            <v>Pastilha Freio</v>
          </cell>
          <cell r="D532" t="str">
            <v>SIMPLES</v>
          </cell>
          <cell r="E532" t="str">
            <v>SPARE</v>
          </cell>
          <cell r="F532" t="str">
            <v>BANDEJA INFERIOR ESQUERDA COM PIVÔ FOCUS 1999 A 2008</v>
          </cell>
        </row>
        <row r="533">
          <cell r="A533">
            <v>222072</v>
          </cell>
          <cell r="B533" t="str">
            <v>AUTOMOTIVO</v>
          </cell>
          <cell r="C533" t="str">
            <v>Bandeja</v>
          </cell>
          <cell r="D533" t="str">
            <v>SIMPLES</v>
          </cell>
          <cell r="E533" t="str">
            <v>SPARE</v>
          </cell>
          <cell r="F533" t="str">
            <v>Bandeja Fiesta 2008 A 2014 Lado Direito Sem pivô</v>
          </cell>
        </row>
        <row r="534">
          <cell r="A534">
            <v>222073</v>
          </cell>
          <cell r="B534" t="str">
            <v>AUTOMOTIVO</v>
          </cell>
          <cell r="C534" t="str">
            <v>Bandeja</v>
          </cell>
          <cell r="D534" t="str">
            <v>SIMPLES</v>
          </cell>
          <cell r="E534" t="str">
            <v>SPARE</v>
          </cell>
          <cell r="F534" t="str">
            <v>Bandeja Fiesta 2008 A 2014 Lado Esquerdo Sem pivô</v>
          </cell>
        </row>
        <row r="535">
          <cell r="A535">
            <v>222074</v>
          </cell>
          <cell r="B535" t="str">
            <v>AUTOMOTIVO</v>
          </cell>
          <cell r="C535" t="str">
            <v>Bandeja</v>
          </cell>
          <cell r="D535" t="str">
            <v>SIMPLES</v>
          </cell>
          <cell r="E535" t="str">
            <v>SPARE</v>
          </cell>
          <cell r="F535" t="str">
            <v>Bandeja Inferior Esquerdo Ecosport Sem Pivô</v>
          </cell>
        </row>
        <row r="536">
          <cell r="A536">
            <v>222075</v>
          </cell>
          <cell r="B536" t="str">
            <v>AUTOMOTIVO</v>
          </cell>
          <cell r="C536" t="str">
            <v>Bandeja</v>
          </cell>
          <cell r="D536" t="str">
            <v>SIMPLES</v>
          </cell>
          <cell r="E536" t="str">
            <v>SPARE</v>
          </cell>
          <cell r="F536" t="str">
            <v>Bandeja Inferior Direito Ecosport Sem Pivô</v>
          </cell>
        </row>
        <row r="537">
          <cell r="A537">
            <v>222076</v>
          </cell>
          <cell r="B537" t="str">
            <v>AUTOMOTIVO</v>
          </cell>
          <cell r="C537" t="str">
            <v>Bandeja</v>
          </cell>
          <cell r="D537" t="str">
            <v>SIMPLES</v>
          </cell>
          <cell r="E537" t="str">
            <v>SPARE</v>
          </cell>
          <cell r="F537" t="str">
            <v>Bandeja Inferior Direito Ecosport Com Pivô 2012 Em Diante</v>
          </cell>
        </row>
        <row r="538">
          <cell r="A538">
            <v>222077</v>
          </cell>
          <cell r="B538" t="str">
            <v>AUTOMOTIVO</v>
          </cell>
          <cell r="C538" t="str">
            <v>Bandeja</v>
          </cell>
          <cell r="D538" t="str">
            <v>SIMPLES</v>
          </cell>
          <cell r="E538" t="str">
            <v>SPARE</v>
          </cell>
          <cell r="F538" t="str">
            <v>Bandeja Inferior Esquerdo Ecosport Com Pivô</v>
          </cell>
        </row>
        <row r="539">
          <cell r="A539">
            <v>222080</v>
          </cell>
          <cell r="B539" t="str">
            <v>AUTOMOTIVO</v>
          </cell>
          <cell r="D539" t="str">
            <v>SIMPLES</v>
          </cell>
        </row>
        <row r="540">
          <cell r="A540">
            <v>222081</v>
          </cell>
          <cell r="B540" t="str">
            <v>AUTOMOTIVO</v>
          </cell>
          <cell r="D540" t="str">
            <v>SIMPLES</v>
          </cell>
        </row>
        <row r="541">
          <cell r="A541">
            <v>222082</v>
          </cell>
          <cell r="B541" t="str">
            <v>AUTOMOTIVO</v>
          </cell>
          <cell r="C541" t="str">
            <v>Bandeja</v>
          </cell>
          <cell r="D541" t="str">
            <v>SIMPLES</v>
          </cell>
          <cell r="E541" t="str">
            <v>SPARE</v>
          </cell>
          <cell r="F541" t="str">
            <v>BANDEJA DIANTEIRA DIREITA KA 2014 A 2020 COM PIVÔ</v>
          </cell>
        </row>
        <row r="542">
          <cell r="A542">
            <v>222083</v>
          </cell>
          <cell r="B542" t="str">
            <v>AUTOMOTIVO</v>
          </cell>
          <cell r="C542" t="str">
            <v>Bandeja</v>
          </cell>
          <cell r="D542" t="str">
            <v>SIMPLES</v>
          </cell>
          <cell r="E542" t="str">
            <v>SPARE</v>
          </cell>
          <cell r="F542" t="str">
            <v>Bandeja Dianteira Esquerda New Fiesta 2011 A 2018 Com Pivô</v>
          </cell>
        </row>
        <row r="543">
          <cell r="A543">
            <v>222090</v>
          </cell>
          <cell r="B543" t="str">
            <v>AUTOMOTIVO</v>
          </cell>
          <cell r="D543" t="str">
            <v>SIMPLES</v>
          </cell>
        </row>
        <row r="544">
          <cell r="A544">
            <v>222091</v>
          </cell>
          <cell r="B544" t="str">
            <v>AUTOMOTIVO</v>
          </cell>
          <cell r="D544" t="str">
            <v>SIMPLES</v>
          </cell>
        </row>
        <row r="545">
          <cell r="A545">
            <v>222092</v>
          </cell>
          <cell r="B545" t="str">
            <v>AUTOMOTIVO</v>
          </cell>
          <cell r="D545" t="str">
            <v>SIMPLES</v>
          </cell>
        </row>
        <row r="546">
          <cell r="A546">
            <v>222093</v>
          </cell>
          <cell r="B546" t="str">
            <v>AUTOMOTIVO</v>
          </cell>
          <cell r="D546" t="str">
            <v>SIMPLES</v>
          </cell>
        </row>
        <row r="547">
          <cell r="A547">
            <v>222094</v>
          </cell>
          <cell r="B547" t="str">
            <v>AUTOMOTIVO</v>
          </cell>
          <cell r="C547" t="str">
            <v>Bandeja</v>
          </cell>
          <cell r="D547" t="str">
            <v>SIMPLES</v>
          </cell>
          <cell r="E547" t="str">
            <v>SPARE</v>
          </cell>
          <cell r="F547" t="str">
            <v>Bandeja Traseira Direita Fusion 2006 A 2009</v>
          </cell>
        </row>
        <row r="548">
          <cell r="A548">
            <v>222096</v>
          </cell>
          <cell r="B548" t="str">
            <v>AUTOMOTIVO</v>
          </cell>
          <cell r="C548" t="str">
            <v>Bandeja</v>
          </cell>
          <cell r="D548" t="str">
            <v>SIMPLES</v>
          </cell>
          <cell r="E548" t="str">
            <v>SPARE</v>
          </cell>
          <cell r="F548" t="str">
            <v>BANDEJA SUPERIOR DIREITA COM PIVÔ FUSION 2007 A 2012</v>
          </cell>
        </row>
        <row r="549">
          <cell r="A549">
            <v>222097</v>
          </cell>
          <cell r="B549" t="str">
            <v>AUTOMOTIVO</v>
          </cell>
          <cell r="C549" t="str">
            <v>Bandeja</v>
          </cell>
          <cell r="D549" t="str">
            <v>SIMPLES</v>
          </cell>
          <cell r="E549" t="str">
            <v>SPARE</v>
          </cell>
          <cell r="F549" t="str">
            <v>BANDEJA SUPERIOR ESQUERDA COM PIVÔ FUSION 2007 A 2012</v>
          </cell>
        </row>
        <row r="550">
          <cell r="A550">
            <v>222098</v>
          </cell>
          <cell r="B550" t="str">
            <v>AUTOMOTIVO</v>
          </cell>
          <cell r="D550" t="str">
            <v>SIMPLES</v>
          </cell>
        </row>
        <row r="551">
          <cell r="A551">
            <v>222099</v>
          </cell>
          <cell r="B551" t="str">
            <v>AUTOMOTIVO</v>
          </cell>
          <cell r="C551" t="str">
            <v>Bandeja</v>
          </cell>
          <cell r="D551" t="str">
            <v>SIMPLES</v>
          </cell>
          <cell r="E551" t="str">
            <v>SPARE</v>
          </cell>
          <cell r="F551" t="str">
            <v>BANDEJA INFERIOR TRASEIRA AMBOS LADOS ESCORT ATÉ 1992</v>
          </cell>
        </row>
        <row r="552">
          <cell r="A552">
            <v>222102</v>
          </cell>
          <cell r="B552" t="str">
            <v>AUTOMOTIVO</v>
          </cell>
          <cell r="C552" t="str">
            <v>Bandeja</v>
          </cell>
          <cell r="D552" t="str">
            <v>SIMPLES</v>
          </cell>
          <cell r="E552" t="str">
            <v>SPARE</v>
          </cell>
          <cell r="F552" t="str">
            <v>Bandeja Inferior Direita Com Pivô Focus 2009 A 2012</v>
          </cell>
        </row>
        <row r="553">
          <cell r="A553">
            <v>222103</v>
          </cell>
          <cell r="B553" t="str">
            <v>AUTOMOTIVO</v>
          </cell>
          <cell r="C553" t="str">
            <v>Bandeja</v>
          </cell>
          <cell r="D553" t="str">
            <v>SIMPLES</v>
          </cell>
          <cell r="E553" t="str">
            <v>SPARE</v>
          </cell>
          <cell r="F553" t="str">
            <v>Bandeja Inferior Esquerda Com Pivô Focus 2009 A 2012</v>
          </cell>
        </row>
        <row r="554">
          <cell r="A554">
            <v>222104</v>
          </cell>
          <cell r="B554" t="str">
            <v>AUTOMOTIVO</v>
          </cell>
          <cell r="C554" t="str">
            <v>Bandeja</v>
          </cell>
          <cell r="D554" t="str">
            <v>SIMPLES</v>
          </cell>
          <cell r="E554" t="str">
            <v>SPARE</v>
          </cell>
          <cell r="F554" t="str">
            <v>Bandeja Fiesta 2008 A 2014 Lado Direito Com pivô</v>
          </cell>
        </row>
        <row r="555">
          <cell r="A555">
            <v>222105</v>
          </cell>
          <cell r="B555" t="str">
            <v>AUTOMOTIVO</v>
          </cell>
          <cell r="C555" t="str">
            <v>Bandeja</v>
          </cell>
          <cell r="D555" t="str">
            <v>SIMPLES</v>
          </cell>
          <cell r="E555" t="str">
            <v>SPARE</v>
          </cell>
          <cell r="F555" t="str">
            <v>Bandeja Fiesta 2008 A 2014 Lado Esquerdo Com pivô</v>
          </cell>
        </row>
        <row r="556">
          <cell r="A556">
            <v>222108</v>
          </cell>
          <cell r="B556" t="str">
            <v>AUTOMOTIVO</v>
          </cell>
          <cell r="C556" t="str">
            <v>Bandeja</v>
          </cell>
          <cell r="D556" t="str">
            <v>SIMPLES</v>
          </cell>
          <cell r="E556" t="str">
            <v>SPARE</v>
          </cell>
          <cell r="F556" t="str">
            <v>Braço Da Suspensão Inferior Fusion 2006 A 2012</v>
          </cell>
        </row>
        <row r="557">
          <cell r="A557">
            <v>222109</v>
          </cell>
          <cell r="B557" t="str">
            <v>AUTOMOTIVO</v>
          </cell>
          <cell r="C557" t="str">
            <v>Bandeja</v>
          </cell>
          <cell r="D557" t="str">
            <v>SIMPLES</v>
          </cell>
          <cell r="E557" t="str">
            <v>SPARE</v>
          </cell>
          <cell r="F557" t="str">
            <v>Braço Curvo Direito Dianteiro Com Pivô Fusion 2007 A 2012</v>
          </cell>
        </row>
        <row r="558">
          <cell r="A558">
            <v>222110</v>
          </cell>
          <cell r="B558" t="str">
            <v>AUTOMOTIVO</v>
          </cell>
          <cell r="C558" t="str">
            <v>Bandeja</v>
          </cell>
          <cell r="D558" t="str">
            <v>SIMPLES</v>
          </cell>
          <cell r="E558" t="str">
            <v>SPARE</v>
          </cell>
          <cell r="F558" t="str">
            <v>BRAÇO CURVO TRASEIRO BUMERANGUE FUSION 2006 A 2012</v>
          </cell>
        </row>
        <row r="559">
          <cell r="A559">
            <v>222111</v>
          </cell>
          <cell r="B559" t="str">
            <v>AUTOMOTIVO</v>
          </cell>
          <cell r="C559" t="str">
            <v>Bandeja</v>
          </cell>
          <cell r="D559" t="str">
            <v>SIMPLES</v>
          </cell>
          <cell r="E559" t="str">
            <v>SPARE</v>
          </cell>
          <cell r="F559" t="str">
            <v>BRAÇO CURVO TRASEIRO BUMERANGUE FUSION 2006 A 2012</v>
          </cell>
        </row>
        <row r="560">
          <cell r="A560">
            <v>222203</v>
          </cell>
          <cell r="B560" t="str">
            <v>AUTOMOTIVO</v>
          </cell>
          <cell r="C560" t="str">
            <v>Cabo de Freio</v>
          </cell>
          <cell r="D560" t="str">
            <v>SIMPLES</v>
          </cell>
          <cell r="E560" t="str">
            <v>MundiFlex</v>
          </cell>
          <cell r="F560" t="str">
            <v>Cabo De Freio Dianteiro Journey 2009 A 2016</v>
          </cell>
        </row>
        <row r="561">
          <cell r="A561">
            <v>222308</v>
          </cell>
          <cell r="B561" t="str">
            <v>AUTOMOTIVO</v>
          </cell>
          <cell r="C561" t="str">
            <v>Bandeja</v>
          </cell>
          <cell r="D561" t="str">
            <v>SIMPLES</v>
          </cell>
          <cell r="E561" t="str">
            <v>SPARE</v>
          </cell>
          <cell r="F561" t="str">
            <v>Bandeja Inferior Direita Com Pivô Edge 2008 A 2015</v>
          </cell>
        </row>
        <row r="562">
          <cell r="A562">
            <v>222309</v>
          </cell>
          <cell r="B562" t="str">
            <v>AUTOMOTIVO</v>
          </cell>
          <cell r="C562" t="str">
            <v>Bandeja</v>
          </cell>
          <cell r="D562" t="str">
            <v>SIMPLES</v>
          </cell>
          <cell r="E562" t="str">
            <v>SPARE</v>
          </cell>
          <cell r="F562" t="str">
            <v>Bandeja Inferior Esquerda Com Pivô Edge 2008 A 2015</v>
          </cell>
        </row>
        <row r="563">
          <cell r="A563">
            <v>222310</v>
          </cell>
          <cell r="B563" t="str">
            <v>AUTOMOTIVO</v>
          </cell>
          <cell r="C563" t="str">
            <v>Pastilha Freio</v>
          </cell>
          <cell r="D563" t="str">
            <v>SIMPLES</v>
          </cell>
          <cell r="E563" t="str">
            <v>SPARE</v>
          </cell>
          <cell r="F563" t="str">
            <v>BANDEJA INFERIOR ESQUERDA SEM PIVÔ FOCUS 2009 A 2012</v>
          </cell>
        </row>
        <row r="564">
          <cell r="A564">
            <v>222311</v>
          </cell>
          <cell r="B564" t="str">
            <v>AUTOMOTIVO</v>
          </cell>
          <cell r="C564" t="str">
            <v>Bandeja</v>
          </cell>
          <cell r="D564" t="str">
            <v>SIMPLES</v>
          </cell>
          <cell r="E564" t="str">
            <v>SPARE</v>
          </cell>
          <cell r="F564" t="str">
            <v>BANDEJA INFERIOR DIREITA SEM PIVÔ FOCUS 2009 A 2012</v>
          </cell>
        </row>
        <row r="565">
          <cell r="A565">
            <v>222312</v>
          </cell>
          <cell r="B565" t="str">
            <v>AUTOMOTIVO</v>
          </cell>
          <cell r="C565" t="str">
            <v>Bandeja</v>
          </cell>
          <cell r="D565" t="str">
            <v>SIMPLES</v>
          </cell>
          <cell r="E565" t="str">
            <v>SPARE</v>
          </cell>
          <cell r="F565" t="str">
            <v>BANDEJA INFERIOR DIREITA COM PIVÔ FOCUS 2013 A 2018</v>
          </cell>
        </row>
        <row r="566">
          <cell r="A566">
            <v>222313</v>
          </cell>
          <cell r="B566" t="str">
            <v>AUTOMOTIVO</v>
          </cell>
          <cell r="C566" t="str">
            <v>Pastilha Freio</v>
          </cell>
          <cell r="D566" t="str">
            <v>SIMPLES</v>
          </cell>
          <cell r="E566" t="str">
            <v>SPARE</v>
          </cell>
          <cell r="F566" t="str">
            <v>BANDEJA INFERIOR ESQUERDA COM PIVÔ FOCUS 2013 A 2018</v>
          </cell>
        </row>
        <row r="567">
          <cell r="A567">
            <v>222314</v>
          </cell>
          <cell r="B567" t="str">
            <v>AUTOMOTIVO</v>
          </cell>
          <cell r="C567" t="str">
            <v>Bandeja</v>
          </cell>
          <cell r="D567" t="str">
            <v>SIMPLES</v>
          </cell>
          <cell r="E567" t="str">
            <v>SPARE</v>
          </cell>
          <cell r="F567" t="str">
            <v>BANDEJA INFERIOR DIREITA SEM PIVÔ FOCUS 2013 A 2018</v>
          </cell>
        </row>
        <row r="568">
          <cell r="A568">
            <v>222315</v>
          </cell>
          <cell r="B568" t="str">
            <v>AUTOMOTIVO</v>
          </cell>
          <cell r="C568" t="str">
            <v>Pastilha Freio</v>
          </cell>
          <cell r="D568" t="str">
            <v>SIMPLES</v>
          </cell>
          <cell r="E568" t="str">
            <v>SPARE</v>
          </cell>
          <cell r="F568" t="str">
            <v>BANDEJA INFERIOR ESQUERDA SEM PIVÔ FOCUS 2013 A 2018</v>
          </cell>
        </row>
        <row r="569">
          <cell r="A569">
            <v>225051</v>
          </cell>
          <cell r="B569" t="str">
            <v>AUTOMOTIVO</v>
          </cell>
          <cell r="C569" t="str">
            <v>Cabo Câmbio</v>
          </cell>
          <cell r="D569" t="str">
            <v>SIMPLES</v>
          </cell>
          <cell r="E569" t="str">
            <v>Importação</v>
          </cell>
          <cell r="F569" t="str">
            <v>Cabo De Marcha Hyundai Hr 2005 A 2012</v>
          </cell>
        </row>
        <row r="570">
          <cell r="A570">
            <v>225052</v>
          </cell>
          <cell r="B570" t="str">
            <v>AUTOMOTIVO</v>
          </cell>
          <cell r="C570" t="str">
            <v>Cabo Câmbio</v>
          </cell>
          <cell r="D570" t="str">
            <v>SIMPLES</v>
          </cell>
          <cell r="E570" t="str">
            <v>Importação</v>
          </cell>
          <cell r="F570" t="str">
            <v>Cabo De Marcha Engate E Seleção Hyundai Hr 2013 Em Diante</v>
          </cell>
        </row>
        <row r="571">
          <cell r="A571">
            <v>226009</v>
          </cell>
          <cell r="B571" t="str">
            <v>AUTOMOTIVO</v>
          </cell>
          <cell r="C571" t="str">
            <v>Cabo Embreagem</v>
          </cell>
          <cell r="D571" t="str">
            <v>SIMPLES</v>
          </cell>
          <cell r="E571" t="str">
            <v>Importação</v>
          </cell>
          <cell r="F571" t="str">
            <v>Cabo De Embreagem Sandero 2004 Em Diante 1.6 16v</v>
          </cell>
        </row>
        <row r="572">
          <cell r="A572">
            <v>226102</v>
          </cell>
          <cell r="B572" t="str">
            <v>AUTOMOTIVO</v>
          </cell>
          <cell r="C572" t="str">
            <v>Cabo de Acelerador</v>
          </cell>
          <cell r="D572" t="str">
            <v>SIMPLES</v>
          </cell>
          <cell r="E572" t="str">
            <v>Importação</v>
          </cell>
          <cell r="F572" t="str">
            <v>Cabo De Acelerador Clio I I Motor 1.0 1.6 16v</v>
          </cell>
        </row>
        <row r="573">
          <cell r="A573">
            <v>226103</v>
          </cell>
          <cell r="B573" t="str">
            <v>AUTOMOTIVO</v>
          </cell>
          <cell r="C573" t="str">
            <v>Cabo de Acelerador</v>
          </cell>
          <cell r="D573" t="str">
            <v>SIMPLES</v>
          </cell>
          <cell r="E573" t="str">
            <v>Importação</v>
          </cell>
          <cell r="F573" t="str">
            <v>Cabo De Acelerador Scenic 1996 Em Diante 1.6 2.0</v>
          </cell>
        </row>
        <row r="574">
          <cell r="A574">
            <v>226106</v>
          </cell>
          <cell r="B574" t="str">
            <v>AUTOMOTIVO</v>
          </cell>
          <cell r="C574" t="str">
            <v>Cabo de Acelerador</v>
          </cell>
          <cell r="D574" t="str">
            <v>SIMPLES</v>
          </cell>
          <cell r="E574" t="str">
            <v>Importação</v>
          </cell>
          <cell r="F574" t="str">
            <v>Cabo De Acelerador Clio I I 1999 Em Diante 1.0 8v</v>
          </cell>
        </row>
        <row r="575">
          <cell r="A575">
            <v>227200</v>
          </cell>
          <cell r="B575" t="str">
            <v>AUTOMOTIVO</v>
          </cell>
          <cell r="C575" t="str">
            <v>Cabo Embreagem</v>
          </cell>
          <cell r="D575" t="str">
            <v>SIMPLES</v>
          </cell>
          <cell r="E575" t="str">
            <v>Importação</v>
          </cell>
          <cell r="F575" t="str">
            <v>Cabo De Embreagem 206 1.0 16v Chassi .../9456 - Reg. Manual</v>
          </cell>
        </row>
        <row r="576">
          <cell r="A576">
            <v>227201</v>
          </cell>
          <cell r="B576" t="str">
            <v>AUTOMOTIVO</v>
          </cell>
          <cell r="C576" t="str">
            <v>Cabo Embreagem</v>
          </cell>
          <cell r="D576" t="str">
            <v>SIMPLES</v>
          </cell>
          <cell r="E576" t="str">
            <v>Importação</v>
          </cell>
          <cell r="F576" t="str">
            <v>Cabo Embreagem (regulagem Manual) Peugeot 206 1999 Em Diante</v>
          </cell>
        </row>
        <row r="577">
          <cell r="A577">
            <v>227203</v>
          </cell>
          <cell r="B577" t="str">
            <v>AUTOMOTIVO</v>
          </cell>
          <cell r="C577" t="str">
            <v>Cabo Embreagem</v>
          </cell>
          <cell r="D577" t="str">
            <v>SIMPLES</v>
          </cell>
          <cell r="E577" t="str">
            <v>Importação</v>
          </cell>
          <cell r="F577" t="str">
            <v>Cabo De Embreagem Peugeot 206 Até 03 1.1 1.3 1.6 Reg Manual</v>
          </cell>
        </row>
        <row r="578">
          <cell r="A578">
            <v>227205</v>
          </cell>
          <cell r="B578" t="str">
            <v>AUTOMOTIVO</v>
          </cell>
          <cell r="C578" t="str">
            <v>Cabo Embreagem</v>
          </cell>
          <cell r="D578" t="str">
            <v>SIMPLES</v>
          </cell>
          <cell r="E578" t="str">
            <v>Importação</v>
          </cell>
          <cell r="F578" t="str">
            <v>Cabo De Embreagem 206 1.0 16v D4d 1060mm Regulagem Manual</v>
          </cell>
        </row>
        <row r="579">
          <cell r="A579">
            <v>227206</v>
          </cell>
          <cell r="B579" t="str">
            <v>AUTOMOTIVO</v>
          </cell>
          <cell r="C579" t="str">
            <v>Cabo Embreagem</v>
          </cell>
          <cell r="D579" t="str">
            <v>SIMPLES</v>
          </cell>
          <cell r="E579" t="str">
            <v>Importação</v>
          </cell>
          <cell r="F579" t="str">
            <v>Cabo De Embreagem Peugeot 206 1.1 / 1.3 / 1.6 Chassi 9683/..</v>
          </cell>
        </row>
        <row r="580">
          <cell r="A580">
            <v>229012</v>
          </cell>
          <cell r="B580" t="str">
            <v>AUTOMOTIVO</v>
          </cell>
          <cell r="C580" t="str">
            <v>Cabo de Velocímetro</v>
          </cell>
          <cell r="D580" t="str">
            <v>SIMPLES</v>
          </cell>
          <cell r="E580" t="str">
            <v>Importação</v>
          </cell>
          <cell r="F580" t="str">
            <v>Cabo De Velocímetro Mitsubishi L200 Sport 2003 Em Diante</v>
          </cell>
        </row>
        <row r="581">
          <cell r="A581">
            <v>229051</v>
          </cell>
          <cell r="B581" t="str">
            <v>AUTOMOTIVO</v>
          </cell>
          <cell r="C581" t="str">
            <v>Cabo de Acelerador</v>
          </cell>
          <cell r="D581" t="str">
            <v>SIMPLES</v>
          </cell>
          <cell r="E581" t="str">
            <v>Importação</v>
          </cell>
          <cell r="F581" t="str">
            <v>Cabo De Acelerador Mitsubishi L200 Sport 2003 Em Diante</v>
          </cell>
        </row>
        <row r="582">
          <cell r="A582">
            <v>302011</v>
          </cell>
          <cell r="B582" t="str">
            <v>AUTOMOTIVO</v>
          </cell>
          <cell r="C582" t="str">
            <v>Bandeja</v>
          </cell>
          <cell r="D582" t="str">
            <v>SIMPLES</v>
          </cell>
          <cell r="E582" t="str">
            <v>SPARE</v>
          </cell>
          <cell r="F582" t="str">
            <v>Braço Da Suspensão Esquerdo Corsa Classic Sem Pivô</v>
          </cell>
        </row>
        <row r="583">
          <cell r="A583">
            <v>330074</v>
          </cell>
          <cell r="B583" t="str">
            <v>AUTOMOTIVO</v>
          </cell>
          <cell r="C583" t="str">
            <v>AMORTECEDOR SUSPENSÃO</v>
          </cell>
          <cell r="D583" t="str">
            <v>SIMPLES</v>
          </cell>
          <cell r="E583" t="str">
            <v>SPARE</v>
          </cell>
          <cell r="F583" t="str">
            <v>PAR AMORTECEDOR DIANTEIRO FIESTA 1996 A 2001</v>
          </cell>
        </row>
        <row r="584">
          <cell r="A584">
            <v>330100</v>
          </cell>
          <cell r="B584" t="str">
            <v>AUTOMOTIVO</v>
          </cell>
          <cell r="D584" t="str">
            <v>SIMPLES</v>
          </cell>
        </row>
        <row r="585">
          <cell r="A585">
            <v>330101</v>
          </cell>
          <cell r="B585" t="str">
            <v>AUTOMOTIVO</v>
          </cell>
          <cell r="D585" t="str">
            <v>SIMPLES</v>
          </cell>
        </row>
        <row r="586">
          <cell r="A586">
            <v>330112</v>
          </cell>
          <cell r="B586" t="str">
            <v>AUTOMOTIVO</v>
          </cell>
          <cell r="C586" t="str">
            <v>Bandeja</v>
          </cell>
          <cell r="D586" t="str">
            <v>SIMPLES</v>
          </cell>
          <cell r="E586" t="str">
            <v>SPARE</v>
          </cell>
          <cell r="F586" t="str">
            <v>Par Bandeja Inferior Traseira Escort Até 1992</v>
          </cell>
        </row>
        <row r="587">
          <cell r="A587">
            <v>330178</v>
          </cell>
          <cell r="B587" t="str">
            <v>AUTOMOTIVO</v>
          </cell>
          <cell r="D587" t="str">
            <v>SIMPLES</v>
          </cell>
        </row>
        <row r="588">
          <cell r="A588">
            <v>330179</v>
          </cell>
          <cell r="B588" t="str">
            <v>AUTOMOTIVO</v>
          </cell>
          <cell r="D588" t="str">
            <v>SIMPLES</v>
          </cell>
        </row>
        <row r="589">
          <cell r="A589">
            <v>330214</v>
          </cell>
          <cell r="B589" t="str">
            <v>AUTOMOTIVO</v>
          </cell>
          <cell r="C589" t="str">
            <v>AMORTECEDOR SUSPENSÃO</v>
          </cell>
          <cell r="D589" t="str">
            <v>SIMPLES</v>
          </cell>
          <cell r="E589" t="str">
            <v>SPARE</v>
          </cell>
          <cell r="F589" t="str">
            <v>Par Amortecedor  Dianteiro Kangoo 1999 A 2012</v>
          </cell>
        </row>
        <row r="590">
          <cell r="A590">
            <v>330233</v>
          </cell>
          <cell r="B590" t="str">
            <v>AUTOMOTIVO</v>
          </cell>
          <cell r="C590" t="str">
            <v>AMORTECEDOR SUSPENSÃO</v>
          </cell>
          <cell r="D590" t="str">
            <v>SIMPLES</v>
          </cell>
          <cell r="E590" t="str">
            <v>SPARE</v>
          </cell>
          <cell r="F590" t="str">
            <v>Par Amortecedor  Dianteiro Megane Grand Tour 2006 A 2010</v>
          </cell>
        </row>
        <row r="591">
          <cell r="A591">
            <v>330254</v>
          </cell>
          <cell r="B591" t="str">
            <v>AUTOMOTIVO</v>
          </cell>
          <cell r="D591" t="str">
            <v>SIMPLES</v>
          </cell>
        </row>
        <row r="592">
          <cell r="A592">
            <v>330314</v>
          </cell>
          <cell r="B592" t="str">
            <v>AUTOMOTIVO</v>
          </cell>
          <cell r="C592" t="str">
            <v>AMORTECEDOR SUSPENSÃO</v>
          </cell>
          <cell r="D592" t="str">
            <v>SIMPLES</v>
          </cell>
          <cell r="E592" t="str">
            <v>SPARE</v>
          </cell>
          <cell r="F592" t="str">
            <v>Par Amortecedor Dianteiro Sandero Logan</v>
          </cell>
        </row>
        <row r="593">
          <cell r="A593">
            <v>330351</v>
          </cell>
          <cell r="B593" t="str">
            <v>AUTOMOTIVO</v>
          </cell>
          <cell r="D593" t="str">
            <v>SIMPLES</v>
          </cell>
        </row>
        <row r="594">
          <cell r="A594">
            <v>331050</v>
          </cell>
          <cell r="B594" t="str">
            <v>AUTOMOTIVO</v>
          </cell>
          <cell r="D594" t="str">
            <v>SIMPLES</v>
          </cell>
        </row>
        <row r="595">
          <cell r="A595">
            <v>331051</v>
          </cell>
          <cell r="B595" t="str">
            <v>AUTOMOTIVO</v>
          </cell>
          <cell r="D595" t="str">
            <v>SIMPLES</v>
          </cell>
        </row>
        <row r="596">
          <cell r="A596">
            <v>332000</v>
          </cell>
          <cell r="B596" t="str">
            <v>AUTOMOTIVO</v>
          </cell>
          <cell r="C596" t="str">
            <v>Bandeja</v>
          </cell>
          <cell r="D596" t="str">
            <v>SIMPLES</v>
          </cell>
          <cell r="E596" t="str">
            <v>SPARE</v>
          </cell>
          <cell r="F596" t="str">
            <v>Bandeja Inferior Direita Sem Pivô Chevy 500 1984 A 1995</v>
          </cell>
        </row>
        <row r="597">
          <cell r="A597">
            <v>332001</v>
          </cell>
          <cell r="B597" t="str">
            <v>AUTOMOTIVO</v>
          </cell>
          <cell r="C597" t="str">
            <v>Bandeja</v>
          </cell>
          <cell r="D597" t="str">
            <v>SIMPLES</v>
          </cell>
          <cell r="E597" t="str">
            <v>SPARE</v>
          </cell>
          <cell r="F597" t="str">
            <v>Bandeja Inferior Esquerda Sem Pivô Marajó 1973 A 1993</v>
          </cell>
        </row>
        <row r="598">
          <cell r="A598">
            <v>332002</v>
          </cell>
          <cell r="B598" t="str">
            <v>AUTOMOTIVO</v>
          </cell>
          <cell r="C598" t="str">
            <v>Bandeja</v>
          </cell>
          <cell r="D598" t="str">
            <v>SIMPLES</v>
          </cell>
          <cell r="E598" t="str">
            <v>SPARE</v>
          </cell>
          <cell r="F598" t="str">
            <v>Bandeja Superior Direito Sem Pivô Chevy 500 1984 À 1995</v>
          </cell>
        </row>
        <row r="599">
          <cell r="A599">
            <v>332003</v>
          </cell>
          <cell r="B599" t="str">
            <v>AUTOMOTIVO</v>
          </cell>
          <cell r="C599" t="str">
            <v>Bandeja</v>
          </cell>
          <cell r="D599" t="str">
            <v>SIMPLES</v>
          </cell>
          <cell r="E599" t="str">
            <v>SPARE</v>
          </cell>
          <cell r="F599" t="str">
            <v>Bandeja Superior Esquerda Chevrolet Chevette</v>
          </cell>
        </row>
        <row r="600">
          <cell r="A600">
            <v>332005</v>
          </cell>
          <cell r="B600" t="str">
            <v>AUTOMOTIVO</v>
          </cell>
          <cell r="D600" t="str">
            <v>SIMPLES</v>
          </cell>
        </row>
        <row r="601">
          <cell r="A601">
            <v>332006</v>
          </cell>
          <cell r="B601" t="str">
            <v>AUTOMOTIVO</v>
          </cell>
          <cell r="D601" t="str">
            <v>SIMPLES</v>
          </cell>
        </row>
        <row r="602">
          <cell r="A602">
            <v>332007</v>
          </cell>
          <cell r="B602" t="str">
            <v>AUTOMOTIVO</v>
          </cell>
          <cell r="C602" t="str">
            <v>Bandeja</v>
          </cell>
          <cell r="D602" t="str">
            <v>SIMPLES</v>
          </cell>
          <cell r="E602" t="str">
            <v>SPARE</v>
          </cell>
          <cell r="F602" t="str">
            <v>Bandeja Direita Inferior Sem Pivô Kadett 1989 A 1998</v>
          </cell>
        </row>
        <row r="603">
          <cell r="A603">
            <v>332008</v>
          </cell>
          <cell r="B603" t="str">
            <v>AUTOMOTIVO</v>
          </cell>
          <cell r="C603" t="str">
            <v>Bandeja</v>
          </cell>
          <cell r="D603" t="str">
            <v>SIMPLES</v>
          </cell>
          <cell r="E603" t="str">
            <v>SPARE</v>
          </cell>
          <cell r="F603" t="str">
            <v>Bandeja Esquerda Inferior Sem Pivô Kadett 1989 A 1998</v>
          </cell>
        </row>
        <row r="604">
          <cell r="A604">
            <v>332010</v>
          </cell>
          <cell r="B604" t="str">
            <v>AUTOMOTIVO</v>
          </cell>
          <cell r="C604" t="str">
            <v>Bandeja</v>
          </cell>
          <cell r="D604" t="str">
            <v>SIMPLES</v>
          </cell>
          <cell r="E604" t="str">
            <v>SPARE</v>
          </cell>
          <cell r="F604" t="str">
            <v>Braço Da Suspensão Direito Corsa Wagon Sem Pivô 1995 A 1997</v>
          </cell>
        </row>
        <row r="605">
          <cell r="A605">
            <v>332011</v>
          </cell>
          <cell r="B605" t="str">
            <v>AUTOMOTIVO</v>
          </cell>
          <cell r="C605" t="str">
            <v>Bandeja</v>
          </cell>
          <cell r="D605" t="str">
            <v>SIMPLES</v>
          </cell>
          <cell r="E605" t="str">
            <v>SPARE</v>
          </cell>
          <cell r="F605" t="str">
            <v>Braço Suspensão Esquerdo Corsa Wagon Sem Pivô 1995 A 1997</v>
          </cell>
        </row>
        <row r="606">
          <cell r="A606">
            <v>332014</v>
          </cell>
          <cell r="B606" t="str">
            <v>AUTOMOTIVO</v>
          </cell>
          <cell r="C606" t="str">
            <v>Bandeja</v>
          </cell>
          <cell r="D606" t="str">
            <v>SIMPLES</v>
          </cell>
          <cell r="E606" t="str">
            <v>SPARE</v>
          </cell>
          <cell r="F606" t="str">
            <v>Braço Da Suspensão  Corsa Classic Sem Pivô 98 A 2016</v>
          </cell>
        </row>
        <row r="607">
          <cell r="A607">
            <v>332015</v>
          </cell>
          <cell r="B607" t="str">
            <v>AUTOMOTIVO</v>
          </cell>
          <cell r="C607" t="str">
            <v>Bandeja</v>
          </cell>
          <cell r="D607" t="str">
            <v>SIMPLES</v>
          </cell>
          <cell r="E607" t="str">
            <v>SPARE</v>
          </cell>
          <cell r="F607" t="str">
            <v>Braço Da Suspensão Esquerdo Celta Sem Pivô 2000 A 2015</v>
          </cell>
        </row>
        <row r="608">
          <cell r="A608">
            <v>332016</v>
          </cell>
          <cell r="B608" t="str">
            <v>AUTOMOTIVO</v>
          </cell>
          <cell r="C608" t="str">
            <v>Bandeja</v>
          </cell>
          <cell r="D608" t="str">
            <v>SIMPLES</v>
          </cell>
          <cell r="E608" t="str">
            <v>SPARE</v>
          </cell>
          <cell r="F608" t="str">
            <v>Braço Da Bandeja Direito Corsa Wagon Com Pivô 1995 A 1998</v>
          </cell>
        </row>
        <row r="609">
          <cell r="A609">
            <v>332017</v>
          </cell>
          <cell r="B609" t="str">
            <v>AUTOMOTIVO</v>
          </cell>
          <cell r="C609" t="str">
            <v>Bandeja</v>
          </cell>
          <cell r="D609" t="str">
            <v>SIMPLES</v>
          </cell>
          <cell r="E609" t="str">
            <v>SPARE</v>
          </cell>
          <cell r="F609" t="str">
            <v>Braço Suspensão Esquerdo Corsa Pick Up Com Pivô 1994 A 1998</v>
          </cell>
        </row>
        <row r="610">
          <cell r="A610">
            <v>332022</v>
          </cell>
          <cell r="B610" t="str">
            <v>AUTOMOTIVO</v>
          </cell>
          <cell r="C610" t="str">
            <v>Bandeja</v>
          </cell>
          <cell r="D610" t="str">
            <v>SIMPLES</v>
          </cell>
          <cell r="E610" t="str">
            <v>SPARE</v>
          </cell>
          <cell r="F610" t="str">
            <v>Bandeja Dianteira Direita Monza 1991 A 1996 Com Pivô</v>
          </cell>
        </row>
        <row r="611">
          <cell r="A611">
            <v>332023</v>
          </cell>
          <cell r="B611" t="str">
            <v>AUTOMOTIVO</v>
          </cell>
          <cell r="C611" t="str">
            <v>Bandeja</v>
          </cell>
          <cell r="D611" t="str">
            <v>SIMPLES</v>
          </cell>
          <cell r="E611" t="str">
            <v>SPARE</v>
          </cell>
          <cell r="F611" t="str">
            <v>Bandeja Dianteira Esquerda Monza 1991 A 1996 Com Pivô</v>
          </cell>
        </row>
        <row r="612">
          <cell r="A612">
            <v>332024</v>
          </cell>
          <cell r="B612" t="str">
            <v>AUTOMOTIVO</v>
          </cell>
          <cell r="C612" t="str">
            <v>Bandeja</v>
          </cell>
          <cell r="D612" t="str">
            <v>SIMPLES</v>
          </cell>
          <cell r="E612" t="str">
            <v>SPARE</v>
          </cell>
          <cell r="F612" t="str">
            <v>Bandeja Dianteira Ambos Lados Monza 1991 A 1996 Sem Pivô</v>
          </cell>
        </row>
        <row r="613">
          <cell r="A613">
            <v>332042</v>
          </cell>
          <cell r="B613" t="str">
            <v>AUTOMOTIVO</v>
          </cell>
          <cell r="C613" t="str">
            <v>Bandeja</v>
          </cell>
          <cell r="D613" t="str">
            <v>SIMPLES</v>
          </cell>
          <cell r="E613" t="str">
            <v>SPARE</v>
          </cell>
          <cell r="F613" t="str">
            <v>Morceguinho Lado Direito Corsa 1994 A 1998</v>
          </cell>
        </row>
        <row r="614">
          <cell r="A614">
            <v>332043</v>
          </cell>
          <cell r="B614" t="str">
            <v>AUTOMOTIVO</v>
          </cell>
          <cell r="C614" t="str">
            <v>Bandeja</v>
          </cell>
          <cell r="D614" t="str">
            <v>SIMPLES</v>
          </cell>
          <cell r="E614" t="str">
            <v>SPARE</v>
          </cell>
          <cell r="F614" t="str">
            <v>Morceguinho Lado Esquerdo Corsa 1994 A 1998</v>
          </cell>
        </row>
        <row r="615">
          <cell r="A615">
            <v>332052</v>
          </cell>
          <cell r="B615" t="str">
            <v>AUTOMOTIVO</v>
          </cell>
          <cell r="C615" t="str">
            <v>Bandeja</v>
          </cell>
          <cell r="D615" t="str">
            <v>SIMPLES</v>
          </cell>
          <cell r="E615" t="str">
            <v>SPARE</v>
          </cell>
          <cell r="F615" t="str">
            <v>Morceguinho Dianteiro Classic Lado Direito 2004 A 2015</v>
          </cell>
        </row>
        <row r="616">
          <cell r="A616">
            <v>332053</v>
          </cell>
          <cell r="B616" t="str">
            <v>AUTOMOTIVO</v>
          </cell>
          <cell r="C616" t="str">
            <v>Bandeja</v>
          </cell>
          <cell r="D616" t="str">
            <v>SIMPLES</v>
          </cell>
          <cell r="E616" t="str">
            <v>SPARE</v>
          </cell>
          <cell r="F616" t="str">
            <v>Morceguinho Dianteiro Classic Lado Esquerdo 2004 A 2015</v>
          </cell>
        </row>
        <row r="617">
          <cell r="A617">
            <v>332056</v>
          </cell>
          <cell r="B617" t="str">
            <v>AUTOMOTIVO</v>
          </cell>
          <cell r="C617" t="str">
            <v>Bandeja</v>
          </cell>
          <cell r="D617" t="str">
            <v>SIMPLES</v>
          </cell>
          <cell r="E617" t="str">
            <v>SPARE</v>
          </cell>
          <cell r="F617" t="str">
            <v>Morceguinho Dianteira Direita Agile 2010 A 2014</v>
          </cell>
        </row>
        <row r="618">
          <cell r="A618">
            <v>332057</v>
          </cell>
          <cell r="B618" t="str">
            <v>AUTOMOTIVO</v>
          </cell>
          <cell r="C618" t="str">
            <v>Bandeja</v>
          </cell>
          <cell r="D618" t="str">
            <v>SIMPLES</v>
          </cell>
          <cell r="E618" t="str">
            <v>SPARE</v>
          </cell>
          <cell r="F618" t="str">
            <v>Morceguinho Dianteiro Esquerdo Montana 2011 A 2016</v>
          </cell>
        </row>
        <row r="619">
          <cell r="A619">
            <v>332065</v>
          </cell>
          <cell r="B619" t="str">
            <v>AUTOMOTIVO</v>
          </cell>
          <cell r="C619" t="str">
            <v>Bandeja</v>
          </cell>
          <cell r="D619" t="str">
            <v>SIMPLES</v>
          </cell>
          <cell r="E619" t="str">
            <v>SPARE</v>
          </cell>
          <cell r="F619" t="str">
            <v>Bandeja Inferior Esquerda Sem Pivô Montana 2003 A 2010</v>
          </cell>
        </row>
        <row r="620">
          <cell r="A620">
            <v>332066</v>
          </cell>
          <cell r="B620" t="str">
            <v>AUTOMOTIVO</v>
          </cell>
          <cell r="C620" t="str">
            <v>Bandeja</v>
          </cell>
          <cell r="D620" t="str">
            <v>SIMPLES</v>
          </cell>
          <cell r="E620" t="str">
            <v>SPARE</v>
          </cell>
          <cell r="F620" t="str">
            <v>Bandeja Infeiror Direita Sem Pivô Meriva 2003 A 2012</v>
          </cell>
        </row>
        <row r="621">
          <cell r="A621">
            <v>332067</v>
          </cell>
          <cell r="B621" t="str">
            <v>AUTOMOTIVO</v>
          </cell>
          <cell r="C621" t="str">
            <v>Bandeja</v>
          </cell>
          <cell r="D621" t="str">
            <v>SIMPLES</v>
          </cell>
          <cell r="E621" t="str">
            <v>SPARE</v>
          </cell>
          <cell r="F621" t="str">
            <v>Bandeja Inferior Esquerda Com Pivô Montana 2003 A 2010</v>
          </cell>
        </row>
        <row r="622">
          <cell r="A622">
            <v>332068</v>
          </cell>
          <cell r="B622" t="str">
            <v>AUTOMOTIVO</v>
          </cell>
          <cell r="C622" t="str">
            <v>Bandeja</v>
          </cell>
          <cell r="D622" t="str">
            <v>SIMPLES</v>
          </cell>
          <cell r="E622" t="str">
            <v>SPARE</v>
          </cell>
          <cell r="F622" t="str">
            <v>Bandeja Inferior Direita Com Pivô Meriva 2003 A 2012</v>
          </cell>
        </row>
        <row r="623">
          <cell r="A623">
            <v>332074</v>
          </cell>
          <cell r="B623" t="str">
            <v>AUTOMOTIVO</v>
          </cell>
          <cell r="C623" t="str">
            <v>Bandeja</v>
          </cell>
          <cell r="D623" t="str">
            <v>SIMPLES</v>
          </cell>
          <cell r="E623" t="str">
            <v>SPARE</v>
          </cell>
          <cell r="F623" t="str">
            <v>Bandeja Inferior Direita Sem Pivô Astra 1995 1996</v>
          </cell>
        </row>
        <row r="624">
          <cell r="A624">
            <v>332075</v>
          </cell>
          <cell r="B624" t="str">
            <v>AUTOMOTIVO</v>
          </cell>
          <cell r="C624" t="str">
            <v>Bandeja</v>
          </cell>
          <cell r="D624" t="str">
            <v>SIMPLES</v>
          </cell>
          <cell r="E624" t="str">
            <v>SPARE</v>
          </cell>
          <cell r="F624" t="str">
            <v>Bandeja Inferior Direita Sem Pivô Astra 1995 1996</v>
          </cell>
        </row>
        <row r="625">
          <cell r="A625">
            <v>332076</v>
          </cell>
          <cell r="B625" t="str">
            <v>AUTOMOTIVO</v>
          </cell>
          <cell r="C625" t="str">
            <v>Bandeja</v>
          </cell>
          <cell r="D625" t="str">
            <v>SIMPLES</v>
          </cell>
          <cell r="E625" t="str">
            <v>SPARE</v>
          </cell>
          <cell r="F625" t="str">
            <v>Bandeja Inferior Direita Com Pivô Astra 1995 1996</v>
          </cell>
        </row>
        <row r="626">
          <cell r="A626">
            <v>332077</v>
          </cell>
          <cell r="B626" t="str">
            <v>AUTOMOTIVO</v>
          </cell>
          <cell r="C626" t="str">
            <v>Bandeja</v>
          </cell>
          <cell r="D626" t="str">
            <v>SIMPLES</v>
          </cell>
          <cell r="E626" t="str">
            <v>SPARE</v>
          </cell>
          <cell r="F626" t="str">
            <v>BANDEJA INFERIOR ESQUERDA COM PIVÔ ASTRA 1995 1996</v>
          </cell>
        </row>
        <row r="627">
          <cell r="A627">
            <v>332080</v>
          </cell>
          <cell r="B627" t="str">
            <v>AUTOMOTIVO</v>
          </cell>
          <cell r="C627" t="str">
            <v>Bandeja</v>
          </cell>
          <cell r="D627" t="str">
            <v>SIMPLES</v>
          </cell>
          <cell r="E627" t="str">
            <v>SPARE</v>
          </cell>
          <cell r="F627" t="str">
            <v>Bandeja Dianteira Vectra Sem Pivô 1997 Á 2011</v>
          </cell>
        </row>
        <row r="628">
          <cell r="A628">
            <v>332081</v>
          </cell>
          <cell r="B628" t="str">
            <v>AUTOMOTIVO</v>
          </cell>
          <cell r="C628" t="str">
            <v>Bandeja</v>
          </cell>
          <cell r="D628" t="str">
            <v>SIMPLES</v>
          </cell>
          <cell r="E628" t="str">
            <v>SPARE</v>
          </cell>
          <cell r="F628" t="str">
            <v>Bandeja Inferior Direita Com Pivô Vectra 1997 A 2005</v>
          </cell>
        </row>
        <row r="629">
          <cell r="A629">
            <v>332082</v>
          </cell>
          <cell r="B629" t="str">
            <v>AUTOMOTIVO</v>
          </cell>
          <cell r="C629" t="str">
            <v>Bandeja</v>
          </cell>
          <cell r="D629" t="str">
            <v>SIMPLES</v>
          </cell>
          <cell r="E629" t="str">
            <v>SPARE</v>
          </cell>
          <cell r="F629" t="str">
            <v>Bandeja Inferior Esquerda Com Pivô Zafira 2001 A 2012</v>
          </cell>
        </row>
        <row r="630">
          <cell r="A630">
            <v>332090</v>
          </cell>
          <cell r="B630" t="str">
            <v>AUTOMOTIVO</v>
          </cell>
          <cell r="C630" t="str">
            <v>Bandeja</v>
          </cell>
          <cell r="D630" t="str">
            <v>SIMPLES</v>
          </cell>
          <cell r="E630" t="str">
            <v>SPARE</v>
          </cell>
          <cell r="F630" t="str">
            <v>Bandeja Inferior Direito Cobalt 2013 Em Diante Sem Pivô</v>
          </cell>
        </row>
        <row r="631">
          <cell r="A631">
            <v>332091</v>
          </cell>
          <cell r="B631" t="str">
            <v>AUTOMOTIVO</v>
          </cell>
          <cell r="C631" t="str">
            <v>Bandeja</v>
          </cell>
          <cell r="D631" t="str">
            <v>SIMPLES</v>
          </cell>
          <cell r="E631" t="str">
            <v>SPARE</v>
          </cell>
          <cell r="F631" t="str">
            <v>Bandeja Inferior Esquerdo Cobalt 2013 Em Diante Sem Pivô</v>
          </cell>
        </row>
        <row r="632">
          <cell r="A632">
            <v>332092</v>
          </cell>
          <cell r="B632" t="str">
            <v>AUTOMOTIVO</v>
          </cell>
          <cell r="C632" t="str">
            <v>Bandeja</v>
          </cell>
          <cell r="D632" t="str">
            <v>SIMPLES</v>
          </cell>
          <cell r="E632" t="str">
            <v>SPARE</v>
          </cell>
          <cell r="F632" t="str">
            <v>Bandeja Direita Com Pivô Cobalt 2013 Em Diante</v>
          </cell>
        </row>
        <row r="633">
          <cell r="A633">
            <v>332093</v>
          </cell>
          <cell r="B633" t="str">
            <v>AUTOMOTIVO</v>
          </cell>
          <cell r="C633" t="str">
            <v>Bandeja</v>
          </cell>
          <cell r="D633" t="str">
            <v>SIMPLES</v>
          </cell>
          <cell r="E633" t="str">
            <v>SPARE</v>
          </cell>
          <cell r="F633" t="str">
            <v>Bandeja Esquerda Com Pivô Cobalt 2013 Em Diante</v>
          </cell>
        </row>
        <row r="634">
          <cell r="A634">
            <v>332100</v>
          </cell>
          <cell r="B634" t="str">
            <v>AUTOMOTIVO</v>
          </cell>
          <cell r="D634" t="str">
            <v>SIMPLES</v>
          </cell>
        </row>
        <row r="635">
          <cell r="A635">
            <v>332101</v>
          </cell>
          <cell r="B635" t="str">
            <v>AUTOMOTIVO</v>
          </cell>
          <cell r="D635" t="str">
            <v>SIMPLES</v>
          </cell>
        </row>
        <row r="636">
          <cell r="A636">
            <v>332102</v>
          </cell>
          <cell r="B636" t="str">
            <v>AUTOMOTIVO</v>
          </cell>
          <cell r="C636" t="str">
            <v>Bandeja</v>
          </cell>
          <cell r="D636" t="str">
            <v>SIMPLES</v>
          </cell>
          <cell r="E636" t="str">
            <v>SPARE</v>
          </cell>
          <cell r="F636" t="str">
            <v>BANDEJA DIANTEIRA SUPERIOR ESQUERDA ÔMEGA/SUPREMA</v>
          </cell>
        </row>
        <row r="637">
          <cell r="A637">
            <v>332103</v>
          </cell>
          <cell r="B637" t="str">
            <v>AUTOMOTIVO</v>
          </cell>
          <cell r="C637" t="str">
            <v>Bandeja</v>
          </cell>
          <cell r="D637" t="str">
            <v>SIMPLES</v>
          </cell>
          <cell r="E637" t="str">
            <v>SPARE</v>
          </cell>
          <cell r="F637" t="str">
            <v>BANDEJA DIANTEIRA SUPERIOR DIREITA ÔMEGA/SUPREMA NÃO EXPORTAR/SEM ESTOQUE</v>
          </cell>
        </row>
        <row r="638">
          <cell r="A638">
            <v>332108</v>
          </cell>
          <cell r="B638" t="str">
            <v>AUTOMOTIVO</v>
          </cell>
          <cell r="C638" t="str">
            <v>Bandeja</v>
          </cell>
          <cell r="D638" t="str">
            <v>SIMPLES</v>
          </cell>
          <cell r="E638" t="str">
            <v>SPARE</v>
          </cell>
          <cell r="F638" t="str">
            <v>BANDEJA BLAZER, S10 4x2, 4x4 95/12 - Inferior LD</v>
          </cell>
        </row>
        <row r="639">
          <cell r="A639">
            <v>332109</v>
          </cell>
          <cell r="B639" t="str">
            <v>AUTOMOTIVO</v>
          </cell>
          <cell r="C639" t="str">
            <v>Bandeja</v>
          </cell>
          <cell r="D639" t="str">
            <v>SIMPLES</v>
          </cell>
          <cell r="E639" t="str">
            <v>SPARE</v>
          </cell>
          <cell r="F639" t="str">
            <v>BANDEJA BLAZER, S10 4x2, 4x4 95/12 - Inferior LE</v>
          </cell>
        </row>
        <row r="640">
          <cell r="A640">
            <v>332110</v>
          </cell>
          <cell r="B640" t="str">
            <v>AUTOMOTIVO</v>
          </cell>
          <cell r="C640" t="str">
            <v>Bandeja</v>
          </cell>
          <cell r="D640" t="str">
            <v>SIMPLES</v>
          </cell>
          <cell r="E640" t="str">
            <v>SPARE</v>
          </cell>
          <cell r="F640" t="str">
            <v>Bandeja Superior Direito S10 4x2 E 4x4 1995 Á 2011</v>
          </cell>
        </row>
        <row r="641">
          <cell r="A641">
            <v>332111</v>
          </cell>
          <cell r="B641" t="str">
            <v>AUTOMOTIVO</v>
          </cell>
          <cell r="C641" t="str">
            <v>Bandeja</v>
          </cell>
          <cell r="D641" t="str">
            <v>SIMPLES</v>
          </cell>
          <cell r="E641" t="str">
            <v>SPARE</v>
          </cell>
          <cell r="F641" t="str">
            <v>Bandeja Superior Esquerdo S10 4x2 E 4x4 1995 Á 2011</v>
          </cell>
        </row>
        <row r="642">
          <cell r="A642">
            <v>332112</v>
          </cell>
          <cell r="B642" t="str">
            <v>AUTOMOTIVO</v>
          </cell>
          <cell r="C642" t="str">
            <v>Bandeja</v>
          </cell>
          <cell r="D642" t="str">
            <v>SIMPLES</v>
          </cell>
          <cell r="E642" t="str">
            <v>SPARE</v>
          </cell>
          <cell r="F642" t="str">
            <v>Bandeja Inferior Direita Com Pivô Chevy 500  1984 A 1995</v>
          </cell>
        </row>
        <row r="643">
          <cell r="A643">
            <v>332113</v>
          </cell>
          <cell r="B643" t="str">
            <v>AUTOMOTIVO</v>
          </cell>
          <cell r="C643" t="str">
            <v>Bandeja</v>
          </cell>
          <cell r="D643" t="str">
            <v>SIMPLES</v>
          </cell>
          <cell r="E643" t="str">
            <v>SPARE</v>
          </cell>
          <cell r="F643" t="str">
            <v>Bandeja Inferior Esquerda Com Pivô Chevette 1973 A 1993</v>
          </cell>
        </row>
        <row r="644">
          <cell r="A644">
            <v>332114</v>
          </cell>
          <cell r="B644" t="str">
            <v>AUTOMOTIVO</v>
          </cell>
          <cell r="C644" t="str">
            <v>Bandeja</v>
          </cell>
          <cell r="D644" t="str">
            <v>SIMPLES</v>
          </cell>
          <cell r="E644" t="str">
            <v>SPARE</v>
          </cell>
          <cell r="F644" t="str">
            <v>Bandeja Dianteira Direita Chevette 1973 A 1993 Com Pivô</v>
          </cell>
        </row>
        <row r="645">
          <cell r="A645">
            <v>332115</v>
          </cell>
          <cell r="B645" t="str">
            <v>AUTOMOTIVO</v>
          </cell>
          <cell r="C645" t="str">
            <v>Bandeja</v>
          </cell>
          <cell r="D645" t="str">
            <v>SIMPLES</v>
          </cell>
          <cell r="E645" t="str">
            <v>SPARE</v>
          </cell>
          <cell r="F645" t="str">
            <v>Bandeja Dianteira Esquerda Chevette 1973 A 1993 Com Pivô</v>
          </cell>
        </row>
        <row r="646">
          <cell r="A646">
            <v>332116</v>
          </cell>
          <cell r="B646" t="str">
            <v>AUTOMOTIVO</v>
          </cell>
          <cell r="C646" t="str">
            <v>Bandeja</v>
          </cell>
          <cell r="D646" t="str">
            <v>SIMPLES</v>
          </cell>
          <cell r="E646" t="str">
            <v>SPARE</v>
          </cell>
          <cell r="F646" t="str">
            <v>Bandeja Dianteira Inferior Direita Com Pivô Ipanema 89 À 98</v>
          </cell>
        </row>
        <row r="647">
          <cell r="A647">
            <v>332117</v>
          </cell>
          <cell r="B647" t="str">
            <v>AUTOMOTIVO</v>
          </cell>
          <cell r="C647" t="str">
            <v>Bandeja</v>
          </cell>
          <cell r="D647" t="str">
            <v>SIMPLES</v>
          </cell>
          <cell r="E647" t="str">
            <v>SPARE</v>
          </cell>
          <cell r="F647" t="str">
            <v>Bandeja Dianteira Inferior Esquerda Com Pivô Daewoo 97 À 02</v>
          </cell>
        </row>
        <row r="648">
          <cell r="A648">
            <v>332118</v>
          </cell>
          <cell r="B648" t="str">
            <v>AUTOMOTIVO</v>
          </cell>
          <cell r="C648" t="str">
            <v>Bandeja</v>
          </cell>
          <cell r="D648" t="str">
            <v>SIMPLES</v>
          </cell>
          <cell r="E648" t="str">
            <v>SPARE</v>
          </cell>
          <cell r="F648" t="str">
            <v>BANDEJA INFERIOR DIREITA COM PIVÔ CRUZE 2017 A 2021</v>
          </cell>
        </row>
        <row r="649">
          <cell r="A649">
            <v>332119</v>
          </cell>
          <cell r="B649" t="str">
            <v>AUTOMOTIVO</v>
          </cell>
          <cell r="C649" t="str">
            <v>Bandeja</v>
          </cell>
          <cell r="D649" t="str">
            <v>SIMPLES</v>
          </cell>
          <cell r="E649" t="str">
            <v>SPARE</v>
          </cell>
          <cell r="F649" t="str">
            <v>BANDEJA INFERIOR ESQUERDA COM PIVÔ CRUZE 2017 A 2021</v>
          </cell>
        </row>
        <row r="650">
          <cell r="A650">
            <v>332120</v>
          </cell>
          <cell r="B650" t="str">
            <v>AUTOMOTIVO</v>
          </cell>
          <cell r="C650" t="str">
            <v>Bandeja</v>
          </cell>
          <cell r="D650" t="str">
            <v>SIMPLES</v>
          </cell>
          <cell r="E650" t="str">
            <v>SPARE</v>
          </cell>
          <cell r="F650" t="str">
            <v>BANDEJA INFERIOR CRUZE 16/20 - LADO DIREITO</v>
          </cell>
        </row>
        <row r="651">
          <cell r="A651">
            <v>332121</v>
          </cell>
          <cell r="B651" t="str">
            <v>AUTOMOTIVO</v>
          </cell>
          <cell r="C651" t="str">
            <v>Bandeja</v>
          </cell>
          <cell r="D651" t="str">
            <v>SIMPLES</v>
          </cell>
          <cell r="E651" t="str">
            <v>SPARE</v>
          </cell>
          <cell r="F651" t="str">
            <v>Bandeja Dianteira Esquerda Com Pivô Cruze 2011 A 2016</v>
          </cell>
        </row>
        <row r="652">
          <cell r="A652">
            <v>332125</v>
          </cell>
          <cell r="B652" t="str">
            <v>AUTOMOTIVO</v>
          </cell>
          <cell r="D652" t="str">
            <v>SIMPLES</v>
          </cell>
        </row>
        <row r="653">
          <cell r="A653">
            <v>332126</v>
          </cell>
          <cell r="B653" t="str">
            <v>AUTOMOTIVO</v>
          </cell>
          <cell r="C653" t="str">
            <v>Bandeja</v>
          </cell>
          <cell r="D653" t="str">
            <v>SIMPLES</v>
          </cell>
          <cell r="E653" t="str">
            <v>SPARE</v>
          </cell>
          <cell r="F653" t="str">
            <v>Bandeja Inferior Esquerda Com Pivô S10 4x4 1996 A 2000</v>
          </cell>
        </row>
        <row r="654">
          <cell r="A654">
            <v>332136</v>
          </cell>
          <cell r="B654" t="str">
            <v>AUTOMOTIVO</v>
          </cell>
          <cell r="C654" t="str">
            <v>Bandeja</v>
          </cell>
          <cell r="D654" t="str">
            <v>SIMPLES</v>
          </cell>
          <cell r="E654" t="str">
            <v>SPARE</v>
          </cell>
          <cell r="F654" t="str">
            <v>Bandeja Inferior Opala 1980 Até 1992 Lado Direito</v>
          </cell>
        </row>
        <row r="655">
          <cell r="A655">
            <v>332137</v>
          </cell>
          <cell r="B655" t="str">
            <v>AUTOMOTIVO</v>
          </cell>
          <cell r="C655" t="str">
            <v>Bandeja</v>
          </cell>
          <cell r="D655" t="str">
            <v>SIMPLES</v>
          </cell>
          <cell r="E655" t="str">
            <v>SPARE</v>
          </cell>
          <cell r="F655" t="str">
            <v>Bandeja Inferior Opala 1980 Até 1992 Lado Esquerdo</v>
          </cell>
        </row>
        <row r="656">
          <cell r="A656">
            <v>332138</v>
          </cell>
          <cell r="B656" t="str">
            <v>AUTOMOTIVO</v>
          </cell>
          <cell r="C656" t="str">
            <v>Bandeja</v>
          </cell>
          <cell r="D656" t="str">
            <v>SIMPLES</v>
          </cell>
          <cell r="E656" t="str">
            <v>SPARE</v>
          </cell>
          <cell r="F656" t="str">
            <v>BANDEJA INFERIOR DIREITO OPALA 69/79 CARAVAN 75/79 SEM PIVÔ</v>
          </cell>
        </row>
        <row r="657">
          <cell r="A657">
            <v>332139</v>
          </cell>
          <cell r="B657" t="str">
            <v>AUTOMOTIVO</v>
          </cell>
          <cell r="C657" t="str">
            <v>Pastilha Freio</v>
          </cell>
          <cell r="D657" t="str">
            <v>SIMPLES</v>
          </cell>
          <cell r="E657" t="str">
            <v>SPARE</v>
          </cell>
          <cell r="F657" t="str">
            <v>BANDEJA INFERIOR ESQUERDA OPALA 69/79 CARAVAN 75/79 SEM PIVÔ</v>
          </cell>
        </row>
        <row r="658">
          <cell r="A658">
            <v>332140</v>
          </cell>
          <cell r="B658" t="str">
            <v>AUTOMOTIVO</v>
          </cell>
          <cell r="C658" t="str">
            <v>Bandeja</v>
          </cell>
          <cell r="D658" t="str">
            <v>SIMPLES</v>
          </cell>
          <cell r="E658" t="str">
            <v>SPARE</v>
          </cell>
          <cell r="F658" t="str">
            <v>BANDEJA INFERIOR DIREITA COM PIVÔ CARAVAN 1980 A 1992</v>
          </cell>
        </row>
        <row r="659">
          <cell r="A659">
            <v>332141</v>
          </cell>
          <cell r="B659" t="str">
            <v>AUTOMOTIVO</v>
          </cell>
          <cell r="C659" t="str">
            <v>Pastilha Freio</v>
          </cell>
          <cell r="D659" t="str">
            <v>SIMPLES</v>
          </cell>
          <cell r="E659" t="str">
            <v>SPARE</v>
          </cell>
          <cell r="F659" t="str">
            <v>BANDEJA INFERIOR ESQUERDO COM PIVÔ CARAVAN 1980 A 1992</v>
          </cell>
        </row>
        <row r="660">
          <cell r="A660">
            <v>332142</v>
          </cell>
          <cell r="B660" t="str">
            <v>AUTOMOTIVO</v>
          </cell>
          <cell r="D660" t="str">
            <v>SIMPLES</v>
          </cell>
        </row>
        <row r="661">
          <cell r="A661">
            <v>332143</v>
          </cell>
          <cell r="B661" t="str">
            <v>AUTOMOTIVO</v>
          </cell>
          <cell r="D661" t="str">
            <v>SIMPLES</v>
          </cell>
        </row>
        <row r="662">
          <cell r="A662">
            <v>332144</v>
          </cell>
          <cell r="B662" t="str">
            <v>AUTOMOTIVO</v>
          </cell>
          <cell r="C662" t="str">
            <v>Bandeja</v>
          </cell>
          <cell r="D662" t="str">
            <v>SIMPLES</v>
          </cell>
          <cell r="E662" t="str">
            <v>SPARE</v>
          </cell>
          <cell r="F662" t="str">
            <v>Bandeja Ambos Lados Tracker 1.4 Lt Ltz 2017 A 2020</v>
          </cell>
        </row>
        <row r="663">
          <cell r="A663">
            <v>332145</v>
          </cell>
          <cell r="B663" t="str">
            <v>AUTOMOTIVO</v>
          </cell>
          <cell r="C663" t="str">
            <v>Bandeja</v>
          </cell>
          <cell r="D663" t="str">
            <v>SIMPLES</v>
          </cell>
          <cell r="E663" t="str">
            <v>SPARE</v>
          </cell>
          <cell r="F663" t="str">
            <v>Bandeja Esquerda Com Pivô Tracker 1.8 2014 A 2016</v>
          </cell>
        </row>
        <row r="664">
          <cell r="A664">
            <v>332146</v>
          </cell>
          <cell r="B664" t="str">
            <v>AUTOMOTIVO</v>
          </cell>
          <cell r="C664" t="str">
            <v>Bandeja</v>
          </cell>
          <cell r="D664" t="str">
            <v>SIMPLES</v>
          </cell>
          <cell r="E664" t="str">
            <v>SPARE</v>
          </cell>
          <cell r="F664" t="str">
            <v>Bandeja Direita Com Pivô Tracker 1.4 Turbo 2017 A 2020</v>
          </cell>
        </row>
        <row r="665">
          <cell r="A665">
            <v>332147</v>
          </cell>
          <cell r="B665" t="str">
            <v>AUTOMOTIVO</v>
          </cell>
          <cell r="C665" t="str">
            <v>Bandeja</v>
          </cell>
          <cell r="D665" t="str">
            <v>SIMPLES</v>
          </cell>
          <cell r="E665" t="str">
            <v>SPARE</v>
          </cell>
          <cell r="F665" t="str">
            <v>Bandeja Superior Direita Opala 1969 A 1992</v>
          </cell>
        </row>
        <row r="666">
          <cell r="A666">
            <v>332148</v>
          </cell>
          <cell r="B666" t="str">
            <v>AUTOMOTIVO</v>
          </cell>
          <cell r="C666" t="str">
            <v>Bandeja</v>
          </cell>
          <cell r="D666" t="str">
            <v>SIMPLES</v>
          </cell>
          <cell r="E666" t="str">
            <v>SPARE</v>
          </cell>
          <cell r="F666" t="str">
            <v>Bandeja Superior Esquerda Caravan 1975 A 1992</v>
          </cell>
        </row>
        <row r="667">
          <cell r="A667">
            <v>332149</v>
          </cell>
          <cell r="B667" t="str">
            <v>AUTOMOTIVO</v>
          </cell>
          <cell r="C667" t="str">
            <v>Bandeja</v>
          </cell>
          <cell r="D667" t="str">
            <v>SIMPLES</v>
          </cell>
          <cell r="E667" t="str">
            <v>SPARE</v>
          </cell>
          <cell r="F667" t="str">
            <v>Bandeja Superior Direita Sem Pivô Silverado 1997 A 2002</v>
          </cell>
        </row>
        <row r="668">
          <cell r="A668">
            <v>332150</v>
          </cell>
          <cell r="B668" t="str">
            <v>AUTOMOTIVO</v>
          </cell>
          <cell r="C668" t="str">
            <v>Bandeja</v>
          </cell>
          <cell r="D668" t="str">
            <v>SIMPLES</v>
          </cell>
          <cell r="E668" t="str">
            <v>SPARE</v>
          </cell>
          <cell r="F668" t="str">
            <v>Bandeja Superior Esquerda Sem Pivô D10 1993 A 1996</v>
          </cell>
        </row>
        <row r="669">
          <cell r="A669">
            <v>332151</v>
          </cell>
          <cell r="B669" t="str">
            <v>AUTOMOTIVO</v>
          </cell>
          <cell r="C669" t="str">
            <v>Bandeja</v>
          </cell>
          <cell r="D669" t="str">
            <v>SIMPLES</v>
          </cell>
          <cell r="E669" t="str">
            <v>SPARE</v>
          </cell>
          <cell r="F669" t="str">
            <v>BANDEJA DIANTEIRA DIREITA S10 2012 A 2016 COM PIVÔ</v>
          </cell>
        </row>
        <row r="670">
          <cell r="A670">
            <v>332152</v>
          </cell>
          <cell r="B670" t="str">
            <v>AUTOMOTIVO</v>
          </cell>
          <cell r="C670" t="str">
            <v>Bandeja</v>
          </cell>
          <cell r="D670" t="str">
            <v>SIMPLES</v>
          </cell>
          <cell r="E670" t="str">
            <v>SPARE</v>
          </cell>
          <cell r="F670" t="str">
            <v>BANDEJA DIANTEIRA ESQUERDA S10 2012 A 2016 COM PIVÔ</v>
          </cell>
        </row>
        <row r="671">
          <cell r="A671">
            <v>332153</v>
          </cell>
          <cell r="B671" t="str">
            <v>AUTOMOTIVO</v>
          </cell>
          <cell r="C671" t="str">
            <v>Bandeja</v>
          </cell>
          <cell r="D671" t="str">
            <v>SIMPLES</v>
          </cell>
          <cell r="E671" t="str">
            <v>SPARE</v>
          </cell>
          <cell r="F671" t="str">
            <v>BANDEJA SUPERIOR DIREITA SEM PIVÔ TRAILBLAZER 2012 A 2020</v>
          </cell>
        </row>
        <row r="672">
          <cell r="A672">
            <v>332154</v>
          </cell>
          <cell r="B672" t="str">
            <v>AUTOMOTIVO</v>
          </cell>
          <cell r="C672" t="str">
            <v>Bandeja</v>
          </cell>
          <cell r="D672" t="str">
            <v>SIMPLES</v>
          </cell>
          <cell r="E672" t="str">
            <v>SPARE</v>
          </cell>
          <cell r="F672" t="str">
            <v>BANDEJA SUPERIOR ESQUERDA SEM PIVÔ TRAILBLAZER 2012 A 2020</v>
          </cell>
        </row>
        <row r="673">
          <cell r="A673">
            <v>332155</v>
          </cell>
          <cell r="B673" t="str">
            <v>AUTOMOTIVO</v>
          </cell>
          <cell r="C673" t="str">
            <v>Bandeja</v>
          </cell>
          <cell r="D673" t="str">
            <v>SIMPLES</v>
          </cell>
          <cell r="E673" t="str">
            <v>SPARE</v>
          </cell>
          <cell r="F673" t="str">
            <v>Bandeja Superior Direita Com Pivô Silverado 1997 A 2002</v>
          </cell>
        </row>
        <row r="674">
          <cell r="A674">
            <v>332156</v>
          </cell>
          <cell r="B674" t="str">
            <v>AUTOMOTIVO</v>
          </cell>
          <cell r="C674" t="str">
            <v>Bandeja</v>
          </cell>
          <cell r="D674" t="str">
            <v>SIMPLES</v>
          </cell>
          <cell r="E674" t="str">
            <v>SPARE</v>
          </cell>
          <cell r="F674" t="str">
            <v>BANDEJA SUPERIOR ESQUERDA COM PIVÔ A10 1993 A 1996</v>
          </cell>
        </row>
        <row r="675">
          <cell r="A675">
            <v>332157</v>
          </cell>
          <cell r="B675" t="str">
            <v>AUTOMOTIVO</v>
          </cell>
          <cell r="C675" t="str">
            <v>Bandeja</v>
          </cell>
          <cell r="D675" t="str">
            <v>SIMPLES</v>
          </cell>
          <cell r="E675" t="str">
            <v>SPARE</v>
          </cell>
          <cell r="F675" t="str">
            <v>Bandeja Inferior Direita Sem Pivô D20 1985 A 1992</v>
          </cell>
        </row>
        <row r="676">
          <cell r="A676">
            <v>332158</v>
          </cell>
          <cell r="B676" t="str">
            <v>AUTOMOTIVO</v>
          </cell>
          <cell r="C676" t="str">
            <v>Bandeja</v>
          </cell>
          <cell r="D676" t="str">
            <v>SIMPLES</v>
          </cell>
          <cell r="E676" t="str">
            <v>SPARE</v>
          </cell>
          <cell r="F676" t="str">
            <v>Bandeja Inferior Esquerda Sem Pivô D20 1985 A 1992</v>
          </cell>
        </row>
        <row r="677">
          <cell r="A677">
            <v>332636</v>
          </cell>
          <cell r="B677" t="str">
            <v>AUTOMOTIVO</v>
          </cell>
          <cell r="D677" t="str">
            <v>SIMPLES</v>
          </cell>
        </row>
        <row r="678">
          <cell r="A678">
            <v>442025</v>
          </cell>
          <cell r="B678" t="str">
            <v>AUTOMOTIVO</v>
          </cell>
          <cell r="C678" t="str">
            <v>Bandeja</v>
          </cell>
          <cell r="D678" t="str">
            <v>SIMPLES</v>
          </cell>
          <cell r="E678" t="str">
            <v>SPARE</v>
          </cell>
          <cell r="F678" t="str">
            <v>Bandeja Dianteira Ambos Lados Sem Pivô Variant 1970 A 1977</v>
          </cell>
        </row>
        <row r="679">
          <cell r="A679">
            <v>442050</v>
          </cell>
          <cell r="B679" t="str">
            <v>AUTOMOTIVO</v>
          </cell>
          <cell r="C679" t="str">
            <v>Bandeja</v>
          </cell>
          <cell r="D679" t="str">
            <v>SIMPLES</v>
          </cell>
          <cell r="E679" t="str">
            <v>SPARE</v>
          </cell>
          <cell r="F679" t="str">
            <v>Bandeja Dianteira Ambos Lados Parati 1993 A 2008</v>
          </cell>
        </row>
        <row r="680">
          <cell r="A680">
            <v>442055</v>
          </cell>
          <cell r="B680" t="str">
            <v>AUTOMOTIVO</v>
          </cell>
          <cell r="C680" t="str">
            <v>Bandeja</v>
          </cell>
          <cell r="D680" t="str">
            <v>SIMPLES</v>
          </cell>
          <cell r="E680" t="str">
            <v>SPARE</v>
          </cell>
          <cell r="F680" t="str">
            <v>Bandeja Dianteira Ambos Lados Gol 1993 A 2014 Exceto G5</v>
          </cell>
        </row>
        <row r="681">
          <cell r="A681">
            <v>442056</v>
          </cell>
          <cell r="B681" t="str">
            <v>AUTOMOTIVO</v>
          </cell>
          <cell r="C681" t="str">
            <v>Bandeja</v>
          </cell>
          <cell r="D681" t="str">
            <v>SIMPLES</v>
          </cell>
          <cell r="E681" t="str">
            <v>SPARE</v>
          </cell>
          <cell r="F681" t="str">
            <v>Bandeja Inferior Direita Sem Pivô Royale 1991 A 1996</v>
          </cell>
        </row>
        <row r="682">
          <cell r="A682">
            <v>442057</v>
          </cell>
          <cell r="B682" t="str">
            <v>AUTOMOTIVO</v>
          </cell>
          <cell r="C682" t="str">
            <v>Bandeja</v>
          </cell>
          <cell r="D682" t="str">
            <v>SIMPLES</v>
          </cell>
          <cell r="E682" t="str">
            <v>SPARE</v>
          </cell>
          <cell r="F682" t="str">
            <v>Bandeja Inferior Esquerdo Sem Pivô Audi 80 Ano 1981 A 1991</v>
          </cell>
        </row>
        <row r="683">
          <cell r="A683">
            <v>442058</v>
          </cell>
          <cell r="B683" t="str">
            <v>AUTOMOTIVO</v>
          </cell>
          <cell r="C683" t="str">
            <v>Bandeja</v>
          </cell>
          <cell r="D683" t="str">
            <v>SIMPLES</v>
          </cell>
          <cell r="E683" t="str">
            <v>SPARE</v>
          </cell>
          <cell r="F683" t="str">
            <v>Bandeja Inferior Direita Com Pivô Santana 1988 A 2006</v>
          </cell>
        </row>
        <row r="684">
          <cell r="A684">
            <v>442059</v>
          </cell>
          <cell r="B684" t="str">
            <v>AUTOMOTIVO</v>
          </cell>
          <cell r="C684" t="str">
            <v>Bandeja</v>
          </cell>
          <cell r="D684" t="str">
            <v>SIMPLES</v>
          </cell>
          <cell r="E684" t="str">
            <v>SPARE</v>
          </cell>
          <cell r="F684" t="str">
            <v>Bandeja Inferior Esquerda Com Pivô Santana 1988 A 2006</v>
          </cell>
        </row>
        <row r="685">
          <cell r="A685">
            <v>442060</v>
          </cell>
          <cell r="B685" t="str">
            <v>AUTOMOTIVO</v>
          </cell>
          <cell r="C685" t="str">
            <v>Bandeja</v>
          </cell>
          <cell r="D685" t="str">
            <v>SIMPLES</v>
          </cell>
          <cell r="E685" t="str">
            <v>SPARE</v>
          </cell>
          <cell r="F685" t="str">
            <v>Bandeja Inferior Ambos Os Lados Sem Pivô Santana 1988 A 2002</v>
          </cell>
        </row>
        <row r="686">
          <cell r="A686">
            <v>442061</v>
          </cell>
          <cell r="B686" t="str">
            <v>AUTOMOTIVO</v>
          </cell>
          <cell r="C686" t="str">
            <v>Bandeja</v>
          </cell>
          <cell r="D686" t="str">
            <v>SIMPLES</v>
          </cell>
          <cell r="E686" t="str">
            <v>SPARE</v>
          </cell>
          <cell r="F686" t="str">
            <v>Bandeja Esquerda Sem Pivô Audi A3 1996 A 2006</v>
          </cell>
        </row>
        <row r="687">
          <cell r="A687">
            <v>442066</v>
          </cell>
          <cell r="B687" t="str">
            <v>AUTOMOTIVO</v>
          </cell>
          <cell r="C687" t="str">
            <v>Bandeja</v>
          </cell>
          <cell r="D687" t="str">
            <v>SIMPLES</v>
          </cell>
          <cell r="E687" t="str">
            <v>SPARE</v>
          </cell>
          <cell r="F687" t="str">
            <v>Bandeja Inca 1999 Á 2001</v>
          </cell>
        </row>
        <row r="688">
          <cell r="A688">
            <v>442067</v>
          </cell>
          <cell r="B688" t="str">
            <v>AUTOMOTIVO</v>
          </cell>
          <cell r="C688" t="str">
            <v>Bandeja</v>
          </cell>
          <cell r="D688" t="str">
            <v>SIMPLES</v>
          </cell>
          <cell r="E688" t="str">
            <v>SPARE</v>
          </cell>
          <cell r="F688" t="str">
            <v>Bandeja Ibiza 1995 Á 2003  Lado Esquerdo Com Pivô</v>
          </cell>
        </row>
        <row r="689">
          <cell r="A689">
            <v>442068</v>
          </cell>
          <cell r="B689" t="str">
            <v>AUTOMOTIVO</v>
          </cell>
          <cell r="C689" t="str">
            <v>Bandeja</v>
          </cell>
          <cell r="D689" t="str">
            <v>SIMPLES</v>
          </cell>
          <cell r="E689" t="str">
            <v>SPARE</v>
          </cell>
          <cell r="F689" t="str">
            <v>Bandeja Direita Com Pivô Polo Classic 1996 A 2001</v>
          </cell>
        </row>
        <row r="690">
          <cell r="A690">
            <v>442070</v>
          </cell>
          <cell r="B690" t="str">
            <v>AUTOMOTIVO</v>
          </cell>
          <cell r="C690" t="str">
            <v>Bandeja</v>
          </cell>
          <cell r="D690" t="str">
            <v>SIMPLES</v>
          </cell>
          <cell r="E690" t="str">
            <v>SPARE</v>
          </cell>
          <cell r="F690" t="str">
            <v>Bandeja Inferior Direita Sem Pivô Ranger 2012 A 2019</v>
          </cell>
        </row>
        <row r="691">
          <cell r="A691">
            <v>442071</v>
          </cell>
          <cell r="B691" t="str">
            <v>AUTOMOTIVO</v>
          </cell>
          <cell r="C691" t="str">
            <v>Bandeja</v>
          </cell>
          <cell r="D691" t="str">
            <v>SIMPLES</v>
          </cell>
          <cell r="E691" t="str">
            <v>SPARE</v>
          </cell>
          <cell r="F691" t="str">
            <v>Bandeja Inferior Esquerda Sem Pivô Ranger 2012 A 2019</v>
          </cell>
        </row>
        <row r="692">
          <cell r="A692">
            <v>442080</v>
          </cell>
          <cell r="B692" t="str">
            <v>AUTOMOTIVO</v>
          </cell>
          <cell r="C692" t="str">
            <v>Bandeja</v>
          </cell>
          <cell r="D692" t="str">
            <v>SIMPLES</v>
          </cell>
          <cell r="E692" t="str">
            <v>SPARE</v>
          </cell>
          <cell r="F692" t="str">
            <v>Bandeja Inferior Belina Scala 1984 A 1991</v>
          </cell>
        </row>
        <row r="693">
          <cell r="A693">
            <v>442081</v>
          </cell>
          <cell r="B693" t="str">
            <v>AUTOMOTIVO</v>
          </cell>
          <cell r="C693" t="str">
            <v>Bandeja</v>
          </cell>
          <cell r="D693" t="str">
            <v>SIMPLES</v>
          </cell>
          <cell r="E693" t="str">
            <v>SPARE</v>
          </cell>
          <cell r="F693" t="str">
            <v>Bandeja Superior Direito Sem Pivô Pampa 1984 À 1997</v>
          </cell>
        </row>
        <row r="694">
          <cell r="A694">
            <v>442082</v>
          </cell>
          <cell r="B694" t="str">
            <v>AUTOMOTIVO</v>
          </cell>
          <cell r="C694" t="str">
            <v>Bandeja</v>
          </cell>
          <cell r="D694" t="str">
            <v>SIMPLES</v>
          </cell>
          <cell r="E694" t="str">
            <v>SPARE</v>
          </cell>
          <cell r="F694" t="str">
            <v>Bandeja Superior Esquerdo Sem Pivô  Del Rey 1984 À 1991</v>
          </cell>
        </row>
        <row r="695">
          <cell r="A695">
            <v>442083</v>
          </cell>
          <cell r="B695" t="str">
            <v>AUTOMOTIVO</v>
          </cell>
          <cell r="C695" t="str">
            <v>Bandeja</v>
          </cell>
          <cell r="D695" t="str">
            <v>SIMPLES</v>
          </cell>
          <cell r="E695" t="str">
            <v>SPARE</v>
          </cell>
          <cell r="F695" t="str">
            <v>Bandeja Inferior Ambos Lados Escort 1993 A 1996 Sem Pivô</v>
          </cell>
        </row>
        <row r="696">
          <cell r="A696">
            <v>442084</v>
          </cell>
          <cell r="B696" t="str">
            <v>AUTOMOTIVO</v>
          </cell>
          <cell r="C696" t="str">
            <v>Bandeja</v>
          </cell>
          <cell r="D696" t="str">
            <v>SIMPLES</v>
          </cell>
          <cell r="E696" t="str">
            <v>SPARE</v>
          </cell>
          <cell r="F696" t="str">
            <v>Bandeja Inferior Direita Com Pivô Verona 1993 A 1996</v>
          </cell>
        </row>
        <row r="697">
          <cell r="A697">
            <v>442085</v>
          </cell>
          <cell r="B697" t="str">
            <v>AUTOMOTIVO</v>
          </cell>
          <cell r="C697" t="str">
            <v>Bandeja</v>
          </cell>
          <cell r="D697" t="str">
            <v>SIMPLES</v>
          </cell>
          <cell r="E697" t="str">
            <v>SPARE</v>
          </cell>
          <cell r="F697" t="str">
            <v>Bandeja Inferior Esquerda Com Pivô Logus 1993 A 1996</v>
          </cell>
        </row>
        <row r="698">
          <cell r="A698">
            <v>442086</v>
          </cell>
          <cell r="B698" t="str">
            <v>AUTOMOTIVO</v>
          </cell>
          <cell r="C698" t="str">
            <v>Bandeja</v>
          </cell>
          <cell r="D698" t="str">
            <v>SIMPLES</v>
          </cell>
          <cell r="E698" t="str">
            <v>SPARE</v>
          </cell>
          <cell r="F698" t="str">
            <v>Suporte Da Bandeja Suspensão Direita Ka 1997 Á 2007</v>
          </cell>
        </row>
        <row r="699">
          <cell r="A699">
            <v>442090</v>
          </cell>
          <cell r="B699" t="str">
            <v>AUTOMOTIVO</v>
          </cell>
          <cell r="C699" t="str">
            <v>Bandeja</v>
          </cell>
          <cell r="D699" t="str">
            <v>SIMPLES</v>
          </cell>
          <cell r="E699" t="str">
            <v>SPARE</v>
          </cell>
          <cell r="F699" t="str">
            <v>Bandeja Sem Pivô Lado Esquerdo Saveiro G6 2012 Em Diante</v>
          </cell>
        </row>
        <row r="700">
          <cell r="A700">
            <v>442091</v>
          </cell>
          <cell r="B700" t="str">
            <v>AUTOMOTIVO</v>
          </cell>
          <cell r="C700" t="str">
            <v>Bandeja</v>
          </cell>
          <cell r="D700" t="str">
            <v>SIMPLES</v>
          </cell>
          <cell r="E700" t="str">
            <v>SPARE</v>
          </cell>
          <cell r="F700" t="str">
            <v>Bandeja Sem Pivô Lado Direito Gol G6 2012 Em Diante</v>
          </cell>
        </row>
        <row r="701">
          <cell r="A701">
            <v>442092</v>
          </cell>
          <cell r="B701" t="str">
            <v>AUTOMOTIVO</v>
          </cell>
          <cell r="C701" t="str">
            <v>Bandeja</v>
          </cell>
          <cell r="D701" t="str">
            <v>SIMPLES</v>
          </cell>
          <cell r="E701" t="str">
            <v>SPARE</v>
          </cell>
          <cell r="F701" t="str">
            <v>Bandeja Ld Voyage G5 2008 Em Diante Com Direção Hidraulica</v>
          </cell>
        </row>
        <row r="702">
          <cell r="A702">
            <v>442093</v>
          </cell>
          <cell r="B702" t="str">
            <v>AUTOMOTIVO</v>
          </cell>
          <cell r="C702" t="str">
            <v>Bandeja</v>
          </cell>
          <cell r="D702" t="str">
            <v>SIMPLES</v>
          </cell>
          <cell r="E702" t="str">
            <v>SPARE</v>
          </cell>
          <cell r="F702" t="str">
            <v>Bandeja Le Voyage G5 2008 Em Diante Com Direção Hidraulica</v>
          </cell>
        </row>
        <row r="703">
          <cell r="A703">
            <v>442095</v>
          </cell>
          <cell r="B703" t="str">
            <v>AUTOMOTIVO</v>
          </cell>
          <cell r="C703" t="str">
            <v>Bandeja</v>
          </cell>
          <cell r="D703" t="str">
            <v>SIMPLES</v>
          </cell>
          <cell r="E703" t="str">
            <v>SPARE</v>
          </cell>
          <cell r="F703" t="str">
            <v>Bandeja Inferior Ambos Os Lados Crossfox  2005 Á 2013</v>
          </cell>
        </row>
        <row r="704">
          <cell r="A704">
            <v>442096</v>
          </cell>
          <cell r="B704" t="str">
            <v>AUTOMOTIVO</v>
          </cell>
          <cell r="C704" t="str">
            <v>Bandeja</v>
          </cell>
          <cell r="D704" t="str">
            <v>SIMPLES</v>
          </cell>
          <cell r="E704" t="str">
            <v>SPARE</v>
          </cell>
          <cell r="F704" t="str">
            <v>Bandeja Dianteira Direita Com Pivô Polo Gti 2006 A 2017</v>
          </cell>
        </row>
        <row r="705">
          <cell r="A705">
            <v>442097</v>
          </cell>
          <cell r="B705" t="str">
            <v>AUTOMOTIVO</v>
          </cell>
          <cell r="C705" t="str">
            <v>Bandeja</v>
          </cell>
          <cell r="D705" t="str">
            <v>SIMPLES</v>
          </cell>
          <cell r="E705" t="str">
            <v>SPARE</v>
          </cell>
          <cell r="F705" t="str">
            <v>Bandeja Dianteira Esquerda Com Pivô Fox 2003 A 2014</v>
          </cell>
        </row>
        <row r="706">
          <cell r="A706">
            <v>442100</v>
          </cell>
          <cell r="B706" t="str">
            <v>AUTOMOTIVO</v>
          </cell>
          <cell r="C706" t="str">
            <v>Bandeja</v>
          </cell>
          <cell r="D706" t="str">
            <v>SIMPLES</v>
          </cell>
          <cell r="E706" t="str">
            <v>SPARE</v>
          </cell>
          <cell r="F706" t="str">
            <v>BANDEJA INFERIOR DIREITA SEM PIVÔ AUDI A3 2013 A 2018</v>
          </cell>
        </row>
        <row r="707">
          <cell r="A707">
            <v>442101</v>
          </cell>
          <cell r="B707" t="str">
            <v>AUTOMOTIVO</v>
          </cell>
          <cell r="C707" t="str">
            <v>Pastilha Freio</v>
          </cell>
          <cell r="D707" t="str">
            <v>SIMPLES</v>
          </cell>
          <cell r="E707" t="str">
            <v>SPARE</v>
          </cell>
          <cell r="F707" t="str">
            <v>BANDEJA INFERIOR ESQUERDA SEM PIVÔ AUDI A3 2013 A 2018</v>
          </cell>
        </row>
        <row r="708">
          <cell r="A708">
            <v>442104</v>
          </cell>
          <cell r="B708" t="str">
            <v>AUTOMOTIVO</v>
          </cell>
          <cell r="C708" t="str">
            <v>Bandeja</v>
          </cell>
          <cell r="D708" t="str">
            <v>SIMPLES</v>
          </cell>
          <cell r="E708" t="str">
            <v>SPARE</v>
          </cell>
          <cell r="F708" t="str">
            <v>Bandeja Inferior Direito Sem Pivô Passat 2012 A 2015</v>
          </cell>
        </row>
        <row r="709">
          <cell r="A709">
            <v>442105</v>
          </cell>
          <cell r="B709" t="str">
            <v>AUTOMOTIVO</v>
          </cell>
          <cell r="C709" t="str">
            <v>Bandeja</v>
          </cell>
          <cell r="D709" t="str">
            <v>SIMPLES</v>
          </cell>
          <cell r="E709" t="str">
            <v>SPARE</v>
          </cell>
          <cell r="F709" t="str">
            <v>Bandeja Inferior Esquerdo Sem Pivô Volkswagen Cc 2010 A 2017</v>
          </cell>
        </row>
        <row r="710">
          <cell r="A710">
            <v>442106</v>
          </cell>
          <cell r="B710" t="str">
            <v>AUTOMOTIVO</v>
          </cell>
          <cell r="C710" t="str">
            <v>Bandeja</v>
          </cell>
          <cell r="D710" t="str">
            <v>SIMPLES</v>
          </cell>
          <cell r="E710" t="str">
            <v>SPARE</v>
          </cell>
          <cell r="F710" t="str">
            <v>Bandeja Inferior Direito Com Pivô Passat 2012 A 2015</v>
          </cell>
        </row>
        <row r="711">
          <cell r="A711">
            <v>442107</v>
          </cell>
          <cell r="B711" t="str">
            <v>AUTOMOTIVO</v>
          </cell>
          <cell r="C711" t="str">
            <v>Bandeja</v>
          </cell>
          <cell r="D711" t="str">
            <v>SIMPLES</v>
          </cell>
          <cell r="E711" t="str">
            <v>SPARE</v>
          </cell>
          <cell r="F711" t="str">
            <v>Bandeja Inferior Esquerda Com Pivô Tiguan 2010 A 2017</v>
          </cell>
        </row>
        <row r="712">
          <cell r="A712">
            <v>442108</v>
          </cell>
          <cell r="B712" t="str">
            <v>AUTOMOTIVO</v>
          </cell>
          <cell r="C712" t="str">
            <v>Bandeja</v>
          </cell>
          <cell r="D712" t="str">
            <v>SIMPLES</v>
          </cell>
          <cell r="E712" t="str">
            <v>SPARE</v>
          </cell>
          <cell r="F712" t="str">
            <v>BANDEJA VW JETTA LADO DIREITO COM pivô</v>
          </cell>
        </row>
        <row r="713">
          <cell r="A713">
            <v>442109</v>
          </cell>
          <cell r="B713" t="str">
            <v>AUTOMOTIVO</v>
          </cell>
          <cell r="C713" t="str">
            <v>Bandeja</v>
          </cell>
          <cell r="D713" t="str">
            <v>SIMPLES</v>
          </cell>
          <cell r="E713" t="str">
            <v>SPARE</v>
          </cell>
          <cell r="F713" t="str">
            <v>BANDEJA VW JETTA ESQUERDA COM pivô</v>
          </cell>
        </row>
        <row r="714">
          <cell r="A714">
            <v>442110</v>
          </cell>
          <cell r="B714" t="str">
            <v>AUTOMOTIVO</v>
          </cell>
          <cell r="C714" t="str">
            <v>Bandeja</v>
          </cell>
          <cell r="D714" t="str">
            <v>SIMPLES</v>
          </cell>
          <cell r="E714" t="str">
            <v>SPARE</v>
          </cell>
          <cell r="F714" t="str">
            <v>BANDEJA DIANTEIRA DIREITA SEM pivô NEW BEETLE 1999 A 2002</v>
          </cell>
        </row>
        <row r="715">
          <cell r="A715">
            <v>442111</v>
          </cell>
          <cell r="B715" t="str">
            <v>AUTOMOTIVO</v>
          </cell>
          <cell r="C715" t="str">
            <v>Bandeja</v>
          </cell>
          <cell r="D715" t="str">
            <v>SIMPLES</v>
          </cell>
          <cell r="E715" t="str">
            <v>SPARE</v>
          </cell>
          <cell r="F715" t="str">
            <v>BANDEJA DIANTEIRA ESQUERDA SEM pivô NEW BEETLE 1999 A 2002</v>
          </cell>
        </row>
        <row r="716">
          <cell r="A716">
            <v>442112</v>
          </cell>
          <cell r="B716" t="str">
            <v>AUTOMOTIVO</v>
          </cell>
          <cell r="C716" t="str">
            <v>Bandeja</v>
          </cell>
          <cell r="D716" t="str">
            <v>SIMPLES</v>
          </cell>
          <cell r="E716" t="str">
            <v>SPARE</v>
          </cell>
          <cell r="F716" t="str">
            <v>Bandeja Up Dianteira direita 2014 Em Diante Sem Pivô</v>
          </cell>
        </row>
        <row r="717">
          <cell r="A717">
            <v>442113</v>
          </cell>
          <cell r="B717" t="str">
            <v>AUTOMOTIVO</v>
          </cell>
          <cell r="C717" t="str">
            <v>Bandeja</v>
          </cell>
          <cell r="D717" t="str">
            <v>SIMPLES</v>
          </cell>
          <cell r="E717" t="str">
            <v>SPARE</v>
          </cell>
          <cell r="F717" t="str">
            <v>Bandeja Up Dianteira Esquerda 2014 Em Diante Sem Pivô</v>
          </cell>
        </row>
        <row r="718">
          <cell r="A718">
            <v>442114</v>
          </cell>
          <cell r="B718" t="str">
            <v>AUTOMOTIVO</v>
          </cell>
          <cell r="C718" t="str">
            <v>Pastilha Freio</v>
          </cell>
          <cell r="D718" t="str">
            <v>SIMPLES</v>
          </cell>
          <cell r="E718" t="str">
            <v>SPARE</v>
          </cell>
          <cell r="F718" t="str">
            <v>BANDEJA INFERIOR ESQUERDA SEM PIVÔ UP 2014 A 2020</v>
          </cell>
        </row>
        <row r="719">
          <cell r="A719">
            <v>442118</v>
          </cell>
          <cell r="B719" t="str">
            <v>AUTOMOTIVO</v>
          </cell>
          <cell r="C719" t="str">
            <v>Bandeja</v>
          </cell>
          <cell r="D719" t="str">
            <v>SIMPLES</v>
          </cell>
          <cell r="E719" t="str">
            <v>SPARE</v>
          </cell>
          <cell r="F719" t="str">
            <v>Bandeja Inferior Direita Com Pivô Amarok 2010 A 2020 2.0</v>
          </cell>
        </row>
        <row r="720">
          <cell r="A720">
            <v>442119</v>
          </cell>
          <cell r="B720" t="str">
            <v>AUTOMOTIVO</v>
          </cell>
          <cell r="C720" t="str">
            <v>Bandeja</v>
          </cell>
          <cell r="D720" t="str">
            <v>SIMPLES</v>
          </cell>
          <cell r="E720" t="str">
            <v>SPARE</v>
          </cell>
          <cell r="F720" t="str">
            <v>Bandeja Inferior Esquerda Com Pivô Amarok 2010 A 2020 2.0</v>
          </cell>
        </row>
        <row r="721">
          <cell r="A721">
            <v>442120</v>
          </cell>
          <cell r="B721" t="str">
            <v>AUTOMOTIVO</v>
          </cell>
          <cell r="C721" t="str">
            <v>Bandeja</v>
          </cell>
          <cell r="D721" t="str">
            <v>SIMPLES</v>
          </cell>
          <cell r="E721" t="str">
            <v>SPARE</v>
          </cell>
          <cell r="F721" t="str">
            <v>Bandeja Superior Direito Amarok 2010 Á 2020</v>
          </cell>
        </row>
        <row r="722">
          <cell r="A722">
            <v>442121</v>
          </cell>
          <cell r="B722" t="str">
            <v>AUTOMOTIVO</v>
          </cell>
          <cell r="C722" t="str">
            <v>Bandeja</v>
          </cell>
          <cell r="D722" t="str">
            <v>SIMPLES</v>
          </cell>
          <cell r="E722" t="str">
            <v>SPARE</v>
          </cell>
          <cell r="F722" t="str">
            <v>Bandeja Superior Esquerda Amarok 2010 Á 2020</v>
          </cell>
        </row>
        <row r="723">
          <cell r="A723">
            <v>442122</v>
          </cell>
          <cell r="B723" t="str">
            <v>AUTOMOTIVO</v>
          </cell>
          <cell r="C723" t="str">
            <v>Bandeja</v>
          </cell>
          <cell r="D723" t="str">
            <v>SIMPLES</v>
          </cell>
          <cell r="E723" t="str">
            <v>SPARE</v>
          </cell>
          <cell r="F723" t="str">
            <v>Bandeja Inferior Direita Jetta 2.0 2.5 2005 A 2010 Sem Pivô</v>
          </cell>
        </row>
        <row r="724">
          <cell r="A724">
            <v>442123</v>
          </cell>
          <cell r="B724" t="str">
            <v>AUTOMOTIVO</v>
          </cell>
          <cell r="C724" t="str">
            <v>Bandeja</v>
          </cell>
          <cell r="D724" t="str">
            <v>SIMPLES</v>
          </cell>
          <cell r="E724" t="str">
            <v>SPARE</v>
          </cell>
          <cell r="F724" t="str">
            <v>Bandeja Inferior Esquerda Jetta 2.0 2.5 2005 A 2010 Sem Pivô</v>
          </cell>
        </row>
        <row r="725">
          <cell r="A725">
            <v>442125</v>
          </cell>
          <cell r="B725" t="str">
            <v>AUTOMOTIVO</v>
          </cell>
          <cell r="C725" t="str">
            <v>Bandeja</v>
          </cell>
          <cell r="D725" t="str">
            <v>SIMPLES</v>
          </cell>
          <cell r="E725" t="str">
            <v>SPARE</v>
          </cell>
          <cell r="F725" t="str">
            <v>Bandeja Inferior Esquerda Jetta 2.0 2.5 2005 A 2010 Com Pivô</v>
          </cell>
        </row>
        <row r="726">
          <cell r="A726">
            <v>442126</v>
          </cell>
          <cell r="B726" t="str">
            <v>AUTOMOTIVO</v>
          </cell>
          <cell r="C726" t="str">
            <v>Bandeja</v>
          </cell>
          <cell r="D726" t="str">
            <v>SIMPLES</v>
          </cell>
          <cell r="E726" t="str">
            <v>SPARE</v>
          </cell>
          <cell r="F726" t="str">
            <v>Bandeja Inferior Direita Com Pivô Golf Geração 7 2014 A 2018</v>
          </cell>
        </row>
        <row r="727">
          <cell r="A727">
            <v>442127</v>
          </cell>
          <cell r="B727" t="str">
            <v>AUTOMOTIVO</v>
          </cell>
          <cell r="C727" t="str">
            <v>Bandeja</v>
          </cell>
          <cell r="D727" t="str">
            <v>SIMPLES</v>
          </cell>
          <cell r="E727" t="str">
            <v>SPARE</v>
          </cell>
          <cell r="F727" t="str">
            <v>Bandeja Esquerda Com Pivô Audi A3 2013 A 2018</v>
          </cell>
        </row>
        <row r="728">
          <cell r="A728">
            <v>442128</v>
          </cell>
          <cell r="B728" t="str">
            <v>AUTOMOTIVO</v>
          </cell>
          <cell r="C728" t="str">
            <v>Bandeja</v>
          </cell>
          <cell r="D728" t="str">
            <v>SIMPLES</v>
          </cell>
          <cell r="E728" t="str">
            <v>SPARE</v>
          </cell>
          <cell r="F728" t="str">
            <v>Bandeja Up Dianteira direita 2014 Em Diante Com Pivô</v>
          </cell>
        </row>
        <row r="729">
          <cell r="A729">
            <v>442129</v>
          </cell>
          <cell r="B729" t="str">
            <v>AUTOMOTIVO</v>
          </cell>
          <cell r="C729" t="str">
            <v>Bandeja</v>
          </cell>
          <cell r="D729" t="str">
            <v>SIMPLES</v>
          </cell>
          <cell r="E729" t="str">
            <v>SPARE</v>
          </cell>
          <cell r="F729" t="str">
            <v>Bandeja Up Dianteira Esquerda 2014 Em Diante Com Pivô</v>
          </cell>
        </row>
        <row r="730">
          <cell r="A730">
            <v>442144</v>
          </cell>
          <cell r="B730" t="str">
            <v>AUTOMOTIVO</v>
          </cell>
          <cell r="C730" t="str">
            <v>Bandeja</v>
          </cell>
          <cell r="D730" t="str">
            <v>SIMPLES</v>
          </cell>
          <cell r="E730" t="str">
            <v>SPARE</v>
          </cell>
          <cell r="F730" t="str">
            <v>Bandeja Inferior Esquerda Sem Pivô Polo 2017 Em Diante</v>
          </cell>
        </row>
        <row r="731">
          <cell r="A731">
            <v>442145</v>
          </cell>
          <cell r="B731" t="str">
            <v>AUTOMOTIVO</v>
          </cell>
          <cell r="C731" t="str">
            <v>Bandeja</v>
          </cell>
          <cell r="D731" t="str">
            <v>SIMPLES</v>
          </cell>
          <cell r="E731" t="str">
            <v>SPARE</v>
          </cell>
          <cell r="F731" t="str">
            <v>Bandeja Inferior Direita Sem Pivô Polo 2017 Em Diante</v>
          </cell>
        </row>
        <row r="732">
          <cell r="A732">
            <v>442146</v>
          </cell>
          <cell r="B732" t="str">
            <v>AUTOMOTIVO</v>
          </cell>
          <cell r="C732" t="str">
            <v>Pastilha Freio</v>
          </cell>
          <cell r="D732" t="str">
            <v>SIMPLES</v>
          </cell>
          <cell r="E732" t="str">
            <v>SPARE</v>
          </cell>
          <cell r="F732" t="str">
            <v>Suporte Bandeja Balança Direita Fox 2004 A 2014</v>
          </cell>
        </row>
        <row r="733">
          <cell r="A733">
            <v>442147</v>
          </cell>
          <cell r="B733" t="str">
            <v>AUTOMOTIVO</v>
          </cell>
          <cell r="C733" t="str">
            <v>Bandeja</v>
          </cell>
          <cell r="D733" t="str">
            <v>SIMPLES</v>
          </cell>
          <cell r="E733" t="str">
            <v>SPARE</v>
          </cell>
          <cell r="F733" t="str">
            <v>Suporte Bandeja Balança Esquerda Spacefox 2011 A 2014</v>
          </cell>
        </row>
        <row r="734">
          <cell r="A734">
            <v>550111</v>
          </cell>
          <cell r="B734" t="str">
            <v>AUTOMOTIVO</v>
          </cell>
          <cell r="C734" t="str">
            <v>Cabo Embreagem</v>
          </cell>
          <cell r="D734" t="str">
            <v>SIMPLES</v>
          </cell>
          <cell r="E734" t="str">
            <v>MundiFlex</v>
          </cell>
          <cell r="F734" t="str">
            <v>Tubo Flexível Kombi Todos Até 1996</v>
          </cell>
        </row>
        <row r="735">
          <cell r="A735">
            <v>550230</v>
          </cell>
          <cell r="B735" t="str">
            <v>AUTOMOTIVO</v>
          </cell>
          <cell r="C735" t="str">
            <v>Bieleta</v>
          </cell>
          <cell r="D735" t="str">
            <v>SIMPLES</v>
          </cell>
          <cell r="E735" t="str">
            <v>HOLYMAN</v>
          </cell>
          <cell r="F735" t="str">
            <v>BIELETA REFORÇADA DIANTEIRA AMBOS LADOS EXPLORER 1992 A 1994</v>
          </cell>
        </row>
        <row r="736">
          <cell r="A736">
            <v>550291</v>
          </cell>
          <cell r="B736" t="str">
            <v>AUTOMOTIVO</v>
          </cell>
          <cell r="C736" t="str">
            <v>Cabo Embreagem</v>
          </cell>
          <cell r="D736" t="str">
            <v>SIMPLES</v>
          </cell>
          <cell r="E736" t="str">
            <v>MundiFlex</v>
          </cell>
          <cell r="F736" t="str">
            <v>Tubo Flexível Kombi T2 Motor A Água 2006 Em Diante</v>
          </cell>
        </row>
        <row r="737">
          <cell r="A737">
            <v>551311</v>
          </cell>
          <cell r="B737" t="str">
            <v>AUTOMOTIVO</v>
          </cell>
          <cell r="C737" t="str">
            <v>Cabo de Freio</v>
          </cell>
          <cell r="D737" t="str">
            <v>SIMPLES</v>
          </cell>
          <cell r="E737" t="str">
            <v>MundiFlex</v>
          </cell>
          <cell r="F737" t="str">
            <v>Cabo De Freio Parati 1993 A 1995 1.6 Álc Gas</v>
          </cell>
        </row>
        <row r="738">
          <cell r="A738">
            <v>552001</v>
          </cell>
          <cell r="B738" t="str">
            <v>AUTOMOTIVO</v>
          </cell>
          <cell r="C738" t="str">
            <v>Bandeja</v>
          </cell>
          <cell r="D738" t="str">
            <v>SIMPLES</v>
          </cell>
          <cell r="E738" t="str">
            <v>SPARE</v>
          </cell>
          <cell r="F738" t="str">
            <v>Bandeja Lado Esquerdo Peugeot 206 Todos 1999 A 2010 C Pivô</v>
          </cell>
        </row>
        <row r="739">
          <cell r="A739">
            <v>552002</v>
          </cell>
          <cell r="B739" t="str">
            <v>AUTOMOTIVO</v>
          </cell>
          <cell r="C739" t="str">
            <v>Bandeja</v>
          </cell>
          <cell r="D739" t="str">
            <v>SIMPLES</v>
          </cell>
          <cell r="E739" t="str">
            <v>SPARE</v>
          </cell>
          <cell r="F739" t="str">
            <v>Bandeja Ld Peugeot 207 Exceto Escapade 2008 Em Diante C Pivô</v>
          </cell>
        </row>
        <row r="740">
          <cell r="A740">
            <v>552004</v>
          </cell>
          <cell r="B740" t="str">
            <v>AUTOMOTIVO</v>
          </cell>
          <cell r="C740" t="str">
            <v>Bandeja</v>
          </cell>
          <cell r="D740" t="str">
            <v>SIMPLES</v>
          </cell>
          <cell r="E740" t="str">
            <v>SPARE</v>
          </cell>
          <cell r="F740" t="str">
            <v>Bandeja Superior 106 Lado Direito Sem pivô 1992 Á 2001</v>
          </cell>
        </row>
        <row r="741">
          <cell r="A741">
            <v>552005</v>
          </cell>
          <cell r="B741" t="str">
            <v>AUTOMOTIVO</v>
          </cell>
          <cell r="C741" t="str">
            <v>Bandeja</v>
          </cell>
          <cell r="D741" t="str">
            <v>SIMPLES</v>
          </cell>
          <cell r="E741" t="str">
            <v>SPARE</v>
          </cell>
          <cell r="F741" t="str">
            <v>Bandeja Superior 106 Lado Esquerdo Sem pivô 1992 Á 2001</v>
          </cell>
        </row>
        <row r="742">
          <cell r="A742">
            <v>552006</v>
          </cell>
          <cell r="B742" t="str">
            <v>AUTOMOTIVO</v>
          </cell>
          <cell r="C742" t="str">
            <v>Bandeja</v>
          </cell>
          <cell r="D742" t="str">
            <v>SIMPLES</v>
          </cell>
          <cell r="E742" t="str">
            <v>SPARE</v>
          </cell>
          <cell r="F742" t="str">
            <v>Bandeja - AX 96/ - inferior - Direita</v>
          </cell>
        </row>
        <row r="743">
          <cell r="A743">
            <v>552007</v>
          </cell>
          <cell r="B743" t="str">
            <v>AUTOMOTIVO</v>
          </cell>
          <cell r="C743" t="str">
            <v>Bandeja</v>
          </cell>
          <cell r="D743" t="str">
            <v>SIMPLES</v>
          </cell>
          <cell r="E743" t="str">
            <v>SPARE</v>
          </cell>
          <cell r="F743" t="str">
            <v>Bandeja - AX 96/ - inferior - Esquerda</v>
          </cell>
        </row>
        <row r="744">
          <cell r="A744">
            <v>552010</v>
          </cell>
          <cell r="B744" t="str">
            <v>AUTOMOTIVO</v>
          </cell>
          <cell r="C744" t="str">
            <v>Bandeja</v>
          </cell>
          <cell r="D744" t="str">
            <v>SIMPLES</v>
          </cell>
          <cell r="E744" t="str">
            <v>SPARE</v>
          </cell>
          <cell r="F744" t="str">
            <v>Bandeja Direita Sem Pivô Citroen C3 2003 A 2012</v>
          </cell>
        </row>
        <row r="745">
          <cell r="A745">
            <v>552011</v>
          </cell>
          <cell r="B745" t="str">
            <v>AUTOMOTIVO</v>
          </cell>
          <cell r="C745" t="str">
            <v>Bandeja</v>
          </cell>
          <cell r="D745" t="str">
            <v>SIMPLES</v>
          </cell>
          <cell r="E745" t="str">
            <v>SPARE</v>
          </cell>
          <cell r="F745" t="str">
            <v>Bandeja Esquerda Sem Pivô Citroen C3 2003 A 2012</v>
          </cell>
        </row>
        <row r="746">
          <cell r="A746">
            <v>552012</v>
          </cell>
          <cell r="B746" t="str">
            <v>AUTOMOTIVO</v>
          </cell>
          <cell r="C746" t="str">
            <v>Bandeja</v>
          </cell>
          <cell r="D746" t="str">
            <v>SIMPLES</v>
          </cell>
          <cell r="E746" t="str">
            <v>SPARE</v>
          </cell>
          <cell r="F746" t="str">
            <v>Bandeja Inferior C3 Lado Direito Com Pivô</v>
          </cell>
        </row>
        <row r="747">
          <cell r="A747">
            <v>552013</v>
          </cell>
          <cell r="B747" t="str">
            <v>AUTOMOTIVO</v>
          </cell>
          <cell r="C747" t="str">
            <v>Bandeja</v>
          </cell>
          <cell r="D747" t="str">
            <v>SIMPLES</v>
          </cell>
          <cell r="E747" t="str">
            <v>SPARE</v>
          </cell>
          <cell r="F747" t="str">
            <v>Bandeja Inferior C3 Lado Esquerdo Com Pivô</v>
          </cell>
        </row>
        <row r="748">
          <cell r="A748">
            <v>552014</v>
          </cell>
          <cell r="B748" t="str">
            <v>AUTOMOTIVO</v>
          </cell>
          <cell r="C748" t="str">
            <v>Bandeja</v>
          </cell>
          <cell r="D748" t="str">
            <v>SIMPLES</v>
          </cell>
          <cell r="E748" t="str">
            <v>SPARE</v>
          </cell>
          <cell r="F748" t="str">
            <v>Bandeja C4 Picasso 2009 Á 2014 Lado Direito</v>
          </cell>
        </row>
        <row r="749">
          <cell r="A749">
            <v>552015</v>
          </cell>
          <cell r="B749" t="str">
            <v>AUTOMOTIVO</v>
          </cell>
          <cell r="C749" t="str">
            <v>Bandeja</v>
          </cell>
          <cell r="D749" t="str">
            <v>SIMPLES</v>
          </cell>
          <cell r="E749" t="str">
            <v>SPARE</v>
          </cell>
          <cell r="F749" t="str">
            <v>Bandeja 307 Esquerdo 2002 Á 2012</v>
          </cell>
        </row>
        <row r="750">
          <cell r="A750">
            <v>552017</v>
          </cell>
          <cell r="B750" t="str">
            <v>AUTOMOTIVO</v>
          </cell>
          <cell r="C750" t="str">
            <v>Bandeja</v>
          </cell>
          <cell r="D750" t="str">
            <v>SIMPLES</v>
          </cell>
          <cell r="E750" t="str">
            <v>SPARE</v>
          </cell>
          <cell r="F750" t="str">
            <v>Bandeja Inferior Esquerda Sem Pivô Berlingo 1998 A 2007</v>
          </cell>
        </row>
        <row r="751">
          <cell r="A751">
            <v>552018</v>
          </cell>
          <cell r="B751" t="str">
            <v>AUTOMOTIVO</v>
          </cell>
          <cell r="C751" t="str">
            <v>Bandeja</v>
          </cell>
          <cell r="D751" t="str">
            <v>SIMPLES</v>
          </cell>
          <cell r="E751" t="str">
            <v>SPARE</v>
          </cell>
          <cell r="F751" t="str">
            <v>Bandeja Inferior Direita Sem Pivô 306 1994 A 2001</v>
          </cell>
        </row>
        <row r="752">
          <cell r="A752">
            <v>552019</v>
          </cell>
          <cell r="B752" t="str">
            <v>AUTOMOTIVO</v>
          </cell>
          <cell r="C752" t="str">
            <v>Bandeja</v>
          </cell>
          <cell r="D752" t="str">
            <v>SIMPLES</v>
          </cell>
          <cell r="E752" t="str">
            <v>SPARE</v>
          </cell>
          <cell r="F752" t="str">
            <v>Bandeja Dianteira Esquerda Partner 1999 A 2008</v>
          </cell>
        </row>
        <row r="753">
          <cell r="A753">
            <v>552030</v>
          </cell>
          <cell r="B753" t="str">
            <v>AUTOMOTIVO</v>
          </cell>
          <cell r="C753" t="str">
            <v>Bandeja</v>
          </cell>
          <cell r="D753" t="str">
            <v>SIMPLES</v>
          </cell>
          <cell r="E753" t="str">
            <v>SPARE</v>
          </cell>
          <cell r="F753" t="str">
            <v>Bandeja Inferior Esquerdo Xsara Picasso 2001 A 2011</v>
          </cell>
        </row>
        <row r="754">
          <cell r="A754">
            <v>552031</v>
          </cell>
          <cell r="B754" t="str">
            <v>AUTOMOTIVO</v>
          </cell>
          <cell r="C754" t="str">
            <v>Bandeja</v>
          </cell>
          <cell r="D754" t="str">
            <v>SIMPLES</v>
          </cell>
          <cell r="E754" t="str">
            <v>SPARE</v>
          </cell>
          <cell r="F754" t="str">
            <v>Bandeja Inferior Direito Berlingo 1999 Em Diante</v>
          </cell>
        </row>
        <row r="755">
          <cell r="A755">
            <v>552032</v>
          </cell>
          <cell r="B755" t="str">
            <v>AUTOMOTIVO</v>
          </cell>
          <cell r="C755" t="str">
            <v>Bandeja</v>
          </cell>
          <cell r="D755" t="str">
            <v>SIMPLES</v>
          </cell>
          <cell r="E755" t="str">
            <v>SPARE</v>
          </cell>
          <cell r="F755" t="str">
            <v>Bandeja Inferior Direita Com Pivô Citroen C3 2013 A 2022</v>
          </cell>
        </row>
        <row r="756">
          <cell r="A756">
            <v>552033</v>
          </cell>
          <cell r="B756" t="str">
            <v>AUTOMOTIVO</v>
          </cell>
          <cell r="C756" t="str">
            <v>Bandeja</v>
          </cell>
          <cell r="D756" t="str">
            <v>SIMPLES</v>
          </cell>
          <cell r="E756" t="str">
            <v>SPARE</v>
          </cell>
          <cell r="F756" t="str">
            <v>Bandeja Inferior Esquerda Com Pivô Peugeot 208 2013 A 2022</v>
          </cell>
        </row>
        <row r="757">
          <cell r="A757">
            <v>552034</v>
          </cell>
          <cell r="B757" t="str">
            <v>AUTOMOTIVO</v>
          </cell>
          <cell r="C757" t="str">
            <v>Bandeja</v>
          </cell>
          <cell r="D757" t="str">
            <v>SIMPLES</v>
          </cell>
          <cell r="E757" t="str">
            <v>SPARE</v>
          </cell>
          <cell r="F757" t="str">
            <v>BANDEJA DIANTEIRA DIREITA CITROEN C5 2001 A 2007 2.0 3.0</v>
          </cell>
        </row>
        <row r="758">
          <cell r="A758">
            <v>552035</v>
          </cell>
          <cell r="B758" t="str">
            <v>AUTOMOTIVO</v>
          </cell>
          <cell r="C758" t="str">
            <v>Bandeja</v>
          </cell>
          <cell r="D758" t="str">
            <v>SIMPLES</v>
          </cell>
          <cell r="E758" t="str">
            <v>SPARE</v>
          </cell>
          <cell r="F758" t="str">
            <v>Bandeja Dianteira Esquerda Citroen C5 2001 A 2007 2.0 3.0</v>
          </cell>
        </row>
        <row r="759">
          <cell r="A759">
            <v>559130</v>
          </cell>
          <cell r="B759" t="str">
            <v>AUTOMOTIVO</v>
          </cell>
          <cell r="C759" t="str">
            <v>Bieleta</v>
          </cell>
          <cell r="D759" t="str">
            <v>SIMPLES</v>
          </cell>
          <cell r="E759" t="str">
            <v>HOLYMAN</v>
          </cell>
          <cell r="F759" t="str">
            <v>BIELETA REFORÇADA DIANTEIRA DIREITA L200 TRITON 2007 A 2013</v>
          </cell>
        </row>
        <row r="760">
          <cell r="A760">
            <v>559140</v>
          </cell>
          <cell r="B760" t="str">
            <v>AUTOMOTIVO</v>
          </cell>
          <cell r="C760" t="str">
            <v>Bieleta</v>
          </cell>
          <cell r="D760" t="str">
            <v>SIMPLES</v>
          </cell>
          <cell r="E760" t="str">
            <v>HOLYMAN</v>
          </cell>
          <cell r="F760" t="str">
            <v>BIELETA REFORÇADA DIANTEIRA ESQUERDA L200 TRITON 2007 A 2013</v>
          </cell>
        </row>
        <row r="761">
          <cell r="A761">
            <v>660211</v>
          </cell>
          <cell r="B761" t="str">
            <v>AUTOMOTIVO</v>
          </cell>
          <cell r="C761" t="str">
            <v>Cabo de Capô</v>
          </cell>
          <cell r="D761" t="str">
            <v>SIMPLES</v>
          </cell>
          <cell r="E761" t="str">
            <v>MundiFlex</v>
          </cell>
          <cell r="F761" t="str">
            <v>Cabo De Capô Com Alavanca 1624mm Uno Mille 1991 Em Diante</v>
          </cell>
        </row>
        <row r="762">
          <cell r="A762">
            <v>662010</v>
          </cell>
          <cell r="B762" t="str">
            <v>AUTOMOTIVO</v>
          </cell>
          <cell r="C762" t="str">
            <v>Bandeja</v>
          </cell>
          <cell r="D762" t="str">
            <v>SIMPLES</v>
          </cell>
          <cell r="E762" t="str">
            <v>SPARE</v>
          </cell>
          <cell r="F762" t="str">
            <v>Bandeja Inferior Direita Sem Pivô Kwid 2017 Em Diante</v>
          </cell>
        </row>
        <row r="763">
          <cell r="A763">
            <v>662011</v>
          </cell>
          <cell r="B763" t="str">
            <v>AUTOMOTIVO</v>
          </cell>
          <cell r="C763" t="str">
            <v>Bandeja</v>
          </cell>
          <cell r="D763" t="str">
            <v>SIMPLES</v>
          </cell>
          <cell r="E763" t="str">
            <v>SPARE</v>
          </cell>
          <cell r="F763" t="str">
            <v>Bandeja Inferior Esquerda Sem Pivô Kwid 2017 Em Diante</v>
          </cell>
        </row>
        <row r="764">
          <cell r="A764">
            <v>662012</v>
          </cell>
          <cell r="B764" t="str">
            <v>AUTOMOTIVO</v>
          </cell>
          <cell r="C764" t="str">
            <v>Bandeja</v>
          </cell>
          <cell r="D764" t="str">
            <v>SIMPLES</v>
          </cell>
          <cell r="E764" t="str">
            <v>SPARE</v>
          </cell>
          <cell r="F764" t="str">
            <v>Bandeja Inferior Direita Com Pivô Kwid 2017 Em Diante</v>
          </cell>
        </row>
        <row r="765">
          <cell r="A765">
            <v>662013</v>
          </cell>
          <cell r="B765" t="str">
            <v>AUTOMOTIVO</v>
          </cell>
          <cell r="C765" t="str">
            <v>Bandeja</v>
          </cell>
          <cell r="D765" t="str">
            <v>SIMPLES</v>
          </cell>
          <cell r="E765" t="str">
            <v>SPARE</v>
          </cell>
          <cell r="F765" t="str">
            <v>Bandeja Inferior Esquerda Com Pivô Kwid 2017 Em Diante</v>
          </cell>
        </row>
        <row r="766">
          <cell r="A766">
            <v>662020</v>
          </cell>
          <cell r="B766" t="str">
            <v>AUTOMOTIVO</v>
          </cell>
          <cell r="C766" t="str">
            <v>Bandeja</v>
          </cell>
          <cell r="D766" t="str">
            <v>SIMPLES</v>
          </cell>
          <cell r="E766" t="str">
            <v>SPARE</v>
          </cell>
          <cell r="F766" t="str">
            <v>BANDEJA CLIO II 1.0, 1.6 98/05, KANGOO, SYMBOL 1.6 8/16V 09/ - inferior</v>
          </cell>
        </row>
        <row r="767">
          <cell r="A767">
            <v>662021</v>
          </cell>
          <cell r="B767" t="str">
            <v>AUTOMOTIVO</v>
          </cell>
          <cell r="D767" t="str">
            <v>SIMPLES</v>
          </cell>
        </row>
        <row r="768">
          <cell r="A768">
            <v>662022</v>
          </cell>
          <cell r="B768" t="str">
            <v>AUTOMOTIVO</v>
          </cell>
          <cell r="C768" t="str">
            <v>Bandeja</v>
          </cell>
          <cell r="D768" t="str">
            <v>SIMPLES</v>
          </cell>
          <cell r="E768" t="str">
            <v>SPARE</v>
          </cell>
          <cell r="F768" t="str">
            <v xml:space="preserve">Bandeja LD CLIO II 1.0, 1.6 98/05, KANGOO, SYMBOL 1.6 8/16V 09/ - COM pivô  </v>
          </cell>
        </row>
        <row r="769">
          <cell r="A769">
            <v>662023</v>
          </cell>
          <cell r="B769" t="str">
            <v>AUTOMOTIVO</v>
          </cell>
          <cell r="C769" t="str">
            <v>Bandeja</v>
          </cell>
          <cell r="D769" t="str">
            <v>SIMPLES</v>
          </cell>
          <cell r="E769" t="str">
            <v>SPARE</v>
          </cell>
          <cell r="F769" t="str">
            <v xml:space="preserve">Bandeja LE CLIO II 1.0, 1.6 98/05, KANGOO, SYMBOL 1.6 8/16V 09/ - COM pivô  </v>
          </cell>
        </row>
        <row r="770">
          <cell r="A770">
            <v>662024</v>
          </cell>
          <cell r="B770" t="str">
            <v>AUTOMOTIVO</v>
          </cell>
          <cell r="C770" t="str">
            <v>Bandeja</v>
          </cell>
          <cell r="D770" t="str">
            <v>SIMPLES</v>
          </cell>
          <cell r="E770" t="str">
            <v>SPARE</v>
          </cell>
          <cell r="F770" t="str">
            <v>Bandeja Clio Inferior Direito 2005 Á 2016 Sem Pivô</v>
          </cell>
        </row>
        <row r="771">
          <cell r="A771">
            <v>662025</v>
          </cell>
          <cell r="B771" t="str">
            <v>AUTOMOTIVO</v>
          </cell>
          <cell r="C771" t="str">
            <v>Bandeja</v>
          </cell>
          <cell r="D771" t="str">
            <v>SIMPLES</v>
          </cell>
          <cell r="E771" t="str">
            <v>SPARE</v>
          </cell>
          <cell r="F771" t="str">
            <v>Bandeja Clio Inferior Esquerdo 2005 Á 2016 Sem Pivô</v>
          </cell>
        </row>
        <row r="772">
          <cell r="A772">
            <v>662028</v>
          </cell>
          <cell r="B772" t="str">
            <v>AUTOMOTIVO</v>
          </cell>
          <cell r="C772" t="str">
            <v>Bandeja</v>
          </cell>
          <cell r="D772" t="str">
            <v>SIMPLES</v>
          </cell>
          <cell r="E772" t="str">
            <v>SPARE</v>
          </cell>
          <cell r="F772" t="str">
            <v>Bandeja Direita Sem Pivô Megane Grand Tour 2006 A 2012</v>
          </cell>
        </row>
        <row r="773">
          <cell r="A773">
            <v>662029</v>
          </cell>
          <cell r="B773" t="str">
            <v>AUTOMOTIVO</v>
          </cell>
          <cell r="C773" t="str">
            <v>Bandeja</v>
          </cell>
          <cell r="D773" t="str">
            <v>SIMPLES</v>
          </cell>
          <cell r="E773" t="str">
            <v>SPARE</v>
          </cell>
          <cell r="F773" t="str">
            <v>Bandeja Esquerda Sem Pivô New Megane 2007 Em Diante</v>
          </cell>
        </row>
        <row r="774">
          <cell r="A774">
            <v>662030</v>
          </cell>
          <cell r="B774" t="str">
            <v>AUTOMOTIVO</v>
          </cell>
          <cell r="C774" t="str">
            <v>Bandeja</v>
          </cell>
          <cell r="D774" t="str">
            <v>SIMPLES</v>
          </cell>
          <cell r="E774" t="str">
            <v>SPARE</v>
          </cell>
          <cell r="F774" t="str">
            <v>Bandeja Direita Com Pivô New Megane 2007 Em Diante</v>
          </cell>
        </row>
        <row r="775">
          <cell r="A775">
            <v>662031</v>
          </cell>
          <cell r="B775" t="str">
            <v>AUTOMOTIVO</v>
          </cell>
          <cell r="C775" t="str">
            <v>Bandeja</v>
          </cell>
          <cell r="D775" t="str">
            <v>SIMPLES</v>
          </cell>
          <cell r="E775" t="str">
            <v>SPARE</v>
          </cell>
          <cell r="F775" t="str">
            <v>Bandeja Esquerda Com Pivô Megane Grand Tour 2006 A 2012</v>
          </cell>
        </row>
        <row r="776">
          <cell r="A776">
            <v>662040</v>
          </cell>
          <cell r="B776" t="str">
            <v>AUTOMOTIVO</v>
          </cell>
          <cell r="C776" t="str">
            <v>Bandeja</v>
          </cell>
          <cell r="D776" t="str">
            <v>SIMPLES</v>
          </cell>
          <cell r="E776" t="str">
            <v>SPARE</v>
          </cell>
          <cell r="F776" t="str">
            <v>Bandeja Fluence Lado Direito 2011 Á 2018</v>
          </cell>
        </row>
        <row r="777">
          <cell r="A777">
            <v>662041</v>
          </cell>
          <cell r="B777" t="str">
            <v>AUTOMOTIVO</v>
          </cell>
          <cell r="C777" t="str">
            <v>Bandeja</v>
          </cell>
          <cell r="D777" t="str">
            <v>SIMPLES</v>
          </cell>
          <cell r="E777" t="str">
            <v>SPARE</v>
          </cell>
          <cell r="F777" t="str">
            <v>Bandeja Fluence Lado Esquerdo 2011 Á 2018</v>
          </cell>
        </row>
        <row r="778">
          <cell r="A778">
            <v>662046</v>
          </cell>
          <cell r="B778" t="str">
            <v>AUTOMOTIVO</v>
          </cell>
          <cell r="C778" t="str">
            <v>Bandeja</v>
          </cell>
          <cell r="D778" t="str">
            <v>SIMPLES</v>
          </cell>
          <cell r="E778" t="str">
            <v>SPARE</v>
          </cell>
          <cell r="F778" t="str">
            <v>Bandeja Dianteira Direita Com Pivô Sandero 2014 A 2019</v>
          </cell>
        </row>
        <row r="779">
          <cell r="A779">
            <v>662047</v>
          </cell>
          <cell r="B779" t="str">
            <v>AUTOMOTIVO</v>
          </cell>
          <cell r="C779" t="str">
            <v>Bandeja</v>
          </cell>
          <cell r="D779" t="str">
            <v>SIMPLES</v>
          </cell>
          <cell r="E779" t="str">
            <v>SPARE</v>
          </cell>
          <cell r="F779" t="str">
            <v>Bandeja Dianteira Esquerda Com Pivô Sandero 2014 A 2019</v>
          </cell>
        </row>
        <row r="780">
          <cell r="A780">
            <v>662048</v>
          </cell>
          <cell r="B780" t="str">
            <v>AUTOMOTIVO</v>
          </cell>
          <cell r="C780" t="str">
            <v>Bandeja</v>
          </cell>
          <cell r="D780" t="str">
            <v>SIMPLES</v>
          </cell>
          <cell r="E780" t="str">
            <v>SPARE</v>
          </cell>
          <cell r="F780" t="str">
            <v>Bandeja Dianteira Direita Sem Pivô Logan 2014 A 2019</v>
          </cell>
        </row>
        <row r="781">
          <cell r="A781">
            <v>662049</v>
          </cell>
          <cell r="B781" t="str">
            <v>AUTOMOTIVO</v>
          </cell>
          <cell r="C781" t="str">
            <v>Bandeja</v>
          </cell>
          <cell r="D781" t="str">
            <v>SIMPLES</v>
          </cell>
          <cell r="E781" t="str">
            <v>SPARE</v>
          </cell>
          <cell r="F781" t="str">
            <v>Bandeja Dianteira Esquerda Sem Pivô Logan 2014 A 2019</v>
          </cell>
        </row>
        <row r="782">
          <cell r="A782">
            <v>662050</v>
          </cell>
          <cell r="B782" t="str">
            <v>AUTOMOTIVO</v>
          </cell>
          <cell r="C782" t="str">
            <v>Bandeja</v>
          </cell>
          <cell r="D782" t="str">
            <v>SIMPLES</v>
          </cell>
          <cell r="E782" t="str">
            <v>SPARE</v>
          </cell>
          <cell r="F782" t="str">
            <v>Bandeja Dianteira Direita Sem Pivô Sandero 2008 A 2014</v>
          </cell>
        </row>
        <row r="783">
          <cell r="A783">
            <v>662051</v>
          </cell>
          <cell r="B783" t="str">
            <v>AUTOMOTIVO</v>
          </cell>
          <cell r="C783" t="str">
            <v>Bandeja</v>
          </cell>
          <cell r="D783" t="str">
            <v>SIMPLES</v>
          </cell>
          <cell r="E783" t="str">
            <v>SPARE</v>
          </cell>
          <cell r="F783" t="str">
            <v>Bandeja Dianteira Esquerda Sem Pivô Sandero 2008 A 2014</v>
          </cell>
        </row>
        <row r="784">
          <cell r="A784">
            <v>662052</v>
          </cell>
          <cell r="B784" t="str">
            <v>AUTOMOTIVO</v>
          </cell>
          <cell r="C784" t="str">
            <v>Bandeja</v>
          </cell>
          <cell r="D784" t="str">
            <v>SIMPLES</v>
          </cell>
          <cell r="E784" t="str">
            <v>SPARE</v>
          </cell>
          <cell r="F784" t="str">
            <v>Bandeja Com Pivô Direita Sandero 2006 Em Diante</v>
          </cell>
        </row>
        <row r="785">
          <cell r="A785">
            <v>662053</v>
          </cell>
          <cell r="B785" t="str">
            <v>AUTOMOTIVO</v>
          </cell>
          <cell r="C785" t="str">
            <v>Bandeja</v>
          </cell>
          <cell r="D785" t="str">
            <v>SIMPLES</v>
          </cell>
          <cell r="E785" t="str">
            <v>SPARE</v>
          </cell>
          <cell r="F785" t="str">
            <v>Bandeja Com Pivô Esquerda Logan 2004 Em Diante</v>
          </cell>
        </row>
        <row r="786">
          <cell r="A786">
            <v>662060</v>
          </cell>
          <cell r="B786" t="str">
            <v>AUTOMOTIVO</v>
          </cell>
          <cell r="C786" t="str">
            <v>Bandeja</v>
          </cell>
          <cell r="D786" t="str">
            <v>SIMPLES</v>
          </cell>
          <cell r="E786" t="str">
            <v>SPARE</v>
          </cell>
          <cell r="F786" t="str">
            <v>Bandeja Inferior Oroch Lado Passageiro 2015 Á 2020 Sem Pivô</v>
          </cell>
        </row>
        <row r="787">
          <cell r="A787">
            <v>662061</v>
          </cell>
          <cell r="B787" t="str">
            <v>AUTOMOTIVO</v>
          </cell>
          <cell r="C787" t="str">
            <v>Bandeja</v>
          </cell>
          <cell r="D787" t="str">
            <v>SIMPLES</v>
          </cell>
          <cell r="E787" t="str">
            <v>SPARE</v>
          </cell>
          <cell r="F787" t="str">
            <v>Bandeja Inferior Duster Lado Motorista 2011 Á 2014 Sem Pivô</v>
          </cell>
        </row>
        <row r="788">
          <cell r="A788">
            <v>662068</v>
          </cell>
          <cell r="B788" t="str">
            <v>AUTOMOTIVO</v>
          </cell>
          <cell r="C788" t="str">
            <v>Bandeja</v>
          </cell>
          <cell r="D788" t="str">
            <v>SIMPLES</v>
          </cell>
          <cell r="E788" t="str">
            <v>SPARE</v>
          </cell>
          <cell r="F788" t="str">
            <v>Bandeja Dianteira Lado Esquerdo Com Pivô Fluence 2011 À 2018</v>
          </cell>
        </row>
        <row r="789">
          <cell r="A789">
            <v>662069</v>
          </cell>
          <cell r="B789" t="str">
            <v>AUTOMOTIVO</v>
          </cell>
          <cell r="C789" t="str">
            <v>Bandeja</v>
          </cell>
          <cell r="D789" t="str">
            <v>SIMPLES</v>
          </cell>
          <cell r="E789" t="str">
            <v>SPARE</v>
          </cell>
          <cell r="F789" t="str">
            <v>Bandeja Dianteira Lado Direito Com Pivô Fluence 2011 À 2018</v>
          </cell>
        </row>
        <row r="790">
          <cell r="A790">
            <v>662070</v>
          </cell>
          <cell r="B790" t="str">
            <v>AUTOMOTIVO</v>
          </cell>
          <cell r="C790" t="str">
            <v>Bandeja</v>
          </cell>
          <cell r="D790" t="str">
            <v>SIMPLES</v>
          </cell>
          <cell r="E790" t="str">
            <v>SPARE</v>
          </cell>
          <cell r="F790" t="str">
            <v>Bandeja Dianteira Direita Com Pivô Oroch 2012 A 2016</v>
          </cell>
        </row>
        <row r="791">
          <cell r="A791">
            <v>662071</v>
          </cell>
          <cell r="B791" t="str">
            <v>AUTOMOTIVO</v>
          </cell>
          <cell r="C791" t="str">
            <v>Bandeja</v>
          </cell>
          <cell r="D791" t="str">
            <v>SIMPLES</v>
          </cell>
          <cell r="E791" t="str">
            <v>SPARE</v>
          </cell>
          <cell r="F791" t="str">
            <v>Bandeja Dianteira Esquerda Com Pivô Oroch 2012 A 2016</v>
          </cell>
        </row>
        <row r="792">
          <cell r="A792">
            <v>662090</v>
          </cell>
          <cell r="B792" t="str">
            <v>AUTOMOTIVO</v>
          </cell>
          <cell r="D792" t="str">
            <v>SIMPLES</v>
          </cell>
        </row>
        <row r="793">
          <cell r="A793">
            <v>771202</v>
          </cell>
          <cell r="B793" t="str">
            <v>AUTOMOTIVO</v>
          </cell>
          <cell r="C793" t="str">
            <v>Cabo de Capô</v>
          </cell>
          <cell r="D793" t="str">
            <v>SIMPLES</v>
          </cell>
          <cell r="E793" t="str">
            <v>MundiFlex</v>
          </cell>
          <cell r="F793" t="str">
            <v>Cabo Capô Sem Alavanca L200 Glx Outdoor Savana 2015 Diante</v>
          </cell>
        </row>
        <row r="794">
          <cell r="A794">
            <v>772001</v>
          </cell>
          <cell r="B794" t="str">
            <v>AUTOMOTIVO</v>
          </cell>
          <cell r="C794" t="str">
            <v>Bandeja</v>
          </cell>
          <cell r="D794" t="str">
            <v>SIMPLES</v>
          </cell>
          <cell r="E794" t="str">
            <v>SPARE</v>
          </cell>
          <cell r="F794" t="str">
            <v>Bandeja Fit Inferior Direito 2003 Á 2008 Sem Pivô</v>
          </cell>
        </row>
        <row r="795">
          <cell r="A795">
            <v>772002</v>
          </cell>
          <cell r="B795" t="str">
            <v>AUTOMOTIVO</v>
          </cell>
          <cell r="C795" t="str">
            <v>Bandeja</v>
          </cell>
          <cell r="D795" t="str">
            <v>SIMPLES</v>
          </cell>
          <cell r="E795" t="str">
            <v>SPARE</v>
          </cell>
          <cell r="F795" t="str">
            <v>Bandeja Fit Inferior Esquerdo 2003 Á 2008 Sem Pivô</v>
          </cell>
        </row>
        <row r="796">
          <cell r="A796">
            <v>772003</v>
          </cell>
          <cell r="B796" t="str">
            <v>AUTOMOTIVO</v>
          </cell>
          <cell r="C796" t="str">
            <v>Bandeja</v>
          </cell>
          <cell r="D796" t="str">
            <v>SIMPLES</v>
          </cell>
          <cell r="E796" t="str">
            <v>SPARE</v>
          </cell>
          <cell r="F796" t="str">
            <v>Bandeja Inferior Esquerda Com Pivô Fit 2003 A 2018</v>
          </cell>
        </row>
        <row r="797">
          <cell r="A797">
            <v>772004</v>
          </cell>
          <cell r="B797" t="str">
            <v>AUTOMOTIVO</v>
          </cell>
          <cell r="C797" t="str">
            <v>Bandeja</v>
          </cell>
          <cell r="D797" t="str">
            <v>SIMPLES</v>
          </cell>
          <cell r="E797" t="str">
            <v>SPARE</v>
          </cell>
          <cell r="F797" t="str">
            <v>Bandeja Inferior Direita Com Pivô Fit 2003 A 2018</v>
          </cell>
        </row>
        <row r="798">
          <cell r="A798">
            <v>772005</v>
          </cell>
          <cell r="B798" t="str">
            <v>AUTOMOTIVO</v>
          </cell>
          <cell r="C798" t="str">
            <v>Bandeja</v>
          </cell>
          <cell r="D798" t="str">
            <v>SIMPLES</v>
          </cell>
          <cell r="E798" t="str">
            <v>SPARE</v>
          </cell>
          <cell r="F798" t="str">
            <v>Bandeja Dianteira Esquerda Sem Pivô Honda Fit 2°geração 2008</v>
          </cell>
        </row>
        <row r="799">
          <cell r="A799">
            <v>772006</v>
          </cell>
          <cell r="B799" t="str">
            <v>AUTOMOTIVO</v>
          </cell>
          <cell r="C799" t="str">
            <v>Bandeja</v>
          </cell>
          <cell r="D799" t="str">
            <v>SIMPLES</v>
          </cell>
          <cell r="E799" t="str">
            <v>SPARE</v>
          </cell>
          <cell r="F799" t="str">
            <v>Bandeja Dianteira Direita Sem Pivô Honda Fit 2009 A 2013</v>
          </cell>
        </row>
        <row r="800">
          <cell r="A800">
            <v>772007</v>
          </cell>
          <cell r="B800" t="str">
            <v>AUTOMOTIVO</v>
          </cell>
          <cell r="C800" t="str">
            <v>Bandeja</v>
          </cell>
          <cell r="D800" t="str">
            <v>SIMPLES</v>
          </cell>
          <cell r="E800" t="str">
            <v>SPARE</v>
          </cell>
          <cell r="F800" t="str">
            <v>Bandeja Dianteira Esquerda Com Pivô Honda Fit 2008 2°geração</v>
          </cell>
        </row>
        <row r="801">
          <cell r="A801">
            <v>772008</v>
          </cell>
          <cell r="B801" t="str">
            <v>AUTOMOTIVO</v>
          </cell>
          <cell r="C801" t="str">
            <v>Bandeja</v>
          </cell>
          <cell r="D801" t="str">
            <v>SIMPLES</v>
          </cell>
          <cell r="E801" t="str">
            <v>SPARE</v>
          </cell>
          <cell r="F801" t="str">
            <v>Bandeja Dianteira Direita Com Pivô Honda City 2009 A 2013</v>
          </cell>
        </row>
        <row r="802">
          <cell r="A802">
            <v>772011</v>
          </cell>
          <cell r="B802" t="str">
            <v>AUTOMOTIVO</v>
          </cell>
          <cell r="C802" t="str">
            <v>Bandeja</v>
          </cell>
          <cell r="D802" t="str">
            <v>SIMPLES</v>
          </cell>
          <cell r="E802" t="str">
            <v>SPARE</v>
          </cell>
          <cell r="F802" t="str">
            <v>BANDEJA DIANTEIRA DIREITA CITY 2014 A 2021 COM PIVÔ</v>
          </cell>
        </row>
        <row r="803">
          <cell r="A803">
            <v>772012</v>
          </cell>
          <cell r="B803" t="str">
            <v>AUTOMOTIVO</v>
          </cell>
          <cell r="C803" t="str">
            <v>Bandeja</v>
          </cell>
          <cell r="D803" t="str">
            <v>SIMPLES</v>
          </cell>
          <cell r="E803" t="str">
            <v>SPARE</v>
          </cell>
          <cell r="F803" t="str">
            <v>BANDEJA DIANTEIRA ESQUERDA CITY 2014 A 2021 COM PIVÔ</v>
          </cell>
        </row>
        <row r="804">
          <cell r="A804">
            <v>772021</v>
          </cell>
          <cell r="B804" t="str">
            <v>AUTOMOTIVO</v>
          </cell>
          <cell r="C804" t="str">
            <v>Bandeja</v>
          </cell>
          <cell r="D804" t="str">
            <v>SIMPLES</v>
          </cell>
          <cell r="E804" t="str">
            <v>SPARE</v>
          </cell>
          <cell r="F804" t="str">
            <v>BANDEJA INFERIOR DIREITA SEM PIVÔ CIVIC 2001 A 2006</v>
          </cell>
        </row>
        <row r="805">
          <cell r="A805">
            <v>772022</v>
          </cell>
          <cell r="B805" t="str">
            <v>AUTOMOTIVO</v>
          </cell>
          <cell r="C805" t="str">
            <v>Bandeja</v>
          </cell>
          <cell r="D805" t="str">
            <v>SIMPLES</v>
          </cell>
          <cell r="E805" t="str">
            <v>SPARE</v>
          </cell>
          <cell r="F805" t="str">
            <v>BANDEJA INFERIOR ESQUERDA SEM PIVÔ CIVIC 2001 A 2006</v>
          </cell>
        </row>
        <row r="806">
          <cell r="A806">
            <v>772025</v>
          </cell>
          <cell r="B806" t="str">
            <v>AUTOMOTIVO</v>
          </cell>
          <cell r="C806" t="str">
            <v>Bandeja</v>
          </cell>
          <cell r="D806" t="str">
            <v>SIMPLES</v>
          </cell>
          <cell r="E806" t="str">
            <v>SPARE</v>
          </cell>
          <cell r="F806" t="str">
            <v>Bandeja Inferior Esquerda Sem Pivô New Civic 2007 A 2011</v>
          </cell>
        </row>
        <row r="807">
          <cell r="A807">
            <v>772026</v>
          </cell>
          <cell r="B807" t="str">
            <v>AUTOMOTIVO</v>
          </cell>
          <cell r="C807" t="str">
            <v>Bandeja</v>
          </cell>
          <cell r="D807" t="str">
            <v>SIMPLES</v>
          </cell>
          <cell r="E807" t="str">
            <v>SPARE</v>
          </cell>
          <cell r="F807" t="str">
            <v>Bandeja Inferior Direita Sem Pivô New Civic 2007 A 2011</v>
          </cell>
        </row>
        <row r="808">
          <cell r="A808">
            <v>772027</v>
          </cell>
          <cell r="B808" t="str">
            <v>AUTOMOTIVO</v>
          </cell>
          <cell r="C808" t="str">
            <v>Bandeja</v>
          </cell>
          <cell r="D808" t="str">
            <v>SIMPLES</v>
          </cell>
          <cell r="E808" t="str">
            <v>SPARE</v>
          </cell>
          <cell r="F808" t="str">
            <v>Bandeja Inferior Esquerda Com Pivô New Civic 2007 A 2011</v>
          </cell>
        </row>
        <row r="809">
          <cell r="A809">
            <v>772028</v>
          </cell>
          <cell r="B809" t="str">
            <v>AUTOMOTIVO</v>
          </cell>
          <cell r="C809" t="str">
            <v>Bandeja</v>
          </cell>
          <cell r="D809" t="str">
            <v>SIMPLES</v>
          </cell>
          <cell r="E809" t="str">
            <v>SPARE</v>
          </cell>
          <cell r="F809" t="str">
            <v>Bandeja Inferior Direita Com Pivô Civic 2007 A 2011</v>
          </cell>
        </row>
        <row r="810">
          <cell r="A810">
            <v>772029</v>
          </cell>
          <cell r="B810" t="str">
            <v>AUTOMOTIVO</v>
          </cell>
          <cell r="C810" t="str">
            <v>Bandeja</v>
          </cell>
          <cell r="D810" t="str">
            <v>SIMPLES</v>
          </cell>
          <cell r="E810" t="str">
            <v>SPARE</v>
          </cell>
          <cell r="F810" t="str">
            <v>Bandeja Esquerda Inferior Corolla 1997 A 2002 Sem Pivô</v>
          </cell>
        </row>
        <row r="811">
          <cell r="A811">
            <v>772030</v>
          </cell>
          <cell r="B811" t="str">
            <v>AUTOMOTIVO</v>
          </cell>
          <cell r="C811" t="str">
            <v>Bandeja</v>
          </cell>
          <cell r="D811" t="str">
            <v>SIMPLES</v>
          </cell>
          <cell r="E811" t="str">
            <v>SPARE</v>
          </cell>
          <cell r="F811" t="str">
            <v>Bandeja Direita Inferior Corolla 1997 A 2002 Sem Pivô</v>
          </cell>
        </row>
        <row r="812">
          <cell r="A812">
            <v>772031</v>
          </cell>
          <cell r="B812" t="str">
            <v>AUTOMOTIVO</v>
          </cell>
          <cell r="C812" t="str">
            <v>Bandeja</v>
          </cell>
          <cell r="D812" t="str">
            <v>SIMPLES</v>
          </cell>
          <cell r="E812" t="str">
            <v>SPARE</v>
          </cell>
          <cell r="F812" t="str">
            <v>Bandeja Esquerda Inferior Corolla 2001 A 2019</v>
          </cell>
        </row>
        <row r="813">
          <cell r="A813">
            <v>772032</v>
          </cell>
          <cell r="B813" t="str">
            <v>AUTOMOTIVO</v>
          </cell>
          <cell r="C813" t="str">
            <v>Bandeja</v>
          </cell>
          <cell r="D813" t="str">
            <v>SIMPLES</v>
          </cell>
          <cell r="E813" t="str">
            <v>SPARE</v>
          </cell>
          <cell r="F813" t="str">
            <v>Bandeja Direita Inferior Corolla Fielder 2002 A 2019</v>
          </cell>
        </row>
        <row r="814">
          <cell r="A814">
            <v>772033</v>
          </cell>
          <cell r="B814" t="str">
            <v>AUTOMOTIVO</v>
          </cell>
          <cell r="C814" t="str">
            <v>Bandeja</v>
          </cell>
          <cell r="D814" t="str">
            <v>SIMPLES</v>
          </cell>
          <cell r="E814" t="str">
            <v>SPARE</v>
          </cell>
          <cell r="F814" t="str">
            <v>BANDEJA DIANTEIRA ESQUERDA COROLLA COM pivô</v>
          </cell>
        </row>
        <row r="815">
          <cell r="A815">
            <v>772034</v>
          </cell>
          <cell r="B815" t="str">
            <v>AUTOMOTIVO</v>
          </cell>
          <cell r="C815" t="str">
            <v>Bandeja</v>
          </cell>
          <cell r="D815" t="str">
            <v>SIMPLES</v>
          </cell>
          <cell r="E815" t="str">
            <v>SPARE</v>
          </cell>
          <cell r="F815" t="str">
            <v>BANDEJA DIANTEIRA DIREITA COROLLA COM pivô</v>
          </cell>
        </row>
        <row r="816">
          <cell r="A816">
            <v>772040</v>
          </cell>
          <cell r="B816" t="str">
            <v>AUTOMOTIVO</v>
          </cell>
          <cell r="C816" t="str">
            <v>Bandeja</v>
          </cell>
          <cell r="D816" t="str">
            <v>SIMPLES</v>
          </cell>
          <cell r="E816" t="str">
            <v>SPARE</v>
          </cell>
          <cell r="F816" t="str">
            <v>Bandeja Dianteira Direita Hilux 2005 A 2015 Com Pivô</v>
          </cell>
        </row>
        <row r="817">
          <cell r="A817">
            <v>772041</v>
          </cell>
          <cell r="B817" t="str">
            <v>AUTOMOTIVO</v>
          </cell>
          <cell r="C817" t="str">
            <v>Bandeja</v>
          </cell>
          <cell r="D817" t="str">
            <v>SIMPLES</v>
          </cell>
          <cell r="E817" t="str">
            <v>SPARE</v>
          </cell>
          <cell r="F817" t="str">
            <v>Bandeja Dianteira Esquerda Hilux 2005 A 2015 Com Pivô</v>
          </cell>
        </row>
        <row r="818">
          <cell r="A818">
            <v>772042</v>
          </cell>
          <cell r="B818" t="str">
            <v>AUTOMOTIVO</v>
          </cell>
          <cell r="C818" t="str">
            <v>Bandeja</v>
          </cell>
          <cell r="D818" t="str">
            <v>SIMPLES</v>
          </cell>
          <cell r="E818" t="str">
            <v>SPARE</v>
          </cell>
          <cell r="F818" t="str">
            <v>BANDEJA DIANTEIRA DIREITA HILUX PICK UP 2005 A 2015 SEM PIVÔ</v>
          </cell>
        </row>
        <row r="819">
          <cell r="A819">
            <v>772043</v>
          </cell>
          <cell r="B819" t="str">
            <v>AUTOMOTIVO</v>
          </cell>
          <cell r="C819" t="str">
            <v>Bandeja</v>
          </cell>
          <cell r="D819" t="str">
            <v>SIMPLES</v>
          </cell>
          <cell r="E819" t="str">
            <v>SPARE</v>
          </cell>
          <cell r="F819" t="str">
            <v>BANDEJA DIANTEIRA ESQUERDA HILUX PICK UP 2005 A 15 SEM PIVÔ</v>
          </cell>
        </row>
        <row r="820">
          <cell r="A820">
            <v>772052</v>
          </cell>
          <cell r="B820" t="str">
            <v>AUTOMOTIVO</v>
          </cell>
          <cell r="C820" t="str">
            <v>Bandeja</v>
          </cell>
          <cell r="D820" t="str">
            <v>SIMPLES</v>
          </cell>
          <cell r="E820" t="str">
            <v>SPARE</v>
          </cell>
          <cell r="F820" t="str">
            <v>Bandeja Direita Inferior Sem Pivô Sportage 2006 A 2009</v>
          </cell>
        </row>
        <row r="821">
          <cell r="A821">
            <v>772053</v>
          </cell>
          <cell r="B821" t="str">
            <v>AUTOMOTIVO</v>
          </cell>
          <cell r="C821" t="str">
            <v>Bandeja</v>
          </cell>
          <cell r="D821" t="str">
            <v>SIMPLES</v>
          </cell>
          <cell r="E821" t="str">
            <v>SPARE</v>
          </cell>
          <cell r="F821" t="str">
            <v>Bandeja Esquerda Inferior Sem Pivô Tucson 2005 Em Diante</v>
          </cell>
        </row>
        <row r="822">
          <cell r="A822">
            <v>772054</v>
          </cell>
          <cell r="B822" t="str">
            <v>AUTOMOTIVO</v>
          </cell>
          <cell r="C822" t="str">
            <v>Bandeja</v>
          </cell>
          <cell r="D822" t="str">
            <v>SIMPLES</v>
          </cell>
          <cell r="E822" t="str">
            <v>SPARE</v>
          </cell>
          <cell r="F822" t="str">
            <v>Bandeja Direita Inferior Sem Pivô Kia Cerato 2009 Em Diante</v>
          </cell>
        </row>
        <row r="823">
          <cell r="A823">
            <v>772055</v>
          </cell>
          <cell r="B823" t="str">
            <v>AUTOMOTIVO</v>
          </cell>
          <cell r="C823" t="str">
            <v>Bandeja</v>
          </cell>
          <cell r="D823" t="str">
            <v>SIMPLES</v>
          </cell>
          <cell r="E823" t="str">
            <v>SPARE</v>
          </cell>
          <cell r="F823" t="str">
            <v>Bandeja Esquerda Inferior Sem Pivô I30 2008 A 2012</v>
          </cell>
        </row>
        <row r="824">
          <cell r="A824">
            <v>772056</v>
          </cell>
          <cell r="B824" t="str">
            <v>AUTOMOTIVO</v>
          </cell>
          <cell r="C824" t="str">
            <v>Bandeja</v>
          </cell>
          <cell r="D824" t="str">
            <v>SIMPLES</v>
          </cell>
          <cell r="E824" t="str">
            <v>SPARE</v>
          </cell>
          <cell r="F824" t="str">
            <v>Bandeja Direita Inferior Com Pivô Kia Cerato 2009 Em Diante</v>
          </cell>
        </row>
        <row r="825">
          <cell r="A825">
            <v>772057</v>
          </cell>
          <cell r="B825" t="str">
            <v>AUTOMOTIVO</v>
          </cell>
          <cell r="C825" t="str">
            <v>Bandeja</v>
          </cell>
          <cell r="D825" t="str">
            <v>SIMPLES</v>
          </cell>
          <cell r="E825" t="str">
            <v>SPARE</v>
          </cell>
          <cell r="F825" t="str">
            <v>Bandeja Esquerda Inferior Com Pivô I30 2008 A 2012</v>
          </cell>
        </row>
        <row r="826">
          <cell r="A826">
            <v>772058</v>
          </cell>
          <cell r="B826" t="str">
            <v>AUTOMOTIVO</v>
          </cell>
          <cell r="C826" t="str">
            <v>Bandeja</v>
          </cell>
          <cell r="D826" t="str">
            <v>SIMPLES</v>
          </cell>
          <cell r="E826" t="str">
            <v>SPARE</v>
          </cell>
          <cell r="F826" t="str">
            <v>Bandeja Dianteira Direita Sem Pivô Hyundai Ix35 2010 A 2015</v>
          </cell>
        </row>
        <row r="827">
          <cell r="A827">
            <v>772059</v>
          </cell>
          <cell r="B827" t="str">
            <v>AUTOMOTIVO</v>
          </cell>
          <cell r="C827" t="str">
            <v>Bandeja</v>
          </cell>
          <cell r="D827" t="str">
            <v>SIMPLES</v>
          </cell>
          <cell r="E827" t="str">
            <v>SPARE</v>
          </cell>
          <cell r="F827" t="str">
            <v>Bandeja Dianteira Esquerda Sem Pivô Sportage 2011 A 2022</v>
          </cell>
        </row>
        <row r="828">
          <cell r="A828">
            <v>772060</v>
          </cell>
          <cell r="B828" t="str">
            <v>AUTOMOTIVO</v>
          </cell>
          <cell r="D828" t="str">
            <v>SIMPLES</v>
          </cell>
        </row>
        <row r="829">
          <cell r="A829">
            <v>772061</v>
          </cell>
          <cell r="B829" t="str">
            <v>AUTOMOTIVO</v>
          </cell>
          <cell r="D829" t="str">
            <v>SIMPLES</v>
          </cell>
        </row>
        <row r="830">
          <cell r="A830">
            <v>772062</v>
          </cell>
          <cell r="B830" t="str">
            <v>AUTOMOTIVO</v>
          </cell>
          <cell r="C830" t="str">
            <v>Bandeja</v>
          </cell>
          <cell r="D830" t="str">
            <v>SIMPLES</v>
          </cell>
          <cell r="E830" t="str">
            <v>SPARE</v>
          </cell>
          <cell r="F830" t="str">
            <v>BANDEJA DIANTEIRA DIREITA COM PIVÔ L200 TRITON 2007 A 2016</v>
          </cell>
        </row>
        <row r="831">
          <cell r="A831">
            <v>772063</v>
          </cell>
          <cell r="B831" t="str">
            <v>AUTOMOTIVO</v>
          </cell>
          <cell r="C831" t="str">
            <v>Bandeja</v>
          </cell>
          <cell r="D831" t="str">
            <v>SIMPLES</v>
          </cell>
          <cell r="E831" t="str">
            <v>SPARE</v>
          </cell>
          <cell r="F831" t="str">
            <v>BANDEJA DIANTEIRA ESQUERDA COM PIVÔ L200 TRITON 2007 A 2016</v>
          </cell>
        </row>
        <row r="832">
          <cell r="A832">
            <v>772074</v>
          </cell>
          <cell r="B832" t="str">
            <v>AUTOMOTIVO</v>
          </cell>
          <cell r="C832" t="str">
            <v>Bandeja</v>
          </cell>
          <cell r="D832" t="str">
            <v>SIMPLES</v>
          </cell>
          <cell r="E832" t="str">
            <v>SPARE</v>
          </cell>
          <cell r="F832" t="str">
            <v>Bandeja Dianteira Captur 2017 á 2021  Duster 2021 Lado Direito COM PIVÔ</v>
          </cell>
        </row>
        <row r="833">
          <cell r="A833">
            <v>772075</v>
          </cell>
          <cell r="B833" t="str">
            <v>AUTOMOTIVO</v>
          </cell>
          <cell r="C833" t="str">
            <v>Bandeja</v>
          </cell>
          <cell r="D833" t="str">
            <v>SIMPLES</v>
          </cell>
          <cell r="E833" t="str">
            <v>SPARE</v>
          </cell>
          <cell r="F833" t="str">
            <v>Bandeja Dianteira Captur 2017 Á 2021 Lado Esquerdo Com Pivô</v>
          </cell>
        </row>
        <row r="834">
          <cell r="A834">
            <v>772088</v>
          </cell>
          <cell r="B834" t="str">
            <v>AUTOMOTIVO</v>
          </cell>
          <cell r="C834" t="str">
            <v>Bandeja</v>
          </cell>
          <cell r="D834" t="str">
            <v>SIMPLES</v>
          </cell>
          <cell r="E834" t="str">
            <v>SPARE</v>
          </cell>
          <cell r="F834" t="str">
            <v>BANDEJA DIANTEIRA DIREITA SEM PIVÔ MONDEO 1997 A 2000</v>
          </cell>
        </row>
        <row r="835">
          <cell r="A835">
            <v>772089</v>
          </cell>
          <cell r="B835" t="str">
            <v>AUTOMOTIVO</v>
          </cell>
          <cell r="C835" t="str">
            <v>Bandeja</v>
          </cell>
          <cell r="D835" t="str">
            <v>SIMPLES</v>
          </cell>
          <cell r="E835" t="str">
            <v>SPARE</v>
          </cell>
          <cell r="F835" t="str">
            <v>BANDEJA DIANTEIRA ESQUERDA SEM PIVÔ MONDEO 1997 A 2000</v>
          </cell>
        </row>
        <row r="836">
          <cell r="A836">
            <v>772090</v>
          </cell>
          <cell r="B836" t="str">
            <v>AUTOMOTIVO</v>
          </cell>
          <cell r="C836" t="str">
            <v>Bandeja</v>
          </cell>
          <cell r="D836" t="str">
            <v>SIMPLES</v>
          </cell>
          <cell r="E836" t="str">
            <v>SPARE</v>
          </cell>
          <cell r="F836" t="str">
            <v>BANDEJA DIANTEIRA DIREITA COM PIVÔ MONDEO 1994 A 2001</v>
          </cell>
        </row>
        <row r="837">
          <cell r="A837">
            <v>772091</v>
          </cell>
          <cell r="B837" t="str">
            <v>AUTOMOTIVO</v>
          </cell>
          <cell r="C837" t="str">
            <v>Bandeja</v>
          </cell>
          <cell r="D837" t="str">
            <v>SIMPLES</v>
          </cell>
          <cell r="E837" t="str">
            <v>SPARE</v>
          </cell>
          <cell r="F837" t="str">
            <v>BANDEJA DIANTEIRA ESQUERDA COM PIVÔ MONDEO 1994 A 2001</v>
          </cell>
        </row>
        <row r="838">
          <cell r="A838">
            <v>772100</v>
          </cell>
          <cell r="B838" t="str">
            <v>AUTOMOTIVO</v>
          </cell>
          <cell r="C838" t="str">
            <v>Bandeja</v>
          </cell>
          <cell r="D838" t="str">
            <v>SIMPLES</v>
          </cell>
          <cell r="E838" t="str">
            <v>SPARE</v>
          </cell>
          <cell r="F838" t="str">
            <v>Bandeja Lado Esquerdo March 2011 Em Diante Sem Pivô</v>
          </cell>
        </row>
        <row r="839">
          <cell r="A839">
            <v>772101</v>
          </cell>
          <cell r="B839" t="str">
            <v>AUTOMOTIVO</v>
          </cell>
          <cell r="C839" t="str">
            <v>Bandeja</v>
          </cell>
          <cell r="D839" t="str">
            <v>SIMPLES</v>
          </cell>
          <cell r="E839" t="str">
            <v>SPARE</v>
          </cell>
          <cell r="F839" t="str">
            <v>Bandeja Lado Direito Versa 2011 Em Diante Sem Pivô</v>
          </cell>
        </row>
        <row r="840">
          <cell r="A840">
            <v>772102</v>
          </cell>
          <cell r="B840" t="str">
            <v>AUTOMOTIVO</v>
          </cell>
          <cell r="C840" t="str">
            <v>Bandeja</v>
          </cell>
          <cell r="D840" t="str">
            <v>SIMPLES</v>
          </cell>
          <cell r="E840" t="str">
            <v>SPARE</v>
          </cell>
          <cell r="F840" t="str">
            <v>Bandeja Com Pivô Lado Esquerdo Nissan March 2011 Em Diante</v>
          </cell>
        </row>
        <row r="841">
          <cell r="A841">
            <v>772103</v>
          </cell>
          <cell r="B841" t="str">
            <v>AUTOMOTIVO</v>
          </cell>
          <cell r="C841" t="str">
            <v>Bandeja</v>
          </cell>
          <cell r="D841" t="str">
            <v>SIMPLES</v>
          </cell>
          <cell r="E841" t="str">
            <v>SPARE</v>
          </cell>
          <cell r="F841" t="str">
            <v>Bandeja Com Pivô Lado Direito March 2011 Em Diante</v>
          </cell>
        </row>
        <row r="842">
          <cell r="A842">
            <v>772104</v>
          </cell>
          <cell r="B842" t="str">
            <v>AUTOMOTIVO</v>
          </cell>
          <cell r="C842" t="str">
            <v>Bandeja</v>
          </cell>
          <cell r="D842" t="str">
            <v>SIMPLES</v>
          </cell>
          <cell r="E842" t="str">
            <v>SPARE</v>
          </cell>
          <cell r="F842" t="str">
            <v>Bandeja Inferior Direito Livina 2010 Á 2014</v>
          </cell>
        </row>
        <row r="843">
          <cell r="A843">
            <v>772105</v>
          </cell>
          <cell r="B843" t="str">
            <v>AUTOMOTIVO</v>
          </cell>
          <cell r="C843" t="str">
            <v>Bandeja</v>
          </cell>
          <cell r="D843" t="str">
            <v>SIMPLES</v>
          </cell>
          <cell r="E843" t="str">
            <v>SPARE</v>
          </cell>
          <cell r="F843" t="str">
            <v>Bandeja  Inferior Esquerdo Sem Pivô Livina 2010 Á 2014</v>
          </cell>
        </row>
        <row r="844">
          <cell r="A844">
            <v>772106</v>
          </cell>
          <cell r="B844" t="str">
            <v>AUTOMOTIVO</v>
          </cell>
          <cell r="C844" t="str">
            <v>Bandeja</v>
          </cell>
          <cell r="D844" t="str">
            <v>SIMPLES</v>
          </cell>
          <cell r="E844" t="str">
            <v>SPARE</v>
          </cell>
          <cell r="F844" t="str">
            <v>Bandeja Inferior Direito Com Pivô Grand Livina 2009 A 2014</v>
          </cell>
        </row>
        <row r="845">
          <cell r="A845">
            <v>772107</v>
          </cell>
          <cell r="B845" t="str">
            <v>AUTOMOTIVO</v>
          </cell>
          <cell r="C845" t="str">
            <v>Bandeja</v>
          </cell>
          <cell r="D845" t="str">
            <v>SIMPLES</v>
          </cell>
          <cell r="E845" t="str">
            <v>SPARE</v>
          </cell>
          <cell r="F845" t="str">
            <v>Bandeja Inferior Esquerdo Com Pivô  Livina 2010 Á 2014</v>
          </cell>
        </row>
        <row r="846">
          <cell r="A846">
            <v>772108</v>
          </cell>
          <cell r="B846" t="str">
            <v>AUTOMOTIVO</v>
          </cell>
          <cell r="D846" t="str">
            <v>SIMPLES</v>
          </cell>
        </row>
        <row r="847">
          <cell r="A847">
            <v>772109</v>
          </cell>
          <cell r="B847" t="str">
            <v>AUTOMOTIVO</v>
          </cell>
          <cell r="D847" t="str">
            <v>SIMPLES</v>
          </cell>
        </row>
        <row r="848">
          <cell r="A848">
            <v>772110</v>
          </cell>
          <cell r="B848" t="str">
            <v>AUTOMOTIVO</v>
          </cell>
          <cell r="C848" t="str">
            <v>Bandeja</v>
          </cell>
          <cell r="D848" t="str">
            <v>SIMPLES</v>
          </cell>
          <cell r="E848" t="str">
            <v>SPARE</v>
          </cell>
          <cell r="F848" t="str">
            <v>Bandeja Dianteira Direita Com Pivô Sentra 2007 A 2012</v>
          </cell>
        </row>
        <row r="849">
          <cell r="A849">
            <v>772111</v>
          </cell>
          <cell r="B849" t="str">
            <v>AUTOMOTIVO</v>
          </cell>
          <cell r="C849" t="str">
            <v>Bandeja</v>
          </cell>
          <cell r="D849" t="str">
            <v>SIMPLES</v>
          </cell>
          <cell r="E849" t="str">
            <v>SPARE</v>
          </cell>
          <cell r="F849" t="str">
            <v>Bandeja Dianteira Esquerda Sentra 2007 A 2012 Com Pivô</v>
          </cell>
        </row>
        <row r="850">
          <cell r="A850">
            <v>772112</v>
          </cell>
          <cell r="B850" t="str">
            <v>AUTOMOTIVO</v>
          </cell>
          <cell r="C850" t="str">
            <v>Bandeja</v>
          </cell>
          <cell r="D850" t="str">
            <v>SIMPLES</v>
          </cell>
          <cell r="E850" t="str">
            <v>SPARE</v>
          </cell>
          <cell r="F850" t="str">
            <v>Bandeja Inferior Direito Sem Pivô Nissan Sentra 2013 À 2020</v>
          </cell>
        </row>
        <row r="851">
          <cell r="A851">
            <v>772113</v>
          </cell>
          <cell r="B851" t="str">
            <v>AUTOMOTIVO</v>
          </cell>
          <cell r="C851" t="str">
            <v>Bandeja</v>
          </cell>
          <cell r="D851" t="str">
            <v>SIMPLES</v>
          </cell>
          <cell r="E851" t="str">
            <v>SPARE</v>
          </cell>
          <cell r="F851" t="str">
            <v>Bandeja Inferior Esquerdo Sem Pivô Nissan Sentra 2013 À 2020</v>
          </cell>
        </row>
        <row r="852">
          <cell r="A852">
            <v>772129</v>
          </cell>
          <cell r="B852" t="str">
            <v>AUTOMOTIVO</v>
          </cell>
          <cell r="C852" t="str">
            <v>Bandeja</v>
          </cell>
          <cell r="D852" t="str">
            <v>SIMPLES</v>
          </cell>
          <cell r="E852" t="str">
            <v>SPARE</v>
          </cell>
          <cell r="F852" t="str">
            <v>Braço Traseiro Curvo New Civic 2006 A 2011</v>
          </cell>
        </row>
        <row r="853">
          <cell r="A853">
            <v>772130</v>
          </cell>
          <cell r="B853" t="str">
            <v>AUTOMOTIVO</v>
          </cell>
          <cell r="C853" t="str">
            <v>Bandeja</v>
          </cell>
          <cell r="D853" t="str">
            <v>SIMPLES</v>
          </cell>
          <cell r="E853" t="str">
            <v>SPARE</v>
          </cell>
          <cell r="F853" t="str">
            <v>BANDEJA INFERIOR DIREITA CRV 2012 Á 2014 SEM PIVÔ</v>
          </cell>
        </row>
        <row r="854">
          <cell r="A854">
            <v>772131</v>
          </cell>
          <cell r="B854" t="str">
            <v>AUTOMOTIVO</v>
          </cell>
          <cell r="C854" t="str">
            <v>Bandeja</v>
          </cell>
          <cell r="D854" t="str">
            <v>SIMPLES</v>
          </cell>
          <cell r="E854" t="str">
            <v>SPARE</v>
          </cell>
          <cell r="F854" t="str">
            <v>BANDEJA INFERIOR ESQUERDA CRV 2012 Á 2014 SEM PIVÔ</v>
          </cell>
        </row>
        <row r="855">
          <cell r="A855">
            <v>772134</v>
          </cell>
          <cell r="B855" t="str">
            <v>AUTOMOTIVO</v>
          </cell>
          <cell r="C855" t="str">
            <v>Bandeja</v>
          </cell>
          <cell r="D855" t="str">
            <v>SIMPLES</v>
          </cell>
          <cell r="E855" t="str">
            <v>SPARE</v>
          </cell>
          <cell r="F855" t="str">
            <v>Bandeja Superior Direita Civic 1996 A 2001 Com Pivô</v>
          </cell>
        </row>
        <row r="856">
          <cell r="A856">
            <v>772135</v>
          </cell>
          <cell r="B856" t="str">
            <v>AUTOMOTIVO</v>
          </cell>
          <cell r="C856" t="str">
            <v>Bandeja</v>
          </cell>
          <cell r="D856" t="str">
            <v>SIMPLES</v>
          </cell>
          <cell r="E856" t="str">
            <v>SPARE</v>
          </cell>
          <cell r="F856" t="str">
            <v>Bandeja Superior Esquerda Civic 1996 A 2001 Com Pivô</v>
          </cell>
        </row>
        <row r="857">
          <cell r="A857">
            <v>772136</v>
          </cell>
          <cell r="B857" t="str">
            <v>AUTOMOTIVO</v>
          </cell>
          <cell r="D857" t="str">
            <v>SIMPLES</v>
          </cell>
        </row>
        <row r="858">
          <cell r="A858">
            <v>772137</v>
          </cell>
          <cell r="B858" t="str">
            <v>AUTOMOTIVO</v>
          </cell>
          <cell r="D858" t="str">
            <v>SIMPLES</v>
          </cell>
        </row>
        <row r="859">
          <cell r="A859">
            <v>772138</v>
          </cell>
          <cell r="B859" t="str">
            <v>AUTOMOTIVO</v>
          </cell>
          <cell r="C859" t="str">
            <v>Bandeja</v>
          </cell>
          <cell r="D859" t="str">
            <v>SIMPLES</v>
          </cell>
          <cell r="E859" t="str">
            <v>SPARE</v>
          </cell>
          <cell r="F859" t="str">
            <v>Bandeja Dianteira Direita Sem Pivô Civic 2011 A 2016</v>
          </cell>
        </row>
        <row r="860">
          <cell r="A860">
            <v>772139</v>
          </cell>
          <cell r="B860" t="str">
            <v>AUTOMOTIVO</v>
          </cell>
          <cell r="C860" t="str">
            <v>Bandeja</v>
          </cell>
          <cell r="D860" t="str">
            <v>SIMPLES</v>
          </cell>
          <cell r="E860" t="str">
            <v>SPARE</v>
          </cell>
          <cell r="F860" t="str">
            <v>Bandeja Dianteira Esquerda Sem Pivô Civic 2011 A 2016</v>
          </cell>
        </row>
        <row r="861">
          <cell r="A861">
            <v>772140</v>
          </cell>
          <cell r="B861" t="str">
            <v>AUTOMOTIVO</v>
          </cell>
          <cell r="C861" t="str">
            <v>Bandeja</v>
          </cell>
          <cell r="D861" t="str">
            <v>SIMPLES</v>
          </cell>
          <cell r="E861" t="str">
            <v>SPARE</v>
          </cell>
          <cell r="F861" t="str">
            <v>Bandeja Inferior Direita Com Pivô Veloster 2010 A 2014</v>
          </cell>
        </row>
        <row r="862">
          <cell r="A862">
            <v>772141</v>
          </cell>
          <cell r="B862" t="str">
            <v>AUTOMOTIVO</v>
          </cell>
          <cell r="C862" t="str">
            <v>Bandeja</v>
          </cell>
          <cell r="D862" t="str">
            <v>SIMPLES</v>
          </cell>
          <cell r="E862" t="str">
            <v>SPARE</v>
          </cell>
          <cell r="F862" t="str">
            <v>Bandeja Inferior Esquerdo Com Pivô Elantra 2011 A 2016</v>
          </cell>
        </row>
        <row r="863">
          <cell r="A863">
            <v>772142</v>
          </cell>
          <cell r="B863" t="str">
            <v>AUTOMOTIVO</v>
          </cell>
          <cell r="D863" t="str">
            <v>SIMPLES</v>
          </cell>
        </row>
        <row r="864">
          <cell r="A864">
            <v>772143</v>
          </cell>
          <cell r="B864" t="str">
            <v>AUTOMOTIVO</v>
          </cell>
          <cell r="D864" t="str">
            <v>SIMPLES</v>
          </cell>
        </row>
        <row r="865">
          <cell r="A865">
            <v>772144</v>
          </cell>
          <cell r="B865" t="str">
            <v>AUTOMOTIVO</v>
          </cell>
          <cell r="C865" t="str">
            <v>Bandeja</v>
          </cell>
          <cell r="D865" t="str">
            <v>SIMPLES</v>
          </cell>
          <cell r="E865" t="str">
            <v>SPARE</v>
          </cell>
          <cell r="F865" t="str">
            <v>Bandeja Lado Direito Hb20 Hatch Automático 2012 Á 2019</v>
          </cell>
        </row>
        <row r="866">
          <cell r="A866">
            <v>772145</v>
          </cell>
          <cell r="B866" t="str">
            <v>AUTOMOTIVO</v>
          </cell>
          <cell r="C866" t="str">
            <v>Bandeja</v>
          </cell>
          <cell r="D866" t="str">
            <v>SIMPLES</v>
          </cell>
          <cell r="E866" t="str">
            <v>SPARE</v>
          </cell>
          <cell r="F866" t="str">
            <v>Bandeja Lado Esquerdo Hb20 Hatch Automático</v>
          </cell>
        </row>
        <row r="867">
          <cell r="A867">
            <v>772146</v>
          </cell>
          <cell r="B867" t="str">
            <v>AUTOMOTIVO</v>
          </cell>
          <cell r="C867" t="str">
            <v>Bandeja</v>
          </cell>
          <cell r="D867" t="str">
            <v>SIMPLES</v>
          </cell>
          <cell r="E867" t="str">
            <v>SPARE</v>
          </cell>
          <cell r="F867" t="str">
            <v>Bandeja Lado Direito Hb20 2012 A 2019 Com Pivô</v>
          </cell>
        </row>
        <row r="868">
          <cell r="A868">
            <v>772147</v>
          </cell>
          <cell r="B868" t="str">
            <v>AUTOMOTIVO</v>
          </cell>
          <cell r="C868" t="str">
            <v>Bandeja</v>
          </cell>
          <cell r="D868" t="str">
            <v>SIMPLES</v>
          </cell>
          <cell r="E868" t="str">
            <v>SPARE</v>
          </cell>
          <cell r="F868" t="str">
            <v>Bandeja Lado Esquerdo Hb20 Hatch 2012 A 2019 Com Pivô</v>
          </cell>
        </row>
        <row r="869">
          <cell r="A869">
            <v>772148</v>
          </cell>
          <cell r="B869" t="str">
            <v>AUTOMOTIVO</v>
          </cell>
          <cell r="C869" t="str">
            <v>Bandeja</v>
          </cell>
          <cell r="D869" t="str">
            <v>SIMPLES</v>
          </cell>
          <cell r="E869" t="str">
            <v>SPARE</v>
          </cell>
          <cell r="F869" t="str">
            <v>Bandeja Dianteira Direita Com Pivô Sportage 2011 A 2022</v>
          </cell>
        </row>
        <row r="870">
          <cell r="A870">
            <v>772149</v>
          </cell>
          <cell r="B870" t="str">
            <v>AUTOMOTIVO</v>
          </cell>
          <cell r="C870" t="str">
            <v>Bandeja</v>
          </cell>
          <cell r="D870" t="str">
            <v>SIMPLES</v>
          </cell>
          <cell r="E870" t="str">
            <v>SPARE</v>
          </cell>
          <cell r="F870" t="str">
            <v>Bandeja Dianteira Esquerda Com Pivô Sportage 2011 A 2022</v>
          </cell>
        </row>
        <row r="871">
          <cell r="A871">
            <v>772150</v>
          </cell>
          <cell r="B871" t="str">
            <v>AUTOMOTIVO</v>
          </cell>
          <cell r="C871" t="str">
            <v>Bandeja</v>
          </cell>
          <cell r="D871" t="str">
            <v>SIMPLES</v>
          </cell>
          <cell r="E871" t="str">
            <v>SPARE</v>
          </cell>
          <cell r="F871" t="str">
            <v>Bandeja Inferior Esquerdo Sem Pivô Vera Cruz 2007 À 2012</v>
          </cell>
        </row>
        <row r="872">
          <cell r="A872">
            <v>772151</v>
          </cell>
          <cell r="B872" t="str">
            <v>AUTOMOTIVO</v>
          </cell>
          <cell r="C872" t="str">
            <v>Bandeja</v>
          </cell>
          <cell r="D872" t="str">
            <v>SIMPLES</v>
          </cell>
          <cell r="E872" t="str">
            <v>SPARE</v>
          </cell>
          <cell r="F872" t="str">
            <v>Bandeja Inferior Direito Sem Pivô Vera Cruz 2007 À 2012</v>
          </cell>
        </row>
        <row r="873">
          <cell r="A873">
            <v>772152</v>
          </cell>
          <cell r="B873" t="str">
            <v>AUTOMOTIVO</v>
          </cell>
          <cell r="C873" t="str">
            <v>Bandeja</v>
          </cell>
          <cell r="D873" t="str">
            <v>SIMPLES</v>
          </cell>
          <cell r="E873" t="str">
            <v>SPARE</v>
          </cell>
          <cell r="F873" t="str">
            <v>Bandeja Inferior Direito Com Pivô Vera Cruz 2009 À 2012</v>
          </cell>
        </row>
        <row r="874">
          <cell r="A874">
            <v>772153</v>
          </cell>
          <cell r="B874" t="str">
            <v>AUTOMOTIVO</v>
          </cell>
          <cell r="C874" t="str">
            <v>Bandeja</v>
          </cell>
          <cell r="D874" t="str">
            <v>SIMPLES</v>
          </cell>
          <cell r="E874" t="str">
            <v>SPARE</v>
          </cell>
          <cell r="F874" t="str">
            <v>Bandeja Inferior Esquerdo Com Pivô Santa Fé 2006 À 2011</v>
          </cell>
        </row>
        <row r="875">
          <cell r="A875">
            <v>772154</v>
          </cell>
          <cell r="B875" t="str">
            <v>AUTOMOTIVO</v>
          </cell>
          <cell r="C875" t="str">
            <v>Bandeja</v>
          </cell>
          <cell r="D875" t="str">
            <v>SIMPLES</v>
          </cell>
          <cell r="E875" t="str">
            <v>SPARE</v>
          </cell>
          <cell r="F875" t="str">
            <v>BANDEJA INFERIOR DIREITO SEM PIVÔ H100 1997 A 2005</v>
          </cell>
        </row>
        <row r="876">
          <cell r="A876">
            <v>772155</v>
          </cell>
          <cell r="B876" t="str">
            <v>AUTOMOTIVO</v>
          </cell>
          <cell r="C876" t="str">
            <v>Bandeja</v>
          </cell>
          <cell r="D876" t="str">
            <v>SIMPLES</v>
          </cell>
          <cell r="E876" t="str">
            <v>SPARE</v>
          </cell>
          <cell r="F876" t="str">
            <v>BANDEJA INFERIOR ESQUERDO SEM PIVÔ H100 1997 A 2005</v>
          </cell>
        </row>
        <row r="877">
          <cell r="A877">
            <v>772156</v>
          </cell>
          <cell r="B877" t="str">
            <v>AUTOMOTIVO</v>
          </cell>
          <cell r="C877" t="str">
            <v>Bandeja</v>
          </cell>
          <cell r="D877" t="str">
            <v>SIMPLES</v>
          </cell>
          <cell r="E877" t="str">
            <v>SPARE</v>
          </cell>
          <cell r="F877" t="str">
            <v>Bandeja Dianteira Direita Hr 2005 Em Diante</v>
          </cell>
        </row>
        <row r="878">
          <cell r="A878">
            <v>772157</v>
          </cell>
          <cell r="B878" t="str">
            <v>AUTOMOTIVO</v>
          </cell>
          <cell r="C878" t="str">
            <v>Bandeja</v>
          </cell>
          <cell r="D878" t="str">
            <v>SIMPLES</v>
          </cell>
          <cell r="E878" t="str">
            <v>SPARE</v>
          </cell>
          <cell r="F878" t="str">
            <v>Bandeja Dianteira Esquerda Hr 2005 Em Diante</v>
          </cell>
        </row>
        <row r="879">
          <cell r="A879">
            <v>772161</v>
          </cell>
          <cell r="B879" t="str">
            <v>AUTOMOTIVO</v>
          </cell>
          <cell r="C879" t="str">
            <v>Bandeja</v>
          </cell>
          <cell r="D879" t="str">
            <v>SIMPLES</v>
          </cell>
          <cell r="E879" t="str">
            <v>SPARE</v>
          </cell>
          <cell r="F879" t="str">
            <v>BANDEJA DIANTEIRA DIREITA SEM PIVÔ GRAND SANTA FÉ 2014 2015</v>
          </cell>
        </row>
        <row r="880">
          <cell r="A880">
            <v>772162</v>
          </cell>
          <cell r="B880" t="str">
            <v>AUTOMOTIVO</v>
          </cell>
          <cell r="C880" t="str">
            <v>Bandeja</v>
          </cell>
          <cell r="D880" t="str">
            <v>SIMPLES</v>
          </cell>
          <cell r="E880" t="str">
            <v>SPARE</v>
          </cell>
          <cell r="F880" t="str">
            <v>BANDEJA DIANTEIRA ESQUERDA SEM PIVÔ GRAND SANTA FÉ 2014 2015</v>
          </cell>
        </row>
        <row r="881">
          <cell r="A881">
            <v>772163</v>
          </cell>
          <cell r="B881" t="str">
            <v>AUTOMOTIVO</v>
          </cell>
          <cell r="C881" t="str">
            <v>Bandeja</v>
          </cell>
          <cell r="D881" t="str">
            <v>SIMPLES</v>
          </cell>
          <cell r="E881" t="str">
            <v>SPARE</v>
          </cell>
          <cell r="F881" t="str">
            <v>BANDEJA INFERIOR DIREITA COM PIVÔ CRETA 2017 A 2021</v>
          </cell>
        </row>
        <row r="882">
          <cell r="A882">
            <v>772164</v>
          </cell>
          <cell r="B882" t="str">
            <v>AUTOMOTIVO</v>
          </cell>
          <cell r="C882" t="str">
            <v>Bandeja</v>
          </cell>
          <cell r="D882" t="str">
            <v>SIMPLES</v>
          </cell>
          <cell r="E882" t="str">
            <v>SPARE</v>
          </cell>
          <cell r="F882" t="str">
            <v>Bandeja Inferior Esquerda Com Pivô Creta 2017 A 2021</v>
          </cell>
        </row>
        <row r="883">
          <cell r="A883">
            <v>772169</v>
          </cell>
          <cell r="B883" t="str">
            <v>AUTOMOTIVO</v>
          </cell>
          <cell r="C883" t="str">
            <v>Bandeja</v>
          </cell>
          <cell r="D883" t="str">
            <v>SIMPLES</v>
          </cell>
          <cell r="E883" t="str">
            <v>SPARE</v>
          </cell>
          <cell r="F883" t="str">
            <v>Bandeja Inferior Besta Gs Completa 1998 Até 2004</v>
          </cell>
        </row>
        <row r="884">
          <cell r="A884">
            <v>772170</v>
          </cell>
          <cell r="B884" t="str">
            <v>AUTOMOTIVO</v>
          </cell>
          <cell r="C884" t="str">
            <v>Bandeja</v>
          </cell>
          <cell r="D884" t="str">
            <v>SIMPLES</v>
          </cell>
          <cell r="E884" t="str">
            <v>SPARE</v>
          </cell>
          <cell r="F884" t="str">
            <v>BANDEJA DIANTEIRA DIREITA PICANTO 2011 EM DIANTE SEM PIVÔ</v>
          </cell>
        </row>
        <row r="885">
          <cell r="A885">
            <v>772171</v>
          </cell>
          <cell r="B885" t="str">
            <v>AUTOMOTIVO</v>
          </cell>
          <cell r="C885" t="str">
            <v>Bandeja</v>
          </cell>
          <cell r="D885" t="str">
            <v>SIMPLES</v>
          </cell>
          <cell r="E885" t="str">
            <v>SPARE</v>
          </cell>
          <cell r="F885" t="str">
            <v>BANDEJA DIANTEIRA ESQUERDA PICANTO 2011 EM DIANTE SEM PIVÔ</v>
          </cell>
        </row>
        <row r="886">
          <cell r="A886">
            <v>772172</v>
          </cell>
          <cell r="B886" t="str">
            <v>AUTOMOTIVO</v>
          </cell>
          <cell r="C886" t="str">
            <v>Bandeja</v>
          </cell>
          <cell r="D886" t="str">
            <v>SIMPLES</v>
          </cell>
          <cell r="E886" t="str">
            <v>SPARE</v>
          </cell>
          <cell r="F886" t="str">
            <v>Bandeja Inferior Direita Com Pivô Kia Soul 2009 A 2014</v>
          </cell>
        </row>
        <row r="887">
          <cell r="A887">
            <v>772173</v>
          </cell>
          <cell r="B887" t="str">
            <v>AUTOMOTIVO</v>
          </cell>
          <cell r="C887" t="str">
            <v>Bandeja</v>
          </cell>
          <cell r="D887" t="str">
            <v>SIMPLES</v>
          </cell>
          <cell r="E887" t="str">
            <v>SPARE</v>
          </cell>
          <cell r="F887" t="str">
            <v>Bandeja Inferior Esquerda Com Pivô Kia Soul 2009 A 2014</v>
          </cell>
        </row>
        <row r="888">
          <cell r="A888">
            <v>772182</v>
          </cell>
          <cell r="B888" t="str">
            <v>AUTOMOTIVO</v>
          </cell>
          <cell r="C888" t="str">
            <v>Bandeja</v>
          </cell>
          <cell r="D888" t="str">
            <v>SIMPLES</v>
          </cell>
          <cell r="E888" t="str">
            <v>SPARE</v>
          </cell>
          <cell r="F888" t="str">
            <v>BANDEJA SUPERIOR DIREITA SORENTO 2002 A 2009</v>
          </cell>
        </row>
        <row r="889">
          <cell r="A889">
            <v>772183</v>
          </cell>
          <cell r="B889" t="str">
            <v>AUTOMOTIVO</v>
          </cell>
          <cell r="C889" t="str">
            <v>Bandeja</v>
          </cell>
          <cell r="D889" t="str">
            <v>SIMPLES</v>
          </cell>
          <cell r="E889" t="str">
            <v>SPARE</v>
          </cell>
          <cell r="F889" t="str">
            <v>BANDEJA SUPERIOR DIANTEIRA ESQUERDA SORENTO 2002 A 2009</v>
          </cell>
        </row>
        <row r="890">
          <cell r="A890">
            <v>772188</v>
          </cell>
          <cell r="B890" t="str">
            <v>AUTOMOTIVO</v>
          </cell>
          <cell r="C890" t="str">
            <v>Bandeja</v>
          </cell>
          <cell r="D890" t="str">
            <v>SIMPLES</v>
          </cell>
          <cell r="E890" t="str">
            <v>SPARE</v>
          </cell>
          <cell r="F890" t="str">
            <v>Bandeja Dianteira Superior Sportage 1997 Á 2004 Com Pivô</v>
          </cell>
        </row>
        <row r="891">
          <cell r="A891">
            <v>772190</v>
          </cell>
          <cell r="B891" t="str">
            <v>AUTOMOTIVO</v>
          </cell>
          <cell r="C891" t="str">
            <v>Bandeja</v>
          </cell>
          <cell r="D891" t="str">
            <v>SIMPLES</v>
          </cell>
          <cell r="E891" t="str">
            <v>SPARE</v>
          </cell>
          <cell r="F891" t="str">
            <v>BANDEJA DIANTEIRA DIREITA BESTA 1990 A 1997</v>
          </cell>
        </row>
        <row r="892">
          <cell r="A892">
            <v>772191</v>
          </cell>
          <cell r="B892" t="str">
            <v>AUTOMOTIVO</v>
          </cell>
          <cell r="C892" t="str">
            <v>Bandeja</v>
          </cell>
          <cell r="D892" t="str">
            <v>SIMPLES</v>
          </cell>
          <cell r="E892" t="str">
            <v>SPARE</v>
          </cell>
          <cell r="F892" t="str">
            <v>Bandeja Dianteira Esquerda Topic 1993 A 2022</v>
          </cell>
        </row>
        <row r="893">
          <cell r="A893">
            <v>772192</v>
          </cell>
          <cell r="B893" t="str">
            <v>AUTOMOTIVO</v>
          </cell>
          <cell r="D893" t="str">
            <v>SIMPLES</v>
          </cell>
        </row>
        <row r="894">
          <cell r="A894">
            <v>772193</v>
          </cell>
          <cell r="B894" t="str">
            <v>AUTOMOTIVO</v>
          </cell>
          <cell r="D894" t="str">
            <v>SIMPLES</v>
          </cell>
        </row>
        <row r="895">
          <cell r="A895">
            <v>772194</v>
          </cell>
          <cell r="B895" t="str">
            <v>AUTOMOTIVO</v>
          </cell>
          <cell r="C895" t="str">
            <v>Bandeja</v>
          </cell>
          <cell r="D895" t="str">
            <v>SIMPLES</v>
          </cell>
          <cell r="E895" t="str">
            <v>SPARE</v>
          </cell>
          <cell r="F895" t="str">
            <v>Bandeja Superior Besta 1998 A 2003 Ambos Os Lados</v>
          </cell>
        </row>
        <row r="896">
          <cell r="A896">
            <v>772195</v>
          </cell>
          <cell r="B896" t="str">
            <v>AUTOMOTIVO</v>
          </cell>
          <cell r="C896" t="str">
            <v>Bandeja</v>
          </cell>
          <cell r="D896" t="str">
            <v>SIMPLES</v>
          </cell>
          <cell r="E896" t="str">
            <v>SPARE</v>
          </cell>
          <cell r="F896" t="str">
            <v>BANDEJA SUPERIOR DIREITO BONGO K250 2013 Á 2021 COM PIVÔ</v>
          </cell>
        </row>
        <row r="897">
          <cell r="A897">
            <v>772196</v>
          </cell>
          <cell r="B897" t="str">
            <v>AUTOMOTIVO</v>
          </cell>
          <cell r="C897" t="str">
            <v>Bandeja</v>
          </cell>
          <cell r="D897" t="str">
            <v>SIMPLES</v>
          </cell>
          <cell r="E897" t="str">
            <v>SPARE</v>
          </cell>
          <cell r="F897" t="str">
            <v>BANDEJA SUPERIOR ESQUERDO BONGO K250 2013 Á 2021 COM PIVÔ</v>
          </cell>
        </row>
        <row r="898">
          <cell r="A898">
            <v>772202</v>
          </cell>
          <cell r="B898" t="str">
            <v>AUTOMOTIVO</v>
          </cell>
          <cell r="D898" t="str">
            <v>SIMPLES</v>
          </cell>
        </row>
        <row r="899">
          <cell r="A899">
            <v>772203</v>
          </cell>
          <cell r="B899" t="str">
            <v>AUTOMOTIVO</v>
          </cell>
          <cell r="D899" t="str">
            <v>SIMPLES</v>
          </cell>
        </row>
        <row r="900">
          <cell r="A900">
            <v>772204</v>
          </cell>
          <cell r="B900" t="str">
            <v>AUTOMOTIVO</v>
          </cell>
          <cell r="C900" t="str">
            <v>Bandeja</v>
          </cell>
          <cell r="D900" t="str">
            <v>SIMPLES</v>
          </cell>
          <cell r="E900" t="str">
            <v>SPARE</v>
          </cell>
          <cell r="F900" t="str">
            <v>Bandeja Superior Direito Jinbei Topic 2008 Á 2017 Completa</v>
          </cell>
        </row>
        <row r="901">
          <cell r="A901">
            <v>772205</v>
          </cell>
          <cell r="B901" t="str">
            <v>AUTOMOTIVO</v>
          </cell>
          <cell r="C901" t="str">
            <v>Bandeja</v>
          </cell>
          <cell r="D901" t="str">
            <v>SIMPLES</v>
          </cell>
          <cell r="E901" t="str">
            <v>SPARE</v>
          </cell>
          <cell r="F901" t="str">
            <v>BANDEJA SUPERIOR ESQUERDA JINBEI TOPIC 2008 Á 2017 COMPLETA</v>
          </cell>
        </row>
        <row r="902">
          <cell r="A902">
            <v>772208</v>
          </cell>
          <cell r="B902" t="str">
            <v>AUTOMOTIVO</v>
          </cell>
          <cell r="D902" t="str">
            <v>SIMPLES</v>
          </cell>
        </row>
        <row r="903">
          <cell r="A903">
            <v>772209</v>
          </cell>
          <cell r="B903" t="str">
            <v>AUTOMOTIVO</v>
          </cell>
          <cell r="D903" t="str">
            <v>SIMPLES</v>
          </cell>
        </row>
        <row r="904">
          <cell r="A904">
            <v>772214</v>
          </cell>
          <cell r="B904" t="str">
            <v>AUTOMOTIVO</v>
          </cell>
          <cell r="C904" t="str">
            <v>Bandeja</v>
          </cell>
          <cell r="D904" t="str">
            <v>SIMPLES</v>
          </cell>
          <cell r="E904" t="str">
            <v>SPARE</v>
          </cell>
          <cell r="F904" t="str">
            <v>Bandeja Inferior Direito Pajero Tr4 Sem Pivô 2000 Á 2014</v>
          </cell>
        </row>
        <row r="905">
          <cell r="A905">
            <v>772215</v>
          </cell>
          <cell r="B905" t="str">
            <v>AUTOMOTIVO</v>
          </cell>
          <cell r="C905" t="str">
            <v>Bandeja</v>
          </cell>
          <cell r="D905" t="str">
            <v>SIMPLES</v>
          </cell>
          <cell r="E905" t="str">
            <v>SPARE</v>
          </cell>
          <cell r="F905" t="str">
            <v>Bandeja Inferior Esquerda Pajero Tr4 Sem Pivô 2000 Á 2014</v>
          </cell>
        </row>
        <row r="906">
          <cell r="A906">
            <v>772218</v>
          </cell>
          <cell r="B906" t="str">
            <v>AUTOMOTIVO</v>
          </cell>
          <cell r="C906" t="str">
            <v>Bandeja</v>
          </cell>
          <cell r="D906" t="str">
            <v>SIMPLES</v>
          </cell>
          <cell r="E906" t="str">
            <v>SPARE</v>
          </cell>
          <cell r="F906" t="str">
            <v>BANDEJA SUPERIOR DIREITA PAJERO FULL 2001Á 2006 SEM PIVÔ</v>
          </cell>
        </row>
        <row r="907">
          <cell r="A907">
            <v>772219</v>
          </cell>
          <cell r="B907" t="str">
            <v>AUTOMOTIVO</v>
          </cell>
          <cell r="C907" t="str">
            <v>Bandeja</v>
          </cell>
          <cell r="D907" t="str">
            <v>SIMPLES</v>
          </cell>
          <cell r="E907" t="str">
            <v>SPARE</v>
          </cell>
          <cell r="F907" t="str">
            <v>BANDEJA SUPERIOR ESQUERDA PAJERO FULL 2001 Á 2006 SEM PIVÔ</v>
          </cell>
        </row>
        <row r="908">
          <cell r="A908">
            <v>772220</v>
          </cell>
          <cell r="B908" t="str">
            <v>AUTOMOTIVO</v>
          </cell>
          <cell r="D908" t="str">
            <v>SIMPLES</v>
          </cell>
        </row>
        <row r="909">
          <cell r="A909">
            <v>772221</v>
          </cell>
          <cell r="B909" t="str">
            <v>AUTOMOTIVO</v>
          </cell>
          <cell r="C909" t="str">
            <v>Bandeja</v>
          </cell>
          <cell r="D909" t="str">
            <v>SIMPLES</v>
          </cell>
          <cell r="E909" t="str">
            <v>SPARE</v>
          </cell>
          <cell r="F909" t="str">
            <v>Bandeja Dianteira Direita Sem Pivô Outlander 2007 À 2013</v>
          </cell>
        </row>
        <row r="910">
          <cell r="A910">
            <v>772222</v>
          </cell>
          <cell r="B910" t="str">
            <v>AUTOMOTIVO</v>
          </cell>
          <cell r="C910" t="str">
            <v>Bandeja</v>
          </cell>
          <cell r="D910" t="str">
            <v>SIMPLES</v>
          </cell>
          <cell r="E910" t="str">
            <v>SPARE</v>
          </cell>
          <cell r="F910" t="str">
            <v>Bandeja Dianteira Esquerda Sem Pivô Lancer 2011 À 2019</v>
          </cell>
        </row>
        <row r="911">
          <cell r="A911">
            <v>772223</v>
          </cell>
          <cell r="B911" t="str">
            <v>AUTOMOTIVO</v>
          </cell>
          <cell r="C911" t="str">
            <v>Bandeja</v>
          </cell>
          <cell r="D911" t="str">
            <v>SIMPLES</v>
          </cell>
          <cell r="E911" t="str">
            <v>SPARE</v>
          </cell>
          <cell r="F911" t="str">
            <v>Bandeja Dianteira Direita com pivô Lancer 2011 À 2019</v>
          </cell>
        </row>
        <row r="912">
          <cell r="A912">
            <v>772224</v>
          </cell>
          <cell r="B912" t="str">
            <v>AUTOMOTIVO</v>
          </cell>
          <cell r="C912" t="str">
            <v>Bandeja</v>
          </cell>
          <cell r="D912" t="str">
            <v>SIMPLES</v>
          </cell>
          <cell r="E912" t="str">
            <v>SPARE</v>
          </cell>
          <cell r="F912" t="str">
            <v>Bandeja Dianteira Esquerda comPivô Lancer 2011 À 2019</v>
          </cell>
        </row>
        <row r="913">
          <cell r="A913">
            <v>772226</v>
          </cell>
          <cell r="B913" t="str">
            <v>AUTOMOTIVO</v>
          </cell>
          <cell r="D913" t="str">
            <v>SIMPLES</v>
          </cell>
        </row>
        <row r="914">
          <cell r="A914">
            <v>772227</v>
          </cell>
          <cell r="B914" t="str">
            <v>AUTOMOTIVO</v>
          </cell>
          <cell r="D914" t="str">
            <v>SIMPLES</v>
          </cell>
        </row>
        <row r="915">
          <cell r="A915">
            <v>772230</v>
          </cell>
          <cell r="B915" t="str">
            <v>AUTOMOTIVO</v>
          </cell>
          <cell r="C915" t="str">
            <v>Bandeja</v>
          </cell>
          <cell r="D915" t="str">
            <v>SIMPLES</v>
          </cell>
          <cell r="E915" t="str">
            <v>SPARE</v>
          </cell>
          <cell r="F915" t="str">
            <v>BANDEJA INFERIOR DIREITA COM PIVÔ KICKS 2016 A 2020</v>
          </cell>
        </row>
        <row r="916">
          <cell r="A916">
            <v>772231</v>
          </cell>
          <cell r="B916" t="str">
            <v>AUTOMOTIVO</v>
          </cell>
          <cell r="C916" t="str">
            <v>Bandeja</v>
          </cell>
          <cell r="D916" t="str">
            <v>SIMPLES</v>
          </cell>
          <cell r="E916" t="str">
            <v>SPARE</v>
          </cell>
          <cell r="F916" t="str">
            <v>BANDEJA INFERIOR ESQUERDA COM PIVÔ KICKS 2016 A 2020</v>
          </cell>
        </row>
        <row r="917">
          <cell r="A917">
            <v>772233</v>
          </cell>
          <cell r="B917" t="str">
            <v>AUTOMOTIVO</v>
          </cell>
          <cell r="C917" t="str">
            <v>Bandeja</v>
          </cell>
          <cell r="D917" t="str">
            <v>SIMPLES</v>
          </cell>
          <cell r="E917" t="str">
            <v>SPARE</v>
          </cell>
          <cell r="F917" t="str">
            <v>Bandeja Dianteira Journey 2009 Á 2015  Lado Direito</v>
          </cell>
        </row>
        <row r="918">
          <cell r="A918">
            <v>772234</v>
          </cell>
          <cell r="B918" t="str">
            <v>AUTOMOTIVO</v>
          </cell>
          <cell r="C918" t="str">
            <v>Bandeja</v>
          </cell>
          <cell r="D918" t="str">
            <v>SIMPLES</v>
          </cell>
          <cell r="E918" t="str">
            <v>SPARE</v>
          </cell>
          <cell r="F918" t="str">
            <v>Bandeja Dianteira Journey 2009 á 2015 Freemont 2011 á 2016 Lado Esquerdo</v>
          </cell>
        </row>
        <row r="919">
          <cell r="A919">
            <v>772235</v>
          </cell>
          <cell r="B919" t="str">
            <v>AUTOMOTIVO</v>
          </cell>
          <cell r="D919" t="str">
            <v>SIMPLES</v>
          </cell>
        </row>
        <row r="920">
          <cell r="A920">
            <v>772236</v>
          </cell>
          <cell r="B920" t="str">
            <v>AUTOMOTIVO</v>
          </cell>
          <cell r="D920" t="str">
            <v>SIMPLES</v>
          </cell>
        </row>
        <row r="921">
          <cell r="A921">
            <v>772237</v>
          </cell>
          <cell r="B921" t="str">
            <v>AUTOMOTIVO</v>
          </cell>
          <cell r="D921" t="str">
            <v>SIMPLES</v>
          </cell>
        </row>
        <row r="922">
          <cell r="A922">
            <v>772238</v>
          </cell>
          <cell r="B922" t="str">
            <v>AUTOMOTIVO</v>
          </cell>
          <cell r="D922" t="str">
            <v>SIMPLES</v>
          </cell>
        </row>
        <row r="923">
          <cell r="A923">
            <v>772246</v>
          </cell>
          <cell r="B923" t="str">
            <v>AUTOMOTIVO</v>
          </cell>
          <cell r="C923" t="str">
            <v>Bandeja</v>
          </cell>
          <cell r="D923" t="str">
            <v>SIMPLES</v>
          </cell>
          <cell r="E923" t="str">
            <v>SPARE</v>
          </cell>
          <cell r="F923" t="str">
            <v>Bandeja Inferior Direita Com Pivô Etios 2012 A 2018</v>
          </cell>
        </row>
        <row r="924">
          <cell r="A924">
            <v>772247</v>
          </cell>
          <cell r="B924" t="str">
            <v>AUTOMOTIVO</v>
          </cell>
          <cell r="C924" t="str">
            <v>Bandeja</v>
          </cell>
          <cell r="D924" t="str">
            <v>SIMPLES</v>
          </cell>
          <cell r="E924" t="str">
            <v>SPARE</v>
          </cell>
          <cell r="F924" t="str">
            <v>Bandeja Inferior Esquerda Com Pivô Etios 2012 A 2018</v>
          </cell>
        </row>
        <row r="925">
          <cell r="A925">
            <v>772248</v>
          </cell>
          <cell r="B925" t="str">
            <v>AUTOMOTIVO</v>
          </cell>
          <cell r="C925" t="str">
            <v>Bandeja</v>
          </cell>
          <cell r="D925" t="str">
            <v>SIMPLES</v>
          </cell>
          <cell r="E925" t="str">
            <v>SPARE</v>
          </cell>
          <cell r="F925" t="str">
            <v>Bandeja Inferior Esquerdo Sem Pivô Rav 4 2006 Á 2017</v>
          </cell>
        </row>
        <row r="926">
          <cell r="A926">
            <v>772249</v>
          </cell>
          <cell r="B926" t="str">
            <v>AUTOMOTIVO</v>
          </cell>
          <cell r="C926" t="str">
            <v>Bandeja</v>
          </cell>
          <cell r="D926" t="str">
            <v>SIMPLES</v>
          </cell>
          <cell r="E926" t="str">
            <v>SPARE</v>
          </cell>
          <cell r="F926" t="str">
            <v>Bandeja Inferior Direito Sem Pivô Rav 4 2006 Á 2017</v>
          </cell>
        </row>
        <row r="927">
          <cell r="A927">
            <v>772254</v>
          </cell>
          <cell r="B927" t="str">
            <v>AUTOMOTIVO</v>
          </cell>
          <cell r="C927" t="str">
            <v>Bandeja</v>
          </cell>
          <cell r="D927" t="str">
            <v>SIMPLES</v>
          </cell>
          <cell r="E927" t="str">
            <v>SPARE</v>
          </cell>
          <cell r="F927" t="str">
            <v>Bandeja Superior Dianteira Direita C/ Pivô Hilux 4x4 06 À 20</v>
          </cell>
        </row>
        <row r="928">
          <cell r="A928">
            <v>772255</v>
          </cell>
          <cell r="B928" t="str">
            <v>AUTOMOTIVO</v>
          </cell>
          <cell r="C928" t="str">
            <v>Bandeja</v>
          </cell>
          <cell r="D928" t="str">
            <v>SIMPLES</v>
          </cell>
          <cell r="E928" t="str">
            <v>SPARE</v>
          </cell>
          <cell r="F928" t="str">
            <v>Bandeja Superior Dianteira Esquerda C Pivô Hilux 4x4 06 À 20</v>
          </cell>
        </row>
        <row r="929">
          <cell r="A929">
            <v>772256</v>
          </cell>
          <cell r="B929" t="str">
            <v>AUTOMOTIVO</v>
          </cell>
          <cell r="C929" t="str">
            <v>Bandeja</v>
          </cell>
          <cell r="D929" t="str">
            <v>SIMPLES</v>
          </cell>
          <cell r="E929" t="str">
            <v>SPARE</v>
          </cell>
          <cell r="F929" t="str">
            <v>Bandeja Inferior Direita Sem Pivô Etios 2012 A 2018</v>
          </cell>
        </row>
        <row r="930">
          <cell r="A930">
            <v>772257</v>
          </cell>
          <cell r="B930" t="str">
            <v>AUTOMOTIVO</v>
          </cell>
          <cell r="C930" t="str">
            <v>Bandeja</v>
          </cell>
          <cell r="D930" t="str">
            <v>SIMPLES</v>
          </cell>
          <cell r="E930" t="str">
            <v>SPARE</v>
          </cell>
          <cell r="F930" t="str">
            <v>Bandeja Inferior Esquerda Sem Pivô Etios 2012 A 2018</v>
          </cell>
        </row>
        <row r="931">
          <cell r="A931">
            <v>880309</v>
          </cell>
          <cell r="B931" t="str">
            <v>AUTOMOTIVO</v>
          </cell>
          <cell r="C931" t="str">
            <v>Pastilha Freio</v>
          </cell>
          <cell r="D931" t="str">
            <v>SIMPLES</v>
          </cell>
          <cell r="E931" t="str">
            <v>Importação</v>
          </cell>
          <cell r="F931" t="str">
            <v>Cabo De Embreagem Cg 150 Fan Esi 2010 Em Diante</v>
          </cell>
        </row>
        <row r="932">
          <cell r="A932">
            <v>880409</v>
          </cell>
          <cell r="B932" t="str">
            <v>AUTOMOTIVO</v>
          </cell>
          <cell r="C932" t="str">
            <v>Cabo velocímetro Moto</v>
          </cell>
          <cell r="D932" t="str">
            <v>SIMPLES</v>
          </cell>
          <cell r="E932" t="str">
            <v>Importação</v>
          </cell>
          <cell r="F932" t="str">
            <v>Cabo De Velocímetro Cg 150 Titan Sport Até 2008</v>
          </cell>
        </row>
        <row r="933">
          <cell r="A933">
            <v>880547</v>
          </cell>
          <cell r="B933" t="str">
            <v>AUTOMOTIVO</v>
          </cell>
          <cell r="C933" t="str">
            <v>Cupula alavanca</v>
          </cell>
          <cell r="D933" t="str">
            <v>SIMPLES</v>
          </cell>
          <cell r="E933" t="str">
            <v>HOLYMAN</v>
          </cell>
          <cell r="F933" t="str">
            <v>Kit Cupula Alavanca Ré Para Frente Strada Até 2001</v>
          </cell>
        </row>
        <row r="934">
          <cell r="A934">
            <v>880549</v>
          </cell>
          <cell r="B934" t="str">
            <v>AUTOMOTIVO</v>
          </cell>
          <cell r="C934" t="str">
            <v>Cupula alavanca</v>
          </cell>
          <cell r="D934" t="str">
            <v>SIMPLES</v>
          </cell>
          <cell r="E934" t="str">
            <v>BRK</v>
          </cell>
          <cell r="F934" t="str">
            <v>Kit Cupula Alavanca Ré Para Trás Siena 1996 Em Diante</v>
          </cell>
        </row>
        <row r="935">
          <cell r="A935">
            <v>882000</v>
          </cell>
          <cell r="B935" t="str">
            <v>AUTOMOTIVO</v>
          </cell>
          <cell r="C935" t="str">
            <v>Bandeja</v>
          </cell>
          <cell r="D935" t="str">
            <v>SIMPLES</v>
          </cell>
          <cell r="E935" t="str">
            <v>SPARE</v>
          </cell>
          <cell r="F935" t="str">
            <v>Bandeja Dianteira Direita Sem Pivô J3 2011 À 2015</v>
          </cell>
        </row>
        <row r="936">
          <cell r="A936">
            <v>882001</v>
          </cell>
          <cell r="B936" t="str">
            <v>AUTOMOTIVO</v>
          </cell>
          <cell r="C936" t="str">
            <v>Bandeja</v>
          </cell>
          <cell r="D936" t="str">
            <v>SIMPLES</v>
          </cell>
          <cell r="E936" t="str">
            <v>SPARE</v>
          </cell>
          <cell r="F936" t="str">
            <v>Bandeja Dianteira Esquerda Sem Pivô J3 2011 À 2015</v>
          </cell>
        </row>
        <row r="937">
          <cell r="A937">
            <v>882002</v>
          </cell>
          <cell r="B937" t="str">
            <v>AUTOMOTIVO</v>
          </cell>
          <cell r="C937" t="str">
            <v>Bandeja</v>
          </cell>
          <cell r="D937" t="str">
            <v>SIMPLES</v>
          </cell>
          <cell r="E937" t="str">
            <v>SPARE</v>
          </cell>
          <cell r="F937" t="str">
            <v>Bandeja Dianteira Direita Com Pivô J3 2011 À 2015</v>
          </cell>
        </row>
        <row r="938">
          <cell r="A938">
            <v>882003</v>
          </cell>
          <cell r="B938" t="str">
            <v>AUTOMOTIVO</v>
          </cell>
          <cell r="C938" t="str">
            <v>Bandeja</v>
          </cell>
          <cell r="D938" t="str">
            <v>SIMPLES</v>
          </cell>
          <cell r="E938" t="str">
            <v>SPARE</v>
          </cell>
          <cell r="F938" t="str">
            <v>Bandeja Dianteira Esquerdo Com Pivô J3 2011 À 2015</v>
          </cell>
        </row>
        <row r="939">
          <cell r="A939">
            <v>992001</v>
          </cell>
          <cell r="B939" t="str">
            <v>AUTOMOTIVO</v>
          </cell>
          <cell r="C939" t="str">
            <v>Bandeja</v>
          </cell>
          <cell r="D939" t="str">
            <v>SIMPLES</v>
          </cell>
          <cell r="E939" t="str">
            <v>SPARE</v>
          </cell>
          <cell r="F939" t="str">
            <v>Bandeja Dianteira Esquerda Alfa 147 1997 Á 2003</v>
          </cell>
        </row>
        <row r="940">
          <cell r="A940">
            <v>992025</v>
          </cell>
          <cell r="B940" t="str">
            <v>AUTOMOTIVO</v>
          </cell>
          <cell r="D940" t="str">
            <v>SIMPLES</v>
          </cell>
        </row>
        <row r="941">
          <cell r="A941">
            <v>993001</v>
          </cell>
          <cell r="B941" t="str">
            <v>AUTOMOTIVO</v>
          </cell>
          <cell r="C941" t="str">
            <v>Bandeja</v>
          </cell>
          <cell r="D941" t="str">
            <v>SIMPLES</v>
          </cell>
          <cell r="E941" t="str">
            <v>SPARE</v>
          </cell>
          <cell r="F941" t="str">
            <v>Braço Bandeja Ambos Lados Com Pivô Chery Qq 1.1 2011 A 2018</v>
          </cell>
        </row>
        <row r="942">
          <cell r="A942">
            <v>993002</v>
          </cell>
          <cell r="B942" t="str">
            <v>AUTOMOTIVO</v>
          </cell>
          <cell r="C942" t="str">
            <v>Bandeja</v>
          </cell>
          <cell r="D942" t="str">
            <v>SIMPLES</v>
          </cell>
          <cell r="E942" t="str">
            <v>SPARE</v>
          </cell>
          <cell r="F942" t="str">
            <v>BANDEJA INFERIOR DIREITA COM PIVÔ TIGGO 2018 A 2021</v>
          </cell>
        </row>
        <row r="943">
          <cell r="A943">
            <v>993003</v>
          </cell>
          <cell r="B943" t="str">
            <v>AUTOMOTIVO</v>
          </cell>
          <cell r="C943" t="str">
            <v>Bandeja</v>
          </cell>
          <cell r="D943" t="str">
            <v>SIMPLES</v>
          </cell>
          <cell r="E943" t="str">
            <v>SPARE</v>
          </cell>
          <cell r="F943" t="str">
            <v>Bandeja Inferior Esquerda Com Pivô Tiggo 2018 A 2021</v>
          </cell>
        </row>
        <row r="944">
          <cell r="A944">
            <v>993005</v>
          </cell>
          <cell r="B944" t="str">
            <v>AUTOMOTIVO</v>
          </cell>
          <cell r="C944" t="str">
            <v>Bandeja</v>
          </cell>
          <cell r="D944" t="str">
            <v>SIMPLES</v>
          </cell>
          <cell r="E944" t="str">
            <v>SPARE</v>
          </cell>
          <cell r="F944" t="str">
            <v>BANDEJA INFERIOR DIREITA COM PIVÔ MINI COOPER 2013 A 2017</v>
          </cell>
        </row>
        <row r="945">
          <cell r="A945">
            <v>993006</v>
          </cell>
          <cell r="B945" t="str">
            <v>AUTOMOTIVO</v>
          </cell>
          <cell r="C945" t="str">
            <v>Pastilha Freio</v>
          </cell>
          <cell r="D945" t="str">
            <v>SIMPLES</v>
          </cell>
          <cell r="E945" t="str">
            <v>SPARE</v>
          </cell>
          <cell r="F945" t="str">
            <v>BANDEJA INFERIOR ESQUERDA COM PIVÔ MINI COOPER 2013 A 2017</v>
          </cell>
        </row>
        <row r="946">
          <cell r="A946">
            <v>993007</v>
          </cell>
          <cell r="B946" t="str">
            <v>AUTOMOTIVO</v>
          </cell>
          <cell r="C946" t="str">
            <v>Pastilha Freio</v>
          </cell>
          <cell r="D946" t="str">
            <v>SIMPLES</v>
          </cell>
          <cell r="E946" t="str">
            <v>SPARE</v>
          </cell>
          <cell r="F946" t="str">
            <v>BRAÇO DIANTEIRO INFERIOR CURVO BMW X1 2009 Á 2017LADO DIREITO SÉRIE E84 XDRIVE</v>
          </cell>
        </row>
        <row r="947">
          <cell r="A947">
            <v>993008</v>
          </cell>
          <cell r="B947" t="str">
            <v>AUTOMOTIVO</v>
          </cell>
          <cell r="C947" t="str">
            <v>Pastilha Freio</v>
          </cell>
          <cell r="D947" t="str">
            <v>SIMPLES</v>
          </cell>
          <cell r="E947" t="str">
            <v>SPARE</v>
          </cell>
          <cell r="F947" t="str">
            <v>BRAÇO DIANTEIRO ESQUERDO INFERIOR CURVO X1 E84 2009 Á 2017</v>
          </cell>
        </row>
        <row r="948">
          <cell r="A948">
            <v>993010</v>
          </cell>
          <cell r="B948" t="str">
            <v>AUTOMOTIVO</v>
          </cell>
          <cell r="C948" t="str">
            <v>Bandeja</v>
          </cell>
          <cell r="D948" t="str">
            <v>SIMPLES</v>
          </cell>
          <cell r="E948" t="str">
            <v>SPARE</v>
          </cell>
          <cell r="F948" t="str">
            <v>BANDEJA INFERIOR COMPLETA LADO DIREITO DISCOVERY 3 DISCOVERY 4</v>
          </cell>
        </row>
        <row r="949">
          <cell r="A949">
            <v>993011</v>
          </cell>
          <cell r="B949" t="str">
            <v>AUTOMOTIVO</v>
          </cell>
          <cell r="C949" t="str">
            <v>Bandeja</v>
          </cell>
          <cell r="D949" t="str">
            <v>SIMPLES</v>
          </cell>
          <cell r="E949" t="str">
            <v>SPARE</v>
          </cell>
          <cell r="F949" t="str">
            <v>BANDEJA INFERIOR COMPLETA LADO ESQUERDO DISCOVERY 3 DISCOVERY 4</v>
          </cell>
        </row>
        <row r="950">
          <cell r="A950">
            <v>993012</v>
          </cell>
          <cell r="B950" t="str">
            <v>AUTOMOTIVO</v>
          </cell>
          <cell r="C950" t="str">
            <v>Pastilha Freio</v>
          </cell>
          <cell r="D950" t="str">
            <v>SIMPLES</v>
          </cell>
          <cell r="E950" t="str">
            <v>SPARE</v>
          </cell>
          <cell r="F950" t="str">
            <v>Bandeja Inferior Direita Sem Pivô Tiggo 2 2018 A 2021</v>
          </cell>
        </row>
        <row r="951">
          <cell r="A951">
            <v>993013</v>
          </cell>
          <cell r="B951" t="str">
            <v>AUTOMOTIVO</v>
          </cell>
          <cell r="C951" t="str">
            <v>Pastilha Freio</v>
          </cell>
          <cell r="D951" t="str">
            <v>SIMPLES</v>
          </cell>
          <cell r="E951" t="str">
            <v>SPARE</v>
          </cell>
          <cell r="F951" t="str">
            <v>BANDEJA INFERIOR ESQUERDA SEM PIVÔ TIGGO 2 2018 A 2021</v>
          </cell>
        </row>
        <row r="952">
          <cell r="A952">
            <v>993014</v>
          </cell>
          <cell r="B952" t="str">
            <v>AUTOMOTIVO</v>
          </cell>
          <cell r="C952" t="str">
            <v>Bandeja</v>
          </cell>
          <cell r="D952" t="str">
            <v>SIMPLES</v>
          </cell>
          <cell r="E952" t="str">
            <v>SPARE</v>
          </cell>
          <cell r="F952" t="str">
            <v>BANDEJA INFERIOR DIANTEIRA DIREITA TRANSIT 2008 Á 2015</v>
          </cell>
        </row>
        <row r="953">
          <cell r="A953">
            <v>993015</v>
          </cell>
          <cell r="B953" t="str">
            <v>AUTOMOTIVO</v>
          </cell>
          <cell r="C953" t="str">
            <v>Bandeja</v>
          </cell>
          <cell r="D953" t="str">
            <v>SIMPLES</v>
          </cell>
          <cell r="E953" t="str">
            <v>SPARE</v>
          </cell>
          <cell r="F953" t="str">
            <v>BANDEJA INFERIOR DIANTEIRA ESQUERDA TRANSIT 2008 Á 2015</v>
          </cell>
        </row>
        <row r="954">
          <cell r="A954">
            <v>993016</v>
          </cell>
          <cell r="B954" t="str">
            <v>AUTOMOTIVO</v>
          </cell>
          <cell r="C954" t="str">
            <v>Bandeja</v>
          </cell>
          <cell r="D954" t="str">
            <v>SIMPLES</v>
          </cell>
          <cell r="E954" t="str">
            <v>SPARE</v>
          </cell>
          <cell r="F954" t="str">
            <v>BANDEJA INFERIOR DIREITA LIFAN FOISON</v>
          </cell>
        </row>
        <row r="955">
          <cell r="A955">
            <v>993017</v>
          </cell>
          <cell r="B955" t="str">
            <v>AUTOMOTIVO</v>
          </cell>
          <cell r="C955" t="str">
            <v>Pastilha Freio</v>
          </cell>
          <cell r="D955" t="str">
            <v>SIMPLES</v>
          </cell>
          <cell r="E955" t="str">
            <v>SPARE</v>
          </cell>
          <cell r="F955" t="str">
            <v>BANDEJA INFERIOR ESQUERDA LIFAN FOISON</v>
          </cell>
        </row>
        <row r="956">
          <cell r="A956">
            <v>6044003</v>
          </cell>
          <cell r="B956" t="str">
            <v>AUTOMOTIVO</v>
          </cell>
          <cell r="C956" t="str">
            <v>Rolamento roda</v>
          </cell>
          <cell r="D956" t="str">
            <v>SIMPLES</v>
          </cell>
          <cell r="E956" t="str">
            <v>IMPORTAÇÃO</v>
          </cell>
          <cell r="F956" t="str">
            <v>ROLAMENTO RODA DIANTEIRA ESCORT HOBBY 1.0 1.6 1994 DIANTE</v>
          </cell>
        </row>
        <row r="957">
          <cell r="A957">
            <v>6044010</v>
          </cell>
          <cell r="B957" t="str">
            <v>AUTOMOTIVO</v>
          </cell>
          <cell r="C957" t="str">
            <v>Rolamento roda</v>
          </cell>
          <cell r="D957" t="str">
            <v>SIMPLES</v>
          </cell>
          <cell r="E957" t="str">
            <v>IMPORTAÇÃO</v>
          </cell>
          <cell r="F957" t="str">
            <v>ROLAMENTO RODA TRASEIRA ECOSPORT 1.0 1.6 2003 EM DIANTE</v>
          </cell>
        </row>
        <row r="958">
          <cell r="A958">
            <v>24579046</v>
          </cell>
          <cell r="B958" t="str">
            <v>AUTOMOTIVO</v>
          </cell>
          <cell r="C958" t="str">
            <v>Terminal Cabo Câmbio</v>
          </cell>
          <cell r="D958" t="str">
            <v>SIMPLES</v>
          </cell>
          <cell r="E958" t="str">
            <v>Importação / LT CORREA</v>
          </cell>
          <cell r="F958" t="str">
            <v>Terminal Conector Cabo Trambulador Vectra 2006 Em Diante</v>
          </cell>
        </row>
        <row r="959">
          <cell r="A959">
            <v>24582632</v>
          </cell>
          <cell r="B959" t="str">
            <v>AUTOMOTIVO</v>
          </cell>
          <cell r="C959" t="str">
            <v>Suporte Ar condicionado</v>
          </cell>
          <cell r="D959" t="str">
            <v>SIMPLES</v>
          </cell>
          <cell r="E959" t="str">
            <v>OUTROS</v>
          </cell>
          <cell r="F959" t="str">
            <v>Sup Compressor Ar Condicionado Novo Prisma Estoque Limitado</v>
          </cell>
        </row>
        <row r="960">
          <cell r="A960" t="str">
            <v>0W20</v>
          </cell>
          <cell r="B960" t="str">
            <v>AUTOMOTIVO</v>
          </cell>
          <cell r="C960" t="str">
            <v>ÓLEO MOTOR AUTOMOTIVO</v>
          </cell>
          <cell r="D960" t="str">
            <v>SIMPLES</v>
          </cell>
          <cell r="E960" t="str">
            <v>Maxi Lub</v>
          </cell>
          <cell r="F960" t="str">
            <v>Óleo 0W20 MAX</v>
          </cell>
        </row>
        <row r="961">
          <cell r="A961" t="str">
            <v>10W40</v>
          </cell>
          <cell r="B961" t="str">
            <v>AUTOMOTIVO</v>
          </cell>
          <cell r="C961" t="str">
            <v>Óleo</v>
          </cell>
          <cell r="D961" t="str">
            <v>SIMPLES</v>
          </cell>
          <cell r="E961" t="str">
            <v>Maxi Lub</v>
          </cell>
        </row>
        <row r="962">
          <cell r="A962" t="str">
            <v>10W50l</v>
          </cell>
          <cell r="B962" t="str">
            <v>AUTOMOTIVO</v>
          </cell>
          <cell r="C962" t="str">
            <v>Óleo</v>
          </cell>
          <cell r="D962" t="str">
            <v>SIMPLES</v>
          </cell>
        </row>
        <row r="963">
          <cell r="A963" t="str">
            <v>112004b</v>
          </cell>
          <cell r="B963" t="str">
            <v>AUTOMOTIVO</v>
          </cell>
          <cell r="C963" t="str">
            <v>Bandeja</v>
          </cell>
          <cell r="D963" t="str">
            <v>SIMPLES</v>
          </cell>
          <cell r="E963" t="str">
            <v>SPARE</v>
          </cell>
          <cell r="F963" t="str">
            <v>Bracinho Oscilante Com Pivô E Buchas Fiat Oggi</v>
          </cell>
        </row>
        <row r="964">
          <cell r="A964" t="str">
            <v>112005B</v>
          </cell>
          <cell r="B964" t="str">
            <v>AUTOMOTIVO</v>
          </cell>
          <cell r="C964" t="str">
            <v>Bandeja</v>
          </cell>
          <cell r="D964" t="str">
            <v>KIT</v>
          </cell>
          <cell r="E964" t="str">
            <v>SPARE</v>
          </cell>
          <cell r="F964" t="str">
            <v>Bracinho Oscilante Com Pivô Fiat Uno 1986 A 1996</v>
          </cell>
        </row>
        <row r="965">
          <cell r="A965" t="str">
            <v>112006/07</v>
          </cell>
          <cell r="B965" t="str">
            <v>AUTOMOTIVO</v>
          </cell>
          <cell r="C965" t="str">
            <v>Bandeja</v>
          </cell>
          <cell r="D965" t="str">
            <v>KIT</v>
          </cell>
          <cell r="E965" t="str">
            <v>SPARE</v>
          </cell>
          <cell r="F965" t="str">
            <v>Par Braço Tensor Com Terminal Premio 1985 A 2004</v>
          </cell>
        </row>
        <row r="966">
          <cell r="A966" t="str">
            <v>112008/09</v>
          </cell>
          <cell r="B966" t="str">
            <v>AUTOMOTIVO</v>
          </cell>
          <cell r="C966" t="str">
            <v>Bandeja</v>
          </cell>
          <cell r="D966" t="str">
            <v>KIT</v>
          </cell>
          <cell r="E966" t="str">
            <v>SPARE</v>
          </cell>
          <cell r="F966" t="str">
            <v>Par Braço Tensor Dianteira Sem Terminal Uno Fase I 2004 2013</v>
          </cell>
        </row>
        <row r="967">
          <cell r="A967" t="str">
            <v>112010/11</v>
          </cell>
          <cell r="B967" t="str">
            <v>AUTOMOTIVO</v>
          </cell>
          <cell r="C967" t="str">
            <v>Bandeja</v>
          </cell>
          <cell r="D967" t="str">
            <v>KIT</v>
          </cell>
          <cell r="E967" t="str">
            <v>SPARE</v>
          </cell>
          <cell r="F967" t="str">
            <v>Par Bandeja Inferior Fiat Tempra Sw</v>
          </cell>
        </row>
        <row r="968">
          <cell r="A968" t="str">
            <v>112012/13</v>
          </cell>
          <cell r="B968" t="str">
            <v>AUTOMOTIVO</v>
          </cell>
          <cell r="C968" t="str">
            <v>Bandeja</v>
          </cell>
          <cell r="D968" t="str">
            <v>KIT</v>
          </cell>
          <cell r="E968" t="str">
            <v>SPARE</v>
          </cell>
          <cell r="F968" t="str">
            <v>Par Bandeja Inferior Fiat Marea Weekend</v>
          </cell>
        </row>
        <row r="969">
          <cell r="A969" t="str">
            <v>112022/23</v>
          </cell>
          <cell r="B969" t="str">
            <v>AUTOMOTIVO</v>
          </cell>
          <cell r="C969" t="str">
            <v>Bandeja</v>
          </cell>
          <cell r="D969" t="str">
            <v>KIT</v>
          </cell>
          <cell r="E969" t="str">
            <v>SPARE</v>
          </cell>
          <cell r="F969" t="str">
            <v>Par Bandeja Inferior Siena 1997 Á 2001 Sem Pivô</v>
          </cell>
        </row>
        <row r="970">
          <cell r="A970" t="str">
            <v>112024/25</v>
          </cell>
          <cell r="B970" t="str">
            <v>AUTOMOTIVO</v>
          </cell>
          <cell r="C970" t="str">
            <v>Bandeja</v>
          </cell>
          <cell r="D970" t="str">
            <v>KIT</v>
          </cell>
          <cell r="E970" t="str">
            <v>SPARE</v>
          </cell>
          <cell r="F970" t="str">
            <v>Par Bandeja Inferior Siena 1997 Á 2001 Sem Barra Com Pivô</v>
          </cell>
        </row>
        <row r="971">
          <cell r="A971" t="str">
            <v>112028/29</v>
          </cell>
          <cell r="B971" t="str">
            <v>AUTOMOTIVO</v>
          </cell>
          <cell r="C971" t="str">
            <v>Bandeja</v>
          </cell>
          <cell r="D971" t="str">
            <v>KIT</v>
          </cell>
          <cell r="E971" t="str">
            <v>SPARE</v>
          </cell>
          <cell r="F971" t="str">
            <v>Par Bandeja Inferior Palio 1996 Á 2001 Sem Pivô</v>
          </cell>
        </row>
        <row r="972">
          <cell r="A972" t="str">
            <v>112028/B</v>
          </cell>
          <cell r="B972" t="str">
            <v>AUTOMOTIVO</v>
          </cell>
          <cell r="C972" t="str">
            <v>Bucha Bandeja</v>
          </cell>
          <cell r="D972" t="str">
            <v>KIT</v>
          </cell>
          <cell r="E972" t="str">
            <v>GUARU BORRACHAS</v>
          </cell>
          <cell r="F972" t="str">
            <v>Kit Buchas Da Bandeja Dianteira E Traseira Palio</v>
          </cell>
        </row>
        <row r="973">
          <cell r="A973" t="str">
            <v>112028p</v>
          </cell>
          <cell r="B973" t="str">
            <v>AUTOMOTIVO</v>
          </cell>
        </row>
        <row r="974">
          <cell r="A974" t="str">
            <v>112029p</v>
          </cell>
          <cell r="B974" t="str">
            <v>AUTOMOTIVO</v>
          </cell>
          <cell r="D974" t="str">
            <v>SIMPLES</v>
          </cell>
        </row>
        <row r="975">
          <cell r="A975" t="str">
            <v>112030/31</v>
          </cell>
          <cell r="B975" t="str">
            <v>AUTOMOTIVO</v>
          </cell>
          <cell r="C975" t="str">
            <v>Bandeja</v>
          </cell>
          <cell r="D975" t="str">
            <v>KIT</v>
          </cell>
          <cell r="E975" t="str">
            <v>SPARE</v>
          </cell>
          <cell r="F975" t="str">
            <v>Par Bandeja Inferior Siena 1997 Á 2001 Com Pivô</v>
          </cell>
        </row>
        <row r="976">
          <cell r="A976" t="str">
            <v>112052/53</v>
          </cell>
          <cell r="B976" t="str">
            <v>AUTOMOTIVO</v>
          </cell>
          <cell r="C976" t="str">
            <v>Bandeja</v>
          </cell>
          <cell r="D976" t="str">
            <v>KIT</v>
          </cell>
          <cell r="E976" t="str">
            <v>SPARE</v>
          </cell>
          <cell r="F976" t="str">
            <v>Par Bandeja Sem Pivô Palio Adventure Locker 2007 A 2019 1.8</v>
          </cell>
        </row>
        <row r="977">
          <cell r="A977" t="str">
            <v>112056/57</v>
          </cell>
          <cell r="B977" t="str">
            <v>AUTOMOTIVO</v>
          </cell>
          <cell r="C977" t="str">
            <v>Bandeja</v>
          </cell>
          <cell r="D977" t="str">
            <v>KIT</v>
          </cell>
          <cell r="E977" t="str">
            <v>SPARE</v>
          </cell>
          <cell r="F977" t="str">
            <v>Par Bandeja Sem Pivô Idea Hlx 2005 A 2016 Motor 1.8</v>
          </cell>
        </row>
        <row r="978">
          <cell r="A978" t="str">
            <v>112058/59</v>
          </cell>
          <cell r="B978" t="str">
            <v>AUTOMOTIVO</v>
          </cell>
          <cell r="C978" t="str">
            <v>Bandeja</v>
          </cell>
          <cell r="D978" t="str">
            <v>KIT</v>
          </cell>
          <cell r="E978" t="str">
            <v>SPARE</v>
          </cell>
          <cell r="F978" t="str">
            <v>Par Bandeja Com Pivô Strada 2005 A 2008</v>
          </cell>
        </row>
        <row r="979">
          <cell r="A979" t="str">
            <v>112062/63</v>
          </cell>
          <cell r="B979" t="str">
            <v>AUTOMOTIVO</v>
          </cell>
          <cell r="C979" t="str">
            <v>Bandeja</v>
          </cell>
          <cell r="D979" t="str">
            <v>KIT</v>
          </cell>
          <cell r="E979" t="str">
            <v>SPARE</v>
          </cell>
          <cell r="F979" t="str">
            <v>Par Bandeja Inferior Com Pivô Fiorino 2014 Em Diante</v>
          </cell>
        </row>
        <row r="980">
          <cell r="A980" t="str">
            <v>112072/73</v>
          </cell>
          <cell r="B980" t="str">
            <v>AUTOMOTIVO</v>
          </cell>
          <cell r="C980" t="str">
            <v>Bandeja</v>
          </cell>
          <cell r="D980" t="str">
            <v>KIT</v>
          </cell>
          <cell r="E980" t="str">
            <v>SPARE</v>
          </cell>
          <cell r="F980" t="str">
            <v>Par Bandeja Sem Pivô Palio Weekend Adventure 2005 A 2008</v>
          </cell>
        </row>
        <row r="981">
          <cell r="A981" t="str">
            <v>112074/75</v>
          </cell>
          <cell r="B981" t="str">
            <v>AUTOMOTIVO</v>
          </cell>
          <cell r="C981" t="str">
            <v>Bandeja</v>
          </cell>
          <cell r="D981" t="str">
            <v>KIT</v>
          </cell>
          <cell r="E981" t="str">
            <v>SPARE</v>
          </cell>
          <cell r="F981" t="str">
            <v>Par Bandeja Com Pivô Idea Adventure 2006 A 2016</v>
          </cell>
        </row>
        <row r="982">
          <cell r="A982" t="str">
            <v>112100/01</v>
          </cell>
          <cell r="B982" t="str">
            <v>AUTOMOTIVO</v>
          </cell>
          <cell r="C982" t="str">
            <v>Bandeja</v>
          </cell>
          <cell r="D982" t="str">
            <v>KIT</v>
          </cell>
          <cell r="E982" t="str">
            <v>SPARE</v>
          </cell>
          <cell r="F982" t="str">
            <v>Par Bandeja Dianteira Sem Pivô Punto 2006 A 2014</v>
          </cell>
        </row>
        <row r="983">
          <cell r="A983" t="str">
            <v>112102/03</v>
          </cell>
          <cell r="B983" t="str">
            <v>AUTOMOTIVO</v>
          </cell>
          <cell r="C983" t="str">
            <v>Bandeja</v>
          </cell>
          <cell r="D983" t="str">
            <v>KIT</v>
          </cell>
          <cell r="E983" t="str">
            <v>SPARE</v>
          </cell>
          <cell r="F983" t="str">
            <v>Par Bandeja Dianteira Com Pivô Fiat Punto 2006 A 2014</v>
          </cell>
        </row>
        <row r="984">
          <cell r="A984" t="str">
            <v>112106/07</v>
          </cell>
          <cell r="B984" t="str">
            <v>AUTOMOTIVO</v>
          </cell>
          <cell r="C984" t="str">
            <v>Bandeja</v>
          </cell>
          <cell r="D984" t="str">
            <v>KIT</v>
          </cell>
          <cell r="E984" t="str">
            <v>SPARE</v>
          </cell>
          <cell r="F984" t="str">
            <v>Par Bandeja Com Pivô Uno Vivace 2010 Em Diante</v>
          </cell>
        </row>
        <row r="985">
          <cell r="A985" t="str">
            <v>112117/18</v>
          </cell>
          <cell r="B985" t="str">
            <v>AUTOMOTIVO</v>
          </cell>
          <cell r="C985" t="str">
            <v>Bandeja</v>
          </cell>
          <cell r="D985" t="str">
            <v>KIT</v>
          </cell>
          <cell r="E985" t="str">
            <v>SPARE</v>
          </cell>
          <cell r="F985" t="str">
            <v>Par Bandeja Dianteira Com Pivô Compass 4x4 2015 A 2020</v>
          </cell>
        </row>
        <row r="986">
          <cell r="A986" t="str">
            <v>112124/25</v>
          </cell>
          <cell r="B986" t="str">
            <v>AUTOMOTIVO</v>
          </cell>
          <cell r="C986" t="str">
            <v>Bandeja</v>
          </cell>
          <cell r="D986" t="str">
            <v>KIT</v>
          </cell>
          <cell r="E986" t="str">
            <v>SPARE</v>
          </cell>
          <cell r="F986" t="str">
            <v>Par Bandeja Dianteira Inferior Strada 2020 Á 2022 Com Pivô</v>
          </cell>
        </row>
        <row r="987">
          <cell r="A987" t="str">
            <v>112126/27</v>
          </cell>
          <cell r="B987" t="str">
            <v>AUTOMOTIVO</v>
          </cell>
          <cell r="C987" t="str">
            <v>Bandeja</v>
          </cell>
          <cell r="D987" t="str">
            <v>KIT</v>
          </cell>
          <cell r="E987" t="str">
            <v>SPARE</v>
          </cell>
          <cell r="F987" t="str">
            <v>Par Bandeja Inferior Com Pivô Idea Elx 2005 A 2016</v>
          </cell>
        </row>
        <row r="988">
          <cell r="A988" t="str">
            <v>112132/33</v>
          </cell>
          <cell r="B988" t="str">
            <v>AUTOMOTIVO</v>
          </cell>
          <cell r="C988" t="str">
            <v>Bandeja</v>
          </cell>
          <cell r="D988" t="str">
            <v>KIT</v>
          </cell>
          <cell r="E988" t="str">
            <v>SPARE</v>
          </cell>
          <cell r="F988" t="str">
            <v>Par Bandeja Dianteira Com Pivô Punto 2008 A 2017</v>
          </cell>
        </row>
        <row r="989">
          <cell r="A989" t="str">
            <v>14097/99</v>
          </cell>
          <cell r="B989" t="str">
            <v>AUTOMOTIVO</v>
          </cell>
          <cell r="C989" t="str">
            <v>Pino de Porta</v>
          </cell>
          <cell r="D989" t="str">
            <v>KIT</v>
          </cell>
          <cell r="E989" t="str">
            <v>MultiKit</v>
          </cell>
          <cell r="F989" t="str">
            <v>Kit Pino Dobradiça Porta Prêmio 1985 A 1995</v>
          </cell>
        </row>
        <row r="990">
          <cell r="A990" t="str">
            <v>15W40</v>
          </cell>
          <cell r="B990" t="str">
            <v>AUTOMOTIVO</v>
          </cell>
          <cell r="C990" t="str">
            <v>Óleo</v>
          </cell>
          <cell r="D990" t="str">
            <v>SIMPLES</v>
          </cell>
        </row>
        <row r="991">
          <cell r="A991" t="str">
            <v>15W40-MAX</v>
          </cell>
          <cell r="B991" t="str">
            <v>AUTOMOTIVO</v>
          </cell>
          <cell r="C991" t="str">
            <v>Óleo</v>
          </cell>
          <cell r="D991" t="str">
            <v>SIMPLES</v>
          </cell>
          <cell r="E991" t="str">
            <v>Maxi Lub</v>
          </cell>
          <cell r="F991" t="str">
            <v xml:space="preserve">Óleo 15W40 Maxi Lubrificantes  </v>
          </cell>
        </row>
        <row r="992">
          <cell r="A992" t="str">
            <v>15w40-SB</v>
          </cell>
          <cell r="B992" t="str">
            <v>AUTOMOTIVO</v>
          </cell>
          <cell r="C992" t="str">
            <v>Óleo</v>
          </cell>
          <cell r="D992" t="str">
            <v>SIMPLES</v>
          </cell>
          <cell r="F992" t="str">
            <v xml:space="preserve">OLEO DE MOTOR 15W40 SB LUBRIFICANTES  </v>
          </cell>
        </row>
        <row r="993">
          <cell r="A993" t="str">
            <v>2 Kits 14097-14099</v>
          </cell>
          <cell r="B993" t="str">
            <v>AUTOMOTIVO</v>
          </cell>
          <cell r="C993" t="str">
            <v>Pino de Porta</v>
          </cell>
          <cell r="D993" t="str">
            <v>KIT</v>
          </cell>
          <cell r="E993" t="str">
            <v>MultiKit</v>
          </cell>
          <cell r="F993" t="str">
            <v>2 Kits Pino Dobradiça Porta Uno Mille 1985 A 2011</v>
          </cell>
        </row>
        <row r="994">
          <cell r="A994" t="str">
            <v>200.121K004</v>
          </cell>
          <cell r="B994" t="str">
            <v>MOTO PEÇAS</v>
          </cell>
          <cell r="C994" t="str">
            <v>Junta moto</v>
          </cell>
          <cell r="D994" t="str">
            <v>SIMPLES</v>
          </cell>
          <cell r="E994" t="str">
            <v>KRATER</v>
          </cell>
          <cell r="F994" t="str">
            <v xml:space="preserve">JUNTA LATERAL MOTOR CG 125 FAN CG 150 FAN LE  </v>
          </cell>
        </row>
        <row r="995">
          <cell r="A995" t="str">
            <v>200.123K003</v>
          </cell>
          <cell r="B995" t="str">
            <v>MOTO PEÇAS</v>
          </cell>
          <cell r="C995" t="str">
            <v>Junta moto</v>
          </cell>
          <cell r="D995" t="str">
            <v>SIMPLES</v>
          </cell>
          <cell r="E995" t="str">
            <v>KRATER</v>
          </cell>
          <cell r="F995" t="str">
            <v>JUNTA LATERAL MOTOR CG 150 TITAN BROS 150 CRF 150 LD</v>
          </cell>
        </row>
        <row r="996">
          <cell r="A996" t="str">
            <v>200.141K005</v>
          </cell>
          <cell r="B996" t="str">
            <v>MOTO PEÇAS</v>
          </cell>
          <cell r="C996" t="str">
            <v>Junta moto</v>
          </cell>
          <cell r="D996" t="str">
            <v>SIMPLES</v>
          </cell>
          <cell r="E996" t="str">
            <v>KRATER</v>
          </cell>
          <cell r="F996" t="str">
            <v xml:space="preserve">JUNTA LATERAL MOTOR CBX TWISTER 250 XR TORNADO 250 CB 300R XRE 300 LD  </v>
          </cell>
        </row>
        <row r="997">
          <cell r="A997" t="str">
            <v>200.141K006</v>
          </cell>
          <cell r="B997" t="str">
            <v>MOTO PEÇAS</v>
          </cell>
          <cell r="C997" t="str">
            <v>Junta moto</v>
          </cell>
          <cell r="D997" t="str">
            <v>SIMPLES</v>
          </cell>
          <cell r="E997" t="str">
            <v>KRATER</v>
          </cell>
          <cell r="F997" t="str">
            <v xml:space="preserve">JUNTA LATERAL MOTOR CBX TWISTER 250 XR TORNADO 250 ATÉ 2015 LE  </v>
          </cell>
        </row>
        <row r="998">
          <cell r="A998" t="str">
            <v>201.377K004</v>
          </cell>
          <cell r="B998" t="str">
            <v>MOTO PEÇAS</v>
          </cell>
          <cell r="C998" t="str">
            <v>Junta moto</v>
          </cell>
          <cell r="D998" t="str">
            <v>SIMPLES</v>
          </cell>
          <cell r="E998" t="str">
            <v>KRATER</v>
          </cell>
          <cell r="F998" t="str">
            <v xml:space="preserve">JUNTA LATERAL MOTOR YS 250 FAZER XTZ 250 LANDER 2005 EM DIANTE LE  </v>
          </cell>
        </row>
        <row r="999">
          <cell r="A999" t="str">
            <v>20W50-M</v>
          </cell>
          <cell r="B999" t="str">
            <v>AUTOMOTIVO</v>
          </cell>
          <cell r="C999" t="str">
            <v>Óleo</v>
          </cell>
          <cell r="D999" t="str">
            <v>SIMPLES</v>
          </cell>
        </row>
        <row r="1000">
          <cell r="A1000" t="str">
            <v>20W50-MAX</v>
          </cell>
          <cell r="B1000" t="str">
            <v>AUTOMOTIVO</v>
          </cell>
          <cell r="C1000" t="str">
            <v>Óleo</v>
          </cell>
          <cell r="D1000" t="str">
            <v>SIMPLES</v>
          </cell>
          <cell r="E1000" t="str">
            <v>Maxi Lub</v>
          </cell>
          <cell r="F1000" t="str">
            <v xml:space="preserve">OLEO 20W50 MAXI  </v>
          </cell>
        </row>
        <row r="1001">
          <cell r="A1001" t="str">
            <v>20W50MT</v>
          </cell>
          <cell r="B1001" t="str">
            <v>AUTOMOTIVO</v>
          </cell>
          <cell r="C1001" t="str">
            <v>Óleo</v>
          </cell>
          <cell r="D1001" t="str">
            <v>SIMPLES</v>
          </cell>
        </row>
        <row r="1002">
          <cell r="A1002" t="str">
            <v>20w50-SB</v>
          </cell>
          <cell r="B1002" t="str">
            <v>AUTOMOTIVO</v>
          </cell>
          <cell r="C1002" t="str">
            <v>Óleo</v>
          </cell>
          <cell r="D1002" t="str">
            <v>SIMPLES</v>
          </cell>
          <cell r="F1002" t="str">
            <v xml:space="preserve">20W50 OLEO MOTOR RB LUBRIFICANTES  </v>
          </cell>
        </row>
        <row r="1003">
          <cell r="A1003" t="str">
            <v>2214/15</v>
          </cell>
          <cell r="B1003" t="str">
            <v>AUTOMOTIVO</v>
          </cell>
          <cell r="C1003" t="str">
            <v>Haste câmbio</v>
          </cell>
          <cell r="D1003" t="str">
            <v>KIT</v>
          </cell>
          <cell r="E1003" t="str">
            <v>LT CORREA</v>
          </cell>
          <cell r="F1003" t="str">
            <v>Kit Tirante Externo Do Câmbio Partner 1.8</v>
          </cell>
        </row>
        <row r="1004">
          <cell r="A1004" t="str">
            <v>222010b</v>
          </cell>
          <cell r="B1004" t="str">
            <v>AUTOMOTIVO</v>
          </cell>
          <cell r="C1004" t="str">
            <v>Bandeja</v>
          </cell>
          <cell r="D1004" t="str">
            <v>SIMPLES</v>
          </cell>
          <cell r="E1004" t="str">
            <v>SPARE</v>
          </cell>
          <cell r="F1004" t="str">
            <v>Braço Oscilante Direito Com Bucha Verona 1990 A 1992</v>
          </cell>
        </row>
        <row r="1005">
          <cell r="A1005" t="str">
            <v>222011b</v>
          </cell>
          <cell r="B1005" t="str">
            <v>AUTOMOTIVO</v>
          </cell>
          <cell r="C1005" t="str">
            <v>Bandeja</v>
          </cell>
          <cell r="D1005" t="str">
            <v>SIMPLES</v>
          </cell>
          <cell r="E1005" t="str">
            <v>SPARE</v>
          </cell>
          <cell r="F1005" t="str">
            <v>Braço Oscilante Esquerdo Com Bucha Apollo 1990 A 1992</v>
          </cell>
        </row>
        <row r="1006">
          <cell r="A1006" t="str">
            <v>222053/54</v>
          </cell>
          <cell r="B1006" t="str">
            <v>AUTOMOTIVO</v>
          </cell>
          <cell r="C1006" t="str">
            <v>Bandeja</v>
          </cell>
          <cell r="D1006" t="str">
            <v>KIT</v>
          </cell>
          <cell r="E1006" t="str">
            <v>SPARE</v>
          </cell>
          <cell r="F1006" t="str">
            <v>Par Bandeja Dianteira Com Pivô Ecosport 2003 A 2011</v>
          </cell>
        </row>
        <row r="1007">
          <cell r="A1007" t="str">
            <v>222063/64</v>
          </cell>
          <cell r="B1007" t="str">
            <v>AUTOMOTIVO</v>
          </cell>
          <cell r="C1007" t="str">
            <v>Bandeja</v>
          </cell>
          <cell r="D1007" t="str">
            <v>KIT</v>
          </cell>
          <cell r="E1007" t="str">
            <v>SPARE</v>
          </cell>
          <cell r="F1007" t="str">
            <v>Par Bandeja Inferior Ka Direção Hidráulica Com Pivô 08 Á 13</v>
          </cell>
        </row>
        <row r="1008">
          <cell r="A1008" t="str">
            <v>222072/73</v>
          </cell>
          <cell r="B1008" t="str">
            <v>AUTOMOTIVO</v>
          </cell>
          <cell r="C1008" t="str">
            <v>Bandeja</v>
          </cell>
          <cell r="D1008" t="str">
            <v>KIT</v>
          </cell>
          <cell r="E1008" t="str">
            <v>SPARE</v>
          </cell>
          <cell r="F1008" t="str">
            <v>Par Bandeja Inferior Fiesta Sem Pivô</v>
          </cell>
        </row>
        <row r="1009">
          <cell r="A1009" t="str">
            <v>222104/05</v>
          </cell>
          <cell r="B1009" t="str">
            <v>AUTOMOTIVO</v>
          </cell>
          <cell r="C1009" t="str">
            <v>Bandeja</v>
          </cell>
          <cell r="D1009" t="str">
            <v>KIT</v>
          </cell>
          <cell r="E1009" t="str">
            <v>SPARE</v>
          </cell>
          <cell r="F1009" t="str">
            <v>Par Bandeja Inferior Fiesta Com Pivô</v>
          </cell>
        </row>
        <row r="1010">
          <cell r="A1010" t="str">
            <v>222308/09</v>
          </cell>
          <cell r="B1010" t="str">
            <v>AUTOMOTIVO</v>
          </cell>
          <cell r="C1010" t="str">
            <v>Bandeja</v>
          </cell>
          <cell r="D1010" t="str">
            <v>KIT</v>
          </cell>
          <cell r="E1010" t="str">
            <v>SPARE</v>
          </cell>
          <cell r="F1010" t="str">
            <v>Par Bandeja Inferior Com Pivô Edge 2008 A 2015</v>
          </cell>
        </row>
        <row r="1011">
          <cell r="A1011" t="str">
            <v>2360-D</v>
          </cell>
          <cell r="B1011" t="str">
            <v>AUTOMOTIVO</v>
          </cell>
          <cell r="C1011" t="str">
            <v>Suporte Radiador</v>
          </cell>
          <cell r="D1011" t="str">
            <v>SIMPLES</v>
          </cell>
          <cell r="E1011" t="str">
            <v>LT CORREA</v>
          </cell>
          <cell r="F1011" t="str">
            <v>Suporte Radiador Lado Direito - Corsa Gl 1.6 - 2006</v>
          </cell>
        </row>
        <row r="1012">
          <cell r="A1012" t="str">
            <v>2360-E</v>
          </cell>
          <cell r="B1012" t="str">
            <v>AUTOMOTIVO</v>
          </cell>
          <cell r="C1012" t="str">
            <v>Suporte Radiador</v>
          </cell>
          <cell r="D1012" t="str">
            <v>SIMPLES</v>
          </cell>
          <cell r="E1012" t="str">
            <v>LT CORREA</v>
          </cell>
          <cell r="F1012" t="str">
            <v>Suporte Radiador Lado Esquerdo - Corsa Gl 1.6 - 2006</v>
          </cell>
        </row>
        <row r="1013">
          <cell r="A1013" t="str">
            <v>2362-DE</v>
          </cell>
          <cell r="B1013" t="str">
            <v>AUTOMOTIVO</v>
          </cell>
          <cell r="C1013" t="str">
            <v>Suporte Radiador</v>
          </cell>
          <cell r="D1013" t="str">
            <v>SIMPLES</v>
          </cell>
          <cell r="E1013" t="str">
            <v>LT CORREA</v>
          </cell>
          <cell r="F1013" t="str">
            <v>Suporte Sup. Radiador Celta 2010 Le/ld</v>
          </cell>
        </row>
        <row r="1014">
          <cell r="A1014" t="str">
            <v>2362-LD</v>
          </cell>
          <cell r="B1014" t="str">
            <v>AUTOMOTIVO</v>
          </cell>
          <cell r="C1014" t="str">
            <v>Suporte Radiador</v>
          </cell>
          <cell r="D1014" t="str">
            <v>SIMPLES</v>
          </cell>
          <cell r="E1014" t="str">
            <v>LT CORREA</v>
          </cell>
          <cell r="F1014" t="str">
            <v>Suporte Superior Radiador Celta 2005 Lado Direito</v>
          </cell>
        </row>
        <row r="1015">
          <cell r="A1015" t="str">
            <v>2362-LE</v>
          </cell>
          <cell r="B1015" t="str">
            <v>AUTOMOTIVO</v>
          </cell>
          <cell r="C1015" t="str">
            <v>Suporte Radiador</v>
          </cell>
          <cell r="D1015" t="str">
            <v>SIMPLES</v>
          </cell>
          <cell r="E1015" t="str">
            <v>LT CORREA</v>
          </cell>
          <cell r="F1015" t="str">
            <v>Suporte Superior Radiador Prisma/celta Lado Esquerdo</v>
          </cell>
        </row>
        <row r="1016">
          <cell r="A1016" t="str">
            <v>2367-E</v>
          </cell>
          <cell r="B1016" t="str">
            <v>AUTOMOTIVO</v>
          </cell>
          <cell r="D1016" t="str">
            <v>SIMPLES</v>
          </cell>
        </row>
        <row r="1017">
          <cell r="A1017" t="str">
            <v>2kits-12152</v>
          </cell>
          <cell r="B1017" t="str">
            <v>AUTOMOTIVO</v>
          </cell>
          <cell r="C1017" t="str">
            <v>Pino de Porta</v>
          </cell>
          <cell r="D1017" t="str">
            <v>KIT</v>
          </cell>
          <cell r="E1017" t="str">
            <v>MultiKit</v>
          </cell>
          <cell r="F1017" t="str">
            <v>2 Kits Pino Buchas Dobradiça Porta Belina 1989</v>
          </cell>
        </row>
        <row r="1018">
          <cell r="A1018" t="str">
            <v>330178/79</v>
          </cell>
          <cell r="B1018" t="str">
            <v>AUTOMOTIVO</v>
          </cell>
          <cell r="C1018" t="str">
            <v>AMORTECEDOR SUSPENSÃO</v>
          </cell>
          <cell r="D1018" t="str">
            <v>KIT</v>
          </cell>
          <cell r="E1018" t="str">
            <v>SPARE</v>
          </cell>
          <cell r="F1018" t="str">
            <v>Par Amortecedor  Dianteiro 207 Todos Os Modelos Hatch</v>
          </cell>
        </row>
        <row r="1019">
          <cell r="A1019" t="str">
            <v>332002/03</v>
          </cell>
          <cell r="B1019" t="str">
            <v>AUTOMOTIVO</v>
          </cell>
          <cell r="C1019" t="str">
            <v>Bandeja</v>
          </cell>
          <cell r="D1019" t="str">
            <v>KIT</v>
          </cell>
          <cell r="E1019" t="str">
            <v>SPARE</v>
          </cell>
          <cell r="F1019" t="str">
            <v>Par Bandeja Superior Sem Pivô Chevy500 1984 À 1995</v>
          </cell>
        </row>
        <row r="1020">
          <cell r="A1020" t="str">
            <v>332014/15</v>
          </cell>
          <cell r="B1020" t="str">
            <v>AUTOMOTIVO</v>
          </cell>
          <cell r="C1020" t="str">
            <v>Bandeja</v>
          </cell>
          <cell r="D1020" t="str">
            <v>KIT</v>
          </cell>
          <cell r="E1020" t="str">
            <v>SPARE</v>
          </cell>
          <cell r="F1020" t="str">
            <v>Par Braço Suspensão Tigra 1997 A 2000</v>
          </cell>
        </row>
        <row r="1021">
          <cell r="A1021" t="str">
            <v>332042/43</v>
          </cell>
          <cell r="B1021" t="str">
            <v>AUTOMOTIVO</v>
          </cell>
          <cell r="C1021" t="str">
            <v>Bandeja</v>
          </cell>
          <cell r="D1021" t="str">
            <v>KIT</v>
          </cell>
          <cell r="E1021" t="str">
            <v>SPARE</v>
          </cell>
          <cell r="F1021" t="str">
            <v>Par Morceguinho Corsa 1994 A 1998</v>
          </cell>
        </row>
        <row r="1022">
          <cell r="A1022" t="str">
            <v>332056/57</v>
          </cell>
          <cell r="B1022" t="str">
            <v>AUTOMOTIVO</v>
          </cell>
          <cell r="C1022" t="str">
            <v>Bandeja</v>
          </cell>
          <cell r="D1022" t="str">
            <v>KIT</v>
          </cell>
          <cell r="E1022" t="str">
            <v>SPARE</v>
          </cell>
          <cell r="F1022" t="str">
            <v>Par Morceguinho Dianteira Montana 2011 A 2016</v>
          </cell>
        </row>
        <row r="1023">
          <cell r="A1023" t="str">
            <v>332081/82</v>
          </cell>
          <cell r="B1023" t="str">
            <v>AUTOMOTIVO</v>
          </cell>
          <cell r="C1023" t="str">
            <v>Bandeja</v>
          </cell>
          <cell r="D1023" t="str">
            <v>KIT</v>
          </cell>
          <cell r="E1023" t="str">
            <v>SPARE</v>
          </cell>
          <cell r="F1023" t="str">
            <v>Par Bandeja Inferior Com Pivô Astra 1999 A 2011</v>
          </cell>
        </row>
        <row r="1024">
          <cell r="A1024" t="str">
            <v>332090-1</v>
          </cell>
          <cell r="B1024" t="str">
            <v>AUTOMOTIVO</v>
          </cell>
          <cell r="C1024" t="str">
            <v>Bandeja</v>
          </cell>
          <cell r="D1024" t="str">
            <v>KIT</v>
          </cell>
          <cell r="E1024" t="str">
            <v>SPARE</v>
          </cell>
          <cell r="F1024" t="str">
            <v>Par Bandeja Inferior Onix 2013 Em Diante Sem Pivô</v>
          </cell>
        </row>
        <row r="1025">
          <cell r="A1025" t="str">
            <v>332092-5233</v>
          </cell>
          <cell r="B1025" t="str">
            <v>AUTOMOTIVO</v>
          </cell>
          <cell r="C1025" t="str">
            <v>Pivô e Bieleta</v>
          </cell>
          <cell r="D1025" t="str">
            <v>KIT</v>
          </cell>
          <cell r="E1025" t="str">
            <v>SPARE / HOLYMAN</v>
          </cell>
          <cell r="F1025" t="str">
            <v xml:space="preserve"> Com Pivô E Bieleta Direito Sonic 2012 Em Diante</v>
          </cell>
        </row>
        <row r="1026">
          <cell r="A1026" t="str">
            <v>332093-5233</v>
          </cell>
          <cell r="B1026" t="str">
            <v>AUTOMOTIVO</v>
          </cell>
          <cell r="C1026" t="str">
            <v>Pivô e Bieleta</v>
          </cell>
          <cell r="D1026" t="str">
            <v>KIT</v>
          </cell>
          <cell r="E1026" t="str">
            <v>SPARE / HOLYMAN</v>
          </cell>
          <cell r="F1026" t="str">
            <v xml:space="preserve"> Com Pivô E Bieleta Esquerdo Sonic 2012 Em Diante</v>
          </cell>
        </row>
        <row r="1027">
          <cell r="A1027" t="str">
            <v>332112/13</v>
          </cell>
          <cell r="B1027" t="str">
            <v>AUTOMOTIVO</v>
          </cell>
          <cell r="C1027" t="str">
            <v>Bandeja</v>
          </cell>
          <cell r="D1027" t="str">
            <v>KIT</v>
          </cell>
          <cell r="E1027" t="str">
            <v>SPARE</v>
          </cell>
          <cell r="F1027" t="str">
            <v>Par Bandeja Inferior Com Pivô Marajó 1973 A 1993</v>
          </cell>
        </row>
        <row r="1028">
          <cell r="A1028" t="str">
            <v>332116/17</v>
          </cell>
          <cell r="B1028" t="str">
            <v>AUTOMOTIVO</v>
          </cell>
          <cell r="C1028" t="str">
            <v>Bandeja</v>
          </cell>
          <cell r="D1028" t="str">
            <v>KIT</v>
          </cell>
          <cell r="E1028" t="str">
            <v>SPARE</v>
          </cell>
          <cell r="F1028" t="str">
            <v>Par Bandeja Dianteira Inferior Com Pivô Daewoo E 1994 À 1998</v>
          </cell>
        </row>
        <row r="1029">
          <cell r="A1029" t="str">
            <v>332136/37</v>
          </cell>
          <cell r="B1029" t="str">
            <v>AUTOMOTIVO</v>
          </cell>
          <cell r="C1029" t="str">
            <v>Bandeja</v>
          </cell>
          <cell r="D1029" t="str">
            <v>KIT</v>
          </cell>
          <cell r="E1029" t="str">
            <v>SPARE</v>
          </cell>
          <cell r="F1029" t="str">
            <v>Par Bandeja Inferior Caravan 1980 Até 1992 Sem Pivô</v>
          </cell>
        </row>
        <row r="1030">
          <cell r="A1030" t="str">
            <v>332138/39</v>
          </cell>
          <cell r="B1030" t="str">
            <v>AUTOMOTIVO</v>
          </cell>
          <cell r="C1030" t="str">
            <v>Bandeja</v>
          </cell>
          <cell r="D1030" t="str">
            <v>KIT</v>
          </cell>
          <cell r="E1030" t="str">
            <v>SPARE</v>
          </cell>
          <cell r="F1030" t="str">
            <v>Par Bandeja Inferior Opala 1969 Á 1979  Sem Pivô</v>
          </cell>
        </row>
        <row r="1031">
          <cell r="A1031" t="str">
            <v>332147/48</v>
          </cell>
          <cell r="B1031" t="str">
            <v>AUTOMOTIVO</v>
          </cell>
          <cell r="C1031" t="str">
            <v>Bandeja</v>
          </cell>
          <cell r="D1031" t="str">
            <v>KIT</v>
          </cell>
          <cell r="E1031" t="str">
            <v>SPARE</v>
          </cell>
          <cell r="F1031" t="str">
            <v>Par Bandeja Superior Caravan 1975 A 1992</v>
          </cell>
        </row>
        <row r="1032">
          <cell r="A1032" t="str">
            <v>4004r</v>
          </cell>
          <cell r="B1032" t="str">
            <v>AUTOMOTIVO</v>
          </cell>
          <cell r="C1032" t="str">
            <v>Capa Pedal</v>
          </cell>
          <cell r="D1032" t="str">
            <v>SIMPLES</v>
          </cell>
          <cell r="E1032" t="str">
            <v>HOLYMAN</v>
          </cell>
          <cell r="F1032" t="str">
            <v>Capa Pedal Acelerador Freio Embreagem Rosa Kadett 89 A 98</v>
          </cell>
        </row>
        <row r="1033">
          <cell r="A1033" t="str">
            <v>4017C</v>
          </cell>
          <cell r="B1033" t="str">
            <v>AUTOMOTIVO</v>
          </cell>
          <cell r="C1033" t="str">
            <v>Capa Pedal</v>
          </cell>
          <cell r="D1033" t="str">
            <v>SIMPLES</v>
          </cell>
          <cell r="E1033" t="str">
            <v>HOLYMAN</v>
          </cell>
          <cell r="F1033" t="str">
            <v>Kit Capa Pedal Acelerador Freio Embregaem Brasília</v>
          </cell>
        </row>
        <row r="1034">
          <cell r="A1034" t="str">
            <v>442070/71</v>
          </cell>
          <cell r="B1034" t="str">
            <v>AUTOMOTIVO</v>
          </cell>
          <cell r="C1034" t="str">
            <v>Bandeja</v>
          </cell>
          <cell r="D1034" t="str">
            <v>KIT</v>
          </cell>
          <cell r="E1034" t="str">
            <v>SPARE</v>
          </cell>
          <cell r="F1034" t="str">
            <v>Par Bandeja Inferior Sem Pivô Ranger 2012 A 2019</v>
          </cell>
        </row>
        <row r="1035">
          <cell r="A1035" t="str">
            <v>442081/82</v>
          </cell>
          <cell r="B1035" t="str">
            <v>AUTOMOTIVO</v>
          </cell>
          <cell r="C1035" t="str">
            <v>Bandeja</v>
          </cell>
          <cell r="D1035" t="str">
            <v>KIT</v>
          </cell>
          <cell r="E1035" t="str">
            <v>SPARE</v>
          </cell>
          <cell r="F1035" t="str">
            <v>Par Bandeja Superior Sem Pivô Del Rey 1984 À 1991</v>
          </cell>
        </row>
        <row r="1036">
          <cell r="A1036" t="str">
            <v>442090/01</v>
          </cell>
          <cell r="B1036" t="str">
            <v>AUTOMOTIVO</v>
          </cell>
          <cell r="C1036" t="str">
            <v>Bandeja</v>
          </cell>
          <cell r="D1036" t="str">
            <v>KIT</v>
          </cell>
          <cell r="E1036" t="str">
            <v>SPARE</v>
          </cell>
          <cell r="F1036" t="str">
            <v>Par Bandeja Sem Pivô Crossfox 2014 Em Diante</v>
          </cell>
        </row>
        <row r="1037">
          <cell r="A1037" t="str">
            <v>442090/91-PAR5307</v>
          </cell>
          <cell r="B1037" t="str">
            <v>AUTOMOTIVO</v>
          </cell>
          <cell r="C1037" t="str">
            <v>Bandeja e Bieleta</v>
          </cell>
          <cell r="D1037" t="str">
            <v>KIT</v>
          </cell>
          <cell r="E1037" t="str">
            <v>SPARE / HOLYMAN</v>
          </cell>
          <cell r="F1037" t="str">
            <v>Par Bandeja Sem Pivô Com Bieleta Fox 2014</v>
          </cell>
        </row>
        <row r="1038">
          <cell r="A1038" t="str">
            <v>442090-1</v>
          </cell>
          <cell r="B1038" t="str">
            <v>AUTOMOTIVO</v>
          </cell>
          <cell r="C1038" t="str">
            <v>BANDEJA</v>
          </cell>
          <cell r="D1038" t="str">
            <v>KIT</v>
          </cell>
          <cell r="E1038" t="str">
            <v>SPARE</v>
          </cell>
          <cell r="F1038" t="str">
            <v>Par Bandeja Sem Pivô Gol G5 2008 Em Diante</v>
          </cell>
        </row>
        <row r="1039">
          <cell r="A1039" t="str">
            <v>442090-5307</v>
          </cell>
          <cell r="B1039" t="str">
            <v>AUTOMOTIVO</v>
          </cell>
          <cell r="C1039" t="str">
            <v>Bandeja e Bieleta</v>
          </cell>
          <cell r="D1039" t="str">
            <v>KIT</v>
          </cell>
          <cell r="E1039" t="str">
            <v>SPARE / HOLYMAN</v>
          </cell>
          <cell r="F1039" t="str">
            <v>BandejA Sem Pivô Com Bieleta Ld Saveiro G6 2012 A 2016</v>
          </cell>
        </row>
        <row r="1040">
          <cell r="A1040" t="str">
            <v>442091-5307</v>
          </cell>
          <cell r="B1040" t="str">
            <v>AUTOMOTIVO</v>
          </cell>
          <cell r="C1040" t="str">
            <v>Bandeja e Bieleta</v>
          </cell>
          <cell r="D1040" t="str">
            <v>KIT</v>
          </cell>
          <cell r="E1040" t="str">
            <v>SPARE / HOLYMAN</v>
          </cell>
          <cell r="F1040" t="str">
            <v>BandejA Sem Pivô Com Bieleta Le Crossfox 2014 A 2016</v>
          </cell>
        </row>
        <row r="1041">
          <cell r="A1041" t="str">
            <v>442092-3</v>
          </cell>
          <cell r="B1041" t="str">
            <v>AUTOMOTIVO</v>
          </cell>
          <cell r="C1041" t="str">
            <v>Bandeja</v>
          </cell>
          <cell r="D1041" t="str">
            <v>KIT</v>
          </cell>
          <cell r="E1041" t="str">
            <v>SPARE</v>
          </cell>
          <cell r="F1041" t="str">
            <v>Par Bandeja Gol G5 2008 Em Diante Com Direção Hidraulica</v>
          </cell>
        </row>
        <row r="1042">
          <cell r="A1042" t="str">
            <v>442092-5307</v>
          </cell>
          <cell r="B1042" t="str">
            <v>AUTOMOTIVO</v>
          </cell>
          <cell r="C1042" t="str">
            <v>Bandeja e Bieleta</v>
          </cell>
          <cell r="D1042" t="str">
            <v>KIT</v>
          </cell>
          <cell r="E1042" t="str">
            <v>SPARE / HOLYMAN</v>
          </cell>
          <cell r="F1042" t="str">
            <v>BandejA Com Pivô E Bieleta Direito Crossfox 2014 A 2016</v>
          </cell>
        </row>
        <row r="1043">
          <cell r="A1043" t="str">
            <v>442093-5307</v>
          </cell>
          <cell r="B1043" t="str">
            <v>AUTOMOTIVO</v>
          </cell>
          <cell r="C1043" t="str">
            <v>Bandeja e Bieleta</v>
          </cell>
          <cell r="D1043" t="str">
            <v>KIT</v>
          </cell>
          <cell r="E1043" t="str">
            <v>SPARE / HOLYMAN</v>
          </cell>
          <cell r="F1043" t="str">
            <v>Bandeja Com Pivô E Bieleta Esquerdo Voyage G5 2008 A 2016</v>
          </cell>
        </row>
        <row r="1044">
          <cell r="A1044" t="str">
            <v>442096/97</v>
          </cell>
          <cell r="B1044" t="str">
            <v>AUTOMOTIVO</v>
          </cell>
          <cell r="C1044" t="str">
            <v>Bandeja</v>
          </cell>
          <cell r="D1044" t="str">
            <v>KIT</v>
          </cell>
          <cell r="E1044" t="str">
            <v>SPARE</v>
          </cell>
          <cell r="F1044" t="str">
            <v>Par Bandeja Dianteira Com Pivô Fox 2003 A 2014</v>
          </cell>
        </row>
        <row r="1045">
          <cell r="A1045" t="str">
            <v>442104P</v>
          </cell>
          <cell r="B1045" t="str">
            <v>AUTOMOTIVO</v>
          </cell>
          <cell r="C1045" t="str">
            <v>BANDEJA</v>
          </cell>
          <cell r="D1045" t="str">
            <v>SIMPLES</v>
          </cell>
          <cell r="E1045" t="str">
            <v>SPARE</v>
          </cell>
          <cell r="F1045" t="str">
            <v>Bandeja Inferior Direito Com Pivô Tiguan 2010 A 2017</v>
          </cell>
        </row>
        <row r="1046">
          <cell r="A1046" t="str">
            <v>442105P</v>
          </cell>
          <cell r="B1046" t="str">
            <v>AUTOMOTIVO</v>
          </cell>
          <cell r="C1046" t="str">
            <v>Bandeja</v>
          </cell>
          <cell r="D1046" t="str">
            <v>SIMPLES</v>
          </cell>
          <cell r="E1046" t="str">
            <v>SPARE</v>
          </cell>
          <cell r="F1046" t="str">
            <v>Bandeja Inferior Esquerda Com Pivô Passat Cc 2009 2010</v>
          </cell>
        </row>
        <row r="1047">
          <cell r="A1047" t="str">
            <v>442118/19</v>
          </cell>
          <cell r="B1047" t="str">
            <v>AUTOMOTIVO</v>
          </cell>
          <cell r="C1047" t="str">
            <v>Bandeja</v>
          </cell>
          <cell r="D1047" t="str">
            <v>KIT</v>
          </cell>
          <cell r="E1047" t="str">
            <v>SPARE</v>
          </cell>
          <cell r="F1047" t="str">
            <v>Par Bandeja Inferior Com Pivô Amarok 2010 A 2020 2.0</v>
          </cell>
        </row>
        <row r="1048">
          <cell r="A1048" t="str">
            <v>442122P</v>
          </cell>
          <cell r="B1048" t="str">
            <v>AUTOMOTIVO</v>
          </cell>
          <cell r="C1048" t="str">
            <v>Bandeja</v>
          </cell>
          <cell r="D1048" t="str">
            <v>SIMPLES</v>
          </cell>
          <cell r="E1048" t="str">
            <v>SPARE</v>
          </cell>
          <cell r="F1048" t="str">
            <v>Bandeja Inferior Direita Jetta 2.0 2.5 2005 A 2010 Com Pivô</v>
          </cell>
        </row>
        <row r="1049">
          <cell r="A1049" t="str">
            <v>442123P</v>
          </cell>
          <cell r="B1049" t="str">
            <v>AUTOMOTIVO</v>
          </cell>
          <cell r="C1049" t="str">
            <v>Bandeja</v>
          </cell>
          <cell r="D1049" t="str">
            <v>SIMPLES</v>
          </cell>
          <cell r="E1049" t="str">
            <v>SPARE</v>
          </cell>
          <cell r="F1049" t="str">
            <v>Bandeja Inferior Esquerda Jetta 2.0 2.5 2005 A 2010 Com Pivô</v>
          </cell>
        </row>
        <row r="1050">
          <cell r="A1050" t="str">
            <v>44911/12</v>
          </cell>
          <cell r="B1050" t="str">
            <v>AUTOMOTIVO</v>
          </cell>
          <cell r="C1050" t="str">
            <v>Cabo Câmbio</v>
          </cell>
          <cell r="D1050" t="str">
            <v>SIMPLES</v>
          </cell>
          <cell r="E1050" t="str">
            <v>Importação</v>
          </cell>
          <cell r="F1050" t="str">
            <v>Cabo De Marcha Gm Astra Zafira 2008</v>
          </cell>
        </row>
        <row r="1051">
          <cell r="A1051" t="str">
            <v>4kit-12152</v>
          </cell>
          <cell r="B1051" t="str">
            <v>AUTOMOTIVO</v>
          </cell>
          <cell r="C1051" t="str">
            <v>Pino de Porta</v>
          </cell>
          <cell r="D1051" t="str">
            <v>KIT</v>
          </cell>
          <cell r="E1051" t="str">
            <v>MultiKit</v>
          </cell>
          <cell r="F1051" t="str">
            <v>4kits Pino Bucha Dobradiçaporta Corcel,delrey,pampa,belina</v>
          </cell>
        </row>
        <row r="1052">
          <cell r="A1052" t="str">
            <v>4KIT-14098</v>
          </cell>
          <cell r="B1052" t="str">
            <v>AUTOMOTIVO</v>
          </cell>
          <cell r="C1052" t="str">
            <v>Pino de Porta</v>
          </cell>
          <cell r="D1052" t="str">
            <v>KIT</v>
          </cell>
          <cell r="E1052" t="str">
            <v>MultiKit</v>
          </cell>
          <cell r="F1052" t="str">
            <v>4 Kits Pino Da Dobradiça Porta Palio G3 Fire 2015 2016</v>
          </cell>
        </row>
        <row r="1053">
          <cell r="A1053" t="str">
            <v>4kits14097/99</v>
          </cell>
          <cell r="B1053" t="str">
            <v>AUTOMOTIVO</v>
          </cell>
          <cell r="C1053" t="str">
            <v>Pino de Porta</v>
          </cell>
          <cell r="D1053" t="str">
            <v>KIT</v>
          </cell>
          <cell r="E1053" t="str">
            <v>MultiKit</v>
          </cell>
          <cell r="F1053" t="str">
            <v>4 Kits Pino Dobradiça Porta  Ld Le Elba 1987 1988</v>
          </cell>
        </row>
        <row r="1054">
          <cell r="A1054" t="str">
            <v>4Kits-14097/99</v>
          </cell>
          <cell r="B1054" t="str">
            <v>AUTOMOTIVO</v>
          </cell>
          <cell r="C1054" t="str">
            <v>Pino de Porta</v>
          </cell>
          <cell r="D1054" t="str">
            <v>KIT</v>
          </cell>
          <cell r="E1054" t="str">
            <v>MultiKit</v>
          </cell>
          <cell r="F1054" t="str">
            <v>4 Kits Pino Dobradiça Porta  Ld Le Prêmio 1989 1990</v>
          </cell>
        </row>
        <row r="1055">
          <cell r="A1055" t="str">
            <v>5108/09</v>
          </cell>
          <cell r="B1055" t="str">
            <v>AUTOMOTIVO</v>
          </cell>
          <cell r="C1055" t="str">
            <v>Bieleta</v>
          </cell>
          <cell r="D1055" t="str">
            <v>KIT</v>
          </cell>
          <cell r="E1055" t="str">
            <v>HOLYMAN</v>
          </cell>
          <cell r="F1055" t="str">
            <v>Par Bieleta Dianteira Palio Weekend</v>
          </cell>
        </row>
        <row r="1056">
          <cell r="A1056" t="str">
            <v>5227/8</v>
          </cell>
          <cell r="B1056" t="str">
            <v>AUTOMOTIVO</v>
          </cell>
          <cell r="C1056" t="str">
            <v>Bieleta</v>
          </cell>
          <cell r="D1056" t="str">
            <v>KIT</v>
          </cell>
          <cell r="E1056" t="str">
            <v>HOLYMAN</v>
          </cell>
          <cell r="F1056" t="str">
            <v>Par Bieleta Dianteira Le Ld Captiva 2008 A 2015</v>
          </cell>
        </row>
        <row r="1057">
          <cell r="A1057" t="str">
            <v>5231/2</v>
          </cell>
          <cell r="B1057" t="str">
            <v>AUTOMOTIVO</v>
          </cell>
          <cell r="C1057" t="str">
            <v>Bieleta</v>
          </cell>
          <cell r="D1057" t="str">
            <v>KIT</v>
          </cell>
          <cell r="E1057" t="str">
            <v>HOLYMAN</v>
          </cell>
          <cell r="F1057" t="str">
            <v>Bieleta Dianteira Ld S10 Trailblazer 2012 Em Diante</v>
          </cell>
        </row>
        <row r="1058">
          <cell r="A1058" t="str">
            <v>5402/03</v>
          </cell>
          <cell r="B1058" t="str">
            <v>AUTOMOTIVO</v>
          </cell>
          <cell r="C1058" t="str">
            <v>Bieleta</v>
          </cell>
          <cell r="D1058" t="str">
            <v>KIT</v>
          </cell>
          <cell r="E1058" t="str">
            <v>HOLYMAN</v>
          </cell>
          <cell r="F1058" t="str">
            <v>Par Bieleta Dianteira Honda Civic 2001 A 2006 Ambos Os Lados</v>
          </cell>
        </row>
        <row r="1059">
          <cell r="A1059" t="str">
            <v>5410-5411</v>
          </cell>
          <cell r="B1059" t="str">
            <v>AUTOMOTIVO</v>
          </cell>
          <cell r="C1059" t="str">
            <v>Bieleta</v>
          </cell>
          <cell r="D1059" t="str">
            <v>KIT</v>
          </cell>
          <cell r="E1059" t="str">
            <v>HOLYMAN</v>
          </cell>
          <cell r="F1059" t="str">
            <v>Bieleta Dianteira New Civic 2011 Ld Le</v>
          </cell>
        </row>
        <row r="1060">
          <cell r="A1060" t="str">
            <v>552001/02</v>
          </cell>
          <cell r="B1060" t="str">
            <v>AUTOMOTIVO</v>
          </cell>
          <cell r="C1060" t="str">
            <v>Bandeja</v>
          </cell>
          <cell r="D1060" t="str">
            <v>KIT</v>
          </cell>
          <cell r="E1060" t="str">
            <v>SPARE</v>
          </cell>
          <cell r="F1060" t="str">
            <v>Par Bandeja Peugeot 207 Exceto Sw Escapade 2008 Em Diante</v>
          </cell>
        </row>
        <row r="1061">
          <cell r="A1061" t="str">
            <v>552001-2</v>
          </cell>
          <cell r="B1061" t="str">
            <v>AUTOMOTIVO</v>
          </cell>
          <cell r="C1061" t="str">
            <v>BANDEJA</v>
          </cell>
          <cell r="D1061" t="str">
            <v>KIT</v>
          </cell>
          <cell r="E1061" t="str">
            <v>SPARE</v>
          </cell>
          <cell r="F1061" t="str">
            <v>Par Bandeja Peugeot 207 Exceto Sw Escapade 2008 Em Diante</v>
          </cell>
        </row>
        <row r="1062">
          <cell r="A1062" t="str">
            <v>552001-5701</v>
          </cell>
          <cell r="B1062" t="str">
            <v>AUTOMOTIVO</v>
          </cell>
          <cell r="C1062" t="str">
            <v>Bandeja e Bieleta</v>
          </cell>
          <cell r="D1062" t="str">
            <v>KIT</v>
          </cell>
          <cell r="E1062" t="str">
            <v>SPARE / HOLYMAN</v>
          </cell>
          <cell r="F1062" t="str">
            <v>Bandeja E Bieleta Lado Esquerd Peugeot 206 Todos 1999 A 2010</v>
          </cell>
        </row>
        <row r="1063">
          <cell r="A1063" t="str">
            <v>552002-5701</v>
          </cell>
          <cell r="B1063" t="str">
            <v>AUTOMOTIVO</v>
          </cell>
          <cell r="C1063" t="str">
            <v>Bandeja e Bieleta</v>
          </cell>
          <cell r="D1063" t="str">
            <v>KIT</v>
          </cell>
          <cell r="E1063" t="str">
            <v>SPARE / HOLYMAN</v>
          </cell>
          <cell r="F1063" t="str">
            <v>Bandeja E Bieleta Lado Direito Peugeot 206 Todos 1999 A 2010</v>
          </cell>
        </row>
        <row r="1064">
          <cell r="A1064" t="str">
            <v>552006/07</v>
          </cell>
          <cell r="B1064" t="str">
            <v>AUTOMOTIVO</v>
          </cell>
          <cell r="C1064" t="str">
            <v>Bandeja</v>
          </cell>
          <cell r="D1064" t="str">
            <v>KIT</v>
          </cell>
          <cell r="E1064" t="str">
            <v>SPARE</v>
          </cell>
          <cell r="F1064" t="str">
            <v xml:space="preserve">Par Bandeja Com Pivô AX 96/ - inferior </v>
          </cell>
        </row>
        <row r="1065">
          <cell r="A1065" t="str">
            <v>552012/13</v>
          </cell>
          <cell r="B1065" t="str">
            <v>AUTOMOTIVO</v>
          </cell>
          <cell r="C1065" t="str">
            <v>Bandeja</v>
          </cell>
          <cell r="D1065" t="str">
            <v>KIT</v>
          </cell>
          <cell r="E1065" t="str">
            <v>SPARE</v>
          </cell>
          <cell r="F1065" t="str">
            <v>Par Bandeja Inferior Com Pivô C3 2002 À 2013</v>
          </cell>
        </row>
        <row r="1066">
          <cell r="A1066" t="str">
            <v>552014/15</v>
          </cell>
          <cell r="B1066" t="str">
            <v>AUTOMOTIVO</v>
          </cell>
          <cell r="C1066" t="str">
            <v>Bandeja</v>
          </cell>
          <cell r="D1066" t="str">
            <v>KIT</v>
          </cell>
          <cell r="E1066" t="str">
            <v>SPARE</v>
          </cell>
          <cell r="F1066" t="str">
            <v>Par Bandeja C4 Pallas 2007 Á 2013</v>
          </cell>
        </row>
        <row r="1067">
          <cell r="A1067" t="str">
            <v>552017/18</v>
          </cell>
          <cell r="B1067" t="str">
            <v>AUTOMOTIVO</v>
          </cell>
          <cell r="C1067" t="str">
            <v>Bandeja</v>
          </cell>
          <cell r="D1067" t="str">
            <v>KIT</v>
          </cell>
          <cell r="E1067" t="str">
            <v>SPARE</v>
          </cell>
          <cell r="F1067" t="str">
            <v>Par Bandeja Inferior Sem Pivô Partner 1991 A 1998</v>
          </cell>
        </row>
        <row r="1068">
          <cell r="A1068" t="str">
            <v>552030/1</v>
          </cell>
          <cell r="B1068" t="str">
            <v>AUTOMOTIVO</v>
          </cell>
          <cell r="C1068" t="str">
            <v>Bandeja</v>
          </cell>
          <cell r="D1068" t="str">
            <v>KIT</v>
          </cell>
          <cell r="E1068" t="str">
            <v>SPARE</v>
          </cell>
          <cell r="F1068" t="str">
            <v>Par Bandeja Inferior Peugeot Partner</v>
          </cell>
        </row>
        <row r="1069">
          <cell r="A1069" t="str">
            <v>552032/33</v>
          </cell>
          <cell r="B1069" t="str">
            <v>AUTOMOTIVO</v>
          </cell>
          <cell r="C1069" t="str">
            <v>Bandeja</v>
          </cell>
          <cell r="D1069" t="str">
            <v>KIT</v>
          </cell>
          <cell r="E1069" t="str">
            <v>SPARE</v>
          </cell>
          <cell r="F1069" t="str">
            <v>Par Bandeja Inferior Com Pivô Citroen C3 2013 A 2022</v>
          </cell>
        </row>
        <row r="1070">
          <cell r="A1070" t="str">
            <v>552032/PVI0903</v>
          </cell>
          <cell r="B1070" t="str">
            <v>AUTOMOTIVO</v>
          </cell>
          <cell r="C1070" t="str">
            <v>Bandeja</v>
          </cell>
          <cell r="D1070" t="str">
            <v>SIMPLES</v>
          </cell>
          <cell r="E1070" t="str">
            <v>SPARE</v>
          </cell>
          <cell r="F1070" t="str">
            <v>Bandeja Inferior Direita Com Pivô Citroen C3 2013 A 2022</v>
          </cell>
        </row>
        <row r="1071">
          <cell r="A1071" t="str">
            <v>552033/PVI0903</v>
          </cell>
          <cell r="B1071" t="str">
            <v>AUTOMOTIVO</v>
          </cell>
          <cell r="C1071" t="str">
            <v>Bandeja</v>
          </cell>
          <cell r="D1071" t="str">
            <v>SIMPLES</v>
          </cell>
          <cell r="E1071" t="str">
            <v>SPARE</v>
          </cell>
          <cell r="F1071" t="str">
            <v>Bandeja Inferior Esquerda Com Pivô Peugeot 208 2013 A 2022</v>
          </cell>
        </row>
        <row r="1072">
          <cell r="A1072" t="str">
            <v>55323/111288</v>
          </cell>
          <cell r="B1072" t="str">
            <v>AUTOMOTIVO</v>
          </cell>
          <cell r="C1072" t="str">
            <v>Cabo de Capô</v>
          </cell>
          <cell r="D1072" t="str">
            <v>KIT</v>
          </cell>
          <cell r="E1072" t="str">
            <v>MundiFlex</v>
          </cell>
          <cell r="F1072" t="str">
            <v>Par Cabo De Capô Sem Alavanca Amarok 2010 Em Diante</v>
          </cell>
        </row>
        <row r="1073">
          <cell r="A1073" t="str">
            <v>5913/5914</v>
          </cell>
          <cell r="B1073" t="str">
            <v>AUTOMOTIVO</v>
          </cell>
          <cell r="C1073" t="str">
            <v>Bieleta</v>
          </cell>
          <cell r="D1073" t="str">
            <v>KIT</v>
          </cell>
          <cell r="E1073" t="str">
            <v>HOLYMAN</v>
          </cell>
          <cell r="F1073" t="str">
            <v>Par Bieleta Dianteira Ld Le L200 Triton 4x4 2007 A 2013</v>
          </cell>
        </row>
        <row r="1074">
          <cell r="A1074" t="str">
            <v>5W30</v>
          </cell>
          <cell r="B1074" t="str">
            <v>AUTOMOTIVO</v>
          </cell>
          <cell r="C1074" t="str">
            <v>Óleo</v>
          </cell>
          <cell r="D1074" t="str">
            <v>SIMPLES</v>
          </cell>
          <cell r="F1074" t="str">
            <v xml:space="preserve">OLEO 5W30 SB LUBRIFICANTES  </v>
          </cell>
        </row>
        <row r="1075">
          <cell r="A1075" t="str">
            <v>5W30-MAX</v>
          </cell>
          <cell r="B1075" t="str">
            <v>AUTOMOTIVO</v>
          </cell>
          <cell r="C1075" t="str">
            <v>ÓLEO MOTOR AUTOMOTIVO</v>
          </cell>
          <cell r="D1075" t="str">
            <v>SIMPLES</v>
          </cell>
          <cell r="E1075" t="str">
            <v>Maxi Lub</v>
          </cell>
          <cell r="F1075" t="str">
            <v xml:space="preserve">Óleo 5W30 Maxi Lubrificantes  </v>
          </cell>
        </row>
        <row r="1076">
          <cell r="A1076" t="str">
            <v>5W30-SB</v>
          </cell>
          <cell r="B1076" t="str">
            <v>AUTOMOTIVO</v>
          </cell>
          <cell r="C1076" t="str">
            <v>Óleo</v>
          </cell>
          <cell r="D1076" t="str">
            <v>SIMPLES</v>
          </cell>
          <cell r="F1076" t="str">
            <v xml:space="preserve">OLEO 5W30 SB LUBRIFICANTES  </v>
          </cell>
        </row>
        <row r="1077">
          <cell r="A1077" t="str">
            <v>6310/11</v>
          </cell>
          <cell r="B1077" t="str">
            <v>AUTOMOTIVO</v>
          </cell>
          <cell r="C1077" t="str">
            <v>Bieleta</v>
          </cell>
          <cell r="D1077" t="str">
            <v>KIT</v>
          </cell>
          <cell r="E1077" t="str">
            <v>HOLYMAN</v>
          </cell>
          <cell r="F1077" t="str">
            <v>Par Bieleta Dianteira Kia Soul 2009 A 2015</v>
          </cell>
        </row>
        <row r="1078">
          <cell r="A1078" t="str">
            <v>6509/6510</v>
          </cell>
          <cell r="B1078" t="str">
            <v>AUTOMOTIVO</v>
          </cell>
          <cell r="C1078" t="str">
            <v>Bieleta</v>
          </cell>
          <cell r="D1078" t="str">
            <v>KIT</v>
          </cell>
          <cell r="E1078" t="str">
            <v>HOLYMAN</v>
          </cell>
          <cell r="F1078" t="str">
            <v>Par Bieleta Traseira Mercedes C180 2008 A 2014</v>
          </cell>
        </row>
        <row r="1079">
          <cell r="A1079" t="str">
            <v>662024/25</v>
          </cell>
          <cell r="B1079" t="str">
            <v>AUTOMOTIVO</v>
          </cell>
          <cell r="C1079" t="str">
            <v>Bandeja</v>
          </cell>
          <cell r="D1079" t="str">
            <v>KIT</v>
          </cell>
          <cell r="E1079" t="str">
            <v>SPARE</v>
          </cell>
          <cell r="F1079" t="str">
            <v>Par Bandeja  Clio Inferior 2005 Á 2016 Sem Pivô</v>
          </cell>
        </row>
        <row r="1080">
          <cell r="A1080" t="str">
            <v>662030/31</v>
          </cell>
          <cell r="B1080" t="str">
            <v>AUTOMOTIVO</v>
          </cell>
          <cell r="C1080" t="str">
            <v>Bandeja</v>
          </cell>
          <cell r="D1080" t="str">
            <v>KIT</v>
          </cell>
          <cell r="E1080" t="str">
            <v>SPARE</v>
          </cell>
          <cell r="F1080" t="str">
            <v>Par Bandeja Com Pivô Megane Grand Tour 2006 A 2012</v>
          </cell>
        </row>
        <row r="1081">
          <cell r="A1081" t="str">
            <v>662040/41</v>
          </cell>
          <cell r="B1081" t="str">
            <v>AUTOMOTIVO</v>
          </cell>
          <cell r="C1081" t="str">
            <v>Bandeja</v>
          </cell>
          <cell r="D1081" t="str">
            <v>KIT</v>
          </cell>
          <cell r="E1081" t="str">
            <v>SPARE</v>
          </cell>
          <cell r="F1081" t="str">
            <v>Par Bandeja Fluence 2011  Á 2018</v>
          </cell>
        </row>
        <row r="1082">
          <cell r="A1082" t="str">
            <v>662046/47</v>
          </cell>
          <cell r="B1082" t="str">
            <v>AUTOMOTIVO</v>
          </cell>
          <cell r="C1082" t="str">
            <v>Bandeja</v>
          </cell>
          <cell r="D1082" t="str">
            <v>KIT</v>
          </cell>
          <cell r="E1082" t="str">
            <v>SPARE</v>
          </cell>
          <cell r="F1082" t="str">
            <v>Par Bandeja Dianteira Com Pivô Logan 2014 A 2019</v>
          </cell>
        </row>
        <row r="1083">
          <cell r="A1083" t="str">
            <v>662048/49</v>
          </cell>
          <cell r="B1083" t="str">
            <v>AUTOMOTIVO</v>
          </cell>
          <cell r="C1083" t="str">
            <v>Bandeja</v>
          </cell>
          <cell r="D1083" t="str">
            <v>KIT</v>
          </cell>
          <cell r="E1083" t="str">
            <v>SPARE</v>
          </cell>
          <cell r="F1083" t="str">
            <v>Par Bandeja Dianteira Sem Pivô Sandero 2014 A 2019</v>
          </cell>
        </row>
        <row r="1084">
          <cell r="A1084" t="str">
            <v>662050/51</v>
          </cell>
          <cell r="B1084" t="str">
            <v>AUTOMOTIVO</v>
          </cell>
          <cell r="C1084" t="str">
            <v>Bandeja</v>
          </cell>
          <cell r="D1084" t="str">
            <v>KIT</v>
          </cell>
          <cell r="E1084" t="str">
            <v>SPARE</v>
          </cell>
          <cell r="F1084" t="str">
            <v>Par Bandeja Dianteira Sem Pivô Sandero 2008 A 2014</v>
          </cell>
        </row>
        <row r="1085">
          <cell r="A1085" t="str">
            <v>662060/61</v>
          </cell>
          <cell r="B1085" t="str">
            <v>AUTOMOTIVO</v>
          </cell>
          <cell r="C1085" t="str">
            <v>Bandeja</v>
          </cell>
          <cell r="D1085" t="str">
            <v>KIT</v>
          </cell>
          <cell r="E1085" t="str">
            <v>SPARE</v>
          </cell>
          <cell r="F1085" t="str">
            <v>Par Bandeja Inferior Oroch Sem Pivô 2015 Á 2020</v>
          </cell>
        </row>
        <row r="1086">
          <cell r="A1086" t="str">
            <v>662070/71</v>
          </cell>
          <cell r="B1086" t="str">
            <v>AUTOMOTIVO</v>
          </cell>
          <cell r="C1086" t="str">
            <v>Bandeja</v>
          </cell>
          <cell r="D1086" t="str">
            <v>KIT</v>
          </cell>
          <cell r="E1086" t="str">
            <v>SPARE</v>
          </cell>
          <cell r="F1086" t="str">
            <v>Par Bandeja Dianteira Com Pivô Oroch 2012 A 2016</v>
          </cell>
        </row>
        <row r="1087">
          <cell r="A1087" t="str">
            <v>66300/1</v>
          </cell>
          <cell r="B1087" t="str">
            <v>AUTOMOTIVO</v>
          </cell>
          <cell r="C1087" t="str">
            <v>Cabo de Freio</v>
          </cell>
          <cell r="D1087" t="str">
            <v>KIT</v>
          </cell>
          <cell r="E1087" t="str">
            <v>MundiFlex</v>
          </cell>
          <cell r="F1087" t="str">
            <v>Par Cabo De Freio Traseiro Siena Attractive Elx 2008 Diante</v>
          </cell>
        </row>
        <row r="1088">
          <cell r="A1088" t="str">
            <v>66610/11</v>
          </cell>
          <cell r="B1088" t="str">
            <v>AUTOMOTIVO</v>
          </cell>
          <cell r="C1088" t="str">
            <v>Cabo Câmbio</v>
          </cell>
          <cell r="D1088" t="str">
            <v>KIT</v>
          </cell>
          <cell r="E1088" t="str">
            <v>Importação</v>
          </cell>
          <cell r="F1088" t="str">
            <v>Cabo Duplo De Câmbio Palio 1.0 1996 A 2000</v>
          </cell>
        </row>
        <row r="1089">
          <cell r="A1089" t="str">
            <v>66642/43</v>
          </cell>
          <cell r="B1089" t="str">
            <v>AUTOMOTIVO</v>
          </cell>
          <cell r="C1089" t="str">
            <v>Cabo Câmbio</v>
          </cell>
          <cell r="D1089" t="str">
            <v>KIT</v>
          </cell>
          <cell r="E1089" t="str">
            <v>Importação</v>
          </cell>
          <cell r="F1089" t="str">
            <v>Cabo Engate Seleção Palio Weekend Adventure 2011 Em Diante</v>
          </cell>
        </row>
        <row r="1090">
          <cell r="A1090" t="str">
            <v>70526/70541</v>
          </cell>
          <cell r="B1090" t="str">
            <v>AUTOMOTIVO</v>
          </cell>
          <cell r="C1090" t="str">
            <v>Reparo alavanta Câmbio</v>
          </cell>
          <cell r="D1090" t="str">
            <v>KIT</v>
          </cell>
          <cell r="E1090" t="str">
            <v>BRK</v>
          </cell>
          <cell r="F1090" t="str">
            <v>Kit Reparo Alavanca Cambio Completo Del Rey 1990 À 1997</v>
          </cell>
        </row>
        <row r="1091">
          <cell r="A1091" t="str">
            <v>772001/02</v>
          </cell>
          <cell r="B1091" t="str">
            <v>AUTOMOTIVO</v>
          </cell>
          <cell r="C1091" t="str">
            <v>Bandeja</v>
          </cell>
          <cell r="D1091" t="str">
            <v>SIMPLES</v>
          </cell>
          <cell r="E1091" t="str">
            <v>SPARE</v>
          </cell>
          <cell r="F1091" t="str">
            <v>Par Bandeja Fit Inferior 2003 Á 2008 Sem Pivô</v>
          </cell>
        </row>
        <row r="1092">
          <cell r="A1092" t="str">
            <v>772003/04</v>
          </cell>
          <cell r="B1092" t="str">
            <v>AUTOMOTIVO</v>
          </cell>
          <cell r="C1092" t="str">
            <v>Bandeja</v>
          </cell>
          <cell r="D1092" t="str">
            <v>KIT</v>
          </cell>
          <cell r="E1092" t="str">
            <v>SPARE</v>
          </cell>
          <cell r="F1092" t="str">
            <v>Par Bandeja Inferior Com Pivô Fit 2003 A 2007 1° Geração</v>
          </cell>
        </row>
        <row r="1093">
          <cell r="A1093" t="str">
            <v>772005/06</v>
          </cell>
          <cell r="B1093" t="str">
            <v>AUTOMOTIVO</v>
          </cell>
          <cell r="C1093" t="str">
            <v>Bandeja</v>
          </cell>
          <cell r="D1093" t="str">
            <v>SIMPLES</v>
          </cell>
          <cell r="E1093" t="str">
            <v>SPARE</v>
          </cell>
          <cell r="F1093" t="str">
            <v>Par Bandeja Dianteira Sem Pivô Honda Fit 2014 2°geração</v>
          </cell>
        </row>
        <row r="1094">
          <cell r="A1094" t="str">
            <v>772007/08</v>
          </cell>
          <cell r="B1094" t="str">
            <v>AUTOMOTIVO</v>
          </cell>
          <cell r="C1094" t="str">
            <v>Bandeja</v>
          </cell>
          <cell r="D1094" t="str">
            <v>KIT</v>
          </cell>
          <cell r="E1094" t="str">
            <v>SPARE</v>
          </cell>
          <cell r="F1094" t="str">
            <v>Par Bandeja Dianteira Com Pivô Honda Fit 2009 A 2013</v>
          </cell>
        </row>
        <row r="1095">
          <cell r="A1095" t="str">
            <v>772029/30</v>
          </cell>
          <cell r="B1095" t="str">
            <v>AUTOMOTIVO</v>
          </cell>
          <cell r="C1095" t="str">
            <v>Bandeja</v>
          </cell>
          <cell r="D1095" t="str">
            <v>KIT</v>
          </cell>
          <cell r="E1095" t="str">
            <v>SPARE</v>
          </cell>
          <cell r="F1095" t="str">
            <v>Par Bandeja Inferior Corolla 1997 Á 2002</v>
          </cell>
        </row>
        <row r="1096">
          <cell r="A1096" t="str">
            <v>772033/34</v>
          </cell>
          <cell r="B1096" t="str">
            <v>AUTOMOTIVO</v>
          </cell>
          <cell r="C1096" t="str">
            <v>Bandeja</v>
          </cell>
          <cell r="D1096" t="str">
            <v>KIT</v>
          </cell>
          <cell r="E1096" t="str">
            <v>SPARE</v>
          </cell>
          <cell r="F1096" t="str">
            <v>Par Bandeja Dianteira Corolla 2002 Á 2019 Com Pivô</v>
          </cell>
        </row>
        <row r="1097">
          <cell r="A1097" t="str">
            <v>772040/41</v>
          </cell>
          <cell r="B1097" t="str">
            <v>AUTOMOTIVO</v>
          </cell>
          <cell r="C1097" t="str">
            <v>Bandeja</v>
          </cell>
          <cell r="D1097" t="str">
            <v>KIT</v>
          </cell>
          <cell r="E1097" t="str">
            <v>SPARE</v>
          </cell>
          <cell r="F1097" t="str">
            <v>Par Bandeja Dianteira Hilux 2005 A 2015 Com Pivô</v>
          </cell>
        </row>
        <row r="1098">
          <cell r="A1098" t="str">
            <v>772054p</v>
          </cell>
          <cell r="B1098" t="str">
            <v>AUTOMOTIVO</v>
          </cell>
          <cell r="C1098" t="str">
            <v>BANDEJA</v>
          </cell>
          <cell r="D1098" t="str">
            <v>KIT</v>
          </cell>
          <cell r="E1098" t="str">
            <v>SPARE</v>
          </cell>
          <cell r="F1098" t="str">
            <v>Bandeja Direita Inferior Com Pivô Kia Cerato 2009 Em Diante</v>
          </cell>
        </row>
        <row r="1099">
          <cell r="A1099" t="str">
            <v>772055P</v>
          </cell>
          <cell r="B1099" t="str">
            <v>AUTOMOTIVO</v>
          </cell>
          <cell r="C1099" t="str">
            <v>BANDEJA</v>
          </cell>
          <cell r="D1099" t="str">
            <v>KIT</v>
          </cell>
          <cell r="E1099" t="str">
            <v>SPARE</v>
          </cell>
          <cell r="F1099" t="str">
            <v>Bandeja Esquerda Inferior Com Pivô I30 2008 A 2012</v>
          </cell>
        </row>
        <row r="1100">
          <cell r="A1100" t="str">
            <v>772056/57</v>
          </cell>
          <cell r="B1100" t="str">
            <v>AUTOMOTIVO</v>
          </cell>
          <cell r="C1100" t="str">
            <v>Bandeja</v>
          </cell>
          <cell r="D1100" t="str">
            <v>KIT</v>
          </cell>
          <cell r="E1100" t="str">
            <v>SPARE</v>
          </cell>
          <cell r="F1100" t="str">
            <v>Par Bandeja Inferior Com Pivô Kia Cerato 2009 Em Diante</v>
          </cell>
        </row>
        <row r="1101">
          <cell r="A1101" t="str">
            <v>772058/59</v>
          </cell>
          <cell r="B1101" t="str">
            <v>AUTOMOTIVO</v>
          </cell>
          <cell r="C1101" t="str">
            <v>Bandeja</v>
          </cell>
          <cell r="D1101" t="str">
            <v>KIT</v>
          </cell>
          <cell r="E1101" t="str">
            <v>SPARE</v>
          </cell>
          <cell r="F1101" t="str">
            <v>Par Bandeja Dianteira Sem Pivô Hyundai Ix35 2010 A 2015</v>
          </cell>
        </row>
        <row r="1102">
          <cell r="A1102" t="str">
            <v>772090/91</v>
          </cell>
          <cell r="B1102" t="str">
            <v>AUTOMOTIVO</v>
          </cell>
          <cell r="C1102" t="str">
            <v>Bandeja</v>
          </cell>
          <cell r="D1102" t="str">
            <v>KIT</v>
          </cell>
          <cell r="E1102" t="str">
            <v>SPARE</v>
          </cell>
          <cell r="F1102" t="str">
            <v>Par Bandeja Dianteira  Mondeo 1994 A 2001 Com Pivô</v>
          </cell>
        </row>
        <row r="1103">
          <cell r="A1103" t="str">
            <v>772110/11</v>
          </cell>
          <cell r="B1103" t="str">
            <v>AUTOMOTIVO</v>
          </cell>
          <cell r="C1103" t="str">
            <v>Bandeja</v>
          </cell>
          <cell r="D1103" t="str">
            <v>KIT</v>
          </cell>
          <cell r="E1103" t="str">
            <v>SPARE</v>
          </cell>
          <cell r="F1103" t="str">
            <v>Par Bandeja Dianteira Sentra 2007 A 2012 Com Pivô</v>
          </cell>
        </row>
        <row r="1104">
          <cell r="A1104" t="str">
            <v>772112/13</v>
          </cell>
          <cell r="B1104" t="str">
            <v>AUTOMOTIVO</v>
          </cell>
          <cell r="C1104" t="str">
            <v>Bandeja</v>
          </cell>
          <cell r="D1104" t="str">
            <v>KIT</v>
          </cell>
          <cell r="E1104" t="str">
            <v>SPARE</v>
          </cell>
          <cell r="F1104" t="str">
            <v>Par Bandeja Inferior Sem Pivô Nissan Sentra 2013 À 2020</v>
          </cell>
        </row>
        <row r="1105">
          <cell r="A1105" t="str">
            <v>772134/35</v>
          </cell>
          <cell r="B1105" t="str">
            <v>AUTOMOTIVO</v>
          </cell>
          <cell r="C1105" t="str">
            <v>Bandeja</v>
          </cell>
          <cell r="D1105" t="str">
            <v>KIT</v>
          </cell>
          <cell r="E1105" t="str">
            <v>SPARE</v>
          </cell>
          <cell r="F1105" t="str">
            <v>Par Bandeja Superior Civic 1996 A 2001 Com Pivô</v>
          </cell>
        </row>
        <row r="1106">
          <cell r="A1106" t="str">
            <v>772138/39</v>
          </cell>
          <cell r="B1106" t="str">
            <v>AUTOMOTIVO</v>
          </cell>
          <cell r="C1106" t="str">
            <v>Bandeja</v>
          </cell>
          <cell r="D1106" t="str">
            <v>KIT</v>
          </cell>
          <cell r="E1106" t="str">
            <v>SPARE</v>
          </cell>
          <cell r="F1106" t="str">
            <v>Par Bandeja Dianteira Sem Pivô Civic 2011 A 2016</v>
          </cell>
        </row>
        <row r="1107">
          <cell r="A1107" t="str">
            <v>772144/45</v>
          </cell>
          <cell r="B1107" t="str">
            <v>AUTOMOTIVO</v>
          </cell>
          <cell r="C1107" t="str">
            <v>Bandeja</v>
          </cell>
          <cell r="D1107" t="str">
            <v>KIT</v>
          </cell>
          <cell r="E1107" t="str">
            <v>SPARE</v>
          </cell>
          <cell r="F1107" t="str">
            <v>Par Bandeja Hb20 Hatch 2012 A 2019</v>
          </cell>
        </row>
        <row r="1108">
          <cell r="A1108" t="str">
            <v>772144P</v>
          </cell>
          <cell r="B1108" t="str">
            <v>AUTOMOTIVO</v>
          </cell>
          <cell r="C1108" t="str">
            <v>Bandeja</v>
          </cell>
          <cell r="D1108" t="str">
            <v>SIMPLES</v>
          </cell>
          <cell r="E1108" t="str">
            <v>SPARE</v>
          </cell>
          <cell r="F1108" t="str">
            <v>BANDEJA LADO DIREITO</v>
          </cell>
        </row>
        <row r="1109">
          <cell r="A1109" t="str">
            <v>772145P</v>
          </cell>
          <cell r="B1109" t="str">
            <v>AUTOMOTIVO</v>
          </cell>
          <cell r="C1109" t="str">
            <v>Bandeja</v>
          </cell>
          <cell r="D1109" t="str">
            <v>SIMPLES</v>
          </cell>
          <cell r="E1109" t="str">
            <v>SPARE</v>
          </cell>
          <cell r="F1109" t="str">
            <v>BANDEJA LADO ESQUERDO HB20 HATCH 2012 A 2019</v>
          </cell>
        </row>
        <row r="1110">
          <cell r="A1110" t="str">
            <v>772146/47</v>
          </cell>
          <cell r="B1110" t="str">
            <v>AUTOMOTIVO</v>
          </cell>
          <cell r="C1110" t="str">
            <v>Bandeja</v>
          </cell>
          <cell r="D1110" t="str">
            <v>KIT</v>
          </cell>
          <cell r="E1110" t="str">
            <v>SPARE</v>
          </cell>
          <cell r="F1110" t="str">
            <v>Bandeja Lado Direito Hb20 2012 A 2019 Com Pivô</v>
          </cell>
        </row>
        <row r="1111">
          <cell r="A1111" t="str">
            <v>772148/49</v>
          </cell>
          <cell r="B1111" t="str">
            <v>AUTOMOTIVO</v>
          </cell>
          <cell r="C1111" t="str">
            <v>Bandeja</v>
          </cell>
          <cell r="D1111" t="str">
            <v>KIT</v>
          </cell>
          <cell r="E1111" t="str">
            <v>SPARE</v>
          </cell>
          <cell r="F1111" t="str">
            <v>Par Bandeja Dianteira Com Pivô Sportage 2011 A 2022</v>
          </cell>
        </row>
        <row r="1112">
          <cell r="A1112" t="str">
            <v>772150/51</v>
          </cell>
          <cell r="B1112" t="str">
            <v>AUTOMOTIVO</v>
          </cell>
          <cell r="C1112" t="str">
            <v>Bandeja</v>
          </cell>
          <cell r="D1112" t="str">
            <v>KIT</v>
          </cell>
          <cell r="E1112" t="str">
            <v>SPARE</v>
          </cell>
          <cell r="F1112" t="str">
            <v>Par Bandeja Inferior Sem Pivô Vera Cruz 2007 À 2012</v>
          </cell>
        </row>
        <row r="1113">
          <cell r="A1113" t="str">
            <v>772152/53</v>
          </cell>
          <cell r="B1113" t="str">
            <v>AUTOMOTIVO</v>
          </cell>
          <cell r="C1113" t="str">
            <v>Bandeja</v>
          </cell>
          <cell r="D1113" t="str">
            <v>KIT</v>
          </cell>
          <cell r="E1113" t="str">
            <v>SPARE</v>
          </cell>
          <cell r="F1113" t="str">
            <v>Par Bandeja Inferior Com Pivô Sorento 2009 À 2012</v>
          </cell>
        </row>
        <row r="1114">
          <cell r="A1114" t="str">
            <v>772170/71</v>
          </cell>
          <cell r="B1114" t="str">
            <v>AUTOMOTIVO</v>
          </cell>
          <cell r="C1114" t="str">
            <v>BANDEJA</v>
          </cell>
          <cell r="D1114" t="str">
            <v>KIT</v>
          </cell>
          <cell r="E1114" t="str">
            <v>SPARE</v>
          </cell>
          <cell r="F1114" t="str">
            <v>Par Bandeja Dianteira Picanto 2011 Á 2020</v>
          </cell>
        </row>
        <row r="1115">
          <cell r="A1115" t="str">
            <v>772204/05</v>
          </cell>
          <cell r="B1115" t="str">
            <v>AUTOMOTIVO</v>
          </cell>
          <cell r="C1115" t="str">
            <v>Bandeja</v>
          </cell>
          <cell r="D1115" t="str">
            <v>KIT</v>
          </cell>
          <cell r="E1115" t="str">
            <v>SPARE</v>
          </cell>
          <cell r="F1115" t="str">
            <v>Par Bandeja Superior Jinbei Topic 2008 Á 2017 Completa</v>
          </cell>
        </row>
        <row r="1116">
          <cell r="A1116" t="str">
            <v>772221/22</v>
          </cell>
          <cell r="B1116" t="str">
            <v>AUTOMOTIVO</v>
          </cell>
          <cell r="C1116" t="str">
            <v>Bandeja</v>
          </cell>
          <cell r="D1116" t="str">
            <v>KIT</v>
          </cell>
          <cell r="E1116" t="str">
            <v>SPARE</v>
          </cell>
          <cell r="F1116" t="str">
            <v>Par Bandeja Dianteira Inferior Sem Pivô Outlander 07 À 13</v>
          </cell>
        </row>
        <row r="1117">
          <cell r="A1117" t="str">
            <v>772233/34</v>
          </cell>
          <cell r="B1117" t="str">
            <v>AUTOMOTIVO</v>
          </cell>
          <cell r="C1117" t="str">
            <v>BANDEJA</v>
          </cell>
          <cell r="D1117" t="str">
            <v>KIT</v>
          </cell>
          <cell r="E1117" t="str">
            <v>SPARE</v>
          </cell>
          <cell r="F1117" t="str">
            <v>Par Bandeja Dianteira Journey 2009 Á 2015</v>
          </cell>
        </row>
        <row r="1118">
          <cell r="A1118" t="str">
            <v>772246/47</v>
          </cell>
          <cell r="B1118" t="str">
            <v>AUTOMOTIVO</v>
          </cell>
          <cell r="C1118" t="str">
            <v>Bandeja</v>
          </cell>
          <cell r="D1118" t="str">
            <v>KIT</v>
          </cell>
          <cell r="E1118" t="str">
            <v>SPARE</v>
          </cell>
          <cell r="F1118" t="str">
            <v>Par Bandeja Inferior Com Pivô Etios 2012 A 2018</v>
          </cell>
        </row>
        <row r="1119">
          <cell r="A1119" t="str">
            <v>772254/55</v>
          </cell>
          <cell r="B1119" t="str">
            <v>AUTOMOTIVO</v>
          </cell>
          <cell r="C1119" t="str">
            <v>Bandeja</v>
          </cell>
          <cell r="D1119" t="str">
            <v>KIT</v>
          </cell>
          <cell r="E1119" t="str">
            <v>SPARE</v>
          </cell>
          <cell r="F1119" t="str">
            <v>Par Bandeja Superior Dianteira Com Pivô Sw4 06 À 20</v>
          </cell>
        </row>
        <row r="1120">
          <cell r="A1120" t="str">
            <v>772256/57</v>
          </cell>
          <cell r="B1120" t="str">
            <v>AUTOMOTIVO</v>
          </cell>
          <cell r="C1120" t="str">
            <v>Bandeja</v>
          </cell>
          <cell r="D1120" t="str">
            <v>KIT</v>
          </cell>
          <cell r="E1120" t="str">
            <v>SPARE</v>
          </cell>
          <cell r="F1120" t="str">
            <v>Par Bandeja Inferior Sem Pivô Etios 2012 A 2018</v>
          </cell>
        </row>
        <row r="1121">
          <cell r="A1121" t="str">
            <v>77261-2</v>
          </cell>
          <cell r="B1121" t="str">
            <v>AUTOMOTIVO</v>
          </cell>
          <cell r="C1121" t="str">
            <v>Cabo de Freio</v>
          </cell>
          <cell r="D1121" t="str">
            <v>KIT</v>
          </cell>
          <cell r="E1121" t="str">
            <v>MundiFlex</v>
          </cell>
          <cell r="F1121" t="str">
            <v>Par Cabo De Freio Traseira Celta 2001 Em Diante Com Conector</v>
          </cell>
        </row>
        <row r="1122">
          <cell r="A1122" t="str">
            <v>77350/2316/24579046</v>
          </cell>
          <cell r="B1122" t="str">
            <v>AUTOMOTIVO</v>
          </cell>
          <cell r="C1122" t="str">
            <v>Cabo Câmbio</v>
          </cell>
          <cell r="D1122" t="str">
            <v>KIT</v>
          </cell>
          <cell r="E1122" t="str">
            <v>Importação</v>
          </cell>
          <cell r="F1122" t="str">
            <v>Kit Cabo De Marcha Terminal Reparo Alavanca Celta 2006 A 14</v>
          </cell>
        </row>
        <row r="1123">
          <cell r="A1123" t="str">
            <v>77350P</v>
          </cell>
          <cell r="B1123" t="str">
            <v>AUTOMOTIVO</v>
          </cell>
          <cell r="C1123" t="str">
            <v>Cabo Câmbio</v>
          </cell>
          <cell r="D1123" t="str">
            <v>KIT</v>
          </cell>
          <cell r="E1123" t="str">
            <v>Importação</v>
          </cell>
          <cell r="F1123" t="str">
            <v>Cabo De Trambulador Prisma 2007 A 2014 Com Pino De Regulagem</v>
          </cell>
        </row>
        <row r="1124">
          <cell r="A1124" t="str">
            <v>77350pt</v>
          </cell>
          <cell r="B1124" t="str">
            <v>AUTOMOTIVO</v>
          </cell>
          <cell r="C1124" t="str">
            <v>Cabo Câmbio</v>
          </cell>
          <cell r="D1124" t="str">
            <v>KIT</v>
          </cell>
          <cell r="E1124" t="str">
            <v>Importação / LT CORREA</v>
          </cell>
          <cell r="F1124" t="str">
            <v>Cabo Marcha Prisma C/pino De Regulagem Terminal Do Cabo</v>
          </cell>
        </row>
        <row r="1125">
          <cell r="A1125" t="str">
            <v>77350T</v>
          </cell>
          <cell r="B1125" t="str">
            <v>AUTOMOTIVO</v>
          </cell>
          <cell r="C1125" t="str">
            <v>Cabo Câmbio</v>
          </cell>
          <cell r="D1125" t="str">
            <v>KIT</v>
          </cell>
          <cell r="E1125" t="str">
            <v>Importação</v>
          </cell>
          <cell r="F1125" t="str">
            <v>Cabo De Marcha Prisma 2007/2014 Com Terminal</v>
          </cell>
        </row>
        <row r="1126">
          <cell r="A1126" t="str">
            <v>77351/2345</v>
          </cell>
          <cell r="B1126" t="str">
            <v>AUTOMOTIVO</v>
          </cell>
          <cell r="C1126" t="str">
            <v>Pastilha Freio</v>
          </cell>
          <cell r="D1126" t="str">
            <v>KIT</v>
          </cell>
          <cell r="E1126" t="str">
            <v>Importação / LT CORREA</v>
          </cell>
          <cell r="F1126" t="str">
            <v>Cabo Engate Seleção Terminal Pino Regulagem Vectra 2006 A 11</v>
          </cell>
        </row>
        <row r="1127">
          <cell r="A1127" t="str">
            <v>77354T</v>
          </cell>
          <cell r="B1127" t="str">
            <v>AUTOMOTIVO</v>
          </cell>
          <cell r="C1127" t="str">
            <v>Cabo Câmbio</v>
          </cell>
          <cell r="D1127" t="str">
            <v>KIT</v>
          </cell>
          <cell r="E1127" t="str">
            <v>Importação</v>
          </cell>
          <cell r="F1127" t="str">
            <v>Cabo De Engate E Seleção Com Terminal Agile 2009 A 2014</v>
          </cell>
        </row>
        <row r="1128">
          <cell r="A1128" t="str">
            <v>8kit-12152</v>
          </cell>
          <cell r="B1128" t="str">
            <v>AUTOMOTIVO</v>
          </cell>
          <cell r="C1128" t="str">
            <v>Pino de Porta</v>
          </cell>
          <cell r="D1128" t="str">
            <v>KIT</v>
          </cell>
          <cell r="E1128" t="str">
            <v>MultiKit</v>
          </cell>
          <cell r="F1128" t="str">
            <v>8kits Pino Bucha Dobradiça Porta Belina 1996</v>
          </cell>
        </row>
        <row r="1129">
          <cell r="A1129" t="str">
            <v>993014/15</v>
          </cell>
          <cell r="B1129" t="str">
            <v>AUTOMOTIVO</v>
          </cell>
          <cell r="C1129" t="str">
            <v>Bandeja</v>
          </cell>
          <cell r="D1129" t="str">
            <v>KIT</v>
          </cell>
          <cell r="E1129" t="str">
            <v>SPARE</v>
          </cell>
          <cell r="F1129" t="str">
            <v>Par Bandeja Inferior Dianteira Transit 2008 Á 2015</v>
          </cell>
        </row>
        <row r="1130">
          <cell r="A1130" t="str">
            <v>993016/17</v>
          </cell>
          <cell r="B1130" t="str">
            <v>AUTOMOTIVO</v>
          </cell>
          <cell r="C1130" t="str">
            <v>Bandeja</v>
          </cell>
          <cell r="D1130" t="str">
            <v>KIT</v>
          </cell>
          <cell r="E1130" t="str">
            <v>SPARE</v>
          </cell>
          <cell r="F1130" t="str">
            <v>Par Bandeja Inferior Lifan Foison</v>
          </cell>
        </row>
        <row r="1131">
          <cell r="A1131" t="str">
            <v>BBXRE300</v>
          </cell>
          <cell r="B1131" t="str">
            <v>AUTOMOTIVO</v>
          </cell>
          <cell r="D1131" t="str">
            <v>SIMPLES</v>
          </cell>
        </row>
        <row r="1132">
          <cell r="A1132" t="str">
            <v>BUZ0001</v>
          </cell>
          <cell r="B1132" t="str">
            <v>AUTOMOTIVO</v>
          </cell>
          <cell r="C1132" t="str">
            <v>Buzina Moto</v>
          </cell>
          <cell r="D1132" t="str">
            <v>SIMPLES</v>
          </cell>
          <cell r="E1132" t="str">
            <v>POLO</v>
          </cell>
          <cell r="F1132" t="str">
            <v xml:space="preserve">BUZINA DE MOTO CG 125 150 160 NZR 125 160 POP 110i XLW 125 XRE YAHAMA FACTOR 125  </v>
          </cell>
        </row>
        <row r="1133">
          <cell r="A1133" t="str">
            <v>CCA0002</v>
          </cell>
          <cell r="B1133" t="str">
            <v>MOTO PEÇAS</v>
          </cell>
          <cell r="C1133" t="str">
            <v>Cabo Acelerador Moto</v>
          </cell>
          <cell r="D1133" t="str">
            <v>SIMPLES</v>
          </cell>
          <cell r="E1133" t="str">
            <v>POLO</v>
          </cell>
          <cell r="F1133" t="str">
            <v>CCA0002 CABO ACELERADOR HONDA CG 125 TITAN ES-JOB-KS-EX DE .../ ATE 2008 CG 150 TITAN EX de ... até 2008</v>
          </cell>
        </row>
        <row r="1134">
          <cell r="A1134" t="str">
            <v>CCA0006</v>
          </cell>
          <cell r="B1134" t="str">
            <v>MOTO PEÇAS</v>
          </cell>
          <cell r="C1134" t="str">
            <v>Cabo Acelerador Moto</v>
          </cell>
          <cell r="D1134" t="str">
            <v>SIMPLES</v>
          </cell>
          <cell r="E1134" t="str">
            <v>POLO</v>
          </cell>
          <cell r="F1134" t="str">
            <v>CCA0006 CABO ACELERADOR YAMAHA YBR 125 2002/... YBR ED 2006/2008</v>
          </cell>
        </row>
        <row r="1135">
          <cell r="A1135" t="str">
            <v>CCA0009</v>
          </cell>
          <cell r="B1135" t="str">
            <v>MOTO PEÇAS</v>
          </cell>
          <cell r="C1135" t="str">
            <v>Cabo Acelerador Moto</v>
          </cell>
          <cell r="D1135" t="str">
            <v>SIMPLES</v>
          </cell>
          <cell r="E1135" t="str">
            <v>POLO</v>
          </cell>
          <cell r="F1135" t="str">
            <v>CCA0009 CABO ACELERADOR HONDA CG 150 FAN-TITAN 14/...</v>
          </cell>
        </row>
        <row r="1136">
          <cell r="A1136" t="str">
            <v>CCA0031</v>
          </cell>
          <cell r="B1136" t="str">
            <v>MOTO PEÇAS</v>
          </cell>
          <cell r="C1136" t="str">
            <v>Cabo Acelerador Moto</v>
          </cell>
          <cell r="D1136" t="str">
            <v>SIMPLES</v>
          </cell>
          <cell r="E1136" t="str">
            <v>POLO</v>
          </cell>
          <cell r="F1136" t="str">
            <v xml:space="preserve">CCA0031 CABO ACELERADOR HONDA CG 150 TITAN 08&gt;  </v>
          </cell>
        </row>
        <row r="1137">
          <cell r="A1137" t="str">
            <v>CCA0032</v>
          </cell>
          <cell r="B1137" t="str">
            <v>MOTO PEÇAS</v>
          </cell>
          <cell r="C1137" t="str">
            <v>Cabo Acelerador Moto</v>
          </cell>
          <cell r="D1137" t="str">
            <v>SIMPLES</v>
          </cell>
          <cell r="E1137" t="str">
            <v>POLO</v>
          </cell>
          <cell r="F1137" t="str">
            <v>CABO ACELERADOR PARA MOTO CBX 250 TWISTER</v>
          </cell>
        </row>
        <row r="1138">
          <cell r="A1138" t="str">
            <v>CCA0035</v>
          </cell>
          <cell r="B1138" t="str">
            <v>MOTO PEÇAS</v>
          </cell>
          <cell r="C1138" t="str">
            <v>Cabo Acelerador Moto</v>
          </cell>
          <cell r="D1138" t="str">
            <v>SIMPLES</v>
          </cell>
          <cell r="E1138" t="str">
            <v>POLO</v>
          </cell>
          <cell r="F1138" t="str">
            <v>CCA0035 CABO ACELERADOR HONDA CG 150 TITAN MIX ESD 2009/...</v>
          </cell>
        </row>
        <row r="1139">
          <cell r="A1139" t="str">
            <v>CCA0036</v>
          </cell>
          <cell r="B1139" t="str">
            <v>MOTO PEÇAS</v>
          </cell>
          <cell r="C1139" t="str">
            <v>Cabo Acelerador Moto</v>
          </cell>
          <cell r="D1139" t="str">
            <v>SIMPLES</v>
          </cell>
          <cell r="E1139" t="str">
            <v>POLO</v>
          </cell>
          <cell r="F1139" t="str">
            <v xml:space="preserve">CCA0036 CABO ACELERADOR HONDA CG NXR 150 BROS ES KS 09&gt;12  </v>
          </cell>
        </row>
        <row r="1140">
          <cell r="A1140" t="str">
            <v>CCA0038</v>
          </cell>
          <cell r="B1140" t="str">
            <v>MOTO PEÇAS</v>
          </cell>
          <cell r="C1140" t="str">
            <v>Cabo Acelerador Moto</v>
          </cell>
          <cell r="D1140" t="str">
            <v>SIMPLES</v>
          </cell>
          <cell r="E1140" t="str">
            <v>POLO</v>
          </cell>
          <cell r="F1140" t="str">
            <v>CABO ACELERADOR PARA MOTO CG 150 FAN ESI 2010</v>
          </cell>
        </row>
        <row r="1141">
          <cell r="A1141" t="str">
            <v>CCA0040</v>
          </cell>
          <cell r="B1141" t="str">
            <v>MOTO PEÇAS</v>
          </cell>
          <cell r="C1141" t="str">
            <v>Cabo Acelerador Moto</v>
          </cell>
          <cell r="D1141" t="str">
            <v>SIMPLES</v>
          </cell>
          <cell r="E1141" t="str">
            <v>POLO</v>
          </cell>
          <cell r="F1141" t="str">
            <v>CCA0040 CABO ACELERADOR HONDA (A) TITAN FAN 160 16&gt;</v>
          </cell>
        </row>
        <row r="1142">
          <cell r="A1142" t="str">
            <v>CCA0041</v>
          </cell>
          <cell r="B1142" t="str">
            <v>MOTO PEÇAS</v>
          </cell>
          <cell r="C1142" t="str">
            <v>Cabo Acelerador Moto</v>
          </cell>
          <cell r="D1142" t="str">
            <v>SIMPLES</v>
          </cell>
          <cell r="E1142" t="str">
            <v>POLO</v>
          </cell>
          <cell r="F1142" t="str">
            <v>CCA0041 CABO ACELERADOR HONDA (B) TITAN FAN 160 16&gt;</v>
          </cell>
        </row>
        <row r="1143">
          <cell r="A1143" t="str">
            <v>CCE0010</v>
          </cell>
          <cell r="B1143" t="str">
            <v>MOTO PEÇAS</v>
          </cell>
          <cell r="C1143" t="str">
            <v>Cabo Embreagem moto</v>
          </cell>
          <cell r="D1143" t="str">
            <v>SIMPLES</v>
          </cell>
          <cell r="E1143" t="str">
            <v>POLO</v>
          </cell>
          <cell r="F1143" t="str">
            <v>CABO DA EMBREAGEM PARA MOTO YAHAMA YBR 125 E ED K</v>
          </cell>
        </row>
        <row r="1144">
          <cell r="A1144" t="str">
            <v>CCE0011</v>
          </cell>
          <cell r="B1144" t="str">
            <v>MOTO PEÇAS</v>
          </cell>
          <cell r="C1144" t="str">
            <v>Cabo Embreagem moto</v>
          </cell>
          <cell r="D1144" t="str">
            <v>SIMPLES</v>
          </cell>
          <cell r="E1144" t="str">
            <v>POLO</v>
          </cell>
          <cell r="F1144" t="str">
            <v>CABO DA EMBREAGEM PARA MOTO YAHAMA YBR 125 FACTOR</v>
          </cell>
        </row>
        <row r="1145">
          <cell r="A1145" t="str">
            <v>CCE0012</v>
          </cell>
          <cell r="B1145" t="str">
            <v>MOTO PEÇAS</v>
          </cell>
          <cell r="C1145" t="str">
            <v>Cabo Embreagem moto</v>
          </cell>
          <cell r="D1145" t="str">
            <v>SIMPLES</v>
          </cell>
          <cell r="E1145" t="str">
            <v>POLO</v>
          </cell>
          <cell r="F1145" t="str">
            <v>CABO DA EMBREAGEM PARA MOTO HONDA CG 125 TITAN KS KSE</v>
          </cell>
        </row>
        <row r="1146">
          <cell r="A1146" t="str">
            <v>CCE0014</v>
          </cell>
          <cell r="B1146" t="str">
            <v>MOTO PEÇAS</v>
          </cell>
          <cell r="C1146" t="str">
            <v>Cabo Embreagem moto</v>
          </cell>
          <cell r="D1146" t="str">
            <v>SIMPLES</v>
          </cell>
          <cell r="E1146" t="str">
            <v>POLO</v>
          </cell>
          <cell r="F1146" t="str">
            <v>Cabo De Embreagem Cg 125 Fan Es 2009 A 2010</v>
          </cell>
        </row>
        <row r="1147">
          <cell r="A1147" t="str">
            <v>CCE0015</v>
          </cell>
          <cell r="B1147" t="str">
            <v>MOTO PEÇAS</v>
          </cell>
          <cell r="C1147" t="str">
            <v>Cabo Embreagem moto</v>
          </cell>
          <cell r="D1147" t="str">
            <v>SIMPLES</v>
          </cell>
          <cell r="E1147" t="str">
            <v>POLO</v>
          </cell>
          <cell r="F1147" t="str">
            <v>CABO DA EMBREAGEM PARA MOTO HONDA CG 125 TITAN KS KSE</v>
          </cell>
        </row>
        <row r="1148">
          <cell r="A1148" t="str">
            <v>CCE0043</v>
          </cell>
          <cell r="B1148" t="str">
            <v>MOTO PEÇAS</v>
          </cell>
          <cell r="C1148" t="str">
            <v>Cabo Embreagem moto</v>
          </cell>
          <cell r="D1148" t="str">
            <v>SIMPLES</v>
          </cell>
          <cell r="E1148" t="str">
            <v>POLO</v>
          </cell>
          <cell r="F1148" t="str">
            <v xml:space="preserve">CCE0043 CABO EMBREAGEM HONDA CG 125 TITAN ES 02&gt; E 02/08  </v>
          </cell>
        </row>
        <row r="1149">
          <cell r="A1149" t="str">
            <v>CCE0044</v>
          </cell>
          <cell r="B1149" t="str">
            <v>MOTO PEÇAS</v>
          </cell>
          <cell r="C1149" t="str">
            <v>Cabo Embreagem moto</v>
          </cell>
          <cell r="D1149" t="str">
            <v>SIMPLES</v>
          </cell>
          <cell r="E1149" t="str">
            <v>POLO</v>
          </cell>
          <cell r="F1149" t="str">
            <v>CABO DA EMBREAGEM PARA MOTO CG125 TITAN KS</v>
          </cell>
        </row>
        <row r="1150">
          <cell r="A1150" t="str">
            <v>CCE0045</v>
          </cell>
          <cell r="B1150" t="str">
            <v>MOTO PEÇAS</v>
          </cell>
          <cell r="C1150" t="str">
            <v>Cabo Embreagem moto</v>
          </cell>
          <cell r="D1150" t="str">
            <v>SIMPLES</v>
          </cell>
          <cell r="E1150" t="str">
            <v>POLO</v>
          </cell>
          <cell r="F1150" t="str">
            <v xml:space="preserve">CCE0045 CABO EMBREAGEM HONDA CG 150 TITAN ES/KS 08&gt;  </v>
          </cell>
        </row>
        <row r="1151">
          <cell r="A1151" t="str">
            <v>CCE0047</v>
          </cell>
          <cell r="B1151" t="str">
            <v>MOTO PEÇAS</v>
          </cell>
          <cell r="C1151" t="str">
            <v>Cabo Embreagem moto</v>
          </cell>
          <cell r="D1151" t="str">
            <v>SIMPLES</v>
          </cell>
          <cell r="E1151" t="str">
            <v>POLO</v>
          </cell>
          <cell r="F1151" t="str">
            <v xml:space="preserve">CCE0047 CABO EMBREAGEM HONDA NXR 150 BROS ESD 08&gt;  </v>
          </cell>
        </row>
        <row r="1152">
          <cell r="A1152" t="str">
            <v>CCE0048</v>
          </cell>
          <cell r="B1152" t="str">
            <v>MOTO PEÇAS</v>
          </cell>
          <cell r="C1152" t="str">
            <v>Cabo Embreagem moto</v>
          </cell>
          <cell r="D1152" t="str">
            <v>SIMPLES</v>
          </cell>
          <cell r="E1152" t="str">
            <v>POLO</v>
          </cell>
          <cell r="F1152" t="str">
            <v>CCE0048 CABO EMBREAGEM HONDA HONDA CG 125 FAN ES/KS 09/108,63</v>
          </cell>
        </row>
        <row r="1153">
          <cell r="A1153" t="str">
            <v>CCE0051</v>
          </cell>
          <cell r="B1153" t="str">
            <v>MOTO PEÇAS</v>
          </cell>
          <cell r="C1153" t="str">
            <v>Cabo Embreagem moto</v>
          </cell>
          <cell r="D1153" t="str">
            <v>SIMPLES</v>
          </cell>
          <cell r="E1153" t="str">
            <v>POLO</v>
          </cell>
          <cell r="F1153" t="str">
            <v xml:space="preserve">CCE0051 CABO EMBREAGEM HONDA BROS 160 16&gt;  </v>
          </cell>
        </row>
        <row r="1154">
          <cell r="A1154" t="str">
            <v>CCE0052</v>
          </cell>
          <cell r="B1154" t="str">
            <v>MOTO PEÇAS</v>
          </cell>
          <cell r="C1154" t="str">
            <v>Cabo Embreagem moto</v>
          </cell>
          <cell r="D1154" t="str">
            <v>SIMPLES</v>
          </cell>
          <cell r="E1154" t="str">
            <v>POLO</v>
          </cell>
          <cell r="F1154" t="str">
            <v>CABO DA EMBREAGEM PARA MOTO HONDA CBX250 TWISTER</v>
          </cell>
        </row>
        <row r="1155">
          <cell r="A1155" t="str">
            <v>CCE0053</v>
          </cell>
          <cell r="B1155" t="str">
            <v>MOTO PEÇAS</v>
          </cell>
          <cell r="C1155" t="str">
            <v>Cabo Embreagem moto</v>
          </cell>
          <cell r="D1155" t="str">
            <v>SIMPLES</v>
          </cell>
          <cell r="E1155" t="str">
            <v>POLO</v>
          </cell>
          <cell r="F1155" t="str">
            <v xml:space="preserve">CCE0053 CABO EMBREAGEM HONDA POP 110 16&gt;  </v>
          </cell>
        </row>
        <row r="1156">
          <cell r="A1156" t="str">
            <v>CCE0054</v>
          </cell>
          <cell r="B1156" t="str">
            <v>MOTO PEÇAS</v>
          </cell>
          <cell r="C1156" t="str">
            <v>Cabo Embreagem moto</v>
          </cell>
          <cell r="D1156" t="str">
            <v>SIMPLES</v>
          </cell>
          <cell r="E1156" t="str">
            <v>POLO</v>
          </cell>
          <cell r="F1156" t="str">
            <v xml:space="preserve">CCE0054 CABO EMBREAGEM YAMAHA YBR 125 FACTOR ED/EK 09&gt;  </v>
          </cell>
        </row>
        <row r="1157">
          <cell r="A1157" t="str">
            <v>CCE0056</v>
          </cell>
          <cell r="B1157" t="str">
            <v>MOTO PEÇAS</v>
          </cell>
          <cell r="C1157" t="str">
            <v>Cabo Embreagem moto</v>
          </cell>
          <cell r="D1157" t="str">
            <v>SIMPLES</v>
          </cell>
          <cell r="E1157" t="str">
            <v>POLO</v>
          </cell>
          <cell r="F1157" t="str">
            <v xml:space="preserve">CCE0056 CABO EMBREAGEM HONDA CG 150 TITAN ES/KS 09&gt;  </v>
          </cell>
        </row>
        <row r="1158">
          <cell r="A1158" t="str">
            <v>CCF0021</v>
          </cell>
          <cell r="B1158" t="str">
            <v>MOTO PEÇAS</v>
          </cell>
          <cell r="C1158" t="str">
            <v>Cabo Freio Moto</v>
          </cell>
          <cell r="D1158" t="str">
            <v>SIMPLES</v>
          </cell>
          <cell r="E1158" t="str">
            <v>POLO</v>
          </cell>
          <cell r="F1158" t="str">
            <v>CABO DE FREIO PARA MOTO HONDA CG 125 FAN CES CKS ES KS 2009 A 2011</v>
          </cell>
        </row>
        <row r="1159">
          <cell r="A1159" t="str">
            <v>CCF0022</v>
          </cell>
          <cell r="B1159" t="str">
            <v>MOTO PEÇAS</v>
          </cell>
          <cell r="C1159" t="str">
            <v>Cabo Freio Moto</v>
          </cell>
          <cell r="D1159" t="str">
            <v>SIMPLES</v>
          </cell>
          <cell r="E1159" t="str">
            <v>POLO</v>
          </cell>
          <cell r="F1159" t="str">
            <v>CABO DE FREIO PARA MOTO HONDA CG 125 TITAN ES JOB KS 2004 A 2008</v>
          </cell>
        </row>
        <row r="1160">
          <cell r="A1160" t="str">
            <v>CCF0056</v>
          </cell>
          <cell r="B1160" t="str">
            <v>MOTO PEÇAS</v>
          </cell>
          <cell r="C1160" t="str">
            <v>Cabo Freio Moto</v>
          </cell>
          <cell r="D1160" t="str">
            <v>SIMPLES</v>
          </cell>
          <cell r="E1160" t="str">
            <v>POLO</v>
          </cell>
          <cell r="F1160" t="str">
            <v>CABO DE FREIO PARA MOTO HONDA CG150 TITAN</v>
          </cell>
        </row>
        <row r="1161">
          <cell r="A1161" t="str">
            <v>CCF0057</v>
          </cell>
          <cell r="B1161" t="str">
            <v>MOTO PEÇAS</v>
          </cell>
          <cell r="C1161" t="str">
            <v>Cabo Freio Moto</v>
          </cell>
          <cell r="D1161" t="str">
            <v>SIMPLES</v>
          </cell>
          <cell r="E1161" t="str">
            <v>POLO</v>
          </cell>
          <cell r="F1161" t="str">
            <v>CABO DE FREIO PARA MOTO HONDA CG 125 FAN</v>
          </cell>
        </row>
        <row r="1162">
          <cell r="A1162" t="str">
            <v>CCV0027</v>
          </cell>
          <cell r="B1162" t="str">
            <v>MOTO PEÇAS</v>
          </cell>
          <cell r="C1162" t="str">
            <v>Cabo Velocimetro Moto</v>
          </cell>
          <cell r="D1162" t="str">
            <v>SIMPLES</v>
          </cell>
          <cell r="E1162" t="str">
            <v>POLO</v>
          </cell>
          <cell r="F1162" t="str">
            <v>CCV0027 CABO VELOCIMETRO HONDA CG 150 TITAN KS/ES/JOB 08&gt;</v>
          </cell>
        </row>
        <row r="1163">
          <cell r="A1163" t="str">
            <v>CCV0029</v>
          </cell>
          <cell r="B1163" t="str">
            <v>MOTO PEÇAS</v>
          </cell>
          <cell r="C1163" t="str">
            <v>Cabo Velocimetro Moto</v>
          </cell>
          <cell r="D1163" t="str">
            <v>SIMPLES</v>
          </cell>
          <cell r="E1163" t="str">
            <v>POLO</v>
          </cell>
          <cell r="F1163" t="str">
            <v>CCV0029 CABO VELOCIMETRO YAMAHA YBR 2002/...</v>
          </cell>
        </row>
        <row r="1164">
          <cell r="A1164" t="str">
            <v>CCV0062</v>
          </cell>
          <cell r="B1164" t="str">
            <v>MOTO PEÇAS</v>
          </cell>
          <cell r="C1164" t="str">
            <v>Cabo velocímetro Moto</v>
          </cell>
          <cell r="D1164" t="str">
            <v>SIMPLES</v>
          </cell>
          <cell r="E1164" t="str">
            <v>POLO</v>
          </cell>
          <cell r="F1164" t="str">
            <v>Cabo De Velocímetro Nxr 150 Bros Ks 2009 A 2012</v>
          </cell>
        </row>
        <row r="1165">
          <cell r="A1165" t="str">
            <v>CCV0063</v>
          </cell>
          <cell r="B1165" t="str">
            <v>MOTO PEÇAS</v>
          </cell>
          <cell r="C1165" t="str">
            <v>Cabo Velocimetro Moto</v>
          </cell>
          <cell r="D1165" t="str">
            <v>SIMPLES</v>
          </cell>
          <cell r="E1165" t="str">
            <v>POLO</v>
          </cell>
          <cell r="F1165" t="str">
            <v>CABO DE VELOCÍMETRO PARA MOTO HONDA CG 150 TITAN EDS ES ESD KS</v>
          </cell>
        </row>
        <row r="1166">
          <cell r="A1166" t="str">
            <v>CL001</v>
          </cell>
          <cell r="B1166" t="str">
            <v>AUTOMOTIVO</v>
          </cell>
          <cell r="C1166" t="str">
            <v>OUTROS</v>
          </cell>
          <cell r="D1166" t="str">
            <v>SIMPLES</v>
          </cell>
          <cell r="E1166" t="str">
            <v>OUTROS</v>
          </cell>
        </row>
        <row r="1167">
          <cell r="A1167" t="str">
            <v>CX300</v>
          </cell>
          <cell r="B1167" t="str">
            <v>AUTOMOTIVO</v>
          </cell>
          <cell r="C1167" t="str">
            <v>coxim motor</v>
          </cell>
          <cell r="D1167" t="str">
            <v>SIMPLES</v>
          </cell>
          <cell r="F1167" t="str">
            <v>Coxim Barquinho Do Motor Fusca 1300 1967 Em Diante</v>
          </cell>
        </row>
        <row r="1168">
          <cell r="A1168" t="str">
            <v>FD001</v>
          </cell>
          <cell r="B1168" t="str">
            <v>AUTOMOTIVO</v>
          </cell>
          <cell r="C1168" t="str">
            <v>Rolamento Roda</v>
          </cell>
          <cell r="D1168" t="str">
            <v>SIMPLES</v>
          </cell>
          <cell r="E1168" t="str">
            <v>Importação</v>
          </cell>
          <cell r="F1168" t="str">
            <v>Kit Rolamento Roda Traseira Ford Verona 1993 1994 1995 1996.</v>
          </cell>
        </row>
        <row r="1169">
          <cell r="A1169" t="str">
            <v>FP270</v>
          </cell>
          <cell r="B1169" t="str">
            <v>AUTOMOTIVO</v>
          </cell>
          <cell r="C1169" t="str">
            <v>Pastilha Freio</v>
          </cell>
          <cell r="D1169" t="str">
            <v>SIMPLES</v>
          </cell>
          <cell r="E1169" t="str">
            <v>WILL TEC</v>
          </cell>
          <cell r="F1169" t="str">
            <v>Pastilha De Freio De Cerâmica Cruze 2017 Em Diante</v>
          </cell>
        </row>
        <row r="1170">
          <cell r="A1170" t="str">
            <v>fp963</v>
          </cell>
          <cell r="B1170" t="str">
            <v>AUTOMOTIVO</v>
          </cell>
          <cell r="C1170" t="str">
            <v>Pastilha Freio</v>
          </cell>
          <cell r="D1170" t="str">
            <v>SIMPLES</v>
          </cell>
          <cell r="E1170" t="str">
            <v>WILL TEC</v>
          </cell>
          <cell r="F1170" t="str">
            <v>Pastilha De Freio Diant Cerâmica Trailblazer 2013 Em Diante</v>
          </cell>
        </row>
        <row r="1171">
          <cell r="A1171" t="str">
            <v>fp991</v>
          </cell>
          <cell r="B1171" t="str">
            <v>AUTOMOTIVO</v>
          </cell>
          <cell r="C1171" t="str">
            <v>Pastilha Freio</v>
          </cell>
          <cell r="D1171" t="str">
            <v>SIMPLES</v>
          </cell>
          <cell r="E1171" t="str">
            <v>WILL TEC</v>
          </cell>
          <cell r="F1171" t="str">
            <v>Pastilha Freio Diant Cerâmica Amarok 3.0 Tdi 2018 Em Diante</v>
          </cell>
        </row>
        <row r="1172">
          <cell r="A1172" t="str">
            <v>fpi023</v>
          </cell>
          <cell r="B1172" t="str">
            <v>AUTOMOTIVO</v>
          </cell>
          <cell r="C1172" t="str">
            <v>Pastilha Freio</v>
          </cell>
          <cell r="D1172" t="str">
            <v>SIMPLES</v>
          </cell>
          <cell r="E1172" t="str">
            <v>WILL TEC</v>
          </cell>
          <cell r="F1172" t="str">
            <v>Pastilha De Freio Diant Cerâmica Citroen Jumpy Expert 2018</v>
          </cell>
        </row>
        <row r="1173">
          <cell r="A1173" t="str">
            <v>FTK00122</v>
          </cell>
          <cell r="B1173" t="str">
            <v>AUTOMOTIVO</v>
          </cell>
          <cell r="C1173" t="str">
            <v>Pivô</v>
          </cell>
          <cell r="D1173" t="str">
            <v>SIMPLES</v>
          </cell>
          <cell r="E1173" t="str">
            <v>SPARE</v>
          </cell>
          <cell r="F1173" t="str">
            <v>PIVÔ INFERIOR BANDEJA AMBOS LADOS BRAVO 2011 A 2015</v>
          </cell>
        </row>
        <row r="1174">
          <cell r="A1174" t="str">
            <v>FTK00131</v>
          </cell>
          <cell r="B1174" t="str">
            <v>AUTOMOTIVO</v>
          </cell>
          <cell r="C1174" t="str">
            <v>Pivô</v>
          </cell>
          <cell r="D1174" t="str">
            <v>SIMPLES</v>
          </cell>
          <cell r="E1174" t="str">
            <v>SPARE</v>
          </cell>
          <cell r="F1174" t="str">
            <v>PIVÔ INFERIOR ESQUERDO ARGO DRIVE 1.0 1.3 GSR 2018 A 2021</v>
          </cell>
        </row>
        <row r="1175">
          <cell r="A1175" t="str">
            <v>FTK00132</v>
          </cell>
          <cell r="B1175" t="str">
            <v>AUTOMOTIVO</v>
          </cell>
          <cell r="C1175" t="str">
            <v>Pivô</v>
          </cell>
          <cell r="D1175" t="str">
            <v>SIMPLES</v>
          </cell>
          <cell r="E1175" t="str">
            <v>SPARE</v>
          </cell>
          <cell r="F1175" t="str">
            <v>PIVÔ INFERIOR DIREITA ARGO DRIVE 1.0 1.3 GSR 2018 A 2021</v>
          </cell>
        </row>
        <row r="1176">
          <cell r="A1176" t="str">
            <v>ftk00205</v>
          </cell>
          <cell r="B1176" t="str">
            <v>AUTOMOTIVO</v>
          </cell>
          <cell r="C1176" t="str">
            <v>Pivô</v>
          </cell>
          <cell r="D1176" t="str">
            <v>SIMPLES</v>
          </cell>
          <cell r="E1176" t="str">
            <v>SPARE</v>
          </cell>
          <cell r="F1176" t="str">
            <v>Pivô Ambos Os Lados Bandeja Grand Santa Fé 2014 A 2019 3.3</v>
          </cell>
        </row>
        <row r="1177">
          <cell r="A1177" t="str">
            <v>FTK00206</v>
          </cell>
          <cell r="B1177" t="str">
            <v>AUTOMOTIVO</v>
          </cell>
          <cell r="C1177" t="str">
            <v>Pivô</v>
          </cell>
          <cell r="D1177" t="str">
            <v>SIMPLES</v>
          </cell>
          <cell r="E1177" t="str">
            <v>SPARE</v>
          </cell>
          <cell r="F1177" t="str">
            <v>PIVÔ SUPERIOR AMBOS LADOS FUSION 2006 A 2012</v>
          </cell>
        </row>
        <row r="1178">
          <cell r="A1178" t="str">
            <v>FTK00208</v>
          </cell>
          <cell r="B1178" t="str">
            <v>AUTOMOTIVO</v>
          </cell>
          <cell r="C1178" t="str">
            <v>Pivô</v>
          </cell>
          <cell r="D1178" t="str">
            <v>SIMPLES</v>
          </cell>
          <cell r="E1178" t="str">
            <v>SPARE</v>
          </cell>
          <cell r="F1178" t="str">
            <v>PIVÔ INFERIOR DIREITO CR-V 2008 A 2011</v>
          </cell>
        </row>
        <row r="1179">
          <cell r="A1179" t="str">
            <v>FTK00212</v>
          </cell>
          <cell r="B1179" t="str">
            <v>AUTOMOTIVO</v>
          </cell>
          <cell r="C1179" t="str">
            <v>Pivô</v>
          </cell>
          <cell r="D1179" t="str">
            <v>SIMPLES</v>
          </cell>
          <cell r="E1179" t="str">
            <v>SPARE</v>
          </cell>
          <cell r="F1179" t="str">
            <v>PIVÔ INFERIOR AMBOS LADOS RANGER 2013 A 2017</v>
          </cell>
        </row>
        <row r="1180">
          <cell r="A1180" t="str">
            <v>FTK00213</v>
          </cell>
          <cell r="B1180" t="str">
            <v>AUTOMOTIVO</v>
          </cell>
          <cell r="C1180" t="str">
            <v>Pivô</v>
          </cell>
          <cell r="D1180" t="str">
            <v>SIMPLES</v>
          </cell>
          <cell r="E1180" t="str">
            <v>SPARE</v>
          </cell>
          <cell r="F1180" t="str">
            <v>PIVÔ SUPERIOR AMBOS LADOS RANGER 2013 A 2016</v>
          </cell>
        </row>
        <row r="1181">
          <cell r="A1181" t="str">
            <v>FTK00223</v>
          </cell>
          <cell r="B1181" t="str">
            <v>AUTOMOTIVO</v>
          </cell>
          <cell r="C1181" t="str">
            <v>Pivô</v>
          </cell>
          <cell r="D1181" t="str">
            <v>SIMPLES</v>
          </cell>
          <cell r="E1181" t="str">
            <v>SPARE</v>
          </cell>
          <cell r="F1181" t="str">
            <v>PIVÔ INFERIOR AMBOS LADOS S10 2.4 2012 A 2016</v>
          </cell>
        </row>
        <row r="1182">
          <cell r="A1182" t="str">
            <v>FTK00226</v>
          </cell>
          <cell r="B1182" t="str">
            <v>AUTOMOTIVO</v>
          </cell>
          <cell r="C1182" t="str">
            <v>Pivô</v>
          </cell>
          <cell r="D1182" t="str">
            <v>SIMPLES</v>
          </cell>
          <cell r="E1182" t="str">
            <v>SPARE</v>
          </cell>
          <cell r="F1182" t="str">
            <v>PIVÔ INFERIOR DIREITO FOCUS 2014 EM DIANTE</v>
          </cell>
        </row>
        <row r="1183">
          <cell r="A1183" t="str">
            <v>FTK00227</v>
          </cell>
          <cell r="B1183" t="str">
            <v>AUTOMOTIVO</v>
          </cell>
          <cell r="C1183" t="str">
            <v>Pivô</v>
          </cell>
          <cell r="D1183" t="str">
            <v>SIMPLES</v>
          </cell>
          <cell r="E1183" t="str">
            <v>SPARE</v>
          </cell>
          <cell r="F1183" t="str">
            <v>PIVÔ INFERIOR ESQUERDO FOCUS 2014 EM DIANTE</v>
          </cell>
        </row>
        <row r="1184">
          <cell r="A1184" t="str">
            <v>FTK00311</v>
          </cell>
          <cell r="B1184" t="str">
            <v>AUTOMOTIVO</v>
          </cell>
          <cell r="C1184" t="str">
            <v>Pivô</v>
          </cell>
          <cell r="D1184" t="str">
            <v>SIMPLES</v>
          </cell>
          <cell r="E1184" t="str">
            <v>SPARE</v>
          </cell>
          <cell r="F1184" t="str">
            <v>Pivô Bandeja Spin 2013 Em Diante</v>
          </cell>
        </row>
        <row r="1185">
          <cell r="A1185" t="str">
            <v>FTK00311/5233</v>
          </cell>
          <cell r="B1185" t="str">
            <v>AUTOMOTIVO</v>
          </cell>
          <cell r="C1185" t="str">
            <v>Pivô e Bieleta</v>
          </cell>
          <cell r="D1185" t="str">
            <v>KIT</v>
          </cell>
          <cell r="E1185" t="str">
            <v>SPARE / HOLYMAN</v>
          </cell>
          <cell r="F1185" t="str">
            <v>Par Pivô Suspensão E Bieletas Onix 2012 Em Diante</v>
          </cell>
        </row>
        <row r="1186">
          <cell r="A1186" t="str">
            <v>FTK00311-5233</v>
          </cell>
          <cell r="B1186" t="str">
            <v>AUTOMOTIVO</v>
          </cell>
          <cell r="C1186" t="str">
            <v>Pivô</v>
          </cell>
          <cell r="D1186" t="str">
            <v>SIMPLES</v>
          </cell>
          <cell r="E1186" t="str">
            <v>SPARE</v>
          </cell>
          <cell r="F1186" t="str">
            <v>Par Pivô Suspensão E Bieletas Prisma 2013 Em Diante</v>
          </cell>
        </row>
        <row r="1187">
          <cell r="A1187" t="str">
            <v>FTK00313</v>
          </cell>
          <cell r="B1187" t="str">
            <v>AUTOMOTIVO</v>
          </cell>
          <cell r="C1187" t="str">
            <v>Bucha Barra estabilizadora</v>
          </cell>
          <cell r="D1187" t="str">
            <v>SIMPLES</v>
          </cell>
          <cell r="E1187" t="str">
            <v>GUARU BORRACHAS</v>
          </cell>
          <cell r="F1187" t="str">
            <v>BUCHA DA SUSPENSÃO DIANTEIRA ESCORT 1993 A JANEIRO 1995</v>
          </cell>
        </row>
        <row r="1188">
          <cell r="A1188" t="str">
            <v>FTK00321</v>
          </cell>
          <cell r="B1188" t="str">
            <v>AUTOMOTIVO</v>
          </cell>
          <cell r="C1188" t="str">
            <v>Bucha Barra estabilizadora</v>
          </cell>
          <cell r="D1188" t="str">
            <v>SIMPLES</v>
          </cell>
          <cell r="E1188" t="str">
            <v>GUARU BORRACHAS</v>
          </cell>
          <cell r="F1188" t="str">
            <v>BUCHA DA SUSPENSÃO DIANTEIRA ASTRA 1999 EM DIANTE</v>
          </cell>
        </row>
        <row r="1189">
          <cell r="A1189" t="str">
            <v>FTK00353</v>
          </cell>
          <cell r="B1189" t="str">
            <v>AUTOMOTIVO</v>
          </cell>
          <cell r="C1189" t="str">
            <v>Bucha Barra estabilizadora</v>
          </cell>
          <cell r="D1189" t="str">
            <v>SIMPLES</v>
          </cell>
          <cell r="E1189" t="str">
            <v>GUARU BORRACHAS</v>
          </cell>
          <cell r="F1189" t="str">
            <v>BUCHA DA SUSPENSÃO DIANTEIRA STILO 2012 A 2016</v>
          </cell>
        </row>
        <row r="1190">
          <cell r="A1190" t="str">
            <v>FTK00404</v>
          </cell>
          <cell r="B1190" t="str">
            <v>AUTOMOTIVO</v>
          </cell>
          <cell r="D1190" t="str">
            <v>SIMPLES</v>
          </cell>
          <cell r="E1190" t="str">
            <v>GUARU BORRACHAS</v>
          </cell>
          <cell r="F1190" t="str">
            <v>BUCHA DA SUSPENSÃO DIANTEIRA COBALT 2013 EM DIANTE</v>
          </cell>
        </row>
        <row r="1191">
          <cell r="A1191" t="str">
            <v>FTK00605</v>
          </cell>
          <cell r="B1191" t="str">
            <v>AUTOMOTIVO</v>
          </cell>
          <cell r="C1191" t="str">
            <v>Pivô</v>
          </cell>
          <cell r="D1191" t="str">
            <v>SIMPLES</v>
          </cell>
          <cell r="E1191" t="str">
            <v>SPARE</v>
          </cell>
          <cell r="F1191" t="str">
            <v>Pivô Inferior Dianteira Ambos Lados Ecosport 2003 A 2013</v>
          </cell>
        </row>
        <row r="1192">
          <cell r="A1192" t="str">
            <v>FTK-00605</v>
          </cell>
          <cell r="B1192" t="str">
            <v>AUTOMOTIVO</v>
          </cell>
          <cell r="C1192" t="str">
            <v>Pivô</v>
          </cell>
          <cell r="D1192" t="str">
            <v>SIMPLES</v>
          </cell>
          <cell r="E1192" t="str">
            <v>SPARE</v>
          </cell>
          <cell r="F1192" t="str">
            <v>Pivô Da Bandeja Dianteira Ambos Lados Oroch 2016 A 2019</v>
          </cell>
        </row>
        <row r="1193">
          <cell r="A1193" t="str">
            <v>FTK00606</v>
          </cell>
          <cell r="B1193" t="str">
            <v>AUTOMOTIVO</v>
          </cell>
          <cell r="C1193" t="str">
            <v>Pivô</v>
          </cell>
          <cell r="D1193" t="str">
            <v>SIMPLES</v>
          </cell>
          <cell r="E1193" t="str">
            <v>SPARE</v>
          </cell>
          <cell r="F1193" t="str">
            <v>Pivô Bandeja Dianteira Ambos Os Lados Fluence 2011 Em Diante</v>
          </cell>
        </row>
        <row r="1194">
          <cell r="A1194" t="str">
            <v>FTK00648</v>
          </cell>
          <cell r="B1194" t="str">
            <v>AUTOMOTIVO</v>
          </cell>
          <cell r="C1194" t="str">
            <v>Pivô</v>
          </cell>
          <cell r="D1194" t="str">
            <v>SIMPLES</v>
          </cell>
          <cell r="E1194" t="str">
            <v>SPARE</v>
          </cell>
          <cell r="F1194" t="str">
            <v>pivô INFERIOR LD/LE MONDEO 1994 á 2001</v>
          </cell>
        </row>
        <row r="1195">
          <cell r="A1195" t="str">
            <v>FTK00903</v>
          </cell>
          <cell r="B1195" t="str">
            <v>AUTOMOTIVO</v>
          </cell>
          <cell r="C1195" t="str">
            <v>Pivô</v>
          </cell>
          <cell r="D1195" t="str">
            <v>SIMPLES</v>
          </cell>
          <cell r="E1195" t="str">
            <v>SPARE</v>
          </cell>
          <cell r="F1195" t="str">
            <v>Pivô Da Bandeja Inferior Peugeot 208 2013 A 2022</v>
          </cell>
        </row>
        <row r="1196">
          <cell r="A1196" t="str">
            <v>FTK050N</v>
          </cell>
          <cell r="B1196" t="str">
            <v>AUTOMOTIVO</v>
          </cell>
          <cell r="C1196" t="str">
            <v>Rolamento roda</v>
          </cell>
          <cell r="D1196" t="str">
            <v>SIMPLES</v>
          </cell>
          <cell r="E1196" t="str">
            <v>IRB</v>
          </cell>
          <cell r="F1196" t="str">
            <v>ROLAMENTO RODA DIANTEIRA CHEVETTE 1.6 1973 A 1993</v>
          </cell>
        </row>
        <row r="1197">
          <cell r="A1197" t="str">
            <v>FTK10212</v>
          </cell>
          <cell r="B1197" t="str">
            <v>AUTOMOTIVO</v>
          </cell>
          <cell r="C1197" t="str">
            <v>Rolamento Roda</v>
          </cell>
          <cell r="D1197" t="str">
            <v>SIMPLES</v>
          </cell>
          <cell r="E1197" t="str">
            <v>IRB</v>
          </cell>
          <cell r="F1197" t="str">
            <v>ROLAMENTO RODA DIANTEIRA AUDI S3 2001 A 2003</v>
          </cell>
        </row>
        <row r="1198">
          <cell r="A1198" t="str">
            <v>FTK11001-MB</v>
          </cell>
          <cell r="B1198" t="str">
            <v>AUTOMOTIVO</v>
          </cell>
          <cell r="C1198" t="str">
            <v>Bucha Bandeja</v>
          </cell>
          <cell r="D1198" t="str">
            <v>SIMPLES</v>
          </cell>
          <cell r="E1198" t="str">
            <v>MOBENSANI</v>
          </cell>
          <cell r="F1198" t="str">
            <v>Bucha Traseira Da Bandeja Dianteira L200 4x4 1995 A 2006</v>
          </cell>
        </row>
        <row r="1199">
          <cell r="A1199" t="str">
            <v>FTK11003</v>
          </cell>
          <cell r="B1199" t="str">
            <v>AUTOMOTIVO</v>
          </cell>
          <cell r="C1199" t="str">
            <v>Pivô</v>
          </cell>
          <cell r="D1199" t="str">
            <v>SIMPLES</v>
          </cell>
          <cell r="E1199" t="str">
            <v>SPARE</v>
          </cell>
          <cell r="F1199" t="str">
            <v>Pivô Da Bandeja Inferior Ambos Os Lados Gol 1992 À 1997</v>
          </cell>
        </row>
        <row r="1200">
          <cell r="A1200" t="str">
            <v>FTK11004</v>
          </cell>
          <cell r="B1200" t="str">
            <v>AUTOMOTIVO</v>
          </cell>
          <cell r="C1200" t="str">
            <v>Pivô</v>
          </cell>
          <cell r="D1200" t="str">
            <v>SIMPLES</v>
          </cell>
          <cell r="E1200" t="str">
            <v>SPARE</v>
          </cell>
          <cell r="F1200" t="str">
            <v>Pivô Inferior Bandeja Dianteira Direito Parati 1983 À 1992</v>
          </cell>
        </row>
        <row r="1201">
          <cell r="A1201" t="str">
            <v>FTK11004-AMW</v>
          </cell>
          <cell r="B1201" t="str">
            <v>AUTOMOTIVO</v>
          </cell>
          <cell r="C1201" t="str">
            <v>Bucha Bandeja</v>
          </cell>
          <cell r="D1201" t="str">
            <v>SIMPLES</v>
          </cell>
          <cell r="E1201" t="str">
            <v>AMW</v>
          </cell>
          <cell r="F1201" t="str">
            <v>Bucha Dianteira Da Bandeja Dianteira Nivus 2020 Em Diante</v>
          </cell>
        </row>
        <row r="1202">
          <cell r="A1202" t="str">
            <v>FTK11005</v>
          </cell>
          <cell r="B1202" t="str">
            <v>AUTOMOTIVO</v>
          </cell>
          <cell r="C1202" t="str">
            <v>Pivô</v>
          </cell>
          <cell r="D1202" t="str">
            <v>SIMPLES</v>
          </cell>
          <cell r="E1202" t="str">
            <v>SPARE</v>
          </cell>
          <cell r="F1202" t="str">
            <v>Pivô Inferior Bandeja Dianteira Esquerdo Voyage 1981 À 1992</v>
          </cell>
        </row>
        <row r="1203">
          <cell r="A1203" t="str">
            <v>FTK11006-AMW</v>
          </cell>
          <cell r="B1203" t="str">
            <v>AUTOMOTIVO</v>
          </cell>
          <cell r="C1203" t="str">
            <v>Bucha Bandeja</v>
          </cell>
          <cell r="D1203" t="str">
            <v>SIMPLES</v>
          </cell>
          <cell r="E1203" t="str">
            <v>AMW</v>
          </cell>
          <cell r="F1203" t="str">
            <v>Bucha Traseira Da Bandeja Dianteira Golf 1999 A 2007</v>
          </cell>
        </row>
        <row r="1204">
          <cell r="A1204" t="str">
            <v>FTK110165</v>
          </cell>
          <cell r="B1204" t="str">
            <v>AUTOMOTIVO</v>
          </cell>
          <cell r="C1204" t="str">
            <v>Rolamento semi Eixo</v>
          </cell>
          <cell r="D1204" t="str">
            <v>SIMPLES</v>
          </cell>
          <cell r="E1204" t="str">
            <v>Roletan</v>
          </cell>
          <cell r="F1204" t="str">
            <v>Rolamento Coifa Palio G1 1.0 1996 A 2000</v>
          </cell>
        </row>
        <row r="1205">
          <cell r="A1205" t="str">
            <v>FTK11018-MB</v>
          </cell>
          <cell r="B1205" t="str">
            <v>AUTOMOTIVO</v>
          </cell>
          <cell r="C1205" t="str">
            <v>Bucha Bandeja</v>
          </cell>
          <cell r="D1205" t="str">
            <v>SIMPLES</v>
          </cell>
          <cell r="E1205" t="str">
            <v>MOBENSANI</v>
          </cell>
          <cell r="F1205" t="str">
            <v>Bucha Dianteira Da Bandeja Dianteira Pajero Sport 03 Diante</v>
          </cell>
        </row>
        <row r="1206">
          <cell r="A1206" t="str">
            <v>FTK11019</v>
          </cell>
          <cell r="B1206" t="str">
            <v>AUTOMOTIVO</v>
          </cell>
          <cell r="C1206" t="str">
            <v>Pivô</v>
          </cell>
          <cell r="D1206" t="str">
            <v>SIMPLES</v>
          </cell>
          <cell r="E1206" t="str">
            <v>SPARE</v>
          </cell>
          <cell r="F1206" t="str">
            <v>Pivô Bandeja Inferior Dianteira Ambos Os Lados Van 98 À 02</v>
          </cell>
        </row>
        <row r="1207">
          <cell r="A1207" t="str">
            <v>FTK11019-MB</v>
          </cell>
          <cell r="B1207" t="str">
            <v>AUTOMOTIVO</v>
          </cell>
          <cell r="C1207" t="str">
            <v>Bucha Bandeja</v>
          </cell>
          <cell r="D1207" t="str">
            <v>SIMPLES</v>
          </cell>
          <cell r="E1207" t="str">
            <v>MOBENSANI</v>
          </cell>
          <cell r="F1207" t="str">
            <v>Bucha Da Bandeja Dianteira Pajero Sport 2001 Em Diante</v>
          </cell>
        </row>
        <row r="1208">
          <cell r="A1208" t="str">
            <v>FTK-11020</v>
          </cell>
          <cell r="B1208" t="str">
            <v>AUTOMOTIVO</v>
          </cell>
          <cell r="C1208" t="str">
            <v>Pivô</v>
          </cell>
          <cell r="D1208" t="str">
            <v>SIMPLES</v>
          </cell>
          <cell r="E1208" t="str">
            <v>SPARE</v>
          </cell>
          <cell r="F1208" t="str">
            <v>PIVÔ INFERIOR CORCEL DEL REY PAMPA SCALA BELINA</v>
          </cell>
        </row>
        <row r="1209">
          <cell r="A1209" t="str">
            <v>FTK-11020S</v>
          </cell>
          <cell r="B1209" t="str">
            <v>AUTOMOTIVO</v>
          </cell>
          <cell r="C1209" t="str">
            <v>Pivô</v>
          </cell>
          <cell r="D1209" t="str">
            <v>SIMPLES</v>
          </cell>
          <cell r="E1209" t="str">
            <v>SPARE</v>
          </cell>
          <cell r="F1209" t="str">
            <v>Pivô Superior Del Rey 1982 Á 1991</v>
          </cell>
        </row>
        <row r="1210">
          <cell r="A1210" t="str">
            <v>FTK11021</v>
          </cell>
          <cell r="B1210" t="str">
            <v>AUTOMOTIVO</v>
          </cell>
          <cell r="C1210" t="str">
            <v>pivô</v>
          </cell>
          <cell r="D1210" t="str">
            <v>SIMPLES</v>
          </cell>
          <cell r="E1210" t="str">
            <v>SPARE</v>
          </cell>
          <cell r="F1210" t="str">
            <v>Pivô Inferior Bandeja Dianteira Ka 1997 À 2007</v>
          </cell>
        </row>
        <row r="1211">
          <cell r="A1211" t="str">
            <v>FTK11022</v>
          </cell>
          <cell r="B1211" t="str">
            <v>AUTOMOTIVO</v>
          </cell>
          <cell r="C1211" t="str">
            <v>Pivô</v>
          </cell>
          <cell r="D1211" t="str">
            <v>SIMPLES</v>
          </cell>
          <cell r="E1211" t="str">
            <v>SPARE</v>
          </cell>
          <cell r="F1211" t="str">
            <v>Pivô Bandeja Inferior Ambos Lados Verona 1993 A 1996</v>
          </cell>
        </row>
        <row r="1212">
          <cell r="A1212" t="str">
            <v>FTK11023</v>
          </cell>
          <cell r="B1212" t="str">
            <v>AUTOMOTIVO</v>
          </cell>
          <cell r="C1212" t="str">
            <v>Pivô</v>
          </cell>
          <cell r="D1212" t="str">
            <v>SIMPLES</v>
          </cell>
          <cell r="E1212" t="str">
            <v>SPARE</v>
          </cell>
          <cell r="F1212" t="str">
            <v>PIVÔ INFERIOR CHEVETTE CHEVY MARAJÓ</v>
          </cell>
        </row>
        <row r="1213">
          <cell r="A1213" t="str">
            <v>FTK11024</v>
          </cell>
          <cell r="B1213" t="str">
            <v>AUTOMOTIVO</v>
          </cell>
          <cell r="C1213" t="str">
            <v>Pivô</v>
          </cell>
          <cell r="D1213" t="str">
            <v>SIMPLES</v>
          </cell>
          <cell r="E1213" t="str">
            <v>SPARE</v>
          </cell>
          <cell r="F1213" t="str">
            <v>Pivô Inferior CORSA 94/97</v>
          </cell>
        </row>
        <row r="1214">
          <cell r="A1214" t="str">
            <v>FTK11026</v>
          </cell>
          <cell r="B1214" t="str">
            <v>AUTOMOTIVO</v>
          </cell>
          <cell r="D1214" t="str">
            <v>SIMPLES</v>
          </cell>
        </row>
        <row r="1215">
          <cell r="A1215" t="str">
            <v>ftk11028-mb</v>
          </cell>
          <cell r="B1215" t="str">
            <v>AUTOMOTIVO</v>
          </cell>
          <cell r="C1215" t="str">
            <v>Bucha Bandeja</v>
          </cell>
          <cell r="D1215" t="str">
            <v>SIMPLES</v>
          </cell>
          <cell r="E1215" t="str">
            <v>MOBENSANI</v>
          </cell>
          <cell r="F1215" t="str">
            <v>Bucha Da Bandeja Inferior Dianteira Pajero Tr4 2002 Diante</v>
          </cell>
        </row>
        <row r="1216">
          <cell r="A1216" t="str">
            <v>FTK11030</v>
          </cell>
          <cell r="B1216" t="str">
            <v>AUTOMOTIVO</v>
          </cell>
          <cell r="C1216" t="str">
            <v>Pivô</v>
          </cell>
          <cell r="D1216" t="str">
            <v>SIMPLES</v>
          </cell>
          <cell r="E1216" t="str">
            <v>SPARE</v>
          </cell>
          <cell r="F1216" t="str">
            <v>Pivô Da Bandeja Inferior Ambos Os Lados Kadett 1989 À 1998</v>
          </cell>
        </row>
        <row r="1217">
          <cell r="A1217" t="str">
            <v>FTK11032</v>
          </cell>
          <cell r="B1217" t="str">
            <v>AUTOMOTIVO</v>
          </cell>
          <cell r="C1217" t="str">
            <v>Pivô</v>
          </cell>
          <cell r="D1217" t="str">
            <v>SIMPLES</v>
          </cell>
          <cell r="E1217" t="str">
            <v>SPARE</v>
          </cell>
          <cell r="F1217" t="str">
            <v>Pivô Inferior Ambos Lados Grand Siena 2012 A 2021</v>
          </cell>
        </row>
        <row r="1218">
          <cell r="A1218" t="str">
            <v>FTK11038</v>
          </cell>
          <cell r="B1218" t="str">
            <v>AUTOMOTIVO</v>
          </cell>
          <cell r="C1218" t="str">
            <v>Pivô</v>
          </cell>
          <cell r="D1218" t="str">
            <v>SIMPLES</v>
          </cell>
          <cell r="E1218" t="str">
            <v>SPARE</v>
          </cell>
          <cell r="F1218" t="str">
            <v>PIVÔ INFERIOR AMBOS LADOS PALIO 1996 A 1999</v>
          </cell>
        </row>
        <row r="1219">
          <cell r="A1219" t="str">
            <v>FTK11042</v>
          </cell>
          <cell r="B1219" t="str">
            <v>AUTOMOTIVO</v>
          </cell>
          <cell r="C1219" t="str">
            <v>Pivô</v>
          </cell>
          <cell r="D1219" t="str">
            <v>SIMPLES</v>
          </cell>
          <cell r="E1219" t="str">
            <v>SPARE</v>
          </cell>
          <cell r="F1219" t="str">
            <v>Pivô Bandeja Dianteira Direita Polo Gti 2006 A 2017</v>
          </cell>
        </row>
        <row r="1220">
          <cell r="A1220" t="str">
            <v>FTK11043</v>
          </cell>
          <cell r="B1220" t="str">
            <v>AUTOMOTIVO</v>
          </cell>
          <cell r="C1220" t="str">
            <v>Pivô</v>
          </cell>
          <cell r="D1220" t="str">
            <v>SIMPLES</v>
          </cell>
          <cell r="E1220" t="str">
            <v>SPARE</v>
          </cell>
          <cell r="F1220" t="str">
            <v>Pivô Bandeja Dianteira Esquerda Polo 2002 A 2017</v>
          </cell>
        </row>
        <row r="1221">
          <cell r="A1221" t="str">
            <v>FTK11045</v>
          </cell>
          <cell r="B1221" t="str">
            <v>AUTOMOTIVO</v>
          </cell>
          <cell r="C1221" t="str">
            <v>Pivô</v>
          </cell>
          <cell r="D1221" t="str">
            <v>SIMPLES</v>
          </cell>
          <cell r="E1221" t="str">
            <v>SPARE</v>
          </cell>
          <cell r="F1221" t="str">
            <v>Pivô Inferior Bandeja Lifan 620 2010 Á 2017 1.6 16v</v>
          </cell>
        </row>
        <row r="1222">
          <cell r="A1222" t="str">
            <v>FTK11047</v>
          </cell>
          <cell r="B1222" t="str">
            <v>AUTOMOTIVO</v>
          </cell>
          <cell r="C1222" t="str">
            <v>Pivô</v>
          </cell>
          <cell r="D1222" t="str">
            <v>SIMPLES</v>
          </cell>
          <cell r="E1222" t="str">
            <v>SPARE</v>
          </cell>
          <cell r="F1222" t="str">
            <v>Pivô Da Bandeja Dianteira Ambos Lados Montana 2004 A 2010</v>
          </cell>
        </row>
        <row r="1223">
          <cell r="A1223" t="str">
            <v>FTK11048</v>
          </cell>
          <cell r="B1223" t="str">
            <v>AUTOMOTIVO</v>
          </cell>
          <cell r="C1223" t="str">
            <v>Pivô</v>
          </cell>
          <cell r="D1223" t="str">
            <v>SIMPLES</v>
          </cell>
          <cell r="E1223" t="str">
            <v>SPARE</v>
          </cell>
          <cell r="F1223" t="str">
            <v>pivô Da Bandeja Inferior C3 2002 À 2013</v>
          </cell>
        </row>
        <row r="1224">
          <cell r="A1224" t="str">
            <v>FTK11049</v>
          </cell>
          <cell r="B1224" t="str">
            <v>AUTOMOTIVO</v>
          </cell>
          <cell r="C1224" t="str">
            <v>Pivô</v>
          </cell>
          <cell r="D1224" t="str">
            <v>SIMPLES</v>
          </cell>
          <cell r="E1224" t="str">
            <v>SPARE</v>
          </cell>
          <cell r="F1224" t="str">
            <v>Pivô Bandeja Inferior Dianteira Esquerda Doblô 2003 À 2017</v>
          </cell>
        </row>
        <row r="1225">
          <cell r="A1225" t="str">
            <v>FTK-11049</v>
          </cell>
          <cell r="B1225" t="str">
            <v>AUTOMOTIVO</v>
          </cell>
          <cell r="C1225" t="str">
            <v>Pivô</v>
          </cell>
          <cell r="D1225" t="str">
            <v>SIMPLES</v>
          </cell>
          <cell r="E1225" t="str">
            <v>SPARE</v>
          </cell>
          <cell r="F1225" t="str">
            <v>Pivô Bandeja Inferior Dianteira Esquerda Doblô 2003 À 2017</v>
          </cell>
        </row>
        <row r="1226">
          <cell r="A1226" t="str">
            <v>FTK11050</v>
          </cell>
          <cell r="B1226" t="str">
            <v>AUTOMOTIVO</v>
          </cell>
          <cell r="C1226" t="str">
            <v>Pivô</v>
          </cell>
          <cell r="D1226" t="str">
            <v>SIMPLES</v>
          </cell>
          <cell r="E1226" t="str">
            <v>SPARE</v>
          </cell>
          <cell r="F1226" t="str">
            <v>Pivô Bandeja Inferior Dianteira Direita Doblô 2003 À 2017</v>
          </cell>
        </row>
        <row r="1227">
          <cell r="A1227" t="str">
            <v>FTK-11050</v>
          </cell>
          <cell r="B1227" t="str">
            <v>AUTOMOTIVO</v>
          </cell>
          <cell r="C1227" t="str">
            <v>Pivô</v>
          </cell>
          <cell r="D1227" t="str">
            <v>SIMPLES</v>
          </cell>
          <cell r="E1227" t="str">
            <v>SPARE</v>
          </cell>
          <cell r="F1227" t="str">
            <v>Pivô Bandeja Inferior Dianteira Direita Doblô 2003 À 2017</v>
          </cell>
        </row>
        <row r="1228">
          <cell r="A1228" t="str">
            <v>FTK11051</v>
          </cell>
          <cell r="B1228" t="str">
            <v>AUTOMOTIVO</v>
          </cell>
          <cell r="C1228" t="str">
            <v>Pivô</v>
          </cell>
          <cell r="D1228" t="str">
            <v>SIMPLES</v>
          </cell>
          <cell r="E1228" t="str">
            <v>SPARE</v>
          </cell>
          <cell r="F1228" t="str">
            <v>PIVÔ INFERIOR AMBOS LADOS MERIVA 1.4 1.8 2003 A 2012</v>
          </cell>
        </row>
        <row r="1229">
          <cell r="A1229" t="str">
            <v>FTK11052</v>
          </cell>
          <cell r="B1229" t="str">
            <v>AUTOMOTIVO</v>
          </cell>
          <cell r="C1229" t="str">
            <v>Pivô</v>
          </cell>
          <cell r="D1229" t="str">
            <v>SIMPLES</v>
          </cell>
          <cell r="E1229" t="str">
            <v>SPARE</v>
          </cell>
          <cell r="F1229" t="str">
            <v>Pivô Inferior Direita Strada Adventure Locker 2009 A 2017</v>
          </cell>
        </row>
        <row r="1230">
          <cell r="A1230" t="str">
            <v>FTK11053</v>
          </cell>
          <cell r="B1230" t="str">
            <v>AUTOMOTIVO</v>
          </cell>
          <cell r="C1230" t="str">
            <v>Pivô</v>
          </cell>
          <cell r="D1230" t="str">
            <v>SIMPLES</v>
          </cell>
          <cell r="E1230" t="str">
            <v>SPARE</v>
          </cell>
          <cell r="F1230" t="str">
            <v>Pivô Inferior Da Bandeja Esquerda Idea Adventure 2006 A 2017</v>
          </cell>
        </row>
        <row r="1231">
          <cell r="A1231" t="str">
            <v>FTK11055</v>
          </cell>
          <cell r="B1231" t="str">
            <v>AUTOMOTIVO</v>
          </cell>
          <cell r="C1231" t="str">
            <v>Pivô</v>
          </cell>
          <cell r="D1231" t="str">
            <v>SIMPLES</v>
          </cell>
          <cell r="E1231" t="str">
            <v>SPARE</v>
          </cell>
          <cell r="F1231" t="str">
            <v>Pivô Bandeja Dianteira Ambos Os Lados Punto 2008 A 2017</v>
          </cell>
        </row>
        <row r="1232">
          <cell r="A1232" t="str">
            <v>FTK11056</v>
          </cell>
          <cell r="B1232" t="str">
            <v>AUTOMOTIVO</v>
          </cell>
          <cell r="C1232" t="str">
            <v>Pivô</v>
          </cell>
          <cell r="D1232" t="str">
            <v>SIMPLES</v>
          </cell>
          <cell r="E1232" t="str">
            <v>SPARE</v>
          </cell>
          <cell r="F1232" t="str">
            <v>Pivô Lado Direito Crossfox 2014 Em Diante</v>
          </cell>
        </row>
        <row r="1233">
          <cell r="A1233" t="str">
            <v>FTK11057</v>
          </cell>
          <cell r="B1233" t="str">
            <v>AUTOMOTIVO</v>
          </cell>
          <cell r="C1233" t="str">
            <v>Pivô</v>
          </cell>
          <cell r="D1233" t="str">
            <v>SIMPLES</v>
          </cell>
          <cell r="E1233" t="str">
            <v>SPARE</v>
          </cell>
          <cell r="F1233" t="str">
            <v>Pivô Lado Esquerdo Gol G6 2012 Em Diante</v>
          </cell>
        </row>
        <row r="1234">
          <cell r="A1234" t="str">
            <v>FTK11058</v>
          </cell>
          <cell r="B1234" t="str">
            <v>AUTOMOTIVO</v>
          </cell>
          <cell r="C1234" t="str">
            <v>Pivô</v>
          </cell>
          <cell r="D1234" t="str">
            <v>SIMPLES</v>
          </cell>
          <cell r="E1234" t="str">
            <v>SPARE</v>
          </cell>
          <cell r="F1234" t="str">
            <v>Pivô Inferior Bandeja Dianteira Idea Ambos Lados 2006 À 2017</v>
          </cell>
        </row>
        <row r="1235">
          <cell r="A1235" t="str">
            <v>FTK11060</v>
          </cell>
          <cell r="B1235" t="str">
            <v>AUTOMOTIVO</v>
          </cell>
          <cell r="C1235" t="str">
            <v>Pivô</v>
          </cell>
          <cell r="D1235" t="str">
            <v>SIMPLES</v>
          </cell>
          <cell r="E1235" t="str">
            <v>SPARE</v>
          </cell>
          <cell r="F1235" t="str">
            <v>Pivô Da Bandeja Inferior Ambos Lados Aircross 2011 A 2021</v>
          </cell>
        </row>
        <row r="1236">
          <cell r="A1236" t="str">
            <v>FTK11110</v>
          </cell>
          <cell r="B1236" t="str">
            <v>AUTOMOTIVO</v>
          </cell>
          <cell r="C1236" t="str">
            <v>Pivô</v>
          </cell>
          <cell r="D1236" t="str">
            <v>SIMPLES</v>
          </cell>
          <cell r="E1236" t="str">
            <v>SPARE</v>
          </cell>
          <cell r="F1236" t="str">
            <v>Pivô Inferior Ambos Lados I30 I Fd 2007 A 2012</v>
          </cell>
        </row>
        <row r="1237">
          <cell r="A1237" t="str">
            <v>FTK11140-MB</v>
          </cell>
          <cell r="B1237" t="str">
            <v>AUTOMOTIVO</v>
          </cell>
          <cell r="C1237" t="str">
            <v>Bucha Bandeja</v>
          </cell>
          <cell r="D1237" t="str">
            <v>SIMPLES</v>
          </cell>
          <cell r="E1237" t="str">
            <v>MOBENSANI</v>
          </cell>
          <cell r="F1237" t="str">
            <v>Bucha Da Bandeja Superior Suspensão Dianteira Blazer 96 A 11</v>
          </cell>
        </row>
        <row r="1238">
          <cell r="A1238" t="str">
            <v>FTK11170-MB</v>
          </cell>
          <cell r="B1238" t="str">
            <v>AUTOMOTIVO</v>
          </cell>
          <cell r="C1238" t="str">
            <v>Bucha Bandeja</v>
          </cell>
          <cell r="D1238" t="str">
            <v>SIMPLES</v>
          </cell>
          <cell r="E1238" t="str">
            <v>MOBENSANI</v>
          </cell>
          <cell r="F1238" t="str">
            <v>BUCHA TRASEIRA DA BANDEJA DIANTEIRA OMEGA SUPREMA 93 A 98</v>
          </cell>
        </row>
        <row r="1239">
          <cell r="A1239" t="str">
            <v>FTK11171-MB</v>
          </cell>
          <cell r="B1239" t="str">
            <v>AUTOMOTIVO</v>
          </cell>
          <cell r="C1239" t="str">
            <v>Bucha Bandeja</v>
          </cell>
          <cell r="D1239" t="str">
            <v>SIMPLES</v>
          </cell>
          <cell r="E1239" t="str">
            <v>MOBENSANI</v>
          </cell>
          <cell r="F1239" t="str">
            <v>BUCHA DIANTEIRA DA BANDEJA DIANTEIRA OMEGA SUPREMA 93 A 98</v>
          </cell>
        </row>
        <row r="1240">
          <cell r="A1240" t="str">
            <v>FTK11203A-MB</v>
          </cell>
          <cell r="B1240" t="str">
            <v>AUTOMOTIVO</v>
          </cell>
          <cell r="C1240" t="str">
            <v>Bucha Bandeja</v>
          </cell>
          <cell r="D1240" t="str">
            <v>SIMPLES</v>
          </cell>
          <cell r="E1240" t="str">
            <v>MOBENSANI</v>
          </cell>
          <cell r="F1240" t="str">
            <v>Refil Bucha Dianteira Da Bandeja Dianteira Meriva 2002 A 12</v>
          </cell>
        </row>
        <row r="1241">
          <cell r="A1241" t="str">
            <v>FTK11203-MB</v>
          </cell>
          <cell r="B1241" t="str">
            <v>AUTOMOTIVO</v>
          </cell>
          <cell r="C1241" t="str">
            <v>Bucha Bandeja</v>
          </cell>
          <cell r="D1241" t="str">
            <v>SIMPLES</v>
          </cell>
          <cell r="E1241" t="str">
            <v>MOBENSANI</v>
          </cell>
          <cell r="F1241" t="str">
            <v>Suporte Dianteiro Da Bandeja Dianteira Meriva 2002 A 2014</v>
          </cell>
        </row>
        <row r="1242">
          <cell r="A1242" t="str">
            <v>FTK11204-MB</v>
          </cell>
          <cell r="B1242" t="str">
            <v>AUTOMOTIVO</v>
          </cell>
          <cell r="C1242" t="str">
            <v>Bucha Bandeja</v>
          </cell>
          <cell r="D1242" t="str">
            <v>SIMPLES</v>
          </cell>
          <cell r="E1242" t="str">
            <v>MOBENSANI</v>
          </cell>
          <cell r="F1242" t="str">
            <v>Bucha Traseira Da Bandeja Dianteira Corsa 2002 A 2012</v>
          </cell>
        </row>
        <row r="1243">
          <cell r="A1243" t="str">
            <v>FTK11224-MB</v>
          </cell>
          <cell r="B1243" t="str">
            <v>AUTOMOTIVO</v>
          </cell>
          <cell r="C1243" t="str">
            <v>Bucha Bandeja</v>
          </cell>
          <cell r="D1243" t="str">
            <v>SIMPLES</v>
          </cell>
          <cell r="E1243" t="str">
            <v>MOBENSANI</v>
          </cell>
          <cell r="F1243" t="str">
            <v>Bucha Dianteira Da Bandeja Dianteira Cobalt 2011 Em Diante</v>
          </cell>
        </row>
        <row r="1244">
          <cell r="A1244" t="str">
            <v>FTK11225-MB</v>
          </cell>
          <cell r="B1244" t="str">
            <v>AUTOMOTIVO</v>
          </cell>
          <cell r="C1244" t="str">
            <v>Bucha Bandeja</v>
          </cell>
          <cell r="D1244" t="str">
            <v>SIMPLES</v>
          </cell>
          <cell r="E1244" t="str">
            <v>MOBENSANI</v>
          </cell>
          <cell r="F1244" t="str">
            <v>Bucha Traseira Da Bandeja Dianteira Prisma 2013 Em Diante</v>
          </cell>
        </row>
        <row r="1245">
          <cell r="A1245" t="str">
            <v>FTK1191-MB</v>
          </cell>
          <cell r="B1245" t="str">
            <v>AUTOMOTIVO</v>
          </cell>
          <cell r="C1245" t="str">
            <v>Bucha Bandeja</v>
          </cell>
          <cell r="D1245" t="str">
            <v>SIMPLES</v>
          </cell>
          <cell r="E1245" t="str">
            <v>MOBENSANI</v>
          </cell>
          <cell r="F1245" t="str">
            <v>Bucha Da Bandeja Suspensão Dianteira C14 C15 1982 A 1984</v>
          </cell>
        </row>
        <row r="1246">
          <cell r="A1246" t="str">
            <v>FTK12223</v>
          </cell>
          <cell r="B1246" t="str">
            <v>AUTOMOTIVO</v>
          </cell>
          <cell r="C1246" t="str">
            <v>Rolamento roda</v>
          </cell>
          <cell r="D1246" t="str">
            <v>SIMPLES</v>
          </cell>
          <cell r="E1246" t="str">
            <v>IRB</v>
          </cell>
          <cell r="F1246" t="str">
            <v>ROLAMENTO RODA TRASEIRA CITROEN AX 1.4 8V 1992 A 1998</v>
          </cell>
        </row>
        <row r="1247">
          <cell r="A1247" t="str">
            <v>FTK1404</v>
          </cell>
          <cell r="B1247" t="str">
            <v>AUTOMOTIVO</v>
          </cell>
          <cell r="C1247" t="str">
            <v>Coifa Homocinética</v>
          </cell>
          <cell r="D1247" t="str">
            <v>SIMPLES</v>
          </cell>
          <cell r="E1247" t="str">
            <v>Replabor</v>
          </cell>
          <cell r="F1247" t="str">
            <v>COIFA HOMOCINETICA LADO RODA SENTRA 1991 EM DIANTE</v>
          </cell>
        </row>
        <row r="1248">
          <cell r="A1248" t="str">
            <v>FTK14272</v>
          </cell>
          <cell r="B1248" t="str">
            <v>AUTOMOTIVO</v>
          </cell>
          <cell r="C1248" t="str">
            <v>Rolamento Roda</v>
          </cell>
          <cell r="D1248" t="str">
            <v>SIMPLES</v>
          </cell>
          <cell r="E1248" t="str">
            <v>IRB</v>
          </cell>
          <cell r="F1248" t="str">
            <v>ROLAMENTO RODA DIANTEIRA SUBARU FORESTER 2.0 2.5 1997 A 2008</v>
          </cell>
        </row>
        <row r="1249">
          <cell r="A1249" t="str">
            <v>FTK146</v>
          </cell>
          <cell r="B1249" t="str">
            <v>AUTOMOTIVO</v>
          </cell>
          <cell r="C1249" t="str">
            <v>Coifa Homocinética</v>
          </cell>
          <cell r="D1249" t="str">
            <v>SIMPLES</v>
          </cell>
          <cell r="E1249" t="str">
            <v>REPLABOR</v>
          </cell>
          <cell r="F1249" t="str">
            <v>Coifa Homocinetica Câmbio Esquerdo Fiesta 2002 A 2014</v>
          </cell>
        </row>
        <row r="1250">
          <cell r="A1250" t="str">
            <v>FTK1510</v>
          </cell>
          <cell r="B1250" t="str">
            <v>AUTOMOTIVO</v>
          </cell>
          <cell r="C1250" t="str">
            <v>Coifa Homocinética</v>
          </cell>
          <cell r="D1250" t="str">
            <v>SIMPLES</v>
          </cell>
          <cell r="E1250" t="str">
            <v>Replabor</v>
          </cell>
          <cell r="F1250" t="str">
            <v>COIFA HOMOCINETICA LADO RODA HB20 1.0 1.6 2012 EM DIANTE</v>
          </cell>
        </row>
        <row r="1251">
          <cell r="A1251" t="str">
            <v>FTK1511</v>
          </cell>
          <cell r="B1251" t="str">
            <v>AUTOMOTIVO</v>
          </cell>
          <cell r="C1251" t="str">
            <v>Coifa Homocinética</v>
          </cell>
          <cell r="D1251" t="str">
            <v>SIMPLES</v>
          </cell>
          <cell r="E1251" t="str">
            <v>Replabor</v>
          </cell>
          <cell r="F1251" t="str">
            <v>COIFA HOMOCINETICA LADO CÂMBIO HB20 1.6 2012 EM DIANTE</v>
          </cell>
        </row>
        <row r="1252">
          <cell r="A1252" t="str">
            <v>FTK-1512</v>
          </cell>
          <cell r="B1252" t="str">
            <v>AUTOMOTIVO</v>
          </cell>
          <cell r="C1252" t="str">
            <v>Coifa Homocinética</v>
          </cell>
          <cell r="D1252" t="str">
            <v>SIMPLES</v>
          </cell>
          <cell r="E1252" t="str">
            <v>Replabor</v>
          </cell>
          <cell r="F1252" t="str">
            <v>COIFA HOMOCINETICA LADO CÂMBIO HB20 1.0 2012 EM DIANTE</v>
          </cell>
        </row>
        <row r="1253">
          <cell r="A1253" t="str">
            <v>FTK18005</v>
          </cell>
          <cell r="B1253" t="str">
            <v>AUTOMOTIVO</v>
          </cell>
          <cell r="C1253" t="str">
            <v>Rolamento roda</v>
          </cell>
          <cell r="D1253" t="str">
            <v>SIMPLES</v>
          </cell>
          <cell r="E1253" t="str">
            <v>IRB</v>
          </cell>
          <cell r="F1253" t="str">
            <v>ROLAMENTO RODA DIANTEIRA C3 1.4 1.6 S ABS 02 2002 A 02 2010</v>
          </cell>
        </row>
        <row r="1254">
          <cell r="A1254" t="str">
            <v>FTK18012</v>
          </cell>
          <cell r="B1254" t="str">
            <v>AUTOMOTIVO</v>
          </cell>
          <cell r="C1254" t="str">
            <v>Rolamento Roda</v>
          </cell>
          <cell r="D1254" t="str">
            <v>SIMPLES</v>
          </cell>
          <cell r="E1254" t="str">
            <v>IRB</v>
          </cell>
          <cell r="F1254" t="str">
            <v>ROLAMENTO RODA DIANTEIRA JUMPY 1.6 2017 A 2021</v>
          </cell>
        </row>
        <row r="1255">
          <cell r="A1255" t="str">
            <v>FTK18026</v>
          </cell>
          <cell r="B1255" t="str">
            <v>AUTOMOTIVO</v>
          </cell>
          <cell r="C1255" t="str">
            <v>Rolamento roda</v>
          </cell>
          <cell r="D1255" t="str">
            <v>SIMPLES</v>
          </cell>
          <cell r="E1255" t="str">
            <v>IRB</v>
          </cell>
          <cell r="F1255" t="str">
            <v>ROLAMENTO RODA DIANTEIRA FIAT 147 1050 1.3 10 1985 EM DIANTE</v>
          </cell>
        </row>
        <row r="1256">
          <cell r="A1256" t="str">
            <v>FTK18042</v>
          </cell>
          <cell r="B1256" t="str">
            <v>AUTOMOTIVO</v>
          </cell>
          <cell r="C1256" t="str">
            <v>Rolamento roda</v>
          </cell>
          <cell r="D1256" t="str">
            <v>SIMPLES</v>
          </cell>
          <cell r="E1256" t="str">
            <v>IRB</v>
          </cell>
          <cell r="F1256" t="str">
            <v>ROLAMENTO RODA DIANTEIRA clio 1.8 8 16V 1996 em diante</v>
          </cell>
        </row>
        <row r="1257">
          <cell r="A1257" t="str">
            <v>FTK18045</v>
          </cell>
          <cell r="B1257" t="str">
            <v>AUTOMOTIVO</v>
          </cell>
          <cell r="C1257" t="str">
            <v>Rolamento Roda</v>
          </cell>
          <cell r="D1257" t="str">
            <v>SIMPLES</v>
          </cell>
          <cell r="E1257" t="str">
            <v>IRB</v>
          </cell>
          <cell r="F1257" t="str">
            <v>ROLAMENTO RODA DIANTEIRA CELER 1.5 16V 2012 EM DIANTE</v>
          </cell>
        </row>
        <row r="1258">
          <cell r="A1258" t="str">
            <v>FTK18072</v>
          </cell>
          <cell r="B1258" t="str">
            <v>AUTOMOTIVO</v>
          </cell>
          <cell r="C1258" t="str">
            <v>Rolamento roda</v>
          </cell>
          <cell r="D1258" t="str">
            <v>SIMPLES</v>
          </cell>
          <cell r="E1258" t="str">
            <v>IRB</v>
          </cell>
          <cell r="F1258" t="str">
            <v>ROLAMENTO RODA DIANTEIRA C3 1.4 16V 1.6 16V 02 2002 15</v>
          </cell>
        </row>
        <row r="1259">
          <cell r="A1259" t="str">
            <v>FTK18088</v>
          </cell>
          <cell r="B1259" t="str">
            <v>AUTOMOTIVO</v>
          </cell>
          <cell r="C1259" t="str">
            <v>Rolamento Roda</v>
          </cell>
          <cell r="D1259" t="str">
            <v>SIMPLES</v>
          </cell>
          <cell r="E1259" t="str">
            <v>IRB</v>
          </cell>
          <cell r="F1259" t="str">
            <v>ROLAMENTO RODA DIANTEIRA ALFA ROMEO 145 ATÉ 1999</v>
          </cell>
        </row>
        <row r="1260">
          <cell r="A1260" t="str">
            <v>FTK18096</v>
          </cell>
          <cell r="B1260" t="str">
            <v>AUTOMOTIVO</v>
          </cell>
          <cell r="C1260" t="str">
            <v>Rolamento roda</v>
          </cell>
          <cell r="D1260" t="str">
            <v>SIMPLES</v>
          </cell>
          <cell r="E1260" t="str">
            <v>IRB</v>
          </cell>
          <cell r="F1260" t="str">
            <v>ROLAMENTO RODA TRASEIRA CRV 2.4 16V 2002 A 2004</v>
          </cell>
        </row>
        <row r="1261">
          <cell r="A1261" t="str">
            <v>FTK18098</v>
          </cell>
          <cell r="B1261" t="str">
            <v>AUTOMOTIVO</v>
          </cell>
          <cell r="C1261" t="str">
            <v>Rolamento roda</v>
          </cell>
          <cell r="D1261" t="str">
            <v>SIMPLES</v>
          </cell>
          <cell r="E1261" t="str">
            <v>IRB</v>
          </cell>
          <cell r="F1261" t="str">
            <v>ROLAMENTO RODA DIANTEIRA ACCORD 2.0 16V 02 2003 A 2011</v>
          </cell>
        </row>
        <row r="1262">
          <cell r="A1262" t="str">
            <v>FTK18102</v>
          </cell>
          <cell r="B1262" t="str">
            <v>AUTOMOTIVO</v>
          </cell>
          <cell r="C1262" t="str">
            <v>Rolamento Roda</v>
          </cell>
          <cell r="D1262" t="str">
            <v>SIMPLES</v>
          </cell>
          <cell r="E1262" t="str">
            <v>IRB</v>
          </cell>
          <cell r="F1262" t="str">
            <v>ROLAMENTO RODA TRASEIRA LAND ROVER DISCOVERY 3 2005 A 2009</v>
          </cell>
        </row>
        <row r="1263">
          <cell r="A1263" t="str">
            <v>FTK18168</v>
          </cell>
          <cell r="B1263" t="str">
            <v>AUTOMOTIVO</v>
          </cell>
          <cell r="C1263" t="str">
            <v>Rolamento Roda</v>
          </cell>
          <cell r="D1263" t="str">
            <v>SIMPLES</v>
          </cell>
          <cell r="E1263" t="str">
            <v>IRB</v>
          </cell>
          <cell r="F1263" t="str">
            <v>Rolamento Roda Dianteira Sidekick 1993</v>
          </cell>
        </row>
        <row r="1264">
          <cell r="A1264" t="str">
            <v>FTK18169</v>
          </cell>
          <cell r="B1264" t="str">
            <v>AUTOMOTIVO</v>
          </cell>
          <cell r="C1264" t="str">
            <v>Rolamento Roda</v>
          </cell>
          <cell r="D1264" t="str">
            <v>SIMPLES</v>
          </cell>
          <cell r="E1264" t="str">
            <v>IRB</v>
          </cell>
          <cell r="F1264" t="str">
            <v>ROLAMENTO RODA DIANTEIRA JAC MOTORS J2 2012 A 2017</v>
          </cell>
        </row>
        <row r="1265">
          <cell r="A1265" t="str">
            <v>FTK18193</v>
          </cell>
          <cell r="B1265" t="str">
            <v>AUTOMOTIVO</v>
          </cell>
          <cell r="C1265" t="str">
            <v>Rolamento Roda</v>
          </cell>
          <cell r="D1265" t="str">
            <v>SIMPLES</v>
          </cell>
          <cell r="E1265" t="str">
            <v>IRB</v>
          </cell>
          <cell r="F1265" t="str">
            <v>ROLAMENTO RODA DIANTEIRA DAIHATSU CHARADE 1994</v>
          </cell>
        </row>
        <row r="1266">
          <cell r="A1266" t="str">
            <v>FTK18241</v>
          </cell>
          <cell r="B1266" t="str">
            <v>AUTOMOTIVO</v>
          </cell>
          <cell r="C1266" t="str">
            <v>Rolamento Roda</v>
          </cell>
          <cell r="D1266" t="str">
            <v>SIMPLES</v>
          </cell>
          <cell r="E1266" t="str">
            <v>IRB</v>
          </cell>
          <cell r="F1266" t="str">
            <v>ROLAMENTO RODA TRASEIRA HILUX 2016 A 2020</v>
          </cell>
        </row>
        <row r="1267">
          <cell r="A1267" t="str">
            <v>FTK18242</v>
          </cell>
          <cell r="B1267" t="str">
            <v>AUTOMOTIVO</v>
          </cell>
          <cell r="C1267" t="str">
            <v>Rolamento roda</v>
          </cell>
          <cell r="D1267" t="str">
            <v>SIMPLES</v>
          </cell>
          <cell r="E1267" t="str">
            <v>IRB</v>
          </cell>
          <cell r="F1267" t="str">
            <v>ROLAMENTO RODA TRASEIRA HILUX PITBULL 2009 EM DIANTE</v>
          </cell>
        </row>
        <row r="1268">
          <cell r="A1268" t="str">
            <v>FTK18273</v>
          </cell>
          <cell r="B1268" t="str">
            <v>AUTOMOTIVO</v>
          </cell>
          <cell r="C1268" t="str">
            <v>Rolamento Roda</v>
          </cell>
          <cell r="D1268" t="str">
            <v>SIMPLES</v>
          </cell>
          <cell r="E1268" t="str">
            <v>IRB</v>
          </cell>
          <cell r="F1268" t="str">
            <v>Rolamento Roda Traseira Bmw Série 3 325 2005 A 2012 2.5</v>
          </cell>
        </row>
        <row r="1269">
          <cell r="A1269" t="str">
            <v>FTK18458R</v>
          </cell>
          <cell r="B1269" t="str">
            <v>AUTOMOTIVO</v>
          </cell>
          <cell r="C1269" t="str">
            <v>Rolamento Roda</v>
          </cell>
          <cell r="D1269" t="str">
            <v>SIMPLES</v>
          </cell>
          <cell r="E1269" t="str">
            <v>IRB</v>
          </cell>
          <cell r="F1269" t="str">
            <v>ROLAMENTO RODA TRASEIRA H1 STAREK 2007 A 2013</v>
          </cell>
        </row>
        <row r="1270">
          <cell r="A1270" t="str">
            <v>FTK18505</v>
          </cell>
          <cell r="B1270" t="str">
            <v>AUTOMOTIVO</v>
          </cell>
          <cell r="C1270" t="str">
            <v>Rolamento roda</v>
          </cell>
          <cell r="D1270" t="str">
            <v>SIMPLES</v>
          </cell>
          <cell r="E1270" t="str">
            <v>IRB</v>
          </cell>
          <cell r="F1270" t="str">
            <v>ROLAMENTO RODA TRASEIRA DODGE DURANGO 2011 A 2017</v>
          </cell>
        </row>
        <row r="1271">
          <cell r="A1271" t="str">
            <v>FTK18583</v>
          </cell>
          <cell r="B1271" t="str">
            <v>AUTOMOTIVO</v>
          </cell>
          <cell r="C1271" t="str">
            <v>Rolamento Roda</v>
          </cell>
          <cell r="D1271" t="str">
            <v>SIMPLES</v>
          </cell>
          <cell r="E1271" t="str">
            <v>IRB</v>
          </cell>
          <cell r="F1271" t="str">
            <v>ROLAMENTO RODA DIANTEIRA CIVIC 1.5 1.6 16V ATÉ 1995</v>
          </cell>
        </row>
        <row r="1272">
          <cell r="A1272" t="str">
            <v>FTK18599</v>
          </cell>
          <cell r="B1272" t="str">
            <v>AUTOMOTIVO</v>
          </cell>
          <cell r="C1272" t="str">
            <v>Rolamento Roda</v>
          </cell>
          <cell r="D1272" t="str">
            <v>SIMPLES</v>
          </cell>
          <cell r="E1272" t="str">
            <v>IRB</v>
          </cell>
          <cell r="F1272" t="str">
            <v>ROLAMENTO RODA TRASEIRA MARCH 2011 EM DIANTE</v>
          </cell>
        </row>
        <row r="1273">
          <cell r="A1273" t="str">
            <v>FTK18627</v>
          </cell>
          <cell r="B1273" t="str">
            <v>AUTOMOTIVO</v>
          </cell>
          <cell r="C1273" t="str">
            <v>Rolamento Roda</v>
          </cell>
          <cell r="D1273" t="str">
            <v>SIMPLES</v>
          </cell>
          <cell r="E1273" t="str">
            <v>IRB</v>
          </cell>
          <cell r="F1273" t="str">
            <v>ROLAMENTO RODA DIANTEIRA AMAROK 2011 EM DIANTE</v>
          </cell>
        </row>
        <row r="1274">
          <cell r="A1274" t="str">
            <v>FTK18630</v>
          </cell>
          <cell r="B1274" t="str">
            <v>AUTOMOTIVO</v>
          </cell>
          <cell r="C1274" t="str">
            <v>Rolamento Roda</v>
          </cell>
          <cell r="D1274" t="str">
            <v>SIMPLES</v>
          </cell>
          <cell r="E1274" t="str">
            <v>IRB</v>
          </cell>
          <cell r="F1274" t="str">
            <v>ROLAMENTO RODA TRASEIRA AMAROK 2010 A 2019 2.0 3.0</v>
          </cell>
        </row>
        <row r="1275">
          <cell r="A1275" t="str">
            <v>FTK18647</v>
          </cell>
          <cell r="B1275" t="str">
            <v>AUTOMOTIVO</v>
          </cell>
          <cell r="C1275" t="str">
            <v>Rolamento Roda</v>
          </cell>
          <cell r="D1275" t="str">
            <v>SIMPLES</v>
          </cell>
          <cell r="E1275" t="str">
            <v>IRB</v>
          </cell>
          <cell r="F1275" t="str">
            <v>ROLAMENTO RODA DIANTEIRA RANGER 4X2 4X4 MARÇO 2012 EM DIANTE</v>
          </cell>
        </row>
        <row r="1276">
          <cell r="A1276" t="str">
            <v>FTK18648</v>
          </cell>
          <cell r="B1276" t="str">
            <v>AUTOMOTIVO</v>
          </cell>
          <cell r="C1276" t="str">
            <v>Rolamento roda</v>
          </cell>
          <cell r="D1276" t="str">
            <v>SIMPLES</v>
          </cell>
          <cell r="E1276" t="str">
            <v>IRB</v>
          </cell>
          <cell r="F1276" t="str">
            <v>ROLAMENTO RODA TRASEIRA RANGER 4X2 4X4 2012 A 2021</v>
          </cell>
        </row>
        <row r="1277">
          <cell r="A1277" t="str">
            <v>FTK18695</v>
          </cell>
          <cell r="B1277" t="str">
            <v>AUTOMOTIVO</v>
          </cell>
          <cell r="C1277" t="str">
            <v>Rolamento roda</v>
          </cell>
          <cell r="D1277" t="str">
            <v>SIMPLES</v>
          </cell>
          <cell r="E1277" t="str">
            <v>IRB</v>
          </cell>
          <cell r="F1277" t="str">
            <v>ROLAMENTO RODA DIANTEIRA CITY 1.5 16V 2009 EM DIANTE SEM ABS</v>
          </cell>
        </row>
        <row r="1278">
          <cell r="A1278" t="str">
            <v>FTK18736</v>
          </cell>
          <cell r="B1278" t="str">
            <v>AUTOMOTIVO</v>
          </cell>
          <cell r="C1278" t="str">
            <v>Rolamento Roda</v>
          </cell>
          <cell r="D1278" t="str">
            <v>SIMPLES</v>
          </cell>
          <cell r="E1278" t="str">
            <v>IRB</v>
          </cell>
          <cell r="F1278" t="str">
            <v>ROLAMENTO RODA DIANTEIRA KWID 2018 EM DIANTE</v>
          </cell>
        </row>
        <row r="1279">
          <cell r="A1279" t="str">
            <v>FTK18782</v>
          </cell>
          <cell r="B1279" t="str">
            <v>AUTOMOTIVO</v>
          </cell>
          <cell r="C1279" t="str">
            <v>CUBO DE RODA</v>
          </cell>
          <cell r="D1279" t="str">
            <v>SIMPLES</v>
          </cell>
          <cell r="E1279" t="str">
            <v>IRB</v>
          </cell>
          <cell r="F1279" t="str">
            <v>CUBO RODA TRASEIRA ABS MAGNETIZADO AUDI A3 2006 EM DIANTE</v>
          </cell>
        </row>
        <row r="1280">
          <cell r="A1280" t="str">
            <v>FTK200116PA</v>
          </cell>
          <cell r="B1280" t="str">
            <v>MOTO PEÇAS</v>
          </cell>
          <cell r="C1280" t="str">
            <v>Junta moto</v>
          </cell>
          <cell r="D1280" t="str">
            <v>SIMPLES</v>
          </cell>
          <cell r="E1280" t="str">
            <v>KRATER</v>
          </cell>
          <cell r="F1280" t="str">
            <v>Jogo De Juntas Superior Do Cabeçote Nxr160 Bros 2015 Diante</v>
          </cell>
        </row>
        <row r="1281">
          <cell r="A1281" t="str">
            <v>FTK200119AE190</v>
          </cell>
          <cell r="B1281" t="str">
            <v>MOTO PEÇAS</v>
          </cell>
          <cell r="C1281" t="str">
            <v>Junta moto</v>
          </cell>
          <cell r="D1281" t="str">
            <v>SIMPLES</v>
          </cell>
          <cell r="E1281" t="str">
            <v>KRATER</v>
          </cell>
          <cell r="F1281" t="str">
            <v>Jogo De Juntas Superior Do Cabeçote Cg150 Fan 2009 Em Diante</v>
          </cell>
        </row>
        <row r="1282">
          <cell r="A1282" t="str">
            <v>FTK200121A</v>
          </cell>
          <cell r="B1282" t="str">
            <v>MOTO PEÇAS</v>
          </cell>
          <cell r="C1282" t="str">
            <v>Junta moto</v>
          </cell>
          <cell r="D1282" t="str">
            <v>SIMPLES</v>
          </cell>
          <cell r="E1282" t="str">
            <v>KRATER</v>
          </cell>
          <cell r="F1282" t="str">
            <v>Kit Junta Superior Do Cabeçote Cg125 Fan 2009 Em Diante</v>
          </cell>
        </row>
        <row r="1283">
          <cell r="A1283" t="str">
            <v>FTK200123A</v>
          </cell>
          <cell r="B1283" t="str">
            <v>MOTO PEÇAS</v>
          </cell>
          <cell r="C1283" t="str">
            <v>Junta moto</v>
          </cell>
          <cell r="D1283" t="str">
            <v>SIMPLES</v>
          </cell>
          <cell r="E1283" t="str">
            <v>KRATER</v>
          </cell>
          <cell r="F1283" t="str">
            <v>Kit Junta Superior Do Cabeçote Bros 150 2006 Diante</v>
          </cell>
        </row>
        <row r="1284">
          <cell r="A1284" t="str">
            <v>FTK200123PA</v>
          </cell>
          <cell r="B1284" t="str">
            <v>MOTO PEÇAS</v>
          </cell>
          <cell r="C1284" t="str">
            <v>Junta moto</v>
          </cell>
          <cell r="D1284" t="str">
            <v>SIMPLES</v>
          </cell>
          <cell r="E1284" t="str">
            <v>KRATER</v>
          </cell>
          <cell r="F1284" t="str">
            <v>Kit Juntas Superior Do Cabeçote Cg150 Titan 2006 Diante</v>
          </cell>
        </row>
        <row r="1285">
          <cell r="A1285" t="str">
            <v>FTK2004</v>
          </cell>
          <cell r="B1285" t="str">
            <v>AUTOMOTIVO</v>
          </cell>
          <cell r="D1285" t="str">
            <v>SIMPLES</v>
          </cell>
        </row>
        <row r="1286">
          <cell r="A1286" t="str">
            <v>FTK201366A</v>
          </cell>
          <cell r="B1286" t="str">
            <v>MOTO PEÇAS</v>
          </cell>
          <cell r="C1286" t="str">
            <v>Junta moto</v>
          </cell>
          <cell r="D1286" t="str">
            <v>SIMPLES</v>
          </cell>
          <cell r="E1286" t="str">
            <v>KRATER</v>
          </cell>
          <cell r="F1286" t="str">
            <v>Kit Junta Superior Do Cabeçote Xtz 125 2000 A 2008</v>
          </cell>
        </row>
        <row r="1287">
          <cell r="A1287" t="str">
            <v>FTK201366PA</v>
          </cell>
          <cell r="B1287" t="str">
            <v>MOTO PEÇAS</v>
          </cell>
          <cell r="C1287" t="str">
            <v>Junta moto</v>
          </cell>
          <cell r="D1287" t="str">
            <v>SIMPLES</v>
          </cell>
          <cell r="E1287" t="str">
            <v>KRATER</v>
          </cell>
          <cell r="F1287" t="str">
            <v>Jogo De Juntas Superior Do Cabeçote Ybr125 2000 A 2008</v>
          </cell>
        </row>
        <row r="1288">
          <cell r="A1288" t="str">
            <v>FTK220</v>
          </cell>
          <cell r="B1288" t="str">
            <v>AUTOMOTIVO</v>
          </cell>
          <cell r="D1288" t="str">
            <v>SIMPLES</v>
          </cell>
          <cell r="E1288" t="str">
            <v>R9BOR</v>
          </cell>
          <cell r="F1288" t="str">
            <v>COXIM DE AMORTECEDOR DIANTEIRO FIESTA 1996 A 2001</v>
          </cell>
        </row>
        <row r="1289">
          <cell r="A1289" t="str">
            <v>FTK220/093006</v>
          </cell>
          <cell r="B1289" t="str">
            <v>AUTOMOTIVO</v>
          </cell>
          <cell r="C1289" t="str">
            <v>KIT AMORTECEDOR COMPLETO</v>
          </cell>
          <cell r="D1289" t="str">
            <v>KIT</v>
          </cell>
          <cell r="E1289" t="str">
            <v>SPARE / BROKITS</v>
          </cell>
          <cell r="F1289" t="str">
            <v>Kit Do Amortecedor Completo Fiesta 1996 A 2001</v>
          </cell>
        </row>
        <row r="1290">
          <cell r="A1290" t="str">
            <v>FTK220/330074/093006</v>
          </cell>
          <cell r="B1290" t="str">
            <v>AUTOMOTIVO</v>
          </cell>
          <cell r="C1290" t="str">
            <v>KIT AMORTECEDOR</v>
          </cell>
          <cell r="D1290" t="str">
            <v>KIT</v>
          </cell>
          <cell r="E1290" t="str">
            <v>BROKIT/RE9BOR/SPARE</v>
          </cell>
          <cell r="F1290" t="str">
            <v>Amortecedor Mais Kit Completo Fiesta 1996 A 2001</v>
          </cell>
        </row>
        <row r="1291">
          <cell r="A1291" t="str">
            <v>FTK22002</v>
          </cell>
          <cell r="B1291" t="str">
            <v>AUTOMOTIVO</v>
          </cell>
          <cell r="C1291" t="str">
            <v>Pivô</v>
          </cell>
          <cell r="D1291" t="str">
            <v>SIMPLES</v>
          </cell>
          <cell r="E1291" t="str">
            <v>SPARE</v>
          </cell>
          <cell r="F1291" t="str">
            <v>Pivô Da Bandeja Inferior Lado Direito New Civic 2006 A 2011</v>
          </cell>
        </row>
        <row r="1292">
          <cell r="A1292" t="str">
            <v>FTK22002/03</v>
          </cell>
          <cell r="B1292" t="str">
            <v>AUTOMOTIVO</v>
          </cell>
          <cell r="C1292" t="str">
            <v>Pivô</v>
          </cell>
          <cell r="D1292" t="str">
            <v>KIT</v>
          </cell>
          <cell r="E1292" t="str">
            <v>SPARE</v>
          </cell>
          <cell r="F1292" t="str">
            <v>Par Pivô Da Bandeja Inferior New Civic 2006 A 2011</v>
          </cell>
        </row>
        <row r="1293">
          <cell r="A1293" t="str">
            <v>FTK22003</v>
          </cell>
          <cell r="B1293" t="str">
            <v>AUTOMOTIVO</v>
          </cell>
          <cell r="C1293" t="str">
            <v>Pivô</v>
          </cell>
          <cell r="D1293" t="str">
            <v>SIMPLES</v>
          </cell>
          <cell r="E1293" t="str">
            <v>SPARE</v>
          </cell>
          <cell r="F1293" t="str">
            <v>Pivô Da Bandeja Inferior Lado Esquerdo New Civic 2006 A 2011</v>
          </cell>
        </row>
        <row r="1294">
          <cell r="A1294" t="str">
            <v>FTK22104</v>
          </cell>
          <cell r="B1294" t="str">
            <v>AUTOMOTIVO</v>
          </cell>
          <cell r="C1294" t="str">
            <v>Pivô</v>
          </cell>
          <cell r="D1294" t="str">
            <v>SIMPLES</v>
          </cell>
          <cell r="E1294" t="str">
            <v>SPARE</v>
          </cell>
          <cell r="F1294" t="str">
            <v>Pivô Da Bandeja Dianteira Ambos Lados Ix35 2010 A 2017</v>
          </cell>
        </row>
        <row r="1295">
          <cell r="A1295" t="str">
            <v>FTK22182</v>
          </cell>
          <cell r="B1295" t="str">
            <v>AUTOMOTIVO</v>
          </cell>
          <cell r="C1295" t="str">
            <v>Pivô</v>
          </cell>
          <cell r="D1295" t="str">
            <v>SIMPLES</v>
          </cell>
          <cell r="E1295" t="str">
            <v>SPARE</v>
          </cell>
          <cell r="F1295" t="str">
            <v>Pivô Inferior Da Bandeja Ambos Lados Renault R11 1983 A 1997</v>
          </cell>
        </row>
        <row r="1296">
          <cell r="A1296" t="str">
            <v>FTK22183</v>
          </cell>
          <cell r="B1296" t="str">
            <v>AUTOMOTIVO</v>
          </cell>
          <cell r="C1296" t="str">
            <v>Pivô</v>
          </cell>
          <cell r="D1296" t="str">
            <v>SIMPLES</v>
          </cell>
          <cell r="E1296" t="str">
            <v>SPARE</v>
          </cell>
          <cell r="F1296" t="str">
            <v>Pivô Da Bandeja Dianteira Ambos Lados Clio 2003 A 2016</v>
          </cell>
        </row>
        <row r="1297">
          <cell r="A1297" t="str">
            <v>FTK222014</v>
          </cell>
          <cell r="B1297" t="str">
            <v>AUTOMOTIVO</v>
          </cell>
          <cell r="C1297" t="str">
            <v>Pivô</v>
          </cell>
          <cell r="D1297" t="str">
            <v>SIMPLES</v>
          </cell>
          <cell r="E1297" t="str">
            <v>SPARE</v>
          </cell>
          <cell r="F1297" t="str">
            <v>Pivô Inferior Ambos Os Lados Ranger 4x2 4x4 1998 A 2012</v>
          </cell>
        </row>
        <row r="1298">
          <cell r="A1298" t="str">
            <v>FTK22204-MB</v>
          </cell>
          <cell r="B1298" t="str">
            <v>AUTOMOTIVO</v>
          </cell>
          <cell r="C1298" t="str">
            <v>Bucha Bandeja</v>
          </cell>
          <cell r="D1298" t="str">
            <v>SIMPLES</v>
          </cell>
          <cell r="E1298" t="str">
            <v>MOBENSANI</v>
          </cell>
          <cell r="F1298" t="str">
            <v>Bucha Dianteira Da Bandeja Dianteira Focus 2000 A 2009</v>
          </cell>
        </row>
        <row r="1299">
          <cell r="A1299" t="str">
            <v>FTK22208-MB</v>
          </cell>
          <cell r="B1299" t="str">
            <v>AUTOMOTIVO</v>
          </cell>
          <cell r="C1299" t="str">
            <v>Bucha Bandeja</v>
          </cell>
          <cell r="D1299" t="str">
            <v>SIMPLES</v>
          </cell>
          <cell r="E1299" t="str">
            <v>MOBENSANI</v>
          </cell>
          <cell r="F1299" t="str">
            <v>Bucha Traseira Da Bandeja Dianteira Courier 1996 A 2013</v>
          </cell>
        </row>
        <row r="1300">
          <cell r="A1300" t="str">
            <v>FTK22220-MB</v>
          </cell>
          <cell r="B1300" t="str">
            <v>AUTOMOTIVO</v>
          </cell>
          <cell r="C1300" t="str">
            <v>Bucha Bandeja</v>
          </cell>
          <cell r="D1300" t="str">
            <v>SIMPLES</v>
          </cell>
          <cell r="E1300" t="str">
            <v>MOBENSANI</v>
          </cell>
          <cell r="F1300" t="str">
            <v>BUCHA TRASEIRA DA BANDEJA DIANTEIRA ECOSPORT 2003 A 2012</v>
          </cell>
        </row>
        <row r="1301">
          <cell r="A1301" t="str">
            <v>FTK22222-MB</v>
          </cell>
          <cell r="B1301" t="str">
            <v>AUTOMOTIVO</v>
          </cell>
          <cell r="C1301" t="str">
            <v>Bucha Bandeja</v>
          </cell>
          <cell r="D1301" t="str">
            <v>SIMPLES</v>
          </cell>
          <cell r="E1301" t="str">
            <v>MOBENSANI</v>
          </cell>
          <cell r="F1301" t="str">
            <v>BUCHA DIANTEIRA DA BANDEJA DIANTEIRA ECOSPORT 2003 A 2012</v>
          </cell>
        </row>
        <row r="1302">
          <cell r="A1302" t="str">
            <v>FTK22286-GP</v>
          </cell>
          <cell r="B1302" t="str">
            <v>AUTOMOTIVO</v>
          </cell>
          <cell r="C1302" t="str">
            <v>Bucha Bandeja</v>
          </cell>
          <cell r="D1302" t="str">
            <v>SIMPLES</v>
          </cell>
          <cell r="E1302" t="str">
            <v>GUARU BORRACHAS</v>
          </cell>
          <cell r="F1302" t="str">
            <v>Bucha Da Bandeja Superior Dianteira Ranger 2012 Em Diante</v>
          </cell>
        </row>
        <row r="1303">
          <cell r="A1303" t="str">
            <v>FTK223</v>
          </cell>
          <cell r="B1303" t="str">
            <v>AUTOMOTIVO</v>
          </cell>
          <cell r="C1303" t="str">
            <v>COXIM AMORTECEDOR</v>
          </cell>
          <cell r="D1303" t="str">
            <v>SIMPLES</v>
          </cell>
          <cell r="E1303" t="str">
            <v>R9BOR</v>
          </cell>
          <cell r="F1303" t="str">
            <v>COXIM DE AMORTECEDOR TRASEIRO FIESTA 1996 A 2002</v>
          </cell>
        </row>
        <row r="1304">
          <cell r="A1304" t="str">
            <v>FTK223/093007</v>
          </cell>
          <cell r="B1304" t="str">
            <v>AUTOMOTIVO</v>
          </cell>
          <cell r="C1304" t="str">
            <v>KIT AMORTECEDOR COMPLETO</v>
          </cell>
          <cell r="D1304" t="str">
            <v>KIT</v>
          </cell>
          <cell r="F1304" t="str">
            <v>Kit Do Amortecedor Traseiro Completo Fiesta 1996 A 2002</v>
          </cell>
        </row>
        <row r="1305">
          <cell r="A1305" t="str">
            <v>FTK223K</v>
          </cell>
          <cell r="B1305" t="str">
            <v>AUTOMOTIVO</v>
          </cell>
          <cell r="C1305" t="str">
            <v>Coifa Homocinética</v>
          </cell>
          <cell r="D1305" t="str">
            <v>SIMPLES</v>
          </cell>
          <cell r="E1305" t="str">
            <v>Replabor</v>
          </cell>
          <cell r="F1305" t="str">
            <v>Coifa Homocinetica Lado Roda Astra 1999 Em Diante</v>
          </cell>
        </row>
        <row r="1306">
          <cell r="A1306" t="str">
            <v>FTK22404</v>
          </cell>
          <cell r="B1306" t="str">
            <v>AUTOMOTIVO</v>
          </cell>
          <cell r="C1306" t="str">
            <v>Pivô</v>
          </cell>
          <cell r="D1306" t="str">
            <v>SIMPLES</v>
          </cell>
          <cell r="E1306" t="str">
            <v>SPARE</v>
          </cell>
          <cell r="F1306" t="str">
            <v>Pivô Bandeja Dianteira Ambos Os Lados Toro 2016 A 2020</v>
          </cell>
        </row>
        <row r="1307">
          <cell r="A1307" t="str">
            <v>FTK2263-MB</v>
          </cell>
          <cell r="B1307" t="str">
            <v>AUTOMOTIVO</v>
          </cell>
          <cell r="C1307" t="str">
            <v>Bucha Bandeja</v>
          </cell>
          <cell r="D1307" t="str">
            <v>SIMPLES</v>
          </cell>
          <cell r="E1307" t="str">
            <v>MOBENSANI</v>
          </cell>
          <cell r="F1307" t="str">
            <v>Bucha Dianteira Da Bandeja Dianteira Fiesta 1996 A 2002</v>
          </cell>
        </row>
        <row r="1308">
          <cell r="A1308" t="str">
            <v>FTK232</v>
          </cell>
          <cell r="B1308" t="str">
            <v>AUTOMOTIVO</v>
          </cell>
          <cell r="C1308" t="str">
            <v>Pivô</v>
          </cell>
          <cell r="D1308" t="str">
            <v>SIMPLES</v>
          </cell>
          <cell r="E1308" t="str">
            <v>SPARE</v>
          </cell>
          <cell r="F1308" t="str">
            <v>Pivô Inferior Ambos Lados I30 I Fd 2007 A 2012</v>
          </cell>
        </row>
        <row r="1309">
          <cell r="A1309" t="str">
            <v>FTK233</v>
          </cell>
          <cell r="B1309" t="str">
            <v>AUTOMOTIVO</v>
          </cell>
          <cell r="C1309" t="str">
            <v>Coifa Homocinética</v>
          </cell>
          <cell r="D1309" t="str">
            <v>SIMPLES</v>
          </cell>
          <cell r="E1309" t="str">
            <v>Replabor</v>
          </cell>
          <cell r="F1309" t="str">
            <v>COIFA HOMOCINETICA LADO CÂMBIO AGILE LS LT LTZ</v>
          </cell>
        </row>
        <row r="1310">
          <cell r="A1310" t="str">
            <v>FTK234</v>
          </cell>
          <cell r="B1310" t="str">
            <v>AUTOMOTIVO</v>
          </cell>
          <cell r="C1310" t="str">
            <v>Coifa Homocinética</v>
          </cell>
          <cell r="D1310" t="str">
            <v>SIMPLES</v>
          </cell>
          <cell r="E1310" t="str">
            <v>Replabor</v>
          </cell>
          <cell r="F1310" t="str">
            <v>COIFA HOMOCINETICA LADO RODA CELTA 2001 EM DIANTE</v>
          </cell>
        </row>
        <row r="1311">
          <cell r="A1311" t="str">
            <v>FTK260</v>
          </cell>
          <cell r="B1311" t="str">
            <v>AUTOMOTIVO</v>
          </cell>
          <cell r="C1311" t="str">
            <v>Coifa Homocinética</v>
          </cell>
          <cell r="D1311" t="str">
            <v>SIMPLES</v>
          </cell>
          <cell r="E1311" t="str">
            <v>Replabor</v>
          </cell>
          <cell r="F1311" t="str">
            <v>COIFA HOMOCINETICA LADO RODA CORSA 1994 A 2009</v>
          </cell>
        </row>
        <row r="1312">
          <cell r="A1312" t="str">
            <v>FTK276</v>
          </cell>
          <cell r="B1312" t="str">
            <v>AUTOMOTIVO</v>
          </cell>
          <cell r="D1312" t="str">
            <v>SIMPLES</v>
          </cell>
        </row>
        <row r="1313">
          <cell r="A1313" t="str">
            <v>FTK278</v>
          </cell>
          <cell r="B1313" t="str">
            <v>AUTOMOTIVO</v>
          </cell>
          <cell r="D1313" t="str">
            <v>SIMPLES</v>
          </cell>
        </row>
        <row r="1314">
          <cell r="A1314" t="str">
            <v>FTK279</v>
          </cell>
          <cell r="B1314" t="str">
            <v>AUTOMOTIVO</v>
          </cell>
          <cell r="C1314" t="str">
            <v>Coifa Homocinética</v>
          </cell>
          <cell r="D1314" t="str">
            <v>SIMPLES</v>
          </cell>
          <cell r="E1314" t="str">
            <v>Replabor</v>
          </cell>
          <cell r="F1314" t="str">
            <v>COIFA HOMOCINETICA LADO CAMBIO COBALT 1.8 2013 A 2016</v>
          </cell>
        </row>
        <row r="1315">
          <cell r="A1315" t="str">
            <v>FTK281</v>
          </cell>
          <cell r="B1315" t="str">
            <v>AUTOMOTIVO</v>
          </cell>
          <cell r="C1315" t="str">
            <v>Coifa Homocinética</v>
          </cell>
          <cell r="D1315" t="str">
            <v>SIMPLES</v>
          </cell>
          <cell r="E1315" t="str">
            <v>Replabor</v>
          </cell>
          <cell r="F1315" t="str">
            <v>Coifa Homocinetica Lado Roda Prisma 2013 Em Diante</v>
          </cell>
        </row>
        <row r="1316">
          <cell r="A1316" t="str">
            <v>FTK282</v>
          </cell>
          <cell r="B1316" t="str">
            <v>AUTOMOTIVO</v>
          </cell>
          <cell r="C1316" t="str">
            <v>Coifa Homocinética</v>
          </cell>
          <cell r="D1316" t="str">
            <v>SIMPLES</v>
          </cell>
          <cell r="E1316" t="str">
            <v>Replabor</v>
          </cell>
          <cell r="F1316" t="str">
            <v>COIFA HOMOCINETICA LADO RODA FIAT 147 1976 A 1986</v>
          </cell>
        </row>
        <row r="1317">
          <cell r="A1317" t="str">
            <v>FTK284</v>
          </cell>
          <cell r="B1317" t="str">
            <v>AUTOMOTIVO</v>
          </cell>
          <cell r="D1317" t="str">
            <v>SIMPLES</v>
          </cell>
        </row>
        <row r="1318">
          <cell r="A1318" t="str">
            <v>FTK313</v>
          </cell>
          <cell r="B1318" t="str">
            <v>AUTOMOTIVO</v>
          </cell>
          <cell r="D1318" t="str">
            <v>SIMPLES</v>
          </cell>
          <cell r="E1318" t="str">
            <v>R9BOR</v>
          </cell>
          <cell r="F1318" t="str">
            <v>Coxim do Amortecedor Dianteiro GOL Quadrado 1980 Até 1996</v>
          </cell>
        </row>
        <row r="1319">
          <cell r="A1319" t="str">
            <v>FTK314</v>
          </cell>
          <cell r="B1319" t="str">
            <v>AUTOMOTIVO</v>
          </cell>
          <cell r="C1319" t="str">
            <v>Coifa Homocinética</v>
          </cell>
          <cell r="D1319" t="str">
            <v>SIMPLES</v>
          </cell>
          <cell r="E1319" t="str">
            <v>Replabor</v>
          </cell>
          <cell r="F1319" t="str">
            <v>COIFA HOMOCINETICA LADO RODA FIAT 147 1976 A 1986</v>
          </cell>
        </row>
        <row r="1320">
          <cell r="A1320" t="str">
            <v>FTK33005-AMW</v>
          </cell>
          <cell r="B1320" t="str">
            <v>AUTOMOTIVO</v>
          </cell>
          <cell r="C1320" t="str">
            <v>Bucha Bandeja</v>
          </cell>
          <cell r="D1320" t="str">
            <v>SIMPLES</v>
          </cell>
          <cell r="E1320" t="str">
            <v>AMW</v>
          </cell>
          <cell r="F1320" t="str">
            <v>BUCHA BRAÇO TENSOR ESCORT NÃO EXPORTAR</v>
          </cell>
        </row>
        <row r="1321">
          <cell r="A1321" t="str">
            <v>FTK33006-AMW</v>
          </cell>
          <cell r="B1321" t="str">
            <v>AUTOMOTIVO</v>
          </cell>
          <cell r="C1321" t="str">
            <v>Bucha Bandeja</v>
          </cell>
          <cell r="D1321" t="str">
            <v>SIMPLES</v>
          </cell>
          <cell r="E1321" t="str">
            <v>AMW</v>
          </cell>
          <cell r="F1321" t="str">
            <v>BUCHA DO BRAÇO SUPERIOR SUSPENSÃO DIANTEIRA EXPLORER 1996 1997 NÃO EXPORTAR</v>
          </cell>
        </row>
        <row r="1322">
          <cell r="A1322" t="str">
            <v>FTK33028-MB</v>
          </cell>
          <cell r="B1322" t="str">
            <v>AUTOMOTIVO</v>
          </cell>
          <cell r="C1322" t="str">
            <v>Bucha Bandeja</v>
          </cell>
          <cell r="D1322" t="str">
            <v>SIMPLES</v>
          </cell>
          <cell r="E1322" t="str">
            <v>MOBENSANI</v>
          </cell>
          <cell r="F1322" t="str">
            <v>Bucha Central Da Bandeja Inferior Amarok 2010 Em Diante</v>
          </cell>
        </row>
        <row r="1323">
          <cell r="A1323" t="str">
            <v>FTK33029-MB</v>
          </cell>
          <cell r="B1323" t="str">
            <v>AUTOMOTIVO</v>
          </cell>
          <cell r="C1323" t="str">
            <v>Bucha Bandeja</v>
          </cell>
          <cell r="D1323" t="str">
            <v>SIMPLES</v>
          </cell>
          <cell r="E1323" t="str">
            <v>MOBENSANI</v>
          </cell>
          <cell r="F1323" t="str">
            <v>Bucha Da Bandeja Superior Dianteira Amarok 2010 Em Diante</v>
          </cell>
        </row>
        <row r="1324">
          <cell r="A1324" t="str">
            <v>FTK3320K</v>
          </cell>
          <cell r="B1324" t="str">
            <v>AUTOMOTIVO</v>
          </cell>
          <cell r="C1324" t="str">
            <v>Coifa Homocinética</v>
          </cell>
          <cell r="D1324" t="str">
            <v>SIMPLES</v>
          </cell>
          <cell r="E1324" t="str">
            <v>Replabor</v>
          </cell>
          <cell r="F1324" t="str">
            <v>Coifa Homocinética Lado Câmbio Premio 1994 A 1996</v>
          </cell>
        </row>
        <row r="1325">
          <cell r="A1325" t="str">
            <v>FTK3321K</v>
          </cell>
          <cell r="B1325" t="str">
            <v>AUTOMOTIVO</v>
          </cell>
          <cell r="C1325" t="str">
            <v>Coifa Homocinética</v>
          </cell>
          <cell r="D1325" t="str">
            <v>SIMPLES</v>
          </cell>
          <cell r="E1325" t="str">
            <v>Replabor</v>
          </cell>
          <cell r="F1325" t="str">
            <v>Coifa Homocinética Câmbio Ambos Lados Fiorino 1996 A 2017</v>
          </cell>
        </row>
        <row r="1326">
          <cell r="A1326" t="str">
            <v>FTK3322K</v>
          </cell>
          <cell r="B1326" t="str">
            <v>AUTOMOTIVO</v>
          </cell>
          <cell r="C1326" t="str">
            <v>Coifa Homocinética</v>
          </cell>
          <cell r="D1326" t="str">
            <v>SIMPLES</v>
          </cell>
          <cell r="E1326" t="str">
            <v>Replabor</v>
          </cell>
          <cell r="F1326" t="str">
            <v>Coifa Homocinética Lado Roda Fiat Tipo 1.6 Todos Os Anos</v>
          </cell>
        </row>
        <row r="1327">
          <cell r="A1327" t="str">
            <v>FTK33305</v>
          </cell>
          <cell r="B1327" t="str">
            <v>AUTOMOTIVO</v>
          </cell>
          <cell r="C1327" t="str">
            <v>Pivô</v>
          </cell>
          <cell r="D1327" t="str">
            <v>SIMPLES</v>
          </cell>
          <cell r="E1327" t="str">
            <v>SPARE</v>
          </cell>
          <cell r="F1327" t="str">
            <v>Pivô Nissan March 2011 Em Diante</v>
          </cell>
        </row>
        <row r="1328">
          <cell r="A1328" t="str">
            <v>FTK33395</v>
          </cell>
          <cell r="B1328" t="str">
            <v>AUTOMOTIVO</v>
          </cell>
          <cell r="C1328" t="str">
            <v>Pivô</v>
          </cell>
          <cell r="D1328" t="str">
            <v>SIMPLES</v>
          </cell>
          <cell r="E1328" t="str">
            <v>SPARE</v>
          </cell>
          <cell r="F1328" t="str">
            <v>Pivô Inferior Dianteira Ambos Lados Ford Ka 2008 A 2014</v>
          </cell>
        </row>
        <row r="1329">
          <cell r="A1329" t="str">
            <v>FTK-33395</v>
          </cell>
          <cell r="B1329" t="str">
            <v>AUTOMOTIVO</v>
          </cell>
          <cell r="C1329" t="str">
            <v>Pivô</v>
          </cell>
          <cell r="D1329" t="str">
            <v>SIMPLES</v>
          </cell>
          <cell r="E1329" t="str">
            <v>SPARE</v>
          </cell>
          <cell r="F1329" t="str">
            <v>Pivô Inferior Dianteira Ambos Lados Ecosport 2003 A 2013</v>
          </cell>
        </row>
        <row r="1330">
          <cell r="A1330" t="str">
            <v>FTK33396</v>
          </cell>
          <cell r="B1330" t="str">
            <v>AUTOMOTIVO</v>
          </cell>
          <cell r="C1330" t="str">
            <v>Pivô</v>
          </cell>
          <cell r="D1330" t="str">
            <v>SIMPLES</v>
          </cell>
          <cell r="E1330" t="str">
            <v>SPARE</v>
          </cell>
          <cell r="F1330" t="str">
            <v>PIVÔ INFERIOR AMBOS LADOS FOCUS 1998 A 2008</v>
          </cell>
        </row>
        <row r="1331">
          <cell r="A1331" t="str">
            <v>FTK3385</v>
          </cell>
          <cell r="B1331" t="str">
            <v>AUTOMOTIVO</v>
          </cell>
          <cell r="C1331" t="str">
            <v>Bucha Barra estabilizadora</v>
          </cell>
          <cell r="D1331" t="str">
            <v>SIMPLES</v>
          </cell>
          <cell r="E1331" t="str">
            <v>GUARU BORRACHAS</v>
          </cell>
          <cell r="F1331" t="str">
            <v>BUCHA DA SUSPENSÃO TRASEIRA PAJERO DAKAR SPORT 2009 A 2016</v>
          </cell>
        </row>
        <row r="1332">
          <cell r="A1332" t="str">
            <v>FTK3395-MB</v>
          </cell>
          <cell r="B1332" t="str">
            <v>AUTOMOTIVO</v>
          </cell>
          <cell r="C1332" t="str">
            <v>Bucha Bandeja</v>
          </cell>
          <cell r="D1332" t="str">
            <v>SIMPLES</v>
          </cell>
          <cell r="E1332" t="str">
            <v>MOBENSANI</v>
          </cell>
          <cell r="F1332" t="str">
            <v>Bucha Dianteira Da Bandeja Dianteira New Fiesta 2010 Diante</v>
          </cell>
        </row>
        <row r="1333">
          <cell r="A1333" t="str">
            <v>FTK340</v>
          </cell>
          <cell r="B1333" t="str">
            <v>AUTOMOTIVO</v>
          </cell>
          <cell r="C1333" t="str">
            <v>COXIM AMORTECEDOR</v>
          </cell>
          <cell r="D1333" t="str">
            <v>SIMPLES</v>
          </cell>
          <cell r="E1333" t="str">
            <v>R9BOR</v>
          </cell>
          <cell r="F1333" t="str">
            <v>COXIM AMORTECEDOR DIANTEIRO GOL 1998 EM DIANTE</v>
          </cell>
        </row>
        <row r="1334">
          <cell r="A1334" t="str">
            <v>FTK347</v>
          </cell>
          <cell r="B1334" t="str">
            <v>AUTOMOTIVO</v>
          </cell>
          <cell r="C1334" t="str">
            <v>Coifa Homocinética</v>
          </cell>
          <cell r="D1334" t="str">
            <v>SIMPLES</v>
          </cell>
          <cell r="E1334" t="str">
            <v>Replabor</v>
          </cell>
          <cell r="F1334" t="str">
            <v>COIFA HOMOCINETICA LADO CAMBIO BRAVA 1999 A 2002</v>
          </cell>
        </row>
        <row r="1335">
          <cell r="A1335" t="str">
            <v>FTK347F</v>
          </cell>
          <cell r="B1335" t="str">
            <v>AUTOMOTIVO</v>
          </cell>
          <cell r="C1335" t="str">
            <v>Coifa Homocinética</v>
          </cell>
          <cell r="D1335" t="str">
            <v>SIMPLES</v>
          </cell>
          <cell r="E1335" t="str">
            <v>Replabor</v>
          </cell>
          <cell r="F1335" t="str">
            <v>Coifa Homocinetica Cambio Com Flange Palio 1.8 2001 A 2017</v>
          </cell>
        </row>
        <row r="1336">
          <cell r="A1336" t="str">
            <v>FTK360</v>
          </cell>
          <cell r="B1336" t="str">
            <v>AUTOMOTIVO</v>
          </cell>
          <cell r="C1336" t="str">
            <v>Coifa Homocinética</v>
          </cell>
          <cell r="D1336" t="str">
            <v>SIMPLES</v>
          </cell>
          <cell r="E1336" t="str">
            <v>Replabor</v>
          </cell>
          <cell r="F1336" t="str">
            <v>COIFA HOMOCINETICA LADO CAMBIO BRAVA 2000 A 2003</v>
          </cell>
        </row>
        <row r="1337">
          <cell r="A1337" t="str">
            <v>FTK363</v>
          </cell>
          <cell r="B1337" t="str">
            <v>AUTOMOTIVO</v>
          </cell>
          <cell r="C1337" t="str">
            <v>Coifa Homocinética</v>
          </cell>
          <cell r="D1337" t="str">
            <v>SIMPLES</v>
          </cell>
          <cell r="E1337" t="str">
            <v>Replabor</v>
          </cell>
          <cell r="F1337" t="str">
            <v>COIFA HOMOCINETICA LADO RODA DOBLO 2002 EM DIANTE</v>
          </cell>
        </row>
        <row r="1338">
          <cell r="A1338" t="str">
            <v>FTK377</v>
          </cell>
          <cell r="B1338" t="str">
            <v>AUTOMOTIVO</v>
          </cell>
          <cell r="C1338" t="str">
            <v>Rolamento Roda</v>
          </cell>
          <cell r="D1338" t="str">
            <v>SIMPLES</v>
          </cell>
          <cell r="E1338" t="str">
            <v>IRB</v>
          </cell>
          <cell r="F1338" t="str">
            <v xml:space="preserve"> DIANTEIRO GOL 1994 A 1997</v>
          </cell>
        </row>
        <row r="1339">
          <cell r="A1339" t="str">
            <v>FTK379</v>
          </cell>
          <cell r="B1339" t="str">
            <v>AUTOMOTIVO</v>
          </cell>
          <cell r="C1339" t="str">
            <v>COXIM AMORTECEDOR</v>
          </cell>
          <cell r="D1339" t="str">
            <v>SIMPLES</v>
          </cell>
          <cell r="E1339" t="str">
            <v>R9BOR</v>
          </cell>
          <cell r="F1339" t="str">
            <v>COXIM AMORTECEDOR DIANTEIRO GOL G5</v>
          </cell>
        </row>
        <row r="1340">
          <cell r="A1340" t="str">
            <v>FTK409</v>
          </cell>
          <cell r="B1340" t="str">
            <v>AUTOMOTIVO</v>
          </cell>
          <cell r="C1340" t="str">
            <v>Coifa Homocinética</v>
          </cell>
          <cell r="D1340" t="str">
            <v>SIMPLES</v>
          </cell>
          <cell r="E1340" t="str">
            <v>Replabor</v>
          </cell>
          <cell r="F1340" t="str">
            <v>COIFA HOMOCINETICA LADO RODA KOMBI 1.6 1998 A 2013</v>
          </cell>
        </row>
        <row r="1341">
          <cell r="A1341" t="str">
            <v>FTK411</v>
          </cell>
          <cell r="B1341" t="str">
            <v>AUTOMOTIVO</v>
          </cell>
          <cell r="C1341" t="str">
            <v>Pastilha Freio</v>
          </cell>
          <cell r="D1341" t="str">
            <v>SIMPLES</v>
          </cell>
          <cell r="E1341" t="str">
            <v>Replabor</v>
          </cell>
          <cell r="F1341" t="str">
            <v>Coifa Homocinetica Lado Roda Gol G1 A G4 1980 A 2008</v>
          </cell>
        </row>
        <row r="1342">
          <cell r="A1342" t="str">
            <v>FTK421</v>
          </cell>
          <cell r="B1342" t="str">
            <v>AUTOMOTIVO</v>
          </cell>
          <cell r="D1342" t="str">
            <v>SIMPLES</v>
          </cell>
          <cell r="E1342" t="str">
            <v>R9BOR</v>
          </cell>
          <cell r="F1342" t="str">
            <v>COXIM DO AMORTECEDOR Corsa e Celta</v>
          </cell>
        </row>
        <row r="1343">
          <cell r="A1343" t="str">
            <v>FTK421/092008</v>
          </cell>
          <cell r="B1343" t="str">
            <v>AUTOMOTIVO</v>
          </cell>
          <cell r="C1343" t="str">
            <v>KIT AMORTECEDOR COMPLETO</v>
          </cell>
          <cell r="D1343" t="str">
            <v>KIT</v>
          </cell>
          <cell r="E1343" t="str">
            <v>SPARE / BROKITS</v>
          </cell>
          <cell r="F1343" t="str">
            <v>Kit Do Amortecedor Completo Corsa 1994 A 2009</v>
          </cell>
        </row>
        <row r="1344">
          <cell r="A1344" t="str">
            <v>FTK422</v>
          </cell>
          <cell r="B1344" t="str">
            <v>AUTOMOTIVO</v>
          </cell>
          <cell r="C1344" t="str">
            <v>Coifa Homocinética</v>
          </cell>
          <cell r="D1344" t="str">
            <v>SIMPLES</v>
          </cell>
          <cell r="E1344" t="str">
            <v>Replabor</v>
          </cell>
          <cell r="F1344" t="str">
            <v>COIFA HOMOCINETICA AMBOS LADOS KOMBI 1978 A 1997</v>
          </cell>
        </row>
        <row r="1345">
          <cell r="A1345" t="str">
            <v>FTK422F</v>
          </cell>
          <cell r="B1345" t="str">
            <v>AUTOMOTIVO</v>
          </cell>
          <cell r="C1345" t="str">
            <v>Pastilha Freio</v>
          </cell>
          <cell r="D1345" t="str">
            <v>SIMPLES</v>
          </cell>
          <cell r="E1345" t="str">
            <v>Replabor</v>
          </cell>
          <cell r="F1345" t="str">
            <v>COIFA HOMOCINETICA AMBOS LADOS COM FLANGE KOMBI 1978 A 1997</v>
          </cell>
        </row>
        <row r="1346">
          <cell r="A1346" t="str">
            <v>FTK433</v>
          </cell>
          <cell r="B1346" t="str">
            <v>AUTOMOTIVO</v>
          </cell>
          <cell r="C1346" t="str">
            <v>Coifa Homocinética</v>
          </cell>
          <cell r="D1346" t="str">
            <v>SIMPLES</v>
          </cell>
          <cell r="E1346" t="str">
            <v>Replabor</v>
          </cell>
          <cell r="F1346" t="str">
            <v>COIFA HOMOCINETICA LADO CÂMBIO TEMPRA</v>
          </cell>
        </row>
        <row r="1347">
          <cell r="A1347" t="str">
            <v>FTK433F</v>
          </cell>
          <cell r="B1347" t="str">
            <v>AUTOMOTIVO</v>
          </cell>
          <cell r="C1347" t="str">
            <v>Coifa Homocinética</v>
          </cell>
          <cell r="D1347" t="str">
            <v>SIMPLES</v>
          </cell>
          <cell r="E1347" t="str">
            <v>Replabor</v>
          </cell>
          <cell r="F1347" t="str">
            <v>COIFA HOMOCINETICA COM FLANGE LADO CÂMBIO TEMPRA</v>
          </cell>
        </row>
        <row r="1348">
          <cell r="A1348" t="str">
            <v>FTK435</v>
          </cell>
          <cell r="B1348" t="str">
            <v>AUTOMOTIVO</v>
          </cell>
          <cell r="C1348" t="str">
            <v>Coifa Homocinética</v>
          </cell>
          <cell r="D1348" t="str">
            <v>SIMPLES</v>
          </cell>
          <cell r="E1348" t="str">
            <v>Replabor</v>
          </cell>
          <cell r="F1348" t="str">
            <v>COIFA HOMOCINETICA LADO CÂMBIO ROYALE 1992 A 1995</v>
          </cell>
        </row>
        <row r="1349">
          <cell r="A1349" t="str">
            <v>FTK435F</v>
          </cell>
          <cell r="B1349" t="str">
            <v>AUTOMOTIVO</v>
          </cell>
          <cell r="C1349" t="str">
            <v>Coifa Homocinética</v>
          </cell>
          <cell r="D1349" t="str">
            <v>SIMPLES</v>
          </cell>
          <cell r="E1349" t="str">
            <v>Replabor</v>
          </cell>
          <cell r="F1349" t="str">
            <v>Coifa Homocinetica Lado Câmbio Com Flange Passat 95 Diante</v>
          </cell>
        </row>
        <row r="1350">
          <cell r="A1350" t="str">
            <v>FTK44002-AMW</v>
          </cell>
          <cell r="B1350" t="str">
            <v>AUTOMOTIVO</v>
          </cell>
          <cell r="C1350" t="str">
            <v>Bucha Bandeja</v>
          </cell>
          <cell r="D1350" t="str">
            <v>SIMPLES</v>
          </cell>
          <cell r="E1350" t="str">
            <v>AMW</v>
          </cell>
          <cell r="F1350" t="str">
            <v>Bucha Ambos Lados Bandeja Dianteira Tipo 1993 A 1997</v>
          </cell>
        </row>
        <row r="1351">
          <cell r="A1351" t="str">
            <v>FTK44003-AMW</v>
          </cell>
          <cell r="B1351" t="str">
            <v>AUTOMOTIVO</v>
          </cell>
          <cell r="C1351" t="str">
            <v>Bucha Bandeja</v>
          </cell>
          <cell r="D1351" t="str">
            <v>SIMPLES</v>
          </cell>
          <cell r="E1351" t="str">
            <v>AMW</v>
          </cell>
          <cell r="F1351" t="str">
            <v>Bucha Esquerda Traseira Bandeja Dianteira Tipo 1993 A 1997</v>
          </cell>
        </row>
        <row r="1352">
          <cell r="A1352" t="str">
            <v>FTK44004-AMW</v>
          </cell>
          <cell r="B1352" t="str">
            <v>AUTOMOTIVO</v>
          </cell>
          <cell r="C1352" t="str">
            <v>Bucha Bandeja</v>
          </cell>
          <cell r="D1352" t="str">
            <v>SIMPLES</v>
          </cell>
          <cell r="E1352" t="str">
            <v>AMW</v>
          </cell>
          <cell r="F1352" t="str">
            <v>BUCHA BRAÇO TENSOR UNO NÃO EXPORTAR</v>
          </cell>
        </row>
        <row r="1353">
          <cell r="A1353" t="str">
            <v>FTK44005-AMW</v>
          </cell>
          <cell r="B1353" t="str">
            <v>AUTOMOTIVO</v>
          </cell>
          <cell r="C1353" t="str">
            <v>Bucha Bandeja</v>
          </cell>
          <cell r="D1353" t="str">
            <v>SIMPLES</v>
          </cell>
          <cell r="E1353" t="str">
            <v>AMW</v>
          </cell>
          <cell r="F1353" t="str">
            <v>BUCHA DA BANDEJA SUSPENSÃO TRASEIRA UNO MILLE 1991 A 2013 NÃO EXPORTAR</v>
          </cell>
        </row>
        <row r="1354">
          <cell r="A1354" t="str">
            <v>FTK44006-AMW</v>
          </cell>
          <cell r="B1354" t="str">
            <v>AUTOMOTIVO</v>
          </cell>
          <cell r="C1354" t="str">
            <v>Bucha Bandeja</v>
          </cell>
          <cell r="D1354" t="str">
            <v>SIMPLES</v>
          </cell>
          <cell r="E1354" t="str">
            <v>AMW</v>
          </cell>
          <cell r="F1354" t="str">
            <v>Bucha Direita Traseira Bandeja Dianteira Tipo 93 A 97</v>
          </cell>
        </row>
        <row r="1355">
          <cell r="A1355" t="str">
            <v>FTK44008-AMW</v>
          </cell>
          <cell r="B1355" t="str">
            <v>AUTOMOTIVO</v>
          </cell>
          <cell r="C1355" t="str">
            <v>Bucha Bandeja</v>
          </cell>
          <cell r="D1355" t="str">
            <v>SIMPLES</v>
          </cell>
          <cell r="E1355" t="str">
            <v>AMW</v>
          </cell>
          <cell r="F1355" t="str">
            <v>Bucha Central Bandeja Dianteira Dodge Journey 2007 Em Diante</v>
          </cell>
        </row>
        <row r="1356">
          <cell r="A1356" t="str">
            <v>FTK44406-MB</v>
          </cell>
          <cell r="B1356" t="str">
            <v>AUTOMOTIVO</v>
          </cell>
          <cell r="C1356" t="str">
            <v>Bucha Bandeja</v>
          </cell>
          <cell r="D1356" t="str">
            <v>SIMPLES</v>
          </cell>
          <cell r="E1356" t="str">
            <v>MOBENSANI</v>
          </cell>
          <cell r="F1356" t="str">
            <v>Bucha Traseira Da Bandeja Dianteira Punto 2008 A 2018</v>
          </cell>
        </row>
        <row r="1357">
          <cell r="A1357" t="str">
            <v>FTK44417</v>
          </cell>
          <cell r="B1357" t="str">
            <v>AUTOMOTIVO</v>
          </cell>
          <cell r="C1357" t="str">
            <v>Pastilha Freio</v>
          </cell>
          <cell r="D1357" t="str">
            <v>SIMPLES</v>
          </cell>
          <cell r="E1357" t="str">
            <v>GUARU BORRACHAS</v>
          </cell>
          <cell r="F1357" t="str">
            <v>BUCHA DA BARRA ESTABILIZADORA SUSPENSÃO DIANTEIRA PUNTO 2008 A 2017</v>
          </cell>
        </row>
        <row r="1358">
          <cell r="A1358" t="str">
            <v>FTK4476-MB</v>
          </cell>
          <cell r="B1358" t="str">
            <v>AUTOMOTIVO</v>
          </cell>
          <cell r="C1358" t="str">
            <v>Bucha Bandeja</v>
          </cell>
          <cell r="D1358" t="str">
            <v>SIMPLES</v>
          </cell>
          <cell r="E1358" t="str">
            <v>MOBENSANI</v>
          </cell>
          <cell r="F1358" t="str">
            <v>Bucha Dianteira Da Bandeja Dianteira Stilo 2002 A 2010</v>
          </cell>
        </row>
        <row r="1359">
          <cell r="A1359" t="str">
            <v>FTK4477-MB</v>
          </cell>
          <cell r="B1359" t="str">
            <v>AUTOMOTIVO</v>
          </cell>
          <cell r="C1359" t="str">
            <v>Bucha Bandeja</v>
          </cell>
          <cell r="D1359" t="str">
            <v>SIMPLES</v>
          </cell>
          <cell r="E1359" t="str">
            <v>MOBENSANI</v>
          </cell>
          <cell r="F1359" t="str">
            <v>Bucha Traseira Da Bandeja Dianteira Stilo 2002 A 2010</v>
          </cell>
        </row>
        <row r="1360">
          <cell r="A1360" t="str">
            <v>FTK452</v>
          </cell>
          <cell r="B1360" t="str">
            <v>AUTOMOTIVO</v>
          </cell>
          <cell r="C1360" t="str">
            <v>Coifa Homocinética</v>
          </cell>
          <cell r="D1360" t="str">
            <v>SIMPLES</v>
          </cell>
          <cell r="E1360" t="str">
            <v>Replabor</v>
          </cell>
          <cell r="F1360" t="str">
            <v>COIFA HOMOCINETICA LADO RODA CROSSFOX 2004 EM DIANTE</v>
          </cell>
        </row>
        <row r="1361">
          <cell r="A1361" t="str">
            <v>FTK454</v>
          </cell>
          <cell r="B1361" t="str">
            <v>AUTOMOTIVO</v>
          </cell>
          <cell r="C1361" t="str">
            <v>Coifa Homocinética</v>
          </cell>
          <cell r="D1361" t="str">
            <v>SIMPLES</v>
          </cell>
          <cell r="E1361" t="str">
            <v>Replabor</v>
          </cell>
          <cell r="F1361" t="str">
            <v>COIFA HOMOCINETICA LADO RODA BORA 2000 EM DIANTE</v>
          </cell>
        </row>
        <row r="1362">
          <cell r="A1362" t="str">
            <v>FTK455</v>
          </cell>
          <cell r="B1362" t="str">
            <v>AUTOMOTIVO</v>
          </cell>
          <cell r="C1362" t="str">
            <v>Coifa Homocinética</v>
          </cell>
          <cell r="D1362" t="str">
            <v>SIMPLES</v>
          </cell>
          <cell r="E1362" t="str">
            <v>Replabor</v>
          </cell>
          <cell r="F1362" t="str">
            <v>COIFA HOMOCINETICA LADO RODA GOL 1995 EM DIANTE</v>
          </cell>
        </row>
        <row r="1363">
          <cell r="A1363" t="str">
            <v>FTK464</v>
          </cell>
          <cell r="B1363" t="str">
            <v>AUTOMOTIVO</v>
          </cell>
          <cell r="C1363" t="str">
            <v>Coifa Homocinética</v>
          </cell>
          <cell r="D1363" t="str">
            <v>SIMPLES</v>
          </cell>
          <cell r="E1363" t="str">
            <v>Replabor</v>
          </cell>
          <cell r="F1363" t="str">
            <v>COIFA HOMOCINETICA LADO CAMBIO UP 2014 A 2021</v>
          </cell>
        </row>
        <row r="1364">
          <cell r="A1364" t="str">
            <v>FTK465</v>
          </cell>
          <cell r="B1364" t="str">
            <v>AUTOMOTIVO</v>
          </cell>
          <cell r="C1364" t="str">
            <v>Coifa Homocinética</v>
          </cell>
          <cell r="D1364" t="str">
            <v>SIMPLES</v>
          </cell>
          <cell r="E1364" t="str">
            <v>Replabor</v>
          </cell>
          <cell r="F1364" t="str">
            <v>COIFA HOMOCINETICA LADO RODA UP 2014 A 2021</v>
          </cell>
        </row>
        <row r="1365">
          <cell r="A1365" t="str">
            <v>FTK601</v>
          </cell>
          <cell r="B1365" t="str">
            <v>AUTOMOTIVO</v>
          </cell>
          <cell r="C1365" t="str">
            <v>COXIM AMORTECEDOR</v>
          </cell>
          <cell r="D1365" t="str">
            <v>SIMPLES</v>
          </cell>
          <cell r="E1365" t="str">
            <v>R9BOR</v>
          </cell>
          <cell r="F1365" t="str">
            <v>COXIM AMORTECEDOR DIANTEIRO FIT</v>
          </cell>
        </row>
        <row r="1366">
          <cell r="A1366" t="str">
            <v>FTK616</v>
          </cell>
          <cell r="B1366" t="str">
            <v>AUTOMOTIVO</v>
          </cell>
          <cell r="C1366" t="str">
            <v>Coifa Homocinética</v>
          </cell>
          <cell r="D1366" t="str">
            <v>SIMPLES</v>
          </cell>
          <cell r="E1366" t="str">
            <v>SPARE</v>
          </cell>
          <cell r="F1366" t="str">
            <v>Coifa Homocinetica Lado Cambio Peugeot 2008 2016 Em Diante</v>
          </cell>
        </row>
        <row r="1367">
          <cell r="A1367" t="str">
            <v>FTK625</v>
          </cell>
          <cell r="B1367" t="str">
            <v>AUTOMOTIVO</v>
          </cell>
          <cell r="C1367" t="str">
            <v>Coifa Homocinética</v>
          </cell>
          <cell r="D1367" t="str">
            <v>SIMPLES</v>
          </cell>
          <cell r="E1367" t="str">
            <v>Replabor</v>
          </cell>
          <cell r="F1367" t="str">
            <v>Coifa Homocinetica Lado Roda Kicks 1.6 2018 Em Diante</v>
          </cell>
        </row>
        <row r="1368">
          <cell r="A1368" t="str">
            <v>FTK66000-MB</v>
          </cell>
          <cell r="B1368" t="str">
            <v>AUTOMOTIVO</v>
          </cell>
          <cell r="C1368" t="str">
            <v>Bucha Bandeja</v>
          </cell>
          <cell r="D1368" t="str">
            <v>SIMPLES</v>
          </cell>
          <cell r="E1368" t="str">
            <v>MOBENSANI</v>
          </cell>
          <cell r="F1368" t="str">
            <v>Bucha Dianteira Da Bandeja Dianteira Fit 2009 A 2014</v>
          </cell>
        </row>
        <row r="1369">
          <cell r="A1369" t="str">
            <v>FTK66001-MB</v>
          </cell>
          <cell r="B1369" t="str">
            <v>AUTOMOTIVO</v>
          </cell>
          <cell r="C1369" t="str">
            <v>Bucha Bandeja</v>
          </cell>
          <cell r="D1369" t="str">
            <v>SIMPLES</v>
          </cell>
          <cell r="E1369" t="str">
            <v>MOBENSANI</v>
          </cell>
          <cell r="F1369" t="str">
            <v>Bucha Traseira Da Bandeja Suspensão Dianteira Fit 2009 A 14</v>
          </cell>
        </row>
        <row r="1370">
          <cell r="A1370" t="str">
            <v>FTK66029-MB</v>
          </cell>
          <cell r="B1370" t="str">
            <v>AUTOMOTIVO</v>
          </cell>
          <cell r="C1370" t="str">
            <v>Bucha Bandeja</v>
          </cell>
          <cell r="D1370" t="str">
            <v>SIMPLES</v>
          </cell>
          <cell r="E1370" t="str">
            <v>MOBENSANI</v>
          </cell>
          <cell r="F1370" t="str">
            <v>Bucha Dianteira Da Bandeja Dianteira Crv 2007 A 2012</v>
          </cell>
        </row>
        <row r="1371">
          <cell r="A1371" t="str">
            <v>FTK66039-MB</v>
          </cell>
          <cell r="B1371" t="str">
            <v>AUTOMOTIVO</v>
          </cell>
          <cell r="C1371" t="str">
            <v>Bucha Bandeja</v>
          </cell>
          <cell r="D1371" t="str">
            <v>SIMPLES</v>
          </cell>
          <cell r="E1371" t="str">
            <v>MOBENSANI</v>
          </cell>
          <cell r="F1371" t="str">
            <v>Bucha Traseira Da Bandeja Dianteira Crv 2007 A 2012</v>
          </cell>
        </row>
        <row r="1372">
          <cell r="A1372" t="str">
            <v>FTK66075-MB</v>
          </cell>
          <cell r="B1372" t="str">
            <v>AUTOMOTIVO</v>
          </cell>
          <cell r="C1372" t="str">
            <v>Bucha Bandeja</v>
          </cell>
          <cell r="D1372" t="str">
            <v>SIMPLES</v>
          </cell>
          <cell r="E1372" t="str">
            <v>MOBENSANI</v>
          </cell>
          <cell r="F1372" t="str">
            <v>BUCHA DIANTEIRA DA BANDEJA DIANTEIRA CIVIC 2012 A 2016</v>
          </cell>
        </row>
        <row r="1373">
          <cell r="A1373" t="str">
            <v>FTK717</v>
          </cell>
          <cell r="B1373" t="str">
            <v>AUTOMOTIVO</v>
          </cell>
          <cell r="C1373" t="str">
            <v>Coifa Homocinética</v>
          </cell>
          <cell r="D1373" t="str">
            <v>SIMPLES</v>
          </cell>
          <cell r="E1373" t="str">
            <v>Replabor</v>
          </cell>
          <cell r="F1373" t="str">
            <v>COIFA HOMOCINETICA LADO CAMBIO ESQUERDO LOGAN 2007 EM DIANTE</v>
          </cell>
        </row>
        <row r="1374">
          <cell r="A1374" t="str">
            <v>FTK728</v>
          </cell>
          <cell r="B1374" t="str">
            <v>AUTOMOTIVO</v>
          </cell>
          <cell r="C1374" t="str">
            <v>Pastilha Freio</v>
          </cell>
          <cell r="D1374" t="str">
            <v>SIMPLES</v>
          </cell>
          <cell r="E1374" t="str">
            <v>Replabor</v>
          </cell>
          <cell r="F1374" t="str">
            <v>Coifa Homocinetica Lado Cambio Direito Sandero 2008 Diante</v>
          </cell>
        </row>
        <row r="1375">
          <cell r="A1375" t="str">
            <v>FTK740</v>
          </cell>
          <cell r="B1375" t="str">
            <v>AUTOMOTIVO</v>
          </cell>
          <cell r="C1375" t="str">
            <v>Coifa Homocinética</v>
          </cell>
          <cell r="D1375" t="str">
            <v>SIMPLES</v>
          </cell>
          <cell r="E1375" t="str">
            <v>Replabor</v>
          </cell>
          <cell r="F1375" t="str">
            <v>COIFA HOMOCINETICA LADO RODA KWID 2017 EM DIANTE</v>
          </cell>
        </row>
        <row r="1376">
          <cell r="A1376" t="str">
            <v>FTK77001-AMW</v>
          </cell>
          <cell r="B1376" t="str">
            <v>AUTOMOTIVO</v>
          </cell>
          <cell r="C1376" t="str">
            <v>Bucha Bandeja</v>
          </cell>
          <cell r="D1376" t="str">
            <v>SIMPLES</v>
          </cell>
          <cell r="E1376" t="str">
            <v>AMW</v>
          </cell>
          <cell r="F1376" t="str">
            <v>BUCHA DIANTEIRA DA BANDEJA DIANTEIRA PICASSO 2001 A 2012 NÃO EXPORTAR</v>
          </cell>
        </row>
        <row r="1377">
          <cell r="A1377" t="str">
            <v>FTK77002-AMW</v>
          </cell>
          <cell r="B1377" t="str">
            <v>AUTOMOTIVO</v>
          </cell>
          <cell r="C1377" t="str">
            <v>Bucha Bandeja</v>
          </cell>
          <cell r="D1377" t="str">
            <v>SIMPLES</v>
          </cell>
          <cell r="E1377" t="str">
            <v>AMW</v>
          </cell>
          <cell r="F1377" t="str">
            <v>Bucha Traseira Da Bandeja Dianteira Xsara 1998 A 2004</v>
          </cell>
        </row>
        <row r="1378">
          <cell r="A1378" t="str">
            <v>FTK77014-MB</v>
          </cell>
          <cell r="B1378" t="str">
            <v>AUTOMOTIVO</v>
          </cell>
          <cell r="C1378" t="str">
            <v>Bucha Bandeja</v>
          </cell>
          <cell r="D1378" t="str">
            <v>SIMPLES</v>
          </cell>
          <cell r="E1378" t="str">
            <v>MOBENSANI</v>
          </cell>
          <cell r="F1378" t="str">
            <v>Bucha Traseira Da Bandeja Dianteira Sentra 2008 Em Diante</v>
          </cell>
        </row>
        <row r="1379">
          <cell r="A1379" t="str">
            <v>FTK77015-MB</v>
          </cell>
          <cell r="B1379" t="str">
            <v>AUTOMOTIVO</v>
          </cell>
          <cell r="C1379" t="str">
            <v>Bucha Bandeja</v>
          </cell>
          <cell r="D1379" t="str">
            <v>SIMPLES</v>
          </cell>
          <cell r="E1379" t="str">
            <v>MOBENSANI</v>
          </cell>
          <cell r="F1379" t="str">
            <v>Bucha Dianteira Da Bandeja Dianteira Sentra 2014 Em Diante</v>
          </cell>
        </row>
        <row r="1380">
          <cell r="A1380" t="str">
            <v>FTK77365</v>
          </cell>
          <cell r="B1380" t="str">
            <v>AUTOMOTIVO</v>
          </cell>
          <cell r="C1380" t="str">
            <v>Pivô</v>
          </cell>
          <cell r="D1380" t="str">
            <v>SIMPLES</v>
          </cell>
          <cell r="E1380" t="str">
            <v>SPARE</v>
          </cell>
          <cell r="F1380" t="str">
            <v>PIVÔ INFERIOR ESQUERDO AUDI A3 1999 A 2006</v>
          </cell>
        </row>
        <row r="1381">
          <cell r="A1381" t="str">
            <v>FTK77366</v>
          </cell>
          <cell r="B1381" t="str">
            <v>AUTOMOTIVO</v>
          </cell>
          <cell r="C1381" t="str">
            <v>Pivô</v>
          </cell>
          <cell r="D1381" t="str">
            <v>SIMPLES</v>
          </cell>
          <cell r="E1381" t="str">
            <v>SPARE</v>
          </cell>
          <cell r="F1381" t="str">
            <v>PIVÔ INFERIOR DIREITO AUDI A3 1999 A 2006</v>
          </cell>
        </row>
        <row r="1382">
          <cell r="A1382" t="str">
            <v>FTK77368</v>
          </cell>
          <cell r="B1382" t="str">
            <v>AUTOMOTIVO</v>
          </cell>
          <cell r="C1382" t="str">
            <v>Pivô</v>
          </cell>
          <cell r="D1382" t="str">
            <v>SIMPLES</v>
          </cell>
          <cell r="E1382" t="str">
            <v>SPARE</v>
          </cell>
          <cell r="F1382" t="str">
            <v>Pivô Inferior T-cross 2019 Á 2022 Lado Direito</v>
          </cell>
        </row>
        <row r="1383">
          <cell r="A1383" t="str">
            <v>FTK77369</v>
          </cell>
          <cell r="B1383" t="str">
            <v>AUTOMOTIVO</v>
          </cell>
          <cell r="C1383" t="str">
            <v>Pivô</v>
          </cell>
          <cell r="D1383" t="str">
            <v>SIMPLES</v>
          </cell>
          <cell r="E1383" t="str">
            <v>SPARE</v>
          </cell>
          <cell r="F1383" t="str">
            <v>PIVÔ INFERIOR JETTA LADO ESQUERDO</v>
          </cell>
        </row>
        <row r="1384">
          <cell r="A1384" t="str">
            <v>FTK7739-MB</v>
          </cell>
          <cell r="B1384" t="str">
            <v>AUTOMOTIVO</v>
          </cell>
          <cell r="C1384" t="str">
            <v>Bucha Bandeja</v>
          </cell>
          <cell r="D1384" t="str">
            <v>SIMPLES</v>
          </cell>
          <cell r="E1384" t="str">
            <v>MOBENSANI</v>
          </cell>
          <cell r="F1384" t="str">
            <v>Bucha Traseira Da Bandeja Dianteira Corolla 1997 A 2002</v>
          </cell>
        </row>
        <row r="1385">
          <cell r="A1385" t="str">
            <v>FTK7740-MB</v>
          </cell>
          <cell r="B1385" t="str">
            <v>AUTOMOTIVO</v>
          </cell>
          <cell r="C1385" t="str">
            <v>Bucha Bandeja</v>
          </cell>
          <cell r="D1385" t="str">
            <v>SIMPLES</v>
          </cell>
          <cell r="E1385" t="str">
            <v>MOBENSANI</v>
          </cell>
          <cell r="F1385" t="str">
            <v>Bucha Central Da Bandeja Dianteira Corolla 1992 A 2002</v>
          </cell>
        </row>
        <row r="1386">
          <cell r="A1386" t="str">
            <v>FTK7741-MB</v>
          </cell>
          <cell r="B1386" t="str">
            <v>AUTOMOTIVO</v>
          </cell>
          <cell r="C1386" t="str">
            <v>Bucha Bandeja</v>
          </cell>
          <cell r="D1386" t="str">
            <v>SIMPLES</v>
          </cell>
          <cell r="E1386" t="str">
            <v>MOBENSANI</v>
          </cell>
          <cell r="F1386" t="str">
            <v>Bucha Traseira Da Bandeja Dianteira Corolla 2003 Em Diante</v>
          </cell>
        </row>
        <row r="1387">
          <cell r="A1387" t="str">
            <v>FTK7742-MB</v>
          </cell>
          <cell r="B1387" t="str">
            <v>AUTOMOTIVO</v>
          </cell>
          <cell r="C1387" t="str">
            <v>Bucha Bandeja</v>
          </cell>
          <cell r="D1387" t="str">
            <v>SIMPLES</v>
          </cell>
          <cell r="E1387" t="str">
            <v>MOBENSANI</v>
          </cell>
          <cell r="F1387" t="str">
            <v>Bucha Central Da Bandeja Dianteira Corolla 2003 Em Diante</v>
          </cell>
        </row>
        <row r="1388">
          <cell r="A1388" t="str">
            <v>FTK77503-AMW</v>
          </cell>
          <cell r="B1388" t="str">
            <v>AUTOMOTIVO</v>
          </cell>
          <cell r="C1388" t="str">
            <v>Bucha Bandeja</v>
          </cell>
          <cell r="D1388" t="str">
            <v>SIMPLES</v>
          </cell>
          <cell r="E1388" t="str">
            <v>AMW</v>
          </cell>
          <cell r="F1388" t="str">
            <v>BUCHA DA BANDEJA SUSPENSÃO DIANTEIRA CLIO 1998 EM DIANTE NÃO EXPORTAR</v>
          </cell>
        </row>
        <row r="1389">
          <cell r="A1389" t="str">
            <v>FTK88001-AMW</v>
          </cell>
          <cell r="B1389" t="str">
            <v>AUTOMOTIVO</v>
          </cell>
          <cell r="C1389" t="str">
            <v>Bucha Bandeja</v>
          </cell>
          <cell r="D1389" t="str">
            <v>SIMPLES</v>
          </cell>
          <cell r="E1389" t="str">
            <v>AMW</v>
          </cell>
          <cell r="F1389" t="str">
            <v>BUCHA DIANTEIRA DA BANDEJA DIANTEIRA 206 1998 A 2010</v>
          </cell>
        </row>
        <row r="1390">
          <cell r="A1390" t="str">
            <v>ftk88002</v>
          </cell>
          <cell r="B1390" t="str">
            <v>AUTOMOTIVO</v>
          </cell>
          <cell r="C1390" t="str">
            <v>Pastilha Freio</v>
          </cell>
          <cell r="D1390" t="str">
            <v>SIMPLES</v>
          </cell>
          <cell r="E1390" t="str">
            <v>GUARU BORRACHAS</v>
          </cell>
          <cell r="F1390" t="str">
            <v>BUCHA DA BARRA ESTABILIZADORA SUSPENSÃO DIANTEIRA HYUNDAI HB20 2013/2019 HYUNDAI HB20 2020/...</v>
          </cell>
        </row>
        <row r="1391">
          <cell r="A1391" t="str">
            <v>FTK88002-AMW</v>
          </cell>
          <cell r="B1391" t="str">
            <v>AUTOMOTIVO</v>
          </cell>
          <cell r="C1391" t="str">
            <v>Bucha Bandeja</v>
          </cell>
          <cell r="D1391" t="str">
            <v>SIMPLES</v>
          </cell>
          <cell r="E1391" t="str">
            <v>AMW</v>
          </cell>
          <cell r="F1391" t="str">
            <v>Bucha Traseira Da Bandeja Dianteira C4 2007 A 2019</v>
          </cell>
        </row>
        <row r="1392">
          <cell r="A1392" t="str">
            <v>FTK889628</v>
          </cell>
          <cell r="B1392" t="str">
            <v>AUTOMOTIVO</v>
          </cell>
          <cell r="C1392" t="str">
            <v>Rolamento semi Eixo</v>
          </cell>
          <cell r="D1392" t="str">
            <v>SIMPLES</v>
          </cell>
          <cell r="E1392" t="str">
            <v>POLO</v>
          </cell>
          <cell r="F1392" t="str">
            <v>Rolamento Semi Eixo Renault Laguna 1994 Até 2012</v>
          </cell>
        </row>
        <row r="1393">
          <cell r="A1393" t="str">
            <v>FTK902</v>
          </cell>
          <cell r="B1393" t="str">
            <v>AUTOMOTIVO</v>
          </cell>
          <cell r="C1393" t="str">
            <v>Coifa Homocinética</v>
          </cell>
          <cell r="D1393" t="str">
            <v>SIMPLES</v>
          </cell>
          <cell r="E1393" t="str">
            <v>Replabor</v>
          </cell>
          <cell r="F1393" t="str">
            <v>COIFA HOMOCINETICA LADO RODA CITY 1.5 2009 EM DIANTE</v>
          </cell>
        </row>
        <row r="1394">
          <cell r="A1394" t="str">
            <v>FTK946</v>
          </cell>
          <cell r="B1394" t="str">
            <v>AUTOMOTIVO</v>
          </cell>
          <cell r="D1394" t="str">
            <v>SIMPLES</v>
          </cell>
          <cell r="E1394" t="str">
            <v>R9BOR</v>
          </cell>
          <cell r="F1394" t="str">
            <v xml:space="preserve">COXIM AMORTECEDOR DIANTEIRO CLIO II  </v>
          </cell>
        </row>
        <row r="1395">
          <cell r="A1395" t="str">
            <v>FTK99082-MB</v>
          </cell>
          <cell r="B1395" t="str">
            <v>AUTOMOTIVO</v>
          </cell>
          <cell r="C1395" t="str">
            <v>Bucha Bandeja</v>
          </cell>
          <cell r="D1395" t="str">
            <v>SIMPLES</v>
          </cell>
          <cell r="E1395" t="str">
            <v>MOBENSANI</v>
          </cell>
          <cell r="F1395" t="str">
            <v>BUCHA TRASEIRA DA BANDEJA DIANTEIRA MONDEO 1996 A 2001</v>
          </cell>
        </row>
        <row r="1396">
          <cell r="A1396" t="str">
            <v>FTK99083-MB</v>
          </cell>
          <cell r="B1396" t="str">
            <v>AUTOMOTIVO</v>
          </cell>
          <cell r="C1396" t="str">
            <v>Bucha Bandeja</v>
          </cell>
          <cell r="D1396" t="str">
            <v>SIMPLES</v>
          </cell>
          <cell r="E1396" t="str">
            <v>MOBENSANI</v>
          </cell>
          <cell r="F1396" t="str">
            <v>BUCHA DIANTEIRA DA BANDEJA DIANTEIRA MONDEO 1993 A 2001</v>
          </cell>
        </row>
        <row r="1397">
          <cell r="A1397" t="str">
            <v>FTK99103-MB</v>
          </cell>
          <cell r="B1397" t="str">
            <v>AUTOMOTIVO</v>
          </cell>
          <cell r="C1397" t="str">
            <v>Bucha Bandeja</v>
          </cell>
          <cell r="D1397" t="str">
            <v>SIMPLES</v>
          </cell>
          <cell r="E1397" t="str">
            <v>MOBENSANI</v>
          </cell>
          <cell r="F1397" t="str">
            <v>Bucha Traseira Da Bandeja Dianteira Scenic 2007 Em Diante</v>
          </cell>
        </row>
        <row r="1398">
          <cell r="A1398" t="str">
            <v>FTK99104-MB</v>
          </cell>
          <cell r="B1398" t="str">
            <v>AUTOMOTIVO</v>
          </cell>
          <cell r="C1398" t="str">
            <v>Bucha Bandeja</v>
          </cell>
          <cell r="D1398" t="str">
            <v>SIMPLES</v>
          </cell>
          <cell r="E1398" t="str">
            <v>MOBENSANI</v>
          </cell>
          <cell r="F1398" t="str">
            <v>Bucha Dianteira Da Bandeja Dianteira Megane 2007 Em Diante</v>
          </cell>
        </row>
        <row r="1399">
          <cell r="A1399" t="str">
            <v>FTK99128-MB</v>
          </cell>
          <cell r="B1399" t="str">
            <v>AUTOMOTIVO</v>
          </cell>
          <cell r="C1399" t="str">
            <v>Bucha Bandeja</v>
          </cell>
          <cell r="D1399" t="str">
            <v>SIMPLES</v>
          </cell>
          <cell r="E1399" t="str">
            <v>MOBENSANI</v>
          </cell>
          <cell r="F1399" t="str">
            <v>Bucha Dianteira Da Bandeja Dianteira Fluence 2010 Em Diante</v>
          </cell>
        </row>
        <row r="1400">
          <cell r="A1400" t="str">
            <v>FTK99129-MB</v>
          </cell>
          <cell r="B1400" t="str">
            <v>AUTOMOTIVO</v>
          </cell>
          <cell r="C1400" t="str">
            <v>Bucha Bandeja</v>
          </cell>
          <cell r="D1400" t="str">
            <v>SIMPLES</v>
          </cell>
          <cell r="E1400" t="str">
            <v>MOBENSANI</v>
          </cell>
          <cell r="F1400" t="str">
            <v>Bucha Traseira Da Bandeja Dianteira Fluence 2010 Em Diante</v>
          </cell>
        </row>
        <row r="1401">
          <cell r="A1401" t="str">
            <v>FTK99133</v>
          </cell>
          <cell r="B1401" t="str">
            <v>AUTOMOTIVO</v>
          </cell>
          <cell r="C1401" t="str">
            <v>Pastilha Freio</v>
          </cell>
          <cell r="D1401" t="str">
            <v>SIMPLES</v>
          </cell>
          <cell r="E1401" t="str">
            <v>GUARU BORRACHAS</v>
          </cell>
          <cell r="F1401" t="str">
            <v>BUCHA DA BARRA ESTABILIZADORA SUSPENSÃO DIANTEIRA PEUGEOT 1999 A 2011</v>
          </cell>
        </row>
        <row r="1402">
          <cell r="A1402" t="str">
            <v>FTK99134-MB</v>
          </cell>
          <cell r="B1402" t="str">
            <v>AUTOMOTIVO</v>
          </cell>
          <cell r="C1402" t="str">
            <v>Bucha Bandeja</v>
          </cell>
          <cell r="D1402" t="str">
            <v>SIMPLES</v>
          </cell>
          <cell r="E1402" t="str">
            <v>MOBENSANI</v>
          </cell>
          <cell r="F1402" t="str">
            <v>BUCHA TRASEIRA DA BANDEJA DIANTEIRA CIVIC 2007 A 2016</v>
          </cell>
        </row>
        <row r="1403">
          <cell r="A1403" t="str">
            <v>FTK99140-MB</v>
          </cell>
          <cell r="B1403" t="str">
            <v>AUTOMOTIVO</v>
          </cell>
          <cell r="C1403" t="str">
            <v>Bucha Bandeja</v>
          </cell>
          <cell r="D1403" t="str">
            <v>SIMPLES</v>
          </cell>
          <cell r="E1403" t="str">
            <v>MOBENSANI</v>
          </cell>
          <cell r="F1403" t="str">
            <v>Bucha Da Bandeja Superior Dianteira Civic 1996 A 2000</v>
          </cell>
        </row>
        <row r="1404">
          <cell r="A1404" t="str">
            <v>FTK99162</v>
          </cell>
          <cell r="B1404" t="str">
            <v>AUTOMOTIVO</v>
          </cell>
          <cell r="C1404" t="str">
            <v>Pivô</v>
          </cell>
          <cell r="D1404" t="str">
            <v>SIMPLES</v>
          </cell>
          <cell r="E1404" t="str">
            <v>SPARE</v>
          </cell>
          <cell r="F1404" t="str">
            <v>Pivô Inferior Ambos Lados L200 Triton 2008 A 2022</v>
          </cell>
        </row>
        <row r="1405">
          <cell r="A1405" t="str">
            <v>FTK99166-MB</v>
          </cell>
          <cell r="B1405" t="str">
            <v>AUTOMOTIVO</v>
          </cell>
          <cell r="C1405" t="str">
            <v>Bucha Bandeja</v>
          </cell>
          <cell r="D1405" t="str">
            <v>SIMPLES</v>
          </cell>
          <cell r="E1405" t="str">
            <v>MOBENSANI</v>
          </cell>
          <cell r="F1405" t="str">
            <v>BUCHA DA BANDEJA SUSPENSÃO DIANTEIRA MEGANE 1995 EM DIANTE</v>
          </cell>
        </row>
        <row r="1406">
          <cell r="A1406" t="str">
            <v>FTK99171-MB</v>
          </cell>
          <cell r="B1406" t="str">
            <v>AUTOMOTIVO</v>
          </cell>
          <cell r="C1406" t="str">
            <v>Bucha Bandeja</v>
          </cell>
          <cell r="D1406" t="str">
            <v>SIMPLES</v>
          </cell>
          <cell r="E1406" t="str">
            <v>MOBENSANI</v>
          </cell>
          <cell r="F1406" t="str">
            <v>Bucha Da Bandeja Superior Dianteira Civic 1992 A 1995</v>
          </cell>
        </row>
        <row r="1407">
          <cell r="A1407" t="str">
            <v>FTK99261</v>
          </cell>
          <cell r="B1407" t="str">
            <v>AUTOMOTIVO</v>
          </cell>
          <cell r="C1407" t="str">
            <v>Pastilha Freio</v>
          </cell>
          <cell r="D1407" t="str">
            <v>SIMPLES</v>
          </cell>
          <cell r="E1407" t="str">
            <v>GUARU BORRACHAS</v>
          </cell>
          <cell r="F1407" t="str">
            <v>BUCHA DA BARRA ESTABILIZADORA SUSPENSÃO DIANTEIRA PEUGEOT 307</v>
          </cell>
        </row>
        <row r="1408">
          <cell r="A1408" t="str">
            <v>FTK99282-MB</v>
          </cell>
          <cell r="B1408" t="str">
            <v>AUTOMOTIVO</v>
          </cell>
          <cell r="C1408" t="str">
            <v>Bucha</v>
          </cell>
          <cell r="D1408" t="str">
            <v>SIMPLES</v>
          </cell>
          <cell r="E1408" t="str">
            <v>MOBENSANI</v>
          </cell>
          <cell r="F1408" t="str">
            <v>Bucha Traseira Da Bandeja Dianteira Vera Cruz 2006 Em Diante</v>
          </cell>
        </row>
        <row r="1409">
          <cell r="A1409" t="str">
            <v>FTK99283-MB</v>
          </cell>
          <cell r="B1409" t="str">
            <v>AUTOMOTIVO</v>
          </cell>
          <cell r="C1409" t="str">
            <v>Bucha Bandeja</v>
          </cell>
          <cell r="D1409" t="str">
            <v>SIMPLES</v>
          </cell>
          <cell r="E1409" t="str">
            <v>MOBENSANI</v>
          </cell>
          <cell r="F1409" t="str">
            <v>BUCHA DIANTEIRA DA BANDEJA DIANTEIRA TUCSON 2005 EM DIANTE</v>
          </cell>
        </row>
        <row r="1410">
          <cell r="A1410" t="str">
            <v>FTK99325-MB</v>
          </cell>
          <cell r="B1410" t="str">
            <v>AUTOMOTIVO</v>
          </cell>
          <cell r="C1410" t="str">
            <v>Bucha Bandeja</v>
          </cell>
          <cell r="D1410" t="str">
            <v>SIMPLES</v>
          </cell>
          <cell r="E1410" t="str">
            <v>MOBENSANI</v>
          </cell>
          <cell r="F1410" t="str">
            <v>Bucha Da Bandeja Suspensão Dianteira Logan 2007 Em Diante</v>
          </cell>
        </row>
        <row r="1411">
          <cell r="A1411" t="str">
            <v>FTK99347-MB</v>
          </cell>
          <cell r="B1411" t="str">
            <v>AUTOMOTIVO</v>
          </cell>
          <cell r="C1411" t="str">
            <v>Bucha Bandeja</v>
          </cell>
          <cell r="D1411" t="str">
            <v>SIMPLES</v>
          </cell>
          <cell r="E1411" t="str">
            <v>MOBENSANI</v>
          </cell>
          <cell r="F1411" t="str">
            <v>Bucha Traseira Da Bandeja Dianteira Sportage 2011 Em Diante</v>
          </cell>
        </row>
        <row r="1412">
          <cell r="A1412" t="str">
            <v>FTK99355-MB</v>
          </cell>
          <cell r="B1412" t="str">
            <v>AUTOMOTIVO</v>
          </cell>
          <cell r="C1412" t="str">
            <v>Bucha Bandeja</v>
          </cell>
          <cell r="D1412" t="str">
            <v>SIMPLES</v>
          </cell>
          <cell r="E1412" t="str">
            <v>MOBENSANI</v>
          </cell>
          <cell r="F1412" t="str">
            <v>BUCHA DA BANDEJA SUSPENSÃO DIANTEIRA DUSTER 2012 EM DIANTE</v>
          </cell>
        </row>
        <row r="1413">
          <cell r="A1413" t="str">
            <v>FTK99370-MB</v>
          </cell>
          <cell r="B1413" t="str">
            <v>AUTOMOTIVO</v>
          </cell>
          <cell r="C1413" t="str">
            <v>Bucha Bandeja</v>
          </cell>
          <cell r="D1413" t="str">
            <v>SIMPLES</v>
          </cell>
          <cell r="E1413" t="str">
            <v>MOBENSANI</v>
          </cell>
          <cell r="F1413" t="str">
            <v>Bucha Dianteira Da Bandeja Dianteira Kwid 2017 Em Diante</v>
          </cell>
        </row>
        <row r="1414">
          <cell r="A1414" t="str">
            <v>FTK99371-MB</v>
          </cell>
          <cell r="B1414" t="str">
            <v>AUTOMOTIVO</v>
          </cell>
          <cell r="C1414" t="str">
            <v>Bucha Bandeja</v>
          </cell>
          <cell r="D1414" t="str">
            <v>SIMPLES</v>
          </cell>
          <cell r="E1414" t="str">
            <v>MOBENSANI</v>
          </cell>
          <cell r="F1414" t="str">
            <v>Bucha Traseira Da Bandeja Dianteira Kwid 2017 Em Diante</v>
          </cell>
        </row>
        <row r="1415">
          <cell r="A1415" t="str">
            <v>FTK-CCA0035</v>
          </cell>
          <cell r="B1415" t="str">
            <v>MOTO PEÇAS</v>
          </cell>
          <cell r="C1415" t="str">
            <v>Cabo Acelerador Moto</v>
          </cell>
          <cell r="D1415" t="str">
            <v>SIMPLES</v>
          </cell>
          <cell r="E1415" t="str">
            <v>POLO</v>
          </cell>
          <cell r="F1415" t="str">
            <v>CCA0035 CABO ACELERADOR HONDA CG 150 TITAN MIX ESD 2009/...</v>
          </cell>
        </row>
        <row r="1416">
          <cell r="A1416" t="str">
            <v>FTK-CCA0036</v>
          </cell>
          <cell r="B1416" t="str">
            <v>MOTO PEÇAS</v>
          </cell>
          <cell r="C1416" t="str">
            <v>Cabo Acelerador Moto</v>
          </cell>
          <cell r="D1416" t="str">
            <v>SIMPLES</v>
          </cell>
          <cell r="E1416" t="str">
            <v>POLO</v>
          </cell>
          <cell r="F1416" t="str">
            <v>Cabo De Acelerador Nxr 150 Bros Ks 2009 A 2012</v>
          </cell>
        </row>
        <row r="1417">
          <cell r="A1417" t="str">
            <v>FTK-CCA0038</v>
          </cell>
          <cell r="B1417" t="str">
            <v>MOTO PEÇAS</v>
          </cell>
          <cell r="C1417" t="str">
            <v>Cabo Acelerador Moto</v>
          </cell>
          <cell r="D1417" t="str">
            <v>SIMPLES</v>
          </cell>
          <cell r="E1417" t="str">
            <v>POLO</v>
          </cell>
          <cell r="F1417" t="str">
            <v>Cabo De Acelerador Cg 150 Fan Esi 2010 Em Diante</v>
          </cell>
        </row>
        <row r="1418">
          <cell r="A1418" t="str">
            <v>FTK-CCA0041</v>
          </cell>
          <cell r="B1418" t="str">
            <v>MOTO PEÇAS</v>
          </cell>
          <cell r="C1418" t="str">
            <v>Cabo Acelerador Moto</v>
          </cell>
          <cell r="D1418" t="str">
            <v>SIMPLES</v>
          </cell>
          <cell r="E1418" t="str">
            <v>POLO</v>
          </cell>
          <cell r="F1418" t="str">
            <v>Cabo De Acelerador Titan 160 2016 Em Diante</v>
          </cell>
        </row>
        <row r="1419">
          <cell r="A1419" t="str">
            <v>FTK-CCA0043</v>
          </cell>
          <cell r="B1419" t="str">
            <v>MOTO PEÇAS</v>
          </cell>
          <cell r="C1419" t="str">
            <v>Cabo Acelerador Moto</v>
          </cell>
          <cell r="D1419" t="str">
            <v>SIMPLES</v>
          </cell>
          <cell r="E1419" t="str">
            <v>POLO</v>
          </cell>
          <cell r="F1419" t="str">
            <v>CCA0043 CABO ACELERADOR HONDA CG 125 FAN / CARGO KS / FAN 14&gt;</v>
          </cell>
        </row>
        <row r="1420">
          <cell r="A1420" t="str">
            <v>CCA0043</v>
          </cell>
          <cell r="B1420" t="str">
            <v>MOTO PEÇAS</v>
          </cell>
          <cell r="C1420" t="str">
            <v>Cabo Acelerador Moto</v>
          </cell>
          <cell r="D1420" t="str">
            <v>SIMPLES</v>
          </cell>
          <cell r="E1420" t="str">
            <v>POLO</v>
          </cell>
          <cell r="F1420" t="str">
            <v>CCA0043 CABO ACELERADOR HONDA CG 125 FAN / CARGO KS / FAN 14&gt;</v>
          </cell>
        </row>
        <row r="1421">
          <cell r="A1421" t="str">
            <v>FTK-CCE0048</v>
          </cell>
          <cell r="B1421" t="str">
            <v>MOTO PEÇAS</v>
          </cell>
          <cell r="C1421" t="str">
            <v>Cabo Embreagem moto</v>
          </cell>
          <cell r="D1421" t="str">
            <v>SIMPLES</v>
          </cell>
          <cell r="E1421" t="str">
            <v>POLO</v>
          </cell>
          <cell r="F1421" t="str">
            <v>Cabo De Embreagem Cg 125 Fan Es 2009 2010</v>
          </cell>
        </row>
        <row r="1422">
          <cell r="A1422" t="str">
            <v>FTK-CCE0048</v>
          </cell>
          <cell r="B1422" t="str">
            <v>MOTO PEÇAS</v>
          </cell>
          <cell r="C1422" t="str">
            <v>Cabo Embreagem moto</v>
          </cell>
          <cell r="D1422" t="str">
            <v>SIMPLES</v>
          </cell>
          <cell r="E1422" t="str">
            <v>POLO</v>
          </cell>
          <cell r="F1422" t="str">
            <v>Cabo De Embreagem Cg 125 Fan Es 2009 2010</v>
          </cell>
        </row>
        <row r="1423">
          <cell r="A1423" t="str">
            <v>FTK-CCE0052</v>
          </cell>
          <cell r="B1423" t="str">
            <v>MOTO PEÇAS</v>
          </cell>
          <cell r="C1423" t="str">
            <v>Cabo Embreagem moto</v>
          </cell>
          <cell r="D1423" t="str">
            <v>SIMPLES</v>
          </cell>
          <cell r="E1423" t="str">
            <v>POLO</v>
          </cell>
        </row>
        <row r="1424">
          <cell r="A1424" t="str">
            <v>FTK-CCE0053</v>
          </cell>
          <cell r="B1424" t="str">
            <v>MOTO PEÇAS</v>
          </cell>
          <cell r="C1424" t="str">
            <v>Cabo Embreagem moto</v>
          </cell>
          <cell r="D1424" t="str">
            <v>SIMPLES</v>
          </cell>
          <cell r="E1424" t="str">
            <v>POLO</v>
          </cell>
        </row>
        <row r="1425">
          <cell r="A1425" t="str">
            <v>FTK-CCE0054</v>
          </cell>
          <cell r="B1425" t="str">
            <v>MOTO PEÇAS</v>
          </cell>
          <cell r="C1425" t="str">
            <v>Cabo Embreagem moto</v>
          </cell>
          <cell r="D1425" t="str">
            <v>SIMPLES</v>
          </cell>
          <cell r="E1425" t="str">
            <v>POLO</v>
          </cell>
        </row>
        <row r="1426">
          <cell r="A1426" t="str">
            <v>FTK-CCF0056</v>
          </cell>
          <cell r="B1426" t="str">
            <v>MOTO PEÇAS</v>
          </cell>
          <cell r="C1426" t="str">
            <v>Cabo Freio Moto</v>
          </cell>
          <cell r="D1426" t="str">
            <v>SIMPLES</v>
          </cell>
          <cell r="E1426" t="str">
            <v>POLO</v>
          </cell>
          <cell r="F1426" t="str">
            <v>CCF0056 CABO FREIO HONDA CG 150 TITAN ES/KS/JOB 08&gt;</v>
          </cell>
        </row>
        <row r="1427">
          <cell r="A1427" t="str">
            <v>FTK-CCV0061</v>
          </cell>
          <cell r="B1427" t="str">
            <v>MOTO PEÇAS</v>
          </cell>
          <cell r="C1427" t="str">
            <v>Cabo velocímetro Moto</v>
          </cell>
          <cell r="D1427" t="str">
            <v>SIMPLES</v>
          </cell>
          <cell r="E1427" t="str">
            <v>POLO</v>
          </cell>
          <cell r="F1427" t="str">
            <v>Cabo De Velocímetro Biz 125 2008 A 2013</v>
          </cell>
        </row>
        <row r="1428">
          <cell r="A1428" t="str">
            <v>CCV0061</v>
          </cell>
          <cell r="B1428" t="str">
            <v>MOTO PEÇAS</v>
          </cell>
          <cell r="C1428" t="str">
            <v>Cabo velocímetro Moto</v>
          </cell>
          <cell r="D1428" t="str">
            <v>SIMPLES</v>
          </cell>
          <cell r="E1428" t="str">
            <v>POLO</v>
          </cell>
          <cell r="F1428" t="str">
            <v>Cabo De Velocímetro Biz 125 2008 A 2013</v>
          </cell>
        </row>
        <row r="1429">
          <cell r="A1429" t="str">
            <v>FTK-CCV0062</v>
          </cell>
          <cell r="B1429" t="str">
            <v>MOTO PEÇAS</v>
          </cell>
          <cell r="C1429" t="str">
            <v>Cabo velocímetro Moto</v>
          </cell>
          <cell r="D1429" t="str">
            <v>SIMPLES</v>
          </cell>
          <cell r="E1429" t="str">
            <v>POLO</v>
          </cell>
          <cell r="F1429" t="str">
            <v>Cabo De Velocímetro Nxr 150 Bros Ks 2009 A 2012</v>
          </cell>
        </row>
        <row r="1430">
          <cell r="A1430" t="str">
            <v>FTK-PDA147</v>
          </cell>
          <cell r="B1430" t="str">
            <v>AUTOMOTIVO</v>
          </cell>
          <cell r="C1430" t="str">
            <v>Amortecedor Porta Mala</v>
          </cell>
          <cell r="D1430" t="str">
            <v>SIMPLES</v>
          </cell>
          <cell r="E1430" t="str">
            <v>Pandão</v>
          </cell>
          <cell r="F1430" t="str">
            <v>AMORTECEDOR MOLA A GÁS PORTA MALAS ESCORT XR3 1984 A 1992</v>
          </cell>
        </row>
        <row r="1431">
          <cell r="A1431" t="str">
            <v>FTK-PDA151</v>
          </cell>
          <cell r="B1431" t="str">
            <v>AUTOMOTIVO</v>
          </cell>
          <cell r="C1431" t="str">
            <v>Amortecedor Porta Mala</v>
          </cell>
          <cell r="D1431" t="str">
            <v>SIMPLES</v>
          </cell>
          <cell r="E1431" t="str">
            <v>Pandão</v>
          </cell>
          <cell r="F1431" t="str">
            <v>Amortecedor Mola A Gás Porta Malas Agile 2009 A 2013</v>
          </cell>
        </row>
        <row r="1432">
          <cell r="A1432" t="str">
            <v>FTK-PDA152</v>
          </cell>
          <cell r="B1432" t="str">
            <v>AUTOMOTIVO</v>
          </cell>
          <cell r="C1432" t="str">
            <v>Amortecedor Porta Mala</v>
          </cell>
          <cell r="D1432" t="str">
            <v>SIMPLES</v>
          </cell>
          <cell r="E1432" t="str">
            <v>Pandão</v>
          </cell>
          <cell r="F1432" t="str">
            <v>AMORTECEDOR MOLA A GÁS PORTA MALAS JOY 2020 2021</v>
          </cell>
        </row>
        <row r="1433">
          <cell r="A1433" t="str">
            <v>FTK-PDA155</v>
          </cell>
          <cell r="B1433" t="str">
            <v>AUTOMOTIVO</v>
          </cell>
          <cell r="C1433" t="str">
            <v>Amortecedor Porta Mala</v>
          </cell>
          <cell r="D1433" t="str">
            <v>SIMPLES</v>
          </cell>
          <cell r="E1433" t="str">
            <v>Pandão</v>
          </cell>
          <cell r="F1433" t="str">
            <v>AMORTECEDOR MOLA A GÁS PORTA MALAS CROSSFOX 2005 EM DIANTE</v>
          </cell>
        </row>
        <row r="1434">
          <cell r="A1434" t="str">
            <v>FTK-PDA157</v>
          </cell>
          <cell r="B1434" t="str">
            <v>AUTOMOTIVO</v>
          </cell>
          <cell r="C1434" t="str">
            <v>Amortecedor Porta Mala</v>
          </cell>
          <cell r="D1434" t="str">
            <v>SIMPLES</v>
          </cell>
          <cell r="E1434" t="str">
            <v>Pandão</v>
          </cell>
          <cell r="F1434" t="str">
            <v>AMORTECEDOR MOLA A GÁS PORTA MALAS JAC J6 2011 A 2017</v>
          </cell>
        </row>
        <row r="1435">
          <cell r="A1435" t="str">
            <v>FTK-PDA158</v>
          </cell>
          <cell r="B1435" t="str">
            <v>AUTOMOTIVO</v>
          </cell>
          <cell r="C1435" t="str">
            <v>Amortecedor Porta Mala</v>
          </cell>
          <cell r="D1435" t="str">
            <v>SIMPLES</v>
          </cell>
          <cell r="E1435" t="str">
            <v>Pandão</v>
          </cell>
          <cell r="F1435" t="str">
            <v>AMORTECEDOR MOLA A GÁS PORTA MALAS PAJERO SPORT 2006 A 2011</v>
          </cell>
        </row>
        <row r="1436">
          <cell r="A1436" t="str">
            <v>FTK-PDA160</v>
          </cell>
          <cell r="B1436" t="str">
            <v>AUTOMOTIVO</v>
          </cell>
          <cell r="C1436" t="str">
            <v>Amortecedor Porta Mala</v>
          </cell>
          <cell r="D1436" t="str">
            <v>SIMPLES</v>
          </cell>
          <cell r="E1436" t="str">
            <v>Pandão</v>
          </cell>
          <cell r="F1436" t="str">
            <v>AMORTECEDOR MOLA A GÁS PORTA MALAS NEW KA 2008 A 2013</v>
          </cell>
        </row>
        <row r="1437">
          <cell r="A1437" t="str">
            <v>FTK-PDA162</v>
          </cell>
          <cell r="B1437" t="str">
            <v>AUTOMOTIVO</v>
          </cell>
          <cell r="C1437" t="str">
            <v>Amortecedor Porta Mala</v>
          </cell>
          <cell r="D1437" t="str">
            <v>SIMPLES</v>
          </cell>
          <cell r="E1437" t="str">
            <v>Pandão</v>
          </cell>
          <cell r="F1437" t="str">
            <v>AMORTECEDOR MOLA A GÁS PORTA MALAS FOCUS HATCH 2009 A 2013</v>
          </cell>
        </row>
        <row r="1438">
          <cell r="A1438" t="str">
            <v>FTK-PDA163</v>
          </cell>
          <cell r="B1438" t="str">
            <v>AUTOMOTIVO</v>
          </cell>
          <cell r="C1438" t="str">
            <v>Amortecedor Porta Mala</v>
          </cell>
          <cell r="D1438" t="str">
            <v>SIMPLES</v>
          </cell>
          <cell r="E1438" t="str">
            <v>Pandão</v>
          </cell>
          <cell r="F1438" t="str">
            <v>AMORTECEDOR MOLA A GÁS PORTA MALAS ZAFIRA 2001 EM DIANTE</v>
          </cell>
        </row>
        <row r="1439">
          <cell r="A1439" t="str">
            <v>FTK-PDA164</v>
          </cell>
          <cell r="B1439" t="str">
            <v>AUTOMOTIVO</v>
          </cell>
          <cell r="C1439" t="str">
            <v>Amortecedor Porta Mala</v>
          </cell>
          <cell r="D1439" t="str">
            <v>SIMPLES</v>
          </cell>
          <cell r="E1439" t="str">
            <v>Pandão</v>
          </cell>
          <cell r="F1439" t="str">
            <v>AMORTECEDOR MOLA A GÁS PORTA MALAS SPACEFOX 2006 A 2012</v>
          </cell>
        </row>
        <row r="1440">
          <cell r="A1440" t="str">
            <v>FTK-PDA50</v>
          </cell>
          <cell r="B1440" t="str">
            <v>AUTOMOTIVO</v>
          </cell>
          <cell r="C1440" t="str">
            <v>Amortecedor Porta Mala</v>
          </cell>
          <cell r="D1440" t="str">
            <v>SIMPLES</v>
          </cell>
          <cell r="E1440" t="str">
            <v>Pandão</v>
          </cell>
          <cell r="F1440" t="str">
            <v>AMORTECEDOR MOLA A GÁS PORTA MALAS PEUGEOT 206 1999 A 2009</v>
          </cell>
        </row>
        <row r="1441">
          <cell r="A1441" t="str">
            <v>FTK-T325/T</v>
          </cell>
          <cell r="B1441" t="str">
            <v>AUTOMOTIVO</v>
          </cell>
          <cell r="C1441" t="str">
            <v>Reparo alavanta Câmbio</v>
          </cell>
          <cell r="D1441" t="str">
            <v>SIMPLES</v>
          </cell>
          <cell r="E1441" t="str">
            <v>CAMARG</v>
          </cell>
          <cell r="F1441" t="str">
            <v>Trambulador Do Câmbio Completo Gol Quadrado 5 Marchas</v>
          </cell>
        </row>
        <row r="1442">
          <cell r="A1442" t="str">
            <v>FTK-T350</v>
          </cell>
          <cell r="B1442" t="str">
            <v>AUTOMOTIVO</v>
          </cell>
          <cell r="C1442" t="str">
            <v>Suporte Câmbio</v>
          </cell>
          <cell r="D1442" t="str">
            <v>SIMPLES</v>
          </cell>
          <cell r="E1442" t="str">
            <v>CAMARG</v>
          </cell>
          <cell r="F1442" t="str">
            <v>Suporte Caixa Câmbio Reforçada Fusca Motor A Ar</v>
          </cell>
        </row>
        <row r="1443">
          <cell r="A1443" t="str">
            <v>GM001</v>
          </cell>
          <cell r="B1443" t="str">
            <v>AUTOMOTIVO</v>
          </cell>
          <cell r="C1443" t="str">
            <v>Rolamento Roda</v>
          </cell>
          <cell r="D1443" t="str">
            <v>SIMPLES</v>
          </cell>
          <cell r="E1443" t="str">
            <v>POLO</v>
          </cell>
          <cell r="F1443" t="str">
            <v>Kit Rolamento Roda Traseira Corsa Celta Agile</v>
          </cell>
        </row>
        <row r="1444">
          <cell r="A1444" t="str">
            <v>hl4047</v>
          </cell>
          <cell r="B1444" t="str">
            <v>AUTOMOTIVO</v>
          </cell>
          <cell r="C1444" t="str">
            <v>Capa Pedal</v>
          </cell>
          <cell r="D1444" t="str">
            <v>SIMPLES</v>
          </cell>
          <cell r="E1444" t="str">
            <v>HOLYMAN</v>
          </cell>
          <cell r="F1444" t="str">
            <v>Capa Pedal De Freio Zafira 2004 A 2011 Automático</v>
          </cell>
        </row>
        <row r="1445">
          <cell r="A1445" t="str">
            <v>hl5609</v>
          </cell>
          <cell r="B1445" t="str">
            <v>AUTOMOTIVO</v>
          </cell>
          <cell r="C1445" t="str">
            <v>Bieleta</v>
          </cell>
          <cell r="D1445" t="str">
            <v>SIMPLES</v>
          </cell>
          <cell r="E1445" t="str">
            <v>HOLYMAN</v>
          </cell>
          <cell r="F1445" t="str">
            <v>Bieleta Dianteira Direita Vera Cruz 2007 A 2012</v>
          </cell>
        </row>
        <row r="1446">
          <cell r="A1446" t="str">
            <v>hl5609/10</v>
          </cell>
          <cell r="B1446" t="str">
            <v>AUTOMOTIVO</v>
          </cell>
          <cell r="C1446" t="str">
            <v>Bieleta</v>
          </cell>
          <cell r="D1446" t="str">
            <v>KIT</v>
          </cell>
          <cell r="E1446" t="str">
            <v>HOLYMAN</v>
          </cell>
          <cell r="F1446" t="str">
            <v>Par Bieleta Dianteira Ld E Le Sorento 2009 A 2013</v>
          </cell>
        </row>
        <row r="1447">
          <cell r="A1447" t="str">
            <v>hl5610</v>
          </cell>
          <cell r="B1447" t="str">
            <v>AUTOMOTIVO</v>
          </cell>
          <cell r="C1447" t="str">
            <v>Bieleta</v>
          </cell>
          <cell r="D1447" t="str">
            <v>SIMPLES</v>
          </cell>
          <cell r="E1447" t="str">
            <v>HOLYMAN</v>
          </cell>
          <cell r="F1447" t="str">
            <v>Bieleta Dianteira Esquerda Vera Cruz 2007 A 2012</v>
          </cell>
        </row>
        <row r="1448">
          <cell r="A1448" t="str">
            <v>kit/vw001DT</v>
          </cell>
          <cell r="B1448" t="str">
            <v>AUTOMOTIVO</v>
          </cell>
          <cell r="C1448" t="str">
            <v>Rolamento Roda</v>
          </cell>
          <cell r="D1448" t="str">
            <v>KIT</v>
          </cell>
          <cell r="E1448" t="str">
            <v>POLO</v>
          </cell>
          <cell r="F1448" t="str">
            <v>Kit Rolamento Da Roda Dianteira S/ Abs Agile 2010a2014</v>
          </cell>
        </row>
        <row r="1449">
          <cell r="A1449" t="str">
            <v>KIT-12152</v>
          </cell>
          <cell r="B1449" t="str">
            <v>AUTOMOTIVO</v>
          </cell>
          <cell r="C1449" t="str">
            <v>Pino de Porta</v>
          </cell>
          <cell r="D1449" t="str">
            <v>KIT</v>
          </cell>
          <cell r="E1449" t="str">
            <v>MultiKit</v>
          </cell>
          <cell r="F1449" t="str">
            <v>Kit Pino Buchas Dobradiça Porta Corcel 1977 A 1986 (4 pinos)</v>
          </cell>
        </row>
        <row r="1450">
          <cell r="A1450" t="str">
            <v>KIT1FTK77001/02-AMW</v>
          </cell>
          <cell r="B1450" t="str">
            <v>AUTOMOTIVO</v>
          </cell>
          <cell r="C1450" t="str">
            <v>Bucha Bandeja</v>
          </cell>
          <cell r="D1450" t="str">
            <v>KIT</v>
          </cell>
          <cell r="E1450" t="str">
            <v>AMW</v>
          </cell>
          <cell r="F1450" t="str">
            <v>Kit 6 Buchas Da Bandeja Dianteira Picasso 2001 A 2012</v>
          </cell>
        </row>
        <row r="1451">
          <cell r="A1451" t="str">
            <v>Kit-2210/11</v>
          </cell>
          <cell r="B1451" t="str">
            <v>AUTOMOTIVO</v>
          </cell>
          <cell r="C1451" t="str">
            <v>Haste Câmbio</v>
          </cell>
          <cell r="D1451" t="str">
            <v>KIT</v>
          </cell>
          <cell r="E1451" t="str">
            <v>LT CORREA</v>
          </cell>
          <cell r="F1451" t="str">
            <v>Kit Bieleta Haste Trambulador Peugeot 206 207 1.4 8v 1.6 16v</v>
          </cell>
        </row>
        <row r="1452">
          <cell r="A1452" t="str">
            <v>Kit-2300</v>
          </cell>
          <cell r="B1452" t="str">
            <v>AUTOMOTIVO</v>
          </cell>
          <cell r="C1452" t="str">
            <v>Reparo alavanta Câmbio</v>
          </cell>
          <cell r="D1452" t="str">
            <v>KIT</v>
          </cell>
          <cell r="E1452" t="str">
            <v>LT CORREA</v>
          </cell>
          <cell r="F1452" t="str">
            <v>Kit Bucha Reparo Trambulador Cambio Corsa Com Liame</v>
          </cell>
        </row>
        <row r="1453">
          <cell r="A1453" t="str">
            <v>Kit-23079</v>
          </cell>
          <cell r="B1453" t="str">
            <v>AUTOMOTIVO</v>
          </cell>
          <cell r="C1453" t="str">
            <v>Pino de Porta</v>
          </cell>
          <cell r="D1453" t="str">
            <v>KIT</v>
          </cell>
          <cell r="E1453" t="str">
            <v>MultiKit</v>
          </cell>
          <cell r="F1453" t="str">
            <v>4 Pinos Da Dobradiça Da Porta S10 1995 A 2012</v>
          </cell>
        </row>
        <row r="1454">
          <cell r="A1454" t="str">
            <v>Kit-2357/8</v>
          </cell>
          <cell r="B1454" t="str">
            <v>AUTOMOTIVO</v>
          </cell>
          <cell r="C1454" t="str">
            <v>Suporte Radiador</v>
          </cell>
          <cell r="D1454" t="str">
            <v>KIT</v>
          </cell>
          <cell r="E1454" t="str">
            <v>LT CORREA</v>
          </cell>
          <cell r="F1454" t="str">
            <v>Suporte (coxim) Radiador Meriva 2002/2012</v>
          </cell>
        </row>
        <row r="1455">
          <cell r="A1455" t="str">
            <v>kit-26048</v>
          </cell>
          <cell r="B1455" t="str">
            <v>AUTOMOTIVO</v>
          </cell>
          <cell r="C1455" t="str">
            <v>Pino de Freio</v>
          </cell>
          <cell r="D1455" t="str">
            <v>KIT</v>
          </cell>
          <cell r="E1455" t="str">
            <v>MultiKit</v>
          </cell>
          <cell r="F1455" t="str">
            <v>Kit Pino Guia Pinça De Freio Diant (2lados) L200 2009</v>
          </cell>
        </row>
        <row r="1456">
          <cell r="A1456" t="str">
            <v>KIT-3025</v>
          </cell>
          <cell r="B1456" t="str">
            <v>AUTOMOTIVO</v>
          </cell>
          <cell r="C1456" t="str">
            <v>Suporte Parachoque</v>
          </cell>
          <cell r="D1456" t="str">
            <v>KIT</v>
          </cell>
          <cell r="E1456" t="str">
            <v>HOLYMAN</v>
          </cell>
          <cell r="F1456" t="str">
            <v>Kit Suporte Do Parachoque Fusca</v>
          </cell>
        </row>
        <row r="1457">
          <cell r="A1457" t="str">
            <v>kit-332052/53-gm001</v>
          </cell>
          <cell r="B1457" t="str">
            <v>AUTOMOTIVO</v>
          </cell>
          <cell r="C1457" t="str">
            <v>Bandeja / Rolamento</v>
          </cell>
          <cell r="D1457" t="str">
            <v>KIT</v>
          </cell>
          <cell r="E1457" t="str">
            <v>SPARE / POLO</v>
          </cell>
          <cell r="F1457" t="str">
            <v>Kit Morceguinho E Rolamento Dianteiro Celta 2000 A 2015</v>
          </cell>
        </row>
        <row r="1458">
          <cell r="A1458" t="str">
            <v>KIT-3600DT</v>
          </cell>
          <cell r="B1458" t="str">
            <v>AUTOMOTIVO</v>
          </cell>
          <cell r="C1458" t="str">
            <v>Rolamento Roda</v>
          </cell>
          <cell r="D1458" t="str">
            <v>KIT</v>
          </cell>
          <cell r="E1458" t="str">
            <v>POLO</v>
          </cell>
          <cell r="F1458" t="str">
            <v>Kit 4 Rolamento Dianteira E Traseira Meriva</v>
          </cell>
        </row>
        <row r="1459">
          <cell r="A1459" t="str">
            <v>KIT4FTK44005-AMW</v>
          </cell>
          <cell r="B1459" t="str">
            <v>AUTOMOTIVO</v>
          </cell>
          <cell r="C1459" t="str">
            <v>Bucha Bandeja</v>
          </cell>
          <cell r="D1459" t="str">
            <v>KIT</v>
          </cell>
          <cell r="E1459" t="str">
            <v>AMW</v>
          </cell>
          <cell r="F1459" t="str">
            <v>Kit 4 Buchas Da Bandeja Suspensão Traseira Fiat 147 83 A 86</v>
          </cell>
        </row>
        <row r="1460">
          <cell r="A1460" t="str">
            <v>Kit-5404/5</v>
          </cell>
          <cell r="B1460" t="str">
            <v>AUTOMOTIVO</v>
          </cell>
          <cell r="C1460" t="str">
            <v>Bieleta</v>
          </cell>
          <cell r="D1460" t="str">
            <v>KIT</v>
          </cell>
          <cell r="E1460" t="str">
            <v>HOLYMAN</v>
          </cell>
          <cell r="F1460" t="str">
            <v>Par Bieleta Dianteira Honda Fit 2003 Até 2008 1.4 1.5</v>
          </cell>
        </row>
        <row r="1461">
          <cell r="A1461" t="str">
            <v>KIT-5607/08</v>
          </cell>
          <cell r="B1461" t="str">
            <v>AUTOMOTIVO</v>
          </cell>
          <cell r="C1461" t="str">
            <v>Pastilha Freio</v>
          </cell>
          <cell r="D1461" t="str">
            <v>KIT</v>
          </cell>
          <cell r="E1461" t="str">
            <v>HOLYMAN</v>
          </cell>
          <cell r="F1461" t="str">
            <v>Kit Bieleta Traseira Dianteira Tucson 2005 A 2016</v>
          </cell>
        </row>
        <row r="1462">
          <cell r="A1462" t="str">
            <v>KIT-7802</v>
          </cell>
          <cell r="B1462" t="str">
            <v>AUTOMOTIVO</v>
          </cell>
          <cell r="C1462" t="str">
            <v>Bieleta</v>
          </cell>
          <cell r="D1462" t="str">
            <v>KIT</v>
          </cell>
          <cell r="E1462" t="str">
            <v>HOLYMAN</v>
          </cell>
          <cell r="F1462" t="str">
            <v>Kit Bieleta Completo 4 Lados Compass</v>
          </cell>
        </row>
        <row r="1463">
          <cell r="A1463" t="str">
            <v>KIT-8000/01</v>
          </cell>
          <cell r="B1463" t="str">
            <v>AUTOMOTIVO</v>
          </cell>
          <cell r="C1463" t="str">
            <v>Bieleta</v>
          </cell>
          <cell r="D1463" t="str">
            <v>KIT</v>
          </cell>
          <cell r="E1463" t="str">
            <v>HOLYMAN</v>
          </cell>
          <cell r="F1463" t="str">
            <v>4 Bieletas Dianteira Traseira Rover Evoque 2011 Em Diante</v>
          </cell>
        </row>
        <row r="1464">
          <cell r="A1464" t="str">
            <v>KIT8FTK44005-AMW</v>
          </cell>
          <cell r="B1464" t="str">
            <v>AUTOMOTIVO</v>
          </cell>
          <cell r="C1464" t="str">
            <v>Bucha Bandeja</v>
          </cell>
          <cell r="D1464" t="str">
            <v>KIT</v>
          </cell>
          <cell r="E1464" t="str">
            <v>AMW</v>
          </cell>
          <cell r="F1464" t="str">
            <v>Kit 8 Buchas Da Bandeja Suspensão Traseira Fiat 147 83 A 86</v>
          </cell>
        </row>
        <row r="1465">
          <cell r="A1465" t="str">
            <v>KIT-FD001</v>
          </cell>
          <cell r="B1465" t="str">
            <v>AUTOMOTIVO</v>
          </cell>
          <cell r="C1465" t="str">
            <v>Rolamento Roda</v>
          </cell>
          <cell r="D1465" t="str">
            <v>KIT</v>
          </cell>
          <cell r="E1465" t="str">
            <v>Importação</v>
          </cell>
          <cell r="F1465" t="str">
            <v>Rolamentos Dianteiro E Traseiro Logus 1993 A 1997</v>
          </cell>
        </row>
        <row r="1466">
          <cell r="A1466" t="str">
            <v>KIT-FTK00404/5203</v>
          </cell>
          <cell r="B1466" t="str">
            <v>AUTOMOTIVO</v>
          </cell>
          <cell r="C1466" t="str">
            <v>Bieleta</v>
          </cell>
          <cell r="D1466" t="str">
            <v>KIT</v>
          </cell>
          <cell r="E1466" t="str">
            <v>HOLYMAN</v>
          </cell>
          <cell r="F1466" t="str">
            <v>Kit Buchas E Bieletas Dianteira Prisma 2013 Em Diante</v>
          </cell>
        </row>
        <row r="1467">
          <cell r="A1467" t="str">
            <v>KITFTK11001/11018-MB</v>
          </cell>
          <cell r="B1467" t="str">
            <v>AUTOMOTIVO</v>
          </cell>
          <cell r="C1467" t="str">
            <v>Bucha Bandeja</v>
          </cell>
          <cell r="D1467" t="str">
            <v>KIT</v>
          </cell>
          <cell r="E1467" t="str">
            <v>MOBENSANI</v>
          </cell>
          <cell r="F1467" t="str">
            <v>Kit 4 Buchas Da Bandeja Dianteira L200 Sport 2003 Em Diante</v>
          </cell>
        </row>
        <row r="1468">
          <cell r="A1468" t="str">
            <v>KITFTK11001-MB</v>
          </cell>
          <cell r="B1468" t="str">
            <v>AUTOMOTIVO</v>
          </cell>
          <cell r="C1468" t="str">
            <v>Bucha Bandeja</v>
          </cell>
          <cell r="D1468" t="str">
            <v>KIT</v>
          </cell>
          <cell r="E1468" t="str">
            <v>MOBENSANI</v>
          </cell>
          <cell r="F1468" t="str">
            <v>Kit Bucha Traseira Bandeja Dianteira Pajero Sport 01 Diante</v>
          </cell>
        </row>
        <row r="1469">
          <cell r="A1469" t="str">
            <v>KITFTK11004/06-AMW</v>
          </cell>
          <cell r="B1469" t="str">
            <v>AUTOMOTIVO</v>
          </cell>
          <cell r="C1469" t="str">
            <v>Bucha Bandeja</v>
          </cell>
          <cell r="D1469" t="str">
            <v>KIT</v>
          </cell>
          <cell r="E1469" t="str">
            <v>AMW</v>
          </cell>
          <cell r="F1469" t="str">
            <v>Kit 4 Buchas Da Bandeja Dianteira Gol G5 2008 Em Diante</v>
          </cell>
        </row>
        <row r="1470">
          <cell r="A1470" t="str">
            <v>KITFTK11019-MB</v>
          </cell>
          <cell r="B1470" t="str">
            <v>AUTOMOTIVO</v>
          </cell>
          <cell r="C1470" t="str">
            <v>Bucha Bandeja</v>
          </cell>
          <cell r="D1470" t="str">
            <v>KIT</v>
          </cell>
          <cell r="E1470" t="str">
            <v>MOBENSANI</v>
          </cell>
          <cell r="F1470" t="str">
            <v>Kit 4 Buchas Da Bandeja Dianteira L200 Sport 2003 Diante</v>
          </cell>
        </row>
        <row r="1471">
          <cell r="A1471" t="str">
            <v>KITFTK11140-MB</v>
          </cell>
          <cell r="B1471" t="str">
            <v>AUTOMOTIVO</v>
          </cell>
          <cell r="C1471" t="str">
            <v>Bucha Bandeja</v>
          </cell>
          <cell r="D1471" t="str">
            <v>KIT</v>
          </cell>
          <cell r="E1471" t="str">
            <v>MOBENSANI</v>
          </cell>
          <cell r="F1471" t="str">
            <v>Kit Bucha Da Bandeja Superior Dianteira S10 1995 A 2011</v>
          </cell>
        </row>
        <row r="1472">
          <cell r="A1472" t="str">
            <v>KITFTK11203/04-MB</v>
          </cell>
          <cell r="B1472" t="str">
            <v>AUTOMOTIVO</v>
          </cell>
          <cell r="C1472" t="str">
            <v>Bucha Bandeja</v>
          </cell>
          <cell r="D1472" t="str">
            <v>KIT</v>
          </cell>
          <cell r="E1472" t="str">
            <v>MOBENSANI</v>
          </cell>
          <cell r="F1472" t="str">
            <v>Kit Suporte Dianteiro Bucha Traseira Bandeja Montana 03 A 10</v>
          </cell>
        </row>
        <row r="1473">
          <cell r="A1473" t="str">
            <v>KITFTK11203A/04-MB</v>
          </cell>
          <cell r="B1473" t="str">
            <v>AUTOMOTIVO</v>
          </cell>
          <cell r="C1473" t="str">
            <v>Bucha Bandeja</v>
          </cell>
          <cell r="D1473" t="str">
            <v>KIT</v>
          </cell>
          <cell r="E1473" t="str">
            <v>MOBENSANI</v>
          </cell>
          <cell r="F1473" t="str">
            <v>Kit Bucha Bandeja Suspensão Dianteira Corsa 2002 A 2013</v>
          </cell>
        </row>
        <row r="1474">
          <cell r="A1474" t="str">
            <v>KITFTK11224/25-MB</v>
          </cell>
          <cell r="B1474" t="str">
            <v>AUTOMOTIVO</v>
          </cell>
          <cell r="C1474" t="str">
            <v>Bucha Bandeja</v>
          </cell>
          <cell r="D1474" t="str">
            <v>KIT</v>
          </cell>
          <cell r="E1474" t="str">
            <v>MOBENSANI</v>
          </cell>
          <cell r="F1474" t="str">
            <v>Kit Bucha Da Bandeja Dianteira Prisma 2013 Em Diante</v>
          </cell>
        </row>
        <row r="1475">
          <cell r="A1475" t="str">
            <v>KITFTK22208/2263-MB</v>
          </cell>
          <cell r="B1475" t="str">
            <v>AUTOMOTIVO</v>
          </cell>
          <cell r="C1475" t="str">
            <v>Bucha Bandeja</v>
          </cell>
          <cell r="D1475" t="str">
            <v>KIT</v>
          </cell>
          <cell r="E1475" t="str">
            <v>MOBENSANI</v>
          </cell>
          <cell r="F1475" t="str">
            <v>Kit Bucha Da Bandeja Dianteira Courier 1997 A 2002</v>
          </cell>
        </row>
        <row r="1476">
          <cell r="A1476" t="str">
            <v>KITFTK22286-GP</v>
          </cell>
          <cell r="B1476" t="str">
            <v>AUTOMOTIVO</v>
          </cell>
          <cell r="C1476" t="str">
            <v>Bucha Bandeja</v>
          </cell>
          <cell r="D1476" t="str">
            <v>KIT</v>
          </cell>
          <cell r="E1476" t="str">
            <v>GUARU BORRACHAS</v>
          </cell>
          <cell r="F1476" t="str">
            <v>Kit Bucha Bandeja Superior Dianteira Ranger 2012 Em Diante</v>
          </cell>
        </row>
        <row r="1477">
          <cell r="A1477" t="str">
            <v>KITFTK33006-AMW</v>
          </cell>
          <cell r="B1477" t="str">
            <v>AUTOMOTIVO</v>
          </cell>
          <cell r="C1477" t="str">
            <v>Bucha Bandeja</v>
          </cell>
          <cell r="D1477" t="str">
            <v>KIT</v>
          </cell>
          <cell r="E1477" t="str">
            <v>AMW</v>
          </cell>
          <cell r="F1477" t="str">
            <v>Kit 4 Buchas Do Braço Superior Dianteiro Ranger 95 A 11</v>
          </cell>
        </row>
        <row r="1478">
          <cell r="A1478" t="str">
            <v>KITFTK33028-MB</v>
          </cell>
          <cell r="B1478" t="str">
            <v>AUTOMOTIVO</v>
          </cell>
          <cell r="C1478" t="str">
            <v>Bucha Bandeja</v>
          </cell>
          <cell r="D1478" t="str">
            <v>KIT</v>
          </cell>
          <cell r="E1478" t="str">
            <v>MOBENSANI</v>
          </cell>
          <cell r="F1478" t="str">
            <v>Kit Bucha Central Da Bandeja Inferior Amarok 2010 Em Diante</v>
          </cell>
        </row>
        <row r="1479">
          <cell r="A1479" t="str">
            <v>KITFTK33029-MB</v>
          </cell>
          <cell r="B1479" t="str">
            <v>AUTOMOTIVO</v>
          </cell>
          <cell r="C1479" t="str">
            <v>Bucha Bandeja</v>
          </cell>
          <cell r="D1479" t="str">
            <v>KIT</v>
          </cell>
          <cell r="E1479" t="str">
            <v>MOBENSANI</v>
          </cell>
          <cell r="F1479" t="str">
            <v>Kit Bucha Da Bandeja Superior Amarok 2010 Em Diante</v>
          </cell>
        </row>
        <row r="1480">
          <cell r="A1480" t="str">
            <v>KIT-FTK3320/21</v>
          </cell>
          <cell r="B1480" t="str">
            <v>AUTOMOTIVO</v>
          </cell>
          <cell r="C1480" t="str">
            <v>Coifa Homocinética</v>
          </cell>
          <cell r="D1480" t="str">
            <v>KIT</v>
          </cell>
          <cell r="E1480" t="str">
            <v>Replabor</v>
          </cell>
          <cell r="F1480" t="str">
            <v>Kit Coifa Homocinética Lado Câmbio Fiorino 1996 A 2017</v>
          </cell>
        </row>
        <row r="1481">
          <cell r="A1481" t="str">
            <v>KIT-FTK3320/22</v>
          </cell>
          <cell r="B1481" t="str">
            <v>AUTOMOTIVO</v>
          </cell>
          <cell r="C1481" t="str">
            <v>Coifa Homocinética</v>
          </cell>
          <cell r="D1481" t="str">
            <v>KIT</v>
          </cell>
          <cell r="E1481" t="str">
            <v>POLO</v>
          </cell>
          <cell r="F1481" t="str">
            <v>Kit Coifa Semi Eixo Lado Câmbio E Roda Uno 1994 A 2012</v>
          </cell>
        </row>
        <row r="1482">
          <cell r="A1482" t="str">
            <v>KIT-FTK3321/22</v>
          </cell>
          <cell r="B1482" t="str">
            <v>AUTOMOTIVO</v>
          </cell>
          <cell r="C1482" t="str">
            <v>Coifa Homocinética</v>
          </cell>
          <cell r="D1482" t="str">
            <v>KIT</v>
          </cell>
          <cell r="E1482" t="str">
            <v>Replabor</v>
          </cell>
          <cell r="F1482" t="str">
            <v>Kit Coifa Semi Eixo Lado Câmbio E Roda Palio 1996 A 2017</v>
          </cell>
        </row>
        <row r="1483">
          <cell r="A1483" t="str">
            <v>KIT-FTK347/63</v>
          </cell>
          <cell r="B1483" t="str">
            <v>AUTOMOTIVO</v>
          </cell>
          <cell r="C1483" t="str">
            <v>Coifa Homocinética</v>
          </cell>
          <cell r="D1483" t="str">
            <v>KIT</v>
          </cell>
          <cell r="E1483" t="str">
            <v>Replabor</v>
          </cell>
          <cell r="F1483" t="str">
            <v>Kit Coifa Homocinetica Stilo 1.8 2003 A 2007</v>
          </cell>
        </row>
        <row r="1484">
          <cell r="A1484" t="str">
            <v>KITFTK44002/03/06-AMW</v>
          </cell>
          <cell r="B1484" t="str">
            <v>AUTOMOTIVO</v>
          </cell>
          <cell r="C1484" t="str">
            <v>Bucha Bandeja</v>
          </cell>
          <cell r="D1484" t="str">
            <v>KIT</v>
          </cell>
          <cell r="E1484" t="str">
            <v>AMW</v>
          </cell>
          <cell r="F1484" t="str">
            <v>Kit 4 Buchas Bandeja Dianteira Marea 98 Em Diante</v>
          </cell>
        </row>
        <row r="1485">
          <cell r="A1485" t="str">
            <v>KITFTK4476/44406-MB</v>
          </cell>
          <cell r="B1485" t="str">
            <v>AUTOMOTIVO</v>
          </cell>
          <cell r="C1485" t="str">
            <v>Bucha Bandeja</v>
          </cell>
          <cell r="D1485" t="str">
            <v>KIT</v>
          </cell>
          <cell r="E1485" t="str">
            <v>MOBENSANI</v>
          </cell>
          <cell r="F1485" t="str">
            <v>Kit Bucha Da Bandeja Dianteira Punto 2008 A 2018</v>
          </cell>
        </row>
        <row r="1486">
          <cell r="A1486" t="str">
            <v>KITFTK4476/77-MB</v>
          </cell>
          <cell r="B1486" t="str">
            <v>AUTOMOTIVO</v>
          </cell>
          <cell r="C1486" t="str">
            <v>Bucha Bandeja</v>
          </cell>
          <cell r="D1486" t="str">
            <v>KIT</v>
          </cell>
          <cell r="E1486" t="str">
            <v>MOBENSANI</v>
          </cell>
          <cell r="F1486" t="str">
            <v>Kit Bucha Da Bandeja Dianteira Stilo 2002 A 2010</v>
          </cell>
        </row>
        <row r="1487">
          <cell r="A1487" t="str">
            <v>KITFTK66000/01MB</v>
          </cell>
          <cell r="B1487" t="str">
            <v>AUTOMOTIVO</v>
          </cell>
          <cell r="C1487" t="str">
            <v>Bucha Bandeja</v>
          </cell>
          <cell r="D1487" t="str">
            <v>KIT</v>
          </cell>
          <cell r="E1487" t="str">
            <v>MOBENSANI</v>
          </cell>
          <cell r="F1487" t="str">
            <v>Kit Bucha Da Bandeja Dianteira City 2010 A 2014</v>
          </cell>
        </row>
        <row r="1488">
          <cell r="A1488" t="str">
            <v>KITFTK66029/39-MB</v>
          </cell>
          <cell r="B1488" t="str">
            <v>AUTOMOTIVO</v>
          </cell>
          <cell r="C1488" t="str">
            <v>Bucha Bandeja</v>
          </cell>
          <cell r="D1488" t="str">
            <v>KIT</v>
          </cell>
          <cell r="E1488" t="str">
            <v>MOBENSANI</v>
          </cell>
          <cell r="F1488" t="str">
            <v>Kit 4 Buchas Da Bandeja Dianteira Crv 2007 A 2012</v>
          </cell>
        </row>
        <row r="1489">
          <cell r="A1489" t="str">
            <v>KITFTK77001/02-AMW</v>
          </cell>
          <cell r="B1489" t="str">
            <v>AUTOMOTIVO</v>
          </cell>
          <cell r="C1489" t="str">
            <v>Bucha Bandeja</v>
          </cell>
          <cell r="D1489" t="str">
            <v>KIT</v>
          </cell>
          <cell r="E1489" t="str">
            <v>AMW</v>
          </cell>
          <cell r="F1489" t="str">
            <v>Kit 3 Buchas Da Bandeja Dianteira Picasso 2001 A 2012</v>
          </cell>
        </row>
        <row r="1490">
          <cell r="A1490" t="str">
            <v>KITFTK77014/15-MB</v>
          </cell>
          <cell r="B1490" t="str">
            <v>AUTOMOTIVO</v>
          </cell>
          <cell r="C1490" t="str">
            <v>Bucha Bandeja</v>
          </cell>
          <cell r="D1490" t="str">
            <v>KIT</v>
          </cell>
          <cell r="E1490" t="str">
            <v>MOBENSANI</v>
          </cell>
          <cell r="F1490" t="str">
            <v>Kit Bucha Da Bandeja Dianteira Sentra 2008 Em Diante</v>
          </cell>
        </row>
        <row r="1491">
          <cell r="A1491" t="str">
            <v>KITFTK7739/40-MB</v>
          </cell>
          <cell r="B1491" t="str">
            <v>AUTOMOTIVO</v>
          </cell>
          <cell r="C1491" t="str">
            <v>Bucha Bandeja</v>
          </cell>
          <cell r="D1491" t="str">
            <v>KIT</v>
          </cell>
          <cell r="E1491" t="str">
            <v>MOBENSANI</v>
          </cell>
          <cell r="F1491" t="str">
            <v>Kit Bucha Bandeja Dianteira Corolla 1997 A 2002</v>
          </cell>
        </row>
        <row r="1492">
          <cell r="A1492" t="str">
            <v>KITFTK7741/42-MB</v>
          </cell>
          <cell r="B1492" t="str">
            <v>AUTOMOTIVO</v>
          </cell>
          <cell r="C1492" t="str">
            <v>Bucha Bandeja</v>
          </cell>
          <cell r="D1492" t="str">
            <v>KIT</v>
          </cell>
          <cell r="E1492" t="str">
            <v>MOBENSANI</v>
          </cell>
          <cell r="F1492" t="str">
            <v>Kit Bucha Da Bandeja Dianteira Corolla 2003 Em Diante</v>
          </cell>
        </row>
        <row r="1493">
          <cell r="A1493" t="str">
            <v>KITFTK77503-AMW</v>
          </cell>
          <cell r="B1493" t="str">
            <v>AUTOMOTIVO</v>
          </cell>
          <cell r="C1493" t="str">
            <v>Bucha Bandeja</v>
          </cell>
          <cell r="D1493" t="str">
            <v>KIT</v>
          </cell>
          <cell r="E1493" t="str">
            <v>AMW</v>
          </cell>
          <cell r="F1493" t="str">
            <v>Kit Bucha Da Bandeja Suspensão Dianteira Clio 1998 Em Diante</v>
          </cell>
        </row>
        <row r="1494">
          <cell r="A1494" t="str">
            <v>KITFTK99103/04-MB</v>
          </cell>
          <cell r="B1494" t="str">
            <v>AUTOMOTIVO</v>
          </cell>
          <cell r="C1494" t="str">
            <v>Bucha Bandeja</v>
          </cell>
          <cell r="D1494" t="str">
            <v>KIT</v>
          </cell>
          <cell r="E1494" t="str">
            <v>MOBENSANI</v>
          </cell>
          <cell r="F1494" t="str">
            <v>Kit 4 Buchas Da Bandeja Dianteira Scenic 2007 Em Diante</v>
          </cell>
        </row>
        <row r="1495">
          <cell r="A1495" t="str">
            <v>KITFTK99128/29-MB</v>
          </cell>
          <cell r="B1495" t="str">
            <v>AUTOMOTIVO</v>
          </cell>
          <cell r="C1495" t="str">
            <v>Bucha Bandeja</v>
          </cell>
          <cell r="D1495" t="str">
            <v>KIT</v>
          </cell>
          <cell r="E1495" t="str">
            <v>MOBENSANI</v>
          </cell>
          <cell r="F1495" t="str">
            <v>Kit Bucha Da Bandeja Dianteira Fluence 2010 Em Diante</v>
          </cell>
        </row>
        <row r="1496">
          <cell r="A1496" t="str">
            <v>KITFTK99171-MB</v>
          </cell>
          <cell r="B1496" t="str">
            <v>AUTOMOTIVO</v>
          </cell>
          <cell r="C1496" t="str">
            <v>Bucha Bandeja</v>
          </cell>
          <cell r="D1496" t="str">
            <v>KIT</v>
          </cell>
          <cell r="E1496" t="str">
            <v>MOBENSANI</v>
          </cell>
          <cell r="F1496" t="str">
            <v>Kit Bucha Da Bandeja Superior Dianteira Civic 1992 A 1995</v>
          </cell>
        </row>
        <row r="1497">
          <cell r="A1497" t="str">
            <v>KITFTK99325-MB</v>
          </cell>
          <cell r="B1497" t="str">
            <v>AUTOMOTIVO</v>
          </cell>
          <cell r="C1497" t="str">
            <v>Bucha Bandeja</v>
          </cell>
          <cell r="D1497" t="str">
            <v>KIT</v>
          </cell>
          <cell r="E1497" t="str">
            <v>MOBENSANI</v>
          </cell>
          <cell r="F1497" t="str">
            <v>Kit Bucha Da Bandeja Dianteira Logan 2007 Em Diante</v>
          </cell>
        </row>
        <row r="1498">
          <cell r="A1498" t="str">
            <v>KITFTK99370/71-MB</v>
          </cell>
          <cell r="B1498" t="str">
            <v>AUTOMOTIVO</v>
          </cell>
          <cell r="C1498" t="str">
            <v>Bucha Bandeja</v>
          </cell>
          <cell r="D1498" t="str">
            <v>KIT</v>
          </cell>
          <cell r="E1498" t="str">
            <v>MOBENSANI</v>
          </cell>
          <cell r="F1498" t="str">
            <v>Kit 4 Buchas Da Bandeja Dianteira Kwid 2017 Em Diante</v>
          </cell>
        </row>
        <row r="1499">
          <cell r="A1499" t="str">
            <v>KIT-GM001DT</v>
          </cell>
          <cell r="B1499" t="str">
            <v>AUTOMOTIVO</v>
          </cell>
          <cell r="C1499" t="str">
            <v>Rolamento Roda</v>
          </cell>
          <cell r="D1499" t="str">
            <v>KIT</v>
          </cell>
          <cell r="E1499" t="str">
            <v>POLO</v>
          </cell>
          <cell r="F1499" t="str">
            <v xml:space="preserve">Kit Rolamento Roda Traseira E Dianteira Celta </v>
          </cell>
        </row>
        <row r="1500">
          <cell r="A1500" t="str">
            <v>KIT-LT2212/13</v>
          </cell>
          <cell r="B1500" t="str">
            <v>AUTOMOTIVO</v>
          </cell>
          <cell r="C1500" t="str">
            <v>Reparo alavanta Câmbio</v>
          </cell>
          <cell r="D1500" t="str">
            <v>KIT</v>
          </cell>
          <cell r="E1500" t="str">
            <v>LT CORREA</v>
          </cell>
          <cell r="F1500" t="str">
            <v>Kit Haste Do Trambulador 122mm E 279mm Partner 1.6</v>
          </cell>
        </row>
        <row r="1501">
          <cell r="A1501" t="str">
            <v>kit-pg001</v>
          </cell>
          <cell r="B1501" t="str">
            <v>AUTOMOTIVO</v>
          </cell>
          <cell r="C1501" t="str">
            <v>Rolamento Eixo</v>
          </cell>
          <cell r="D1501" t="str">
            <v>KIT</v>
          </cell>
          <cell r="E1501" t="str">
            <v>Importação</v>
          </cell>
          <cell r="F1501" t="str">
            <v>Kit Rolamento Eixo Traseiro C/ Bucha Peugeout 207 47mm</v>
          </cell>
        </row>
        <row r="1502">
          <cell r="A1502" t="str">
            <v>kit-PG001A</v>
          </cell>
          <cell r="B1502" t="str">
            <v>AUTOMOTIVO</v>
          </cell>
          <cell r="C1502" t="str">
            <v>Rolamento Eixo</v>
          </cell>
          <cell r="D1502" t="str">
            <v>KIT</v>
          </cell>
          <cell r="E1502" t="str">
            <v>Importação / LT CORREA</v>
          </cell>
          <cell r="F1502" t="str">
            <v>Kit Rolamento Eixo Traseiro C/ Bucha Peugeout 207 50mm</v>
          </cell>
        </row>
        <row r="1503">
          <cell r="A1503" t="str">
            <v>KIT-VW001</v>
          </cell>
          <cell r="B1503" t="str">
            <v>AUTOMOTIVO</v>
          </cell>
          <cell r="C1503" t="str">
            <v>Rolamento Roda</v>
          </cell>
          <cell r="D1503" t="str">
            <v>KIT</v>
          </cell>
          <cell r="E1503" t="str">
            <v>Importação</v>
          </cell>
          <cell r="F1503" t="str">
            <v>Rolamentos Dianteiro E Traseiro Crossfox 2005 Em Diante</v>
          </cell>
        </row>
        <row r="1504">
          <cell r="A1504" t="str">
            <v>LT2212</v>
          </cell>
          <cell r="B1504" t="str">
            <v>AUTOMOTIVO</v>
          </cell>
          <cell r="C1504" t="str">
            <v>Reparo alavanta Câmbio</v>
          </cell>
          <cell r="D1504" t="str">
            <v>SIMPLES</v>
          </cell>
          <cell r="E1504" t="str">
            <v>LT CORREA</v>
          </cell>
          <cell r="F1504" t="str">
            <v>HASTE DO TRAMBULADOR 122MM PEUGEOT 206 1.0</v>
          </cell>
        </row>
        <row r="1505">
          <cell r="A1505" t="str">
            <v>LT2213</v>
          </cell>
          <cell r="B1505" t="str">
            <v>AUTOMOTIVO</v>
          </cell>
          <cell r="C1505" t="str">
            <v>Reparo alavanta Câmbio</v>
          </cell>
          <cell r="D1505" t="str">
            <v>SIMPLES</v>
          </cell>
          <cell r="E1505" t="str">
            <v>LT CORREA</v>
          </cell>
          <cell r="F1505" t="str">
            <v>Reparo Do Trambulador Longo 279mm Partner 1.6</v>
          </cell>
        </row>
        <row r="1506">
          <cell r="A1506" t="str">
            <v>LT2266</v>
          </cell>
          <cell r="B1506" t="str">
            <v>AUTOMOTIVO</v>
          </cell>
          <cell r="C1506" t="str">
            <v>Bucha Caixa Direção</v>
          </cell>
          <cell r="D1506" t="str">
            <v>SIMPLES</v>
          </cell>
          <cell r="E1506" t="str">
            <v>LT CORREA</v>
          </cell>
          <cell r="F1506" t="str">
            <v>Bucha Da Caixa De Direção Elétrica Citroen C3 2003 Á 2012</v>
          </cell>
        </row>
        <row r="1507">
          <cell r="A1507" t="str">
            <v>LT2267</v>
          </cell>
          <cell r="B1507" t="str">
            <v>AUTOMOTIVO</v>
          </cell>
          <cell r="C1507" t="str">
            <v>HASTE EMBREAGEM</v>
          </cell>
          <cell r="D1507" t="str">
            <v>SIMPLES</v>
          </cell>
          <cell r="E1507" t="str">
            <v>LT CORREA</v>
          </cell>
          <cell r="F1507" t="str">
            <v>Haste Bieleta Trava Cabo Embreagem Pedal Peugeot 206 03 A 05</v>
          </cell>
        </row>
        <row r="1508">
          <cell r="A1508" t="str">
            <v>LT2271</v>
          </cell>
          <cell r="B1508" t="str">
            <v>AUTOMOTIVO</v>
          </cell>
          <cell r="C1508" t="str">
            <v>Terminal Cabo Câmbio</v>
          </cell>
          <cell r="D1508" t="str">
            <v>SIMPLES</v>
          </cell>
          <cell r="E1508" t="str">
            <v>LT CORREA</v>
          </cell>
          <cell r="F1508" t="str">
            <v>Terminal Cabo Engate Seleção C3 Picasso 2012 Em Diante</v>
          </cell>
        </row>
        <row r="1509">
          <cell r="A1509" t="str">
            <v>LT2273</v>
          </cell>
          <cell r="B1509" t="str">
            <v>AUTOMOTIVO</v>
          </cell>
          <cell r="C1509" t="str">
            <v>Capo filtro de Óleo</v>
          </cell>
          <cell r="D1509" t="str">
            <v>SIMPLES</v>
          </cell>
          <cell r="E1509" t="str">
            <v>LT CORREA</v>
          </cell>
          <cell r="F1509" t="str">
            <v>Copo Tampa Filtro De Óleo Citroen C3 1.4  8v 2006  Á 2012</v>
          </cell>
        </row>
        <row r="1510">
          <cell r="A1510" t="str">
            <v>LT2365</v>
          </cell>
          <cell r="B1510" t="str">
            <v>AUTOMOTIVO</v>
          </cell>
          <cell r="C1510" t="str">
            <v>Reparo alavanta Câmbio</v>
          </cell>
          <cell r="D1510" t="str">
            <v>SIMPLES</v>
          </cell>
          <cell r="E1510" t="str">
            <v>LT CORREA</v>
          </cell>
          <cell r="F1510" t="str">
            <v>Reparo Terminal Do Cabo De Marcha Onix 2013 A 2019</v>
          </cell>
        </row>
        <row r="1511">
          <cell r="A1511" t="str">
            <v>LT5506</v>
          </cell>
          <cell r="B1511" t="str">
            <v>AUTOMOTIVO</v>
          </cell>
          <cell r="C1511" t="str">
            <v>Reparo alavanta Câmbio</v>
          </cell>
          <cell r="D1511" t="str">
            <v>SIMPLES</v>
          </cell>
          <cell r="E1511" t="str">
            <v>LT CORREA</v>
          </cell>
          <cell r="F1511" t="str">
            <v>KIT REPARO DA ALAVANCA DO CÂMBIO Gol - Saveiro - Voyage - Fox (G5/...)</v>
          </cell>
        </row>
        <row r="1512">
          <cell r="A1512" t="str">
            <v>LT5526</v>
          </cell>
          <cell r="B1512" t="str">
            <v>AUTOMOTIVO</v>
          </cell>
          <cell r="C1512" t="str">
            <v>Reparo alavanta Câmbio</v>
          </cell>
          <cell r="D1512" t="str">
            <v>SIMPLES</v>
          </cell>
          <cell r="E1512" t="str">
            <v>LT CORREA</v>
          </cell>
          <cell r="F1512" t="str">
            <v>Kit Reparo Completo Alavanca Câmbio Golf 2005 Em Diante</v>
          </cell>
        </row>
        <row r="1513">
          <cell r="A1513" t="str">
            <v>LT5537</v>
          </cell>
          <cell r="B1513" t="str">
            <v>AUTOMOTIVO</v>
          </cell>
          <cell r="C1513" t="str">
            <v xml:space="preserve">Bucha direção </v>
          </cell>
          <cell r="D1513" t="str">
            <v>SIMPLES</v>
          </cell>
          <cell r="E1513" t="str">
            <v>LT CORREA</v>
          </cell>
          <cell r="F1513" t="str">
            <v>Bucha Da Caixa De Direção Elétrica Megane Grand Tour</v>
          </cell>
        </row>
        <row r="1514">
          <cell r="A1514" t="str">
            <v>LT5544</v>
          </cell>
          <cell r="B1514" t="str">
            <v>AUTOMOTIVO</v>
          </cell>
          <cell r="C1514" t="str">
            <v>Pastilha Freio</v>
          </cell>
          <cell r="D1514" t="str">
            <v>SIMPLES</v>
          </cell>
          <cell r="E1514" t="str">
            <v>LT CORREA</v>
          </cell>
          <cell r="F1514" t="str">
            <v>Kit Reparo Dos Cabos Engate Seleção Fiesta 2010 Em Diante</v>
          </cell>
        </row>
        <row r="1515">
          <cell r="A1515" t="str">
            <v>LT5553</v>
          </cell>
          <cell r="B1515" t="str">
            <v>AUTOMOTIVO</v>
          </cell>
          <cell r="C1515" t="str">
            <v>Reparo alavanta Câmbio</v>
          </cell>
          <cell r="D1515" t="str">
            <v>SIMPLES</v>
          </cell>
          <cell r="E1515" t="str">
            <v>LT CORREA</v>
          </cell>
          <cell r="F1515" t="str">
            <v>Reparo Alavanca Do Câmbio Eaton Frontier 2002 Em Diante</v>
          </cell>
        </row>
        <row r="1516">
          <cell r="A1516" t="str">
            <v>LT5561</v>
          </cell>
          <cell r="B1516" t="str">
            <v>AUTOMOTIVO</v>
          </cell>
          <cell r="C1516" t="str">
            <v>Reparo alavanta Câmbio</v>
          </cell>
          <cell r="D1516" t="str">
            <v>SIMPLES</v>
          </cell>
          <cell r="E1516" t="str">
            <v>LT CORREA</v>
          </cell>
          <cell r="F1516" t="str">
            <v>Terminal Do Cabo De Engate Gol G5 Todos Furo 8mm</v>
          </cell>
        </row>
        <row r="1517">
          <cell r="A1517" t="str">
            <v>LT5561/62</v>
          </cell>
          <cell r="B1517" t="str">
            <v>AUTOMOTIVO</v>
          </cell>
          <cell r="C1517" t="str">
            <v>Reparo alavanta Câmbio</v>
          </cell>
          <cell r="D1517" t="str">
            <v>KIT</v>
          </cell>
          <cell r="E1517" t="str">
            <v>LT CORREA</v>
          </cell>
          <cell r="F1517" t="str">
            <v>Par Terminal Cabo De Engate Seleção Up 2005 Em Diante</v>
          </cell>
        </row>
        <row r="1518">
          <cell r="A1518" t="str">
            <v>LT5562</v>
          </cell>
          <cell r="B1518" t="str">
            <v>AUTOMOTIVO</v>
          </cell>
          <cell r="C1518" t="str">
            <v>Reparo alavanta Câmbio</v>
          </cell>
          <cell r="D1518" t="str">
            <v>SIMPLES</v>
          </cell>
          <cell r="E1518" t="str">
            <v>LT CORREA</v>
          </cell>
          <cell r="F1518" t="str">
            <v>TERMINAL DO CABO DE ENGATE 10 MM</v>
          </cell>
        </row>
        <row r="1519">
          <cell r="A1519" t="str">
            <v>LT5567</v>
          </cell>
          <cell r="B1519" t="str">
            <v>AUTOMOTIVO</v>
          </cell>
          <cell r="C1519" t="str">
            <v>Reparo alavanta Câmbio</v>
          </cell>
          <cell r="D1519" t="str">
            <v>SIMPLES</v>
          </cell>
          <cell r="E1519" t="str">
            <v>LT CORREA</v>
          </cell>
          <cell r="F1519" t="str">
            <v>Terminal Do Cabo De Engate Ecosport 2002 Á 2010</v>
          </cell>
        </row>
        <row r="1520">
          <cell r="A1520" t="str">
            <v>LT5568</v>
          </cell>
          <cell r="B1520" t="str">
            <v>AUTOMOTIVO</v>
          </cell>
          <cell r="C1520" t="str">
            <v>Reparo alavanta Câmbio</v>
          </cell>
          <cell r="D1520" t="str">
            <v>SIMPLES</v>
          </cell>
          <cell r="E1520" t="str">
            <v>LT CORREA</v>
          </cell>
          <cell r="F1520" t="str">
            <v>Kit Reparo Dos Cabos De Engate  Fiesta 2002 Á 2010</v>
          </cell>
        </row>
        <row r="1521">
          <cell r="A1521" t="str">
            <v>LT5576</v>
          </cell>
          <cell r="B1521" t="str">
            <v>AUTOMOTIVO</v>
          </cell>
          <cell r="C1521" t="str">
            <v>Reparo alavanta Câmbio</v>
          </cell>
          <cell r="D1521" t="str">
            <v>SIMPLES</v>
          </cell>
          <cell r="E1521" t="str">
            <v>LT CORREA</v>
          </cell>
          <cell r="F1521" t="str">
            <v>Haste Do Trambulador 105mm Golf 1998 Á 2001 Motor 1.6</v>
          </cell>
        </row>
        <row r="1522">
          <cell r="A1522" t="str">
            <v>LT5577</v>
          </cell>
          <cell r="B1522" t="str">
            <v>AUTOMOTIVO</v>
          </cell>
          <cell r="C1522" t="str">
            <v>Reparo alavanta Câmbio</v>
          </cell>
          <cell r="D1522" t="str">
            <v>SIMPLES</v>
          </cell>
          <cell r="E1522" t="str">
            <v>LT CORREA</v>
          </cell>
          <cell r="F1522" t="str">
            <v>HASTE DO TRAMBULADOR 230MM - Golf 98/01 - Audi A4 98/01 Motor 1.6</v>
          </cell>
        </row>
        <row r="1523">
          <cell r="A1523" t="str">
            <v>LT5609</v>
          </cell>
          <cell r="B1523" t="str">
            <v>AUTOMOTIVO</v>
          </cell>
          <cell r="C1523" t="str">
            <v>Reparo alavanta Câmbio</v>
          </cell>
          <cell r="D1523" t="str">
            <v>SIMPLES</v>
          </cell>
          <cell r="E1523" t="str">
            <v>LT CORREA</v>
          </cell>
          <cell r="F1523" t="str">
            <v>Kit Reparo Terminal Cabo Engate Seleção Nissan Versa</v>
          </cell>
        </row>
        <row r="1524">
          <cell r="A1524" t="str">
            <v>LT5637</v>
          </cell>
          <cell r="B1524" t="str">
            <v>AUTOMOTIVO</v>
          </cell>
          <cell r="C1524" t="str">
            <v>Reparo alavanta Câmbio</v>
          </cell>
          <cell r="D1524" t="str">
            <v>SIMPLES</v>
          </cell>
          <cell r="E1524" t="str">
            <v>LT CORREA</v>
          </cell>
          <cell r="F1524" t="str">
            <v>Reparo Bucha Alavanca Câmbio Golf Mk4 1999 A 2006</v>
          </cell>
        </row>
        <row r="1525">
          <cell r="A1525" t="str">
            <v>LT5678</v>
          </cell>
          <cell r="B1525" t="str">
            <v>AUTOMOTIVO</v>
          </cell>
          <cell r="C1525" t="str">
            <v>Reparo alavanta Câmbio</v>
          </cell>
          <cell r="D1525" t="str">
            <v>SIMPLES</v>
          </cell>
          <cell r="E1525" t="str">
            <v>LT CORREA</v>
          </cell>
          <cell r="F1525" t="str">
            <v>Jogo de Coxim e Trava Superior Radiador  FORD</v>
          </cell>
        </row>
        <row r="1526">
          <cell r="A1526" t="str">
            <v>NZT0012</v>
          </cell>
          <cell r="B1526" t="str">
            <v>AUTOMOTIVO</v>
          </cell>
          <cell r="C1526" t="str">
            <v>Rolamento Roda</v>
          </cell>
          <cell r="D1526" t="str">
            <v>SIMPLES</v>
          </cell>
          <cell r="E1526" t="str">
            <v>POLO</v>
          </cell>
          <cell r="F1526" t="str">
            <v>Rolamento Da Roda Dianteira Sem Abs Fiat Marea 1999 A 2007</v>
          </cell>
        </row>
        <row r="1527">
          <cell r="A1527" t="str">
            <v>NZT0055AA</v>
          </cell>
          <cell r="B1527" t="str">
            <v>AUTOMOTIVO</v>
          </cell>
          <cell r="C1527" t="str">
            <v>ROLAMENTO RODA</v>
          </cell>
          <cell r="D1527" t="str">
            <v>SIMPLES</v>
          </cell>
          <cell r="E1527" t="str">
            <v>POLO</v>
          </cell>
          <cell r="F1527" t="str">
            <v>Rolamento Roda Dianteira Scenic Com Abs 2006 Em Diante</v>
          </cell>
        </row>
        <row r="1528">
          <cell r="A1528" t="str">
            <v>NZT0186</v>
          </cell>
          <cell r="B1528" t="str">
            <v>AUTOMOTIVO</v>
          </cell>
          <cell r="C1528" t="str">
            <v>Rolamento Roda</v>
          </cell>
          <cell r="D1528" t="str">
            <v>SIMPLES</v>
          </cell>
          <cell r="E1528" t="str">
            <v>POLO</v>
          </cell>
          <cell r="F1528" t="str">
            <v>ROLAMENTO RODA DIANTEIRA AIRCROSS 1.6 2010 EM DIANTE</v>
          </cell>
        </row>
        <row r="1529">
          <cell r="A1529" t="str">
            <v>NZT1206</v>
          </cell>
          <cell r="B1529" t="str">
            <v>AUTOMOTIVO</v>
          </cell>
          <cell r="C1529" t="str">
            <v>Pastilha Freio</v>
          </cell>
          <cell r="D1529" t="str">
            <v>SIMPLES</v>
          </cell>
          <cell r="E1529" t="str">
            <v>POLO</v>
          </cell>
          <cell r="F1529" t="str">
            <v>Rolamento Roda Traseira Fiesta 1.0 2002 A 2013</v>
          </cell>
        </row>
        <row r="1530">
          <cell r="A1530" t="str">
            <v>nzt311315</v>
          </cell>
          <cell r="B1530" t="str">
            <v>AUTOMOTIVO</v>
          </cell>
          <cell r="C1530" t="str">
            <v>Rolamento Roda</v>
          </cell>
          <cell r="D1530" t="str">
            <v>SIMPLES</v>
          </cell>
          <cell r="E1530" t="str">
            <v>POLO</v>
          </cell>
          <cell r="F1530" t="str">
            <v>Rolamento Da Roda Dianteira Sem Abs Passat Gol Até 1994</v>
          </cell>
        </row>
        <row r="1531">
          <cell r="A1531" t="str">
            <v>NZT311396</v>
          </cell>
          <cell r="B1531" t="str">
            <v>AUTOMOTIVO</v>
          </cell>
          <cell r="C1531" t="str">
            <v>Rolamento Roda</v>
          </cell>
          <cell r="D1531" t="str">
            <v>SIMPLES</v>
          </cell>
          <cell r="E1531" t="str">
            <v>POLO</v>
          </cell>
          <cell r="F1531" t="str">
            <v>Rolamento Da Roda Dianteira Sem Abs Kadett 89 A 97</v>
          </cell>
        </row>
        <row r="1532">
          <cell r="A1532" t="str">
            <v>nzt3600</v>
          </cell>
          <cell r="B1532" t="str">
            <v>AUTOMOTIVO</v>
          </cell>
          <cell r="C1532" t="str">
            <v>Rolamento Roda</v>
          </cell>
          <cell r="D1532" t="str">
            <v>SIMPLES</v>
          </cell>
          <cell r="E1532" t="str">
            <v>POLO</v>
          </cell>
          <cell r="F1532" t="str">
            <v>Kit Rolamento Dianteira Corsa</v>
          </cell>
        </row>
        <row r="1533">
          <cell r="A1533" t="str">
            <v>NZT3601</v>
          </cell>
          <cell r="B1533" t="str">
            <v>AUTOMOTIVO</v>
          </cell>
          <cell r="C1533" t="str">
            <v>Rolamento Roda</v>
          </cell>
          <cell r="D1533" t="str">
            <v>SIMPLES</v>
          </cell>
          <cell r="E1533" t="str">
            <v>POLO</v>
          </cell>
          <cell r="F1533" t="str">
            <v>Kit Rolamento Roda Traseira Meriva Le</v>
          </cell>
        </row>
        <row r="1534">
          <cell r="A1534" t="str">
            <v>NZT41999</v>
          </cell>
          <cell r="B1534" t="str">
            <v>AUTOMOTIVO</v>
          </cell>
          <cell r="C1534" t="str">
            <v>Rolamento Roda</v>
          </cell>
          <cell r="D1534" t="str">
            <v>SIMPLES</v>
          </cell>
          <cell r="E1534" t="str">
            <v>POLO</v>
          </cell>
          <cell r="F1534" t="str">
            <v>Rolamento Roda Dianteira New City Com Abs 2009 Em Diante</v>
          </cell>
        </row>
        <row r="1535">
          <cell r="A1535" t="str">
            <v>NZT563644</v>
          </cell>
          <cell r="B1535" t="str">
            <v>AUTOMOTIVO</v>
          </cell>
          <cell r="C1535" t="str">
            <v>Rolamento Roda</v>
          </cell>
          <cell r="D1535" t="str">
            <v>SIMPLES</v>
          </cell>
          <cell r="E1535" t="str">
            <v>POLO</v>
          </cell>
          <cell r="F1535" t="str">
            <v>Par Rolamento Roda Dianteira Onix 1.0 1.4 2012 Em Diante</v>
          </cell>
        </row>
        <row r="1536">
          <cell r="A1536" t="str">
            <v>NZT6004/2RS</v>
          </cell>
          <cell r="B1536" t="str">
            <v>AUTOMOTIVO</v>
          </cell>
          <cell r="C1536" t="str">
            <v>ROLAMENTO MOTO</v>
          </cell>
          <cell r="D1536" t="str">
            <v>SIMPLES</v>
          </cell>
          <cell r="E1536" t="str">
            <v>POLO</v>
          </cell>
          <cell r="F1536" t="str">
            <v>Rolamento 2RS Folga C3 YAMAHA DAFRA HONDA</v>
          </cell>
        </row>
        <row r="1537">
          <cell r="A1537" t="str">
            <v>NZT6302/2RS</v>
          </cell>
          <cell r="B1537" t="str">
            <v>AUTOMOTIVO</v>
          </cell>
          <cell r="C1537" t="str">
            <v>ROLAMENTO MOTO</v>
          </cell>
          <cell r="D1537" t="str">
            <v>SIMPLES</v>
          </cell>
          <cell r="E1537" t="str">
            <v>POLO</v>
          </cell>
          <cell r="F1537" t="str">
            <v>Rolamento 2RS Folga C3 DIANT./TRAS. HONDA/YAMAHA/MB</v>
          </cell>
        </row>
        <row r="1538">
          <cell r="A1538" t="str">
            <v>NZT636096</v>
          </cell>
          <cell r="B1538" t="str">
            <v>AUTOMOTIVO</v>
          </cell>
          <cell r="C1538" t="str">
            <v>Pastilha Freio</v>
          </cell>
          <cell r="D1538" t="str">
            <v>SIMPLES</v>
          </cell>
          <cell r="E1538" t="str">
            <v>POLO</v>
          </cell>
          <cell r="F1538" t="str">
            <v>ROLAMENTO RODA DIANTEIRA VECTRA SEM ABS 1997 EM DIANTE</v>
          </cell>
        </row>
        <row r="1539">
          <cell r="A1539" t="str">
            <v>nzt636114</v>
          </cell>
          <cell r="B1539" t="str">
            <v>AUTOMOTIVO</v>
          </cell>
          <cell r="C1539" t="str">
            <v>Rolamento Roda</v>
          </cell>
          <cell r="D1539" t="str">
            <v>SIMPLES</v>
          </cell>
          <cell r="E1539" t="str">
            <v>POLO</v>
          </cell>
          <cell r="F1539" t="str">
            <v>Rolamento Roda Dianteira Sem Abs Corsa Classic Prisma Agile</v>
          </cell>
        </row>
        <row r="1540">
          <cell r="A1540" t="str">
            <v>NZT6916A</v>
          </cell>
          <cell r="B1540" t="str">
            <v>AUTOMOTIVO</v>
          </cell>
          <cell r="C1540" t="str">
            <v>Rolamento Roda</v>
          </cell>
          <cell r="D1540" t="str">
            <v>SIMPLES</v>
          </cell>
          <cell r="E1540" t="str">
            <v>POLO</v>
          </cell>
        </row>
        <row r="1541">
          <cell r="A1541" t="str">
            <v>OC235</v>
          </cell>
          <cell r="B1541" t="str">
            <v>AUTOMOTIVO</v>
          </cell>
          <cell r="C1541" t="str">
            <v>Filtro de óleo</v>
          </cell>
          <cell r="D1541" t="str">
            <v>SIMPLES</v>
          </cell>
          <cell r="E1541" t="str">
            <v>RMP</v>
          </cell>
          <cell r="F1541" t="str">
            <v xml:space="preserve">Filtro de Óleo OC235 METAL LEVE  </v>
          </cell>
        </row>
        <row r="1542">
          <cell r="A1542" t="str">
            <v>OC504</v>
          </cell>
          <cell r="B1542" t="str">
            <v>AUTOMOTIVO</v>
          </cell>
          <cell r="C1542" t="str">
            <v>Filtro de óleo</v>
          </cell>
          <cell r="D1542" t="str">
            <v>SIMPLES</v>
          </cell>
          <cell r="E1542" t="str">
            <v>RMP</v>
          </cell>
          <cell r="F1542" t="str">
            <v xml:space="preserve">Filtro de Óleo OC504 METAL LEVE  </v>
          </cell>
        </row>
        <row r="1543">
          <cell r="A1543" t="str">
            <v>OC505</v>
          </cell>
          <cell r="B1543" t="str">
            <v>AUTOMOTIVO</v>
          </cell>
          <cell r="C1543" t="str">
            <v>Filtro de óleo</v>
          </cell>
          <cell r="D1543" t="str">
            <v>SIMPLES</v>
          </cell>
          <cell r="E1543" t="str">
            <v>RMP</v>
          </cell>
          <cell r="F1543" t="str">
            <v xml:space="preserve">FILTRO de Óleo OC505 METAL LEVE  </v>
          </cell>
        </row>
        <row r="1544">
          <cell r="A1544" t="str">
            <v>OC506</v>
          </cell>
          <cell r="B1544" t="str">
            <v>AUTOMOTIVO</v>
          </cell>
          <cell r="C1544" t="str">
            <v>Filtro de óleo</v>
          </cell>
          <cell r="D1544" t="str">
            <v>SIMPLES</v>
          </cell>
          <cell r="E1544" t="str">
            <v>RMP</v>
          </cell>
          <cell r="F1544" t="str">
            <v xml:space="preserve">OC506 FILTRO DE OLEO  </v>
          </cell>
        </row>
        <row r="1545">
          <cell r="A1545" t="str">
            <v>OC522</v>
          </cell>
          <cell r="B1545" t="str">
            <v>AUTOMOTIVO</v>
          </cell>
          <cell r="C1545" t="str">
            <v>Filtro de óleo</v>
          </cell>
          <cell r="D1545" t="str">
            <v>SIMPLES</v>
          </cell>
          <cell r="E1545" t="str">
            <v>RMP</v>
          </cell>
          <cell r="F1545" t="str">
            <v xml:space="preserve">FILTRO de Óleo OC522 METAL LEVE  </v>
          </cell>
        </row>
        <row r="1546">
          <cell r="A1546" t="str">
            <v>OC600</v>
          </cell>
          <cell r="B1546" t="str">
            <v>AUTOMOTIVO</v>
          </cell>
          <cell r="C1546" t="str">
            <v>Filtro de óleo</v>
          </cell>
          <cell r="D1546" t="str">
            <v>SIMPLES</v>
          </cell>
          <cell r="E1546" t="str">
            <v>RMP</v>
          </cell>
          <cell r="F1546" t="str">
            <v xml:space="preserve">Filtro de Óleo OC600 METAL LEVE  </v>
          </cell>
        </row>
        <row r="1547">
          <cell r="A1547" t="str">
            <v>PAR 112010/11</v>
          </cell>
          <cell r="B1547" t="str">
            <v>AUTOMOTIVO</v>
          </cell>
          <cell r="C1547" t="str">
            <v>BANDEJA</v>
          </cell>
          <cell r="D1547" t="str">
            <v>SIMPLES</v>
          </cell>
          <cell r="E1547" t="str">
            <v>SPARE</v>
          </cell>
          <cell r="F1547" t="str">
            <v>Par Bandeja Inferior Fiat Tempra Sw</v>
          </cell>
        </row>
        <row r="1548">
          <cell r="A1548" t="str">
            <v>Par 28006</v>
          </cell>
          <cell r="B1548" t="str">
            <v>AUTOMOTIVO</v>
          </cell>
          <cell r="C1548" t="str">
            <v>Pino de Freio</v>
          </cell>
          <cell r="D1548" t="str">
            <v>KIT</v>
          </cell>
          <cell r="E1548" t="str">
            <v>MultiKit</v>
          </cell>
          <cell r="F1548" t="str">
            <v>Par Reparo Pino Guia Pinça De Freio Dianteiro Nissan March</v>
          </cell>
        </row>
        <row r="1549">
          <cell r="A1549" t="str">
            <v>Par Terminal Fiat 10mm e 13mm</v>
          </cell>
          <cell r="B1549" t="str">
            <v>AUTOMOTIVO</v>
          </cell>
          <cell r="C1549" t="str">
            <v>Terminal Cabo Câmbio</v>
          </cell>
          <cell r="D1549" t="str">
            <v>KIT</v>
          </cell>
          <cell r="E1549" t="str">
            <v>Importação</v>
          </cell>
          <cell r="F1549" t="str">
            <v>Par De Terminal Cabo Engate E Seleção Marcha Uno Palio 2014</v>
          </cell>
        </row>
        <row r="1550">
          <cell r="A1550" t="str">
            <v>par112001</v>
          </cell>
          <cell r="B1550" t="str">
            <v>AUTOMOTIVO</v>
          </cell>
          <cell r="C1550" t="str">
            <v>Bandeja</v>
          </cell>
          <cell r="D1550" t="str">
            <v>KIT</v>
          </cell>
          <cell r="E1550" t="str">
            <v>SPARE</v>
          </cell>
          <cell r="F1550" t="str">
            <v>Par Bandeja Traseira Uno Cs S Sx 1984 A 1996</v>
          </cell>
        </row>
        <row r="1551">
          <cell r="A1551" t="str">
            <v>PAR-112002</v>
          </cell>
          <cell r="B1551" t="str">
            <v>AUTOMOTIVO</v>
          </cell>
          <cell r="C1551" t="str">
            <v>Bandeja</v>
          </cell>
          <cell r="D1551" t="str">
            <v>KIT</v>
          </cell>
          <cell r="E1551" t="str">
            <v>SPARE</v>
          </cell>
          <cell r="F1551" t="str">
            <v>Par Bandeja Traseira Fiorino 1985 Á 2004</v>
          </cell>
        </row>
        <row r="1552">
          <cell r="A1552" t="str">
            <v>par112004</v>
          </cell>
          <cell r="B1552" t="str">
            <v>AUTOMOTIVO</v>
          </cell>
          <cell r="C1552" t="str">
            <v>Bandeja</v>
          </cell>
          <cell r="D1552" t="str">
            <v>KIT</v>
          </cell>
          <cell r="E1552" t="str">
            <v>SPARE</v>
          </cell>
          <cell r="F1552" t="str">
            <v>Par Bracinho Oscilante Com Pivô Sem Bucha Panorama</v>
          </cell>
        </row>
        <row r="1553">
          <cell r="A1553" t="str">
            <v>par112004b</v>
          </cell>
          <cell r="B1553" t="str">
            <v>AUTOMOTIVO</v>
          </cell>
          <cell r="C1553" t="str">
            <v>Bandeja</v>
          </cell>
          <cell r="D1553" t="str">
            <v>KIT</v>
          </cell>
          <cell r="E1553" t="str">
            <v>SPARE</v>
          </cell>
          <cell r="F1553" t="str">
            <v>Par Bracinho Oscilante Com Pivô E Buchas Fiat Oggi</v>
          </cell>
        </row>
        <row r="1554">
          <cell r="A1554" t="str">
            <v>par112005</v>
          </cell>
          <cell r="B1554" t="str">
            <v>AUTOMOTIVO</v>
          </cell>
          <cell r="C1554" t="str">
            <v>Bandeja</v>
          </cell>
          <cell r="D1554" t="str">
            <v>KIT</v>
          </cell>
          <cell r="E1554" t="str">
            <v>SPARE</v>
          </cell>
          <cell r="F1554" t="str">
            <v>Par Bracinho Oscilante Bucha Pivô Uno 2002 Em Diante</v>
          </cell>
        </row>
        <row r="1555">
          <cell r="A1555" t="str">
            <v>Par112005B</v>
          </cell>
          <cell r="B1555" t="str">
            <v>AUTOMOTIVO</v>
          </cell>
          <cell r="C1555" t="str">
            <v>Bandeja</v>
          </cell>
          <cell r="D1555" t="str">
            <v>KIT</v>
          </cell>
          <cell r="E1555" t="str">
            <v>SPARE</v>
          </cell>
          <cell r="F1555" t="str">
            <v>Par Bracinho Oscilante Com Pivô Uno Mille 1991 A 2011</v>
          </cell>
        </row>
        <row r="1556">
          <cell r="A1556" t="str">
            <v>PAR112016/17</v>
          </cell>
          <cell r="B1556" t="str">
            <v>AUTOMOTIVO</v>
          </cell>
          <cell r="C1556" t="str">
            <v>Bandeja</v>
          </cell>
          <cell r="D1556" t="str">
            <v>KIT</v>
          </cell>
          <cell r="E1556" t="str">
            <v>SPARE</v>
          </cell>
          <cell r="F1556" t="str">
            <v>Par Bandeja Dianteira Tempra 1992 A 1999 Sem Pivô</v>
          </cell>
        </row>
        <row r="1557">
          <cell r="A1557" t="str">
            <v>PAR112048/49</v>
          </cell>
          <cell r="B1557" t="str">
            <v>AUTOMOTIVO</v>
          </cell>
          <cell r="C1557" t="str">
            <v>Bandeja</v>
          </cell>
          <cell r="D1557" t="str">
            <v>KIT</v>
          </cell>
          <cell r="E1557" t="str">
            <v>SPARE</v>
          </cell>
          <cell r="F1557" t="str">
            <v>Par Bandeja Inferior Sem Pivô Strada 1998 A 2000</v>
          </cell>
        </row>
        <row r="1558">
          <cell r="A1558" t="str">
            <v>par112058/59</v>
          </cell>
          <cell r="B1558" t="str">
            <v>AUTOMOTIVO</v>
          </cell>
          <cell r="C1558" t="str">
            <v>Bandeja</v>
          </cell>
          <cell r="D1558" t="str">
            <v>KIT</v>
          </cell>
          <cell r="E1558" t="str">
            <v>SPARE</v>
          </cell>
          <cell r="F1558" t="str">
            <v>Par Bandeja Com Pivô Strada 2005 A 2008</v>
          </cell>
        </row>
        <row r="1559">
          <cell r="A1559" t="str">
            <v>par112062/63</v>
          </cell>
          <cell r="B1559" t="str">
            <v>AUTOMOTIVO</v>
          </cell>
          <cell r="C1559" t="str">
            <v>Bandeja</v>
          </cell>
          <cell r="D1559" t="str">
            <v>KIT</v>
          </cell>
          <cell r="E1559" t="str">
            <v>SPARE</v>
          </cell>
          <cell r="F1559" t="str">
            <v>Par Bandeja Inferior Com Pivô Strada 2005 A 2008</v>
          </cell>
        </row>
        <row r="1560">
          <cell r="A1560" t="str">
            <v>PAR-112064/65</v>
          </cell>
          <cell r="B1560" t="str">
            <v>AUTOMOTIVO</v>
          </cell>
          <cell r="C1560" t="str">
            <v>Pastilha Freio</v>
          </cell>
          <cell r="D1560" t="str">
            <v>KIT</v>
          </cell>
          <cell r="E1560" t="str">
            <v>SPARE</v>
          </cell>
          <cell r="F1560" t="str">
            <v>Par Bandeja Ferro Inferior Com Pivô Strada 1998 A 2000</v>
          </cell>
        </row>
        <row r="1561">
          <cell r="A1561" t="str">
            <v>par112074/75</v>
          </cell>
          <cell r="B1561" t="str">
            <v>AUTOMOTIVO</v>
          </cell>
          <cell r="C1561" t="str">
            <v>Bandeja</v>
          </cell>
          <cell r="D1561" t="str">
            <v>KIT</v>
          </cell>
          <cell r="E1561" t="str">
            <v>SPARE</v>
          </cell>
          <cell r="F1561" t="str">
            <v>Par Bandeja Com Pivô Palio Weekend Adventure 2005 A 2008</v>
          </cell>
        </row>
        <row r="1562">
          <cell r="A1562" t="str">
            <v>PAR112090</v>
          </cell>
          <cell r="B1562" t="str">
            <v>AUTOMOTIVO</v>
          </cell>
          <cell r="C1562" t="str">
            <v>Bandeja</v>
          </cell>
          <cell r="D1562" t="str">
            <v>KIT</v>
          </cell>
          <cell r="E1562" t="str">
            <v>SPARE</v>
          </cell>
          <cell r="F1562" t="str">
            <v>Par Bandeja Inferior Bravo Sem Pivô 2010 A 2016</v>
          </cell>
        </row>
        <row r="1563">
          <cell r="A1563" t="str">
            <v>PAR112090/91</v>
          </cell>
          <cell r="B1563" t="str">
            <v>AUTOMOTIVO</v>
          </cell>
          <cell r="C1563" t="str">
            <v>BANDEJA</v>
          </cell>
          <cell r="D1563" t="str">
            <v>KIT</v>
          </cell>
          <cell r="E1563" t="str">
            <v>SPARE</v>
          </cell>
          <cell r="F1563" t="str">
            <v>Par Bandeja Inferior Stilo Sem Pivô 2002 A 2011</v>
          </cell>
        </row>
        <row r="1564">
          <cell r="A1564" t="str">
            <v>PAR-112092/93</v>
          </cell>
          <cell r="B1564" t="str">
            <v>AUTOMOTIVO</v>
          </cell>
          <cell r="C1564" t="str">
            <v>Bandeja</v>
          </cell>
          <cell r="D1564" t="str">
            <v>KIT</v>
          </cell>
          <cell r="E1564" t="str">
            <v>SPARE</v>
          </cell>
          <cell r="F1564" t="str">
            <v>Par Bandeja Dianteira Bravo 2011 A 2014 Com Pivô</v>
          </cell>
        </row>
        <row r="1565">
          <cell r="A1565" t="str">
            <v>PAR112106/7</v>
          </cell>
          <cell r="B1565" t="str">
            <v>AUTOMOTIVO</v>
          </cell>
          <cell r="C1565" t="str">
            <v>Bandeja</v>
          </cell>
          <cell r="D1565" t="str">
            <v>KIT</v>
          </cell>
          <cell r="E1565" t="str">
            <v>SPARE</v>
          </cell>
          <cell r="F1565" t="str">
            <v>Par Bandeja Com Pivô Grand Siena 2012 Em Diante</v>
          </cell>
        </row>
        <row r="1566">
          <cell r="A1566" t="str">
            <v>PAR112108/9</v>
          </cell>
          <cell r="B1566" t="str">
            <v>AUTOMOTIVO</v>
          </cell>
          <cell r="C1566" t="str">
            <v>Bandeja</v>
          </cell>
          <cell r="D1566" t="str">
            <v>KIT</v>
          </cell>
          <cell r="E1566" t="str">
            <v>SPARE</v>
          </cell>
          <cell r="F1566" t="str">
            <v>Par Bandeja Sem Pivô Palio 2012 Em Diante</v>
          </cell>
        </row>
        <row r="1567">
          <cell r="A1567" t="str">
            <v>PAR112114/15</v>
          </cell>
          <cell r="B1567" t="str">
            <v>AUTOMOTIVO</v>
          </cell>
          <cell r="C1567" t="str">
            <v>Bandeja</v>
          </cell>
          <cell r="D1567" t="str">
            <v>KIT</v>
          </cell>
          <cell r="E1567" t="str">
            <v>SPARE</v>
          </cell>
          <cell r="F1567" t="str">
            <v>Par Bandeja Inferior Renegade Sem Pivô</v>
          </cell>
        </row>
        <row r="1568">
          <cell r="A1568" t="str">
            <v>PAR112116</v>
          </cell>
          <cell r="B1568" t="str">
            <v>AUTOMOTIVO</v>
          </cell>
          <cell r="C1568" t="str">
            <v>Bandeja</v>
          </cell>
          <cell r="D1568" t="str">
            <v>KIT</v>
          </cell>
          <cell r="E1568" t="str">
            <v>SPARE</v>
          </cell>
          <cell r="F1568" t="str">
            <v>Par Bandeja Inferior Compass 4x4 Sem Pivô 2015 A 2020</v>
          </cell>
        </row>
        <row r="1569">
          <cell r="A1569" t="str">
            <v>PAR112126/27</v>
          </cell>
          <cell r="B1569" t="str">
            <v>AUTOMOTIVO</v>
          </cell>
          <cell r="C1569" t="str">
            <v>Bandeja</v>
          </cell>
          <cell r="D1569" t="str">
            <v>KIT</v>
          </cell>
          <cell r="E1569" t="str">
            <v>SPARE</v>
          </cell>
          <cell r="F1569" t="str">
            <v>Par Bandeja Inferior Com Pivô Idea Elx 2005 A 2016</v>
          </cell>
        </row>
        <row r="1570">
          <cell r="A1570" t="str">
            <v>Par-12152</v>
          </cell>
          <cell r="B1570" t="str">
            <v>AUTOMOTIVO</v>
          </cell>
          <cell r="C1570" t="str">
            <v>Pino de Porta</v>
          </cell>
          <cell r="D1570" t="str">
            <v>KIT</v>
          </cell>
          <cell r="E1570" t="str">
            <v>MultiKit</v>
          </cell>
          <cell r="F1570" t="str">
            <v>2 Kits Pino Buchas Dobradiça Porta Del Rey 1987</v>
          </cell>
        </row>
        <row r="1571">
          <cell r="A1571" t="str">
            <v>PAR-13120</v>
          </cell>
          <cell r="B1571" t="str">
            <v>AUTOMOTIVO</v>
          </cell>
          <cell r="C1571" t="str">
            <v>Pino de Freio</v>
          </cell>
          <cell r="D1571" t="str">
            <v>KIT</v>
          </cell>
          <cell r="E1571" t="str">
            <v>MultiKit</v>
          </cell>
          <cell r="F1571" t="str">
            <v>Par Kit Pino Deslizante Pinça De Freio Corsa 2003 Em Diante</v>
          </cell>
        </row>
        <row r="1572">
          <cell r="A1572" t="str">
            <v>PAR-13121</v>
          </cell>
          <cell r="B1572" t="str">
            <v>AUTOMOTIVO</v>
          </cell>
          <cell r="C1572" t="str">
            <v>Pino de Freio</v>
          </cell>
          <cell r="D1572" t="str">
            <v>KIT</v>
          </cell>
          <cell r="E1572" t="str">
            <v>MultiKit</v>
          </cell>
          <cell r="F1572" t="str">
            <v>Par Reparo Pino Guia Pinça De Freio Kadett 1993 Até 1996</v>
          </cell>
        </row>
        <row r="1573">
          <cell r="A1573" t="str">
            <v>par-13125</v>
          </cell>
          <cell r="B1573" t="str">
            <v>AUTOMOTIVO</v>
          </cell>
          <cell r="C1573" t="str">
            <v>Pino de Freio</v>
          </cell>
          <cell r="D1573" t="str">
            <v>KIT</v>
          </cell>
          <cell r="E1573" t="str">
            <v>MultiKit</v>
          </cell>
          <cell r="F1573" t="str">
            <v>Par Pinoguia Pinça De Freio Sonic 1.6flex 2015</v>
          </cell>
        </row>
        <row r="1574">
          <cell r="A1574" t="str">
            <v>PAR-14097/99</v>
          </cell>
          <cell r="B1574" t="str">
            <v>AUTOMOTIVO</v>
          </cell>
          <cell r="C1574" t="str">
            <v>Pino de Porta</v>
          </cell>
          <cell r="D1574" t="str">
            <v>KIT</v>
          </cell>
          <cell r="E1574" t="str">
            <v>MultiKit</v>
          </cell>
          <cell r="F1574" t="str">
            <v>2 Kits Pino Dobradiça Porta Prêmio 1985 A 1995</v>
          </cell>
        </row>
        <row r="1575">
          <cell r="A1575" t="str">
            <v>PAR-14098</v>
          </cell>
          <cell r="B1575" t="str">
            <v>AUTOMOTIVO</v>
          </cell>
          <cell r="C1575" t="str">
            <v>Pino de Porta</v>
          </cell>
          <cell r="D1575" t="str">
            <v>KIT</v>
          </cell>
          <cell r="E1575" t="str">
            <v>MultiKit</v>
          </cell>
          <cell r="F1575" t="str">
            <v>Par Pino Da Dobradiça Da Porta Strada G1 1999 A 2001</v>
          </cell>
        </row>
        <row r="1576">
          <cell r="A1576" t="str">
            <v>Par-14104</v>
          </cell>
          <cell r="B1576" t="str">
            <v>AUTOMOTIVO</v>
          </cell>
          <cell r="C1576" t="str">
            <v>Pino de Freio</v>
          </cell>
          <cell r="D1576" t="str">
            <v>KIT</v>
          </cell>
          <cell r="E1576" t="str">
            <v>MultiKit</v>
          </cell>
          <cell r="F1576" t="str">
            <v>Par Kit Pino Guia Bucha Pinça Freio Fiat Linea 2009 Até 2016</v>
          </cell>
        </row>
        <row r="1577">
          <cell r="A1577" t="str">
            <v>Par-2210</v>
          </cell>
          <cell r="B1577" t="str">
            <v>AUTOMOTIVO</v>
          </cell>
          <cell r="C1577" t="str">
            <v>Haste Câmbio</v>
          </cell>
          <cell r="D1577" t="str">
            <v>KIT</v>
          </cell>
          <cell r="E1577" t="str">
            <v>LT CORREA</v>
          </cell>
          <cell r="F1577" t="str">
            <v>2 Haste Bieleta Câmbio Peugeot 206 207  1.4 1.6 16cm Curta</v>
          </cell>
        </row>
        <row r="1578">
          <cell r="A1578" t="str">
            <v>par222010/11</v>
          </cell>
          <cell r="B1578" t="str">
            <v>AUTOMOTIVO</v>
          </cell>
          <cell r="C1578" t="str">
            <v>Bandeja</v>
          </cell>
          <cell r="D1578" t="str">
            <v>KIT</v>
          </cell>
          <cell r="E1578" t="str">
            <v>SPARE</v>
          </cell>
          <cell r="F1578" t="str">
            <v>Par Braço Oscilante Sem Bucha Apollo 1990 A 1992</v>
          </cell>
        </row>
        <row r="1579">
          <cell r="A1579" t="str">
            <v>par222010/11b</v>
          </cell>
          <cell r="B1579" t="str">
            <v>AUTOMOTIVO</v>
          </cell>
          <cell r="C1579" t="str">
            <v>Bandeja</v>
          </cell>
          <cell r="D1579" t="str">
            <v>KIT</v>
          </cell>
          <cell r="E1579" t="str">
            <v>SPARE</v>
          </cell>
          <cell r="F1579" t="str">
            <v>Par Braço Oscilante Com Bucha Escort 1983 A 1996</v>
          </cell>
        </row>
        <row r="1580">
          <cell r="A1580" t="str">
            <v>par222014/15</v>
          </cell>
          <cell r="B1580" t="str">
            <v>AUTOMOTIVO</v>
          </cell>
          <cell r="C1580" t="str">
            <v>Bandeja</v>
          </cell>
          <cell r="D1580" t="str">
            <v>KIT</v>
          </cell>
          <cell r="E1580" t="str">
            <v>SPARE</v>
          </cell>
          <cell r="F1580" t="str">
            <v>Par Bandeja Superior Com Pivô Ranger 1998 A 2011</v>
          </cell>
        </row>
        <row r="1581">
          <cell r="A1581" t="str">
            <v>PAR-222016/17</v>
          </cell>
          <cell r="B1581" t="str">
            <v>AUTOMOTIVO</v>
          </cell>
          <cell r="C1581" t="str">
            <v>Bandeja</v>
          </cell>
          <cell r="D1581" t="str">
            <v>KIT</v>
          </cell>
          <cell r="E1581" t="str">
            <v>SPARE</v>
          </cell>
          <cell r="F1581" t="str">
            <v>Par Bandeja Superior Com Pivô  Ranger 2012 A 2022</v>
          </cell>
        </row>
        <row r="1582">
          <cell r="A1582" t="str">
            <v>PAR222020</v>
          </cell>
          <cell r="B1582" t="str">
            <v>AUTOMOTIVO</v>
          </cell>
          <cell r="C1582" t="str">
            <v>Bandeja</v>
          </cell>
          <cell r="D1582" t="str">
            <v>KIT</v>
          </cell>
          <cell r="E1582" t="str">
            <v>SPARE</v>
          </cell>
          <cell r="F1582" t="str">
            <v>Par Bandeja Inferior Ka Sem Pivô 1997 Á 1999</v>
          </cell>
        </row>
        <row r="1583">
          <cell r="A1583" t="str">
            <v>PAR222022/23</v>
          </cell>
          <cell r="B1583" t="str">
            <v>AUTOMOTIVO</v>
          </cell>
          <cell r="C1583" t="str">
            <v>Bandeja</v>
          </cell>
          <cell r="D1583" t="str">
            <v>KIT</v>
          </cell>
          <cell r="E1583" t="str">
            <v>SPARE</v>
          </cell>
          <cell r="F1583" t="str">
            <v>Par Bandeja Inferior Fiesta 1995 Com Pivô</v>
          </cell>
        </row>
        <row r="1584">
          <cell r="A1584" t="str">
            <v>PAR222030/31</v>
          </cell>
          <cell r="B1584" t="str">
            <v>AUTOMOTIVO</v>
          </cell>
          <cell r="C1584" t="str">
            <v>Bandeja</v>
          </cell>
          <cell r="D1584" t="str">
            <v>KIT</v>
          </cell>
          <cell r="E1584" t="str">
            <v>SPARE</v>
          </cell>
          <cell r="F1584" t="str">
            <v>Par Bandeja Inferior Chapa S. Fiesta Sem Pivô</v>
          </cell>
        </row>
        <row r="1585">
          <cell r="A1585" t="str">
            <v>PAR-222032/33</v>
          </cell>
          <cell r="B1585" t="str">
            <v>AUTOMOTIVO</v>
          </cell>
          <cell r="C1585" t="str">
            <v>Bandeja</v>
          </cell>
          <cell r="D1585" t="str">
            <v>KIT</v>
          </cell>
          <cell r="E1585" t="str">
            <v>SPARE</v>
          </cell>
          <cell r="F1585" t="str">
            <v>Par Bandeja Dianteira Com Pivô Courier 2000 A 2013</v>
          </cell>
        </row>
        <row r="1586">
          <cell r="A1586" t="str">
            <v>PAR222036/37</v>
          </cell>
          <cell r="B1586" t="str">
            <v>AUTOMOTIVO</v>
          </cell>
          <cell r="C1586" t="str">
            <v>Bandeja</v>
          </cell>
          <cell r="D1586" t="str">
            <v>KIT</v>
          </cell>
          <cell r="E1586" t="str">
            <v>SPARE</v>
          </cell>
          <cell r="F1586" t="str">
            <v>Par Bandeja Inferior Chapa Dupla Fiesta Street</v>
          </cell>
        </row>
        <row r="1587">
          <cell r="A1587" t="str">
            <v>PAR222051/52</v>
          </cell>
          <cell r="B1587" t="str">
            <v>AUTOMOTIVO</v>
          </cell>
          <cell r="C1587" t="str">
            <v>Bandeja</v>
          </cell>
          <cell r="D1587" t="str">
            <v>KIT</v>
          </cell>
          <cell r="E1587" t="str">
            <v>SPARE</v>
          </cell>
          <cell r="F1587" t="str">
            <v>Par Bandeja Inferior Ecosport Sem Pivô 2003 Á 2011</v>
          </cell>
        </row>
        <row r="1588">
          <cell r="A1588" t="str">
            <v>PAR222061/62</v>
          </cell>
          <cell r="B1588" t="str">
            <v>AUTOMOTIVO</v>
          </cell>
          <cell r="C1588" t="str">
            <v>Bandeja</v>
          </cell>
          <cell r="D1588" t="str">
            <v>KIT</v>
          </cell>
          <cell r="E1588" t="str">
            <v>SPARE</v>
          </cell>
          <cell r="F1588" t="str">
            <v>Par Bandeja Inferior Ka Direção Hidráulica Sem Pivô 08 Á 13</v>
          </cell>
        </row>
        <row r="1589">
          <cell r="A1589" t="str">
            <v>PAR222074/75</v>
          </cell>
          <cell r="B1589" t="str">
            <v>AUTOMOTIVO</v>
          </cell>
          <cell r="C1589" t="str">
            <v>Bandeja</v>
          </cell>
          <cell r="D1589" t="str">
            <v>KIT</v>
          </cell>
          <cell r="E1589" t="str">
            <v>SPARE</v>
          </cell>
          <cell r="F1589" t="str">
            <v>Par Bandeja Inferior Ecosport Sem Pivô</v>
          </cell>
        </row>
        <row r="1590">
          <cell r="A1590" t="str">
            <v>PAR222076/77</v>
          </cell>
          <cell r="B1590" t="str">
            <v>AUTOMOTIVO</v>
          </cell>
          <cell r="C1590" t="str">
            <v>Bandeja</v>
          </cell>
          <cell r="D1590" t="str">
            <v>KIT</v>
          </cell>
          <cell r="E1590" t="str">
            <v>SPARE</v>
          </cell>
          <cell r="F1590" t="str">
            <v>Par Bandeja Inferior Ecosport Com Pivô</v>
          </cell>
        </row>
        <row r="1591">
          <cell r="A1591" t="str">
            <v>PAR-222099</v>
          </cell>
          <cell r="B1591" t="str">
            <v>AUTOMOTIVO</v>
          </cell>
          <cell r="C1591" t="str">
            <v>Bandeja</v>
          </cell>
          <cell r="D1591" t="str">
            <v>KIT</v>
          </cell>
          <cell r="E1591" t="str">
            <v>SPARE</v>
          </cell>
          <cell r="F1591" t="str">
            <v>Par Bandeja Inferior Traseira Escort Até 1992</v>
          </cell>
        </row>
        <row r="1592">
          <cell r="A1592" t="str">
            <v>PAR-222102/03</v>
          </cell>
          <cell r="B1592" t="str">
            <v>AUTOMOTIVO</v>
          </cell>
          <cell r="C1592" t="str">
            <v>BANDEJA</v>
          </cell>
          <cell r="D1592" t="str">
            <v>KIT</v>
          </cell>
          <cell r="E1592" t="str">
            <v>SPARE</v>
          </cell>
          <cell r="F1592" t="str">
            <v>Par Bandeja Inferior Com Pivô Focus 2009 A 2012</v>
          </cell>
        </row>
        <row r="1593">
          <cell r="A1593" t="str">
            <v>Par-222108</v>
          </cell>
          <cell r="B1593" t="str">
            <v>AUTOMOTIVO</v>
          </cell>
          <cell r="C1593" t="str">
            <v>Bandeja</v>
          </cell>
          <cell r="D1593" t="str">
            <v>KIT</v>
          </cell>
          <cell r="E1593" t="str">
            <v>SPARE</v>
          </cell>
          <cell r="F1593" t="str">
            <v>Par De Braço Da Suspensão Inferior Fusion 2006 A 2012</v>
          </cell>
        </row>
        <row r="1594">
          <cell r="A1594" t="str">
            <v>PAR-222109/10</v>
          </cell>
          <cell r="B1594" t="str">
            <v>AUTOMOTIVO</v>
          </cell>
          <cell r="C1594" t="str">
            <v>Pastilha Freio</v>
          </cell>
          <cell r="D1594" t="str">
            <v>KIT</v>
          </cell>
          <cell r="E1594" t="str">
            <v>SPARE</v>
          </cell>
          <cell r="F1594" t="str">
            <v>Par Braço Curvo Dianteiro Com Pivô Fusion 2007 A 2012</v>
          </cell>
        </row>
        <row r="1595">
          <cell r="A1595" t="str">
            <v>PAR-222312/13</v>
          </cell>
          <cell r="B1595" t="str">
            <v>AUTOMOTIVO</v>
          </cell>
          <cell r="C1595" t="str">
            <v>Pastilha Freio</v>
          </cell>
          <cell r="D1595" t="str">
            <v>KIT</v>
          </cell>
          <cell r="E1595" t="str">
            <v>SPARE</v>
          </cell>
          <cell r="F1595" t="str">
            <v>Par Bandeja Inferior Dianteira Com Pivô Focus 2013 A 2018</v>
          </cell>
        </row>
        <row r="1596">
          <cell r="A1596" t="str">
            <v>Par-23079</v>
          </cell>
          <cell r="B1596" t="str">
            <v>AUTOMOTIVO</v>
          </cell>
          <cell r="C1596" t="str">
            <v>Pino de Porta</v>
          </cell>
          <cell r="D1596" t="str">
            <v>KIT</v>
          </cell>
          <cell r="E1596" t="str">
            <v>MultiKit</v>
          </cell>
          <cell r="F1596" t="str">
            <v>Par De Pino Da Dobradiça Da Porta Blazer 1996 A 2011</v>
          </cell>
        </row>
        <row r="1597">
          <cell r="A1597" t="str">
            <v>Par-23100</v>
          </cell>
          <cell r="B1597" t="str">
            <v>AUTOMOTIVO</v>
          </cell>
          <cell r="C1597" t="str">
            <v>Pino de Freio</v>
          </cell>
          <cell r="D1597" t="str">
            <v>KIT</v>
          </cell>
          <cell r="E1597" t="str">
            <v>MultiKit</v>
          </cell>
          <cell r="F1597" t="str">
            <v>Par De Pino Da Pinça De Freio Chevrolet S10 4x4</v>
          </cell>
        </row>
        <row r="1598">
          <cell r="A1598" t="str">
            <v>Par-23125</v>
          </cell>
          <cell r="B1598" t="str">
            <v>AUTOMOTIVO</v>
          </cell>
          <cell r="C1598" t="str">
            <v>Pino de Freio</v>
          </cell>
          <cell r="D1598" t="str">
            <v>KIT</v>
          </cell>
          <cell r="E1598" t="str">
            <v>MultiKit</v>
          </cell>
          <cell r="F1598" t="str">
            <v>Par Kit Pino Guia Pinça Freio Ranger 4x2 1997 A 2012</v>
          </cell>
        </row>
        <row r="1599">
          <cell r="A1599" t="str">
            <v>Par-23129</v>
          </cell>
          <cell r="B1599" t="str">
            <v>AUTOMOTIVO</v>
          </cell>
          <cell r="C1599" t="str">
            <v>Pino de Freio</v>
          </cell>
          <cell r="D1599" t="str">
            <v>KIT</v>
          </cell>
          <cell r="E1599" t="str">
            <v>MultiKit</v>
          </cell>
          <cell r="F1599" t="str">
            <v>Par Kit Pino Da Pinça De Freio Trailblazer 2013 Em Diante</v>
          </cell>
        </row>
        <row r="1600">
          <cell r="A1600" t="str">
            <v>par-26048</v>
          </cell>
          <cell r="B1600" t="str">
            <v>AUTOMOTIVO</v>
          </cell>
          <cell r="C1600" t="str">
            <v>Pino de Freio</v>
          </cell>
          <cell r="D1600" t="str">
            <v>KIT</v>
          </cell>
          <cell r="E1600" t="str">
            <v>MultiKit</v>
          </cell>
          <cell r="F1600" t="str">
            <v>Kit Pino Guia Pinça De Freio Diant (2lados) L200 2003</v>
          </cell>
        </row>
        <row r="1601">
          <cell r="A1601" t="str">
            <v>Par-26056</v>
          </cell>
          <cell r="B1601" t="str">
            <v>AUTOMOTIVO</v>
          </cell>
          <cell r="C1601" t="str">
            <v>Pino de Freio</v>
          </cell>
          <cell r="D1601" t="str">
            <v>KIT</v>
          </cell>
          <cell r="E1601" t="str">
            <v>MultiKit</v>
          </cell>
          <cell r="F1601" t="str">
            <v>Par Kit Pino Guia Pinça Freio Pajero Tr4 2003 Em Diante</v>
          </cell>
        </row>
        <row r="1602">
          <cell r="A1602" t="str">
            <v>Par-27020</v>
          </cell>
          <cell r="B1602" t="str">
            <v>AUTOMOTIVO</v>
          </cell>
          <cell r="C1602" t="str">
            <v>Pino de Freio</v>
          </cell>
          <cell r="D1602" t="str">
            <v>KIT</v>
          </cell>
          <cell r="E1602" t="str">
            <v>MultiKit</v>
          </cell>
          <cell r="F1602" t="str">
            <v>Par Reparo Pino Guia Pinça De Freio Dianteiro Corolla 03a08</v>
          </cell>
        </row>
        <row r="1603">
          <cell r="A1603" t="str">
            <v>Par-28006</v>
          </cell>
          <cell r="B1603" t="str">
            <v>AUTOMOTIVO</v>
          </cell>
          <cell r="C1603" t="str">
            <v>Pino de Freio</v>
          </cell>
          <cell r="D1603" t="str">
            <v>KIT</v>
          </cell>
          <cell r="E1603" t="str">
            <v>MultiKit</v>
          </cell>
          <cell r="F1603" t="str">
            <v>Par Reparo Pino Guia Pinça De Freio Dianteiro Nissan March</v>
          </cell>
        </row>
        <row r="1604">
          <cell r="A1604" t="str">
            <v>PAR-29014</v>
          </cell>
          <cell r="B1604" t="str">
            <v>AUTOMOTIVO</v>
          </cell>
          <cell r="C1604" t="str">
            <v>Pino de Freio</v>
          </cell>
          <cell r="D1604" t="str">
            <v>KIT</v>
          </cell>
          <cell r="E1604" t="str">
            <v>MultiKit</v>
          </cell>
          <cell r="F1604" t="str">
            <v>Par Kit Pino Guia Pinça Freio Logan 2008 A 2013</v>
          </cell>
        </row>
        <row r="1605">
          <cell r="A1605" t="str">
            <v>Par-29037</v>
          </cell>
          <cell r="B1605" t="str">
            <v>AUTOMOTIVO</v>
          </cell>
          <cell r="C1605" t="str">
            <v>Pino de Freio</v>
          </cell>
          <cell r="D1605" t="str">
            <v>KIT</v>
          </cell>
          <cell r="E1605" t="str">
            <v>MultiKit</v>
          </cell>
          <cell r="F1605" t="str">
            <v>Par Reparo Pino Da Pinça De Freio Hyundai Hr 2005 A 2018</v>
          </cell>
        </row>
        <row r="1606">
          <cell r="A1606" t="str">
            <v>PAR-3025</v>
          </cell>
          <cell r="B1606" t="str">
            <v>AUTOMOTIVO</v>
          </cell>
          <cell r="C1606" t="str">
            <v>Suporte Parachoque</v>
          </cell>
          <cell r="D1606" t="str">
            <v>KIT</v>
          </cell>
          <cell r="E1606" t="str">
            <v>POLO</v>
          </cell>
          <cell r="F1606" t="str">
            <v>Par Suporte Do Parachoque Fusca 1978 A 1996</v>
          </cell>
        </row>
        <row r="1607">
          <cell r="A1607" t="str">
            <v>PAR330100/01</v>
          </cell>
          <cell r="B1607" t="str">
            <v>AUTOMOTIVO</v>
          </cell>
          <cell r="C1607" t="str">
            <v>Bandeja</v>
          </cell>
          <cell r="D1607" t="str">
            <v>KIT</v>
          </cell>
          <cell r="E1607" t="str">
            <v>SPARE</v>
          </cell>
          <cell r="F1607" t="str">
            <v>Par Bandeja Dianteira Bravo 2011 A 2014 Com Pivô</v>
          </cell>
        </row>
        <row r="1608">
          <cell r="A1608" t="str">
            <v>PAR-331050/51</v>
          </cell>
          <cell r="B1608" t="str">
            <v>AUTOMOTIVO</v>
          </cell>
          <cell r="C1608" t="str">
            <v>Pastilha Freio</v>
          </cell>
          <cell r="D1608" t="str">
            <v>KIT</v>
          </cell>
          <cell r="E1608" t="str">
            <v>MundiFlex</v>
          </cell>
          <cell r="F1608" t="str">
            <v>Par Cabo De Freio De Mão Traseiro Frontier 2003 A 2007</v>
          </cell>
        </row>
        <row r="1609">
          <cell r="A1609" t="str">
            <v>PAR332007/8</v>
          </cell>
          <cell r="B1609" t="str">
            <v>AUTOMOTIVO</v>
          </cell>
          <cell r="C1609" t="str">
            <v>Bandeja</v>
          </cell>
          <cell r="D1609" t="str">
            <v>KIT</v>
          </cell>
          <cell r="E1609" t="str">
            <v>SPARE</v>
          </cell>
          <cell r="F1609" t="str">
            <v>Par Bandeja Inferior Sem Pivô Ipanema 1989 A 1998</v>
          </cell>
        </row>
        <row r="1610">
          <cell r="A1610" t="str">
            <v>PAR332010/11</v>
          </cell>
          <cell r="B1610" t="str">
            <v>AUTOMOTIVO</v>
          </cell>
          <cell r="C1610" t="str">
            <v>Bandeja</v>
          </cell>
          <cell r="D1610" t="str">
            <v>KIT</v>
          </cell>
          <cell r="E1610" t="str">
            <v>SPARE</v>
          </cell>
          <cell r="F1610" t="str">
            <v>Par Braço Da Suspensão Corsa Pick Up Sem Pivô 1994 A 1998</v>
          </cell>
        </row>
        <row r="1611">
          <cell r="A1611" t="str">
            <v>par332014/15</v>
          </cell>
          <cell r="B1611" t="str">
            <v>AUTOMOTIVO</v>
          </cell>
          <cell r="C1611" t="str">
            <v>Bandeja</v>
          </cell>
          <cell r="D1611" t="str">
            <v>KIT</v>
          </cell>
          <cell r="E1611" t="str">
            <v>SPARE</v>
          </cell>
          <cell r="F1611" t="str">
            <v>Par Braço Da Suspensão Corsa Classic Sem Pivô</v>
          </cell>
        </row>
        <row r="1612">
          <cell r="A1612" t="str">
            <v>par332016/17</v>
          </cell>
          <cell r="B1612" t="str">
            <v>AUTOMOTIVO</v>
          </cell>
          <cell r="C1612" t="str">
            <v>Bandeja</v>
          </cell>
          <cell r="D1612" t="str">
            <v>KIT</v>
          </cell>
          <cell r="E1612" t="str">
            <v>SPARE</v>
          </cell>
          <cell r="F1612" t="str">
            <v>Par Braço Suspensão Corsa Wagon 1995 A 1997 Com Pivô</v>
          </cell>
        </row>
        <row r="1613">
          <cell r="A1613" t="str">
            <v>PAR-332024</v>
          </cell>
          <cell r="B1613" t="str">
            <v>AUTOMOTIVO</v>
          </cell>
          <cell r="C1613" t="str">
            <v>Bandeja</v>
          </cell>
          <cell r="D1613" t="str">
            <v>KIT</v>
          </cell>
          <cell r="E1613" t="str">
            <v>SPARE</v>
          </cell>
          <cell r="F1613" t="str">
            <v>Par Bandeja Com Pivô New Megane 2007 Em Diante</v>
          </cell>
        </row>
        <row r="1614">
          <cell r="A1614" t="str">
            <v>Par332052/53</v>
          </cell>
          <cell r="B1614" t="str">
            <v>AUTOMOTIVO</v>
          </cell>
          <cell r="C1614" t="str">
            <v>Bandeja</v>
          </cell>
          <cell r="D1614" t="str">
            <v>KIT</v>
          </cell>
          <cell r="E1614" t="str">
            <v>SPARE</v>
          </cell>
          <cell r="F1614" t="str">
            <v>Par Morceguinho Dianteiro Prisma 2007 A 2012</v>
          </cell>
        </row>
        <row r="1615">
          <cell r="A1615" t="str">
            <v>PAR332065/66</v>
          </cell>
          <cell r="B1615" t="str">
            <v>AUTOMOTIVO</v>
          </cell>
          <cell r="C1615" t="str">
            <v>Bandeja</v>
          </cell>
          <cell r="D1615" t="str">
            <v>KIT</v>
          </cell>
          <cell r="E1615" t="str">
            <v>SPARE</v>
          </cell>
          <cell r="F1615" t="str">
            <v>Par Bandeja Inferior Sem Pivô Montana 2003 A 2010</v>
          </cell>
        </row>
        <row r="1616">
          <cell r="A1616" t="str">
            <v>PAR332067/68</v>
          </cell>
          <cell r="B1616" t="str">
            <v>AUTOMOTIVO</v>
          </cell>
          <cell r="C1616" t="str">
            <v>Bandeja</v>
          </cell>
          <cell r="D1616" t="str">
            <v>KIT</v>
          </cell>
          <cell r="E1616" t="str">
            <v>SPARE</v>
          </cell>
          <cell r="F1616" t="str">
            <v>Par Bandeja Inferior Com Pivô Montana 2003 A 2010</v>
          </cell>
        </row>
        <row r="1617">
          <cell r="A1617" t="str">
            <v>PAR-332076/77</v>
          </cell>
          <cell r="B1617" t="str">
            <v>AUTOMOTIVO</v>
          </cell>
          <cell r="C1617" t="str">
            <v>Pastilha Freio</v>
          </cell>
          <cell r="D1617" t="str">
            <v>KIT</v>
          </cell>
          <cell r="E1617" t="str">
            <v>SPARE</v>
          </cell>
          <cell r="F1617" t="str">
            <v>Par Bandeja Inferior Com Pivô Vectra 1995 1996</v>
          </cell>
        </row>
        <row r="1618">
          <cell r="A1618" t="str">
            <v>PAR-332080</v>
          </cell>
          <cell r="B1618" t="str">
            <v>AUTOMOTIVO</v>
          </cell>
          <cell r="C1618" t="str">
            <v>Bandeja</v>
          </cell>
          <cell r="D1618" t="str">
            <v>KIT</v>
          </cell>
          <cell r="E1618" t="str">
            <v>SPARE</v>
          </cell>
          <cell r="F1618" t="str">
            <v>Par Bandeja Dianteira Vectra Sem Pivô 1997 Á 2011</v>
          </cell>
        </row>
        <row r="1619">
          <cell r="A1619" t="str">
            <v>par332092/33</v>
          </cell>
          <cell r="B1619" t="str">
            <v>AUTOMOTIVO</v>
          </cell>
          <cell r="C1619" t="str">
            <v>Bandeja</v>
          </cell>
          <cell r="D1619" t="str">
            <v>KIT</v>
          </cell>
          <cell r="E1619" t="str">
            <v>SPARE</v>
          </cell>
          <cell r="F1619" t="str">
            <v>Par Bandeja Com Pivô Joy 2020 Em Diante</v>
          </cell>
        </row>
        <row r="1620">
          <cell r="A1620" t="str">
            <v>par332092/93</v>
          </cell>
          <cell r="B1620" t="str">
            <v>AUTOMOTIVO</v>
          </cell>
          <cell r="C1620" t="str">
            <v>Bandeja</v>
          </cell>
          <cell r="D1620" t="str">
            <v>KIT</v>
          </cell>
          <cell r="E1620" t="str">
            <v>SPARE</v>
          </cell>
          <cell r="F1620" t="str">
            <v>Par Bandeja Com Pivô Spin 2013 Em Diante</v>
          </cell>
        </row>
        <row r="1621">
          <cell r="A1621" t="str">
            <v>PAR332092-5233</v>
          </cell>
          <cell r="B1621" t="str">
            <v>AUTOMOTIVO</v>
          </cell>
          <cell r="C1621" t="str">
            <v>Bandeja e Bieleta</v>
          </cell>
          <cell r="D1621" t="str">
            <v>KIT</v>
          </cell>
          <cell r="E1621" t="str">
            <v>SPARE / HOLYMAN</v>
          </cell>
          <cell r="F1621" t="str">
            <v>Par Bandeja Com Pivô E Par Bieleta Sonic 2012 Em Diante</v>
          </cell>
        </row>
        <row r="1622">
          <cell r="A1622" t="str">
            <v>PAR332110/11</v>
          </cell>
          <cell r="B1622" t="str">
            <v>AUTOMOTIVO</v>
          </cell>
          <cell r="C1622" t="str">
            <v>Bandeja</v>
          </cell>
          <cell r="D1622" t="str">
            <v>KIT</v>
          </cell>
          <cell r="E1622" t="str">
            <v>SPARE</v>
          </cell>
          <cell r="F1622" t="str">
            <v>Par Bandeja Superior  S10 4x2 E 4x4  1995 Á 2011 Sem Pivô</v>
          </cell>
        </row>
        <row r="1623">
          <cell r="A1623" t="str">
            <v>PAR-332118/19</v>
          </cell>
          <cell r="B1623" t="str">
            <v>AUTOMOTIVO</v>
          </cell>
          <cell r="C1623" t="str">
            <v>BANDEJA</v>
          </cell>
          <cell r="D1623" t="str">
            <v>KIT</v>
          </cell>
          <cell r="E1623" t="str">
            <v>SPARE</v>
          </cell>
          <cell r="F1623" t="str">
            <v>Par Bandeja Inferior Com Pivô Cruze 2017 A 2021</v>
          </cell>
        </row>
        <row r="1624">
          <cell r="A1624" t="str">
            <v>PAR-332140/41</v>
          </cell>
          <cell r="B1624" t="str">
            <v>AUTOMOTIVO</v>
          </cell>
          <cell r="C1624" t="str">
            <v>Bandeja</v>
          </cell>
          <cell r="D1624" t="str">
            <v>KIT</v>
          </cell>
          <cell r="E1624" t="str">
            <v>SPARE</v>
          </cell>
          <cell r="F1624" t="str">
            <v>Par Bandeja Inferior Com Pivô Opala 1980 A 1992</v>
          </cell>
        </row>
        <row r="1625">
          <cell r="A1625" t="str">
            <v>PAR332144</v>
          </cell>
          <cell r="B1625" t="str">
            <v>AUTOMOTIVO</v>
          </cell>
          <cell r="C1625" t="str">
            <v>Bandeja</v>
          </cell>
          <cell r="D1625" t="str">
            <v>KIT</v>
          </cell>
          <cell r="E1625" t="str">
            <v>SPARE</v>
          </cell>
          <cell r="F1625" t="str">
            <v>Par Bandeja Ambos Lados Tracker 1.4 Lt Ltz 2017 A 2020</v>
          </cell>
        </row>
        <row r="1626">
          <cell r="A1626" t="str">
            <v>PAR332145/46</v>
          </cell>
          <cell r="B1626" t="str">
            <v>AUTOMOTIVO</v>
          </cell>
          <cell r="C1626" t="str">
            <v>Bandeja</v>
          </cell>
          <cell r="D1626" t="str">
            <v>KIT</v>
          </cell>
          <cell r="E1626" t="str">
            <v>SPARE</v>
          </cell>
          <cell r="F1626" t="str">
            <v>Par Bandeja Com Pivô Tracker 1.8 2014 A 2016</v>
          </cell>
        </row>
        <row r="1627">
          <cell r="A1627" t="str">
            <v>PAR-332149/50</v>
          </cell>
          <cell r="B1627" t="str">
            <v>AUTOMOTIVO</v>
          </cell>
          <cell r="C1627" t="str">
            <v>Pastilha Freio</v>
          </cell>
          <cell r="D1627" t="str">
            <v>KIT</v>
          </cell>
          <cell r="E1627" t="str">
            <v>SPARE</v>
          </cell>
          <cell r="F1627" t="str">
            <v>Par Bandeja Superior Sem Pivô C10 1993 A 1996</v>
          </cell>
        </row>
        <row r="1628">
          <cell r="A1628" t="str">
            <v>PAR-332151/52</v>
          </cell>
          <cell r="B1628" t="str">
            <v>AUTOMOTIVO</v>
          </cell>
          <cell r="C1628" t="str">
            <v>Bandeja</v>
          </cell>
          <cell r="D1628" t="str">
            <v>KIT</v>
          </cell>
          <cell r="E1628" t="str">
            <v>SPARE</v>
          </cell>
          <cell r="F1628" t="str">
            <v>Par Bandeja Dianteira S10 2012 A 2016 Com Pivô</v>
          </cell>
        </row>
        <row r="1629">
          <cell r="A1629" t="str">
            <v>Par-33820</v>
          </cell>
          <cell r="B1629" t="str">
            <v>AUTOMOTIVO</v>
          </cell>
          <cell r="C1629" t="str">
            <v>Cabo limitador tampa traseira</v>
          </cell>
          <cell r="D1629" t="str">
            <v>KIT</v>
          </cell>
          <cell r="E1629" t="str">
            <v>MundiFlex</v>
          </cell>
          <cell r="F1629" t="str">
            <v>Par Cabo Limitador Tampa Tras Nova Strada Iv 2013 Em Diante</v>
          </cell>
        </row>
        <row r="1630">
          <cell r="A1630" t="str">
            <v>PAR442025</v>
          </cell>
          <cell r="B1630" t="str">
            <v>AUTOMOTIVO</v>
          </cell>
          <cell r="C1630" t="str">
            <v>Bandeja</v>
          </cell>
          <cell r="D1630" t="str">
            <v>KIT</v>
          </cell>
          <cell r="E1630" t="str">
            <v>SPARE</v>
          </cell>
          <cell r="F1630" t="str">
            <v>Par Bandeja Dianteira Sem Pivô Voyage 1982 A 1992</v>
          </cell>
        </row>
        <row r="1631">
          <cell r="A1631" t="str">
            <v>PAR442050</v>
          </cell>
          <cell r="B1631" t="str">
            <v>AUTOMOTIVO</v>
          </cell>
          <cell r="C1631" t="str">
            <v>Bandeja</v>
          </cell>
          <cell r="D1631" t="str">
            <v>KIT</v>
          </cell>
          <cell r="E1631" t="str">
            <v>SPARE</v>
          </cell>
          <cell r="F1631" t="str">
            <v>Par Bandeja Dianteira Gol 1993 A 2014 Exceto Geração 5</v>
          </cell>
        </row>
        <row r="1632">
          <cell r="A1632" t="str">
            <v>PAR-442050</v>
          </cell>
          <cell r="B1632" t="str">
            <v>AUTOMOTIVO</v>
          </cell>
          <cell r="C1632" t="str">
            <v>Bandeja</v>
          </cell>
          <cell r="D1632" t="str">
            <v>KIT</v>
          </cell>
          <cell r="E1632" t="str">
            <v>SPARE</v>
          </cell>
          <cell r="F1632" t="str">
            <v>Par Bandeja Dianteira Sem Pivô Passat 1974 A 1989</v>
          </cell>
        </row>
        <row r="1633">
          <cell r="A1633" t="str">
            <v>PAR442055</v>
          </cell>
          <cell r="B1633" t="str">
            <v>AUTOMOTIVO</v>
          </cell>
          <cell r="C1633" t="str">
            <v>Bandeja</v>
          </cell>
          <cell r="D1633" t="str">
            <v>KIT</v>
          </cell>
          <cell r="E1633" t="str">
            <v>SPARE</v>
          </cell>
          <cell r="F1633" t="str">
            <v>Par Bandeja Dianteira Gol 1993 A 2014 Exceto Geração 5</v>
          </cell>
        </row>
        <row r="1634">
          <cell r="A1634" t="str">
            <v>PAR442056</v>
          </cell>
          <cell r="B1634" t="str">
            <v>AUTOMOTIVO</v>
          </cell>
          <cell r="C1634" t="str">
            <v>Bandeja</v>
          </cell>
          <cell r="D1634" t="str">
            <v>KIT</v>
          </cell>
          <cell r="E1634" t="str">
            <v>SPARE</v>
          </cell>
          <cell r="F1634" t="str">
            <v>Par Bandeja Dianteira Quantum 1985 A 1988 Sem Pivô</v>
          </cell>
        </row>
        <row r="1635">
          <cell r="A1635" t="str">
            <v>par442056/57</v>
          </cell>
          <cell r="B1635" t="str">
            <v>AUTOMOTIVO</v>
          </cell>
          <cell r="C1635" t="str">
            <v>Bandeja</v>
          </cell>
          <cell r="D1635" t="str">
            <v>KIT</v>
          </cell>
          <cell r="E1635" t="str">
            <v>SPARE</v>
          </cell>
          <cell r="F1635" t="str">
            <v>Par Bandeja Inferior Sem Pivô Santana 1988 A 2002</v>
          </cell>
        </row>
        <row r="1636">
          <cell r="A1636" t="str">
            <v>PAR-442058/59</v>
          </cell>
          <cell r="B1636" t="str">
            <v>AUTOMOTIVO</v>
          </cell>
          <cell r="C1636" t="str">
            <v>Bandeja</v>
          </cell>
          <cell r="D1636" t="str">
            <v>KIT</v>
          </cell>
          <cell r="E1636" t="str">
            <v>SPARE</v>
          </cell>
          <cell r="F1636" t="str">
            <v>Par Bandeja Inferior Com Pivô Marajó 1973 A 1993</v>
          </cell>
        </row>
        <row r="1637">
          <cell r="A1637" t="str">
            <v>par442060</v>
          </cell>
          <cell r="B1637" t="str">
            <v>AUTOMOTIVO</v>
          </cell>
          <cell r="C1637" t="str">
            <v>Bandeja</v>
          </cell>
          <cell r="D1637" t="str">
            <v>KIT</v>
          </cell>
          <cell r="E1637" t="str">
            <v>SPARE</v>
          </cell>
          <cell r="F1637" t="str">
            <v>Par Bandeja Dianteira Santana 1984 A 1988 Sem Pivô</v>
          </cell>
        </row>
        <row r="1638">
          <cell r="A1638" t="str">
            <v>par442060/61</v>
          </cell>
          <cell r="B1638" t="str">
            <v>AUTOMOTIVO</v>
          </cell>
          <cell r="C1638" t="str">
            <v>Bandeja</v>
          </cell>
          <cell r="D1638" t="str">
            <v>KIT</v>
          </cell>
          <cell r="E1638" t="str">
            <v>SPARE</v>
          </cell>
          <cell r="F1638" t="str">
            <v>Par Bandeja Inferior Sem Pivô Santana 1988 A 2002</v>
          </cell>
        </row>
        <row r="1639">
          <cell r="A1639" t="str">
            <v>PAR-442061</v>
          </cell>
          <cell r="B1639" t="str">
            <v>AUTOMOTIVO</v>
          </cell>
          <cell r="C1639" t="str">
            <v>Bandeja</v>
          </cell>
          <cell r="D1639" t="str">
            <v>KIT</v>
          </cell>
          <cell r="E1639" t="str">
            <v>SPARE</v>
          </cell>
          <cell r="F1639" t="str">
            <v>Par Bandeja Com Buchas Sem Pivô Audi A3 1996 A 2007</v>
          </cell>
        </row>
        <row r="1640">
          <cell r="A1640" t="str">
            <v>PAR442066</v>
          </cell>
          <cell r="B1640" t="str">
            <v>AUTOMOTIVO</v>
          </cell>
          <cell r="C1640" t="str">
            <v>Bandeja</v>
          </cell>
          <cell r="D1640" t="str">
            <v>KIT</v>
          </cell>
          <cell r="E1640" t="str">
            <v>SPARE</v>
          </cell>
          <cell r="F1640" t="str">
            <v>Par Bandeja Golf 1990 Á 1993</v>
          </cell>
        </row>
        <row r="1641">
          <cell r="A1641" t="str">
            <v>PAR442067/68</v>
          </cell>
          <cell r="B1641" t="str">
            <v>AUTOMOTIVO</v>
          </cell>
          <cell r="C1641" t="str">
            <v>Bandeja</v>
          </cell>
          <cell r="D1641" t="str">
            <v>KIT</v>
          </cell>
          <cell r="E1641" t="str">
            <v>SPARE</v>
          </cell>
          <cell r="F1641" t="str">
            <v>Par Bandeja Com Pivô Golf Serie 2 1984 A 1993</v>
          </cell>
        </row>
        <row r="1642">
          <cell r="A1642" t="str">
            <v>PAR442080</v>
          </cell>
          <cell r="B1642" t="str">
            <v>AUTOMOTIVO</v>
          </cell>
          <cell r="C1642" t="str">
            <v>Bandeja</v>
          </cell>
          <cell r="D1642" t="str">
            <v>KIT</v>
          </cell>
          <cell r="E1642" t="str">
            <v>SPARE</v>
          </cell>
          <cell r="F1642" t="str">
            <v>Par Bandeja Inferior Del Rey 1984 A 1997 Sem Pivô</v>
          </cell>
        </row>
        <row r="1643">
          <cell r="A1643" t="str">
            <v>PAR442083</v>
          </cell>
          <cell r="B1643" t="str">
            <v>AUTOMOTIVO</v>
          </cell>
          <cell r="C1643" t="str">
            <v>Bandeja</v>
          </cell>
          <cell r="D1643" t="str">
            <v>KIT</v>
          </cell>
          <cell r="E1643" t="str">
            <v>SPARE</v>
          </cell>
          <cell r="F1643" t="str">
            <v>Par Bandeja Inferior Sem Pivô Logus 1993 A 1996</v>
          </cell>
        </row>
        <row r="1644">
          <cell r="A1644" t="str">
            <v>PAR442084/85</v>
          </cell>
          <cell r="B1644" t="str">
            <v>AUTOMOTIVO</v>
          </cell>
          <cell r="C1644" t="str">
            <v>Bandeja</v>
          </cell>
          <cell r="D1644" t="str">
            <v>KIT</v>
          </cell>
          <cell r="E1644" t="str">
            <v>SPARE</v>
          </cell>
          <cell r="F1644" t="str">
            <v>Par Bandeja Inferior Com Pivô Verona 1993 A 1996</v>
          </cell>
        </row>
        <row r="1645">
          <cell r="A1645" t="str">
            <v>PAR442090-5307</v>
          </cell>
          <cell r="B1645" t="str">
            <v>AUTOMOTIVO</v>
          </cell>
          <cell r="C1645" t="str">
            <v>Bandeja e Bieleta</v>
          </cell>
          <cell r="D1645" t="str">
            <v>KIT</v>
          </cell>
          <cell r="E1645" t="str">
            <v>SPARE / HOLYMAN</v>
          </cell>
          <cell r="F1645" t="str">
            <v>Par Bandeja Sem Pivô Com Bieleta Crossfox 2014 A 2016</v>
          </cell>
        </row>
        <row r="1646">
          <cell r="A1646" t="str">
            <v>par442092-5307</v>
          </cell>
          <cell r="B1646" t="str">
            <v>AUTOMOTIVO</v>
          </cell>
          <cell r="C1646" t="str">
            <v>Bandeja e Bieleta</v>
          </cell>
          <cell r="D1646" t="str">
            <v>KIT</v>
          </cell>
          <cell r="E1646" t="str">
            <v>SPARE / HOLYMAN</v>
          </cell>
          <cell r="F1646" t="str">
            <v>Par Bandeja Com Pivô E Bieleta Fox 2014</v>
          </cell>
        </row>
        <row r="1647">
          <cell r="A1647" t="str">
            <v>PAR442095</v>
          </cell>
          <cell r="B1647" t="str">
            <v>AUTOMOTIVO</v>
          </cell>
          <cell r="C1647" t="str">
            <v>Bandeja</v>
          </cell>
          <cell r="D1647" t="str">
            <v>KIT</v>
          </cell>
          <cell r="E1647" t="str">
            <v>SPARE</v>
          </cell>
          <cell r="F1647" t="str">
            <v>Par Bandeja Inferior Fox Sem Pivô 2004 Á 2013</v>
          </cell>
        </row>
        <row r="1648">
          <cell r="A1648" t="str">
            <v>PAR442104/05</v>
          </cell>
          <cell r="B1648" t="str">
            <v>AUTOMOTIVO</v>
          </cell>
          <cell r="C1648" t="str">
            <v>Bandeja</v>
          </cell>
          <cell r="D1648" t="str">
            <v>KIT</v>
          </cell>
          <cell r="E1648" t="str">
            <v>SPARE</v>
          </cell>
          <cell r="F1648" t="str">
            <v>Par Bandeja Inferior Sem Pivô Passat Cc 2009 2010</v>
          </cell>
        </row>
        <row r="1649">
          <cell r="A1649" t="str">
            <v>PAR442104/5</v>
          </cell>
          <cell r="B1649" t="str">
            <v>AUTOMOTIVO</v>
          </cell>
          <cell r="C1649" t="str">
            <v>Bandeja</v>
          </cell>
          <cell r="D1649" t="str">
            <v>KIT</v>
          </cell>
          <cell r="E1649" t="str">
            <v>SPARE</v>
          </cell>
          <cell r="F1649" t="str">
            <v>Par Bandeja Inferior Com Pivô Tiguan 2010 A 2017</v>
          </cell>
        </row>
        <row r="1650">
          <cell r="A1650" t="str">
            <v>PAR442104/5P</v>
          </cell>
          <cell r="B1650" t="str">
            <v>AUTOMOTIVO</v>
          </cell>
          <cell r="C1650" t="str">
            <v>Bandeja</v>
          </cell>
          <cell r="D1650" t="str">
            <v>KIT</v>
          </cell>
          <cell r="E1650" t="str">
            <v>SPARE</v>
          </cell>
          <cell r="F1650" t="str">
            <v>Par Bandeja Inferior Com Pivô Passat 2012 A 2015</v>
          </cell>
        </row>
        <row r="1651">
          <cell r="A1651" t="str">
            <v>PAR442120/21</v>
          </cell>
          <cell r="B1651" t="str">
            <v>AUTOMOTIVO</v>
          </cell>
          <cell r="C1651" t="str">
            <v>Bandeja</v>
          </cell>
          <cell r="D1651" t="str">
            <v>KIT</v>
          </cell>
          <cell r="E1651" t="str">
            <v>SPARE</v>
          </cell>
          <cell r="F1651" t="str">
            <v>Par Bandeja Superior Amarok 2010 Á 2020</v>
          </cell>
        </row>
        <row r="1652">
          <cell r="A1652" t="str">
            <v>PAR442122/23</v>
          </cell>
          <cell r="B1652" t="str">
            <v>AUTOMOTIVO</v>
          </cell>
          <cell r="C1652" t="str">
            <v>Bandeja</v>
          </cell>
          <cell r="D1652" t="str">
            <v>KIT</v>
          </cell>
          <cell r="E1652" t="str">
            <v>SPARE</v>
          </cell>
          <cell r="F1652" t="str">
            <v>Par Bandeja Inferior Jetta 2.0 2.5 2005 A 2010 Sem Pivô</v>
          </cell>
        </row>
        <row r="1653">
          <cell r="A1653" t="str">
            <v>PAR442122/23P</v>
          </cell>
          <cell r="B1653" t="str">
            <v>AUTOMOTIVO</v>
          </cell>
          <cell r="C1653" t="str">
            <v>Bandeja</v>
          </cell>
          <cell r="D1653" t="str">
            <v>KIT</v>
          </cell>
          <cell r="E1653" t="str">
            <v>SPARE</v>
          </cell>
          <cell r="F1653" t="str">
            <v>Par Bandeja Inferior Jetta 2.0 2.5 2005 A 2010 Com Pivô</v>
          </cell>
        </row>
        <row r="1654">
          <cell r="A1654" t="str">
            <v>PAR442144/45</v>
          </cell>
          <cell r="B1654" t="str">
            <v>AUTOMOTIVO</v>
          </cell>
          <cell r="C1654" t="str">
            <v>Bandeja</v>
          </cell>
          <cell r="D1654" t="str">
            <v>KIT</v>
          </cell>
          <cell r="E1654" t="str">
            <v>SPARE</v>
          </cell>
          <cell r="F1654" t="str">
            <v>Par Bandeja Inferior Sem Pivô Polo 2017 Em Diante</v>
          </cell>
        </row>
        <row r="1655">
          <cell r="A1655" t="str">
            <v>PAR-442146/47</v>
          </cell>
          <cell r="B1655" t="str">
            <v>AUTOMOTIVO</v>
          </cell>
          <cell r="C1655" t="str">
            <v>Bandeja</v>
          </cell>
          <cell r="D1655" t="str">
            <v>KIT</v>
          </cell>
          <cell r="E1655" t="str">
            <v>SPARE</v>
          </cell>
          <cell r="F1655" t="str">
            <v>Par Bandeja Dianteira Corolla 2002 Á 2019 Com Pivô</v>
          </cell>
        </row>
        <row r="1656">
          <cell r="A1656" t="str">
            <v>par-5000</v>
          </cell>
          <cell r="B1656" t="str">
            <v>AUTOMOTIVO</v>
          </cell>
          <cell r="C1656" t="str">
            <v>Bieleta</v>
          </cell>
          <cell r="D1656" t="str">
            <v>KIT</v>
          </cell>
          <cell r="E1656" t="str">
            <v>HOLYMAN</v>
          </cell>
          <cell r="F1656" t="str">
            <v>Par Bieleta Dianteira Focus 2000 A 2008</v>
          </cell>
        </row>
        <row r="1657">
          <cell r="A1657" t="str">
            <v>par-5001</v>
          </cell>
          <cell r="B1657" t="str">
            <v>AUTOMOTIVO</v>
          </cell>
          <cell r="C1657" t="str">
            <v>Bieleta</v>
          </cell>
          <cell r="D1657" t="str">
            <v>KIT</v>
          </cell>
          <cell r="E1657" t="str">
            <v>HOLYMAN</v>
          </cell>
          <cell r="F1657" t="str">
            <v>Par Bieleta Dianteira Courier 1997 A 2013</v>
          </cell>
        </row>
        <row r="1658">
          <cell r="A1658" t="str">
            <v>PAR-5009</v>
          </cell>
          <cell r="B1658" t="str">
            <v>AUTOMOTIVO</v>
          </cell>
          <cell r="C1658" t="str">
            <v>Bieleta</v>
          </cell>
          <cell r="D1658" t="str">
            <v>KIT</v>
          </cell>
          <cell r="E1658" t="str">
            <v>HOLYMAN</v>
          </cell>
          <cell r="F1658" t="str">
            <v>Par Bieleta Fiesta 2003 A 2014</v>
          </cell>
        </row>
        <row r="1659">
          <cell r="A1659" t="str">
            <v>PAR5010</v>
          </cell>
          <cell r="B1659" t="str">
            <v>AUTOMOTIVO</v>
          </cell>
          <cell r="C1659" t="str">
            <v>Bieleta</v>
          </cell>
          <cell r="D1659" t="str">
            <v>KIT</v>
          </cell>
          <cell r="E1659" t="str">
            <v>HOLYMAN</v>
          </cell>
          <cell r="F1659" t="str">
            <v>Par Bieleta Dianteira Apollo 1990 A 1996</v>
          </cell>
        </row>
        <row r="1660">
          <cell r="A1660" t="str">
            <v>PAR-5014</v>
          </cell>
          <cell r="B1660" t="str">
            <v>AUTOMOTIVO</v>
          </cell>
          <cell r="C1660" t="str">
            <v>Bieleta</v>
          </cell>
          <cell r="D1660" t="str">
            <v>KIT</v>
          </cell>
          <cell r="E1660" t="str">
            <v>HOLYMAN</v>
          </cell>
          <cell r="F1660" t="str">
            <v>Par Bieleta Dianteira Ranger 1999 A 2011</v>
          </cell>
        </row>
        <row r="1661">
          <cell r="A1661" t="str">
            <v>PAR-5015</v>
          </cell>
          <cell r="B1661" t="str">
            <v>AUTOMOTIVO</v>
          </cell>
          <cell r="C1661" t="str">
            <v>Bieleta</v>
          </cell>
          <cell r="D1661" t="str">
            <v>KIT</v>
          </cell>
          <cell r="E1661" t="str">
            <v>HOLYMAN</v>
          </cell>
          <cell r="F1661" t="str">
            <v>Par Bieleta Traseira Ecosport 4x4 2004 Em Diante</v>
          </cell>
        </row>
        <row r="1662">
          <cell r="A1662" t="str">
            <v>PAR5018</v>
          </cell>
          <cell r="B1662" t="str">
            <v>AUTOMOTIVO</v>
          </cell>
          <cell r="C1662" t="str">
            <v>Bieleta</v>
          </cell>
          <cell r="D1662" t="str">
            <v>KIT</v>
          </cell>
          <cell r="E1662" t="str">
            <v>HOLYMAN</v>
          </cell>
          <cell r="F1662" t="str">
            <v>Par Bieleta Traseira S10 1995 A 1997</v>
          </cell>
        </row>
        <row r="1663">
          <cell r="A1663" t="str">
            <v>Par-5024</v>
          </cell>
          <cell r="B1663" t="str">
            <v>AUTOMOTIVO</v>
          </cell>
          <cell r="C1663" t="str">
            <v>Bieleta</v>
          </cell>
          <cell r="D1663" t="str">
            <v>KIT</v>
          </cell>
          <cell r="E1663" t="str">
            <v>HOLYMAN</v>
          </cell>
          <cell r="F1663" t="str">
            <v>Par Bieleta Dianteira Fusion 2009 A 2012</v>
          </cell>
        </row>
        <row r="1664">
          <cell r="A1664" t="str">
            <v>PAR-5025</v>
          </cell>
          <cell r="B1664" t="str">
            <v>AUTOMOTIVO</v>
          </cell>
          <cell r="C1664" t="str">
            <v>Bieleta</v>
          </cell>
          <cell r="D1664" t="str">
            <v>KIT</v>
          </cell>
          <cell r="E1664" t="str">
            <v>HOLYMAN</v>
          </cell>
          <cell r="F1664" t="str">
            <v>Par Bieleta Dianteira Ambos Os Lados Transit 2009 A 2015</v>
          </cell>
        </row>
        <row r="1665">
          <cell r="A1665" t="str">
            <v>Par-5033</v>
          </cell>
          <cell r="B1665" t="str">
            <v>AUTOMOTIVO</v>
          </cell>
          <cell r="C1665" t="str">
            <v>Bieleta</v>
          </cell>
          <cell r="D1665" t="str">
            <v>KIT</v>
          </cell>
          <cell r="E1665" t="str">
            <v>HOLYMAN</v>
          </cell>
          <cell r="F1665" t="str">
            <v>Par Bieleta Dianteira Nova Ecosport De 2012 Em Diante</v>
          </cell>
        </row>
        <row r="1666">
          <cell r="A1666" t="str">
            <v>PAR-5034</v>
          </cell>
          <cell r="B1666" t="str">
            <v>AUTOMOTIVO</v>
          </cell>
          <cell r="C1666" t="str">
            <v>Bieleta</v>
          </cell>
          <cell r="D1666" t="str">
            <v>KIT</v>
          </cell>
          <cell r="E1666" t="str">
            <v>HOLYMAN</v>
          </cell>
          <cell r="F1666" t="str">
            <v>Par Eixo Da Bandeja Pampa 1985 Em Diante</v>
          </cell>
        </row>
        <row r="1667">
          <cell r="A1667" t="str">
            <v>PAR-5035</v>
          </cell>
          <cell r="B1667" t="str">
            <v>AUTOMOTIVO</v>
          </cell>
          <cell r="C1667" t="str">
            <v>Bieleta</v>
          </cell>
          <cell r="D1667" t="str">
            <v>KIT</v>
          </cell>
          <cell r="E1667" t="str">
            <v>HOLYMAN</v>
          </cell>
          <cell r="F1667" t="str">
            <v>Par Eixo Da Bandeja Pampa 1985 Em Diante</v>
          </cell>
        </row>
        <row r="1668">
          <cell r="A1668" t="str">
            <v>PAR-5037</v>
          </cell>
          <cell r="B1668" t="str">
            <v>AUTOMOTIVO</v>
          </cell>
          <cell r="C1668" t="str">
            <v>Bieleta</v>
          </cell>
          <cell r="D1668" t="str">
            <v>KIT</v>
          </cell>
          <cell r="E1668" t="str">
            <v>HOLYMAN</v>
          </cell>
          <cell r="F1668" t="str">
            <v>Par Bieleta Dianteira Focus 2008 A 2013 Segunda Geração</v>
          </cell>
        </row>
        <row r="1669">
          <cell r="A1669" t="str">
            <v>PAR-5041</v>
          </cell>
          <cell r="B1669" t="str">
            <v>AUTOMOTIVO</v>
          </cell>
          <cell r="C1669" t="str">
            <v>Bieleta</v>
          </cell>
          <cell r="D1669" t="str">
            <v>KIT</v>
          </cell>
          <cell r="E1669" t="str">
            <v>HOLYMAN</v>
          </cell>
          <cell r="F1669" t="str">
            <v>Par Bieleta Traseira Fusion 2013 A 2020</v>
          </cell>
        </row>
        <row r="1670">
          <cell r="A1670" t="str">
            <v>PAR-5100</v>
          </cell>
          <cell r="B1670" t="str">
            <v>AUTOMOTIVO</v>
          </cell>
          <cell r="C1670" t="str">
            <v>Bieleta</v>
          </cell>
          <cell r="D1670" t="str">
            <v>KIT</v>
          </cell>
          <cell r="E1670" t="str">
            <v>HOLYMAN</v>
          </cell>
          <cell r="F1670" t="str">
            <v>Par Bieleta Dianteira Marea Weekend 1999 A 2008</v>
          </cell>
        </row>
        <row r="1671">
          <cell r="A1671" t="str">
            <v>PAR-5101</v>
          </cell>
          <cell r="B1671" t="str">
            <v>AUTOMOTIVO</v>
          </cell>
          <cell r="C1671" t="str">
            <v>Bieleta</v>
          </cell>
          <cell r="D1671" t="str">
            <v>KIT</v>
          </cell>
          <cell r="E1671" t="str">
            <v>HOLYMAN</v>
          </cell>
          <cell r="F1671" t="str">
            <v>Par Bieleta Dianteira Tipo 1994 A 1997</v>
          </cell>
        </row>
        <row r="1672">
          <cell r="A1672" t="str">
            <v>Par-5102</v>
          </cell>
          <cell r="B1672" t="str">
            <v>AUTOMOTIVO</v>
          </cell>
          <cell r="C1672" t="str">
            <v>Bieleta</v>
          </cell>
          <cell r="D1672" t="str">
            <v>KIT</v>
          </cell>
          <cell r="E1672" t="str">
            <v>HOLYMAN</v>
          </cell>
          <cell r="F1672" t="str">
            <v>Par Bieleta Dianteira Ambos Os Lados Fusion 2006 A 2009</v>
          </cell>
        </row>
        <row r="1673">
          <cell r="A1673" t="str">
            <v>PAR-5103</v>
          </cell>
          <cell r="B1673" t="str">
            <v>AUTOMOTIVO</v>
          </cell>
          <cell r="C1673" t="str">
            <v>Bieleta</v>
          </cell>
          <cell r="D1673" t="str">
            <v>KIT</v>
          </cell>
          <cell r="E1673" t="str">
            <v>HOLYMAN</v>
          </cell>
          <cell r="F1673" t="str">
            <v>Par Bieleta Dianteira Ducato 1998 À 2017</v>
          </cell>
        </row>
        <row r="1674">
          <cell r="A1674" t="str">
            <v>Par-5110</v>
          </cell>
          <cell r="B1674" t="str">
            <v>AUTOMOTIVO</v>
          </cell>
          <cell r="C1674" t="str">
            <v>Bieleta</v>
          </cell>
          <cell r="D1674" t="str">
            <v>KIT</v>
          </cell>
          <cell r="E1674" t="str">
            <v>HOLYMAN</v>
          </cell>
          <cell r="F1674" t="str">
            <v>Par Bieleta Dianteira Fiat Stilo 2003 Em Diante</v>
          </cell>
        </row>
        <row r="1675">
          <cell r="A1675" t="str">
            <v>Par-5113</v>
          </cell>
          <cell r="B1675" t="str">
            <v>AUTOMOTIVO</v>
          </cell>
          <cell r="C1675" t="str">
            <v>Bieleta</v>
          </cell>
          <cell r="D1675" t="str">
            <v>KIT</v>
          </cell>
          <cell r="E1675" t="str">
            <v>HOLYMAN</v>
          </cell>
          <cell r="F1675" t="str">
            <v xml:space="preserve">Par De Bieleta Dianteira Grand Siena 2014 Em Diante </v>
          </cell>
        </row>
        <row r="1676">
          <cell r="A1676" t="str">
            <v>PAR-5125</v>
          </cell>
          <cell r="B1676" t="str">
            <v>AUTOMOTIVO</v>
          </cell>
          <cell r="C1676" t="str">
            <v>Bieleta</v>
          </cell>
          <cell r="D1676" t="str">
            <v>KIT</v>
          </cell>
          <cell r="E1676" t="str">
            <v>HOLYMAN</v>
          </cell>
          <cell r="F1676" t="str">
            <v>Par Bieleta Dianteira Compass 4x2 4x4 2016 Em Diante</v>
          </cell>
        </row>
        <row r="1677">
          <cell r="A1677" t="str">
            <v>par-5127</v>
          </cell>
          <cell r="B1677" t="str">
            <v>AUTOMOTIVO</v>
          </cell>
          <cell r="C1677" t="str">
            <v>Bieleta</v>
          </cell>
          <cell r="D1677" t="str">
            <v>KIT</v>
          </cell>
          <cell r="E1677" t="str">
            <v>HOLYMAN</v>
          </cell>
          <cell r="F1677" t="str">
            <v>Par Bieleta Dianteira Cronos 2018 Em Diante</v>
          </cell>
        </row>
        <row r="1678">
          <cell r="A1678" t="str">
            <v>PAR-5200</v>
          </cell>
          <cell r="B1678" t="str">
            <v>AUTOMOTIVO</v>
          </cell>
          <cell r="C1678" t="str">
            <v>Bieleta</v>
          </cell>
          <cell r="D1678" t="str">
            <v>KIT</v>
          </cell>
          <cell r="E1678" t="str">
            <v>HOLYMAN</v>
          </cell>
          <cell r="F1678" t="str">
            <v>Par Bieleta Dianteira Omega 1993 A 1998</v>
          </cell>
        </row>
        <row r="1679">
          <cell r="A1679" t="str">
            <v>par-5201</v>
          </cell>
          <cell r="B1679" t="str">
            <v>AUTOMOTIVO</v>
          </cell>
          <cell r="C1679" t="str">
            <v>Bieleta</v>
          </cell>
          <cell r="D1679" t="str">
            <v>KIT</v>
          </cell>
          <cell r="E1679" t="str">
            <v>HOLYMAN</v>
          </cell>
          <cell r="F1679" t="str">
            <v>Par Bieleta Dianteira Montana 2004 A 2010</v>
          </cell>
        </row>
        <row r="1680">
          <cell r="A1680" t="str">
            <v>par-5203</v>
          </cell>
          <cell r="B1680" t="str">
            <v>AUTOMOTIVO</v>
          </cell>
          <cell r="C1680" t="str">
            <v>Bieleta</v>
          </cell>
          <cell r="D1680" t="str">
            <v>KIT</v>
          </cell>
          <cell r="E1680" t="str">
            <v>HOLYMAN</v>
          </cell>
          <cell r="F1680" t="str">
            <v>Par Bieleta Dianteira Onix 2012 Em Diante</v>
          </cell>
        </row>
        <row r="1681">
          <cell r="A1681" t="str">
            <v>PAR-5205</v>
          </cell>
          <cell r="B1681" t="str">
            <v>AUTOMOTIVO</v>
          </cell>
          <cell r="C1681" t="str">
            <v>Bieleta</v>
          </cell>
          <cell r="D1681" t="str">
            <v>KIT</v>
          </cell>
          <cell r="E1681" t="str">
            <v>HOLYMAN</v>
          </cell>
          <cell r="F1681" t="str">
            <v>Par Bieleta Dianteira Opala 1969 A 1988</v>
          </cell>
        </row>
        <row r="1682">
          <cell r="A1682" t="str">
            <v>PAR-5208</v>
          </cell>
          <cell r="B1682" t="str">
            <v>AUTOMOTIVO</v>
          </cell>
          <cell r="C1682" t="str">
            <v>Bieleta</v>
          </cell>
          <cell r="D1682" t="str">
            <v>KIT</v>
          </cell>
          <cell r="E1682" t="str">
            <v>HOLYMAN</v>
          </cell>
          <cell r="F1682" t="str">
            <v>Par Bieleta Dianteira Monza 1991 A 1997</v>
          </cell>
        </row>
        <row r="1683">
          <cell r="A1683" t="str">
            <v>PAR5211</v>
          </cell>
          <cell r="B1683" t="str">
            <v>AUTOMOTIVO</v>
          </cell>
          <cell r="C1683" t="str">
            <v>Bieleta</v>
          </cell>
          <cell r="D1683" t="str">
            <v>KIT</v>
          </cell>
          <cell r="E1683" t="str">
            <v>HOLYMAN</v>
          </cell>
          <cell r="F1683" t="str">
            <v>Par Bieleta Dianteira Ambos Lados S10 1997 A 2011</v>
          </cell>
        </row>
        <row r="1684">
          <cell r="A1684" t="str">
            <v>PAR5216</v>
          </cell>
          <cell r="B1684" t="str">
            <v>AUTOMOTIVO</v>
          </cell>
          <cell r="C1684" t="str">
            <v>Bieleta</v>
          </cell>
          <cell r="D1684" t="str">
            <v>KIT</v>
          </cell>
          <cell r="E1684" t="str">
            <v>HOLYMAN</v>
          </cell>
          <cell r="F1684" t="str">
            <v>Par Bieleta Dianteira Blazer 1995 A 2011</v>
          </cell>
        </row>
        <row r="1685">
          <cell r="A1685" t="str">
            <v>Par-5229</v>
          </cell>
          <cell r="B1685" t="str">
            <v>AUTOMOTIVO</v>
          </cell>
          <cell r="C1685" t="str">
            <v>Bieleta</v>
          </cell>
          <cell r="D1685" t="str">
            <v>KIT</v>
          </cell>
          <cell r="E1685" t="str">
            <v>HOLYMAN</v>
          </cell>
          <cell r="F1685" t="str">
            <v>Par Bieleta Dianteira Cruze Malibe 2010 Em Diante</v>
          </cell>
        </row>
        <row r="1686">
          <cell r="A1686" t="str">
            <v>PAR-5233</v>
          </cell>
          <cell r="B1686" t="str">
            <v>AUTOMOTIVO</v>
          </cell>
          <cell r="C1686" t="str">
            <v>Bieleta</v>
          </cell>
          <cell r="D1686" t="str">
            <v>KIT</v>
          </cell>
          <cell r="E1686" t="str">
            <v>HOLYMAN</v>
          </cell>
          <cell r="F1686" t="str">
            <v>Par Bieleta Dianteira Sonic 2012 Em Diante</v>
          </cell>
        </row>
        <row r="1687">
          <cell r="A1687" t="str">
            <v>PAR-5236</v>
          </cell>
          <cell r="B1687" t="str">
            <v>AUTOMOTIVO</v>
          </cell>
          <cell r="C1687" t="str">
            <v>Bieleta</v>
          </cell>
          <cell r="D1687" t="str">
            <v>KIT</v>
          </cell>
          <cell r="E1687" t="str">
            <v>HOLYMAN</v>
          </cell>
          <cell r="F1687" t="str">
            <v>Par Bieleta Traseira Barra Estabilizadora Blazer 1996 A 2011</v>
          </cell>
        </row>
        <row r="1688">
          <cell r="A1688" t="str">
            <v>PAR-5302</v>
          </cell>
          <cell r="B1688" t="str">
            <v>AUTOMOTIVO</v>
          </cell>
          <cell r="C1688" t="str">
            <v>Bieleta</v>
          </cell>
          <cell r="D1688" t="str">
            <v>KIT</v>
          </cell>
          <cell r="E1688" t="str">
            <v>HOLYMAN</v>
          </cell>
          <cell r="F1688" t="str">
            <v>Par Bieleta Dianteira Ambos Lados Santana 1985 A 2006</v>
          </cell>
        </row>
        <row r="1689">
          <cell r="A1689" t="str">
            <v>Par-5307</v>
          </cell>
          <cell r="B1689" t="str">
            <v>AUTOMOTIVO</v>
          </cell>
          <cell r="C1689" t="str">
            <v>Bieleta</v>
          </cell>
          <cell r="D1689" t="str">
            <v>KIT</v>
          </cell>
          <cell r="E1689" t="str">
            <v>HOLYMAN</v>
          </cell>
          <cell r="F1689" t="str">
            <v>Par Bieleta Dianteira Vw Spacefox E Spacecross Todas Versões</v>
          </cell>
        </row>
        <row r="1690">
          <cell r="A1690" t="str">
            <v>PAR-5310</v>
          </cell>
          <cell r="B1690" t="str">
            <v>AUTOMOTIVO</v>
          </cell>
          <cell r="C1690" t="str">
            <v>Bieleta</v>
          </cell>
          <cell r="D1690" t="str">
            <v>KIT</v>
          </cell>
          <cell r="E1690" t="str">
            <v>HOLYMAN</v>
          </cell>
          <cell r="F1690" t="str">
            <v>Par Bieleta Dianteira Golf 1998 A 2012</v>
          </cell>
        </row>
        <row r="1691">
          <cell r="A1691" t="str">
            <v>PAR-5312</v>
          </cell>
          <cell r="B1691" t="str">
            <v>AUTOMOTIVO</v>
          </cell>
          <cell r="C1691" t="str">
            <v>Bieleta</v>
          </cell>
          <cell r="D1691" t="str">
            <v>KIT</v>
          </cell>
          <cell r="E1691" t="str">
            <v>HOLYMAN</v>
          </cell>
          <cell r="F1691" t="str">
            <v>Par Bieleta Traseira Tiguan 2012 A 2017</v>
          </cell>
        </row>
        <row r="1692">
          <cell r="A1692" t="str">
            <v>PAR-5313</v>
          </cell>
          <cell r="B1692" t="str">
            <v>AUTOMOTIVO</v>
          </cell>
          <cell r="C1692" t="str">
            <v>Bieleta</v>
          </cell>
          <cell r="D1692" t="str">
            <v>KIT</v>
          </cell>
          <cell r="E1692" t="str">
            <v>HOLYMAN</v>
          </cell>
          <cell r="F1692" t="str">
            <v>Par Bieleta Dianteira Audi A3 2003 A 2020</v>
          </cell>
        </row>
        <row r="1693">
          <cell r="A1693" t="str">
            <v>PAR-5408/09</v>
          </cell>
          <cell r="B1693" t="str">
            <v>AUTOMOTIVO</v>
          </cell>
          <cell r="C1693" t="str">
            <v>Bieleta</v>
          </cell>
          <cell r="D1693" t="str">
            <v>KIT</v>
          </cell>
          <cell r="E1693" t="str">
            <v>HOLYMAN</v>
          </cell>
          <cell r="F1693" t="str">
            <v>Par Bieleta Dianteira Accord 1998 A 2002</v>
          </cell>
        </row>
        <row r="1694">
          <cell r="A1694" t="str">
            <v>PAR-5416</v>
          </cell>
          <cell r="B1694" t="str">
            <v>AUTOMOTIVO</v>
          </cell>
          <cell r="C1694" t="str">
            <v>Bieleta</v>
          </cell>
          <cell r="D1694" t="str">
            <v>KIT</v>
          </cell>
          <cell r="E1694" t="str">
            <v>HOLYMAN</v>
          </cell>
          <cell r="F1694" t="str">
            <v>Par Bieleta Dianteira Civic 2012 A 2016</v>
          </cell>
        </row>
        <row r="1695">
          <cell r="A1695" t="str">
            <v>PAR-5417</v>
          </cell>
          <cell r="B1695" t="str">
            <v>AUTOMOTIVO</v>
          </cell>
          <cell r="C1695" t="str">
            <v>Bieleta</v>
          </cell>
          <cell r="D1695" t="str">
            <v>KIT</v>
          </cell>
          <cell r="E1695" t="str">
            <v>HOLYMAN</v>
          </cell>
          <cell r="F1695" t="str">
            <v>Par Bieleta Dianteira Ambos Os Lados  Cr-v 2006 A 2011</v>
          </cell>
        </row>
        <row r="1696">
          <cell r="A1696" t="str">
            <v>PAR-5425/26</v>
          </cell>
          <cell r="B1696" t="str">
            <v>AUTOMOTIVO</v>
          </cell>
          <cell r="C1696" t="str">
            <v>Bieleta</v>
          </cell>
          <cell r="D1696" t="str">
            <v>KIT</v>
          </cell>
          <cell r="E1696" t="str">
            <v>HOLYMAN</v>
          </cell>
          <cell r="F1696" t="str">
            <v>Par Bieleta Dianteira Hrv 2016 A 2021</v>
          </cell>
        </row>
        <row r="1697">
          <cell r="A1697" t="str">
            <v>PAR-5427/28</v>
          </cell>
          <cell r="B1697" t="str">
            <v>AUTOMOTIVO</v>
          </cell>
          <cell r="C1697" t="str">
            <v>Bieleta</v>
          </cell>
          <cell r="D1697" t="str">
            <v>KIT</v>
          </cell>
          <cell r="E1697" t="str">
            <v>HOLYMAN</v>
          </cell>
          <cell r="F1697" t="str">
            <v>Par Bieleta Dianteira Wr-v 2017 Em Diante</v>
          </cell>
        </row>
        <row r="1698">
          <cell r="A1698" t="str">
            <v>PAR-5433</v>
          </cell>
          <cell r="B1698" t="str">
            <v>AUTOMOTIVO</v>
          </cell>
          <cell r="C1698" t="str">
            <v>Bieleta</v>
          </cell>
          <cell r="D1698" t="str">
            <v>KIT</v>
          </cell>
          <cell r="E1698" t="str">
            <v>HOLYMAN</v>
          </cell>
          <cell r="F1698" t="str">
            <v>Par Bieleta Dianteira Civic G10 2017 Em Diante</v>
          </cell>
        </row>
        <row r="1699">
          <cell r="A1699" t="str">
            <v>PAR5501</v>
          </cell>
          <cell r="B1699" t="str">
            <v>AUTOMOTIVO</v>
          </cell>
          <cell r="C1699" t="str">
            <v>Bieleta</v>
          </cell>
          <cell r="D1699" t="str">
            <v>KIT</v>
          </cell>
          <cell r="E1699" t="str">
            <v>HOLYMAN</v>
          </cell>
          <cell r="F1699" t="str">
            <v>Par Bieleta Dianteira Corolla Fielder 2004 A 2008</v>
          </cell>
        </row>
        <row r="1700">
          <cell r="A1700" t="str">
            <v>PAR-5502</v>
          </cell>
          <cell r="B1700" t="str">
            <v>AUTOMOTIVO</v>
          </cell>
          <cell r="C1700" t="str">
            <v>Bieleta</v>
          </cell>
          <cell r="D1700" t="str">
            <v>KIT</v>
          </cell>
          <cell r="E1700" t="str">
            <v>HOLYMAN</v>
          </cell>
          <cell r="F1700" t="str">
            <v>Par Bieleta Dianteira Hilux Sw4 4x4 1996 A 2004</v>
          </cell>
        </row>
        <row r="1701">
          <cell r="A1701" t="str">
            <v>PAR-55120</v>
          </cell>
          <cell r="B1701" t="str">
            <v>AUTOMOTIVO</v>
          </cell>
          <cell r="C1701" t="str">
            <v>Cabo de Freio</v>
          </cell>
          <cell r="D1701" t="str">
            <v>KIT</v>
          </cell>
          <cell r="E1701" t="str">
            <v>MundiFlex</v>
          </cell>
          <cell r="F1701" t="str">
            <v>Par Cabo De Freio Fusca 1.200 Todos Até 1981</v>
          </cell>
        </row>
        <row r="1702">
          <cell r="A1702" t="str">
            <v>par-55123</v>
          </cell>
          <cell r="B1702" t="str">
            <v>AUTOMOTIVO</v>
          </cell>
          <cell r="C1702" t="str">
            <v>Pino de Freio</v>
          </cell>
          <cell r="D1702" t="str">
            <v>KIT</v>
          </cell>
          <cell r="E1702" t="str">
            <v>MultiKit</v>
          </cell>
          <cell r="F1702" t="str">
            <v>Par Cabo De Freio Brasília 1300 1500 1600</v>
          </cell>
        </row>
        <row r="1703">
          <cell r="A1703" t="str">
            <v>PAR5520</v>
          </cell>
          <cell r="B1703" t="str">
            <v>AUTOMOTIVO</v>
          </cell>
          <cell r="C1703" t="str">
            <v>Bieleta</v>
          </cell>
          <cell r="D1703" t="str">
            <v>KIT</v>
          </cell>
          <cell r="E1703" t="str">
            <v>HOLYMAN</v>
          </cell>
          <cell r="F1703" t="str">
            <v>Par Bieleta Dianteira Yaris 2018 Em Diante</v>
          </cell>
        </row>
        <row r="1704">
          <cell r="A1704" t="str">
            <v>par552002-5701</v>
          </cell>
          <cell r="B1704" t="str">
            <v>AUTOMOTIVO</v>
          </cell>
          <cell r="C1704" t="str">
            <v>Bandeja e Bieleta</v>
          </cell>
          <cell r="D1704" t="str">
            <v>KIT</v>
          </cell>
          <cell r="E1704" t="str">
            <v>SPARE / HOLYMAN</v>
          </cell>
          <cell r="F1704" t="str">
            <v>Par Bandeja E Bieleta Peugeot 206 Todos 1999 A 2010</v>
          </cell>
        </row>
        <row r="1705">
          <cell r="A1705" t="str">
            <v>par552010/11</v>
          </cell>
          <cell r="B1705" t="str">
            <v>AUTOMOTIVO</v>
          </cell>
          <cell r="C1705" t="str">
            <v>Bandeja</v>
          </cell>
          <cell r="D1705" t="str">
            <v>KIT</v>
          </cell>
          <cell r="E1705" t="str">
            <v>SPARE</v>
          </cell>
          <cell r="F1705" t="str">
            <v>Par Bandeja Sem Pivô Citroen C3 2013 Em Diante</v>
          </cell>
        </row>
        <row r="1706">
          <cell r="A1706" t="str">
            <v>PAR552030/31</v>
          </cell>
          <cell r="B1706" t="str">
            <v>AUTOMOTIVO</v>
          </cell>
          <cell r="C1706" t="str">
            <v>Bandeja</v>
          </cell>
          <cell r="D1706" t="str">
            <v>KIT</v>
          </cell>
          <cell r="E1706" t="str">
            <v>SPARE</v>
          </cell>
          <cell r="F1706" t="str">
            <v>Par Bandeja Inferior Xsara Picasso 2001 A 2011 Com Pivô</v>
          </cell>
        </row>
        <row r="1707">
          <cell r="A1707" t="str">
            <v>PAR-552032/33</v>
          </cell>
          <cell r="B1707" t="str">
            <v>AUTOMOTIVO</v>
          </cell>
          <cell r="C1707" t="str">
            <v>Bandeja</v>
          </cell>
          <cell r="D1707" t="str">
            <v>KIT</v>
          </cell>
          <cell r="E1707" t="str">
            <v>SPARE</v>
          </cell>
          <cell r="F1707" t="str">
            <v>Par Bandeja Inferior Com Pivô Peugeot 208 2013 A 2022</v>
          </cell>
        </row>
        <row r="1708">
          <cell r="A1708" t="str">
            <v>PAR-552034/35</v>
          </cell>
          <cell r="B1708" t="str">
            <v>AUTOMOTIVO</v>
          </cell>
          <cell r="C1708" t="str">
            <v>Bandeja</v>
          </cell>
          <cell r="D1708" t="str">
            <v>KIT</v>
          </cell>
          <cell r="E1708" t="str">
            <v>SPARE</v>
          </cell>
          <cell r="F1708" t="str">
            <v>Par Bandeja Dianteira Citroen C5 2001 A 2007 2.0 3.0</v>
          </cell>
        </row>
        <row r="1709">
          <cell r="A1709" t="str">
            <v>PAR-55311</v>
          </cell>
          <cell r="B1709" t="str">
            <v>AUTOMOTIVO</v>
          </cell>
          <cell r="C1709" t="str">
            <v>Cabo limitador tampa traseira</v>
          </cell>
          <cell r="D1709" t="str">
            <v>KIT</v>
          </cell>
          <cell r="E1709" t="str">
            <v>MundiFlex</v>
          </cell>
          <cell r="F1709" t="str">
            <v>Par Cabo Limitador Da Tampa Traseira Saveiro G2</v>
          </cell>
        </row>
        <row r="1710">
          <cell r="A1710" t="str">
            <v>PAR-55351</v>
          </cell>
          <cell r="B1710" t="str">
            <v>AUTOMOTIVO</v>
          </cell>
          <cell r="C1710" t="str">
            <v>Cabo limitador tampa traseira</v>
          </cell>
          <cell r="D1710" t="str">
            <v>KIT</v>
          </cell>
          <cell r="E1710" t="str">
            <v>MundiFlex</v>
          </cell>
          <cell r="F1710" t="str">
            <v>Par Cabo Limitador Tampa Traseira Saveiro G5 2009 Em Diante</v>
          </cell>
        </row>
        <row r="1711">
          <cell r="A1711" t="str">
            <v>PAR-559130/40</v>
          </cell>
          <cell r="B1711" t="str">
            <v>AUTOMOTIVO</v>
          </cell>
          <cell r="C1711" t="str">
            <v>Bieleta</v>
          </cell>
          <cell r="D1711" t="str">
            <v>KIT</v>
          </cell>
          <cell r="E1711" t="str">
            <v>HOLYMAN</v>
          </cell>
          <cell r="F1711" t="str">
            <v>Par Bieleta Dianteira Reforçada L200 Triton 2007 A 2013</v>
          </cell>
        </row>
        <row r="1712">
          <cell r="A1712" t="str">
            <v>Par-5607</v>
          </cell>
          <cell r="B1712" t="str">
            <v>AUTOMOTIVO</v>
          </cell>
          <cell r="C1712" t="str">
            <v>Bieleta</v>
          </cell>
          <cell r="D1712" t="str">
            <v>KIT</v>
          </cell>
          <cell r="E1712" t="str">
            <v>HOLYMAN</v>
          </cell>
          <cell r="F1712" t="str">
            <v>Par Bieleta Dianteira Tucson Sportage</v>
          </cell>
        </row>
        <row r="1713">
          <cell r="A1713" t="str">
            <v>PAR-5608</v>
          </cell>
          <cell r="B1713" t="str">
            <v>AUTOMOTIVO</v>
          </cell>
          <cell r="C1713" t="str">
            <v>Bieleta</v>
          </cell>
          <cell r="D1713" t="str">
            <v>KIT</v>
          </cell>
          <cell r="E1713" t="str">
            <v>HOLYMAN</v>
          </cell>
          <cell r="F1713" t="str">
            <v>Par Bieleta Traseira  Tucson Sportage</v>
          </cell>
        </row>
        <row r="1714">
          <cell r="A1714" t="str">
            <v>PAR5613</v>
          </cell>
          <cell r="B1714" t="str">
            <v>AUTOMOTIVO</v>
          </cell>
          <cell r="C1714" t="str">
            <v>Bieleta</v>
          </cell>
          <cell r="D1714" t="str">
            <v>KIT</v>
          </cell>
          <cell r="E1714" t="str">
            <v>HOLYMAN</v>
          </cell>
          <cell r="F1714" t="str">
            <v>Par Bieleta Dianteira Tucson 2005 A 2017</v>
          </cell>
        </row>
        <row r="1715">
          <cell r="A1715" t="str">
            <v>PAR5614</v>
          </cell>
          <cell r="B1715" t="str">
            <v>AUTOMOTIVO</v>
          </cell>
          <cell r="C1715" t="str">
            <v>Bieleta</v>
          </cell>
          <cell r="D1715" t="str">
            <v>KIT</v>
          </cell>
          <cell r="E1715" t="str">
            <v>HOLYMAN</v>
          </cell>
          <cell r="F1715" t="str">
            <v>Par Bieleta Dianteira Azera 2007 A 2011 Motor 3.3</v>
          </cell>
        </row>
        <row r="1716">
          <cell r="A1716" t="str">
            <v>PAR5615</v>
          </cell>
          <cell r="B1716" t="str">
            <v>AUTOMOTIVO</v>
          </cell>
          <cell r="C1716" t="str">
            <v>Bieleta</v>
          </cell>
          <cell r="D1716" t="str">
            <v>KIT</v>
          </cell>
          <cell r="E1716" t="str">
            <v>HOLYMAN</v>
          </cell>
          <cell r="F1716" t="str">
            <v>Par Bieleta Traseira Sonata 2011 A 2014</v>
          </cell>
        </row>
        <row r="1717">
          <cell r="A1717" t="str">
            <v>PAR5616</v>
          </cell>
          <cell r="B1717" t="str">
            <v>AUTOMOTIVO</v>
          </cell>
          <cell r="C1717" t="str">
            <v>Bieleta</v>
          </cell>
          <cell r="D1717" t="str">
            <v>KIT</v>
          </cell>
          <cell r="E1717" t="str">
            <v>HOLYMAN</v>
          </cell>
          <cell r="F1717" t="str">
            <v>Par Bieleta Dianteira Sportage 2011 A 2015</v>
          </cell>
        </row>
        <row r="1718">
          <cell r="A1718" t="str">
            <v>PAR5619</v>
          </cell>
          <cell r="B1718" t="str">
            <v>AUTOMOTIVO</v>
          </cell>
          <cell r="C1718" t="str">
            <v>Bieleta</v>
          </cell>
          <cell r="D1718" t="str">
            <v>KIT</v>
          </cell>
          <cell r="E1718" t="str">
            <v>HOLYMAN</v>
          </cell>
          <cell r="F1718" t="str">
            <v>Par Bieleta Dianteira I30 2006 A 2010</v>
          </cell>
        </row>
        <row r="1719">
          <cell r="A1719" t="str">
            <v>PAR5623</v>
          </cell>
          <cell r="B1719" t="str">
            <v>AUTOMOTIVO</v>
          </cell>
          <cell r="C1719" t="str">
            <v>Bieleta</v>
          </cell>
          <cell r="D1719" t="str">
            <v>KIT</v>
          </cell>
          <cell r="E1719" t="str">
            <v>HOLYMAN</v>
          </cell>
          <cell r="F1719" t="str">
            <v>Par Bieleta Traseira Sonata 2004 A 2009</v>
          </cell>
        </row>
        <row r="1720">
          <cell r="A1720" t="str">
            <v>PAR-5625</v>
          </cell>
          <cell r="B1720" t="str">
            <v>AUTOMOTIVO</v>
          </cell>
          <cell r="C1720" t="str">
            <v>Bieleta</v>
          </cell>
          <cell r="D1720" t="str">
            <v>KIT</v>
          </cell>
          <cell r="E1720" t="str">
            <v>HOLYMAN</v>
          </cell>
          <cell r="F1720" t="str">
            <v>Par Braço Da Suspensão Traseira Sonata 2011 A 2015</v>
          </cell>
        </row>
        <row r="1721">
          <cell r="A1721" t="str">
            <v>PAR-5701</v>
          </cell>
          <cell r="B1721" t="str">
            <v>AUTOMOTIVO</v>
          </cell>
          <cell r="C1721" t="str">
            <v>Bieleta</v>
          </cell>
          <cell r="D1721" t="str">
            <v>KIT</v>
          </cell>
          <cell r="E1721" t="str">
            <v>HOLYMAN</v>
          </cell>
          <cell r="F1721" t="str">
            <v>Par Bieleta Dianteira Peugeot 2008 2016 A 2019</v>
          </cell>
        </row>
        <row r="1722">
          <cell r="A1722" t="str">
            <v>Par-5705</v>
          </cell>
          <cell r="B1722" t="str">
            <v>AUTOMOTIVO</v>
          </cell>
          <cell r="C1722" t="str">
            <v>Bieleta</v>
          </cell>
          <cell r="D1722" t="str">
            <v>KIT</v>
          </cell>
          <cell r="E1722" t="str">
            <v>HOLYMAN</v>
          </cell>
          <cell r="F1722" t="str">
            <v>Par Bieleta Dianteira C4 Picasso 2009 A 2019</v>
          </cell>
        </row>
        <row r="1723">
          <cell r="A1723" t="str">
            <v>Par-5711</v>
          </cell>
          <cell r="B1723" t="str">
            <v>AUTOMOTIVO</v>
          </cell>
          <cell r="C1723" t="str">
            <v>Bieleta</v>
          </cell>
          <cell r="D1723" t="str">
            <v>KIT</v>
          </cell>
          <cell r="E1723" t="str">
            <v>HOLYMAN</v>
          </cell>
          <cell r="F1723" t="str">
            <v>Par Bieleta Dianteira C3 Picasso 2012 Em Diante</v>
          </cell>
        </row>
        <row r="1724">
          <cell r="A1724" t="str">
            <v>PAR-5716</v>
          </cell>
          <cell r="B1724" t="str">
            <v>AUTOMOTIVO</v>
          </cell>
          <cell r="C1724" t="str">
            <v>Bieleta</v>
          </cell>
          <cell r="D1724" t="str">
            <v>KIT</v>
          </cell>
          <cell r="E1724" t="str">
            <v>HOLYMAN</v>
          </cell>
          <cell r="F1724" t="str">
            <v>Par Bieleta Dianteira 206 1.0 16v Todos Ld Le</v>
          </cell>
        </row>
        <row r="1725">
          <cell r="A1725" t="str">
            <v>Par-5717</v>
          </cell>
          <cell r="B1725" t="str">
            <v>AUTOMOTIVO</v>
          </cell>
          <cell r="C1725" t="str">
            <v>Bieleta</v>
          </cell>
          <cell r="D1725" t="str">
            <v>KIT</v>
          </cell>
          <cell r="E1725" t="str">
            <v>HOLYMAN</v>
          </cell>
          <cell r="F1725" t="str">
            <v>Par Bieleta Barra Peugeot 307 308 408 3008 C4 - C4  Picasso</v>
          </cell>
        </row>
        <row r="1726">
          <cell r="A1726" t="str">
            <v>PAR-5921</v>
          </cell>
          <cell r="B1726" t="str">
            <v>AUTOMOTIVO</v>
          </cell>
          <cell r="C1726" t="str">
            <v>Bieleta</v>
          </cell>
          <cell r="D1726" t="str">
            <v>KIT</v>
          </cell>
          <cell r="E1726" t="str">
            <v>HOLYMAN</v>
          </cell>
          <cell r="F1726" t="str">
            <v>Par Bieleta Traseira Airtrek 2003 Á 2008</v>
          </cell>
        </row>
        <row r="1727">
          <cell r="A1727" t="str">
            <v>PAR-5924/25</v>
          </cell>
          <cell r="B1727" t="str">
            <v>AUTOMOTIVO</v>
          </cell>
          <cell r="C1727" t="str">
            <v>Bieleta</v>
          </cell>
          <cell r="D1727" t="str">
            <v>KIT</v>
          </cell>
          <cell r="E1727" t="str">
            <v>HOLYMAN</v>
          </cell>
          <cell r="F1727" t="str">
            <v>Par Bieleta Dianteira L200 Triton Sport 2016 A 2019</v>
          </cell>
        </row>
        <row r="1728">
          <cell r="A1728" t="str">
            <v>PAR6001</v>
          </cell>
          <cell r="B1728" t="str">
            <v>AUTOMOTIVO</v>
          </cell>
          <cell r="C1728" t="str">
            <v>Bieleta</v>
          </cell>
          <cell r="D1728" t="str">
            <v>KIT</v>
          </cell>
          <cell r="E1728" t="str">
            <v>HOLYMAN</v>
          </cell>
          <cell r="F1728" t="str">
            <v>Par Bieleta Dianteira Logan 2006 Em Diante</v>
          </cell>
        </row>
        <row r="1729">
          <cell r="A1729" t="str">
            <v>PAR-6005</v>
          </cell>
          <cell r="B1729" t="str">
            <v>AUTOMOTIVO</v>
          </cell>
          <cell r="C1729" t="str">
            <v>Bieleta</v>
          </cell>
          <cell r="D1729" t="str">
            <v>KIT</v>
          </cell>
          <cell r="E1729" t="str">
            <v>HOLYMAN</v>
          </cell>
          <cell r="F1729" t="str">
            <v>Par Bieleta Dianteira Arrizo 6 2020 Em Diante</v>
          </cell>
        </row>
        <row r="1730">
          <cell r="A1730" t="str">
            <v>PAR-6009</v>
          </cell>
          <cell r="B1730" t="str">
            <v>AUTOMOTIVO</v>
          </cell>
          <cell r="C1730" t="str">
            <v>Bieleta</v>
          </cell>
          <cell r="D1730" t="str">
            <v>KIT</v>
          </cell>
          <cell r="E1730" t="str">
            <v>HOLYMAN</v>
          </cell>
          <cell r="F1730" t="str">
            <v>Par Bieleta Dianteira Eclipse Cross 2018 Em Diante</v>
          </cell>
        </row>
        <row r="1731">
          <cell r="A1731" t="str">
            <v>PAR-6012</v>
          </cell>
          <cell r="B1731" t="str">
            <v>AUTOMOTIVO</v>
          </cell>
          <cell r="C1731" t="str">
            <v>Bieleta</v>
          </cell>
          <cell r="D1731" t="str">
            <v>KIT</v>
          </cell>
          <cell r="E1731" t="str">
            <v>HOLYMAN</v>
          </cell>
          <cell r="F1731" t="str">
            <v>Par Bieleta Dianteira Captur 2017 Em Diante</v>
          </cell>
        </row>
        <row r="1732">
          <cell r="A1732" t="str">
            <v>PAR-6202/03</v>
          </cell>
          <cell r="B1732" t="str">
            <v>AUTOMOTIVO</v>
          </cell>
          <cell r="C1732" t="str">
            <v>Bieleta</v>
          </cell>
          <cell r="D1732" t="str">
            <v>KIT</v>
          </cell>
          <cell r="E1732" t="str">
            <v>HOLYMAN</v>
          </cell>
          <cell r="F1732" t="str">
            <v>Par Bieleta Dianteira X-trail 2004 A 2009</v>
          </cell>
        </row>
        <row r="1733">
          <cell r="A1733" t="str">
            <v>PAR-6208</v>
          </cell>
          <cell r="B1733" t="str">
            <v>AUTOMOTIVO</v>
          </cell>
          <cell r="C1733" t="str">
            <v>Bieleta</v>
          </cell>
          <cell r="D1733" t="str">
            <v>KIT</v>
          </cell>
          <cell r="E1733" t="str">
            <v>HOLYMAN</v>
          </cell>
          <cell r="F1733" t="str">
            <v>Par Bieleta Dianteira Grand Livina 2009 A 2017</v>
          </cell>
        </row>
        <row r="1734">
          <cell r="A1734" t="str">
            <v>PAR-6209</v>
          </cell>
          <cell r="B1734" t="str">
            <v>AUTOMOTIVO</v>
          </cell>
          <cell r="C1734" t="str">
            <v>Bieleta</v>
          </cell>
          <cell r="D1734" t="str">
            <v>KIT</v>
          </cell>
          <cell r="E1734" t="str">
            <v>HOLYMAN</v>
          </cell>
          <cell r="F1734" t="str">
            <v>Par Bieleta Traseira Frontier 2017 A 2022</v>
          </cell>
        </row>
        <row r="1735">
          <cell r="A1735" t="str">
            <v>par6210/11</v>
          </cell>
          <cell r="B1735" t="str">
            <v>AUTOMOTIVO</v>
          </cell>
          <cell r="C1735" t="str">
            <v>Bieleta</v>
          </cell>
          <cell r="D1735" t="str">
            <v>KIT</v>
          </cell>
          <cell r="E1735" t="str">
            <v>HOLYMAN</v>
          </cell>
          <cell r="F1735" t="str">
            <v>Par Bieleta Dianteira Nissan Altima 2013 A 2019</v>
          </cell>
        </row>
        <row r="1736">
          <cell r="A1736" t="str">
            <v>PAR6312</v>
          </cell>
          <cell r="B1736" t="str">
            <v>AUTOMOTIVO</v>
          </cell>
          <cell r="C1736" t="str">
            <v>Bieleta</v>
          </cell>
          <cell r="D1736" t="str">
            <v>KIT</v>
          </cell>
          <cell r="E1736" t="str">
            <v>HOLYMAN</v>
          </cell>
          <cell r="F1736" t="str">
            <v>Par Bieleta Dianteira Towner Furgão 2011 Em Diante</v>
          </cell>
        </row>
        <row r="1737">
          <cell r="A1737" t="str">
            <v>PAR-6316</v>
          </cell>
          <cell r="B1737" t="str">
            <v>AUTOMOTIVO</v>
          </cell>
          <cell r="C1737" t="str">
            <v>Bieleta</v>
          </cell>
          <cell r="D1737" t="str">
            <v>KIT</v>
          </cell>
          <cell r="E1737" t="str">
            <v>HOLYMAN</v>
          </cell>
          <cell r="F1737" t="str">
            <v>Par Bieleta Dianteira Hb20 2012 A 2020</v>
          </cell>
        </row>
        <row r="1738">
          <cell r="A1738" t="str">
            <v>Par-6401</v>
          </cell>
          <cell r="B1738" t="str">
            <v>AUTOMOTIVO</v>
          </cell>
          <cell r="C1738" t="str">
            <v>Bieleta</v>
          </cell>
          <cell r="D1738" t="str">
            <v>KIT</v>
          </cell>
          <cell r="E1738" t="str">
            <v>HOLYMAN</v>
          </cell>
          <cell r="F1738" t="str">
            <v>Par Bieleta Dianteira Peugeout Partner 1999 A 2014 10mm</v>
          </cell>
        </row>
        <row r="1739">
          <cell r="A1739" t="str">
            <v>PAR-6408</v>
          </cell>
          <cell r="B1739" t="str">
            <v>AUTOMOTIVO</v>
          </cell>
          <cell r="C1739" t="str">
            <v>Bieleta</v>
          </cell>
          <cell r="D1739" t="str">
            <v>KIT</v>
          </cell>
          <cell r="E1739" t="str">
            <v>HOLYMAN</v>
          </cell>
          <cell r="F1739" t="str">
            <v>Par Bieleta  Dianteira Citroen C3 Aircross</v>
          </cell>
        </row>
        <row r="1740">
          <cell r="A1740" t="str">
            <v>PAR-6615/16</v>
          </cell>
          <cell r="B1740" t="str">
            <v>AUTOMOTIVO</v>
          </cell>
          <cell r="C1740" t="str">
            <v>Pastilha Freio</v>
          </cell>
          <cell r="D1740" t="str">
            <v>KIT</v>
          </cell>
          <cell r="E1740" t="str">
            <v>HOLYMAN</v>
          </cell>
          <cell r="F1740" t="str">
            <v>Par Bieleta Dianteira Bmw 130i 2005 A 2009 E82 E 87</v>
          </cell>
        </row>
        <row r="1741">
          <cell r="A1741" t="str">
            <v>PAR-6617</v>
          </cell>
          <cell r="B1741" t="str">
            <v>AUTOMOTIVO</v>
          </cell>
          <cell r="C1741" t="str">
            <v>Bieleta</v>
          </cell>
          <cell r="D1741" t="str">
            <v>KIT</v>
          </cell>
          <cell r="E1741" t="str">
            <v>HOLYMAN</v>
          </cell>
          <cell r="F1741" t="str">
            <v>Par Bieleta Dianteira Bmw 320i 2012 A 2015</v>
          </cell>
        </row>
        <row r="1742">
          <cell r="A1742" t="str">
            <v>PAR662010/11</v>
          </cell>
          <cell r="B1742" t="str">
            <v>AUTOMOTIVO</v>
          </cell>
          <cell r="C1742" t="str">
            <v>Bandeja</v>
          </cell>
          <cell r="D1742" t="str">
            <v>KIT</v>
          </cell>
          <cell r="E1742" t="str">
            <v>SPARE</v>
          </cell>
          <cell r="F1742" t="str">
            <v>Par Bandeja Dianteira Inferior Sem Pivô Kwid 2017 Em Diante</v>
          </cell>
        </row>
        <row r="1743">
          <cell r="A1743" t="str">
            <v>PAR662012/13</v>
          </cell>
          <cell r="B1743" t="str">
            <v>AUTOMOTIVO</v>
          </cell>
          <cell r="C1743" t="str">
            <v>Bandeja</v>
          </cell>
          <cell r="D1743" t="str">
            <v>KIT</v>
          </cell>
          <cell r="E1743" t="str">
            <v>SPARE</v>
          </cell>
          <cell r="F1743" t="str">
            <v>Par Bandeja Inferior Com Pivô Kwid 2017 Em Diante</v>
          </cell>
        </row>
        <row r="1744">
          <cell r="A1744" t="str">
            <v>par662028/29</v>
          </cell>
          <cell r="B1744" t="str">
            <v>AUTOMOTIVO</v>
          </cell>
          <cell r="C1744" t="str">
            <v>Bandeja</v>
          </cell>
          <cell r="D1744" t="str">
            <v>KIT</v>
          </cell>
          <cell r="E1744" t="str">
            <v>SPARE</v>
          </cell>
          <cell r="F1744" t="str">
            <v>Par Bandeja Sem Pivô New Megane 2007 Em Diante</v>
          </cell>
        </row>
        <row r="1745">
          <cell r="A1745" t="str">
            <v>par662030/31</v>
          </cell>
          <cell r="B1745" t="str">
            <v>AUTOMOTIVO</v>
          </cell>
          <cell r="C1745" t="str">
            <v>Bandeja</v>
          </cell>
          <cell r="D1745" t="str">
            <v>KIT</v>
          </cell>
          <cell r="E1745" t="str">
            <v>SPARE</v>
          </cell>
          <cell r="F1745" t="str">
            <v>Par Bandeja Com Pivô New Megane 2007 Em Diante</v>
          </cell>
        </row>
        <row r="1746">
          <cell r="A1746" t="str">
            <v>PAR662046/47</v>
          </cell>
          <cell r="B1746" t="str">
            <v>AUTOMOTIVO</v>
          </cell>
          <cell r="C1746" t="str">
            <v>BANDEJA</v>
          </cell>
          <cell r="D1746" t="str">
            <v>KIT</v>
          </cell>
          <cell r="E1746" t="str">
            <v>SPARE</v>
          </cell>
          <cell r="F1746" t="str">
            <v>Par Dianteira Bandeja Com Pivô Sandero 2014 A 2019</v>
          </cell>
        </row>
        <row r="1747">
          <cell r="A1747" t="str">
            <v>par662052/53</v>
          </cell>
          <cell r="B1747" t="str">
            <v>AUTOMOTIVO</v>
          </cell>
          <cell r="C1747" t="str">
            <v>Bandeja</v>
          </cell>
          <cell r="D1747" t="str">
            <v>KIT</v>
          </cell>
          <cell r="E1747" t="str">
            <v>SPARE</v>
          </cell>
          <cell r="F1747" t="str">
            <v>Par Bandeja Com Pivô Renault Logan 2004 Em Diante</v>
          </cell>
        </row>
        <row r="1748">
          <cell r="A1748" t="str">
            <v>PAR-662068/69</v>
          </cell>
          <cell r="B1748" t="str">
            <v>AUTOMOTIVO</v>
          </cell>
          <cell r="C1748" t="str">
            <v>Bandeja</v>
          </cell>
          <cell r="D1748" t="str">
            <v>KIT</v>
          </cell>
          <cell r="E1748" t="str">
            <v>SPARE</v>
          </cell>
          <cell r="F1748" t="str">
            <v>Par Bandeja Dianteira Com Pivô Fluence 2011 À 2018</v>
          </cell>
        </row>
        <row r="1749">
          <cell r="A1749" t="str">
            <v>par-66516</v>
          </cell>
          <cell r="B1749" t="str">
            <v>AUTOMOTIVO</v>
          </cell>
          <cell r="C1749" t="str">
            <v>Cabo limitador tampa traseira</v>
          </cell>
          <cell r="D1749" t="str">
            <v>KIT</v>
          </cell>
          <cell r="E1749" t="str">
            <v>MundiFlex</v>
          </cell>
          <cell r="F1749" t="str">
            <v>Par Cabo Limitador Tampa Tras Strada Fase 4 2013 Em Diante</v>
          </cell>
        </row>
        <row r="1750">
          <cell r="A1750" t="str">
            <v>PAR-6700</v>
          </cell>
          <cell r="B1750" t="str">
            <v>AUTOMOTIVO</v>
          </cell>
          <cell r="C1750" t="str">
            <v>Bieleta</v>
          </cell>
          <cell r="D1750" t="str">
            <v>KIT</v>
          </cell>
          <cell r="E1750" t="str">
            <v>HOLYMAN</v>
          </cell>
          <cell r="F1750" t="str">
            <v>Par Bieleta Dianteira Troller 1999 Até 2019</v>
          </cell>
        </row>
        <row r="1751">
          <cell r="A1751" t="str">
            <v>PAR-7300</v>
          </cell>
          <cell r="B1751" t="str">
            <v>AUTOMOTIVO</v>
          </cell>
          <cell r="C1751" t="str">
            <v>Bieleta</v>
          </cell>
          <cell r="D1751" t="str">
            <v>KIT</v>
          </cell>
          <cell r="E1751" t="str">
            <v>HOLYMAN</v>
          </cell>
          <cell r="F1751" t="str">
            <v>Par Bieleta Dianteira J6 2011 À 2017</v>
          </cell>
        </row>
        <row r="1752">
          <cell r="A1752" t="str">
            <v>PAR772003/4</v>
          </cell>
          <cell r="B1752" t="str">
            <v>AUTOMOTIVO</v>
          </cell>
          <cell r="C1752" t="str">
            <v>Bandeja</v>
          </cell>
          <cell r="D1752" t="str">
            <v>KIT</v>
          </cell>
          <cell r="E1752" t="str">
            <v>SPARE</v>
          </cell>
          <cell r="F1752" t="str">
            <v>Par Bandeja Inferior Com Pivô Fit 2003 A 2018</v>
          </cell>
        </row>
        <row r="1753">
          <cell r="A1753" t="str">
            <v>PAR-772011/12</v>
          </cell>
          <cell r="B1753" t="str">
            <v>AUTOMOTIVO</v>
          </cell>
          <cell r="C1753" t="str">
            <v>Bandeja</v>
          </cell>
          <cell r="D1753" t="str">
            <v>KIT</v>
          </cell>
          <cell r="E1753" t="str">
            <v>SPARE</v>
          </cell>
          <cell r="F1753" t="str">
            <v>Par Bandeja Dianteira Fit 2015 A 2021 Com Pivô</v>
          </cell>
        </row>
        <row r="1754">
          <cell r="A1754" t="str">
            <v>par772025/26</v>
          </cell>
          <cell r="B1754" t="str">
            <v>AUTOMOTIVO</v>
          </cell>
          <cell r="C1754" t="str">
            <v>Bandeja</v>
          </cell>
          <cell r="D1754" t="str">
            <v>KIT</v>
          </cell>
          <cell r="E1754" t="str">
            <v>SPARE</v>
          </cell>
          <cell r="F1754" t="str">
            <v>Par Bandeja Inferior Sem Pivô Civic 2007 A 2011</v>
          </cell>
        </row>
        <row r="1755">
          <cell r="A1755" t="str">
            <v>par772027/28</v>
          </cell>
          <cell r="B1755" t="str">
            <v>AUTOMOTIVO</v>
          </cell>
          <cell r="C1755" t="str">
            <v>Bandeja</v>
          </cell>
          <cell r="D1755" t="str">
            <v>KIT</v>
          </cell>
          <cell r="E1755" t="str">
            <v>SPARE</v>
          </cell>
          <cell r="F1755" t="str">
            <v>Par Bandeja Inferior Com Pivô Civic 2007 A 2011</v>
          </cell>
        </row>
        <row r="1756">
          <cell r="A1756" t="str">
            <v>par772031/2</v>
          </cell>
          <cell r="B1756" t="str">
            <v>AUTOMOTIVO</v>
          </cell>
          <cell r="C1756" t="str">
            <v>Bandeja</v>
          </cell>
          <cell r="D1756" t="str">
            <v>KIT</v>
          </cell>
          <cell r="E1756" t="str">
            <v>SPARE</v>
          </cell>
          <cell r="F1756" t="str">
            <v>Par Bandeja Inferior Corolla 2001 A 2019</v>
          </cell>
        </row>
        <row r="1757">
          <cell r="A1757" t="str">
            <v>PAR-772042/43</v>
          </cell>
          <cell r="B1757" t="str">
            <v>AUTOMOTIVO</v>
          </cell>
          <cell r="C1757" t="str">
            <v>BANDEJA</v>
          </cell>
          <cell r="D1757" t="str">
            <v>KIT</v>
          </cell>
          <cell r="E1757" t="str">
            <v>SPARE</v>
          </cell>
          <cell r="F1757" t="str">
            <v>Par Bandeja Dianteira Hilux Pick Up 2005 A 2015 Sem Pivô</v>
          </cell>
        </row>
        <row r="1758">
          <cell r="A1758" t="str">
            <v>par772052/53</v>
          </cell>
          <cell r="B1758" t="str">
            <v>AUTOMOTIVO</v>
          </cell>
          <cell r="C1758" t="str">
            <v>Bandeja</v>
          </cell>
          <cell r="D1758" t="str">
            <v>KIT</v>
          </cell>
          <cell r="E1758" t="str">
            <v>SPARE</v>
          </cell>
          <cell r="F1758" t="str">
            <v>Par Bandeja Inferior Sem Pivô Sportage 2006 A 2009</v>
          </cell>
        </row>
        <row r="1759">
          <cell r="A1759" t="str">
            <v>par772054/55</v>
          </cell>
          <cell r="B1759" t="str">
            <v>AUTOMOTIVO</v>
          </cell>
          <cell r="C1759" t="str">
            <v>Bandeja</v>
          </cell>
          <cell r="D1759" t="str">
            <v>KIT</v>
          </cell>
          <cell r="E1759" t="str">
            <v>SPARE</v>
          </cell>
          <cell r="F1759" t="str">
            <v>Par Bandeja Inferior Sem Pivô I30 2008 A 2012</v>
          </cell>
        </row>
        <row r="1760">
          <cell r="A1760" t="str">
            <v>par772054/55p</v>
          </cell>
          <cell r="B1760" t="str">
            <v>AUTOMOTIVO</v>
          </cell>
          <cell r="C1760" t="str">
            <v>BANDEJA</v>
          </cell>
          <cell r="D1760" t="str">
            <v>KIT</v>
          </cell>
          <cell r="E1760" t="str">
            <v>SPARE</v>
          </cell>
          <cell r="F1760" t="str">
            <v>Par Bandeja Inferior Com Pivô I30 2008 A 2012</v>
          </cell>
        </row>
        <row r="1761">
          <cell r="A1761" t="str">
            <v>PAR-772088/89</v>
          </cell>
          <cell r="B1761" t="str">
            <v>AUTOMOTIVO</v>
          </cell>
          <cell r="C1761" t="str">
            <v>Bandeja</v>
          </cell>
          <cell r="D1761" t="str">
            <v>KIT</v>
          </cell>
          <cell r="E1761" t="str">
            <v>SPARE</v>
          </cell>
          <cell r="F1761" t="str">
            <v>Par Bandeja Dianteira Sem Pivô Mondeo 1997 A 2000</v>
          </cell>
        </row>
        <row r="1762">
          <cell r="A1762" t="str">
            <v>Par772100/1</v>
          </cell>
          <cell r="B1762" t="str">
            <v>AUTOMOTIVO</v>
          </cell>
          <cell r="C1762" t="str">
            <v>Bandeja</v>
          </cell>
          <cell r="D1762" t="str">
            <v>KIT</v>
          </cell>
          <cell r="E1762" t="str">
            <v>SPARE</v>
          </cell>
          <cell r="F1762" t="str">
            <v>Par Bandeja March 2011 Em Diante Sem Pivô</v>
          </cell>
        </row>
        <row r="1763">
          <cell r="A1763" t="str">
            <v>par772102/3</v>
          </cell>
          <cell r="B1763" t="str">
            <v>AUTOMOTIVO</v>
          </cell>
          <cell r="C1763" t="str">
            <v>Bandeja</v>
          </cell>
          <cell r="D1763" t="str">
            <v>KIT</v>
          </cell>
          <cell r="E1763" t="str">
            <v>SPARE</v>
          </cell>
          <cell r="F1763" t="str">
            <v>Par Bandeja Com Pivô March 2011 Em Diante</v>
          </cell>
        </row>
        <row r="1764">
          <cell r="A1764" t="str">
            <v>par772102-p</v>
          </cell>
          <cell r="B1764" t="str">
            <v>AUTOMOTIVO</v>
          </cell>
          <cell r="C1764" t="str">
            <v>Pivô</v>
          </cell>
          <cell r="D1764" t="str">
            <v>KIT</v>
          </cell>
          <cell r="E1764" t="str">
            <v>SPARE</v>
          </cell>
          <cell r="F1764" t="str">
            <v>Par Pivô Nissan March 2011 Em Diante</v>
          </cell>
        </row>
        <row r="1765">
          <cell r="A1765" t="str">
            <v>PAR772104/05</v>
          </cell>
          <cell r="B1765" t="str">
            <v>AUTOMOTIVO</v>
          </cell>
          <cell r="C1765" t="str">
            <v>Bandeja</v>
          </cell>
          <cell r="D1765" t="str">
            <v>KIT</v>
          </cell>
          <cell r="E1765" t="str">
            <v>SPARE</v>
          </cell>
          <cell r="F1765" t="str">
            <v>Par Bandeja Inferior Direito Sem Pivô  Livina</v>
          </cell>
        </row>
        <row r="1766">
          <cell r="A1766" t="str">
            <v>PAR772106/07</v>
          </cell>
          <cell r="B1766" t="str">
            <v>AUTOMOTIVO</v>
          </cell>
          <cell r="C1766" t="str">
            <v>Bandeja</v>
          </cell>
          <cell r="D1766" t="str">
            <v>KIT</v>
          </cell>
          <cell r="E1766" t="str">
            <v>SPARE</v>
          </cell>
          <cell r="F1766" t="str">
            <v>Par Bandeja Inferior Com Pivô Nissan Tiida</v>
          </cell>
        </row>
        <row r="1767">
          <cell r="A1767" t="str">
            <v>PAR77214445/1</v>
          </cell>
          <cell r="B1767" t="str">
            <v>AUTOMOTIVO</v>
          </cell>
          <cell r="C1767" t="str">
            <v>Bandeja</v>
          </cell>
          <cell r="D1767" t="str">
            <v>KIT</v>
          </cell>
          <cell r="E1767" t="str">
            <v>SPARE</v>
          </cell>
          <cell r="F1767" t="str">
            <v>Par De Bandejas Hb20 Hatch Automático</v>
          </cell>
        </row>
        <row r="1768">
          <cell r="A1768" t="str">
            <v>PAR772154/55</v>
          </cell>
          <cell r="B1768" t="str">
            <v>AUTOMOTIVO</v>
          </cell>
          <cell r="C1768" t="str">
            <v>Bandeja</v>
          </cell>
          <cell r="D1768" t="str">
            <v>KIT</v>
          </cell>
          <cell r="E1768" t="str">
            <v>SPARE</v>
          </cell>
          <cell r="F1768" t="str">
            <v>Par Bandeja Inferior Sem Pivô L300 1994 Em Diante</v>
          </cell>
        </row>
        <row r="1769">
          <cell r="A1769" t="str">
            <v>PAR772156/57</v>
          </cell>
          <cell r="B1769" t="str">
            <v>AUTOMOTIVO</v>
          </cell>
          <cell r="C1769" t="str">
            <v>Bandeja</v>
          </cell>
          <cell r="D1769" t="str">
            <v>KIT</v>
          </cell>
          <cell r="E1769" t="str">
            <v>SPARE</v>
          </cell>
          <cell r="F1769" t="str">
            <v>Par Bandeja Dianteira Hr 2005 Em Diante</v>
          </cell>
        </row>
        <row r="1770">
          <cell r="A1770" t="str">
            <v>PAR-772161/62</v>
          </cell>
          <cell r="B1770" t="str">
            <v>AUTOMOTIVO</v>
          </cell>
          <cell r="C1770" t="str">
            <v>BANDEJA</v>
          </cell>
          <cell r="D1770" t="str">
            <v>KIT</v>
          </cell>
          <cell r="E1770" t="str">
            <v>SPARE</v>
          </cell>
          <cell r="F1770" t="str">
            <v>Par Bandeja Dianteira Sem Pivô Grand Santa Fé 2014 2015</v>
          </cell>
        </row>
        <row r="1771">
          <cell r="A1771" t="str">
            <v>PAR772172/73</v>
          </cell>
          <cell r="B1771" t="str">
            <v>AUTOMOTIVO</v>
          </cell>
          <cell r="C1771" t="str">
            <v>Bandeja</v>
          </cell>
          <cell r="D1771" t="str">
            <v>KIT</v>
          </cell>
          <cell r="E1771" t="str">
            <v>SPARE</v>
          </cell>
          <cell r="F1771" t="str">
            <v>Par Bandeja Inferior Com Pivô Kia Soul 2009 A 2014</v>
          </cell>
        </row>
        <row r="1772">
          <cell r="A1772" t="str">
            <v>PAR-772182/83</v>
          </cell>
          <cell r="B1772" t="str">
            <v>AUTOMOTIVO</v>
          </cell>
          <cell r="C1772" t="str">
            <v>Bandeja</v>
          </cell>
          <cell r="D1772" t="str">
            <v>KIT</v>
          </cell>
          <cell r="E1772" t="str">
            <v>SPARE</v>
          </cell>
          <cell r="F1772" t="str">
            <v>Par Rolamento Roda Dianteira Subaru Impreza 1.8 1994 A 2007</v>
          </cell>
        </row>
        <row r="1773">
          <cell r="A1773" t="str">
            <v>PAR-772194</v>
          </cell>
          <cell r="B1773" t="str">
            <v>AUTOMOTIVO</v>
          </cell>
          <cell r="C1773" t="str">
            <v>Bandeja</v>
          </cell>
          <cell r="D1773" t="str">
            <v>KIT</v>
          </cell>
          <cell r="E1773" t="str">
            <v>SPARE</v>
          </cell>
          <cell r="F1773" t="str">
            <v>Par Bandeja Superior Besta 1998 A 2003 Ambos Os Lados</v>
          </cell>
        </row>
        <row r="1774">
          <cell r="A1774" t="str">
            <v>PAR772214/15</v>
          </cell>
          <cell r="B1774" t="str">
            <v>AUTOMOTIVO</v>
          </cell>
          <cell r="C1774" t="str">
            <v>Bandeja</v>
          </cell>
          <cell r="D1774" t="str">
            <v>KIT</v>
          </cell>
          <cell r="E1774" t="str">
            <v>SPARE</v>
          </cell>
          <cell r="F1774" t="str">
            <v>Par Bandeja Inferior Pajero Tr4 Sem Pivô 2000 Á 2014</v>
          </cell>
        </row>
        <row r="1775">
          <cell r="A1775" t="str">
            <v>PAR-772230/31</v>
          </cell>
          <cell r="B1775" t="str">
            <v>AUTOMOTIVO</v>
          </cell>
          <cell r="C1775" t="str">
            <v>Bandeja</v>
          </cell>
          <cell r="D1775" t="str">
            <v>KIT</v>
          </cell>
          <cell r="E1775" t="str">
            <v>SPARE</v>
          </cell>
          <cell r="F1775" t="str">
            <v>Par Bandeja Inferior Com Pivô Kicks 2016 A 2020</v>
          </cell>
        </row>
        <row r="1776">
          <cell r="A1776" t="str">
            <v>PAR772248/49</v>
          </cell>
          <cell r="B1776" t="str">
            <v>AUTOMOTIVO</v>
          </cell>
          <cell r="C1776" t="str">
            <v>Bandeja</v>
          </cell>
          <cell r="D1776" t="str">
            <v>KIT</v>
          </cell>
          <cell r="E1776" t="str">
            <v>SPARE</v>
          </cell>
          <cell r="F1776" t="str">
            <v>Par Bandeja Inferior Sem Pivô Rav4</v>
          </cell>
        </row>
        <row r="1777">
          <cell r="A1777" t="str">
            <v>PAR-7800</v>
          </cell>
          <cell r="B1777" t="str">
            <v>AUTOMOTIVO</v>
          </cell>
          <cell r="C1777" t="str">
            <v>Bieleta</v>
          </cell>
          <cell r="D1777" t="str">
            <v>KIT</v>
          </cell>
          <cell r="E1777" t="str">
            <v>HOLYMAN</v>
          </cell>
          <cell r="F1777" t="str">
            <v>Par Bieleta Traseira Compass 4x4 2015 Em Diante</v>
          </cell>
        </row>
        <row r="1778">
          <cell r="A1778" t="str">
            <v>PAR-7801</v>
          </cell>
          <cell r="B1778" t="str">
            <v>AUTOMOTIVO</v>
          </cell>
          <cell r="C1778" t="str">
            <v>Bieleta</v>
          </cell>
          <cell r="D1778" t="str">
            <v>KIT</v>
          </cell>
          <cell r="E1778" t="str">
            <v>HOLYMAN</v>
          </cell>
          <cell r="F1778" t="str">
            <v>Par Bieleta Dianteira Compass 4x2 4x4 2015 Em Diante</v>
          </cell>
        </row>
        <row r="1779">
          <cell r="A1779" t="str">
            <v>Par-7802</v>
          </cell>
          <cell r="B1779" t="str">
            <v>AUTOMOTIVO</v>
          </cell>
          <cell r="C1779" t="str">
            <v>Bieleta</v>
          </cell>
          <cell r="D1779" t="str">
            <v>KIT</v>
          </cell>
          <cell r="E1779" t="str">
            <v>HOLYMAN</v>
          </cell>
          <cell r="F1779" t="str">
            <v>Par Bieleta Dianteira Compass 2007 A 2015</v>
          </cell>
        </row>
        <row r="1780">
          <cell r="A1780" t="str">
            <v>PAR-8000</v>
          </cell>
          <cell r="B1780" t="str">
            <v>AUTOMOTIVO</v>
          </cell>
          <cell r="C1780" t="str">
            <v>Bieleta</v>
          </cell>
          <cell r="D1780" t="str">
            <v>KIT</v>
          </cell>
          <cell r="E1780" t="str">
            <v>HOLYMAN</v>
          </cell>
          <cell r="F1780" t="str">
            <v>Par Bieleta Dianteira Land Rover Evoque 2011 Em Diante</v>
          </cell>
        </row>
        <row r="1781">
          <cell r="A1781" t="str">
            <v>PAR-8001</v>
          </cell>
          <cell r="B1781" t="str">
            <v>AUTOMOTIVO</v>
          </cell>
          <cell r="C1781" t="str">
            <v>Bieleta</v>
          </cell>
          <cell r="D1781" t="str">
            <v>KIT</v>
          </cell>
          <cell r="E1781" t="str">
            <v>HOLYMAN</v>
          </cell>
          <cell r="F1781" t="str">
            <v>Par Bieleta Traseira Nissan Frontier 2003 A 2007</v>
          </cell>
        </row>
        <row r="1782">
          <cell r="A1782" t="str">
            <v>PAR-8003</v>
          </cell>
          <cell r="B1782" t="str">
            <v>AUTOMOTIVO</v>
          </cell>
          <cell r="C1782" t="str">
            <v>Bieleta</v>
          </cell>
          <cell r="D1782" t="str">
            <v>KIT</v>
          </cell>
          <cell r="E1782" t="str">
            <v>HOLYMAN</v>
          </cell>
          <cell r="F1782" t="str">
            <v>Par Bieleta Traseira Frontier X-terra 2003 Até 2008</v>
          </cell>
        </row>
        <row r="1783">
          <cell r="A1783" t="str">
            <v>PAR-8004</v>
          </cell>
          <cell r="B1783" t="str">
            <v>AUTOMOTIVO</v>
          </cell>
          <cell r="C1783" t="str">
            <v>Bieleta</v>
          </cell>
          <cell r="D1783" t="str">
            <v>KIT</v>
          </cell>
          <cell r="E1783" t="str">
            <v>HOLYMAN</v>
          </cell>
          <cell r="F1783" t="str">
            <v>Par Bieleta Dianteira Discovery 3 2004 Até 2009</v>
          </cell>
        </row>
        <row r="1784">
          <cell r="A1784" t="str">
            <v>PAR-8106</v>
          </cell>
          <cell r="B1784" t="str">
            <v>AUTOMOTIVO</v>
          </cell>
          <cell r="C1784" t="str">
            <v>Bieleta</v>
          </cell>
          <cell r="D1784" t="str">
            <v>KIT</v>
          </cell>
          <cell r="E1784" t="str">
            <v>HOLYMAN</v>
          </cell>
          <cell r="F1784" t="str">
            <v>Par Bieleta Traseira Chery Cielo 2008 A 2013</v>
          </cell>
        </row>
        <row r="1785">
          <cell r="A1785" t="str">
            <v>PAR-8501</v>
          </cell>
          <cell r="B1785" t="str">
            <v>AUTOMOTIVO</v>
          </cell>
          <cell r="C1785" t="str">
            <v>Bieleta</v>
          </cell>
          <cell r="D1785" t="str">
            <v>KIT</v>
          </cell>
          <cell r="E1785" t="str">
            <v>HOLYMAN</v>
          </cell>
          <cell r="F1785" t="str">
            <v>Par Bieleta Dianteira Cooper S R56 2006 A 2014</v>
          </cell>
        </row>
        <row r="1786">
          <cell r="A1786" t="str">
            <v>PAR8502</v>
          </cell>
          <cell r="B1786" t="str">
            <v>AUTOMOTIVO</v>
          </cell>
          <cell r="C1786" t="str">
            <v>Bieleta</v>
          </cell>
          <cell r="D1786" t="str">
            <v>KIT</v>
          </cell>
          <cell r="E1786" t="str">
            <v>HOLYMAN</v>
          </cell>
          <cell r="F1786" t="str">
            <v>Par Bieleta Traseira Mini Cooper Hatch 2001 Diante</v>
          </cell>
        </row>
        <row r="1787">
          <cell r="A1787" t="str">
            <v>PAR8503</v>
          </cell>
          <cell r="B1787" t="str">
            <v>AUTOMOTIVO</v>
          </cell>
          <cell r="C1787" t="str">
            <v>Bieleta</v>
          </cell>
          <cell r="D1787" t="str">
            <v>KIT</v>
          </cell>
          <cell r="E1787" t="str">
            <v>HOLYMAN</v>
          </cell>
          <cell r="F1787" t="str">
            <v>Par Bieleta Dianteira Mini Cooper R50 R53 2001 A 2006</v>
          </cell>
        </row>
        <row r="1788">
          <cell r="A1788" t="str">
            <v>Par-8650</v>
          </cell>
          <cell r="B1788" t="str">
            <v>AUTOMOTIVO</v>
          </cell>
          <cell r="C1788" t="str">
            <v>Terminal Cabo Câmbio</v>
          </cell>
          <cell r="D1788" t="str">
            <v>KIT</v>
          </cell>
          <cell r="E1788" t="str">
            <v>Importação</v>
          </cell>
          <cell r="F1788" t="str">
            <v>Terminal De Cabo De Engate Gol</v>
          </cell>
        </row>
        <row r="1789">
          <cell r="A1789" t="str">
            <v>PAR-882002/03</v>
          </cell>
          <cell r="B1789" t="str">
            <v>AUTOMOTIVO</v>
          </cell>
          <cell r="C1789" t="str">
            <v>Bandeja</v>
          </cell>
          <cell r="D1789" t="str">
            <v>KIT</v>
          </cell>
          <cell r="E1789" t="str">
            <v>SPARE</v>
          </cell>
          <cell r="F1789" t="str">
            <v>Par Bandeja Dianteira Com Pivô J3 2011 À 2015</v>
          </cell>
        </row>
        <row r="1790">
          <cell r="A1790" t="str">
            <v>PAR993001</v>
          </cell>
          <cell r="B1790" t="str">
            <v>AUTOMOTIVO</v>
          </cell>
          <cell r="C1790" t="str">
            <v>Bandeja</v>
          </cell>
          <cell r="D1790" t="str">
            <v>KIT</v>
          </cell>
          <cell r="E1790" t="str">
            <v>SPARE</v>
          </cell>
          <cell r="F1790" t="str">
            <v>Par Braço Bandeja Balança Com Pivô Spark 2004 A 2015</v>
          </cell>
        </row>
        <row r="1791">
          <cell r="A1791" t="str">
            <v>Par-FD001</v>
          </cell>
          <cell r="B1791" t="str">
            <v>AUTOMOTIVO</v>
          </cell>
          <cell r="C1791" t="str">
            <v>Rolamento Roda</v>
          </cell>
          <cell r="D1791" t="str">
            <v>KIT</v>
          </cell>
          <cell r="E1791" t="str">
            <v>Importação</v>
          </cell>
          <cell r="F1791" t="str">
            <v xml:space="preserve">2 Kit's Rolamento Roda Traseira Escort 94 Fiesta 95 Ka 97 </v>
          </cell>
        </row>
        <row r="1792">
          <cell r="A1792" t="str">
            <v>PAR-FTK/PDA151</v>
          </cell>
          <cell r="B1792" t="str">
            <v>AUTOMOTIVO</v>
          </cell>
          <cell r="C1792" t="str">
            <v>Amortecedor Porta Mala</v>
          </cell>
          <cell r="D1792" t="str">
            <v>KIT</v>
          </cell>
          <cell r="E1792" t="str">
            <v>Pandão</v>
          </cell>
          <cell r="F1792" t="str">
            <v>Par Amortecedor Mola A Gás Porta Malas Agile 2009 A 2013</v>
          </cell>
        </row>
        <row r="1793">
          <cell r="A1793" t="str">
            <v>PAR-FTK/PDA152</v>
          </cell>
          <cell r="B1793" t="str">
            <v>AUTOMOTIVO</v>
          </cell>
          <cell r="C1793" t="str">
            <v>Amortecedor Porta Mala</v>
          </cell>
          <cell r="D1793" t="str">
            <v>KIT</v>
          </cell>
          <cell r="E1793" t="str">
            <v>Pandão</v>
          </cell>
          <cell r="F1793" t="str">
            <v>Par Amortecedor Mola A Gás Porta Malas Onix 2013 A 2019</v>
          </cell>
        </row>
        <row r="1794">
          <cell r="A1794" t="str">
            <v>PAR-FTK/PDA155</v>
          </cell>
          <cell r="B1794" t="str">
            <v>AUTOMOTIVO</v>
          </cell>
          <cell r="C1794" t="str">
            <v>Amortecedor Porta Mala</v>
          </cell>
          <cell r="D1794" t="str">
            <v>KIT</v>
          </cell>
          <cell r="E1794" t="str">
            <v>PANDÃO</v>
          </cell>
          <cell r="F1794" t="str">
            <v>Par Amortecedor Mola A Gás Porta Malas Fox 2003 A 2010</v>
          </cell>
        </row>
        <row r="1795">
          <cell r="A1795" t="str">
            <v>FTK/PDA155</v>
          </cell>
          <cell r="B1795" t="str">
            <v>AUTOMOTIVO</v>
          </cell>
          <cell r="C1795" t="str">
            <v>Amortecedor Porta Mala</v>
          </cell>
          <cell r="D1795" t="str">
            <v>SIMPLES</v>
          </cell>
          <cell r="E1795" t="str">
            <v>PANDÃO</v>
          </cell>
          <cell r="F1795" t="str">
            <v>Amortecedor Mola A Gás Porta Malas Fox 2003 A 2010</v>
          </cell>
        </row>
        <row r="1796">
          <cell r="A1796" t="str">
            <v>PAR-FTK/PDA162</v>
          </cell>
          <cell r="B1796" t="str">
            <v>AUTOMOTIVO</v>
          </cell>
          <cell r="C1796" t="str">
            <v>Amortecedor Porta Mala</v>
          </cell>
          <cell r="D1796" t="str">
            <v>KIT</v>
          </cell>
          <cell r="E1796" t="str">
            <v>Pandão</v>
          </cell>
          <cell r="F1796" t="str">
            <v>Par Amortecedor Mola A Gás Porta Malas Focus Hatch 2009 A 13</v>
          </cell>
        </row>
        <row r="1797">
          <cell r="A1797" t="str">
            <v>PAR-FTK/PDA163</v>
          </cell>
          <cell r="B1797" t="str">
            <v>AUTOMOTIVO</v>
          </cell>
          <cell r="C1797" t="str">
            <v>Amortecedor Porta Mala</v>
          </cell>
          <cell r="D1797" t="str">
            <v>KIT</v>
          </cell>
          <cell r="E1797" t="str">
            <v>Pandão</v>
          </cell>
          <cell r="F1797" t="str">
            <v>Par Amortecedor Mola A Gás Porta Malas Zafira 2001 Em Diante</v>
          </cell>
        </row>
        <row r="1798">
          <cell r="A1798" t="str">
            <v>PAR-FTK/PDA164</v>
          </cell>
          <cell r="B1798" t="str">
            <v>AUTOMOTIVO</v>
          </cell>
          <cell r="C1798" t="str">
            <v>Pastilha Freio</v>
          </cell>
          <cell r="D1798" t="str">
            <v>KIT</v>
          </cell>
          <cell r="E1798" t="str">
            <v>Pandão</v>
          </cell>
          <cell r="F1798" t="str">
            <v>Par Amortecedor Mola A Gás Porta Malas Spacefox 2006 A 2012</v>
          </cell>
        </row>
        <row r="1799">
          <cell r="A1799" t="str">
            <v>PAR-FTK00122</v>
          </cell>
          <cell r="B1799" t="str">
            <v>AUTOMOTIVO</v>
          </cell>
          <cell r="C1799" t="str">
            <v>Pivô</v>
          </cell>
          <cell r="D1799" t="str">
            <v>KIT</v>
          </cell>
          <cell r="E1799" t="str">
            <v>SPARE</v>
          </cell>
          <cell r="F1799" t="str">
            <v>Par Pivô Inferior Bandeja Ambos Lados Stilo 2001 A 2012</v>
          </cell>
        </row>
        <row r="1800">
          <cell r="A1800" t="str">
            <v>PAR-FTK00131/32</v>
          </cell>
          <cell r="B1800" t="str">
            <v>AUTOMOTIVO</v>
          </cell>
          <cell r="C1800" t="str">
            <v>Pivô</v>
          </cell>
          <cell r="D1800" t="str">
            <v>KIT</v>
          </cell>
          <cell r="E1800" t="str">
            <v>SPARE</v>
          </cell>
          <cell r="F1800" t="str">
            <v>Par Pivô Inferior Argo Drive 1.0 1.3 Gsr 2018 A 2021</v>
          </cell>
        </row>
        <row r="1801">
          <cell r="A1801" t="str">
            <v>PAR-FTK00212</v>
          </cell>
          <cell r="B1801" t="str">
            <v>AUTOMOTIVO</v>
          </cell>
          <cell r="C1801" t="str">
            <v>Rolamento roda</v>
          </cell>
          <cell r="D1801" t="str">
            <v>KIT</v>
          </cell>
          <cell r="E1801" t="str">
            <v>IRB</v>
          </cell>
          <cell r="F1801" t="str">
            <v>Par Pivô Inferior Ranger 2013 A 2017</v>
          </cell>
        </row>
        <row r="1802">
          <cell r="A1802" t="str">
            <v>PAR-FTK00226/27</v>
          </cell>
          <cell r="B1802" t="str">
            <v>AUTOMOTIVO</v>
          </cell>
          <cell r="C1802" t="str">
            <v>Pivô</v>
          </cell>
          <cell r="D1802" t="str">
            <v>KIT</v>
          </cell>
          <cell r="E1802" t="str">
            <v>SPARE</v>
          </cell>
          <cell r="F1802" t="str">
            <v>Par Pivô Inferior Focus 2014 Em Diante</v>
          </cell>
        </row>
        <row r="1803">
          <cell r="A1803" t="str">
            <v>PARFTK00311</v>
          </cell>
          <cell r="B1803" t="str">
            <v>AUTOMOTIVO</v>
          </cell>
          <cell r="C1803" t="str">
            <v>Bandeja</v>
          </cell>
          <cell r="D1803" t="str">
            <v>KIT</v>
          </cell>
          <cell r="E1803" t="str">
            <v>SPARE</v>
          </cell>
          <cell r="F1803" t="str">
            <v>Par Pivô Bandeja Cobalt 2011 Em Diante</v>
          </cell>
        </row>
        <row r="1804">
          <cell r="A1804" t="str">
            <v>PAR-FTK00313</v>
          </cell>
          <cell r="B1804" t="str">
            <v>AUTOMOTIVO</v>
          </cell>
          <cell r="C1804" t="str">
            <v>Bucha Barra estabilizadora</v>
          </cell>
          <cell r="D1804" t="str">
            <v>KIT</v>
          </cell>
          <cell r="E1804" t="str">
            <v>GUARU BORRACHAS</v>
          </cell>
          <cell r="F1804" t="str">
            <v>Par Bucha Da Suspensão Dianteira Escort 1993 A Janeiro 1995</v>
          </cell>
        </row>
        <row r="1805">
          <cell r="A1805" t="str">
            <v>PARFTK00605</v>
          </cell>
          <cell r="B1805" t="str">
            <v>AUTOMOTIVO</v>
          </cell>
          <cell r="C1805" t="str">
            <v>pivô</v>
          </cell>
          <cell r="D1805" t="str">
            <v>KIT</v>
          </cell>
          <cell r="E1805" t="str">
            <v>SPARE</v>
          </cell>
          <cell r="F1805" t="str">
            <v>Par Pivô Da Bandeja Dianteira Duster 2011 A 2019</v>
          </cell>
        </row>
        <row r="1806">
          <cell r="A1806" t="str">
            <v>PARFTK00606</v>
          </cell>
          <cell r="B1806" t="str">
            <v>AUTOMOTIVO</v>
          </cell>
          <cell r="C1806" t="str">
            <v>pivô</v>
          </cell>
          <cell r="D1806" t="str">
            <v>KIT</v>
          </cell>
          <cell r="E1806" t="str">
            <v>SPARE</v>
          </cell>
          <cell r="F1806" t="str">
            <v>Par Pivô Bandeja Dianteira  Fluence 2011 Em Diante</v>
          </cell>
        </row>
        <row r="1807">
          <cell r="A1807" t="str">
            <v>PAR-FTK00903</v>
          </cell>
          <cell r="B1807" t="str">
            <v>AUTOMOTIVO</v>
          </cell>
          <cell r="C1807" t="str">
            <v>Pivô</v>
          </cell>
          <cell r="D1807" t="str">
            <v>KIT</v>
          </cell>
          <cell r="E1807" t="str">
            <v>SPARE</v>
          </cell>
          <cell r="F1807" t="str">
            <v>Par Pivô Da Bandeja Inferior Citroen C3 2002 A 2013</v>
          </cell>
        </row>
        <row r="1808">
          <cell r="A1808" t="str">
            <v>PARFTK1004/05</v>
          </cell>
          <cell r="B1808" t="str">
            <v>AUTOMOTIVO</v>
          </cell>
          <cell r="C1808" t="str">
            <v>Pivô</v>
          </cell>
          <cell r="D1808" t="str">
            <v>KIT</v>
          </cell>
          <cell r="E1808" t="str">
            <v>SPARE</v>
          </cell>
          <cell r="F1808" t="str">
            <v>Par Pivô Inferior Bandeja Dianteira Gol 1980 À 1992</v>
          </cell>
        </row>
        <row r="1809">
          <cell r="A1809" t="str">
            <v>PARFTK11001/11018-MB</v>
          </cell>
          <cell r="B1809" t="str">
            <v>AUTOMOTIVO</v>
          </cell>
          <cell r="C1809" t="str">
            <v>Bucha Bandeja</v>
          </cell>
          <cell r="D1809" t="str">
            <v>KIT</v>
          </cell>
          <cell r="E1809" t="str">
            <v>MOBENSANI</v>
          </cell>
          <cell r="F1809" t="str">
            <v>Par Bucha Da Bandeja Dianteira Pajero Sport 2001 Em Diante</v>
          </cell>
        </row>
        <row r="1810">
          <cell r="A1810" t="str">
            <v>PARFTK11001-MB</v>
          </cell>
          <cell r="B1810" t="str">
            <v>AUTOMOTIVO</v>
          </cell>
          <cell r="C1810" t="str">
            <v>Bucha Bandeja</v>
          </cell>
          <cell r="D1810" t="str">
            <v>KIT</v>
          </cell>
          <cell r="E1810" t="str">
            <v>MOBENSANI</v>
          </cell>
          <cell r="F1810" t="str">
            <v>Par Bucha Traseira Da Bandeja Dianteira L200 Sport 03</v>
          </cell>
        </row>
        <row r="1811">
          <cell r="A1811" t="str">
            <v>PAR-FTK11003</v>
          </cell>
          <cell r="B1811" t="str">
            <v>AUTOMOTIVO</v>
          </cell>
          <cell r="C1811" t="str">
            <v>Pivô</v>
          </cell>
          <cell r="D1811" t="str">
            <v>KIT</v>
          </cell>
          <cell r="E1811" t="str">
            <v>SPARE</v>
          </cell>
          <cell r="F1811" t="str">
            <v>Par pivô Bandeja Inferior Ambos Os Lados Gol 1992 À 1997</v>
          </cell>
        </row>
        <row r="1812">
          <cell r="A1812" t="str">
            <v>PARFTK11004/06-AMW</v>
          </cell>
          <cell r="B1812" t="str">
            <v>AUTOMOTIVO</v>
          </cell>
          <cell r="C1812" t="str">
            <v>Bucha Bandeja</v>
          </cell>
          <cell r="D1812" t="str">
            <v>KIT</v>
          </cell>
          <cell r="E1812" t="str">
            <v>AMW</v>
          </cell>
          <cell r="F1812" t="str">
            <v>Par Bucha Da Bandeja Dianteira Gol G5 2008 Em Diante</v>
          </cell>
        </row>
        <row r="1813">
          <cell r="A1813" t="str">
            <v>PARFTK11019</v>
          </cell>
          <cell r="B1813" t="str">
            <v>AUTOMOTIVO</v>
          </cell>
          <cell r="C1813" t="str">
            <v>pivô</v>
          </cell>
          <cell r="D1813" t="str">
            <v>KIT</v>
          </cell>
          <cell r="E1813" t="str">
            <v>SPARE</v>
          </cell>
          <cell r="F1813" t="str">
            <v>Par Pivô Bandeja Inferior Dianteira Cordoba 93 À 02</v>
          </cell>
        </row>
        <row r="1814">
          <cell r="A1814" t="str">
            <v>PAR-FTK11019</v>
          </cell>
          <cell r="B1814" t="str">
            <v>AUTOMOTIVO</v>
          </cell>
          <cell r="C1814" t="str">
            <v>Pivô</v>
          </cell>
          <cell r="D1814" t="str">
            <v>KIT</v>
          </cell>
          <cell r="E1814" t="str">
            <v>SPARE</v>
          </cell>
          <cell r="F1814" t="str">
            <v>Par Pivô Bandeja Inferior Dianteira Golf 93 À 98</v>
          </cell>
        </row>
        <row r="1815">
          <cell r="A1815" t="str">
            <v>PARFTK11019-MB</v>
          </cell>
          <cell r="B1815" t="str">
            <v>AUTOMOTIVO</v>
          </cell>
          <cell r="C1815" t="str">
            <v>Bucha Bandeja</v>
          </cell>
          <cell r="D1815" t="str">
            <v>KIT</v>
          </cell>
          <cell r="E1815" t="str">
            <v>MOBENSANI</v>
          </cell>
          <cell r="F1815" t="str">
            <v>Par Bucha Da Bandeja Dianteira L200 Sport 2003 Diante</v>
          </cell>
        </row>
        <row r="1816">
          <cell r="A1816" t="str">
            <v>PARFTK-11020</v>
          </cell>
          <cell r="B1816" t="str">
            <v>AUTOMOTIVO</v>
          </cell>
          <cell r="C1816" t="str">
            <v>Pivô</v>
          </cell>
          <cell r="D1816" t="str">
            <v>KIT</v>
          </cell>
          <cell r="E1816" t="str">
            <v>SPARE</v>
          </cell>
          <cell r="F1816" t="str">
            <v>Par Pivô Inferior Corcel 1971 Á 1986</v>
          </cell>
        </row>
        <row r="1817">
          <cell r="A1817" t="str">
            <v>PARFTK11021</v>
          </cell>
          <cell r="B1817" t="str">
            <v>AUTOMOTIVO</v>
          </cell>
          <cell r="C1817" t="str">
            <v>pivô</v>
          </cell>
          <cell r="D1817" t="str">
            <v>KIT</v>
          </cell>
          <cell r="E1817" t="str">
            <v>SPARE</v>
          </cell>
          <cell r="F1817" t="str">
            <v>Par Pivô Bandeja Inferior Ambos Lados Fiesta Street 96 À 07</v>
          </cell>
        </row>
        <row r="1818">
          <cell r="A1818" t="str">
            <v>PAR-FTK11022</v>
          </cell>
          <cell r="B1818" t="str">
            <v>AUTOMOTIVO</v>
          </cell>
          <cell r="C1818" t="str">
            <v>Pivô</v>
          </cell>
          <cell r="D1818" t="str">
            <v>KIT</v>
          </cell>
          <cell r="E1818" t="str">
            <v>SPARE</v>
          </cell>
          <cell r="F1818" t="str">
            <v>Par Pivô Bandeja Inferior Escort 1993 A 1996</v>
          </cell>
        </row>
        <row r="1819">
          <cell r="A1819" t="str">
            <v>PAR-FTK11026</v>
          </cell>
          <cell r="B1819" t="str">
            <v>AUTOMOTIVO</v>
          </cell>
          <cell r="C1819" t="str">
            <v>Pastilha Freio</v>
          </cell>
          <cell r="D1819" t="str">
            <v>KIT</v>
          </cell>
          <cell r="E1819" t="str">
            <v>SPARE</v>
          </cell>
          <cell r="F1819" t="str">
            <v>Par Pivô Inferior Bandeja Dianteira Prisma 2006 À 2009</v>
          </cell>
        </row>
        <row r="1820">
          <cell r="A1820" t="str">
            <v>PARFTK11028-MB</v>
          </cell>
          <cell r="B1820" t="str">
            <v>AUTOMOTIVO</v>
          </cell>
          <cell r="C1820" t="str">
            <v>Bucha Bandeja</v>
          </cell>
          <cell r="D1820" t="str">
            <v>KIT</v>
          </cell>
          <cell r="E1820" t="str">
            <v>MOBENSANI</v>
          </cell>
          <cell r="F1820" t="str">
            <v>Par Bucha Da Bandeja Dianteira Pajero Io 2002 Em Diante</v>
          </cell>
        </row>
        <row r="1821">
          <cell r="A1821" t="str">
            <v>PARFTK11030</v>
          </cell>
          <cell r="B1821" t="str">
            <v>AUTOMOTIVO</v>
          </cell>
          <cell r="C1821" t="str">
            <v>Pivô</v>
          </cell>
          <cell r="D1821" t="str">
            <v>KIT</v>
          </cell>
          <cell r="E1821" t="str">
            <v>SPARE</v>
          </cell>
          <cell r="F1821" t="str">
            <v>Par pivô Bandeja Inferior Ambos Os Lados Kadett 1989 À 1998</v>
          </cell>
        </row>
        <row r="1822">
          <cell r="A1822" t="str">
            <v>PAR-FTK11032</v>
          </cell>
          <cell r="B1822" t="str">
            <v>AUTOMOTIVO</v>
          </cell>
          <cell r="C1822" t="str">
            <v>pivô</v>
          </cell>
          <cell r="D1822" t="str">
            <v>KIT</v>
          </cell>
          <cell r="E1822" t="str">
            <v>SPARE</v>
          </cell>
          <cell r="F1822" t="str">
            <v>Par Pivô Inferior Palio 2000 A 2016</v>
          </cell>
        </row>
        <row r="1823">
          <cell r="A1823" t="str">
            <v>PAR-FTK11038</v>
          </cell>
          <cell r="B1823" t="str">
            <v>AUTOMOTIVO</v>
          </cell>
          <cell r="C1823" t="str">
            <v>Pivô</v>
          </cell>
          <cell r="D1823" t="str">
            <v>KIT</v>
          </cell>
          <cell r="E1823" t="str">
            <v>SPARE</v>
          </cell>
          <cell r="F1823" t="str">
            <v>Par Pivô Inferior Palio 1996 A 1999</v>
          </cell>
        </row>
        <row r="1824">
          <cell r="A1824" t="str">
            <v>PARFTK11042/43</v>
          </cell>
          <cell r="B1824" t="str">
            <v>AUTOMOTIVO</v>
          </cell>
          <cell r="C1824" t="str">
            <v>Pivô</v>
          </cell>
          <cell r="D1824" t="str">
            <v>KIT</v>
          </cell>
          <cell r="E1824" t="str">
            <v>SPARE</v>
          </cell>
          <cell r="F1824" t="str">
            <v>Par Pivô Bandeja Dianteira Spacefox 2006 A 2010</v>
          </cell>
        </row>
        <row r="1825">
          <cell r="A1825" t="str">
            <v>PAR-FTK11045</v>
          </cell>
          <cell r="B1825" t="str">
            <v>AUTOMOTIVO</v>
          </cell>
          <cell r="C1825" t="str">
            <v>Pivô</v>
          </cell>
          <cell r="D1825" t="str">
            <v>KIT</v>
          </cell>
          <cell r="E1825" t="str">
            <v>SPARE</v>
          </cell>
          <cell r="F1825" t="str">
            <v>Par Pivô Inferior Bandeja Rav4 2000 Á 2005</v>
          </cell>
        </row>
        <row r="1826">
          <cell r="A1826" t="str">
            <v>PARFTK11048</v>
          </cell>
          <cell r="B1826" t="str">
            <v>AUTOMOTIVO</v>
          </cell>
          <cell r="C1826" t="str">
            <v>Pivô</v>
          </cell>
          <cell r="D1826" t="str">
            <v>KIT</v>
          </cell>
          <cell r="E1826" t="str">
            <v>SPARE</v>
          </cell>
          <cell r="F1826" t="str">
            <v>Par Pivô Da Bandeja Inferior C3</v>
          </cell>
        </row>
        <row r="1827">
          <cell r="A1827" t="str">
            <v>PAR-FTK11049/50</v>
          </cell>
          <cell r="B1827" t="str">
            <v>AUTOMOTIVO</v>
          </cell>
          <cell r="C1827" t="str">
            <v>Pivô</v>
          </cell>
          <cell r="D1827" t="str">
            <v>KIT</v>
          </cell>
          <cell r="E1827" t="str">
            <v>SPARE</v>
          </cell>
          <cell r="F1827" t="str">
            <v>Par Pivô Inferior Doblo Adventure 1.8 2003 A 2017</v>
          </cell>
        </row>
        <row r="1828">
          <cell r="A1828" t="str">
            <v>PAR-FTK11051</v>
          </cell>
          <cell r="B1828" t="str">
            <v>AUTOMOTIVO</v>
          </cell>
          <cell r="C1828" t="str">
            <v>Pivô</v>
          </cell>
          <cell r="D1828" t="str">
            <v>KIT</v>
          </cell>
          <cell r="E1828" t="str">
            <v>SPARE</v>
          </cell>
          <cell r="F1828" t="str">
            <v>Par Pivô Inferior Meriva 1.4 1.8 2003 A 2012</v>
          </cell>
        </row>
        <row r="1829">
          <cell r="A1829" t="str">
            <v>PARFTK11052/53</v>
          </cell>
          <cell r="B1829" t="str">
            <v>AUTOMOTIVO</v>
          </cell>
          <cell r="C1829" t="str">
            <v>Pivô</v>
          </cell>
          <cell r="D1829" t="str">
            <v>KIT</v>
          </cell>
          <cell r="E1829" t="str">
            <v>SPARE</v>
          </cell>
          <cell r="F1829" t="str">
            <v>Par Pivô Da Bandeja Strada Adventure Locker 2009 A 2017</v>
          </cell>
        </row>
        <row r="1830">
          <cell r="A1830" t="str">
            <v>PARFTK11055</v>
          </cell>
          <cell r="B1830" t="str">
            <v>AUTOMOTIVO</v>
          </cell>
          <cell r="C1830" t="str">
            <v>Pivô</v>
          </cell>
          <cell r="D1830" t="str">
            <v>KIT</v>
          </cell>
          <cell r="E1830" t="str">
            <v>SPARE</v>
          </cell>
          <cell r="F1830" t="str">
            <v>Par Pivô Bandeja Dianteira Linea 2009 A 2017</v>
          </cell>
        </row>
        <row r="1831">
          <cell r="A1831" t="str">
            <v>PAR-FTK11056/57</v>
          </cell>
          <cell r="B1831" t="str">
            <v>AUTOMOTIVO</v>
          </cell>
          <cell r="C1831" t="str">
            <v>Pivô</v>
          </cell>
          <cell r="D1831" t="str">
            <v>KIT</v>
          </cell>
          <cell r="E1831" t="str">
            <v>SPARE</v>
          </cell>
          <cell r="F1831" t="str">
            <v>Par Pivô Gol G5 2008 Em Diante Com Direção Hidraulica</v>
          </cell>
        </row>
        <row r="1832">
          <cell r="A1832" t="str">
            <v>PARFTK11058</v>
          </cell>
          <cell r="B1832" t="str">
            <v>AUTOMOTIVO</v>
          </cell>
          <cell r="C1832" t="str">
            <v>Pivô</v>
          </cell>
          <cell r="D1832" t="str">
            <v>KIT</v>
          </cell>
          <cell r="E1832" t="str">
            <v>SPARE</v>
          </cell>
          <cell r="F1832" t="str">
            <v>Par Pivô Inferior Bandeja Dianteira Idea 2010 À 2018</v>
          </cell>
        </row>
        <row r="1833">
          <cell r="A1833" t="str">
            <v>PAR-FTK11058</v>
          </cell>
          <cell r="B1833" t="str">
            <v>AUTOMOTIVO</v>
          </cell>
          <cell r="C1833" t="str">
            <v>Pivô</v>
          </cell>
          <cell r="D1833" t="str">
            <v>KIT</v>
          </cell>
          <cell r="E1833" t="str">
            <v>SPARE</v>
          </cell>
          <cell r="F1833" t="str">
            <v>Par Pivô Da Bandeja Ambos Os Lados Idea 1.4 1.8 2006 A 2017</v>
          </cell>
        </row>
        <row r="1834">
          <cell r="A1834" t="str">
            <v>PAR-FTK11110</v>
          </cell>
          <cell r="B1834" t="str">
            <v>AUTOMOTIVO</v>
          </cell>
          <cell r="C1834" t="str">
            <v>Pivô</v>
          </cell>
          <cell r="D1834" t="str">
            <v>KIT</v>
          </cell>
          <cell r="E1834" t="str">
            <v>SPARE</v>
          </cell>
          <cell r="F1834" t="str">
            <v>Par Pivô Inferior I30 I Fd 2007 A 2012</v>
          </cell>
        </row>
        <row r="1835">
          <cell r="A1835" t="str">
            <v>PARFTK11140-MB</v>
          </cell>
          <cell r="B1835" t="str">
            <v>AUTOMOTIVO</v>
          </cell>
          <cell r="C1835" t="str">
            <v>Bucha Bandeja</v>
          </cell>
          <cell r="D1835" t="str">
            <v>KIT</v>
          </cell>
          <cell r="E1835" t="str">
            <v>MOBENSANI</v>
          </cell>
          <cell r="F1835" t="str">
            <v>Par Bucha Da Bandeja Superior Dianteira Blazer 1996 A 2011</v>
          </cell>
        </row>
        <row r="1836">
          <cell r="A1836" t="str">
            <v>PARFTK11203/04-MB</v>
          </cell>
          <cell r="B1836" t="str">
            <v>AUTOMOTIVO</v>
          </cell>
          <cell r="C1836" t="str">
            <v>Bucha Bandeja</v>
          </cell>
          <cell r="D1836" t="str">
            <v>KIT</v>
          </cell>
          <cell r="E1836" t="str">
            <v>MOBENSANI</v>
          </cell>
          <cell r="F1836" t="str">
            <v>Suporte Dianteiro E Bucha Traseira Bandeja Meriva 2002 A 13</v>
          </cell>
        </row>
        <row r="1837">
          <cell r="A1837" t="str">
            <v>PARFTK11203A/04-MB</v>
          </cell>
          <cell r="B1837" t="str">
            <v>AUTOMOTIVO</v>
          </cell>
          <cell r="C1837" t="str">
            <v>Bucha Bandeja</v>
          </cell>
          <cell r="D1837" t="str">
            <v>KIT</v>
          </cell>
          <cell r="E1837" t="str">
            <v>MOBENSANI</v>
          </cell>
          <cell r="F1837" t="str">
            <v>Par Bucha Bandeja Suspensão Dianteira Meriva 2002 A 2012</v>
          </cell>
        </row>
        <row r="1838">
          <cell r="A1838" t="str">
            <v>PARFTK11224/25-MB</v>
          </cell>
          <cell r="B1838" t="str">
            <v>AUTOMOTIVO</v>
          </cell>
          <cell r="C1838" t="str">
            <v>Bucha Bandeja</v>
          </cell>
          <cell r="D1838" t="str">
            <v>KIT</v>
          </cell>
          <cell r="E1838" t="str">
            <v>MOBENSANI</v>
          </cell>
          <cell r="F1838" t="str">
            <v>Par Bucha Da Bandeja Dianteira Spin 2013 Em Diante</v>
          </cell>
        </row>
        <row r="1839">
          <cell r="A1839" t="str">
            <v>PAR-FTK14272</v>
          </cell>
          <cell r="B1839" t="str">
            <v>AUTOMOTIVO</v>
          </cell>
          <cell r="C1839" t="str">
            <v>Rolamento Roda</v>
          </cell>
          <cell r="D1839" t="str">
            <v>KIT</v>
          </cell>
          <cell r="E1839" t="str">
            <v>IRB</v>
          </cell>
          <cell r="F1839" t="str">
            <v>Par Rolamento Roda Dianteira Subaru Impreza 1.8 1994 A 2007</v>
          </cell>
        </row>
        <row r="1840">
          <cell r="A1840" t="str">
            <v>PAR-FTK18005</v>
          </cell>
          <cell r="B1840" t="str">
            <v>AUTOMOTIVO</v>
          </cell>
          <cell r="C1840" t="str">
            <v>Rolamento roda</v>
          </cell>
          <cell r="D1840" t="str">
            <v>KIT</v>
          </cell>
          <cell r="E1840" t="str">
            <v>IRB</v>
          </cell>
          <cell r="F1840" t="str">
            <v>Par Rolamento Roda Dianteira Peugeot 306 1994 A 2001</v>
          </cell>
        </row>
        <row r="1841">
          <cell r="A1841" t="str">
            <v>PAR-FTK18045</v>
          </cell>
          <cell r="B1841" t="str">
            <v>AUTOMOTIVO</v>
          </cell>
          <cell r="C1841" t="str">
            <v>Rolamento Roda</v>
          </cell>
          <cell r="D1841" t="str">
            <v>KIT</v>
          </cell>
          <cell r="E1841" t="str">
            <v>IRB</v>
          </cell>
          <cell r="F1841" t="str">
            <v>Par Rolamento Roda Dianteira Lifan X60 2013 Em Diante</v>
          </cell>
        </row>
        <row r="1842">
          <cell r="A1842" t="str">
            <v>PAR-FTK18072</v>
          </cell>
          <cell r="B1842" t="str">
            <v>AUTOMOTIVO</v>
          </cell>
          <cell r="C1842" t="str">
            <v>Pastilha Freio</v>
          </cell>
          <cell r="D1842" t="str">
            <v>KIT</v>
          </cell>
          <cell r="E1842" t="str">
            <v>IRB</v>
          </cell>
          <cell r="F1842" t="str">
            <v>Par Rolamento Roda Dianteira Peugeot 208 1.5l 2013 A 2016</v>
          </cell>
        </row>
        <row r="1843">
          <cell r="A1843" t="str">
            <v>PAR-FTK18088</v>
          </cell>
          <cell r="B1843" t="str">
            <v>AUTOMOTIVO</v>
          </cell>
          <cell r="C1843" t="str">
            <v>Rolamento roda</v>
          </cell>
          <cell r="D1843" t="str">
            <v>KIT</v>
          </cell>
          <cell r="E1843" t="str">
            <v>IRB</v>
          </cell>
          <cell r="F1843" t="str">
            <v>Par Rolamento Roda Dianteira Punto 1.8 2008 Em Diante</v>
          </cell>
        </row>
        <row r="1844">
          <cell r="A1844" t="str">
            <v>PAR-FTK18096</v>
          </cell>
          <cell r="B1844" t="str">
            <v>AUTOMOTIVO</v>
          </cell>
          <cell r="C1844" t="str">
            <v>ROLAMENTO RODA</v>
          </cell>
          <cell r="D1844" t="str">
            <v>KIT</v>
          </cell>
          <cell r="E1844" t="str">
            <v>IRB</v>
          </cell>
          <cell r="F1844" t="str">
            <v>Par Rolamento Roda Traseira Crv 2.0 16v 2005 2006</v>
          </cell>
        </row>
        <row r="1845">
          <cell r="A1845" t="str">
            <v>PAR-FTK18102</v>
          </cell>
          <cell r="B1845" t="str">
            <v>AUTOMOTIVO</v>
          </cell>
          <cell r="C1845" t="str">
            <v>Rolamento Roda</v>
          </cell>
          <cell r="D1845" t="str">
            <v>KIT</v>
          </cell>
          <cell r="E1845" t="str">
            <v>IRB</v>
          </cell>
          <cell r="F1845" t="str">
            <v>Par Rolamento Roda Traseira Range Rover Sport 2010 A 2013</v>
          </cell>
        </row>
        <row r="1846">
          <cell r="A1846" t="str">
            <v>PAR-FTK18168</v>
          </cell>
          <cell r="B1846" t="str">
            <v>AUTOMOTIVO</v>
          </cell>
          <cell r="C1846" t="str">
            <v>Rolamento</v>
          </cell>
          <cell r="D1846" t="str">
            <v>KIT</v>
          </cell>
          <cell r="E1846" t="str">
            <v>IRB</v>
          </cell>
          <cell r="F1846" t="str">
            <v>Par Rolamento Roda Dianteira Tracker 2001 A 2009</v>
          </cell>
        </row>
        <row r="1847">
          <cell r="A1847" t="str">
            <v>PAR-FTK18169</v>
          </cell>
          <cell r="B1847" t="str">
            <v>AUTOMOTIVO</v>
          </cell>
          <cell r="C1847" t="str">
            <v>Bandeja</v>
          </cell>
          <cell r="D1847" t="str">
            <v>KIT</v>
          </cell>
          <cell r="E1847" t="str">
            <v>SPARE</v>
          </cell>
          <cell r="F1847" t="str">
            <v>Par Bandeja Com Pivô Uno Vivace 2010 Em Diante</v>
          </cell>
        </row>
        <row r="1848">
          <cell r="A1848" t="str">
            <v>PAR-FTK18193</v>
          </cell>
          <cell r="B1848" t="str">
            <v>AUTOMOTIVO</v>
          </cell>
          <cell r="C1848" t="str">
            <v>Rolamento roda</v>
          </cell>
          <cell r="D1848" t="str">
            <v>KIT</v>
          </cell>
          <cell r="E1848" t="str">
            <v>IRB</v>
          </cell>
          <cell r="F1848" t="str">
            <v>Par Rolamento Roda Dianteira Jac J3 2010 Em Diante 1.4 1.5</v>
          </cell>
        </row>
        <row r="1849">
          <cell r="A1849" t="str">
            <v>PAR-FTK18273</v>
          </cell>
          <cell r="B1849" t="str">
            <v>AUTOMOTIVO</v>
          </cell>
          <cell r="C1849" t="str">
            <v>Pastilha Freio</v>
          </cell>
          <cell r="D1849" t="str">
            <v>KIT</v>
          </cell>
          <cell r="E1849" t="str">
            <v>IRB</v>
          </cell>
          <cell r="F1849" t="str">
            <v>Par Rolamento Roda Traseira Bmw Série 3 328 2005 A 2007</v>
          </cell>
        </row>
        <row r="1850">
          <cell r="A1850" t="str">
            <v>PAR-FTK18505</v>
          </cell>
          <cell r="B1850" t="str">
            <v>AUTOMOTIVO</v>
          </cell>
          <cell r="C1850" t="str">
            <v>Pastilha Freio</v>
          </cell>
          <cell r="D1850" t="str">
            <v>KIT</v>
          </cell>
          <cell r="E1850" t="str">
            <v>IRB</v>
          </cell>
          <cell r="F1850" t="str">
            <v>Par Rolamento Roda Traseira Mercedes Ml350 2012 A 2019</v>
          </cell>
        </row>
        <row r="1851">
          <cell r="A1851" t="str">
            <v>PAR-FTK18583</v>
          </cell>
          <cell r="B1851" t="str">
            <v>AUTOMOTIVO</v>
          </cell>
          <cell r="C1851" t="str">
            <v>Bandeja</v>
          </cell>
          <cell r="D1851" t="str">
            <v>KIT</v>
          </cell>
          <cell r="E1851" t="str">
            <v>SPARE</v>
          </cell>
          <cell r="F1851" t="str">
            <v>Par Bandeja Inferior Com Pivô Santana 1988 A 2006</v>
          </cell>
        </row>
        <row r="1852">
          <cell r="A1852" t="str">
            <v>PAR-FTK18627</v>
          </cell>
          <cell r="B1852" t="str">
            <v>AUTOMOTIVO</v>
          </cell>
          <cell r="C1852" t="str">
            <v>Rolamento Roda</v>
          </cell>
          <cell r="D1852" t="str">
            <v>KIT</v>
          </cell>
          <cell r="E1852" t="str">
            <v>IRB</v>
          </cell>
          <cell r="F1852" t="str">
            <v>Par Rolamento Roda Dianteira Amarok 2011 Em Diante</v>
          </cell>
        </row>
        <row r="1853">
          <cell r="A1853" t="str">
            <v>PAR-FTK18630</v>
          </cell>
          <cell r="B1853" t="str">
            <v>AUTOMOTIVO</v>
          </cell>
          <cell r="C1853" t="str">
            <v>Pastilha Freio</v>
          </cell>
          <cell r="D1853" t="str">
            <v>KIT</v>
          </cell>
          <cell r="E1853" t="str">
            <v>IRB</v>
          </cell>
          <cell r="F1853" t="str">
            <v>Par Rolamento Roda Traseira Amarok 2010 A 2019 2.0 3.0</v>
          </cell>
        </row>
        <row r="1854">
          <cell r="A1854" t="str">
            <v>PAR-FTK18647</v>
          </cell>
          <cell r="B1854" t="str">
            <v>AUTOMOTIVO</v>
          </cell>
          <cell r="C1854" t="str">
            <v>Rolamento</v>
          </cell>
          <cell r="D1854" t="str">
            <v>KIT</v>
          </cell>
          <cell r="E1854" t="str">
            <v>IRB</v>
          </cell>
          <cell r="F1854" t="str">
            <v>Par Rolamento Roda Dianteira Ranger Março 2012 Em Diante</v>
          </cell>
        </row>
        <row r="1855">
          <cell r="A1855" t="str">
            <v>PARFTK22002/03</v>
          </cell>
          <cell r="B1855" t="str">
            <v>AUTOMOTIVO</v>
          </cell>
          <cell r="C1855" t="str">
            <v>Pivô</v>
          </cell>
          <cell r="D1855" t="str">
            <v>KIT</v>
          </cell>
          <cell r="E1855" t="str">
            <v>SPARE</v>
          </cell>
          <cell r="F1855" t="str">
            <v>Pivô Da Bandeja Inferior Lado Esquerdo New Civic 2006 A 2011</v>
          </cell>
        </row>
        <row r="1856">
          <cell r="A1856" t="str">
            <v>PAR-FTK22104</v>
          </cell>
          <cell r="B1856" t="str">
            <v>AUTOMOTIVO</v>
          </cell>
          <cell r="C1856" t="str">
            <v>Pivô</v>
          </cell>
          <cell r="D1856" t="str">
            <v>KIT</v>
          </cell>
          <cell r="E1856" t="str">
            <v>SPARE</v>
          </cell>
          <cell r="F1856" t="str">
            <v>Par Pivô Da Bandeja Dianteira Ix35 2010 A 2017</v>
          </cell>
        </row>
        <row r="1857">
          <cell r="A1857" t="str">
            <v>PARFTK22182</v>
          </cell>
          <cell r="B1857" t="str">
            <v>AUTOMOTIVO</v>
          </cell>
          <cell r="C1857" t="str">
            <v>Pivô</v>
          </cell>
          <cell r="D1857" t="str">
            <v>KIT</v>
          </cell>
          <cell r="E1857" t="str">
            <v>SPARE</v>
          </cell>
          <cell r="F1857" t="str">
            <v>Par Pivô Inferior Da Bandeja Clio 1996 A 2003</v>
          </cell>
        </row>
        <row r="1858">
          <cell r="A1858" t="str">
            <v>PAR-FTK22182</v>
          </cell>
          <cell r="B1858" t="str">
            <v>AUTOMOTIVO</v>
          </cell>
          <cell r="C1858" t="str">
            <v>Pivô</v>
          </cell>
          <cell r="D1858" t="str">
            <v>KIT</v>
          </cell>
          <cell r="E1858" t="str">
            <v>SPARE</v>
          </cell>
          <cell r="F1858" t="str">
            <v>Par Pivô Inferior Da Bandeja Scenic 1998 A 2010</v>
          </cell>
        </row>
        <row r="1859">
          <cell r="A1859" t="str">
            <v>PAR-FTK22183</v>
          </cell>
          <cell r="B1859" t="str">
            <v>AUTOMOTIVO</v>
          </cell>
          <cell r="C1859" t="str">
            <v>Pivô</v>
          </cell>
          <cell r="D1859" t="str">
            <v>KIT</v>
          </cell>
          <cell r="E1859" t="str">
            <v>SPARE</v>
          </cell>
          <cell r="F1859" t="str">
            <v>Par Pivô Da Bandeja Dianteira Megane 1996 A 2005</v>
          </cell>
        </row>
        <row r="1860">
          <cell r="A1860" t="str">
            <v>PARFTK222014</v>
          </cell>
          <cell r="B1860" t="str">
            <v>AUTOMOTIVO</v>
          </cell>
          <cell r="C1860" t="str">
            <v>Pivô</v>
          </cell>
          <cell r="D1860" t="str">
            <v>KIT</v>
          </cell>
          <cell r="E1860" t="str">
            <v>SPARE</v>
          </cell>
          <cell r="F1860" t="str">
            <v>Par Pivô De Suspensão Inferior Ranger 4x2 4x4 1998 A 2012</v>
          </cell>
        </row>
        <row r="1861">
          <cell r="A1861" t="str">
            <v>PARFTK22208/2263-MB</v>
          </cell>
          <cell r="B1861" t="str">
            <v>AUTOMOTIVO</v>
          </cell>
          <cell r="C1861" t="str">
            <v>Bucha Bandeja</v>
          </cell>
          <cell r="D1861" t="str">
            <v>KIT</v>
          </cell>
          <cell r="E1861" t="str">
            <v>MOBENSANI</v>
          </cell>
          <cell r="F1861" t="str">
            <v>Par Bucha Da Bandeja Dianteira Courier 1997 A 2002</v>
          </cell>
        </row>
        <row r="1862">
          <cell r="A1862" t="str">
            <v>PARFTK22286-GP</v>
          </cell>
          <cell r="B1862" t="str">
            <v>AUTOMOTIVO</v>
          </cell>
          <cell r="C1862" t="str">
            <v>Bucha Bandeja</v>
          </cell>
          <cell r="D1862" t="str">
            <v>KIT</v>
          </cell>
          <cell r="E1862" t="str">
            <v>GUARU BORRACHAS</v>
          </cell>
          <cell r="F1862" t="str">
            <v>Par Bucha Bandeja Superior Dianteira Ranger 2012 Em Diante</v>
          </cell>
        </row>
        <row r="1863">
          <cell r="A1863" t="str">
            <v>PAR-FTK279/82</v>
          </cell>
          <cell r="B1863" t="str">
            <v>AUTOMOTIVO</v>
          </cell>
          <cell r="C1863" t="str">
            <v>Pastilha Freio</v>
          </cell>
          <cell r="D1863" t="str">
            <v>KIT</v>
          </cell>
          <cell r="E1863" t="str">
            <v>Replabor</v>
          </cell>
          <cell r="F1863" t="str">
            <v>Par Coifa Homocinetica Cobalt 1.8 2013 A 2016</v>
          </cell>
        </row>
        <row r="1864">
          <cell r="A1864" t="str">
            <v>PAR-FTK313</v>
          </cell>
          <cell r="B1864" t="str">
            <v>AUTOMOTIVO</v>
          </cell>
          <cell r="C1864" t="str">
            <v>Coxim Amortecedor</v>
          </cell>
          <cell r="D1864" t="str">
            <v>KIT</v>
          </cell>
          <cell r="E1864" t="str">
            <v>RE9BOR</v>
          </cell>
          <cell r="F1864" t="str">
            <v>Par Coxim Amortecedor Dianteiro Saveiro 1980 A 1995</v>
          </cell>
        </row>
        <row r="1865">
          <cell r="A1865" t="str">
            <v>PAR-FTK314</v>
          </cell>
          <cell r="B1865" t="str">
            <v>AUTOMOTIVO</v>
          </cell>
          <cell r="C1865" t="str">
            <v>Coifa Homocinética</v>
          </cell>
          <cell r="D1865" t="str">
            <v>KIT</v>
          </cell>
          <cell r="E1865" t="str">
            <v>Replabor</v>
          </cell>
          <cell r="F1865" t="str">
            <v>Par Coifa Homocinetica Lado Roda Fiat 147 1976 A 1986</v>
          </cell>
        </row>
        <row r="1866">
          <cell r="A1866" t="str">
            <v>PARFTK33006-AMW</v>
          </cell>
          <cell r="B1866" t="str">
            <v>AUTOMOTIVO</v>
          </cell>
          <cell r="C1866" t="str">
            <v>Bucha Bandeja</v>
          </cell>
          <cell r="D1866" t="str">
            <v>KIT</v>
          </cell>
          <cell r="E1866" t="str">
            <v>AMW</v>
          </cell>
          <cell r="F1866" t="str">
            <v>Par Bucha Do Braço Superior Dianteiro Explorer 96 97</v>
          </cell>
        </row>
        <row r="1867">
          <cell r="A1867" t="str">
            <v>PARFTK33028-MB</v>
          </cell>
          <cell r="B1867" t="str">
            <v>AUTOMOTIVO</v>
          </cell>
          <cell r="C1867" t="str">
            <v>Bucha Bandeja</v>
          </cell>
          <cell r="D1867" t="str">
            <v>KIT</v>
          </cell>
          <cell r="E1867" t="str">
            <v>MOBENSANI</v>
          </cell>
          <cell r="F1867" t="str">
            <v>Par Bucha Central Da Bandeja Inferior Amarok 2010 Em Diante</v>
          </cell>
        </row>
        <row r="1868">
          <cell r="A1868" t="str">
            <v>PARFTK33029-MB</v>
          </cell>
          <cell r="B1868" t="str">
            <v>AUTOMOTIVO</v>
          </cell>
          <cell r="C1868" t="str">
            <v>Bucha Bandeja</v>
          </cell>
          <cell r="D1868" t="str">
            <v>KIT</v>
          </cell>
          <cell r="E1868" t="str">
            <v>MOBENSANI</v>
          </cell>
          <cell r="F1868" t="str">
            <v>Par Bucha Da Bandeja Superior Amarok 2010 Em Diante</v>
          </cell>
        </row>
        <row r="1869">
          <cell r="A1869" t="str">
            <v>PAR-FTK3320K</v>
          </cell>
          <cell r="B1869" t="str">
            <v>AUTOMOTIVO</v>
          </cell>
          <cell r="C1869" t="str">
            <v>Coifa Homocinética</v>
          </cell>
          <cell r="D1869" t="str">
            <v>KIT</v>
          </cell>
          <cell r="E1869" t="str">
            <v>Replabor</v>
          </cell>
          <cell r="F1869" t="str">
            <v>Par Coifa Semi Eixo Lado Câmbio Fiorino 1980 A 2009</v>
          </cell>
        </row>
        <row r="1870">
          <cell r="A1870" t="str">
            <v>PAR-FTK3321K</v>
          </cell>
          <cell r="B1870" t="str">
            <v>AUTOMOTIVO</v>
          </cell>
          <cell r="C1870" t="str">
            <v>Coifa Homocinética</v>
          </cell>
          <cell r="D1870" t="str">
            <v>KIT</v>
          </cell>
          <cell r="E1870" t="str">
            <v>Replabor</v>
          </cell>
          <cell r="F1870" t="str">
            <v>Par Coifa Semi Eixo Câmbio Fiat Cronos 2017 Em Diante</v>
          </cell>
        </row>
        <row r="1871">
          <cell r="A1871" t="str">
            <v>PAR-FTK3322K</v>
          </cell>
          <cell r="B1871" t="str">
            <v>AUTOMOTIVO</v>
          </cell>
          <cell r="C1871" t="str">
            <v>Coifa Homocinética</v>
          </cell>
          <cell r="D1871" t="str">
            <v>KIT</v>
          </cell>
          <cell r="E1871" t="str">
            <v>Replabor</v>
          </cell>
          <cell r="F1871" t="str">
            <v>Par Coifa Homocinética Lado Roda Fiat Uno 1991 A 2012 Todos</v>
          </cell>
        </row>
        <row r="1872">
          <cell r="A1872" t="str">
            <v>PARFTK33395</v>
          </cell>
          <cell r="B1872" t="str">
            <v>AUTOMOTIVO</v>
          </cell>
          <cell r="C1872" t="str">
            <v>Pivô</v>
          </cell>
          <cell r="D1872" t="str">
            <v>KIT</v>
          </cell>
          <cell r="E1872" t="str">
            <v>SPARE</v>
          </cell>
          <cell r="F1872" t="str">
            <v>Par Pivô Inferior Da Bandeja Dianteira Fiesta 2002 A 2014</v>
          </cell>
        </row>
        <row r="1873">
          <cell r="A1873" t="str">
            <v>PAR-FTK33395</v>
          </cell>
          <cell r="B1873" t="str">
            <v>AUTOMOTIVO</v>
          </cell>
          <cell r="C1873" t="str">
            <v>pivô</v>
          </cell>
          <cell r="D1873" t="str">
            <v>KIT</v>
          </cell>
          <cell r="E1873" t="str">
            <v>SPARE</v>
          </cell>
          <cell r="F1873" t="str">
            <v>Par Pivô Inferior Da Bandeja Dianteira Ecosport 2003 A 2013</v>
          </cell>
        </row>
        <row r="1874">
          <cell r="A1874" t="str">
            <v>PAR-FTK411</v>
          </cell>
          <cell r="B1874" t="str">
            <v>AUTOMOTIVO</v>
          </cell>
          <cell r="C1874" t="str">
            <v>Coifa Homocinética</v>
          </cell>
          <cell r="D1874" t="str">
            <v>KIT</v>
          </cell>
          <cell r="E1874" t="str">
            <v>Replabor</v>
          </cell>
          <cell r="F1874" t="str">
            <v>Par Coifa Homocinetica Lado Roda Parati 1980 A 2008</v>
          </cell>
        </row>
        <row r="1875">
          <cell r="A1875" t="str">
            <v>PARFTK44002/03-AMW</v>
          </cell>
          <cell r="B1875" t="str">
            <v>AUTOMOTIVO</v>
          </cell>
          <cell r="C1875" t="str">
            <v>Bucha Bandeja</v>
          </cell>
          <cell r="D1875" t="str">
            <v>KIT</v>
          </cell>
          <cell r="E1875" t="str">
            <v>AMW</v>
          </cell>
          <cell r="F1875" t="str">
            <v>Par Bucha Lado Esquerdo Bandeja Dianteira Tempra 93 Diante</v>
          </cell>
        </row>
        <row r="1876">
          <cell r="A1876" t="str">
            <v>PARFTK44002/06-AMW</v>
          </cell>
          <cell r="B1876" t="str">
            <v>AUTOMOTIVO</v>
          </cell>
          <cell r="C1876" t="str">
            <v>Bucha Bandeja</v>
          </cell>
          <cell r="D1876" t="str">
            <v>KIT</v>
          </cell>
          <cell r="E1876" t="str">
            <v>AMW</v>
          </cell>
          <cell r="F1876" t="str">
            <v>Par Bucha Lado Direito Bandeja Dianteira Marea 98 Em Diante</v>
          </cell>
        </row>
        <row r="1877">
          <cell r="A1877" t="str">
            <v>PARFTK44005-AMW</v>
          </cell>
          <cell r="B1877" t="str">
            <v>AUTOMOTIVO</v>
          </cell>
          <cell r="C1877" t="str">
            <v>Bucha Bandeja</v>
          </cell>
          <cell r="D1877" t="str">
            <v>KIT</v>
          </cell>
          <cell r="E1877" t="str">
            <v>AMW</v>
          </cell>
          <cell r="F1877" t="str">
            <v>Par Bucha Da Bandeja Suspensão Traseira Fiat 147 83 A 86</v>
          </cell>
        </row>
        <row r="1878">
          <cell r="A1878" t="str">
            <v>PARFTK4476/44406-MB</v>
          </cell>
          <cell r="B1878" t="str">
            <v>AUTOMOTIVO</v>
          </cell>
          <cell r="C1878" t="str">
            <v>Bucha Bandeja</v>
          </cell>
          <cell r="D1878" t="str">
            <v>KIT</v>
          </cell>
          <cell r="E1878" t="str">
            <v>MOBENSANI</v>
          </cell>
          <cell r="F1878" t="str">
            <v>Par Bucha Da Bandeja Dianteira Linea 2008 A 2017</v>
          </cell>
        </row>
        <row r="1879">
          <cell r="A1879" t="str">
            <v>PARFTK4476/77-MB</v>
          </cell>
          <cell r="B1879" t="str">
            <v>AUTOMOTIVO</v>
          </cell>
          <cell r="C1879" t="str">
            <v>Bucha Bandeja</v>
          </cell>
          <cell r="D1879" t="str">
            <v>KIT</v>
          </cell>
          <cell r="E1879" t="str">
            <v>MOBENSANI</v>
          </cell>
          <cell r="F1879" t="str">
            <v>Par Bucha Da Bandeja Dianteira Stilo 2002 A 2010</v>
          </cell>
        </row>
        <row r="1880">
          <cell r="A1880" t="str">
            <v>PAR-FTK452</v>
          </cell>
          <cell r="B1880" t="str">
            <v>AUTOMOTIVO</v>
          </cell>
          <cell r="C1880" t="str">
            <v>Coifa Homocinética</v>
          </cell>
          <cell r="D1880" t="str">
            <v>KIT</v>
          </cell>
          <cell r="E1880" t="str">
            <v>Replabor</v>
          </cell>
          <cell r="F1880" t="str">
            <v>Par Coifa Homocinetica Lado Roda Crossfox 2004 Em Diante</v>
          </cell>
        </row>
        <row r="1881">
          <cell r="A1881" t="str">
            <v>PAR-FTK616/25</v>
          </cell>
          <cell r="B1881" t="str">
            <v>AUTOMOTIVO</v>
          </cell>
          <cell r="C1881" t="str">
            <v>Pastilha Freio</v>
          </cell>
          <cell r="D1881" t="str">
            <v>KIT</v>
          </cell>
          <cell r="E1881" t="str">
            <v>Replabor</v>
          </cell>
          <cell r="F1881" t="str">
            <v>Par Coifa Homocinetica Peugeot 2008 1.6 2016 Em Diante</v>
          </cell>
        </row>
        <row r="1882">
          <cell r="A1882" t="str">
            <v>PARFTK66000/01MB</v>
          </cell>
          <cell r="B1882" t="str">
            <v>AUTOMOTIVO</v>
          </cell>
          <cell r="C1882" t="str">
            <v>Bucha Bandeja</v>
          </cell>
          <cell r="D1882" t="str">
            <v>KIT</v>
          </cell>
          <cell r="E1882" t="str">
            <v>MOBENSANI</v>
          </cell>
          <cell r="F1882" t="str">
            <v>Par Bucha Da Bandeja Dianteira City 2010 A 2014</v>
          </cell>
        </row>
        <row r="1883">
          <cell r="A1883" t="str">
            <v>PARFTK66029/39-MB</v>
          </cell>
          <cell r="B1883" t="str">
            <v>AUTOMOTIVO</v>
          </cell>
          <cell r="C1883" t="str">
            <v>Bucha Bandeja</v>
          </cell>
          <cell r="D1883" t="str">
            <v>KIT</v>
          </cell>
          <cell r="E1883" t="str">
            <v>MOBENSANI</v>
          </cell>
          <cell r="F1883" t="str">
            <v>Par Bucha Da Bandeja Dianteira Crv 2007 A 2012</v>
          </cell>
        </row>
        <row r="1884">
          <cell r="A1884" t="str">
            <v>PAR-FTK717/28</v>
          </cell>
          <cell r="B1884" t="str">
            <v>AUTOMOTIVO</v>
          </cell>
          <cell r="C1884" t="str">
            <v>Coifa Homocinética</v>
          </cell>
          <cell r="D1884" t="str">
            <v>KIT</v>
          </cell>
          <cell r="E1884" t="str">
            <v>Replabor</v>
          </cell>
          <cell r="F1884" t="str">
            <v>Par Coifa Homocinetica Lado Cambio Logan 2007 Em Diante</v>
          </cell>
        </row>
        <row r="1885">
          <cell r="A1885" t="str">
            <v>PARFTK77001-AMW</v>
          </cell>
          <cell r="B1885" t="str">
            <v>AUTOMOTIVO</v>
          </cell>
          <cell r="C1885" t="str">
            <v>Bucha Bandeja</v>
          </cell>
          <cell r="D1885" t="str">
            <v>KIT</v>
          </cell>
          <cell r="E1885" t="str">
            <v>AMW</v>
          </cell>
          <cell r="F1885" t="str">
            <v>Par Bucha Dianteira Da Bandeja Dianteira Berlingo</v>
          </cell>
        </row>
        <row r="1886">
          <cell r="A1886" t="str">
            <v>PARFTK77014/15-MB</v>
          </cell>
          <cell r="B1886" t="str">
            <v>AUTOMOTIVO</v>
          </cell>
          <cell r="C1886" t="str">
            <v>Bucha Bandeja</v>
          </cell>
          <cell r="D1886" t="str">
            <v>KIT</v>
          </cell>
          <cell r="E1886" t="str">
            <v>MOBENSANI</v>
          </cell>
          <cell r="F1886" t="str">
            <v>Par Bucha Da Bandeja Dianteira Livina 2010 A 2014</v>
          </cell>
        </row>
        <row r="1887">
          <cell r="A1887" t="str">
            <v>PAR-FTK77365/66</v>
          </cell>
          <cell r="B1887" t="str">
            <v>AUTOMOTIVO</v>
          </cell>
          <cell r="C1887" t="str">
            <v>Pivô</v>
          </cell>
          <cell r="D1887" t="str">
            <v>KIT</v>
          </cell>
          <cell r="E1887" t="str">
            <v>SPARE</v>
          </cell>
          <cell r="F1887" t="str">
            <v>Par Pivô Inferior Audi A3 1999 A 2006</v>
          </cell>
        </row>
        <row r="1888">
          <cell r="A1888" t="str">
            <v>PARFTK7739/40-MB</v>
          </cell>
          <cell r="B1888" t="str">
            <v>AUTOMOTIVO</v>
          </cell>
          <cell r="C1888" t="str">
            <v>Bucha Bandeja</v>
          </cell>
          <cell r="D1888" t="str">
            <v>KIT</v>
          </cell>
          <cell r="E1888" t="str">
            <v>MOBENSANI</v>
          </cell>
          <cell r="F1888" t="str">
            <v>Par Bucha Bandeja Dianteira Corolla 1997 A 2002</v>
          </cell>
        </row>
        <row r="1889">
          <cell r="A1889" t="str">
            <v>PARFTK7741/42-MB</v>
          </cell>
          <cell r="B1889" t="str">
            <v>AUTOMOTIVO</v>
          </cell>
          <cell r="C1889" t="str">
            <v>Bucha Bandeja</v>
          </cell>
          <cell r="D1889" t="str">
            <v>KIT</v>
          </cell>
          <cell r="E1889" t="str">
            <v>MOBENSANI</v>
          </cell>
          <cell r="F1889" t="str">
            <v>Par Bucha Da Bandeja Dianteira Corolla 2003 Em Diante</v>
          </cell>
        </row>
        <row r="1890">
          <cell r="A1890" t="str">
            <v>PARFTK77503-AMW</v>
          </cell>
          <cell r="B1890" t="str">
            <v>AUTOMOTIVO</v>
          </cell>
          <cell r="C1890" t="str">
            <v>Bucha Bandeja</v>
          </cell>
          <cell r="D1890" t="str">
            <v>KIT</v>
          </cell>
          <cell r="E1890" t="str">
            <v>AMW</v>
          </cell>
          <cell r="F1890" t="str">
            <v>Par Bucha Da Bandeja Dianteira Kangoo 1997 Em Diante</v>
          </cell>
        </row>
        <row r="1891">
          <cell r="A1891" t="str">
            <v>PARFTK99082-MB</v>
          </cell>
          <cell r="B1891" t="str">
            <v>AUTOMOTIVO</v>
          </cell>
          <cell r="C1891" t="str">
            <v>Bucha Bandeja</v>
          </cell>
          <cell r="D1891" t="str">
            <v>KIT</v>
          </cell>
          <cell r="E1891" t="str">
            <v>MOBENSANI</v>
          </cell>
          <cell r="F1891" t="str">
            <v>Par Bucha Traseira Da Bandeja Dianteira Mondeo 1996 A 2001</v>
          </cell>
        </row>
        <row r="1892">
          <cell r="A1892" t="str">
            <v>PARFTK99083-MB</v>
          </cell>
          <cell r="B1892" t="str">
            <v>AUTOMOTIVO</v>
          </cell>
          <cell r="C1892" t="str">
            <v>Bucha Bandeja</v>
          </cell>
          <cell r="D1892" t="str">
            <v>KIT</v>
          </cell>
          <cell r="E1892" t="str">
            <v>MOBENSANI</v>
          </cell>
          <cell r="F1892" t="str">
            <v>Par Bucha Dianteira Da Bandeja Dianteira Mondeo 1993 A 2001</v>
          </cell>
        </row>
        <row r="1893">
          <cell r="A1893" t="str">
            <v>PARFTK99103/04-MB</v>
          </cell>
          <cell r="B1893" t="str">
            <v>AUTOMOTIVO</v>
          </cell>
          <cell r="C1893" t="str">
            <v>Bucha Bandeja</v>
          </cell>
          <cell r="D1893" t="str">
            <v>KIT</v>
          </cell>
          <cell r="E1893" t="str">
            <v>MOBENSANI</v>
          </cell>
          <cell r="F1893" t="str">
            <v>Par Bucha Da Bandeja Dianteira Megane 2007 Em Diante</v>
          </cell>
        </row>
        <row r="1894">
          <cell r="A1894" t="str">
            <v>PARFTK99128/29-MB</v>
          </cell>
          <cell r="B1894" t="str">
            <v>AUTOMOTIVO</v>
          </cell>
          <cell r="C1894" t="str">
            <v>Bucha Bandeja</v>
          </cell>
          <cell r="D1894" t="str">
            <v>KIT</v>
          </cell>
          <cell r="E1894" t="str">
            <v>MOBENSANI</v>
          </cell>
          <cell r="F1894" t="str">
            <v>Par Bucha Da Bandeja Dianteira Fluence 2010 Em Diante</v>
          </cell>
        </row>
        <row r="1895">
          <cell r="A1895" t="str">
            <v>PARFTK99140-MB</v>
          </cell>
          <cell r="B1895" t="str">
            <v>AUTOMOTIVO</v>
          </cell>
          <cell r="C1895" t="str">
            <v>Bucha Bandeja</v>
          </cell>
          <cell r="D1895" t="str">
            <v>KIT</v>
          </cell>
          <cell r="E1895" t="str">
            <v>MOBENSANI</v>
          </cell>
          <cell r="F1895" t="str">
            <v>Par Bucha Da Bandeja Superior Dianteira Civic 1996 A 2000</v>
          </cell>
        </row>
        <row r="1896">
          <cell r="A1896" t="str">
            <v>PARFTK99171-MB</v>
          </cell>
          <cell r="B1896" t="str">
            <v>AUTOMOTIVO</v>
          </cell>
          <cell r="C1896" t="str">
            <v>Bucha Bandeja</v>
          </cell>
          <cell r="D1896" t="str">
            <v>KIT</v>
          </cell>
          <cell r="E1896" t="str">
            <v>MOBENSANI</v>
          </cell>
          <cell r="F1896" t="str">
            <v>Par Bucha Da Bandeja Superior Dianteira Civic 1992 A 1995</v>
          </cell>
        </row>
        <row r="1897">
          <cell r="A1897" t="str">
            <v>PARFTK99325-MB</v>
          </cell>
          <cell r="B1897" t="str">
            <v>AUTOMOTIVO</v>
          </cell>
          <cell r="C1897" t="str">
            <v>Bucha Bandeja</v>
          </cell>
          <cell r="D1897" t="str">
            <v>KIT</v>
          </cell>
          <cell r="E1897" t="str">
            <v>MOBENSANI</v>
          </cell>
          <cell r="F1897" t="str">
            <v>Par Bucha Da Bandeja Dianteira Sandero 2007 Em Diante</v>
          </cell>
        </row>
        <row r="1898">
          <cell r="A1898" t="str">
            <v>PARFTK99370/71-MB</v>
          </cell>
          <cell r="B1898" t="str">
            <v>AUTOMOTIVO</v>
          </cell>
          <cell r="C1898" t="str">
            <v>Bucha Bandeja</v>
          </cell>
          <cell r="D1898" t="str">
            <v>KIT</v>
          </cell>
          <cell r="E1898" t="str">
            <v>MOBENSANI</v>
          </cell>
          <cell r="F1898" t="str">
            <v>Par Bucha Da Bandeja Dianteira Kwid 2017 Em Diante</v>
          </cell>
        </row>
        <row r="1899">
          <cell r="A1899" t="str">
            <v>Par-GM001</v>
          </cell>
          <cell r="B1899" t="str">
            <v>AUTOMOTIVO</v>
          </cell>
          <cell r="C1899" t="str">
            <v>Rolamento Roda</v>
          </cell>
          <cell r="D1899" t="str">
            <v>KIT</v>
          </cell>
          <cell r="E1899" t="str">
            <v>POLO</v>
          </cell>
          <cell r="F1899" t="str">
            <v>Par Kit Rolamento Roda Traseira Corsa 1.4 8/16v 1994 A 2002</v>
          </cell>
        </row>
        <row r="1900">
          <cell r="A1900" t="str">
            <v>PAR-LT5577</v>
          </cell>
          <cell r="B1900" t="str">
            <v>AUTOMOTIVO</v>
          </cell>
          <cell r="C1900" t="str">
            <v>Haste Câmbio</v>
          </cell>
          <cell r="D1900" t="str">
            <v>KIT</v>
          </cell>
          <cell r="E1900" t="str">
            <v>LT CORREA</v>
          </cell>
          <cell r="F1900" t="str">
            <v>Par Haste Do Trambulador 230mm Golf 1998 Á 2001 Motor 1.6</v>
          </cell>
        </row>
        <row r="1901">
          <cell r="A1901" t="str">
            <v>PAR-NZT0012</v>
          </cell>
          <cell r="B1901" t="str">
            <v>AUTOMOTIVO</v>
          </cell>
          <cell r="C1901" t="str">
            <v>Rolamento Roda</v>
          </cell>
          <cell r="D1901" t="str">
            <v>KIT</v>
          </cell>
          <cell r="E1901" t="str">
            <v>POLO</v>
          </cell>
          <cell r="F1901" t="str">
            <v>Rolamento Da Roda Dianteira Sem Abs</v>
          </cell>
        </row>
        <row r="1902">
          <cell r="A1902" t="str">
            <v>PAR-NZT0186</v>
          </cell>
          <cell r="B1902" t="str">
            <v>AUTOMOTIVO</v>
          </cell>
          <cell r="C1902" t="str">
            <v>Rolamento Roda</v>
          </cell>
          <cell r="D1902" t="str">
            <v>KIT</v>
          </cell>
          <cell r="E1902" t="str">
            <v>Polo</v>
          </cell>
          <cell r="F1902" t="str">
            <v>Par Rolamento Roda Dianteiro Peugeot 406 1997 A 2003</v>
          </cell>
        </row>
        <row r="1903">
          <cell r="A1903" t="str">
            <v>PAR-NZT1206</v>
          </cell>
          <cell r="B1903" t="str">
            <v>AUTOMOTIVO</v>
          </cell>
          <cell r="C1903" t="str">
            <v>Rolamento</v>
          </cell>
          <cell r="D1903" t="str">
            <v>KIT</v>
          </cell>
          <cell r="E1903" t="str">
            <v>POLO</v>
          </cell>
          <cell r="F1903" t="str">
            <v>Par Rolamento Roda Traseira Fusion Com Abs</v>
          </cell>
        </row>
        <row r="1904">
          <cell r="A1904" t="str">
            <v>par-nzt311315</v>
          </cell>
          <cell r="B1904" t="str">
            <v>AUTOMOTIVO</v>
          </cell>
          <cell r="C1904" t="str">
            <v>Rolamento Roda</v>
          </cell>
          <cell r="D1904" t="str">
            <v>KIT</v>
          </cell>
          <cell r="E1904" t="str">
            <v>POLO</v>
          </cell>
          <cell r="F1904" t="str">
            <v>Par Rolamento Da Roda Dianteira Sem Abs Parati Gol Até 1994</v>
          </cell>
        </row>
        <row r="1905">
          <cell r="A1905" t="str">
            <v>Par-NZT311396</v>
          </cell>
          <cell r="B1905" t="str">
            <v>AUTOMOTIVO</v>
          </cell>
          <cell r="C1905" t="str">
            <v>Rolamento Roda</v>
          </cell>
          <cell r="D1905" t="str">
            <v>KIT</v>
          </cell>
          <cell r="E1905" t="str">
            <v>POLO</v>
          </cell>
          <cell r="F1905" t="str">
            <v>Par Rolamento Da Roda Dianteira Sem Abs Chery</v>
          </cell>
        </row>
        <row r="1906">
          <cell r="A1906" t="str">
            <v>PAR-NZT3600</v>
          </cell>
          <cell r="B1906" t="str">
            <v>AUTOMOTIVO</v>
          </cell>
          <cell r="C1906" t="str">
            <v>Rolamento Roda</v>
          </cell>
          <cell r="D1906" t="str">
            <v>KIT</v>
          </cell>
          <cell r="E1906" t="str">
            <v>POLO</v>
          </cell>
          <cell r="F1906" t="str">
            <v>2 Kits Rolamento Roda Dianteira Corsa Frente Montana</v>
          </cell>
        </row>
        <row r="1907">
          <cell r="A1907" t="str">
            <v>PAR-NZT3601</v>
          </cell>
          <cell r="B1907" t="str">
            <v>AUTOMOTIVO</v>
          </cell>
          <cell r="C1907" t="str">
            <v>Rolamento Roda</v>
          </cell>
          <cell r="D1907" t="str">
            <v>KIT</v>
          </cell>
          <cell r="E1907" t="str">
            <v>POLO</v>
          </cell>
          <cell r="F1907" t="str">
            <v>2 Kits Rolamento Roda Traseira Meriva Corsa Montana</v>
          </cell>
        </row>
        <row r="1908">
          <cell r="A1908" t="str">
            <v>PAR-NZT563644</v>
          </cell>
          <cell r="B1908" t="str">
            <v>AUTOMOTIVO</v>
          </cell>
          <cell r="C1908" t="str">
            <v>Pastilha Freio</v>
          </cell>
          <cell r="D1908" t="str">
            <v>KIT</v>
          </cell>
          <cell r="E1908" t="str">
            <v>POLO</v>
          </cell>
          <cell r="F1908" t="str">
            <v>Par Rolamento Roda Dianteira Onix 1.0 1.4 2012 Em Diante</v>
          </cell>
        </row>
        <row r="1909">
          <cell r="A1909" t="str">
            <v>par-nzt636114</v>
          </cell>
          <cell r="B1909" t="str">
            <v>AUTOMOTIVO</v>
          </cell>
          <cell r="C1909" t="str">
            <v>Rolamento Roda</v>
          </cell>
          <cell r="D1909" t="str">
            <v>KIT</v>
          </cell>
          <cell r="E1909" t="str">
            <v>POLO</v>
          </cell>
          <cell r="F1909" t="str">
            <v>Par Rolamento Da Roda Dianteira Sem Abs Prisma Corsa Classic</v>
          </cell>
        </row>
        <row r="1910">
          <cell r="A1910" t="str">
            <v>Par-PF005</v>
          </cell>
          <cell r="B1910" t="str">
            <v>AUTOMOTIVO</v>
          </cell>
          <cell r="C1910" t="str">
            <v>Rolamento Eixo</v>
          </cell>
          <cell r="D1910" t="str">
            <v>KIT</v>
          </cell>
          <cell r="E1910" t="str">
            <v>Importação</v>
          </cell>
          <cell r="F1910" t="str">
            <v>Par Reparo Rolamento Eixo Traseiro Palio Weekend Marea Brava</v>
          </cell>
        </row>
        <row r="1911">
          <cell r="A1911" t="str">
            <v>PAR-PFTK22183</v>
          </cell>
          <cell r="B1911" t="str">
            <v>AUTOMOTIVO</v>
          </cell>
          <cell r="C1911" t="str">
            <v>Pivô</v>
          </cell>
          <cell r="D1911" t="str">
            <v>KIT</v>
          </cell>
          <cell r="E1911" t="str">
            <v>SPARE</v>
          </cell>
          <cell r="F1911" t="str">
            <v>Par Pivô Da Bandeja Dianteira R19 1988 A 1997</v>
          </cell>
        </row>
        <row r="1912">
          <cell r="A1912" t="str">
            <v>Par-PG001</v>
          </cell>
          <cell r="B1912" t="str">
            <v>AUTOMOTIVO</v>
          </cell>
          <cell r="C1912" t="str">
            <v>Rolamento Eixo</v>
          </cell>
          <cell r="D1912" t="str">
            <v>KIT</v>
          </cell>
          <cell r="E1912" t="str">
            <v>Importação</v>
          </cell>
          <cell r="F1912" t="str">
            <v>Kit Rolamento Eixo Traseiro Peugeot206/207 C/barra 47mm</v>
          </cell>
        </row>
        <row r="1913">
          <cell r="A1913" t="str">
            <v>Par-PG001A</v>
          </cell>
          <cell r="B1913" t="str">
            <v>AUTOMOTIVO</v>
          </cell>
          <cell r="C1913" t="str">
            <v>Rolamento Eixo</v>
          </cell>
          <cell r="D1913" t="str">
            <v>KIT</v>
          </cell>
          <cell r="E1913" t="str">
            <v>Importação</v>
          </cell>
          <cell r="F1913" t="str">
            <v>Kit Rolamento Eixo Traseiro Peugeot 206/207 C/barra 50mm</v>
          </cell>
        </row>
        <row r="1914">
          <cell r="A1914" t="str">
            <v>Par-PG002</v>
          </cell>
          <cell r="B1914" t="str">
            <v>AUTOMOTIVO</v>
          </cell>
          <cell r="C1914" t="str">
            <v>Rolamento Eixo</v>
          </cell>
          <cell r="D1914" t="str">
            <v>KIT</v>
          </cell>
          <cell r="E1914" t="str">
            <v>Importação</v>
          </cell>
          <cell r="F1914" t="str">
            <v>Kit Rolamento 47mm Suspensão Tras 206/207 S/barra Estabiliza</v>
          </cell>
        </row>
        <row r="1915">
          <cell r="A1915" t="str">
            <v>Par-PG003</v>
          </cell>
          <cell r="B1915" t="str">
            <v>AUTOMOTIVO</v>
          </cell>
          <cell r="C1915" t="str">
            <v>Rolamento Eixo</v>
          </cell>
          <cell r="D1915" t="str">
            <v>KIT</v>
          </cell>
          <cell r="E1915" t="str">
            <v>Importação</v>
          </cell>
          <cell r="F1915" t="str">
            <v>2 Kit's De Rolamento Eixo Traseiro Xsara Picasso 2001 A 2011</v>
          </cell>
        </row>
        <row r="1916">
          <cell r="A1916" t="str">
            <v>par-pivô442090</v>
          </cell>
          <cell r="B1916" t="str">
            <v>AUTOMOTIVO</v>
          </cell>
          <cell r="C1916" t="str">
            <v>Pivô</v>
          </cell>
          <cell r="D1916" t="str">
            <v>KIT</v>
          </cell>
          <cell r="E1916" t="str">
            <v>SPARE</v>
          </cell>
          <cell r="F1916" t="str">
            <v>Par Pivô Gol G5 2008 Em Diante Com Direção Hidraulica</v>
          </cell>
        </row>
        <row r="1917">
          <cell r="A1917" t="str">
            <v>PAR-PVI0311</v>
          </cell>
          <cell r="B1917" t="str">
            <v>AUTOMOTIVO</v>
          </cell>
          <cell r="C1917" t="str">
            <v>Pivô</v>
          </cell>
          <cell r="D1917" t="str">
            <v>KIT</v>
          </cell>
          <cell r="E1917" t="str">
            <v>SPARE</v>
          </cell>
          <cell r="F1917" t="str">
            <v>Par Pivô Bandeja Sonic 2012 Em Diante</v>
          </cell>
        </row>
        <row r="1918">
          <cell r="A1918" t="str">
            <v>PAR-PVI0605</v>
          </cell>
          <cell r="B1918" t="str">
            <v>AUTOMOTIVO</v>
          </cell>
          <cell r="C1918" t="str">
            <v>Pivô</v>
          </cell>
          <cell r="D1918" t="str">
            <v>KIT</v>
          </cell>
          <cell r="E1918" t="str">
            <v>SPARE</v>
          </cell>
          <cell r="F1918" t="str">
            <v>Par Pivô Da Bandeja Dianteira Oroch 2014 A 2019</v>
          </cell>
        </row>
        <row r="1919">
          <cell r="A1919" t="str">
            <v>PAR-PVI0606</v>
          </cell>
          <cell r="B1919" t="str">
            <v>AUTOMOTIVO</v>
          </cell>
          <cell r="C1919" t="str">
            <v>Pivô</v>
          </cell>
          <cell r="D1919" t="str">
            <v>KIT</v>
          </cell>
          <cell r="E1919" t="str">
            <v>SPARE</v>
          </cell>
          <cell r="F1919" t="str">
            <v>Par Pivô Bandeja Dianteira  Fluence 2011 Em Diante</v>
          </cell>
        </row>
        <row r="1920">
          <cell r="A1920" t="str">
            <v>PAR-PVI0903</v>
          </cell>
          <cell r="B1920" t="str">
            <v>AUTOMOTIVO</v>
          </cell>
          <cell r="C1920" t="str">
            <v>Pivô</v>
          </cell>
          <cell r="D1920" t="str">
            <v>KIT</v>
          </cell>
          <cell r="E1920" t="str">
            <v>SPARE</v>
          </cell>
          <cell r="F1920" t="str">
            <v>Par Pivô Da Bandeja Inferior Citroen C3 2002 A 2013</v>
          </cell>
        </row>
        <row r="1921">
          <cell r="A1921" t="str">
            <v>PAR-PVI1003</v>
          </cell>
          <cell r="B1921" t="str">
            <v>AUTOMOTIVO</v>
          </cell>
          <cell r="C1921" t="str">
            <v>Pivô</v>
          </cell>
          <cell r="D1921" t="str">
            <v>KIT</v>
          </cell>
          <cell r="E1921" t="str">
            <v>SPARE</v>
          </cell>
          <cell r="F1921" t="str">
            <v>Par pivô Bandeja Inferior Ambos Os Lados Gol 1992 À 1997</v>
          </cell>
        </row>
        <row r="1922">
          <cell r="A1922" t="str">
            <v>PAR-PVI1004/05</v>
          </cell>
          <cell r="B1922" t="str">
            <v>AUTOMOTIVO</v>
          </cell>
          <cell r="C1922" t="str">
            <v>Pivô</v>
          </cell>
          <cell r="D1922" t="str">
            <v>KIT</v>
          </cell>
          <cell r="E1922" t="str">
            <v>SPARE</v>
          </cell>
          <cell r="F1922" t="str">
            <v>Par Pivô Inferior Bandeja Dianteira Parati 1983 À 1992</v>
          </cell>
        </row>
        <row r="1923">
          <cell r="A1923" t="str">
            <v>PAR-PVI1019</v>
          </cell>
          <cell r="B1923" t="str">
            <v>AUTOMOTIVO</v>
          </cell>
          <cell r="C1923" t="str">
            <v>Pivô</v>
          </cell>
          <cell r="D1923" t="str">
            <v>KIT</v>
          </cell>
          <cell r="E1923" t="str">
            <v>SPARE</v>
          </cell>
          <cell r="F1923" t="str">
            <v>Par Pivô Bandeja Inferior Dianteira Cordoba 93 À 02</v>
          </cell>
        </row>
        <row r="1924">
          <cell r="A1924" t="str">
            <v>PAR-PVI1021</v>
          </cell>
          <cell r="B1924" t="str">
            <v>AUTOMOTIVO</v>
          </cell>
          <cell r="C1924" t="str">
            <v>Pivô</v>
          </cell>
          <cell r="D1924" t="str">
            <v>KIT</v>
          </cell>
          <cell r="E1924" t="str">
            <v>SPARE</v>
          </cell>
          <cell r="F1924" t="str">
            <v>Par Pivô Bandeja Inferior Ambos Lados Fiesta Street 96 À 07</v>
          </cell>
        </row>
        <row r="1925">
          <cell r="A1925" t="str">
            <v>PAR-PVI1022</v>
          </cell>
          <cell r="B1925" t="str">
            <v>AUTOMOTIVO</v>
          </cell>
          <cell r="C1925" t="str">
            <v>Pivô</v>
          </cell>
          <cell r="D1925" t="str">
            <v>KIT</v>
          </cell>
          <cell r="E1925" t="str">
            <v>SPARE</v>
          </cell>
          <cell r="F1925" t="str">
            <v>Par Pivô Bandeja Inferior Verona 1993 A 1996</v>
          </cell>
        </row>
        <row r="1926">
          <cell r="A1926" t="str">
            <v>PAR-PVI1026</v>
          </cell>
          <cell r="B1926" t="str">
            <v>AUTOMOTIVO</v>
          </cell>
          <cell r="C1926" t="str">
            <v>Pivô</v>
          </cell>
          <cell r="D1926" t="str">
            <v>KIT</v>
          </cell>
          <cell r="E1926" t="str">
            <v>SPARE</v>
          </cell>
          <cell r="F1926" t="str">
            <v>Par Pivô Inferior Bandeja Dianteira Tigra 1997 À 2000</v>
          </cell>
        </row>
        <row r="1927">
          <cell r="A1927" t="str">
            <v>PAR-PVI1030</v>
          </cell>
          <cell r="B1927" t="str">
            <v>AUTOMOTIVO</v>
          </cell>
          <cell r="C1927" t="str">
            <v>Pivô</v>
          </cell>
          <cell r="D1927" t="str">
            <v>KIT</v>
          </cell>
          <cell r="E1927" t="str">
            <v>SPARE</v>
          </cell>
          <cell r="F1927" t="str">
            <v>Par Pivô Bandeja Inferior Ambos Os Lados Ipanema 1989 À 1998</v>
          </cell>
        </row>
        <row r="1928">
          <cell r="A1928" t="str">
            <v>par-pvi1032/5113</v>
          </cell>
          <cell r="B1928" t="str">
            <v>AUTOMOTIVO</v>
          </cell>
          <cell r="C1928" t="str">
            <v>Pivô</v>
          </cell>
          <cell r="D1928" t="str">
            <v>KIT</v>
          </cell>
          <cell r="E1928" t="str">
            <v>SPARE</v>
          </cell>
          <cell r="F1928" t="str">
            <v>Par Pivô Inferior E Bieleta Uno 2010 A 2016</v>
          </cell>
        </row>
        <row r="1929">
          <cell r="A1929" t="str">
            <v>PAR-PVI1047</v>
          </cell>
          <cell r="B1929" t="str">
            <v>AUTOMOTIVO</v>
          </cell>
          <cell r="C1929" t="str">
            <v>Pivô</v>
          </cell>
          <cell r="D1929" t="str">
            <v>KIT</v>
          </cell>
          <cell r="E1929" t="str">
            <v>SPARE</v>
          </cell>
          <cell r="F1929" t="str">
            <v>Par Pivô Da Bandeja Dianteira Corsa 2004 A 2010</v>
          </cell>
        </row>
        <row r="1930">
          <cell r="A1930" t="str">
            <v>PAR-PVI1048</v>
          </cell>
          <cell r="B1930" t="str">
            <v>AUTOMOTIVO</v>
          </cell>
          <cell r="C1930" t="str">
            <v>Pivô</v>
          </cell>
          <cell r="D1930" t="str">
            <v>KIT</v>
          </cell>
          <cell r="E1930" t="str">
            <v>SPARE</v>
          </cell>
          <cell r="F1930" t="str">
            <v>Par Pivô Da Bandeja Inferior C3</v>
          </cell>
        </row>
        <row r="1931">
          <cell r="A1931" t="str">
            <v>PAR-PVI1049/50</v>
          </cell>
          <cell r="B1931" t="str">
            <v>AUTOMOTIVO</v>
          </cell>
          <cell r="C1931" t="str">
            <v>Pivô</v>
          </cell>
          <cell r="D1931" t="str">
            <v>KIT</v>
          </cell>
          <cell r="E1931" t="str">
            <v>SPARE</v>
          </cell>
          <cell r="F1931" t="str">
            <v>Par Pivô Bandeja Inferior Dianteira Doblô 2003 À 2017</v>
          </cell>
        </row>
        <row r="1932">
          <cell r="A1932" t="str">
            <v>PAR-PVI1052/53</v>
          </cell>
          <cell r="B1932" t="str">
            <v>AUTOMOTIVO</v>
          </cell>
          <cell r="C1932" t="str">
            <v>Pivô</v>
          </cell>
          <cell r="D1932" t="str">
            <v>KIT</v>
          </cell>
          <cell r="E1932" t="str">
            <v>SPARE</v>
          </cell>
          <cell r="F1932" t="str">
            <v>Par Pivô Da Bandeja Strada Adventure Locker 2009 A 2017</v>
          </cell>
        </row>
        <row r="1933">
          <cell r="A1933" t="str">
            <v>PARPVI1055</v>
          </cell>
          <cell r="B1933" t="str">
            <v>AUTOMOTIVO</v>
          </cell>
          <cell r="C1933" t="str">
            <v>Pivô</v>
          </cell>
          <cell r="D1933" t="str">
            <v>KIT</v>
          </cell>
          <cell r="E1933" t="str">
            <v>SPARE</v>
          </cell>
          <cell r="F1933" t="str">
            <v>Par Pivô Bandeja Dianteira Linea 2009 A 2017</v>
          </cell>
        </row>
        <row r="1934">
          <cell r="A1934" t="str">
            <v>par-pvi1058</v>
          </cell>
          <cell r="B1934" t="str">
            <v>AUTOMOTIVO</v>
          </cell>
          <cell r="C1934" t="str">
            <v>Pivô</v>
          </cell>
          <cell r="D1934" t="str">
            <v>KIT</v>
          </cell>
          <cell r="E1934" t="str">
            <v>SPARE</v>
          </cell>
          <cell r="F1934" t="str">
            <v>Par Pivô Inferior Bandeja Dianteira Idea 2006 À 2017</v>
          </cell>
        </row>
        <row r="1935">
          <cell r="A1935" t="str">
            <v>PAR-PVI112050</v>
          </cell>
          <cell r="B1935" t="str">
            <v>AUTOMOTIVO</v>
          </cell>
          <cell r="C1935" t="str">
            <v>Pivô</v>
          </cell>
          <cell r="D1935" t="str">
            <v>KIT</v>
          </cell>
          <cell r="E1935" t="str">
            <v>SPARE</v>
          </cell>
          <cell r="F1935" t="str">
            <v>Par Pivô Inferior Palio Weekend 2000 A 2016</v>
          </cell>
        </row>
        <row r="1936">
          <cell r="A1936" t="str">
            <v>PAR-PVI2002/03</v>
          </cell>
          <cell r="B1936" t="str">
            <v>AUTOMOTIVO</v>
          </cell>
          <cell r="C1936" t="str">
            <v>Pivô</v>
          </cell>
          <cell r="D1936" t="str">
            <v>KIT</v>
          </cell>
          <cell r="E1936" t="str">
            <v>SPARE</v>
          </cell>
          <cell r="F1936" t="str">
            <v>Par Pivô Da Bandeja Inferior New Civic 2006 A 2011</v>
          </cell>
        </row>
        <row r="1937">
          <cell r="A1937" t="str">
            <v>PAR-PVI2004</v>
          </cell>
          <cell r="B1937" t="str">
            <v>AUTOMOTIVO</v>
          </cell>
          <cell r="C1937" t="str">
            <v>Pivô</v>
          </cell>
          <cell r="D1937" t="str">
            <v>KIT</v>
          </cell>
          <cell r="E1937" t="str">
            <v>SPARE</v>
          </cell>
          <cell r="F1937" t="str">
            <v>Par Pivô Bandeja Inferior City 2009 A 2013</v>
          </cell>
        </row>
        <row r="1938">
          <cell r="A1938" t="str">
            <v>PAR-PVI2104</v>
          </cell>
          <cell r="B1938" t="str">
            <v>AUTOMOTIVO</v>
          </cell>
          <cell r="C1938" t="str">
            <v>Pivô</v>
          </cell>
          <cell r="D1938" t="str">
            <v>KIT</v>
          </cell>
          <cell r="E1938" t="str">
            <v>SPARE</v>
          </cell>
          <cell r="F1938" t="str">
            <v>Par Pivô Da Bandeja Dianteira Ix35 2010 A 2017</v>
          </cell>
        </row>
        <row r="1939">
          <cell r="A1939" t="str">
            <v>PAR-PVI2182</v>
          </cell>
          <cell r="B1939" t="str">
            <v>AUTOMOTIVO</v>
          </cell>
          <cell r="C1939" t="str">
            <v>Pivô</v>
          </cell>
          <cell r="D1939" t="str">
            <v>KIT</v>
          </cell>
          <cell r="E1939" t="str">
            <v>SPARE</v>
          </cell>
          <cell r="F1939" t="str">
            <v>Par Pivô Inferior Da Bandeja Renault R11 1983 A 1997</v>
          </cell>
        </row>
        <row r="1940">
          <cell r="A1940" t="str">
            <v>PAR-PVI2183</v>
          </cell>
          <cell r="B1940" t="str">
            <v>AUTOMOTIVO</v>
          </cell>
          <cell r="C1940" t="str">
            <v>Pivô</v>
          </cell>
          <cell r="D1940" t="str">
            <v>KIT</v>
          </cell>
          <cell r="E1940" t="str">
            <v>SPARE</v>
          </cell>
          <cell r="F1940" t="str">
            <v>Par Pivô Da Bandeja Dianteira Clio 2003 A 2016</v>
          </cell>
        </row>
        <row r="1941">
          <cell r="A1941" t="str">
            <v>PARPVI22002/03</v>
          </cell>
          <cell r="B1941" t="str">
            <v>AUTOMOTIVO</v>
          </cell>
          <cell r="C1941" t="str">
            <v>Pivô</v>
          </cell>
          <cell r="D1941" t="str">
            <v>KIT</v>
          </cell>
          <cell r="E1941" t="str">
            <v>SPARE</v>
          </cell>
          <cell r="F1941" t="str">
            <v>Par Pivô Da Bandeja Inferior New Civic 2006 A 2011</v>
          </cell>
        </row>
        <row r="1942">
          <cell r="A1942" t="str">
            <v>PAR-PVI2404</v>
          </cell>
          <cell r="B1942" t="str">
            <v>AUTOMOTIVO</v>
          </cell>
          <cell r="C1942" t="str">
            <v>Pivô</v>
          </cell>
          <cell r="D1942" t="str">
            <v>KIT</v>
          </cell>
          <cell r="E1942" t="str">
            <v>SPARE</v>
          </cell>
          <cell r="F1942" t="str">
            <v>Par Pivô Bandeja Dianteira Compass 2015 A 2020</v>
          </cell>
        </row>
        <row r="1943">
          <cell r="A1943" t="str">
            <v>PAR-PVI3395</v>
          </cell>
          <cell r="B1943" t="str">
            <v>AUTOMOTIVO</v>
          </cell>
          <cell r="C1943" t="str">
            <v>Pivô</v>
          </cell>
          <cell r="D1943" t="str">
            <v>KIT</v>
          </cell>
          <cell r="E1943" t="str">
            <v>SPARE</v>
          </cell>
          <cell r="F1943" t="str">
            <v>Par Pivô Inferior Da Bandeja Dianteira Ecosport 2003 A 2013</v>
          </cell>
        </row>
        <row r="1944">
          <cell r="A1944" t="str">
            <v>PAR-PVI442090/91</v>
          </cell>
          <cell r="B1944" t="str">
            <v>AUTOMOTIVO</v>
          </cell>
          <cell r="C1944" t="str">
            <v>Pivô</v>
          </cell>
          <cell r="D1944" t="str">
            <v>KIT</v>
          </cell>
          <cell r="E1944" t="str">
            <v>SPARE</v>
          </cell>
          <cell r="F1944" t="str">
            <v>Par Pivô Voyage G5 2008 Em Diante Com Direção Hidraulica</v>
          </cell>
        </row>
        <row r="1945">
          <cell r="A1945" t="str">
            <v>PAR-PVI772102</v>
          </cell>
          <cell r="B1945" t="str">
            <v>AUTOMOTIVO</v>
          </cell>
          <cell r="C1945" t="str">
            <v>Pivô</v>
          </cell>
          <cell r="D1945" t="str">
            <v>KIT</v>
          </cell>
          <cell r="E1945" t="str">
            <v>SPARE</v>
          </cell>
          <cell r="F1945" t="str">
            <v>Par Pivô Nissan Versa 2011 Em Diante</v>
          </cell>
        </row>
        <row r="1946">
          <cell r="A1946" t="str">
            <v>PAR-T112006</v>
          </cell>
          <cell r="B1946" t="str">
            <v>AUTOMOTIVO</v>
          </cell>
          <cell r="C1946" t="str">
            <v>Pivô</v>
          </cell>
          <cell r="D1946" t="str">
            <v>KIT</v>
          </cell>
          <cell r="E1946" t="str">
            <v>SPARE</v>
          </cell>
          <cell r="F1946" t="str">
            <v>Par Terminal Da Direção Do Braço Tensor Uno 1992 A 2008</v>
          </cell>
        </row>
        <row r="1947">
          <cell r="A1947" t="str">
            <v>Par-VW001</v>
          </cell>
          <cell r="B1947" t="str">
            <v>AUTOMOTIVO</v>
          </cell>
          <cell r="C1947" t="str">
            <v>Rolamento Roda</v>
          </cell>
          <cell r="D1947" t="str">
            <v>KIT</v>
          </cell>
          <cell r="E1947" t="str">
            <v>POLO</v>
          </cell>
          <cell r="F1947" t="str">
            <v>Par De Kit Rolamento Roda Traseira Fox 2007 2008 2009 Novo</v>
          </cell>
        </row>
        <row r="1948">
          <cell r="A1948" t="str">
            <v>PARVW001-636114</v>
          </cell>
          <cell r="B1948" t="str">
            <v>AUTOMOTIVO</v>
          </cell>
          <cell r="C1948" t="str">
            <v>Rolamento Roda</v>
          </cell>
          <cell r="D1948" t="str">
            <v>KIT</v>
          </cell>
          <cell r="E1948" t="str">
            <v>POLO</v>
          </cell>
          <cell r="F1948" t="str">
            <v>Kit Rolamento Roda Traseira E Dianteira Chevrolet</v>
          </cell>
        </row>
        <row r="1949">
          <cell r="A1949" t="str">
            <v>PF005</v>
          </cell>
          <cell r="B1949" t="str">
            <v>AUTOMOTIVO</v>
          </cell>
          <cell r="C1949" t="str">
            <v>Rolamento Eixo</v>
          </cell>
          <cell r="D1949" t="str">
            <v>SIMPLES</v>
          </cell>
          <cell r="E1949" t="str">
            <v>Importação</v>
          </cell>
          <cell r="F1949" t="str">
            <v>Reparo Traseiro Rolamento Blindado Palio Weekend Marea Brava</v>
          </cell>
        </row>
        <row r="1950">
          <cell r="A1950" t="str">
            <v>PG001</v>
          </cell>
          <cell r="B1950" t="str">
            <v>AUTOMOTIVO</v>
          </cell>
          <cell r="C1950" t="str">
            <v>Rolamento Eixo</v>
          </cell>
          <cell r="D1950" t="str">
            <v>SIMPLES</v>
          </cell>
          <cell r="E1950" t="str">
            <v>Importação</v>
          </cell>
          <cell r="F1950" t="str">
            <v>Reparo Rolamento Eixo Traseiro Pegeout 207 47mm 2008 A 2010</v>
          </cell>
        </row>
        <row r="1951">
          <cell r="A1951" t="str">
            <v>PG001A</v>
          </cell>
          <cell r="B1951" t="str">
            <v>AUTOMOTIVO</v>
          </cell>
          <cell r="C1951" t="str">
            <v>Rolamento Eixo</v>
          </cell>
          <cell r="D1951" t="str">
            <v>SIMPLES</v>
          </cell>
          <cell r="E1951" t="str">
            <v>Importação</v>
          </cell>
          <cell r="F1951" t="str">
            <v>Kit De Rolamento Eixo Traseiro 207 Passion Com Barra 50mm</v>
          </cell>
        </row>
        <row r="1952">
          <cell r="A1952" t="str">
            <v>PG002</v>
          </cell>
          <cell r="B1952" t="str">
            <v>AUTOMOTIVO</v>
          </cell>
          <cell r="C1952" t="str">
            <v>Rolamento Eixo</v>
          </cell>
          <cell r="D1952" t="str">
            <v>SIMPLES</v>
          </cell>
          <cell r="E1952" t="str">
            <v>Importação</v>
          </cell>
          <cell r="F1952" t="str">
            <v>Rolamento 47mm Suspensão Trás 206 207 Sem Barra Estabiliza</v>
          </cell>
        </row>
        <row r="1953">
          <cell r="A1953" t="str">
            <v>PG003</v>
          </cell>
          <cell r="B1953" t="str">
            <v>AUTOMOTIVO</v>
          </cell>
          <cell r="C1953" t="str">
            <v>Rolamento Eixo</v>
          </cell>
          <cell r="D1953" t="str">
            <v>SIMPLES</v>
          </cell>
          <cell r="E1953" t="str">
            <v>Importação</v>
          </cell>
          <cell r="F1953" t="str">
            <v>Kit Rolamento Eixo Traseiro Picasso Sem Barra</v>
          </cell>
        </row>
        <row r="1954">
          <cell r="A1954" t="str">
            <v>pivô-332092-5233</v>
          </cell>
          <cell r="B1954" t="str">
            <v>AUTOMOTIVO</v>
          </cell>
          <cell r="C1954" t="str">
            <v>Pivô</v>
          </cell>
          <cell r="D1954" t="str">
            <v>KIT</v>
          </cell>
          <cell r="E1954" t="str">
            <v>SPARE</v>
          </cell>
          <cell r="F1954" t="str">
            <v>Par Pivô Suspensão E Bieletas Spin 2012 Em Diante</v>
          </cell>
        </row>
        <row r="1955">
          <cell r="A1955" t="str">
            <v>Pivô-442091</v>
          </cell>
          <cell r="B1955" t="str">
            <v>AUTOMOTIVO</v>
          </cell>
          <cell r="C1955" t="str">
            <v>Pivô</v>
          </cell>
          <cell r="D1955" t="str">
            <v>SIMPLES</v>
          </cell>
          <cell r="E1955" t="str">
            <v>SPARE</v>
          </cell>
          <cell r="F1955" t="str">
            <v>Pivô Lado Direito Voyage G5 2008 Em Diante</v>
          </cell>
        </row>
        <row r="1956">
          <cell r="A1956" t="str">
            <v>PVI0311-5233</v>
          </cell>
          <cell r="B1956" t="str">
            <v>AUTOMOTIVO</v>
          </cell>
          <cell r="C1956" t="str">
            <v>Pivô</v>
          </cell>
          <cell r="D1956" t="str">
            <v>KIT</v>
          </cell>
          <cell r="E1956" t="str">
            <v>SPARE</v>
          </cell>
          <cell r="F1956" t="str">
            <v>Par Pivô Suspensão E Bieletas Sonic 2012 Em Diante</v>
          </cell>
        </row>
        <row r="1957">
          <cell r="A1957" t="str">
            <v>PVI0605</v>
          </cell>
          <cell r="B1957" t="str">
            <v>AUTOMOTIVO</v>
          </cell>
          <cell r="C1957" t="str">
            <v>Pivô</v>
          </cell>
          <cell r="D1957" t="str">
            <v>SIMPLES</v>
          </cell>
          <cell r="E1957" t="str">
            <v>SPARE</v>
          </cell>
          <cell r="F1957" t="str">
            <v>Pivô Da Bandeja Dianteira Ambos Lados Oroch 2016 A 2019</v>
          </cell>
        </row>
        <row r="1958">
          <cell r="A1958" t="str">
            <v>PVI0606</v>
          </cell>
          <cell r="B1958" t="str">
            <v>AUTOMOTIVO</v>
          </cell>
          <cell r="C1958" t="str">
            <v>Pivô</v>
          </cell>
          <cell r="D1958" t="str">
            <v>SIMPLES</v>
          </cell>
          <cell r="E1958" t="str">
            <v>SPARE</v>
          </cell>
          <cell r="F1958" t="str">
            <v>Pivô Bandeja Dianteira Ambos Os Lados Fluence 2011 Em Diante</v>
          </cell>
        </row>
        <row r="1959">
          <cell r="A1959" t="str">
            <v>PVI1003</v>
          </cell>
          <cell r="B1959" t="str">
            <v>AUTOMOTIVO</v>
          </cell>
          <cell r="C1959" t="str">
            <v>Pivô</v>
          </cell>
          <cell r="D1959" t="str">
            <v>SIMPLES</v>
          </cell>
          <cell r="E1959" t="str">
            <v>SPARE</v>
          </cell>
          <cell r="F1959" t="str">
            <v>Pivô Da Bandeja Inferior Ambos Os Lados Parati 1992 À 1997</v>
          </cell>
        </row>
        <row r="1960">
          <cell r="A1960" t="str">
            <v>PVI1004</v>
          </cell>
          <cell r="B1960" t="str">
            <v>AUTOMOTIVO</v>
          </cell>
          <cell r="C1960" t="str">
            <v>Pivô</v>
          </cell>
          <cell r="D1960" t="str">
            <v>SIMPLES</v>
          </cell>
          <cell r="E1960" t="str">
            <v>SPARE</v>
          </cell>
          <cell r="F1960" t="str">
            <v>Pivô Inferior Bandeja Dianteira Direito Voyage 1981 À 1992</v>
          </cell>
        </row>
        <row r="1961">
          <cell r="A1961" t="str">
            <v>PVI1005</v>
          </cell>
          <cell r="B1961" t="str">
            <v>AUTOMOTIVO</v>
          </cell>
          <cell r="C1961" t="str">
            <v>Pivô</v>
          </cell>
          <cell r="D1961" t="str">
            <v>SIMPLES</v>
          </cell>
          <cell r="E1961" t="str">
            <v>SPARE</v>
          </cell>
          <cell r="F1961" t="str">
            <v>Pivô Inferior Bandeja Dianteira Esquerdo Parati 1983 À 1992</v>
          </cell>
        </row>
        <row r="1962">
          <cell r="A1962" t="str">
            <v>PVI1021</v>
          </cell>
          <cell r="B1962" t="str">
            <v>AUTOMOTIVO</v>
          </cell>
          <cell r="C1962" t="str">
            <v>Pivô</v>
          </cell>
          <cell r="D1962" t="str">
            <v>SIMPLES</v>
          </cell>
          <cell r="E1962" t="str">
            <v>SPARE</v>
          </cell>
          <cell r="F1962" t="str">
            <v>Pivô  Inferior Bandeja Dianteira Courier 1997 À 2011</v>
          </cell>
        </row>
        <row r="1963">
          <cell r="A1963" t="str">
            <v>PVI1022</v>
          </cell>
          <cell r="B1963" t="str">
            <v>AUTOMOTIVO</v>
          </cell>
          <cell r="C1963" t="str">
            <v>Pivô</v>
          </cell>
          <cell r="D1963" t="str">
            <v>SIMPLES</v>
          </cell>
          <cell r="E1963" t="str">
            <v>SPARE</v>
          </cell>
          <cell r="F1963" t="str">
            <v>Pivô Bandeja Inferior Ambos Lados Escort 1993 A 1996</v>
          </cell>
        </row>
        <row r="1964">
          <cell r="A1964" t="str">
            <v>PVI1026</v>
          </cell>
          <cell r="B1964" t="str">
            <v>AUTOMOTIVO</v>
          </cell>
          <cell r="C1964" t="str">
            <v>Pivô</v>
          </cell>
          <cell r="D1964" t="str">
            <v>SIMPLES</v>
          </cell>
          <cell r="E1964" t="str">
            <v>SPARE</v>
          </cell>
          <cell r="F1964" t="str">
            <v>Pivô Inferior Bandeja Dianteira Ambos Lados Classic 02 À 09</v>
          </cell>
        </row>
        <row r="1965">
          <cell r="A1965" t="str">
            <v>PVI1030</v>
          </cell>
          <cell r="B1965" t="str">
            <v>AUTOMOTIVO</v>
          </cell>
          <cell r="C1965" t="str">
            <v>Pivô</v>
          </cell>
          <cell r="D1965" t="str">
            <v>SIMPLES</v>
          </cell>
          <cell r="E1965" t="str">
            <v>SPARE</v>
          </cell>
          <cell r="F1965" t="str">
            <v>Pivô Da Bandeja Inferior Ambos Os Lados Ipanema 1989 À 1998</v>
          </cell>
        </row>
        <row r="1966">
          <cell r="A1966" t="str">
            <v>PVI1047</v>
          </cell>
          <cell r="B1966" t="str">
            <v>AUTOMOTIVO</v>
          </cell>
          <cell r="C1966" t="str">
            <v>Pivô</v>
          </cell>
          <cell r="D1966" t="str">
            <v>SIMPLES</v>
          </cell>
          <cell r="E1966" t="str">
            <v>SPARE</v>
          </cell>
          <cell r="F1966" t="str">
            <v>Pivô Da Bandeja Dianteira Ambos Lados Montana 2004 A 2010</v>
          </cell>
        </row>
        <row r="1967">
          <cell r="A1967" t="str">
            <v>PVI1048</v>
          </cell>
          <cell r="B1967" t="str">
            <v>AUTOMOTIVO</v>
          </cell>
          <cell r="C1967" t="str">
            <v>Pivô</v>
          </cell>
          <cell r="D1967" t="str">
            <v>SIMPLES</v>
          </cell>
          <cell r="E1967" t="str">
            <v>SPARE</v>
          </cell>
          <cell r="F1967" t="str">
            <v>pivô Da Bandeja Inferior C3 2002 À 2013</v>
          </cell>
        </row>
        <row r="1968">
          <cell r="A1968" t="str">
            <v>PVI1049</v>
          </cell>
          <cell r="B1968" t="str">
            <v>AUTOMOTIVO</v>
          </cell>
          <cell r="C1968" t="str">
            <v>Pivô</v>
          </cell>
          <cell r="D1968" t="str">
            <v>SIMPLES</v>
          </cell>
          <cell r="E1968" t="str">
            <v>SPARE</v>
          </cell>
          <cell r="F1968" t="str">
            <v>Pivô Bandeja Inferior Dianteira Esquerda Doblô 2003 À 2017</v>
          </cell>
        </row>
        <row r="1969">
          <cell r="A1969" t="str">
            <v>PVI1058</v>
          </cell>
          <cell r="B1969" t="str">
            <v>AUTOMOTIVO</v>
          </cell>
          <cell r="C1969" t="str">
            <v>Pivô</v>
          </cell>
          <cell r="D1969" t="str">
            <v>SIMPLES</v>
          </cell>
          <cell r="E1969" t="str">
            <v>SPARE</v>
          </cell>
          <cell r="F1969" t="str">
            <v>Pivô Inferior Bandeja Dianteira Idea Ambos Lados 2006 À 2017</v>
          </cell>
        </row>
        <row r="1970">
          <cell r="A1970" t="str">
            <v>PVI112050/5113</v>
          </cell>
          <cell r="B1970" t="str">
            <v>AUTOMOTIVO</v>
          </cell>
          <cell r="C1970" t="str">
            <v>Pivô e Bieleta</v>
          </cell>
          <cell r="D1970" t="str">
            <v>KIT</v>
          </cell>
          <cell r="E1970" t="str">
            <v>SPARE / HOLYMAN</v>
          </cell>
          <cell r="F1970" t="str">
            <v>Pivô Inferior E Bieleta Ambos Lados Mobi 2017</v>
          </cell>
        </row>
        <row r="1971">
          <cell r="A1971" t="str">
            <v>PVI2002</v>
          </cell>
          <cell r="B1971" t="str">
            <v>AUTOMOTIVO</v>
          </cell>
          <cell r="C1971" t="str">
            <v>Pivô</v>
          </cell>
          <cell r="D1971" t="str">
            <v>SIMPLES</v>
          </cell>
          <cell r="E1971" t="str">
            <v>SPARE</v>
          </cell>
          <cell r="F1971" t="str">
            <v>Pivô Da Bandeja Inferior Lado Direito New Civic 2006 A 2011</v>
          </cell>
        </row>
        <row r="1972">
          <cell r="A1972" t="str">
            <v>PVI2003</v>
          </cell>
          <cell r="B1972" t="str">
            <v>AUTOMOTIVO</v>
          </cell>
          <cell r="C1972" t="str">
            <v>Pivô</v>
          </cell>
          <cell r="D1972" t="str">
            <v>SIMPLES</v>
          </cell>
          <cell r="E1972" t="str">
            <v>LT CORREA</v>
          </cell>
          <cell r="F1972" t="str">
            <v>Pivô Da Bandeja Inferior Lado Esquerdo New Civic 2006 A 2011</v>
          </cell>
        </row>
        <row r="1973">
          <cell r="A1973" t="str">
            <v>PVI2004</v>
          </cell>
          <cell r="B1973" t="str">
            <v>AUTOMOTIVO</v>
          </cell>
          <cell r="C1973" t="str">
            <v>Pivô</v>
          </cell>
          <cell r="D1973" t="str">
            <v>SIMPLES</v>
          </cell>
          <cell r="E1973" t="str">
            <v>SPARE</v>
          </cell>
          <cell r="F1973" t="str">
            <v>Pivô Bandeja Inferior Ambos Lados City 2009 A 2013</v>
          </cell>
        </row>
        <row r="1974">
          <cell r="A1974" t="str">
            <v>PVI2182</v>
          </cell>
          <cell r="B1974" t="str">
            <v>AUTOMOTIVO</v>
          </cell>
          <cell r="C1974" t="str">
            <v>Pivô</v>
          </cell>
          <cell r="D1974" t="str">
            <v>SIMPLES</v>
          </cell>
          <cell r="E1974" t="str">
            <v>SPARE</v>
          </cell>
          <cell r="F1974" t="str">
            <v>Pivô Inferior Da Bandeja Ambos Lados Renault R11 1983 A 1997</v>
          </cell>
        </row>
        <row r="1975">
          <cell r="A1975" t="str">
            <v>PVI2183</v>
          </cell>
          <cell r="B1975" t="str">
            <v>AUTOMOTIVO</v>
          </cell>
          <cell r="C1975" t="str">
            <v>Pivô</v>
          </cell>
          <cell r="D1975" t="str">
            <v>SIMPLES</v>
          </cell>
          <cell r="E1975" t="str">
            <v>SPARE</v>
          </cell>
          <cell r="F1975" t="str">
            <v>Pivô Da Bandeja Dianteira Ambos Lados Clio 2003 A 2016</v>
          </cell>
        </row>
        <row r="1976">
          <cell r="A1976" t="str">
            <v>PVI3395</v>
          </cell>
          <cell r="B1976" t="str">
            <v>AUTOMOTIVO</v>
          </cell>
          <cell r="C1976" t="str">
            <v>Pivô</v>
          </cell>
          <cell r="D1976" t="str">
            <v>SIMPLES</v>
          </cell>
          <cell r="E1976" t="str">
            <v>SPARE</v>
          </cell>
          <cell r="F1976" t="str">
            <v>Pivô Inferior Dianteira Ambos Lados Ecosport 2003 A 2013</v>
          </cell>
        </row>
        <row r="1977">
          <cell r="A1977" t="str">
            <v>PVI442090</v>
          </cell>
          <cell r="B1977" t="str">
            <v>AUTOMOTIVO</v>
          </cell>
          <cell r="C1977" t="str">
            <v>Pivô</v>
          </cell>
          <cell r="D1977" t="str">
            <v>SIMPLES</v>
          </cell>
          <cell r="E1977" t="str">
            <v>SPARE</v>
          </cell>
          <cell r="F1977" t="str">
            <v>Pivô Lado Esquerdo Voyage G6 2012 Em Diante</v>
          </cell>
        </row>
        <row r="1978">
          <cell r="A1978" t="str">
            <v>PVI442091</v>
          </cell>
          <cell r="B1978" t="str">
            <v>AUTOMOTIVO</v>
          </cell>
          <cell r="C1978" t="str">
            <v>Pivô</v>
          </cell>
          <cell r="D1978" t="str">
            <v>SIMPLES</v>
          </cell>
          <cell r="E1978" t="str">
            <v>SPARE</v>
          </cell>
          <cell r="F1978" t="str">
            <v>Pivô Lado Direito Gol G6 2012 Em Diante</v>
          </cell>
        </row>
        <row r="1979">
          <cell r="A1979" t="str">
            <v>Pvi552012</v>
          </cell>
          <cell r="B1979" t="str">
            <v>AUTOMOTIVO</v>
          </cell>
          <cell r="C1979" t="str">
            <v>Pivô</v>
          </cell>
          <cell r="D1979" t="str">
            <v>SIMPLES</v>
          </cell>
          <cell r="E1979" t="str">
            <v>SPARE</v>
          </cell>
          <cell r="F1979" t="str">
            <v>pivô DA BANDEJA INFERIOR C3 2002 À 2013</v>
          </cell>
        </row>
        <row r="1980">
          <cell r="A1980" t="str">
            <v>PVI772102</v>
          </cell>
          <cell r="B1980" t="str">
            <v>AUTOMOTIVO</v>
          </cell>
          <cell r="C1980" t="str">
            <v>Pivô</v>
          </cell>
          <cell r="D1980" t="str">
            <v>SIMPLES</v>
          </cell>
          <cell r="E1980" t="str">
            <v>SPARE</v>
          </cell>
          <cell r="F1980" t="str">
            <v>Pivô Nissan March 2011 Em Diante</v>
          </cell>
        </row>
        <row r="1981">
          <cell r="A1981" t="str">
            <v>R6202</v>
          </cell>
          <cell r="B1981" t="str">
            <v>AUTOMOTIVO</v>
          </cell>
          <cell r="C1981" t="str">
            <v>Rolamento 6000</v>
          </cell>
          <cell r="D1981" t="str">
            <v>SIMPLES</v>
          </cell>
          <cell r="E1981" t="str">
            <v>TERRITÓRIO</v>
          </cell>
          <cell r="F1981" t="str">
            <v>Rolamento 6202</v>
          </cell>
        </row>
        <row r="1982">
          <cell r="A1982" t="str">
            <v>RT001</v>
          </cell>
          <cell r="B1982" t="str">
            <v>MOTO PEÇAS</v>
          </cell>
          <cell r="C1982" t="str">
            <v>Kit Relação moto</v>
          </cell>
          <cell r="D1982" t="str">
            <v>SIMPLES</v>
          </cell>
          <cell r="E1982" t="str">
            <v>POLO</v>
          </cell>
          <cell r="F1982" t="str">
            <v>KIT TRANSMISSAO S/ RET CG 150 TITAN KS 04/08 ES 04/08 ESD 04/16 MIX 09/15 FAN 09/15</v>
          </cell>
        </row>
        <row r="1983">
          <cell r="A1983" t="str">
            <v>RT002</v>
          </cell>
          <cell r="B1983" t="str">
            <v>MOTO PEÇAS</v>
          </cell>
          <cell r="C1983" t="str">
            <v>Kit Relação moto</v>
          </cell>
          <cell r="D1983" t="str">
            <v>SIMPLES</v>
          </cell>
          <cell r="E1983" t="str">
            <v>POLO</v>
          </cell>
          <cell r="F1983" t="str">
            <v xml:space="preserve">KIT TRANSMISSÃO HONDA CG 125 TITAN  </v>
          </cell>
        </row>
        <row r="1984">
          <cell r="A1984" t="str">
            <v>RT003</v>
          </cell>
          <cell r="B1984" t="str">
            <v>MOTO PEÇAS</v>
          </cell>
          <cell r="C1984" t="str">
            <v>Kit Relação moto</v>
          </cell>
          <cell r="D1984" t="str">
            <v>SIMPLES</v>
          </cell>
          <cell r="E1984" t="str">
            <v>POLO</v>
          </cell>
          <cell r="F1984" t="str">
            <v>KIT TRANSMISSÃO HONDA BROSS 150 FLEX</v>
          </cell>
        </row>
        <row r="1985">
          <cell r="A1985" t="str">
            <v>RT004</v>
          </cell>
          <cell r="B1985" t="str">
            <v>MOTO PEÇAS</v>
          </cell>
          <cell r="C1985" t="str">
            <v>Kit Relação moto</v>
          </cell>
          <cell r="D1985" t="str">
            <v>SIMPLES</v>
          </cell>
          <cell r="E1985" t="str">
            <v>POLO</v>
          </cell>
          <cell r="F1985" t="str">
            <v>KIT TRANSMISSÃO YAHAMA YBR 125</v>
          </cell>
        </row>
        <row r="1986">
          <cell r="A1986" t="str">
            <v>RT006</v>
          </cell>
          <cell r="B1986" t="str">
            <v>MOTO PEÇAS</v>
          </cell>
          <cell r="C1986" t="str">
            <v>Kit Relação moto</v>
          </cell>
          <cell r="D1986" t="str">
            <v>SIMPLES</v>
          </cell>
          <cell r="E1986" t="str">
            <v>POLO</v>
          </cell>
          <cell r="F1986" t="str">
            <v>KIT TRANSMISSÃO HONDA CG TITAN</v>
          </cell>
        </row>
        <row r="1987">
          <cell r="A1987" t="str">
            <v>RT008</v>
          </cell>
          <cell r="B1987" t="str">
            <v>MOTO PEÇAS</v>
          </cell>
          <cell r="C1987" t="str">
            <v>Kit Relação moto</v>
          </cell>
          <cell r="D1987" t="str">
            <v>SIMPLES</v>
          </cell>
          <cell r="E1987" t="str">
            <v>POLO</v>
          </cell>
          <cell r="F1987" t="str">
            <v>KIT RELAÇÃO HONDA 160</v>
          </cell>
        </row>
        <row r="1988">
          <cell r="A1988" t="str">
            <v>t005/06</v>
          </cell>
          <cell r="B1988" t="str">
            <v>AUTOMOTIVO</v>
          </cell>
          <cell r="C1988" t="str">
            <v>Reparo alavanta Câmbio</v>
          </cell>
          <cell r="D1988" t="str">
            <v>KIT</v>
          </cell>
          <cell r="E1988" t="str">
            <v>Importação</v>
          </cell>
          <cell r="F1988" t="str">
            <v>Par De Terminal Cabo Engate E Seleção Marcha Uno Palio 2014</v>
          </cell>
        </row>
        <row r="1989">
          <cell r="A1989" t="str">
            <v>T10007</v>
          </cell>
          <cell r="B1989" t="str">
            <v>AUTOMOTIVO</v>
          </cell>
          <cell r="C1989" t="str">
            <v>Terminal Cabo Câmbio</v>
          </cell>
          <cell r="D1989" t="str">
            <v>SIMPLES</v>
          </cell>
          <cell r="E1989" t="str">
            <v>Importação / LT CORREA</v>
          </cell>
          <cell r="F1989" t="str">
            <v>Terminal Conector Cabo Trambulador Celta 2005 Em Diante</v>
          </cell>
        </row>
        <row r="1990">
          <cell r="A1990" t="str">
            <v>T1005</v>
          </cell>
          <cell r="B1990" t="str">
            <v>AUTOMOTIVO</v>
          </cell>
          <cell r="C1990" t="str">
            <v>Terminal Cabo Câmbio</v>
          </cell>
          <cell r="D1990" t="str">
            <v>SIMPLES</v>
          </cell>
          <cell r="E1990" t="str">
            <v>Importação</v>
          </cell>
          <cell r="F1990" t="str">
            <v>Terminal Do Cabo De Marcha Engate 13mm Uno 2014 Em Diante</v>
          </cell>
        </row>
        <row r="1991">
          <cell r="A1991" t="str">
            <v>T1005/06</v>
          </cell>
          <cell r="B1991" t="str">
            <v>AUTOMOTIVO</v>
          </cell>
          <cell r="C1991" t="str">
            <v>Terminal Cabo Câmbio</v>
          </cell>
          <cell r="D1991" t="str">
            <v>KIT</v>
          </cell>
          <cell r="E1991" t="str">
            <v>Importação</v>
          </cell>
          <cell r="F1991" t="str">
            <v>Par Terminal Cabo Engate Seleção Uno 2014 Em Diante</v>
          </cell>
        </row>
        <row r="1992">
          <cell r="A1992" t="str">
            <v>t1006</v>
          </cell>
          <cell r="B1992" t="str">
            <v>AUTOMOTIVO</v>
          </cell>
          <cell r="C1992" t="str">
            <v>Terminal Cabo Câmbio</v>
          </cell>
          <cell r="D1992" t="str">
            <v>SIMPLES</v>
          </cell>
          <cell r="E1992" t="str">
            <v>Importação</v>
          </cell>
          <cell r="F1992" t="str">
            <v>Terminal Cabo Trambulador Seleção 10mm Grand Siena 2014 2015</v>
          </cell>
        </row>
        <row r="1993">
          <cell r="A1993" t="str">
            <v>t1007</v>
          </cell>
          <cell r="B1993" t="str">
            <v>AUTOMOTIVO</v>
          </cell>
          <cell r="C1993" t="str">
            <v>Terminal Cabo Câmbio</v>
          </cell>
          <cell r="D1993" t="str">
            <v>SIMPLES</v>
          </cell>
          <cell r="E1993" t="str">
            <v>Importação / LT CORREA</v>
          </cell>
          <cell r="F1993" t="str">
            <v>Terminal cabo do Corsa</v>
          </cell>
        </row>
        <row r="1994">
          <cell r="A1994" t="str">
            <v>T-10111</v>
          </cell>
          <cell r="B1994" t="str">
            <v>AUTOMOTIVO</v>
          </cell>
          <cell r="C1994" t="str">
            <v>Terminal Cabo Câmbio</v>
          </cell>
          <cell r="D1994" t="str">
            <v>SIMPLES</v>
          </cell>
          <cell r="E1994" t="str">
            <v>Importação</v>
          </cell>
          <cell r="F1994" t="str">
            <v>Terminal Cabo De Engate Seleção Mercedes Benz 1720</v>
          </cell>
        </row>
        <row r="1995">
          <cell r="A1995" t="str">
            <v>T112006</v>
          </cell>
          <cell r="B1995" t="str">
            <v>AUTOMOTIVO</v>
          </cell>
          <cell r="C1995" t="str">
            <v>Pivô</v>
          </cell>
          <cell r="D1995" t="str">
            <v>SIMPLES</v>
          </cell>
          <cell r="E1995" t="str">
            <v>SPARE</v>
          </cell>
          <cell r="F1995" t="str">
            <v>Terminal da Direção Do braço Tensor Uno</v>
          </cell>
        </row>
        <row r="1996">
          <cell r="A1996" t="str">
            <v>T-112006</v>
          </cell>
          <cell r="B1996" t="str">
            <v>AUTOMOTIVO</v>
          </cell>
          <cell r="C1996" t="str">
            <v>Terminal Cabo Câmbio</v>
          </cell>
          <cell r="D1996" t="str">
            <v>SIMPLES</v>
          </cell>
          <cell r="E1996" t="str">
            <v>SPARE</v>
          </cell>
          <cell r="F1996" t="str">
            <v>Terminal Da Direção Braço Tensor Ambos Lados Premio 91 A 96</v>
          </cell>
        </row>
        <row r="1997">
          <cell r="A1997" t="str">
            <v>TERMINAL AXIAL NAKATA</v>
          </cell>
          <cell r="B1997" t="str">
            <v>AUTOMOTIVO</v>
          </cell>
          <cell r="C1997" t="str">
            <v>Terminal Axial</v>
          </cell>
          <cell r="D1997" t="str">
            <v>SIMPLES</v>
          </cell>
          <cell r="E1997" t="str">
            <v>Outros</v>
          </cell>
          <cell r="F1997" t="str">
            <v>Par Terminal Axial Dianteiro Peugeot 206 1999 A 2006</v>
          </cell>
        </row>
        <row r="1998">
          <cell r="A1998" t="str">
            <v>TK0912</v>
          </cell>
          <cell r="B1998" t="str">
            <v>AUTOMOTIVO</v>
          </cell>
          <cell r="D1998" t="str">
            <v>SIMPLES</v>
          </cell>
          <cell r="E1998" t="str">
            <v>POLO</v>
          </cell>
          <cell r="F1998" t="str">
            <v xml:space="preserve">TK0912 2821 12V 3W T10 WEDGE ESMAGADA GRANDE  </v>
          </cell>
        </row>
        <row r="1999">
          <cell r="A1999" t="str">
            <v>TK1912</v>
          </cell>
          <cell r="B1999" t="str">
            <v>AUTOMOTIVO</v>
          </cell>
          <cell r="D1999" t="str">
            <v>SIMPLES</v>
          </cell>
          <cell r="E1999" t="str">
            <v>POLO</v>
          </cell>
          <cell r="F1999" t="str">
            <v xml:space="preserve">TK1912 1156 12V 21W T20 WEDGE 6941  </v>
          </cell>
        </row>
        <row r="2000">
          <cell r="A2000" t="str">
            <v>TK2124</v>
          </cell>
          <cell r="B2000" t="str">
            <v>AUTOMOTIVO</v>
          </cell>
          <cell r="D2000" t="str">
            <v>SIMPLES</v>
          </cell>
          <cell r="E2000" t="str">
            <v>POLO</v>
          </cell>
          <cell r="F2000" t="str">
            <v xml:space="preserve">TK2124 67 12V 5W G18 BA15S  </v>
          </cell>
        </row>
        <row r="2001">
          <cell r="A2001" t="str">
            <v>TK2130VM</v>
          </cell>
          <cell r="B2001" t="str">
            <v>AUTOMOTIVO</v>
          </cell>
          <cell r="D2001" t="str">
            <v>SIMPLES</v>
          </cell>
          <cell r="E2001" t="str">
            <v>POLO</v>
          </cell>
          <cell r="F2001" t="str">
            <v xml:space="preserve">TK2130VM 67 12V 10W G18 BA15S VERMELHO  </v>
          </cell>
        </row>
        <row r="2002">
          <cell r="A2002" t="str">
            <v>TM982</v>
          </cell>
          <cell r="B2002" t="str">
            <v>AUTOMOTIVO</v>
          </cell>
          <cell r="D2002" t="str">
            <v>SIMPLES</v>
          </cell>
          <cell r="E2002" t="str">
            <v>POLO</v>
          </cell>
          <cell r="F2002" t="str">
            <v xml:space="preserve">Rolamento 6202 TM982 6202 RODA DIANTEIRA CG TITAN 125 - NX 200 / NX 350 SAHARA / NX4 FALCON 400 / XLX 250R / XLX 350 / XR 200  </v>
          </cell>
        </row>
        <row r="2003">
          <cell r="A2003" t="str">
            <v>TPN001</v>
          </cell>
          <cell r="B2003" t="str">
            <v>AUTOMOTIVO</v>
          </cell>
          <cell r="C2003" t="str">
            <v>Calota Eixo Peugeot</v>
          </cell>
          <cell r="D2003" t="str">
            <v>SIMPLES</v>
          </cell>
          <cell r="E2003" t="str">
            <v>Outros</v>
          </cell>
          <cell r="F2003" t="str">
            <v>Par De Calotas Graxa Rolamento Manga Eixo Tras Peugeot 206</v>
          </cell>
        </row>
        <row r="2004">
          <cell r="A2004" t="str">
            <v>VA-10008</v>
          </cell>
          <cell r="B2004" t="str">
            <v>AUTOMOTIVO</v>
          </cell>
          <cell r="C2004" t="str">
            <v>Aditivos</v>
          </cell>
          <cell r="D2004" t="str">
            <v>SIMPLES</v>
          </cell>
          <cell r="E2004" t="str">
            <v>Valclei</v>
          </cell>
          <cell r="F2004" t="str">
            <v>Aditivo Para Radiador Valclei</v>
          </cell>
        </row>
        <row r="2005">
          <cell r="A2005" t="str">
            <v>VKM4837</v>
          </cell>
          <cell r="B2005" t="str">
            <v>AUTOMOTIVO</v>
          </cell>
          <cell r="C2005" t="str">
            <v>OUTROS</v>
          </cell>
          <cell r="D2005" t="str">
            <v>SIMPLES</v>
          </cell>
          <cell r="E2005" t="str">
            <v>HOLYMAN</v>
          </cell>
          <cell r="F2005" t="str">
            <v xml:space="preserve">POLIA ALTERNADOR GOL  </v>
          </cell>
        </row>
        <row r="2006">
          <cell r="A2006" t="str">
            <v>VW001</v>
          </cell>
          <cell r="B2006" t="str">
            <v>AUTOMOTIVO</v>
          </cell>
          <cell r="C2006" t="str">
            <v>ROLAMENTO RODA</v>
          </cell>
          <cell r="D2006" t="str">
            <v>SIMPLES</v>
          </cell>
          <cell r="E2006" t="str">
            <v>POLO</v>
          </cell>
          <cell r="F2006" t="str">
            <v>Kit De Rolamento Roda Traseira Versailles 1992 A 1996</v>
          </cell>
        </row>
        <row r="2007">
          <cell r="A2007" t="str">
            <v>WO120</v>
          </cell>
          <cell r="B2007" t="str">
            <v>AUTOMOTIVO</v>
          </cell>
          <cell r="C2007" t="str">
            <v>Filtro de óleo</v>
          </cell>
          <cell r="D2007" t="str">
            <v>SIMPLES</v>
          </cell>
          <cell r="E2007" t="str">
            <v>RMP</v>
          </cell>
          <cell r="F2007" t="str">
            <v xml:space="preserve">FILTRO DE OLEO WO 120 WEGA  </v>
          </cell>
        </row>
        <row r="2008">
          <cell r="A2008" t="str">
            <v>YBR 125 Velocímetro</v>
          </cell>
          <cell r="B2008" t="str">
            <v>MOTO PEÇAS</v>
          </cell>
          <cell r="C2008" t="str">
            <v>Cabo velocímetro Moto</v>
          </cell>
          <cell r="D2008" t="str">
            <v>SIMPLES</v>
          </cell>
          <cell r="E2008" t="str">
            <v>Importação</v>
          </cell>
          <cell r="F2008" t="str">
            <v>Cabo De Velocímetro Yamaha Ybr 125 2003 2004 2005</v>
          </cell>
        </row>
        <row r="2009">
          <cell r="A2009" t="str">
            <v>10w40-SB</v>
          </cell>
          <cell r="B2009" t="str">
            <v>AUTOMOTIVO</v>
          </cell>
          <cell r="C2009" t="str">
            <v>Óleo motor Automotivo</v>
          </cell>
          <cell r="D2009" t="str">
            <v>SIMPLES</v>
          </cell>
          <cell r="E2009" t="str">
            <v>Outros</v>
          </cell>
          <cell r="F2009" t="str">
            <v>10W40 SB</v>
          </cell>
        </row>
        <row r="2010">
          <cell r="A2010">
            <v>14446</v>
          </cell>
          <cell r="B2010" t="str">
            <v>MOTO PEÇAS</v>
          </cell>
          <cell r="C2010" t="str">
            <v>Óleo Motor MOTO</v>
          </cell>
          <cell r="D2010" t="str">
            <v>SIMPLES</v>
          </cell>
          <cell r="E2010" t="str">
            <v>TREVILUB</v>
          </cell>
          <cell r="F2010" t="str">
            <v>ÓLEO MOTOR 4T 10W30 IPIRANGA</v>
          </cell>
        </row>
        <row r="2011">
          <cell r="A2011" t="str">
            <v>20W50-VR</v>
          </cell>
          <cell r="B2011" t="str">
            <v>MOTO PEÇAS</v>
          </cell>
          <cell r="C2011" t="str">
            <v>Óleo Motor MOTO</v>
          </cell>
          <cell r="D2011" t="str">
            <v>SIMPLES</v>
          </cell>
          <cell r="E2011" t="str">
            <v>Outros</v>
          </cell>
          <cell r="F2011" t="str">
            <v>OLEO 20W50 VR LUB</v>
          </cell>
        </row>
        <row r="2012">
          <cell r="A2012" t="str">
            <v>20W50L</v>
          </cell>
          <cell r="B2012" t="str">
            <v>MOTO PEÇAS</v>
          </cell>
          <cell r="C2012" t="str">
            <v>Óleo Motor MOTO</v>
          </cell>
          <cell r="D2012" t="str">
            <v>SIMPLES</v>
          </cell>
          <cell r="E2012" t="str">
            <v>Outros</v>
          </cell>
          <cell r="F2012" t="str">
            <v>ÓLEO DE MOTOR 20W50L</v>
          </cell>
        </row>
        <row r="2013">
          <cell r="A2013">
            <v>17046</v>
          </cell>
          <cell r="B2013" t="str">
            <v>MOTO PEÇAS</v>
          </cell>
          <cell r="C2013" t="str">
            <v>Óleo Motor MOTO</v>
          </cell>
          <cell r="D2013" t="str">
            <v>SIMPLES</v>
          </cell>
          <cell r="E2013" t="str">
            <v>TREVILUB</v>
          </cell>
          <cell r="F2013" t="str">
            <v>ÓLEO MOTOR 4T 20W50IPIRANGA</v>
          </cell>
        </row>
        <row r="2014">
          <cell r="A2014">
            <v>6301</v>
          </cell>
          <cell r="B2014" t="str">
            <v>MOTO PEÇAS</v>
          </cell>
          <cell r="C2014" t="str">
            <v>ROLAMENTO MOTO</v>
          </cell>
          <cell r="D2014" t="str">
            <v>SIMPLES</v>
          </cell>
          <cell r="E2014" t="str">
            <v>POLO</v>
          </cell>
          <cell r="F2014" t="str">
            <v>ROLAMENTO 6301</v>
          </cell>
        </row>
        <row r="2015">
          <cell r="A2015" t="str">
            <v>RL63</v>
          </cell>
          <cell r="B2015" t="str">
            <v>MOTO PEÇAS</v>
          </cell>
          <cell r="C2015" t="str">
            <v>ROLAMENTO MOTO</v>
          </cell>
          <cell r="D2015" t="str">
            <v>SIMPLES</v>
          </cell>
          <cell r="E2015" t="str">
            <v>POLO</v>
          </cell>
          <cell r="F2015" t="str">
            <v>NZT6003/2RS</v>
          </cell>
        </row>
        <row r="2016">
          <cell r="A2016" t="str">
            <v>RL6301</v>
          </cell>
          <cell r="B2016" t="str">
            <v>MOTO PEÇAS</v>
          </cell>
          <cell r="C2016" t="str">
            <v>ROLAMENTO MOTO</v>
          </cell>
          <cell r="D2016" t="str">
            <v>SIMPLES</v>
          </cell>
          <cell r="E2016" t="str">
            <v>POLO</v>
          </cell>
          <cell r="F2016" t="str">
            <v>NZT6301/2RS</v>
          </cell>
        </row>
        <row r="2017">
          <cell r="A2017" t="str">
            <v>RL6302</v>
          </cell>
          <cell r="B2017" t="str">
            <v>MOTO PEÇAS</v>
          </cell>
          <cell r="C2017" t="str">
            <v>ROLAMENTO MOTO</v>
          </cell>
          <cell r="D2017" t="str">
            <v>SIMPLES</v>
          </cell>
          <cell r="E2017" t="str">
            <v>POLO</v>
          </cell>
          <cell r="F2017" t="str">
            <v>NZT6302/2RS</v>
          </cell>
        </row>
        <row r="2018">
          <cell r="A2018" t="str">
            <v>200.123/3A</v>
          </cell>
          <cell r="B2018" t="str">
            <v>MOTO PEÇAS</v>
          </cell>
          <cell r="C2018" t="str">
            <v>JUNTO MOTOR COMPLETA</v>
          </cell>
          <cell r="D2018" t="str">
            <v>SIMPLES</v>
          </cell>
          <cell r="E2018" t="str">
            <v>KRATER</v>
          </cell>
          <cell r="F2018" t="str">
            <v>JUNTA MOTOR COMPLETO 150</v>
          </cell>
        </row>
        <row r="2019">
          <cell r="A2019" t="str">
            <v>RL60</v>
          </cell>
          <cell r="B2019" t="str">
            <v>MOTO PEÇAS</v>
          </cell>
          <cell r="C2019" t="str">
            <v>ROLAMENTO MOTO</v>
          </cell>
          <cell r="D2019" t="str">
            <v>SIMPLES</v>
          </cell>
          <cell r="E2019" t="str">
            <v>POLO</v>
          </cell>
          <cell r="F2019" t="str">
            <v>NZT6000/2RS</v>
          </cell>
        </row>
        <row r="2020">
          <cell r="A2020" t="str">
            <v>RL62</v>
          </cell>
          <cell r="B2020" t="str">
            <v>MOTO PEÇAS</v>
          </cell>
          <cell r="C2020" t="str">
            <v>ROLAMENTO MOTO</v>
          </cell>
          <cell r="D2020" t="str">
            <v>SIMPLES</v>
          </cell>
          <cell r="E2020" t="str">
            <v>POLO</v>
          </cell>
          <cell r="F2020" t="str">
            <v>nzt6002/2rs</v>
          </cell>
        </row>
        <row r="2021">
          <cell r="A2021" t="str">
            <v>NZT6201/2RS</v>
          </cell>
          <cell r="B2021" t="str">
            <v>MOTO PEÇAS</v>
          </cell>
          <cell r="C2021" t="str">
            <v>ROLAMENTO MOTO</v>
          </cell>
          <cell r="D2021" t="str">
            <v>SIMPLES</v>
          </cell>
          <cell r="E2021" t="str">
            <v>POLO</v>
          </cell>
          <cell r="F2021" t="str">
            <v>ROLAMENTO</v>
          </cell>
        </row>
        <row r="2022">
          <cell r="A2022" t="str">
            <v>JJF-M6A</v>
          </cell>
          <cell r="B2022" t="str">
            <v>MOTO PEÇAS</v>
          </cell>
          <cell r="C2022" t="str">
            <v>ANTENA CORTA PIPA</v>
          </cell>
          <cell r="D2022" t="str">
            <v>SIMPLES</v>
          </cell>
          <cell r="E2022" t="str">
            <v>JOJAFER</v>
          </cell>
          <cell r="F2022" t="str">
            <v>ANTENA CORTA PIPA 6 ESTÁGIO INOX RETROVISOR</v>
          </cell>
        </row>
        <row r="2023">
          <cell r="A2023" t="str">
            <v>201.377K003</v>
          </cell>
          <cell r="B2023" t="str">
            <v>MOTO PEÇAS</v>
          </cell>
          <cell r="C2023" t="str">
            <v>Junta moto</v>
          </cell>
          <cell r="D2023" t="str">
            <v>SIMPLES</v>
          </cell>
          <cell r="E2023" t="str">
            <v>KRATER</v>
          </cell>
          <cell r="F2023" t="str">
            <v>JUNTA LATERAL MOTOR YS 250 FAZER XTZ 250 LANDER 2005 EM DIANTE LD</v>
          </cell>
        </row>
        <row r="2024">
          <cell r="A2024" t="str">
            <v>PDM1372</v>
          </cell>
          <cell r="B2024" t="str">
            <v>MOTO PEÇAS</v>
          </cell>
          <cell r="C2024" t="str">
            <v>pastilha Freio Moto</v>
          </cell>
          <cell r="D2024" t="str">
            <v>SIMPLES</v>
          </cell>
          <cell r="E2024" t="str">
            <v>PANDÃO</v>
          </cell>
          <cell r="F2024" t="str">
            <v>PASTILHA FREIO SEMI-METALICA CG 150 TITAN ESD CBS (COMBI BRAKE) 14/15</v>
          </cell>
        </row>
        <row r="2025">
          <cell r="A2025" t="str">
            <v>JJF-M6</v>
          </cell>
          <cell r="B2025" t="str">
            <v>MOTO PEÇAS</v>
          </cell>
          <cell r="C2025" t="str">
            <v>ANTENA CORTA PIPA</v>
          </cell>
          <cell r="D2025" t="str">
            <v>SIMPLES</v>
          </cell>
          <cell r="E2025" t="str">
            <v>JOJAFER</v>
          </cell>
          <cell r="F2025" t="str">
            <v>ANTENA CORTA PIPA 6 ESTÁGIO PRETA RETROVISOR</v>
          </cell>
        </row>
        <row r="2026">
          <cell r="A2026" t="str">
            <v>CCA0034</v>
          </cell>
          <cell r="B2026" t="str">
            <v>MOTO PEÇAS</v>
          </cell>
          <cell r="C2026" t="str">
            <v>Cabo Acelerador Moto</v>
          </cell>
          <cell r="D2026" t="str">
            <v>SIMPLES</v>
          </cell>
          <cell r="E2026" t="str">
            <v>POLO</v>
          </cell>
          <cell r="F2026" t="str">
            <v>CABO ACELERADOR PARA MOTO CG125 FAN 2009</v>
          </cell>
        </row>
        <row r="2027">
          <cell r="A2027" t="str">
            <v>PDM1362</v>
          </cell>
          <cell r="B2027" t="str">
            <v>MOTO PEÇAS</v>
          </cell>
          <cell r="C2027" t="str">
            <v>pastilha Freio Moto</v>
          </cell>
          <cell r="D2027" t="str">
            <v>SIMPLES</v>
          </cell>
          <cell r="E2027" t="str">
            <v>PANDÃO</v>
          </cell>
          <cell r="F2027" t="str">
            <v>PASTILHA FREIO SEMI-METALICA BIZ 125+ 06/...(D)-NX 150 89/...(D)-BRO</v>
          </cell>
        </row>
        <row r="2028">
          <cell r="A2028" t="str">
            <v>PDM1374</v>
          </cell>
          <cell r="B2028" t="str">
            <v>MOTO PEÇAS</v>
          </cell>
          <cell r="C2028" t="str">
            <v>pastilha Freio Moto</v>
          </cell>
          <cell r="D2028" t="str">
            <v>SIMPLES</v>
          </cell>
          <cell r="E2028" t="str">
            <v>PANDÃO</v>
          </cell>
          <cell r="F2028" t="str">
            <v>PASTILHA FREIO SEMI-METALICA CG 160 FAN CBS (COMBI BRAKE)18/... - CG</v>
          </cell>
        </row>
        <row r="2029">
          <cell r="A2029" t="str">
            <v>CCA0007</v>
          </cell>
          <cell r="B2029" t="str">
            <v>MOTO PEÇAS</v>
          </cell>
          <cell r="C2029" t="str">
            <v>Cabo Acelerador Moto</v>
          </cell>
          <cell r="D2029" t="str">
            <v>SIMPLES</v>
          </cell>
          <cell r="E2029" t="str">
            <v>POLO</v>
          </cell>
          <cell r="F2029" t="str">
            <v>CABO ACELERADOR PARA MOTO HONDA CG 125 TITAN CARGO ES KS KSE</v>
          </cell>
        </row>
        <row r="2030">
          <cell r="A2030" t="str">
            <v>CCA0039</v>
          </cell>
          <cell r="B2030" t="str">
            <v>MOTO PEÇAS</v>
          </cell>
          <cell r="C2030" t="str">
            <v>Cabo Acelerador Moto</v>
          </cell>
          <cell r="D2030" t="str">
            <v>SIMPLES</v>
          </cell>
          <cell r="E2030" t="str">
            <v>POLO</v>
          </cell>
          <cell r="F2030" t="str">
            <v>CABO ACELERADOR PARA MOTO CG 125 FAN ES KS</v>
          </cell>
        </row>
        <row r="2031">
          <cell r="A2031" t="str">
            <v>JJF-M5B</v>
          </cell>
          <cell r="B2031" t="str">
            <v>MOTO PEÇAS</v>
          </cell>
          <cell r="C2031" t="str">
            <v>ANTENA CORTA PIPA</v>
          </cell>
          <cell r="D2031" t="str">
            <v>SIMPLES</v>
          </cell>
          <cell r="E2031" t="str">
            <v>JOJAFER</v>
          </cell>
          <cell r="F2031" t="str">
            <v>ANTENA CORTA PIPA 6 ESTÁGIO PRETA 7/8</v>
          </cell>
        </row>
        <row r="2032">
          <cell r="A2032" t="str">
            <v>CCA0003</v>
          </cell>
          <cell r="B2032" t="str">
            <v>MOTO PEÇAS</v>
          </cell>
          <cell r="C2032" t="str">
            <v>Cabo Acelerador Moto</v>
          </cell>
          <cell r="D2032" t="str">
            <v>SIMPLES</v>
          </cell>
          <cell r="E2032" t="str">
            <v>POLO</v>
          </cell>
          <cell r="F2032" t="str">
            <v>CABO ACELERADOR CG 125 TITAN KS/EX/ES de ... até 2009 CG 150 TITAN EX de ... até 2009</v>
          </cell>
        </row>
        <row r="2033">
          <cell r="A2033" t="str">
            <v>JJFM2B</v>
          </cell>
          <cell r="B2033" t="str">
            <v>MOTO PEÇAS</v>
          </cell>
          <cell r="C2033" t="str">
            <v>ANTENA CORTA PIPA</v>
          </cell>
          <cell r="D2033" t="str">
            <v>SIMPLES</v>
          </cell>
          <cell r="E2033" t="str">
            <v>JOJAFER</v>
          </cell>
          <cell r="F2033" t="str">
            <v>ANTENA CORTA PIPA JJF FIXA GUIDAO INOX ABRAX ZINCADA</v>
          </cell>
        </row>
        <row r="2034">
          <cell r="A2034" t="str">
            <v>CCE0016</v>
          </cell>
          <cell r="B2034" t="str">
            <v>MOTO PEÇAS</v>
          </cell>
          <cell r="C2034" t="str">
            <v>Cabo Embreagem moto</v>
          </cell>
          <cell r="D2034" t="str">
            <v>SIMPLES</v>
          </cell>
          <cell r="E2034" t="str">
            <v>POLO</v>
          </cell>
          <cell r="F2034" t="str">
            <v>CABO DA EMBREAGEM PARA MOTO CG160 FAN TITAN 2016 EM DIANTE</v>
          </cell>
        </row>
        <row r="2035">
          <cell r="A2035" t="str">
            <v>CCA0042</v>
          </cell>
          <cell r="B2035" t="str">
            <v>MOTO PEÇAS</v>
          </cell>
          <cell r="C2035" t="str">
            <v>Cabo Acelerador Moto</v>
          </cell>
          <cell r="D2035" t="str">
            <v>SIMPLES</v>
          </cell>
          <cell r="E2035" t="str">
            <v>POLO</v>
          </cell>
          <cell r="F2035" t="str">
            <v>CABO ACELERADOR PARA MOTO YAHAMA FAZER YS 250</v>
          </cell>
        </row>
        <row r="2036">
          <cell r="A2036" t="str">
            <v>CCE0013</v>
          </cell>
          <cell r="B2036" t="str">
            <v>MOTO PEÇAS</v>
          </cell>
          <cell r="C2036" t="str">
            <v>Cabo Embreagem moto</v>
          </cell>
          <cell r="D2036" t="str">
            <v>SIMPLES</v>
          </cell>
          <cell r="E2036" t="str">
            <v>POLO</v>
          </cell>
          <cell r="F2036" t="str">
            <v>CABO DA EMBREAGEM PARA MOTO CG 125 TITAN 1990 A 1999</v>
          </cell>
        </row>
        <row r="2037">
          <cell r="A2037" t="str">
            <v>JJF-M13A</v>
          </cell>
          <cell r="B2037" t="str">
            <v>MOTO PEÇAS</v>
          </cell>
          <cell r="C2037" t="str">
            <v>ANTENA CORTA PIPA</v>
          </cell>
          <cell r="D2037" t="str">
            <v>SIMPLES</v>
          </cell>
          <cell r="E2037" t="str">
            <v>JOJAFER</v>
          </cell>
          <cell r="F2037" t="str">
            <v>ANTENA CORTA PIPA 6 ESTÁGIO PRETA</v>
          </cell>
        </row>
        <row r="2038">
          <cell r="A2038" t="str">
            <v>JJFM8</v>
          </cell>
          <cell r="B2038" t="str">
            <v>MOTO PEÇAS</v>
          </cell>
          <cell r="C2038" t="str">
            <v>ANTENA CORTA PIPA</v>
          </cell>
          <cell r="D2038" t="str">
            <v>SIMPLES</v>
          </cell>
          <cell r="E2038" t="str">
            <v>JOJAFER</v>
          </cell>
          <cell r="F2038" t="str">
            <v>ANTENA CORTA PIPA JJF GUIDAO 2 EST ALUMIN HASTE CARBONO</v>
          </cell>
        </row>
        <row r="2039">
          <cell r="A2039" t="str">
            <v>JJFM3B</v>
          </cell>
          <cell r="B2039" t="str">
            <v>MOTO PEÇAS</v>
          </cell>
          <cell r="C2039" t="str">
            <v>ANTENA CORTA PIPA</v>
          </cell>
          <cell r="D2039" t="str">
            <v>SIMPLES</v>
          </cell>
          <cell r="E2039" t="str">
            <v>JOJAFER</v>
          </cell>
          <cell r="F2039" t="str">
            <v>ANTENA CORTA PIPA JJF FIXA RETROV INOX COM REFORÇO</v>
          </cell>
        </row>
        <row r="2040">
          <cell r="A2040" t="str">
            <v>JJFM9</v>
          </cell>
          <cell r="B2040" t="str">
            <v>MOTO PEÇAS</v>
          </cell>
          <cell r="C2040" t="str">
            <v>ANTENA CORTA PIPA</v>
          </cell>
          <cell r="D2040" t="str">
            <v>SIMPLES</v>
          </cell>
          <cell r="E2040" t="str">
            <v>JOJAFER</v>
          </cell>
          <cell r="F2040" t="str">
            <v>ANTENA CORTA PIPA JJF RETROV 2 EST ALUMIN HASTE CARBONO</v>
          </cell>
        </row>
        <row r="2041">
          <cell r="A2041" t="str">
            <v>RT007</v>
          </cell>
          <cell r="B2041" t="str">
            <v>MOTO PEÇAS</v>
          </cell>
          <cell r="C2041" t="str">
            <v>Kit Relação moto</v>
          </cell>
          <cell r="D2041" t="str">
            <v>SIMPLES</v>
          </cell>
          <cell r="E2041" t="str">
            <v>POLO</v>
          </cell>
          <cell r="F2041" t="str">
            <v>KIT TRANSMISSÃO BIZ</v>
          </cell>
        </row>
        <row r="2042">
          <cell r="A2042" t="str">
            <v>CCE0055</v>
          </cell>
          <cell r="B2042" t="str">
            <v>MOTO PEÇAS</v>
          </cell>
          <cell r="C2042" t="str">
            <v>Cabo Embreagem moto</v>
          </cell>
          <cell r="D2042" t="str">
            <v>SIMPLES</v>
          </cell>
          <cell r="E2042" t="str">
            <v>POLO</v>
          </cell>
          <cell r="F2042" t="str">
            <v>CABO DA EMBREAGEM PARA MOTO YAHAMA XT 250 TÉNÉRÉ</v>
          </cell>
        </row>
        <row r="2043">
          <cell r="A2043" t="str">
            <v>PAR-6515/16</v>
          </cell>
          <cell r="B2043" t="str">
            <v>AUTOMOTIVO</v>
          </cell>
          <cell r="C2043" t="str">
            <v>Bieleta</v>
          </cell>
          <cell r="D2043" t="str">
            <v>KIT</v>
          </cell>
          <cell r="E2043" t="str">
            <v>HOLYMAN</v>
          </cell>
          <cell r="F2043" t="str">
            <v>Par Bieleta Dianteira Sprinter 2012 A 2020 415 Cdi</v>
          </cell>
        </row>
        <row r="2044">
          <cell r="A2044" t="str">
            <v>KIT-LT5576/77</v>
          </cell>
          <cell r="B2044" t="str">
            <v>AUTOMOTIVO</v>
          </cell>
          <cell r="C2044" t="str">
            <v>Haste Câmbio</v>
          </cell>
          <cell r="D2044" t="str">
            <v>KIT</v>
          </cell>
          <cell r="E2044" t="str">
            <v>LT CORREA</v>
          </cell>
          <cell r="F2044" t="str">
            <v>Kit Haste Do Trambulador Golf 1998 Á 2001 Motor 1.6</v>
          </cell>
        </row>
        <row r="2045">
          <cell r="A2045" t="str">
            <v>PARFTK-11020S</v>
          </cell>
          <cell r="B2045" t="str">
            <v>AUTOMOTIVO</v>
          </cell>
          <cell r="C2045" t="str">
            <v>Pivô Câmbio</v>
          </cell>
          <cell r="D2045" t="str">
            <v>KIT</v>
          </cell>
          <cell r="E2045" t="str">
            <v>SPARE</v>
          </cell>
          <cell r="F2045" t="str">
            <v>Par Pivô Superior Pampa 1982 Á 1997</v>
          </cell>
        </row>
        <row r="2046">
          <cell r="A2046" t="str">
            <v>77354T/2309</v>
          </cell>
          <cell r="B2046" t="str">
            <v>AUTOMOTIVO</v>
          </cell>
          <cell r="C2046" t="str">
            <v>CABO CÂMBIO</v>
          </cell>
          <cell r="D2046" t="str">
            <v>KIT</v>
          </cell>
          <cell r="E2046" t="str">
            <v>Importação / LT CORREA</v>
          </cell>
          <cell r="F2046" t="str">
            <v>Cabo Marcha Câmbio Terminal E Suporte Montana 2011 A 2014</v>
          </cell>
        </row>
        <row r="2047">
          <cell r="A2047" t="str">
            <v>PAR-FTK10212</v>
          </cell>
          <cell r="B2047" t="str">
            <v>AUTOMOTIVO</v>
          </cell>
          <cell r="C2047" t="str">
            <v>ROLAMENTO RODA</v>
          </cell>
          <cell r="D2047" t="str">
            <v>KIT</v>
          </cell>
          <cell r="E2047" t="str">
            <v>IRB</v>
          </cell>
          <cell r="F2047" t="str">
            <v>Par Rolamento Roda Dianteira Golf 1997 A 2014</v>
          </cell>
        </row>
        <row r="2048">
          <cell r="A2048" t="str">
            <v>PAR-FTK454</v>
          </cell>
          <cell r="B2048" t="str">
            <v>AUTOMOTIVO</v>
          </cell>
          <cell r="C2048" t="str">
            <v>Coifa Homocinética</v>
          </cell>
          <cell r="D2048" t="str">
            <v>KIT</v>
          </cell>
          <cell r="E2048" t="str">
            <v>Replabor</v>
          </cell>
          <cell r="F2048" t="str">
            <v>Par Coifa Homocinetica Lado Roda Golf 1999 Em Diante</v>
          </cell>
        </row>
        <row r="2049">
          <cell r="A2049" t="str">
            <v>PAR-NZT636096</v>
          </cell>
          <cell r="B2049" t="str">
            <v>AUTOMOTIVO</v>
          </cell>
          <cell r="C2049" t="str">
            <v>ROLAMENTO RODA</v>
          </cell>
          <cell r="D2049" t="str">
            <v>KIT</v>
          </cell>
          <cell r="E2049" t="str">
            <v>POLO</v>
          </cell>
          <cell r="F2049" t="str">
            <v>Par Rolamento Roda Dianteira Astra Sem Abs 1997 Em Diante</v>
          </cell>
        </row>
        <row r="2050">
          <cell r="A2050" t="str">
            <v>2212/13</v>
          </cell>
          <cell r="B2050" t="str">
            <v>AUTOMOTIVO</v>
          </cell>
          <cell r="C2050" t="str">
            <v>Haste Câmbio</v>
          </cell>
          <cell r="D2050" t="str">
            <v>KIT</v>
          </cell>
          <cell r="E2050" t="str">
            <v>LT CORREA</v>
          </cell>
          <cell r="F2050" t="str">
            <v>Kit Tirante Externo Do Câmbio Partner 1.6</v>
          </cell>
        </row>
        <row r="2051">
          <cell r="A2051" t="str">
            <v>FTK77368/69</v>
          </cell>
          <cell r="B2051" t="str">
            <v>AUTOMOTIVO</v>
          </cell>
          <cell r="C2051" t="str">
            <v>PIVÔ</v>
          </cell>
          <cell r="D2051" t="str">
            <v>KIT</v>
          </cell>
          <cell r="E2051" t="str">
            <v>SPARE</v>
          </cell>
          <cell r="F2051" t="str">
            <v>Par Pivô Inferior Tiguan Allspace 2019 Á 2022</v>
          </cell>
        </row>
        <row r="2052">
          <cell r="A2052" t="str">
            <v>PAR-332080</v>
          </cell>
          <cell r="B2052" t="str">
            <v>AUTOMOTIVO</v>
          </cell>
          <cell r="C2052" t="str">
            <v>BANDEJA</v>
          </cell>
          <cell r="D2052" t="str">
            <v>KIT</v>
          </cell>
          <cell r="E2052" t="str">
            <v>SPARE</v>
          </cell>
          <cell r="F2052" t="str">
            <v>Par Bandeja Dianteira Astra Sem Pivô 1999 Á 2011</v>
          </cell>
        </row>
        <row r="2053">
          <cell r="A2053" t="str">
            <v>PAR-2357/58</v>
          </cell>
          <cell r="B2053" t="str">
            <v>AUTOMOTIVO</v>
          </cell>
          <cell r="C2053" t="str">
            <v>Suporte Radiador</v>
          </cell>
          <cell r="D2053" t="str">
            <v>KIT</v>
          </cell>
          <cell r="E2053" t="str">
            <v>LT CORREA</v>
          </cell>
          <cell r="F2053" t="str">
            <v>Kit Suporte Coxim Radiador Corsa Frente Montana 02 A 12</v>
          </cell>
        </row>
        <row r="2054">
          <cell r="A2054" t="str">
            <v>PAR-FTK18098</v>
          </cell>
          <cell r="B2054" t="str">
            <v>AUTOMOTIVO</v>
          </cell>
          <cell r="C2054" t="str">
            <v>rolamento roda</v>
          </cell>
          <cell r="D2054" t="str">
            <v>KIT</v>
          </cell>
          <cell r="E2054" t="str">
            <v>IRB</v>
          </cell>
          <cell r="F2054" t="str">
            <v>Par Rolamento Roda Traseira Range Rover Evoque 2011 A 2019</v>
          </cell>
        </row>
        <row r="2055">
          <cell r="A2055" t="str">
            <v>442106/07</v>
          </cell>
          <cell r="B2055" t="str">
            <v>AUTOMOTIVO</v>
          </cell>
          <cell r="C2055" t="str">
            <v>BANDEJA</v>
          </cell>
          <cell r="D2055" t="str">
            <v>KIT</v>
          </cell>
          <cell r="E2055" t="str">
            <v>SPARE</v>
          </cell>
          <cell r="F2055" t="str">
            <v>Par Bandeja Inferior Com Pivô Passat 2012 A 2015</v>
          </cell>
        </row>
        <row r="2056">
          <cell r="A2056">
            <v>993018</v>
          </cell>
          <cell r="B2056" t="str">
            <v>AUTOMOTIVO</v>
          </cell>
          <cell r="C2056" t="str">
            <v>BANDEJA</v>
          </cell>
          <cell r="D2056" t="str">
            <v>SIMPLES</v>
          </cell>
          <cell r="E2056" t="str">
            <v>SPARE</v>
          </cell>
          <cell r="F2056" t="str">
            <v>Bandeja Dianteira Inferior Evasion 1994 A 2002</v>
          </cell>
        </row>
        <row r="2057">
          <cell r="A2057">
            <v>442124</v>
          </cell>
          <cell r="B2057" t="str">
            <v>AUTOMOTIVO</v>
          </cell>
          <cell r="C2057" t="str">
            <v>BANDEJA</v>
          </cell>
          <cell r="D2057" t="str">
            <v>SIMPLES</v>
          </cell>
          <cell r="E2057" t="str">
            <v>SPARE</v>
          </cell>
          <cell r="F2057" t="str">
            <v>Bandeja Inferior Direita Jetta 2.0 2.5 2005 A 2010 Com Pivô</v>
          </cell>
        </row>
        <row r="2058">
          <cell r="A2058" t="str">
            <v>PAR662022/23</v>
          </cell>
          <cell r="B2058" t="str">
            <v>AUTOMOTIVO</v>
          </cell>
          <cell r="C2058" t="str">
            <v>BANDEJA</v>
          </cell>
          <cell r="D2058" t="str">
            <v>KIT</v>
          </cell>
          <cell r="E2058" t="str">
            <v>SPARE</v>
          </cell>
          <cell r="F2058" t="str">
            <v>Par Bandeja Dianteira Com Pivô Kangoo 2000 A 2017</v>
          </cell>
        </row>
        <row r="2059">
          <cell r="A2059" t="str">
            <v>PAR-FTK00206</v>
          </cell>
          <cell r="B2059" t="str">
            <v>AUTOMOTIVO</v>
          </cell>
          <cell r="C2059" t="str">
            <v>PIVÔ</v>
          </cell>
          <cell r="D2059" t="str">
            <v>KIT</v>
          </cell>
          <cell r="E2059" t="str">
            <v>SPARE</v>
          </cell>
          <cell r="F2059" t="str">
            <v>Par Pivô Superior Fusion 2006 A 2012</v>
          </cell>
        </row>
        <row r="2060">
          <cell r="A2060">
            <v>36656</v>
          </cell>
          <cell r="B2060" t="str">
            <v>AUTOMOTIVO</v>
          </cell>
          <cell r="C2060" t="str">
            <v>CABO TRAATOR</v>
          </cell>
          <cell r="D2060" t="str">
            <v>SIMPLES</v>
          </cell>
          <cell r="E2060" t="str">
            <v>IMPORTAÇÃO</v>
          </cell>
          <cell r="F2060" t="str">
            <v>Cabo De Freio Estacionamento Massey Ferguson 650 660 680</v>
          </cell>
        </row>
        <row r="2061">
          <cell r="A2061">
            <v>11398</v>
          </cell>
          <cell r="B2061" t="str">
            <v>AUTOMOTIVO</v>
          </cell>
          <cell r="C2061" t="str">
            <v>PASTILHA DE FREIO</v>
          </cell>
          <cell r="D2061" t="str">
            <v>SIMPLES</v>
          </cell>
          <cell r="E2061" t="str">
            <v>FABRECK</v>
          </cell>
          <cell r="F2061" t="str">
            <v>Pastilhas De Freio Dianteiro Corolla Xrs 2.0 2013 Diante</v>
          </cell>
        </row>
        <row r="2062">
          <cell r="A2062" t="str">
            <v>FTK-CCV0063</v>
          </cell>
          <cell r="B2062" t="str">
            <v>MOTO PEÇAS</v>
          </cell>
          <cell r="C2062" t="str">
            <v>Cabo velocímetro Moto</v>
          </cell>
          <cell r="D2062" t="str">
            <v>SIMPLES</v>
          </cell>
          <cell r="E2062" t="str">
            <v>POLO</v>
          </cell>
          <cell r="F2062" t="str">
            <v>Cabo De Velocímetro Cg 150 Titan Esd 2009 Em Diante</v>
          </cell>
        </row>
        <row r="2063">
          <cell r="A2063" t="str">
            <v>pg002</v>
          </cell>
          <cell r="B2063" t="str">
            <v>AUTOMOTIVO</v>
          </cell>
          <cell r="C2063" t="str">
            <v>ROLAMENTO EIXO</v>
          </cell>
          <cell r="D2063" t="str">
            <v>SIMPLES</v>
          </cell>
          <cell r="E2063" t="str">
            <v>IMPORTAÇÃO</v>
          </cell>
          <cell r="F2063" t="str">
            <v>Rolamento 47mm Suspensão Trás 206 207 Sem Barra Estabiliza</v>
          </cell>
        </row>
        <row r="2064">
          <cell r="A2064" t="str">
            <v>FTK200121PA</v>
          </cell>
          <cell r="B2064" t="str">
            <v>AUTOMOTIVO</v>
          </cell>
          <cell r="C2064" t="str">
            <v>JUNTO MOTOR COMPLETA</v>
          </cell>
          <cell r="D2064" t="str">
            <v>SIMPLES</v>
          </cell>
          <cell r="E2064" t="str">
            <v>KRATER</v>
          </cell>
          <cell r="F2064" t="str">
            <v>Jogo De Juntas Superior Do Cabeçote Cg125 Fan 2009 Em Diante</v>
          </cell>
        </row>
        <row r="2065">
          <cell r="A2065" t="str">
            <v>FTK319K</v>
          </cell>
          <cell r="B2065" t="str">
            <v>AUTOMOTIVO</v>
          </cell>
          <cell r="C2065" t="str">
            <v>Coifa Homocinética</v>
          </cell>
          <cell r="D2065" t="str">
            <v>SIMPLES</v>
          </cell>
          <cell r="E2065" t="str">
            <v>Replabor</v>
          </cell>
          <cell r="F2065" t="str">
            <v>Coifa Homocinetica Lado Cambio Fiat 147 1984 A 1986</v>
          </cell>
        </row>
        <row r="2066">
          <cell r="A2066">
            <v>300620</v>
          </cell>
          <cell r="B2066" t="str">
            <v>MOTO PEÇAS</v>
          </cell>
          <cell r="C2066" t="str">
            <v>ÓLEO MOTOR</v>
          </cell>
          <cell r="D2066" t="str">
            <v>SIMPLES</v>
          </cell>
          <cell r="E2066" t="str">
            <v>SAKAMOTO</v>
          </cell>
          <cell r="F2066" t="str">
            <v>OLEO DE MOBIL</v>
          </cell>
        </row>
        <row r="2067">
          <cell r="A2067">
            <v>300621</v>
          </cell>
          <cell r="B2067" t="str">
            <v>MOTO PEÇAS</v>
          </cell>
          <cell r="C2067" t="str">
            <v>ÓLEO MOTOR</v>
          </cell>
          <cell r="D2067" t="str">
            <v>SIMPLES</v>
          </cell>
          <cell r="E2067" t="str">
            <v>SAKAMOTO</v>
          </cell>
          <cell r="F2067" t="str">
            <v>OLEO DE MOBIL 10W30</v>
          </cell>
        </row>
        <row r="2068">
          <cell r="A2068" t="str">
            <v>PDM0007</v>
          </cell>
          <cell r="B2068" t="str">
            <v>MOTO PEÇAS</v>
          </cell>
          <cell r="C2068" t="str">
            <v>ROLAMENTO MOTO</v>
          </cell>
          <cell r="D2068" t="str">
            <v>SIMPLES</v>
          </cell>
          <cell r="E2068" t="str">
            <v>PANDÃO</v>
          </cell>
          <cell r="F2068" t="str">
            <v>CAMERA DE AR 3.00-14</v>
          </cell>
        </row>
        <row r="2069">
          <cell r="A2069" t="str">
            <v>NZT6202/2RS</v>
          </cell>
          <cell r="B2069" t="str">
            <v>MOTO PEÇAS</v>
          </cell>
          <cell r="C2069" t="str">
            <v>ROLAMENTO MOTO</v>
          </cell>
          <cell r="D2069" t="str">
            <v>SIMPLES</v>
          </cell>
          <cell r="E2069" t="str">
            <v>POLO</v>
          </cell>
          <cell r="F2069" t="str">
            <v>ROLAMENTO RODA DIANTEIRA CG TITAN 125 - NX 200 / NX 350 SAHARA / NX4 FALCON 400 / XLX 250R / XLX 350 / XR 200</v>
          </cell>
        </row>
        <row r="2070">
          <cell r="A2070" t="str">
            <v>nzt6203</v>
          </cell>
          <cell r="B2070" t="str">
            <v>MOTO PEÇAS</v>
          </cell>
          <cell r="C2070" t="str">
            <v>ROLAMENTO MOTO</v>
          </cell>
          <cell r="D2070" t="str">
            <v>SIMPLES</v>
          </cell>
          <cell r="E2070" t="str">
            <v>POLO</v>
          </cell>
          <cell r="F2070" t="str">
            <v>ROLAMENTO</v>
          </cell>
        </row>
        <row r="2071">
          <cell r="A2071" t="str">
            <v>CCE0064</v>
          </cell>
          <cell r="B2071" t="str">
            <v>MOTO PEÇAS</v>
          </cell>
          <cell r="C2071" t="str">
            <v>Cabo Embreagem moto</v>
          </cell>
          <cell r="D2071" t="str">
            <v>SIMPLES</v>
          </cell>
          <cell r="E2071" t="str">
            <v>POLO</v>
          </cell>
          <cell r="F2071" t="str">
            <v>CABO EMBREAGEM HONDA CG 125 FAN ESD 14&gt;</v>
          </cell>
        </row>
        <row r="2072">
          <cell r="A2072" t="str">
            <v>CCE0069</v>
          </cell>
          <cell r="B2072" t="str">
            <v>MOTO PEÇAS</v>
          </cell>
          <cell r="C2072" t="str">
            <v>Cabo Embreagem moto</v>
          </cell>
          <cell r="D2072" t="str">
            <v>SIMPLES</v>
          </cell>
          <cell r="E2072" t="str">
            <v>POLO</v>
          </cell>
          <cell r="F2072" t="str">
            <v>CABO EMBREAGEM HONDA</v>
          </cell>
        </row>
        <row r="2073">
          <cell r="A2073" t="str">
            <v>PDM1388</v>
          </cell>
          <cell r="B2073" t="str">
            <v>MOTO PEÇAS</v>
          </cell>
          <cell r="C2073" t="str">
            <v>PASTILHA DE FREIO MOTO</v>
          </cell>
          <cell r="D2073" t="str">
            <v>SIMPLES</v>
          </cell>
          <cell r="E2073" t="str">
            <v>PANDÃO</v>
          </cell>
          <cell r="F2073" t="str">
            <v>PASTILHA FREIO SEMI-METALICA CRYPTON 115 ED 10/16-FACTOR</v>
          </cell>
        </row>
        <row r="2074">
          <cell r="A2074" t="str">
            <v>NZT6204/2RS</v>
          </cell>
          <cell r="B2074" t="str">
            <v>MOTO PEÇAS</v>
          </cell>
          <cell r="C2074" t="str">
            <v>ROLAMENTO MOTO</v>
          </cell>
          <cell r="D2074" t="str">
            <v>SIMPLES</v>
          </cell>
          <cell r="E2074" t="str">
            <v>POLO</v>
          </cell>
          <cell r="F2074" t="str">
            <v>ROLAMENTO FORD ALTERNADOR CARGO F-1000</v>
          </cell>
        </row>
        <row r="2075">
          <cell r="A2075" t="str">
            <v>FBK5042</v>
          </cell>
          <cell r="B2075" t="str">
            <v>MOTO PEÇAS</v>
          </cell>
          <cell r="C2075" t="str">
            <v>LONA DE FREIO MOTO</v>
          </cell>
          <cell r="D2075" t="str">
            <v>SIMPLES</v>
          </cell>
          <cell r="E2075" t="str">
            <v>FABRECK</v>
          </cell>
          <cell r="F2075" t="str">
            <v>LONA DE FREIO DIANTEIRO CG TITAN BIZ BROSS 125 TWISTER WEB</v>
          </cell>
        </row>
        <row r="2076">
          <cell r="A2076" t="str">
            <v>FBK-982</v>
          </cell>
          <cell r="B2076" t="str">
            <v>MOTO PEÇAS</v>
          </cell>
          <cell r="C2076" t="str">
            <v>MANETE EMBREAGEM</v>
          </cell>
          <cell r="D2076" t="str">
            <v>SIMPLES</v>
          </cell>
          <cell r="E2076" t="str">
            <v>FABRECK</v>
          </cell>
          <cell r="F2076" t="str">
            <v>MANETE DE EMBREAGEM</v>
          </cell>
        </row>
        <row r="2077">
          <cell r="A2077" t="str">
            <v>pdm1392</v>
          </cell>
          <cell r="B2077" t="str">
            <v>MOTO PEÇAS</v>
          </cell>
          <cell r="C2077" t="str">
            <v>PASTILHA DE FREIO MOTO</v>
          </cell>
          <cell r="D2077" t="str">
            <v>SIMPLES</v>
          </cell>
          <cell r="E2077" t="str">
            <v>PANDÃO</v>
          </cell>
          <cell r="F2077" t="str">
            <v>pastilha de freio yamaha ybr 150 factor ed 16/...</v>
          </cell>
        </row>
        <row r="2078">
          <cell r="A2078" t="str">
            <v>FFBK5041</v>
          </cell>
          <cell r="B2078" t="str">
            <v>MOTO PEÇAS</v>
          </cell>
          <cell r="C2078" t="str">
            <v>LONA DE FREIO MOTO</v>
          </cell>
          <cell r="D2078" t="str">
            <v>SIMPLES</v>
          </cell>
          <cell r="E2078" t="str">
            <v>FABRECK</v>
          </cell>
          <cell r="F2078" t="str">
            <v>LONA DE FREIO DIANTEIRO CG TITAN BIZ BROSS 125 TWISTER WEB</v>
          </cell>
        </row>
        <row r="2079">
          <cell r="A2079" t="str">
            <v>NTZ6004/2RS</v>
          </cell>
          <cell r="B2079" t="str">
            <v>MOTO PEÇAS</v>
          </cell>
          <cell r="C2079" t="str">
            <v>ROLAMENTO MOTO</v>
          </cell>
          <cell r="D2079" t="str">
            <v>SIMPLES</v>
          </cell>
          <cell r="E2079" t="str">
            <v>POLO</v>
          </cell>
          <cell r="F2079" t="str">
            <v>ROLAMENTO</v>
          </cell>
        </row>
        <row r="2080">
          <cell r="A2080" t="str">
            <v xml:space="preserve">20W50 </v>
          </cell>
          <cell r="B2080" t="str">
            <v>MOTO PEÇAS</v>
          </cell>
          <cell r="C2080" t="str">
            <v>ÓLEO MOTOR</v>
          </cell>
          <cell r="D2080" t="str">
            <v>SIMPLES</v>
          </cell>
          <cell r="E2080" t="str">
            <v>Outros</v>
          </cell>
          <cell r="F2080" t="str">
            <v>20W50 OLEO MOTOR RB LUBRIFICANTES</v>
          </cell>
        </row>
        <row r="2081">
          <cell r="A2081" t="str">
            <v>JJFM10A</v>
          </cell>
          <cell r="B2081" t="str">
            <v>MOTO PEÇAS</v>
          </cell>
          <cell r="C2081" t="str">
            <v>ANTENA CORTA PIPA</v>
          </cell>
          <cell r="D2081" t="str">
            <v>SIMPLES</v>
          </cell>
          <cell r="E2081" t="str">
            <v>JOJAFER</v>
          </cell>
          <cell r="F2081" t="str">
            <v>ANTENA CORTA PIPA JJF 6 EST GUIDAO PRETA 7/8 EL" ABRAC ALUM C/RED</v>
          </cell>
        </row>
        <row r="2082">
          <cell r="A2082" t="str">
            <v>FBK736</v>
          </cell>
          <cell r="B2082" t="str">
            <v>MOTO PEÇAS</v>
          </cell>
          <cell r="C2082" t="str">
            <v>PASTILHA DE FREIO MOTO</v>
          </cell>
          <cell r="D2082" t="str">
            <v>SIMPLES</v>
          </cell>
          <cell r="E2082" t="str">
            <v>FABRECK</v>
          </cell>
          <cell r="F2082" t="str">
            <v>PASTILHA DE FREIO DIANTEIRO TITAN 150 2009,ED FAN 125 2013 ED , TITAN 160 ESD2016...ED , FAZER 250EN2019...</v>
          </cell>
        </row>
        <row r="2083">
          <cell r="A2083" t="str">
            <v>PDM0263</v>
          </cell>
          <cell r="B2083" t="str">
            <v>MOTO PEÇAS</v>
          </cell>
          <cell r="C2083" t="str">
            <v>ROLAMENTO MOTO</v>
          </cell>
          <cell r="D2083" t="str">
            <v>SIMPLES</v>
          </cell>
          <cell r="E2083" t="str">
            <v>PANDÃO</v>
          </cell>
          <cell r="F2083" t="str">
            <v>CAIXA COM 10 ROLAMENTO 6301 2RS HONDA YAMAHA</v>
          </cell>
        </row>
        <row r="2084">
          <cell r="A2084" t="str">
            <v>JJF M13A</v>
          </cell>
          <cell r="B2084" t="str">
            <v>MOTO PEÇAS</v>
          </cell>
          <cell r="C2084" t="str">
            <v>ANTENA CORTA PIPA</v>
          </cell>
          <cell r="D2084" t="str">
            <v>SIMPLES</v>
          </cell>
          <cell r="E2084" t="str">
            <v>JOJAFER</v>
          </cell>
          <cell r="F2084" t="str">
            <v>ANTENA CORTA PIPA JJF 6 EST XMAX PRETA</v>
          </cell>
        </row>
        <row r="2085">
          <cell r="A2085" t="str">
            <v>PDM1373</v>
          </cell>
          <cell r="B2085" t="str">
            <v>MOTO PEÇAS</v>
          </cell>
          <cell r="C2085" t="str">
            <v>PASTILHA DE FREIO MOTO</v>
          </cell>
          <cell r="D2085" t="str">
            <v>SIMPLES</v>
          </cell>
          <cell r="E2085" t="str">
            <v>PANDÃO</v>
          </cell>
          <cell r="F2085" t="str">
            <v>PASTILHA FREIO SEMI-METALICA CG 150 TITAN MIX ESD 09/15(D)-CG 160 FA</v>
          </cell>
        </row>
        <row r="2086">
          <cell r="A2086" t="str">
            <v>PDM2399</v>
          </cell>
          <cell r="B2086" t="str">
            <v>MOTO PEÇAS</v>
          </cell>
          <cell r="C2086" t="str">
            <v>Kit Relação moto</v>
          </cell>
          <cell r="D2086" t="str">
            <v>SIMPLES</v>
          </cell>
          <cell r="E2086" t="str">
            <v>PANDÃO</v>
          </cell>
          <cell r="F2086" t="str">
            <v>KIT TRANSMISSÃO CB 250 F TWISTER 250 2016/2022</v>
          </cell>
        </row>
        <row r="2087">
          <cell r="A2087" t="str">
            <v>CCG0002</v>
          </cell>
          <cell r="B2087" t="str">
            <v>MOTO PEÇAS</v>
          </cell>
          <cell r="C2087" t="str">
            <v>CABO AFOGADOR</v>
          </cell>
          <cell r="D2087" t="str">
            <v>SIMPLES</v>
          </cell>
          <cell r="E2087" t="str">
            <v>POLO</v>
          </cell>
          <cell r="F2087" t="str">
            <v>CABO AFOGADOR HONDA CBX 250 TWISTER 5</v>
          </cell>
        </row>
        <row r="2088">
          <cell r="A2088" t="str">
            <v>JJFM5A</v>
          </cell>
          <cell r="B2088" t="str">
            <v>MOTO PEÇAS</v>
          </cell>
          <cell r="C2088" t="str">
            <v>ANTENA CORTA PIPA</v>
          </cell>
          <cell r="D2088" t="str">
            <v>SIMPLES</v>
          </cell>
          <cell r="E2088" t="str">
            <v>JOJAFER</v>
          </cell>
          <cell r="F2088" t="str">
            <v>ANTENA CORTA PIPA 6 EST GUIDAO 7/8 E 1"C/ RED INOX ABRAC FIBRA CROMADA</v>
          </cell>
        </row>
        <row r="2089">
          <cell r="A2089" t="str">
            <v>PDM0299</v>
          </cell>
          <cell r="B2089" t="str">
            <v>MOTO PEÇAS</v>
          </cell>
          <cell r="C2089" t="str">
            <v>Kit Relação moto</v>
          </cell>
          <cell r="D2089" t="str">
            <v>SIMPLES</v>
          </cell>
          <cell r="E2089" t="str">
            <v>PANDÃO</v>
          </cell>
          <cell r="F2089" t="str">
            <v>KIT TRANSMISSÃO BIZ 110</v>
          </cell>
        </row>
        <row r="2090">
          <cell r="A2090" t="str">
            <v>JJFM9A</v>
          </cell>
          <cell r="B2090" t="str">
            <v>MOTO PEÇAS</v>
          </cell>
          <cell r="C2090" t="str">
            <v>ANTENA CORTA PIPA</v>
          </cell>
          <cell r="D2090" t="str">
            <v>SIMPLES</v>
          </cell>
          <cell r="E2090" t="str">
            <v>JOJAFER</v>
          </cell>
          <cell r="F2090" t="str">
            <v>ANTENA JJF RETROV 2 ESTAG ALUMIN PRETO CARBONO</v>
          </cell>
        </row>
        <row r="2091">
          <cell r="A2091" t="str">
            <v>CCA0061</v>
          </cell>
          <cell r="B2091" t="str">
            <v>MOTO PEÇAS</v>
          </cell>
          <cell r="C2091" t="str">
            <v>Cabo Acelerador Moto</v>
          </cell>
          <cell r="D2091" t="str">
            <v>SIMPLES</v>
          </cell>
          <cell r="E2091" t="str">
            <v>POLO</v>
          </cell>
          <cell r="F2091" t="str">
            <v>CABO ACELERADOR HONDA BIZ 125 09&gt;10</v>
          </cell>
        </row>
        <row r="2092">
          <cell r="A2092" t="str">
            <v>M2B</v>
          </cell>
          <cell r="B2092" t="str">
            <v>MOTO PEÇAS</v>
          </cell>
          <cell r="C2092" t="str">
            <v>ANTENA CORTA PIPA</v>
          </cell>
          <cell r="D2092" t="str">
            <v>SIMPLES</v>
          </cell>
          <cell r="E2092" t="str">
            <v>JOJAFER</v>
          </cell>
          <cell r="F2092" t="str">
            <v>ANTENA CORTA PIPA JJF FIXA GUIDAO INOX ABRAX ZINCADA</v>
          </cell>
        </row>
        <row r="2093">
          <cell r="A2093" t="str">
            <v>CCE0057</v>
          </cell>
          <cell r="B2093" t="str">
            <v>MOTO PEÇAS</v>
          </cell>
          <cell r="C2093" t="str">
            <v>Cabo Embreagem moto</v>
          </cell>
          <cell r="D2093" t="str">
            <v>SIMPLES</v>
          </cell>
          <cell r="E2093" t="str">
            <v>POLO</v>
          </cell>
          <cell r="F2093" t="str">
            <v>CABO EMBREAGEM YAMAHA FAZER YS 250 10&gt;11</v>
          </cell>
        </row>
        <row r="2094">
          <cell r="A2094" t="str">
            <v>BUZ0003</v>
          </cell>
          <cell r="B2094" t="str">
            <v>MOTO PEÇAS</v>
          </cell>
          <cell r="C2094" t="str">
            <v>BUZINA MOTO</v>
          </cell>
          <cell r="D2094" t="str">
            <v>SIMPLES</v>
          </cell>
          <cell r="E2094" t="str">
            <v>POLO</v>
          </cell>
          <cell r="F2094" t="str">
            <v>BUZINA DE MOTO BIZ 100 BIZ 110I BIZ 125 BIZ 125+</v>
          </cell>
        </row>
        <row r="2095">
          <cell r="A2095" t="str">
            <v>CCE0061</v>
          </cell>
          <cell r="B2095" t="str">
            <v>MOTO PEÇAS</v>
          </cell>
          <cell r="C2095" t="str">
            <v>Cabo Embreagem moto</v>
          </cell>
          <cell r="D2095" t="str">
            <v>SIMPLES</v>
          </cell>
          <cell r="E2095" t="str">
            <v>POLO</v>
          </cell>
          <cell r="F2095" t="str">
            <v>CABO EMBREAGEM YAMAHA FAZER YS 150 SED /</v>
          </cell>
        </row>
        <row r="2096">
          <cell r="A2096" t="str">
            <v>CCV0067</v>
          </cell>
          <cell r="B2096" t="str">
            <v>MOTO PEÇAS</v>
          </cell>
          <cell r="C2096" t="str">
            <v>Cabo velocímetro Moto</v>
          </cell>
          <cell r="D2096" t="str">
            <v>SIMPLES</v>
          </cell>
          <cell r="E2096" t="str">
            <v>POLO</v>
          </cell>
          <cell r="F2096" t="str">
            <v>CABO VELOCÍMETRO YAMAHA YBR 125 FACTOR 5</v>
          </cell>
        </row>
        <row r="2097">
          <cell r="A2097">
            <v>112111</v>
          </cell>
          <cell r="B2097" t="str">
            <v>AUTOMOTIVO</v>
          </cell>
          <cell r="C2097" t="str">
            <v>BANDEJA</v>
          </cell>
          <cell r="D2097" t="str">
            <v>SIMPLES</v>
          </cell>
          <cell r="E2097" t="str">
            <v>SPARE</v>
          </cell>
          <cell r="F2097" t="str">
            <v>MERIVA S/pivô L/D</v>
          </cell>
        </row>
        <row r="2098">
          <cell r="A2098" t="str">
            <v>JJFM6A</v>
          </cell>
          <cell r="B2098" t="str">
            <v>MOTO PEÇAS</v>
          </cell>
          <cell r="C2098" t="str">
            <v>ANTENA CORTA PIPA</v>
          </cell>
          <cell r="D2098" t="str">
            <v>SIMPLES</v>
          </cell>
          <cell r="E2098" t="str">
            <v>JOJAFER</v>
          </cell>
          <cell r="F2098" t="str">
            <v>ANTENA CORTA PIPA 6 EST RETROV PRETA INOX</v>
          </cell>
        </row>
        <row r="2099">
          <cell r="A2099">
            <v>112110</v>
          </cell>
          <cell r="B2099" t="str">
            <v>AUTOMOTIVO</v>
          </cell>
          <cell r="C2099" t="str">
            <v>BANDEJA</v>
          </cell>
          <cell r="D2099" t="str">
            <v>SIMPLES</v>
          </cell>
          <cell r="E2099" t="str">
            <v>SPARE</v>
          </cell>
          <cell r="F2099" t="str">
            <v>MERIVA S/pivô L/E</v>
          </cell>
        </row>
        <row r="2100">
          <cell r="A2100" t="str">
            <v>CCA0051</v>
          </cell>
          <cell r="B2100" t="str">
            <v>MOTO PEÇAS</v>
          </cell>
          <cell r="C2100" t="str">
            <v>Cabo Acelerador Moto</v>
          </cell>
          <cell r="D2100" t="str">
            <v>SIMPLES</v>
          </cell>
          <cell r="E2100" t="str">
            <v>POLO</v>
          </cell>
          <cell r="F2100" t="str">
            <v>CABO ACELERADOR HONDA CB 300 R 6 PC</v>
          </cell>
        </row>
        <row r="2101">
          <cell r="A2101">
            <v>10197</v>
          </cell>
          <cell r="B2101" t="str">
            <v>MOTO PEÇAS</v>
          </cell>
          <cell r="C2101" t="str">
            <v>Bomba Combustível MOTO</v>
          </cell>
          <cell r="D2101" t="str">
            <v>SIMPLES</v>
          </cell>
          <cell r="E2101" t="str">
            <v>POLO</v>
          </cell>
          <cell r="F2101" t="str">
            <v>REFIL BOMBA DE COMBUSTÍVEL FACTOR 150 FAZER 150 XTZ CROSSER 150</v>
          </cell>
        </row>
        <row r="2102">
          <cell r="A2102" t="str">
            <v>CCA0067</v>
          </cell>
          <cell r="B2102" t="str">
            <v>MOTO PEÇAS</v>
          </cell>
          <cell r="C2102" t="str">
            <v>Cabo Acelerador Moto</v>
          </cell>
          <cell r="D2102" t="str">
            <v>SIMPLES</v>
          </cell>
          <cell r="E2102" t="str">
            <v>POLO</v>
          </cell>
          <cell r="F2102" t="str">
            <v>CABO ACELERADOR HONDA BIZ 125 11&gt;13</v>
          </cell>
        </row>
        <row r="2103">
          <cell r="A2103" t="str">
            <v>CCE0068</v>
          </cell>
          <cell r="B2103" t="str">
            <v>MOTO PEÇAS</v>
          </cell>
          <cell r="C2103" t="str">
            <v>Cabo Embreagem moto</v>
          </cell>
          <cell r="D2103" t="str">
            <v>SIMPLES</v>
          </cell>
          <cell r="E2103" t="str">
            <v>POLO</v>
          </cell>
          <cell r="F2103" t="str">
            <v>CABO EMBREAGEM HONDA XR 200 R 10</v>
          </cell>
        </row>
        <row r="2104">
          <cell r="A2104">
            <v>10468</v>
          </cell>
          <cell r="B2104" t="str">
            <v>MOTO PEÇAS</v>
          </cell>
          <cell r="C2104" t="str">
            <v>Bomba Combustível MOTO</v>
          </cell>
          <cell r="D2104" t="str">
            <v>SIMPLES</v>
          </cell>
          <cell r="E2104" t="str">
            <v>POLO</v>
          </cell>
          <cell r="F2104" t="str">
            <v>BOMBA DE COMBUSTÍVEL COMPLETA HONDA CG 150 FAN FLWX 2014 EM DIANTE</v>
          </cell>
        </row>
        <row r="2105">
          <cell r="A2105" t="str">
            <v>RT005</v>
          </cell>
          <cell r="B2105" t="str">
            <v>MOTO PEÇAS</v>
          </cell>
          <cell r="C2105" t="str">
            <v>Kit Relação moto</v>
          </cell>
          <cell r="D2105" t="str">
            <v>SIMPLES</v>
          </cell>
          <cell r="E2105" t="str">
            <v>POLO</v>
          </cell>
          <cell r="F2105" t="str">
            <v>KIT TRANSMISSÃO HONDA FAN</v>
          </cell>
        </row>
        <row r="2106">
          <cell r="A2106" t="str">
            <v>CCF0059</v>
          </cell>
          <cell r="B2106" t="str">
            <v>MOTO PEÇAS</v>
          </cell>
          <cell r="C2106" t="str">
            <v>Cabo Freio Moto</v>
          </cell>
          <cell r="D2106" t="str">
            <v>SIMPLES</v>
          </cell>
          <cell r="E2106" t="str">
            <v>POLO</v>
          </cell>
          <cell r="F2106" t="str">
            <v>CABO FREIO YAMAHA YBR 125 FACTOR ED 09&gt; 10</v>
          </cell>
        </row>
        <row r="2107">
          <cell r="A2107" t="str">
            <v>CCA0048</v>
          </cell>
          <cell r="B2107" t="str">
            <v>MOTO PEÇAS</v>
          </cell>
          <cell r="C2107" t="str">
            <v>Cabo Acelerador Moto</v>
          </cell>
          <cell r="D2107" t="str">
            <v>SIMPLES</v>
          </cell>
          <cell r="E2107" t="str">
            <v>POLO</v>
          </cell>
          <cell r="F2107" t="str">
            <v>CABO ACELERADOR HONDA CB 300 R 3</v>
          </cell>
        </row>
        <row r="2108">
          <cell r="A2108" t="str">
            <v>CCT0001</v>
          </cell>
          <cell r="B2108" t="str">
            <v>MOTO PEÇAS</v>
          </cell>
          <cell r="C2108" t="str">
            <v>Cabo Tacômetro Moto</v>
          </cell>
          <cell r="D2108" t="str">
            <v>SIMPLES</v>
          </cell>
          <cell r="E2108" t="str">
            <v>POLO</v>
          </cell>
          <cell r="F2108" t="str">
            <v>CABO TACÔMETRO SUZUKI YES 125 2</v>
          </cell>
        </row>
        <row r="2109">
          <cell r="A2109" t="str">
            <v>CCA0068</v>
          </cell>
          <cell r="B2109" t="str">
            <v>MOTO PEÇAS</v>
          </cell>
          <cell r="C2109" t="str">
            <v>Cabo Acelerador Moto</v>
          </cell>
          <cell r="D2109" t="str">
            <v>SIMPLES</v>
          </cell>
          <cell r="E2109" t="str">
            <v>POLO</v>
          </cell>
          <cell r="F2109" t="str">
            <v>CABO ACELERADOR HONDA POP 110 16&gt;</v>
          </cell>
        </row>
        <row r="2110">
          <cell r="A2110" t="str">
            <v>CCA0046</v>
          </cell>
          <cell r="B2110" t="str">
            <v>MOTO PEÇAS</v>
          </cell>
          <cell r="C2110" t="str">
            <v>Cabo Acelerador Moto</v>
          </cell>
          <cell r="D2110" t="str">
            <v>SIMPLES</v>
          </cell>
          <cell r="E2110" t="str">
            <v>POLO</v>
          </cell>
          <cell r="F2110" t="str">
            <v>CABO ACELERADOR HONDA XRE 300 09&gt;15</v>
          </cell>
        </row>
        <row r="2111">
          <cell r="A2111" t="str">
            <v>CCV0030</v>
          </cell>
          <cell r="B2111" t="str">
            <v>MOTO PEÇAS</v>
          </cell>
          <cell r="C2111" t="str">
            <v>Cabo velocímetro Moto</v>
          </cell>
          <cell r="D2111" t="str">
            <v>SIMPLES</v>
          </cell>
          <cell r="E2111" t="str">
            <v>POLO</v>
          </cell>
          <cell r="F2111" t="str">
            <v>CABO DE VELOCÍMETRO PARA MOTO HONDA CG 125 TITAN KS 2000 EM DIANTE</v>
          </cell>
        </row>
        <row r="2112">
          <cell r="A2112" t="str">
            <v>CCV0058</v>
          </cell>
          <cell r="B2112" t="str">
            <v>MOTO PEÇAS</v>
          </cell>
          <cell r="C2112" t="str">
            <v>Cabo velocímetro Moto</v>
          </cell>
          <cell r="D2112" t="str">
            <v>SIMPLES</v>
          </cell>
          <cell r="E2112" t="str">
            <v>POLO</v>
          </cell>
          <cell r="F2112" t="str">
            <v>CABO DE VELOCÍMETRO PARA MOTO HONDA CBX 250 TWISTER</v>
          </cell>
        </row>
        <row r="2113">
          <cell r="A2113" t="str">
            <v>CCV0059</v>
          </cell>
          <cell r="B2113" t="str">
            <v>MOTO PEÇAS</v>
          </cell>
          <cell r="C2113" t="str">
            <v>Cabo velocímetro Moto</v>
          </cell>
          <cell r="D2113" t="str">
            <v>SIMPLES</v>
          </cell>
          <cell r="E2113" t="str">
            <v>POLO</v>
          </cell>
          <cell r="F2113" t="str">
            <v>CABO DE VELOCÍMETRO PARA MOTO HONDA NXR 150 BROS ATÉ 2015</v>
          </cell>
        </row>
        <row r="2114">
          <cell r="A2114" t="str">
            <v>CCV0060</v>
          </cell>
          <cell r="B2114" t="str">
            <v>MOTO PEÇAS</v>
          </cell>
          <cell r="C2114" t="str">
            <v>Cabo velocímetro Moto</v>
          </cell>
          <cell r="D2114" t="str">
            <v>SIMPLES</v>
          </cell>
          <cell r="E2114" t="str">
            <v>POLO</v>
          </cell>
          <cell r="F2114" t="str">
            <v>CABO DE VELOCÍMETRO PARA MOTO HONDA XLR 125 NX 200 XR 250 NX 400 FALCON</v>
          </cell>
        </row>
        <row r="2115">
          <cell r="A2115">
            <v>10149</v>
          </cell>
          <cell r="B2115" t="str">
            <v>MOTO PEÇAS</v>
          </cell>
          <cell r="C2115" t="str">
            <v>Bomba Combustível MOTO</v>
          </cell>
          <cell r="D2115" t="str">
            <v>SIMPLES</v>
          </cell>
          <cell r="E2115" t="str">
            <v>POLO</v>
          </cell>
          <cell r="F2115" t="str">
            <v>REFIL BOMBA DE COMBUSTÍVELHONDA CB300 2009 EM DIANTE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"/>
      <sheetName val="CMV"/>
    </sheetNames>
    <sheetDataSet>
      <sheetData sheetId="0" refreshError="1"/>
      <sheetData sheetId="1" refreshError="1">
        <row r="1">
          <cell r="A1" t="str">
            <v>SKU</v>
          </cell>
          <cell r="B1" t="str">
            <v>SEGUIMENTO</v>
          </cell>
          <cell r="C1" t="str">
            <v>Categoria</v>
          </cell>
          <cell r="D1" t="str">
            <v>TIPO</v>
          </cell>
          <cell r="E1" t="str">
            <v>Fornecedor</v>
          </cell>
        </row>
        <row r="2">
          <cell r="A2" t="str">
            <v>FTK11004-AMW</v>
          </cell>
          <cell r="B2" t="str">
            <v>AUTOMOTIVO</v>
          </cell>
          <cell r="C2" t="str">
            <v>Bucha Bandeja</v>
          </cell>
          <cell r="D2" t="str">
            <v>SIMPLES</v>
          </cell>
          <cell r="E2" t="str">
            <v>AMW</v>
          </cell>
        </row>
        <row r="3">
          <cell r="A3" t="str">
            <v>FTK11006-AMW</v>
          </cell>
          <cell r="B3" t="str">
            <v>AUTOMOTIVO</v>
          </cell>
          <cell r="C3" t="str">
            <v>Bucha Bandeja</v>
          </cell>
          <cell r="D3" t="str">
            <v>SIMPLES</v>
          </cell>
          <cell r="E3" t="str">
            <v>AMW</v>
          </cell>
        </row>
        <row r="4">
          <cell r="A4" t="str">
            <v>FTK33005-AMW</v>
          </cell>
          <cell r="B4" t="str">
            <v>AUTOMOTIVO</v>
          </cell>
          <cell r="C4" t="str">
            <v>Bucha Bandeja</v>
          </cell>
          <cell r="D4" t="str">
            <v>SIMPLES</v>
          </cell>
          <cell r="E4" t="str">
            <v>AMW</v>
          </cell>
        </row>
        <row r="5">
          <cell r="A5" t="str">
            <v>FTK33006-AMW</v>
          </cell>
          <cell r="B5" t="str">
            <v>AUTOMOTIVO</v>
          </cell>
          <cell r="C5" t="str">
            <v>Bucha Bandeja</v>
          </cell>
          <cell r="D5" t="str">
            <v>SIMPLES</v>
          </cell>
          <cell r="E5" t="str">
            <v>AMW</v>
          </cell>
        </row>
        <row r="6">
          <cell r="A6" t="str">
            <v>FTK44002-AMW</v>
          </cell>
          <cell r="B6" t="str">
            <v>AUTOMOTIVO</v>
          </cell>
          <cell r="C6" t="str">
            <v>Bucha Bandeja</v>
          </cell>
          <cell r="D6" t="str">
            <v>SIMPLES</v>
          </cell>
          <cell r="E6" t="str">
            <v>AMW</v>
          </cell>
        </row>
        <row r="7">
          <cell r="A7" t="str">
            <v>FTK44003-AMW</v>
          </cell>
          <cell r="B7" t="str">
            <v>AUTOMOTIVO</v>
          </cell>
          <cell r="C7" t="str">
            <v>Bucha Bandeja</v>
          </cell>
          <cell r="D7" t="str">
            <v>SIMPLES</v>
          </cell>
          <cell r="E7" t="str">
            <v>AMW</v>
          </cell>
        </row>
        <row r="8">
          <cell r="A8" t="str">
            <v>FTK44004-AMW</v>
          </cell>
          <cell r="B8" t="str">
            <v>AUTOMOTIVO</v>
          </cell>
          <cell r="C8" t="str">
            <v>Bucha Bandeja</v>
          </cell>
          <cell r="D8" t="str">
            <v>SIMPLES</v>
          </cell>
          <cell r="E8" t="str">
            <v>AMW</v>
          </cell>
        </row>
        <row r="9">
          <cell r="A9" t="str">
            <v>FTK44005-AMW</v>
          </cell>
          <cell r="B9" t="str">
            <v>AUTOMOTIVO</v>
          </cell>
          <cell r="C9" t="str">
            <v>Bucha Bandeja</v>
          </cell>
          <cell r="D9" t="str">
            <v>SIMPLES</v>
          </cell>
          <cell r="E9" t="str">
            <v>AMW</v>
          </cell>
        </row>
        <row r="10">
          <cell r="A10" t="str">
            <v>FTK44006-AMW</v>
          </cell>
          <cell r="B10" t="str">
            <v>AUTOMOTIVO</v>
          </cell>
          <cell r="C10" t="str">
            <v>Bucha Bandeja</v>
          </cell>
          <cell r="D10" t="str">
            <v>SIMPLES</v>
          </cell>
          <cell r="E10" t="str">
            <v>AMW</v>
          </cell>
        </row>
        <row r="11">
          <cell r="A11" t="str">
            <v>FTK44008-AMW</v>
          </cell>
          <cell r="B11" t="str">
            <v>AUTOMOTIVO</v>
          </cell>
          <cell r="C11" t="str">
            <v>Bucha Bandeja</v>
          </cell>
          <cell r="D11" t="str">
            <v>SIMPLES</v>
          </cell>
          <cell r="E11" t="str">
            <v>AMW</v>
          </cell>
        </row>
        <row r="12">
          <cell r="A12" t="str">
            <v>FTK77001-AMW</v>
          </cell>
          <cell r="B12" t="str">
            <v>AUTOMOTIVO</v>
          </cell>
          <cell r="C12" t="str">
            <v>Bucha Bandeja</v>
          </cell>
          <cell r="D12" t="str">
            <v>SIMPLES</v>
          </cell>
          <cell r="E12" t="str">
            <v>AMW</v>
          </cell>
        </row>
        <row r="13">
          <cell r="A13" t="str">
            <v>FTK77002-AMW</v>
          </cell>
          <cell r="B13" t="str">
            <v>AUTOMOTIVO</v>
          </cell>
          <cell r="C13" t="str">
            <v>Bucha Bandeja</v>
          </cell>
          <cell r="D13" t="str">
            <v>SIMPLES</v>
          </cell>
          <cell r="E13" t="str">
            <v>AMW</v>
          </cell>
        </row>
        <row r="14">
          <cell r="A14" t="str">
            <v>FTK77503-AMW</v>
          </cell>
          <cell r="B14" t="str">
            <v>AUTOMOTIVO</v>
          </cell>
          <cell r="C14" t="str">
            <v>Bucha Bandeja</v>
          </cell>
          <cell r="D14" t="str">
            <v>SIMPLES</v>
          </cell>
          <cell r="E14" t="str">
            <v>AMW</v>
          </cell>
        </row>
        <row r="15">
          <cell r="A15" t="str">
            <v>FTK88001-AMW</v>
          </cell>
          <cell r="B15" t="str">
            <v>AUTOMOTIVO</v>
          </cell>
          <cell r="C15" t="str">
            <v>Bucha Bandeja</v>
          </cell>
          <cell r="D15" t="str">
            <v>SIMPLES</v>
          </cell>
          <cell r="E15" t="str">
            <v>AMW</v>
          </cell>
        </row>
        <row r="16">
          <cell r="A16" t="str">
            <v>FTK88002-AMW</v>
          </cell>
          <cell r="B16" t="str">
            <v>AUTOMOTIVO</v>
          </cell>
          <cell r="C16" t="str">
            <v>Bucha Bandeja</v>
          </cell>
          <cell r="D16" t="str">
            <v>SIMPLES</v>
          </cell>
          <cell r="E16" t="str">
            <v>AMW</v>
          </cell>
        </row>
        <row r="17">
          <cell r="A17" t="str">
            <v>KIT1FTK77001/02-AMW</v>
          </cell>
          <cell r="B17" t="str">
            <v>AUTOMOTIVO</v>
          </cell>
          <cell r="C17" t="str">
            <v>Bucha Bandeja</v>
          </cell>
          <cell r="D17" t="str">
            <v>KIT</v>
          </cell>
          <cell r="E17" t="str">
            <v>AMW</v>
          </cell>
        </row>
        <row r="18">
          <cell r="A18" t="str">
            <v>KIT4FTK44005-AMW</v>
          </cell>
          <cell r="B18" t="str">
            <v>AUTOMOTIVO</v>
          </cell>
          <cell r="C18" t="str">
            <v>Bucha Bandeja</v>
          </cell>
          <cell r="D18" t="str">
            <v>KIT</v>
          </cell>
          <cell r="E18" t="str">
            <v>AMW</v>
          </cell>
        </row>
        <row r="19">
          <cell r="A19" t="str">
            <v>KIT8FTK44005-AMW</v>
          </cell>
          <cell r="B19" t="str">
            <v>AUTOMOTIVO</v>
          </cell>
          <cell r="C19" t="str">
            <v>Bucha Bandeja</v>
          </cell>
          <cell r="D19" t="str">
            <v>KIT</v>
          </cell>
          <cell r="E19" t="str">
            <v>AMW</v>
          </cell>
        </row>
        <row r="20">
          <cell r="A20" t="str">
            <v>KITFTK11004/06-AMW</v>
          </cell>
          <cell r="B20" t="str">
            <v>AUTOMOTIVO</v>
          </cell>
          <cell r="C20" t="str">
            <v>Bucha Bandeja</v>
          </cell>
          <cell r="D20" t="str">
            <v>KIT</v>
          </cell>
          <cell r="E20" t="str">
            <v>AMW</v>
          </cell>
        </row>
        <row r="21">
          <cell r="A21" t="str">
            <v>KITFTK33006-AMW</v>
          </cell>
          <cell r="B21" t="str">
            <v>AUTOMOTIVO</v>
          </cell>
          <cell r="C21" t="str">
            <v>Bucha Bandeja</v>
          </cell>
          <cell r="D21" t="str">
            <v>KIT</v>
          </cell>
          <cell r="E21" t="str">
            <v>AMW</v>
          </cell>
        </row>
        <row r="22">
          <cell r="A22" t="str">
            <v>KITFTK44002/03/06-AMW</v>
          </cell>
          <cell r="B22" t="str">
            <v>AUTOMOTIVO</v>
          </cell>
          <cell r="C22" t="str">
            <v>Bucha Bandeja</v>
          </cell>
          <cell r="D22" t="str">
            <v>KIT</v>
          </cell>
          <cell r="E22" t="str">
            <v>AMW</v>
          </cell>
        </row>
        <row r="23">
          <cell r="A23" t="str">
            <v>KITFTK77001/02-AMW</v>
          </cell>
          <cell r="B23" t="str">
            <v>AUTOMOTIVO</v>
          </cell>
          <cell r="C23" t="str">
            <v>Bucha Bandeja</v>
          </cell>
          <cell r="D23" t="str">
            <v>KIT</v>
          </cell>
          <cell r="E23" t="str">
            <v>AMW</v>
          </cell>
        </row>
        <row r="24">
          <cell r="A24" t="str">
            <v>KITFTK77503-AMW</v>
          </cell>
          <cell r="B24" t="str">
            <v>AUTOMOTIVO</v>
          </cell>
          <cell r="C24" t="str">
            <v>Bucha Bandeja</v>
          </cell>
          <cell r="D24" t="str">
            <v>KIT</v>
          </cell>
          <cell r="E24" t="str">
            <v>AMW</v>
          </cell>
        </row>
        <row r="25">
          <cell r="A25" t="str">
            <v>PARFTK11004/06-AMW</v>
          </cell>
          <cell r="B25" t="str">
            <v>AUTOMOTIVO</v>
          </cell>
          <cell r="C25" t="str">
            <v>Bucha Bandeja</v>
          </cell>
          <cell r="D25" t="str">
            <v>KIT</v>
          </cell>
          <cell r="E25" t="str">
            <v>AMW</v>
          </cell>
        </row>
        <row r="26">
          <cell r="A26" t="str">
            <v>PARFTK33006-AMW</v>
          </cell>
          <cell r="B26" t="str">
            <v>AUTOMOTIVO</v>
          </cell>
          <cell r="C26" t="str">
            <v>Bucha Bandeja</v>
          </cell>
          <cell r="D26" t="str">
            <v>KIT</v>
          </cell>
          <cell r="E26" t="str">
            <v>AMW</v>
          </cell>
        </row>
        <row r="27">
          <cell r="A27" t="str">
            <v>PARFTK44002/03-AMW</v>
          </cell>
          <cell r="B27" t="str">
            <v>AUTOMOTIVO</v>
          </cell>
          <cell r="C27" t="str">
            <v>Bucha Bandeja</v>
          </cell>
          <cell r="D27" t="str">
            <v>KIT</v>
          </cell>
          <cell r="E27" t="str">
            <v>AMW</v>
          </cell>
        </row>
        <row r="28">
          <cell r="A28" t="str">
            <v>PARFTK44002/06-AMW</v>
          </cell>
          <cell r="B28" t="str">
            <v>AUTOMOTIVO</v>
          </cell>
          <cell r="C28" t="str">
            <v>Bucha Bandeja</v>
          </cell>
          <cell r="D28" t="str">
            <v>KIT</v>
          </cell>
          <cell r="E28" t="str">
            <v>AMW</v>
          </cell>
        </row>
        <row r="29">
          <cell r="A29" t="str">
            <v>PARFTK44005-AMW</v>
          </cell>
          <cell r="B29" t="str">
            <v>AUTOMOTIVO</v>
          </cell>
          <cell r="C29" t="str">
            <v>Bucha Bandeja</v>
          </cell>
          <cell r="D29" t="str">
            <v>KIT</v>
          </cell>
          <cell r="E29" t="str">
            <v>AMW</v>
          </cell>
        </row>
        <row r="30">
          <cell r="A30" t="str">
            <v>PARFTK77001-AMW</v>
          </cell>
          <cell r="B30" t="str">
            <v>AUTOMOTIVO</v>
          </cell>
          <cell r="C30" t="str">
            <v>Bucha Bandeja</v>
          </cell>
          <cell r="D30" t="str">
            <v>KIT</v>
          </cell>
          <cell r="E30" t="str">
            <v>AMW</v>
          </cell>
        </row>
        <row r="31">
          <cell r="A31" t="str">
            <v>PARFTK77503-AMW</v>
          </cell>
          <cell r="B31" t="str">
            <v>AUTOMOTIVO</v>
          </cell>
          <cell r="C31" t="str">
            <v>Bucha Bandeja</v>
          </cell>
          <cell r="D31" t="str">
            <v>KIT</v>
          </cell>
          <cell r="E31" t="str">
            <v>AMW</v>
          </cell>
        </row>
        <row r="32">
          <cell r="A32">
            <v>11419</v>
          </cell>
          <cell r="B32" t="str">
            <v>AUTOMOTIVO</v>
          </cell>
          <cell r="C32" t="str">
            <v>Pastilha Freio</v>
          </cell>
          <cell r="D32" t="str">
            <v>SIMPLES</v>
          </cell>
          <cell r="E32" t="str">
            <v>BrasFreio</v>
          </cell>
        </row>
        <row r="33">
          <cell r="A33">
            <v>22114</v>
          </cell>
          <cell r="B33" t="str">
            <v>AUTOMOTIVO</v>
          </cell>
          <cell r="C33" t="str">
            <v>Pastilha Freio</v>
          </cell>
          <cell r="D33" t="str">
            <v>SIMPLES</v>
          </cell>
          <cell r="E33" t="str">
            <v>BrasFreio</v>
          </cell>
        </row>
        <row r="34">
          <cell r="A34">
            <v>22115</v>
          </cell>
          <cell r="B34" t="str">
            <v>AUTOMOTIVO</v>
          </cell>
          <cell r="C34" t="str">
            <v>Pastilha Freio</v>
          </cell>
          <cell r="D34" t="str">
            <v>SIMPLES</v>
          </cell>
          <cell r="E34" t="str">
            <v>BrasFreio</v>
          </cell>
        </row>
        <row r="35">
          <cell r="A35">
            <v>22187</v>
          </cell>
          <cell r="B35" t="str">
            <v>AUTOMOTIVO</v>
          </cell>
          <cell r="C35" t="str">
            <v>Pastilha Freio</v>
          </cell>
          <cell r="D35" t="str">
            <v>SIMPLES</v>
          </cell>
          <cell r="E35" t="str">
            <v>BrasFreio</v>
          </cell>
        </row>
        <row r="36">
          <cell r="A36">
            <v>22383</v>
          </cell>
          <cell r="B36" t="str">
            <v>AUTOMOTIVO</v>
          </cell>
          <cell r="C36" t="str">
            <v>Pastilha Freio</v>
          </cell>
          <cell r="D36" t="str">
            <v>SIMPLES</v>
          </cell>
          <cell r="E36" t="str">
            <v>BRASFREIO</v>
          </cell>
        </row>
        <row r="37">
          <cell r="A37">
            <v>66260</v>
          </cell>
          <cell r="B37" t="str">
            <v>AUTOMOTIVO</v>
          </cell>
          <cell r="C37" t="str">
            <v>Pastilha Freio</v>
          </cell>
          <cell r="D37" t="str">
            <v>SIMPLES</v>
          </cell>
          <cell r="E37" t="str">
            <v>BrasFreio</v>
          </cell>
        </row>
        <row r="38">
          <cell r="A38">
            <v>70526</v>
          </cell>
          <cell r="B38" t="str">
            <v>AUTOMOTIVO</v>
          </cell>
          <cell r="C38" t="str">
            <v>Reparo alavanta Câmbio</v>
          </cell>
          <cell r="D38" t="str">
            <v>SIMPLES</v>
          </cell>
          <cell r="E38" t="str">
            <v>BRK</v>
          </cell>
        </row>
        <row r="39">
          <cell r="A39">
            <v>70541</v>
          </cell>
          <cell r="B39" t="str">
            <v>AUTOMOTIVO</v>
          </cell>
          <cell r="C39" t="str">
            <v>Reparo alavanta Câmbio</v>
          </cell>
          <cell r="D39" t="str">
            <v>SIMPLES</v>
          </cell>
          <cell r="E39" t="str">
            <v>BRK</v>
          </cell>
        </row>
        <row r="40">
          <cell r="A40">
            <v>90500</v>
          </cell>
          <cell r="B40" t="str">
            <v>AUTOMOTIVO</v>
          </cell>
          <cell r="C40" t="str">
            <v>Reparo alavanta Câmbio</v>
          </cell>
          <cell r="D40" t="str">
            <v>SIMPLES</v>
          </cell>
          <cell r="E40" t="str">
            <v>BRK</v>
          </cell>
        </row>
        <row r="41">
          <cell r="A41">
            <v>90501</v>
          </cell>
          <cell r="B41" t="str">
            <v>AUTOMOTIVO</v>
          </cell>
          <cell r="C41" t="str">
            <v>Reparo alavanta Câmbio</v>
          </cell>
          <cell r="D41" t="str">
            <v>SIMPLES</v>
          </cell>
          <cell r="E41" t="str">
            <v>BRK</v>
          </cell>
        </row>
        <row r="42">
          <cell r="A42">
            <v>90503</v>
          </cell>
          <cell r="B42" t="str">
            <v>AUTOMOTIVO</v>
          </cell>
          <cell r="C42" t="str">
            <v>Reparo alavanta Câmbio</v>
          </cell>
          <cell r="D42" t="str">
            <v>SIMPLES</v>
          </cell>
          <cell r="E42" t="str">
            <v>BRK</v>
          </cell>
        </row>
        <row r="43">
          <cell r="A43">
            <v>880549</v>
          </cell>
          <cell r="B43" t="str">
            <v>AUTOMOTIVO</v>
          </cell>
          <cell r="C43" t="str">
            <v>Cupula alavanca</v>
          </cell>
          <cell r="D43" t="str">
            <v>SIMPLES</v>
          </cell>
          <cell r="E43" t="str">
            <v>BRK</v>
          </cell>
        </row>
        <row r="44">
          <cell r="A44" t="str">
            <v>70526/70541</v>
          </cell>
          <cell r="B44" t="str">
            <v>AUTOMOTIVO</v>
          </cell>
          <cell r="C44" t="str">
            <v>Reparo alavanta Câmbio</v>
          </cell>
          <cell r="D44" t="str">
            <v>KIT</v>
          </cell>
          <cell r="E44" t="str">
            <v>BRK</v>
          </cell>
        </row>
        <row r="45">
          <cell r="A45" t="str">
            <v>FTK220/330074/093006</v>
          </cell>
          <cell r="B45" t="str">
            <v>AUTOMOTIVO</v>
          </cell>
          <cell r="C45" t="str">
            <v>KIT AMORTECEDOR</v>
          </cell>
          <cell r="D45" t="str">
            <v>KIT</v>
          </cell>
          <cell r="E45" t="str">
            <v>BROKIT/RE9BOR/SPARE</v>
          </cell>
        </row>
        <row r="46">
          <cell r="A46" t="str">
            <v>FTK-T325/T</v>
          </cell>
          <cell r="B46" t="str">
            <v>AUTOMOTIVO</v>
          </cell>
          <cell r="C46" t="str">
            <v>Reparo alavanta Câmbio</v>
          </cell>
          <cell r="D46" t="str">
            <v>SIMPLES</v>
          </cell>
          <cell r="E46" t="str">
            <v>CAMARG</v>
          </cell>
        </row>
        <row r="47">
          <cell r="A47" t="str">
            <v>FTK-T350</v>
          </cell>
          <cell r="B47" t="str">
            <v>AUTOMOTIVO</v>
          </cell>
          <cell r="C47" t="str">
            <v>Suporte Câmbio</v>
          </cell>
          <cell r="D47" t="str">
            <v>SIMPLES</v>
          </cell>
          <cell r="E47" t="str">
            <v>CAMARG</v>
          </cell>
        </row>
        <row r="48">
          <cell r="A48">
            <v>60039</v>
          </cell>
          <cell r="B48" t="str">
            <v>AUTOMOTIVO</v>
          </cell>
          <cell r="C48" t="str">
            <v>Coxim Câmbio</v>
          </cell>
          <cell r="D48" t="str">
            <v>SIMPLES</v>
          </cell>
          <cell r="E48" t="str">
            <v>DDA</v>
          </cell>
        </row>
        <row r="49">
          <cell r="A49">
            <v>11042</v>
          </cell>
          <cell r="B49" t="str">
            <v>AUTOMOTIVO</v>
          </cell>
          <cell r="C49" t="str">
            <v>Pastilha Freio</v>
          </cell>
          <cell r="D49" t="str">
            <v>SIMPLES</v>
          </cell>
          <cell r="E49" t="str">
            <v>Fabreck</v>
          </cell>
        </row>
        <row r="50">
          <cell r="A50">
            <v>11095</v>
          </cell>
          <cell r="B50" t="str">
            <v>AUTOMOTIVO</v>
          </cell>
          <cell r="C50" t="str">
            <v>Pastilha Freio</v>
          </cell>
          <cell r="D50" t="str">
            <v>SIMPLES</v>
          </cell>
          <cell r="E50" t="str">
            <v>Fabreck</v>
          </cell>
        </row>
        <row r="51">
          <cell r="A51">
            <v>11097</v>
          </cell>
          <cell r="B51" t="str">
            <v>AUTOMOTIVO</v>
          </cell>
          <cell r="C51" t="str">
            <v>Pastilha Freio</v>
          </cell>
          <cell r="D51" t="str">
            <v>SIMPLES</v>
          </cell>
          <cell r="E51" t="str">
            <v>Fabreck</v>
          </cell>
        </row>
        <row r="52">
          <cell r="A52">
            <v>11104</v>
          </cell>
          <cell r="B52" t="str">
            <v>AUTOMOTIVO</v>
          </cell>
          <cell r="C52" t="str">
            <v>Pastilha Freio</v>
          </cell>
          <cell r="D52" t="str">
            <v>SIMPLES</v>
          </cell>
          <cell r="E52" t="str">
            <v>Fabreck</v>
          </cell>
        </row>
        <row r="53">
          <cell r="A53">
            <v>11193</v>
          </cell>
          <cell r="B53" t="str">
            <v>AUTOMOTIVO</v>
          </cell>
          <cell r="C53" t="str">
            <v>Pastilha Freio</v>
          </cell>
          <cell r="D53" t="str">
            <v>SIMPLES</v>
          </cell>
          <cell r="E53" t="str">
            <v>Fabreck</v>
          </cell>
        </row>
        <row r="54">
          <cell r="A54">
            <v>11195</v>
          </cell>
          <cell r="B54" t="str">
            <v>AUTOMOTIVO</v>
          </cell>
          <cell r="C54" t="str">
            <v>Pastilha Freio</v>
          </cell>
          <cell r="D54" t="str">
            <v>SIMPLES</v>
          </cell>
          <cell r="E54" t="str">
            <v>Fabreck</v>
          </cell>
        </row>
        <row r="55">
          <cell r="A55">
            <v>11230</v>
          </cell>
          <cell r="B55" t="str">
            <v>AUTOMOTIVO</v>
          </cell>
          <cell r="C55" t="str">
            <v>Pastilha Freio</v>
          </cell>
          <cell r="D55" t="str">
            <v>SIMPLES</v>
          </cell>
          <cell r="E55" t="str">
            <v>Fabreck</v>
          </cell>
        </row>
        <row r="56">
          <cell r="A56">
            <v>11407</v>
          </cell>
          <cell r="B56" t="str">
            <v>AUTOMOTIVO</v>
          </cell>
          <cell r="C56" t="str">
            <v>Pastilha Freio</v>
          </cell>
          <cell r="D56" t="str">
            <v>SIMPLES</v>
          </cell>
          <cell r="E56" t="str">
            <v>Fabreck</v>
          </cell>
        </row>
        <row r="57">
          <cell r="A57">
            <v>11410</v>
          </cell>
          <cell r="B57" t="str">
            <v>AUTOMOTIVO</v>
          </cell>
          <cell r="C57" t="str">
            <v>Pastilha Freio</v>
          </cell>
          <cell r="D57" t="str">
            <v>SIMPLES</v>
          </cell>
          <cell r="E57" t="str">
            <v>Fabreck</v>
          </cell>
        </row>
        <row r="58">
          <cell r="A58">
            <v>11418</v>
          </cell>
          <cell r="B58" t="str">
            <v>AUTOMOTIVO</v>
          </cell>
          <cell r="C58" t="str">
            <v>Pastilha Freio</v>
          </cell>
          <cell r="D58" t="str">
            <v>SIMPLES</v>
          </cell>
          <cell r="E58" t="str">
            <v>Fabreck</v>
          </cell>
        </row>
        <row r="59">
          <cell r="A59">
            <v>22099</v>
          </cell>
          <cell r="B59" t="str">
            <v>AUTOMOTIVO</v>
          </cell>
          <cell r="C59" t="str">
            <v>Pastilha Freio</v>
          </cell>
          <cell r="D59" t="str">
            <v>SIMPLES</v>
          </cell>
          <cell r="E59" t="str">
            <v>Fabreck</v>
          </cell>
        </row>
        <row r="60">
          <cell r="A60" t="str">
            <v>112028/B</v>
          </cell>
          <cell r="B60" t="str">
            <v>AUTOMOTIVO</v>
          </cell>
          <cell r="C60" t="str">
            <v>Bucha Bandeja</v>
          </cell>
          <cell r="D60" t="str">
            <v>KIT</v>
          </cell>
          <cell r="E60" t="str">
            <v>GUARU BORRACHAS</v>
          </cell>
        </row>
        <row r="61">
          <cell r="A61" t="str">
            <v>FTK00313</v>
          </cell>
          <cell r="B61" t="str">
            <v>AUTOMOTIVO</v>
          </cell>
          <cell r="C61" t="str">
            <v>Bucha Barra estabilizadora</v>
          </cell>
          <cell r="D61" t="str">
            <v>SIMPLES</v>
          </cell>
          <cell r="E61" t="str">
            <v>GUARU BORRACHAS</v>
          </cell>
        </row>
        <row r="62">
          <cell r="A62" t="str">
            <v>FTK00321</v>
          </cell>
          <cell r="B62" t="str">
            <v>AUTOMOTIVO</v>
          </cell>
          <cell r="C62" t="str">
            <v>Bucha Barra estabilizadora</v>
          </cell>
          <cell r="D62" t="str">
            <v>SIMPLES</v>
          </cell>
          <cell r="E62" t="str">
            <v>GUARU BORRACHAS</v>
          </cell>
        </row>
        <row r="63">
          <cell r="A63" t="str">
            <v>FTK00353</v>
          </cell>
          <cell r="B63" t="str">
            <v>AUTOMOTIVO</v>
          </cell>
          <cell r="C63" t="str">
            <v>Bucha Barra estabilizadora</v>
          </cell>
          <cell r="D63" t="str">
            <v>SIMPLES</v>
          </cell>
          <cell r="E63" t="str">
            <v>GUARU BORRACHAS</v>
          </cell>
        </row>
        <row r="64">
          <cell r="A64" t="str">
            <v>FTK22286-GP</v>
          </cell>
          <cell r="B64" t="str">
            <v>AUTOMOTIVO</v>
          </cell>
          <cell r="C64" t="str">
            <v>Bucha Bandeja</v>
          </cell>
          <cell r="D64" t="str">
            <v>SIMPLES</v>
          </cell>
          <cell r="E64" t="str">
            <v>GUARU BORRACHAS</v>
          </cell>
        </row>
        <row r="65">
          <cell r="A65" t="str">
            <v>FTK3385</v>
          </cell>
          <cell r="B65" t="str">
            <v>AUTOMOTIVO</v>
          </cell>
          <cell r="C65" t="str">
            <v>Bucha Barra estabilizadora</v>
          </cell>
          <cell r="D65" t="str">
            <v>SIMPLES</v>
          </cell>
          <cell r="E65" t="str">
            <v>GUARU BORRACHAS</v>
          </cell>
        </row>
        <row r="66">
          <cell r="A66" t="str">
            <v>KITFTK22286-GP</v>
          </cell>
          <cell r="B66" t="str">
            <v>AUTOMOTIVO</v>
          </cell>
          <cell r="C66" t="str">
            <v>Bucha Bandeja</v>
          </cell>
          <cell r="D66" t="str">
            <v>KIT</v>
          </cell>
          <cell r="E66" t="str">
            <v>GUARU BORRACHAS</v>
          </cell>
        </row>
        <row r="67">
          <cell r="A67" t="str">
            <v>PAR-FTK00313</v>
          </cell>
          <cell r="B67" t="str">
            <v>AUTOMOTIVO</v>
          </cell>
          <cell r="C67" t="str">
            <v>Bucha Barra estabilizadora</v>
          </cell>
          <cell r="D67" t="str">
            <v>KIT</v>
          </cell>
          <cell r="E67" t="str">
            <v>GUARU BORRACHAS</v>
          </cell>
        </row>
        <row r="68">
          <cell r="A68" t="str">
            <v>PARFTK22286-GP</v>
          </cell>
          <cell r="B68" t="str">
            <v>AUTOMOTIVO</v>
          </cell>
          <cell r="C68" t="str">
            <v>Bucha Bandeja</v>
          </cell>
          <cell r="D68" t="str">
            <v>KIT</v>
          </cell>
          <cell r="E68" t="str">
            <v>GUARU BORRACHAS</v>
          </cell>
        </row>
        <row r="69">
          <cell r="A69">
            <v>2214</v>
          </cell>
          <cell r="B69" t="str">
            <v>AUTOMOTIVO</v>
          </cell>
          <cell r="C69" t="str">
            <v>Bieleta</v>
          </cell>
          <cell r="D69" t="str">
            <v>SIMPLES</v>
          </cell>
          <cell r="E69" t="str">
            <v>HOLYMAN</v>
          </cell>
        </row>
        <row r="70">
          <cell r="A70">
            <v>2279</v>
          </cell>
          <cell r="B70" t="str">
            <v>AUTOMOTIVO</v>
          </cell>
          <cell r="C70" t="str">
            <v>Bucha Eixo Suspensão</v>
          </cell>
          <cell r="D70" t="str">
            <v>KIT</v>
          </cell>
          <cell r="E70" t="str">
            <v>HOLYMAN</v>
          </cell>
        </row>
        <row r="71">
          <cell r="A71">
            <v>3002</v>
          </cell>
          <cell r="B71" t="str">
            <v>AUTOMOTIVO</v>
          </cell>
          <cell r="C71" t="str">
            <v>Cupula alavanca</v>
          </cell>
          <cell r="D71" t="str">
            <v>SIMPLES</v>
          </cell>
          <cell r="E71" t="str">
            <v>HOLYMAN</v>
          </cell>
        </row>
        <row r="72">
          <cell r="A72">
            <v>3003</v>
          </cell>
          <cell r="B72" t="str">
            <v>AUTOMOTIVO</v>
          </cell>
          <cell r="C72" t="str">
            <v>Caixa Rótula</v>
          </cell>
          <cell r="D72" t="str">
            <v>SIMPLES</v>
          </cell>
          <cell r="E72" t="str">
            <v>HOLYMAN</v>
          </cell>
        </row>
        <row r="73">
          <cell r="A73">
            <v>3025</v>
          </cell>
          <cell r="B73" t="str">
            <v>AUTOMOTIVO</v>
          </cell>
          <cell r="C73" t="str">
            <v>Suporte Parachoque</v>
          </cell>
          <cell r="D73" t="str">
            <v>SIMPLES</v>
          </cell>
          <cell r="E73" t="str">
            <v>HOLYMAN</v>
          </cell>
        </row>
        <row r="74">
          <cell r="A74">
            <v>3037</v>
          </cell>
          <cell r="B74" t="str">
            <v>AUTOMOTIVO</v>
          </cell>
          <cell r="C74" t="str">
            <v>Caixa Rótula</v>
          </cell>
          <cell r="D74" t="str">
            <v>SIMPLES</v>
          </cell>
          <cell r="E74" t="str">
            <v>HOLYMAN</v>
          </cell>
        </row>
        <row r="75">
          <cell r="A75">
            <v>4001</v>
          </cell>
          <cell r="B75" t="str">
            <v>AUTOMOTIVO</v>
          </cell>
          <cell r="C75" t="str">
            <v>Capa Pedal</v>
          </cell>
          <cell r="D75" t="str">
            <v>SIMPLES</v>
          </cell>
          <cell r="E75" t="str">
            <v>HOLYMAN</v>
          </cell>
        </row>
        <row r="76">
          <cell r="A76">
            <v>4002</v>
          </cell>
          <cell r="B76" t="str">
            <v>AUTOMOTIVO</v>
          </cell>
          <cell r="C76" t="str">
            <v>Capa Pedal</v>
          </cell>
          <cell r="D76" t="str">
            <v>SIMPLES</v>
          </cell>
          <cell r="E76" t="str">
            <v>HOLYMAN</v>
          </cell>
        </row>
        <row r="77">
          <cell r="A77">
            <v>4003</v>
          </cell>
          <cell r="B77" t="str">
            <v>AUTOMOTIVO</v>
          </cell>
          <cell r="C77" t="str">
            <v>Capa Pedal</v>
          </cell>
          <cell r="D77" t="str">
            <v>SIMPLES</v>
          </cell>
          <cell r="E77" t="str">
            <v>HOLYMAN</v>
          </cell>
        </row>
        <row r="78">
          <cell r="A78">
            <v>4004</v>
          </cell>
          <cell r="B78" t="str">
            <v>AUTOMOTIVO</v>
          </cell>
          <cell r="C78" t="str">
            <v>Capa Pedal</v>
          </cell>
          <cell r="D78" t="str">
            <v>SIMPLES</v>
          </cell>
          <cell r="E78" t="str">
            <v>HOLYMAN</v>
          </cell>
        </row>
        <row r="79">
          <cell r="A79">
            <v>4005</v>
          </cell>
          <cell r="B79" t="str">
            <v>AUTOMOTIVO</v>
          </cell>
          <cell r="C79" t="str">
            <v>Capa Pedal</v>
          </cell>
          <cell r="D79" t="str">
            <v>SIMPLES</v>
          </cell>
          <cell r="E79" t="str">
            <v>HOLYMAN</v>
          </cell>
        </row>
        <row r="80">
          <cell r="A80">
            <v>4006</v>
          </cell>
          <cell r="B80" t="str">
            <v>AUTOMOTIVO</v>
          </cell>
          <cell r="C80" t="str">
            <v>Capa Pedal</v>
          </cell>
          <cell r="D80" t="str">
            <v>SIMPLES</v>
          </cell>
          <cell r="E80" t="str">
            <v>HOLYMAN</v>
          </cell>
        </row>
        <row r="81">
          <cell r="A81">
            <v>4007</v>
          </cell>
          <cell r="B81" t="str">
            <v>AUTOMOTIVO</v>
          </cell>
          <cell r="C81" t="str">
            <v>Capa Pedal</v>
          </cell>
          <cell r="D81" t="str">
            <v>SIMPLES</v>
          </cell>
          <cell r="E81" t="str">
            <v>HOLYMAN</v>
          </cell>
        </row>
        <row r="82">
          <cell r="A82">
            <v>4008</v>
          </cell>
          <cell r="B82" t="str">
            <v>AUTOMOTIVO</v>
          </cell>
          <cell r="C82" t="str">
            <v>Capa Pedal</v>
          </cell>
          <cell r="D82" t="str">
            <v>SIMPLES</v>
          </cell>
          <cell r="E82" t="str">
            <v>HOLYMAN</v>
          </cell>
        </row>
        <row r="83">
          <cell r="A83">
            <v>4009</v>
          </cell>
          <cell r="B83" t="str">
            <v>AUTOMOTIVO</v>
          </cell>
          <cell r="C83" t="str">
            <v>Capa Pedal</v>
          </cell>
          <cell r="D83" t="str">
            <v>SIMPLES</v>
          </cell>
          <cell r="E83" t="str">
            <v>HOLYMAN</v>
          </cell>
        </row>
        <row r="84">
          <cell r="A84">
            <v>4013</v>
          </cell>
          <cell r="B84" t="str">
            <v>AUTOMOTIVO</v>
          </cell>
          <cell r="C84" t="str">
            <v>Capa Pedal</v>
          </cell>
          <cell r="D84" t="str">
            <v>SIMPLES</v>
          </cell>
          <cell r="E84" t="str">
            <v>HOLYMAN</v>
          </cell>
        </row>
        <row r="85">
          <cell r="A85">
            <v>4015</v>
          </cell>
          <cell r="B85" t="str">
            <v>AUTOMOTIVO</v>
          </cell>
          <cell r="C85" t="str">
            <v>Capa Pedal</v>
          </cell>
          <cell r="D85" t="str">
            <v>SIMPLES</v>
          </cell>
          <cell r="E85" t="str">
            <v>HOLYMAN</v>
          </cell>
        </row>
        <row r="86">
          <cell r="A86">
            <v>4016</v>
          </cell>
          <cell r="B86" t="str">
            <v>AUTOMOTIVO</v>
          </cell>
          <cell r="C86" t="str">
            <v>Capa Pedal</v>
          </cell>
          <cell r="D86" t="str">
            <v>SIMPLES</v>
          </cell>
          <cell r="E86" t="str">
            <v>HOLYMAN</v>
          </cell>
        </row>
        <row r="87">
          <cell r="A87">
            <v>4017</v>
          </cell>
          <cell r="B87" t="str">
            <v>AUTOMOTIVO</v>
          </cell>
          <cell r="C87" t="str">
            <v>Capa Pedal</v>
          </cell>
          <cell r="D87" t="str">
            <v>SIMPLES</v>
          </cell>
          <cell r="E87" t="str">
            <v>HOLYMAN</v>
          </cell>
        </row>
        <row r="88">
          <cell r="A88">
            <v>4018</v>
          </cell>
          <cell r="B88" t="str">
            <v>AUTOMOTIVO</v>
          </cell>
          <cell r="C88" t="str">
            <v>Capa Pedal</v>
          </cell>
          <cell r="D88" t="str">
            <v>SIMPLES</v>
          </cell>
          <cell r="E88" t="str">
            <v>HOLYMAN</v>
          </cell>
        </row>
        <row r="89">
          <cell r="A89">
            <v>4020</v>
          </cell>
          <cell r="B89" t="str">
            <v>AUTOMOTIVO</v>
          </cell>
          <cell r="C89" t="str">
            <v>Capa Pedal</v>
          </cell>
          <cell r="D89" t="str">
            <v>SIMPLES</v>
          </cell>
          <cell r="E89" t="str">
            <v>HOLYMAN</v>
          </cell>
        </row>
        <row r="90">
          <cell r="A90">
            <v>4022</v>
          </cell>
          <cell r="B90" t="str">
            <v>AUTOMOTIVO</v>
          </cell>
          <cell r="C90" t="str">
            <v>Capa Pedal</v>
          </cell>
          <cell r="D90" t="str">
            <v>SIMPLES</v>
          </cell>
          <cell r="E90" t="str">
            <v>HOLYMAN</v>
          </cell>
        </row>
        <row r="91">
          <cell r="A91">
            <v>4023</v>
          </cell>
          <cell r="B91" t="str">
            <v>AUTOMOTIVO</v>
          </cell>
          <cell r="C91" t="str">
            <v>Capa Pedal</v>
          </cell>
          <cell r="D91" t="str">
            <v>SIMPLES</v>
          </cell>
          <cell r="E91" t="str">
            <v>HOLYMAN</v>
          </cell>
        </row>
        <row r="92">
          <cell r="A92">
            <v>4024</v>
          </cell>
          <cell r="B92" t="str">
            <v>AUTOMOTIVO</v>
          </cell>
          <cell r="C92" t="str">
            <v>Capa Pedal</v>
          </cell>
          <cell r="D92" t="str">
            <v>SIMPLES</v>
          </cell>
          <cell r="E92" t="str">
            <v>HOLYMAN</v>
          </cell>
        </row>
        <row r="93">
          <cell r="A93">
            <v>4025</v>
          </cell>
          <cell r="B93" t="str">
            <v>AUTOMOTIVO</v>
          </cell>
          <cell r="C93" t="str">
            <v>Capa Pedal</v>
          </cell>
          <cell r="D93" t="str">
            <v>SIMPLES</v>
          </cell>
          <cell r="E93" t="str">
            <v>HOLYMAN</v>
          </cell>
        </row>
        <row r="94">
          <cell r="A94">
            <v>4027</v>
          </cell>
          <cell r="B94" t="str">
            <v>AUTOMOTIVO</v>
          </cell>
          <cell r="C94" t="str">
            <v>Capa Pedal</v>
          </cell>
          <cell r="D94" t="str">
            <v>SIMPLES</v>
          </cell>
          <cell r="E94" t="str">
            <v>HOLYMAN</v>
          </cell>
        </row>
        <row r="95">
          <cell r="A95">
            <v>4031</v>
          </cell>
          <cell r="B95" t="str">
            <v>AUTOMOTIVO</v>
          </cell>
          <cell r="C95" t="str">
            <v>Capa Pedal</v>
          </cell>
          <cell r="D95" t="str">
            <v>SIMPLES</v>
          </cell>
          <cell r="E95" t="str">
            <v>HOLYMAN</v>
          </cell>
        </row>
        <row r="96">
          <cell r="A96">
            <v>4032</v>
          </cell>
          <cell r="B96" t="str">
            <v>AUTOMOTIVO</v>
          </cell>
          <cell r="C96" t="str">
            <v>Capa Pedal</v>
          </cell>
          <cell r="D96" t="str">
            <v>SIMPLES</v>
          </cell>
          <cell r="E96" t="str">
            <v>HOLYMAN</v>
          </cell>
        </row>
        <row r="97">
          <cell r="A97">
            <v>4034</v>
          </cell>
          <cell r="B97" t="str">
            <v>AUTOMOTIVO</v>
          </cell>
          <cell r="C97" t="str">
            <v>Capa Pedal</v>
          </cell>
          <cell r="D97" t="str">
            <v>SIMPLES</v>
          </cell>
          <cell r="E97" t="str">
            <v>HOLYMAN</v>
          </cell>
        </row>
        <row r="98">
          <cell r="A98">
            <v>4038</v>
          </cell>
          <cell r="B98" t="str">
            <v>AUTOMOTIVO</v>
          </cell>
          <cell r="C98" t="str">
            <v>Capa Pedal</v>
          </cell>
          <cell r="D98" t="str">
            <v>SIMPLES</v>
          </cell>
          <cell r="E98" t="str">
            <v>HOLYMAN</v>
          </cell>
        </row>
        <row r="99">
          <cell r="A99">
            <v>4041</v>
          </cell>
          <cell r="B99" t="str">
            <v>AUTOMOTIVO</v>
          </cell>
          <cell r="C99" t="str">
            <v>Capa Pedal</v>
          </cell>
          <cell r="D99" t="str">
            <v>SIMPLES</v>
          </cell>
          <cell r="E99" t="str">
            <v>HOLYMAN</v>
          </cell>
        </row>
        <row r="100">
          <cell r="A100">
            <v>4042</v>
          </cell>
          <cell r="B100" t="str">
            <v>AUTOMOTIVO</v>
          </cell>
          <cell r="C100" t="str">
            <v>Capa Pedal</v>
          </cell>
          <cell r="D100" t="str">
            <v>SIMPLES</v>
          </cell>
          <cell r="E100" t="str">
            <v>HOLYMAN</v>
          </cell>
        </row>
        <row r="101">
          <cell r="A101">
            <v>4043</v>
          </cell>
          <cell r="B101" t="str">
            <v>AUTOMOTIVO</v>
          </cell>
          <cell r="C101" t="str">
            <v>Capa Pedal</v>
          </cell>
          <cell r="D101" t="str">
            <v>SIMPLES</v>
          </cell>
          <cell r="E101" t="str">
            <v>HOLYMAN</v>
          </cell>
        </row>
        <row r="102">
          <cell r="A102">
            <v>4044</v>
          </cell>
          <cell r="B102" t="str">
            <v>AUTOMOTIVO</v>
          </cell>
          <cell r="C102" t="str">
            <v>Capa Pedal</v>
          </cell>
          <cell r="D102" t="str">
            <v>SIMPLES</v>
          </cell>
          <cell r="E102" t="str">
            <v>HOLYMAN</v>
          </cell>
        </row>
        <row r="103">
          <cell r="A103">
            <v>4045</v>
          </cell>
          <cell r="B103" t="str">
            <v>AUTOMOTIVO</v>
          </cell>
          <cell r="C103" t="str">
            <v>Capa Pedal</v>
          </cell>
          <cell r="D103" t="str">
            <v>SIMPLES</v>
          </cell>
          <cell r="E103" t="str">
            <v>HOLYMAN</v>
          </cell>
        </row>
        <row r="104">
          <cell r="A104">
            <v>4048</v>
          </cell>
          <cell r="B104" t="str">
            <v>AUTOMOTIVO</v>
          </cell>
          <cell r="C104" t="str">
            <v>Capa Pedal</v>
          </cell>
          <cell r="D104" t="str">
            <v>SIMPLES</v>
          </cell>
          <cell r="E104" t="str">
            <v>HOLYMAN</v>
          </cell>
        </row>
        <row r="105">
          <cell r="A105">
            <v>4050</v>
          </cell>
          <cell r="B105" t="str">
            <v>AUTOMOTIVO</v>
          </cell>
          <cell r="C105" t="str">
            <v>Capa pedal</v>
          </cell>
          <cell r="D105" t="str">
            <v>SIMPLES</v>
          </cell>
          <cell r="E105" t="str">
            <v>HOLYMAN</v>
          </cell>
        </row>
        <row r="106">
          <cell r="A106">
            <v>4051</v>
          </cell>
          <cell r="B106" t="str">
            <v>AUTOMOTIVO</v>
          </cell>
          <cell r="C106" t="str">
            <v>Capa Pedal</v>
          </cell>
          <cell r="D106" t="str">
            <v>SIMPLES</v>
          </cell>
          <cell r="E106" t="str">
            <v>HOLYMAN</v>
          </cell>
        </row>
        <row r="107">
          <cell r="A107">
            <v>4052</v>
          </cell>
          <cell r="B107" t="str">
            <v>AUTOMOTIVO</v>
          </cell>
          <cell r="C107" t="str">
            <v>Capa Pedal</v>
          </cell>
          <cell r="D107" t="str">
            <v>SIMPLES</v>
          </cell>
          <cell r="E107" t="str">
            <v>HOLYMAN</v>
          </cell>
        </row>
        <row r="108">
          <cell r="A108">
            <v>4053</v>
          </cell>
          <cell r="B108" t="str">
            <v>AUTOMOTIVO</v>
          </cell>
          <cell r="C108" t="str">
            <v>Capa Pedal</v>
          </cell>
          <cell r="D108" t="str">
            <v>SIMPLES</v>
          </cell>
          <cell r="E108" t="str">
            <v>HOLYMAN</v>
          </cell>
        </row>
        <row r="109">
          <cell r="A109">
            <v>4054</v>
          </cell>
          <cell r="B109" t="str">
            <v>AUTOMOTIVO</v>
          </cell>
          <cell r="C109" t="str">
            <v>Capa Pedal</v>
          </cell>
          <cell r="D109" t="str">
            <v>SIMPLES</v>
          </cell>
          <cell r="E109" t="str">
            <v>HOLYMAN</v>
          </cell>
        </row>
        <row r="110">
          <cell r="A110">
            <v>4055</v>
          </cell>
          <cell r="B110" t="str">
            <v>AUTOMOTIVO</v>
          </cell>
          <cell r="C110" t="str">
            <v>Capa Pedal</v>
          </cell>
          <cell r="D110" t="str">
            <v>SIMPLES</v>
          </cell>
          <cell r="E110" t="str">
            <v>HOLYMAN</v>
          </cell>
        </row>
        <row r="111">
          <cell r="A111">
            <v>4056</v>
          </cell>
          <cell r="B111" t="str">
            <v>AUTOMOTIVO</v>
          </cell>
          <cell r="C111" t="str">
            <v>Capa Pedal</v>
          </cell>
          <cell r="D111" t="str">
            <v>SIMPLES</v>
          </cell>
          <cell r="E111" t="str">
            <v>HOLYMAN</v>
          </cell>
        </row>
        <row r="112">
          <cell r="A112">
            <v>4057</v>
          </cell>
          <cell r="B112" t="str">
            <v>AUTOMOTIVO</v>
          </cell>
          <cell r="C112" t="str">
            <v>Pastilha Freio</v>
          </cell>
          <cell r="D112" t="str">
            <v>SIMPLES</v>
          </cell>
          <cell r="E112" t="str">
            <v>HOLYMAN</v>
          </cell>
        </row>
        <row r="113">
          <cell r="A113">
            <v>4058</v>
          </cell>
          <cell r="B113" t="str">
            <v>AUTOMOTIVO</v>
          </cell>
          <cell r="C113" t="str">
            <v>Capa Pedal</v>
          </cell>
          <cell r="D113" t="str">
            <v>SIMPLES</v>
          </cell>
          <cell r="E113" t="str">
            <v>HOLYMAN</v>
          </cell>
        </row>
        <row r="114">
          <cell r="A114">
            <v>4062</v>
          </cell>
          <cell r="B114" t="str">
            <v>AUTOMOTIVO</v>
          </cell>
          <cell r="C114" t="str">
            <v>Capa Pedal</v>
          </cell>
          <cell r="D114" t="str">
            <v>SIMPLES</v>
          </cell>
          <cell r="E114" t="str">
            <v>HOLYMAN</v>
          </cell>
        </row>
        <row r="115">
          <cell r="A115">
            <v>4063</v>
          </cell>
          <cell r="B115" t="str">
            <v>AUTOMOTIVO</v>
          </cell>
          <cell r="C115" t="str">
            <v>Capa Pedal</v>
          </cell>
          <cell r="D115" t="str">
            <v>SIMPLES</v>
          </cell>
          <cell r="E115" t="str">
            <v>HOLYMAN</v>
          </cell>
        </row>
        <row r="116">
          <cell r="A116">
            <v>4064</v>
          </cell>
          <cell r="B116" t="str">
            <v>AUTOMOTIVO</v>
          </cell>
          <cell r="C116" t="str">
            <v>Capa Pedal</v>
          </cell>
          <cell r="D116" t="str">
            <v>SIMPLES</v>
          </cell>
          <cell r="E116" t="str">
            <v>HOLYMAN</v>
          </cell>
        </row>
        <row r="117">
          <cell r="A117">
            <v>4066</v>
          </cell>
          <cell r="B117" t="str">
            <v>AUTOMOTIVO</v>
          </cell>
          <cell r="C117" t="str">
            <v>Capa Pedal</v>
          </cell>
          <cell r="D117" t="str">
            <v>SIMPLES</v>
          </cell>
          <cell r="E117" t="str">
            <v>HOLYMAN</v>
          </cell>
        </row>
        <row r="118">
          <cell r="A118">
            <v>4071</v>
          </cell>
          <cell r="B118" t="str">
            <v>AUTOMOTIVO</v>
          </cell>
          <cell r="C118" t="str">
            <v>Capa Pedal</v>
          </cell>
          <cell r="D118" t="str">
            <v>SIMPLES</v>
          </cell>
          <cell r="E118" t="str">
            <v>HOLYMAN</v>
          </cell>
        </row>
        <row r="119">
          <cell r="A119">
            <v>4073</v>
          </cell>
          <cell r="B119" t="str">
            <v>AUTOMOTIVO</v>
          </cell>
          <cell r="C119" t="str">
            <v>Capa Pedal</v>
          </cell>
          <cell r="D119" t="str">
            <v>SIMPLES</v>
          </cell>
          <cell r="E119" t="str">
            <v>HOLYMAN</v>
          </cell>
        </row>
        <row r="120">
          <cell r="A120">
            <v>4076</v>
          </cell>
          <cell r="B120" t="str">
            <v>AUTOMOTIVO</v>
          </cell>
          <cell r="C120" t="str">
            <v>Capa Pedal</v>
          </cell>
          <cell r="D120" t="str">
            <v>SIMPLES</v>
          </cell>
          <cell r="E120" t="str">
            <v>HOLYMAN</v>
          </cell>
        </row>
        <row r="121">
          <cell r="A121">
            <v>4077</v>
          </cell>
          <cell r="B121" t="str">
            <v>AUTOMOTIVO</v>
          </cell>
          <cell r="C121" t="str">
            <v>Capa Pedal</v>
          </cell>
          <cell r="D121" t="str">
            <v>SIMPLES</v>
          </cell>
          <cell r="E121" t="str">
            <v>HOLYMAN</v>
          </cell>
        </row>
        <row r="122">
          <cell r="A122">
            <v>4078</v>
          </cell>
          <cell r="B122" t="str">
            <v>AUTOMOTIVO</v>
          </cell>
          <cell r="C122" t="str">
            <v>Capa Pedal</v>
          </cell>
          <cell r="D122" t="str">
            <v>SIMPLES</v>
          </cell>
          <cell r="E122" t="str">
            <v>HOLYMAN</v>
          </cell>
        </row>
        <row r="123">
          <cell r="A123">
            <v>4079</v>
          </cell>
          <cell r="B123" t="str">
            <v>AUTOMOTIVO</v>
          </cell>
          <cell r="C123" t="str">
            <v>Capa Pedal</v>
          </cell>
          <cell r="D123" t="str">
            <v>SIMPLES</v>
          </cell>
          <cell r="E123" t="str">
            <v>HOLYMAN</v>
          </cell>
        </row>
        <row r="124">
          <cell r="A124">
            <v>4081</v>
          </cell>
          <cell r="B124" t="str">
            <v>AUTOMOTIVO</v>
          </cell>
          <cell r="C124" t="str">
            <v>Capa pedal</v>
          </cell>
          <cell r="D124" t="str">
            <v>SIMPLES</v>
          </cell>
          <cell r="E124" t="str">
            <v>HOLYMAN</v>
          </cell>
        </row>
        <row r="125">
          <cell r="A125">
            <v>4082</v>
          </cell>
          <cell r="B125" t="str">
            <v>AUTOMOTIVO</v>
          </cell>
          <cell r="C125" t="str">
            <v>Capa Pedal</v>
          </cell>
          <cell r="D125" t="str">
            <v>SIMPLES</v>
          </cell>
          <cell r="E125" t="str">
            <v>HOLYMAN</v>
          </cell>
        </row>
        <row r="126">
          <cell r="A126">
            <v>4083</v>
          </cell>
          <cell r="B126" t="str">
            <v>AUTOMOTIVO</v>
          </cell>
          <cell r="C126" t="str">
            <v>Capa Pedal</v>
          </cell>
          <cell r="D126" t="str">
            <v>SIMPLES</v>
          </cell>
          <cell r="E126" t="str">
            <v>HOLYMAN</v>
          </cell>
        </row>
        <row r="127">
          <cell r="A127">
            <v>4084</v>
          </cell>
          <cell r="B127" t="str">
            <v>AUTOMOTIVO</v>
          </cell>
          <cell r="C127" t="str">
            <v>Capa Pedal</v>
          </cell>
          <cell r="D127" t="str">
            <v>SIMPLES</v>
          </cell>
          <cell r="E127" t="str">
            <v>HOLYMAN</v>
          </cell>
        </row>
        <row r="128">
          <cell r="A128">
            <v>4085</v>
          </cell>
          <cell r="B128" t="str">
            <v>AUTOMOTIVO</v>
          </cell>
          <cell r="C128" t="str">
            <v>Pastilha Freio</v>
          </cell>
          <cell r="D128" t="str">
            <v>SIMPLES</v>
          </cell>
          <cell r="E128" t="str">
            <v>HOLYMAN</v>
          </cell>
        </row>
        <row r="129">
          <cell r="A129">
            <v>5000</v>
          </cell>
          <cell r="B129" t="str">
            <v>AUTOMOTIVO</v>
          </cell>
          <cell r="C129" t="str">
            <v>Bieleta</v>
          </cell>
          <cell r="D129" t="str">
            <v>SIMPLES</v>
          </cell>
          <cell r="E129" t="str">
            <v>HOLYMAN</v>
          </cell>
        </row>
        <row r="130">
          <cell r="A130">
            <v>5001</v>
          </cell>
          <cell r="B130" t="str">
            <v>AUTOMOTIVO</v>
          </cell>
          <cell r="C130" t="str">
            <v>Bieleta</v>
          </cell>
          <cell r="D130" t="str">
            <v>SIMPLES</v>
          </cell>
          <cell r="E130" t="str">
            <v>HOLYMAN</v>
          </cell>
        </row>
        <row r="131">
          <cell r="A131">
            <v>5005</v>
          </cell>
          <cell r="B131" t="str">
            <v>AUTOMOTIVO</v>
          </cell>
          <cell r="C131" t="str">
            <v>Bieleta</v>
          </cell>
          <cell r="D131" t="str">
            <v>SIMPLES</v>
          </cell>
          <cell r="E131" t="str">
            <v>HOLYMAN</v>
          </cell>
        </row>
        <row r="132">
          <cell r="A132">
            <v>5009</v>
          </cell>
          <cell r="B132" t="str">
            <v>AUTOMOTIVO</v>
          </cell>
          <cell r="C132" t="str">
            <v>Bieleta</v>
          </cell>
          <cell r="D132" t="str">
            <v>SIMPLES</v>
          </cell>
          <cell r="E132" t="str">
            <v>HOLYMAN</v>
          </cell>
        </row>
        <row r="133">
          <cell r="A133">
            <v>5010</v>
          </cell>
          <cell r="B133" t="str">
            <v>AUTOMOTIVO</v>
          </cell>
          <cell r="C133" t="str">
            <v>Bieleta</v>
          </cell>
          <cell r="D133" t="str">
            <v>SIMPLES</v>
          </cell>
          <cell r="E133" t="str">
            <v>HOLYMAN</v>
          </cell>
        </row>
        <row r="134">
          <cell r="A134">
            <v>5014</v>
          </cell>
          <cell r="B134" t="str">
            <v>AUTOMOTIVO</v>
          </cell>
          <cell r="C134" t="str">
            <v>Bieleta</v>
          </cell>
          <cell r="D134" t="str">
            <v>SIMPLES</v>
          </cell>
          <cell r="E134" t="str">
            <v>HOLYMAN</v>
          </cell>
        </row>
        <row r="135">
          <cell r="A135">
            <v>5015</v>
          </cell>
          <cell r="B135" t="str">
            <v>AUTOMOTIVO</v>
          </cell>
          <cell r="C135" t="str">
            <v>Bieleta</v>
          </cell>
          <cell r="D135" t="str">
            <v>SIMPLES</v>
          </cell>
          <cell r="E135" t="str">
            <v>HOLYMAN</v>
          </cell>
        </row>
        <row r="136">
          <cell r="A136">
            <v>5018</v>
          </cell>
          <cell r="B136" t="str">
            <v>AUTOMOTIVO</v>
          </cell>
          <cell r="C136" t="str">
            <v>Bieleta</v>
          </cell>
          <cell r="D136" t="str">
            <v>SIMPLES</v>
          </cell>
          <cell r="E136" t="str">
            <v>HOLYMAN</v>
          </cell>
        </row>
        <row r="137">
          <cell r="A137">
            <v>5020</v>
          </cell>
          <cell r="B137" t="str">
            <v>AUTOMOTIVO</v>
          </cell>
          <cell r="C137" t="str">
            <v>Bieleta</v>
          </cell>
          <cell r="D137" t="str">
            <v>SIMPLES</v>
          </cell>
          <cell r="E137" t="str">
            <v>HOLYMAN</v>
          </cell>
        </row>
        <row r="138">
          <cell r="A138">
            <v>5021</v>
          </cell>
          <cell r="B138" t="str">
            <v>AUTOMOTIVO</v>
          </cell>
          <cell r="C138" t="str">
            <v>Bieleta</v>
          </cell>
          <cell r="D138" t="str">
            <v>SIMPLES</v>
          </cell>
          <cell r="E138" t="str">
            <v>HOLYMAN</v>
          </cell>
        </row>
        <row r="139">
          <cell r="A139">
            <v>5022</v>
          </cell>
          <cell r="B139" t="str">
            <v>AUTOMOTIVO</v>
          </cell>
          <cell r="C139" t="str">
            <v>Bieleta</v>
          </cell>
          <cell r="D139" t="str">
            <v>SIMPLES</v>
          </cell>
          <cell r="E139" t="str">
            <v>HOLYMAN</v>
          </cell>
        </row>
        <row r="140">
          <cell r="A140">
            <v>5024</v>
          </cell>
          <cell r="B140" t="str">
            <v>AUTOMOTIVO</v>
          </cell>
          <cell r="C140" t="str">
            <v>Bieleta</v>
          </cell>
          <cell r="D140" t="str">
            <v>SIMPLES</v>
          </cell>
          <cell r="E140" t="str">
            <v>HOLYMAN</v>
          </cell>
        </row>
        <row r="141">
          <cell r="A141">
            <v>5025</v>
          </cell>
          <cell r="B141" t="str">
            <v>AUTOMOTIVO</v>
          </cell>
          <cell r="C141" t="str">
            <v>Bieleta</v>
          </cell>
          <cell r="D141" t="str">
            <v>SIMPLES</v>
          </cell>
          <cell r="E141" t="str">
            <v>HOLYMAN</v>
          </cell>
        </row>
        <row r="142">
          <cell r="A142">
            <v>5031</v>
          </cell>
          <cell r="B142" t="str">
            <v>AUTOMOTIVO</v>
          </cell>
          <cell r="C142" t="str">
            <v>Bieleta</v>
          </cell>
          <cell r="D142" t="str">
            <v>SIMPLES</v>
          </cell>
          <cell r="E142" t="str">
            <v>HOLYMAN</v>
          </cell>
        </row>
        <row r="143">
          <cell r="A143">
            <v>5032</v>
          </cell>
          <cell r="B143" t="str">
            <v>AUTOMOTIVO</v>
          </cell>
          <cell r="C143" t="str">
            <v>Bieleta</v>
          </cell>
          <cell r="D143" t="str">
            <v>SIMPLES</v>
          </cell>
          <cell r="E143" t="str">
            <v>HOLYMAN</v>
          </cell>
        </row>
        <row r="144">
          <cell r="A144">
            <v>5033</v>
          </cell>
          <cell r="B144" t="str">
            <v>AUTOMOTIVO</v>
          </cell>
          <cell r="C144" t="str">
            <v>Bieleta</v>
          </cell>
          <cell r="D144" t="str">
            <v>SIMPLES</v>
          </cell>
          <cell r="E144" t="str">
            <v>HOLYMAN</v>
          </cell>
        </row>
        <row r="145">
          <cell r="A145">
            <v>5034</v>
          </cell>
          <cell r="B145" t="str">
            <v>AUTOMOTIVO</v>
          </cell>
          <cell r="C145" t="str">
            <v>Bieleta</v>
          </cell>
          <cell r="D145" t="str">
            <v>SIMPLES</v>
          </cell>
          <cell r="E145" t="str">
            <v>HOLYMAN</v>
          </cell>
        </row>
        <row r="146">
          <cell r="A146">
            <v>5036</v>
          </cell>
          <cell r="B146" t="str">
            <v>AUTOMOTIVO</v>
          </cell>
          <cell r="C146" t="str">
            <v>Bieleta</v>
          </cell>
          <cell r="D146" t="str">
            <v>SIMPLES</v>
          </cell>
          <cell r="E146" t="str">
            <v>HOLYMAN</v>
          </cell>
        </row>
        <row r="147">
          <cell r="A147">
            <v>5037</v>
          </cell>
          <cell r="B147" t="str">
            <v>AUTOMOTIVO</v>
          </cell>
          <cell r="C147" t="str">
            <v>Bieleta</v>
          </cell>
          <cell r="D147" t="str">
            <v>SIMPLES</v>
          </cell>
          <cell r="E147" t="str">
            <v>HOLYMAN</v>
          </cell>
        </row>
        <row r="148">
          <cell r="A148">
            <v>5039</v>
          </cell>
          <cell r="B148" t="str">
            <v>AUTOMOTIVO</v>
          </cell>
          <cell r="C148" t="str">
            <v>Bieleta</v>
          </cell>
          <cell r="D148" t="str">
            <v>SIMPLES</v>
          </cell>
          <cell r="E148" t="str">
            <v>HOLYMAN</v>
          </cell>
        </row>
        <row r="149">
          <cell r="A149">
            <v>5040</v>
          </cell>
          <cell r="B149" t="str">
            <v>AUTOMOTIVO</v>
          </cell>
          <cell r="C149" t="str">
            <v>Bieleta</v>
          </cell>
          <cell r="D149" t="str">
            <v>SIMPLES</v>
          </cell>
          <cell r="E149" t="str">
            <v>HOLYMAN</v>
          </cell>
        </row>
        <row r="150">
          <cell r="A150">
            <v>5041</v>
          </cell>
          <cell r="B150" t="str">
            <v>AUTOMOTIVO</v>
          </cell>
          <cell r="C150" t="str">
            <v>Bieleta</v>
          </cell>
          <cell r="D150" t="str">
            <v>SIMPLES</v>
          </cell>
          <cell r="E150" t="str">
            <v>HOLYMAN</v>
          </cell>
        </row>
        <row r="151">
          <cell r="A151">
            <v>5100</v>
          </cell>
          <cell r="B151" t="str">
            <v>AUTOMOTIVO</v>
          </cell>
          <cell r="C151" t="str">
            <v>Bieleta</v>
          </cell>
          <cell r="D151" t="str">
            <v>SIMPLES</v>
          </cell>
          <cell r="E151" t="str">
            <v>HOLYMAN</v>
          </cell>
        </row>
        <row r="152">
          <cell r="A152">
            <v>5101</v>
          </cell>
          <cell r="B152" t="str">
            <v>AUTOMOTIVO</v>
          </cell>
          <cell r="C152" t="str">
            <v>Bieleta</v>
          </cell>
          <cell r="D152" t="str">
            <v>SIMPLES</v>
          </cell>
          <cell r="E152" t="str">
            <v>HOLYMAN</v>
          </cell>
        </row>
        <row r="153">
          <cell r="A153">
            <v>5102</v>
          </cell>
          <cell r="B153" t="str">
            <v>AUTOMOTIVO</v>
          </cell>
          <cell r="C153" t="str">
            <v>Bieleta</v>
          </cell>
          <cell r="D153" t="str">
            <v>SIMPLES</v>
          </cell>
          <cell r="E153" t="str">
            <v>HOLYMAN</v>
          </cell>
        </row>
        <row r="154">
          <cell r="A154">
            <v>5103</v>
          </cell>
          <cell r="B154" t="str">
            <v>AUTOMOTIVO</v>
          </cell>
          <cell r="C154" t="str">
            <v>Bieleta</v>
          </cell>
          <cell r="D154" t="str">
            <v>SIMPLES</v>
          </cell>
          <cell r="E154" t="str">
            <v>HOLYMAN</v>
          </cell>
        </row>
        <row r="155">
          <cell r="A155">
            <v>5107</v>
          </cell>
          <cell r="B155" t="str">
            <v>AUTOMOTIVO</v>
          </cell>
          <cell r="C155" t="str">
            <v>Bieleta</v>
          </cell>
          <cell r="D155" t="str">
            <v>SIMPLES</v>
          </cell>
          <cell r="E155" t="str">
            <v>HOLYMAN</v>
          </cell>
        </row>
        <row r="156">
          <cell r="A156">
            <v>5108</v>
          </cell>
          <cell r="B156" t="str">
            <v>AUTOMOTIVO</v>
          </cell>
          <cell r="C156" t="str">
            <v>Bieleta</v>
          </cell>
          <cell r="D156" t="str">
            <v>SIMPLES</v>
          </cell>
          <cell r="E156" t="str">
            <v>HOLYMAN</v>
          </cell>
        </row>
        <row r="157">
          <cell r="A157">
            <v>5109</v>
          </cell>
          <cell r="B157" t="str">
            <v>AUTOMOTIVO</v>
          </cell>
          <cell r="C157" t="str">
            <v>Bieleta</v>
          </cell>
          <cell r="D157" t="str">
            <v>SIMPLES</v>
          </cell>
          <cell r="E157" t="str">
            <v>HOLYMAN</v>
          </cell>
        </row>
        <row r="158">
          <cell r="A158">
            <v>5110</v>
          </cell>
          <cell r="B158" t="str">
            <v>AUTOMOTIVO</v>
          </cell>
          <cell r="C158" t="str">
            <v>Bieleta</v>
          </cell>
          <cell r="D158" t="str">
            <v>SIMPLES</v>
          </cell>
          <cell r="E158" t="str">
            <v>HOLYMAN</v>
          </cell>
        </row>
        <row r="159">
          <cell r="A159">
            <v>5113</v>
          </cell>
          <cell r="B159" t="str">
            <v>AUTOMOTIVO</v>
          </cell>
          <cell r="C159" t="str">
            <v>Bieleta</v>
          </cell>
          <cell r="D159" t="str">
            <v>SIMPLES</v>
          </cell>
          <cell r="E159" t="str">
            <v>HOLYMAN</v>
          </cell>
        </row>
        <row r="160">
          <cell r="A160">
            <v>5125</v>
          </cell>
          <cell r="B160" t="str">
            <v>AUTOMOTIVO</v>
          </cell>
          <cell r="C160" t="str">
            <v>Bieleta</v>
          </cell>
          <cell r="D160" t="str">
            <v>SIMPLES</v>
          </cell>
          <cell r="E160" t="str">
            <v>HOLYMAN</v>
          </cell>
        </row>
        <row r="161">
          <cell r="A161">
            <v>5126</v>
          </cell>
          <cell r="B161" t="str">
            <v>AUTOMOTIVO</v>
          </cell>
          <cell r="C161" t="str">
            <v>Bieleta</v>
          </cell>
          <cell r="D161" t="str">
            <v>SIMPLES</v>
          </cell>
          <cell r="E161" t="str">
            <v>HOLYMAN</v>
          </cell>
        </row>
        <row r="162">
          <cell r="A162">
            <v>5127</v>
          </cell>
          <cell r="B162" t="str">
            <v>AUTOMOTIVO</v>
          </cell>
          <cell r="C162" t="str">
            <v>Bieleta</v>
          </cell>
          <cell r="D162" t="str">
            <v>SIMPLES</v>
          </cell>
          <cell r="E162" t="str">
            <v>HOLYMAN</v>
          </cell>
        </row>
        <row r="163">
          <cell r="A163">
            <v>5200</v>
          </cell>
          <cell r="B163" t="str">
            <v>AUTOMOTIVO</v>
          </cell>
          <cell r="C163" t="str">
            <v>Bieleta</v>
          </cell>
          <cell r="D163" t="str">
            <v>SIMPLES</v>
          </cell>
          <cell r="E163" t="str">
            <v>HOLYMAN</v>
          </cell>
        </row>
        <row r="164">
          <cell r="A164">
            <v>5201</v>
          </cell>
          <cell r="B164" t="str">
            <v>AUTOMOTIVO</v>
          </cell>
          <cell r="C164" t="str">
            <v>Bieleta</v>
          </cell>
          <cell r="D164" t="str">
            <v>SIMPLES</v>
          </cell>
          <cell r="E164" t="str">
            <v>HOLYMAN</v>
          </cell>
        </row>
        <row r="165">
          <cell r="A165">
            <v>5202</v>
          </cell>
          <cell r="B165" t="str">
            <v>AUTOMOTIVO</v>
          </cell>
          <cell r="C165" t="str">
            <v>Bieleta</v>
          </cell>
          <cell r="D165" t="str">
            <v>SIMPLES</v>
          </cell>
          <cell r="E165" t="str">
            <v>HOLYMAN</v>
          </cell>
        </row>
        <row r="166">
          <cell r="A166">
            <v>5203</v>
          </cell>
          <cell r="B166" t="str">
            <v>AUTOMOTIVO</v>
          </cell>
          <cell r="C166" t="str">
            <v>Bieleta</v>
          </cell>
          <cell r="D166" t="str">
            <v>SIMPLES</v>
          </cell>
          <cell r="E166" t="str">
            <v>HOLYMAN</v>
          </cell>
        </row>
        <row r="167">
          <cell r="A167">
            <v>5204</v>
          </cell>
          <cell r="B167" t="str">
            <v>AUTOMOTIVO</v>
          </cell>
          <cell r="C167" t="str">
            <v>Bieleta</v>
          </cell>
          <cell r="D167" t="str">
            <v>SIMPLES</v>
          </cell>
          <cell r="E167" t="str">
            <v>HOLYMAN</v>
          </cell>
        </row>
        <row r="168">
          <cell r="A168">
            <v>5205</v>
          </cell>
          <cell r="B168" t="str">
            <v>AUTOMOTIVO</v>
          </cell>
          <cell r="C168" t="str">
            <v>Bieleta</v>
          </cell>
          <cell r="D168" t="str">
            <v>SIMPLES</v>
          </cell>
          <cell r="E168" t="str">
            <v>HOLYMAN</v>
          </cell>
        </row>
        <row r="169">
          <cell r="A169">
            <v>5206</v>
          </cell>
          <cell r="B169" t="str">
            <v>AUTOMOTIVO</v>
          </cell>
          <cell r="C169" t="str">
            <v>Bieleta</v>
          </cell>
          <cell r="D169" t="str">
            <v>SIMPLES</v>
          </cell>
          <cell r="E169" t="str">
            <v>HOLYMAN</v>
          </cell>
        </row>
        <row r="170">
          <cell r="A170">
            <v>5207</v>
          </cell>
          <cell r="B170" t="str">
            <v>AUTOMOTIVO</v>
          </cell>
          <cell r="C170" t="str">
            <v>Bieleta</v>
          </cell>
          <cell r="D170" t="str">
            <v>SIMPLES</v>
          </cell>
          <cell r="E170" t="str">
            <v>HOLYMAN</v>
          </cell>
        </row>
        <row r="171">
          <cell r="A171">
            <v>5208</v>
          </cell>
          <cell r="B171" t="str">
            <v>AUTOMOTIVO</v>
          </cell>
          <cell r="C171" t="str">
            <v>Capa Pedal</v>
          </cell>
          <cell r="D171" t="str">
            <v>SIMPLES</v>
          </cell>
          <cell r="E171" t="str">
            <v>HOLYMAN</v>
          </cell>
        </row>
        <row r="172">
          <cell r="A172">
            <v>5209</v>
          </cell>
          <cell r="B172" t="str">
            <v>AUTOMOTIVO</v>
          </cell>
          <cell r="C172" t="str">
            <v>Bieleta</v>
          </cell>
          <cell r="D172" t="str">
            <v>SIMPLES</v>
          </cell>
          <cell r="E172" t="str">
            <v>HOLYMAN</v>
          </cell>
        </row>
        <row r="173">
          <cell r="A173">
            <v>5210</v>
          </cell>
          <cell r="B173" t="str">
            <v>AUTOMOTIVO</v>
          </cell>
          <cell r="C173" t="str">
            <v>Bieleta</v>
          </cell>
          <cell r="D173" t="str">
            <v>SIMPLES</v>
          </cell>
          <cell r="E173" t="str">
            <v>HOLYMAN</v>
          </cell>
        </row>
        <row r="174">
          <cell r="A174">
            <v>5211</v>
          </cell>
          <cell r="B174" t="str">
            <v>AUTOMOTIVO</v>
          </cell>
          <cell r="C174" t="str">
            <v>Bieleta</v>
          </cell>
          <cell r="D174" t="str">
            <v>SIMPLES</v>
          </cell>
          <cell r="E174" t="str">
            <v>HOLYMAN</v>
          </cell>
        </row>
        <row r="175">
          <cell r="A175">
            <v>5214</v>
          </cell>
          <cell r="B175" t="str">
            <v>AUTOMOTIVO</v>
          </cell>
          <cell r="C175" t="str">
            <v>Bieleta</v>
          </cell>
          <cell r="D175" t="str">
            <v>SIMPLES</v>
          </cell>
          <cell r="E175" t="str">
            <v>HOLYMAN</v>
          </cell>
        </row>
        <row r="176">
          <cell r="A176">
            <v>5216</v>
          </cell>
          <cell r="B176" t="str">
            <v>AUTOMOTIVO</v>
          </cell>
          <cell r="C176" t="str">
            <v>Bieleta</v>
          </cell>
          <cell r="D176" t="str">
            <v>SIMPLES</v>
          </cell>
          <cell r="E176" t="str">
            <v>HOLYMAN</v>
          </cell>
        </row>
        <row r="177">
          <cell r="A177">
            <v>5217</v>
          </cell>
          <cell r="B177" t="str">
            <v>AUTOMOTIVO</v>
          </cell>
          <cell r="C177" t="str">
            <v>Bieleta</v>
          </cell>
          <cell r="D177" t="str">
            <v>SIMPLES</v>
          </cell>
          <cell r="E177" t="str">
            <v>HOLYMAN</v>
          </cell>
        </row>
        <row r="178">
          <cell r="A178">
            <v>5227</v>
          </cell>
          <cell r="B178" t="str">
            <v>AUTOMOTIVO</v>
          </cell>
          <cell r="C178" t="str">
            <v>Bieleta</v>
          </cell>
          <cell r="D178" t="str">
            <v>SIMPLES</v>
          </cell>
          <cell r="E178" t="str">
            <v>HOLYMAN</v>
          </cell>
        </row>
        <row r="179">
          <cell r="A179">
            <v>5228</v>
          </cell>
          <cell r="B179" t="str">
            <v>AUTOMOTIVO</v>
          </cell>
          <cell r="C179" t="str">
            <v>Bieleta</v>
          </cell>
          <cell r="D179" t="str">
            <v>SIMPLES</v>
          </cell>
          <cell r="E179" t="str">
            <v>HOLYMAN</v>
          </cell>
        </row>
        <row r="180">
          <cell r="A180">
            <v>5229</v>
          </cell>
          <cell r="B180" t="str">
            <v>AUTOMOTIVO</v>
          </cell>
          <cell r="C180" t="str">
            <v>Bieleta</v>
          </cell>
          <cell r="D180" t="str">
            <v>SIMPLES</v>
          </cell>
          <cell r="E180" t="str">
            <v>HOLYMAN</v>
          </cell>
        </row>
        <row r="181">
          <cell r="A181">
            <v>5231</v>
          </cell>
          <cell r="B181" t="str">
            <v>AUTOMOTIVO</v>
          </cell>
          <cell r="C181" t="str">
            <v>Bieleta</v>
          </cell>
          <cell r="D181" t="str">
            <v>SIMPLES</v>
          </cell>
          <cell r="E181" t="str">
            <v>HOLYMAN</v>
          </cell>
        </row>
        <row r="182">
          <cell r="A182">
            <v>5232</v>
          </cell>
          <cell r="B182" t="str">
            <v>AUTOMOTIVO</v>
          </cell>
          <cell r="C182" t="str">
            <v>Bieleta</v>
          </cell>
          <cell r="D182" t="str">
            <v>SIMPLES</v>
          </cell>
          <cell r="E182" t="str">
            <v>HOLYMAN</v>
          </cell>
        </row>
        <row r="183">
          <cell r="A183">
            <v>5233</v>
          </cell>
          <cell r="B183" t="str">
            <v>AUTOMOTIVO</v>
          </cell>
          <cell r="C183" t="str">
            <v>Bieleta</v>
          </cell>
          <cell r="D183" t="str">
            <v>SIMPLES</v>
          </cell>
          <cell r="E183" t="str">
            <v>HOLYMAN</v>
          </cell>
        </row>
        <row r="184">
          <cell r="A184">
            <v>5236</v>
          </cell>
          <cell r="B184" t="str">
            <v>AUTOMOTIVO</v>
          </cell>
          <cell r="C184" t="str">
            <v>Bieleta</v>
          </cell>
          <cell r="D184" t="str">
            <v>SIMPLES</v>
          </cell>
          <cell r="E184" t="str">
            <v>HOLYMAN</v>
          </cell>
        </row>
        <row r="185">
          <cell r="A185">
            <v>5237</v>
          </cell>
          <cell r="B185" t="str">
            <v>AUTOMOTIVO</v>
          </cell>
          <cell r="C185" t="str">
            <v>Bieleta</v>
          </cell>
          <cell r="D185" t="str">
            <v>SIMPLES</v>
          </cell>
          <cell r="E185" t="str">
            <v>HOLYMAN</v>
          </cell>
        </row>
        <row r="186">
          <cell r="A186">
            <v>5238</v>
          </cell>
          <cell r="B186" t="str">
            <v>AUTOMOTIVO</v>
          </cell>
          <cell r="C186" t="str">
            <v>Bieleta</v>
          </cell>
          <cell r="D186" t="str">
            <v>SIMPLES</v>
          </cell>
          <cell r="E186" t="str">
            <v>HOLYMAN</v>
          </cell>
        </row>
        <row r="187">
          <cell r="A187">
            <v>5302</v>
          </cell>
          <cell r="B187" t="str">
            <v>AUTOMOTIVO</v>
          </cell>
          <cell r="C187" t="str">
            <v>Bieleta</v>
          </cell>
          <cell r="D187" t="str">
            <v>SIMPLES</v>
          </cell>
          <cell r="E187" t="str">
            <v>HOLYMAN</v>
          </cell>
        </row>
        <row r="188">
          <cell r="A188">
            <v>5303</v>
          </cell>
          <cell r="B188" t="str">
            <v>AUTOMOTIVO</v>
          </cell>
          <cell r="C188" t="str">
            <v>Bieleta</v>
          </cell>
          <cell r="D188" t="str">
            <v>SIMPLES</v>
          </cell>
          <cell r="E188" t="str">
            <v>HOLYMAN</v>
          </cell>
        </row>
        <row r="189">
          <cell r="A189">
            <v>5304</v>
          </cell>
          <cell r="B189" t="str">
            <v>AUTOMOTIVO</v>
          </cell>
          <cell r="C189" t="str">
            <v>Bieleta</v>
          </cell>
          <cell r="D189" t="str">
            <v>SIMPLES</v>
          </cell>
          <cell r="E189" t="str">
            <v>HOLYMAN</v>
          </cell>
        </row>
        <row r="190">
          <cell r="A190">
            <v>5307</v>
          </cell>
          <cell r="B190" t="str">
            <v>AUTOMOTIVO</v>
          </cell>
          <cell r="C190" t="str">
            <v>Bieleta</v>
          </cell>
          <cell r="D190" t="str">
            <v>SIMPLES</v>
          </cell>
          <cell r="E190" t="str">
            <v>HOLYMAN</v>
          </cell>
        </row>
        <row r="191">
          <cell r="A191">
            <v>5310</v>
          </cell>
          <cell r="B191" t="str">
            <v>AUTOMOTIVO</v>
          </cell>
          <cell r="C191" t="str">
            <v>Bieleta</v>
          </cell>
          <cell r="D191" t="str">
            <v>SIMPLES</v>
          </cell>
          <cell r="E191" t="str">
            <v>HOLYMAN</v>
          </cell>
        </row>
        <row r="192">
          <cell r="A192">
            <v>5312</v>
          </cell>
          <cell r="B192" t="str">
            <v>AUTOMOTIVO</v>
          </cell>
          <cell r="C192" t="str">
            <v>Bieleta</v>
          </cell>
          <cell r="D192" t="str">
            <v>SIMPLES</v>
          </cell>
          <cell r="E192" t="str">
            <v>HOLYMAN</v>
          </cell>
        </row>
        <row r="193">
          <cell r="A193">
            <v>5313</v>
          </cell>
          <cell r="B193" t="str">
            <v>AUTOMOTIVO</v>
          </cell>
          <cell r="C193" t="str">
            <v>Bieleta</v>
          </cell>
          <cell r="D193" t="str">
            <v>SIMPLES</v>
          </cell>
          <cell r="E193" t="str">
            <v>HOLYMAN</v>
          </cell>
        </row>
        <row r="194">
          <cell r="A194">
            <v>5318</v>
          </cell>
          <cell r="B194" t="str">
            <v>AUTOMOTIVO</v>
          </cell>
          <cell r="C194" t="str">
            <v>Bieleta</v>
          </cell>
          <cell r="D194" t="str">
            <v>SIMPLES</v>
          </cell>
          <cell r="E194" t="str">
            <v>HOLYMAN</v>
          </cell>
        </row>
        <row r="195">
          <cell r="A195">
            <v>5400</v>
          </cell>
          <cell r="B195" t="str">
            <v>AUTOMOTIVO</v>
          </cell>
          <cell r="C195" t="str">
            <v>Bieleta</v>
          </cell>
          <cell r="D195" t="str">
            <v>SIMPLES</v>
          </cell>
          <cell r="E195" t="str">
            <v>HOLYMAN</v>
          </cell>
        </row>
        <row r="196">
          <cell r="A196">
            <v>5402</v>
          </cell>
          <cell r="B196" t="str">
            <v>AUTOMOTIVO</v>
          </cell>
          <cell r="C196" t="str">
            <v>Bieleta</v>
          </cell>
          <cell r="D196" t="str">
            <v>SIMPLES</v>
          </cell>
          <cell r="E196" t="str">
            <v>HOLYMAN</v>
          </cell>
        </row>
        <row r="197">
          <cell r="A197">
            <v>5403</v>
          </cell>
          <cell r="B197" t="str">
            <v>AUTOMOTIVO</v>
          </cell>
          <cell r="C197" t="str">
            <v>Bieleta</v>
          </cell>
          <cell r="D197" t="str">
            <v>SIMPLES</v>
          </cell>
          <cell r="E197" t="str">
            <v>HOLYMAN</v>
          </cell>
        </row>
        <row r="198">
          <cell r="A198">
            <v>5404</v>
          </cell>
          <cell r="B198" t="str">
            <v>AUTOMOTIVO</v>
          </cell>
          <cell r="C198" t="str">
            <v>Bieleta</v>
          </cell>
          <cell r="D198" t="str">
            <v>SIMPLES</v>
          </cell>
          <cell r="E198" t="str">
            <v>HOLYMAN</v>
          </cell>
        </row>
        <row r="199">
          <cell r="A199">
            <v>5405</v>
          </cell>
          <cell r="B199" t="str">
            <v>AUTOMOTIVO</v>
          </cell>
          <cell r="C199" t="str">
            <v>Bieleta</v>
          </cell>
          <cell r="D199" t="str">
            <v>SIMPLES</v>
          </cell>
          <cell r="E199" t="str">
            <v>HOLYMAN</v>
          </cell>
        </row>
        <row r="200">
          <cell r="A200">
            <v>5406</v>
          </cell>
          <cell r="B200" t="str">
            <v>AUTOMOTIVO</v>
          </cell>
          <cell r="C200" t="str">
            <v>Bieleta</v>
          </cell>
          <cell r="D200" t="str">
            <v>SIMPLES</v>
          </cell>
          <cell r="E200" t="str">
            <v>HOLYMAN</v>
          </cell>
        </row>
        <row r="201">
          <cell r="A201">
            <v>5407</v>
          </cell>
          <cell r="B201" t="str">
            <v>AUTOMOTIVO</v>
          </cell>
          <cell r="C201" t="str">
            <v>Bieleta</v>
          </cell>
          <cell r="D201" t="str">
            <v>SIMPLES</v>
          </cell>
          <cell r="E201" t="str">
            <v>HOLYMAN</v>
          </cell>
        </row>
        <row r="202">
          <cell r="A202">
            <v>5408</v>
          </cell>
          <cell r="B202" t="str">
            <v>AUTOMOTIVO</v>
          </cell>
          <cell r="C202" t="str">
            <v>Bieleta</v>
          </cell>
          <cell r="D202" t="str">
            <v>SIMPLES</v>
          </cell>
          <cell r="E202" t="str">
            <v>HOLYMAN</v>
          </cell>
        </row>
        <row r="203">
          <cell r="A203">
            <v>5409</v>
          </cell>
          <cell r="B203" t="str">
            <v>AUTOMOTIVO</v>
          </cell>
          <cell r="C203" t="str">
            <v>Bieleta</v>
          </cell>
          <cell r="D203" t="str">
            <v>SIMPLES</v>
          </cell>
          <cell r="E203" t="str">
            <v>HOLYMAN</v>
          </cell>
        </row>
        <row r="204">
          <cell r="A204">
            <v>5410</v>
          </cell>
          <cell r="B204" t="str">
            <v>AUTOMOTIVO</v>
          </cell>
          <cell r="C204" t="str">
            <v>Bieleta</v>
          </cell>
          <cell r="D204" t="str">
            <v>SIMPLES</v>
          </cell>
          <cell r="E204" t="str">
            <v>HOLYMAN</v>
          </cell>
        </row>
        <row r="205">
          <cell r="A205">
            <v>5411</v>
          </cell>
          <cell r="B205" t="str">
            <v>AUTOMOTIVO</v>
          </cell>
          <cell r="C205" t="str">
            <v>Bieleta</v>
          </cell>
          <cell r="D205" t="str">
            <v>SIMPLES</v>
          </cell>
          <cell r="E205" t="str">
            <v>HOLYMAN</v>
          </cell>
        </row>
        <row r="206">
          <cell r="A206">
            <v>5412</v>
          </cell>
          <cell r="B206" t="str">
            <v>AUTOMOTIVO</v>
          </cell>
          <cell r="C206" t="str">
            <v>Bieleta</v>
          </cell>
          <cell r="D206" t="str">
            <v>SIMPLES</v>
          </cell>
          <cell r="E206" t="str">
            <v>HOLYMAN</v>
          </cell>
        </row>
        <row r="207">
          <cell r="A207">
            <v>5413</v>
          </cell>
          <cell r="B207" t="str">
            <v>AUTOMOTIVO</v>
          </cell>
          <cell r="C207" t="str">
            <v>Bieleta</v>
          </cell>
          <cell r="D207" t="str">
            <v>SIMPLES</v>
          </cell>
          <cell r="E207" t="str">
            <v>HOLYMAN</v>
          </cell>
        </row>
        <row r="208">
          <cell r="A208">
            <v>5414</v>
          </cell>
          <cell r="B208" t="str">
            <v>AUTOMOTIVO</v>
          </cell>
          <cell r="C208" t="str">
            <v>Bieleta</v>
          </cell>
          <cell r="D208" t="str">
            <v>SIMPLES</v>
          </cell>
          <cell r="E208" t="str">
            <v>HOLYMAN</v>
          </cell>
        </row>
        <row r="209">
          <cell r="A209">
            <v>5415</v>
          </cell>
          <cell r="B209" t="str">
            <v>AUTOMOTIVO</v>
          </cell>
          <cell r="C209" t="str">
            <v>Bieleta</v>
          </cell>
          <cell r="D209" t="str">
            <v>SIMPLES</v>
          </cell>
          <cell r="E209" t="str">
            <v>HOLYMAN</v>
          </cell>
        </row>
        <row r="210">
          <cell r="A210">
            <v>5416</v>
          </cell>
          <cell r="B210" t="str">
            <v>AUTOMOTIVO</v>
          </cell>
          <cell r="C210" t="str">
            <v>Bieleta</v>
          </cell>
          <cell r="D210" t="str">
            <v>SIMPLES</v>
          </cell>
          <cell r="E210" t="str">
            <v>HOLYMAN</v>
          </cell>
        </row>
        <row r="211">
          <cell r="A211">
            <v>5417</v>
          </cell>
          <cell r="B211" t="str">
            <v>AUTOMOTIVO</v>
          </cell>
          <cell r="C211" t="str">
            <v>Bieleta</v>
          </cell>
          <cell r="D211" t="str">
            <v>SIMPLES</v>
          </cell>
          <cell r="E211" t="str">
            <v>HOLYMAN</v>
          </cell>
        </row>
        <row r="212">
          <cell r="A212">
            <v>5418</v>
          </cell>
          <cell r="B212" t="str">
            <v>AUTOMOTIVO</v>
          </cell>
          <cell r="C212" t="str">
            <v>Bieleta</v>
          </cell>
          <cell r="D212" t="str">
            <v>SIMPLES</v>
          </cell>
          <cell r="E212" t="str">
            <v>HOLYMAN</v>
          </cell>
        </row>
        <row r="213">
          <cell r="A213">
            <v>5419</v>
          </cell>
          <cell r="B213" t="str">
            <v>AUTOMOTIVO</v>
          </cell>
          <cell r="C213" t="str">
            <v>Bieleta</v>
          </cell>
          <cell r="D213" t="str">
            <v>SIMPLES</v>
          </cell>
          <cell r="E213" t="str">
            <v>HOLYMAN</v>
          </cell>
        </row>
        <row r="214">
          <cell r="A214">
            <v>5425</v>
          </cell>
          <cell r="B214" t="str">
            <v>AUTOMOTIVO</v>
          </cell>
          <cell r="C214" t="str">
            <v>Bieleta</v>
          </cell>
          <cell r="D214" t="str">
            <v>SIMPLES</v>
          </cell>
          <cell r="E214" t="str">
            <v>HOLYMAN</v>
          </cell>
        </row>
        <row r="215">
          <cell r="A215">
            <v>5426</v>
          </cell>
          <cell r="B215" t="str">
            <v>AUTOMOTIVO</v>
          </cell>
          <cell r="C215" t="str">
            <v>Bieleta</v>
          </cell>
          <cell r="D215" t="str">
            <v>SIMPLES</v>
          </cell>
          <cell r="E215" t="str">
            <v>HOLYMAN</v>
          </cell>
        </row>
        <row r="216">
          <cell r="A216">
            <v>5427</v>
          </cell>
          <cell r="B216" t="str">
            <v>AUTOMOTIVO</v>
          </cell>
          <cell r="C216" t="str">
            <v>Bieleta</v>
          </cell>
          <cell r="D216" t="str">
            <v>SIMPLES</v>
          </cell>
          <cell r="E216" t="str">
            <v>HOLYMAN</v>
          </cell>
        </row>
        <row r="217">
          <cell r="A217">
            <v>5428</v>
          </cell>
          <cell r="B217" t="str">
            <v>AUTOMOTIVO</v>
          </cell>
          <cell r="C217" t="str">
            <v>Bieleta</v>
          </cell>
          <cell r="D217" t="str">
            <v>SIMPLES</v>
          </cell>
          <cell r="E217" t="str">
            <v>HOLYMAN</v>
          </cell>
        </row>
        <row r="218">
          <cell r="A218">
            <v>5433</v>
          </cell>
          <cell r="B218" t="str">
            <v>AUTOMOTIVO</v>
          </cell>
          <cell r="C218" t="str">
            <v>Bieleta</v>
          </cell>
          <cell r="D218" t="str">
            <v>SIMPLES</v>
          </cell>
          <cell r="E218" t="str">
            <v>HOLYMAN</v>
          </cell>
        </row>
        <row r="219">
          <cell r="A219">
            <v>5500</v>
          </cell>
          <cell r="B219" t="str">
            <v>AUTOMOTIVO</v>
          </cell>
          <cell r="C219" t="str">
            <v>Bieleta</v>
          </cell>
          <cell r="D219" t="str">
            <v>SIMPLES</v>
          </cell>
          <cell r="E219" t="str">
            <v>HOLYMAN</v>
          </cell>
        </row>
        <row r="220">
          <cell r="A220">
            <v>5501</v>
          </cell>
          <cell r="B220" t="str">
            <v>AUTOMOTIVO</v>
          </cell>
          <cell r="C220" t="str">
            <v>Bieleta</v>
          </cell>
          <cell r="D220" t="str">
            <v>SIMPLES</v>
          </cell>
          <cell r="E220" t="str">
            <v>HOLYMAN</v>
          </cell>
        </row>
        <row r="221">
          <cell r="A221">
            <v>5502</v>
          </cell>
          <cell r="B221" t="str">
            <v>AUTOMOTIVO</v>
          </cell>
          <cell r="C221" t="str">
            <v>Bieleta</v>
          </cell>
          <cell r="D221" t="str">
            <v>SIMPLES</v>
          </cell>
          <cell r="E221" t="str">
            <v>HOLYMAN</v>
          </cell>
        </row>
        <row r="222">
          <cell r="A222">
            <v>5507</v>
          </cell>
          <cell r="B222" t="str">
            <v>AUTOMOTIVO</v>
          </cell>
          <cell r="C222" t="str">
            <v>Bieleta</v>
          </cell>
          <cell r="D222" t="str">
            <v>SIMPLES</v>
          </cell>
          <cell r="E222" t="str">
            <v>HOLYMAN</v>
          </cell>
        </row>
        <row r="223">
          <cell r="A223">
            <v>5508</v>
          </cell>
          <cell r="B223" t="str">
            <v>AUTOMOTIVO</v>
          </cell>
          <cell r="C223" t="str">
            <v>Bieleta</v>
          </cell>
          <cell r="D223" t="str">
            <v>SIMPLES</v>
          </cell>
          <cell r="E223" t="str">
            <v>HOLYMAN</v>
          </cell>
        </row>
        <row r="224">
          <cell r="A224">
            <v>5509</v>
          </cell>
          <cell r="B224" t="str">
            <v>AUTOMOTIVO</v>
          </cell>
          <cell r="C224" t="str">
            <v>Bieleta</v>
          </cell>
          <cell r="D224" t="str">
            <v>SIMPLES</v>
          </cell>
          <cell r="E224" t="str">
            <v>HOLYMAN</v>
          </cell>
        </row>
        <row r="225">
          <cell r="A225">
            <v>5510</v>
          </cell>
          <cell r="B225" t="str">
            <v>AUTOMOTIVO</v>
          </cell>
          <cell r="C225" t="str">
            <v>Bieleta</v>
          </cell>
          <cell r="D225" t="str">
            <v>SIMPLES</v>
          </cell>
          <cell r="E225" t="str">
            <v>HOLYMAN</v>
          </cell>
        </row>
        <row r="226">
          <cell r="A226">
            <v>5520</v>
          </cell>
          <cell r="B226" t="str">
            <v>AUTOMOTIVO</v>
          </cell>
          <cell r="C226" t="str">
            <v>Bieleta</v>
          </cell>
          <cell r="D226" t="str">
            <v>SIMPLES</v>
          </cell>
          <cell r="E226" t="str">
            <v>HOLYMAN</v>
          </cell>
        </row>
        <row r="227">
          <cell r="A227">
            <v>5607</v>
          </cell>
          <cell r="B227" t="str">
            <v>AUTOMOTIVO</v>
          </cell>
          <cell r="C227" t="str">
            <v>Bieleta</v>
          </cell>
          <cell r="D227" t="str">
            <v>SIMPLES</v>
          </cell>
          <cell r="E227" t="str">
            <v>HOLYMAN</v>
          </cell>
        </row>
        <row r="228">
          <cell r="A228">
            <v>5608</v>
          </cell>
          <cell r="B228" t="str">
            <v>AUTOMOTIVO</v>
          </cell>
          <cell r="C228" t="str">
            <v>Bieleta</v>
          </cell>
          <cell r="D228" t="str">
            <v>SIMPLES</v>
          </cell>
          <cell r="E228" t="str">
            <v>HOLYMAN</v>
          </cell>
        </row>
        <row r="229">
          <cell r="A229">
            <v>5611</v>
          </cell>
          <cell r="B229" t="str">
            <v>AUTOMOTIVO</v>
          </cell>
          <cell r="C229" t="str">
            <v>Bieleta</v>
          </cell>
          <cell r="D229" t="str">
            <v>SIMPLES</v>
          </cell>
          <cell r="E229" t="str">
            <v>HOLYMAN</v>
          </cell>
        </row>
        <row r="230">
          <cell r="A230">
            <v>5612</v>
          </cell>
          <cell r="B230" t="str">
            <v>AUTOMOTIVO</v>
          </cell>
          <cell r="C230" t="str">
            <v>Bieleta</v>
          </cell>
          <cell r="D230" t="str">
            <v>SIMPLES</v>
          </cell>
          <cell r="E230" t="str">
            <v>HOLYMAN</v>
          </cell>
        </row>
        <row r="231">
          <cell r="A231">
            <v>5613</v>
          </cell>
          <cell r="B231" t="str">
            <v>AUTOMOTIVO</v>
          </cell>
          <cell r="C231" t="str">
            <v>Bieleta</v>
          </cell>
          <cell r="D231" t="str">
            <v>SIMPLES</v>
          </cell>
          <cell r="E231" t="str">
            <v>HOLYMAN</v>
          </cell>
        </row>
        <row r="232">
          <cell r="A232">
            <v>5614</v>
          </cell>
          <cell r="B232" t="str">
            <v>AUTOMOTIVO</v>
          </cell>
          <cell r="C232" t="str">
            <v>Bieleta</v>
          </cell>
          <cell r="D232" t="str">
            <v>SIMPLES</v>
          </cell>
          <cell r="E232" t="str">
            <v>HOLYMAN</v>
          </cell>
        </row>
        <row r="233">
          <cell r="A233">
            <v>5615</v>
          </cell>
          <cell r="B233" t="str">
            <v>AUTOMOTIVO</v>
          </cell>
          <cell r="C233" t="str">
            <v>Bieleta</v>
          </cell>
          <cell r="D233" t="str">
            <v>SIMPLES</v>
          </cell>
          <cell r="E233" t="str">
            <v>HOLYMAN</v>
          </cell>
        </row>
        <row r="234">
          <cell r="A234">
            <v>5616</v>
          </cell>
          <cell r="B234" t="str">
            <v>AUTOMOTIVO</v>
          </cell>
          <cell r="C234" t="str">
            <v>Bieleta</v>
          </cell>
          <cell r="D234" t="str">
            <v>SIMPLES</v>
          </cell>
          <cell r="E234" t="str">
            <v>HOLYMAN</v>
          </cell>
        </row>
        <row r="235">
          <cell r="A235">
            <v>5617</v>
          </cell>
          <cell r="B235" t="str">
            <v>AUTOMOTIVO</v>
          </cell>
          <cell r="C235" t="str">
            <v>Bieleta</v>
          </cell>
          <cell r="D235" t="str">
            <v>SIMPLES</v>
          </cell>
          <cell r="E235" t="str">
            <v>HOLYMAN</v>
          </cell>
        </row>
        <row r="236">
          <cell r="A236">
            <v>5618</v>
          </cell>
          <cell r="B236" t="str">
            <v>AUTOMOTIVO</v>
          </cell>
          <cell r="C236" t="str">
            <v>Bieleta</v>
          </cell>
          <cell r="D236" t="str">
            <v>SIMPLES</v>
          </cell>
          <cell r="E236" t="str">
            <v>HOLYMAN</v>
          </cell>
        </row>
        <row r="237">
          <cell r="A237">
            <v>5619</v>
          </cell>
          <cell r="B237" t="str">
            <v>AUTOMOTIVO</v>
          </cell>
          <cell r="C237" t="str">
            <v>Bieleta</v>
          </cell>
          <cell r="D237" t="str">
            <v>SIMPLES</v>
          </cell>
          <cell r="E237" t="str">
            <v>HOLYMAN</v>
          </cell>
        </row>
        <row r="238">
          <cell r="A238">
            <v>5621</v>
          </cell>
          <cell r="B238" t="str">
            <v>AUTOMOTIVO</v>
          </cell>
          <cell r="C238" t="str">
            <v>Bieleta</v>
          </cell>
          <cell r="D238" t="str">
            <v>SIMPLES</v>
          </cell>
          <cell r="E238" t="str">
            <v>HOLYMAN</v>
          </cell>
        </row>
        <row r="239">
          <cell r="A239">
            <v>5623</v>
          </cell>
          <cell r="B239" t="str">
            <v>AUTOMOTIVO</v>
          </cell>
          <cell r="C239" t="str">
            <v>Bieleta</v>
          </cell>
          <cell r="D239" t="str">
            <v>SIMPLES</v>
          </cell>
          <cell r="E239" t="str">
            <v>HOLYMAN</v>
          </cell>
        </row>
        <row r="240">
          <cell r="A240">
            <v>5625</v>
          </cell>
          <cell r="B240" t="str">
            <v>AUTOMOTIVO</v>
          </cell>
          <cell r="C240" t="str">
            <v>Bieleta</v>
          </cell>
          <cell r="D240" t="str">
            <v>SIMPLES</v>
          </cell>
          <cell r="E240" t="str">
            <v>HOLYMAN</v>
          </cell>
        </row>
        <row r="241">
          <cell r="A241">
            <v>5700</v>
          </cell>
          <cell r="B241" t="str">
            <v>AUTOMOTIVO</v>
          </cell>
          <cell r="C241" t="str">
            <v>Bieleta</v>
          </cell>
          <cell r="D241" t="str">
            <v>SIMPLES</v>
          </cell>
          <cell r="E241" t="str">
            <v>HOLYMAN</v>
          </cell>
        </row>
        <row r="242">
          <cell r="A242">
            <v>5701</v>
          </cell>
          <cell r="B242" t="str">
            <v>AUTOMOTIVO</v>
          </cell>
          <cell r="C242" t="str">
            <v>Bieleta</v>
          </cell>
          <cell r="D242" t="str">
            <v>SIMPLES</v>
          </cell>
          <cell r="E242" t="str">
            <v>HOLYMAN</v>
          </cell>
        </row>
        <row r="243">
          <cell r="A243">
            <v>5705</v>
          </cell>
          <cell r="B243" t="str">
            <v>AUTOMOTIVO</v>
          </cell>
          <cell r="C243" t="str">
            <v>Bieleta</v>
          </cell>
          <cell r="D243" t="str">
            <v>SIMPLES</v>
          </cell>
          <cell r="E243" t="str">
            <v>HOLYMAN</v>
          </cell>
        </row>
        <row r="244">
          <cell r="A244">
            <v>5711</v>
          </cell>
          <cell r="B244" t="str">
            <v>AUTOMOTIVO</v>
          </cell>
          <cell r="C244" t="str">
            <v>Bieleta</v>
          </cell>
          <cell r="D244" t="str">
            <v>SIMPLES</v>
          </cell>
          <cell r="E244" t="str">
            <v>HOLYMAN</v>
          </cell>
        </row>
        <row r="245">
          <cell r="A245">
            <v>5716</v>
          </cell>
          <cell r="B245" t="str">
            <v>AUTOMOTIVO</v>
          </cell>
          <cell r="C245" t="str">
            <v>Bieleta</v>
          </cell>
          <cell r="D245" t="str">
            <v>SIMPLES</v>
          </cell>
          <cell r="E245" t="str">
            <v>HOLYMAN</v>
          </cell>
        </row>
        <row r="246">
          <cell r="A246">
            <v>5717</v>
          </cell>
          <cell r="B246" t="str">
            <v>AUTOMOTIVO</v>
          </cell>
          <cell r="C246" t="str">
            <v>Bieleta</v>
          </cell>
          <cell r="D246" t="str">
            <v>SIMPLES</v>
          </cell>
          <cell r="E246" t="str">
            <v>HOLYMAN</v>
          </cell>
        </row>
        <row r="247">
          <cell r="A247">
            <v>5900</v>
          </cell>
          <cell r="B247" t="str">
            <v>AUTOMOTIVO</v>
          </cell>
          <cell r="C247" t="str">
            <v>Bieleta</v>
          </cell>
          <cell r="D247" t="str">
            <v>SIMPLES</v>
          </cell>
          <cell r="E247" t="str">
            <v>HOLYMAN</v>
          </cell>
        </row>
        <row r="248">
          <cell r="A248">
            <v>5902</v>
          </cell>
          <cell r="B248" t="str">
            <v>AUTOMOTIVO</v>
          </cell>
          <cell r="C248" t="str">
            <v>Bieleta</v>
          </cell>
          <cell r="D248" t="str">
            <v>SIMPLES</v>
          </cell>
          <cell r="E248" t="str">
            <v>HOLYMAN</v>
          </cell>
        </row>
        <row r="249">
          <cell r="A249">
            <v>5903</v>
          </cell>
          <cell r="B249" t="str">
            <v>AUTOMOTIVO</v>
          </cell>
          <cell r="C249" t="str">
            <v>Bieleta</v>
          </cell>
          <cell r="D249" t="str">
            <v>SIMPLES</v>
          </cell>
          <cell r="E249" t="str">
            <v>HOLYMAN</v>
          </cell>
        </row>
        <row r="250">
          <cell r="A250">
            <v>5904</v>
          </cell>
          <cell r="B250" t="str">
            <v>AUTOMOTIVO</v>
          </cell>
          <cell r="C250" t="str">
            <v>Bieleta</v>
          </cell>
          <cell r="D250" t="str">
            <v>SIMPLES</v>
          </cell>
          <cell r="E250" t="str">
            <v>HOLYMAN</v>
          </cell>
        </row>
        <row r="251">
          <cell r="A251">
            <v>5905</v>
          </cell>
          <cell r="B251" t="str">
            <v>AUTOMOTIVO</v>
          </cell>
          <cell r="C251" t="str">
            <v>Bieleta</v>
          </cell>
          <cell r="D251" t="str">
            <v>SIMPLES</v>
          </cell>
          <cell r="E251" t="str">
            <v>HOLYMAN</v>
          </cell>
        </row>
        <row r="252">
          <cell r="A252">
            <v>5906</v>
          </cell>
          <cell r="B252" t="str">
            <v>AUTOMOTIVO</v>
          </cell>
          <cell r="C252" t="str">
            <v>Bieleta</v>
          </cell>
          <cell r="D252" t="str">
            <v>SIMPLES</v>
          </cell>
          <cell r="E252" t="str">
            <v>HOLYMAN</v>
          </cell>
        </row>
        <row r="253">
          <cell r="A253">
            <v>5907</v>
          </cell>
          <cell r="B253" t="str">
            <v>AUTOMOTIVO</v>
          </cell>
          <cell r="C253" t="str">
            <v>Bieleta</v>
          </cell>
          <cell r="D253" t="str">
            <v>SIMPLES</v>
          </cell>
          <cell r="E253" t="str">
            <v>HOLYMAN</v>
          </cell>
        </row>
        <row r="254">
          <cell r="A254">
            <v>5908</v>
          </cell>
          <cell r="B254" t="str">
            <v>AUTOMOTIVO</v>
          </cell>
          <cell r="C254" t="str">
            <v>Bieleta</v>
          </cell>
          <cell r="D254" t="str">
            <v>SIMPLES</v>
          </cell>
          <cell r="E254" t="str">
            <v>HOLYMAN</v>
          </cell>
        </row>
        <row r="255">
          <cell r="A255">
            <v>5909</v>
          </cell>
          <cell r="B255" t="str">
            <v>AUTOMOTIVO</v>
          </cell>
          <cell r="C255" t="str">
            <v>Bieleta</v>
          </cell>
          <cell r="D255" t="str">
            <v>SIMPLES</v>
          </cell>
          <cell r="E255" t="str">
            <v>HOLYMAN</v>
          </cell>
        </row>
        <row r="256">
          <cell r="A256">
            <v>5910</v>
          </cell>
          <cell r="B256" t="str">
            <v>AUTOMOTIVO</v>
          </cell>
          <cell r="C256" t="str">
            <v>Bieleta</v>
          </cell>
          <cell r="D256" t="str">
            <v>SIMPLES</v>
          </cell>
          <cell r="E256" t="str">
            <v>HOLYMAN</v>
          </cell>
        </row>
        <row r="257">
          <cell r="A257">
            <v>5911</v>
          </cell>
          <cell r="B257" t="str">
            <v>AUTOMOTIVO</v>
          </cell>
          <cell r="C257" t="str">
            <v>Bieleta</v>
          </cell>
          <cell r="D257" t="str">
            <v>SIMPLES</v>
          </cell>
          <cell r="E257" t="str">
            <v>HOLYMAN</v>
          </cell>
        </row>
        <row r="258">
          <cell r="A258">
            <v>5913</v>
          </cell>
          <cell r="B258" t="str">
            <v>AUTOMOTIVO</v>
          </cell>
          <cell r="C258" t="str">
            <v>Bieleta</v>
          </cell>
          <cell r="D258" t="str">
            <v>SIMPLES</v>
          </cell>
          <cell r="E258" t="str">
            <v>HOLYMAN</v>
          </cell>
        </row>
        <row r="259">
          <cell r="A259">
            <v>5914</v>
          </cell>
          <cell r="B259" t="str">
            <v>AUTOMOTIVO</v>
          </cell>
          <cell r="C259" t="str">
            <v>Bieleta</v>
          </cell>
          <cell r="D259" t="str">
            <v>SIMPLES</v>
          </cell>
          <cell r="E259" t="str">
            <v>HOLYMAN</v>
          </cell>
        </row>
        <row r="260">
          <cell r="A260">
            <v>5915</v>
          </cell>
          <cell r="B260" t="str">
            <v>AUTOMOTIVO</v>
          </cell>
          <cell r="C260" t="str">
            <v>Bieleta</v>
          </cell>
          <cell r="D260" t="str">
            <v>SIMPLES</v>
          </cell>
          <cell r="E260" t="str">
            <v>HOLYMAN</v>
          </cell>
        </row>
        <row r="261">
          <cell r="A261">
            <v>5917</v>
          </cell>
          <cell r="B261" t="str">
            <v>AUTOMOTIVO</v>
          </cell>
          <cell r="C261" t="str">
            <v>Bieleta</v>
          </cell>
          <cell r="D261" t="str">
            <v>SIMPLES</v>
          </cell>
          <cell r="E261" t="str">
            <v>HOLYMAN</v>
          </cell>
        </row>
        <row r="262">
          <cell r="A262">
            <v>5918</v>
          </cell>
          <cell r="B262" t="str">
            <v>AUTOMOTIVO</v>
          </cell>
          <cell r="C262" t="str">
            <v>Bieleta</v>
          </cell>
          <cell r="D262" t="str">
            <v>SIMPLES</v>
          </cell>
          <cell r="E262" t="str">
            <v>HOLYMAN</v>
          </cell>
        </row>
        <row r="263">
          <cell r="A263">
            <v>5921</v>
          </cell>
          <cell r="B263" t="str">
            <v>AUTOMOTIVO</v>
          </cell>
          <cell r="C263" t="str">
            <v>Bieleta</v>
          </cell>
          <cell r="D263" t="str">
            <v>SIMPLES</v>
          </cell>
          <cell r="E263" t="str">
            <v>HOLYMAN</v>
          </cell>
        </row>
        <row r="264">
          <cell r="A264">
            <v>5922</v>
          </cell>
          <cell r="B264" t="str">
            <v>AUTOMOTIVO</v>
          </cell>
          <cell r="C264" t="str">
            <v>Bieleta</v>
          </cell>
          <cell r="D264" t="str">
            <v>SIMPLES</v>
          </cell>
          <cell r="E264" t="str">
            <v>HOLYMAN</v>
          </cell>
        </row>
        <row r="265">
          <cell r="A265">
            <v>5924</v>
          </cell>
          <cell r="B265" t="str">
            <v>AUTOMOTIVO</v>
          </cell>
          <cell r="C265" t="str">
            <v>Bieleta</v>
          </cell>
          <cell r="D265" t="str">
            <v>SIMPLES</v>
          </cell>
          <cell r="E265" t="str">
            <v>HOLYMAN</v>
          </cell>
        </row>
        <row r="266">
          <cell r="A266">
            <v>5925</v>
          </cell>
          <cell r="B266" t="str">
            <v>AUTOMOTIVO</v>
          </cell>
          <cell r="C266" t="str">
            <v>Bieleta</v>
          </cell>
          <cell r="D266" t="str">
            <v>SIMPLES</v>
          </cell>
          <cell r="E266" t="str">
            <v>HOLYMAN</v>
          </cell>
        </row>
        <row r="267">
          <cell r="A267">
            <v>6001</v>
          </cell>
          <cell r="B267" t="str">
            <v>AUTOMOTIVO</v>
          </cell>
          <cell r="C267" t="str">
            <v>Bieleta</v>
          </cell>
          <cell r="D267" t="str">
            <v>SIMPLES</v>
          </cell>
          <cell r="E267" t="str">
            <v>HOLYMAN</v>
          </cell>
        </row>
        <row r="268">
          <cell r="A268">
            <v>6002</v>
          </cell>
          <cell r="B268" t="str">
            <v>AUTOMOTIVO</v>
          </cell>
          <cell r="C268" t="str">
            <v>Bieleta</v>
          </cell>
          <cell r="D268" t="str">
            <v>SIMPLES</v>
          </cell>
          <cell r="E268" t="str">
            <v>HOLYMAN</v>
          </cell>
        </row>
        <row r="269">
          <cell r="A269">
            <v>6003</v>
          </cell>
          <cell r="B269" t="str">
            <v>AUTOMOTIVO</v>
          </cell>
          <cell r="C269" t="str">
            <v>Bieleta</v>
          </cell>
          <cell r="D269" t="str">
            <v>SIMPLES</v>
          </cell>
          <cell r="E269" t="str">
            <v>HOLYMAN</v>
          </cell>
        </row>
        <row r="270">
          <cell r="A270">
            <v>6005</v>
          </cell>
          <cell r="B270" t="str">
            <v>AUTOMOTIVO</v>
          </cell>
          <cell r="C270" t="str">
            <v>Bieleta</v>
          </cell>
          <cell r="D270" t="str">
            <v>SIMPLES</v>
          </cell>
          <cell r="E270" t="str">
            <v>HOLYMAN</v>
          </cell>
        </row>
        <row r="271">
          <cell r="A271">
            <v>6012</v>
          </cell>
          <cell r="B271" t="str">
            <v>AUTOMOTIVO</v>
          </cell>
          <cell r="C271" t="str">
            <v>Bieleta</v>
          </cell>
          <cell r="D271" t="str">
            <v>SIMPLES</v>
          </cell>
          <cell r="E271" t="str">
            <v>HOLYMAN</v>
          </cell>
        </row>
        <row r="272">
          <cell r="A272">
            <v>6201</v>
          </cell>
          <cell r="B272" t="str">
            <v>AUTOMOTIVO</v>
          </cell>
          <cell r="C272" t="str">
            <v>Bieleta</v>
          </cell>
          <cell r="D272" t="str">
            <v>SIMPLES</v>
          </cell>
          <cell r="E272" t="str">
            <v>HOLYMAN</v>
          </cell>
        </row>
        <row r="273">
          <cell r="A273">
            <v>6202</v>
          </cell>
          <cell r="B273" t="str">
            <v>AUTOMOTIVO</v>
          </cell>
          <cell r="C273" t="str">
            <v>Bieleta</v>
          </cell>
          <cell r="D273" t="str">
            <v>SIMPLES</v>
          </cell>
          <cell r="E273" t="str">
            <v>HOLYMAN</v>
          </cell>
        </row>
        <row r="274">
          <cell r="A274">
            <v>6203</v>
          </cell>
          <cell r="B274" t="str">
            <v>AUTOMOTIVO</v>
          </cell>
          <cell r="C274" t="str">
            <v>Bieleta</v>
          </cell>
          <cell r="D274" t="str">
            <v>SIMPLES</v>
          </cell>
          <cell r="E274" t="str">
            <v>HOLYMAN</v>
          </cell>
        </row>
        <row r="275">
          <cell r="A275">
            <v>6204</v>
          </cell>
          <cell r="B275" t="str">
            <v>AUTOMOTIVO</v>
          </cell>
          <cell r="C275" t="str">
            <v>Bieleta</v>
          </cell>
          <cell r="D275" t="str">
            <v>SIMPLES</v>
          </cell>
          <cell r="E275" t="str">
            <v>HOLYMAN</v>
          </cell>
        </row>
        <row r="276">
          <cell r="A276">
            <v>6205</v>
          </cell>
          <cell r="B276" t="str">
            <v>AUTOMOTIVO</v>
          </cell>
          <cell r="C276" t="str">
            <v>Bieleta</v>
          </cell>
          <cell r="D276" t="str">
            <v>SIMPLES</v>
          </cell>
          <cell r="E276" t="str">
            <v>HOLYMAN</v>
          </cell>
        </row>
        <row r="277">
          <cell r="A277">
            <v>6206</v>
          </cell>
          <cell r="B277" t="str">
            <v>AUTOMOTIVO</v>
          </cell>
          <cell r="C277" t="str">
            <v>Bieleta</v>
          </cell>
          <cell r="D277" t="str">
            <v>SIMPLES</v>
          </cell>
          <cell r="E277" t="str">
            <v>HOLYMAN</v>
          </cell>
        </row>
        <row r="278">
          <cell r="A278">
            <v>6208</v>
          </cell>
          <cell r="B278" t="str">
            <v>AUTOMOTIVO</v>
          </cell>
          <cell r="C278" t="str">
            <v>Bieleta</v>
          </cell>
          <cell r="D278" t="str">
            <v>SIMPLES</v>
          </cell>
          <cell r="E278" t="str">
            <v>HOLYMAN</v>
          </cell>
        </row>
        <row r="279">
          <cell r="A279">
            <v>6209</v>
          </cell>
          <cell r="B279" t="str">
            <v>AUTOMOTIVO</v>
          </cell>
          <cell r="C279" t="str">
            <v>Bieleta</v>
          </cell>
          <cell r="D279" t="str">
            <v>SIMPLES</v>
          </cell>
          <cell r="E279" t="str">
            <v>HOLYMAN</v>
          </cell>
        </row>
        <row r="280">
          <cell r="A280">
            <v>6210</v>
          </cell>
          <cell r="B280" t="str">
            <v>AUTOMOTIVO</v>
          </cell>
          <cell r="C280" t="str">
            <v>Bieleta</v>
          </cell>
          <cell r="D280" t="str">
            <v>SIMPLES</v>
          </cell>
          <cell r="E280" t="str">
            <v>HOLYMAN</v>
          </cell>
        </row>
        <row r="281">
          <cell r="A281">
            <v>6211</v>
          </cell>
          <cell r="B281" t="str">
            <v>AUTOMOTIVO</v>
          </cell>
          <cell r="C281" t="str">
            <v>Bieleta</v>
          </cell>
          <cell r="D281" t="str">
            <v>SIMPLES</v>
          </cell>
          <cell r="E281" t="str">
            <v>HOLYMAN</v>
          </cell>
        </row>
        <row r="282">
          <cell r="A282">
            <v>6310</v>
          </cell>
          <cell r="B282" t="str">
            <v>AUTOMOTIVO</v>
          </cell>
          <cell r="C282" t="str">
            <v>Bieleta</v>
          </cell>
          <cell r="D282" t="str">
            <v>SIMPLES</v>
          </cell>
          <cell r="E282" t="str">
            <v>HOLYMAN</v>
          </cell>
        </row>
        <row r="283">
          <cell r="A283">
            <v>6311</v>
          </cell>
          <cell r="B283" t="str">
            <v>AUTOMOTIVO</v>
          </cell>
          <cell r="C283" t="str">
            <v>Bieleta</v>
          </cell>
          <cell r="D283" t="str">
            <v>SIMPLES</v>
          </cell>
          <cell r="E283" t="str">
            <v>HOLYMAN</v>
          </cell>
        </row>
        <row r="284">
          <cell r="A284">
            <v>6312</v>
          </cell>
          <cell r="B284" t="str">
            <v>AUTOMOTIVO</v>
          </cell>
          <cell r="C284" t="str">
            <v>Bieleta</v>
          </cell>
          <cell r="D284" t="str">
            <v>SIMPLES</v>
          </cell>
          <cell r="E284" t="str">
            <v>HOLYMAN</v>
          </cell>
        </row>
        <row r="285">
          <cell r="A285">
            <v>6316</v>
          </cell>
          <cell r="B285" t="str">
            <v>AUTOMOTIVO</v>
          </cell>
          <cell r="C285" t="str">
            <v>Bieleta</v>
          </cell>
          <cell r="D285" t="str">
            <v>SIMPLES</v>
          </cell>
          <cell r="E285" t="str">
            <v>HOLYMAN</v>
          </cell>
        </row>
        <row r="286">
          <cell r="A286">
            <v>6401</v>
          </cell>
          <cell r="B286" t="str">
            <v>AUTOMOTIVO</v>
          </cell>
          <cell r="C286" t="str">
            <v>Bieleta</v>
          </cell>
          <cell r="D286" t="str">
            <v>SIMPLES</v>
          </cell>
          <cell r="E286" t="str">
            <v>HOLYMAN</v>
          </cell>
        </row>
        <row r="287">
          <cell r="A287">
            <v>6408</v>
          </cell>
          <cell r="B287" t="str">
            <v>AUTOMOTIVO</v>
          </cell>
          <cell r="C287" t="str">
            <v>Bieleta</v>
          </cell>
          <cell r="D287" t="str">
            <v>SIMPLES</v>
          </cell>
          <cell r="E287" t="str">
            <v>HOLYMAN</v>
          </cell>
        </row>
        <row r="288">
          <cell r="A288">
            <v>6502</v>
          </cell>
          <cell r="B288" t="str">
            <v>AUTOMOTIVO</v>
          </cell>
          <cell r="C288" t="str">
            <v>Bieleta</v>
          </cell>
          <cell r="D288" t="str">
            <v>SIMPLES</v>
          </cell>
          <cell r="E288" t="str">
            <v>HOLYMAN</v>
          </cell>
        </row>
        <row r="289">
          <cell r="A289">
            <v>6503</v>
          </cell>
          <cell r="B289" t="str">
            <v>AUTOMOTIVO</v>
          </cell>
          <cell r="C289" t="str">
            <v>Bieleta</v>
          </cell>
          <cell r="D289" t="str">
            <v>SIMPLES</v>
          </cell>
          <cell r="E289" t="str">
            <v>HOLYMAN</v>
          </cell>
        </row>
        <row r="290">
          <cell r="A290">
            <v>6509</v>
          </cell>
          <cell r="B290" t="str">
            <v>AUTOMOTIVO</v>
          </cell>
          <cell r="C290" t="str">
            <v>Bieleta</v>
          </cell>
          <cell r="D290" t="str">
            <v>SIMPLES</v>
          </cell>
          <cell r="E290" t="str">
            <v>HOLYMAN</v>
          </cell>
        </row>
        <row r="291">
          <cell r="A291">
            <v>6510</v>
          </cell>
          <cell r="B291" t="str">
            <v>AUTOMOTIVO</v>
          </cell>
          <cell r="C291" t="str">
            <v>Bieleta</v>
          </cell>
          <cell r="D291" t="str">
            <v>SIMPLES</v>
          </cell>
          <cell r="E291" t="str">
            <v>HOLYMAN</v>
          </cell>
        </row>
        <row r="292">
          <cell r="A292">
            <v>6515</v>
          </cell>
          <cell r="B292" t="str">
            <v>AUTOMOTIVO</v>
          </cell>
          <cell r="C292" t="str">
            <v>Bieleta</v>
          </cell>
          <cell r="D292" t="str">
            <v>SIMPLES</v>
          </cell>
          <cell r="E292" t="str">
            <v>HOLYMAN</v>
          </cell>
        </row>
        <row r="293">
          <cell r="A293">
            <v>6516</v>
          </cell>
          <cell r="B293" t="str">
            <v>AUTOMOTIVO</v>
          </cell>
          <cell r="C293" t="str">
            <v>Bieleta</v>
          </cell>
          <cell r="D293" t="str">
            <v>SIMPLES</v>
          </cell>
          <cell r="E293" t="str">
            <v>HOLYMAN</v>
          </cell>
        </row>
        <row r="294">
          <cell r="A294">
            <v>6615</v>
          </cell>
          <cell r="B294" t="str">
            <v>AUTOMOTIVO</v>
          </cell>
          <cell r="C294" t="str">
            <v>Bieleta</v>
          </cell>
          <cell r="D294" t="str">
            <v>SIMPLES</v>
          </cell>
          <cell r="E294" t="str">
            <v>HOLYMAN</v>
          </cell>
        </row>
        <row r="295">
          <cell r="A295">
            <v>6616</v>
          </cell>
          <cell r="B295" t="str">
            <v>AUTOMOTIVO</v>
          </cell>
          <cell r="C295" t="str">
            <v>Bieleta</v>
          </cell>
          <cell r="D295" t="str">
            <v>SIMPLES</v>
          </cell>
          <cell r="E295" t="str">
            <v>HOLYMAN</v>
          </cell>
        </row>
        <row r="296">
          <cell r="A296">
            <v>6617</v>
          </cell>
          <cell r="B296" t="str">
            <v>AUTOMOTIVO</v>
          </cell>
          <cell r="C296" t="str">
            <v>Bieleta</v>
          </cell>
          <cell r="D296" t="str">
            <v>SIMPLES</v>
          </cell>
          <cell r="E296" t="str">
            <v>HOLYMAN</v>
          </cell>
        </row>
        <row r="297">
          <cell r="A297">
            <v>6700</v>
          </cell>
          <cell r="B297" t="str">
            <v>AUTOMOTIVO</v>
          </cell>
          <cell r="C297" t="str">
            <v>Bieleta</v>
          </cell>
          <cell r="D297" t="str">
            <v>SIMPLES</v>
          </cell>
          <cell r="E297" t="str">
            <v>HOLYMAN</v>
          </cell>
        </row>
        <row r="298">
          <cell r="A298">
            <v>7300</v>
          </cell>
          <cell r="B298" t="str">
            <v>AUTOMOTIVO</v>
          </cell>
          <cell r="C298" t="str">
            <v>Bieleta</v>
          </cell>
          <cell r="D298" t="str">
            <v>SIMPLES</v>
          </cell>
          <cell r="E298" t="str">
            <v>HOLYMAN</v>
          </cell>
        </row>
        <row r="299">
          <cell r="A299">
            <v>7800</v>
          </cell>
          <cell r="B299" t="str">
            <v>AUTOMOTIVO</v>
          </cell>
          <cell r="C299" t="str">
            <v>Bieleta</v>
          </cell>
          <cell r="D299" t="str">
            <v>SIMPLES</v>
          </cell>
          <cell r="E299" t="str">
            <v>HOLYMAN</v>
          </cell>
        </row>
        <row r="300">
          <cell r="A300">
            <v>7801</v>
          </cell>
          <cell r="B300" t="str">
            <v>AUTOMOTIVO</v>
          </cell>
          <cell r="C300" t="str">
            <v>Bieleta</v>
          </cell>
          <cell r="D300" t="str">
            <v>SIMPLES</v>
          </cell>
          <cell r="E300" t="str">
            <v>HOLYMAN</v>
          </cell>
        </row>
        <row r="301">
          <cell r="A301">
            <v>7802</v>
          </cell>
          <cell r="B301" t="str">
            <v>AUTOMOTIVO</v>
          </cell>
          <cell r="C301" t="str">
            <v>Bieleta</v>
          </cell>
          <cell r="D301" t="str">
            <v>SIMPLES</v>
          </cell>
          <cell r="E301" t="str">
            <v>HOLYMAN</v>
          </cell>
        </row>
        <row r="302">
          <cell r="A302">
            <v>8000</v>
          </cell>
          <cell r="B302" t="str">
            <v>AUTOMOTIVO</v>
          </cell>
          <cell r="C302" t="str">
            <v>Bieleta</v>
          </cell>
          <cell r="D302" t="str">
            <v>SIMPLES</v>
          </cell>
          <cell r="E302" t="str">
            <v>HOLYMAN</v>
          </cell>
        </row>
        <row r="303">
          <cell r="A303">
            <v>8001</v>
          </cell>
          <cell r="B303" t="str">
            <v>AUTOMOTIVO</v>
          </cell>
          <cell r="C303" t="str">
            <v>Bieleta</v>
          </cell>
          <cell r="D303" t="str">
            <v>SIMPLES</v>
          </cell>
          <cell r="E303" t="str">
            <v>HOLYMAN</v>
          </cell>
        </row>
        <row r="304">
          <cell r="A304">
            <v>8002</v>
          </cell>
          <cell r="B304" t="str">
            <v>AUTOMOTIVO</v>
          </cell>
          <cell r="C304" t="str">
            <v>Bieleta</v>
          </cell>
          <cell r="D304" t="str">
            <v>SIMPLES</v>
          </cell>
          <cell r="E304" t="str">
            <v>HOLYMAN</v>
          </cell>
        </row>
        <row r="305">
          <cell r="A305">
            <v>8003</v>
          </cell>
          <cell r="B305" t="str">
            <v>AUTOMOTIVO</v>
          </cell>
          <cell r="C305" t="str">
            <v>Bieleta</v>
          </cell>
          <cell r="D305" t="str">
            <v>SIMPLES</v>
          </cell>
          <cell r="E305" t="str">
            <v>HOLYMAN</v>
          </cell>
        </row>
        <row r="306">
          <cell r="A306">
            <v>8004</v>
          </cell>
          <cell r="B306" t="str">
            <v>AUTOMOTIVO</v>
          </cell>
          <cell r="C306" t="str">
            <v>Bieleta</v>
          </cell>
          <cell r="D306" t="str">
            <v>SIMPLES</v>
          </cell>
          <cell r="E306" t="str">
            <v>HOLYMAN</v>
          </cell>
        </row>
        <row r="307">
          <cell r="A307">
            <v>8005</v>
          </cell>
          <cell r="B307" t="str">
            <v>AUTOMOTIVO</v>
          </cell>
          <cell r="C307" t="str">
            <v>Bieleta</v>
          </cell>
          <cell r="D307" t="str">
            <v>SIMPLES</v>
          </cell>
          <cell r="E307" t="str">
            <v>HOLYMAN</v>
          </cell>
        </row>
        <row r="308">
          <cell r="A308">
            <v>8106</v>
          </cell>
          <cell r="B308" t="str">
            <v>AUTOMOTIVO</v>
          </cell>
          <cell r="C308" t="str">
            <v>Bieleta</v>
          </cell>
          <cell r="D308" t="str">
            <v>SIMPLES</v>
          </cell>
          <cell r="E308" t="str">
            <v>HOLYMAN</v>
          </cell>
        </row>
        <row r="309">
          <cell r="A309">
            <v>8402</v>
          </cell>
          <cell r="B309" t="str">
            <v>AUTOMOTIVO</v>
          </cell>
          <cell r="C309" t="str">
            <v>Bieleta</v>
          </cell>
          <cell r="D309" t="str">
            <v>SIMPLES</v>
          </cell>
          <cell r="E309" t="str">
            <v>HOLYMAN</v>
          </cell>
        </row>
        <row r="310">
          <cell r="A310">
            <v>8501</v>
          </cell>
          <cell r="B310" t="str">
            <v>AUTOMOTIVO</v>
          </cell>
          <cell r="C310" t="str">
            <v>Bieleta</v>
          </cell>
          <cell r="D310" t="str">
            <v>SIMPLES</v>
          </cell>
          <cell r="E310" t="str">
            <v>HOLYMAN</v>
          </cell>
        </row>
        <row r="311">
          <cell r="A311">
            <v>8502</v>
          </cell>
          <cell r="B311" t="str">
            <v>AUTOMOTIVO</v>
          </cell>
          <cell r="C311" t="str">
            <v>Bieleta</v>
          </cell>
          <cell r="D311" t="str">
            <v>SIMPLES</v>
          </cell>
          <cell r="E311" t="str">
            <v>HOLYMAN</v>
          </cell>
        </row>
        <row r="312">
          <cell r="A312">
            <v>8503</v>
          </cell>
          <cell r="B312" t="str">
            <v>AUTOMOTIVO</v>
          </cell>
          <cell r="C312" t="str">
            <v>Bieleta</v>
          </cell>
          <cell r="D312" t="str">
            <v>SIMPLES</v>
          </cell>
          <cell r="E312" t="str">
            <v>HOLYMAN</v>
          </cell>
        </row>
        <row r="313">
          <cell r="A313">
            <v>550230</v>
          </cell>
          <cell r="B313" t="str">
            <v>AUTOMOTIVO</v>
          </cell>
          <cell r="C313" t="str">
            <v>Bieleta</v>
          </cell>
          <cell r="D313" t="str">
            <v>SIMPLES</v>
          </cell>
          <cell r="E313" t="str">
            <v>HOLYMAN</v>
          </cell>
        </row>
        <row r="314">
          <cell r="A314">
            <v>559130</v>
          </cell>
          <cell r="B314" t="str">
            <v>AUTOMOTIVO</v>
          </cell>
          <cell r="C314" t="str">
            <v>Bieleta</v>
          </cell>
          <cell r="D314" t="str">
            <v>SIMPLES</v>
          </cell>
          <cell r="E314" t="str">
            <v>HOLYMAN</v>
          </cell>
        </row>
        <row r="315">
          <cell r="A315">
            <v>559140</v>
          </cell>
          <cell r="B315" t="str">
            <v>AUTOMOTIVO</v>
          </cell>
          <cell r="C315" t="str">
            <v>Bieleta</v>
          </cell>
          <cell r="D315" t="str">
            <v>SIMPLES</v>
          </cell>
          <cell r="E315" t="str">
            <v>HOLYMAN</v>
          </cell>
        </row>
        <row r="316">
          <cell r="A316">
            <v>880547</v>
          </cell>
          <cell r="B316" t="str">
            <v>AUTOMOTIVO</v>
          </cell>
          <cell r="C316" t="str">
            <v>Cupula alavanca</v>
          </cell>
          <cell r="D316" t="str">
            <v>SIMPLES</v>
          </cell>
          <cell r="E316" t="str">
            <v>HOLYMAN</v>
          </cell>
        </row>
        <row r="317">
          <cell r="A317" t="str">
            <v>4004r</v>
          </cell>
          <cell r="B317" t="str">
            <v>AUTOMOTIVO</v>
          </cell>
          <cell r="C317" t="str">
            <v>Capa Pedal</v>
          </cell>
          <cell r="D317" t="str">
            <v>SIMPLES</v>
          </cell>
          <cell r="E317" t="str">
            <v>HOLYMAN</v>
          </cell>
        </row>
        <row r="318">
          <cell r="A318" t="str">
            <v>4017C</v>
          </cell>
          <cell r="B318" t="str">
            <v>AUTOMOTIVO</v>
          </cell>
          <cell r="C318" t="str">
            <v>Capa Pedal</v>
          </cell>
          <cell r="D318" t="str">
            <v>SIMPLES</v>
          </cell>
          <cell r="E318" t="str">
            <v>HOLYMAN</v>
          </cell>
        </row>
        <row r="319">
          <cell r="A319" t="str">
            <v>5108/09</v>
          </cell>
          <cell r="B319" t="str">
            <v>AUTOMOTIVO</v>
          </cell>
          <cell r="C319" t="str">
            <v>Bieleta</v>
          </cell>
          <cell r="D319" t="str">
            <v>KIT</v>
          </cell>
          <cell r="E319" t="str">
            <v>HOLYMAN</v>
          </cell>
        </row>
        <row r="320">
          <cell r="A320" t="str">
            <v>5227/8</v>
          </cell>
          <cell r="B320" t="str">
            <v>AUTOMOTIVO</v>
          </cell>
          <cell r="C320" t="str">
            <v>Bieleta</v>
          </cell>
          <cell r="D320" t="str">
            <v>KIT</v>
          </cell>
          <cell r="E320" t="str">
            <v>HOLYMAN</v>
          </cell>
        </row>
        <row r="321">
          <cell r="A321" t="str">
            <v>5231/2</v>
          </cell>
          <cell r="B321" t="str">
            <v>AUTOMOTIVO</v>
          </cell>
          <cell r="C321" t="str">
            <v>Bieleta</v>
          </cell>
          <cell r="D321" t="str">
            <v>KIT</v>
          </cell>
          <cell r="E321" t="str">
            <v>HOLYMAN</v>
          </cell>
        </row>
        <row r="322">
          <cell r="A322" t="str">
            <v>5402/03</v>
          </cell>
          <cell r="B322" t="str">
            <v>AUTOMOTIVO</v>
          </cell>
          <cell r="C322" t="str">
            <v>Bieleta</v>
          </cell>
          <cell r="D322" t="str">
            <v>KIT</v>
          </cell>
          <cell r="E322" t="str">
            <v>HOLYMAN</v>
          </cell>
        </row>
        <row r="323">
          <cell r="A323" t="str">
            <v>5410-5411</v>
          </cell>
          <cell r="B323" t="str">
            <v>AUTOMOTIVO</v>
          </cell>
          <cell r="C323" t="str">
            <v>Bieleta</v>
          </cell>
          <cell r="D323" t="str">
            <v>KIT</v>
          </cell>
          <cell r="E323" t="str">
            <v>HOLYMAN</v>
          </cell>
        </row>
        <row r="324">
          <cell r="A324" t="str">
            <v>5913/5914</v>
          </cell>
          <cell r="B324" t="str">
            <v>AUTOMOTIVO</v>
          </cell>
          <cell r="C324" t="str">
            <v>Bieleta</v>
          </cell>
          <cell r="D324" t="str">
            <v>KIT</v>
          </cell>
          <cell r="E324" t="str">
            <v>HOLYMAN</v>
          </cell>
        </row>
        <row r="325">
          <cell r="A325" t="str">
            <v>6310/11</v>
          </cell>
          <cell r="B325" t="str">
            <v>AUTOMOTIVO</v>
          </cell>
          <cell r="C325" t="str">
            <v>Bieleta</v>
          </cell>
          <cell r="D325" t="str">
            <v>KIT</v>
          </cell>
          <cell r="E325" t="str">
            <v>HOLYMAN</v>
          </cell>
        </row>
        <row r="326">
          <cell r="A326" t="str">
            <v>6509/6510</v>
          </cell>
          <cell r="B326" t="str">
            <v>AUTOMOTIVO</v>
          </cell>
          <cell r="C326" t="str">
            <v>Bieleta</v>
          </cell>
          <cell r="D326" t="str">
            <v>KIT</v>
          </cell>
          <cell r="E326" t="str">
            <v>HOLYMAN</v>
          </cell>
        </row>
        <row r="327">
          <cell r="A327" t="str">
            <v>hl4047</v>
          </cell>
          <cell r="B327" t="str">
            <v>AUTOMOTIVO</v>
          </cell>
          <cell r="C327" t="str">
            <v>Capa Pedal</v>
          </cell>
          <cell r="D327" t="str">
            <v>SIMPLES</v>
          </cell>
          <cell r="E327" t="str">
            <v>HOLYMAN</v>
          </cell>
        </row>
        <row r="328">
          <cell r="A328" t="str">
            <v>hl5609</v>
          </cell>
          <cell r="B328" t="str">
            <v>AUTOMOTIVO</v>
          </cell>
          <cell r="C328" t="str">
            <v>Bieleta</v>
          </cell>
          <cell r="D328" t="str">
            <v>SIMPLES</v>
          </cell>
          <cell r="E328" t="str">
            <v>HOLYMAN</v>
          </cell>
        </row>
        <row r="329">
          <cell r="A329" t="str">
            <v>hl5609/10</v>
          </cell>
          <cell r="B329" t="str">
            <v>AUTOMOTIVO</v>
          </cell>
          <cell r="C329" t="str">
            <v>Bieleta</v>
          </cell>
          <cell r="D329" t="str">
            <v>KIT</v>
          </cell>
          <cell r="E329" t="str">
            <v>HOLYMAN</v>
          </cell>
        </row>
        <row r="330">
          <cell r="A330" t="str">
            <v>hl5610</v>
          </cell>
          <cell r="B330" t="str">
            <v>AUTOMOTIVO</v>
          </cell>
          <cell r="C330" t="str">
            <v>Bieleta</v>
          </cell>
          <cell r="D330" t="str">
            <v>SIMPLES</v>
          </cell>
          <cell r="E330" t="str">
            <v>HOLYMAN</v>
          </cell>
        </row>
        <row r="331">
          <cell r="A331" t="str">
            <v>KIT-3025</v>
          </cell>
          <cell r="B331" t="str">
            <v>AUTOMOTIVO</v>
          </cell>
          <cell r="C331" t="str">
            <v>Suporte Parachoque</v>
          </cell>
          <cell r="D331" t="str">
            <v>KIT</v>
          </cell>
          <cell r="E331" t="str">
            <v>HOLYMAN</v>
          </cell>
        </row>
        <row r="332">
          <cell r="A332" t="str">
            <v>Kit-5404/5</v>
          </cell>
          <cell r="B332" t="str">
            <v>AUTOMOTIVO</v>
          </cell>
          <cell r="C332" t="str">
            <v>Bieleta</v>
          </cell>
          <cell r="D332" t="str">
            <v>KIT</v>
          </cell>
          <cell r="E332" t="str">
            <v>HOLYMAN</v>
          </cell>
        </row>
        <row r="333">
          <cell r="A333" t="str">
            <v>KIT-5607/08</v>
          </cell>
          <cell r="B333" t="str">
            <v>AUTOMOTIVO</v>
          </cell>
          <cell r="C333" t="str">
            <v>Pastilha Freio</v>
          </cell>
          <cell r="D333" t="str">
            <v>KIT</v>
          </cell>
          <cell r="E333" t="str">
            <v>HOLYMAN</v>
          </cell>
        </row>
        <row r="334">
          <cell r="A334" t="str">
            <v>KIT-7802</v>
          </cell>
          <cell r="B334" t="str">
            <v>AUTOMOTIVO</v>
          </cell>
          <cell r="C334" t="str">
            <v>Bieleta</v>
          </cell>
          <cell r="D334" t="str">
            <v>KIT</v>
          </cell>
          <cell r="E334" t="str">
            <v>HOLYMAN</v>
          </cell>
        </row>
        <row r="335">
          <cell r="A335" t="str">
            <v>KIT-8000/01</v>
          </cell>
          <cell r="B335" t="str">
            <v>AUTOMOTIVO</v>
          </cell>
          <cell r="C335" t="str">
            <v>Bieleta</v>
          </cell>
          <cell r="D335" t="str">
            <v>KIT</v>
          </cell>
          <cell r="E335" t="str">
            <v>HOLYMAN</v>
          </cell>
        </row>
        <row r="336">
          <cell r="A336" t="str">
            <v>KIT-FTK00404/5203</v>
          </cell>
          <cell r="B336" t="str">
            <v>AUTOMOTIVO</v>
          </cell>
          <cell r="C336" t="str">
            <v>Bieleta</v>
          </cell>
          <cell r="D336" t="str">
            <v>KIT</v>
          </cell>
          <cell r="E336" t="str">
            <v>HOLYMAN</v>
          </cell>
        </row>
        <row r="337">
          <cell r="A337" t="str">
            <v>par-5000</v>
          </cell>
          <cell r="B337" t="str">
            <v>AUTOMOTIVO</v>
          </cell>
          <cell r="C337" t="str">
            <v>Bieleta</v>
          </cell>
          <cell r="D337" t="str">
            <v>KIT</v>
          </cell>
          <cell r="E337" t="str">
            <v>HOLYMAN</v>
          </cell>
        </row>
        <row r="338">
          <cell r="A338" t="str">
            <v>par-5001</v>
          </cell>
          <cell r="B338" t="str">
            <v>AUTOMOTIVO</v>
          </cell>
          <cell r="C338" t="str">
            <v>Bieleta</v>
          </cell>
          <cell r="D338" t="str">
            <v>KIT</v>
          </cell>
          <cell r="E338" t="str">
            <v>HOLYMAN</v>
          </cell>
        </row>
        <row r="339">
          <cell r="A339" t="str">
            <v>PAR-5009</v>
          </cell>
          <cell r="B339" t="str">
            <v>AUTOMOTIVO</v>
          </cell>
          <cell r="C339" t="str">
            <v>Bieleta</v>
          </cell>
          <cell r="D339" t="str">
            <v>KIT</v>
          </cell>
          <cell r="E339" t="str">
            <v>HOLYMAN</v>
          </cell>
        </row>
        <row r="340">
          <cell r="A340" t="str">
            <v>PAR5010</v>
          </cell>
          <cell r="B340" t="str">
            <v>AUTOMOTIVO</v>
          </cell>
          <cell r="C340" t="str">
            <v>Bieleta</v>
          </cell>
          <cell r="D340" t="str">
            <v>KIT</v>
          </cell>
          <cell r="E340" t="str">
            <v>HOLYMAN</v>
          </cell>
        </row>
        <row r="341">
          <cell r="A341" t="str">
            <v>PAR-5014</v>
          </cell>
          <cell r="B341" t="str">
            <v>AUTOMOTIVO</v>
          </cell>
          <cell r="C341" t="str">
            <v>Bieleta</v>
          </cell>
          <cell r="D341" t="str">
            <v>KIT</v>
          </cell>
          <cell r="E341" t="str">
            <v>HOLYMAN</v>
          </cell>
        </row>
        <row r="342">
          <cell r="A342" t="str">
            <v>PAR-5015</v>
          </cell>
          <cell r="B342" t="str">
            <v>AUTOMOTIVO</v>
          </cell>
          <cell r="C342" t="str">
            <v>Bieleta</v>
          </cell>
          <cell r="D342" t="str">
            <v>KIT</v>
          </cell>
          <cell r="E342" t="str">
            <v>HOLYMAN</v>
          </cell>
        </row>
        <row r="343">
          <cell r="A343" t="str">
            <v>PAR5018</v>
          </cell>
          <cell r="B343" t="str">
            <v>AUTOMOTIVO</v>
          </cell>
          <cell r="C343" t="str">
            <v>Bieleta</v>
          </cell>
          <cell r="D343" t="str">
            <v>KIT</v>
          </cell>
          <cell r="E343" t="str">
            <v>HOLYMAN</v>
          </cell>
        </row>
        <row r="344">
          <cell r="A344" t="str">
            <v>Par-5024</v>
          </cell>
          <cell r="B344" t="str">
            <v>AUTOMOTIVO</v>
          </cell>
          <cell r="C344" t="str">
            <v>Bieleta</v>
          </cell>
          <cell r="D344" t="str">
            <v>KIT</v>
          </cell>
          <cell r="E344" t="str">
            <v>HOLYMAN</v>
          </cell>
        </row>
        <row r="345">
          <cell r="A345" t="str">
            <v>PAR-5025</v>
          </cell>
          <cell r="B345" t="str">
            <v>AUTOMOTIVO</v>
          </cell>
          <cell r="C345" t="str">
            <v>Bieleta</v>
          </cell>
          <cell r="D345" t="str">
            <v>KIT</v>
          </cell>
          <cell r="E345" t="str">
            <v>HOLYMAN</v>
          </cell>
        </row>
        <row r="346">
          <cell r="A346" t="str">
            <v>Par-5033</v>
          </cell>
          <cell r="B346" t="str">
            <v>AUTOMOTIVO</v>
          </cell>
          <cell r="C346" t="str">
            <v>Bieleta</v>
          </cell>
          <cell r="D346" t="str">
            <v>KIT</v>
          </cell>
          <cell r="E346" t="str">
            <v>HOLYMAN</v>
          </cell>
        </row>
        <row r="347">
          <cell r="A347" t="str">
            <v>PAR-5034</v>
          </cell>
          <cell r="B347" t="str">
            <v>AUTOMOTIVO</v>
          </cell>
          <cell r="C347" t="str">
            <v>Bieleta</v>
          </cell>
          <cell r="D347" t="str">
            <v>KIT</v>
          </cell>
          <cell r="E347" t="str">
            <v>HOLYMAN</v>
          </cell>
        </row>
        <row r="348">
          <cell r="A348" t="str">
            <v>PAR-5035</v>
          </cell>
          <cell r="B348" t="str">
            <v>AUTOMOTIVO</v>
          </cell>
          <cell r="C348" t="str">
            <v>Bieleta</v>
          </cell>
          <cell r="D348" t="str">
            <v>KIT</v>
          </cell>
          <cell r="E348" t="str">
            <v>HOLYMAN</v>
          </cell>
        </row>
        <row r="349">
          <cell r="A349" t="str">
            <v>PAR-5037</v>
          </cell>
          <cell r="B349" t="str">
            <v>AUTOMOTIVO</v>
          </cell>
          <cell r="C349" t="str">
            <v>Bieleta</v>
          </cell>
          <cell r="D349" t="str">
            <v>KIT</v>
          </cell>
          <cell r="E349" t="str">
            <v>HOLYMAN</v>
          </cell>
        </row>
        <row r="350">
          <cell r="A350" t="str">
            <v>PAR-5041</v>
          </cell>
          <cell r="B350" t="str">
            <v>AUTOMOTIVO</v>
          </cell>
          <cell r="C350" t="str">
            <v>Bieleta</v>
          </cell>
          <cell r="D350" t="str">
            <v>KIT</v>
          </cell>
          <cell r="E350" t="str">
            <v>HOLYMAN</v>
          </cell>
        </row>
        <row r="351">
          <cell r="A351" t="str">
            <v>PAR-5100</v>
          </cell>
          <cell r="B351" t="str">
            <v>AUTOMOTIVO</v>
          </cell>
          <cell r="C351" t="str">
            <v>Bieleta</v>
          </cell>
          <cell r="D351" t="str">
            <v>KIT</v>
          </cell>
          <cell r="E351" t="str">
            <v>HOLYMAN</v>
          </cell>
        </row>
        <row r="352">
          <cell r="A352" t="str">
            <v>PAR-5101</v>
          </cell>
          <cell r="B352" t="str">
            <v>AUTOMOTIVO</v>
          </cell>
          <cell r="C352" t="str">
            <v>Bieleta</v>
          </cell>
          <cell r="D352" t="str">
            <v>KIT</v>
          </cell>
          <cell r="E352" t="str">
            <v>HOLYMAN</v>
          </cell>
        </row>
        <row r="353">
          <cell r="A353" t="str">
            <v>Par-5102</v>
          </cell>
          <cell r="B353" t="str">
            <v>AUTOMOTIVO</v>
          </cell>
          <cell r="C353" t="str">
            <v>Bieleta</v>
          </cell>
          <cell r="D353" t="str">
            <v>KIT</v>
          </cell>
          <cell r="E353" t="str">
            <v>HOLYMAN</v>
          </cell>
        </row>
        <row r="354">
          <cell r="A354" t="str">
            <v>PAR-5103</v>
          </cell>
          <cell r="B354" t="str">
            <v>AUTOMOTIVO</v>
          </cell>
          <cell r="C354" t="str">
            <v>Bieleta</v>
          </cell>
          <cell r="D354" t="str">
            <v>KIT</v>
          </cell>
          <cell r="E354" t="str">
            <v>HOLYMAN</v>
          </cell>
        </row>
        <row r="355">
          <cell r="A355" t="str">
            <v>Par-5110</v>
          </cell>
          <cell r="B355" t="str">
            <v>AUTOMOTIVO</v>
          </cell>
          <cell r="C355" t="str">
            <v>Bieleta</v>
          </cell>
          <cell r="D355" t="str">
            <v>KIT</v>
          </cell>
          <cell r="E355" t="str">
            <v>HOLYMAN</v>
          </cell>
        </row>
        <row r="356">
          <cell r="A356" t="str">
            <v>Par-5113</v>
          </cell>
          <cell r="B356" t="str">
            <v>AUTOMOTIVO</v>
          </cell>
          <cell r="C356" t="str">
            <v>Bieleta</v>
          </cell>
          <cell r="D356" t="str">
            <v>KIT</v>
          </cell>
          <cell r="E356" t="str">
            <v>HOLYMAN</v>
          </cell>
        </row>
        <row r="357">
          <cell r="A357" t="str">
            <v>PAR-5125</v>
          </cell>
          <cell r="B357" t="str">
            <v>AUTOMOTIVO</v>
          </cell>
          <cell r="C357" t="str">
            <v>Bieleta</v>
          </cell>
          <cell r="D357" t="str">
            <v>KIT</v>
          </cell>
          <cell r="E357" t="str">
            <v>HOLYMAN</v>
          </cell>
        </row>
        <row r="358">
          <cell r="A358" t="str">
            <v>par-5127</v>
          </cell>
          <cell r="B358" t="str">
            <v>AUTOMOTIVO</v>
          </cell>
          <cell r="C358" t="str">
            <v>Bieleta</v>
          </cell>
          <cell r="D358" t="str">
            <v>KIT</v>
          </cell>
          <cell r="E358" t="str">
            <v>HOLYMAN</v>
          </cell>
        </row>
        <row r="359">
          <cell r="A359" t="str">
            <v>PAR-5200</v>
          </cell>
          <cell r="B359" t="str">
            <v>AUTOMOTIVO</v>
          </cell>
          <cell r="C359" t="str">
            <v>Bieleta</v>
          </cell>
          <cell r="D359" t="str">
            <v>KIT</v>
          </cell>
          <cell r="E359" t="str">
            <v>HOLYMAN</v>
          </cell>
        </row>
        <row r="360">
          <cell r="A360" t="str">
            <v>par-5201</v>
          </cell>
          <cell r="B360" t="str">
            <v>AUTOMOTIVO</v>
          </cell>
          <cell r="C360" t="str">
            <v>Bieleta</v>
          </cell>
          <cell r="D360" t="str">
            <v>KIT</v>
          </cell>
          <cell r="E360" t="str">
            <v>HOLYMAN</v>
          </cell>
        </row>
        <row r="361">
          <cell r="A361" t="str">
            <v>par-5203</v>
          </cell>
          <cell r="B361" t="str">
            <v>AUTOMOTIVO</v>
          </cell>
          <cell r="C361" t="str">
            <v>Bieleta</v>
          </cell>
          <cell r="D361" t="str">
            <v>KIT</v>
          </cell>
          <cell r="E361" t="str">
            <v>HOLYMAN</v>
          </cell>
        </row>
        <row r="362">
          <cell r="A362" t="str">
            <v>PAR-5205</v>
          </cell>
          <cell r="B362" t="str">
            <v>AUTOMOTIVO</v>
          </cell>
          <cell r="C362" t="str">
            <v>Bieleta</v>
          </cell>
          <cell r="D362" t="str">
            <v>KIT</v>
          </cell>
          <cell r="E362" t="str">
            <v>HOLYMAN</v>
          </cell>
        </row>
        <row r="363">
          <cell r="A363" t="str">
            <v>PAR-5208</v>
          </cell>
          <cell r="B363" t="str">
            <v>AUTOMOTIVO</v>
          </cell>
          <cell r="C363" t="str">
            <v>Bieleta</v>
          </cell>
          <cell r="D363" t="str">
            <v>KIT</v>
          </cell>
          <cell r="E363" t="str">
            <v>HOLYMAN</v>
          </cell>
        </row>
        <row r="364">
          <cell r="A364" t="str">
            <v>PAR5211</v>
          </cell>
          <cell r="B364" t="str">
            <v>AUTOMOTIVO</v>
          </cell>
          <cell r="C364" t="str">
            <v>Bieleta</v>
          </cell>
          <cell r="D364" t="str">
            <v>KIT</v>
          </cell>
          <cell r="E364" t="str">
            <v>HOLYMAN</v>
          </cell>
        </row>
        <row r="365">
          <cell r="A365" t="str">
            <v>PAR5216</v>
          </cell>
          <cell r="B365" t="str">
            <v>AUTOMOTIVO</v>
          </cell>
          <cell r="C365" t="str">
            <v>Bieleta</v>
          </cell>
          <cell r="D365" t="str">
            <v>KIT</v>
          </cell>
          <cell r="E365" t="str">
            <v>HOLYMAN</v>
          </cell>
        </row>
        <row r="366">
          <cell r="A366" t="str">
            <v>Par-5229</v>
          </cell>
          <cell r="B366" t="str">
            <v>AUTOMOTIVO</v>
          </cell>
          <cell r="C366" t="str">
            <v>Bieleta</v>
          </cell>
          <cell r="D366" t="str">
            <v>KIT</v>
          </cell>
          <cell r="E366" t="str">
            <v>HOLYMAN</v>
          </cell>
        </row>
        <row r="367">
          <cell r="A367" t="str">
            <v>PAR-5233</v>
          </cell>
          <cell r="B367" t="str">
            <v>AUTOMOTIVO</v>
          </cell>
          <cell r="C367" t="str">
            <v>Bieleta</v>
          </cell>
          <cell r="D367" t="str">
            <v>KIT</v>
          </cell>
          <cell r="E367" t="str">
            <v>HOLYMAN</v>
          </cell>
        </row>
        <row r="368">
          <cell r="A368" t="str">
            <v>PAR-5236</v>
          </cell>
          <cell r="B368" t="str">
            <v>AUTOMOTIVO</v>
          </cell>
          <cell r="C368" t="str">
            <v>Bieleta</v>
          </cell>
          <cell r="D368" t="str">
            <v>KIT</v>
          </cell>
          <cell r="E368" t="str">
            <v>HOLYMAN</v>
          </cell>
        </row>
        <row r="369">
          <cell r="A369" t="str">
            <v>PAR-5302</v>
          </cell>
          <cell r="B369" t="str">
            <v>AUTOMOTIVO</v>
          </cell>
          <cell r="C369" t="str">
            <v>Bieleta</v>
          </cell>
          <cell r="D369" t="str">
            <v>KIT</v>
          </cell>
          <cell r="E369" t="str">
            <v>HOLYMAN</v>
          </cell>
        </row>
        <row r="370">
          <cell r="A370" t="str">
            <v>Par-5307</v>
          </cell>
          <cell r="B370" t="str">
            <v>AUTOMOTIVO</v>
          </cell>
          <cell r="C370" t="str">
            <v>Bieleta</v>
          </cell>
          <cell r="D370" t="str">
            <v>KIT</v>
          </cell>
          <cell r="E370" t="str">
            <v>HOLYMAN</v>
          </cell>
        </row>
        <row r="371">
          <cell r="A371" t="str">
            <v>PAR-5310</v>
          </cell>
          <cell r="B371" t="str">
            <v>AUTOMOTIVO</v>
          </cell>
          <cell r="C371" t="str">
            <v>Bieleta</v>
          </cell>
          <cell r="D371" t="str">
            <v>KIT</v>
          </cell>
          <cell r="E371" t="str">
            <v>HOLYMAN</v>
          </cell>
        </row>
        <row r="372">
          <cell r="A372" t="str">
            <v>PAR-5312</v>
          </cell>
          <cell r="B372" t="str">
            <v>AUTOMOTIVO</v>
          </cell>
          <cell r="C372" t="str">
            <v>Bieleta</v>
          </cell>
          <cell r="D372" t="str">
            <v>KIT</v>
          </cell>
          <cell r="E372" t="str">
            <v>HOLYMAN</v>
          </cell>
        </row>
        <row r="373">
          <cell r="A373" t="str">
            <v>PAR-5313</v>
          </cell>
          <cell r="B373" t="str">
            <v>AUTOMOTIVO</v>
          </cell>
          <cell r="C373" t="str">
            <v>Bieleta</v>
          </cell>
          <cell r="D373" t="str">
            <v>KIT</v>
          </cell>
          <cell r="E373" t="str">
            <v>HOLYMAN</v>
          </cell>
        </row>
        <row r="374">
          <cell r="A374" t="str">
            <v>PAR-5408/09</v>
          </cell>
          <cell r="B374" t="str">
            <v>AUTOMOTIVO</v>
          </cell>
          <cell r="C374" t="str">
            <v>Bieleta</v>
          </cell>
          <cell r="D374" t="str">
            <v>KIT</v>
          </cell>
          <cell r="E374" t="str">
            <v>HOLYMAN</v>
          </cell>
        </row>
        <row r="375">
          <cell r="A375" t="str">
            <v>PAR-5416</v>
          </cell>
          <cell r="B375" t="str">
            <v>AUTOMOTIVO</v>
          </cell>
          <cell r="C375" t="str">
            <v>Bieleta</v>
          </cell>
          <cell r="D375" t="str">
            <v>KIT</v>
          </cell>
          <cell r="E375" t="str">
            <v>HOLYMAN</v>
          </cell>
        </row>
        <row r="376">
          <cell r="A376" t="str">
            <v>PAR-5417</v>
          </cell>
          <cell r="B376" t="str">
            <v>AUTOMOTIVO</v>
          </cell>
          <cell r="C376" t="str">
            <v>Bieleta</v>
          </cell>
          <cell r="D376" t="str">
            <v>KIT</v>
          </cell>
          <cell r="E376" t="str">
            <v>HOLYMAN</v>
          </cell>
        </row>
        <row r="377">
          <cell r="A377" t="str">
            <v>PAR-5427/28</v>
          </cell>
          <cell r="B377" t="str">
            <v>AUTOMOTIVO</v>
          </cell>
          <cell r="C377" t="str">
            <v>Bieleta</v>
          </cell>
          <cell r="D377" t="str">
            <v>KIT</v>
          </cell>
          <cell r="E377" t="str">
            <v>HOLYMAN</v>
          </cell>
        </row>
        <row r="378">
          <cell r="A378" t="str">
            <v>PAR-5433</v>
          </cell>
          <cell r="B378" t="str">
            <v>AUTOMOTIVO</v>
          </cell>
          <cell r="C378" t="str">
            <v>Bieleta</v>
          </cell>
          <cell r="D378" t="str">
            <v>KIT</v>
          </cell>
          <cell r="E378" t="str">
            <v>HOLYMAN</v>
          </cell>
        </row>
        <row r="379">
          <cell r="A379" t="str">
            <v>PAR5501</v>
          </cell>
          <cell r="B379" t="str">
            <v>AUTOMOTIVO</v>
          </cell>
          <cell r="C379" t="str">
            <v>Bieleta</v>
          </cell>
          <cell r="D379" t="str">
            <v>KIT</v>
          </cell>
          <cell r="E379" t="str">
            <v>HOLYMAN</v>
          </cell>
        </row>
        <row r="380">
          <cell r="A380" t="str">
            <v>PAR-5502</v>
          </cell>
          <cell r="B380" t="str">
            <v>AUTOMOTIVO</v>
          </cell>
          <cell r="C380" t="str">
            <v>Bieleta</v>
          </cell>
          <cell r="D380" t="str">
            <v>KIT</v>
          </cell>
          <cell r="E380" t="str">
            <v>HOLYMAN</v>
          </cell>
        </row>
        <row r="381">
          <cell r="A381" t="str">
            <v>PAR5520</v>
          </cell>
          <cell r="B381" t="str">
            <v>AUTOMOTIVO</v>
          </cell>
          <cell r="C381" t="str">
            <v>Bieleta</v>
          </cell>
          <cell r="D381" t="str">
            <v>KIT</v>
          </cell>
          <cell r="E381" t="str">
            <v>HOLYMAN</v>
          </cell>
        </row>
        <row r="382">
          <cell r="A382" t="str">
            <v>PAR-559130/40</v>
          </cell>
          <cell r="B382" t="str">
            <v>AUTOMOTIVO</v>
          </cell>
          <cell r="C382" t="str">
            <v>Bieleta</v>
          </cell>
          <cell r="D382" t="str">
            <v>KIT</v>
          </cell>
          <cell r="E382" t="str">
            <v>HOLYMAN</v>
          </cell>
        </row>
        <row r="383">
          <cell r="A383" t="str">
            <v>Par-5607</v>
          </cell>
          <cell r="B383" t="str">
            <v>AUTOMOTIVO</v>
          </cell>
          <cell r="C383" t="str">
            <v>Bieleta</v>
          </cell>
          <cell r="D383" t="str">
            <v>KIT</v>
          </cell>
          <cell r="E383" t="str">
            <v>HOLYMAN</v>
          </cell>
        </row>
        <row r="384">
          <cell r="A384" t="str">
            <v>PAR-5608</v>
          </cell>
          <cell r="B384" t="str">
            <v>AUTOMOTIVO</v>
          </cell>
          <cell r="C384" t="str">
            <v>Bieleta</v>
          </cell>
          <cell r="D384" t="str">
            <v>KIT</v>
          </cell>
          <cell r="E384" t="str">
            <v>HOLYMAN</v>
          </cell>
        </row>
        <row r="385">
          <cell r="A385" t="str">
            <v>PAR5613</v>
          </cell>
          <cell r="B385" t="str">
            <v>AUTOMOTIVO</v>
          </cell>
          <cell r="C385" t="str">
            <v>Bieleta</v>
          </cell>
          <cell r="D385" t="str">
            <v>KIT</v>
          </cell>
          <cell r="E385" t="str">
            <v>HOLYMAN</v>
          </cell>
        </row>
        <row r="386">
          <cell r="A386" t="str">
            <v>PAR5614</v>
          </cell>
          <cell r="B386" t="str">
            <v>AUTOMOTIVO</v>
          </cell>
          <cell r="C386" t="str">
            <v>Bieleta</v>
          </cell>
          <cell r="D386" t="str">
            <v>KIT</v>
          </cell>
          <cell r="E386" t="str">
            <v>HOLYMAN</v>
          </cell>
        </row>
        <row r="387">
          <cell r="A387" t="str">
            <v>PAR5615</v>
          </cell>
          <cell r="B387" t="str">
            <v>AUTOMOTIVO</v>
          </cell>
          <cell r="C387" t="str">
            <v>Bieleta</v>
          </cell>
          <cell r="D387" t="str">
            <v>KIT</v>
          </cell>
          <cell r="E387" t="str">
            <v>HOLYMAN</v>
          </cell>
        </row>
        <row r="388">
          <cell r="A388" t="str">
            <v>PAR5616</v>
          </cell>
          <cell r="B388" t="str">
            <v>AUTOMOTIVO</v>
          </cell>
          <cell r="C388" t="str">
            <v>Bieleta</v>
          </cell>
          <cell r="D388" t="str">
            <v>KIT</v>
          </cell>
          <cell r="E388" t="str">
            <v>HOLYMAN</v>
          </cell>
        </row>
        <row r="389">
          <cell r="A389" t="str">
            <v>PAR5619</v>
          </cell>
          <cell r="B389" t="str">
            <v>AUTOMOTIVO</v>
          </cell>
          <cell r="C389" t="str">
            <v>Bieleta</v>
          </cell>
          <cell r="D389" t="str">
            <v>KIT</v>
          </cell>
          <cell r="E389" t="str">
            <v>HOLYMAN</v>
          </cell>
        </row>
        <row r="390">
          <cell r="A390" t="str">
            <v>PAR5623</v>
          </cell>
          <cell r="B390" t="str">
            <v>AUTOMOTIVO</v>
          </cell>
          <cell r="C390" t="str">
            <v>Bieleta</v>
          </cell>
          <cell r="D390" t="str">
            <v>KIT</v>
          </cell>
          <cell r="E390" t="str">
            <v>HOLYMAN</v>
          </cell>
        </row>
        <row r="391">
          <cell r="A391" t="str">
            <v>PAR-5625</v>
          </cell>
          <cell r="B391" t="str">
            <v>AUTOMOTIVO</v>
          </cell>
          <cell r="C391" t="str">
            <v>Bieleta</v>
          </cell>
          <cell r="D391" t="str">
            <v>KIT</v>
          </cell>
          <cell r="E391" t="str">
            <v>HOLYMAN</v>
          </cell>
        </row>
        <row r="392">
          <cell r="A392" t="str">
            <v>PAR-5701</v>
          </cell>
          <cell r="B392" t="str">
            <v>AUTOMOTIVO</v>
          </cell>
          <cell r="C392" t="str">
            <v>Bieleta</v>
          </cell>
          <cell r="D392" t="str">
            <v>KIT</v>
          </cell>
          <cell r="E392" t="str">
            <v>HOLYMAN</v>
          </cell>
        </row>
        <row r="393">
          <cell r="A393" t="str">
            <v>Par-5705</v>
          </cell>
          <cell r="B393" t="str">
            <v>AUTOMOTIVO</v>
          </cell>
          <cell r="C393" t="str">
            <v>Bieleta</v>
          </cell>
          <cell r="D393" t="str">
            <v>KIT</v>
          </cell>
          <cell r="E393" t="str">
            <v>HOLYMAN</v>
          </cell>
        </row>
        <row r="394">
          <cell r="A394" t="str">
            <v>Par-5711</v>
          </cell>
          <cell r="B394" t="str">
            <v>AUTOMOTIVO</v>
          </cell>
          <cell r="C394" t="str">
            <v>Bieleta</v>
          </cell>
          <cell r="D394" t="str">
            <v>KIT</v>
          </cell>
          <cell r="E394" t="str">
            <v>HOLYMAN</v>
          </cell>
        </row>
        <row r="395">
          <cell r="A395" t="str">
            <v>PAR-5716</v>
          </cell>
          <cell r="B395" t="str">
            <v>AUTOMOTIVO</v>
          </cell>
          <cell r="C395" t="str">
            <v>Bieleta</v>
          </cell>
          <cell r="D395" t="str">
            <v>KIT</v>
          </cell>
          <cell r="E395" t="str">
            <v>HOLYMAN</v>
          </cell>
        </row>
        <row r="396">
          <cell r="A396" t="str">
            <v>Par-5717</v>
          </cell>
          <cell r="B396" t="str">
            <v>AUTOMOTIVO</v>
          </cell>
          <cell r="C396" t="str">
            <v>Bieleta</v>
          </cell>
          <cell r="D396" t="str">
            <v>KIT</v>
          </cell>
          <cell r="E396" t="str">
            <v>HOLYMAN</v>
          </cell>
        </row>
        <row r="397">
          <cell r="A397" t="str">
            <v>PAR-5921</v>
          </cell>
          <cell r="B397" t="str">
            <v>AUTOMOTIVO</v>
          </cell>
          <cell r="C397" t="str">
            <v>Bieleta</v>
          </cell>
          <cell r="D397" t="str">
            <v>KIT</v>
          </cell>
          <cell r="E397" t="str">
            <v>HOLYMAN</v>
          </cell>
        </row>
        <row r="398">
          <cell r="A398" t="str">
            <v>PAR-5924/25</v>
          </cell>
          <cell r="B398" t="str">
            <v>AUTOMOTIVO</v>
          </cell>
          <cell r="C398" t="str">
            <v>Bieleta</v>
          </cell>
          <cell r="D398" t="str">
            <v>KIT</v>
          </cell>
          <cell r="E398" t="str">
            <v>HOLYMAN</v>
          </cell>
        </row>
        <row r="399">
          <cell r="A399" t="str">
            <v>PAR6001</v>
          </cell>
          <cell r="B399" t="str">
            <v>AUTOMOTIVO</v>
          </cell>
          <cell r="C399" t="str">
            <v>Bieleta</v>
          </cell>
          <cell r="D399" t="str">
            <v>KIT</v>
          </cell>
          <cell r="E399" t="str">
            <v>HOLYMAN</v>
          </cell>
        </row>
        <row r="400">
          <cell r="A400" t="str">
            <v>PAR-6005</v>
          </cell>
          <cell r="B400" t="str">
            <v>AUTOMOTIVO</v>
          </cell>
          <cell r="C400" t="str">
            <v>Bieleta</v>
          </cell>
          <cell r="D400" t="str">
            <v>KIT</v>
          </cell>
          <cell r="E400" t="str">
            <v>HOLYMAN</v>
          </cell>
        </row>
        <row r="401">
          <cell r="A401" t="str">
            <v>PAR-6009</v>
          </cell>
          <cell r="B401" t="str">
            <v>AUTOMOTIVO</v>
          </cell>
          <cell r="C401" t="str">
            <v>Bieleta</v>
          </cell>
          <cell r="D401" t="str">
            <v>KIT</v>
          </cell>
          <cell r="E401" t="str">
            <v>HOLYMAN</v>
          </cell>
        </row>
        <row r="402">
          <cell r="A402" t="str">
            <v>PAR-6012</v>
          </cell>
          <cell r="B402" t="str">
            <v>AUTOMOTIVO</v>
          </cell>
          <cell r="C402" t="str">
            <v>Bieleta</v>
          </cell>
          <cell r="D402" t="str">
            <v>KIT</v>
          </cell>
          <cell r="E402" t="str">
            <v>HOLYMAN</v>
          </cell>
        </row>
        <row r="403">
          <cell r="A403" t="str">
            <v>PAR-6202/03</v>
          </cell>
          <cell r="B403" t="str">
            <v>AUTOMOTIVO</v>
          </cell>
          <cell r="C403" t="str">
            <v>Bieleta</v>
          </cell>
          <cell r="D403" t="str">
            <v>KIT</v>
          </cell>
          <cell r="E403" t="str">
            <v>HOLYMAN</v>
          </cell>
        </row>
        <row r="404">
          <cell r="A404" t="str">
            <v>PAR-6208</v>
          </cell>
          <cell r="B404" t="str">
            <v>AUTOMOTIVO</v>
          </cell>
          <cell r="C404" t="str">
            <v>Bieleta</v>
          </cell>
          <cell r="D404" t="str">
            <v>KIT</v>
          </cell>
          <cell r="E404" t="str">
            <v>HOLYMAN</v>
          </cell>
        </row>
        <row r="405">
          <cell r="A405" t="str">
            <v>PAR-6209</v>
          </cell>
          <cell r="B405" t="str">
            <v>AUTOMOTIVO</v>
          </cell>
          <cell r="C405" t="str">
            <v>Bieleta</v>
          </cell>
          <cell r="D405" t="str">
            <v>KIT</v>
          </cell>
          <cell r="E405" t="str">
            <v>HOLYMAN</v>
          </cell>
        </row>
        <row r="406">
          <cell r="A406" t="str">
            <v>par6210/11</v>
          </cell>
          <cell r="B406" t="str">
            <v>AUTOMOTIVO</v>
          </cell>
          <cell r="C406" t="str">
            <v>Bieleta</v>
          </cell>
          <cell r="D406" t="str">
            <v>KIT</v>
          </cell>
          <cell r="E406" t="str">
            <v>HOLYMAN</v>
          </cell>
        </row>
        <row r="407">
          <cell r="A407" t="str">
            <v>PAR6312</v>
          </cell>
          <cell r="B407" t="str">
            <v>AUTOMOTIVO</v>
          </cell>
          <cell r="C407" t="str">
            <v>Bieleta</v>
          </cell>
          <cell r="D407" t="str">
            <v>KIT</v>
          </cell>
          <cell r="E407" t="str">
            <v>HOLYMAN</v>
          </cell>
        </row>
        <row r="408">
          <cell r="A408" t="str">
            <v>PAR-6316</v>
          </cell>
          <cell r="B408" t="str">
            <v>AUTOMOTIVO</v>
          </cell>
          <cell r="C408" t="str">
            <v>Bieleta</v>
          </cell>
          <cell r="D408" t="str">
            <v>KIT</v>
          </cell>
          <cell r="E408" t="str">
            <v>HOLYMAN</v>
          </cell>
        </row>
        <row r="409">
          <cell r="A409" t="str">
            <v>Par-6401</v>
          </cell>
          <cell r="B409" t="str">
            <v>AUTOMOTIVO</v>
          </cell>
          <cell r="C409" t="str">
            <v>Bieleta</v>
          </cell>
          <cell r="D409" t="str">
            <v>KIT</v>
          </cell>
          <cell r="E409" t="str">
            <v>HOLYMAN</v>
          </cell>
        </row>
        <row r="410">
          <cell r="A410" t="str">
            <v>PAR-6408</v>
          </cell>
          <cell r="B410" t="str">
            <v>AUTOMOTIVO</v>
          </cell>
          <cell r="C410" t="str">
            <v>Bieleta</v>
          </cell>
          <cell r="D410" t="str">
            <v>KIT</v>
          </cell>
          <cell r="E410" t="str">
            <v>HOLYMAN</v>
          </cell>
        </row>
        <row r="411">
          <cell r="A411" t="str">
            <v>PAR-6615/16</v>
          </cell>
          <cell r="B411" t="str">
            <v>AUTOMOTIVO</v>
          </cell>
          <cell r="C411" t="str">
            <v>Pastilha Freio</v>
          </cell>
          <cell r="D411" t="str">
            <v>KIT</v>
          </cell>
          <cell r="E411" t="str">
            <v>HOLYMAN</v>
          </cell>
        </row>
        <row r="412">
          <cell r="A412" t="str">
            <v>PAR-6617</v>
          </cell>
          <cell r="B412" t="str">
            <v>AUTOMOTIVO</v>
          </cell>
          <cell r="C412" t="str">
            <v>Bieleta</v>
          </cell>
          <cell r="D412" t="str">
            <v>KIT</v>
          </cell>
          <cell r="E412" t="str">
            <v>HOLYMAN</v>
          </cell>
        </row>
        <row r="413">
          <cell r="A413" t="str">
            <v>PAR-6700</v>
          </cell>
          <cell r="B413" t="str">
            <v>AUTOMOTIVO</v>
          </cell>
          <cell r="C413" t="str">
            <v>Bieleta</v>
          </cell>
          <cell r="D413" t="str">
            <v>KIT</v>
          </cell>
          <cell r="E413" t="str">
            <v>HOLYMAN</v>
          </cell>
        </row>
        <row r="414">
          <cell r="A414" t="str">
            <v>PAR-7300</v>
          </cell>
          <cell r="B414" t="str">
            <v>AUTOMOTIVO</v>
          </cell>
          <cell r="C414" t="str">
            <v>Bieleta</v>
          </cell>
          <cell r="D414" t="str">
            <v>KIT</v>
          </cell>
          <cell r="E414" t="str">
            <v>HOLYMAN</v>
          </cell>
        </row>
        <row r="415">
          <cell r="A415" t="str">
            <v>PAR-7800</v>
          </cell>
          <cell r="B415" t="str">
            <v>AUTOMOTIVO</v>
          </cell>
          <cell r="C415" t="str">
            <v>Bieleta</v>
          </cell>
          <cell r="D415" t="str">
            <v>KIT</v>
          </cell>
          <cell r="E415" t="str">
            <v>HOLYMAN</v>
          </cell>
        </row>
        <row r="416">
          <cell r="A416" t="str">
            <v>PAR-7801</v>
          </cell>
          <cell r="B416" t="str">
            <v>AUTOMOTIVO</v>
          </cell>
          <cell r="C416" t="str">
            <v>Bieleta</v>
          </cell>
          <cell r="D416" t="str">
            <v>KIT</v>
          </cell>
          <cell r="E416" t="str">
            <v>HOLYMAN</v>
          </cell>
        </row>
        <row r="417">
          <cell r="A417" t="str">
            <v>Par-7802</v>
          </cell>
          <cell r="B417" t="str">
            <v>AUTOMOTIVO</v>
          </cell>
          <cell r="C417" t="str">
            <v>Bieleta</v>
          </cell>
          <cell r="D417" t="str">
            <v>KIT</v>
          </cell>
          <cell r="E417" t="str">
            <v>HOLYMAN</v>
          </cell>
        </row>
        <row r="418">
          <cell r="A418" t="str">
            <v>PAR-8000</v>
          </cell>
          <cell r="B418" t="str">
            <v>AUTOMOTIVO</v>
          </cell>
          <cell r="C418" t="str">
            <v>Bieleta</v>
          </cell>
          <cell r="D418" t="str">
            <v>KIT</v>
          </cell>
          <cell r="E418" t="str">
            <v>HOLYMAN</v>
          </cell>
        </row>
        <row r="419">
          <cell r="A419" t="str">
            <v>PAR-8001</v>
          </cell>
          <cell r="B419" t="str">
            <v>AUTOMOTIVO</v>
          </cell>
          <cell r="C419" t="str">
            <v>Bieleta</v>
          </cell>
          <cell r="D419" t="str">
            <v>KIT</v>
          </cell>
          <cell r="E419" t="str">
            <v>HOLYMAN</v>
          </cell>
        </row>
        <row r="420">
          <cell r="A420" t="str">
            <v>PAR-8003</v>
          </cell>
          <cell r="B420" t="str">
            <v>AUTOMOTIVO</v>
          </cell>
          <cell r="C420" t="str">
            <v>Bieleta</v>
          </cell>
          <cell r="D420" t="str">
            <v>KIT</v>
          </cell>
          <cell r="E420" t="str">
            <v>HOLYMAN</v>
          </cell>
        </row>
        <row r="421">
          <cell r="A421" t="str">
            <v>PAR-8004</v>
          </cell>
          <cell r="B421" t="str">
            <v>AUTOMOTIVO</v>
          </cell>
          <cell r="C421" t="str">
            <v>Bieleta</v>
          </cell>
          <cell r="D421" t="str">
            <v>KIT</v>
          </cell>
          <cell r="E421" t="str">
            <v>HOLYMAN</v>
          </cell>
        </row>
        <row r="422">
          <cell r="A422" t="str">
            <v>PAR-8106</v>
          </cell>
          <cell r="B422" t="str">
            <v>AUTOMOTIVO</v>
          </cell>
          <cell r="C422" t="str">
            <v>Bieleta</v>
          </cell>
          <cell r="D422" t="str">
            <v>KIT</v>
          </cell>
          <cell r="E422" t="str">
            <v>HOLYMAN</v>
          </cell>
        </row>
        <row r="423">
          <cell r="A423" t="str">
            <v>PAR-8501</v>
          </cell>
          <cell r="B423" t="str">
            <v>AUTOMOTIVO</v>
          </cell>
          <cell r="C423" t="str">
            <v>Bieleta</v>
          </cell>
          <cell r="D423" t="str">
            <v>KIT</v>
          </cell>
          <cell r="E423" t="str">
            <v>HOLYMAN</v>
          </cell>
        </row>
        <row r="424">
          <cell r="A424" t="str">
            <v>PAR8502</v>
          </cell>
          <cell r="B424" t="str">
            <v>AUTOMOTIVO</v>
          </cell>
          <cell r="C424" t="str">
            <v>Bieleta</v>
          </cell>
          <cell r="D424" t="str">
            <v>KIT</v>
          </cell>
          <cell r="E424" t="str">
            <v>HOLYMAN</v>
          </cell>
        </row>
        <row r="425">
          <cell r="A425" t="str">
            <v>PAR8503</v>
          </cell>
          <cell r="B425" t="str">
            <v>AUTOMOTIVO</v>
          </cell>
          <cell r="C425" t="str">
            <v>Bieleta</v>
          </cell>
          <cell r="D425" t="str">
            <v>KIT</v>
          </cell>
          <cell r="E425" t="str">
            <v>HOLYMAN</v>
          </cell>
        </row>
        <row r="426">
          <cell r="A426">
            <v>2212</v>
          </cell>
          <cell r="B426" t="str">
            <v>AUTOMOTIVO</v>
          </cell>
          <cell r="C426" t="str">
            <v>Haste Câmbio</v>
          </cell>
          <cell r="D426" t="str">
            <v>SIMPLES</v>
          </cell>
          <cell r="E426" t="str">
            <v>LT CORREA</v>
          </cell>
        </row>
        <row r="427">
          <cell r="A427">
            <v>2213</v>
          </cell>
          <cell r="B427" t="str">
            <v>AUTOMOTIVO</v>
          </cell>
          <cell r="C427" t="str">
            <v>Haste Câmbio</v>
          </cell>
          <cell r="D427" t="str">
            <v>SIMPLES</v>
          </cell>
          <cell r="E427" t="str">
            <v>LT CORREA</v>
          </cell>
        </row>
        <row r="428">
          <cell r="A428">
            <v>2215</v>
          </cell>
          <cell r="B428" t="str">
            <v>AUTOMOTIVO</v>
          </cell>
          <cell r="C428" t="str">
            <v>Haste Câmbio</v>
          </cell>
          <cell r="D428" t="str">
            <v>KIT</v>
          </cell>
          <cell r="E428" t="str">
            <v>LT CORREA</v>
          </cell>
        </row>
        <row r="429">
          <cell r="A429">
            <v>2219</v>
          </cell>
          <cell r="B429" t="str">
            <v>AUTOMOTIVO</v>
          </cell>
          <cell r="C429" t="str">
            <v>Haste Câmbio</v>
          </cell>
          <cell r="D429" t="str">
            <v>SIMPLES</v>
          </cell>
          <cell r="E429" t="str">
            <v>LT CORREA</v>
          </cell>
        </row>
        <row r="430">
          <cell r="A430">
            <v>2252</v>
          </cell>
          <cell r="B430" t="str">
            <v>AUTOMOTIVO</v>
          </cell>
          <cell r="C430" t="str">
            <v>Reparo alavanta Câmbio</v>
          </cell>
          <cell r="D430" t="str">
            <v>SIMPLES</v>
          </cell>
          <cell r="E430" t="str">
            <v>LT CORREA</v>
          </cell>
        </row>
        <row r="431">
          <cell r="A431">
            <v>2374</v>
          </cell>
          <cell r="B431" t="str">
            <v>AUTOMOTIVO</v>
          </cell>
          <cell r="C431" t="str">
            <v>Suporte Radiador</v>
          </cell>
          <cell r="D431" t="str">
            <v>SIMPLES</v>
          </cell>
          <cell r="E431" t="str">
            <v>LT CORREA</v>
          </cell>
        </row>
        <row r="432">
          <cell r="A432">
            <v>2375</v>
          </cell>
          <cell r="B432" t="str">
            <v>AUTOMOTIVO</v>
          </cell>
          <cell r="C432" t="str">
            <v>Suporte Radiador</v>
          </cell>
          <cell r="D432" t="str">
            <v>SIMPLES</v>
          </cell>
          <cell r="E432" t="str">
            <v>LT CORREA</v>
          </cell>
        </row>
        <row r="433">
          <cell r="A433">
            <v>4014</v>
          </cell>
          <cell r="B433" t="str">
            <v>AUTOMOTIVO</v>
          </cell>
          <cell r="C433" t="str">
            <v>Capa Pedal</v>
          </cell>
          <cell r="D433" t="str">
            <v>SIMPLES</v>
          </cell>
          <cell r="E433" t="str">
            <v>HOLYMAN</v>
          </cell>
        </row>
        <row r="434">
          <cell r="A434">
            <v>4019</v>
          </cell>
          <cell r="B434" t="str">
            <v>AUTOMOTIVO</v>
          </cell>
          <cell r="C434" t="str">
            <v>Capa Pedal</v>
          </cell>
          <cell r="D434" t="str">
            <v>SIMPLES</v>
          </cell>
          <cell r="E434" t="str">
            <v>HOLYMAN</v>
          </cell>
        </row>
        <row r="435">
          <cell r="A435">
            <v>4021</v>
          </cell>
          <cell r="B435" t="str">
            <v>AUTOMOTIVO</v>
          </cell>
          <cell r="C435" t="str">
            <v>Capa Pedal</v>
          </cell>
          <cell r="D435" t="str">
            <v>SIMPLES</v>
          </cell>
          <cell r="E435" t="str">
            <v>HOLYMAN</v>
          </cell>
        </row>
        <row r="436">
          <cell r="A436">
            <v>4030</v>
          </cell>
          <cell r="B436" t="str">
            <v>AUTOMOTIVO</v>
          </cell>
          <cell r="C436" t="str">
            <v>Capa Pedal</v>
          </cell>
          <cell r="D436" t="str">
            <v>SIMPLES</v>
          </cell>
          <cell r="E436" t="str">
            <v>HOLYMAN</v>
          </cell>
        </row>
        <row r="437">
          <cell r="A437">
            <v>4036</v>
          </cell>
          <cell r="B437" t="str">
            <v>AUTOMOTIVO</v>
          </cell>
          <cell r="C437" t="str">
            <v>Capa Pedal</v>
          </cell>
          <cell r="D437" t="str">
            <v>SIMPLES</v>
          </cell>
          <cell r="E437" t="str">
            <v>HOLYMAN</v>
          </cell>
        </row>
        <row r="438">
          <cell r="A438">
            <v>4037</v>
          </cell>
          <cell r="B438" t="str">
            <v>AUTOMOTIVO</v>
          </cell>
        </row>
        <row r="439">
          <cell r="A439">
            <v>4046</v>
          </cell>
          <cell r="B439" t="str">
            <v>AUTOMOTIVO</v>
          </cell>
          <cell r="C439" t="str">
            <v>Capa Pedal</v>
          </cell>
          <cell r="D439" t="str">
            <v>SIMPLES</v>
          </cell>
          <cell r="E439" t="str">
            <v>HOLYMAN</v>
          </cell>
        </row>
        <row r="440">
          <cell r="A440">
            <v>4049</v>
          </cell>
          <cell r="B440" t="str">
            <v>AUTOMOTIVO</v>
          </cell>
          <cell r="C440" t="str">
            <v>Capa Pedal</v>
          </cell>
          <cell r="D440" t="str">
            <v>SIMPLES</v>
          </cell>
          <cell r="E440" t="str">
            <v>HOLYMAN</v>
          </cell>
        </row>
        <row r="441">
          <cell r="A441">
            <v>4059</v>
          </cell>
          <cell r="B441" t="str">
            <v>AUTOMOTIVO</v>
          </cell>
          <cell r="C441" t="str">
            <v>Capa Pedal</v>
          </cell>
          <cell r="D441" t="str">
            <v>SIMPLES</v>
          </cell>
          <cell r="E441" t="str">
            <v>HOLYMAN</v>
          </cell>
        </row>
        <row r="442">
          <cell r="A442">
            <v>4061</v>
          </cell>
          <cell r="B442" t="str">
            <v>AUTOMOTIVO</v>
          </cell>
        </row>
        <row r="443">
          <cell r="A443">
            <v>4068</v>
          </cell>
          <cell r="B443" t="str">
            <v>AUTOMOTIVO</v>
          </cell>
          <cell r="C443" t="str">
            <v>Capa Pedal</v>
          </cell>
          <cell r="D443" t="str">
            <v>SIMPLES</v>
          </cell>
          <cell r="E443" t="str">
            <v>HOLYMAN</v>
          </cell>
        </row>
        <row r="444">
          <cell r="A444">
            <v>4069</v>
          </cell>
          <cell r="B444" t="str">
            <v>AUTOMOTIVO</v>
          </cell>
          <cell r="C444" t="str">
            <v>Capa Pedal</v>
          </cell>
          <cell r="D444" t="str">
            <v>SIMPLES</v>
          </cell>
          <cell r="E444" t="str">
            <v>HOLYMAN</v>
          </cell>
        </row>
        <row r="445">
          <cell r="A445">
            <v>4072</v>
          </cell>
          <cell r="B445" t="str">
            <v>AUTOMOTIVO</v>
          </cell>
          <cell r="C445" t="str">
            <v>Capa Pedal</v>
          </cell>
          <cell r="D445" t="str">
            <v>SIMPLES</v>
          </cell>
          <cell r="E445" t="str">
            <v>HOLYMAN</v>
          </cell>
        </row>
        <row r="446">
          <cell r="A446">
            <v>5035</v>
          </cell>
          <cell r="B446" t="str">
            <v>AUTOMOTIVO</v>
          </cell>
          <cell r="C446" t="str">
            <v>Bieleta</v>
          </cell>
          <cell r="D446" t="str">
            <v>SIMPLES</v>
          </cell>
        </row>
        <row r="447">
          <cell r="A447">
            <v>6009</v>
          </cell>
          <cell r="B447" t="str">
            <v>AUTOMOTIVO</v>
          </cell>
          <cell r="C447" t="str">
            <v>Bieleta</v>
          </cell>
          <cell r="D447" t="str">
            <v>SIMPLES</v>
          </cell>
          <cell r="E447" t="str">
            <v>HOLYMAN</v>
          </cell>
        </row>
        <row r="448">
          <cell r="A448">
            <v>8650</v>
          </cell>
          <cell r="B448" t="str">
            <v>AUTOMOTIVO</v>
          </cell>
          <cell r="C448" t="str">
            <v>Terminal Cabo Câmbio</v>
          </cell>
          <cell r="D448" t="str">
            <v>SIMPLES</v>
          </cell>
          <cell r="E448" t="str">
            <v>Importação</v>
          </cell>
        </row>
        <row r="449">
          <cell r="A449">
            <v>13377</v>
          </cell>
          <cell r="B449" t="str">
            <v>AUTOMOTIVO</v>
          </cell>
          <cell r="C449" t="str">
            <v>AMORTECEDOR SUSPENSÃO</v>
          </cell>
          <cell r="D449" t="str">
            <v>SIMPLES</v>
          </cell>
          <cell r="E449" t="str">
            <v>SPARE</v>
          </cell>
        </row>
        <row r="450">
          <cell r="A450">
            <v>14907</v>
          </cell>
          <cell r="B450" t="str">
            <v>AUTOMOTIVO</v>
          </cell>
          <cell r="C450" t="str">
            <v>Pino de Porta</v>
          </cell>
          <cell r="D450" t="str">
            <v>SIMPLES</v>
          </cell>
          <cell r="E450" t="str">
            <v>MultiKit</v>
          </cell>
        </row>
        <row r="451">
          <cell r="A451">
            <v>22051</v>
          </cell>
          <cell r="B451" t="str">
            <v>AUTOMOTIVO</v>
          </cell>
          <cell r="C451" t="str">
            <v>Cabo de Capô</v>
          </cell>
          <cell r="D451" t="str">
            <v>SIMPLES</v>
          </cell>
          <cell r="E451" t="str">
            <v>Importação</v>
          </cell>
        </row>
        <row r="452">
          <cell r="A452">
            <v>22132</v>
          </cell>
          <cell r="B452" t="str">
            <v>AUTOMOTIVO</v>
          </cell>
        </row>
        <row r="453">
          <cell r="A453">
            <v>55146</v>
          </cell>
          <cell r="B453" t="str">
            <v>AUTOMOTIVO</v>
          </cell>
          <cell r="C453" t="str">
            <v>Cabo de Freio</v>
          </cell>
          <cell r="D453" t="str">
            <v>SIMPLES</v>
          </cell>
          <cell r="E453" t="str">
            <v>Importação</v>
          </cell>
        </row>
        <row r="454">
          <cell r="A454">
            <v>66003</v>
          </cell>
          <cell r="B454" t="str">
            <v>AUTOMOTIVO</v>
          </cell>
          <cell r="C454" t="str">
            <v>Cabo Embreagem</v>
          </cell>
          <cell r="D454" t="str">
            <v>SIMPLES</v>
          </cell>
          <cell r="E454" t="str">
            <v>Importação</v>
          </cell>
        </row>
        <row r="455">
          <cell r="A455">
            <v>66084</v>
          </cell>
          <cell r="B455" t="str">
            <v>AUTOMOTIVO</v>
          </cell>
          <cell r="C455" t="str">
            <v>Cabo de Capô</v>
          </cell>
          <cell r="D455" t="str">
            <v>SIMPLES</v>
          </cell>
          <cell r="E455" t="str">
            <v>Importação</v>
          </cell>
        </row>
        <row r="456">
          <cell r="A456">
            <v>66412</v>
          </cell>
          <cell r="B456" t="str">
            <v>AUTOMOTIVO</v>
          </cell>
          <cell r="C456" t="str">
            <v>Cabo Embreagem</v>
          </cell>
          <cell r="D456" t="str">
            <v>SIMPLES</v>
          </cell>
          <cell r="E456" t="str">
            <v>Importação</v>
          </cell>
        </row>
        <row r="457">
          <cell r="A457">
            <v>66416</v>
          </cell>
          <cell r="B457" t="str">
            <v>AUTOMOTIVO</v>
          </cell>
          <cell r="C457" t="str">
            <v>Cabo Embreagem</v>
          </cell>
          <cell r="D457" t="str">
            <v>SIMPLES</v>
          </cell>
          <cell r="E457" t="str">
            <v>Importação</v>
          </cell>
        </row>
        <row r="458">
          <cell r="A458">
            <v>66418</v>
          </cell>
          <cell r="B458" t="str">
            <v>AUTOMOTIVO</v>
          </cell>
          <cell r="C458" t="str">
            <v>Cabo Embreagem</v>
          </cell>
          <cell r="D458" t="str">
            <v>SIMPLES</v>
          </cell>
          <cell r="E458" t="str">
            <v>Importação</v>
          </cell>
        </row>
        <row r="459">
          <cell r="A459">
            <v>66604</v>
          </cell>
          <cell r="B459" t="str">
            <v>AUTOMOTIVO</v>
          </cell>
        </row>
        <row r="460">
          <cell r="A460">
            <v>66606</v>
          </cell>
          <cell r="B460" t="str">
            <v>AUTOMOTIVO</v>
          </cell>
          <cell r="C460" t="str">
            <v>Cabo Câmbio</v>
          </cell>
          <cell r="D460" t="str">
            <v>SIMPLES</v>
          </cell>
          <cell r="E460" t="str">
            <v>Importação</v>
          </cell>
        </row>
        <row r="461">
          <cell r="A461">
            <v>66610</v>
          </cell>
          <cell r="B461" t="str">
            <v>AUTOMOTIVO</v>
          </cell>
          <cell r="C461" t="str">
            <v>Cabo Câmbio</v>
          </cell>
          <cell r="D461" t="str">
            <v>SIMPLES</v>
          </cell>
          <cell r="E461" t="str">
            <v>Importação</v>
          </cell>
        </row>
        <row r="462">
          <cell r="A462">
            <v>66611</v>
          </cell>
          <cell r="B462" t="str">
            <v>AUTOMOTIVO</v>
          </cell>
          <cell r="C462" t="str">
            <v>Cabo Câmbio</v>
          </cell>
          <cell r="D462" t="str">
            <v>SIMPLES</v>
          </cell>
          <cell r="E462" t="str">
            <v>Importação</v>
          </cell>
        </row>
        <row r="463">
          <cell r="A463">
            <v>66628</v>
          </cell>
          <cell r="B463" t="str">
            <v>AUTOMOTIVO</v>
          </cell>
        </row>
        <row r="464">
          <cell r="A464">
            <v>66630</v>
          </cell>
          <cell r="B464" t="str">
            <v>AUTOMOTIVO</v>
          </cell>
          <cell r="C464" t="str">
            <v>Pastilha Freio</v>
          </cell>
          <cell r="D464" t="str">
            <v>SIMPLES</v>
          </cell>
          <cell r="E464" t="str">
            <v>Importação</v>
          </cell>
        </row>
        <row r="465">
          <cell r="A465">
            <v>66636</v>
          </cell>
          <cell r="B465" t="str">
            <v>AUTOMOTIVO</v>
          </cell>
          <cell r="C465" t="str">
            <v>Cabo Câmbio</v>
          </cell>
          <cell r="D465" t="str">
            <v>SIMPLES</v>
          </cell>
          <cell r="E465" t="str">
            <v>Importação</v>
          </cell>
        </row>
        <row r="466">
          <cell r="A466">
            <v>66640</v>
          </cell>
          <cell r="B466" t="str">
            <v>AUTOMOTIVO</v>
          </cell>
          <cell r="C466" t="str">
            <v>Cabo Câmbio</v>
          </cell>
          <cell r="D466" t="str">
            <v>SIMPLES</v>
          </cell>
          <cell r="E466" t="str">
            <v>Importação</v>
          </cell>
        </row>
        <row r="467">
          <cell r="A467">
            <v>66642</v>
          </cell>
          <cell r="B467" t="str">
            <v>AUTOMOTIVO</v>
          </cell>
          <cell r="C467" t="str">
            <v>Cabo Câmbio</v>
          </cell>
          <cell r="D467" t="str">
            <v>SIMPLES</v>
          </cell>
          <cell r="E467" t="str">
            <v>Importação</v>
          </cell>
        </row>
        <row r="468">
          <cell r="A468">
            <v>66643</v>
          </cell>
          <cell r="B468" t="str">
            <v>AUTOMOTIVO</v>
          </cell>
          <cell r="C468" t="str">
            <v>Cabo Câmbio</v>
          </cell>
          <cell r="D468" t="str">
            <v>SIMPLES</v>
          </cell>
          <cell r="E468" t="str">
            <v>Importação</v>
          </cell>
        </row>
        <row r="469">
          <cell r="A469">
            <v>66654</v>
          </cell>
          <cell r="B469" t="str">
            <v>AUTOMOTIVO</v>
          </cell>
          <cell r="C469" t="str">
            <v>Cabo Câmbio</v>
          </cell>
          <cell r="D469" t="str">
            <v>SIMPLES</v>
          </cell>
          <cell r="E469" t="str">
            <v>Importação</v>
          </cell>
        </row>
        <row r="470">
          <cell r="A470">
            <v>66656</v>
          </cell>
          <cell r="B470" t="str">
            <v>AUTOMOTIVO</v>
          </cell>
          <cell r="C470" t="str">
            <v>Cabo Câmbio</v>
          </cell>
          <cell r="D470" t="str">
            <v>SIMPLES</v>
          </cell>
          <cell r="E470" t="str">
            <v>Importação</v>
          </cell>
        </row>
        <row r="471">
          <cell r="A471">
            <v>77350</v>
          </cell>
          <cell r="B471" t="str">
            <v>AUTOMOTIVO</v>
          </cell>
          <cell r="C471" t="str">
            <v>Cabo Câmbio</v>
          </cell>
          <cell r="D471" t="str">
            <v>SIMPLES</v>
          </cell>
          <cell r="E471" t="str">
            <v>Importação</v>
          </cell>
        </row>
        <row r="472">
          <cell r="A472">
            <v>77351</v>
          </cell>
          <cell r="B472" t="str">
            <v>AUTOMOTIVO</v>
          </cell>
          <cell r="C472" t="str">
            <v>Cabo Câmbio</v>
          </cell>
          <cell r="D472" t="str">
            <v>SIMPLES</v>
          </cell>
          <cell r="E472" t="str">
            <v>Importação</v>
          </cell>
        </row>
        <row r="473">
          <cell r="A473">
            <v>77352</v>
          </cell>
          <cell r="B473" t="str">
            <v>AUTOMOTIVO</v>
          </cell>
          <cell r="C473" t="str">
            <v>Cabo Câmbio</v>
          </cell>
          <cell r="D473" t="str">
            <v>SIMPLES</v>
          </cell>
          <cell r="E473" t="str">
            <v>Importação</v>
          </cell>
        </row>
        <row r="474">
          <cell r="A474" t="str">
            <v>77350P</v>
          </cell>
          <cell r="B474" t="str">
            <v>AUTOMOTIVO</v>
          </cell>
          <cell r="C474" t="str">
            <v>Cabo Câmbio</v>
          </cell>
          <cell r="D474" t="str">
            <v>KIT</v>
          </cell>
          <cell r="E474" t="str">
            <v>Importação</v>
          </cell>
        </row>
        <row r="475">
          <cell r="A475">
            <v>77354</v>
          </cell>
          <cell r="B475" t="str">
            <v>AUTOMOTIVO</v>
          </cell>
          <cell r="C475" t="str">
            <v>Cabo Câmbio</v>
          </cell>
          <cell r="D475" t="str">
            <v>SIMPLES</v>
          </cell>
          <cell r="E475" t="str">
            <v>Importação</v>
          </cell>
        </row>
        <row r="476">
          <cell r="A476">
            <v>77365</v>
          </cell>
          <cell r="B476" t="str">
            <v>AUTOMOTIVO</v>
          </cell>
          <cell r="C476" t="str">
            <v>Cabo Câmbio</v>
          </cell>
          <cell r="D476" t="str">
            <v>SIMPLES</v>
          </cell>
          <cell r="E476" t="str">
            <v>Importação</v>
          </cell>
        </row>
        <row r="477">
          <cell r="A477">
            <v>77366</v>
          </cell>
          <cell r="B477" t="str">
            <v>AUTOMOTIVO</v>
          </cell>
          <cell r="C477" t="str">
            <v>Cabo Câmbio</v>
          </cell>
          <cell r="D477" t="str">
            <v>SIMPLES</v>
          </cell>
          <cell r="E477" t="str">
            <v>Importação</v>
          </cell>
        </row>
        <row r="478">
          <cell r="A478">
            <v>78180</v>
          </cell>
          <cell r="B478" t="str">
            <v>AUTOMOTIVO</v>
          </cell>
          <cell r="C478" t="str">
            <v>Cabo de Acelerador</v>
          </cell>
          <cell r="D478" t="str">
            <v>SIMPLES</v>
          </cell>
          <cell r="E478" t="str">
            <v>Importação</v>
          </cell>
        </row>
        <row r="479">
          <cell r="A479">
            <v>88651</v>
          </cell>
          <cell r="B479" t="str">
            <v>AUTOMOTIVO</v>
          </cell>
          <cell r="C479" t="str">
            <v>Cabo de Freio</v>
          </cell>
          <cell r="D479" t="str">
            <v>SIMPLES</v>
          </cell>
          <cell r="E479" t="str">
            <v>Importação</v>
          </cell>
        </row>
        <row r="480">
          <cell r="A480">
            <v>88652</v>
          </cell>
          <cell r="B480" t="str">
            <v>AUTOMOTIVO</v>
          </cell>
          <cell r="C480" t="str">
            <v>Pastilha Freio</v>
          </cell>
          <cell r="D480" t="str">
            <v>SIMPLES</v>
          </cell>
          <cell r="E480" t="str">
            <v>Importação</v>
          </cell>
        </row>
        <row r="481">
          <cell r="A481" t="str">
            <v>Par Terminal Fiat 10mm e 13mm</v>
          </cell>
          <cell r="B481" t="str">
            <v>AUTOMOTIVO</v>
          </cell>
          <cell r="C481" t="str">
            <v>Terminal Cabo Câmbio</v>
          </cell>
          <cell r="D481" t="str">
            <v>KIT</v>
          </cell>
          <cell r="E481" t="str">
            <v>Importação</v>
          </cell>
        </row>
        <row r="482">
          <cell r="A482" t="str">
            <v>Par-8650</v>
          </cell>
          <cell r="B482" t="str">
            <v>AUTOMOTIVO</v>
          </cell>
          <cell r="C482" t="str">
            <v>Terminal Cabo Câmbio</v>
          </cell>
          <cell r="D482" t="str">
            <v>KIT</v>
          </cell>
          <cell r="E482" t="str">
            <v>Importação</v>
          </cell>
        </row>
        <row r="483">
          <cell r="A483">
            <v>88665</v>
          </cell>
          <cell r="B483" t="str">
            <v>AUTOMOTIVO</v>
          </cell>
          <cell r="C483" t="str">
            <v>Cabo de Freio</v>
          </cell>
          <cell r="D483" t="str">
            <v>SIMPLES</v>
          </cell>
          <cell r="E483" t="str">
            <v>Importação</v>
          </cell>
        </row>
        <row r="484">
          <cell r="A484">
            <v>91009</v>
          </cell>
          <cell r="B484" t="str">
            <v>AUTOMOTIVO</v>
          </cell>
        </row>
        <row r="485">
          <cell r="A485">
            <v>91026</v>
          </cell>
          <cell r="B485" t="str">
            <v>AUTOMOTIVO</v>
          </cell>
          <cell r="C485" t="str">
            <v>COXIM AMORTECEDOR</v>
          </cell>
          <cell r="D485" t="str">
            <v>SIMPLES</v>
          </cell>
        </row>
        <row r="486">
          <cell r="A486">
            <v>91044</v>
          </cell>
          <cell r="B486" t="str">
            <v>AUTOMOTIVO</v>
          </cell>
          <cell r="C486" t="str">
            <v>COXIM AMORTECEDOR</v>
          </cell>
          <cell r="D486" t="str">
            <v>SIMPLES</v>
          </cell>
        </row>
        <row r="487">
          <cell r="A487">
            <v>92008</v>
          </cell>
          <cell r="B487" t="str">
            <v>AUTOMOTIVO</v>
          </cell>
          <cell r="C487" t="str">
            <v>COXIM AMORTECEDOR</v>
          </cell>
          <cell r="D487" t="str">
            <v>SIMPLES</v>
          </cell>
        </row>
        <row r="488">
          <cell r="A488">
            <v>92012</v>
          </cell>
          <cell r="B488" t="str">
            <v>AUTOMOTIVO</v>
          </cell>
          <cell r="C488" t="str">
            <v>COXIM AMORTECEDOR</v>
          </cell>
          <cell r="D488" t="str">
            <v>SIMPLES</v>
          </cell>
        </row>
        <row r="489">
          <cell r="A489">
            <v>93006</v>
          </cell>
          <cell r="B489" t="str">
            <v>AUTOMOTIVO</v>
          </cell>
        </row>
        <row r="490">
          <cell r="A490">
            <v>93007</v>
          </cell>
          <cell r="B490" t="str">
            <v>AUTOMOTIVO</v>
          </cell>
          <cell r="C490" t="str">
            <v>COXIM AMORTECEDOR</v>
          </cell>
          <cell r="D490" t="str">
            <v>SIMPLES</v>
          </cell>
        </row>
        <row r="491">
          <cell r="A491">
            <v>98025</v>
          </cell>
          <cell r="B491" t="str">
            <v>AUTOMOTIVO</v>
          </cell>
          <cell r="C491" t="str">
            <v>COXIM AMORTECEDOR</v>
          </cell>
          <cell r="D491" t="str">
            <v>SIMPLES</v>
          </cell>
        </row>
        <row r="492">
          <cell r="A492">
            <v>99008</v>
          </cell>
          <cell r="B492" t="str">
            <v>AUTOMOTIVO</v>
          </cell>
          <cell r="C492" t="str">
            <v>COXIM AMORTECEDOR</v>
          </cell>
          <cell r="D492" t="str">
            <v>SIMPLES</v>
          </cell>
        </row>
        <row r="493">
          <cell r="A493">
            <v>110601</v>
          </cell>
          <cell r="B493" t="str">
            <v>AUTOMOTIVO</v>
          </cell>
        </row>
        <row r="494">
          <cell r="A494">
            <v>110907</v>
          </cell>
          <cell r="B494" t="str">
            <v>AUTOMOTIVO</v>
          </cell>
          <cell r="C494" t="str">
            <v>Cabo de Câmbio</v>
          </cell>
          <cell r="D494" t="str">
            <v>SIMPLES</v>
          </cell>
          <cell r="E494" t="str">
            <v>Importação</v>
          </cell>
        </row>
        <row r="495">
          <cell r="A495">
            <v>110914</v>
          </cell>
          <cell r="B495" t="str">
            <v>AUTOMOTIVO</v>
          </cell>
          <cell r="C495" t="str">
            <v>Cabo Câmbio</v>
          </cell>
          <cell r="D495" t="str">
            <v>SIMPLES</v>
          </cell>
          <cell r="E495" t="str">
            <v>Importação</v>
          </cell>
        </row>
        <row r="496">
          <cell r="A496">
            <v>111301</v>
          </cell>
          <cell r="B496" t="str">
            <v>AUTOMOTIVO</v>
          </cell>
          <cell r="C496" t="str">
            <v>Cabo Embreagem</v>
          </cell>
          <cell r="D496" t="str">
            <v>SIMPLES</v>
          </cell>
          <cell r="E496" t="str">
            <v>Importação</v>
          </cell>
        </row>
        <row r="497">
          <cell r="A497">
            <v>112048</v>
          </cell>
          <cell r="B497" t="str">
            <v>AUTOMOTIVO</v>
          </cell>
        </row>
        <row r="498">
          <cell r="A498">
            <v>112049</v>
          </cell>
          <cell r="B498" t="str">
            <v>AUTOMOTIVO</v>
          </cell>
        </row>
        <row r="499">
          <cell r="A499">
            <v>112064</v>
          </cell>
          <cell r="B499" t="str">
            <v>AUTOMOTIVO</v>
          </cell>
          <cell r="C499" t="str">
            <v>Bandeja</v>
          </cell>
          <cell r="D499" t="str">
            <v>SIMPLES</v>
          </cell>
        </row>
        <row r="500">
          <cell r="A500">
            <v>5554</v>
          </cell>
          <cell r="B500" t="str">
            <v>AUTOMOTIVO</v>
          </cell>
          <cell r="C500" t="str">
            <v>Terminal Cabo Câmbio</v>
          </cell>
          <cell r="D500" t="str">
            <v>SIMPLES</v>
          </cell>
          <cell r="E500" t="str">
            <v>Importação / LT CORREA</v>
          </cell>
        </row>
        <row r="501">
          <cell r="A501">
            <v>24579046</v>
          </cell>
          <cell r="B501" t="str">
            <v>AUTOMOTIVO</v>
          </cell>
          <cell r="C501" t="str">
            <v>Terminal Cabo Câmbio</v>
          </cell>
          <cell r="D501" t="str">
            <v>SIMPLES</v>
          </cell>
          <cell r="E501" t="str">
            <v>Importação / LT CORREA</v>
          </cell>
        </row>
        <row r="502">
          <cell r="A502" t="str">
            <v>77350pt</v>
          </cell>
          <cell r="B502" t="str">
            <v>AUTOMOTIVO</v>
          </cell>
          <cell r="C502" t="str">
            <v>Cabo Câmbio</v>
          </cell>
          <cell r="D502" t="str">
            <v>SIMPLES</v>
          </cell>
          <cell r="E502" t="str">
            <v>Importação / LT CORREA</v>
          </cell>
        </row>
        <row r="503">
          <cell r="A503" t="str">
            <v>77351/2345</v>
          </cell>
          <cell r="B503" t="str">
            <v>AUTOMOTIVO</v>
          </cell>
          <cell r="C503" t="str">
            <v>Pastilha Freio</v>
          </cell>
          <cell r="D503" t="str">
            <v>KIT</v>
          </cell>
          <cell r="E503" t="str">
            <v>Importação / LT CORREA</v>
          </cell>
        </row>
        <row r="504">
          <cell r="A504" t="str">
            <v>kit-PG001A</v>
          </cell>
          <cell r="B504" t="str">
            <v>AUTOMOTIVO</v>
          </cell>
          <cell r="C504" t="str">
            <v>Rolamento Eixo</v>
          </cell>
          <cell r="D504" t="str">
            <v>KIT</v>
          </cell>
          <cell r="E504" t="str">
            <v>Importação / LT CORREA</v>
          </cell>
        </row>
        <row r="505">
          <cell r="A505" t="str">
            <v>T10007</v>
          </cell>
          <cell r="B505" t="str">
            <v>AUTOMOTIVO</v>
          </cell>
          <cell r="C505" t="str">
            <v>Terminal Cabo Câmbio</v>
          </cell>
          <cell r="D505" t="str">
            <v>SIMPLES</v>
          </cell>
          <cell r="E505" t="str">
            <v>Importação / LT CORREA</v>
          </cell>
        </row>
        <row r="506">
          <cell r="A506" t="str">
            <v>t1007</v>
          </cell>
          <cell r="B506" t="str">
            <v>AUTOMOTIVO</v>
          </cell>
          <cell r="C506" t="str">
            <v>Terminal Cabo Câmbio</v>
          </cell>
          <cell r="D506" t="str">
            <v>SIMPLES</v>
          </cell>
          <cell r="E506" t="str">
            <v>Importação / LT CORREA</v>
          </cell>
        </row>
        <row r="507">
          <cell r="A507" t="str">
            <v>FTK10212</v>
          </cell>
          <cell r="B507" t="str">
            <v>AUTOMOTIVO</v>
          </cell>
          <cell r="C507" t="str">
            <v>Rolamento Roda</v>
          </cell>
          <cell r="D507" t="str">
            <v>SIMPLES</v>
          </cell>
          <cell r="E507" t="str">
            <v>IRB</v>
          </cell>
        </row>
        <row r="508">
          <cell r="A508" t="str">
            <v>FTK14272</v>
          </cell>
          <cell r="B508" t="str">
            <v>AUTOMOTIVO</v>
          </cell>
          <cell r="C508" t="str">
            <v>Rolamento Roda</v>
          </cell>
          <cell r="D508" t="str">
            <v>SIMPLES</v>
          </cell>
          <cell r="E508" t="str">
            <v>IRB</v>
          </cell>
        </row>
        <row r="509">
          <cell r="A509" t="str">
            <v>FTK18012</v>
          </cell>
          <cell r="B509" t="str">
            <v>AUTOMOTIVO</v>
          </cell>
          <cell r="C509" t="str">
            <v>Rolamento Roda</v>
          </cell>
          <cell r="D509" t="str">
            <v>SIMPLES</v>
          </cell>
          <cell r="E509" t="str">
            <v>IRB</v>
          </cell>
        </row>
        <row r="510">
          <cell r="A510" t="str">
            <v>FTK18045</v>
          </cell>
          <cell r="B510" t="str">
            <v>AUTOMOTIVO</v>
          </cell>
          <cell r="C510" t="str">
            <v>Rolamento Roda</v>
          </cell>
          <cell r="D510" t="str">
            <v>SIMPLES</v>
          </cell>
          <cell r="E510" t="str">
            <v>IRB</v>
          </cell>
        </row>
        <row r="511">
          <cell r="A511" t="str">
            <v>FTK18088</v>
          </cell>
          <cell r="B511" t="str">
            <v>AUTOMOTIVO</v>
          </cell>
          <cell r="C511" t="str">
            <v>Rolamento Roda</v>
          </cell>
          <cell r="D511" t="str">
            <v>SIMPLES</v>
          </cell>
          <cell r="E511" t="str">
            <v>IRB</v>
          </cell>
        </row>
        <row r="512">
          <cell r="A512" t="str">
            <v>FTK18102</v>
          </cell>
          <cell r="B512" t="str">
            <v>AUTOMOTIVO</v>
          </cell>
          <cell r="C512" t="str">
            <v>Rolamento Roda</v>
          </cell>
          <cell r="D512" t="str">
            <v>SIMPLES</v>
          </cell>
          <cell r="E512" t="str">
            <v>IRB</v>
          </cell>
        </row>
        <row r="513">
          <cell r="A513" t="str">
            <v>FTK18168</v>
          </cell>
          <cell r="B513" t="str">
            <v>AUTOMOTIVO</v>
          </cell>
          <cell r="C513" t="str">
            <v>Rolamento Roda</v>
          </cell>
          <cell r="D513" t="str">
            <v>SIMPLES</v>
          </cell>
          <cell r="E513" t="str">
            <v>IRB</v>
          </cell>
        </row>
        <row r="514">
          <cell r="A514" t="str">
            <v>FTK18169</v>
          </cell>
          <cell r="B514" t="str">
            <v>AUTOMOTIVO</v>
          </cell>
          <cell r="C514" t="str">
            <v>Rolamento Roda</v>
          </cell>
          <cell r="D514" t="str">
            <v>SIMPLES</v>
          </cell>
          <cell r="E514" t="str">
            <v>IRB</v>
          </cell>
        </row>
        <row r="515">
          <cell r="A515" t="str">
            <v>FTK18193</v>
          </cell>
          <cell r="B515" t="str">
            <v>AUTOMOTIVO</v>
          </cell>
          <cell r="C515" t="str">
            <v>Rolamento Roda</v>
          </cell>
          <cell r="D515" t="str">
            <v>SIMPLES</v>
          </cell>
          <cell r="E515" t="str">
            <v>IRB</v>
          </cell>
        </row>
        <row r="516">
          <cell r="A516" t="str">
            <v>FTK18241</v>
          </cell>
          <cell r="B516" t="str">
            <v>AUTOMOTIVO</v>
          </cell>
          <cell r="C516" t="str">
            <v>Rolamento Roda</v>
          </cell>
          <cell r="D516" t="str">
            <v>SIMPLES</v>
          </cell>
          <cell r="E516" t="str">
            <v>IRB</v>
          </cell>
        </row>
        <row r="517">
          <cell r="A517" t="str">
            <v>FTK18273</v>
          </cell>
          <cell r="B517" t="str">
            <v>AUTOMOTIVO</v>
          </cell>
          <cell r="C517" t="str">
            <v>Rolamento Roda</v>
          </cell>
          <cell r="D517" t="str">
            <v>SIMPLES</v>
          </cell>
          <cell r="E517" t="str">
            <v>IRB</v>
          </cell>
        </row>
        <row r="518">
          <cell r="A518" t="str">
            <v>FTK18458R</v>
          </cell>
          <cell r="B518" t="str">
            <v>AUTOMOTIVO</v>
          </cell>
          <cell r="C518" t="str">
            <v>Rolamento Roda</v>
          </cell>
          <cell r="D518" t="str">
            <v>SIMPLES</v>
          </cell>
          <cell r="E518" t="str">
            <v>IRB</v>
          </cell>
        </row>
        <row r="519">
          <cell r="A519" t="str">
            <v>FTK18583</v>
          </cell>
          <cell r="B519" t="str">
            <v>AUTOMOTIVO</v>
          </cell>
          <cell r="C519" t="str">
            <v>Rolamento Roda</v>
          </cell>
          <cell r="D519" t="str">
            <v>SIMPLES</v>
          </cell>
          <cell r="E519" t="str">
            <v>IRB</v>
          </cell>
        </row>
        <row r="520">
          <cell r="A520" t="str">
            <v>FTK18599</v>
          </cell>
          <cell r="B520" t="str">
            <v>AUTOMOTIVO</v>
          </cell>
          <cell r="C520" t="str">
            <v>Rolamento Roda</v>
          </cell>
          <cell r="D520" t="str">
            <v>SIMPLES</v>
          </cell>
          <cell r="E520" t="str">
            <v>IRB</v>
          </cell>
        </row>
        <row r="521">
          <cell r="A521" t="str">
            <v>FTK18627</v>
          </cell>
          <cell r="B521" t="str">
            <v>AUTOMOTIVO</v>
          </cell>
          <cell r="C521" t="str">
            <v>Rolamento Roda</v>
          </cell>
          <cell r="D521" t="str">
            <v>SIMPLES</v>
          </cell>
          <cell r="E521" t="str">
            <v>IRB</v>
          </cell>
        </row>
        <row r="522">
          <cell r="A522" t="str">
            <v>FTK18630</v>
          </cell>
          <cell r="B522" t="str">
            <v>AUTOMOTIVO</v>
          </cell>
          <cell r="C522" t="str">
            <v>Rolamento Roda</v>
          </cell>
          <cell r="D522" t="str">
            <v>SIMPLES</v>
          </cell>
          <cell r="E522" t="str">
            <v>IRB</v>
          </cell>
        </row>
        <row r="523">
          <cell r="A523" t="str">
            <v>FTK18647</v>
          </cell>
          <cell r="B523" t="str">
            <v>AUTOMOTIVO</v>
          </cell>
          <cell r="C523" t="str">
            <v>Rolamento Roda</v>
          </cell>
          <cell r="D523" t="str">
            <v>SIMPLES</v>
          </cell>
          <cell r="E523" t="str">
            <v>IRB</v>
          </cell>
        </row>
        <row r="524">
          <cell r="A524" t="str">
            <v>FTK18736</v>
          </cell>
          <cell r="B524" t="str">
            <v>AUTOMOTIVO</v>
          </cell>
          <cell r="C524" t="str">
            <v>Rolamento Roda</v>
          </cell>
          <cell r="D524" t="str">
            <v>SIMPLES</v>
          </cell>
          <cell r="E524" t="str">
            <v>IRB</v>
          </cell>
        </row>
        <row r="525">
          <cell r="A525" t="str">
            <v>PAR-FTK00212</v>
          </cell>
          <cell r="B525" t="str">
            <v>AUTOMOTIVO</v>
          </cell>
          <cell r="C525" t="str">
            <v>Rolamento roda</v>
          </cell>
          <cell r="D525" t="str">
            <v>KIT</v>
          </cell>
          <cell r="E525" t="str">
            <v>IRB</v>
          </cell>
        </row>
        <row r="526">
          <cell r="A526" t="str">
            <v>PAR-FTK14272</v>
          </cell>
          <cell r="B526" t="str">
            <v>AUTOMOTIVO</v>
          </cell>
          <cell r="C526" t="str">
            <v>Rolamento Roda</v>
          </cell>
          <cell r="D526" t="str">
            <v>KIT</v>
          </cell>
          <cell r="E526" t="str">
            <v>IRB</v>
          </cell>
        </row>
        <row r="527">
          <cell r="A527" t="str">
            <v>PAR-FTK18005</v>
          </cell>
          <cell r="B527" t="str">
            <v>AUTOMOTIVO</v>
          </cell>
          <cell r="C527" t="str">
            <v>Rolamento roda</v>
          </cell>
          <cell r="D527" t="str">
            <v>KIT</v>
          </cell>
          <cell r="E527" t="str">
            <v>IRB</v>
          </cell>
        </row>
        <row r="528">
          <cell r="A528" t="str">
            <v>PAR-FTK18045</v>
          </cell>
          <cell r="B528" t="str">
            <v>AUTOMOTIVO</v>
          </cell>
          <cell r="C528" t="str">
            <v>Rolamento Roda</v>
          </cell>
          <cell r="D528" t="str">
            <v>KIT</v>
          </cell>
          <cell r="E528" t="str">
            <v>IRB</v>
          </cell>
        </row>
        <row r="529">
          <cell r="A529" t="str">
            <v>PAR-FTK18072</v>
          </cell>
          <cell r="B529" t="str">
            <v>AUTOMOTIVO</v>
          </cell>
          <cell r="C529" t="str">
            <v>Pastilha Freio</v>
          </cell>
          <cell r="D529" t="str">
            <v>KIT</v>
          </cell>
          <cell r="E529" t="str">
            <v>IRB</v>
          </cell>
        </row>
        <row r="530">
          <cell r="A530" t="str">
            <v>PAR-FTK18088</v>
          </cell>
          <cell r="B530" t="str">
            <v>AUTOMOTIVO</v>
          </cell>
          <cell r="C530" t="str">
            <v>Rolamento roda</v>
          </cell>
          <cell r="D530" t="str">
            <v>KIT</v>
          </cell>
          <cell r="E530" t="str">
            <v>IRB</v>
          </cell>
        </row>
        <row r="531">
          <cell r="A531" t="str">
            <v>PAR-FTK18102</v>
          </cell>
          <cell r="B531" t="str">
            <v>AUTOMOTIVO</v>
          </cell>
          <cell r="C531" t="str">
            <v>Rolamento Roda</v>
          </cell>
          <cell r="D531" t="str">
            <v>KIT</v>
          </cell>
          <cell r="E531" t="str">
            <v>IRB</v>
          </cell>
        </row>
        <row r="532">
          <cell r="A532" t="str">
            <v>PAR-FTK18168</v>
          </cell>
          <cell r="B532" t="str">
            <v>AUTOMOTIVO</v>
          </cell>
          <cell r="C532" t="str">
            <v>Rolamento</v>
          </cell>
          <cell r="D532" t="str">
            <v>KIT</v>
          </cell>
          <cell r="E532" t="str">
            <v>IRB</v>
          </cell>
        </row>
        <row r="533">
          <cell r="A533" t="str">
            <v>PAR-FTK18193</v>
          </cell>
          <cell r="B533" t="str">
            <v>AUTOMOTIVO</v>
          </cell>
          <cell r="C533" t="str">
            <v>Rolamento roda</v>
          </cell>
          <cell r="D533" t="str">
            <v>KIT</v>
          </cell>
          <cell r="E533" t="str">
            <v>IRB</v>
          </cell>
        </row>
        <row r="534">
          <cell r="A534" t="str">
            <v>PAR-FTK18273</v>
          </cell>
          <cell r="B534" t="str">
            <v>AUTOMOTIVO</v>
          </cell>
          <cell r="C534" t="str">
            <v>Pastilha Freio</v>
          </cell>
          <cell r="D534" t="str">
            <v>KIT</v>
          </cell>
          <cell r="E534" t="str">
            <v>IRB</v>
          </cell>
        </row>
        <row r="535">
          <cell r="A535" t="str">
            <v>PAR-FTK18505</v>
          </cell>
          <cell r="B535" t="str">
            <v>AUTOMOTIVO</v>
          </cell>
          <cell r="C535" t="str">
            <v>Pastilha Freio</v>
          </cell>
          <cell r="D535" t="str">
            <v>KIT</v>
          </cell>
          <cell r="E535" t="str">
            <v>IRB</v>
          </cell>
        </row>
        <row r="536">
          <cell r="A536" t="str">
            <v>PAR-FTK18627</v>
          </cell>
          <cell r="B536" t="str">
            <v>AUTOMOTIVO</v>
          </cell>
          <cell r="C536" t="str">
            <v>Rolamento Roda</v>
          </cell>
          <cell r="D536" t="str">
            <v>KIT</v>
          </cell>
          <cell r="E536" t="str">
            <v>IRB</v>
          </cell>
        </row>
        <row r="537">
          <cell r="A537" t="str">
            <v>PAR-FTK18630</v>
          </cell>
          <cell r="B537" t="str">
            <v>AUTOMOTIVO</v>
          </cell>
          <cell r="C537" t="str">
            <v>Pastilha Freio</v>
          </cell>
          <cell r="D537" t="str">
            <v>KIT</v>
          </cell>
          <cell r="E537" t="str">
            <v>IRB</v>
          </cell>
        </row>
        <row r="538">
          <cell r="A538" t="str">
            <v>PAR-FTK18647</v>
          </cell>
          <cell r="B538" t="str">
            <v>AUTOMOTIVO</v>
          </cell>
          <cell r="C538" t="str">
            <v>Rolamento</v>
          </cell>
          <cell r="D538" t="str">
            <v>KIT</v>
          </cell>
          <cell r="E538" t="str">
            <v>IRB</v>
          </cell>
        </row>
        <row r="539">
          <cell r="A539">
            <v>10141</v>
          </cell>
          <cell r="B539" t="str">
            <v>MOTO PEÇAS</v>
          </cell>
          <cell r="C539" t="str">
            <v>Bomba Combustível Moto</v>
          </cell>
          <cell r="D539" t="str">
            <v>SIMPLES</v>
          </cell>
          <cell r="E539" t="str">
            <v>POLO</v>
          </cell>
        </row>
        <row r="540">
          <cell r="A540">
            <v>10145</v>
          </cell>
          <cell r="B540" t="str">
            <v>MOTO PEÇAS</v>
          </cell>
          <cell r="C540" t="str">
            <v>Bomba Combustível Moto</v>
          </cell>
          <cell r="D540" t="str">
            <v>SIMPLES</v>
          </cell>
          <cell r="E540" t="str">
            <v>POLO</v>
          </cell>
        </row>
        <row r="541">
          <cell r="A541">
            <v>10463</v>
          </cell>
          <cell r="B541" t="str">
            <v>MOTO PEÇAS</v>
          </cell>
          <cell r="C541" t="str">
            <v>Bomba Combustível Moto</v>
          </cell>
          <cell r="D541" t="str">
            <v>SIMPLES</v>
          </cell>
          <cell r="E541" t="str">
            <v>POLO</v>
          </cell>
        </row>
        <row r="542">
          <cell r="A542" t="str">
            <v>200.121K004</v>
          </cell>
          <cell r="B542" t="str">
            <v>MOTO PEÇAS</v>
          </cell>
          <cell r="C542" t="str">
            <v>Junta moto</v>
          </cell>
          <cell r="D542" t="str">
            <v>SIMPLES</v>
          </cell>
          <cell r="E542" t="str">
            <v>KRATER</v>
          </cell>
        </row>
        <row r="543">
          <cell r="A543" t="str">
            <v>200.123K003</v>
          </cell>
          <cell r="B543" t="str">
            <v>MOTO PEÇAS</v>
          </cell>
          <cell r="C543" t="str">
            <v>Junta moto</v>
          </cell>
          <cell r="D543" t="str">
            <v>SIMPLES</v>
          </cell>
          <cell r="E543" t="str">
            <v>KRATER</v>
          </cell>
        </row>
        <row r="544">
          <cell r="A544" t="str">
            <v>200.141K005</v>
          </cell>
          <cell r="B544" t="str">
            <v>MOTO PEÇAS</v>
          </cell>
          <cell r="C544" t="str">
            <v>Junta moto</v>
          </cell>
          <cell r="D544" t="str">
            <v>SIMPLES</v>
          </cell>
          <cell r="E544" t="str">
            <v>KRATER</v>
          </cell>
        </row>
        <row r="545">
          <cell r="A545" t="str">
            <v>200.141K006</v>
          </cell>
          <cell r="B545" t="str">
            <v>MOTO PEÇAS</v>
          </cell>
          <cell r="C545" t="str">
            <v>Junta moto</v>
          </cell>
          <cell r="D545" t="str">
            <v>SIMPLES</v>
          </cell>
          <cell r="E545" t="str">
            <v>KRATER</v>
          </cell>
        </row>
        <row r="546">
          <cell r="A546">
            <v>2210</v>
          </cell>
          <cell r="B546" t="str">
            <v>AUTOMOTIVO</v>
          </cell>
          <cell r="C546" t="str">
            <v>Haste Câmbio</v>
          </cell>
          <cell r="D546" t="str">
            <v>SIMPLES</v>
          </cell>
          <cell r="E546" t="str">
            <v>LT CORREA</v>
          </cell>
        </row>
        <row r="547">
          <cell r="A547">
            <v>2211</v>
          </cell>
          <cell r="B547" t="str">
            <v>AUTOMOTIVO</v>
          </cell>
          <cell r="C547" t="str">
            <v>Reparo alavanta Câmbio</v>
          </cell>
          <cell r="D547" t="str">
            <v>SIMPLES</v>
          </cell>
          <cell r="E547" t="str">
            <v>LT CORREA</v>
          </cell>
        </row>
        <row r="548">
          <cell r="A548">
            <v>2278</v>
          </cell>
          <cell r="B548" t="str">
            <v>AUTOMOTIVO</v>
          </cell>
          <cell r="C548" t="str">
            <v>Bucha Eixo Suspensão</v>
          </cell>
          <cell r="D548" t="str">
            <v>SIMPLES</v>
          </cell>
          <cell r="E548" t="str">
            <v>LT CORREA</v>
          </cell>
        </row>
        <row r="549">
          <cell r="A549">
            <v>2280</v>
          </cell>
          <cell r="B549" t="str">
            <v>AUTOMOTIVO</v>
          </cell>
          <cell r="C549" t="str">
            <v>Bucha Eixo Suspensão</v>
          </cell>
          <cell r="D549" t="str">
            <v>SIMPLES</v>
          </cell>
          <cell r="E549" t="str">
            <v>LT CORREA</v>
          </cell>
        </row>
        <row r="550">
          <cell r="A550">
            <v>2281</v>
          </cell>
          <cell r="B550" t="str">
            <v>AUTOMOTIVO</v>
          </cell>
          <cell r="C550" t="str">
            <v>Bucha Eixo Suspensão</v>
          </cell>
          <cell r="D550" t="str">
            <v>KIT</v>
          </cell>
          <cell r="E550" t="str">
            <v>LT CORREA</v>
          </cell>
        </row>
        <row r="551">
          <cell r="A551">
            <v>2302</v>
          </cell>
          <cell r="B551" t="str">
            <v>AUTOMOTIVO</v>
          </cell>
          <cell r="C551" t="str">
            <v>Reparo alavanta Câmbio</v>
          </cell>
          <cell r="D551" t="str">
            <v>SIMPLES</v>
          </cell>
          <cell r="E551" t="str">
            <v>LT CORREA</v>
          </cell>
        </row>
        <row r="552">
          <cell r="A552">
            <v>2309</v>
          </cell>
          <cell r="B552" t="str">
            <v>AUTOMOTIVO</v>
          </cell>
          <cell r="C552" t="str">
            <v>Reparo alavanta Câmbio</v>
          </cell>
          <cell r="D552" t="str">
            <v>SIMPLES</v>
          </cell>
          <cell r="E552" t="str">
            <v>LT CORREA</v>
          </cell>
        </row>
        <row r="553">
          <cell r="A553">
            <v>2312</v>
          </cell>
          <cell r="B553" t="str">
            <v>AUTOMOTIVO</v>
          </cell>
          <cell r="C553" t="str">
            <v>Reparo alavanta Câmbio</v>
          </cell>
          <cell r="D553" t="str">
            <v>SIMPLES</v>
          </cell>
          <cell r="E553" t="str">
            <v>LT CORREA</v>
          </cell>
        </row>
        <row r="554">
          <cell r="A554">
            <v>2314</v>
          </cell>
          <cell r="B554" t="str">
            <v>AUTOMOTIVO</v>
          </cell>
          <cell r="C554" t="str">
            <v>Haste Câmbio</v>
          </cell>
          <cell r="D554" t="str">
            <v>SIMPLES</v>
          </cell>
          <cell r="E554" t="str">
            <v>LT CORREA</v>
          </cell>
        </row>
        <row r="555">
          <cell r="A555">
            <v>2316</v>
          </cell>
          <cell r="B555" t="str">
            <v>AUTOMOTIVO</v>
          </cell>
          <cell r="C555" t="str">
            <v>Reparo alavanta Câmbio</v>
          </cell>
          <cell r="D555" t="str">
            <v>SIMPLES</v>
          </cell>
          <cell r="E555" t="str">
            <v>LT CORREA</v>
          </cell>
        </row>
        <row r="556">
          <cell r="A556">
            <v>2324</v>
          </cell>
          <cell r="B556" t="str">
            <v>AUTOMOTIVO</v>
          </cell>
          <cell r="C556" t="str">
            <v>Reparo alavanta Câmbio</v>
          </cell>
          <cell r="D556" t="str">
            <v>SIMPLES</v>
          </cell>
          <cell r="E556" t="str">
            <v>LT CORREA</v>
          </cell>
        </row>
        <row r="557">
          <cell r="A557">
            <v>2325</v>
          </cell>
          <cell r="B557" t="str">
            <v>AUTOMOTIVO</v>
          </cell>
          <cell r="C557" t="str">
            <v>Reparo alavanta Câmbio</v>
          </cell>
          <cell r="D557" t="str">
            <v>SIMPLES</v>
          </cell>
          <cell r="E557" t="str">
            <v>LT CORREA</v>
          </cell>
        </row>
        <row r="558">
          <cell r="A558">
            <v>2327</v>
          </cell>
          <cell r="B558" t="str">
            <v>AUTOMOTIVO</v>
          </cell>
          <cell r="C558" t="str">
            <v>Reparo alavanta Câmbio</v>
          </cell>
          <cell r="D558" t="str">
            <v>SIMPLES</v>
          </cell>
          <cell r="E558" t="str">
            <v>LT CORREA</v>
          </cell>
        </row>
        <row r="559">
          <cell r="A559">
            <v>2345</v>
          </cell>
          <cell r="B559" t="str">
            <v>AUTOMOTIVO</v>
          </cell>
          <cell r="C559" t="str">
            <v>Reparo alavanta Câmbio</v>
          </cell>
          <cell r="D559" t="str">
            <v>SIMPLES</v>
          </cell>
          <cell r="E559" t="str">
            <v>LT CORREA</v>
          </cell>
        </row>
        <row r="560">
          <cell r="A560">
            <v>2353</v>
          </cell>
          <cell r="B560" t="str">
            <v>AUTOMOTIVO</v>
          </cell>
          <cell r="C560" t="str">
            <v>Suporte Câmbio</v>
          </cell>
          <cell r="D560" t="str">
            <v>SIMPLES</v>
          </cell>
          <cell r="E560" t="str">
            <v>LT CORREA</v>
          </cell>
        </row>
        <row r="561">
          <cell r="A561">
            <v>2357</v>
          </cell>
          <cell r="B561" t="str">
            <v>AUTOMOTIVO</v>
          </cell>
          <cell r="C561" t="str">
            <v>Suporte Radiador</v>
          </cell>
          <cell r="D561" t="str">
            <v>SIMPLES</v>
          </cell>
          <cell r="E561" t="str">
            <v>LT CORREA</v>
          </cell>
        </row>
        <row r="562">
          <cell r="A562">
            <v>2358</v>
          </cell>
          <cell r="B562" t="str">
            <v>AUTOMOTIVO</v>
          </cell>
          <cell r="C562" t="str">
            <v>Suporte Radiador</v>
          </cell>
          <cell r="D562" t="str">
            <v>SIMPLES</v>
          </cell>
          <cell r="E562" t="str">
            <v>LT CORREA</v>
          </cell>
        </row>
        <row r="563">
          <cell r="A563">
            <v>2360</v>
          </cell>
          <cell r="B563" t="str">
            <v>AUTOMOTIVO</v>
          </cell>
          <cell r="C563" t="str">
            <v>Suporte Radiador</v>
          </cell>
          <cell r="D563" t="str">
            <v>SIMPLES</v>
          </cell>
          <cell r="E563" t="str">
            <v>LT CORREA</v>
          </cell>
        </row>
        <row r="564">
          <cell r="A564">
            <v>2361</v>
          </cell>
          <cell r="B564" t="str">
            <v>AUTOMOTIVO</v>
          </cell>
          <cell r="C564" t="str">
            <v>Suporte Parachoque</v>
          </cell>
          <cell r="D564" t="str">
            <v>SIMPLES</v>
          </cell>
          <cell r="E564" t="str">
            <v>LT CORREA</v>
          </cell>
        </row>
        <row r="565">
          <cell r="A565">
            <v>2362</v>
          </cell>
          <cell r="B565" t="str">
            <v>AUTOMOTIVO</v>
          </cell>
          <cell r="C565" t="str">
            <v>Suporte Radiador</v>
          </cell>
          <cell r="D565" t="str">
            <v>SIMPLES</v>
          </cell>
          <cell r="E565" t="str">
            <v>LT CORREA</v>
          </cell>
        </row>
        <row r="566">
          <cell r="A566">
            <v>2367</v>
          </cell>
          <cell r="B566" t="str">
            <v>AUTOMOTIVO</v>
          </cell>
          <cell r="C566" t="str">
            <v>Suporte Radiador</v>
          </cell>
          <cell r="D566" t="str">
            <v>SIMPLES</v>
          </cell>
          <cell r="E566" t="str">
            <v>LT CORREA</v>
          </cell>
        </row>
        <row r="567">
          <cell r="A567">
            <v>50050</v>
          </cell>
          <cell r="B567" t="str">
            <v>AUTOMOTIVO</v>
          </cell>
          <cell r="C567" t="str">
            <v>Garfo Embreagem</v>
          </cell>
          <cell r="D567" t="str">
            <v>SIMPLES</v>
          </cell>
          <cell r="E567" t="str">
            <v>LT CORREA</v>
          </cell>
        </row>
        <row r="568">
          <cell r="A568">
            <v>100293</v>
          </cell>
          <cell r="B568" t="str">
            <v>AUTOMOTIVO</v>
          </cell>
          <cell r="C568" t="str">
            <v>Reparo alavanta Câmbio</v>
          </cell>
          <cell r="D568" t="str">
            <v>SIMPLES</v>
          </cell>
          <cell r="E568" t="str">
            <v>LT CORREA</v>
          </cell>
        </row>
        <row r="569">
          <cell r="A569" t="str">
            <v>2360-D</v>
          </cell>
          <cell r="B569" t="str">
            <v>AUTOMOTIVO</v>
          </cell>
          <cell r="C569" t="str">
            <v>Suporte Radiador</v>
          </cell>
          <cell r="D569" t="str">
            <v>SIMPLES</v>
          </cell>
          <cell r="E569" t="str">
            <v>LT CORREA</v>
          </cell>
        </row>
        <row r="570">
          <cell r="A570" t="str">
            <v>2360-E</v>
          </cell>
          <cell r="B570" t="str">
            <v>AUTOMOTIVO</v>
          </cell>
          <cell r="C570" t="str">
            <v>Suporte Radiador</v>
          </cell>
          <cell r="D570" t="str">
            <v>SIMPLES</v>
          </cell>
          <cell r="E570" t="str">
            <v>LT CORREA</v>
          </cell>
        </row>
        <row r="571">
          <cell r="A571" t="str">
            <v>2362-DE</v>
          </cell>
          <cell r="B571" t="str">
            <v>AUTOMOTIVO</v>
          </cell>
          <cell r="C571" t="str">
            <v>Suporte Radiador</v>
          </cell>
          <cell r="D571" t="str">
            <v>SIMPLES</v>
          </cell>
          <cell r="E571" t="str">
            <v>LT CORREA</v>
          </cell>
        </row>
        <row r="572">
          <cell r="A572" t="str">
            <v>2362-LD</v>
          </cell>
          <cell r="B572" t="str">
            <v>AUTOMOTIVO</v>
          </cell>
          <cell r="C572" t="str">
            <v>Suporte Radiador</v>
          </cell>
          <cell r="D572" t="str">
            <v>SIMPLES</v>
          </cell>
          <cell r="E572" t="str">
            <v>LT CORREA</v>
          </cell>
        </row>
        <row r="573">
          <cell r="A573" t="str">
            <v>2362-LE</v>
          </cell>
          <cell r="B573" t="str">
            <v>AUTOMOTIVO</v>
          </cell>
          <cell r="C573" t="str">
            <v>Suporte Radiador</v>
          </cell>
          <cell r="D573" t="str">
            <v>SIMPLES</v>
          </cell>
          <cell r="E573" t="str">
            <v>LT CORREA</v>
          </cell>
        </row>
        <row r="574">
          <cell r="A574" t="str">
            <v>Kit-2210/11</v>
          </cell>
          <cell r="B574" t="str">
            <v>AUTOMOTIVO</v>
          </cell>
          <cell r="C574" t="str">
            <v>Haste Câmbio</v>
          </cell>
          <cell r="D574" t="str">
            <v>KIT</v>
          </cell>
          <cell r="E574" t="str">
            <v>LT CORREA</v>
          </cell>
        </row>
        <row r="575">
          <cell r="A575" t="str">
            <v>Kit-2300</v>
          </cell>
          <cell r="B575" t="str">
            <v>AUTOMOTIVO</v>
          </cell>
          <cell r="C575" t="str">
            <v>Reparo alavanta Câmbio</v>
          </cell>
          <cell r="D575" t="str">
            <v>KIT</v>
          </cell>
          <cell r="E575" t="str">
            <v>LT CORREA</v>
          </cell>
        </row>
        <row r="576">
          <cell r="A576" t="str">
            <v>Kit-2357/8</v>
          </cell>
          <cell r="B576" t="str">
            <v>AUTOMOTIVO</v>
          </cell>
          <cell r="C576" t="str">
            <v>Suporte Radiador</v>
          </cell>
          <cell r="D576" t="str">
            <v>KIT</v>
          </cell>
          <cell r="E576" t="str">
            <v>LT CORREA</v>
          </cell>
        </row>
        <row r="577">
          <cell r="A577" t="str">
            <v>KIT-LT2212/13</v>
          </cell>
          <cell r="B577" t="str">
            <v>AUTOMOTIVO</v>
          </cell>
          <cell r="C577" t="str">
            <v>Reparo alavanta Câmbio</v>
          </cell>
          <cell r="D577" t="str">
            <v>KIT</v>
          </cell>
          <cell r="E577" t="str">
            <v>LT CORREA</v>
          </cell>
        </row>
        <row r="578">
          <cell r="A578" t="str">
            <v>LT2213</v>
          </cell>
          <cell r="B578" t="str">
            <v>AUTOMOTIVO</v>
          </cell>
          <cell r="C578" t="str">
            <v>Reparo alavanta Câmbio</v>
          </cell>
          <cell r="D578" t="str">
            <v>SIMPLES</v>
          </cell>
          <cell r="E578" t="str">
            <v>LT CORREA</v>
          </cell>
        </row>
        <row r="579">
          <cell r="A579" t="str">
            <v>LT2266</v>
          </cell>
          <cell r="B579" t="str">
            <v>AUTOMOTIVO</v>
          </cell>
          <cell r="C579" t="str">
            <v>Bucha Caixa Direção</v>
          </cell>
          <cell r="D579" t="str">
            <v>SIMPLES</v>
          </cell>
          <cell r="E579" t="str">
            <v>LT CORREA</v>
          </cell>
        </row>
        <row r="580">
          <cell r="A580" t="str">
            <v>LT2267</v>
          </cell>
          <cell r="B580" t="str">
            <v>AUTOMOTIVO</v>
          </cell>
          <cell r="C580" t="str">
            <v>HASTE EMBREAGEM</v>
          </cell>
          <cell r="D580" t="str">
            <v>SIMPLES</v>
          </cell>
          <cell r="E580" t="str">
            <v>LT CORREA</v>
          </cell>
        </row>
        <row r="581">
          <cell r="A581" t="str">
            <v>LT2271</v>
          </cell>
          <cell r="B581" t="str">
            <v>AUTOMOTIVO</v>
          </cell>
          <cell r="C581" t="str">
            <v>Terminal Cabo Câmbio</v>
          </cell>
          <cell r="D581" t="str">
            <v>SIMPLES</v>
          </cell>
          <cell r="E581" t="str">
            <v>LT CORREA</v>
          </cell>
        </row>
        <row r="582">
          <cell r="A582" t="str">
            <v>LT2273</v>
          </cell>
          <cell r="B582" t="str">
            <v>AUTOMOTIVO</v>
          </cell>
          <cell r="C582" t="str">
            <v>Capo filtro de Óleo</v>
          </cell>
          <cell r="D582" t="str">
            <v>SIMPLES</v>
          </cell>
          <cell r="E582" t="str">
            <v>LT CORREA</v>
          </cell>
        </row>
        <row r="583">
          <cell r="A583" t="str">
            <v>LT2365</v>
          </cell>
          <cell r="B583" t="str">
            <v>AUTOMOTIVO</v>
          </cell>
          <cell r="C583" t="str">
            <v>Reparo alavanta Câmbio</v>
          </cell>
          <cell r="D583" t="str">
            <v>SIMPLES</v>
          </cell>
          <cell r="E583" t="str">
            <v>LT CORREA</v>
          </cell>
        </row>
        <row r="584">
          <cell r="A584" t="str">
            <v>LT5526</v>
          </cell>
          <cell r="B584" t="str">
            <v>AUTOMOTIVO</v>
          </cell>
          <cell r="C584" t="str">
            <v>Reparo alavanta Câmbio</v>
          </cell>
          <cell r="D584" t="str">
            <v>SIMPLES</v>
          </cell>
          <cell r="E584" t="str">
            <v>LT CORREA</v>
          </cell>
        </row>
        <row r="585">
          <cell r="A585" t="str">
            <v>LT5544</v>
          </cell>
          <cell r="B585" t="str">
            <v>AUTOMOTIVO</v>
          </cell>
          <cell r="C585" t="str">
            <v>Pastilha Freio</v>
          </cell>
          <cell r="D585" t="str">
            <v>SIMPLES</v>
          </cell>
          <cell r="E585" t="str">
            <v>LT CORREA</v>
          </cell>
        </row>
        <row r="586">
          <cell r="A586" t="str">
            <v>LT5553</v>
          </cell>
          <cell r="B586" t="str">
            <v>AUTOMOTIVO</v>
          </cell>
          <cell r="C586" t="str">
            <v>Reparo alavanta Câmbio</v>
          </cell>
          <cell r="D586" t="str">
            <v>SIMPLES</v>
          </cell>
          <cell r="E586" t="str">
            <v>LT CORREA</v>
          </cell>
        </row>
        <row r="587">
          <cell r="A587" t="str">
            <v>LT5561</v>
          </cell>
          <cell r="B587" t="str">
            <v>AUTOMOTIVO</v>
          </cell>
          <cell r="C587" t="str">
            <v>Reparo alavanta Câmbio</v>
          </cell>
          <cell r="D587" t="str">
            <v>SIMPLES</v>
          </cell>
          <cell r="E587" t="str">
            <v>LT CORREA</v>
          </cell>
        </row>
        <row r="588">
          <cell r="A588" t="str">
            <v>LT5561/62</v>
          </cell>
          <cell r="B588" t="str">
            <v>AUTOMOTIVO</v>
          </cell>
          <cell r="C588" t="str">
            <v>Reparo alavanta Câmbio</v>
          </cell>
          <cell r="D588" t="str">
            <v>KIT</v>
          </cell>
          <cell r="E588" t="str">
            <v>LT CORREA</v>
          </cell>
        </row>
        <row r="589">
          <cell r="A589" t="str">
            <v>LT5562</v>
          </cell>
          <cell r="B589" t="str">
            <v>AUTOMOTIVO</v>
          </cell>
          <cell r="C589" t="str">
            <v>Reparo alavanta Câmbio</v>
          </cell>
          <cell r="D589" t="str">
            <v>SIMPLES</v>
          </cell>
          <cell r="E589" t="str">
            <v>LT CORREA</v>
          </cell>
        </row>
        <row r="590">
          <cell r="A590" t="str">
            <v>LT5567</v>
          </cell>
          <cell r="B590" t="str">
            <v>AUTOMOTIVO</v>
          </cell>
          <cell r="C590" t="str">
            <v>Reparo alavanta Câmbio</v>
          </cell>
          <cell r="D590" t="str">
            <v>SIMPLES</v>
          </cell>
          <cell r="E590" t="str">
            <v>LT CORREA</v>
          </cell>
        </row>
        <row r="591">
          <cell r="A591" t="str">
            <v>LT5568</v>
          </cell>
          <cell r="B591" t="str">
            <v>AUTOMOTIVO</v>
          </cell>
          <cell r="C591" t="str">
            <v>Reparo alavanta Câmbio</v>
          </cell>
          <cell r="D591" t="str">
            <v>SIMPLES</v>
          </cell>
          <cell r="E591" t="str">
            <v>LT CORREA</v>
          </cell>
        </row>
        <row r="592">
          <cell r="A592" t="str">
            <v>LT5576</v>
          </cell>
          <cell r="B592" t="str">
            <v>AUTOMOTIVO</v>
          </cell>
          <cell r="C592" t="str">
            <v>Reparo alavanta Câmbio</v>
          </cell>
          <cell r="D592" t="str">
            <v>SIMPLES</v>
          </cell>
          <cell r="E592" t="str">
            <v>LT CORREA</v>
          </cell>
        </row>
        <row r="593">
          <cell r="A593" t="str">
            <v>LT5577</v>
          </cell>
          <cell r="B593" t="str">
            <v>AUTOMOTIVO</v>
          </cell>
          <cell r="C593" t="str">
            <v>Reparo alavanta Câmbio</v>
          </cell>
          <cell r="D593" t="str">
            <v>SIMPLES</v>
          </cell>
          <cell r="E593" t="str">
            <v>LT CORREA</v>
          </cell>
        </row>
        <row r="594">
          <cell r="A594" t="str">
            <v>LT5609</v>
          </cell>
          <cell r="B594" t="str">
            <v>AUTOMOTIVO</v>
          </cell>
          <cell r="C594" t="str">
            <v>Reparo alavanta Câmbio</v>
          </cell>
          <cell r="D594" t="str">
            <v>SIMPLES</v>
          </cell>
          <cell r="E594" t="str">
            <v>LT CORREA</v>
          </cell>
        </row>
        <row r="595">
          <cell r="A595" t="str">
            <v>LT5637</v>
          </cell>
          <cell r="B595" t="str">
            <v>AUTOMOTIVO</v>
          </cell>
          <cell r="C595" t="str">
            <v>Reparo alavanta Câmbio</v>
          </cell>
          <cell r="D595" t="str">
            <v>SIMPLES</v>
          </cell>
          <cell r="E595" t="str">
            <v>LT CORREA</v>
          </cell>
        </row>
        <row r="596">
          <cell r="A596" t="str">
            <v>Par-2210</v>
          </cell>
          <cell r="B596" t="str">
            <v>AUTOMOTIVO</v>
          </cell>
          <cell r="C596" t="str">
            <v>Haste Câmbio</v>
          </cell>
          <cell r="D596" t="str">
            <v>KIT</v>
          </cell>
          <cell r="E596" t="str">
            <v>LT CORREA</v>
          </cell>
        </row>
        <row r="597">
          <cell r="A597" t="str">
            <v>PAR-LT5577</v>
          </cell>
          <cell r="B597" t="str">
            <v>AUTOMOTIVO</v>
          </cell>
          <cell r="C597" t="str">
            <v>Haste Câmbio</v>
          </cell>
          <cell r="D597" t="str">
            <v>KIT</v>
          </cell>
          <cell r="E597" t="str">
            <v>LT CORREA</v>
          </cell>
        </row>
        <row r="598">
          <cell r="A598" t="str">
            <v>PVI2003</v>
          </cell>
          <cell r="B598" t="str">
            <v>AUTOMOTIVO</v>
          </cell>
          <cell r="C598" t="str">
            <v>Pivô</v>
          </cell>
          <cell r="D598" t="str">
            <v>SIMPLES</v>
          </cell>
          <cell r="E598" t="str">
            <v>LT CORREA</v>
          </cell>
        </row>
        <row r="599">
          <cell r="A599" t="str">
            <v>15W40-MAX</v>
          </cell>
          <cell r="B599" t="str">
            <v>AUTOMOTIVO</v>
          </cell>
          <cell r="C599" t="str">
            <v>Óleo</v>
          </cell>
          <cell r="D599" t="str">
            <v>SIMPLES</v>
          </cell>
          <cell r="E599" t="str">
            <v>Maxi Lub</v>
          </cell>
        </row>
        <row r="600">
          <cell r="A600" t="str">
            <v>20W50-MAX</v>
          </cell>
          <cell r="B600" t="str">
            <v>AUTOMOTIVO</v>
          </cell>
          <cell r="C600" t="str">
            <v>Óleo</v>
          </cell>
          <cell r="D600" t="str">
            <v>SIMPLES</v>
          </cell>
          <cell r="E600" t="str">
            <v>Maxi Lub</v>
          </cell>
        </row>
        <row r="601">
          <cell r="A601" t="str">
            <v>FTK11001-MB</v>
          </cell>
          <cell r="B601" t="str">
            <v>AUTOMOTIVO</v>
          </cell>
          <cell r="C601" t="str">
            <v>Bucha Bandeja</v>
          </cell>
          <cell r="D601" t="str">
            <v>SIMPLES</v>
          </cell>
          <cell r="E601" t="str">
            <v>MOBENSANI</v>
          </cell>
        </row>
        <row r="602">
          <cell r="A602" t="str">
            <v>FTK11018-MB</v>
          </cell>
          <cell r="B602" t="str">
            <v>AUTOMOTIVO</v>
          </cell>
          <cell r="C602" t="str">
            <v>Bucha Bandeja</v>
          </cell>
          <cell r="D602" t="str">
            <v>SIMPLES</v>
          </cell>
          <cell r="E602" t="str">
            <v>MOBENSANI</v>
          </cell>
        </row>
        <row r="603">
          <cell r="A603" t="str">
            <v>FTK11019-MB</v>
          </cell>
          <cell r="B603" t="str">
            <v>AUTOMOTIVO</v>
          </cell>
          <cell r="C603" t="str">
            <v>Bucha Bandeja</v>
          </cell>
          <cell r="D603" t="str">
            <v>SIMPLES</v>
          </cell>
          <cell r="E603" t="str">
            <v>MOBENSANI</v>
          </cell>
        </row>
        <row r="604">
          <cell r="A604" t="str">
            <v>ftk11028-mb</v>
          </cell>
          <cell r="B604" t="str">
            <v>AUTOMOTIVO</v>
          </cell>
          <cell r="C604" t="str">
            <v>Bucha Bandeja</v>
          </cell>
          <cell r="D604" t="str">
            <v>SIMPLES</v>
          </cell>
          <cell r="E604" t="str">
            <v>MOBENSANI</v>
          </cell>
        </row>
        <row r="605">
          <cell r="A605" t="str">
            <v>FTK11140-MB</v>
          </cell>
          <cell r="B605" t="str">
            <v>AUTOMOTIVO</v>
          </cell>
          <cell r="C605" t="str">
            <v>Bucha Bandeja</v>
          </cell>
          <cell r="D605" t="str">
            <v>SIMPLES</v>
          </cell>
          <cell r="E605" t="str">
            <v>MOBENSANI</v>
          </cell>
        </row>
        <row r="606">
          <cell r="A606" t="str">
            <v>FTK11170-MB</v>
          </cell>
          <cell r="B606" t="str">
            <v>AUTOMOTIVO</v>
          </cell>
          <cell r="C606" t="str">
            <v>Bucha Bandeja</v>
          </cell>
          <cell r="D606" t="str">
            <v>SIMPLES</v>
          </cell>
          <cell r="E606" t="str">
            <v>MOBENSANI</v>
          </cell>
        </row>
        <row r="607">
          <cell r="A607" t="str">
            <v>FTK11171-MB</v>
          </cell>
          <cell r="B607" t="str">
            <v>AUTOMOTIVO</v>
          </cell>
          <cell r="C607" t="str">
            <v>Bucha Bandeja</v>
          </cell>
          <cell r="D607" t="str">
            <v>SIMPLES</v>
          </cell>
          <cell r="E607" t="str">
            <v>MOBENSANI</v>
          </cell>
        </row>
        <row r="608">
          <cell r="A608" t="str">
            <v>FTK11203A-MB</v>
          </cell>
          <cell r="B608" t="str">
            <v>AUTOMOTIVO</v>
          </cell>
          <cell r="C608" t="str">
            <v>Bucha Bandeja</v>
          </cell>
          <cell r="D608" t="str">
            <v>SIMPLES</v>
          </cell>
          <cell r="E608" t="str">
            <v>MOBENSANI</v>
          </cell>
        </row>
        <row r="609">
          <cell r="A609" t="str">
            <v>FTK11203-MB</v>
          </cell>
          <cell r="B609" t="str">
            <v>AUTOMOTIVO</v>
          </cell>
          <cell r="C609" t="str">
            <v>Bucha Bandeja</v>
          </cell>
          <cell r="D609" t="str">
            <v>SIMPLES</v>
          </cell>
          <cell r="E609" t="str">
            <v>MOBENSANI</v>
          </cell>
        </row>
        <row r="610">
          <cell r="A610" t="str">
            <v>FTK11204-MB</v>
          </cell>
          <cell r="B610" t="str">
            <v>AUTOMOTIVO</v>
          </cell>
          <cell r="C610" t="str">
            <v>Bucha Bandeja</v>
          </cell>
          <cell r="D610" t="str">
            <v>SIMPLES</v>
          </cell>
          <cell r="E610" t="str">
            <v>MOBENSANI</v>
          </cell>
        </row>
        <row r="611">
          <cell r="A611" t="str">
            <v>FTK11224-MB</v>
          </cell>
          <cell r="B611" t="str">
            <v>AUTOMOTIVO</v>
          </cell>
          <cell r="C611" t="str">
            <v>Bucha Bandeja</v>
          </cell>
          <cell r="D611" t="str">
            <v>SIMPLES</v>
          </cell>
          <cell r="E611" t="str">
            <v>MOBENSANI</v>
          </cell>
        </row>
        <row r="612">
          <cell r="A612" t="str">
            <v>FTK11225-MB</v>
          </cell>
          <cell r="B612" t="str">
            <v>AUTOMOTIVO</v>
          </cell>
          <cell r="C612" t="str">
            <v>Bucha Bandeja</v>
          </cell>
          <cell r="D612" t="str">
            <v>SIMPLES</v>
          </cell>
          <cell r="E612" t="str">
            <v>MOBENSANI</v>
          </cell>
        </row>
        <row r="613">
          <cell r="A613" t="str">
            <v>FTK1191-MB</v>
          </cell>
          <cell r="B613" t="str">
            <v>AUTOMOTIVO</v>
          </cell>
          <cell r="C613" t="str">
            <v>Bucha Bandeja</v>
          </cell>
          <cell r="D613" t="str">
            <v>SIMPLES</v>
          </cell>
          <cell r="E613" t="str">
            <v>MOBENSANI</v>
          </cell>
        </row>
        <row r="614">
          <cell r="A614" t="str">
            <v>FTK22204-MB</v>
          </cell>
          <cell r="B614" t="str">
            <v>AUTOMOTIVO</v>
          </cell>
          <cell r="C614" t="str">
            <v>Bucha Bandeja</v>
          </cell>
          <cell r="D614" t="str">
            <v>SIMPLES</v>
          </cell>
          <cell r="E614" t="str">
            <v>MOBENSANI</v>
          </cell>
        </row>
        <row r="615">
          <cell r="A615" t="str">
            <v>FTK22208-MB</v>
          </cell>
          <cell r="B615" t="str">
            <v>AUTOMOTIVO</v>
          </cell>
          <cell r="C615" t="str">
            <v>Bucha Bandeja</v>
          </cell>
          <cell r="D615" t="str">
            <v>SIMPLES</v>
          </cell>
          <cell r="E615" t="str">
            <v>MOBENSANI</v>
          </cell>
        </row>
        <row r="616">
          <cell r="A616" t="str">
            <v>FTK22220-MB</v>
          </cell>
          <cell r="B616" t="str">
            <v>AUTOMOTIVO</v>
          </cell>
          <cell r="C616" t="str">
            <v>Bucha Bandeja</v>
          </cell>
          <cell r="D616" t="str">
            <v>SIMPLES</v>
          </cell>
          <cell r="E616" t="str">
            <v>MOBENSANI</v>
          </cell>
        </row>
        <row r="617">
          <cell r="A617" t="str">
            <v>FTK22222-MB</v>
          </cell>
          <cell r="B617" t="str">
            <v>AUTOMOTIVO</v>
          </cell>
          <cell r="C617" t="str">
            <v>Bucha Bandeja</v>
          </cell>
          <cell r="D617" t="str">
            <v>SIMPLES</v>
          </cell>
          <cell r="E617" t="str">
            <v>MOBENSANI</v>
          </cell>
        </row>
        <row r="618">
          <cell r="A618" t="str">
            <v>FTK2263-MB</v>
          </cell>
          <cell r="B618" t="str">
            <v>AUTOMOTIVO</v>
          </cell>
          <cell r="C618" t="str">
            <v>Bucha Bandeja</v>
          </cell>
          <cell r="D618" t="str">
            <v>SIMPLES</v>
          </cell>
          <cell r="E618" t="str">
            <v>MOBENSANI</v>
          </cell>
        </row>
        <row r="619">
          <cell r="A619" t="str">
            <v>FTK33028-MB</v>
          </cell>
          <cell r="B619" t="str">
            <v>AUTOMOTIVO</v>
          </cell>
          <cell r="C619" t="str">
            <v>Bucha Bandeja</v>
          </cell>
          <cell r="D619" t="str">
            <v>SIMPLES</v>
          </cell>
          <cell r="E619" t="str">
            <v>MOBENSANI</v>
          </cell>
        </row>
        <row r="620">
          <cell r="A620" t="str">
            <v>FTK33029-MB</v>
          </cell>
          <cell r="B620" t="str">
            <v>AUTOMOTIVO</v>
          </cell>
          <cell r="C620" t="str">
            <v>Bucha Bandeja</v>
          </cell>
          <cell r="D620" t="str">
            <v>SIMPLES</v>
          </cell>
          <cell r="E620" t="str">
            <v>MOBENSANI</v>
          </cell>
        </row>
        <row r="621">
          <cell r="A621" t="str">
            <v>FTK3395-MB</v>
          </cell>
          <cell r="B621" t="str">
            <v>AUTOMOTIVO</v>
          </cell>
          <cell r="C621" t="str">
            <v>Bucha Bandeja</v>
          </cell>
          <cell r="D621" t="str">
            <v>SIMPLES</v>
          </cell>
          <cell r="E621" t="str">
            <v>MOBENSANI</v>
          </cell>
        </row>
        <row r="622">
          <cell r="A622" t="str">
            <v>FTK44406-MB</v>
          </cell>
          <cell r="B622" t="str">
            <v>AUTOMOTIVO</v>
          </cell>
          <cell r="C622" t="str">
            <v>Bucha Bandeja</v>
          </cell>
          <cell r="D622" t="str">
            <v>SIMPLES</v>
          </cell>
          <cell r="E622" t="str">
            <v>MOBENSANI</v>
          </cell>
        </row>
        <row r="623">
          <cell r="A623" t="str">
            <v>FTK4476-MB</v>
          </cell>
          <cell r="B623" t="str">
            <v>AUTOMOTIVO</v>
          </cell>
          <cell r="C623" t="str">
            <v>Bucha Bandeja</v>
          </cell>
          <cell r="D623" t="str">
            <v>SIMPLES</v>
          </cell>
          <cell r="E623" t="str">
            <v>MOBENSANI</v>
          </cell>
        </row>
        <row r="624">
          <cell r="A624" t="str">
            <v>FTK4477-MB</v>
          </cell>
          <cell r="B624" t="str">
            <v>AUTOMOTIVO</v>
          </cell>
          <cell r="C624" t="str">
            <v>Bucha Bandeja</v>
          </cell>
          <cell r="D624" t="str">
            <v>SIMPLES</v>
          </cell>
          <cell r="E624" t="str">
            <v>MOBENSANI</v>
          </cell>
        </row>
        <row r="625">
          <cell r="A625" t="str">
            <v>FTK66000-MB</v>
          </cell>
          <cell r="B625" t="str">
            <v>AUTOMOTIVO</v>
          </cell>
          <cell r="C625" t="str">
            <v>Bucha Bandeja</v>
          </cell>
          <cell r="D625" t="str">
            <v>SIMPLES</v>
          </cell>
          <cell r="E625" t="str">
            <v>MOBENSANI</v>
          </cell>
        </row>
        <row r="626">
          <cell r="A626" t="str">
            <v>FTK66001-MB</v>
          </cell>
          <cell r="B626" t="str">
            <v>AUTOMOTIVO</v>
          </cell>
          <cell r="C626" t="str">
            <v>Bucha Bandeja</v>
          </cell>
          <cell r="D626" t="str">
            <v>SIMPLES</v>
          </cell>
          <cell r="E626" t="str">
            <v>MOBENSANI</v>
          </cell>
        </row>
        <row r="627">
          <cell r="A627" t="str">
            <v>FTK66029-MB</v>
          </cell>
          <cell r="B627" t="str">
            <v>AUTOMOTIVO</v>
          </cell>
          <cell r="C627" t="str">
            <v>Bucha Bandeja</v>
          </cell>
          <cell r="D627" t="str">
            <v>SIMPLES</v>
          </cell>
          <cell r="E627" t="str">
            <v>MOBENSANI</v>
          </cell>
        </row>
        <row r="628">
          <cell r="A628" t="str">
            <v>FTK66039-MB</v>
          </cell>
          <cell r="B628" t="str">
            <v>AUTOMOTIVO</v>
          </cell>
          <cell r="C628" t="str">
            <v>Bucha Bandeja</v>
          </cell>
          <cell r="D628" t="str">
            <v>SIMPLES</v>
          </cell>
          <cell r="E628" t="str">
            <v>MOBENSANI</v>
          </cell>
        </row>
        <row r="629">
          <cell r="A629" t="str">
            <v>FTK66075-MB</v>
          </cell>
          <cell r="B629" t="str">
            <v>AUTOMOTIVO</v>
          </cell>
          <cell r="C629" t="str">
            <v>Bucha Bandeja</v>
          </cell>
          <cell r="D629" t="str">
            <v>SIMPLES</v>
          </cell>
          <cell r="E629" t="str">
            <v>MOBENSANI</v>
          </cell>
        </row>
        <row r="630">
          <cell r="A630" t="str">
            <v>FTK77014-MB</v>
          </cell>
          <cell r="B630" t="str">
            <v>AUTOMOTIVO</v>
          </cell>
          <cell r="C630" t="str">
            <v>Bucha Bandeja</v>
          </cell>
          <cell r="D630" t="str">
            <v>SIMPLES</v>
          </cell>
          <cell r="E630" t="str">
            <v>MOBENSANI</v>
          </cell>
        </row>
        <row r="631">
          <cell r="A631" t="str">
            <v>FTK77015-MB</v>
          </cell>
          <cell r="B631" t="str">
            <v>AUTOMOTIVO</v>
          </cell>
          <cell r="C631" t="str">
            <v>Bucha Bandeja</v>
          </cell>
          <cell r="D631" t="str">
            <v>SIMPLES</v>
          </cell>
          <cell r="E631" t="str">
            <v>MOBENSANI</v>
          </cell>
        </row>
        <row r="632">
          <cell r="A632" t="str">
            <v>FTK7739-MB</v>
          </cell>
          <cell r="B632" t="str">
            <v>AUTOMOTIVO</v>
          </cell>
          <cell r="C632" t="str">
            <v>Bucha Bandeja</v>
          </cell>
          <cell r="D632" t="str">
            <v>SIMPLES</v>
          </cell>
          <cell r="E632" t="str">
            <v>MOBENSANI</v>
          </cell>
        </row>
        <row r="633">
          <cell r="A633" t="str">
            <v>FTK7740-MB</v>
          </cell>
          <cell r="B633" t="str">
            <v>AUTOMOTIVO</v>
          </cell>
          <cell r="C633" t="str">
            <v>Bucha Bandeja</v>
          </cell>
          <cell r="D633" t="str">
            <v>SIMPLES</v>
          </cell>
          <cell r="E633" t="str">
            <v>MOBENSANI</v>
          </cell>
        </row>
        <row r="634">
          <cell r="A634" t="str">
            <v>FTK7741-MB</v>
          </cell>
          <cell r="B634" t="str">
            <v>AUTOMOTIVO</v>
          </cell>
          <cell r="C634" t="str">
            <v>Bucha Bandeja</v>
          </cell>
          <cell r="D634" t="str">
            <v>SIMPLES</v>
          </cell>
          <cell r="E634" t="str">
            <v>MOBENSANI</v>
          </cell>
        </row>
        <row r="635">
          <cell r="A635" t="str">
            <v>FTK7742-MB</v>
          </cell>
          <cell r="B635" t="str">
            <v>AUTOMOTIVO</v>
          </cell>
          <cell r="C635" t="str">
            <v>Bucha Bandeja</v>
          </cell>
          <cell r="D635" t="str">
            <v>SIMPLES</v>
          </cell>
          <cell r="E635" t="str">
            <v>MOBENSANI</v>
          </cell>
        </row>
        <row r="636">
          <cell r="A636" t="str">
            <v>FTK99082-MB</v>
          </cell>
          <cell r="B636" t="str">
            <v>AUTOMOTIVO</v>
          </cell>
          <cell r="C636" t="str">
            <v>Bucha Bandeja</v>
          </cell>
          <cell r="D636" t="str">
            <v>SIMPLES</v>
          </cell>
          <cell r="E636" t="str">
            <v>MOBENSANI</v>
          </cell>
        </row>
        <row r="637">
          <cell r="A637" t="str">
            <v>FTK99083-MB</v>
          </cell>
          <cell r="B637" t="str">
            <v>AUTOMOTIVO</v>
          </cell>
          <cell r="C637" t="str">
            <v>Bucha Bandeja</v>
          </cell>
          <cell r="D637" t="str">
            <v>SIMPLES</v>
          </cell>
          <cell r="E637" t="str">
            <v>MOBENSANI</v>
          </cell>
        </row>
        <row r="638">
          <cell r="A638" t="str">
            <v>FTK99103-MB</v>
          </cell>
          <cell r="B638" t="str">
            <v>AUTOMOTIVO</v>
          </cell>
          <cell r="C638" t="str">
            <v>Bucha Bandeja</v>
          </cell>
          <cell r="D638" t="str">
            <v>SIMPLES</v>
          </cell>
          <cell r="E638" t="str">
            <v>MOBENSANI</v>
          </cell>
        </row>
        <row r="639">
          <cell r="A639" t="str">
            <v>FTK99104-MB</v>
          </cell>
          <cell r="B639" t="str">
            <v>AUTOMOTIVO</v>
          </cell>
          <cell r="C639" t="str">
            <v>Bucha Bandeja</v>
          </cell>
          <cell r="D639" t="str">
            <v>SIMPLES</v>
          </cell>
          <cell r="E639" t="str">
            <v>MOBENSANI</v>
          </cell>
        </row>
        <row r="640">
          <cell r="A640" t="str">
            <v>FTK99128-MB</v>
          </cell>
          <cell r="B640" t="str">
            <v>AUTOMOTIVO</v>
          </cell>
          <cell r="C640" t="str">
            <v>Bucha Bandeja</v>
          </cell>
          <cell r="D640" t="str">
            <v>SIMPLES</v>
          </cell>
          <cell r="E640" t="str">
            <v>MOBENSANI</v>
          </cell>
        </row>
        <row r="641">
          <cell r="A641" t="str">
            <v>FTK99129-MB</v>
          </cell>
          <cell r="B641" t="str">
            <v>AUTOMOTIVO</v>
          </cell>
          <cell r="C641" t="str">
            <v>Bucha Bandeja</v>
          </cell>
          <cell r="D641" t="str">
            <v>SIMPLES</v>
          </cell>
          <cell r="E641" t="str">
            <v>MOBENSANI</v>
          </cell>
        </row>
        <row r="642">
          <cell r="A642" t="str">
            <v>FTK99134-MB</v>
          </cell>
          <cell r="B642" t="str">
            <v>AUTOMOTIVO</v>
          </cell>
          <cell r="C642" t="str">
            <v>Bucha Bandeja</v>
          </cell>
          <cell r="D642" t="str">
            <v>SIMPLES</v>
          </cell>
          <cell r="E642" t="str">
            <v>MOBENSANI</v>
          </cell>
        </row>
        <row r="643">
          <cell r="A643" t="str">
            <v>FTK99140-MB</v>
          </cell>
          <cell r="B643" t="str">
            <v>AUTOMOTIVO</v>
          </cell>
          <cell r="C643" t="str">
            <v>Bucha Bandeja</v>
          </cell>
          <cell r="D643" t="str">
            <v>SIMPLES</v>
          </cell>
          <cell r="E643" t="str">
            <v>MOBENSANI</v>
          </cell>
        </row>
        <row r="644">
          <cell r="A644" t="str">
            <v>FTK99166-MB</v>
          </cell>
          <cell r="B644" t="str">
            <v>AUTOMOTIVO</v>
          </cell>
          <cell r="C644" t="str">
            <v>Bucha Bandeja</v>
          </cell>
          <cell r="D644" t="str">
            <v>SIMPLES</v>
          </cell>
          <cell r="E644" t="str">
            <v>MOBENSANI</v>
          </cell>
        </row>
        <row r="645">
          <cell r="A645" t="str">
            <v>FTK99171-MB</v>
          </cell>
          <cell r="B645" t="str">
            <v>AUTOMOTIVO</v>
          </cell>
          <cell r="C645" t="str">
            <v>Bucha Bandeja</v>
          </cell>
          <cell r="D645" t="str">
            <v>SIMPLES</v>
          </cell>
          <cell r="E645" t="str">
            <v>MOBENSANI</v>
          </cell>
        </row>
        <row r="646">
          <cell r="A646" t="str">
            <v>FTK99282-MB</v>
          </cell>
          <cell r="B646" t="str">
            <v>AUTOMOTIVO</v>
          </cell>
          <cell r="C646" t="str">
            <v>Bucha</v>
          </cell>
          <cell r="D646" t="str">
            <v>SIMPLES</v>
          </cell>
          <cell r="E646" t="str">
            <v>MOBENSANI</v>
          </cell>
        </row>
        <row r="647">
          <cell r="A647" t="str">
            <v>FTK99283-MB</v>
          </cell>
          <cell r="B647" t="str">
            <v>AUTOMOTIVO</v>
          </cell>
          <cell r="C647" t="str">
            <v>Bucha Bandeja</v>
          </cell>
          <cell r="D647" t="str">
            <v>SIMPLES</v>
          </cell>
          <cell r="E647" t="str">
            <v>MOBENSANI</v>
          </cell>
        </row>
        <row r="648">
          <cell r="A648" t="str">
            <v>FTK99325-MB</v>
          </cell>
          <cell r="B648" t="str">
            <v>AUTOMOTIVO</v>
          </cell>
          <cell r="C648" t="str">
            <v>Bucha Bandeja</v>
          </cell>
          <cell r="D648" t="str">
            <v>SIMPLES</v>
          </cell>
          <cell r="E648" t="str">
            <v>MOBENSANI</v>
          </cell>
        </row>
        <row r="649">
          <cell r="A649" t="str">
            <v>FTK99347-MB</v>
          </cell>
          <cell r="B649" t="str">
            <v>AUTOMOTIVO</v>
          </cell>
          <cell r="C649" t="str">
            <v>Bucha Bandeja</v>
          </cell>
          <cell r="D649" t="str">
            <v>SIMPLES</v>
          </cell>
          <cell r="E649" t="str">
            <v>MOBENSANI</v>
          </cell>
        </row>
        <row r="650">
          <cell r="A650" t="str">
            <v>FTK99355-MB</v>
          </cell>
          <cell r="B650" t="str">
            <v>AUTOMOTIVO</v>
          </cell>
          <cell r="C650" t="str">
            <v>Bucha Bandeja</v>
          </cell>
          <cell r="D650" t="str">
            <v>SIMPLES</v>
          </cell>
          <cell r="E650" t="str">
            <v>MOBENSANI</v>
          </cell>
        </row>
        <row r="651">
          <cell r="A651" t="str">
            <v>FTK99370-MB</v>
          </cell>
          <cell r="B651" t="str">
            <v>AUTOMOTIVO</v>
          </cell>
          <cell r="C651" t="str">
            <v>Bucha Bandeja</v>
          </cell>
          <cell r="D651" t="str">
            <v>SIMPLES</v>
          </cell>
          <cell r="E651" t="str">
            <v>MOBENSANI</v>
          </cell>
        </row>
        <row r="652">
          <cell r="A652" t="str">
            <v>FTK99371-MB</v>
          </cell>
          <cell r="B652" t="str">
            <v>AUTOMOTIVO</v>
          </cell>
          <cell r="C652" t="str">
            <v>Bucha Bandeja</v>
          </cell>
          <cell r="D652" t="str">
            <v>SIMPLES</v>
          </cell>
          <cell r="E652" t="str">
            <v>MOBENSANI</v>
          </cell>
        </row>
        <row r="653">
          <cell r="A653" t="str">
            <v>KITFTK11001/11018-MB</v>
          </cell>
          <cell r="B653" t="str">
            <v>AUTOMOTIVO</v>
          </cell>
          <cell r="C653" t="str">
            <v>Bucha Bandeja</v>
          </cell>
          <cell r="D653" t="str">
            <v>KIT</v>
          </cell>
          <cell r="E653" t="str">
            <v>MOBENSANI</v>
          </cell>
        </row>
        <row r="654">
          <cell r="A654" t="str">
            <v>KITFTK11001-MB</v>
          </cell>
          <cell r="B654" t="str">
            <v>AUTOMOTIVO</v>
          </cell>
          <cell r="C654" t="str">
            <v>Bucha Bandeja</v>
          </cell>
          <cell r="D654" t="str">
            <v>KIT</v>
          </cell>
          <cell r="E654" t="str">
            <v>MOBENSANI</v>
          </cell>
        </row>
        <row r="655">
          <cell r="A655" t="str">
            <v>KITFTK11019-MB</v>
          </cell>
          <cell r="B655" t="str">
            <v>AUTOMOTIVO</v>
          </cell>
          <cell r="C655" t="str">
            <v>Bucha Bandeja</v>
          </cell>
          <cell r="D655" t="str">
            <v>KIT</v>
          </cell>
          <cell r="E655" t="str">
            <v>MOBENSANI</v>
          </cell>
        </row>
        <row r="656">
          <cell r="A656" t="str">
            <v>KITFTK11140-MB</v>
          </cell>
          <cell r="B656" t="str">
            <v>AUTOMOTIVO</v>
          </cell>
          <cell r="C656" t="str">
            <v>Bucha Bandeja</v>
          </cell>
          <cell r="D656" t="str">
            <v>KIT</v>
          </cell>
          <cell r="E656" t="str">
            <v>MOBENSANI</v>
          </cell>
        </row>
        <row r="657">
          <cell r="A657" t="str">
            <v>KITFTK11203/04-MB</v>
          </cell>
          <cell r="B657" t="str">
            <v>AUTOMOTIVO</v>
          </cell>
          <cell r="C657" t="str">
            <v>Bucha Bandeja</v>
          </cell>
          <cell r="D657" t="str">
            <v>SIMPLES</v>
          </cell>
          <cell r="E657" t="str">
            <v>MOBENSANI</v>
          </cell>
        </row>
        <row r="658">
          <cell r="A658" t="str">
            <v>KITFTK11203A/04-MB</v>
          </cell>
          <cell r="B658" t="str">
            <v>AUTOMOTIVO</v>
          </cell>
          <cell r="C658" t="str">
            <v>Bucha Bandeja</v>
          </cell>
          <cell r="D658" t="str">
            <v>KIT</v>
          </cell>
          <cell r="E658" t="str">
            <v>MOBENSANI</v>
          </cell>
        </row>
        <row r="659">
          <cell r="A659" t="str">
            <v>KITFTK11224/25-MB</v>
          </cell>
          <cell r="B659" t="str">
            <v>AUTOMOTIVO</v>
          </cell>
          <cell r="C659" t="str">
            <v>Bucha Bandeja</v>
          </cell>
          <cell r="D659" t="str">
            <v>KIT</v>
          </cell>
          <cell r="E659" t="str">
            <v>MOBENSANI</v>
          </cell>
        </row>
        <row r="660">
          <cell r="A660" t="str">
            <v>KITFTK22208/2263-MB</v>
          </cell>
          <cell r="B660" t="str">
            <v>AUTOMOTIVO</v>
          </cell>
          <cell r="C660" t="str">
            <v>Bucha Bandeja</v>
          </cell>
          <cell r="D660" t="str">
            <v>KIT</v>
          </cell>
          <cell r="E660" t="str">
            <v>MOBENSANI</v>
          </cell>
        </row>
        <row r="661">
          <cell r="A661" t="str">
            <v>KITFTK33028-MB</v>
          </cell>
          <cell r="B661" t="str">
            <v>AUTOMOTIVO</v>
          </cell>
          <cell r="C661" t="str">
            <v>Bucha Bandeja</v>
          </cell>
          <cell r="D661" t="str">
            <v>KIT</v>
          </cell>
          <cell r="E661" t="str">
            <v>MOBENSANI</v>
          </cell>
        </row>
        <row r="662">
          <cell r="A662" t="str">
            <v>KITFTK33029-MB</v>
          </cell>
          <cell r="B662" t="str">
            <v>AUTOMOTIVO</v>
          </cell>
          <cell r="C662" t="str">
            <v>Bucha Bandeja</v>
          </cell>
          <cell r="D662" t="str">
            <v>KIT</v>
          </cell>
          <cell r="E662" t="str">
            <v>MOBENSANI</v>
          </cell>
        </row>
        <row r="663">
          <cell r="A663" t="str">
            <v>KITFTK4476/44406-MB</v>
          </cell>
          <cell r="B663" t="str">
            <v>AUTOMOTIVO</v>
          </cell>
          <cell r="C663" t="str">
            <v>Bucha Bandeja</v>
          </cell>
          <cell r="D663" t="str">
            <v>KIT</v>
          </cell>
          <cell r="E663" t="str">
            <v>MOBENSANI</v>
          </cell>
        </row>
        <row r="664">
          <cell r="A664" t="str">
            <v>KITFTK4476/77-MB</v>
          </cell>
          <cell r="B664" t="str">
            <v>AUTOMOTIVO</v>
          </cell>
          <cell r="C664" t="str">
            <v>Bucha Bandeja</v>
          </cell>
          <cell r="D664" t="str">
            <v>KIT</v>
          </cell>
          <cell r="E664" t="str">
            <v>MOBENSANI</v>
          </cell>
        </row>
        <row r="665">
          <cell r="A665" t="str">
            <v>KITFTK66000/01MB</v>
          </cell>
          <cell r="B665" t="str">
            <v>AUTOMOTIVO</v>
          </cell>
          <cell r="C665" t="str">
            <v>Bucha Bandeja</v>
          </cell>
          <cell r="D665" t="str">
            <v>KIT</v>
          </cell>
          <cell r="E665" t="str">
            <v>MOBENSANI</v>
          </cell>
        </row>
        <row r="666">
          <cell r="A666" t="str">
            <v>KITFTK66029/39-MB</v>
          </cell>
          <cell r="B666" t="str">
            <v>AUTOMOTIVO</v>
          </cell>
          <cell r="C666" t="str">
            <v>Bucha Bandeja</v>
          </cell>
          <cell r="D666" t="str">
            <v>KIT</v>
          </cell>
          <cell r="E666" t="str">
            <v>MOBENSANI</v>
          </cell>
        </row>
        <row r="667">
          <cell r="A667" t="str">
            <v>KITFTK77014/15-MB</v>
          </cell>
          <cell r="B667" t="str">
            <v>AUTOMOTIVO</v>
          </cell>
          <cell r="C667" t="str">
            <v>Bucha Bandeja</v>
          </cell>
          <cell r="D667" t="str">
            <v>KIT</v>
          </cell>
          <cell r="E667" t="str">
            <v>MOBENSANI</v>
          </cell>
        </row>
        <row r="668">
          <cell r="A668" t="str">
            <v>KITFTK7739/40-MB</v>
          </cell>
          <cell r="B668" t="str">
            <v>AUTOMOTIVO</v>
          </cell>
          <cell r="C668" t="str">
            <v>Bucha Bandeja</v>
          </cell>
          <cell r="D668" t="str">
            <v>KIT</v>
          </cell>
          <cell r="E668" t="str">
            <v>MOBENSANI</v>
          </cell>
        </row>
        <row r="669">
          <cell r="A669" t="str">
            <v>KITFTK7741/42-MB</v>
          </cell>
          <cell r="B669" t="str">
            <v>AUTOMOTIVO</v>
          </cell>
          <cell r="C669" t="str">
            <v>Bucha Bandeja</v>
          </cell>
          <cell r="D669" t="str">
            <v>KIT</v>
          </cell>
          <cell r="E669" t="str">
            <v>MOBENSANI</v>
          </cell>
        </row>
        <row r="670">
          <cell r="A670" t="str">
            <v>KITFTK99103/04-MB</v>
          </cell>
          <cell r="B670" t="str">
            <v>AUTOMOTIVO</v>
          </cell>
          <cell r="C670" t="str">
            <v>Bucha Bandeja</v>
          </cell>
          <cell r="D670" t="str">
            <v>KIT</v>
          </cell>
          <cell r="E670" t="str">
            <v>MOBENSANI</v>
          </cell>
        </row>
        <row r="671">
          <cell r="A671" t="str">
            <v>KITFTK99128/29-MB</v>
          </cell>
          <cell r="B671" t="str">
            <v>AUTOMOTIVO</v>
          </cell>
          <cell r="C671" t="str">
            <v>Bucha Bandeja</v>
          </cell>
          <cell r="D671" t="str">
            <v>KIT</v>
          </cell>
          <cell r="E671" t="str">
            <v>MOBENSANI</v>
          </cell>
        </row>
        <row r="672">
          <cell r="A672" t="str">
            <v>KITFTK99171-MB</v>
          </cell>
          <cell r="B672" t="str">
            <v>AUTOMOTIVO</v>
          </cell>
          <cell r="C672" t="str">
            <v>Bucha Bandeja</v>
          </cell>
          <cell r="D672" t="str">
            <v>KIT</v>
          </cell>
          <cell r="E672" t="str">
            <v>MOBENSANI</v>
          </cell>
        </row>
        <row r="673">
          <cell r="A673" t="str">
            <v>KITFTK99325-MB</v>
          </cell>
          <cell r="B673" t="str">
            <v>AUTOMOTIVO</v>
          </cell>
          <cell r="C673" t="str">
            <v>Bucha Bandeja</v>
          </cell>
          <cell r="D673" t="str">
            <v>KIT</v>
          </cell>
          <cell r="E673" t="str">
            <v>MOBENSANI</v>
          </cell>
        </row>
        <row r="674">
          <cell r="A674" t="str">
            <v>KITFTK99370/71-MB</v>
          </cell>
          <cell r="B674" t="str">
            <v>AUTOMOTIVO</v>
          </cell>
          <cell r="C674" t="str">
            <v>Bucha Bandeja</v>
          </cell>
          <cell r="D674" t="str">
            <v>KIT</v>
          </cell>
          <cell r="E674" t="str">
            <v>MOBENSANI</v>
          </cell>
        </row>
        <row r="675">
          <cell r="A675" t="str">
            <v>PARFTK11001/11018-MB</v>
          </cell>
          <cell r="B675" t="str">
            <v>AUTOMOTIVO</v>
          </cell>
          <cell r="C675" t="str">
            <v>Bucha Bandeja</v>
          </cell>
          <cell r="D675" t="str">
            <v>KIT</v>
          </cell>
          <cell r="E675" t="str">
            <v>MOBENSANI</v>
          </cell>
        </row>
        <row r="676">
          <cell r="A676" t="str">
            <v>PARFTK11001-MB</v>
          </cell>
          <cell r="B676" t="str">
            <v>AUTOMOTIVO</v>
          </cell>
          <cell r="C676" t="str">
            <v>Bucha Bandeja</v>
          </cell>
          <cell r="D676" t="str">
            <v>KIT</v>
          </cell>
          <cell r="E676" t="str">
            <v>MOBENSANI</v>
          </cell>
        </row>
        <row r="677">
          <cell r="A677" t="str">
            <v>PARFTK11019-MB</v>
          </cell>
          <cell r="B677" t="str">
            <v>AUTOMOTIVO</v>
          </cell>
          <cell r="C677" t="str">
            <v>Bucha Bandeja</v>
          </cell>
          <cell r="D677" t="str">
            <v>KIT</v>
          </cell>
          <cell r="E677" t="str">
            <v>MOBENSANI</v>
          </cell>
        </row>
        <row r="678">
          <cell r="A678" t="str">
            <v>PARFTK11028-MB</v>
          </cell>
          <cell r="B678" t="str">
            <v>AUTOMOTIVO</v>
          </cell>
          <cell r="C678" t="str">
            <v>Bucha Bandeja</v>
          </cell>
          <cell r="D678" t="str">
            <v>KIT</v>
          </cell>
          <cell r="E678" t="str">
            <v>MOBENSANI</v>
          </cell>
        </row>
        <row r="679">
          <cell r="A679" t="str">
            <v>PARFTK11140-MB</v>
          </cell>
          <cell r="B679" t="str">
            <v>AUTOMOTIVO</v>
          </cell>
          <cell r="C679" t="str">
            <v>Bucha Bandeja</v>
          </cell>
          <cell r="D679" t="str">
            <v>KIT</v>
          </cell>
          <cell r="E679" t="str">
            <v>MOBENSANI</v>
          </cell>
        </row>
        <row r="680">
          <cell r="A680" t="str">
            <v>PARFTK11203/04-MB</v>
          </cell>
          <cell r="B680" t="str">
            <v>AUTOMOTIVO</v>
          </cell>
          <cell r="C680" t="str">
            <v>Bucha Bandeja</v>
          </cell>
          <cell r="D680" t="str">
            <v>KIT</v>
          </cell>
          <cell r="E680" t="str">
            <v>MOBENSANI</v>
          </cell>
        </row>
        <row r="681">
          <cell r="A681" t="str">
            <v>PARFTK11203A/04-MB</v>
          </cell>
          <cell r="B681" t="str">
            <v>AUTOMOTIVO</v>
          </cell>
          <cell r="C681" t="str">
            <v>Bucha Bandeja</v>
          </cell>
          <cell r="D681" t="str">
            <v>KIT</v>
          </cell>
          <cell r="E681" t="str">
            <v>MOBENSANI</v>
          </cell>
        </row>
        <row r="682">
          <cell r="A682" t="str">
            <v>PARFTK11224/25-MB</v>
          </cell>
          <cell r="B682" t="str">
            <v>AUTOMOTIVO</v>
          </cell>
          <cell r="C682" t="str">
            <v>Bucha Bandeja</v>
          </cell>
          <cell r="D682" t="str">
            <v>KIT</v>
          </cell>
          <cell r="E682" t="str">
            <v>MOBENSANI</v>
          </cell>
        </row>
        <row r="683">
          <cell r="A683" t="str">
            <v>PARFTK22208/2263-MB</v>
          </cell>
          <cell r="B683" t="str">
            <v>AUTOMOTIVO</v>
          </cell>
          <cell r="C683" t="str">
            <v>Bucha Bandeja</v>
          </cell>
          <cell r="D683" t="str">
            <v>KIT</v>
          </cell>
          <cell r="E683" t="str">
            <v>MOBENSANI</v>
          </cell>
        </row>
        <row r="684">
          <cell r="A684" t="str">
            <v>PARFTK33028-MB</v>
          </cell>
          <cell r="B684" t="str">
            <v>AUTOMOTIVO</v>
          </cell>
          <cell r="C684" t="str">
            <v>Bucha Bandeja</v>
          </cell>
          <cell r="D684" t="str">
            <v>KIT</v>
          </cell>
          <cell r="E684" t="str">
            <v>MOBENSANI</v>
          </cell>
        </row>
        <row r="685">
          <cell r="A685" t="str">
            <v>PARFTK33029-MB</v>
          </cell>
          <cell r="B685" t="str">
            <v>AUTOMOTIVO</v>
          </cell>
          <cell r="C685" t="str">
            <v>Bucha Bandeja</v>
          </cell>
          <cell r="D685" t="str">
            <v>KIT</v>
          </cell>
          <cell r="E685" t="str">
            <v>MOBENSANI</v>
          </cell>
        </row>
        <row r="686">
          <cell r="A686" t="str">
            <v>PARFTK4476/44406-MB</v>
          </cell>
          <cell r="B686" t="str">
            <v>AUTOMOTIVO</v>
          </cell>
          <cell r="C686" t="str">
            <v>Bucha Bandeja</v>
          </cell>
          <cell r="D686" t="str">
            <v>KIT</v>
          </cell>
          <cell r="E686" t="str">
            <v>MOBENSANI</v>
          </cell>
        </row>
        <row r="687">
          <cell r="A687" t="str">
            <v>PARFTK4476/77-MB</v>
          </cell>
          <cell r="B687" t="str">
            <v>AUTOMOTIVO</v>
          </cell>
          <cell r="C687" t="str">
            <v>Bucha Bandeja</v>
          </cell>
          <cell r="D687" t="str">
            <v>KIT</v>
          </cell>
          <cell r="E687" t="str">
            <v>MOBENSANI</v>
          </cell>
        </row>
        <row r="688">
          <cell r="A688" t="str">
            <v>PARFTK66000/01MB</v>
          </cell>
          <cell r="B688" t="str">
            <v>AUTOMOTIVO</v>
          </cell>
          <cell r="C688" t="str">
            <v>Bucha Bandeja</v>
          </cell>
          <cell r="D688" t="str">
            <v>KIT</v>
          </cell>
          <cell r="E688" t="str">
            <v>MOBENSANI</v>
          </cell>
        </row>
        <row r="689">
          <cell r="A689" t="str">
            <v>PARFTK66029/39-MB</v>
          </cell>
          <cell r="B689" t="str">
            <v>AUTOMOTIVO</v>
          </cell>
          <cell r="C689" t="str">
            <v>Bucha Bandeja</v>
          </cell>
          <cell r="D689" t="str">
            <v>KIT</v>
          </cell>
          <cell r="E689" t="str">
            <v>MOBENSANI</v>
          </cell>
        </row>
        <row r="690">
          <cell r="A690" t="str">
            <v>PARFTK77014/15-MB</v>
          </cell>
          <cell r="B690" t="str">
            <v>AUTOMOTIVO</v>
          </cell>
          <cell r="C690" t="str">
            <v>Bucha Bandeja</v>
          </cell>
          <cell r="D690" t="str">
            <v>KIT</v>
          </cell>
          <cell r="E690" t="str">
            <v>MOBENSANI</v>
          </cell>
        </row>
        <row r="691">
          <cell r="A691" t="str">
            <v>PARFTK7739/40-MB</v>
          </cell>
          <cell r="B691" t="str">
            <v>AUTOMOTIVO</v>
          </cell>
          <cell r="C691" t="str">
            <v>Bucha Bandeja</v>
          </cell>
          <cell r="D691" t="str">
            <v>KIT</v>
          </cell>
          <cell r="E691" t="str">
            <v>MOBENSANI</v>
          </cell>
        </row>
        <row r="692">
          <cell r="A692" t="str">
            <v>PARFTK7741/42-MB</v>
          </cell>
          <cell r="B692" t="str">
            <v>AUTOMOTIVO</v>
          </cell>
          <cell r="C692" t="str">
            <v>Bucha Bandeja</v>
          </cell>
          <cell r="D692" t="str">
            <v>KIT</v>
          </cell>
          <cell r="E692" t="str">
            <v>MOBENSANI</v>
          </cell>
        </row>
        <row r="693">
          <cell r="A693" t="str">
            <v>PARFTK99082-MB</v>
          </cell>
          <cell r="B693" t="str">
            <v>AUTOMOTIVO</v>
          </cell>
          <cell r="C693" t="str">
            <v>Bucha Bandeja</v>
          </cell>
          <cell r="D693" t="str">
            <v>KIT</v>
          </cell>
          <cell r="E693" t="str">
            <v>MOBENSANI</v>
          </cell>
        </row>
        <row r="694">
          <cell r="A694" t="str">
            <v>PARFTK99083-MB</v>
          </cell>
          <cell r="B694" t="str">
            <v>AUTOMOTIVO</v>
          </cell>
          <cell r="C694" t="str">
            <v>Bucha Bandeja</v>
          </cell>
          <cell r="D694" t="str">
            <v>KIT</v>
          </cell>
          <cell r="E694" t="str">
            <v>MOBENSANI</v>
          </cell>
        </row>
        <row r="695">
          <cell r="A695" t="str">
            <v>PARFTK99103/04-MB</v>
          </cell>
          <cell r="B695" t="str">
            <v>AUTOMOTIVO</v>
          </cell>
          <cell r="C695" t="str">
            <v>Bucha Bandeja</v>
          </cell>
          <cell r="D695" t="str">
            <v>KIT</v>
          </cell>
          <cell r="E695" t="str">
            <v>MOBENSANI</v>
          </cell>
        </row>
        <row r="696">
          <cell r="A696" t="str">
            <v>PARFTK99128/29-MB</v>
          </cell>
          <cell r="B696" t="str">
            <v>AUTOMOTIVO</v>
          </cell>
          <cell r="C696" t="str">
            <v>Bucha Bandeja</v>
          </cell>
          <cell r="D696" t="str">
            <v>KIT</v>
          </cell>
          <cell r="E696" t="str">
            <v>MOBENSANI</v>
          </cell>
        </row>
        <row r="697">
          <cell r="A697" t="str">
            <v>PARFTK99140-MB</v>
          </cell>
          <cell r="B697" t="str">
            <v>AUTOMOTIVO</v>
          </cell>
          <cell r="C697" t="str">
            <v>Bucha Bandeja</v>
          </cell>
          <cell r="D697" t="str">
            <v>KIT</v>
          </cell>
          <cell r="E697" t="str">
            <v>MOBENSANI</v>
          </cell>
        </row>
        <row r="698">
          <cell r="A698" t="str">
            <v>PARFTK99171-MB</v>
          </cell>
          <cell r="B698" t="str">
            <v>AUTOMOTIVO</v>
          </cell>
          <cell r="C698" t="str">
            <v>Bucha Bandeja</v>
          </cell>
          <cell r="D698" t="str">
            <v>KIT</v>
          </cell>
          <cell r="E698" t="str">
            <v>MOBENSANI</v>
          </cell>
        </row>
        <row r="699">
          <cell r="A699" t="str">
            <v>PARFTK99325-MB</v>
          </cell>
          <cell r="B699" t="str">
            <v>AUTOMOTIVO</v>
          </cell>
          <cell r="C699" t="str">
            <v>Bucha Bandeja</v>
          </cell>
          <cell r="D699" t="str">
            <v>KIT</v>
          </cell>
          <cell r="E699" t="str">
            <v>MOBENSANI</v>
          </cell>
        </row>
        <row r="700">
          <cell r="A700" t="str">
            <v>PARFTK99370/71-MB</v>
          </cell>
          <cell r="B700" t="str">
            <v>AUTOMOTIVO</v>
          </cell>
          <cell r="C700" t="str">
            <v>Bucha Bandeja</v>
          </cell>
          <cell r="D700" t="str">
            <v>KIT</v>
          </cell>
          <cell r="E700" t="str">
            <v>MOBENSANI</v>
          </cell>
        </row>
        <row r="701">
          <cell r="A701">
            <v>12152</v>
          </cell>
          <cell r="B701" t="str">
            <v>AUTOMOTIVO</v>
          </cell>
          <cell r="C701" t="str">
            <v>Pino de Porta</v>
          </cell>
          <cell r="D701" t="str">
            <v>SIMPLES</v>
          </cell>
          <cell r="E701" t="str">
            <v>MultiKit</v>
          </cell>
        </row>
        <row r="702">
          <cell r="A702">
            <v>13120</v>
          </cell>
          <cell r="B702" t="str">
            <v>AUTOMOTIVO</v>
          </cell>
          <cell r="C702" t="str">
            <v>Pino de Freio</v>
          </cell>
          <cell r="D702" t="str">
            <v>SIMPLES</v>
          </cell>
          <cell r="E702" t="str">
            <v>MultiKit</v>
          </cell>
        </row>
        <row r="703">
          <cell r="A703">
            <v>13121</v>
          </cell>
          <cell r="B703" t="str">
            <v>AUTOMOTIVO</v>
          </cell>
          <cell r="C703" t="str">
            <v>Pino de Freio</v>
          </cell>
          <cell r="D703" t="str">
            <v>SIMPLES</v>
          </cell>
          <cell r="E703" t="str">
            <v>MultiKit</v>
          </cell>
        </row>
        <row r="704">
          <cell r="A704">
            <v>13125</v>
          </cell>
          <cell r="B704" t="str">
            <v>AUTOMOTIVO</v>
          </cell>
          <cell r="C704" t="str">
            <v>Pino de Freio</v>
          </cell>
          <cell r="D704" t="str">
            <v>SIMPLES</v>
          </cell>
          <cell r="E704" t="str">
            <v>MultiKit</v>
          </cell>
        </row>
        <row r="705">
          <cell r="A705">
            <v>14097</v>
          </cell>
          <cell r="B705" t="str">
            <v>AUTOMOTIVO</v>
          </cell>
          <cell r="C705" t="str">
            <v>Pino de Freio</v>
          </cell>
          <cell r="D705" t="str">
            <v>SIMPLES</v>
          </cell>
          <cell r="E705" t="str">
            <v>MultiKit</v>
          </cell>
        </row>
        <row r="706">
          <cell r="A706">
            <v>14098</v>
          </cell>
          <cell r="B706" t="str">
            <v>AUTOMOTIVO</v>
          </cell>
          <cell r="C706" t="str">
            <v>Pino de Porta</v>
          </cell>
          <cell r="D706" t="str">
            <v>SIMPLES</v>
          </cell>
          <cell r="E706" t="str">
            <v>MultiKit</v>
          </cell>
        </row>
        <row r="707">
          <cell r="A707">
            <v>14099</v>
          </cell>
          <cell r="B707" t="str">
            <v>AUTOMOTIVO</v>
          </cell>
          <cell r="C707" t="str">
            <v>Pino de Porta</v>
          </cell>
          <cell r="D707" t="str">
            <v>SIMPLES</v>
          </cell>
          <cell r="E707" t="str">
            <v>MultiKit</v>
          </cell>
        </row>
        <row r="708">
          <cell r="A708">
            <v>14104</v>
          </cell>
          <cell r="B708" t="str">
            <v>AUTOMOTIVO</v>
          </cell>
          <cell r="C708" t="str">
            <v>Pino de Freio</v>
          </cell>
          <cell r="D708" t="str">
            <v>SIMPLES</v>
          </cell>
          <cell r="E708" t="str">
            <v>MultiKit</v>
          </cell>
        </row>
        <row r="709">
          <cell r="A709">
            <v>23079</v>
          </cell>
          <cell r="B709" t="str">
            <v>AUTOMOTIVO</v>
          </cell>
          <cell r="C709" t="str">
            <v>Pino de Porta</v>
          </cell>
          <cell r="D709" t="str">
            <v>SIMPLES</v>
          </cell>
          <cell r="E709" t="str">
            <v>MultiKit</v>
          </cell>
        </row>
        <row r="710">
          <cell r="A710">
            <v>23100</v>
          </cell>
          <cell r="B710" t="str">
            <v>AUTOMOTIVO</v>
          </cell>
          <cell r="C710" t="str">
            <v>Pino de Freio</v>
          </cell>
          <cell r="D710" t="str">
            <v>SIMPLES</v>
          </cell>
          <cell r="E710" t="str">
            <v>MultiKit</v>
          </cell>
        </row>
        <row r="711">
          <cell r="A711">
            <v>23125</v>
          </cell>
          <cell r="B711" t="str">
            <v>AUTOMOTIVO</v>
          </cell>
          <cell r="C711" t="str">
            <v>Pino de Freio</v>
          </cell>
          <cell r="D711" t="str">
            <v>SIMPLES</v>
          </cell>
          <cell r="E711" t="str">
            <v>MultiKit</v>
          </cell>
        </row>
        <row r="712">
          <cell r="A712">
            <v>23129</v>
          </cell>
          <cell r="B712" t="str">
            <v>AUTOMOTIVO</v>
          </cell>
          <cell r="C712" t="str">
            <v>Pino de Freio</v>
          </cell>
          <cell r="D712" t="str">
            <v>SIMPLES</v>
          </cell>
          <cell r="E712" t="str">
            <v>MultiKit</v>
          </cell>
        </row>
        <row r="713">
          <cell r="A713">
            <v>26048</v>
          </cell>
          <cell r="B713" t="str">
            <v>AUTOMOTIVO</v>
          </cell>
          <cell r="C713" t="str">
            <v>Pino de Freio</v>
          </cell>
          <cell r="D713" t="str">
            <v>SIMPLES</v>
          </cell>
          <cell r="E713" t="str">
            <v>MultiKit</v>
          </cell>
        </row>
        <row r="714">
          <cell r="A714">
            <v>26056</v>
          </cell>
          <cell r="B714" t="str">
            <v>AUTOMOTIVO</v>
          </cell>
          <cell r="C714" t="str">
            <v>Pino de Freio</v>
          </cell>
          <cell r="D714" t="str">
            <v>SIMPLES</v>
          </cell>
          <cell r="E714" t="str">
            <v>MultiKit</v>
          </cell>
        </row>
        <row r="715">
          <cell r="A715">
            <v>27020</v>
          </cell>
          <cell r="B715" t="str">
            <v>AUTOMOTIVO</v>
          </cell>
          <cell r="C715" t="str">
            <v>Pino de Freio</v>
          </cell>
          <cell r="D715" t="str">
            <v>SIMPLES</v>
          </cell>
          <cell r="E715" t="str">
            <v>MultiKit</v>
          </cell>
        </row>
        <row r="716">
          <cell r="A716">
            <v>28006</v>
          </cell>
          <cell r="B716" t="str">
            <v>AUTOMOTIVO</v>
          </cell>
          <cell r="C716" t="str">
            <v>Pino de Freio</v>
          </cell>
          <cell r="D716" t="str">
            <v>SIMPLES</v>
          </cell>
          <cell r="E716" t="str">
            <v>MultiKit</v>
          </cell>
        </row>
        <row r="717">
          <cell r="A717">
            <v>29014</v>
          </cell>
          <cell r="B717" t="str">
            <v>AUTOMOTIVO</v>
          </cell>
          <cell r="C717" t="str">
            <v>Pino de Freio</v>
          </cell>
          <cell r="D717" t="str">
            <v>SIMPLES</v>
          </cell>
          <cell r="E717" t="str">
            <v>MultiKit</v>
          </cell>
        </row>
        <row r="718">
          <cell r="A718">
            <v>29037</v>
          </cell>
          <cell r="B718" t="str">
            <v>AUTOMOTIVO</v>
          </cell>
          <cell r="C718" t="str">
            <v>Pino de Freio</v>
          </cell>
          <cell r="D718" t="str">
            <v>SIMPLES</v>
          </cell>
          <cell r="E718" t="str">
            <v>MultiKit</v>
          </cell>
        </row>
        <row r="719">
          <cell r="A719" t="str">
            <v>14097/99</v>
          </cell>
          <cell r="B719" t="str">
            <v>AUTOMOTIVO</v>
          </cell>
          <cell r="C719" t="str">
            <v>Pino de Porta</v>
          </cell>
          <cell r="D719" t="str">
            <v>KIT</v>
          </cell>
          <cell r="E719" t="str">
            <v>MultiKit</v>
          </cell>
        </row>
        <row r="720">
          <cell r="A720" t="str">
            <v>2 Kits 14097-14099</v>
          </cell>
          <cell r="B720" t="str">
            <v>AUTOMOTIVO</v>
          </cell>
          <cell r="C720" t="str">
            <v>Pino de Porta</v>
          </cell>
          <cell r="D720" t="str">
            <v>KIT</v>
          </cell>
          <cell r="E720" t="str">
            <v>MultiKit</v>
          </cell>
        </row>
        <row r="721">
          <cell r="A721" t="str">
            <v>2kits-12152</v>
          </cell>
          <cell r="B721" t="str">
            <v>AUTOMOTIVO</v>
          </cell>
          <cell r="C721" t="str">
            <v>Pino de Porta</v>
          </cell>
          <cell r="D721" t="str">
            <v>KIT</v>
          </cell>
          <cell r="E721" t="str">
            <v>MultiKit</v>
          </cell>
        </row>
        <row r="722">
          <cell r="A722" t="str">
            <v>4kit-12152</v>
          </cell>
          <cell r="B722" t="str">
            <v>AUTOMOTIVO</v>
          </cell>
          <cell r="C722" t="str">
            <v>Pino de Porta</v>
          </cell>
          <cell r="D722" t="str">
            <v>KIT</v>
          </cell>
          <cell r="E722" t="str">
            <v>MultiKit</v>
          </cell>
        </row>
        <row r="723">
          <cell r="A723" t="str">
            <v>4KIT-14098</v>
          </cell>
          <cell r="B723" t="str">
            <v>AUTOMOTIVO</v>
          </cell>
          <cell r="C723" t="str">
            <v>Pino de Porta</v>
          </cell>
          <cell r="D723" t="str">
            <v>KIT</v>
          </cell>
          <cell r="E723" t="str">
            <v>MultiKit</v>
          </cell>
        </row>
        <row r="724">
          <cell r="A724" t="str">
            <v>4kits14097/99</v>
          </cell>
          <cell r="B724" t="str">
            <v>AUTOMOTIVO</v>
          </cell>
          <cell r="C724" t="str">
            <v>Pino de Porta</v>
          </cell>
          <cell r="D724" t="str">
            <v>KIT</v>
          </cell>
          <cell r="E724" t="str">
            <v>MultiKit</v>
          </cell>
        </row>
        <row r="725">
          <cell r="A725" t="str">
            <v>4Kits-14097/99</v>
          </cell>
          <cell r="B725" t="str">
            <v>AUTOMOTIVO</v>
          </cell>
          <cell r="C725" t="str">
            <v>Pino de Porta</v>
          </cell>
          <cell r="D725" t="str">
            <v>KIT</v>
          </cell>
          <cell r="E725" t="str">
            <v>MultiKit</v>
          </cell>
        </row>
        <row r="726">
          <cell r="A726" t="str">
            <v>8kit-12152</v>
          </cell>
          <cell r="B726" t="str">
            <v>AUTOMOTIVO</v>
          </cell>
          <cell r="C726" t="str">
            <v>Pino de Porta</v>
          </cell>
          <cell r="D726" t="str">
            <v>KIT</v>
          </cell>
          <cell r="E726" t="str">
            <v>MultiKit</v>
          </cell>
        </row>
        <row r="727">
          <cell r="A727" t="str">
            <v>KIT-12152</v>
          </cell>
          <cell r="B727" t="str">
            <v>AUTOMOTIVO</v>
          </cell>
          <cell r="C727" t="str">
            <v>Pino de Porta</v>
          </cell>
          <cell r="D727" t="str">
            <v>KIT</v>
          </cell>
          <cell r="E727" t="str">
            <v>MultiKit</v>
          </cell>
        </row>
        <row r="728">
          <cell r="A728" t="str">
            <v>Kit-23079</v>
          </cell>
          <cell r="B728" t="str">
            <v>AUTOMOTIVO</v>
          </cell>
          <cell r="C728" t="str">
            <v>Pino de Porta</v>
          </cell>
          <cell r="D728" t="str">
            <v>KIT</v>
          </cell>
          <cell r="E728" t="str">
            <v>MultiKit</v>
          </cell>
        </row>
        <row r="729">
          <cell r="A729" t="str">
            <v>kit-26048</v>
          </cell>
          <cell r="B729" t="str">
            <v>AUTOMOTIVO</v>
          </cell>
          <cell r="C729" t="str">
            <v>Pino de Freio</v>
          </cell>
          <cell r="D729" t="str">
            <v>KIT</v>
          </cell>
          <cell r="E729" t="str">
            <v>MultiKit</v>
          </cell>
        </row>
        <row r="730">
          <cell r="A730" t="str">
            <v>Par 28006</v>
          </cell>
          <cell r="B730" t="str">
            <v>AUTOMOTIVO</v>
          </cell>
          <cell r="C730" t="str">
            <v>Pino de Freio</v>
          </cell>
          <cell r="D730" t="str">
            <v>KIT</v>
          </cell>
          <cell r="E730" t="str">
            <v>MultiKit</v>
          </cell>
        </row>
        <row r="731">
          <cell r="A731" t="str">
            <v>Par-12152</v>
          </cell>
          <cell r="B731" t="str">
            <v>AUTOMOTIVO</v>
          </cell>
          <cell r="C731" t="str">
            <v>Pino de Porta</v>
          </cell>
          <cell r="D731" t="str">
            <v>KIT</v>
          </cell>
          <cell r="E731" t="str">
            <v>MultiKit</v>
          </cell>
        </row>
        <row r="732">
          <cell r="A732" t="str">
            <v>PAR-13120</v>
          </cell>
          <cell r="B732" t="str">
            <v>AUTOMOTIVO</v>
          </cell>
          <cell r="C732" t="str">
            <v>Pino de Freio</v>
          </cell>
          <cell r="D732" t="str">
            <v>KIT</v>
          </cell>
          <cell r="E732" t="str">
            <v>MultiKit</v>
          </cell>
        </row>
        <row r="733">
          <cell r="A733" t="str">
            <v>PAR-13121</v>
          </cell>
          <cell r="B733" t="str">
            <v>AUTOMOTIVO</v>
          </cell>
          <cell r="C733" t="str">
            <v>Pino de Freio</v>
          </cell>
          <cell r="D733" t="str">
            <v>KIT</v>
          </cell>
          <cell r="E733" t="str">
            <v>MultiKit</v>
          </cell>
        </row>
        <row r="734">
          <cell r="A734" t="str">
            <v>par-13125</v>
          </cell>
          <cell r="B734" t="str">
            <v>AUTOMOTIVO</v>
          </cell>
          <cell r="C734" t="str">
            <v>Pino de Freio</v>
          </cell>
          <cell r="D734" t="str">
            <v>KIT</v>
          </cell>
          <cell r="E734" t="str">
            <v>MultiKit</v>
          </cell>
        </row>
        <row r="735">
          <cell r="A735" t="str">
            <v>PAR-14097/99</v>
          </cell>
          <cell r="B735" t="str">
            <v>AUTOMOTIVO</v>
          </cell>
          <cell r="C735" t="str">
            <v>Pino de Porta</v>
          </cell>
          <cell r="D735" t="str">
            <v>KIT</v>
          </cell>
          <cell r="E735" t="str">
            <v>MultiKit</v>
          </cell>
        </row>
        <row r="736">
          <cell r="A736" t="str">
            <v>PAR-14098</v>
          </cell>
          <cell r="B736" t="str">
            <v>AUTOMOTIVO</v>
          </cell>
          <cell r="C736" t="str">
            <v>Pino de Porta</v>
          </cell>
          <cell r="D736" t="str">
            <v>KIT</v>
          </cell>
          <cell r="E736" t="str">
            <v>MultiKit</v>
          </cell>
        </row>
        <row r="737">
          <cell r="A737" t="str">
            <v>Par-14104</v>
          </cell>
          <cell r="B737" t="str">
            <v>AUTOMOTIVO</v>
          </cell>
          <cell r="C737" t="str">
            <v>Pino de Freio</v>
          </cell>
          <cell r="D737" t="str">
            <v>KIT</v>
          </cell>
          <cell r="E737" t="str">
            <v>MultiKit</v>
          </cell>
        </row>
        <row r="738">
          <cell r="A738" t="str">
            <v>Par-23079</v>
          </cell>
          <cell r="B738" t="str">
            <v>AUTOMOTIVO</v>
          </cell>
          <cell r="C738" t="str">
            <v>Pino de Porta</v>
          </cell>
          <cell r="D738" t="str">
            <v>KIT</v>
          </cell>
          <cell r="E738" t="str">
            <v>MultiKit</v>
          </cell>
        </row>
        <row r="739">
          <cell r="A739" t="str">
            <v>Par-23100</v>
          </cell>
          <cell r="B739" t="str">
            <v>AUTOMOTIVO</v>
          </cell>
          <cell r="C739" t="str">
            <v>Pino de Freio</v>
          </cell>
          <cell r="D739" t="str">
            <v>KIT</v>
          </cell>
          <cell r="E739" t="str">
            <v>MultiKit</v>
          </cell>
        </row>
        <row r="740">
          <cell r="A740" t="str">
            <v>Par-23125</v>
          </cell>
          <cell r="B740" t="str">
            <v>AUTOMOTIVO</v>
          </cell>
          <cell r="C740" t="str">
            <v>Pino de Freio</v>
          </cell>
          <cell r="D740" t="str">
            <v>KIT</v>
          </cell>
          <cell r="E740" t="str">
            <v>MultiKit</v>
          </cell>
        </row>
        <row r="741">
          <cell r="A741" t="str">
            <v>Par-23129</v>
          </cell>
          <cell r="B741" t="str">
            <v>AUTOMOTIVO</v>
          </cell>
          <cell r="C741" t="str">
            <v>Pino de Freio</v>
          </cell>
          <cell r="D741" t="str">
            <v>KIT</v>
          </cell>
          <cell r="E741" t="str">
            <v>MultiKit</v>
          </cell>
        </row>
        <row r="742">
          <cell r="A742" t="str">
            <v>par-26048</v>
          </cell>
          <cell r="B742" t="str">
            <v>AUTOMOTIVO</v>
          </cell>
          <cell r="C742" t="str">
            <v>Pino de Freio</v>
          </cell>
          <cell r="D742" t="str">
            <v>KIT</v>
          </cell>
          <cell r="E742" t="str">
            <v>MultiKit</v>
          </cell>
        </row>
        <row r="743">
          <cell r="A743" t="str">
            <v>Par-26056</v>
          </cell>
          <cell r="B743" t="str">
            <v>AUTOMOTIVO</v>
          </cell>
          <cell r="C743" t="str">
            <v>Pino de Freio</v>
          </cell>
          <cell r="D743" t="str">
            <v>KIT</v>
          </cell>
          <cell r="E743" t="str">
            <v>MultiKit</v>
          </cell>
        </row>
        <row r="744">
          <cell r="A744" t="str">
            <v>Par-27020</v>
          </cell>
          <cell r="B744" t="str">
            <v>AUTOMOTIVO</v>
          </cell>
          <cell r="C744" t="str">
            <v>Pino de Freio</v>
          </cell>
          <cell r="D744" t="str">
            <v>KIT</v>
          </cell>
          <cell r="E744" t="str">
            <v>MultiKit</v>
          </cell>
        </row>
        <row r="745">
          <cell r="A745" t="str">
            <v>Par-28006</v>
          </cell>
          <cell r="B745" t="str">
            <v>AUTOMOTIVO</v>
          </cell>
          <cell r="C745" t="str">
            <v>Pino de Freio</v>
          </cell>
          <cell r="D745" t="str">
            <v>KIT</v>
          </cell>
          <cell r="E745" t="str">
            <v>MultiKit</v>
          </cell>
        </row>
        <row r="746">
          <cell r="A746" t="str">
            <v>PAR-29014</v>
          </cell>
          <cell r="B746" t="str">
            <v>AUTOMOTIVO</v>
          </cell>
          <cell r="C746" t="str">
            <v>Pino de Freio</v>
          </cell>
          <cell r="D746" t="str">
            <v>KIT</v>
          </cell>
          <cell r="E746" t="str">
            <v>MultiKit</v>
          </cell>
        </row>
        <row r="747">
          <cell r="A747" t="str">
            <v>Par-29037</v>
          </cell>
          <cell r="B747" t="str">
            <v>AUTOMOTIVO</v>
          </cell>
          <cell r="C747" t="str">
            <v>Pino de Freio</v>
          </cell>
          <cell r="D747" t="str">
            <v>KIT</v>
          </cell>
          <cell r="E747" t="str">
            <v>MultiKit</v>
          </cell>
        </row>
        <row r="748">
          <cell r="A748" t="str">
            <v>par-55123</v>
          </cell>
          <cell r="B748" t="str">
            <v>AUTOMOTIVO</v>
          </cell>
          <cell r="C748" t="str">
            <v>Pino de Freio</v>
          </cell>
          <cell r="D748" t="str">
            <v>KIT</v>
          </cell>
          <cell r="E748" t="str">
            <v>MultiKit</v>
          </cell>
        </row>
        <row r="749">
          <cell r="A749">
            <v>33820</v>
          </cell>
          <cell r="B749" t="str">
            <v>AUTOMOTIVO</v>
          </cell>
          <cell r="C749" t="str">
            <v>Cabo limitador tampa traseira</v>
          </cell>
          <cell r="D749" t="str">
            <v>SIMPLES</v>
          </cell>
          <cell r="E749" t="str">
            <v>MundiFlex</v>
          </cell>
        </row>
        <row r="750">
          <cell r="A750">
            <v>44507</v>
          </cell>
          <cell r="B750" t="str">
            <v>AUTOMOTIVO</v>
          </cell>
          <cell r="C750" t="str">
            <v>Cabo de Capô</v>
          </cell>
          <cell r="D750" t="str">
            <v>SIMPLES</v>
          </cell>
          <cell r="E750" t="str">
            <v>MundiFlex</v>
          </cell>
        </row>
        <row r="751">
          <cell r="A751">
            <v>55006</v>
          </cell>
          <cell r="B751" t="str">
            <v>AUTOMOTIVO</v>
          </cell>
          <cell r="C751" t="str">
            <v>Cabo Embreagem</v>
          </cell>
          <cell r="D751" t="str">
            <v>SIMPLES</v>
          </cell>
          <cell r="E751" t="str">
            <v>MundiFlex</v>
          </cell>
        </row>
        <row r="752">
          <cell r="A752">
            <v>55013</v>
          </cell>
          <cell r="B752" t="str">
            <v>AUTOMOTIVO</v>
          </cell>
          <cell r="C752" t="str">
            <v>Cabo Embreagem</v>
          </cell>
          <cell r="D752" t="str">
            <v>SIMPLES</v>
          </cell>
          <cell r="E752" t="str">
            <v>MundiFlex</v>
          </cell>
        </row>
        <row r="753">
          <cell r="A753">
            <v>55023</v>
          </cell>
          <cell r="B753" t="str">
            <v>AUTOMOTIVO</v>
          </cell>
          <cell r="C753" t="str">
            <v>Cabo Embreagem</v>
          </cell>
          <cell r="D753" t="str">
            <v>SIMPLES</v>
          </cell>
          <cell r="E753" t="str">
            <v>MundiFlex</v>
          </cell>
        </row>
        <row r="754">
          <cell r="A754">
            <v>55026</v>
          </cell>
          <cell r="B754" t="str">
            <v>AUTOMOTIVO</v>
          </cell>
          <cell r="C754" t="str">
            <v>Cabo Embreagem</v>
          </cell>
          <cell r="D754" t="str">
            <v>SIMPLES</v>
          </cell>
          <cell r="E754" t="str">
            <v>MundiFlex</v>
          </cell>
        </row>
        <row r="755">
          <cell r="A755">
            <v>55028</v>
          </cell>
          <cell r="B755" t="str">
            <v>AUTOMOTIVO</v>
          </cell>
          <cell r="C755" t="str">
            <v>Cabo Embreagem</v>
          </cell>
          <cell r="D755" t="str">
            <v>SIMPLES</v>
          </cell>
          <cell r="E755" t="str">
            <v>MundiFlex</v>
          </cell>
        </row>
        <row r="756">
          <cell r="A756">
            <v>55030</v>
          </cell>
          <cell r="B756" t="str">
            <v>AUTOMOTIVO</v>
          </cell>
          <cell r="C756" t="str">
            <v>Cabo Embreagem</v>
          </cell>
          <cell r="D756" t="str">
            <v>SIMPLES</v>
          </cell>
          <cell r="E756" t="str">
            <v>MundiFlex</v>
          </cell>
        </row>
        <row r="757">
          <cell r="A757">
            <v>55064</v>
          </cell>
          <cell r="B757" t="str">
            <v>AUTOMOTIVO</v>
          </cell>
          <cell r="C757" t="str">
            <v>Cabo de Acelerador</v>
          </cell>
          <cell r="D757" t="str">
            <v>SIMPLES</v>
          </cell>
          <cell r="E757" t="str">
            <v>MundiFlex</v>
          </cell>
        </row>
        <row r="758">
          <cell r="A758">
            <v>55110</v>
          </cell>
          <cell r="B758" t="str">
            <v>AUTOMOTIVO</v>
          </cell>
          <cell r="C758" t="str">
            <v>Cabo de Capô</v>
          </cell>
          <cell r="D758" t="str">
            <v>SIMPLES</v>
          </cell>
          <cell r="E758" t="str">
            <v>MundiFlex</v>
          </cell>
        </row>
        <row r="759">
          <cell r="A759">
            <v>55120</v>
          </cell>
          <cell r="B759" t="str">
            <v>AUTOMOTIVO</v>
          </cell>
          <cell r="C759" t="str">
            <v>Cabo de Freio</v>
          </cell>
          <cell r="D759" t="str">
            <v>SIMPLES</v>
          </cell>
          <cell r="E759" t="str">
            <v>MundiFlex</v>
          </cell>
        </row>
        <row r="760">
          <cell r="A760">
            <v>55123</v>
          </cell>
          <cell r="B760" t="str">
            <v>AUTOMOTIVO</v>
          </cell>
          <cell r="C760" t="str">
            <v>Cabo de Freio</v>
          </cell>
          <cell r="D760" t="str">
            <v>SIMPLES</v>
          </cell>
          <cell r="E760" t="str">
            <v>MundiFlex</v>
          </cell>
        </row>
        <row r="761">
          <cell r="A761">
            <v>55131</v>
          </cell>
          <cell r="B761" t="str">
            <v>AUTOMOTIVO</v>
          </cell>
          <cell r="C761" t="str">
            <v>Cabo de Acelerador</v>
          </cell>
          <cell r="D761" t="str">
            <v>SIMPLES</v>
          </cell>
          <cell r="E761" t="str">
            <v>MundiFlex</v>
          </cell>
        </row>
        <row r="762">
          <cell r="A762">
            <v>55142</v>
          </cell>
          <cell r="B762" t="str">
            <v>AUTOMOTIVO</v>
          </cell>
          <cell r="C762" t="str">
            <v>Cabo de Freio</v>
          </cell>
          <cell r="D762" t="str">
            <v>SIMPLES</v>
          </cell>
          <cell r="E762" t="str">
            <v>MundiFlex</v>
          </cell>
        </row>
        <row r="763">
          <cell r="A763">
            <v>55143</v>
          </cell>
          <cell r="B763" t="str">
            <v>AUTOMOTIVO</v>
          </cell>
          <cell r="C763" t="str">
            <v>Cabo de Freio</v>
          </cell>
          <cell r="D763" t="str">
            <v>SIMPLES</v>
          </cell>
          <cell r="E763" t="str">
            <v>MundiFlex</v>
          </cell>
        </row>
        <row r="764">
          <cell r="A764">
            <v>55174</v>
          </cell>
          <cell r="B764" t="str">
            <v>AUTOMOTIVO</v>
          </cell>
          <cell r="C764" t="str">
            <v>Cabo de Velocímetro</v>
          </cell>
          <cell r="D764" t="str">
            <v>SIMPLES</v>
          </cell>
          <cell r="E764" t="str">
            <v>MundiFlex</v>
          </cell>
        </row>
        <row r="765">
          <cell r="A765">
            <v>55311</v>
          </cell>
          <cell r="B765" t="str">
            <v>AUTOMOTIVO</v>
          </cell>
          <cell r="C765" t="str">
            <v>Cabo limitador tampa traseira</v>
          </cell>
          <cell r="D765" t="str">
            <v>SIMPLES</v>
          </cell>
          <cell r="E765" t="str">
            <v>MundiFlex</v>
          </cell>
        </row>
        <row r="766">
          <cell r="A766">
            <v>55312</v>
          </cell>
          <cell r="B766" t="str">
            <v>AUTOMOTIVO</v>
          </cell>
          <cell r="C766" t="str">
            <v>Cabo de Capô</v>
          </cell>
          <cell r="D766" t="str">
            <v>SIMPLES</v>
          </cell>
          <cell r="E766" t="str">
            <v>MundiFlex</v>
          </cell>
        </row>
        <row r="767">
          <cell r="A767">
            <v>55323</v>
          </cell>
          <cell r="B767" t="str">
            <v>AUTOMOTIVO</v>
          </cell>
          <cell r="C767" t="str">
            <v>Cabo de Capô</v>
          </cell>
          <cell r="D767" t="str">
            <v>SIMPLES</v>
          </cell>
          <cell r="E767" t="str">
            <v>MundiFlex</v>
          </cell>
        </row>
        <row r="768">
          <cell r="A768">
            <v>55351</v>
          </cell>
          <cell r="B768" t="str">
            <v>AUTOMOTIVO</v>
          </cell>
          <cell r="C768" t="str">
            <v>Cabo limitador tampa traseira</v>
          </cell>
          <cell r="D768" t="str">
            <v>SIMPLES</v>
          </cell>
          <cell r="E768" t="str">
            <v>MundiFlex</v>
          </cell>
        </row>
        <row r="769">
          <cell r="A769">
            <v>66031</v>
          </cell>
          <cell r="B769" t="str">
            <v>AUTOMOTIVO</v>
          </cell>
          <cell r="C769" t="str">
            <v>Cabo de Freio</v>
          </cell>
          <cell r="D769" t="str">
            <v>SIMPLES</v>
          </cell>
          <cell r="E769" t="str">
            <v>MundiFlex</v>
          </cell>
        </row>
        <row r="770">
          <cell r="A770">
            <v>66044</v>
          </cell>
          <cell r="B770" t="str">
            <v>AUTOMOTIVO</v>
          </cell>
          <cell r="C770" t="str">
            <v>Cabo de Velocímetro</v>
          </cell>
          <cell r="D770" t="str">
            <v>SIMPLES</v>
          </cell>
          <cell r="E770" t="str">
            <v>MundiFlex</v>
          </cell>
        </row>
        <row r="771">
          <cell r="A771">
            <v>66080</v>
          </cell>
          <cell r="B771" t="str">
            <v>AUTOMOTIVO</v>
          </cell>
          <cell r="C771" t="str">
            <v>Cabo de Capô</v>
          </cell>
          <cell r="D771" t="str">
            <v>SIMPLES</v>
          </cell>
          <cell r="E771" t="str">
            <v>MundiFlex</v>
          </cell>
        </row>
        <row r="772">
          <cell r="A772">
            <v>66081</v>
          </cell>
          <cell r="B772" t="str">
            <v>AUTOMOTIVO</v>
          </cell>
          <cell r="C772" t="str">
            <v>Cabo de Capô</v>
          </cell>
          <cell r="D772" t="str">
            <v>SIMPLES</v>
          </cell>
          <cell r="E772" t="str">
            <v>MundiFlex</v>
          </cell>
        </row>
        <row r="773">
          <cell r="A773">
            <v>66300</v>
          </cell>
          <cell r="B773" t="str">
            <v>AUTOMOTIVO</v>
          </cell>
          <cell r="C773" t="str">
            <v>Cabo de Freio</v>
          </cell>
          <cell r="D773" t="str">
            <v>SIMPLES</v>
          </cell>
          <cell r="E773" t="str">
            <v>MundiFlex</v>
          </cell>
        </row>
        <row r="774">
          <cell r="A774">
            <v>66301</v>
          </cell>
          <cell r="B774" t="str">
            <v>AUTOMOTIVO</v>
          </cell>
          <cell r="C774" t="str">
            <v>Cabo de Freio</v>
          </cell>
          <cell r="D774" t="str">
            <v>SIMPLES</v>
          </cell>
          <cell r="E774" t="str">
            <v>MundiFlex</v>
          </cell>
        </row>
        <row r="775">
          <cell r="A775">
            <v>66413</v>
          </cell>
          <cell r="B775" t="str">
            <v>AUTOMOTIVO</v>
          </cell>
          <cell r="C775" t="str">
            <v>Cabo Embreagem</v>
          </cell>
          <cell r="D775" t="str">
            <v>SIMPLES</v>
          </cell>
          <cell r="E775" t="str">
            <v>MundiFlex</v>
          </cell>
        </row>
        <row r="776">
          <cell r="A776">
            <v>66419</v>
          </cell>
          <cell r="B776" t="str">
            <v>AUTOMOTIVO</v>
          </cell>
          <cell r="C776" t="str">
            <v>Cabo Embreagem</v>
          </cell>
          <cell r="D776" t="str">
            <v>SIMPLES</v>
          </cell>
          <cell r="E776" t="str">
            <v>MundiFlex</v>
          </cell>
        </row>
        <row r="777">
          <cell r="A777">
            <v>66425</v>
          </cell>
          <cell r="B777" t="str">
            <v>AUTOMOTIVO</v>
          </cell>
          <cell r="C777" t="str">
            <v>Cabo Embreagem</v>
          </cell>
          <cell r="D777" t="str">
            <v>SIMPLES</v>
          </cell>
          <cell r="E777" t="str">
            <v>MundiFlex</v>
          </cell>
        </row>
        <row r="778">
          <cell r="A778">
            <v>66507</v>
          </cell>
          <cell r="B778" t="str">
            <v>AUTOMOTIVO</v>
          </cell>
          <cell r="C778" t="str">
            <v>Cabo de Capô</v>
          </cell>
          <cell r="D778" t="str">
            <v>SIMPLES</v>
          </cell>
          <cell r="E778" t="str">
            <v>MundiFlex</v>
          </cell>
        </row>
        <row r="779">
          <cell r="A779">
            <v>66508</v>
          </cell>
          <cell r="B779" t="str">
            <v>AUTOMOTIVO</v>
          </cell>
          <cell r="C779" t="str">
            <v>Cabo de Capô</v>
          </cell>
          <cell r="D779" t="str">
            <v>SIMPLES</v>
          </cell>
          <cell r="E779" t="str">
            <v>MundiFlex</v>
          </cell>
        </row>
        <row r="780">
          <cell r="A780">
            <v>66516</v>
          </cell>
          <cell r="B780" t="str">
            <v>AUTOMOTIVO</v>
          </cell>
          <cell r="C780" t="str">
            <v>Cabo limitador tampa traseira</v>
          </cell>
          <cell r="D780" t="str">
            <v>SIMPLES</v>
          </cell>
          <cell r="E780" t="str">
            <v>MundiFlex</v>
          </cell>
        </row>
        <row r="781">
          <cell r="A781">
            <v>77003</v>
          </cell>
          <cell r="B781" t="str">
            <v>AUTOMOTIVO</v>
          </cell>
          <cell r="C781" t="str">
            <v>Cabo Embreagem</v>
          </cell>
          <cell r="D781" t="str">
            <v>SIMPLES</v>
          </cell>
          <cell r="E781" t="str">
            <v>MundiFlex</v>
          </cell>
        </row>
        <row r="782">
          <cell r="A782">
            <v>77032</v>
          </cell>
          <cell r="B782" t="str">
            <v>AUTOMOTIVO</v>
          </cell>
          <cell r="C782" t="str">
            <v>Cabo Embreagem</v>
          </cell>
          <cell r="D782" t="str">
            <v>SIMPLES</v>
          </cell>
          <cell r="E782" t="str">
            <v>MundiFlex</v>
          </cell>
        </row>
        <row r="783">
          <cell r="A783">
            <v>77144</v>
          </cell>
          <cell r="B783" t="str">
            <v>AUTOMOTIVO</v>
          </cell>
          <cell r="C783" t="str">
            <v>Cabo de Velocímetro</v>
          </cell>
          <cell r="D783" t="str">
            <v>SIMPLES</v>
          </cell>
          <cell r="E783" t="str">
            <v>MundiFlex</v>
          </cell>
        </row>
        <row r="784">
          <cell r="A784">
            <v>77146</v>
          </cell>
          <cell r="B784" t="str">
            <v>AUTOMOTIVO</v>
          </cell>
          <cell r="C784" t="str">
            <v>Cabo de Velocímetro</v>
          </cell>
          <cell r="D784" t="str">
            <v>SIMPLES</v>
          </cell>
          <cell r="E784" t="str">
            <v>MundiFlex</v>
          </cell>
        </row>
        <row r="785">
          <cell r="A785">
            <v>77152</v>
          </cell>
          <cell r="B785" t="str">
            <v>AUTOMOTIVO</v>
          </cell>
          <cell r="C785" t="str">
            <v>Cabo de Capô</v>
          </cell>
          <cell r="D785" t="str">
            <v>SIMPLES</v>
          </cell>
          <cell r="E785" t="str">
            <v>MundiFlex</v>
          </cell>
        </row>
        <row r="786">
          <cell r="A786">
            <v>77156</v>
          </cell>
          <cell r="B786" t="str">
            <v>AUTOMOTIVO</v>
          </cell>
          <cell r="C786" t="str">
            <v>Cabo de Capô</v>
          </cell>
          <cell r="D786" t="str">
            <v>SIMPLES</v>
          </cell>
          <cell r="E786" t="str">
            <v>MundiFlex</v>
          </cell>
        </row>
        <row r="787">
          <cell r="A787">
            <v>77157</v>
          </cell>
          <cell r="B787" t="str">
            <v>AUTOMOTIVO</v>
          </cell>
          <cell r="C787" t="str">
            <v>Cabo de Capô</v>
          </cell>
          <cell r="D787" t="str">
            <v>SIMPLES</v>
          </cell>
          <cell r="E787" t="str">
            <v>MundiFlex</v>
          </cell>
        </row>
        <row r="788">
          <cell r="A788">
            <v>77158</v>
          </cell>
          <cell r="B788" t="str">
            <v>AUTOMOTIVO</v>
          </cell>
          <cell r="C788" t="str">
            <v>Cabo de Capô</v>
          </cell>
          <cell r="D788" t="str">
            <v>SIMPLES</v>
          </cell>
          <cell r="E788" t="str">
            <v>MundiFlex</v>
          </cell>
        </row>
        <row r="789">
          <cell r="A789">
            <v>77169</v>
          </cell>
          <cell r="B789" t="str">
            <v>AUTOMOTIVO</v>
          </cell>
          <cell r="C789" t="str">
            <v>Cabo de Capô</v>
          </cell>
          <cell r="D789" t="str">
            <v>SIMPLES</v>
          </cell>
          <cell r="E789" t="str">
            <v>MundiFlex</v>
          </cell>
        </row>
        <row r="790">
          <cell r="A790">
            <v>77171</v>
          </cell>
          <cell r="B790" t="str">
            <v>AUTOMOTIVO</v>
          </cell>
          <cell r="C790" t="str">
            <v>Cabo limitador tampa traseira</v>
          </cell>
          <cell r="D790" t="str">
            <v>SIMPLES</v>
          </cell>
          <cell r="E790" t="str">
            <v>MundiFlex</v>
          </cell>
        </row>
        <row r="791">
          <cell r="A791">
            <v>77173</v>
          </cell>
          <cell r="B791" t="str">
            <v>AUTOMOTIVO</v>
          </cell>
          <cell r="C791" t="str">
            <v>Cabo de Capô</v>
          </cell>
          <cell r="D791" t="str">
            <v>SIMPLES</v>
          </cell>
          <cell r="E791" t="str">
            <v>MundiFlex</v>
          </cell>
        </row>
        <row r="792">
          <cell r="A792">
            <v>77261</v>
          </cell>
          <cell r="B792" t="str">
            <v>AUTOMOTIVO</v>
          </cell>
          <cell r="C792" t="str">
            <v>Cabo de Freio</v>
          </cell>
          <cell r="D792" t="str">
            <v>SIMPLES</v>
          </cell>
          <cell r="E792" t="str">
            <v>MundiFlex</v>
          </cell>
        </row>
        <row r="793">
          <cell r="A793">
            <v>77262</v>
          </cell>
          <cell r="B793" t="str">
            <v>AUTOMOTIVO</v>
          </cell>
          <cell r="C793" t="str">
            <v>Cabo de Freio</v>
          </cell>
          <cell r="D793" t="str">
            <v>SIMPLES</v>
          </cell>
          <cell r="E793" t="str">
            <v>MundiFlex</v>
          </cell>
        </row>
        <row r="794">
          <cell r="A794">
            <v>88459</v>
          </cell>
          <cell r="B794" t="str">
            <v>AUTOMOTIVO</v>
          </cell>
          <cell r="C794" t="str">
            <v>Cabo de Capô</v>
          </cell>
          <cell r="D794" t="str">
            <v>SIMPLES</v>
          </cell>
          <cell r="E794" t="str">
            <v>MundiFlex</v>
          </cell>
        </row>
        <row r="795">
          <cell r="A795">
            <v>88461</v>
          </cell>
          <cell r="B795" t="str">
            <v>AUTOMOTIVO</v>
          </cell>
          <cell r="C795" t="str">
            <v>Cabo de Capô</v>
          </cell>
          <cell r="D795" t="str">
            <v>SIMPLES</v>
          </cell>
          <cell r="E795" t="str">
            <v>MundiFlex</v>
          </cell>
        </row>
        <row r="796">
          <cell r="A796">
            <v>88487</v>
          </cell>
          <cell r="B796" t="str">
            <v>AUTOMOTIVO</v>
          </cell>
          <cell r="C796" t="str">
            <v>Cabo de Capô</v>
          </cell>
          <cell r="D796" t="str">
            <v>SIMPLES</v>
          </cell>
          <cell r="E796" t="str">
            <v>MundiFlex</v>
          </cell>
        </row>
        <row r="797">
          <cell r="A797">
            <v>88573</v>
          </cell>
          <cell r="B797" t="str">
            <v>AUTOMOTIVO</v>
          </cell>
          <cell r="C797" t="str">
            <v>Cabo Acelerador</v>
          </cell>
          <cell r="D797" t="str">
            <v>SIMPLES</v>
          </cell>
          <cell r="E797" t="str">
            <v>MundiFlex</v>
          </cell>
        </row>
        <row r="798">
          <cell r="A798">
            <v>111288</v>
          </cell>
          <cell r="B798" t="str">
            <v>AUTOMOTIVO</v>
          </cell>
          <cell r="C798" t="str">
            <v>Cabo de Capô</v>
          </cell>
          <cell r="D798" t="str">
            <v>SIMPLES</v>
          </cell>
          <cell r="E798" t="str">
            <v>MundiFlex</v>
          </cell>
        </row>
        <row r="799">
          <cell r="A799">
            <v>221142</v>
          </cell>
          <cell r="B799" t="str">
            <v>AUTOMOTIVO</v>
          </cell>
          <cell r="C799" t="str">
            <v>Cabo de Capô</v>
          </cell>
          <cell r="D799" t="str">
            <v>SIMPLES</v>
          </cell>
          <cell r="E799" t="str">
            <v>MundiFlex</v>
          </cell>
        </row>
        <row r="800">
          <cell r="A800">
            <v>222203</v>
          </cell>
          <cell r="B800" t="str">
            <v>AUTOMOTIVO</v>
          </cell>
          <cell r="C800" t="str">
            <v>Cabo de Freio</v>
          </cell>
          <cell r="D800" t="str">
            <v>SIMPLES</v>
          </cell>
          <cell r="E800" t="str">
            <v>MundiFlex</v>
          </cell>
        </row>
        <row r="801">
          <cell r="A801">
            <v>550111</v>
          </cell>
          <cell r="B801" t="str">
            <v>AUTOMOTIVO</v>
          </cell>
          <cell r="C801" t="str">
            <v>Cabo Embreagem</v>
          </cell>
          <cell r="D801" t="str">
            <v>SIMPLES</v>
          </cell>
          <cell r="E801" t="str">
            <v>MundiFlex</v>
          </cell>
        </row>
        <row r="802">
          <cell r="A802">
            <v>550291</v>
          </cell>
          <cell r="B802" t="str">
            <v>AUTOMOTIVO</v>
          </cell>
          <cell r="C802" t="str">
            <v>Cabo Embreagem</v>
          </cell>
          <cell r="D802" t="str">
            <v>SIMPLES</v>
          </cell>
          <cell r="E802" t="str">
            <v>MundiFlex</v>
          </cell>
        </row>
        <row r="803">
          <cell r="A803">
            <v>551311</v>
          </cell>
          <cell r="B803" t="str">
            <v>AUTOMOTIVO</v>
          </cell>
          <cell r="C803" t="str">
            <v>Cabo de Freio</v>
          </cell>
          <cell r="D803" t="str">
            <v>SIMPLES</v>
          </cell>
          <cell r="E803" t="str">
            <v>MundiFlex</v>
          </cell>
        </row>
        <row r="804">
          <cell r="A804">
            <v>660211</v>
          </cell>
          <cell r="B804" t="str">
            <v>AUTOMOTIVO</v>
          </cell>
          <cell r="C804" t="str">
            <v>Cabo de Capô</v>
          </cell>
          <cell r="D804" t="str">
            <v>SIMPLES</v>
          </cell>
          <cell r="E804" t="str">
            <v>MundiFlex</v>
          </cell>
        </row>
        <row r="805">
          <cell r="A805">
            <v>771202</v>
          </cell>
          <cell r="B805" t="str">
            <v>AUTOMOTIVO</v>
          </cell>
          <cell r="C805" t="str">
            <v>Cabo de Capô</v>
          </cell>
          <cell r="D805" t="str">
            <v>SIMPLES</v>
          </cell>
          <cell r="E805" t="str">
            <v>MundiFlex</v>
          </cell>
        </row>
        <row r="806">
          <cell r="A806" t="str">
            <v>55323/111288</v>
          </cell>
          <cell r="B806" t="str">
            <v>AUTOMOTIVO</v>
          </cell>
          <cell r="C806" t="str">
            <v>Cabo de Capô</v>
          </cell>
          <cell r="D806" t="str">
            <v>KIT</v>
          </cell>
          <cell r="E806" t="str">
            <v>MundiFlex</v>
          </cell>
        </row>
        <row r="807">
          <cell r="A807" t="str">
            <v>66300/1</v>
          </cell>
          <cell r="B807" t="str">
            <v>AUTOMOTIVO</v>
          </cell>
          <cell r="C807" t="str">
            <v>Cabo de Freio</v>
          </cell>
          <cell r="D807" t="str">
            <v>KIT</v>
          </cell>
          <cell r="E807" t="str">
            <v>MundiFlex</v>
          </cell>
        </row>
        <row r="808">
          <cell r="A808" t="str">
            <v>77261-2</v>
          </cell>
          <cell r="B808" t="str">
            <v>AUTOMOTIVO</v>
          </cell>
          <cell r="C808" t="str">
            <v>Cabo de Freio</v>
          </cell>
          <cell r="D808" t="str">
            <v>KIT</v>
          </cell>
          <cell r="E808" t="str">
            <v>MundiFlex</v>
          </cell>
        </row>
        <row r="809">
          <cell r="A809" t="str">
            <v>PAR-331050/51</v>
          </cell>
          <cell r="B809" t="str">
            <v>AUTOMOTIVO</v>
          </cell>
          <cell r="C809" t="str">
            <v>Pastilha Freio</v>
          </cell>
          <cell r="D809" t="str">
            <v>KIT</v>
          </cell>
          <cell r="E809" t="str">
            <v>MundiFlex</v>
          </cell>
        </row>
        <row r="810">
          <cell r="A810" t="str">
            <v>Par-33820</v>
          </cell>
          <cell r="B810" t="str">
            <v>AUTOMOTIVO</v>
          </cell>
          <cell r="C810" t="str">
            <v>Cabo limitador tampa traseira</v>
          </cell>
          <cell r="D810" t="str">
            <v>KIT</v>
          </cell>
          <cell r="E810" t="str">
            <v>MundiFlex</v>
          </cell>
        </row>
        <row r="811">
          <cell r="A811" t="str">
            <v>PAR-55120</v>
          </cell>
          <cell r="B811" t="str">
            <v>AUTOMOTIVO</v>
          </cell>
          <cell r="C811" t="str">
            <v>Cabo de Freio</v>
          </cell>
          <cell r="D811" t="str">
            <v>KIT</v>
          </cell>
          <cell r="E811" t="str">
            <v>MundiFlex</v>
          </cell>
        </row>
        <row r="812">
          <cell r="A812" t="str">
            <v>PAR-55311</v>
          </cell>
          <cell r="B812" t="str">
            <v>AUTOMOTIVO</v>
          </cell>
          <cell r="C812" t="str">
            <v>Cabo limitador tampa traseira</v>
          </cell>
          <cell r="D812" t="str">
            <v>KIT</v>
          </cell>
          <cell r="E812" t="str">
            <v>MundiFlex</v>
          </cell>
        </row>
        <row r="813">
          <cell r="A813" t="str">
            <v>PAR-55351</v>
          </cell>
          <cell r="B813" t="str">
            <v>AUTOMOTIVO</v>
          </cell>
          <cell r="C813" t="str">
            <v>Cabo limitador tampa traseira</v>
          </cell>
          <cell r="D813" t="str">
            <v>KIT</v>
          </cell>
          <cell r="E813" t="str">
            <v>MundiFlex</v>
          </cell>
        </row>
        <row r="814">
          <cell r="A814" t="str">
            <v>par-66516</v>
          </cell>
          <cell r="B814" t="str">
            <v>AUTOMOTIVO</v>
          </cell>
          <cell r="C814" t="str">
            <v>Cabo limitador tampa traseira</v>
          </cell>
          <cell r="D814" t="str">
            <v>KIT</v>
          </cell>
          <cell r="E814" t="str">
            <v>MundiFlex</v>
          </cell>
        </row>
        <row r="815">
          <cell r="A815">
            <v>112065</v>
          </cell>
          <cell r="B815" t="str">
            <v>AUTOMOTIVO</v>
          </cell>
          <cell r="C815" t="str">
            <v>Pastilha Freio</v>
          </cell>
          <cell r="D815" t="str">
            <v>SIMPLES</v>
          </cell>
        </row>
        <row r="816">
          <cell r="A816">
            <v>112104</v>
          </cell>
          <cell r="B816" t="str">
            <v>AUTOMOTIVO</v>
          </cell>
          <cell r="C816" t="str">
            <v>Bandeja</v>
          </cell>
          <cell r="D816" t="str">
            <v>SIMPLES</v>
          </cell>
          <cell r="E816" t="str">
            <v>SPARE</v>
          </cell>
        </row>
        <row r="817">
          <cell r="A817">
            <v>112105</v>
          </cell>
          <cell r="B817" t="str">
            <v>AUTOMOTIVO</v>
          </cell>
          <cell r="C817" t="str">
            <v>Bandeja</v>
          </cell>
          <cell r="D817" t="str">
            <v>SIMPLES</v>
          </cell>
          <cell r="E817" t="str">
            <v>SPARE</v>
          </cell>
        </row>
        <row r="818">
          <cell r="A818" t="str">
            <v>FTK-PDA147</v>
          </cell>
          <cell r="B818" t="str">
            <v>AUTOMOTIVO</v>
          </cell>
          <cell r="C818" t="str">
            <v>Amortecedor Porta Mala</v>
          </cell>
          <cell r="D818" t="str">
            <v>SIMPLES</v>
          </cell>
          <cell r="E818" t="str">
            <v>Pandão</v>
          </cell>
        </row>
        <row r="819">
          <cell r="A819" t="str">
            <v>FTK-PDA151</v>
          </cell>
          <cell r="B819" t="str">
            <v>AUTOMOTIVO</v>
          </cell>
          <cell r="C819" t="str">
            <v>Amortecedor Porta Mala</v>
          </cell>
          <cell r="D819" t="str">
            <v>SIMPLES</v>
          </cell>
          <cell r="E819" t="str">
            <v>Pandão</v>
          </cell>
        </row>
        <row r="820">
          <cell r="A820" t="str">
            <v>FTK-PDA152</v>
          </cell>
          <cell r="B820" t="str">
            <v>AUTOMOTIVO</v>
          </cell>
          <cell r="C820" t="str">
            <v>Amortecedor Porta Mala</v>
          </cell>
          <cell r="D820" t="str">
            <v>SIMPLES</v>
          </cell>
          <cell r="E820" t="str">
            <v>Pandão</v>
          </cell>
        </row>
        <row r="821">
          <cell r="A821" t="str">
            <v>FTK-PDA155</v>
          </cell>
          <cell r="B821" t="str">
            <v>AUTOMOTIVO</v>
          </cell>
          <cell r="C821" t="str">
            <v>Amortecedor Porta Mala</v>
          </cell>
          <cell r="D821" t="str">
            <v>SIMPLES</v>
          </cell>
          <cell r="E821" t="str">
            <v>Pandão</v>
          </cell>
        </row>
        <row r="822">
          <cell r="A822" t="str">
            <v>FTK-PDA157</v>
          </cell>
          <cell r="B822" t="str">
            <v>AUTOMOTIVO</v>
          </cell>
          <cell r="C822" t="str">
            <v>Amortecedor Porta Mala</v>
          </cell>
          <cell r="D822" t="str">
            <v>SIMPLES</v>
          </cell>
          <cell r="E822" t="str">
            <v>Pandão</v>
          </cell>
        </row>
        <row r="823">
          <cell r="A823" t="str">
            <v>FTK-PDA158</v>
          </cell>
          <cell r="B823" t="str">
            <v>AUTOMOTIVO</v>
          </cell>
          <cell r="C823" t="str">
            <v>Amortecedor Porta Mala</v>
          </cell>
          <cell r="D823" t="str">
            <v>SIMPLES</v>
          </cell>
          <cell r="E823" t="str">
            <v>Pandão</v>
          </cell>
        </row>
        <row r="824">
          <cell r="A824" t="str">
            <v>FTK-PDA160</v>
          </cell>
          <cell r="B824" t="str">
            <v>AUTOMOTIVO</v>
          </cell>
          <cell r="C824" t="str">
            <v>Amortecedor Porta Mala</v>
          </cell>
          <cell r="D824" t="str">
            <v>SIMPLES</v>
          </cell>
          <cell r="E824" t="str">
            <v>Pandão</v>
          </cell>
        </row>
        <row r="825">
          <cell r="A825" t="str">
            <v>FTK-PDA162</v>
          </cell>
          <cell r="B825" t="str">
            <v>AUTOMOTIVO</v>
          </cell>
          <cell r="C825" t="str">
            <v>Amortecedor Porta Mala</v>
          </cell>
          <cell r="D825" t="str">
            <v>SIMPLES</v>
          </cell>
          <cell r="E825" t="str">
            <v>Pandão</v>
          </cell>
        </row>
        <row r="826">
          <cell r="A826" t="str">
            <v>FTK-PDA163</v>
          </cell>
          <cell r="B826" t="str">
            <v>AUTOMOTIVO</v>
          </cell>
          <cell r="C826" t="str">
            <v>Amortecedor Porta Mala</v>
          </cell>
          <cell r="D826" t="str">
            <v>SIMPLES</v>
          </cell>
          <cell r="E826" t="str">
            <v>Pandão</v>
          </cell>
        </row>
        <row r="827">
          <cell r="A827" t="str">
            <v>FTK-PDA164</v>
          </cell>
          <cell r="B827" t="str">
            <v>AUTOMOTIVO</v>
          </cell>
          <cell r="C827" t="str">
            <v>Amortecedor Porta Mala</v>
          </cell>
          <cell r="D827" t="str">
            <v>SIMPLES</v>
          </cell>
          <cell r="E827" t="str">
            <v>Pandão</v>
          </cell>
        </row>
        <row r="828">
          <cell r="A828" t="str">
            <v>FTK-PDA50</v>
          </cell>
          <cell r="B828" t="str">
            <v>AUTOMOTIVO</v>
          </cell>
          <cell r="C828" t="str">
            <v>Amortecedor Porta Mala</v>
          </cell>
          <cell r="D828" t="str">
            <v>SIMPLES</v>
          </cell>
          <cell r="E828" t="str">
            <v>Pandão</v>
          </cell>
        </row>
        <row r="829">
          <cell r="A829" t="str">
            <v>PAR-FTK/PDA151</v>
          </cell>
          <cell r="B829" t="str">
            <v>AUTOMOTIVO</v>
          </cell>
          <cell r="C829" t="str">
            <v>Amortecedor Porta Mala</v>
          </cell>
          <cell r="D829" t="str">
            <v>KIT</v>
          </cell>
          <cell r="E829" t="str">
            <v>Pandão</v>
          </cell>
        </row>
        <row r="830">
          <cell r="A830" t="str">
            <v>PAR-FTK/PDA152</v>
          </cell>
          <cell r="B830" t="str">
            <v>AUTOMOTIVO</v>
          </cell>
          <cell r="C830" t="str">
            <v>Amortecedor Porta Mala</v>
          </cell>
          <cell r="D830" t="str">
            <v>KIT</v>
          </cell>
          <cell r="E830" t="str">
            <v>Pandão</v>
          </cell>
        </row>
        <row r="831">
          <cell r="A831" t="str">
            <v>PAR-FTK/PDA162</v>
          </cell>
          <cell r="B831" t="str">
            <v>AUTOMOTIVO</v>
          </cell>
          <cell r="C831" t="str">
            <v>Amortecedor Porta Mala</v>
          </cell>
          <cell r="D831" t="str">
            <v>KIT</v>
          </cell>
          <cell r="E831" t="str">
            <v>Pandão</v>
          </cell>
        </row>
        <row r="832">
          <cell r="A832" t="str">
            <v>PAR-FTK/PDA163</v>
          </cell>
          <cell r="B832" t="str">
            <v>AUTOMOTIVO</v>
          </cell>
          <cell r="C832" t="str">
            <v>Amortecedor Porta Mala</v>
          </cell>
          <cell r="D832" t="str">
            <v>KIT</v>
          </cell>
          <cell r="E832" t="str">
            <v>Pandão</v>
          </cell>
        </row>
        <row r="833">
          <cell r="A833" t="str">
            <v>PAR-FTK/PDA164</v>
          </cell>
          <cell r="B833" t="str">
            <v>AUTOMOTIVO</v>
          </cell>
          <cell r="C833" t="str">
            <v>Pastilha Freio</v>
          </cell>
          <cell r="D833" t="str">
            <v>KIT</v>
          </cell>
          <cell r="E833" t="str">
            <v>Pandão</v>
          </cell>
        </row>
        <row r="834">
          <cell r="A834">
            <v>10107</v>
          </cell>
          <cell r="B834" t="str">
            <v>AUTOMOTIVO</v>
          </cell>
          <cell r="C834" t="str">
            <v>Bomba Combustível</v>
          </cell>
          <cell r="D834" t="str">
            <v>SIMPLES</v>
          </cell>
          <cell r="E834" t="str">
            <v>POLO</v>
          </cell>
        </row>
        <row r="835">
          <cell r="A835">
            <v>10128</v>
          </cell>
          <cell r="B835" t="str">
            <v>AUTOMOTIVO</v>
          </cell>
          <cell r="C835" t="str">
            <v>Bomba Combustível</v>
          </cell>
          <cell r="D835" t="str">
            <v>SIMPLES</v>
          </cell>
          <cell r="E835" t="str">
            <v>POLO</v>
          </cell>
        </row>
        <row r="836">
          <cell r="A836">
            <v>10132</v>
          </cell>
          <cell r="B836" t="str">
            <v>AUTOMOTIVO</v>
          </cell>
          <cell r="C836" t="str">
            <v>Bomba Combustível</v>
          </cell>
          <cell r="D836" t="str">
            <v>SIMPLES</v>
          </cell>
          <cell r="E836" t="str">
            <v>POLO</v>
          </cell>
        </row>
        <row r="837">
          <cell r="A837">
            <v>10135</v>
          </cell>
          <cell r="B837" t="str">
            <v>AUTOMOTIVO</v>
          </cell>
          <cell r="C837" t="str">
            <v>Bomba Combustível</v>
          </cell>
          <cell r="D837" t="str">
            <v>SIMPLES</v>
          </cell>
          <cell r="E837" t="str">
            <v>POLO</v>
          </cell>
        </row>
        <row r="838">
          <cell r="A838">
            <v>10136</v>
          </cell>
          <cell r="B838" t="str">
            <v>AUTOMOTIVO</v>
          </cell>
          <cell r="C838" t="str">
            <v>Bomba Combustível</v>
          </cell>
          <cell r="D838" t="str">
            <v>SIMPLES</v>
          </cell>
          <cell r="E838" t="str">
            <v>POLO</v>
          </cell>
        </row>
        <row r="839">
          <cell r="A839" t="str">
            <v>201.377K004</v>
          </cell>
          <cell r="B839" t="str">
            <v>MOTO PEÇAS</v>
          </cell>
          <cell r="C839" t="str">
            <v>Junta moto</v>
          </cell>
          <cell r="D839" t="str">
            <v>SIMPLES</v>
          </cell>
          <cell r="E839" t="str">
            <v>KRATER</v>
          </cell>
        </row>
        <row r="840">
          <cell r="A840">
            <v>112113</v>
          </cell>
          <cell r="B840" t="str">
            <v>AUTOMOTIVO</v>
          </cell>
          <cell r="D840" t="str">
            <v>SIMPLES</v>
          </cell>
        </row>
        <row r="841">
          <cell r="A841" t="str">
            <v>CCA0002</v>
          </cell>
          <cell r="B841" t="str">
            <v>MOTO PEÇAS</v>
          </cell>
          <cell r="C841" t="str">
            <v>Cabo Acelerador Moto</v>
          </cell>
          <cell r="D841" t="str">
            <v>SIMPLES</v>
          </cell>
          <cell r="E841" t="str">
            <v>POLO</v>
          </cell>
        </row>
        <row r="842">
          <cell r="A842" t="str">
            <v>CCA0006</v>
          </cell>
          <cell r="B842" t="str">
            <v>MOTO PEÇAS</v>
          </cell>
          <cell r="C842" t="str">
            <v>Cabo Acelerador Moto</v>
          </cell>
          <cell r="D842" t="str">
            <v>SIMPLES</v>
          </cell>
          <cell r="E842" t="str">
            <v>POLO</v>
          </cell>
        </row>
        <row r="843">
          <cell r="A843" t="str">
            <v>CCA0009</v>
          </cell>
          <cell r="B843" t="str">
            <v>MOTO PEÇAS</v>
          </cell>
          <cell r="C843" t="str">
            <v>Cabo Acelerador Moto</v>
          </cell>
          <cell r="D843" t="str">
            <v>SIMPLES</v>
          </cell>
          <cell r="E843" t="str">
            <v>POLO</v>
          </cell>
        </row>
        <row r="844">
          <cell r="A844" t="str">
            <v>CCA0031</v>
          </cell>
          <cell r="B844" t="str">
            <v>MOTO PEÇAS</v>
          </cell>
          <cell r="C844" t="str">
            <v>Cabo Acelerador Moto</v>
          </cell>
          <cell r="D844" t="str">
            <v>SIMPLES</v>
          </cell>
          <cell r="E844" t="str">
            <v>POLO</v>
          </cell>
        </row>
        <row r="845">
          <cell r="A845" t="str">
            <v>CCA0032</v>
          </cell>
          <cell r="B845" t="str">
            <v>MOTO PEÇAS</v>
          </cell>
          <cell r="C845" t="str">
            <v>Cabo Acelerador Moto</v>
          </cell>
          <cell r="D845" t="str">
            <v>SIMPLES</v>
          </cell>
          <cell r="E845" t="str">
            <v>POLO</v>
          </cell>
        </row>
        <row r="846">
          <cell r="A846" t="str">
            <v>CCA0035</v>
          </cell>
          <cell r="B846" t="str">
            <v>MOTO PEÇAS</v>
          </cell>
          <cell r="C846" t="str">
            <v>Cabo Acelerador Moto</v>
          </cell>
          <cell r="D846" t="str">
            <v>SIMPLES</v>
          </cell>
          <cell r="E846" t="str">
            <v>POLO</v>
          </cell>
        </row>
        <row r="847">
          <cell r="A847" t="str">
            <v>CCA0036</v>
          </cell>
          <cell r="B847" t="str">
            <v>MOTO PEÇAS</v>
          </cell>
          <cell r="C847" t="str">
            <v>Cabo Acelerador Moto</v>
          </cell>
          <cell r="D847" t="str">
            <v>SIMPLES</v>
          </cell>
          <cell r="E847" t="str">
            <v>POLO</v>
          </cell>
        </row>
        <row r="848">
          <cell r="A848" t="str">
            <v>CCA0038</v>
          </cell>
          <cell r="B848" t="str">
            <v>MOTO PEÇAS</v>
          </cell>
          <cell r="C848" t="str">
            <v>Cabo Acelerador Moto</v>
          </cell>
          <cell r="D848" t="str">
            <v>SIMPLES</v>
          </cell>
          <cell r="E848" t="str">
            <v>POLO</v>
          </cell>
        </row>
        <row r="849">
          <cell r="A849">
            <v>112114</v>
          </cell>
          <cell r="B849" t="str">
            <v>AUTOMOTIVO</v>
          </cell>
          <cell r="D849" t="str">
            <v>SIMPLES</v>
          </cell>
        </row>
        <row r="850">
          <cell r="A850">
            <v>112120</v>
          </cell>
          <cell r="B850" t="str">
            <v>AUTOMOTIVO</v>
          </cell>
          <cell r="D850" t="str">
            <v>SIMPLES</v>
          </cell>
        </row>
        <row r="851">
          <cell r="A851">
            <v>112121</v>
          </cell>
          <cell r="B851" t="str">
            <v>AUTOMOTIVO</v>
          </cell>
          <cell r="D851" t="str">
            <v>SIMPLES</v>
          </cell>
        </row>
        <row r="852">
          <cell r="A852" t="str">
            <v>CCA0040</v>
          </cell>
          <cell r="B852" t="str">
            <v>MOTO PEÇAS</v>
          </cell>
          <cell r="C852" t="str">
            <v>Cabo Acelerador Moto</v>
          </cell>
          <cell r="D852" t="str">
            <v>SIMPLES</v>
          </cell>
          <cell r="E852" t="str">
            <v>POLO</v>
          </cell>
        </row>
        <row r="853">
          <cell r="A853" t="str">
            <v>CCA0041</v>
          </cell>
          <cell r="B853" t="str">
            <v>MOTO PEÇAS</v>
          </cell>
          <cell r="C853" t="str">
            <v>Cabo Acelerador Moto</v>
          </cell>
          <cell r="D853" t="str">
            <v>SIMPLES</v>
          </cell>
          <cell r="E853" t="str">
            <v>POLO</v>
          </cell>
        </row>
        <row r="854">
          <cell r="A854" t="str">
            <v>CCE0010</v>
          </cell>
          <cell r="B854" t="str">
            <v>MOTO PEÇAS</v>
          </cell>
          <cell r="C854" t="str">
            <v>Cabo Embreagem moto</v>
          </cell>
          <cell r="D854" t="str">
            <v>SIMPLES</v>
          </cell>
          <cell r="E854" t="str">
            <v>POLO</v>
          </cell>
        </row>
        <row r="855">
          <cell r="A855" t="str">
            <v>CCE0011</v>
          </cell>
          <cell r="B855" t="str">
            <v>MOTO PEÇAS</v>
          </cell>
          <cell r="C855" t="str">
            <v>Cabo Embreagem moto</v>
          </cell>
          <cell r="D855" t="str">
            <v>SIMPLES</v>
          </cell>
          <cell r="E855" t="str">
            <v>POLO</v>
          </cell>
        </row>
        <row r="856">
          <cell r="A856" t="str">
            <v>CCE0012</v>
          </cell>
          <cell r="B856" t="str">
            <v>MOTO PEÇAS</v>
          </cell>
          <cell r="C856" t="str">
            <v>Cabo Embreagem moto</v>
          </cell>
          <cell r="D856" t="str">
            <v>SIMPLES</v>
          </cell>
          <cell r="E856" t="str">
            <v>POLO</v>
          </cell>
        </row>
        <row r="857">
          <cell r="A857" t="str">
            <v>CCE0015</v>
          </cell>
          <cell r="B857" t="str">
            <v>MOTO PEÇAS</v>
          </cell>
          <cell r="C857" t="str">
            <v>Cabo Embreagem moto</v>
          </cell>
          <cell r="D857" t="str">
            <v>SIMPLES</v>
          </cell>
          <cell r="E857" t="str">
            <v>POLO</v>
          </cell>
        </row>
        <row r="858">
          <cell r="A858" t="str">
            <v>CCE0043</v>
          </cell>
          <cell r="B858" t="str">
            <v>MOTO PEÇAS</v>
          </cell>
          <cell r="C858" t="str">
            <v>Cabo Embreagem moto</v>
          </cell>
          <cell r="D858" t="str">
            <v>SIMPLES</v>
          </cell>
          <cell r="E858" t="str">
            <v>POLO</v>
          </cell>
        </row>
        <row r="859">
          <cell r="A859" t="str">
            <v>CCE0044</v>
          </cell>
          <cell r="B859" t="str">
            <v>MOTO PEÇAS</v>
          </cell>
          <cell r="C859" t="str">
            <v>Cabo Embreagem moto</v>
          </cell>
          <cell r="D859" t="str">
            <v>SIMPLES</v>
          </cell>
          <cell r="E859" t="str">
            <v>POLO</v>
          </cell>
        </row>
        <row r="860">
          <cell r="A860" t="str">
            <v>CCE0045</v>
          </cell>
          <cell r="B860" t="str">
            <v>MOTO PEÇAS</v>
          </cell>
          <cell r="C860" t="str">
            <v>Cabo Embreagem moto</v>
          </cell>
          <cell r="D860" t="str">
            <v>SIMPLES</v>
          </cell>
          <cell r="E860" t="str">
            <v>POLO</v>
          </cell>
        </row>
        <row r="861">
          <cell r="A861" t="str">
            <v>CCE0047</v>
          </cell>
          <cell r="B861" t="str">
            <v>MOTO PEÇAS</v>
          </cell>
          <cell r="C861" t="str">
            <v>Cabo Embreagem moto</v>
          </cell>
          <cell r="D861" t="str">
            <v>SIMPLES</v>
          </cell>
          <cell r="E861" t="str">
            <v>POLO</v>
          </cell>
        </row>
        <row r="862">
          <cell r="A862" t="str">
            <v>CCE0048</v>
          </cell>
          <cell r="B862" t="str">
            <v>MOTO PEÇAS</v>
          </cell>
          <cell r="C862" t="str">
            <v>Cabo Embreagem moto</v>
          </cell>
          <cell r="D862" t="str">
            <v>SIMPLES</v>
          </cell>
          <cell r="E862" t="str">
            <v>POLO</v>
          </cell>
        </row>
        <row r="863">
          <cell r="A863" t="str">
            <v>CCE0051</v>
          </cell>
          <cell r="B863" t="str">
            <v>MOTO PEÇAS</v>
          </cell>
          <cell r="C863" t="str">
            <v>Cabo Embreagem moto</v>
          </cell>
          <cell r="D863" t="str">
            <v>SIMPLES</v>
          </cell>
          <cell r="E863" t="str">
            <v>POLO</v>
          </cell>
        </row>
        <row r="864">
          <cell r="A864" t="str">
            <v>CCE0052</v>
          </cell>
          <cell r="B864" t="str">
            <v>MOTO PEÇAS</v>
          </cell>
          <cell r="C864" t="str">
            <v>Cabo Embreagem moto</v>
          </cell>
          <cell r="D864" t="str">
            <v>SIMPLES</v>
          </cell>
          <cell r="E864" t="str">
            <v>POLO</v>
          </cell>
        </row>
        <row r="865">
          <cell r="A865" t="str">
            <v>CCE0053</v>
          </cell>
          <cell r="B865" t="str">
            <v>MOTO PEÇAS</v>
          </cell>
          <cell r="C865" t="str">
            <v>Cabo Embreagem moto</v>
          </cell>
          <cell r="D865" t="str">
            <v>SIMPLES</v>
          </cell>
          <cell r="E865" t="str">
            <v>POLO</v>
          </cell>
        </row>
        <row r="866">
          <cell r="A866" t="str">
            <v>CCE0054</v>
          </cell>
          <cell r="B866" t="str">
            <v>MOTO PEÇAS</v>
          </cell>
          <cell r="C866" t="str">
            <v>Cabo Embreagem moto</v>
          </cell>
          <cell r="D866" t="str">
            <v>SIMPLES</v>
          </cell>
          <cell r="E866" t="str">
            <v>POLO</v>
          </cell>
        </row>
        <row r="867">
          <cell r="A867" t="str">
            <v>CCE0056</v>
          </cell>
          <cell r="B867" t="str">
            <v>MOTO PEÇAS</v>
          </cell>
          <cell r="C867" t="str">
            <v>Cabo Embreagem moto</v>
          </cell>
          <cell r="D867" t="str">
            <v>SIMPLES</v>
          </cell>
          <cell r="E867" t="str">
            <v>POLO</v>
          </cell>
        </row>
        <row r="868">
          <cell r="A868" t="str">
            <v>CCF0021</v>
          </cell>
          <cell r="B868" t="str">
            <v>MOTO PEÇAS</v>
          </cell>
          <cell r="C868" t="str">
            <v>Cabo Freio Moto</v>
          </cell>
          <cell r="D868" t="str">
            <v>SIMPLES</v>
          </cell>
          <cell r="E868" t="str">
            <v>POLO</v>
          </cell>
        </row>
        <row r="869">
          <cell r="A869" t="str">
            <v>CCF0022</v>
          </cell>
          <cell r="B869" t="str">
            <v>MOTO PEÇAS</v>
          </cell>
          <cell r="C869" t="str">
            <v>Cabo Freio Moto</v>
          </cell>
          <cell r="D869" t="str">
            <v>SIMPLES</v>
          </cell>
          <cell r="E869" t="str">
            <v>POLO</v>
          </cell>
        </row>
        <row r="870">
          <cell r="A870" t="str">
            <v>CCF0056</v>
          </cell>
          <cell r="B870" t="str">
            <v>MOTO PEÇAS</v>
          </cell>
          <cell r="C870" t="str">
            <v>Cabo Freio Moto</v>
          </cell>
          <cell r="D870" t="str">
            <v>SIMPLES</v>
          </cell>
          <cell r="E870" t="str">
            <v>POLO</v>
          </cell>
        </row>
        <row r="871">
          <cell r="A871" t="str">
            <v>CCF0057</v>
          </cell>
          <cell r="B871" t="str">
            <v>MOTO PEÇAS</v>
          </cell>
          <cell r="C871" t="str">
            <v>Cabo Freio Moto</v>
          </cell>
          <cell r="D871" t="str">
            <v>SIMPLES</v>
          </cell>
          <cell r="E871" t="str">
            <v>POLO</v>
          </cell>
        </row>
        <row r="872">
          <cell r="A872" t="str">
            <v>CCV0027</v>
          </cell>
          <cell r="B872" t="str">
            <v>MOTO PEÇAS</v>
          </cell>
          <cell r="C872" t="str">
            <v>Cabo Velocimetro Moto</v>
          </cell>
          <cell r="D872" t="str">
            <v>SIMPLES</v>
          </cell>
          <cell r="E872" t="str">
            <v>POLO</v>
          </cell>
        </row>
        <row r="873">
          <cell r="A873" t="str">
            <v>CCV0029</v>
          </cell>
          <cell r="B873" t="str">
            <v>MOTO PEÇAS</v>
          </cell>
          <cell r="C873" t="str">
            <v>Cabo Velocimetro Moto</v>
          </cell>
          <cell r="D873" t="str">
            <v>SIMPLES</v>
          </cell>
          <cell r="E873" t="str">
            <v>POLO</v>
          </cell>
        </row>
        <row r="874">
          <cell r="A874" t="str">
            <v>CCV0063</v>
          </cell>
          <cell r="B874" t="str">
            <v>MOTO PEÇAS</v>
          </cell>
          <cell r="C874" t="str">
            <v>Cabo Velocimetro Moto</v>
          </cell>
          <cell r="D874" t="str">
            <v>SIMPLES</v>
          </cell>
          <cell r="E874" t="str">
            <v>POLO</v>
          </cell>
        </row>
        <row r="875">
          <cell r="A875" t="str">
            <v>FTK200116PA</v>
          </cell>
          <cell r="B875" t="str">
            <v>MOTO PEÇAS</v>
          </cell>
          <cell r="C875" t="str">
            <v>Junta moto</v>
          </cell>
          <cell r="D875" t="str">
            <v>SIMPLES</v>
          </cell>
          <cell r="E875" t="str">
            <v>KRATER</v>
          </cell>
        </row>
        <row r="876">
          <cell r="A876" t="str">
            <v>FTK200119AE190</v>
          </cell>
          <cell r="B876" t="str">
            <v>MOTO PEÇAS</v>
          </cell>
          <cell r="C876" t="str">
            <v>Junta moto</v>
          </cell>
          <cell r="D876" t="str">
            <v>SIMPLES</v>
          </cell>
          <cell r="E876" t="str">
            <v>KRATER</v>
          </cell>
        </row>
        <row r="877">
          <cell r="A877" t="str">
            <v>PAR-FTK313</v>
          </cell>
          <cell r="B877" t="str">
            <v>AUTOMOTIVO</v>
          </cell>
          <cell r="C877" t="str">
            <v>Coxim Amortecedor</v>
          </cell>
          <cell r="D877" t="str">
            <v>SIMPLES</v>
          </cell>
          <cell r="E877" t="str">
            <v>RE9BOR</v>
          </cell>
        </row>
        <row r="878">
          <cell r="A878" t="str">
            <v>FTK1404</v>
          </cell>
          <cell r="B878" t="str">
            <v>AUTOMOTIVO</v>
          </cell>
          <cell r="C878" t="str">
            <v>Coifa Homocinética</v>
          </cell>
          <cell r="D878" t="str">
            <v>SIMPLES</v>
          </cell>
          <cell r="E878" t="str">
            <v>Replabor</v>
          </cell>
        </row>
        <row r="879">
          <cell r="A879" t="str">
            <v>FTK1510</v>
          </cell>
          <cell r="B879" t="str">
            <v>AUTOMOTIVO</v>
          </cell>
          <cell r="C879" t="str">
            <v>Coifa Homocinética</v>
          </cell>
          <cell r="D879" t="str">
            <v>SIMPLES</v>
          </cell>
          <cell r="E879" t="str">
            <v>Replabor</v>
          </cell>
        </row>
        <row r="880">
          <cell r="A880" t="str">
            <v>FTK1511</v>
          </cell>
          <cell r="B880" t="str">
            <v>AUTOMOTIVO</v>
          </cell>
          <cell r="C880" t="str">
            <v>Coifa Homocinética</v>
          </cell>
          <cell r="D880" t="str">
            <v>SIMPLES</v>
          </cell>
          <cell r="E880" t="str">
            <v>Replabor</v>
          </cell>
        </row>
        <row r="881">
          <cell r="A881" t="str">
            <v>FTK-1512</v>
          </cell>
          <cell r="B881" t="str">
            <v>AUTOMOTIVO</v>
          </cell>
          <cell r="C881" t="str">
            <v>Coifa Homocinética</v>
          </cell>
          <cell r="D881" t="str">
            <v>SIMPLES</v>
          </cell>
          <cell r="E881" t="str">
            <v>Replabor</v>
          </cell>
        </row>
        <row r="882">
          <cell r="A882" t="str">
            <v>FTK223K</v>
          </cell>
          <cell r="B882" t="str">
            <v>AUTOMOTIVO</v>
          </cell>
          <cell r="C882" t="str">
            <v>Coifa Homocinética</v>
          </cell>
          <cell r="D882" t="str">
            <v>SIMPLES</v>
          </cell>
          <cell r="E882" t="str">
            <v>Replabor</v>
          </cell>
        </row>
        <row r="883">
          <cell r="A883" t="str">
            <v>FTK233</v>
          </cell>
          <cell r="B883" t="str">
            <v>AUTOMOTIVO</v>
          </cell>
          <cell r="C883" t="str">
            <v>Coifa Homocinética</v>
          </cell>
          <cell r="D883" t="str">
            <v>SIMPLES</v>
          </cell>
          <cell r="E883" t="str">
            <v>Replabor</v>
          </cell>
        </row>
        <row r="884">
          <cell r="A884" t="str">
            <v>FTK234</v>
          </cell>
          <cell r="B884" t="str">
            <v>AUTOMOTIVO</v>
          </cell>
          <cell r="C884" t="str">
            <v>Coifa Homocinética</v>
          </cell>
          <cell r="D884" t="str">
            <v>SIMPLES</v>
          </cell>
          <cell r="E884" t="str">
            <v>Replabor</v>
          </cell>
        </row>
        <row r="885">
          <cell r="A885" t="str">
            <v>FTK260</v>
          </cell>
          <cell r="B885" t="str">
            <v>AUTOMOTIVO</v>
          </cell>
          <cell r="C885" t="str">
            <v>Coifa Homocinética</v>
          </cell>
          <cell r="D885" t="str">
            <v>SIMPLES</v>
          </cell>
          <cell r="E885" t="str">
            <v>Replabor</v>
          </cell>
        </row>
        <row r="886">
          <cell r="A886" t="str">
            <v>FTK281</v>
          </cell>
          <cell r="B886" t="str">
            <v>AUTOMOTIVO</v>
          </cell>
          <cell r="C886" t="str">
            <v>Coifa Homocinética</v>
          </cell>
          <cell r="D886" t="str">
            <v>SIMPLES</v>
          </cell>
          <cell r="E886" t="str">
            <v>Replabor</v>
          </cell>
        </row>
        <row r="887">
          <cell r="A887" t="str">
            <v>FTK314</v>
          </cell>
          <cell r="B887" t="str">
            <v>AUTOMOTIVO</v>
          </cell>
          <cell r="C887" t="str">
            <v>Coifa Homocinética</v>
          </cell>
          <cell r="D887" t="str">
            <v>SIMPLES</v>
          </cell>
          <cell r="E887" t="str">
            <v>Replabor</v>
          </cell>
        </row>
        <row r="888">
          <cell r="A888" t="str">
            <v>FTK3320K</v>
          </cell>
          <cell r="B888" t="str">
            <v>AUTOMOTIVO</v>
          </cell>
          <cell r="C888" t="str">
            <v>Coifa Homocinética</v>
          </cell>
          <cell r="D888" t="str">
            <v>SIMPLES</v>
          </cell>
          <cell r="E888" t="str">
            <v>Replabor</v>
          </cell>
        </row>
        <row r="889">
          <cell r="A889" t="str">
            <v>FTK3321K</v>
          </cell>
          <cell r="B889" t="str">
            <v>AUTOMOTIVO</v>
          </cell>
          <cell r="C889" t="str">
            <v>Coifa Homocinética</v>
          </cell>
          <cell r="D889" t="str">
            <v>SIMPLES</v>
          </cell>
          <cell r="E889" t="str">
            <v>Replabor</v>
          </cell>
        </row>
        <row r="890">
          <cell r="A890" t="str">
            <v>FTK3322K</v>
          </cell>
          <cell r="B890" t="str">
            <v>AUTOMOTIVO</v>
          </cell>
          <cell r="C890" t="str">
            <v>Coifa Homocinética</v>
          </cell>
          <cell r="D890" t="str">
            <v>SIMPLES</v>
          </cell>
          <cell r="E890" t="str">
            <v>Replabor</v>
          </cell>
        </row>
        <row r="891">
          <cell r="A891" t="str">
            <v>FTK347</v>
          </cell>
          <cell r="B891" t="str">
            <v>AUTOMOTIVO</v>
          </cell>
          <cell r="C891" t="str">
            <v>Coifa Homocinética</v>
          </cell>
          <cell r="D891" t="str">
            <v>SIMPLES</v>
          </cell>
          <cell r="E891" t="str">
            <v>Replabor</v>
          </cell>
        </row>
        <row r="892">
          <cell r="A892" t="str">
            <v>FTK347F</v>
          </cell>
          <cell r="B892" t="str">
            <v>AUTOMOTIVO</v>
          </cell>
          <cell r="C892" t="str">
            <v>Coifa Homocinética</v>
          </cell>
          <cell r="D892" t="str">
            <v>SIMPLES</v>
          </cell>
          <cell r="E892" t="str">
            <v>Replabor</v>
          </cell>
        </row>
        <row r="893">
          <cell r="A893" t="str">
            <v>FTK360</v>
          </cell>
          <cell r="B893" t="str">
            <v>AUTOMOTIVO</v>
          </cell>
          <cell r="C893" t="str">
            <v>Coifa Homocinética</v>
          </cell>
          <cell r="D893" t="str">
            <v>SIMPLES</v>
          </cell>
          <cell r="E893" t="str">
            <v>Replabor</v>
          </cell>
        </row>
        <row r="894">
          <cell r="A894" t="str">
            <v>FTK363</v>
          </cell>
          <cell r="B894" t="str">
            <v>AUTOMOTIVO</v>
          </cell>
          <cell r="C894" t="str">
            <v>Coifa Homocinética</v>
          </cell>
          <cell r="D894" t="str">
            <v>SIMPLES</v>
          </cell>
          <cell r="E894" t="str">
            <v>Replabor</v>
          </cell>
        </row>
        <row r="895">
          <cell r="A895" t="str">
            <v>FTK409</v>
          </cell>
          <cell r="B895" t="str">
            <v>AUTOMOTIVO</v>
          </cell>
          <cell r="C895" t="str">
            <v>Coifa Homocinética</v>
          </cell>
          <cell r="D895" t="str">
            <v>SIMPLES</v>
          </cell>
          <cell r="E895" t="str">
            <v>Replabor</v>
          </cell>
        </row>
        <row r="896">
          <cell r="A896" t="str">
            <v>FTK411</v>
          </cell>
          <cell r="B896" t="str">
            <v>AUTOMOTIVO</v>
          </cell>
          <cell r="C896" t="str">
            <v>Pastilha Freio</v>
          </cell>
          <cell r="D896" t="str">
            <v>SIMPLES</v>
          </cell>
          <cell r="E896" t="str">
            <v>Replabor</v>
          </cell>
        </row>
        <row r="897">
          <cell r="A897" t="str">
            <v>FTK422</v>
          </cell>
          <cell r="B897" t="str">
            <v>AUTOMOTIVO</v>
          </cell>
          <cell r="C897" t="str">
            <v>Coifa Homocinética</v>
          </cell>
          <cell r="D897" t="str">
            <v>SIMPLES</v>
          </cell>
          <cell r="E897" t="str">
            <v>Replabor</v>
          </cell>
        </row>
        <row r="898">
          <cell r="A898" t="str">
            <v>FTK422F</v>
          </cell>
          <cell r="B898" t="str">
            <v>AUTOMOTIVO</v>
          </cell>
          <cell r="C898" t="str">
            <v>Pastilha Freio</v>
          </cell>
          <cell r="D898" t="str">
            <v>SIMPLES</v>
          </cell>
          <cell r="E898" t="str">
            <v>Replabor</v>
          </cell>
        </row>
        <row r="899">
          <cell r="A899" t="str">
            <v>FTK433</v>
          </cell>
          <cell r="B899" t="str">
            <v>AUTOMOTIVO</v>
          </cell>
          <cell r="C899" t="str">
            <v>Coifa Homocinética</v>
          </cell>
          <cell r="D899" t="str">
            <v>SIMPLES</v>
          </cell>
          <cell r="E899" t="str">
            <v>Replabor</v>
          </cell>
        </row>
        <row r="900">
          <cell r="A900" t="str">
            <v>FTK433F</v>
          </cell>
          <cell r="B900" t="str">
            <v>AUTOMOTIVO</v>
          </cell>
          <cell r="C900" t="str">
            <v>Coifa Homocinética</v>
          </cell>
          <cell r="D900" t="str">
            <v>SIMPLES</v>
          </cell>
          <cell r="E900" t="str">
            <v>Replabor</v>
          </cell>
        </row>
        <row r="901">
          <cell r="A901" t="str">
            <v>FTK435</v>
          </cell>
          <cell r="B901" t="str">
            <v>AUTOMOTIVO</v>
          </cell>
          <cell r="C901" t="str">
            <v>Coifa Homocinética</v>
          </cell>
          <cell r="D901" t="str">
            <v>SIMPLES</v>
          </cell>
          <cell r="E901" t="str">
            <v>Replabor</v>
          </cell>
        </row>
        <row r="902">
          <cell r="A902" t="str">
            <v>FTK435F</v>
          </cell>
          <cell r="B902" t="str">
            <v>AUTOMOTIVO</v>
          </cell>
          <cell r="C902" t="str">
            <v>Coifa Homocinética</v>
          </cell>
          <cell r="D902" t="str">
            <v>SIMPLES</v>
          </cell>
          <cell r="E902" t="str">
            <v>Replabor</v>
          </cell>
        </row>
        <row r="903">
          <cell r="A903" t="str">
            <v>FTK454</v>
          </cell>
          <cell r="B903" t="str">
            <v>AUTOMOTIVO</v>
          </cell>
          <cell r="C903" t="str">
            <v>Coifa Homocinética</v>
          </cell>
          <cell r="D903" t="str">
            <v>SIMPLES</v>
          </cell>
          <cell r="E903" t="str">
            <v>Replabor</v>
          </cell>
        </row>
        <row r="904">
          <cell r="A904" t="str">
            <v>FTK455</v>
          </cell>
          <cell r="B904" t="str">
            <v>AUTOMOTIVO</v>
          </cell>
          <cell r="C904" t="str">
            <v>Coifa Homocinética</v>
          </cell>
          <cell r="D904" t="str">
            <v>SIMPLES</v>
          </cell>
          <cell r="E904" t="str">
            <v>Replabor</v>
          </cell>
        </row>
        <row r="905">
          <cell r="A905" t="str">
            <v>FTK464</v>
          </cell>
          <cell r="B905" t="str">
            <v>AUTOMOTIVO</v>
          </cell>
          <cell r="C905" t="str">
            <v>Coifa Homocinética</v>
          </cell>
          <cell r="D905" t="str">
            <v>SIMPLES</v>
          </cell>
          <cell r="E905" t="str">
            <v>Replabor</v>
          </cell>
        </row>
        <row r="906">
          <cell r="A906" t="str">
            <v>FTK465</v>
          </cell>
          <cell r="B906" t="str">
            <v>AUTOMOTIVO</v>
          </cell>
          <cell r="C906" t="str">
            <v>Coifa Homocinética</v>
          </cell>
          <cell r="D906" t="str">
            <v>SIMPLES</v>
          </cell>
          <cell r="E906" t="str">
            <v>Replabor</v>
          </cell>
        </row>
        <row r="907">
          <cell r="A907" t="str">
            <v>FTK625</v>
          </cell>
          <cell r="B907" t="str">
            <v>AUTOMOTIVO</v>
          </cell>
          <cell r="C907" t="str">
            <v>Coifa Homocinética</v>
          </cell>
          <cell r="D907" t="str">
            <v>SIMPLES</v>
          </cell>
          <cell r="E907" t="str">
            <v>Replabor</v>
          </cell>
        </row>
        <row r="908">
          <cell r="A908" t="str">
            <v>FTK717</v>
          </cell>
          <cell r="B908" t="str">
            <v>AUTOMOTIVO</v>
          </cell>
          <cell r="C908" t="str">
            <v>Coifa Homocinética</v>
          </cell>
          <cell r="D908" t="str">
            <v>SIMPLES</v>
          </cell>
          <cell r="E908" t="str">
            <v>Replabor</v>
          </cell>
        </row>
        <row r="909">
          <cell r="A909" t="str">
            <v>FTK728</v>
          </cell>
          <cell r="B909" t="str">
            <v>AUTOMOTIVO</v>
          </cell>
          <cell r="C909" t="str">
            <v>Pastilha Freio</v>
          </cell>
          <cell r="D909" t="str">
            <v>SIMPLES</v>
          </cell>
          <cell r="E909" t="str">
            <v>Replabor</v>
          </cell>
        </row>
        <row r="910">
          <cell r="A910" t="str">
            <v>FTK740</v>
          </cell>
          <cell r="B910" t="str">
            <v>AUTOMOTIVO</v>
          </cell>
          <cell r="C910" t="str">
            <v>Coifa Homocinética</v>
          </cell>
          <cell r="D910" t="str">
            <v>SIMPLES</v>
          </cell>
          <cell r="E910" t="str">
            <v>Replabor</v>
          </cell>
        </row>
        <row r="911">
          <cell r="A911" t="str">
            <v>FTK902</v>
          </cell>
          <cell r="B911" t="str">
            <v>AUTOMOTIVO</v>
          </cell>
          <cell r="C911" t="str">
            <v>Coifa Homocinética</v>
          </cell>
          <cell r="D911" t="str">
            <v>SIMPLES</v>
          </cell>
          <cell r="E911" t="str">
            <v>Replabor</v>
          </cell>
        </row>
        <row r="912">
          <cell r="A912" t="str">
            <v>KIT-FTK3320/21</v>
          </cell>
          <cell r="B912" t="str">
            <v>AUTOMOTIVO</v>
          </cell>
          <cell r="C912" t="str">
            <v>Coifa Homocinética</v>
          </cell>
          <cell r="D912" t="str">
            <v>SIMPLES</v>
          </cell>
          <cell r="E912" t="str">
            <v>Replabor</v>
          </cell>
        </row>
        <row r="913">
          <cell r="A913" t="str">
            <v>KIT-FTK3321/22</v>
          </cell>
          <cell r="B913" t="str">
            <v>AUTOMOTIVO</v>
          </cell>
          <cell r="C913" t="str">
            <v>Coifa Homocinética</v>
          </cell>
          <cell r="D913" t="str">
            <v>SIMPLES</v>
          </cell>
          <cell r="E913" t="str">
            <v>Replabor</v>
          </cell>
        </row>
        <row r="914">
          <cell r="A914" t="str">
            <v>KIT-FTK347/63</v>
          </cell>
          <cell r="B914" t="str">
            <v>AUTOMOTIVO</v>
          </cell>
          <cell r="C914" t="str">
            <v>Coifa Homocinética</v>
          </cell>
          <cell r="D914" t="str">
            <v>SIMPLES</v>
          </cell>
          <cell r="E914" t="str">
            <v>Replabor</v>
          </cell>
        </row>
        <row r="915">
          <cell r="A915" t="str">
            <v>PAR-FTK279/82</v>
          </cell>
          <cell r="B915" t="str">
            <v>AUTOMOTIVO</v>
          </cell>
          <cell r="C915" t="str">
            <v>Pastilha Freio</v>
          </cell>
          <cell r="D915" t="str">
            <v>SIMPLES</v>
          </cell>
          <cell r="E915" t="str">
            <v>Replabor</v>
          </cell>
        </row>
        <row r="916">
          <cell r="A916" t="str">
            <v>PAR-FTK314</v>
          </cell>
          <cell r="B916" t="str">
            <v>AUTOMOTIVO</v>
          </cell>
          <cell r="C916" t="str">
            <v>Coifa Homocinética</v>
          </cell>
          <cell r="D916" t="str">
            <v>SIMPLES</v>
          </cell>
          <cell r="E916" t="str">
            <v>Replabor</v>
          </cell>
        </row>
        <row r="917">
          <cell r="A917" t="str">
            <v>PAR-FTK3320K</v>
          </cell>
          <cell r="B917" t="str">
            <v>AUTOMOTIVO</v>
          </cell>
          <cell r="C917" t="str">
            <v>Coifa Homocinética</v>
          </cell>
          <cell r="D917" t="str">
            <v>SIMPLES</v>
          </cell>
          <cell r="E917" t="str">
            <v>Replabor</v>
          </cell>
        </row>
        <row r="918">
          <cell r="A918" t="str">
            <v>PAR-FTK3321K</v>
          </cell>
          <cell r="B918" t="str">
            <v>AUTOMOTIVO</v>
          </cell>
          <cell r="C918" t="str">
            <v>Coifa Homocinética</v>
          </cell>
          <cell r="D918" t="str">
            <v>SIMPLES</v>
          </cell>
          <cell r="E918" t="str">
            <v>Replabor</v>
          </cell>
        </row>
        <row r="919">
          <cell r="A919" t="str">
            <v>PAR-FTK3322K</v>
          </cell>
          <cell r="B919" t="str">
            <v>AUTOMOTIVO</v>
          </cell>
          <cell r="C919" t="str">
            <v>Coifa Homocinética</v>
          </cell>
          <cell r="D919" t="str">
            <v>SIMPLES</v>
          </cell>
          <cell r="E919" t="str">
            <v>Replabor</v>
          </cell>
        </row>
        <row r="920">
          <cell r="A920" t="str">
            <v>PAR-FTK411</v>
          </cell>
          <cell r="B920" t="str">
            <v>AUTOMOTIVO</v>
          </cell>
          <cell r="C920" t="str">
            <v>Coifa Homocinética</v>
          </cell>
          <cell r="D920" t="str">
            <v>SIMPLES</v>
          </cell>
          <cell r="E920" t="str">
            <v>Replabor</v>
          </cell>
        </row>
        <row r="921">
          <cell r="A921" t="str">
            <v>PAR-FTK452</v>
          </cell>
          <cell r="B921" t="str">
            <v>AUTOMOTIVO</v>
          </cell>
          <cell r="C921" t="str">
            <v>Coifa Homocinética</v>
          </cell>
          <cell r="D921" t="str">
            <v>SIMPLES</v>
          </cell>
          <cell r="E921" t="str">
            <v>Replabor</v>
          </cell>
        </row>
        <row r="922">
          <cell r="A922" t="str">
            <v>PAR-FTK616/25</v>
          </cell>
          <cell r="B922" t="str">
            <v>AUTOMOTIVO</v>
          </cell>
          <cell r="C922" t="str">
            <v>Pastilha Freio</v>
          </cell>
          <cell r="D922" t="str">
            <v>SIMPLES</v>
          </cell>
          <cell r="E922" t="str">
            <v>Replabor</v>
          </cell>
        </row>
        <row r="923">
          <cell r="A923" t="str">
            <v>PAR-FTK717/28</v>
          </cell>
          <cell r="B923" t="str">
            <v>AUTOMOTIVO</v>
          </cell>
          <cell r="C923" t="str">
            <v>Coifa Homocinética</v>
          </cell>
          <cell r="D923" t="str">
            <v>SIMPLES</v>
          </cell>
          <cell r="E923" t="str">
            <v>Replabor</v>
          </cell>
        </row>
        <row r="924">
          <cell r="A924" t="str">
            <v>OC235</v>
          </cell>
          <cell r="B924" t="str">
            <v>AUTOMOTIVO</v>
          </cell>
          <cell r="C924" t="str">
            <v>Filtro de óleo</v>
          </cell>
          <cell r="D924" t="str">
            <v>SIMPLES</v>
          </cell>
          <cell r="E924" t="str">
            <v>RMP</v>
          </cell>
        </row>
        <row r="925">
          <cell r="A925" t="str">
            <v>WO120</v>
          </cell>
          <cell r="B925" t="str">
            <v>AUTOMOTIVO</v>
          </cell>
          <cell r="C925" t="str">
            <v>Filtro de óleo</v>
          </cell>
          <cell r="D925" t="str">
            <v>SIMPLES</v>
          </cell>
          <cell r="E925" t="str">
            <v>RMP</v>
          </cell>
        </row>
        <row r="926">
          <cell r="A926" t="str">
            <v>FTK110165</v>
          </cell>
          <cell r="B926" t="str">
            <v>AUTOMOTIVO</v>
          </cell>
          <cell r="C926" t="str">
            <v>Rolamento semi Eixo</v>
          </cell>
          <cell r="D926" t="str">
            <v>SIMPLES</v>
          </cell>
          <cell r="E926" t="str">
            <v>Roletan</v>
          </cell>
        </row>
        <row r="927">
          <cell r="A927">
            <v>102011</v>
          </cell>
          <cell r="B927" t="str">
            <v>AUTOMOTIVO</v>
          </cell>
          <cell r="C927" t="str">
            <v>Bandeja</v>
          </cell>
          <cell r="D927" t="str">
            <v>SIMPLES</v>
          </cell>
          <cell r="E927" t="str">
            <v>SPARE</v>
          </cell>
        </row>
        <row r="928">
          <cell r="A928">
            <v>112001</v>
          </cell>
          <cell r="B928" t="str">
            <v>AUTOMOTIVO</v>
          </cell>
          <cell r="C928" t="str">
            <v>Bandeja</v>
          </cell>
          <cell r="D928" t="str">
            <v>SIMPLES</v>
          </cell>
          <cell r="E928" t="str">
            <v>SPARE</v>
          </cell>
        </row>
        <row r="929">
          <cell r="A929">
            <v>112002</v>
          </cell>
          <cell r="B929" t="str">
            <v>AUTOMOTIVO</v>
          </cell>
          <cell r="C929" t="str">
            <v>BANDEJA</v>
          </cell>
          <cell r="D929" t="str">
            <v>SIMPLES</v>
          </cell>
          <cell r="E929" t="str">
            <v>SPARE</v>
          </cell>
        </row>
        <row r="930">
          <cell r="A930">
            <v>112004</v>
          </cell>
          <cell r="B930" t="str">
            <v>AUTOMOTIVO</v>
          </cell>
          <cell r="C930" t="str">
            <v>Bandeja</v>
          </cell>
          <cell r="D930" t="str">
            <v>SIMPLES</v>
          </cell>
          <cell r="E930" t="str">
            <v>SPARE</v>
          </cell>
        </row>
        <row r="931">
          <cell r="A931">
            <v>112005</v>
          </cell>
          <cell r="B931" t="str">
            <v>AUTOMOTIVO</v>
          </cell>
          <cell r="C931" t="str">
            <v>Bandeja</v>
          </cell>
          <cell r="D931" t="str">
            <v>SIMPLES</v>
          </cell>
          <cell r="E931" t="str">
            <v>SPARE</v>
          </cell>
        </row>
        <row r="932">
          <cell r="A932">
            <v>112006</v>
          </cell>
          <cell r="B932" t="str">
            <v>AUTOMOTIVO</v>
          </cell>
          <cell r="C932" t="str">
            <v>Bandeja</v>
          </cell>
          <cell r="D932" t="str">
            <v>SIMPLES</v>
          </cell>
          <cell r="E932" t="str">
            <v>SPARE</v>
          </cell>
        </row>
        <row r="933">
          <cell r="A933">
            <v>112007</v>
          </cell>
          <cell r="B933" t="str">
            <v>AUTOMOTIVO</v>
          </cell>
          <cell r="C933" t="str">
            <v>Bandeja</v>
          </cell>
          <cell r="D933" t="str">
            <v>SIMPLES</v>
          </cell>
          <cell r="E933" t="str">
            <v>SPARE</v>
          </cell>
        </row>
        <row r="934">
          <cell r="A934">
            <v>112008</v>
          </cell>
          <cell r="B934" t="str">
            <v>AUTOMOTIVO</v>
          </cell>
          <cell r="C934" t="str">
            <v>Bandeja</v>
          </cell>
          <cell r="D934" t="str">
            <v>SIMPLES</v>
          </cell>
          <cell r="E934" t="str">
            <v>SPARE</v>
          </cell>
        </row>
        <row r="935">
          <cell r="A935">
            <v>112009</v>
          </cell>
          <cell r="B935" t="str">
            <v>AUTOMOTIVO</v>
          </cell>
          <cell r="C935" t="str">
            <v>Bandeja</v>
          </cell>
          <cell r="D935" t="str">
            <v>SIMPLES</v>
          </cell>
          <cell r="E935" t="str">
            <v>SPARE</v>
          </cell>
        </row>
        <row r="936">
          <cell r="A936">
            <v>112010</v>
          </cell>
          <cell r="B936" t="str">
            <v>AUTOMOTIVO</v>
          </cell>
          <cell r="C936" t="str">
            <v>Bandeja</v>
          </cell>
          <cell r="D936" t="str">
            <v>SIMPLES</v>
          </cell>
          <cell r="E936" t="str">
            <v>SPARE</v>
          </cell>
        </row>
        <row r="937">
          <cell r="A937">
            <v>112011</v>
          </cell>
          <cell r="B937" t="str">
            <v>AUTOMOTIVO</v>
          </cell>
          <cell r="C937" t="str">
            <v>Bandeja</v>
          </cell>
          <cell r="D937" t="str">
            <v>SIMPLES</v>
          </cell>
          <cell r="E937" t="str">
            <v>SPARE</v>
          </cell>
        </row>
        <row r="938">
          <cell r="A938">
            <v>112012</v>
          </cell>
          <cell r="B938" t="str">
            <v>AUTOMOTIVO</v>
          </cell>
          <cell r="C938" t="str">
            <v>Bandeja</v>
          </cell>
          <cell r="D938" t="str">
            <v>SIMPLES</v>
          </cell>
          <cell r="E938" t="str">
            <v>SPARE</v>
          </cell>
        </row>
        <row r="939">
          <cell r="A939">
            <v>112013</v>
          </cell>
          <cell r="B939" t="str">
            <v>AUTOMOTIVO</v>
          </cell>
          <cell r="C939" t="str">
            <v>Bandeja</v>
          </cell>
          <cell r="D939" t="str">
            <v>SIMPLES</v>
          </cell>
          <cell r="E939" t="str">
            <v>SPARE</v>
          </cell>
        </row>
        <row r="940">
          <cell r="A940">
            <v>112016</v>
          </cell>
          <cell r="B940" t="str">
            <v>AUTOMOTIVO</v>
          </cell>
          <cell r="C940" t="str">
            <v>Bandeja</v>
          </cell>
          <cell r="D940" t="str">
            <v>SIMPLES</v>
          </cell>
          <cell r="E940" t="str">
            <v>SPARE</v>
          </cell>
        </row>
        <row r="941">
          <cell r="A941">
            <v>112017</v>
          </cell>
          <cell r="B941" t="str">
            <v>AUTOMOTIVO</v>
          </cell>
          <cell r="C941" t="str">
            <v>Bandeja</v>
          </cell>
          <cell r="D941" t="str">
            <v>SIMPLES</v>
          </cell>
          <cell r="E941" t="str">
            <v>SPARE</v>
          </cell>
        </row>
        <row r="942">
          <cell r="A942">
            <v>112022</v>
          </cell>
          <cell r="B942" t="str">
            <v>AUTOMOTIVO</v>
          </cell>
          <cell r="C942" t="str">
            <v>Bandeja</v>
          </cell>
          <cell r="D942" t="str">
            <v>SIMPLES</v>
          </cell>
          <cell r="E942" t="str">
            <v>SPARE</v>
          </cell>
        </row>
        <row r="943">
          <cell r="A943">
            <v>112023</v>
          </cell>
          <cell r="B943" t="str">
            <v>AUTOMOTIVO</v>
          </cell>
          <cell r="C943" t="str">
            <v>Bandeja</v>
          </cell>
          <cell r="D943" t="str">
            <v>SIMPLES</v>
          </cell>
          <cell r="E943" t="str">
            <v>SPARE</v>
          </cell>
        </row>
        <row r="944">
          <cell r="A944">
            <v>112024</v>
          </cell>
          <cell r="B944" t="str">
            <v>AUTOMOTIVO</v>
          </cell>
          <cell r="C944" t="str">
            <v>Bandeja</v>
          </cell>
          <cell r="D944" t="str">
            <v>SIMPLES</v>
          </cell>
          <cell r="E944" t="str">
            <v>SPARE</v>
          </cell>
        </row>
        <row r="945">
          <cell r="A945">
            <v>112025</v>
          </cell>
          <cell r="B945" t="str">
            <v>AUTOMOTIVO</v>
          </cell>
          <cell r="C945" t="str">
            <v>Bandeja</v>
          </cell>
          <cell r="D945" t="str">
            <v>SIMPLES</v>
          </cell>
          <cell r="E945" t="str">
            <v>SPARE</v>
          </cell>
        </row>
        <row r="946">
          <cell r="A946">
            <v>112028</v>
          </cell>
          <cell r="B946" t="str">
            <v>AUTOMOTIVO</v>
          </cell>
          <cell r="C946" t="str">
            <v>Bandeja</v>
          </cell>
          <cell r="D946" t="str">
            <v>SIMPLES</v>
          </cell>
          <cell r="E946" t="str">
            <v>SPARE</v>
          </cell>
        </row>
        <row r="947">
          <cell r="A947">
            <v>112029</v>
          </cell>
          <cell r="B947" t="str">
            <v>AUTOMOTIVO</v>
          </cell>
          <cell r="C947" t="str">
            <v>Bandeja</v>
          </cell>
          <cell r="D947" t="str">
            <v>SIMPLES</v>
          </cell>
          <cell r="E947" t="str">
            <v>SPARE</v>
          </cell>
        </row>
        <row r="948">
          <cell r="A948">
            <v>112030</v>
          </cell>
          <cell r="B948" t="str">
            <v>AUTOMOTIVO</v>
          </cell>
          <cell r="C948" t="str">
            <v>Bandeja</v>
          </cell>
          <cell r="D948" t="str">
            <v>SIMPLES</v>
          </cell>
          <cell r="E948" t="str">
            <v>SPARE</v>
          </cell>
        </row>
        <row r="949">
          <cell r="A949">
            <v>112031</v>
          </cell>
          <cell r="B949" t="str">
            <v>AUTOMOTIVO</v>
          </cell>
          <cell r="C949" t="str">
            <v>Bandeja</v>
          </cell>
          <cell r="D949" t="str">
            <v>SIMPLES</v>
          </cell>
          <cell r="E949" t="str">
            <v>SPARE</v>
          </cell>
        </row>
        <row r="950">
          <cell r="A950">
            <v>112052</v>
          </cell>
          <cell r="B950" t="str">
            <v>AUTOMOTIVO</v>
          </cell>
          <cell r="C950" t="str">
            <v>Bandeja</v>
          </cell>
          <cell r="D950" t="str">
            <v>SIMPLES</v>
          </cell>
          <cell r="E950" t="str">
            <v>SPARE</v>
          </cell>
        </row>
        <row r="951">
          <cell r="A951">
            <v>112053</v>
          </cell>
          <cell r="B951" t="str">
            <v>AUTOMOTIVO</v>
          </cell>
          <cell r="C951" t="str">
            <v>Bandeja</v>
          </cell>
          <cell r="D951" t="str">
            <v>SIMPLES</v>
          </cell>
          <cell r="E951" t="str">
            <v>SPARE</v>
          </cell>
        </row>
        <row r="952">
          <cell r="A952">
            <v>112056</v>
          </cell>
          <cell r="B952" t="str">
            <v>AUTOMOTIVO</v>
          </cell>
          <cell r="C952" t="str">
            <v>Bandeja</v>
          </cell>
          <cell r="D952" t="str">
            <v>SIMPLES</v>
          </cell>
          <cell r="E952" t="str">
            <v>SPARE</v>
          </cell>
        </row>
        <row r="953">
          <cell r="A953">
            <v>112057</v>
          </cell>
          <cell r="B953" t="str">
            <v>AUTOMOTIVO</v>
          </cell>
          <cell r="C953" t="str">
            <v>Bandeja</v>
          </cell>
          <cell r="D953" t="str">
            <v>SIMPLES</v>
          </cell>
          <cell r="E953" t="str">
            <v>SPARE</v>
          </cell>
        </row>
        <row r="954">
          <cell r="A954">
            <v>112058</v>
          </cell>
          <cell r="B954" t="str">
            <v>AUTOMOTIVO</v>
          </cell>
          <cell r="C954" t="str">
            <v>Bandeja</v>
          </cell>
          <cell r="D954" t="str">
            <v>SIMPLES</v>
          </cell>
          <cell r="E954" t="str">
            <v>SPARE</v>
          </cell>
        </row>
        <row r="955">
          <cell r="A955">
            <v>112059</v>
          </cell>
          <cell r="B955" t="str">
            <v>AUTOMOTIVO</v>
          </cell>
          <cell r="C955" t="str">
            <v>Bandeja</v>
          </cell>
          <cell r="D955" t="str">
            <v>SIMPLES</v>
          </cell>
          <cell r="E955" t="str">
            <v>SPARE</v>
          </cell>
        </row>
        <row r="956">
          <cell r="A956">
            <v>112062</v>
          </cell>
          <cell r="B956" t="str">
            <v>AUTOMOTIVO</v>
          </cell>
          <cell r="C956" t="str">
            <v>Bandeja</v>
          </cell>
          <cell r="D956" t="str">
            <v>SIMPLES</v>
          </cell>
          <cell r="E956" t="str">
            <v>SPARE</v>
          </cell>
        </row>
        <row r="957">
          <cell r="A957">
            <v>112063</v>
          </cell>
          <cell r="B957" t="str">
            <v>AUTOMOTIVO</v>
          </cell>
          <cell r="C957" t="str">
            <v>Bandeja</v>
          </cell>
          <cell r="D957" t="str">
            <v>SIMPLES</v>
          </cell>
          <cell r="E957" t="str">
            <v>SPARE</v>
          </cell>
        </row>
        <row r="958">
          <cell r="A958">
            <v>112074</v>
          </cell>
          <cell r="B958" t="str">
            <v>AUTOMOTIVO</v>
          </cell>
          <cell r="C958" t="str">
            <v>Bandeja</v>
          </cell>
          <cell r="D958" t="str">
            <v>SIMPLES</v>
          </cell>
          <cell r="E958" t="str">
            <v>SPARE</v>
          </cell>
        </row>
        <row r="959">
          <cell r="A959">
            <v>112075</v>
          </cell>
          <cell r="B959" t="str">
            <v>AUTOMOTIVO</v>
          </cell>
          <cell r="C959" t="str">
            <v>Bandeja</v>
          </cell>
          <cell r="D959" t="str">
            <v>SIMPLES</v>
          </cell>
          <cell r="E959" t="str">
            <v>SPARE</v>
          </cell>
        </row>
        <row r="960">
          <cell r="A960">
            <v>112090</v>
          </cell>
          <cell r="B960" t="str">
            <v>AUTOMOTIVO</v>
          </cell>
          <cell r="C960" t="str">
            <v>Bandeja</v>
          </cell>
          <cell r="D960" t="str">
            <v>SIMPLES</v>
          </cell>
          <cell r="E960" t="str">
            <v>SPARE</v>
          </cell>
        </row>
        <row r="961">
          <cell r="A961">
            <v>112092</v>
          </cell>
          <cell r="B961" t="str">
            <v>AUTOMOTIVO</v>
          </cell>
          <cell r="C961" t="str">
            <v>Bandeja</v>
          </cell>
          <cell r="D961" t="str">
            <v>SIMPLES</v>
          </cell>
          <cell r="E961" t="str">
            <v>SPARE</v>
          </cell>
        </row>
        <row r="962">
          <cell r="A962">
            <v>112093</v>
          </cell>
          <cell r="B962" t="str">
            <v>AUTOMOTIVO</v>
          </cell>
          <cell r="C962" t="str">
            <v>Bandeja</v>
          </cell>
          <cell r="D962" t="str">
            <v>SIMPLES</v>
          </cell>
          <cell r="E962" t="str">
            <v>SPARE</v>
          </cell>
        </row>
        <row r="963">
          <cell r="A963">
            <v>112100</v>
          </cell>
          <cell r="B963" t="str">
            <v>AUTOMOTIVO</v>
          </cell>
          <cell r="C963" t="str">
            <v>Bandeja</v>
          </cell>
          <cell r="D963" t="str">
            <v>SIMPLES</v>
          </cell>
          <cell r="E963" t="str">
            <v>SPARE</v>
          </cell>
        </row>
        <row r="964">
          <cell r="A964">
            <v>112101</v>
          </cell>
          <cell r="B964" t="str">
            <v>AUTOMOTIVO</v>
          </cell>
          <cell r="C964" t="str">
            <v>Bandeja</v>
          </cell>
          <cell r="D964" t="str">
            <v>SIMPLES</v>
          </cell>
          <cell r="E964" t="str">
            <v>SPARE</v>
          </cell>
        </row>
        <row r="965">
          <cell r="A965">
            <v>112102</v>
          </cell>
          <cell r="B965" t="str">
            <v>AUTOMOTIVO</v>
          </cell>
          <cell r="C965" t="str">
            <v>Bandeja</v>
          </cell>
          <cell r="D965" t="str">
            <v>SIMPLES</v>
          </cell>
          <cell r="E965" t="str">
            <v>SPARE</v>
          </cell>
        </row>
        <row r="966">
          <cell r="A966">
            <v>112103</v>
          </cell>
          <cell r="B966" t="str">
            <v>AUTOMOTIVO</v>
          </cell>
          <cell r="C966" t="str">
            <v>Bandeja</v>
          </cell>
          <cell r="D966" t="str">
            <v>SIMPLES</v>
          </cell>
          <cell r="E966" t="str">
            <v>SPARE</v>
          </cell>
        </row>
        <row r="967">
          <cell r="A967">
            <v>112106</v>
          </cell>
          <cell r="B967" t="str">
            <v>AUTOMOTIVO</v>
          </cell>
          <cell r="C967" t="str">
            <v>Bandeja</v>
          </cell>
          <cell r="D967" t="str">
            <v>SIMPLES</v>
          </cell>
          <cell r="E967" t="str">
            <v>SPARE</v>
          </cell>
        </row>
        <row r="968">
          <cell r="A968">
            <v>112107</v>
          </cell>
          <cell r="B968" t="str">
            <v>AUTOMOTIVO</v>
          </cell>
          <cell r="C968" t="str">
            <v>Bandeja</v>
          </cell>
          <cell r="D968" t="str">
            <v>SIMPLES</v>
          </cell>
          <cell r="E968" t="str">
            <v>SPARE</v>
          </cell>
        </row>
        <row r="969">
          <cell r="A969">
            <v>112108</v>
          </cell>
          <cell r="B969" t="str">
            <v>AUTOMOTIVO</v>
          </cell>
          <cell r="C969" t="str">
            <v>Bandeja</v>
          </cell>
          <cell r="D969" t="str">
            <v>SIMPLES</v>
          </cell>
          <cell r="E969" t="str">
            <v>SPARE</v>
          </cell>
        </row>
        <row r="970">
          <cell r="A970">
            <v>112109</v>
          </cell>
          <cell r="B970" t="str">
            <v>AUTOMOTIVO</v>
          </cell>
          <cell r="C970" t="str">
            <v>Bandeja</v>
          </cell>
          <cell r="D970" t="str">
            <v>SIMPLES</v>
          </cell>
          <cell r="E970" t="str">
            <v>SPARE</v>
          </cell>
        </row>
        <row r="971">
          <cell r="A971">
            <v>112115</v>
          </cell>
          <cell r="B971" t="str">
            <v>AUTOMOTIVO</v>
          </cell>
          <cell r="C971" t="str">
            <v>Bandeja</v>
          </cell>
          <cell r="D971" t="str">
            <v>SIMPLES</v>
          </cell>
          <cell r="E971" t="str">
            <v>SPARE</v>
          </cell>
        </row>
        <row r="972">
          <cell r="A972">
            <v>112116</v>
          </cell>
          <cell r="B972" t="str">
            <v>AUTOMOTIVO</v>
          </cell>
          <cell r="C972" t="str">
            <v>Bandeja</v>
          </cell>
          <cell r="D972" t="str">
            <v>SIMPLES</v>
          </cell>
          <cell r="E972" t="str">
            <v>SPARE</v>
          </cell>
        </row>
        <row r="973">
          <cell r="A973">
            <v>112117</v>
          </cell>
          <cell r="B973" t="str">
            <v>AUTOMOTIVO</v>
          </cell>
          <cell r="C973" t="str">
            <v>Bandeja</v>
          </cell>
          <cell r="D973" t="str">
            <v>SIMPLES</v>
          </cell>
          <cell r="E973" t="str">
            <v>SPARE</v>
          </cell>
        </row>
        <row r="974">
          <cell r="A974">
            <v>112118</v>
          </cell>
          <cell r="B974" t="str">
            <v>AUTOMOTIVO</v>
          </cell>
          <cell r="C974" t="str">
            <v>Bandeja</v>
          </cell>
          <cell r="D974" t="str">
            <v>SIMPLES</v>
          </cell>
          <cell r="E974" t="str">
            <v>SPARE</v>
          </cell>
        </row>
        <row r="975">
          <cell r="A975">
            <v>112124</v>
          </cell>
          <cell r="B975" t="str">
            <v>AUTOMOTIVO</v>
          </cell>
          <cell r="C975" t="str">
            <v>Bandeja</v>
          </cell>
          <cell r="D975" t="str">
            <v>SIMPLES</v>
          </cell>
          <cell r="E975" t="str">
            <v>SPARE</v>
          </cell>
        </row>
        <row r="976">
          <cell r="A976">
            <v>112125</v>
          </cell>
          <cell r="B976" t="str">
            <v>AUTOMOTIVO</v>
          </cell>
          <cell r="C976" t="str">
            <v>Bandeja</v>
          </cell>
          <cell r="D976" t="str">
            <v>SIMPLES</v>
          </cell>
          <cell r="E976" t="str">
            <v>SPARE</v>
          </cell>
        </row>
        <row r="977">
          <cell r="A977">
            <v>112126</v>
          </cell>
          <cell r="B977" t="str">
            <v>AUTOMOTIVO</v>
          </cell>
          <cell r="C977" t="str">
            <v>Bandeja</v>
          </cell>
          <cell r="D977" t="str">
            <v>SIMPLES</v>
          </cell>
          <cell r="E977" t="str">
            <v>SPARE</v>
          </cell>
        </row>
        <row r="978">
          <cell r="A978">
            <v>112127</v>
          </cell>
          <cell r="B978" t="str">
            <v>AUTOMOTIVO</v>
          </cell>
          <cell r="C978" t="str">
            <v>Bandeja</v>
          </cell>
          <cell r="D978" t="str">
            <v>SIMPLES</v>
          </cell>
          <cell r="E978" t="str">
            <v>SPARE</v>
          </cell>
        </row>
        <row r="979">
          <cell r="A979">
            <v>112132</v>
          </cell>
          <cell r="B979" t="str">
            <v>AUTOMOTIVO</v>
          </cell>
          <cell r="C979" t="str">
            <v>Bandeja</v>
          </cell>
          <cell r="D979" t="str">
            <v>SIMPLES</v>
          </cell>
          <cell r="E979" t="str">
            <v>SPARE</v>
          </cell>
        </row>
        <row r="980">
          <cell r="A980">
            <v>112133</v>
          </cell>
          <cell r="B980" t="str">
            <v>AUTOMOTIVO</v>
          </cell>
          <cell r="C980" t="str">
            <v>Bandeja</v>
          </cell>
          <cell r="D980" t="str">
            <v>SIMPLES</v>
          </cell>
          <cell r="E980" t="str">
            <v>SPARE</v>
          </cell>
        </row>
        <row r="981">
          <cell r="A981">
            <v>222010</v>
          </cell>
          <cell r="B981" t="str">
            <v>AUTOMOTIVO</v>
          </cell>
          <cell r="C981" t="str">
            <v>Bandeja</v>
          </cell>
          <cell r="D981" t="str">
            <v>SIMPLES</v>
          </cell>
          <cell r="E981" t="str">
            <v>SPARE</v>
          </cell>
        </row>
        <row r="982">
          <cell r="A982">
            <v>222011</v>
          </cell>
          <cell r="B982" t="str">
            <v>AUTOMOTIVO</v>
          </cell>
          <cell r="C982" t="str">
            <v>Bandeja</v>
          </cell>
          <cell r="D982" t="str">
            <v>SIMPLES</v>
          </cell>
          <cell r="E982" t="str">
            <v>SPARE</v>
          </cell>
        </row>
        <row r="983">
          <cell r="A983">
            <v>222014</v>
          </cell>
          <cell r="B983" t="str">
            <v>AUTOMOTIVO</v>
          </cell>
          <cell r="C983" t="str">
            <v>Bandeja</v>
          </cell>
          <cell r="D983" t="str">
            <v>SIMPLES</v>
          </cell>
          <cell r="E983" t="str">
            <v>SPARE</v>
          </cell>
        </row>
        <row r="984">
          <cell r="A984">
            <v>222015</v>
          </cell>
          <cell r="B984" t="str">
            <v>AUTOMOTIVO</v>
          </cell>
          <cell r="C984" t="str">
            <v>Bandeja</v>
          </cell>
          <cell r="D984" t="str">
            <v>SIMPLES</v>
          </cell>
          <cell r="E984" t="str">
            <v>SPARE</v>
          </cell>
        </row>
        <row r="985">
          <cell r="A985">
            <v>222020</v>
          </cell>
          <cell r="B985" t="str">
            <v>AUTOMOTIVO</v>
          </cell>
          <cell r="C985" t="str">
            <v>Bandeja</v>
          </cell>
          <cell r="D985" t="str">
            <v>SIMPLES</v>
          </cell>
          <cell r="E985" t="str">
            <v>SPARE</v>
          </cell>
        </row>
        <row r="986">
          <cell r="A986">
            <v>222021</v>
          </cell>
          <cell r="B986" t="str">
            <v>AUTOMOTIVO</v>
          </cell>
          <cell r="C986" t="str">
            <v>Bandeja</v>
          </cell>
          <cell r="D986" t="str">
            <v>SIMPLES</v>
          </cell>
          <cell r="E986" t="str">
            <v>SPARE</v>
          </cell>
        </row>
        <row r="987">
          <cell r="A987">
            <v>222022</v>
          </cell>
          <cell r="B987" t="str">
            <v>AUTOMOTIVO</v>
          </cell>
          <cell r="C987" t="str">
            <v>Bandeja</v>
          </cell>
          <cell r="D987" t="str">
            <v>SIMPLES</v>
          </cell>
          <cell r="E987" t="str">
            <v>SPARE</v>
          </cell>
        </row>
        <row r="988">
          <cell r="A988">
            <v>222023</v>
          </cell>
          <cell r="B988" t="str">
            <v>AUTOMOTIVO</v>
          </cell>
          <cell r="C988" t="str">
            <v>Bandeja</v>
          </cell>
          <cell r="D988" t="str">
            <v>SIMPLES</v>
          </cell>
          <cell r="E988" t="str">
            <v>SPARE</v>
          </cell>
        </row>
        <row r="989">
          <cell r="A989">
            <v>222030</v>
          </cell>
          <cell r="B989" t="str">
            <v>AUTOMOTIVO</v>
          </cell>
          <cell r="C989" t="str">
            <v>Bandeja</v>
          </cell>
          <cell r="D989" t="str">
            <v>SIMPLES</v>
          </cell>
          <cell r="E989" t="str">
            <v>SPARE</v>
          </cell>
        </row>
        <row r="990">
          <cell r="A990">
            <v>222031</v>
          </cell>
          <cell r="B990" t="str">
            <v>AUTOMOTIVO</v>
          </cell>
          <cell r="C990" t="str">
            <v>Bandeja</v>
          </cell>
          <cell r="D990" t="str">
            <v>SIMPLES</v>
          </cell>
          <cell r="E990" t="str">
            <v>SPARE</v>
          </cell>
        </row>
        <row r="991">
          <cell r="A991">
            <v>222032</v>
          </cell>
          <cell r="B991" t="str">
            <v>AUTOMOTIVO</v>
          </cell>
          <cell r="C991" t="str">
            <v>Bandeja</v>
          </cell>
          <cell r="D991" t="str">
            <v>SIMPLES</v>
          </cell>
          <cell r="E991" t="str">
            <v>SPARE</v>
          </cell>
        </row>
        <row r="992">
          <cell r="A992">
            <v>222033</v>
          </cell>
          <cell r="B992" t="str">
            <v>AUTOMOTIVO</v>
          </cell>
          <cell r="C992" t="str">
            <v>Bandeja</v>
          </cell>
          <cell r="D992" t="str">
            <v>SIMPLES</v>
          </cell>
          <cell r="E992" t="str">
            <v>SPARE</v>
          </cell>
        </row>
        <row r="993">
          <cell r="A993">
            <v>222037</v>
          </cell>
          <cell r="B993" t="str">
            <v>AUTOMOTIVO</v>
          </cell>
          <cell r="C993" t="str">
            <v>Bandeja</v>
          </cell>
          <cell r="D993" t="str">
            <v>SIMPLES</v>
          </cell>
          <cell r="E993" t="str">
            <v>SPARE</v>
          </cell>
        </row>
        <row r="994">
          <cell r="A994">
            <v>222051</v>
          </cell>
          <cell r="B994" t="str">
            <v>AUTOMOTIVO</v>
          </cell>
          <cell r="C994" t="str">
            <v>Bandeja</v>
          </cell>
          <cell r="D994" t="str">
            <v>SIMPLES</v>
          </cell>
          <cell r="E994" t="str">
            <v>SPARE</v>
          </cell>
        </row>
        <row r="995">
          <cell r="A995">
            <v>222052</v>
          </cell>
          <cell r="B995" t="str">
            <v>AUTOMOTIVO</v>
          </cell>
          <cell r="C995" t="str">
            <v>Bandeja</v>
          </cell>
          <cell r="D995" t="str">
            <v>SIMPLES</v>
          </cell>
          <cell r="E995" t="str">
            <v>SPARE</v>
          </cell>
        </row>
        <row r="996">
          <cell r="A996">
            <v>222053</v>
          </cell>
          <cell r="B996" t="str">
            <v>AUTOMOTIVO</v>
          </cell>
          <cell r="C996" t="str">
            <v>Bandeja</v>
          </cell>
          <cell r="D996" t="str">
            <v>SIMPLES</v>
          </cell>
          <cell r="E996" t="str">
            <v>SPARE</v>
          </cell>
        </row>
        <row r="997">
          <cell r="A997">
            <v>222054</v>
          </cell>
          <cell r="B997" t="str">
            <v>AUTOMOTIVO</v>
          </cell>
          <cell r="C997" t="str">
            <v>Bandeja</v>
          </cell>
          <cell r="D997" t="str">
            <v>SIMPLES</v>
          </cell>
          <cell r="E997" t="str">
            <v>SPARE</v>
          </cell>
        </row>
        <row r="998">
          <cell r="A998">
            <v>222061</v>
          </cell>
          <cell r="B998" t="str">
            <v>AUTOMOTIVO</v>
          </cell>
          <cell r="C998" t="str">
            <v>Bandeja</v>
          </cell>
          <cell r="D998" t="str">
            <v>SIMPLES</v>
          </cell>
          <cell r="E998" t="str">
            <v>SPARE</v>
          </cell>
        </row>
        <row r="999">
          <cell r="A999">
            <v>222062</v>
          </cell>
          <cell r="B999" t="str">
            <v>AUTOMOTIVO</v>
          </cell>
          <cell r="C999" t="str">
            <v>Bandeja</v>
          </cell>
          <cell r="D999" t="str">
            <v>SIMPLES</v>
          </cell>
          <cell r="E999" t="str">
            <v>SPARE</v>
          </cell>
        </row>
        <row r="1000">
          <cell r="A1000">
            <v>222063</v>
          </cell>
          <cell r="B1000" t="str">
            <v>AUTOMOTIVO</v>
          </cell>
          <cell r="C1000" t="str">
            <v>Bandeja</v>
          </cell>
          <cell r="D1000" t="str">
            <v>SIMPLES</v>
          </cell>
          <cell r="E1000" t="str">
            <v>SPARE</v>
          </cell>
        </row>
        <row r="1001">
          <cell r="A1001">
            <v>222064</v>
          </cell>
          <cell r="B1001" t="str">
            <v>AUTOMOTIVO</v>
          </cell>
          <cell r="C1001" t="str">
            <v>Bandeja</v>
          </cell>
          <cell r="D1001" t="str">
            <v>SIMPLES</v>
          </cell>
          <cell r="E1001" t="str">
            <v>SPARE</v>
          </cell>
        </row>
        <row r="1002">
          <cell r="A1002">
            <v>222067</v>
          </cell>
          <cell r="B1002" t="str">
            <v>AUTOMOTIVO</v>
          </cell>
          <cell r="C1002" t="str">
            <v>Bandeja</v>
          </cell>
          <cell r="D1002" t="str">
            <v>SIMPLES</v>
          </cell>
          <cell r="E1002" t="str">
            <v>SPARE</v>
          </cell>
        </row>
        <row r="1003">
          <cell r="A1003">
            <v>222068</v>
          </cell>
          <cell r="B1003" t="str">
            <v>AUTOMOTIVO</v>
          </cell>
          <cell r="C1003" t="str">
            <v>Bandeja</v>
          </cell>
          <cell r="D1003" t="str">
            <v>SIMPLES</v>
          </cell>
          <cell r="E1003" t="str">
            <v>SPARE</v>
          </cell>
        </row>
        <row r="1004">
          <cell r="A1004">
            <v>222072</v>
          </cell>
          <cell r="B1004" t="str">
            <v>AUTOMOTIVO</v>
          </cell>
          <cell r="C1004" t="str">
            <v>Bandeja</v>
          </cell>
          <cell r="D1004" t="str">
            <v>SIMPLES</v>
          </cell>
          <cell r="E1004" t="str">
            <v>SPARE</v>
          </cell>
        </row>
        <row r="1005">
          <cell r="A1005">
            <v>222073</v>
          </cell>
          <cell r="B1005" t="str">
            <v>AUTOMOTIVO</v>
          </cell>
          <cell r="C1005" t="str">
            <v>Bandeja</v>
          </cell>
          <cell r="D1005" t="str">
            <v>SIMPLES</v>
          </cell>
          <cell r="E1005" t="str">
            <v>SPARE</v>
          </cell>
        </row>
        <row r="1006">
          <cell r="A1006">
            <v>222074</v>
          </cell>
          <cell r="B1006" t="str">
            <v>AUTOMOTIVO</v>
          </cell>
          <cell r="C1006" t="str">
            <v>Bandeja</v>
          </cell>
          <cell r="D1006" t="str">
            <v>SIMPLES</v>
          </cell>
          <cell r="E1006" t="str">
            <v>SPARE</v>
          </cell>
        </row>
        <row r="1007">
          <cell r="A1007">
            <v>222075</v>
          </cell>
          <cell r="B1007" t="str">
            <v>AUTOMOTIVO</v>
          </cell>
          <cell r="C1007" t="str">
            <v>Bandeja</v>
          </cell>
          <cell r="D1007" t="str">
            <v>SIMPLES</v>
          </cell>
          <cell r="E1007" t="str">
            <v>SPARE</v>
          </cell>
        </row>
        <row r="1008">
          <cell r="A1008">
            <v>222076</v>
          </cell>
          <cell r="B1008" t="str">
            <v>AUTOMOTIVO</v>
          </cell>
          <cell r="C1008" t="str">
            <v>Bandeja</v>
          </cell>
          <cell r="D1008" t="str">
            <v>SIMPLES</v>
          </cell>
          <cell r="E1008" t="str">
            <v>SPARE</v>
          </cell>
        </row>
        <row r="1009">
          <cell r="A1009">
            <v>222077</v>
          </cell>
          <cell r="B1009" t="str">
            <v>AUTOMOTIVO</v>
          </cell>
          <cell r="C1009" t="str">
            <v>Bandeja</v>
          </cell>
          <cell r="D1009" t="str">
            <v>SIMPLES</v>
          </cell>
          <cell r="E1009" t="str">
            <v>SPARE</v>
          </cell>
        </row>
        <row r="1010">
          <cell r="A1010">
            <v>222082</v>
          </cell>
          <cell r="B1010" t="str">
            <v>AUTOMOTIVO</v>
          </cell>
          <cell r="C1010" t="str">
            <v>Bandeja</v>
          </cell>
          <cell r="D1010" t="str">
            <v>SIMPLES</v>
          </cell>
          <cell r="E1010" t="str">
            <v>SPARE</v>
          </cell>
        </row>
        <row r="1011">
          <cell r="A1011">
            <v>222083</v>
          </cell>
          <cell r="B1011" t="str">
            <v>AUTOMOTIVO</v>
          </cell>
          <cell r="C1011" t="str">
            <v>Bandeja</v>
          </cell>
          <cell r="D1011" t="str">
            <v>SIMPLES</v>
          </cell>
          <cell r="E1011" t="str">
            <v>SPARE</v>
          </cell>
        </row>
        <row r="1012">
          <cell r="A1012">
            <v>222094</v>
          </cell>
          <cell r="B1012" t="str">
            <v>AUTOMOTIVO</v>
          </cell>
          <cell r="C1012" t="str">
            <v>Bandeja</v>
          </cell>
          <cell r="D1012" t="str">
            <v>SIMPLES</v>
          </cell>
          <cell r="E1012" t="str">
            <v>SPARE</v>
          </cell>
        </row>
        <row r="1013">
          <cell r="A1013">
            <v>222099</v>
          </cell>
          <cell r="B1013" t="str">
            <v>AUTOMOTIVO</v>
          </cell>
          <cell r="C1013" t="str">
            <v>Bandeja</v>
          </cell>
          <cell r="D1013" t="str">
            <v>SIMPLES</v>
          </cell>
          <cell r="E1013" t="str">
            <v>SPARE</v>
          </cell>
        </row>
        <row r="1014">
          <cell r="A1014">
            <v>222102</v>
          </cell>
          <cell r="B1014" t="str">
            <v>AUTOMOTIVO</v>
          </cell>
          <cell r="C1014" t="str">
            <v>Bandeja</v>
          </cell>
          <cell r="D1014" t="str">
            <v>SIMPLES</v>
          </cell>
          <cell r="E1014" t="str">
            <v>SPARE</v>
          </cell>
        </row>
        <row r="1015">
          <cell r="A1015">
            <v>222103</v>
          </cell>
          <cell r="B1015" t="str">
            <v>AUTOMOTIVO</v>
          </cell>
          <cell r="C1015" t="str">
            <v>Bandeja</v>
          </cell>
          <cell r="D1015" t="str">
            <v>SIMPLES</v>
          </cell>
          <cell r="E1015" t="str">
            <v>SPARE</v>
          </cell>
        </row>
        <row r="1016">
          <cell r="A1016">
            <v>222104</v>
          </cell>
          <cell r="B1016" t="str">
            <v>AUTOMOTIVO</v>
          </cell>
          <cell r="C1016" t="str">
            <v>Bandeja</v>
          </cell>
          <cell r="D1016" t="str">
            <v>SIMPLES</v>
          </cell>
          <cell r="E1016" t="str">
            <v>SPARE</v>
          </cell>
        </row>
        <row r="1017">
          <cell r="A1017">
            <v>222105</v>
          </cell>
          <cell r="B1017" t="str">
            <v>AUTOMOTIVO</v>
          </cell>
          <cell r="C1017" t="str">
            <v>Bandeja</v>
          </cell>
          <cell r="D1017" t="str">
            <v>SIMPLES</v>
          </cell>
          <cell r="E1017" t="str">
            <v>SPARE</v>
          </cell>
        </row>
        <row r="1018">
          <cell r="A1018">
            <v>222108</v>
          </cell>
          <cell r="B1018" t="str">
            <v>AUTOMOTIVO</v>
          </cell>
          <cell r="C1018" t="str">
            <v>Bandeja</v>
          </cell>
          <cell r="D1018" t="str">
            <v>SIMPLES</v>
          </cell>
          <cell r="E1018" t="str">
            <v>SPARE</v>
          </cell>
        </row>
        <row r="1019">
          <cell r="A1019">
            <v>222109</v>
          </cell>
          <cell r="B1019" t="str">
            <v>AUTOMOTIVO</v>
          </cell>
          <cell r="C1019" t="str">
            <v>Bandeja</v>
          </cell>
          <cell r="D1019" t="str">
            <v>SIMPLES</v>
          </cell>
          <cell r="E1019" t="str">
            <v>SPARE</v>
          </cell>
        </row>
        <row r="1020">
          <cell r="A1020">
            <v>222110</v>
          </cell>
          <cell r="B1020" t="str">
            <v>AUTOMOTIVO</v>
          </cell>
          <cell r="C1020" t="str">
            <v>Bandeja</v>
          </cell>
          <cell r="D1020" t="str">
            <v>SIMPLES</v>
          </cell>
          <cell r="E1020" t="str">
            <v>SPARE</v>
          </cell>
        </row>
        <row r="1021">
          <cell r="A1021">
            <v>222111</v>
          </cell>
          <cell r="B1021" t="str">
            <v>AUTOMOTIVO</v>
          </cell>
          <cell r="C1021" t="str">
            <v>Bandeja</v>
          </cell>
          <cell r="D1021" t="str">
            <v>SIMPLES</v>
          </cell>
          <cell r="E1021" t="str">
            <v>SPARE</v>
          </cell>
        </row>
        <row r="1022">
          <cell r="A1022">
            <v>222308</v>
          </cell>
          <cell r="B1022" t="str">
            <v>AUTOMOTIVO</v>
          </cell>
          <cell r="C1022" t="str">
            <v>Bandeja</v>
          </cell>
          <cell r="D1022" t="str">
            <v>SIMPLES</v>
          </cell>
          <cell r="E1022" t="str">
            <v>SPARE</v>
          </cell>
        </row>
        <row r="1023">
          <cell r="A1023">
            <v>222309</v>
          </cell>
          <cell r="B1023" t="str">
            <v>AUTOMOTIVO</v>
          </cell>
          <cell r="C1023" t="str">
            <v>Bandeja</v>
          </cell>
          <cell r="D1023" t="str">
            <v>SIMPLES</v>
          </cell>
          <cell r="E1023" t="str">
            <v>SPARE</v>
          </cell>
        </row>
        <row r="1024">
          <cell r="A1024">
            <v>302011</v>
          </cell>
          <cell r="B1024" t="str">
            <v>AUTOMOTIVO</v>
          </cell>
          <cell r="C1024" t="str">
            <v>Bandeja</v>
          </cell>
          <cell r="D1024" t="str">
            <v>SIMPLES</v>
          </cell>
          <cell r="E1024" t="str">
            <v>SPARE</v>
          </cell>
        </row>
        <row r="1025">
          <cell r="A1025">
            <v>330112</v>
          </cell>
          <cell r="B1025" t="str">
            <v>AUTOMOTIVO</v>
          </cell>
          <cell r="C1025" t="str">
            <v>Bandeja</v>
          </cell>
          <cell r="D1025" t="str">
            <v>SIMPLES</v>
          </cell>
          <cell r="E1025" t="str">
            <v>SPARE</v>
          </cell>
        </row>
        <row r="1026">
          <cell r="A1026">
            <v>330214</v>
          </cell>
          <cell r="B1026" t="str">
            <v>AUTOMOTIVO</v>
          </cell>
          <cell r="C1026" t="str">
            <v>AMORTECEDOR SUSPENSÃO</v>
          </cell>
          <cell r="D1026" t="str">
            <v>SIMPLES</v>
          </cell>
          <cell r="E1026" t="str">
            <v>SPARE</v>
          </cell>
        </row>
        <row r="1027">
          <cell r="A1027">
            <v>330233</v>
          </cell>
          <cell r="B1027" t="str">
            <v>AUTOMOTIVO</v>
          </cell>
          <cell r="C1027" t="str">
            <v>AMORTECEDOR SUSPENSÃO</v>
          </cell>
          <cell r="D1027" t="str">
            <v>SIMPLES</v>
          </cell>
          <cell r="E1027" t="str">
            <v>SPARE</v>
          </cell>
        </row>
        <row r="1028">
          <cell r="A1028">
            <v>332000</v>
          </cell>
          <cell r="B1028" t="str">
            <v>AUTOMOTIVO</v>
          </cell>
          <cell r="C1028" t="str">
            <v>Bandeja</v>
          </cell>
          <cell r="D1028" t="str">
            <v>SIMPLES</v>
          </cell>
          <cell r="E1028" t="str">
            <v>SPARE</v>
          </cell>
        </row>
        <row r="1029">
          <cell r="A1029">
            <v>332001</v>
          </cell>
          <cell r="B1029" t="str">
            <v>AUTOMOTIVO</v>
          </cell>
          <cell r="C1029" t="str">
            <v>Bandeja</v>
          </cell>
          <cell r="D1029" t="str">
            <v>SIMPLES</v>
          </cell>
          <cell r="E1029" t="str">
            <v>SPARE</v>
          </cell>
        </row>
        <row r="1030">
          <cell r="A1030">
            <v>332002</v>
          </cell>
          <cell r="B1030" t="str">
            <v>AUTOMOTIVO</v>
          </cell>
          <cell r="C1030" t="str">
            <v>Bandeja</v>
          </cell>
          <cell r="D1030" t="str">
            <v>SIMPLES</v>
          </cell>
          <cell r="E1030" t="str">
            <v>SPARE</v>
          </cell>
        </row>
        <row r="1031">
          <cell r="A1031">
            <v>332003</v>
          </cell>
          <cell r="B1031" t="str">
            <v>AUTOMOTIVO</v>
          </cell>
          <cell r="C1031" t="str">
            <v>Bandeja</v>
          </cell>
          <cell r="D1031" t="str">
            <v>SIMPLES</v>
          </cell>
          <cell r="E1031" t="str">
            <v>SPARE</v>
          </cell>
        </row>
        <row r="1032">
          <cell r="A1032">
            <v>332007</v>
          </cell>
          <cell r="B1032" t="str">
            <v>AUTOMOTIVO</v>
          </cell>
          <cell r="C1032" t="str">
            <v>Bandeja</v>
          </cell>
          <cell r="D1032" t="str">
            <v>SIMPLES</v>
          </cell>
          <cell r="E1032" t="str">
            <v>SPARE</v>
          </cell>
        </row>
        <row r="1033">
          <cell r="A1033">
            <v>332008</v>
          </cell>
          <cell r="B1033" t="str">
            <v>AUTOMOTIVO</v>
          </cell>
          <cell r="C1033" t="str">
            <v>Bandeja</v>
          </cell>
          <cell r="D1033" t="str">
            <v>SIMPLES</v>
          </cell>
          <cell r="E1033" t="str">
            <v>SPARE</v>
          </cell>
        </row>
        <row r="1034">
          <cell r="A1034">
            <v>332010</v>
          </cell>
          <cell r="B1034" t="str">
            <v>AUTOMOTIVO</v>
          </cell>
          <cell r="C1034" t="str">
            <v>Bandeja</v>
          </cell>
          <cell r="D1034" t="str">
            <v>SIMPLES</v>
          </cell>
          <cell r="E1034" t="str">
            <v>SPARE</v>
          </cell>
        </row>
        <row r="1035">
          <cell r="A1035">
            <v>332011</v>
          </cell>
          <cell r="B1035" t="str">
            <v>AUTOMOTIVO</v>
          </cell>
          <cell r="C1035" t="str">
            <v>Bandeja</v>
          </cell>
          <cell r="D1035" t="str">
            <v>SIMPLES</v>
          </cell>
          <cell r="E1035" t="str">
            <v>SPARE</v>
          </cell>
        </row>
        <row r="1036">
          <cell r="A1036">
            <v>332014</v>
          </cell>
          <cell r="B1036" t="str">
            <v>AUTOMOTIVO</v>
          </cell>
          <cell r="C1036" t="str">
            <v>Bandeja</v>
          </cell>
          <cell r="D1036" t="str">
            <v>SIMPLES</v>
          </cell>
          <cell r="E1036" t="str">
            <v>SPARE</v>
          </cell>
        </row>
        <row r="1037">
          <cell r="A1037">
            <v>332015</v>
          </cell>
          <cell r="B1037" t="str">
            <v>AUTOMOTIVO</v>
          </cell>
          <cell r="C1037" t="str">
            <v>Bandeja</v>
          </cell>
          <cell r="D1037" t="str">
            <v>SIMPLES</v>
          </cell>
          <cell r="E1037" t="str">
            <v>SPARE</v>
          </cell>
        </row>
        <row r="1038">
          <cell r="A1038">
            <v>332016</v>
          </cell>
          <cell r="B1038" t="str">
            <v>AUTOMOTIVO</v>
          </cell>
          <cell r="C1038" t="str">
            <v>Bandeja</v>
          </cell>
          <cell r="D1038" t="str">
            <v>SIMPLES</v>
          </cell>
          <cell r="E1038" t="str">
            <v>SPARE</v>
          </cell>
        </row>
        <row r="1039">
          <cell r="A1039">
            <v>332017</v>
          </cell>
          <cell r="B1039" t="str">
            <v>AUTOMOTIVO</v>
          </cell>
          <cell r="C1039" t="str">
            <v>Bandeja</v>
          </cell>
          <cell r="D1039" t="str">
            <v>SIMPLES</v>
          </cell>
          <cell r="E1039" t="str">
            <v>SPARE</v>
          </cell>
        </row>
        <row r="1040">
          <cell r="A1040">
            <v>332022</v>
          </cell>
          <cell r="B1040" t="str">
            <v>AUTOMOTIVO</v>
          </cell>
          <cell r="C1040" t="str">
            <v>Bandeja</v>
          </cell>
          <cell r="D1040" t="str">
            <v>SIMPLES</v>
          </cell>
          <cell r="E1040" t="str">
            <v>SPARE</v>
          </cell>
        </row>
        <row r="1041">
          <cell r="A1041">
            <v>332023</v>
          </cell>
          <cell r="B1041" t="str">
            <v>AUTOMOTIVO</v>
          </cell>
          <cell r="C1041" t="str">
            <v>Bandeja</v>
          </cell>
          <cell r="D1041" t="str">
            <v>SIMPLES</v>
          </cell>
          <cell r="E1041" t="str">
            <v>SPARE</v>
          </cell>
        </row>
        <row r="1042">
          <cell r="A1042">
            <v>332024</v>
          </cell>
          <cell r="B1042" t="str">
            <v>AUTOMOTIVO</v>
          </cell>
          <cell r="C1042" t="str">
            <v>Bandeja</v>
          </cell>
          <cell r="D1042" t="str">
            <v>SIMPLES</v>
          </cell>
          <cell r="E1042" t="str">
            <v>SPARE</v>
          </cell>
        </row>
        <row r="1043">
          <cell r="A1043">
            <v>332042</v>
          </cell>
          <cell r="B1043" t="str">
            <v>AUTOMOTIVO</v>
          </cell>
          <cell r="C1043" t="str">
            <v>Bandeja</v>
          </cell>
          <cell r="D1043" t="str">
            <v>SIMPLES</v>
          </cell>
          <cell r="E1043" t="str">
            <v>SPARE</v>
          </cell>
        </row>
        <row r="1044">
          <cell r="A1044">
            <v>332043</v>
          </cell>
          <cell r="B1044" t="str">
            <v>AUTOMOTIVO</v>
          </cell>
          <cell r="C1044" t="str">
            <v>Bandeja</v>
          </cell>
          <cell r="D1044" t="str">
            <v>SIMPLES</v>
          </cell>
          <cell r="E1044" t="str">
            <v>SPARE</v>
          </cell>
        </row>
        <row r="1045">
          <cell r="A1045">
            <v>332052</v>
          </cell>
          <cell r="B1045" t="str">
            <v>AUTOMOTIVO</v>
          </cell>
          <cell r="C1045" t="str">
            <v>Bandeja</v>
          </cell>
          <cell r="D1045" t="str">
            <v>SIMPLES</v>
          </cell>
          <cell r="E1045" t="str">
            <v>SPARE</v>
          </cell>
        </row>
        <row r="1046">
          <cell r="A1046">
            <v>332053</v>
          </cell>
          <cell r="B1046" t="str">
            <v>AUTOMOTIVO</v>
          </cell>
          <cell r="C1046" t="str">
            <v>Bandeja</v>
          </cell>
          <cell r="D1046" t="str">
            <v>SIMPLES</v>
          </cell>
          <cell r="E1046" t="str">
            <v>SPARE</v>
          </cell>
        </row>
        <row r="1047">
          <cell r="A1047">
            <v>332056</v>
          </cell>
          <cell r="B1047" t="str">
            <v>AUTOMOTIVO</v>
          </cell>
          <cell r="C1047" t="str">
            <v>Bandeja</v>
          </cell>
          <cell r="D1047" t="str">
            <v>SIMPLES</v>
          </cell>
          <cell r="E1047" t="str">
            <v>SPARE</v>
          </cell>
        </row>
        <row r="1048">
          <cell r="A1048">
            <v>332057</v>
          </cell>
          <cell r="B1048" t="str">
            <v>AUTOMOTIVO</v>
          </cell>
          <cell r="C1048" t="str">
            <v>Bandeja</v>
          </cell>
          <cell r="D1048" t="str">
            <v>SIMPLES</v>
          </cell>
          <cell r="E1048" t="str">
            <v>SPARE</v>
          </cell>
        </row>
        <row r="1049">
          <cell r="A1049">
            <v>332065</v>
          </cell>
          <cell r="B1049" t="str">
            <v>AUTOMOTIVO</v>
          </cell>
          <cell r="C1049" t="str">
            <v>Bandeja</v>
          </cell>
          <cell r="D1049" t="str">
            <v>SIMPLES</v>
          </cell>
          <cell r="E1049" t="str">
            <v>SPARE</v>
          </cell>
        </row>
        <row r="1050">
          <cell r="A1050">
            <v>332066</v>
          </cell>
          <cell r="B1050" t="str">
            <v>AUTOMOTIVO</v>
          </cell>
          <cell r="C1050" t="str">
            <v>Bandeja</v>
          </cell>
          <cell r="D1050" t="str">
            <v>SIMPLES</v>
          </cell>
          <cell r="E1050" t="str">
            <v>SPARE</v>
          </cell>
        </row>
        <row r="1051">
          <cell r="A1051">
            <v>332067</v>
          </cell>
          <cell r="B1051" t="str">
            <v>AUTOMOTIVO</v>
          </cell>
          <cell r="C1051" t="str">
            <v>Bandeja</v>
          </cell>
          <cell r="D1051" t="str">
            <v>SIMPLES</v>
          </cell>
          <cell r="E1051" t="str">
            <v>SPARE</v>
          </cell>
        </row>
        <row r="1052">
          <cell r="A1052">
            <v>332068</v>
          </cell>
          <cell r="B1052" t="str">
            <v>AUTOMOTIVO</v>
          </cell>
          <cell r="C1052" t="str">
            <v>Bandeja</v>
          </cell>
          <cell r="D1052" t="str">
            <v>SIMPLES</v>
          </cell>
          <cell r="E1052" t="str">
            <v>SPARE</v>
          </cell>
        </row>
        <row r="1053">
          <cell r="A1053">
            <v>332074</v>
          </cell>
          <cell r="B1053" t="str">
            <v>AUTOMOTIVO</v>
          </cell>
          <cell r="C1053" t="str">
            <v>Bandeja</v>
          </cell>
          <cell r="D1053" t="str">
            <v>SIMPLES</v>
          </cell>
          <cell r="E1053" t="str">
            <v>SPARE</v>
          </cell>
        </row>
        <row r="1054">
          <cell r="A1054">
            <v>332075</v>
          </cell>
          <cell r="B1054" t="str">
            <v>AUTOMOTIVO</v>
          </cell>
          <cell r="C1054" t="str">
            <v>Bandeja</v>
          </cell>
          <cell r="D1054" t="str">
            <v>SIMPLES</v>
          </cell>
          <cell r="E1054" t="str">
            <v>SPARE</v>
          </cell>
        </row>
        <row r="1055">
          <cell r="A1055">
            <v>332076</v>
          </cell>
          <cell r="B1055" t="str">
            <v>AUTOMOTIVO</v>
          </cell>
          <cell r="C1055" t="str">
            <v>Bandeja</v>
          </cell>
          <cell r="D1055" t="str">
            <v>SIMPLES</v>
          </cell>
          <cell r="E1055" t="str">
            <v>SPARE</v>
          </cell>
        </row>
        <row r="1056">
          <cell r="A1056">
            <v>332077</v>
          </cell>
          <cell r="B1056" t="str">
            <v>AUTOMOTIVO</v>
          </cell>
          <cell r="C1056" t="str">
            <v>Bandeja</v>
          </cell>
          <cell r="D1056" t="str">
            <v>SIMPLES</v>
          </cell>
          <cell r="E1056" t="str">
            <v>SPARE</v>
          </cell>
        </row>
        <row r="1057">
          <cell r="A1057">
            <v>332080</v>
          </cell>
          <cell r="B1057" t="str">
            <v>AUTOMOTIVO</v>
          </cell>
          <cell r="C1057" t="str">
            <v>Bandeja</v>
          </cell>
          <cell r="D1057" t="str">
            <v>SIMPLES</v>
          </cell>
          <cell r="E1057" t="str">
            <v>SPARE</v>
          </cell>
        </row>
        <row r="1058">
          <cell r="A1058">
            <v>332081</v>
          </cell>
          <cell r="B1058" t="str">
            <v>AUTOMOTIVO</v>
          </cell>
          <cell r="C1058" t="str">
            <v>Bandeja</v>
          </cell>
          <cell r="D1058" t="str">
            <v>SIMPLES</v>
          </cell>
          <cell r="E1058" t="str">
            <v>SPARE</v>
          </cell>
        </row>
        <row r="1059">
          <cell r="A1059">
            <v>332082</v>
          </cell>
          <cell r="B1059" t="str">
            <v>AUTOMOTIVO</v>
          </cell>
          <cell r="C1059" t="str">
            <v>Bandeja</v>
          </cell>
          <cell r="D1059" t="str">
            <v>SIMPLES</v>
          </cell>
          <cell r="E1059" t="str">
            <v>SPARE</v>
          </cell>
        </row>
        <row r="1060">
          <cell r="A1060">
            <v>332090</v>
          </cell>
          <cell r="B1060" t="str">
            <v>AUTOMOTIVO</v>
          </cell>
          <cell r="C1060" t="str">
            <v>Bandeja</v>
          </cell>
          <cell r="D1060" t="str">
            <v>SIMPLES</v>
          </cell>
          <cell r="E1060" t="str">
            <v>SPARE</v>
          </cell>
        </row>
        <row r="1061">
          <cell r="A1061">
            <v>332091</v>
          </cell>
          <cell r="B1061" t="str">
            <v>AUTOMOTIVO</v>
          </cell>
          <cell r="C1061" t="str">
            <v>Bandeja</v>
          </cell>
          <cell r="D1061" t="str">
            <v>SIMPLES</v>
          </cell>
          <cell r="E1061" t="str">
            <v>SPARE</v>
          </cell>
        </row>
        <row r="1062">
          <cell r="A1062">
            <v>332092</v>
          </cell>
          <cell r="B1062" t="str">
            <v>AUTOMOTIVO</v>
          </cell>
          <cell r="C1062" t="str">
            <v>Bandeja</v>
          </cell>
          <cell r="D1062" t="str">
            <v>SIMPLES</v>
          </cell>
          <cell r="E1062" t="str">
            <v>SPARE</v>
          </cell>
        </row>
        <row r="1063">
          <cell r="A1063">
            <v>332093</v>
          </cell>
          <cell r="B1063" t="str">
            <v>AUTOMOTIVO</v>
          </cell>
          <cell r="C1063" t="str">
            <v>Bandeja</v>
          </cell>
          <cell r="D1063" t="str">
            <v>SIMPLES</v>
          </cell>
          <cell r="E1063" t="str">
            <v>SPARE</v>
          </cell>
        </row>
        <row r="1064">
          <cell r="A1064">
            <v>332102</v>
          </cell>
          <cell r="B1064" t="str">
            <v>AUTOMOTIVO</v>
          </cell>
          <cell r="C1064" t="str">
            <v>Bandeja</v>
          </cell>
          <cell r="D1064" t="str">
            <v>SIMPLES</v>
          </cell>
          <cell r="E1064" t="str">
            <v>SPARE</v>
          </cell>
        </row>
        <row r="1065">
          <cell r="A1065">
            <v>332103</v>
          </cell>
          <cell r="B1065" t="str">
            <v>AUTOMOTIVO</v>
          </cell>
          <cell r="C1065" t="str">
            <v>Bandeja</v>
          </cell>
          <cell r="D1065" t="str">
            <v>SIMPLES</v>
          </cell>
          <cell r="E1065" t="str">
            <v>SPARE</v>
          </cell>
        </row>
        <row r="1066">
          <cell r="A1066">
            <v>332110</v>
          </cell>
          <cell r="B1066" t="str">
            <v>AUTOMOTIVO</v>
          </cell>
          <cell r="C1066" t="str">
            <v>Bandeja</v>
          </cell>
          <cell r="D1066" t="str">
            <v>SIMPLES</v>
          </cell>
          <cell r="E1066" t="str">
            <v>SPARE</v>
          </cell>
        </row>
        <row r="1067">
          <cell r="A1067">
            <v>332111</v>
          </cell>
          <cell r="B1067" t="str">
            <v>AUTOMOTIVO</v>
          </cell>
          <cell r="C1067" t="str">
            <v>Bandeja</v>
          </cell>
          <cell r="D1067" t="str">
            <v>SIMPLES</v>
          </cell>
          <cell r="E1067" t="str">
            <v>SPARE</v>
          </cell>
        </row>
        <row r="1068">
          <cell r="A1068">
            <v>332112</v>
          </cell>
          <cell r="B1068" t="str">
            <v>AUTOMOTIVO</v>
          </cell>
          <cell r="C1068" t="str">
            <v>Bandeja</v>
          </cell>
          <cell r="D1068" t="str">
            <v>SIMPLES</v>
          </cell>
          <cell r="E1068" t="str">
            <v>SPARE</v>
          </cell>
        </row>
        <row r="1069">
          <cell r="A1069">
            <v>332113</v>
          </cell>
          <cell r="B1069" t="str">
            <v>AUTOMOTIVO</v>
          </cell>
          <cell r="C1069" t="str">
            <v>Bandeja</v>
          </cell>
          <cell r="D1069" t="str">
            <v>SIMPLES</v>
          </cell>
          <cell r="E1069" t="str">
            <v>SPARE</v>
          </cell>
        </row>
        <row r="1070">
          <cell r="A1070">
            <v>332114</v>
          </cell>
          <cell r="B1070" t="str">
            <v>AUTOMOTIVO</v>
          </cell>
          <cell r="C1070" t="str">
            <v>Bandeja</v>
          </cell>
          <cell r="D1070" t="str">
            <v>SIMPLES</v>
          </cell>
          <cell r="E1070" t="str">
            <v>SPARE</v>
          </cell>
        </row>
        <row r="1071">
          <cell r="A1071">
            <v>332115</v>
          </cell>
          <cell r="B1071" t="str">
            <v>AUTOMOTIVO</v>
          </cell>
          <cell r="C1071" t="str">
            <v>Bandeja</v>
          </cell>
          <cell r="D1071" t="str">
            <v>SIMPLES</v>
          </cell>
          <cell r="E1071" t="str">
            <v>SPARE</v>
          </cell>
        </row>
        <row r="1072">
          <cell r="A1072">
            <v>332116</v>
          </cell>
          <cell r="B1072" t="str">
            <v>AUTOMOTIVO</v>
          </cell>
          <cell r="C1072" t="str">
            <v>Bandeja</v>
          </cell>
          <cell r="D1072" t="str">
            <v>SIMPLES</v>
          </cell>
          <cell r="E1072" t="str">
            <v>SPARE</v>
          </cell>
        </row>
        <row r="1073">
          <cell r="A1073">
            <v>332117</v>
          </cell>
          <cell r="B1073" t="str">
            <v>AUTOMOTIVO</v>
          </cell>
          <cell r="C1073" t="str">
            <v>Bandeja</v>
          </cell>
          <cell r="D1073" t="str">
            <v>SIMPLES</v>
          </cell>
          <cell r="E1073" t="str">
            <v>SPARE</v>
          </cell>
        </row>
        <row r="1074">
          <cell r="A1074">
            <v>332118</v>
          </cell>
          <cell r="B1074" t="str">
            <v>AUTOMOTIVO</v>
          </cell>
          <cell r="C1074" t="str">
            <v>Bandeja</v>
          </cell>
          <cell r="D1074" t="str">
            <v>SIMPLES</v>
          </cell>
          <cell r="E1074" t="str">
            <v>SPARE</v>
          </cell>
        </row>
        <row r="1075">
          <cell r="A1075">
            <v>332119</v>
          </cell>
          <cell r="B1075" t="str">
            <v>AUTOMOTIVO</v>
          </cell>
          <cell r="C1075" t="str">
            <v>Bandeja</v>
          </cell>
          <cell r="D1075" t="str">
            <v>SIMPLES</v>
          </cell>
          <cell r="E1075" t="str">
            <v>SPARE</v>
          </cell>
        </row>
        <row r="1076">
          <cell r="A1076">
            <v>332120</v>
          </cell>
          <cell r="B1076" t="str">
            <v>AUTOMOTIVO</v>
          </cell>
          <cell r="C1076" t="str">
            <v>Bandeja</v>
          </cell>
          <cell r="D1076" t="str">
            <v>SIMPLES</v>
          </cell>
          <cell r="E1076" t="str">
            <v>SPARE</v>
          </cell>
        </row>
        <row r="1077">
          <cell r="A1077">
            <v>332121</v>
          </cell>
          <cell r="B1077" t="str">
            <v>AUTOMOTIVO</v>
          </cell>
          <cell r="C1077" t="str">
            <v>Bandeja</v>
          </cell>
          <cell r="D1077" t="str">
            <v>SIMPLES</v>
          </cell>
          <cell r="E1077" t="str">
            <v>SPARE</v>
          </cell>
        </row>
        <row r="1078">
          <cell r="A1078">
            <v>332126</v>
          </cell>
          <cell r="B1078" t="str">
            <v>AUTOMOTIVO</v>
          </cell>
          <cell r="C1078" t="str">
            <v>Bandeja</v>
          </cell>
          <cell r="D1078" t="str">
            <v>SIMPLES</v>
          </cell>
          <cell r="E1078" t="str">
            <v>SPARE</v>
          </cell>
        </row>
        <row r="1079">
          <cell r="A1079">
            <v>332136</v>
          </cell>
          <cell r="B1079" t="str">
            <v>AUTOMOTIVO</v>
          </cell>
          <cell r="C1079" t="str">
            <v>Bandeja</v>
          </cell>
          <cell r="D1079" t="str">
            <v>SIMPLES</v>
          </cell>
          <cell r="E1079" t="str">
            <v>SPARE</v>
          </cell>
        </row>
        <row r="1080">
          <cell r="A1080">
            <v>332137</v>
          </cell>
          <cell r="B1080" t="str">
            <v>AUTOMOTIVO</v>
          </cell>
          <cell r="C1080" t="str">
            <v>Bandeja</v>
          </cell>
          <cell r="D1080" t="str">
            <v>SIMPLES</v>
          </cell>
          <cell r="E1080" t="str">
            <v>SPARE</v>
          </cell>
        </row>
        <row r="1081">
          <cell r="A1081">
            <v>332144</v>
          </cell>
          <cell r="B1081" t="str">
            <v>AUTOMOTIVO</v>
          </cell>
          <cell r="C1081" t="str">
            <v>Bandeja</v>
          </cell>
          <cell r="D1081" t="str">
            <v>SIMPLES</v>
          </cell>
          <cell r="E1081" t="str">
            <v>SPARE</v>
          </cell>
        </row>
        <row r="1082">
          <cell r="A1082">
            <v>332145</v>
          </cell>
          <cell r="B1082" t="str">
            <v>AUTOMOTIVO</v>
          </cell>
          <cell r="C1082" t="str">
            <v>Bandeja</v>
          </cell>
          <cell r="D1082" t="str">
            <v>SIMPLES</v>
          </cell>
          <cell r="E1082" t="str">
            <v>SPARE</v>
          </cell>
        </row>
        <row r="1083">
          <cell r="A1083">
            <v>332146</v>
          </cell>
          <cell r="B1083" t="str">
            <v>AUTOMOTIVO</v>
          </cell>
          <cell r="C1083" t="str">
            <v>Bandeja</v>
          </cell>
          <cell r="D1083" t="str">
            <v>SIMPLES</v>
          </cell>
          <cell r="E1083" t="str">
            <v>SPARE</v>
          </cell>
        </row>
        <row r="1084">
          <cell r="A1084">
            <v>332147</v>
          </cell>
          <cell r="B1084" t="str">
            <v>AUTOMOTIVO</v>
          </cell>
          <cell r="C1084" t="str">
            <v>Bandeja</v>
          </cell>
          <cell r="D1084" t="str">
            <v>SIMPLES</v>
          </cell>
          <cell r="E1084" t="str">
            <v>SPARE</v>
          </cell>
        </row>
        <row r="1085">
          <cell r="A1085">
            <v>332148</v>
          </cell>
          <cell r="B1085" t="str">
            <v>AUTOMOTIVO</v>
          </cell>
          <cell r="C1085" t="str">
            <v>Bandeja</v>
          </cell>
          <cell r="D1085" t="str">
            <v>SIMPLES</v>
          </cell>
          <cell r="E1085" t="str">
            <v>SPARE</v>
          </cell>
        </row>
        <row r="1086">
          <cell r="A1086">
            <v>332149</v>
          </cell>
          <cell r="B1086" t="str">
            <v>AUTOMOTIVO</v>
          </cell>
          <cell r="C1086" t="str">
            <v>Bandeja</v>
          </cell>
          <cell r="D1086" t="str">
            <v>SIMPLES</v>
          </cell>
          <cell r="E1086" t="str">
            <v>SPARE</v>
          </cell>
        </row>
        <row r="1087">
          <cell r="A1087">
            <v>332150</v>
          </cell>
          <cell r="B1087" t="str">
            <v>AUTOMOTIVO</v>
          </cell>
          <cell r="C1087" t="str">
            <v>Bandeja</v>
          </cell>
          <cell r="D1087" t="str">
            <v>SIMPLES</v>
          </cell>
          <cell r="E1087" t="str">
            <v>SPARE</v>
          </cell>
        </row>
        <row r="1088">
          <cell r="A1088">
            <v>332151</v>
          </cell>
          <cell r="B1088" t="str">
            <v>AUTOMOTIVO</v>
          </cell>
          <cell r="C1088" t="str">
            <v>Bandeja</v>
          </cell>
          <cell r="D1088" t="str">
            <v>SIMPLES</v>
          </cell>
          <cell r="E1088" t="str">
            <v>SPARE</v>
          </cell>
        </row>
        <row r="1089">
          <cell r="A1089">
            <v>332152</v>
          </cell>
          <cell r="B1089" t="str">
            <v>AUTOMOTIVO</v>
          </cell>
          <cell r="C1089" t="str">
            <v>Bandeja</v>
          </cell>
          <cell r="D1089" t="str">
            <v>SIMPLES</v>
          </cell>
          <cell r="E1089" t="str">
            <v>SPARE</v>
          </cell>
        </row>
        <row r="1090">
          <cell r="A1090">
            <v>332153</v>
          </cell>
          <cell r="B1090" t="str">
            <v>AUTOMOTIVO</v>
          </cell>
          <cell r="C1090" t="str">
            <v>Bandeja</v>
          </cell>
          <cell r="D1090" t="str">
            <v>SIMPLES</v>
          </cell>
          <cell r="E1090" t="str">
            <v>SPARE</v>
          </cell>
        </row>
        <row r="1091">
          <cell r="A1091">
            <v>332154</v>
          </cell>
          <cell r="B1091" t="str">
            <v>AUTOMOTIVO</v>
          </cell>
          <cell r="C1091" t="str">
            <v>Bandeja</v>
          </cell>
          <cell r="D1091" t="str">
            <v>SIMPLES</v>
          </cell>
          <cell r="E1091" t="str">
            <v>SPARE</v>
          </cell>
        </row>
        <row r="1092">
          <cell r="A1092">
            <v>332155</v>
          </cell>
          <cell r="B1092" t="str">
            <v>AUTOMOTIVO</v>
          </cell>
          <cell r="C1092" t="str">
            <v>Bandeja</v>
          </cell>
          <cell r="D1092" t="str">
            <v>SIMPLES</v>
          </cell>
          <cell r="E1092" t="str">
            <v>SPARE</v>
          </cell>
        </row>
        <row r="1093">
          <cell r="A1093">
            <v>332156</v>
          </cell>
          <cell r="B1093" t="str">
            <v>AUTOMOTIVO</v>
          </cell>
          <cell r="C1093" t="str">
            <v>Bandeja</v>
          </cell>
          <cell r="D1093" t="str">
            <v>SIMPLES</v>
          </cell>
          <cell r="E1093" t="str">
            <v>SPARE</v>
          </cell>
        </row>
        <row r="1094">
          <cell r="A1094">
            <v>332157</v>
          </cell>
          <cell r="B1094" t="str">
            <v>AUTOMOTIVO</v>
          </cell>
          <cell r="C1094" t="str">
            <v>Bandeja</v>
          </cell>
          <cell r="D1094" t="str">
            <v>SIMPLES</v>
          </cell>
          <cell r="E1094" t="str">
            <v>SPARE</v>
          </cell>
        </row>
        <row r="1095">
          <cell r="A1095">
            <v>332158</v>
          </cell>
          <cell r="B1095" t="str">
            <v>AUTOMOTIVO</v>
          </cell>
          <cell r="C1095" t="str">
            <v>Bandeja</v>
          </cell>
          <cell r="D1095" t="str">
            <v>SIMPLES</v>
          </cell>
          <cell r="E1095" t="str">
            <v>SPARE</v>
          </cell>
        </row>
        <row r="1096">
          <cell r="A1096">
            <v>442025</v>
          </cell>
          <cell r="B1096" t="str">
            <v>AUTOMOTIVO</v>
          </cell>
          <cell r="C1096" t="str">
            <v>Bandeja</v>
          </cell>
          <cell r="D1096" t="str">
            <v>SIMPLES</v>
          </cell>
          <cell r="E1096" t="str">
            <v>SPARE</v>
          </cell>
        </row>
        <row r="1097">
          <cell r="A1097">
            <v>442050</v>
          </cell>
          <cell r="B1097" t="str">
            <v>AUTOMOTIVO</v>
          </cell>
          <cell r="C1097" t="str">
            <v>Bandeja</v>
          </cell>
          <cell r="D1097" t="str">
            <v>SIMPLES</v>
          </cell>
          <cell r="E1097" t="str">
            <v>SPARE</v>
          </cell>
        </row>
        <row r="1098">
          <cell r="A1098">
            <v>442055</v>
          </cell>
          <cell r="B1098" t="str">
            <v>AUTOMOTIVO</v>
          </cell>
          <cell r="C1098" t="str">
            <v>Bandeja</v>
          </cell>
          <cell r="D1098" t="str">
            <v>SIMPLES</v>
          </cell>
          <cell r="E1098" t="str">
            <v>SPARE</v>
          </cell>
        </row>
        <row r="1099">
          <cell r="A1099">
            <v>442056</v>
          </cell>
          <cell r="B1099" t="str">
            <v>AUTOMOTIVO</v>
          </cell>
          <cell r="C1099" t="str">
            <v>Bandeja</v>
          </cell>
          <cell r="D1099" t="str">
            <v>SIMPLES</v>
          </cell>
          <cell r="E1099" t="str">
            <v>SPARE</v>
          </cell>
        </row>
        <row r="1100">
          <cell r="A1100">
            <v>442057</v>
          </cell>
          <cell r="B1100" t="str">
            <v>AUTOMOTIVO</v>
          </cell>
          <cell r="C1100" t="str">
            <v>Bandeja</v>
          </cell>
          <cell r="D1100" t="str">
            <v>SIMPLES</v>
          </cell>
          <cell r="E1100" t="str">
            <v>SPARE</v>
          </cell>
        </row>
        <row r="1101">
          <cell r="A1101">
            <v>442058</v>
          </cell>
          <cell r="B1101" t="str">
            <v>AUTOMOTIVO</v>
          </cell>
          <cell r="C1101" t="str">
            <v>Bandeja</v>
          </cell>
          <cell r="D1101" t="str">
            <v>SIMPLES</v>
          </cell>
          <cell r="E1101" t="str">
            <v>SPARE</v>
          </cell>
        </row>
        <row r="1102">
          <cell r="A1102">
            <v>442059</v>
          </cell>
          <cell r="B1102" t="str">
            <v>AUTOMOTIVO</v>
          </cell>
          <cell r="C1102" t="str">
            <v>Bandeja</v>
          </cell>
          <cell r="D1102" t="str">
            <v>SIMPLES</v>
          </cell>
          <cell r="E1102" t="str">
            <v>SPARE</v>
          </cell>
        </row>
        <row r="1103">
          <cell r="A1103">
            <v>442060</v>
          </cell>
          <cell r="B1103" t="str">
            <v>AUTOMOTIVO</v>
          </cell>
          <cell r="C1103" t="str">
            <v>Bandeja</v>
          </cell>
          <cell r="D1103" t="str">
            <v>SIMPLES</v>
          </cell>
          <cell r="E1103" t="str">
            <v>SPARE</v>
          </cell>
        </row>
        <row r="1104">
          <cell r="A1104">
            <v>442061</v>
          </cell>
          <cell r="B1104" t="str">
            <v>AUTOMOTIVO</v>
          </cell>
          <cell r="C1104" t="str">
            <v>Bandeja</v>
          </cell>
          <cell r="D1104" t="str">
            <v>SIMPLES</v>
          </cell>
          <cell r="E1104" t="str">
            <v>SPARE</v>
          </cell>
        </row>
        <row r="1105">
          <cell r="A1105">
            <v>442066</v>
          </cell>
          <cell r="B1105" t="str">
            <v>AUTOMOTIVO</v>
          </cell>
          <cell r="C1105" t="str">
            <v>Bandeja</v>
          </cell>
          <cell r="D1105" t="str">
            <v>SIMPLES</v>
          </cell>
          <cell r="E1105" t="str">
            <v>SPARE</v>
          </cell>
        </row>
        <row r="1106">
          <cell r="A1106">
            <v>442067</v>
          </cell>
          <cell r="B1106" t="str">
            <v>AUTOMOTIVO</v>
          </cell>
          <cell r="C1106" t="str">
            <v>Bandeja</v>
          </cell>
          <cell r="D1106" t="str">
            <v>SIMPLES</v>
          </cell>
          <cell r="E1106" t="str">
            <v>SPARE</v>
          </cell>
        </row>
        <row r="1107">
          <cell r="A1107">
            <v>442068</v>
          </cell>
          <cell r="B1107" t="str">
            <v>AUTOMOTIVO</v>
          </cell>
          <cell r="C1107" t="str">
            <v>Bandeja</v>
          </cell>
          <cell r="D1107" t="str">
            <v>SIMPLES</v>
          </cell>
          <cell r="E1107" t="str">
            <v>SPARE</v>
          </cell>
        </row>
        <row r="1108">
          <cell r="A1108">
            <v>442070</v>
          </cell>
          <cell r="B1108" t="str">
            <v>AUTOMOTIVO</v>
          </cell>
          <cell r="C1108" t="str">
            <v>Bandeja</v>
          </cell>
          <cell r="D1108" t="str">
            <v>SIMPLES</v>
          </cell>
          <cell r="E1108" t="str">
            <v>SPARE</v>
          </cell>
        </row>
        <row r="1109">
          <cell r="A1109">
            <v>442071</v>
          </cell>
          <cell r="B1109" t="str">
            <v>AUTOMOTIVO</v>
          </cell>
          <cell r="C1109" t="str">
            <v>Bandeja</v>
          </cell>
          <cell r="D1109" t="str">
            <v>SIMPLES</v>
          </cell>
          <cell r="E1109" t="str">
            <v>SPARE</v>
          </cell>
        </row>
        <row r="1110">
          <cell r="A1110">
            <v>442080</v>
          </cell>
          <cell r="B1110" t="str">
            <v>AUTOMOTIVO</v>
          </cell>
          <cell r="C1110" t="str">
            <v>Bandeja</v>
          </cell>
          <cell r="D1110" t="str">
            <v>SIMPLES</v>
          </cell>
          <cell r="E1110" t="str">
            <v>SPARE</v>
          </cell>
        </row>
        <row r="1111">
          <cell r="A1111">
            <v>442081</v>
          </cell>
          <cell r="B1111" t="str">
            <v>AUTOMOTIVO</v>
          </cell>
          <cell r="C1111" t="str">
            <v>Bandeja</v>
          </cell>
          <cell r="D1111" t="str">
            <v>SIMPLES</v>
          </cell>
          <cell r="E1111" t="str">
            <v>SPARE</v>
          </cell>
        </row>
        <row r="1112">
          <cell r="A1112">
            <v>442082</v>
          </cell>
          <cell r="B1112" t="str">
            <v>AUTOMOTIVO</v>
          </cell>
          <cell r="C1112" t="str">
            <v>Bandeja</v>
          </cell>
          <cell r="D1112" t="str">
            <v>SIMPLES</v>
          </cell>
          <cell r="E1112" t="str">
            <v>SPARE</v>
          </cell>
        </row>
        <row r="1113">
          <cell r="A1113">
            <v>442083</v>
          </cell>
          <cell r="B1113" t="str">
            <v>AUTOMOTIVO</v>
          </cell>
          <cell r="C1113" t="str">
            <v>Bandeja</v>
          </cell>
          <cell r="D1113" t="str">
            <v>SIMPLES</v>
          </cell>
          <cell r="E1113" t="str">
            <v>SPARE</v>
          </cell>
        </row>
        <row r="1114">
          <cell r="A1114">
            <v>442084</v>
          </cell>
          <cell r="B1114" t="str">
            <v>AUTOMOTIVO</v>
          </cell>
          <cell r="C1114" t="str">
            <v>Bandeja</v>
          </cell>
          <cell r="D1114" t="str">
            <v>SIMPLES</v>
          </cell>
          <cell r="E1114" t="str">
            <v>SPARE</v>
          </cell>
        </row>
        <row r="1115">
          <cell r="A1115">
            <v>442085</v>
          </cell>
          <cell r="B1115" t="str">
            <v>AUTOMOTIVO</v>
          </cell>
          <cell r="C1115" t="str">
            <v>Bandeja</v>
          </cell>
          <cell r="D1115" t="str">
            <v>SIMPLES</v>
          </cell>
          <cell r="E1115" t="str">
            <v>SPARE</v>
          </cell>
        </row>
        <row r="1116">
          <cell r="A1116">
            <v>442086</v>
          </cell>
          <cell r="B1116" t="str">
            <v>AUTOMOTIVO</v>
          </cell>
          <cell r="C1116" t="str">
            <v>Bandeja</v>
          </cell>
          <cell r="D1116" t="str">
            <v>SIMPLES</v>
          </cell>
          <cell r="E1116" t="str">
            <v>SPARE</v>
          </cell>
        </row>
        <row r="1117">
          <cell r="A1117">
            <v>442090</v>
          </cell>
          <cell r="B1117" t="str">
            <v>AUTOMOTIVO</v>
          </cell>
          <cell r="C1117" t="str">
            <v>Bandeja</v>
          </cell>
          <cell r="D1117" t="str">
            <v>SIMPLES</v>
          </cell>
          <cell r="E1117" t="str">
            <v>SPARE</v>
          </cell>
        </row>
        <row r="1118">
          <cell r="A1118">
            <v>442091</v>
          </cell>
          <cell r="B1118" t="str">
            <v>AUTOMOTIVO</v>
          </cell>
          <cell r="C1118" t="str">
            <v>Bandeja</v>
          </cell>
          <cell r="D1118" t="str">
            <v>SIMPLES</v>
          </cell>
          <cell r="E1118" t="str">
            <v>SPARE</v>
          </cell>
        </row>
        <row r="1119">
          <cell r="A1119">
            <v>442092</v>
          </cell>
          <cell r="B1119" t="str">
            <v>AUTOMOTIVO</v>
          </cell>
          <cell r="C1119" t="str">
            <v>Bandeja</v>
          </cell>
          <cell r="D1119" t="str">
            <v>SIMPLES</v>
          </cell>
          <cell r="E1119" t="str">
            <v>SPARE</v>
          </cell>
        </row>
        <row r="1120">
          <cell r="A1120">
            <v>442093</v>
          </cell>
          <cell r="B1120" t="str">
            <v>AUTOMOTIVO</v>
          </cell>
          <cell r="C1120" t="str">
            <v>Bandeja</v>
          </cell>
          <cell r="D1120" t="str">
            <v>SIMPLES</v>
          </cell>
          <cell r="E1120" t="str">
            <v>SPARE</v>
          </cell>
        </row>
        <row r="1121">
          <cell r="A1121">
            <v>442095</v>
          </cell>
          <cell r="B1121" t="str">
            <v>AUTOMOTIVO</v>
          </cell>
          <cell r="C1121" t="str">
            <v>Bandeja</v>
          </cell>
          <cell r="D1121" t="str">
            <v>SIMPLES</v>
          </cell>
          <cell r="E1121" t="str">
            <v>SPARE</v>
          </cell>
        </row>
        <row r="1122">
          <cell r="A1122">
            <v>442096</v>
          </cell>
          <cell r="B1122" t="str">
            <v>AUTOMOTIVO</v>
          </cell>
          <cell r="C1122" t="str">
            <v>Bandeja</v>
          </cell>
          <cell r="D1122" t="str">
            <v>SIMPLES</v>
          </cell>
          <cell r="E1122" t="str">
            <v>SPARE</v>
          </cell>
        </row>
        <row r="1123">
          <cell r="A1123">
            <v>442097</v>
          </cell>
          <cell r="B1123" t="str">
            <v>AUTOMOTIVO</v>
          </cell>
          <cell r="C1123" t="str">
            <v>Bandeja</v>
          </cell>
          <cell r="D1123" t="str">
            <v>SIMPLES</v>
          </cell>
          <cell r="E1123" t="str">
            <v>SPARE</v>
          </cell>
        </row>
        <row r="1124">
          <cell r="A1124">
            <v>442104</v>
          </cell>
          <cell r="B1124" t="str">
            <v>AUTOMOTIVO</v>
          </cell>
          <cell r="C1124" t="str">
            <v>Bandeja</v>
          </cell>
          <cell r="D1124" t="str">
            <v>SIMPLES</v>
          </cell>
          <cell r="E1124" t="str">
            <v>SPARE</v>
          </cell>
        </row>
        <row r="1125">
          <cell r="A1125">
            <v>442105</v>
          </cell>
          <cell r="B1125" t="str">
            <v>AUTOMOTIVO</v>
          </cell>
          <cell r="C1125" t="str">
            <v>Bandeja</v>
          </cell>
          <cell r="D1125" t="str">
            <v>SIMPLES</v>
          </cell>
          <cell r="E1125" t="str">
            <v>SPARE</v>
          </cell>
        </row>
        <row r="1126">
          <cell r="A1126">
            <v>442106</v>
          </cell>
          <cell r="B1126" t="str">
            <v>AUTOMOTIVO</v>
          </cell>
          <cell r="C1126" t="str">
            <v>Bandeja</v>
          </cell>
          <cell r="D1126" t="str">
            <v>SIMPLES</v>
          </cell>
          <cell r="E1126" t="str">
            <v>SPARE</v>
          </cell>
        </row>
        <row r="1127">
          <cell r="A1127">
            <v>442107</v>
          </cell>
          <cell r="B1127" t="str">
            <v>AUTOMOTIVO</v>
          </cell>
          <cell r="C1127" t="str">
            <v>Bandeja</v>
          </cell>
          <cell r="D1127" t="str">
            <v>SIMPLES</v>
          </cell>
          <cell r="E1127" t="str">
            <v>SPARE</v>
          </cell>
        </row>
        <row r="1128">
          <cell r="A1128">
            <v>442110</v>
          </cell>
          <cell r="B1128" t="str">
            <v>AUTOMOTIVO</v>
          </cell>
          <cell r="C1128" t="str">
            <v>Bandeja</v>
          </cell>
          <cell r="D1128" t="str">
            <v>SIMPLES</v>
          </cell>
          <cell r="E1128" t="str">
            <v>SPARE</v>
          </cell>
        </row>
        <row r="1129">
          <cell r="A1129">
            <v>442111</v>
          </cell>
          <cell r="B1129" t="str">
            <v>AUTOMOTIVO</v>
          </cell>
          <cell r="C1129" t="str">
            <v>Bandeja</v>
          </cell>
          <cell r="D1129" t="str">
            <v>SIMPLES</v>
          </cell>
          <cell r="E1129" t="str">
            <v>SPARE</v>
          </cell>
        </row>
        <row r="1130">
          <cell r="A1130">
            <v>442112</v>
          </cell>
          <cell r="B1130" t="str">
            <v>AUTOMOTIVO</v>
          </cell>
          <cell r="C1130" t="str">
            <v>Bandeja</v>
          </cell>
          <cell r="D1130" t="str">
            <v>SIMPLES</v>
          </cell>
          <cell r="E1130" t="str">
            <v>SPARE</v>
          </cell>
        </row>
        <row r="1131">
          <cell r="A1131">
            <v>442113</v>
          </cell>
          <cell r="B1131" t="str">
            <v>AUTOMOTIVO</v>
          </cell>
          <cell r="C1131" t="str">
            <v>Bandeja</v>
          </cell>
          <cell r="D1131" t="str">
            <v>SIMPLES</v>
          </cell>
          <cell r="E1131" t="str">
            <v>SPARE</v>
          </cell>
        </row>
        <row r="1132">
          <cell r="A1132">
            <v>442118</v>
          </cell>
          <cell r="B1132" t="str">
            <v>AUTOMOTIVO</v>
          </cell>
          <cell r="C1132" t="str">
            <v>Bandeja</v>
          </cell>
          <cell r="D1132" t="str">
            <v>SIMPLES</v>
          </cell>
          <cell r="E1132" t="str">
            <v>SPARE</v>
          </cell>
        </row>
        <row r="1133">
          <cell r="A1133">
            <v>442119</v>
          </cell>
          <cell r="B1133" t="str">
            <v>AUTOMOTIVO</v>
          </cell>
          <cell r="C1133" t="str">
            <v>Bandeja</v>
          </cell>
          <cell r="D1133" t="str">
            <v>SIMPLES</v>
          </cell>
          <cell r="E1133" t="str">
            <v>SPARE</v>
          </cell>
        </row>
        <row r="1134">
          <cell r="A1134">
            <v>442120</v>
          </cell>
          <cell r="B1134" t="str">
            <v>AUTOMOTIVO</v>
          </cell>
          <cell r="C1134" t="str">
            <v>Bandeja</v>
          </cell>
          <cell r="D1134" t="str">
            <v>SIMPLES</v>
          </cell>
          <cell r="E1134" t="str">
            <v>SPARE</v>
          </cell>
        </row>
        <row r="1135">
          <cell r="A1135">
            <v>442121</v>
          </cell>
          <cell r="B1135" t="str">
            <v>AUTOMOTIVO</v>
          </cell>
          <cell r="C1135" t="str">
            <v>Bandeja</v>
          </cell>
          <cell r="D1135" t="str">
            <v>SIMPLES</v>
          </cell>
          <cell r="E1135" t="str">
            <v>SPARE</v>
          </cell>
        </row>
        <row r="1136">
          <cell r="A1136">
            <v>442122</v>
          </cell>
          <cell r="B1136" t="str">
            <v>AUTOMOTIVO</v>
          </cell>
          <cell r="C1136" t="str">
            <v>Bandeja</v>
          </cell>
          <cell r="D1136" t="str">
            <v>SIMPLES</v>
          </cell>
          <cell r="E1136" t="str">
            <v>SPARE</v>
          </cell>
        </row>
        <row r="1137">
          <cell r="A1137">
            <v>442123</v>
          </cell>
          <cell r="B1137" t="str">
            <v>AUTOMOTIVO</v>
          </cell>
          <cell r="C1137" t="str">
            <v>Bandeja</v>
          </cell>
          <cell r="D1137" t="str">
            <v>SIMPLES</v>
          </cell>
          <cell r="E1137" t="str">
            <v>SPARE</v>
          </cell>
        </row>
        <row r="1138">
          <cell r="A1138">
            <v>442125</v>
          </cell>
          <cell r="B1138" t="str">
            <v>AUTOMOTIVO</v>
          </cell>
          <cell r="C1138" t="str">
            <v>Bandeja</v>
          </cell>
          <cell r="D1138" t="str">
            <v>SIMPLES</v>
          </cell>
          <cell r="E1138" t="str">
            <v>SPARE</v>
          </cell>
        </row>
        <row r="1139">
          <cell r="A1139">
            <v>442126</v>
          </cell>
          <cell r="B1139" t="str">
            <v>AUTOMOTIVO</v>
          </cell>
          <cell r="C1139" t="str">
            <v>Bandeja</v>
          </cell>
          <cell r="D1139" t="str">
            <v>SIMPLES</v>
          </cell>
          <cell r="E1139" t="str">
            <v>SPARE</v>
          </cell>
        </row>
        <row r="1140">
          <cell r="A1140">
            <v>442127</v>
          </cell>
          <cell r="B1140" t="str">
            <v>AUTOMOTIVO</v>
          </cell>
          <cell r="C1140" t="str">
            <v>Bandeja</v>
          </cell>
          <cell r="D1140" t="str">
            <v>SIMPLES</v>
          </cell>
          <cell r="E1140" t="str">
            <v>SPARE</v>
          </cell>
        </row>
        <row r="1141">
          <cell r="A1141">
            <v>442128</v>
          </cell>
          <cell r="B1141" t="str">
            <v>AUTOMOTIVO</v>
          </cell>
          <cell r="C1141" t="str">
            <v>Bandeja</v>
          </cell>
          <cell r="D1141" t="str">
            <v>SIMPLES</v>
          </cell>
          <cell r="E1141" t="str">
            <v>SPARE</v>
          </cell>
        </row>
        <row r="1142">
          <cell r="A1142">
            <v>442129</v>
          </cell>
          <cell r="B1142" t="str">
            <v>AUTOMOTIVO</v>
          </cell>
          <cell r="C1142" t="str">
            <v>Bandeja</v>
          </cell>
          <cell r="D1142" t="str">
            <v>SIMPLES</v>
          </cell>
          <cell r="E1142" t="str">
            <v>SPARE</v>
          </cell>
        </row>
        <row r="1143">
          <cell r="A1143">
            <v>442144</v>
          </cell>
          <cell r="B1143" t="str">
            <v>AUTOMOTIVO</v>
          </cell>
          <cell r="C1143" t="str">
            <v>Bandeja</v>
          </cell>
          <cell r="D1143" t="str">
            <v>SIMPLES</v>
          </cell>
          <cell r="E1143" t="str">
            <v>SPARE</v>
          </cell>
        </row>
        <row r="1144">
          <cell r="A1144">
            <v>442145</v>
          </cell>
          <cell r="B1144" t="str">
            <v>AUTOMOTIVO</v>
          </cell>
          <cell r="C1144" t="str">
            <v>Bandeja</v>
          </cell>
          <cell r="D1144" t="str">
            <v>SIMPLES</v>
          </cell>
          <cell r="E1144" t="str">
            <v>SPARE</v>
          </cell>
        </row>
        <row r="1145">
          <cell r="A1145">
            <v>442146</v>
          </cell>
          <cell r="B1145" t="str">
            <v>AUTOMOTIVO</v>
          </cell>
          <cell r="C1145" t="str">
            <v>Pastilha Freio</v>
          </cell>
          <cell r="D1145" t="str">
            <v>SIMPLES</v>
          </cell>
          <cell r="E1145" t="str">
            <v>SPARE</v>
          </cell>
        </row>
        <row r="1146">
          <cell r="A1146">
            <v>442147</v>
          </cell>
          <cell r="B1146" t="str">
            <v>AUTOMOTIVO</v>
          </cell>
          <cell r="C1146" t="str">
            <v>Bandeja</v>
          </cell>
          <cell r="D1146" t="str">
            <v>SIMPLES</v>
          </cell>
          <cell r="E1146" t="str">
            <v>SPARE</v>
          </cell>
        </row>
        <row r="1147">
          <cell r="A1147">
            <v>552001</v>
          </cell>
          <cell r="B1147" t="str">
            <v>AUTOMOTIVO</v>
          </cell>
          <cell r="C1147" t="str">
            <v>Bandeja</v>
          </cell>
          <cell r="D1147" t="str">
            <v>SIMPLES</v>
          </cell>
          <cell r="E1147" t="str">
            <v>SPARE</v>
          </cell>
        </row>
        <row r="1148">
          <cell r="A1148">
            <v>552002</v>
          </cell>
          <cell r="B1148" t="str">
            <v>AUTOMOTIVO</v>
          </cell>
          <cell r="C1148" t="str">
            <v>Bandeja</v>
          </cell>
          <cell r="D1148" t="str">
            <v>SIMPLES</v>
          </cell>
          <cell r="E1148" t="str">
            <v>SPARE</v>
          </cell>
        </row>
        <row r="1149">
          <cell r="A1149">
            <v>552004</v>
          </cell>
          <cell r="B1149" t="str">
            <v>AUTOMOTIVO</v>
          </cell>
          <cell r="C1149" t="str">
            <v>Bandeja</v>
          </cell>
          <cell r="D1149" t="str">
            <v>SIMPLES</v>
          </cell>
          <cell r="E1149" t="str">
            <v>SPARE</v>
          </cell>
        </row>
        <row r="1150">
          <cell r="A1150">
            <v>552005</v>
          </cell>
          <cell r="B1150" t="str">
            <v>AUTOMOTIVO</v>
          </cell>
          <cell r="C1150" t="str">
            <v>Bandeja</v>
          </cell>
          <cell r="D1150" t="str">
            <v>SIMPLES</v>
          </cell>
          <cell r="E1150" t="str">
            <v>SPARE</v>
          </cell>
        </row>
        <row r="1151">
          <cell r="A1151">
            <v>552006</v>
          </cell>
          <cell r="B1151" t="str">
            <v>AUTOMOTIVO</v>
          </cell>
          <cell r="C1151" t="str">
            <v>Bandeja</v>
          </cell>
          <cell r="D1151" t="str">
            <v>SIMPLES</v>
          </cell>
          <cell r="E1151" t="str">
            <v>SPARE</v>
          </cell>
        </row>
        <row r="1152">
          <cell r="A1152">
            <v>552007</v>
          </cell>
          <cell r="B1152" t="str">
            <v>AUTOMOTIVO</v>
          </cell>
          <cell r="C1152" t="str">
            <v>Bandeja</v>
          </cell>
          <cell r="D1152" t="str">
            <v>SIMPLES</v>
          </cell>
          <cell r="E1152" t="str">
            <v>SPARE</v>
          </cell>
        </row>
        <row r="1153">
          <cell r="A1153">
            <v>552010</v>
          </cell>
          <cell r="B1153" t="str">
            <v>AUTOMOTIVO</v>
          </cell>
          <cell r="C1153" t="str">
            <v>Bandeja</v>
          </cell>
          <cell r="D1153" t="str">
            <v>SIMPLES</v>
          </cell>
          <cell r="E1153" t="str">
            <v>SPARE</v>
          </cell>
        </row>
        <row r="1154">
          <cell r="A1154">
            <v>552011</v>
          </cell>
          <cell r="B1154" t="str">
            <v>AUTOMOTIVO</v>
          </cell>
          <cell r="C1154" t="str">
            <v>Bandeja</v>
          </cell>
          <cell r="D1154" t="str">
            <v>SIMPLES</v>
          </cell>
          <cell r="E1154" t="str">
            <v>SPARE</v>
          </cell>
        </row>
        <row r="1155">
          <cell r="A1155">
            <v>552012</v>
          </cell>
          <cell r="B1155" t="str">
            <v>AUTOMOTIVO</v>
          </cell>
          <cell r="C1155" t="str">
            <v>Bandeja</v>
          </cell>
          <cell r="D1155" t="str">
            <v>SIMPLES</v>
          </cell>
          <cell r="E1155" t="str">
            <v>SPARE</v>
          </cell>
        </row>
        <row r="1156">
          <cell r="A1156">
            <v>552013</v>
          </cell>
          <cell r="B1156" t="str">
            <v>AUTOMOTIVO</v>
          </cell>
          <cell r="C1156" t="str">
            <v>Bandeja</v>
          </cell>
          <cell r="D1156" t="str">
            <v>SIMPLES</v>
          </cell>
          <cell r="E1156" t="str">
            <v>SPARE</v>
          </cell>
        </row>
        <row r="1157">
          <cell r="A1157">
            <v>552014</v>
          </cell>
          <cell r="B1157" t="str">
            <v>AUTOMOTIVO</v>
          </cell>
          <cell r="C1157" t="str">
            <v>Bandeja</v>
          </cell>
          <cell r="D1157" t="str">
            <v>SIMPLES</v>
          </cell>
          <cell r="E1157" t="str">
            <v>SPARE</v>
          </cell>
        </row>
        <row r="1158">
          <cell r="A1158">
            <v>552015</v>
          </cell>
          <cell r="B1158" t="str">
            <v>AUTOMOTIVO</v>
          </cell>
          <cell r="C1158" t="str">
            <v>Bandeja</v>
          </cell>
          <cell r="D1158" t="str">
            <v>SIMPLES</v>
          </cell>
          <cell r="E1158" t="str">
            <v>SPARE</v>
          </cell>
        </row>
        <row r="1159">
          <cell r="A1159">
            <v>552017</v>
          </cell>
          <cell r="B1159" t="str">
            <v>AUTOMOTIVO</v>
          </cell>
          <cell r="C1159" t="str">
            <v>Bandeja</v>
          </cell>
          <cell r="D1159" t="str">
            <v>SIMPLES</v>
          </cell>
          <cell r="E1159" t="str">
            <v>SPARE</v>
          </cell>
        </row>
        <row r="1160">
          <cell r="A1160">
            <v>552018</v>
          </cell>
          <cell r="B1160" t="str">
            <v>AUTOMOTIVO</v>
          </cell>
          <cell r="C1160" t="str">
            <v>Bandeja</v>
          </cell>
          <cell r="D1160" t="str">
            <v>SIMPLES</v>
          </cell>
          <cell r="E1160" t="str">
            <v>SPARE</v>
          </cell>
        </row>
        <row r="1161">
          <cell r="A1161">
            <v>552019</v>
          </cell>
          <cell r="B1161" t="str">
            <v>AUTOMOTIVO</v>
          </cell>
          <cell r="C1161" t="str">
            <v>Bandeja</v>
          </cell>
          <cell r="D1161" t="str">
            <v>SIMPLES</v>
          </cell>
          <cell r="E1161" t="str">
            <v>SPARE</v>
          </cell>
        </row>
        <row r="1162">
          <cell r="A1162">
            <v>552030</v>
          </cell>
          <cell r="B1162" t="str">
            <v>AUTOMOTIVO</v>
          </cell>
          <cell r="C1162" t="str">
            <v>Bandeja</v>
          </cell>
          <cell r="D1162" t="str">
            <v>SIMPLES</v>
          </cell>
          <cell r="E1162" t="str">
            <v>SPARE</v>
          </cell>
        </row>
        <row r="1163">
          <cell r="A1163">
            <v>552031</v>
          </cell>
          <cell r="B1163" t="str">
            <v>AUTOMOTIVO</v>
          </cell>
          <cell r="C1163" t="str">
            <v>Bandeja</v>
          </cell>
          <cell r="D1163" t="str">
            <v>SIMPLES</v>
          </cell>
          <cell r="E1163" t="str">
            <v>SPARE</v>
          </cell>
        </row>
        <row r="1164">
          <cell r="A1164">
            <v>552032</v>
          </cell>
          <cell r="B1164" t="str">
            <v>AUTOMOTIVO</v>
          </cell>
          <cell r="C1164" t="str">
            <v>Bandeja</v>
          </cell>
          <cell r="D1164" t="str">
            <v>SIMPLES</v>
          </cell>
          <cell r="E1164" t="str">
            <v>SPARE</v>
          </cell>
        </row>
        <row r="1165">
          <cell r="A1165">
            <v>552033</v>
          </cell>
          <cell r="B1165" t="str">
            <v>AUTOMOTIVO</v>
          </cell>
          <cell r="C1165" t="str">
            <v>Bandeja</v>
          </cell>
          <cell r="D1165" t="str">
            <v>SIMPLES</v>
          </cell>
          <cell r="E1165" t="str">
            <v>SPARE</v>
          </cell>
        </row>
        <row r="1166">
          <cell r="A1166">
            <v>552034</v>
          </cell>
          <cell r="B1166" t="str">
            <v>AUTOMOTIVO</v>
          </cell>
          <cell r="C1166" t="str">
            <v>Bandeja</v>
          </cell>
          <cell r="D1166" t="str">
            <v>SIMPLES</v>
          </cell>
          <cell r="E1166" t="str">
            <v>SPARE</v>
          </cell>
        </row>
        <row r="1167">
          <cell r="A1167">
            <v>552035</v>
          </cell>
          <cell r="B1167" t="str">
            <v>AUTOMOTIVO</v>
          </cell>
          <cell r="C1167" t="str">
            <v>Bandeja</v>
          </cell>
          <cell r="D1167" t="str">
            <v>SIMPLES</v>
          </cell>
          <cell r="E1167" t="str">
            <v>SPARE</v>
          </cell>
        </row>
        <row r="1168">
          <cell r="A1168">
            <v>662010</v>
          </cell>
          <cell r="B1168" t="str">
            <v>AUTOMOTIVO</v>
          </cell>
          <cell r="C1168" t="str">
            <v>Bandeja</v>
          </cell>
          <cell r="D1168" t="str">
            <v>SIMPLES</v>
          </cell>
          <cell r="E1168" t="str">
            <v>SPARE</v>
          </cell>
        </row>
        <row r="1169">
          <cell r="A1169">
            <v>662011</v>
          </cell>
          <cell r="B1169" t="str">
            <v>AUTOMOTIVO</v>
          </cell>
          <cell r="C1169" t="str">
            <v>Bandeja</v>
          </cell>
          <cell r="D1169" t="str">
            <v>SIMPLES</v>
          </cell>
          <cell r="E1169" t="str">
            <v>SPARE</v>
          </cell>
        </row>
        <row r="1170">
          <cell r="A1170">
            <v>662012</v>
          </cell>
          <cell r="B1170" t="str">
            <v>AUTOMOTIVO</v>
          </cell>
          <cell r="C1170" t="str">
            <v>Bandeja</v>
          </cell>
          <cell r="D1170" t="str">
            <v>SIMPLES</v>
          </cell>
          <cell r="E1170" t="str">
            <v>SPARE</v>
          </cell>
        </row>
        <row r="1171">
          <cell r="A1171">
            <v>662013</v>
          </cell>
          <cell r="B1171" t="str">
            <v>AUTOMOTIVO</v>
          </cell>
          <cell r="C1171" t="str">
            <v>Bandeja</v>
          </cell>
          <cell r="D1171" t="str">
            <v>SIMPLES</v>
          </cell>
          <cell r="E1171" t="str">
            <v>SPARE</v>
          </cell>
        </row>
        <row r="1172">
          <cell r="A1172">
            <v>662024</v>
          </cell>
          <cell r="B1172" t="str">
            <v>AUTOMOTIVO</v>
          </cell>
          <cell r="C1172" t="str">
            <v>Bandeja</v>
          </cell>
          <cell r="D1172" t="str">
            <v>SIMPLES</v>
          </cell>
          <cell r="E1172" t="str">
            <v>SPARE</v>
          </cell>
        </row>
        <row r="1173">
          <cell r="A1173">
            <v>662025</v>
          </cell>
          <cell r="B1173" t="str">
            <v>AUTOMOTIVO</v>
          </cell>
          <cell r="C1173" t="str">
            <v>Bandeja</v>
          </cell>
          <cell r="D1173" t="str">
            <v>SIMPLES</v>
          </cell>
          <cell r="E1173" t="str">
            <v>SPARE</v>
          </cell>
        </row>
        <row r="1174">
          <cell r="A1174">
            <v>662028</v>
          </cell>
          <cell r="B1174" t="str">
            <v>AUTOMOTIVO</v>
          </cell>
          <cell r="C1174" t="str">
            <v>Bandeja</v>
          </cell>
          <cell r="D1174" t="str">
            <v>SIMPLES</v>
          </cell>
          <cell r="E1174" t="str">
            <v>SPARE</v>
          </cell>
        </row>
        <row r="1175">
          <cell r="A1175">
            <v>662029</v>
          </cell>
          <cell r="B1175" t="str">
            <v>AUTOMOTIVO</v>
          </cell>
          <cell r="C1175" t="str">
            <v>Bandeja</v>
          </cell>
          <cell r="D1175" t="str">
            <v>SIMPLES</v>
          </cell>
          <cell r="E1175" t="str">
            <v>SPARE</v>
          </cell>
        </row>
        <row r="1176">
          <cell r="A1176">
            <v>662030</v>
          </cell>
          <cell r="B1176" t="str">
            <v>AUTOMOTIVO</v>
          </cell>
          <cell r="C1176" t="str">
            <v>Bandeja</v>
          </cell>
          <cell r="D1176" t="str">
            <v>SIMPLES</v>
          </cell>
          <cell r="E1176" t="str">
            <v>SPARE</v>
          </cell>
        </row>
        <row r="1177">
          <cell r="A1177">
            <v>662031</v>
          </cell>
          <cell r="B1177" t="str">
            <v>AUTOMOTIVO</v>
          </cell>
          <cell r="C1177" t="str">
            <v>Bandeja</v>
          </cell>
          <cell r="D1177" t="str">
            <v>SIMPLES</v>
          </cell>
          <cell r="E1177" t="str">
            <v>SPARE</v>
          </cell>
        </row>
        <row r="1178">
          <cell r="A1178">
            <v>662040</v>
          </cell>
          <cell r="B1178" t="str">
            <v>AUTOMOTIVO</v>
          </cell>
          <cell r="C1178" t="str">
            <v>Bandeja</v>
          </cell>
          <cell r="D1178" t="str">
            <v>SIMPLES</v>
          </cell>
          <cell r="E1178" t="str">
            <v>SPARE</v>
          </cell>
        </row>
        <row r="1179">
          <cell r="A1179">
            <v>662041</v>
          </cell>
          <cell r="B1179" t="str">
            <v>AUTOMOTIVO</v>
          </cell>
          <cell r="C1179" t="str">
            <v>Bandeja</v>
          </cell>
          <cell r="D1179" t="str">
            <v>SIMPLES</v>
          </cell>
          <cell r="E1179" t="str">
            <v>SPARE</v>
          </cell>
        </row>
        <row r="1180">
          <cell r="A1180">
            <v>662046</v>
          </cell>
          <cell r="B1180" t="str">
            <v>AUTOMOTIVO</v>
          </cell>
          <cell r="C1180" t="str">
            <v>Bandeja</v>
          </cell>
          <cell r="D1180" t="str">
            <v>SIMPLES</v>
          </cell>
          <cell r="E1180" t="str">
            <v>SPARE</v>
          </cell>
        </row>
        <row r="1181">
          <cell r="A1181">
            <v>662047</v>
          </cell>
          <cell r="B1181" t="str">
            <v>AUTOMOTIVO</v>
          </cell>
          <cell r="C1181" t="str">
            <v>Bandeja</v>
          </cell>
          <cell r="D1181" t="str">
            <v>SIMPLES</v>
          </cell>
          <cell r="E1181" t="str">
            <v>SPARE</v>
          </cell>
        </row>
        <row r="1182">
          <cell r="A1182">
            <v>662048</v>
          </cell>
          <cell r="B1182" t="str">
            <v>AUTOMOTIVO</v>
          </cell>
          <cell r="C1182" t="str">
            <v>Bandeja</v>
          </cell>
          <cell r="D1182" t="str">
            <v>SIMPLES</v>
          </cell>
          <cell r="E1182" t="str">
            <v>SPARE</v>
          </cell>
        </row>
        <row r="1183">
          <cell r="A1183">
            <v>662049</v>
          </cell>
          <cell r="B1183" t="str">
            <v>AUTOMOTIVO</v>
          </cell>
          <cell r="C1183" t="str">
            <v>Bandeja</v>
          </cell>
          <cell r="D1183" t="str">
            <v>SIMPLES</v>
          </cell>
          <cell r="E1183" t="str">
            <v>SPARE</v>
          </cell>
        </row>
        <row r="1184">
          <cell r="A1184">
            <v>662050</v>
          </cell>
          <cell r="B1184" t="str">
            <v>AUTOMOTIVO</v>
          </cell>
          <cell r="C1184" t="str">
            <v>Bandeja</v>
          </cell>
          <cell r="D1184" t="str">
            <v>SIMPLES</v>
          </cell>
          <cell r="E1184" t="str">
            <v>SPARE</v>
          </cell>
        </row>
        <row r="1185">
          <cell r="A1185">
            <v>662051</v>
          </cell>
          <cell r="B1185" t="str">
            <v>AUTOMOTIVO</v>
          </cell>
          <cell r="C1185" t="str">
            <v>Bandeja</v>
          </cell>
          <cell r="D1185" t="str">
            <v>SIMPLES</v>
          </cell>
          <cell r="E1185" t="str">
            <v>SPARE</v>
          </cell>
        </row>
        <row r="1186">
          <cell r="A1186">
            <v>662052</v>
          </cell>
          <cell r="B1186" t="str">
            <v>AUTOMOTIVO</v>
          </cell>
          <cell r="C1186" t="str">
            <v>Bandeja</v>
          </cell>
          <cell r="D1186" t="str">
            <v>SIMPLES</v>
          </cell>
          <cell r="E1186" t="str">
            <v>SPARE</v>
          </cell>
        </row>
        <row r="1187">
          <cell r="A1187">
            <v>662053</v>
          </cell>
          <cell r="B1187" t="str">
            <v>AUTOMOTIVO</v>
          </cell>
          <cell r="C1187" t="str">
            <v>Bandeja</v>
          </cell>
          <cell r="D1187" t="str">
            <v>SIMPLES</v>
          </cell>
          <cell r="E1187" t="str">
            <v>SPARE</v>
          </cell>
        </row>
        <row r="1188">
          <cell r="A1188">
            <v>662060</v>
          </cell>
          <cell r="B1188" t="str">
            <v>AUTOMOTIVO</v>
          </cell>
          <cell r="C1188" t="str">
            <v>Bandeja</v>
          </cell>
          <cell r="D1188" t="str">
            <v>SIMPLES</v>
          </cell>
          <cell r="E1188" t="str">
            <v>SPARE</v>
          </cell>
        </row>
        <row r="1189">
          <cell r="A1189">
            <v>662061</v>
          </cell>
          <cell r="B1189" t="str">
            <v>AUTOMOTIVO</v>
          </cell>
          <cell r="C1189" t="str">
            <v>Bandeja</v>
          </cell>
          <cell r="D1189" t="str">
            <v>SIMPLES</v>
          </cell>
          <cell r="E1189" t="str">
            <v>SPARE</v>
          </cell>
        </row>
        <row r="1190">
          <cell r="A1190">
            <v>662068</v>
          </cell>
          <cell r="B1190" t="str">
            <v>AUTOMOTIVO</v>
          </cell>
          <cell r="C1190" t="str">
            <v>Bandeja</v>
          </cell>
          <cell r="D1190" t="str">
            <v>SIMPLES</v>
          </cell>
          <cell r="E1190" t="str">
            <v>SPARE</v>
          </cell>
        </row>
        <row r="1191">
          <cell r="A1191">
            <v>662069</v>
          </cell>
          <cell r="B1191" t="str">
            <v>AUTOMOTIVO</v>
          </cell>
          <cell r="C1191" t="str">
            <v>Bandeja</v>
          </cell>
          <cell r="D1191" t="str">
            <v>SIMPLES</v>
          </cell>
          <cell r="E1191" t="str">
            <v>SPARE</v>
          </cell>
        </row>
        <row r="1192">
          <cell r="A1192">
            <v>662070</v>
          </cell>
          <cell r="B1192" t="str">
            <v>AUTOMOTIVO</v>
          </cell>
          <cell r="C1192" t="str">
            <v>Bandeja</v>
          </cell>
          <cell r="D1192" t="str">
            <v>SIMPLES</v>
          </cell>
          <cell r="E1192" t="str">
            <v>SPARE</v>
          </cell>
        </row>
        <row r="1193">
          <cell r="A1193">
            <v>662071</v>
          </cell>
          <cell r="B1193" t="str">
            <v>AUTOMOTIVO</v>
          </cell>
          <cell r="C1193" t="str">
            <v>Bandeja</v>
          </cell>
          <cell r="D1193" t="str">
            <v>SIMPLES</v>
          </cell>
          <cell r="E1193" t="str">
            <v>SPARE</v>
          </cell>
        </row>
        <row r="1194">
          <cell r="A1194">
            <v>772001</v>
          </cell>
          <cell r="B1194" t="str">
            <v>AUTOMOTIVO</v>
          </cell>
          <cell r="C1194" t="str">
            <v>Bandeja</v>
          </cell>
          <cell r="D1194" t="str">
            <v>SIMPLES</v>
          </cell>
          <cell r="E1194" t="str">
            <v>SPARE</v>
          </cell>
        </row>
        <row r="1195">
          <cell r="A1195">
            <v>772002</v>
          </cell>
          <cell r="B1195" t="str">
            <v>AUTOMOTIVO</v>
          </cell>
          <cell r="C1195" t="str">
            <v>Bandeja</v>
          </cell>
          <cell r="D1195" t="str">
            <v>SIMPLES</v>
          </cell>
          <cell r="E1195" t="str">
            <v>SPARE</v>
          </cell>
        </row>
        <row r="1196">
          <cell r="A1196">
            <v>772003</v>
          </cell>
          <cell r="B1196" t="str">
            <v>AUTOMOTIVO</v>
          </cell>
          <cell r="C1196" t="str">
            <v>Bandeja</v>
          </cell>
          <cell r="D1196" t="str">
            <v>SIMPLES</v>
          </cell>
          <cell r="E1196" t="str">
            <v>SPARE</v>
          </cell>
        </row>
        <row r="1197">
          <cell r="A1197">
            <v>772004</v>
          </cell>
          <cell r="B1197" t="str">
            <v>AUTOMOTIVO</v>
          </cell>
          <cell r="C1197" t="str">
            <v>Bandeja</v>
          </cell>
          <cell r="D1197" t="str">
            <v>SIMPLES</v>
          </cell>
          <cell r="E1197" t="str">
            <v>SPARE</v>
          </cell>
        </row>
        <row r="1198">
          <cell r="A1198">
            <v>772005</v>
          </cell>
          <cell r="B1198" t="str">
            <v>AUTOMOTIVO</v>
          </cell>
          <cell r="C1198" t="str">
            <v>Bandeja</v>
          </cell>
          <cell r="D1198" t="str">
            <v>SIMPLES</v>
          </cell>
          <cell r="E1198" t="str">
            <v>SPARE</v>
          </cell>
        </row>
        <row r="1199">
          <cell r="A1199">
            <v>772006</v>
          </cell>
          <cell r="B1199" t="str">
            <v>AUTOMOTIVO</v>
          </cell>
          <cell r="C1199" t="str">
            <v>Bandeja</v>
          </cell>
          <cell r="D1199" t="str">
            <v>SIMPLES</v>
          </cell>
          <cell r="E1199" t="str">
            <v>SPARE</v>
          </cell>
        </row>
        <row r="1200">
          <cell r="A1200">
            <v>772007</v>
          </cell>
          <cell r="B1200" t="str">
            <v>AUTOMOTIVO</v>
          </cell>
          <cell r="C1200" t="str">
            <v>Bandeja</v>
          </cell>
          <cell r="D1200" t="str">
            <v>SIMPLES</v>
          </cell>
          <cell r="E1200" t="str">
            <v>SPARE</v>
          </cell>
        </row>
        <row r="1201">
          <cell r="A1201">
            <v>772008</v>
          </cell>
          <cell r="B1201" t="str">
            <v>AUTOMOTIVO</v>
          </cell>
          <cell r="C1201" t="str">
            <v>Bandeja</v>
          </cell>
          <cell r="D1201" t="str">
            <v>SIMPLES</v>
          </cell>
          <cell r="E1201" t="str">
            <v>SPARE</v>
          </cell>
        </row>
        <row r="1202">
          <cell r="A1202">
            <v>772011</v>
          </cell>
          <cell r="B1202" t="str">
            <v>AUTOMOTIVO</v>
          </cell>
          <cell r="C1202" t="str">
            <v>Bandeja</v>
          </cell>
          <cell r="D1202" t="str">
            <v>SIMPLES</v>
          </cell>
          <cell r="E1202" t="str">
            <v>SPARE</v>
          </cell>
        </row>
        <row r="1203">
          <cell r="A1203">
            <v>772012</v>
          </cell>
          <cell r="B1203" t="str">
            <v>AUTOMOTIVO</v>
          </cell>
          <cell r="C1203" t="str">
            <v>Bandeja</v>
          </cell>
          <cell r="D1203" t="str">
            <v>SIMPLES</v>
          </cell>
          <cell r="E1203" t="str">
            <v>SPARE</v>
          </cell>
        </row>
        <row r="1204">
          <cell r="A1204">
            <v>772021</v>
          </cell>
          <cell r="B1204" t="str">
            <v>AUTOMOTIVO</v>
          </cell>
          <cell r="C1204" t="str">
            <v>Bandeja</v>
          </cell>
          <cell r="D1204" t="str">
            <v>SIMPLES</v>
          </cell>
          <cell r="E1204" t="str">
            <v>SPARE</v>
          </cell>
        </row>
        <row r="1205">
          <cell r="A1205">
            <v>772022</v>
          </cell>
          <cell r="B1205" t="str">
            <v>AUTOMOTIVO</v>
          </cell>
          <cell r="C1205" t="str">
            <v>Bandeja</v>
          </cell>
          <cell r="D1205" t="str">
            <v>SIMPLES</v>
          </cell>
          <cell r="E1205" t="str">
            <v>SPARE</v>
          </cell>
        </row>
        <row r="1206">
          <cell r="A1206">
            <v>772025</v>
          </cell>
          <cell r="B1206" t="str">
            <v>AUTOMOTIVO</v>
          </cell>
          <cell r="C1206" t="str">
            <v>Bandeja</v>
          </cell>
          <cell r="D1206" t="str">
            <v>SIMPLES</v>
          </cell>
          <cell r="E1206" t="str">
            <v>SPARE</v>
          </cell>
        </row>
        <row r="1207">
          <cell r="A1207">
            <v>772026</v>
          </cell>
          <cell r="B1207" t="str">
            <v>AUTOMOTIVO</v>
          </cell>
          <cell r="C1207" t="str">
            <v>Bandeja</v>
          </cell>
          <cell r="D1207" t="str">
            <v>SIMPLES</v>
          </cell>
          <cell r="E1207" t="str">
            <v>SPARE</v>
          </cell>
        </row>
        <row r="1208">
          <cell r="A1208">
            <v>772027</v>
          </cell>
          <cell r="B1208" t="str">
            <v>AUTOMOTIVO</v>
          </cell>
          <cell r="C1208" t="str">
            <v>Bandeja</v>
          </cell>
          <cell r="D1208" t="str">
            <v>SIMPLES</v>
          </cell>
          <cell r="E1208" t="str">
            <v>SPARE</v>
          </cell>
        </row>
        <row r="1209">
          <cell r="A1209">
            <v>772028</v>
          </cell>
          <cell r="B1209" t="str">
            <v>AUTOMOTIVO</v>
          </cell>
          <cell r="C1209" t="str">
            <v>Bandeja</v>
          </cell>
          <cell r="D1209" t="str">
            <v>SIMPLES</v>
          </cell>
          <cell r="E1209" t="str">
            <v>SPARE</v>
          </cell>
        </row>
        <row r="1210">
          <cell r="A1210">
            <v>772029</v>
          </cell>
          <cell r="B1210" t="str">
            <v>AUTOMOTIVO</v>
          </cell>
          <cell r="C1210" t="str">
            <v>Bandeja</v>
          </cell>
          <cell r="D1210" t="str">
            <v>SIMPLES</v>
          </cell>
          <cell r="E1210" t="str">
            <v>SPARE</v>
          </cell>
        </row>
        <row r="1211">
          <cell r="A1211">
            <v>772030</v>
          </cell>
          <cell r="B1211" t="str">
            <v>AUTOMOTIVO</v>
          </cell>
          <cell r="C1211" t="str">
            <v>Bandeja</v>
          </cell>
          <cell r="D1211" t="str">
            <v>SIMPLES</v>
          </cell>
          <cell r="E1211" t="str">
            <v>SPARE</v>
          </cell>
        </row>
        <row r="1212">
          <cell r="A1212">
            <v>772031</v>
          </cell>
          <cell r="B1212" t="str">
            <v>AUTOMOTIVO</v>
          </cell>
          <cell r="C1212" t="str">
            <v>Bandeja</v>
          </cell>
          <cell r="D1212" t="str">
            <v>SIMPLES</v>
          </cell>
          <cell r="E1212" t="str">
            <v>SPARE</v>
          </cell>
        </row>
        <row r="1213">
          <cell r="A1213">
            <v>772032</v>
          </cell>
          <cell r="B1213" t="str">
            <v>AUTOMOTIVO</v>
          </cell>
          <cell r="C1213" t="str">
            <v>Bandeja</v>
          </cell>
          <cell r="D1213" t="str">
            <v>SIMPLES</v>
          </cell>
          <cell r="E1213" t="str">
            <v>SPARE</v>
          </cell>
        </row>
        <row r="1214">
          <cell r="A1214">
            <v>772033</v>
          </cell>
          <cell r="B1214" t="str">
            <v>AUTOMOTIVO</v>
          </cell>
          <cell r="C1214" t="str">
            <v>Bandeja</v>
          </cell>
          <cell r="D1214" t="str">
            <v>SIMPLES</v>
          </cell>
          <cell r="E1214" t="str">
            <v>SPARE</v>
          </cell>
        </row>
        <row r="1215">
          <cell r="A1215">
            <v>772034</v>
          </cell>
          <cell r="B1215" t="str">
            <v>AUTOMOTIVO</v>
          </cell>
          <cell r="C1215" t="str">
            <v>Bandeja</v>
          </cell>
          <cell r="D1215" t="str">
            <v>SIMPLES</v>
          </cell>
          <cell r="E1215" t="str">
            <v>SPARE</v>
          </cell>
        </row>
        <row r="1216">
          <cell r="A1216">
            <v>772040</v>
          </cell>
          <cell r="B1216" t="str">
            <v>AUTOMOTIVO</v>
          </cell>
          <cell r="C1216" t="str">
            <v>Bandeja</v>
          </cell>
          <cell r="D1216" t="str">
            <v>SIMPLES</v>
          </cell>
          <cell r="E1216" t="str">
            <v>SPARE</v>
          </cell>
        </row>
        <row r="1217">
          <cell r="A1217">
            <v>772041</v>
          </cell>
          <cell r="B1217" t="str">
            <v>AUTOMOTIVO</v>
          </cell>
          <cell r="C1217" t="str">
            <v>Bandeja</v>
          </cell>
          <cell r="D1217" t="str">
            <v>SIMPLES</v>
          </cell>
          <cell r="E1217" t="str">
            <v>SPARE</v>
          </cell>
        </row>
        <row r="1218">
          <cell r="A1218">
            <v>772042</v>
          </cell>
          <cell r="B1218" t="str">
            <v>AUTOMOTIVO</v>
          </cell>
          <cell r="C1218" t="str">
            <v>Bandeja</v>
          </cell>
          <cell r="D1218" t="str">
            <v>SIMPLES</v>
          </cell>
          <cell r="E1218" t="str">
            <v>SPARE</v>
          </cell>
        </row>
        <row r="1219">
          <cell r="A1219">
            <v>772043</v>
          </cell>
          <cell r="B1219" t="str">
            <v>AUTOMOTIVO</v>
          </cell>
          <cell r="C1219" t="str">
            <v>Bandeja</v>
          </cell>
          <cell r="D1219" t="str">
            <v>SIMPLES</v>
          </cell>
          <cell r="E1219" t="str">
            <v>SPARE</v>
          </cell>
        </row>
        <row r="1220">
          <cell r="A1220">
            <v>772052</v>
          </cell>
          <cell r="B1220" t="str">
            <v>AUTOMOTIVO</v>
          </cell>
          <cell r="C1220" t="str">
            <v>Bandeja</v>
          </cell>
          <cell r="D1220" t="str">
            <v>SIMPLES</v>
          </cell>
          <cell r="E1220" t="str">
            <v>SPARE</v>
          </cell>
        </row>
        <row r="1221">
          <cell r="A1221">
            <v>772053</v>
          </cell>
          <cell r="B1221" t="str">
            <v>AUTOMOTIVO</v>
          </cell>
          <cell r="C1221" t="str">
            <v>Bandeja</v>
          </cell>
          <cell r="D1221" t="str">
            <v>SIMPLES</v>
          </cell>
          <cell r="E1221" t="str">
            <v>SPARE</v>
          </cell>
        </row>
        <row r="1222">
          <cell r="A1222">
            <v>772054</v>
          </cell>
          <cell r="B1222" t="str">
            <v>AUTOMOTIVO</v>
          </cell>
          <cell r="C1222" t="str">
            <v>Bandeja</v>
          </cell>
          <cell r="D1222" t="str">
            <v>SIMPLES</v>
          </cell>
          <cell r="E1222" t="str">
            <v>SPARE</v>
          </cell>
        </row>
        <row r="1223">
          <cell r="A1223">
            <v>772055</v>
          </cell>
          <cell r="B1223" t="str">
            <v>AUTOMOTIVO</v>
          </cell>
          <cell r="C1223" t="str">
            <v>Bandeja</v>
          </cell>
          <cell r="D1223" t="str">
            <v>SIMPLES</v>
          </cell>
          <cell r="E1223" t="str">
            <v>SPARE</v>
          </cell>
        </row>
        <row r="1224">
          <cell r="A1224">
            <v>772056</v>
          </cell>
          <cell r="B1224" t="str">
            <v>AUTOMOTIVO</v>
          </cell>
          <cell r="C1224" t="str">
            <v>Bandeja</v>
          </cell>
          <cell r="D1224" t="str">
            <v>SIMPLES</v>
          </cell>
          <cell r="E1224" t="str">
            <v>SPARE</v>
          </cell>
        </row>
        <row r="1225">
          <cell r="A1225">
            <v>772057</v>
          </cell>
          <cell r="B1225" t="str">
            <v>AUTOMOTIVO</v>
          </cell>
          <cell r="C1225" t="str">
            <v>Bandeja</v>
          </cell>
          <cell r="D1225" t="str">
            <v>SIMPLES</v>
          </cell>
          <cell r="E1225" t="str">
            <v>SPARE</v>
          </cell>
        </row>
        <row r="1226">
          <cell r="A1226">
            <v>772058</v>
          </cell>
          <cell r="B1226" t="str">
            <v>AUTOMOTIVO</v>
          </cell>
          <cell r="C1226" t="str">
            <v>Bandeja</v>
          </cell>
          <cell r="D1226" t="str">
            <v>SIMPLES</v>
          </cell>
          <cell r="E1226" t="str">
            <v>SPARE</v>
          </cell>
        </row>
        <row r="1227">
          <cell r="A1227">
            <v>772059</v>
          </cell>
          <cell r="B1227" t="str">
            <v>AUTOMOTIVO</v>
          </cell>
          <cell r="C1227" t="str">
            <v>Bandeja</v>
          </cell>
          <cell r="D1227" t="str">
            <v>SIMPLES</v>
          </cell>
          <cell r="E1227" t="str">
            <v>SPARE</v>
          </cell>
        </row>
        <row r="1228">
          <cell r="A1228">
            <v>772062</v>
          </cell>
          <cell r="B1228" t="str">
            <v>AUTOMOTIVO</v>
          </cell>
          <cell r="C1228" t="str">
            <v>Bandeja</v>
          </cell>
          <cell r="D1228" t="str">
            <v>SIMPLES</v>
          </cell>
          <cell r="E1228" t="str">
            <v>SPARE</v>
          </cell>
        </row>
        <row r="1229">
          <cell r="A1229">
            <v>772063</v>
          </cell>
          <cell r="B1229" t="str">
            <v>AUTOMOTIVO</v>
          </cell>
          <cell r="C1229" t="str">
            <v>Bandeja</v>
          </cell>
          <cell r="D1229" t="str">
            <v>SIMPLES</v>
          </cell>
          <cell r="E1229" t="str">
            <v>SPARE</v>
          </cell>
        </row>
        <row r="1230">
          <cell r="A1230">
            <v>772074</v>
          </cell>
          <cell r="B1230" t="str">
            <v>AUTOMOTIVO</v>
          </cell>
          <cell r="C1230" t="str">
            <v>Bandeja</v>
          </cell>
          <cell r="D1230" t="str">
            <v>SIMPLES</v>
          </cell>
          <cell r="E1230" t="str">
            <v>SPARE</v>
          </cell>
        </row>
        <row r="1231">
          <cell r="A1231">
            <v>772075</v>
          </cell>
          <cell r="B1231" t="str">
            <v>AUTOMOTIVO</v>
          </cell>
          <cell r="C1231" t="str">
            <v>Bandeja</v>
          </cell>
          <cell r="D1231" t="str">
            <v>SIMPLES</v>
          </cell>
          <cell r="E1231" t="str">
            <v>SPARE</v>
          </cell>
        </row>
        <row r="1232">
          <cell r="A1232">
            <v>772088</v>
          </cell>
          <cell r="B1232" t="str">
            <v>AUTOMOTIVO</v>
          </cell>
          <cell r="C1232" t="str">
            <v>Bandeja</v>
          </cell>
          <cell r="D1232" t="str">
            <v>SIMPLES</v>
          </cell>
          <cell r="E1232" t="str">
            <v>SPARE</v>
          </cell>
        </row>
        <row r="1233">
          <cell r="A1233">
            <v>772089</v>
          </cell>
          <cell r="B1233" t="str">
            <v>AUTOMOTIVO</v>
          </cell>
          <cell r="C1233" t="str">
            <v>Bandeja</v>
          </cell>
          <cell r="D1233" t="str">
            <v>SIMPLES</v>
          </cell>
          <cell r="E1233" t="str">
            <v>SPARE</v>
          </cell>
        </row>
        <row r="1234">
          <cell r="A1234">
            <v>772090</v>
          </cell>
          <cell r="B1234" t="str">
            <v>AUTOMOTIVO</v>
          </cell>
          <cell r="C1234" t="str">
            <v>Bandeja</v>
          </cell>
          <cell r="D1234" t="str">
            <v>SIMPLES</v>
          </cell>
          <cell r="E1234" t="str">
            <v>SPARE</v>
          </cell>
        </row>
        <row r="1235">
          <cell r="A1235">
            <v>772091</v>
          </cell>
          <cell r="B1235" t="str">
            <v>AUTOMOTIVO</v>
          </cell>
          <cell r="C1235" t="str">
            <v>Bandeja</v>
          </cell>
          <cell r="D1235" t="str">
            <v>SIMPLES</v>
          </cell>
          <cell r="E1235" t="str">
            <v>SPARE</v>
          </cell>
        </row>
        <row r="1236">
          <cell r="A1236">
            <v>772100</v>
          </cell>
          <cell r="B1236" t="str">
            <v>AUTOMOTIVO</v>
          </cell>
          <cell r="C1236" t="str">
            <v>Bandeja</v>
          </cell>
          <cell r="D1236" t="str">
            <v>SIMPLES</v>
          </cell>
          <cell r="E1236" t="str">
            <v>SPARE</v>
          </cell>
        </row>
        <row r="1237">
          <cell r="A1237">
            <v>772101</v>
          </cell>
          <cell r="B1237" t="str">
            <v>AUTOMOTIVO</v>
          </cell>
          <cell r="C1237" t="str">
            <v>Bandeja</v>
          </cell>
          <cell r="D1237" t="str">
            <v>SIMPLES</v>
          </cell>
          <cell r="E1237" t="str">
            <v>SPARE</v>
          </cell>
        </row>
        <row r="1238">
          <cell r="A1238">
            <v>772102</v>
          </cell>
          <cell r="B1238" t="str">
            <v>AUTOMOTIVO</v>
          </cell>
          <cell r="C1238" t="str">
            <v>Bandeja</v>
          </cell>
          <cell r="D1238" t="str">
            <v>SIMPLES</v>
          </cell>
          <cell r="E1238" t="str">
            <v>SPARE</v>
          </cell>
        </row>
        <row r="1239">
          <cell r="A1239">
            <v>772103</v>
          </cell>
          <cell r="B1239" t="str">
            <v>AUTOMOTIVO</v>
          </cell>
          <cell r="C1239" t="str">
            <v>Bandeja</v>
          </cell>
          <cell r="D1239" t="str">
            <v>SIMPLES</v>
          </cell>
          <cell r="E1239" t="str">
            <v>SPARE</v>
          </cell>
        </row>
        <row r="1240">
          <cell r="A1240">
            <v>772104</v>
          </cell>
          <cell r="B1240" t="str">
            <v>AUTOMOTIVO</v>
          </cell>
          <cell r="C1240" t="str">
            <v>Bandeja</v>
          </cell>
          <cell r="D1240" t="str">
            <v>SIMPLES</v>
          </cell>
          <cell r="E1240" t="str">
            <v>SPARE</v>
          </cell>
        </row>
        <row r="1241">
          <cell r="A1241">
            <v>772105</v>
          </cell>
          <cell r="B1241" t="str">
            <v>AUTOMOTIVO</v>
          </cell>
          <cell r="C1241" t="str">
            <v>Bandeja</v>
          </cell>
          <cell r="D1241" t="str">
            <v>SIMPLES</v>
          </cell>
          <cell r="E1241" t="str">
            <v>SPARE</v>
          </cell>
        </row>
        <row r="1242">
          <cell r="A1242">
            <v>772106</v>
          </cell>
          <cell r="B1242" t="str">
            <v>AUTOMOTIVO</v>
          </cell>
          <cell r="C1242" t="str">
            <v>Bandeja</v>
          </cell>
          <cell r="D1242" t="str">
            <v>SIMPLES</v>
          </cell>
          <cell r="E1242" t="str">
            <v>SPARE</v>
          </cell>
        </row>
        <row r="1243">
          <cell r="A1243">
            <v>772107</v>
          </cell>
          <cell r="B1243" t="str">
            <v>AUTOMOTIVO</v>
          </cell>
          <cell r="C1243" t="str">
            <v>Bandeja</v>
          </cell>
          <cell r="D1243" t="str">
            <v>SIMPLES</v>
          </cell>
          <cell r="E1243" t="str">
            <v>SPARE</v>
          </cell>
        </row>
        <row r="1244">
          <cell r="A1244">
            <v>772110</v>
          </cell>
          <cell r="B1244" t="str">
            <v>AUTOMOTIVO</v>
          </cell>
          <cell r="C1244" t="str">
            <v>Bandeja</v>
          </cell>
          <cell r="D1244" t="str">
            <v>SIMPLES</v>
          </cell>
          <cell r="E1244" t="str">
            <v>SPARE</v>
          </cell>
        </row>
        <row r="1245">
          <cell r="A1245">
            <v>772111</v>
          </cell>
          <cell r="B1245" t="str">
            <v>AUTOMOTIVO</v>
          </cell>
          <cell r="C1245" t="str">
            <v>Bandeja</v>
          </cell>
          <cell r="D1245" t="str">
            <v>SIMPLES</v>
          </cell>
          <cell r="E1245" t="str">
            <v>SPARE</v>
          </cell>
        </row>
        <row r="1246">
          <cell r="A1246">
            <v>772112</v>
          </cell>
          <cell r="B1246" t="str">
            <v>AUTOMOTIVO</v>
          </cell>
          <cell r="C1246" t="str">
            <v>Bandeja</v>
          </cell>
          <cell r="D1246" t="str">
            <v>SIMPLES</v>
          </cell>
          <cell r="E1246" t="str">
            <v>SPARE</v>
          </cell>
        </row>
        <row r="1247">
          <cell r="A1247">
            <v>772113</v>
          </cell>
          <cell r="B1247" t="str">
            <v>AUTOMOTIVO</v>
          </cell>
          <cell r="C1247" t="str">
            <v>Bandeja</v>
          </cell>
          <cell r="D1247" t="str">
            <v>SIMPLES</v>
          </cell>
          <cell r="E1247" t="str">
            <v>SPARE</v>
          </cell>
        </row>
        <row r="1248">
          <cell r="A1248">
            <v>772129</v>
          </cell>
          <cell r="B1248" t="str">
            <v>AUTOMOTIVO</v>
          </cell>
          <cell r="C1248" t="str">
            <v>Bandeja</v>
          </cell>
          <cell r="D1248" t="str">
            <v>SIMPLES</v>
          </cell>
          <cell r="E1248" t="str">
            <v>SPARE</v>
          </cell>
        </row>
        <row r="1249">
          <cell r="A1249">
            <v>772130</v>
          </cell>
          <cell r="B1249" t="str">
            <v>AUTOMOTIVO</v>
          </cell>
          <cell r="C1249" t="str">
            <v>Bandeja</v>
          </cell>
          <cell r="D1249" t="str">
            <v>SIMPLES</v>
          </cell>
          <cell r="E1249" t="str">
            <v>SPARE</v>
          </cell>
        </row>
        <row r="1250">
          <cell r="A1250">
            <v>772131</v>
          </cell>
          <cell r="B1250" t="str">
            <v>AUTOMOTIVO</v>
          </cell>
          <cell r="C1250" t="str">
            <v>Bandeja</v>
          </cell>
          <cell r="D1250" t="str">
            <v>SIMPLES</v>
          </cell>
          <cell r="E1250" t="str">
            <v>SPARE</v>
          </cell>
        </row>
        <row r="1251">
          <cell r="A1251">
            <v>772134</v>
          </cell>
          <cell r="B1251" t="str">
            <v>AUTOMOTIVO</v>
          </cell>
          <cell r="C1251" t="str">
            <v>Bandeja</v>
          </cell>
          <cell r="D1251" t="str">
            <v>SIMPLES</v>
          </cell>
          <cell r="E1251" t="str">
            <v>SPARE</v>
          </cell>
        </row>
        <row r="1252">
          <cell r="A1252">
            <v>772135</v>
          </cell>
          <cell r="B1252" t="str">
            <v>AUTOMOTIVO</v>
          </cell>
          <cell r="C1252" t="str">
            <v>Bandeja</v>
          </cell>
          <cell r="D1252" t="str">
            <v>SIMPLES</v>
          </cell>
          <cell r="E1252" t="str">
            <v>SPARE</v>
          </cell>
        </row>
        <row r="1253">
          <cell r="A1253">
            <v>772138</v>
          </cell>
          <cell r="B1253" t="str">
            <v>AUTOMOTIVO</v>
          </cell>
          <cell r="C1253" t="str">
            <v>Bandeja</v>
          </cell>
          <cell r="D1253" t="str">
            <v>SIMPLES</v>
          </cell>
          <cell r="E1253" t="str">
            <v>SPARE</v>
          </cell>
        </row>
        <row r="1254">
          <cell r="A1254">
            <v>772139</v>
          </cell>
          <cell r="B1254" t="str">
            <v>AUTOMOTIVO</v>
          </cell>
          <cell r="C1254" t="str">
            <v>Bandeja</v>
          </cell>
          <cell r="D1254" t="str">
            <v>SIMPLES</v>
          </cell>
          <cell r="E1254" t="str">
            <v>SPARE</v>
          </cell>
        </row>
        <row r="1255">
          <cell r="A1255">
            <v>772140</v>
          </cell>
          <cell r="B1255" t="str">
            <v>AUTOMOTIVO</v>
          </cell>
          <cell r="C1255" t="str">
            <v>Bandeja</v>
          </cell>
          <cell r="D1255" t="str">
            <v>SIMPLES</v>
          </cell>
          <cell r="E1255" t="str">
            <v>SPARE</v>
          </cell>
        </row>
        <row r="1256">
          <cell r="A1256">
            <v>772141</v>
          </cell>
          <cell r="B1256" t="str">
            <v>AUTOMOTIVO</v>
          </cell>
          <cell r="C1256" t="str">
            <v>Bandeja</v>
          </cell>
          <cell r="D1256" t="str">
            <v>SIMPLES</v>
          </cell>
          <cell r="E1256" t="str">
            <v>SPARE</v>
          </cell>
        </row>
        <row r="1257">
          <cell r="A1257">
            <v>772144</v>
          </cell>
          <cell r="B1257" t="str">
            <v>AUTOMOTIVO</v>
          </cell>
          <cell r="C1257" t="str">
            <v>Bandeja</v>
          </cell>
          <cell r="D1257" t="str">
            <v>SIMPLES</v>
          </cell>
          <cell r="E1257" t="str">
            <v>SPARE</v>
          </cell>
        </row>
        <row r="1258">
          <cell r="A1258">
            <v>772145</v>
          </cell>
          <cell r="B1258" t="str">
            <v>AUTOMOTIVO</v>
          </cell>
          <cell r="C1258" t="str">
            <v>Bandeja</v>
          </cell>
          <cell r="D1258" t="str">
            <v>SIMPLES</v>
          </cell>
          <cell r="E1258" t="str">
            <v>SPARE</v>
          </cell>
        </row>
        <row r="1259">
          <cell r="A1259">
            <v>772146</v>
          </cell>
          <cell r="B1259" t="str">
            <v>AUTOMOTIVO</v>
          </cell>
          <cell r="C1259" t="str">
            <v>Bandeja</v>
          </cell>
          <cell r="D1259" t="str">
            <v>SIMPLES</v>
          </cell>
          <cell r="E1259" t="str">
            <v>SPARE</v>
          </cell>
        </row>
        <row r="1260">
          <cell r="A1260">
            <v>772147</v>
          </cell>
          <cell r="B1260" t="str">
            <v>AUTOMOTIVO</v>
          </cell>
          <cell r="C1260" t="str">
            <v>Bandeja</v>
          </cell>
          <cell r="D1260" t="str">
            <v>SIMPLES</v>
          </cell>
          <cell r="E1260" t="str">
            <v>SPARE</v>
          </cell>
        </row>
        <row r="1261">
          <cell r="A1261">
            <v>772148</v>
          </cell>
          <cell r="B1261" t="str">
            <v>AUTOMOTIVO</v>
          </cell>
          <cell r="C1261" t="str">
            <v>Bandeja</v>
          </cell>
          <cell r="D1261" t="str">
            <v>SIMPLES</v>
          </cell>
          <cell r="E1261" t="str">
            <v>SPARE</v>
          </cell>
        </row>
        <row r="1262">
          <cell r="A1262">
            <v>772149</v>
          </cell>
          <cell r="B1262" t="str">
            <v>AUTOMOTIVO</v>
          </cell>
          <cell r="C1262" t="str">
            <v>Bandeja</v>
          </cell>
          <cell r="D1262" t="str">
            <v>SIMPLES</v>
          </cell>
          <cell r="E1262" t="str">
            <v>SPARE</v>
          </cell>
        </row>
        <row r="1263">
          <cell r="A1263">
            <v>772150</v>
          </cell>
          <cell r="B1263" t="str">
            <v>AUTOMOTIVO</v>
          </cell>
          <cell r="C1263" t="str">
            <v>Bandeja</v>
          </cell>
          <cell r="D1263" t="str">
            <v>SIMPLES</v>
          </cell>
          <cell r="E1263" t="str">
            <v>SPARE</v>
          </cell>
        </row>
        <row r="1264">
          <cell r="A1264">
            <v>772151</v>
          </cell>
          <cell r="B1264" t="str">
            <v>AUTOMOTIVO</v>
          </cell>
          <cell r="C1264" t="str">
            <v>Bandeja</v>
          </cell>
          <cell r="D1264" t="str">
            <v>SIMPLES</v>
          </cell>
          <cell r="E1264" t="str">
            <v>SPARE</v>
          </cell>
        </row>
        <row r="1265">
          <cell r="A1265">
            <v>772152</v>
          </cell>
          <cell r="B1265" t="str">
            <v>AUTOMOTIVO</v>
          </cell>
          <cell r="C1265" t="str">
            <v>Bandeja</v>
          </cell>
          <cell r="D1265" t="str">
            <v>SIMPLES</v>
          </cell>
          <cell r="E1265" t="str">
            <v>SPARE</v>
          </cell>
        </row>
        <row r="1266">
          <cell r="A1266">
            <v>772153</v>
          </cell>
          <cell r="B1266" t="str">
            <v>AUTOMOTIVO</v>
          </cell>
          <cell r="C1266" t="str">
            <v>Bandeja</v>
          </cell>
          <cell r="D1266" t="str">
            <v>SIMPLES</v>
          </cell>
          <cell r="E1266" t="str">
            <v>SPARE</v>
          </cell>
        </row>
        <row r="1267">
          <cell r="A1267">
            <v>772156</v>
          </cell>
          <cell r="B1267" t="str">
            <v>AUTOMOTIVO</v>
          </cell>
          <cell r="C1267" t="str">
            <v>Bandeja</v>
          </cell>
          <cell r="D1267" t="str">
            <v>SIMPLES</v>
          </cell>
          <cell r="E1267" t="str">
            <v>SPARE</v>
          </cell>
        </row>
        <row r="1268">
          <cell r="A1268">
            <v>772157</v>
          </cell>
          <cell r="B1268" t="str">
            <v>AUTOMOTIVO</v>
          </cell>
          <cell r="C1268" t="str">
            <v>Bandeja</v>
          </cell>
          <cell r="D1268" t="str">
            <v>SIMPLES</v>
          </cell>
          <cell r="E1268" t="str">
            <v>SPARE</v>
          </cell>
        </row>
        <row r="1269">
          <cell r="A1269">
            <v>772161</v>
          </cell>
          <cell r="B1269" t="str">
            <v>AUTOMOTIVO</v>
          </cell>
          <cell r="C1269" t="str">
            <v>Bandeja</v>
          </cell>
          <cell r="D1269" t="str">
            <v>SIMPLES</v>
          </cell>
          <cell r="E1269" t="str">
            <v>SPARE</v>
          </cell>
        </row>
        <row r="1270">
          <cell r="A1270">
            <v>772162</v>
          </cell>
          <cell r="B1270" t="str">
            <v>AUTOMOTIVO</v>
          </cell>
          <cell r="C1270" t="str">
            <v>Bandeja</v>
          </cell>
          <cell r="D1270" t="str">
            <v>SIMPLES</v>
          </cell>
          <cell r="E1270" t="str">
            <v>SPARE</v>
          </cell>
        </row>
        <row r="1271">
          <cell r="A1271">
            <v>772163</v>
          </cell>
          <cell r="B1271" t="str">
            <v>AUTOMOTIVO</v>
          </cell>
          <cell r="C1271" t="str">
            <v>Bandeja</v>
          </cell>
          <cell r="D1271" t="str">
            <v>SIMPLES</v>
          </cell>
          <cell r="E1271" t="str">
            <v>SPARE</v>
          </cell>
        </row>
        <row r="1272">
          <cell r="A1272">
            <v>772164</v>
          </cell>
          <cell r="B1272" t="str">
            <v>AUTOMOTIVO</v>
          </cell>
          <cell r="C1272" t="str">
            <v>Bandeja</v>
          </cell>
          <cell r="D1272" t="str">
            <v>SIMPLES</v>
          </cell>
          <cell r="E1272" t="str">
            <v>SPARE</v>
          </cell>
        </row>
        <row r="1273">
          <cell r="A1273">
            <v>772169</v>
          </cell>
          <cell r="B1273" t="str">
            <v>AUTOMOTIVO</v>
          </cell>
          <cell r="C1273" t="str">
            <v>Bandeja</v>
          </cell>
          <cell r="D1273" t="str">
            <v>SIMPLES</v>
          </cell>
          <cell r="E1273" t="str">
            <v>SPARE</v>
          </cell>
        </row>
        <row r="1274">
          <cell r="A1274">
            <v>772170</v>
          </cell>
          <cell r="B1274" t="str">
            <v>AUTOMOTIVO</v>
          </cell>
          <cell r="C1274" t="str">
            <v>Bandeja</v>
          </cell>
          <cell r="D1274" t="str">
            <v>SIMPLES</v>
          </cell>
          <cell r="E1274" t="str">
            <v>SPARE</v>
          </cell>
        </row>
        <row r="1275">
          <cell r="A1275">
            <v>772171</v>
          </cell>
          <cell r="B1275" t="str">
            <v>AUTOMOTIVO</v>
          </cell>
          <cell r="C1275" t="str">
            <v>Bandeja</v>
          </cell>
          <cell r="D1275" t="str">
            <v>SIMPLES</v>
          </cell>
          <cell r="E1275" t="str">
            <v>SPARE</v>
          </cell>
        </row>
        <row r="1276">
          <cell r="A1276">
            <v>772172</v>
          </cell>
          <cell r="B1276" t="str">
            <v>AUTOMOTIVO</v>
          </cell>
          <cell r="C1276" t="str">
            <v>Bandeja</v>
          </cell>
          <cell r="D1276" t="str">
            <v>SIMPLES</v>
          </cell>
          <cell r="E1276" t="str">
            <v>SPARE</v>
          </cell>
        </row>
        <row r="1277">
          <cell r="A1277">
            <v>772173</v>
          </cell>
          <cell r="B1277" t="str">
            <v>AUTOMOTIVO</v>
          </cell>
          <cell r="C1277" t="str">
            <v>Bandeja</v>
          </cell>
          <cell r="D1277" t="str">
            <v>SIMPLES</v>
          </cell>
          <cell r="E1277" t="str">
            <v>SPARE</v>
          </cell>
        </row>
        <row r="1278">
          <cell r="A1278">
            <v>772182</v>
          </cell>
          <cell r="B1278" t="str">
            <v>AUTOMOTIVO</v>
          </cell>
          <cell r="C1278" t="str">
            <v>Bandeja</v>
          </cell>
          <cell r="D1278" t="str">
            <v>SIMPLES</v>
          </cell>
          <cell r="E1278" t="str">
            <v>SPARE</v>
          </cell>
        </row>
        <row r="1279">
          <cell r="A1279">
            <v>772183</v>
          </cell>
          <cell r="B1279" t="str">
            <v>AUTOMOTIVO</v>
          </cell>
          <cell r="C1279" t="str">
            <v>Bandeja</v>
          </cell>
          <cell r="D1279" t="str">
            <v>SIMPLES</v>
          </cell>
          <cell r="E1279" t="str">
            <v>SPARE</v>
          </cell>
        </row>
        <row r="1280">
          <cell r="A1280">
            <v>772188</v>
          </cell>
          <cell r="B1280" t="str">
            <v>AUTOMOTIVO</v>
          </cell>
          <cell r="C1280" t="str">
            <v>Bandeja</v>
          </cell>
          <cell r="D1280" t="str">
            <v>SIMPLES</v>
          </cell>
          <cell r="E1280" t="str">
            <v>SPARE</v>
          </cell>
        </row>
        <row r="1281">
          <cell r="A1281">
            <v>772190</v>
          </cell>
          <cell r="B1281" t="str">
            <v>AUTOMOTIVO</v>
          </cell>
          <cell r="C1281" t="str">
            <v>Bandeja</v>
          </cell>
          <cell r="D1281" t="str">
            <v>SIMPLES</v>
          </cell>
          <cell r="E1281" t="str">
            <v>SPARE</v>
          </cell>
        </row>
        <row r="1282">
          <cell r="A1282">
            <v>772191</v>
          </cell>
          <cell r="B1282" t="str">
            <v>AUTOMOTIVO</v>
          </cell>
          <cell r="C1282" t="str">
            <v>Bandeja</v>
          </cell>
          <cell r="D1282" t="str">
            <v>SIMPLES</v>
          </cell>
          <cell r="E1282" t="str">
            <v>SPARE</v>
          </cell>
        </row>
        <row r="1283">
          <cell r="A1283">
            <v>772194</v>
          </cell>
          <cell r="B1283" t="str">
            <v>AUTOMOTIVO</v>
          </cell>
          <cell r="C1283" t="str">
            <v>Bandeja</v>
          </cell>
          <cell r="D1283" t="str">
            <v>SIMPLES</v>
          </cell>
          <cell r="E1283" t="str">
            <v>SPARE</v>
          </cell>
        </row>
        <row r="1284">
          <cell r="A1284">
            <v>772204</v>
          </cell>
          <cell r="B1284" t="str">
            <v>AUTOMOTIVO</v>
          </cell>
          <cell r="C1284" t="str">
            <v>Bandeja</v>
          </cell>
          <cell r="D1284" t="str">
            <v>SIMPLES</v>
          </cell>
          <cell r="E1284" t="str">
            <v>SPARE</v>
          </cell>
        </row>
        <row r="1285">
          <cell r="A1285">
            <v>772205</v>
          </cell>
          <cell r="B1285" t="str">
            <v>AUTOMOTIVO</v>
          </cell>
          <cell r="C1285" t="str">
            <v>Bandeja</v>
          </cell>
          <cell r="D1285" t="str">
            <v>SIMPLES</v>
          </cell>
          <cell r="E1285" t="str">
            <v>SPARE</v>
          </cell>
        </row>
        <row r="1286">
          <cell r="A1286">
            <v>772214</v>
          </cell>
          <cell r="B1286" t="str">
            <v>AUTOMOTIVO</v>
          </cell>
          <cell r="C1286" t="str">
            <v>Bandeja</v>
          </cell>
          <cell r="D1286" t="str">
            <v>SIMPLES</v>
          </cell>
          <cell r="E1286" t="str">
            <v>SPARE</v>
          </cell>
        </row>
        <row r="1287">
          <cell r="A1287">
            <v>772215</v>
          </cell>
          <cell r="B1287" t="str">
            <v>AUTOMOTIVO</v>
          </cell>
          <cell r="C1287" t="str">
            <v>Bandeja</v>
          </cell>
          <cell r="D1287" t="str">
            <v>SIMPLES</v>
          </cell>
          <cell r="E1287" t="str">
            <v>SPARE</v>
          </cell>
        </row>
        <row r="1288">
          <cell r="A1288">
            <v>772221</v>
          </cell>
          <cell r="B1288" t="str">
            <v>AUTOMOTIVO</v>
          </cell>
          <cell r="C1288" t="str">
            <v>Bandeja</v>
          </cell>
          <cell r="D1288" t="str">
            <v>SIMPLES</v>
          </cell>
          <cell r="E1288" t="str">
            <v>SPARE</v>
          </cell>
        </row>
        <row r="1289">
          <cell r="A1289">
            <v>772222</v>
          </cell>
          <cell r="B1289" t="str">
            <v>AUTOMOTIVO</v>
          </cell>
          <cell r="C1289" t="str">
            <v>Bandeja</v>
          </cell>
          <cell r="D1289" t="str">
            <v>SIMPLES</v>
          </cell>
          <cell r="E1289" t="str">
            <v>SPARE</v>
          </cell>
        </row>
        <row r="1290">
          <cell r="A1290">
            <v>772230</v>
          </cell>
          <cell r="B1290" t="str">
            <v>AUTOMOTIVO</v>
          </cell>
          <cell r="C1290" t="str">
            <v>Bandeja</v>
          </cell>
          <cell r="D1290" t="str">
            <v>SIMPLES</v>
          </cell>
          <cell r="E1290" t="str">
            <v>SPARE</v>
          </cell>
        </row>
        <row r="1291">
          <cell r="A1291">
            <v>772231</v>
          </cell>
          <cell r="B1291" t="str">
            <v>AUTOMOTIVO</v>
          </cell>
          <cell r="C1291" t="str">
            <v>Bandeja</v>
          </cell>
          <cell r="D1291" t="str">
            <v>SIMPLES</v>
          </cell>
          <cell r="E1291" t="str">
            <v>SPARE</v>
          </cell>
        </row>
        <row r="1292">
          <cell r="A1292">
            <v>772233</v>
          </cell>
          <cell r="B1292" t="str">
            <v>AUTOMOTIVO</v>
          </cell>
          <cell r="C1292" t="str">
            <v>Bandeja</v>
          </cell>
          <cell r="D1292" t="str">
            <v>SIMPLES</v>
          </cell>
          <cell r="E1292" t="str">
            <v>SPARE</v>
          </cell>
        </row>
        <row r="1293">
          <cell r="A1293">
            <v>772234</v>
          </cell>
          <cell r="B1293" t="str">
            <v>AUTOMOTIVO</v>
          </cell>
          <cell r="C1293" t="str">
            <v>Bandeja</v>
          </cell>
          <cell r="D1293" t="str">
            <v>SIMPLES</v>
          </cell>
          <cell r="E1293" t="str">
            <v>SPARE</v>
          </cell>
        </row>
        <row r="1294">
          <cell r="A1294">
            <v>772246</v>
          </cell>
          <cell r="B1294" t="str">
            <v>AUTOMOTIVO</v>
          </cell>
          <cell r="C1294" t="str">
            <v>Bandeja</v>
          </cell>
          <cell r="D1294" t="str">
            <v>SIMPLES</v>
          </cell>
          <cell r="E1294" t="str">
            <v>SPARE</v>
          </cell>
        </row>
        <row r="1295">
          <cell r="A1295">
            <v>772247</v>
          </cell>
          <cell r="B1295" t="str">
            <v>AUTOMOTIVO</v>
          </cell>
          <cell r="C1295" t="str">
            <v>Bandeja</v>
          </cell>
          <cell r="D1295" t="str">
            <v>SIMPLES</v>
          </cell>
          <cell r="E1295" t="str">
            <v>SPARE</v>
          </cell>
        </row>
        <row r="1296">
          <cell r="A1296">
            <v>772248</v>
          </cell>
          <cell r="B1296" t="str">
            <v>AUTOMOTIVO</v>
          </cell>
          <cell r="C1296" t="str">
            <v>Bandeja</v>
          </cell>
          <cell r="D1296" t="str">
            <v>SIMPLES</v>
          </cell>
          <cell r="E1296" t="str">
            <v>SPARE</v>
          </cell>
        </row>
        <row r="1297">
          <cell r="A1297">
            <v>772249</v>
          </cell>
          <cell r="B1297" t="str">
            <v>AUTOMOTIVO</v>
          </cell>
          <cell r="C1297" t="str">
            <v>Bandeja</v>
          </cell>
          <cell r="D1297" t="str">
            <v>SIMPLES</v>
          </cell>
          <cell r="E1297" t="str">
            <v>SPARE</v>
          </cell>
        </row>
        <row r="1298">
          <cell r="A1298">
            <v>772254</v>
          </cell>
          <cell r="B1298" t="str">
            <v>AUTOMOTIVO</v>
          </cell>
          <cell r="C1298" t="str">
            <v>Bandeja</v>
          </cell>
          <cell r="D1298" t="str">
            <v>SIMPLES</v>
          </cell>
          <cell r="E1298" t="str">
            <v>SPARE</v>
          </cell>
        </row>
        <row r="1299">
          <cell r="A1299">
            <v>772255</v>
          </cell>
          <cell r="B1299" t="str">
            <v>AUTOMOTIVO</v>
          </cell>
          <cell r="C1299" t="str">
            <v>Bandeja</v>
          </cell>
          <cell r="D1299" t="str">
            <v>SIMPLES</v>
          </cell>
          <cell r="E1299" t="str">
            <v>SPARE</v>
          </cell>
        </row>
        <row r="1300">
          <cell r="A1300">
            <v>772256</v>
          </cell>
          <cell r="B1300" t="str">
            <v>AUTOMOTIVO</v>
          </cell>
          <cell r="C1300" t="str">
            <v>Bandeja</v>
          </cell>
          <cell r="D1300" t="str">
            <v>SIMPLES</v>
          </cell>
          <cell r="E1300" t="str">
            <v>SPARE</v>
          </cell>
        </row>
        <row r="1301">
          <cell r="A1301">
            <v>772257</v>
          </cell>
          <cell r="B1301" t="str">
            <v>AUTOMOTIVO</v>
          </cell>
          <cell r="C1301" t="str">
            <v>Bandeja</v>
          </cell>
          <cell r="D1301" t="str">
            <v>SIMPLES</v>
          </cell>
          <cell r="E1301" t="str">
            <v>SPARE</v>
          </cell>
        </row>
        <row r="1302">
          <cell r="A1302">
            <v>882000</v>
          </cell>
          <cell r="B1302" t="str">
            <v>AUTOMOTIVO</v>
          </cell>
          <cell r="C1302" t="str">
            <v>Bandeja</v>
          </cell>
          <cell r="D1302" t="str">
            <v>SIMPLES</v>
          </cell>
          <cell r="E1302" t="str">
            <v>SPARE</v>
          </cell>
        </row>
        <row r="1303">
          <cell r="A1303">
            <v>882001</v>
          </cell>
          <cell r="B1303" t="str">
            <v>AUTOMOTIVO</v>
          </cell>
          <cell r="C1303" t="str">
            <v>Bandeja</v>
          </cell>
          <cell r="D1303" t="str">
            <v>SIMPLES</v>
          </cell>
          <cell r="E1303" t="str">
            <v>SPARE</v>
          </cell>
        </row>
        <row r="1304">
          <cell r="A1304">
            <v>882002</v>
          </cell>
          <cell r="B1304" t="str">
            <v>AUTOMOTIVO</v>
          </cell>
          <cell r="C1304" t="str">
            <v>Bandeja</v>
          </cell>
          <cell r="D1304" t="str">
            <v>SIMPLES</v>
          </cell>
          <cell r="E1304" t="str">
            <v>SPARE</v>
          </cell>
        </row>
        <row r="1305">
          <cell r="A1305">
            <v>882003</v>
          </cell>
          <cell r="B1305" t="str">
            <v>AUTOMOTIVO</v>
          </cell>
          <cell r="C1305" t="str">
            <v>Bandeja</v>
          </cell>
          <cell r="D1305" t="str">
            <v>SIMPLES</v>
          </cell>
          <cell r="E1305" t="str">
            <v>SPARE</v>
          </cell>
        </row>
        <row r="1306">
          <cell r="A1306">
            <v>992001</v>
          </cell>
          <cell r="B1306" t="str">
            <v>AUTOMOTIVO</v>
          </cell>
          <cell r="C1306" t="str">
            <v>Bandeja</v>
          </cell>
          <cell r="D1306" t="str">
            <v>SIMPLES</v>
          </cell>
          <cell r="E1306" t="str">
            <v>SPARE</v>
          </cell>
        </row>
        <row r="1307">
          <cell r="A1307">
            <v>993001</v>
          </cell>
          <cell r="B1307" t="str">
            <v>AUTOMOTIVO</v>
          </cell>
          <cell r="C1307" t="str">
            <v>Bandeja</v>
          </cell>
          <cell r="D1307" t="str">
            <v>SIMPLES</v>
          </cell>
          <cell r="E1307" t="str">
            <v>SPARE</v>
          </cell>
        </row>
        <row r="1308">
          <cell r="A1308">
            <v>993002</v>
          </cell>
          <cell r="B1308" t="str">
            <v>AUTOMOTIVO</v>
          </cell>
          <cell r="C1308" t="str">
            <v>Bandeja</v>
          </cell>
          <cell r="D1308" t="str">
            <v>SIMPLES</v>
          </cell>
          <cell r="E1308" t="str">
            <v>SPARE</v>
          </cell>
        </row>
        <row r="1309">
          <cell r="A1309">
            <v>993003</v>
          </cell>
          <cell r="B1309" t="str">
            <v>AUTOMOTIVO</v>
          </cell>
          <cell r="C1309" t="str">
            <v>Bandeja</v>
          </cell>
          <cell r="D1309" t="str">
            <v>SIMPLES</v>
          </cell>
          <cell r="E1309" t="str">
            <v>SPARE</v>
          </cell>
        </row>
        <row r="1310">
          <cell r="A1310">
            <v>993012</v>
          </cell>
          <cell r="B1310" t="str">
            <v>AUTOMOTIVO</v>
          </cell>
          <cell r="C1310" t="str">
            <v>Pastilha Freio</v>
          </cell>
          <cell r="D1310" t="str">
            <v>SIMPLES</v>
          </cell>
          <cell r="E1310" t="str">
            <v>SPARE</v>
          </cell>
        </row>
        <row r="1311">
          <cell r="A1311" t="str">
            <v>112004b</v>
          </cell>
          <cell r="B1311" t="str">
            <v>AUTOMOTIVO</v>
          </cell>
          <cell r="C1311" t="str">
            <v>Bandeja</v>
          </cell>
          <cell r="D1311" t="str">
            <v>SIMPLES</v>
          </cell>
          <cell r="E1311" t="str">
            <v>SPARE</v>
          </cell>
        </row>
        <row r="1312">
          <cell r="A1312" t="str">
            <v>112005B</v>
          </cell>
          <cell r="B1312" t="str">
            <v>AUTOMOTIVO</v>
          </cell>
          <cell r="C1312" t="str">
            <v>Bandeja</v>
          </cell>
          <cell r="D1312" t="str">
            <v>SIMPLES</v>
          </cell>
          <cell r="E1312" t="str">
            <v>SPARE</v>
          </cell>
        </row>
        <row r="1313">
          <cell r="A1313" t="str">
            <v>112006/07</v>
          </cell>
          <cell r="B1313" t="str">
            <v>AUTOMOTIVO</v>
          </cell>
          <cell r="C1313" t="str">
            <v>Bandeja</v>
          </cell>
          <cell r="D1313" t="str">
            <v>SIMPLES</v>
          </cell>
          <cell r="E1313" t="str">
            <v>SPARE</v>
          </cell>
        </row>
        <row r="1314">
          <cell r="A1314" t="str">
            <v>112008/09</v>
          </cell>
          <cell r="B1314" t="str">
            <v>AUTOMOTIVO</v>
          </cell>
          <cell r="C1314" t="str">
            <v>Bandeja</v>
          </cell>
          <cell r="D1314" t="str">
            <v>SIMPLES</v>
          </cell>
          <cell r="E1314" t="str">
            <v>SPARE</v>
          </cell>
        </row>
        <row r="1315">
          <cell r="A1315" t="str">
            <v>112010/11</v>
          </cell>
          <cell r="B1315" t="str">
            <v>AUTOMOTIVO</v>
          </cell>
          <cell r="C1315" t="str">
            <v>Bandeja</v>
          </cell>
          <cell r="D1315" t="str">
            <v>SIMPLES</v>
          </cell>
          <cell r="E1315" t="str">
            <v>SPARE</v>
          </cell>
        </row>
        <row r="1316">
          <cell r="A1316" t="str">
            <v>112012/13</v>
          </cell>
          <cell r="B1316" t="str">
            <v>AUTOMOTIVO</v>
          </cell>
          <cell r="C1316" t="str">
            <v>Bandeja</v>
          </cell>
          <cell r="D1316" t="str">
            <v>SIMPLES</v>
          </cell>
          <cell r="E1316" t="str">
            <v>SPARE</v>
          </cell>
        </row>
        <row r="1317">
          <cell r="A1317" t="str">
            <v>112022/23</v>
          </cell>
          <cell r="B1317" t="str">
            <v>AUTOMOTIVO</v>
          </cell>
          <cell r="C1317" t="str">
            <v>Bandeja</v>
          </cell>
          <cell r="D1317" t="str">
            <v>SIMPLES</v>
          </cell>
          <cell r="E1317" t="str">
            <v>SPARE</v>
          </cell>
        </row>
        <row r="1318">
          <cell r="A1318" t="str">
            <v>112024/25</v>
          </cell>
          <cell r="B1318" t="str">
            <v>AUTOMOTIVO</v>
          </cell>
          <cell r="C1318" t="str">
            <v>Bandeja</v>
          </cell>
          <cell r="D1318" t="str">
            <v>SIMPLES</v>
          </cell>
          <cell r="E1318" t="str">
            <v>SPARE</v>
          </cell>
        </row>
        <row r="1319">
          <cell r="A1319" t="str">
            <v>112028/29</v>
          </cell>
          <cell r="B1319" t="str">
            <v>AUTOMOTIVO</v>
          </cell>
          <cell r="C1319" t="str">
            <v>Bandeja</v>
          </cell>
          <cell r="D1319" t="str">
            <v>SIMPLES</v>
          </cell>
          <cell r="E1319" t="str">
            <v>SPARE</v>
          </cell>
        </row>
        <row r="1320">
          <cell r="A1320" t="str">
            <v>112030/31</v>
          </cell>
          <cell r="B1320" t="str">
            <v>AUTOMOTIVO</v>
          </cell>
          <cell r="C1320" t="str">
            <v>Bandeja</v>
          </cell>
          <cell r="D1320" t="str">
            <v>SIMPLES</v>
          </cell>
          <cell r="E1320" t="str">
            <v>SPARE</v>
          </cell>
        </row>
        <row r="1321">
          <cell r="A1321" t="str">
            <v>112052/53</v>
          </cell>
          <cell r="B1321" t="str">
            <v>AUTOMOTIVO</v>
          </cell>
          <cell r="C1321" t="str">
            <v>Bandeja</v>
          </cell>
          <cell r="D1321" t="str">
            <v>SIMPLES</v>
          </cell>
          <cell r="E1321" t="str">
            <v>SPARE</v>
          </cell>
        </row>
        <row r="1322">
          <cell r="A1322" t="str">
            <v>112056/57</v>
          </cell>
          <cell r="B1322" t="str">
            <v>AUTOMOTIVO</v>
          </cell>
          <cell r="C1322" t="str">
            <v>Bandeja</v>
          </cell>
          <cell r="D1322" t="str">
            <v>SIMPLES</v>
          </cell>
          <cell r="E1322" t="str">
            <v>SPARE</v>
          </cell>
        </row>
        <row r="1323">
          <cell r="A1323" t="str">
            <v>112058/59</v>
          </cell>
          <cell r="B1323" t="str">
            <v>AUTOMOTIVO</v>
          </cell>
          <cell r="C1323" t="str">
            <v>Bandeja</v>
          </cell>
          <cell r="D1323" t="str">
            <v>SIMPLES</v>
          </cell>
          <cell r="E1323" t="str">
            <v>SPARE</v>
          </cell>
        </row>
        <row r="1324">
          <cell r="A1324" t="str">
            <v>112062/63</v>
          </cell>
          <cell r="B1324" t="str">
            <v>AUTOMOTIVO</v>
          </cell>
          <cell r="C1324" t="str">
            <v>Bandeja</v>
          </cell>
          <cell r="D1324" t="str">
            <v>SIMPLES</v>
          </cell>
          <cell r="E1324" t="str">
            <v>SPARE</v>
          </cell>
        </row>
        <row r="1325">
          <cell r="A1325" t="str">
            <v>112072/73</v>
          </cell>
          <cell r="B1325" t="str">
            <v>AUTOMOTIVO</v>
          </cell>
          <cell r="C1325" t="str">
            <v>Bandeja</v>
          </cell>
          <cell r="D1325" t="str">
            <v>SIMPLES</v>
          </cell>
          <cell r="E1325" t="str">
            <v>SPARE</v>
          </cell>
        </row>
        <row r="1326">
          <cell r="A1326" t="str">
            <v>112074/75</v>
          </cell>
          <cell r="B1326" t="str">
            <v>AUTOMOTIVO</v>
          </cell>
          <cell r="C1326" t="str">
            <v>Bandeja</v>
          </cell>
          <cell r="D1326" t="str">
            <v>SIMPLES</v>
          </cell>
          <cell r="E1326" t="str">
            <v>SPARE</v>
          </cell>
        </row>
        <row r="1327">
          <cell r="A1327" t="str">
            <v>112100/01</v>
          </cell>
          <cell r="B1327" t="str">
            <v>AUTOMOTIVO</v>
          </cell>
          <cell r="C1327" t="str">
            <v>Bandeja</v>
          </cell>
          <cell r="D1327" t="str">
            <v>SIMPLES</v>
          </cell>
          <cell r="E1327" t="str">
            <v>SPARE</v>
          </cell>
        </row>
        <row r="1328">
          <cell r="A1328" t="str">
            <v>112102/03</v>
          </cell>
          <cell r="B1328" t="str">
            <v>AUTOMOTIVO</v>
          </cell>
          <cell r="C1328" t="str">
            <v>Bandeja</v>
          </cell>
          <cell r="D1328" t="str">
            <v>SIMPLES</v>
          </cell>
          <cell r="E1328" t="str">
            <v>SPARE</v>
          </cell>
        </row>
        <row r="1329">
          <cell r="A1329" t="str">
            <v>112106/07</v>
          </cell>
          <cell r="B1329" t="str">
            <v>AUTOMOTIVO</v>
          </cell>
          <cell r="C1329" t="str">
            <v>Bandeja</v>
          </cell>
          <cell r="D1329" t="str">
            <v>SIMPLES</v>
          </cell>
          <cell r="E1329" t="str">
            <v>SPARE</v>
          </cell>
        </row>
        <row r="1330">
          <cell r="A1330" t="str">
            <v>112117/18</v>
          </cell>
          <cell r="B1330" t="str">
            <v>AUTOMOTIVO</v>
          </cell>
          <cell r="C1330" t="str">
            <v>Bandeja</v>
          </cell>
          <cell r="D1330" t="str">
            <v>SIMPLES</v>
          </cell>
          <cell r="E1330" t="str">
            <v>SPARE</v>
          </cell>
        </row>
        <row r="1331">
          <cell r="A1331" t="str">
            <v>112124/25</v>
          </cell>
          <cell r="B1331" t="str">
            <v>AUTOMOTIVO</v>
          </cell>
          <cell r="C1331" t="str">
            <v>Bandeja</v>
          </cell>
          <cell r="D1331" t="str">
            <v>SIMPLES</v>
          </cell>
          <cell r="E1331" t="str">
            <v>SPARE</v>
          </cell>
        </row>
        <row r="1332">
          <cell r="A1332" t="str">
            <v>112126/27</v>
          </cell>
          <cell r="B1332" t="str">
            <v>AUTOMOTIVO</v>
          </cell>
          <cell r="C1332" t="str">
            <v>Bandeja</v>
          </cell>
          <cell r="D1332" t="str">
            <v>SIMPLES</v>
          </cell>
          <cell r="E1332" t="str">
            <v>SPARE</v>
          </cell>
        </row>
        <row r="1333">
          <cell r="A1333" t="str">
            <v>112132/33</v>
          </cell>
          <cell r="B1333" t="str">
            <v>AUTOMOTIVO</v>
          </cell>
          <cell r="C1333" t="str">
            <v>Bandeja</v>
          </cell>
          <cell r="D1333" t="str">
            <v>SIMPLES</v>
          </cell>
          <cell r="E1333" t="str">
            <v>SPARE</v>
          </cell>
        </row>
        <row r="1334">
          <cell r="A1334" t="str">
            <v>222010b</v>
          </cell>
          <cell r="B1334" t="str">
            <v>AUTOMOTIVO</v>
          </cell>
          <cell r="C1334" t="str">
            <v>Bandeja</v>
          </cell>
          <cell r="D1334" t="str">
            <v>SIMPLES</v>
          </cell>
          <cell r="E1334" t="str">
            <v>SPARE</v>
          </cell>
        </row>
        <row r="1335">
          <cell r="A1335" t="str">
            <v>222011b</v>
          </cell>
          <cell r="B1335" t="str">
            <v>AUTOMOTIVO</v>
          </cell>
          <cell r="C1335" t="str">
            <v>Bandeja</v>
          </cell>
          <cell r="D1335" t="str">
            <v>SIMPLES</v>
          </cell>
          <cell r="E1335" t="str">
            <v>SPARE</v>
          </cell>
        </row>
        <row r="1336">
          <cell r="A1336" t="str">
            <v>222053/54</v>
          </cell>
          <cell r="B1336" t="str">
            <v>AUTOMOTIVO</v>
          </cell>
          <cell r="C1336" t="str">
            <v>Bandeja</v>
          </cell>
          <cell r="D1336" t="str">
            <v>SIMPLES</v>
          </cell>
          <cell r="E1336" t="str">
            <v>SPARE</v>
          </cell>
        </row>
        <row r="1337">
          <cell r="A1337" t="str">
            <v>222063/64</v>
          </cell>
          <cell r="B1337" t="str">
            <v>AUTOMOTIVO</v>
          </cell>
          <cell r="C1337" t="str">
            <v>Bandeja</v>
          </cell>
          <cell r="D1337" t="str">
            <v>SIMPLES</v>
          </cell>
          <cell r="E1337" t="str">
            <v>SPARE</v>
          </cell>
        </row>
        <row r="1338">
          <cell r="A1338" t="str">
            <v>222072/73</v>
          </cell>
          <cell r="B1338" t="str">
            <v>AUTOMOTIVO</v>
          </cell>
          <cell r="C1338" t="str">
            <v>Bandeja</v>
          </cell>
          <cell r="D1338" t="str">
            <v>SIMPLES</v>
          </cell>
          <cell r="E1338" t="str">
            <v>SPARE</v>
          </cell>
        </row>
        <row r="1339">
          <cell r="A1339" t="str">
            <v>222104/05</v>
          </cell>
          <cell r="B1339" t="str">
            <v>AUTOMOTIVO</v>
          </cell>
          <cell r="C1339" t="str">
            <v>Bandeja</v>
          </cell>
          <cell r="D1339" t="str">
            <v>SIMPLES</v>
          </cell>
          <cell r="E1339" t="str">
            <v>SPARE</v>
          </cell>
        </row>
        <row r="1340">
          <cell r="A1340" t="str">
            <v>222308/09</v>
          </cell>
          <cell r="B1340" t="str">
            <v>AUTOMOTIVO</v>
          </cell>
          <cell r="C1340" t="str">
            <v>Bandeja</v>
          </cell>
          <cell r="D1340" t="str">
            <v>SIMPLES</v>
          </cell>
          <cell r="E1340" t="str">
            <v>SPARE</v>
          </cell>
        </row>
        <row r="1341">
          <cell r="A1341" t="str">
            <v>330178/79</v>
          </cell>
          <cell r="B1341" t="str">
            <v>AUTOMOTIVO</v>
          </cell>
          <cell r="C1341" t="str">
            <v>AMORTECEDOR SUSPENSÃO</v>
          </cell>
          <cell r="D1341" t="str">
            <v>SIMPLES</v>
          </cell>
          <cell r="E1341" t="str">
            <v>SPARE</v>
          </cell>
        </row>
        <row r="1342">
          <cell r="A1342" t="str">
            <v>332002/03</v>
          </cell>
          <cell r="B1342" t="str">
            <v>AUTOMOTIVO</v>
          </cell>
          <cell r="C1342" t="str">
            <v>Bandeja</v>
          </cell>
          <cell r="D1342" t="str">
            <v>SIMPLES</v>
          </cell>
          <cell r="E1342" t="str">
            <v>SPARE</v>
          </cell>
        </row>
        <row r="1343">
          <cell r="A1343" t="str">
            <v>332014/15</v>
          </cell>
          <cell r="B1343" t="str">
            <v>AUTOMOTIVO</v>
          </cell>
          <cell r="C1343" t="str">
            <v>Bandeja</v>
          </cell>
          <cell r="D1343" t="str">
            <v>SIMPLES</v>
          </cell>
          <cell r="E1343" t="str">
            <v>SPARE</v>
          </cell>
        </row>
        <row r="1344">
          <cell r="A1344" t="str">
            <v>332042/43</v>
          </cell>
          <cell r="B1344" t="str">
            <v>AUTOMOTIVO</v>
          </cell>
          <cell r="C1344" t="str">
            <v>Bandeja</v>
          </cell>
          <cell r="D1344" t="str">
            <v>SIMPLES</v>
          </cell>
          <cell r="E1344" t="str">
            <v>SPARE</v>
          </cell>
        </row>
        <row r="1345">
          <cell r="A1345" t="str">
            <v>332056/57</v>
          </cell>
          <cell r="B1345" t="str">
            <v>AUTOMOTIVO</v>
          </cell>
          <cell r="C1345" t="str">
            <v>Bandeja</v>
          </cell>
          <cell r="D1345" t="str">
            <v>SIMPLES</v>
          </cell>
          <cell r="E1345" t="str">
            <v>SPARE</v>
          </cell>
        </row>
        <row r="1346">
          <cell r="A1346" t="str">
            <v>332081/82</v>
          </cell>
          <cell r="B1346" t="str">
            <v>AUTOMOTIVO</v>
          </cell>
          <cell r="C1346" t="str">
            <v>Bandeja</v>
          </cell>
          <cell r="D1346" t="str">
            <v>SIMPLES</v>
          </cell>
          <cell r="E1346" t="str">
            <v>SPARE</v>
          </cell>
        </row>
        <row r="1347">
          <cell r="A1347" t="str">
            <v>332090-1</v>
          </cell>
          <cell r="B1347" t="str">
            <v>AUTOMOTIVO</v>
          </cell>
          <cell r="C1347" t="str">
            <v>Bandeja</v>
          </cell>
          <cell r="D1347" t="str">
            <v>SIMPLES</v>
          </cell>
          <cell r="E1347" t="str">
            <v>SPARE</v>
          </cell>
        </row>
        <row r="1348">
          <cell r="A1348" t="str">
            <v>332112/13</v>
          </cell>
          <cell r="B1348" t="str">
            <v>AUTOMOTIVO</v>
          </cell>
          <cell r="C1348" t="str">
            <v>Bandeja</v>
          </cell>
          <cell r="D1348" t="str">
            <v>SIMPLES</v>
          </cell>
          <cell r="E1348" t="str">
            <v>SPARE</v>
          </cell>
        </row>
        <row r="1349">
          <cell r="A1349" t="str">
            <v>332116/17</v>
          </cell>
          <cell r="B1349" t="str">
            <v>AUTOMOTIVO</v>
          </cell>
          <cell r="C1349" t="str">
            <v>Bandeja</v>
          </cell>
          <cell r="D1349" t="str">
            <v>SIMPLES</v>
          </cell>
          <cell r="E1349" t="str">
            <v>SPARE</v>
          </cell>
        </row>
        <row r="1350">
          <cell r="A1350" t="str">
            <v>332136/37</v>
          </cell>
          <cell r="B1350" t="str">
            <v>AUTOMOTIVO</v>
          </cell>
          <cell r="C1350" t="str">
            <v>Bandeja</v>
          </cell>
          <cell r="D1350" t="str">
            <v>SIMPLES</v>
          </cell>
          <cell r="E1350" t="str">
            <v>SPARE</v>
          </cell>
        </row>
        <row r="1351">
          <cell r="A1351" t="str">
            <v>332138/39</v>
          </cell>
          <cell r="B1351" t="str">
            <v>AUTOMOTIVO</v>
          </cell>
          <cell r="C1351" t="str">
            <v>Bandeja</v>
          </cell>
          <cell r="D1351" t="str">
            <v>SIMPLES</v>
          </cell>
          <cell r="E1351" t="str">
            <v>SPARE</v>
          </cell>
        </row>
        <row r="1352">
          <cell r="A1352" t="str">
            <v>332147/48</v>
          </cell>
          <cell r="B1352" t="str">
            <v>AUTOMOTIVO</v>
          </cell>
          <cell r="C1352" t="str">
            <v>Bandeja</v>
          </cell>
          <cell r="D1352" t="str">
            <v>SIMPLES</v>
          </cell>
          <cell r="E1352" t="str">
            <v>SPARE</v>
          </cell>
        </row>
        <row r="1353">
          <cell r="A1353" t="str">
            <v>442070/71</v>
          </cell>
          <cell r="B1353" t="str">
            <v>AUTOMOTIVO</v>
          </cell>
          <cell r="C1353" t="str">
            <v>Bandeja</v>
          </cell>
          <cell r="D1353" t="str">
            <v>SIMPLES</v>
          </cell>
          <cell r="E1353" t="str">
            <v>SPARE</v>
          </cell>
        </row>
        <row r="1354">
          <cell r="A1354" t="str">
            <v>442081/82</v>
          </cell>
          <cell r="B1354" t="str">
            <v>AUTOMOTIVO</v>
          </cell>
          <cell r="C1354" t="str">
            <v>Bandeja</v>
          </cell>
          <cell r="D1354" t="str">
            <v>SIMPLES</v>
          </cell>
          <cell r="E1354" t="str">
            <v>SPARE</v>
          </cell>
        </row>
        <row r="1355">
          <cell r="A1355" t="str">
            <v>442090/01</v>
          </cell>
          <cell r="B1355" t="str">
            <v>AUTOMOTIVO</v>
          </cell>
          <cell r="C1355" t="str">
            <v>Bandeja</v>
          </cell>
          <cell r="D1355" t="str">
            <v>SIMPLES</v>
          </cell>
          <cell r="E1355" t="str">
            <v>SPARE</v>
          </cell>
        </row>
        <row r="1356">
          <cell r="A1356" t="str">
            <v>442090-1</v>
          </cell>
          <cell r="B1356" t="str">
            <v>AUTOMOTIVO</v>
          </cell>
          <cell r="C1356" t="str">
            <v>BANDEJA</v>
          </cell>
          <cell r="D1356" t="str">
            <v>SIMPLES</v>
          </cell>
          <cell r="E1356" t="str">
            <v>SPARE</v>
          </cell>
        </row>
        <row r="1357">
          <cell r="A1357" t="str">
            <v>442092-3</v>
          </cell>
          <cell r="B1357" t="str">
            <v>AUTOMOTIVO</v>
          </cell>
          <cell r="C1357" t="str">
            <v>Bandeja</v>
          </cell>
          <cell r="D1357" t="str">
            <v>SIMPLES</v>
          </cell>
          <cell r="E1357" t="str">
            <v>SPARE</v>
          </cell>
        </row>
        <row r="1358">
          <cell r="A1358" t="str">
            <v>442096/97</v>
          </cell>
          <cell r="B1358" t="str">
            <v>AUTOMOTIVO</v>
          </cell>
          <cell r="C1358" t="str">
            <v>Bandeja</v>
          </cell>
          <cell r="D1358" t="str">
            <v>SIMPLES</v>
          </cell>
          <cell r="E1358" t="str">
            <v>SPARE</v>
          </cell>
        </row>
        <row r="1359">
          <cell r="A1359" t="str">
            <v>442104P</v>
          </cell>
          <cell r="B1359" t="str">
            <v>AUTOMOTIVO</v>
          </cell>
          <cell r="C1359" t="str">
            <v>BANDEJA</v>
          </cell>
          <cell r="D1359" t="str">
            <v>SIMPLES</v>
          </cell>
          <cell r="E1359" t="str">
            <v>SPARE</v>
          </cell>
        </row>
        <row r="1360">
          <cell r="A1360" t="str">
            <v>442105P</v>
          </cell>
          <cell r="B1360" t="str">
            <v>AUTOMOTIVO</v>
          </cell>
          <cell r="C1360" t="str">
            <v>Bandeja</v>
          </cell>
          <cell r="D1360" t="str">
            <v>SIMPLES</v>
          </cell>
          <cell r="E1360" t="str">
            <v>SPARE</v>
          </cell>
        </row>
        <row r="1361">
          <cell r="A1361" t="str">
            <v>442118/19</v>
          </cell>
          <cell r="B1361" t="str">
            <v>AUTOMOTIVO</v>
          </cell>
          <cell r="C1361" t="str">
            <v>Bandeja</v>
          </cell>
          <cell r="D1361" t="str">
            <v>SIMPLES</v>
          </cell>
          <cell r="E1361" t="str">
            <v>SPARE</v>
          </cell>
        </row>
        <row r="1362">
          <cell r="A1362" t="str">
            <v>442122P</v>
          </cell>
          <cell r="B1362" t="str">
            <v>AUTOMOTIVO</v>
          </cell>
          <cell r="C1362" t="str">
            <v>Bandeja</v>
          </cell>
          <cell r="D1362" t="str">
            <v>SIMPLES</v>
          </cell>
          <cell r="E1362" t="str">
            <v>SPARE</v>
          </cell>
        </row>
        <row r="1363">
          <cell r="A1363" t="str">
            <v>442123P</v>
          </cell>
          <cell r="B1363" t="str">
            <v>AUTOMOTIVO</v>
          </cell>
          <cell r="C1363" t="str">
            <v>Bandeja</v>
          </cell>
          <cell r="D1363" t="str">
            <v>SIMPLES</v>
          </cell>
          <cell r="E1363" t="str">
            <v>SPARE</v>
          </cell>
        </row>
        <row r="1364">
          <cell r="A1364" t="str">
            <v>552001/02</v>
          </cell>
          <cell r="B1364" t="str">
            <v>AUTOMOTIVO</v>
          </cell>
          <cell r="C1364" t="str">
            <v>Bandeja</v>
          </cell>
          <cell r="D1364" t="str">
            <v>SIMPLES</v>
          </cell>
          <cell r="E1364" t="str">
            <v>SPARE</v>
          </cell>
        </row>
        <row r="1365">
          <cell r="A1365" t="str">
            <v>552001-2</v>
          </cell>
          <cell r="B1365" t="str">
            <v>AUTOMOTIVO</v>
          </cell>
          <cell r="C1365" t="str">
            <v>BANDEJA</v>
          </cell>
          <cell r="D1365" t="str">
            <v>SIMPLES</v>
          </cell>
          <cell r="E1365" t="str">
            <v>SPARE</v>
          </cell>
        </row>
        <row r="1366">
          <cell r="A1366" t="str">
            <v>552006/07</v>
          </cell>
          <cell r="B1366" t="str">
            <v>AUTOMOTIVO</v>
          </cell>
          <cell r="C1366" t="str">
            <v>Bandeja</v>
          </cell>
          <cell r="D1366" t="str">
            <v>SIMPLES</v>
          </cell>
          <cell r="E1366" t="str">
            <v>SPARE</v>
          </cell>
        </row>
        <row r="1367">
          <cell r="A1367" t="str">
            <v>552012/13</v>
          </cell>
          <cell r="B1367" t="str">
            <v>AUTOMOTIVO</v>
          </cell>
          <cell r="C1367" t="str">
            <v>Bandeja</v>
          </cell>
          <cell r="D1367" t="str">
            <v>SIMPLES</v>
          </cell>
          <cell r="E1367" t="str">
            <v>SPARE</v>
          </cell>
        </row>
        <row r="1368">
          <cell r="A1368" t="str">
            <v>552014/15</v>
          </cell>
          <cell r="B1368" t="str">
            <v>AUTOMOTIVO</v>
          </cell>
          <cell r="C1368" t="str">
            <v>Bandeja</v>
          </cell>
          <cell r="D1368" t="str">
            <v>SIMPLES</v>
          </cell>
          <cell r="E1368" t="str">
            <v>SPARE</v>
          </cell>
        </row>
        <row r="1369">
          <cell r="A1369" t="str">
            <v>552017/18</v>
          </cell>
          <cell r="B1369" t="str">
            <v>AUTOMOTIVO</v>
          </cell>
          <cell r="C1369" t="str">
            <v>Bandeja</v>
          </cell>
          <cell r="D1369" t="str">
            <v>SIMPLES</v>
          </cell>
          <cell r="E1369" t="str">
            <v>SPARE</v>
          </cell>
        </row>
        <row r="1370">
          <cell r="A1370" t="str">
            <v>552030/1</v>
          </cell>
          <cell r="B1370" t="str">
            <v>AUTOMOTIVO</v>
          </cell>
          <cell r="C1370" t="str">
            <v>Bandeja</v>
          </cell>
          <cell r="D1370" t="str">
            <v>SIMPLES</v>
          </cell>
          <cell r="E1370" t="str">
            <v>SPARE</v>
          </cell>
        </row>
        <row r="1371">
          <cell r="A1371" t="str">
            <v>552032/33</v>
          </cell>
          <cell r="B1371" t="str">
            <v>AUTOMOTIVO</v>
          </cell>
          <cell r="C1371" t="str">
            <v>Bandeja</v>
          </cell>
          <cell r="D1371" t="str">
            <v>SIMPLES</v>
          </cell>
          <cell r="E1371" t="str">
            <v>SPARE</v>
          </cell>
        </row>
        <row r="1372">
          <cell r="A1372" t="str">
            <v>552032/PVI0903</v>
          </cell>
          <cell r="B1372" t="str">
            <v>AUTOMOTIVO</v>
          </cell>
          <cell r="C1372" t="str">
            <v>Bandeja</v>
          </cell>
          <cell r="D1372" t="str">
            <v>SIMPLES</v>
          </cell>
          <cell r="E1372" t="str">
            <v>SPARE</v>
          </cell>
        </row>
        <row r="1373">
          <cell r="A1373" t="str">
            <v>552033/PVI0903</v>
          </cell>
          <cell r="B1373" t="str">
            <v>AUTOMOTIVO</v>
          </cell>
          <cell r="C1373" t="str">
            <v>Bandeja</v>
          </cell>
          <cell r="D1373" t="str">
            <v>SIMPLES</v>
          </cell>
          <cell r="E1373" t="str">
            <v>SPARE</v>
          </cell>
        </row>
        <row r="1374">
          <cell r="A1374" t="str">
            <v>662024/25</v>
          </cell>
          <cell r="B1374" t="str">
            <v>AUTOMOTIVO</v>
          </cell>
          <cell r="C1374" t="str">
            <v>Bandeja</v>
          </cell>
          <cell r="D1374" t="str">
            <v>SIMPLES</v>
          </cell>
          <cell r="E1374" t="str">
            <v>SPARE</v>
          </cell>
        </row>
        <row r="1375">
          <cell r="A1375" t="str">
            <v>662030/31</v>
          </cell>
          <cell r="B1375" t="str">
            <v>AUTOMOTIVO</v>
          </cell>
          <cell r="C1375" t="str">
            <v>Bandeja</v>
          </cell>
          <cell r="D1375" t="str">
            <v>SIMPLES</v>
          </cell>
          <cell r="E1375" t="str">
            <v>SPARE</v>
          </cell>
        </row>
        <row r="1376">
          <cell r="A1376" t="str">
            <v>662040/41</v>
          </cell>
          <cell r="B1376" t="str">
            <v>AUTOMOTIVO</v>
          </cell>
          <cell r="C1376" t="str">
            <v>Bandeja</v>
          </cell>
          <cell r="D1376" t="str">
            <v>SIMPLES</v>
          </cell>
          <cell r="E1376" t="str">
            <v>SPARE</v>
          </cell>
        </row>
        <row r="1377">
          <cell r="A1377" t="str">
            <v>662046/47</v>
          </cell>
          <cell r="B1377" t="str">
            <v>AUTOMOTIVO</v>
          </cell>
          <cell r="C1377" t="str">
            <v>Bandeja</v>
          </cell>
          <cell r="D1377" t="str">
            <v>SIMPLES</v>
          </cell>
          <cell r="E1377" t="str">
            <v>SPARE</v>
          </cell>
        </row>
        <row r="1378">
          <cell r="A1378" t="str">
            <v>662048/49</v>
          </cell>
          <cell r="B1378" t="str">
            <v>AUTOMOTIVO</v>
          </cell>
          <cell r="C1378" t="str">
            <v>Bandeja</v>
          </cell>
          <cell r="D1378" t="str">
            <v>SIMPLES</v>
          </cell>
          <cell r="E1378" t="str">
            <v>SPARE</v>
          </cell>
        </row>
        <row r="1379">
          <cell r="A1379" t="str">
            <v>662050/51</v>
          </cell>
          <cell r="B1379" t="str">
            <v>AUTOMOTIVO</v>
          </cell>
          <cell r="C1379" t="str">
            <v>Bandeja</v>
          </cell>
          <cell r="D1379" t="str">
            <v>SIMPLES</v>
          </cell>
          <cell r="E1379" t="str">
            <v>SPARE</v>
          </cell>
        </row>
        <row r="1380">
          <cell r="A1380" t="str">
            <v>662060/61</v>
          </cell>
          <cell r="B1380" t="str">
            <v>AUTOMOTIVO</v>
          </cell>
          <cell r="C1380" t="str">
            <v>Bandeja</v>
          </cell>
          <cell r="D1380" t="str">
            <v>SIMPLES</v>
          </cell>
          <cell r="E1380" t="str">
            <v>SPARE</v>
          </cell>
        </row>
        <row r="1381">
          <cell r="A1381" t="str">
            <v>662070/71</v>
          </cell>
          <cell r="B1381" t="str">
            <v>AUTOMOTIVO</v>
          </cell>
          <cell r="C1381" t="str">
            <v>Bandeja</v>
          </cell>
          <cell r="D1381" t="str">
            <v>SIMPLES</v>
          </cell>
          <cell r="E1381" t="str">
            <v>SPARE</v>
          </cell>
        </row>
        <row r="1382">
          <cell r="A1382" t="str">
            <v>772001/02</v>
          </cell>
          <cell r="B1382" t="str">
            <v>AUTOMOTIVO</v>
          </cell>
          <cell r="C1382" t="str">
            <v>Bandeja</v>
          </cell>
          <cell r="D1382" t="str">
            <v>SIMPLES</v>
          </cell>
          <cell r="E1382" t="str">
            <v>SPARE</v>
          </cell>
        </row>
        <row r="1383">
          <cell r="A1383" t="str">
            <v>772005/06</v>
          </cell>
          <cell r="B1383" t="str">
            <v>AUTOMOTIVO</v>
          </cell>
          <cell r="C1383" t="str">
            <v>Bandeja</v>
          </cell>
          <cell r="D1383" t="str">
            <v>SIMPLES</v>
          </cell>
          <cell r="E1383" t="str">
            <v>SPARE</v>
          </cell>
        </row>
        <row r="1384">
          <cell r="A1384" t="str">
            <v>772007/08</v>
          </cell>
          <cell r="B1384" t="str">
            <v>AUTOMOTIVO</v>
          </cell>
          <cell r="C1384" t="str">
            <v>Bandeja</v>
          </cell>
          <cell r="D1384" t="str">
            <v>SIMPLES</v>
          </cell>
          <cell r="E1384" t="str">
            <v>SPARE</v>
          </cell>
        </row>
        <row r="1385">
          <cell r="A1385" t="str">
            <v>772029/30</v>
          </cell>
          <cell r="B1385" t="str">
            <v>AUTOMOTIVO</v>
          </cell>
          <cell r="C1385" t="str">
            <v>Bandeja</v>
          </cell>
          <cell r="D1385" t="str">
            <v>SIMPLES</v>
          </cell>
          <cell r="E1385" t="str">
            <v>SPARE</v>
          </cell>
        </row>
        <row r="1386">
          <cell r="A1386" t="str">
            <v>772033/34</v>
          </cell>
          <cell r="B1386" t="str">
            <v>AUTOMOTIVO</v>
          </cell>
          <cell r="C1386" t="str">
            <v>Bandeja</v>
          </cell>
          <cell r="D1386" t="str">
            <v>SIMPLES</v>
          </cell>
          <cell r="E1386" t="str">
            <v>SPARE</v>
          </cell>
        </row>
        <row r="1387">
          <cell r="A1387" t="str">
            <v>772040/41</v>
          </cell>
          <cell r="B1387" t="str">
            <v>AUTOMOTIVO</v>
          </cell>
          <cell r="C1387" t="str">
            <v>Bandeja</v>
          </cell>
          <cell r="D1387" t="str">
            <v>SIMPLES</v>
          </cell>
          <cell r="E1387" t="str">
            <v>SPARE</v>
          </cell>
        </row>
        <row r="1388">
          <cell r="A1388" t="str">
            <v>772054p</v>
          </cell>
          <cell r="B1388" t="str">
            <v>AUTOMOTIVO</v>
          </cell>
          <cell r="C1388" t="str">
            <v>BANDEJA</v>
          </cell>
          <cell r="D1388" t="str">
            <v>SIMPLES</v>
          </cell>
          <cell r="E1388" t="str">
            <v>SPARE</v>
          </cell>
        </row>
        <row r="1389">
          <cell r="A1389" t="str">
            <v>772055P</v>
          </cell>
          <cell r="B1389" t="str">
            <v>AUTOMOTIVO</v>
          </cell>
          <cell r="C1389" t="str">
            <v>BANDEJA</v>
          </cell>
          <cell r="D1389" t="str">
            <v>SIMPLES</v>
          </cell>
          <cell r="E1389" t="str">
            <v>SPARE</v>
          </cell>
        </row>
        <row r="1390">
          <cell r="A1390" t="str">
            <v>772056/57</v>
          </cell>
          <cell r="B1390" t="str">
            <v>AUTOMOTIVO</v>
          </cell>
          <cell r="C1390" t="str">
            <v>Bandeja</v>
          </cell>
          <cell r="D1390" t="str">
            <v>SIMPLES</v>
          </cell>
          <cell r="E1390" t="str">
            <v>SPARE</v>
          </cell>
        </row>
        <row r="1391">
          <cell r="A1391" t="str">
            <v>772058/59</v>
          </cell>
          <cell r="B1391" t="str">
            <v>AUTOMOTIVO</v>
          </cell>
          <cell r="C1391" t="str">
            <v>Bandeja</v>
          </cell>
          <cell r="D1391" t="str">
            <v>SIMPLES</v>
          </cell>
          <cell r="E1391" t="str">
            <v>SPARE</v>
          </cell>
        </row>
        <row r="1392">
          <cell r="A1392" t="str">
            <v>772090/91</v>
          </cell>
          <cell r="B1392" t="str">
            <v>AUTOMOTIVO</v>
          </cell>
          <cell r="C1392" t="str">
            <v>Bandeja</v>
          </cell>
          <cell r="D1392" t="str">
            <v>SIMPLES</v>
          </cell>
          <cell r="E1392" t="str">
            <v>SPARE</v>
          </cell>
        </row>
        <row r="1393">
          <cell r="A1393" t="str">
            <v>772110/11</v>
          </cell>
          <cell r="B1393" t="str">
            <v>AUTOMOTIVO</v>
          </cell>
          <cell r="C1393" t="str">
            <v>Bandeja</v>
          </cell>
          <cell r="D1393" t="str">
            <v>SIMPLES</v>
          </cell>
          <cell r="E1393" t="str">
            <v>SPARE</v>
          </cell>
        </row>
        <row r="1394">
          <cell r="A1394" t="str">
            <v>772112/13</v>
          </cell>
          <cell r="B1394" t="str">
            <v>AUTOMOTIVO</v>
          </cell>
          <cell r="C1394" t="str">
            <v>Bandeja</v>
          </cell>
          <cell r="D1394" t="str">
            <v>SIMPLES</v>
          </cell>
          <cell r="E1394" t="str">
            <v>SPARE</v>
          </cell>
        </row>
        <row r="1395">
          <cell r="A1395" t="str">
            <v>772134/35</v>
          </cell>
          <cell r="B1395" t="str">
            <v>AUTOMOTIVO</v>
          </cell>
          <cell r="C1395" t="str">
            <v>Bandeja</v>
          </cell>
          <cell r="D1395" t="str">
            <v>SIMPLES</v>
          </cell>
          <cell r="E1395" t="str">
            <v>SPARE</v>
          </cell>
        </row>
        <row r="1396">
          <cell r="A1396" t="str">
            <v>772138/39</v>
          </cell>
          <cell r="B1396" t="str">
            <v>AUTOMOTIVO</v>
          </cell>
          <cell r="C1396" t="str">
            <v>Bandeja</v>
          </cell>
          <cell r="D1396" t="str">
            <v>SIMPLES</v>
          </cell>
          <cell r="E1396" t="str">
            <v>SPARE</v>
          </cell>
        </row>
        <row r="1397">
          <cell r="A1397" t="str">
            <v>772144/45</v>
          </cell>
          <cell r="B1397" t="str">
            <v>AUTOMOTIVO</v>
          </cell>
          <cell r="C1397" t="str">
            <v>Bandeja</v>
          </cell>
          <cell r="D1397" t="str">
            <v>SIMPLES</v>
          </cell>
          <cell r="E1397" t="str">
            <v>SPARE</v>
          </cell>
        </row>
        <row r="1398">
          <cell r="A1398" t="str">
            <v>772144P</v>
          </cell>
          <cell r="B1398" t="str">
            <v>AUTOMOTIVO</v>
          </cell>
          <cell r="C1398" t="str">
            <v>Bandeja</v>
          </cell>
          <cell r="D1398" t="str">
            <v>SIMPLES</v>
          </cell>
          <cell r="E1398" t="str">
            <v>SPARE</v>
          </cell>
        </row>
        <row r="1399">
          <cell r="A1399" t="str">
            <v>772145P</v>
          </cell>
          <cell r="B1399" t="str">
            <v>AUTOMOTIVO</v>
          </cell>
          <cell r="C1399" t="str">
            <v>Bandeja</v>
          </cell>
          <cell r="D1399" t="str">
            <v>SIMPLES</v>
          </cell>
          <cell r="E1399" t="str">
            <v>SPARE</v>
          </cell>
        </row>
        <row r="1400">
          <cell r="A1400" t="str">
            <v>772146/47</v>
          </cell>
          <cell r="B1400" t="str">
            <v>AUTOMOTIVO</v>
          </cell>
          <cell r="C1400" t="str">
            <v>Bandeja</v>
          </cell>
          <cell r="D1400" t="str">
            <v>SIMPLES</v>
          </cell>
          <cell r="E1400" t="str">
            <v>SPARE</v>
          </cell>
        </row>
        <row r="1401">
          <cell r="A1401" t="str">
            <v>772148/49</v>
          </cell>
          <cell r="B1401" t="str">
            <v>AUTOMOTIVO</v>
          </cell>
          <cell r="C1401" t="str">
            <v>Bandeja</v>
          </cell>
          <cell r="D1401" t="str">
            <v>SIMPLES</v>
          </cell>
          <cell r="E1401" t="str">
            <v>SPARE</v>
          </cell>
        </row>
        <row r="1402">
          <cell r="A1402" t="str">
            <v>772150/51</v>
          </cell>
          <cell r="B1402" t="str">
            <v>AUTOMOTIVO</v>
          </cell>
          <cell r="C1402" t="str">
            <v>Bandeja</v>
          </cell>
          <cell r="D1402" t="str">
            <v>SIMPLES</v>
          </cell>
          <cell r="E1402" t="str">
            <v>SPARE</v>
          </cell>
        </row>
        <row r="1403">
          <cell r="A1403" t="str">
            <v>772152/53</v>
          </cell>
          <cell r="B1403" t="str">
            <v>AUTOMOTIVO</v>
          </cell>
          <cell r="C1403" t="str">
            <v>Bandeja</v>
          </cell>
          <cell r="D1403" t="str">
            <v>SIMPLES</v>
          </cell>
          <cell r="E1403" t="str">
            <v>SPARE</v>
          </cell>
        </row>
        <row r="1404">
          <cell r="A1404" t="str">
            <v>772170/71</v>
          </cell>
          <cell r="B1404" t="str">
            <v>AUTOMOTIVO</v>
          </cell>
          <cell r="C1404" t="str">
            <v>BANDEJA</v>
          </cell>
          <cell r="D1404" t="str">
            <v>SIMPLES</v>
          </cell>
          <cell r="E1404" t="str">
            <v>SPARE</v>
          </cell>
        </row>
        <row r="1405">
          <cell r="A1405" t="str">
            <v>772204/05</v>
          </cell>
          <cell r="B1405" t="str">
            <v>AUTOMOTIVO</v>
          </cell>
          <cell r="C1405" t="str">
            <v>Bandeja</v>
          </cell>
          <cell r="D1405" t="str">
            <v>SIMPLES</v>
          </cell>
          <cell r="E1405" t="str">
            <v>SPARE</v>
          </cell>
        </row>
        <row r="1406">
          <cell r="A1406" t="str">
            <v>772221/22</v>
          </cell>
          <cell r="B1406" t="str">
            <v>AUTOMOTIVO</v>
          </cell>
          <cell r="C1406" t="str">
            <v>Bandeja</v>
          </cell>
          <cell r="D1406" t="str">
            <v>SIMPLES</v>
          </cell>
          <cell r="E1406" t="str">
            <v>SPARE</v>
          </cell>
        </row>
        <row r="1407">
          <cell r="A1407" t="str">
            <v>772233/34</v>
          </cell>
          <cell r="B1407" t="str">
            <v>AUTOMOTIVO</v>
          </cell>
          <cell r="C1407" t="str">
            <v>BANDEJA</v>
          </cell>
          <cell r="D1407" t="str">
            <v>SIMPLES</v>
          </cell>
          <cell r="E1407" t="str">
            <v>SPARE</v>
          </cell>
        </row>
        <row r="1408">
          <cell r="A1408" t="str">
            <v>772246/47</v>
          </cell>
          <cell r="B1408" t="str">
            <v>AUTOMOTIVO</v>
          </cell>
          <cell r="C1408" t="str">
            <v>Bandeja</v>
          </cell>
          <cell r="D1408" t="str">
            <v>SIMPLES</v>
          </cell>
          <cell r="E1408" t="str">
            <v>SPARE</v>
          </cell>
        </row>
        <row r="1409">
          <cell r="A1409" t="str">
            <v>772254/55</v>
          </cell>
          <cell r="B1409" t="str">
            <v>AUTOMOTIVO</v>
          </cell>
          <cell r="C1409" t="str">
            <v>Bandeja</v>
          </cell>
          <cell r="D1409" t="str">
            <v>SIMPLES</v>
          </cell>
          <cell r="E1409" t="str">
            <v>SPARE</v>
          </cell>
        </row>
        <row r="1410">
          <cell r="A1410" t="str">
            <v>772256/57</v>
          </cell>
          <cell r="B1410" t="str">
            <v>AUTOMOTIVO</v>
          </cell>
          <cell r="C1410" t="str">
            <v>Bandeja</v>
          </cell>
          <cell r="D1410" t="str">
            <v>SIMPLES</v>
          </cell>
          <cell r="E1410" t="str">
            <v>SPARE</v>
          </cell>
        </row>
        <row r="1411">
          <cell r="A1411" t="str">
            <v>993014/15</v>
          </cell>
          <cell r="B1411" t="str">
            <v>AUTOMOTIVO</v>
          </cell>
          <cell r="C1411" t="str">
            <v>Bandeja</v>
          </cell>
          <cell r="D1411" t="str">
            <v>SIMPLES</v>
          </cell>
          <cell r="E1411" t="str">
            <v>SPARE</v>
          </cell>
        </row>
        <row r="1412">
          <cell r="A1412" t="str">
            <v>993016/17</v>
          </cell>
          <cell r="B1412" t="str">
            <v>AUTOMOTIVO</v>
          </cell>
          <cell r="C1412" t="str">
            <v>Bandeja</v>
          </cell>
          <cell r="D1412" t="str">
            <v>SIMPLES</v>
          </cell>
          <cell r="E1412" t="str">
            <v>SPARE</v>
          </cell>
        </row>
        <row r="1413">
          <cell r="A1413" t="str">
            <v>FTK00122</v>
          </cell>
          <cell r="B1413" t="str">
            <v>AUTOMOTIVO</v>
          </cell>
          <cell r="C1413" t="str">
            <v>Pivô</v>
          </cell>
          <cell r="D1413" t="str">
            <v>SIMPLES</v>
          </cell>
          <cell r="E1413" t="str">
            <v>SPARE</v>
          </cell>
        </row>
        <row r="1414">
          <cell r="A1414" t="str">
            <v>FTK00131</v>
          </cell>
          <cell r="B1414" t="str">
            <v>AUTOMOTIVO</v>
          </cell>
          <cell r="C1414" t="str">
            <v>Pivô</v>
          </cell>
          <cell r="D1414" t="str">
            <v>SIMPLES</v>
          </cell>
          <cell r="E1414" t="str">
            <v>SPARE</v>
          </cell>
        </row>
        <row r="1415">
          <cell r="A1415" t="str">
            <v>FTK00132</v>
          </cell>
          <cell r="B1415" t="str">
            <v>AUTOMOTIVO</v>
          </cell>
          <cell r="C1415" t="str">
            <v>Pivô</v>
          </cell>
          <cell r="D1415" t="str">
            <v>SIMPLES</v>
          </cell>
          <cell r="E1415" t="str">
            <v>SPARE</v>
          </cell>
        </row>
        <row r="1416">
          <cell r="A1416" t="str">
            <v>ftk00205</v>
          </cell>
          <cell r="B1416" t="str">
            <v>AUTOMOTIVO</v>
          </cell>
          <cell r="C1416" t="str">
            <v>Pivô</v>
          </cell>
          <cell r="D1416" t="str">
            <v>SIMPLES</v>
          </cell>
          <cell r="E1416" t="str">
            <v>SPARE</v>
          </cell>
        </row>
        <row r="1417">
          <cell r="A1417" t="str">
            <v>FTK00206</v>
          </cell>
          <cell r="B1417" t="str">
            <v>AUTOMOTIVO</v>
          </cell>
          <cell r="C1417" t="str">
            <v>Pivô</v>
          </cell>
          <cell r="D1417" t="str">
            <v>SIMPLES</v>
          </cell>
          <cell r="E1417" t="str">
            <v>SPARE</v>
          </cell>
        </row>
        <row r="1418">
          <cell r="A1418" t="str">
            <v>FTK00208</v>
          </cell>
          <cell r="B1418" t="str">
            <v>AUTOMOTIVO</v>
          </cell>
          <cell r="C1418" t="str">
            <v>Pivô</v>
          </cell>
          <cell r="D1418" t="str">
            <v>SIMPLES</v>
          </cell>
          <cell r="E1418" t="str">
            <v>SPARE</v>
          </cell>
        </row>
        <row r="1419">
          <cell r="A1419" t="str">
            <v>FTK00212</v>
          </cell>
          <cell r="B1419" t="str">
            <v>AUTOMOTIVO</v>
          </cell>
          <cell r="C1419" t="str">
            <v>Pivô</v>
          </cell>
          <cell r="D1419" t="str">
            <v>SIMPLES</v>
          </cell>
          <cell r="E1419" t="str">
            <v>SPARE</v>
          </cell>
        </row>
        <row r="1420">
          <cell r="A1420" t="str">
            <v>FTK00213</v>
          </cell>
          <cell r="B1420" t="str">
            <v>AUTOMOTIVO</v>
          </cell>
          <cell r="C1420" t="str">
            <v>Pivô</v>
          </cell>
          <cell r="D1420" t="str">
            <v>SIMPLES</v>
          </cell>
          <cell r="E1420" t="str">
            <v>SPARE</v>
          </cell>
        </row>
        <row r="1421">
          <cell r="A1421" t="str">
            <v>FTK00223</v>
          </cell>
          <cell r="B1421" t="str">
            <v>AUTOMOTIVO</v>
          </cell>
          <cell r="C1421" t="str">
            <v>Pivô</v>
          </cell>
          <cell r="D1421" t="str">
            <v>SIMPLES</v>
          </cell>
          <cell r="E1421" t="str">
            <v>SPARE</v>
          </cell>
        </row>
        <row r="1422">
          <cell r="A1422" t="str">
            <v>FTK00226</v>
          </cell>
          <cell r="B1422" t="str">
            <v>AUTOMOTIVO</v>
          </cell>
          <cell r="C1422" t="str">
            <v>Pivô</v>
          </cell>
          <cell r="D1422" t="str">
            <v>SIMPLES</v>
          </cell>
          <cell r="E1422" t="str">
            <v>SPARE</v>
          </cell>
        </row>
        <row r="1423">
          <cell r="A1423" t="str">
            <v>FTK00227</v>
          </cell>
          <cell r="B1423" t="str">
            <v>AUTOMOTIVO</v>
          </cell>
          <cell r="C1423" t="str">
            <v>Pivô</v>
          </cell>
          <cell r="D1423" t="str">
            <v>SIMPLES</v>
          </cell>
          <cell r="E1423" t="str">
            <v>SPARE</v>
          </cell>
        </row>
        <row r="1424">
          <cell r="A1424" t="str">
            <v>FTK00311</v>
          </cell>
          <cell r="B1424" t="str">
            <v>AUTOMOTIVO</v>
          </cell>
          <cell r="C1424" t="str">
            <v>Pivô</v>
          </cell>
          <cell r="D1424" t="str">
            <v>SIMPLES</v>
          </cell>
          <cell r="E1424" t="str">
            <v>SPARE</v>
          </cell>
        </row>
        <row r="1425">
          <cell r="A1425" t="str">
            <v>FTK00311-5233</v>
          </cell>
          <cell r="B1425" t="str">
            <v>AUTOMOTIVO</v>
          </cell>
          <cell r="C1425" t="str">
            <v>Pivô</v>
          </cell>
          <cell r="D1425" t="str">
            <v>SIMPLES</v>
          </cell>
          <cell r="E1425" t="str">
            <v>SPARE</v>
          </cell>
        </row>
        <row r="1426">
          <cell r="A1426" t="str">
            <v>FTK00605</v>
          </cell>
          <cell r="B1426" t="str">
            <v>AUTOMOTIVO</v>
          </cell>
          <cell r="C1426" t="str">
            <v>Pivô</v>
          </cell>
          <cell r="D1426" t="str">
            <v>SIMPLES</v>
          </cell>
          <cell r="E1426" t="str">
            <v>SPARE</v>
          </cell>
        </row>
        <row r="1427">
          <cell r="A1427" t="str">
            <v>FTK-00605</v>
          </cell>
          <cell r="B1427" t="str">
            <v>AUTOMOTIVO</v>
          </cell>
          <cell r="C1427" t="str">
            <v>Pivô</v>
          </cell>
          <cell r="D1427" t="str">
            <v>SIMPLES</v>
          </cell>
          <cell r="E1427" t="str">
            <v>SPARE</v>
          </cell>
        </row>
        <row r="1428">
          <cell r="A1428" t="str">
            <v>FTK00606</v>
          </cell>
          <cell r="B1428" t="str">
            <v>AUTOMOTIVO</v>
          </cell>
          <cell r="C1428" t="str">
            <v>Pivô</v>
          </cell>
          <cell r="D1428" t="str">
            <v>SIMPLES</v>
          </cell>
          <cell r="E1428" t="str">
            <v>SPARE</v>
          </cell>
        </row>
        <row r="1429">
          <cell r="A1429" t="str">
            <v>FTK00903</v>
          </cell>
          <cell r="B1429" t="str">
            <v>AUTOMOTIVO</v>
          </cell>
          <cell r="C1429" t="str">
            <v>Pivô</v>
          </cell>
          <cell r="D1429" t="str">
            <v>SIMPLES</v>
          </cell>
          <cell r="E1429" t="str">
            <v>SPARE</v>
          </cell>
        </row>
        <row r="1430">
          <cell r="A1430" t="str">
            <v>FTK11003</v>
          </cell>
          <cell r="B1430" t="str">
            <v>AUTOMOTIVO</v>
          </cell>
          <cell r="C1430" t="str">
            <v>Pivô</v>
          </cell>
          <cell r="D1430" t="str">
            <v>SIMPLES</v>
          </cell>
          <cell r="E1430" t="str">
            <v>SPARE</v>
          </cell>
        </row>
        <row r="1431">
          <cell r="A1431" t="str">
            <v>FTK11004</v>
          </cell>
          <cell r="B1431" t="str">
            <v>AUTOMOTIVO</v>
          </cell>
          <cell r="C1431" t="str">
            <v>Pivô</v>
          </cell>
          <cell r="D1431" t="str">
            <v>SIMPLES</v>
          </cell>
          <cell r="E1431" t="str">
            <v>SPARE</v>
          </cell>
        </row>
        <row r="1432">
          <cell r="A1432" t="str">
            <v>FTK11005</v>
          </cell>
          <cell r="B1432" t="str">
            <v>AUTOMOTIVO</v>
          </cell>
          <cell r="C1432" t="str">
            <v>Pivô</v>
          </cell>
          <cell r="D1432" t="str">
            <v>SIMPLES</v>
          </cell>
          <cell r="E1432" t="str">
            <v>SPARE</v>
          </cell>
        </row>
        <row r="1433">
          <cell r="A1433" t="str">
            <v>FTK11019</v>
          </cell>
          <cell r="B1433" t="str">
            <v>AUTOMOTIVO</v>
          </cell>
          <cell r="C1433" t="str">
            <v>Pivô</v>
          </cell>
          <cell r="D1433" t="str">
            <v>SIMPLES</v>
          </cell>
          <cell r="E1433" t="str">
            <v>SPARE</v>
          </cell>
        </row>
        <row r="1434">
          <cell r="A1434" t="str">
            <v>FTK-11020S</v>
          </cell>
          <cell r="B1434" t="str">
            <v>AUTOMOTIVO</v>
          </cell>
          <cell r="C1434" t="str">
            <v>Pivô</v>
          </cell>
          <cell r="D1434" t="str">
            <v>SIMPLES</v>
          </cell>
          <cell r="E1434" t="str">
            <v>SPARE</v>
          </cell>
        </row>
        <row r="1435">
          <cell r="A1435" t="str">
            <v>FTK11021</v>
          </cell>
          <cell r="B1435" t="str">
            <v>AUTOMOTIVO</v>
          </cell>
          <cell r="C1435" t="str">
            <v>Pivo</v>
          </cell>
          <cell r="D1435" t="str">
            <v>SIMPLES</v>
          </cell>
          <cell r="E1435" t="str">
            <v>SPARE</v>
          </cell>
        </row>
        <row r="1436">
          <cell r="A1436" t="str">
            <v>FTK11022</v>
          </cell>
          <cell r="B1436" t="str">
            <v>AUTOMOTIVO</v>
          </cell>
          <cell r="C1436" t="str">
            <v>Pivô</v>
          </cell>
          <cell r="D1436" t="str">
            <v>SIMPLES</v>
          </cell>
          <cell r="E1436" t="str">
            <v>SPARE</v>
          </cell>
        </row>
        <row r="1437">
          <cell r="A1437" t="str">
            <v>FTK11023</v>
          </cell>
          <cell r="B1437" t="str">
            <v>AUTOMOTIVO</v>
          </cell>
          <cell r="C1437" t="str">
            <v>Pivô</v>
          </cell>
          <cell r="D1437" t="str">
            <v>SIMPLES</v>
          </cell>
          <cell r="E1437" t="str">
            <v>SPARE</v>
          </cell>
        </row>
        <row r="1438">
          <cell r="A1438" t="str">
            <v>FTK11024</v>
          </cell>
          <cell r="B1438" t="str">
            <v>AUTOMOTIVO</v>
          </cell>
          <cell r="C1438" t="str">
            <v>Pivô</v>
          </cell>
          <cell r="D1438" t="str">
            <v>SIMPLES</v>
          </cell>
          <cell r="E1438" t="str">
            <v>SPARE</v>
          </cell>
        </row>
        <row r="1439">
          <cell r="A1439" t="str">
            <v>FTK11030</v>
          </cell>
          <cell r="B1439" t="str">
            <v>AUTOMOTIVO</v>
          </cell>
          <cell r="C1439" t="str">
            <v>Pivô</v>
          </cell>
          <cell r="D1439" t="str">
            <v>SIMPLES</v>
          </cell>
          <cell r="E1439" t="str">
            <v>SPARE</v>
          </cell>
        </row>
        <row r="1440">
          <cell r="A1440" t="str">
            <v>FTK11032</v>
          </cell>
          <cell r="B1440" t="str">
            <v>AUTOMOTIVO</v>
          </cell>
          <cell r="C1440" t="str">
            <v>Pivô</v>
          </cell>
          <cell r="D1440" t="str">
            <v>SIMPLES</v>
          </cell>
          <cell r="E1440" t="str">
            <v>SPARE</v>
          </cell>
        </row>
        <row r="1441">
          <cell r="A1441" t="str">
            <v>FTK11038</v>
          </cell>
          <cell r="B1441" t="str">
            <v>AUTOMOTIVO</v>
          </cell>
          <cell r="C1441" t="str">
            <v>Pivô</v>
          </cell>
          <cell r="D1441" t="str">
            <v>SIMPLES</v>
          </cell>
          <cell r="E1441" t="str">
            <v>SPARE</v>
          </cell>
        </row>
        <row r="1442">
          <cell r="A1442" t="str">
            <v>FTK11042</v>
          </cell>
          <cell r="B1442" t="str">
            <v>AUTOMOTIVO</v>
          </cell>
          <cell r="C1442" t="str">
            <v>Pivô</v>
          </cell>
          <cell r="D1442" t="str">
            <v>SIMPLES</v>
          </cell>
          <cell r="E1442" t="str">
            <v>SPARE</v>
          </cell>
        </row>
        <row r="1443">
          <cell r="A1443" t="str">
            <v>FTK11043</v>
          </cell>
          <cell r="B1443" t="str">
            <v>AUTOMOTIVO</v>
          </cell>
          <cell r="C1443" t="str">
            <v>Pivô</v>
          </cell>
          <cell r="D1443" t="str">
            <v>SIMPLES</v>
          </cell>
          <cell r="E1443" t="str">
            <v>SPARE</v>
          </cell>
        </row>
        <row r="1444">
          <cell r="A1444" t="str">
            <v>FTK11045</v>
          </cell>
          <cell r="B1444" t="str">
            <v>AUTOMOTIVO</v>
          </cell>
          <cell r="C1444" t="str">
            <v>Pivô</v>
          </cell>
          <cell r="D1444" t="str">
            <v>SIMPLES</v>
          </cell>
          <cell r="E1444" t="str">
            <v>SPARE</v>
          </cell>
        </row>
        <row r="1445">
          <cell r="A1445" t="str">
            <v>FTK11047</v>
          </cell>
          <cell r="B1445" t="str">
            <v>AUTOMOTIVO</v>
          </cell>
          <cell r="C1445" t="str">
            <v>Pivô</v>
          </cell>
          <cell r="D1445" t="str">
            <v>SIMPLES</v>
          </cell>
          <cell r="E1445" t="str">
            <v>SPARE</v>
          </cell>
        </row>
        <row r="1446">
          <cell r="A1446" t="str">
            <v>FTK11048</v>
          </cell>
          <cell r="B1446" t="str">
            <v>AUTOMOTIVO</v>
          </cell>
          <cell r="C1446" t="str">
            <v>Pivô</v>
          </cell>
          <cell r="D1446" t="str">
            <v>SIMPLES</v>
          </cell>
          <cell r="E1446" t="str">
            <v>SPARE</v>
          </cell>
        </row>
        <row r="1447">
          <cell r="A1447" t="str">
            <v>FTK11049</v>
          </cell>
          <cell r="B1447" t="str">
            <v>AUTOMOTIVO</v>
          </cell>
          <cell r="C1447" t="str">
            <v>Pivô</v>
          </cell>
          <cell r="D1447" t="str">
            <v>SIMPLES</v>
          </cell>
          <cell r="E1447" t="str">
            <v>SPARE</v>
          </cell>
        </row>
        <row r="1448">
          <cell r="A1448" t="str">
            <v>FTK-11049</v>
          </cell>
          <cell r="B1448" t="str">
            <v>AUTOMOTIVO</v>
          </cell>
          <cell r="C1448" t="str">
            <v>Pivô</v>
          </cell>
          <cell r="D1448" t="str">
            <v>SIMPLES</v>
          </cell>
          <cell r="E1448" t="str">
            <v>SPARE</v>
          </cell>
        </row>
        <row r="1449">
          <cell r="A1449" t="str">
            <v>FTK11050</v>
          </cell>
          <cell r="B1449" t="str">
            <v>AUTOMOTIVO</v>
          </cell>
          <cell r="C1449" t="str">
            <v>Pivô</v>
          </cell>
          <cell r="D1449" t="str">
            <v>SIMPLES</v>
          </cell>
          <cell r="E1449" t="str">
            <v>SPARE</v>
          </cell>
        </row>
        <row r="1450">
          <cell r="A1450" t="str">
            <v>FTK-11050</v>
          </cell>
          <cell r="B1450" t="str">
            <v>AUTOMOTIVO</v>
          </cell>
          <cell r="C1450" t="str">
            <v>Pivô</v>
          </cell>
          <cell r="D1450" t="str">
            <v>SIMPLES</v>
          </cell>
          <cell r="E1450" t="str">
            <v>SPARE</v>
          </cell>
        </row>
        <row r="1451">
          <cell r="A1451" t="str">
            <v>FTK11051</v>
          </cell>
          <cell r="B1451" t="str">
            <v>AUTOMOTIVO</v>
          </cell>
          <cell r="C1451" t="str">
            <v>Pivô</v>
          </cell>
          <cell r="D1451" t="str">
            <v>SIMPLES</v>
          </cell>
          <cell r="E1451" t="str">
            <v>SPARE</v>
          </cell>
        </row>
        <row r="1452">
          <cell r="A1452" t="str">
            <v>FTK11052</v>
          </cell>
          <cell r="B1452" t="str">
            <v>AUTOMOTIVO</v>
          </cell>
          <cell r="C1452" t="str">
            <v>Pivô</v>
          </cell>
          <cell r="D1452" t="str">
            <v>SIMPLES</v>
          </cell>
          <cell r="E1452" t="str">
            <v>SPARE</v>
          </cell>
        </row>
        <row r="1453">
          <cell r="A1453" t="str">
            <v>FTK11053</v>
          </cell>
          <cell r="B1453" t="str">
            <v>AUTOMOTIVO</v>
          </cell>
          <cell r="C1453" t="str">
            <v>Pivô</v>
          </cell>
          <cell r="D1453" t="str">
            <v>SIMPLES</v>
          </cell>
          <cell r="E1453" t="str">
            <v>SPARE</v>
          </cell>
        </row>
        <row r="1454">
          <cell r="A1454" t="str">
            <v>FTK11055</v>
          </cell>
          <cell r="B1454" t="str">
            <v>AUTOMOTIVO</v>
          </cell>
          <cell r="C1454" t="str">
            <v>Pivô</v>
          </cell>
          <cell r="D1454" t="str">
            <v>SIMPLES</v>
          </cell>
          <cell r="E1454" t="str">
            <v>SPARE</v>
          </cell>
        </row>
        <row r="1455">
          <cell r="A1455" t="str">
            <v>FTK11056</v>
          </cell>
          <cell r="B1455" t="str">
            <v>AUTOMOTIVO</v>
          </cell>
          <cell r="C1455" t="str">
            <v>Pivô</v>
          </cell>
          <cell r="D1455" t="str">
            <v>SIMPLES</v>
          </cell>
          <cell r="E1455" t="str">
            <v>SPARE</v>
          </cell>
        </row>
        <row r="1456">
          <cell r="A1456" t="str">
            <v>FTK11057</v>
          </cell>
          <cell r="B1456" t="str">
            <v>AUTOMOTIVO</v>
          </cell>
          <cell r="C1456" t="str">
            <v>Pivô</v>
          </cell>
          <cell r="D1456" t="str">
            <v>SIMPLES</v>
          </cell>
          <cell r="E1456" t="str">
            <v>SPARE</v>
          </cell>
        </row>
        <row r="1457">
          <cell r="A1457" t="str">
            <v>FTK11058</v>
          </cell>
          <cell r="B1457" t="str">
            <v>AUTOMOTIVO</v>
          </cell>
          <cell r="C1457" t="str">
            <v>Pivô</v>
          </cell>
          <cell r="D1457" t="str">
            <v>SIMPLES</v>
          </cell>
          <cell r="E1457" t="str">
            <v>SPARE</v>
          </cell>
        </row>
        <row r="1458">
          <cell r="A1458" t="str">
            <v>FTK11060</v>
          </cell>
          <cell r="B1458" t="str">
            <v>AUTOMOTIVO</v>
          </cell>
          <cell r="C1458" t="str">
            <v>Pivô</v>
          </cell>
          <cell r="D1458" t="str">
            <v>SIMPLES</v>
          </cell>
          <cell r="E1458" t="str">
            <v>SPARE</v>
          </cell>
        </row>
        <row r="1459">
          <cell r="A1459" t="str">
            <v>FTK11110</v>
          </cell>
          <cell r="B1459" t="str">
            <v>AUTOMOTIVO</v>
          </cell>
          <cell r="C1459" t="str">
            <v>Pivô</v>
          </cell>
          <cell r="D1459" t="str">
            <v>SIMPLES</v>
          </cell>
          <cell r="E1459" t="str">
            <v>SPARE</v>
          </cell>
        </row>
        <row r="1460">
          <cell r="A1460" t="str">
            <v>FTK22002</v>
          </cell>
          <cell r="B1460" t="str">
            <v>AUTOMOTIVO</v>
          </cell>
          <cell r="C1460" t="str">
            <v>Pivô</v>
          </cell>
          <cell r="D1460" t="str">
            <v>SIMPLES</v>
          </cell>
          <cell r="E1460" t="str">
            <v>SPARE</v>
          </cell>
        </row>
        <row r="1461">
          <cell r="A1461" t="str">
            <v>FTK22002/03</v>
          </cell>
          <cell r="B1461" t="str">
            <v>AUTOMOTIVO</v>
          </cell>
          <cell r="C1461" t="str">
            <v>Pivô</v>
          </cell>
          <cell r="D1461" t="str">
            <v>SIMPLES</v>
          </cell>
          <cell r="E1461" t="str">
            <v>SPARE</v>
          </cell>
        </row>
        <row r="1462">
          <cell r="A1462" t="str">
            <v>FTK22003</v>
          </cell>
          <cell r="B1462" t="str">
            <v>AUTOMOTIVO</v>
          </cell>
          <cell r="C1462" t="str">
            <v>Pivô</v>
          </cell>
          <cell r="D1462" t="str">
            <v>SIMPLES</v>
          </cell>
          <cell r="E1462" t="str">
            <v>SPARE</v>
          </cell>
        </row>
        <row r="1463">
          <cell r="A1463" t="str">
            <v>FTK22104</v>
          </cell>
          <cell r="B1463" t="str">
            <v>AUTOMOTIVO</v>
          </cell>
          <cell r="C1463" t="str">
            <v>Pivô</v>
          </cell>
          <cell r="D1463" t="str">
            <v>SIMPLES</v>
          </cell>
          <cell r="E1463" t="str">
            <v>SPARE</v>
          </cell>
        </row>
        <row r="1464">
          <cell r="A1464" t="str">
            <v>FTK22182</v>
          </cell>
          <cell r="B1464" t="str">
            <v>AUTOMOTIVO</v>
          </cell>
          <cell r="C1464" t="str">
            <v>Pivô</v>
          </cell>
          <cell r="D1464" t="str">
            <v>SIMPLES</v>
          </cell>
          <cell r="E1464" t="str">
            <v>SPARE</v>
          </cell>
        </row>
        <row r="1465">
          <cell r="A1465" t="str">
            <v>FTK22183</v>
          </cell>
          <cell r="B1465" t="str">
            <v>AUTOMOTIVO</v>
          </cell>
          <cell r="C1465" t="str">
            <v>Pivô</v>
          </cell>
          <cell r="D1465" t="str">
            <v>SIMPLES</v>
          </cell>
          <cell r="E1465" t="str">
            <v>SPARE</v>
          </cell>
        </row>
        <row r="1466">
          <cell r="A1466" t="str">
            <v>FTK222014</v>
          </cell>
          <cell r="B1466" t="str">
            <v>AUTOMOTIVO</v>
          </cell>
          <cell r="C1466" t="str">
            <v>Pivô</v>
          </cell>
          <cell r="D1466" t="str">
            <v>SIMPLES</v>
          </cell>
          <cell r="E1466" t="str">
            <v>SPARE</v>
          </cell>
        </row>
        <row r="1467">
          <cell r="A1467" t="str">
            <v>FTK22404</v>
          </cell>
          <cell r="B1467" t="str">
            <v>AUTOMOTIVO</v>
          </cell>
          <cell r="C1467" t="str">
            <v>Pivô</v>
          </cell>
          <cell r="D1467" t="str">
            <v>SIMPLES</v>
          </cell>
          <cell r="E1467" t="str">
            <v>SPARE</v>
          </cell>
        </row>
        <row r="1468">
          <cell r="A1468" t="str">
            <v>FTK232</v>
          </cell>
          <cell r="B1468" t="str">
            <v>AUTOMOTIVO</v>
          </cell>
          <cell r="C1468" t="str">
            <v>Pivô</v>
          </cell>
          <cell r="D1468" t="str">
            <v>SIMPLES</v>
          </cell>
          <cell r="E1468" t="str">
            <v>SPARE</v>
          </cell>
        </row>
        <row r="1469">
          <cell r="A1469" t="str">
            <v>FTK33305</v>
          </cell>
          <cell r="B1469" t="str">
            <v>AUTOMOTIVO</v>
          </cell>
          <cell r="C1469" t="str">
            <v>Pivô</v>
          </cell>
          <cell r="D1469" t="str">
            <v>SIMPLES</v>
          </cell>
          <cell r="E1469" t="str">
            <v>SPARE</v>
          </cell>
        </row>
        <row r="1470">
          <cell r="A1470" t="str">
            <v>FTK33395</v>
          </cell>
          <cell r="B1470" t="str">
            <v>AUTOMOTIVO</v>
          </cell>
          <cell r="C1470" t="str">
            <v>Pivô</v>
          </cell>
          <cell r="D1470" t="str">
            <v>SIMPLES</v>
          </cell>
          <cell r="E1470" t="str">
            <v>SPARE</v>
          </cell>
        </row>
        <row r="1471">
          <cell r="A1471" t="str">
            <v>FTK-33395</v>
          </cell>
          <cell r="B1471" t="str">
            <v>AUTOMOTIVO</v>
          </cell>
          <cell r="C1471" t="str">
            <v>Pivô</v>
          </cell>
          <cell r="D1471" t="str">
            <v>SIMPLES</v>
          </cell>
          <cell r="E1471" t="str">
            <v>SPARE</v>
          </cell>
        </row>
        <row r="1472">
          <cell r="A1472" t="str">
            <v>FTK33396</v>
          </cell>
          <cell r="B1472" t="str">
            <v>AUTOMOTIVO</v>
          </cell>
          <cell r="C1472" t="str">
            <v>Pivô</v>
          </cell>
          <cell r="D1472" t="str">
            <v>SIMPLES</v>
          </cell>
          <cell r="E1472" t="str">
            <v>SPARE</v>
          </cell>
        </row>
        <row r="1473">
          <cell r="A1473" t="str">
            <v>FTK616</v>
          </cell>
          <cell r="B1473" t="str">
            <v>AUTOMOTIVO</v>
          </cell>
          <cell r="C1473" t="str">
            <v>Coifa Homocinética</v>
          </cell>
          <cell r="D1473" t="str">
            <v>SIMPLES</v>
          </cell>
          <cell r="E1473" t="str">
            <v>SPARE</v>
          </cell>
        </row>
        <row r="1474">
          <cell r="A1474" t="str">
            <v>FTK77365</v>
          </cell>
          <cell r="B1474" t="str">
            <v>AUTOMOTIVO</v>
          </cell>
          <cell r="C1474" t="str">
            <v>Pivô</v>
          </cell>
          <cell r="D1474" t="str">
            <v>SIMPLES</v>
          </cell>
          <cell r="E1474" t="str">
            <v>SPARE</v>
          </cell>
        </row>
        <row r="1475">
          <cell r="A1475" t="str">
            <v>FTK77366</v>
          </cell>
          <cell r="B1475" t="str">
            <v>AUTOMOTIVO</v>
          </cell>
          <cell r="C1475" t="str">
            <v>Pivô</v>
          </cell>
          <cell r="D1475" t="str">
            <v>SIMPLES</v>
          </cell>
          <cell r="E1475" t="str">
            <v>SPARE</v>
          </cell>
        </row>
        <row r="1476">
          <cell r="A1476" t="str">
            <v>FTK77368</v>
          </cell>
          <cell r="B1476" t="str">
            <v>AUTOMOTIVO</v>
          </cell>
          <cell r="C1476" t="str">
            <v>Pivô</v>
          </cell>
          <cell r="D1476" t="str">
            <v>SIMPLES</v>
          </cell>
          <cell r="E1476" t="str">
            <v>SPARE</v>
          </cell>
        </row>
        <row r="1477">
          <cell r="A1477" t="str">
            <v>FTK77369</v>
          </cell>
          <cell r="B1477" t="str">
            <v>AUTOMOTIVO</v>
          </cell>
          <cell r="C1477" t="str">
            <v>Pivô</v>
          </cell>
          <cell r="D1477" t="str">
            <v>SIMPLES</v>
          </cell>
          <cell r="E1477" t="str">
            <v>SPARE</v>
          </cell>
        </row>
        <row r="1478">
          <cell r="A1478" t="str">
            <v>FTK99162</v>
          </cell>
          <cell r="B1478" t="str">
            <v>AUTOMOTIVO</v>
          </cell>
          <cell r="C1478" t="str">
            <v>Pivô</v>
          </cell>
          <cell r="D1478" t="str">
            <v>SIMPLES</v>
          </cell>
          <cell r="E1478" t="str">
            <v>SPARE</v>
          </cell>
        </row>
        <row r="1479">
          <cell r="A1479" t="str">
            <v>PAR 112010/11</v>
          </cell>
          <cell r="B1479" t="str">
            <v>AUTOMOTIVO</v>
          </cell>
          <cell r="C1479" t="str">
            <v>BANDEJA</v>
          </cell>
          <cell r="D1479" t="str">
            <v>SIMPLES</v>
          </cell>
          <cell r="E1479" t="str">
            <v>SPARE</v>
          </cell>
        </row>
        <row r="1480">
          <cell r="A1480" t="str">
            <v>par112001</v>
          </cell>
          <cell r="B1480" t="str">
            <v>AUTOMOTIVO</v>
          </cell>
          <cell r="C1480" t="str">
            <v>Bandeja</v>
          </cell>
          <cell r="D1480" t="str">
            <v>SIMPLES</v>
          </cell>
          <cell r="E1480" t="str">
            <v>SPARE</v>
          </cell>
        </row>
        <row r="1481">
          <cell r="A1481" t="str">
            <v>PAR-112002</v>
          </cell>
          <cell r="B1481" t="str">
            <v>AUTOMOTIVO</v>
          </cell>
          <cell r="C1481" t="str">
            <v>Bandeja</v>
          </cell>
          <cell r="D1481" t="str">
            <v>SIMPLES</v>
          </cell>
          <cell r="E1481" t="str">
            <v>SPARE</v>
          </cell>
        </row>
        <row r="1482">
          <cell r="A1482" t="str">
            <v>par112004</v>
          </cell>
          <cell r="B1482" t="str">
            <v>AUTOMOTIVO</v>
          </cell>
          <cell r="C1482" t="str">
            <v>Bandeja</v>
          </cell>
          <cell r="D1482" t="str">
            <v>SIMPLES</v>
          </cell>
          <cell r="E1482" t="str">
            <v>SPARE</v>
          </cell>
        </row>
        <row r="1483">
          <cell r="A1483" t="str">
            <v>par112004b</v>
          </cell>
          <cell r="B1483" t="str">
            <v>AUTOMOTIVO</v>
          </cell>
          <cell r="C1483" t="str">
            <v>Bandeja</v>
          </cell>
          <cell r="D1483" t="str">
            <v>SIMPLES</v>
          </cell>
          <cell r="E1483" t="str">
            <v>SPARE</v>
          </cell>
        </row>
        <row r="1484">
          <cell r="A1484" t="str">
            <v>par112005</v>
          </cell>
          <cell r="B1484" t="str">
            <v>AUTOMOTIVO</v>
          </cell>
          <cell r="C1484" t="str">
            <v>Bandeja</v>
          </cell>
          <cell r="D1484" t="str">
            <v>SIMPLES</v>
          </cell>
          <cell r="E1484" t="str">
            <v>SPARE</v>
          </cell>
        </row>
        <row r="1485">
          <cell r="A1485" t="str">
            <v>Par112005B</v>
          </cell>
          <cell r="B1485" t="str">
            <v>AUTOMOTIVO</v>
          </cell>
          <cell r="C1485" t="str">
            <v>Bandeja</v>
          </cell>
          <cell r="D1485" t="str">
            <v>SIMPLES</v>
          </cell>
          <cell r="E1485" t="str">
            <v>SPARE</v>
          </cell>
        </row>
        <row r="1486">
          <cell r="A1486" t="str">
            <v>PAR112016/17</v>
          </cell>
          <cell r="B1486" t="str">
            <v>AUTOMOTIVO</v>
          </cell>
          <cell r="C1486" t="str">
            <v>Bandeja</v>
          </cell>
          <cell r="D1486" t="str">
            <v>SIMPLES</v>
          </cell>
          <cell r="E1486" t="str">
            <v>SPARE</v>
          </cell>
        </row>
        <row r="1487">
          <cell r="A1487" t="str">
            <v>PAR112048/49</v>
          </cell>
          <cell r="B1487" t="str">
            <v>AUTOMOTIVO</v>
          </cell>
          <cell r="C1487" t="str">
            <v>Bandeja</v>
          </cell>
          <cell r="D1487" t="str">
            <v>SIMPLES</v>
          </cell>
          <cell r="E1487" t="str">
            <v>SPARE</v>
          </cell>
        </row>
        <row r="1488">
          <cell r="A1488" t="str">
            <v>par112058/59</v>
          </cell>
          <cell r="B1488" t="str">
            <v>AUTOMOTIVO</v>
          </cell>
          <cell r="C1488" t="str">
            <v>Bandeja</v>
          </cell>
          <cell r="D1488" t="str">
            <v>SIMPLES</v>
          </cell>
          <cell r="E1488" t="str">
            <v>SPARE</v>
          </cell>
        </row>
        <row r="1489">
          <cell r="A1489" t="str">
            <v>par112062/63</v>
          </cell>
          <cell r="B1489" t="str">
            <v>AUTOMOTIVO</v>
          </cell>
          <cell r="C1489" t="str">
            <v>Bandeja</v>
          </cell>
          <cell r="D1489" t="str">
            <v>SIMPLES</v>
          </cell>
          <cell r="E1489" t="str">
            <v>SPARE</v>
          </cell>
        </row>
        <row r="1490">
          <cell r="A1490" t="str">
            <v>PAR-112064/65</v>
          </cell>
          <cell r="B1490" t="str">
            <v>AUTOMOTIVO</v>
          </cell>
          <cell r="C1490" t="str">
            <v>Pastilha Freio</v>
          </cell>
          <cell r="D1490" t="str">
            <v>SIMPLES</v>
          </cell>
          <cell r="E1490" t="str">
            <v>SPARE</v>
          </cell>
        </row>
        <row r="1491">
          <cell r="A1491" t="str">
            <v>par112074/75</v>
          </cell>
          <cell r="B1491" t="str">
            <v>AUTOMOTIVO</v>
          </cell>
          <cell r="C1491" t="str">
            <v>Bandeja</v>
          </cell>
          <cell r="D1491" t="str">
            <v>SIMPLES</v>
          </cell>
          <cell r="E1491" t="str">
            <v>SPARE</v>
          </cell>
        </row>
        <row r="1492">
          <cell r="A1492" t="str">
            <v>PAR112090</v>
          </cell>
          <cell r="B1492" t="str">
            <v>AUTOMOTIVO</v>
          </cell>
          <cell r="C1492" t="str">
            <v>Bandeja</v>
          </cell>
          <cell r="D1492" t="str">
            <v>SIMPLES</v>
          </cell>
          <cell r="E1492" t="str">
            <v>SPARE</v>
          </cell>
        </row>
        <row r="1493">
          <cell r="A1493" t="str">
            <v>PAR112090/91</v>
          </cell>
          <cell r="B1493" t="str">
            <v>AUTOMOTIVO</v>
          </cell>
          <cell r="C1493" t="str">
            <v>BANDEJA</v>
          </cell>
          <cell r="D1493" t="str">
            <v>SIMPLES</v>
          </cell>
          <cell r="E1493" t="str">
            <v>SPARE</v>
          </cell>
        </row>
        <row r="1494">
          <cell r="A1494" t="str">
            <v>PAR-112092/93</v>
          </cell>
          <cell r="B1494" t="str">
            <v>AUTOMOTIVO</v>
          </cell>
          <cell r="C1494" t="str">
            <v>Bandeja</v>
          </cell>
          <cell r="D1494" t="str">
            <v>SIMPLES</v>
          </cell>
          <cell r="E1494" t="str">
            <v>SPARE</v>
          </cell>
        </row>
        <row r="1495">
          <cell r="A1495" t="str">
            <v>PAR112106/7</v>
          </cell>
          <cell r="B1495" t="str">
            <v>AUTOMOTIVO</v>
          </cell>
          <cell r="C1495" t="str">
            <v>Bandeja</v>
          </cell>
          <cell r="D1495" t="str">
            <v>SIMPLES</v>
          </cell>
          <cell r="E1495" t="str">
            <v>SPARE</v>
          </cell>
        </row>
        <row r="1496">
          <cell r="A1496" t="str">
            <v>PAR112108/9</v>
          </cell>
          <cell r="B1496" t="str">
            <v>AUTOMOTIVO</v>
          </cell>
          <cell r="C1496" t="str">
            <v>Bandeja</v>
          </cell>
          <cell r="D1496" t="str">
            <v>SIMPLES</v>
          </cell>
          <cell r="E1496" t="str">
            <v>SPARE</v>
          </cell>
        </row>
        <row r="1497">
          <cell r="A1497" t="str">
            <v>PAR112114/15</v>
          </cell>
          <cell r="B1497" t="str">
            <v>AUTOMOTIVO</v>
          </cell>
          <cell r="C1497" t="str">
            <v>Bandeja</v>
          </cell>
          <cell r="D1497" t="str">
            <v>SIMPLES</v>
          </cell>
          <cell r="E1497" t="str">
            <v>SPARE</v>
          </cell>
        </row>
        <row r="1498">
          <cell r="A1498" t="str">
            <v>PAR112116</v>
          </cell>
          <cell r="B1498" t="str">
            <v>AUTOMOTIVO</v>
          </cell>
          <cell r="C1498" t="str">
            <v>Bandeja</v>
          </cell>
          <cell r="D1498" t="str">
            <v>SIMPLES</v>
          </cell>
          <cell r="E1498" t="str">
            <v>SPARE</v>
          </cell>
        </row>
        <row r="1499">
          <cell r="A1499" t="str">
            <v>PAR112126/27</v>
          </cell>
          <cell r="B1499" t="str">
            <v>AUTOMOTIVO</v>
          </cell>
          <cell r="C1499" t="str">
            <v>Bandeja</v>
          </cell>
          <cell r="D1499" t="str">
            <v>SIMPLES</v>
          </cell>
          <cell r="E1499" t="str">
            <v>SPARE</v>
          </cell>
        </row>
        <row r="1500">
          <cell r="A1500" t="str">
            <v>par222010/11</v>
          </cell>
          <cell r="B1500" t="str">
            <v>AUTOMOTIVO</v>
          </cell>
          <cell r="C1500" t="str">
            <v>Bandeja</v>
          </cell>
          <cell r="D1500" t="str">
            <v>SIMPLES</v>
          </cell>
          <cell r="E1500" t="str">
            <v>SPARE</v>
          </cell>
        </row>
        <row r="1501">
          <cell r="A1501" t="str">
            <v>par222010/11b</v>
          </cell>
          <cell r="B1501" t="str">
            <v>AUTOMOTIVO</v>
          </cell>
          <cell r="C1501" t="str">
            <v>Bandeja</v>
          </cell>
          <cell r="D1501" t="str">
            <v>SIMPLES</v>
          </cell>
          <cell r="E1501" t="str">
            <v>SPARE</v>
          </cell>
        </row>
        <row r="1502">
          <cell r="A1502" t="str">
            <v>par222014/15</v>
          </cell>
          <cell r="B1502" t="str">
            <v>AUTOMOTIVO</v>
          </cell>
          <cell r="C1502" t="str">
            <v>Bandeja</v>
          </cell>
          <cell r="D1502" t="str">
            <v>SIMPLES</v>
          </cell>
          <cell r="E1502" t="str">
            <v>SPARE</v>
          </cell>
        </row>
        <row r="1503">
          <cell r="A1503" t="str">
            <v>PAR-222016/17</v>
          </cell>
          <cell r="B1503" t="str">
            <v>AUTOMOTIVO</v>
          </cell>
          <cell r="C1503" t="str">
            <v>Bandeja</v>
          </cell>
          <cell r="D1503" t="str">
            <v>SIMPLES</v>
          </cell>
          <cell r="E1503" t="str">
            <v>SPARE</v>
          </cell>
        </row>
        <row r="1504">
          <cell r="A1504" t="str">
            <v>PAR222020</v>
          </cell>
          <cell r="B1504" t="str">
            <v>AUTOMOTIVO</v>
          </cell>
          <cell r="C1504" t="str">
            <v>Bandeja</v>
          </cell>
          <cell r="D1504" t="str">
            <v>SIMPLES</v>
          </cell>
          <cell r="E1504" t="str">
            <v>SPARE</v>
          </cell>
        </row>
        <row r="1505">
          <cell r="A1505" t="str">
            <v>PAR222022/23</v>
          </cell>
          <cell r="B1505" t="str">
            <v>AUTOMOTIVO</v>
          </cell>
          <cell r="C1505" t="str">
            <v>Bandeja</v>
          </cell>
          <cell r="D1505" t="str">
            <v>SIMPLES</v>
          </cell>
          <cell r="E1505" t="str">
            <v>SPARE</v>
          </cell>
        </row>
        <row r="1506">
          <cell r="A1506" t="str">
            <v>PAR222030/31</v>
          </cell>
          <cell r="B1506" t="str">
            <v>AUTOMOTIVO</v>
          </cell>
          <cell r="C1506" t="str">
            <v>Bandeja</v>
          </cell>
          <cell r="D1506" t="str">
            <v>SIMPLES</v>
          </cell>
          <cell r="E1506" t="str">
            <v>SPARE</v>
          </cell>
        </row>
        <row r="1507">
          <cell r="A1507" t="str">
            <v>PAR-222032/33</v>
          </cell>
          <cell r="B1507" t="str">
            <v>AUTOMOTIVO</v>
          </cell>
          <cell r="C1507" t="str">
            <v>Bandeja</v>
          </cell>
          <cell r="D1507" t="str">
            <v>SIMPLES</v>
          </cell>
          <cell r="E1507" t="str">
            <v>SPARE</v>
          </cell>
        </row>
        <row r="1508">
          <cell r="A1508" t="str">
            <v>PAR222036/37</v>
          </cell>
          <cell r="B1508" t="str">
            <v>AUTOMOTIVO</v>
          </cell>
          <cell r="C1508" t="str">
            <v>Bandeja</v>
          </cell>
          <cell r="D1508" t="str">
            <v>SIMPLES</v>
          </cell>
          <cell r="E1508" t="str">
            <v>SPARE</v>
          </cell>
        </row>
        <row r="1509">
          <cell r="A1509" t="str">
            <v>PAR222051/52</v>
          </cell>
          <cell r="B1509" t="str">
            <v>AUTOMOTIVO</v>
          </cell>
          <cell r="C1509" t="str">
            <v>Bandeja</v>
          </cell>
          <cell r="D1509" t="str">
            <v>SIMPLES</v>
          </cell>
          <cell r="E1509" t="str">
            <v>SPARE</v>
          </cell>
        </row>
        <row r="1510">
          <cell r="A1510" t="str">
            <v>PAR222061/62</v>
          </cell>
          <cell r="B1510" t="str">
            <v>AUTOMOTIVO</v>
          </cell>
          <cell r="C1510" t="str">
            <v>Bandeja</v>
          </cell>
          <cell r="D1510" t="str">
            <v>SIMPLES</v>
          </cell>
          <cell r="E1510" t="str">
            <v>SPARE</v>
          </cell>
        </row>
        <row r="1511">
          <cell r="A1511" t="str">
            <v>PAR222074/75</v>
          </cell>
          <cell r="B1511" t="str">
            <v>AUTOMOTIVO</v>
          </cell>
          <cell r="C1511" t="str">
            <v>Bandeja</v>
          </cell>
          <cell r="D1511" t="str">
            <v>SIMPLES</v>
          </cell>
          <cell r="E1511" t="str">
            <v>SPARE</v>
          </cell>
        </row>
        <row r="1512">
          <cell r="A1512" t="str">
            <v>PAR222076/77</v>
          </cell>
          <cell r="B1512" t="str">
            <v>AUTOMOTIVO</v>
          </cell>
          <cell r="C1512" t="str">
            <v>Bandeja</v>
          </cell>
          <cell r="D1512" t="str">
            <v>SIMPLES</v>
          </cell>
          <cell r="E1512" t="str">
            <v>SPARE</v>
          </cell>
        </row>
        <row r="1513">
          <cell r="A1513" t="str">
            <v>PAR-222099</v>
          </cell>
          <cell r="B1513" t="str">
            <v>AUTOMOTIVO</v>
          </cell>
          <cell r="C1513" t="str">
            <v>Bandeja</v>
          </cell>
          <cell r="D1513" t="str">
            <v>SIMPLES</v>
          </cell>
          <cell r="E1513" t="str">
            <v>SPARE</v>
          </cell>
        </row>
        <row r="1514">
          <cell r="A1514" t="str">
            <v>PAR-222102/03</v>
          </cell>
          <cell r="B1514" t="str">
            <v>AUTOMOTIVO</v>
          </cell>
          <cell r="C1514" t="str">
            <v>BANDEJA</v>
          </cell>
          <cell r="D1514" t="str">
            <v>SIMPLES</v>
          </cell>
          <cell r="E1514" t="str">
            <v>SPARE</v>
          </cell>
        </row>
        <row r="1515">
          <cell r="A1515" t="str">
            <v>Par-222108</v>
          </cell>
          <cell r="B1515" t="str">
            <v>AUTOMOTIVO</v>
          </cell>
          <cell r="C1515" t="str">
            <v>Bandeja</v>
          </cell>
          <cell r="D1515" t="str">
            <v>SIMPLES</v>
          </cell>
          <cell r="E1515" t="str">
            <v>SPARE</v>
          </cell>
        </row>
        <row r="1516">
          <cell r="A1516" t="str">
            <v>PAR-222109/10</v>
          </cell>
          <cell r="B1516" t="str">
            <v>AUTOMOTIVO</v>
          </cell>
          <cell r="C1516" t="str">
            <v>Pastilha Freio</v>
          </cell>
          <cell r="D1516" t="str">
            <v>SIMPLES</v>
          </cell>
          <cell r="E1516" t="str">
            <v>SPARE</v>
          </cell>
        </row>
        <row r="1517">
          <cell r="A1517" t="str">
            <v>PAR-222312/13</v>
          </cell>
          <cell r="B1517" t="str">
            <v>AUTOMOTIVO</v>
          </cell>
          <cell r="C1517" t="str">
            <v>Pastilha Freio</v>
          </cell>
          <cell r="D1517" t="str">
            <v>SIMPLES</v>
          </cell>
          <cell r="E1517" t="str">
            <v>SPARE</v>
          </cell>
        </row>
        <row r="1518">
          <cell r="A1518" t="str">
            <v>PAR330100/01</v>
          </cell>
          <cell r="B1518" t="str">
            <v>AUTOMOTIVO</v>
          </cell>
          <cell r="C1518" t="str">
            <v>Bandeja</v>
          </cell>
          <cell r="D1518" t="str">
            <v>SIMPLES</v>
          </cell>
          <cell r="E1518" t="str">
            <v>SPARE</v>
          </cell>
        </row>
        <row r="1519">
          <cell r="A1519" t="str">
            <v>PAR332007/8</v>
          </cell>
          <cell r="B1519" t="str">
            <v>AUTOMOTIVO</v>
          </cell>
          <cell r="C1519" t="str">
            <v>Bandeja</v>
          </cell>
          <cell r="D1519" t="str">
            <v>SIMPLES</v>
          </cell>
          <cell r="E1519" t="str">
            <v>SPARE</v>
          </cell>
        </row>
        <row r="1520">
          <cell r="A1520" t="str">
            <v>PAR332010/11</v>
          </cell>
          <cell r="B1520" t="str">
            <v>AUTOMOTIVO</v>
          </cell>
          <cell r="C1520" t="str">
            <v>Bandeja</v>
          </cell>
          <cell r="D1520" t="str">
            <v>SIMPLES</v>
          </cell>
          <cell r="E1520" t="str">
            <v>SPARE</v>
          </cell>
        </row>
        <row r="1521">
          <cell r="A1521" t="str">
            <v>par332014/15</v>
          </cell>
          <cell r="B1521" t="str">
            <v>AUTOMOTIVO</v>
          </cell>
          <cell r="C1521" t="str">
            <v>Bandeja</v>
          </cell>
          <cell r="D1521" t="str">
            <v>SIMPLES</v>
          </cell>
          <cell r="E1521" t="str">
            <v>SPARE</v>
          </cell>
        </row>
        <row r="1522">
          <cell r="A1522" t="str">
            <v>par332016/17</v>
          </cell>
          <cell r="B1522" t="str">
            <v>AUTOMOTIVO</v>
          </cell>
          <cell r="C1522" t="str">
            <v>Bandeja</v>
          </cell>
          <cell r="D1522" t="str">
            <v>SIMPLES</v>
          </cell>
          <cell r="E1522" t="str">
            <v>SPARE</v>
          </cell>
        </row>
        <row r="1523">
          <cell r="A1523" t="str">
            <v>PAR-332024</v>
          </cell>
          <cell r="B1523" t="str">
            <v>AUTOMOTIVO</v>
          </cell>
          <cell r="C1523" t="str">
            <v>Bandeja</v>
          </cell>
          <cell r="D1523" t="str">
            <v>SIMPLES</v>
          </cell>
          <cell r="E1523" t="str">
            <v>SPARE</v>
          </cell>
        </row>
        <row r="1524">
          <cell r="A1524" t="str">
            <v>Par332052/53</v>
          </cell>
          <cell r="B1524" t="str">
            <v>AUTOMOTIVO</v>
          </cell>
          <cell r="C1524" t="str">
            <v>Bandeja</v>
          </cell>
          <cell r="D1524" t="str">
            <v>SIMPLES</v>
          </cell>
          <cell r="E1524" t="str">
            <v>SPARE</v>
          </cell>
        </row>
        <row r="1525">
          <cell r="A1525" t="str">
            <v>PAR332065/66</v>
          </cell>
          <cell r="B1525" t="str">
            <v>AUTOMOTIVO</v>
          </cell>
          <cell r="C1525" t="str">
            <v>Bandeja</v>
          </cell>
          <cell r="D1525" t="str">
            <v>SIMPLES</v>
          </cell>
          <cell r="E1525" t="str">
            <v>SPARE</v>
          </cell>
        </row>
        <row r="1526">
          <cell r="A1526" t="str">
            <v>PAR332067/68</v>
          </cell>
          <cell r="B1526" t="str">
            <v>AUTOMOTIVO</v>
          </cell>
          <cell r="C1526" t="str">
            <v>Bandeja</v>
          </cell>
          <cell r="D1526" t="str">
            <v>SIMPLES</v>
          </cell>
          <cell r="E1526" t="str">
            <v>SPARE</v>
          </cell>
        </row>
        <row r="1527">
          <cell r="A1527" t="str">
            <v>PAR-332076/77</v>
          </cell>
          <cell r="B1527" t="str">
            <v>AUTOMOTIVO</v>
          </cell>
          <cell r="C1527" t="str">
            <v>Pastilha Freio</v>
          </cell>
          <cell r="D1527" t="str">
            <v>SIMPLES</v>
          </cell>
          <cell r="E1527" t="str">
            <v>SPARE</v>
          </cell>
        </row>
        <row r="1528">
          <cell r="A1528" t="str">
            <v>PAR-332080</v>
          </cell>
          <cell r="B1528" t="str">
            <v>AUTOMOTIVO</v>
          </cell>
          <cell r="C1528" t="str">
            <v>Bandeja</v>
          </cell>
          <cell r="D1528" t="str">
            <v>SIMPLES</v>
          </cell>
          <cell r="E1528" t="str">
            <v>SPARE</v>
          </cell>
        </row>
        <row r="1529">
          <cell r="A1529" t="str">
            <v>par332092/33</v>
          </cell>
          <cell r="B1529" t="str">
            <v>AUTOMOTIVO</v>
          </cell>
          <cell r="C1529" t="str">
            <v>Bandeja</v>
          </cell>
          <cell r="D1529" t="str">
            <v>SIMPLES</v>
          </cell>
          <cell r="E1529" t="str">
            <v>SPARE</v>
          </cell>
        </row>
        <row r="1530">
          <cell r="A1530" t="str">
            <v>par332092/93</v>
          </cell>
          <cell r="B1530" t="str">
            <v>AUTOMOTIVO</v>
          </cell>
          <cell r="C1530" t="str">
            <v>Bandeja</v>
          </cell>
          <cell r="D1530" t="str">
            <v>SIMPLES</v>
          </cell>
          <cell r="E1530" t="str">
            <v>SPARE</v>
          </cell>
        </row>
        <row r="1531">
          <cell r="A1531" t="str">
            <v>PAR332110/11</v>
          </cell>
          <cell r="B1531" t="str">
            <v>AUTOMOTIVO</v>
          </cell>
          <cell r="C1531" t="str">
            <v>Bandeja</v>
          </cell>
          <cell r="D1531" t="str">
            <v>SIMPLES</v>
          </cell>
          <cell r="E1531" t="str">
            <v>SPARE</v>
          </cell>
        </row>
        <row r="1532">
          <cell r="A1532" t="str">
            <v>PAR-332118/19</v>
          </cell>
          <cell r="B1532" t="str">
            <v>AUTOMOTIVO</v>
          </cell>
          <cell r="C1532" t="str">
            <v>BANDEJA</v>
          </cell>
          <cell r="D1532" t="str">
            <v>SIMPLES</v>
          </cell>
          <cell r="E1532" t="str">
            <v>SPARE</v>
          </cell>
        </row>
        <row r="1533">
          <cell r="A1533" t="str">
            <v>PAR-332140/41</v>
          </cell>
          <cell r="B1533" t="str">
            <v>AUTOMOTIVO</v>
          </cell>
          <cell r="C1533" t="str">
            <v>Bandeja</v>
          </cell>
          <cell r="D1533" t="str">
            <v>SIMPLES</v>
          </cell>
          <cell r="E1533" t="str">
            <v>SPARE</v>
          </cell>
        </row>
        <row r="1534">
          <cell r="A1534" t="str">
            <v>PAR332144</v>
          </cell>
          <cell r="B1534" t="str">
            <v>AUTOMOTIVO</v>
          </cell>
          <cell r="C1534" t="str">
            <v>Bandeja</v>
          </cell>
          <cell r="D1534" t="str">
            <v>SIMPLES</v>
          </cell>
          <cell r="E1534" t="str">
            <v>SPARE</v>
          </cell>
        </row>
        <row r="1535">
          <cell r="A1535" t="str">
            <v>PAR332145/46</v>
          </cell>
          <cell r="B1535" t="str">
            <v>AUTOMOTIVO</v>
          </cell>
          <cell r="C1535" t="str">
            <v>Bandeja</v>
          </cell>
          <cell r="D1535" t="str">
            <v>SIMPLES</v>
          </cell>
          <cell r="E1535" t="str">
            <v>SPARE</v>
          </cell>
        </row>
        <row r="1536">
          <cell r="A1536" t="str">
            <v>PAR-332149/50</v>
          </cell>
          <cell r="B1536" t="str">
            <v>AUTOMOTIVO</v>
          </cell>
          <cell r="C1536" t="str">
            <v>Pastilha Freio</v>
          </cell>
          <cell r="D1536" t="str">
            <v>SIMPLES</v>
          </cell>
          <cell r="E1536" t="str">
            <v>SPARE</v>
          </cell>
        </row>
        <row r="1537">
          <cell r="A1537" t="str">
            <v>PAR-332151/52</v>
          </cell>
          <cell r="B1537" t="str">
            <v>AUTOMOTIVO</v>
          </cell>
          <cell r="C1537" t="str">
            <v>Bandeja</v>
          </cell>
          <cell r="D1537" t="str">
            <v>SIMPLES</v>
          </cell>
          <cell r="E1537" t="str">
            <v>SPARE</v>
          </cell>
        </row>
        <row r="1538">
          <cell r="A1538" t="str">
            <v>PAR442025</v>
          </cell>
          <cell r="B1538" t="str">
            <v>AUTOMOTIVO</v>
          </cell>
          <cell r="C1538" t="str">
            <v>Bandeja</v>
          </cell>
          <cell r="D1538" t="str">
            <v>SIMPLES</v>
          </cell>
          <cell r="E1538" t="str">
            <v>SPARE</v>
          </cell>
        </row>
        <row r="1539">
          <cell r="A1539" t="str">
            <v>PAR442050</v>
          </cell>
          <cell r="B1539" t="str">
            <v>AUTOMOTIVO</v>
          </cell>
          <cell r="C1539" t="str">
            <v>Bandeja</v>
          </cell>
          <cell r="D1539" t="str">
            <v>SIMPLES</v>
          </cell>
          <cell r="E1539" t="str">
            <v>SPARE</v>
          </cell>
        </row>
        <row r="1540">
          <cell r="A1540" t="str">
            <v>PAR-442050</v>
          </cell>
          <cell r="B1540" t="str">
            <v>AUTOMOTIVO</v>
          </cell>
          <cell r="C1540" t="str">
            <v>Bandeja</v>
          </cell>
          <cell r="D1540" t="str">
            <v>SIMPLES</v>
          </cell>
          <cell r="E1540" t="str">
            <v>SPARE</v>
          </cell>
        </row>
        <row r="1541">
          <cell r="A1541" t="str">
            <v>PAR442055</v>
          </cell>
          <cell r="B1541" t="str">
            <v>AUTOMOTIVO</v>
          </cell>
          <cell r="C1541" t="str">
            <v>Bandeja</v>
          </cell>
          <cell r="D1541" t="str">
            <v>SIMPLES</v>
          </cell>
          <cell r="E1541" t="str">
            <v>SPARE</v>
          </cell>
        </row>
        <row r="1542">
          <cell r="A1542" t="str">
            <v>PAR442056</v>
          </cell>
          <cell r="B1542" t="str">
            <v>AUTOMOTIVO</v>
          </cell>
          <cell r="C1542" t="str">
            <v>Bandeja</v>
          </cell>
          <cell r="D1542" t="str">
            <v>SIMPLES</v>
          </cell>
          <cell r="E1542" t="str">
            <v>SPARE</v>
          </cell>
        </row>
        <row r="1543">
          <cell r="A1543" t="str">
            <v>par442056/57</v>
          </cell>
          <cell r="B1543" t="str">
            <v>AUTOMOTIVO</v>
          </cell>
          <cell r="C1543" t="str">
            <v>Bandeja</v>
          </cell>
          <cell r="D1543" t="str">
            <v>SIMPLES</v>
          </cell>
          <cell r="E1543" t="str">
            <v>SPARE</v>
          </cell>
        </row>
        <row r="1544">
          <cell r="A1544" t="str">
            <v>PAR-442058/59</v>
          </cell>
          <cell r="B1544" t="str">
            <v>AUTOMOTIVO</v>
          </cell>
          <cell r="C1544" t="str">
            <v>Bandeja</v>
          </cell>
          <cell r="D1544" t="str">
            <v>SIMPLES</v>
          </cell>
          <cell r="E1544" t="str">
            <v>SPARE</v>
          </cell>
        </row>
        <row r="1545">
          <cell r="A1545" t="str">
            <v>par442060</v>
          </cell>
          <cell r="B1545" t="str">
            <v>AUTOMOTIVO</v>
          </cell>
          <cell r="C1545" t="str">
            <v>Bandeja</v>
          </cell>
          <cell r="D1545" t="str">
            <v>SIMPLES</v>
          </cell>
          <cell r="E1545" t="str">
            <v>SPARE</v>
          </cell>
        </row>
        <row r="1546">
          <cell r="A1546" t="str">
            <v>par442060/61</v>
          </cell>
          <cell r="B1546" t="str">
            <v>AUTOMOTIVO</v>
          </cell>
          <cell r="C1546" t="str">
            <v>Bandeja</v>
          </cell>
          <cell r="D1546" t="str">
            <v>SIMPLES</v>
          </cell>
          <cell r="E1546" t="str">
            <v>SPARE</v>
          </cell>
        </row>
        <row r="1547">
          <cell r="A1547" t="str">
            <v>PAR-442061</v>
          </cell>
          <cell r="B1547" t="str">
            <v>AUTOMOTIVO</v>
          </cell>
          <cell r="C1547" t="str">
            <v>Bandeja</v>
          </cell>
          <cell r="D1547" t="str">
            <v>SIMPLES</v>
          </cell>
          <cell r="E1547" t="str">
            <v>SPARE</v>
          </cell>
        </row>
        <row r="1548">
          <cell r="A1548" t="str">
            <v>PAR442066</v>
          </cell>
          <cell r="B1548" t="str">
            <v>AUTOMOTIVO</v>
          </cell>
          <cell r="C1548" t="str">
            <v>Bandeja</v>
          </cell>
          <cell r="D1548" t="str">
            <v>SIMPLES</v>
          </cell>
          <cell r="E1548" t="str">
            <v>SPARE</v>
          </cell>
        </row>
        <row r="1549">
          <cell r="A1549" t="str">
            <v>PAR442067/68</v>
          </cell>
          <cell r="B1549" t="str">
            <v>AUTOMOTIVO</v>
          </cell>
          <cell r="C1549" t="str">
            <v>Bandeja</v>
          </cell>
          <cell r="D1549" t="str">
            <v>SIMPLES</v>
          </cell>
          <cell r="E1549" t="str">
            <v>SPARE</v>
          </cell>
        </row>
        <row r="1550">
          <cell r="A1550" t="str">
            <v>PAR442080</v>
          </cell>
          <cell r="B1550" t="str">
            <v>AUTOMOTIVO</v>
          </cell>
          <cell r="C1550" t="str">
            <v>Bandeja</v>
          </cell>
          <cell r="D1550" t="str">
            <v>SIMPLES</v>
          </cell>
          <cell r="E1550" t="str">
            <v>SPARE</v>
          </cell>
        </row>
        <row r="1551">
          <cell r="A1551" t="str">
            <v>PAR442083</v>
          </cell>
          <cell r="B1551" t="str">
            <v>AUTOMOTIVO</v>
          </cell>
          <cell r="C1551" t="str">
            <v>Bandeja</v>
          </cell>
          <cell r="D1551" t="str">
            <v>SIMPLES</v>
          </cell>
          <cell r="E1551" t="str">
            <v>SPARE</v>
          </cell>
        </row>
        <row r="1552">
          <cell r="A1552" t="str">
            <v>PAR442084/85</v>
          </cell>
          <cell r="B1552" t="str">
            <v>AUTOMOTIVO</v>
          </cell>
          <cell r="C1552" t="str">
            <v>Bandeja</v>
          </cell>
          <cell r="D1552" t="str">
            <v>SIMPLES</v>
          </cell>
          <cell r="E1552" t="str">
            <v>SPARE</v>
          </cell>
        </row>
        <row r="1553">
          <cell r="A1553" t="str">
            <v>PAR442095</v>
          </cell>
          <cell r="B1553" t="str">
            <v>AUTOMOTIVO</v>
          </cell>
          <cell r="C1553" t="str">
            <v>Bandeja</v>
          </cell>
          <cell r="D1553" t="str">
            <v>SIMPLES</v>
          </cell>
          <cell r="E1553" t="str">
            <v>SPARE</v>
          </cell>
        </row>
        <row r="1554">
          <cell r="A1554" t="str">
            <v>PAR442104/05</v>
          </cell>
          <cell r="B1554" t="str">
            <v>AUTOMOTIVO</v>
          </cell>
          <cell r="C1554" t="str">
            <v>Bandeja</v>
          </cell>
          <cell r="D1554" t="str">
            <v>SIMPLES</v>
          </cell>
          <cell r="E1554" t="str">
            <v>SPARE</v>
          </cell>
        </row>
        <row r="1555">
          <cell r="A1555" t="str">
            <v>PAR442104/5</v>
          </cell>
          <cell r="B1555" t="str">
            <v>AUTOMOTIVO</v>
          </cell>
          <cell r="C1555" t="str">
            <v>Bandeja</v>
          </cell>
          <cell r="D1555" t="str">
            <v>SIMPLES</v>
          </cell>
          <cell r="E1555" t="str">
            <v>SPARE</v>
          </cell>
        </row>
        <row r="1556">
          <cell r="A1556" t="str">
            <v>PAR442104/5P</v>
          </cell>
          <cell r="B1556" t="str">
            <v>AUTOMOTIVO</v>
          </cell>
          <cell r="C1556" t="str">
            <v>Bandeja</v>
          </cell>
          <cell r="D1556" t="str">
            <v>SIMPLES</v>
          </cell>
          <cell r="E1556" t="str">
            <v>SPARE</v>
          </cell>
        </row>
        <row r="1557">
          <cell r="A1557" t="str">
            <v>PAR442120/21</v>
          </cell>
          <cell r="B1557" t="str">
            <v>AUTOMOTIVO</v>
          </cell>
          <cell r="C1557" t="str">
            <v>Bandeja</v>
          </cell>
          <cell r="D1557" t="str">
            <v>SIMPLES</v>
          </cell>
          <cell r="E1557" t="str">
            <v>SPARE</v>
          </cell>
        </row>
        <row r="1558">
          <cell r="A1558" t="str">
            <v>PAR442122/23</v>
          </cell>
          <cell r="B1558" t="str">
            <v>AUTOMOTIVO</v>
          </cell>
          <cell r="C1558" t="str">
            <v>Bandeja</v>
          </cell>
          <cell r="D1558" t="str">
            <v>SIMPLES</v>
          </cell>
          <cell r="E1558" t="str">
            <v>SPARE</v>
          </cell>
        </row>
        <row r="1559">
          <cell r="A1559" t="str">
            <v>PAR442122/23P</v>
          </cell>
          <cell r="B1559" t="str">
            <v>AUTOMOTIVO</v>
          </cell>
          <cell r="C1559" t="str">
            <v>Bandeja</v>
          </cell>
          <cell r="D1559" t="str">
            <v>SIMPLES</v>
          </cell>
          <cell r="E1559" t="str">
            <v>SPARE</v>
          </cell>
        </row>
        <row r="1560">
          <cell r="A1560" t="str">
            <v>PAR442144/45</v>
          </cell>
          <cell r="B1560" t="str">
            <v>AUTOMOTIVO</v>
          </cell>
          <cell r="C1560" t="str">
            <v>Bandeja</v>
          </cell>
          <cell r="D1560" t="str">
            <v>SIMPLES</v>
          </cell>
          <cell r="E1560" t="str">
            <v>SPARE</v>
          </cell>
        </row>
        <row r="1561">
          <cell r="A1561" t="str">
            <v>PAR-442146/47</v>
          </cell>
          <cell r="B1561" t="str">
            <v>AUTOMOTIVO</v>
          </cell>
          <cell r="C1561" t="str">
            <v>Bandeja</v>
          </cell>
          <cell r="D1561" t="str">
            <v>SIMPLES</v>
          </cell>
          <cell r="E1561" t="str">
            <v>SPARE</v>
          </cell>
        </row>
        <row r="1562">
          <cell r="A1562" t="str">
            <v>par552010/11</v>
          </cell>
          <cell r="B1562" t="str">
            <v>AUTOMOTIVO</v>
          </cell>
          <cell r="C1562" t="str">
            <v>Bandeja</v>
          </cell>
          <cell r="D1562" t="str">
            <v>SIMPLES</v>
          </cell>
          <cell r="E1562" t="str">
            <v>SPARE</v>
          </cell>
        </row>
        <row r="1563">
          <cell r="A1563" t="str">
            <v>PAR552030/31</v>
          </cell>
          <cell r="B1563" t="str">
            <v>AUTOMOTIVO</v>
          </cell>
          <cell r="C1563" t="str">
            <v>Bandeja</v>
          </cell>
          <cell r="D1563" t="str">
            <v>SIMPLES</v>
          </cell>
          <cell r="E1563" t="str">
            <v>SPARE</v>
          </cell>
        </row>
        <row r="1564">
          <cell r="A1564" t="str">
            <v>PAR-552032/33</v>
          </cell>
          <cell r="B1564" t="str">
            <v>AUTOMOTIVO</v>
          </cell>
          <cell r="C1564" t="str">
            <v>Bandeja</v>
          </cell>
          <cell r="D1564" t="str">
            <v>SIMPLES</v>
          </cell>
          <cell r="E1564" t="str">
            <v>SPARE</v>
          </cell>
        </row>
        <row r="1565">
          <cell r="A1565" t="str">
            <v>PAR-552034/35</v>
          </cell>
          <cell r="B1565" t="str">
            <v>AUTOMOTIVO</v>
          </cell>
          <cell r="C1565" t="str">
            <v>Bandeja</v>
          </cell>
          <cell r="D1565" t="str">
            <v>SIMPLES</v>
          </cell>
          <cell r="E1565" t="str">
            <v>SPARE</v>
          </cell>
        </row>
        <row r="1566">
          <cell r="A1566" t="str">
            <v>PAR662010/11</v>
          </cell>
          <cell r="B1566" t="str">
            <v>AUTOMOTIVO</v>
          </cell>
          <cell r="C1566" t="str">
            <v>Bandeja</v>
          </cell>
          <cell r="D1566" t="str">
            <v>SIMPLES</v>
          </cell>
          <cell r="E1566" t="str">
            <v>SPARE</v>
          </cell>
        </row>
        <row r="1567">
          <cell r="A1567" t="str">
            <v>PAR662012/13</v>
          </cell>
          <cell r="B1567" t="str">
            <v>AUTOMOTIVO</v>
          </cell>
          <cell r="C1567" t="str">
            <v>Bandeja</v>
          </cell>
          <cell r="D1567" t="str">
            <v>SIMPLES</v>
          </cell>
          <cell r="E1567" t="str">
            <v>SPARE</v>
          </cell>
        </row>
        <row r="1568">
          <cell r="A1568" t="str">
            <v>par662028/29</v>
          </cell>
          <cell r="B1568" t="str">
            <v>AUTOMOTIVO</v>
          </cell>
          <cell r="C1568" t="str">
            <v>Bandeja</v>
          </cell>
          <cell r="D1568" t="str">
            <v>SIMPLES</v>
          </cell>
          <cell r="E1568" t="str">
            <v>SPARE</v>
          </cell>
        </row>
        <row r="1569">
          <cell r="A1569" t="str">
            <v>par662030/31</v>
          </cell>
          <cell r="B1569" t="str">
            <v>AUTOMOTIVO</v>
          </cell>
          <cell r="C1569" t="str">
            <v>Bandeja</v>
          </cell>
          <cell r="D1569" t="str">
            <v>SIMPLES</v>
          </cell>
          <cell r="E1569" t="str">
            <v>SPARE</v>
          </cell>
        </row>
        <row r="1570">
          <cell r="A1570" t="str">
            <v>PAR662046/47</v>
          </cell>
          <cell r="B1570" t="str">
            <v>AUTOMOTIVO</v>
          </cell>
          <cell r="C1570" t="str">
            <v>BANDEJA</v>
          </cell>
          <cell r="D1570" t="str">
            <v>SIMPLES</v>
          </cell>
          <cell r="E1570" t="str">
            <v>SPARE</v>
          </cell>
        </row>
        <row r="1571">
          <cell r="A1571" t="str">
            <v>par662052/53</v>
          </cell>
          <cell r="B1571" t="str">
            <v>AUTOMOTIVO</v>
          </cell>
          <cell r="C1571" t="str">
            <v>Bandeja</v>
          </cell>
          <cell r="D1571" t="str">
            <v>SIMPLES</v>
          </cell>
          <cell r="E1571" t="str">
            <v>SPARE</v>
          </cell>
        </row>
        <row r="1572">
          <cell r="A1572" t="str">
            <v>PAR-662068/69</v>
          </cell>
          <cell r="B1572" t="str">
            <v>AUTOMOTIVO</v>
          </cell>
          <cell r="C1572" t="str">
            <v>Bandeja</v>
          </cell>
          <cell r="D1572" t="str">
            <v>SIMPLES</v>
          </cell>
          <cell r="E1572" t="str">
            <v>SPARE</v>
          </cell>
        </row>
        <row r="1573">
          <cell r="A1573" t="str">
            <v>PAR772003/4</v>
          </cell>
          <cell r="B1573" t="str">
            <v>AUTOMOTIVO</v>
          </cell>
          <cell r="C1573" t="str">
            <v>Bandeja</v>
          </cell>
          <cell r="D1573" t="str">
            <v>SIMPLES</v>
          </cell>
          <cell r="E1573" t="str">
            <v>SPARE</v>
          </cell>
        </row>
        <row r="1574">
          <cell r="A1574" t="str">
            <v>PAR-772011/12</v>
          </cell>
          <cell r="B1574" t="str">
            <v>AUTOMOTIVO</v>
          </cell>
          <cell r="C1574" t="str">
            <v>Bandeja</v>
          </cell>
          <cell r="D1574" t="str">
            <v>SIMPLES</v>
          </cell>
          <cell r="E1574" t="str">
            <v>SPARE</v>
          </cell>
        </row>
        <row r="1575">
          <cell r="A1575" t="str">
            <v>par772025/26</v>
          </cell>
          <cell r="B1575" t="str">
            <v>AUTOMOTIVO</v>
          </cell>
          <cell r="C1575" t="str">
            <v>Bandeja</v>
          </cell>
          <cell r="D1575" t="str">
            <v>SIMPLES</v>
          </cell>
          <cell r="E1575" t="str">
            <v>SPARE</v>
          </cell>
        </row>
        <row r="1576">
          <cell r="A1576" t="str">
            <v>par772027/28</v>
          </cell>
          <cell r="B1576" t="str">
            <v>AUTOMOTIVO</v>
          </cell>
          <cell r="C1576" t="str">
            <v>Bandeja</v>
          </cell>
          <cell r="D1576" t="str">
            <v>SIMPLES</v>
          </cell>
          <cell r="E1576" t="str">
            <v>SPARE</v>
          </cell>
        </row>
        <row r="1577">
          <cell r="A1577" t="str">
            <v>par772031/2</v>
          </cell>
          <cell r="B1577" t="str">
            <v>AUTOMOTIVO</v>
          </cell>
          <cell r="C1577" t="str">
            <v>Bandeja</v>
          </cell>
          <cell r="D1577" t="str">
            <v>SIMPLES</v>
          </cell>
          <cell r="E1577" t="str">
            <v>SPARE</v>
          </cell>
        </row>
        <row r="1578">
          <cell r="A1578" t="str">
            <v>PAR-772042/43</v>
          </cell>
          <cell r="B1578" t="str">
            <v>AUTOMOTIVO</v>
          </cell>
          <cell r="C1578" t="str">
            <v>BANDEJA</v>
          </cell>
          <cell r="D1578" t="str">
            <v>SIMPLES</v>
          </cell>
          <cell r="E1578" t="str">
            <v>SPARE</v>
          </cell>
        </row>
        <row r="1579">
          <cell r="A1579" t="str">
            <v>par772052/53</v>
          </cell>
          <cell r="B1579" t="str">
            <v>AUTOMOTIVO</v>
          </cell>
          <cell r="C1579" t="str">
            <v>Bandeja</v>
          </cell>
          <cell r="D1579" t="str">
            <v>SIMPLES</v>
          </cell>
          <cell r="E1579" t="str">
            <v>SPARE</v>
          </cell>
        </row>
        <row r="1580">
          <cell r="A1580" t="str">
            <v>par772054/55</v>
          </cell>
          <cell r="B1580" t="str">
            <v>AUTOMOTIVO</v>
          </cell>
          <cell r="C1580" t="str">
            <v>Bandeja</v>
          </cell>
          <cell r="D1580" t="str">
            <v>SIMPLES</v>
          </cell>
          <cell r="E1580" t="str">
            <v>SPARE</v>
          </cell>
        </row>
        <row r="1581">
          <cell r="A1581" t="str">
            <v>par772054/55p</v>
          </cell>
          <cell r="B1581" t="str">
            <v>AUTOMOTIVO</v>
          </cell>
          <cell r="C1581" t="str">
            <v>BANDEJA</v>
          </cell>
          <cell r="D1581" t="str">
            <v>SIMPLES</v>
          </cell>
          <cell r="E1581" t="str">
            <v>SPARE</v>
          </cell>
        </row>
        <row r="1582">
          <cell r="A1582" t="str">
            <v>PAR-772088/89</v>
          </cell>
          <cell r="B1582" t="str">
            <v>AUTOMOTIVO</v>
          </cell>
          <cell r="C1582" t="str">
            <v>Bandeja</v>
          </cell>
          <cell r="D1582" t="str">
            <v>SIMPLES</v>
          </cell>
          <cell r="E1582" t="str">
            <v>SPARE</v>
          </cell>
        </row>
        <row r="1583">
          <cell r="A1583" t="str">
            <v>Par772100/1</v>
          </cell>
          <cell r="B1583" t="str">
            <v>AUTOMOTIVO</v>
          </cell>
          <cell r="C1583" t="str">
            <v>Bandeja</v>
          </cell>
          <cell r="D1583" t="str">
            <v>SIMPLES</v>
          </cell>
          <cell r="E1583" t="str">
            <v>SPARE</v>
          </cell>
        </row>
        <row r="1584">
          <cell r="A1584" t="str">
            <v>par772102/3</v>
          </cell>
          <cell r="B1584" t="str">
            <v>AUTOMOTIVO</v>
          </cell>
          <cell r="C1584" t="str">
            <v>Bandeja</v>
          </cell>
          <cell r="D1584" t="str">
            <v>SIMPLES</v>
          </cell>
          <cell r="E1584" t="str">
            <v>SPARE</v>
          </cell>
        </row>
        <row r="1585">
          <cell r="A1585" t="str">
            <v>par772102-p</v>
          </cell>
          <cell r="B1585" t="str">
            <v>AUTOMOTIVO</v>
          </cell>
          <cell r="C1585" t="str">
            <v>Pivô</v>
          </cell>
          <cell r="D1585" t="str">
            <v>SIMPLES</v>
          </cell>
          <cell r="E1585" t="str">
            <v>SPARE</v>
          </cell>
        </row>
        <row r="1586">
          <cell r="A1586" t="str">
            <v>PAR772104/05</v>
          </cell>
          <cell r="B1586" t="str">
            <v>AUTOMOTIVO</v>
          </cell>
          <cell r="C1586" t="str">
            <v>Bandeja</v>
          </cell>
          <cell r="D1586" t="str">
            <v>SIMPLES</v>
          </cell>
          <cell r="E1586" t="str">
            <v>SPARE</v>
          </cell>
        </row>
        <row r="1587">
          <cell r="A1587" t="str">
            <v>PAR772106/07</v>
          </cell>
          <cell r="B1587" t="str">
            <v>AUTOMOTIVO</v>
          </cell>
          <cell r="C1587" t="str">
            <v>Bandeja</v>
          </cell>
          <cell r="D1587" t="str">
            <v>SIMPLES</v>
          </cell>
          <cell r="E1587" t="str">
            <v>SPARE</v>
          </cell>
        </row>
        <row r="1588">
          <cell r="A1588" t="str">
            <v>PAR77214445/1</v>
          </cell>
          <cell r="B1588" t="str">
            <v>AUTOMOTIVO</v>
          </cell>
          <cell r="C1588" t="str">
            <v>Bandeja</v>
          </cell>
          <cell r="D1588" t="str">
            <v>SIMPLES</v>
          </cell>
          <cell r="E1588" t="str">
            <v>SPARE</v>
          </cell>
        </row>
        <row r="1589">
          <cell r="A1589" t="str">
            <v>PAR772154/55</v>
          </cell>
          <cell r="B1589" t="str">
            <v>AUTOMOTIVO</v>
          </cell>
          <cell r="C1589" t="str">
            <v>Bandeja</v>
          </cell>
          <cell r="D1589" t="str">
            <v>SIMPLES</v>
          </cell>
          <cell r="E1589" t="str">
            <v>SPARE</v>
          </cell>
        </row>
        <row r="1590">
          <cell r="A1590" t="str">
            <v>PAR772156/57</v>
          </cell>
          <cell r="B1590" t="str">
            <v>AUTOMOTIVO</v>
          </cell>
          <cell r="C1590" t="str">
            <v>Bandeja</v>
          </cell>
          <cell r="D1590" t="str">
            <v>SIMPLES</v>
          </cell>
          <cell r="E1590" t="str">
            <v>SPARE</v>
          </cell>
        </row>
        <row r="1591">
          <cell r="A1591" t="str">
            <v>PAR-772161/62</v>
          </cell>
          <cell r="B1591" t="str">
            <v>AUTOMOTIVO</v>
          </cell>
          <cell r="C1591" t="str">
            <v>BANDEJA</v>
          </cell>
          <cell r="D1591" t="str">
            <v>SIMPLES</v>
          </cell>
          <cell r="E1591" t="str">
            <v>SPARE</v>
          </cell>
        </row>
        <row r="1592">
          <cell r="A1592" t="str">
            <v>PAR772172/73</v>
          </cell>
          <cell r="B1592" t="str">
            <v>AUTOMOTIVO</v>
          </cell>
          <cell r="C1592" t="str">
            <v>Bandeja</v>
          </cell>
          <cell r="D1592" t="str">
            <v>SIMPLES</v>
          </cell>
          <cell r="E1592" t="str">
            <v>SPARE</v>
          </cell>
        </row>
        <row r="1593">
          <cell r="A1593" t="str">
            <v>PAR-772182/83</v>
          </cell>
          <cell r="B1593" t="str">
            <v>AUTOMOTIVO</v>
          </cell>
          <cell r="C1593" t="str">
            <v>Bandeja</v>
          </cell>
          <cell r="D1593" t="str">
            <v>SIMPLES</v>
          </cell>
          <cell r="E1593" t="str">
            <v>SPARE</v>
          </cell>
        </row>
        <row r="1594">
          <cell r="A1594" t="str">
            <v>PAR-772194</v>
          </cell>
          <cell r="B1594" t="str">
            <v>AUTOMOTIVO</v>
          </cell>
          <cell r="C1594" t="str">
            <v>Bandeja</v>
          </cell>
          <cell r="D1594" t="str">
            <v>SIMPLES</v>
          </cell>
          <cell r="E1594" t="str">
            <v>SPARE</v>
          </cell>
        </row>
        <row r="1595">
          <cell r="A1595" t="str">
            <v>PAR772214/15</v>
          </cell>
          <cell r="B1595" t="str">
            <v>AUTOMOTIVO</v>
          </cell>
          <cell r="C1595" t="str">
            <v>Bandeja</v>
          </cell>
          <cell r="D1595" t="str">
            <v>SIMPLES</v>
          </cell>
          <cell r="E1595" t="str">
            <v>SPARE</v>
          </cell>
        </row>
        <row r="1596">
          <cell r="A1596" t="str">
            <v>PAR-772230/31</v>
          </cell>
          <cell r="B1596" t="str">
            <v>AUTOMOTIVO</v>
          </cell>
          <cell r="C1596" t="str">
            <v>Bandeja</v>
          </cell>
          <cell r="D1596" t="str">
            <v>SIMPLES</v>
          </cell>
          <cell r="E1596" t="str">
            <v>SPARE</v>
          </cell>
        </row>
        <row r="1597">
          <cell r="A1597" t="str">
            <v>PAR772248/49</v>
          </cell>
          <cell r="B1597" t="str">
            <v>AUTOMOTIVO</v>
          </cell>
          <cell r="C1597" t="str">
            <v>Bandeja</v>
          </cell>
          <cell r="D1597" t="str">
            <v>SIMPLES</v>
          </cell>
          <cell r="E1597" t="str">
            <v>SPARE</v>
          </cell>
        </row>
        <row r="1598">
          <cell r="A1598" t="str">
            <v>PAR-882002/03</v>
          </cell>
          <cell r="B1598" t="str">
            <v>AUTOMOTIVO</v>
          </cell>
          <cell r="C1598" t="str">
            <v>Bandeja</v>
          </cell>
          <cell r="D1598" t="str">
            <v>SIMPLES</v>
          </cell>
          <cell r="E1598" t="str">
            <v>SPARE</v>
          </cell>
        </row>
        <row r="1599">
          <cell r="A1599" t="str">
            <v>PAR993001</v>
          </cell>
          <cell r="B1599" t="str">
            <v>AUTOMOTIVO</v>
          </cell>
          <cell r="C1599" t="str">
            <v>Bandeja</v>
          </cell>
          <cell r="D1599" t="str">
            <v>SIMPLES</v>
          </cell>
          <cell r="E1599" t="str">
            <v>SPARE</v>
          </cell>
        </row>
        <row r="1600">
          <cell r="A1600" t="str">
            <v>PAR-FTK00226/27</v>
          </cell>
          <cell r="B1600" t="str">
            <v>AUTOMOTIVO</v>
          </cell>
          <cell r="C1600" t="str">
            <v>Pivô</v>
          </cell>
          <cell r="D1600" t="str">
            <v>SIMPLES</v>
          </cell>
          <cell r="E1600" t="str">
            <v>SPARE</v>
          </cell>
        </row>
        <row r="1601">
          <cell r="A1601" t="str">
            <v>PARFTK00311</v>
          </cell>
          <cell r="B1601" t="str">
            <v>AUTOMOTIVO</v>
          </cell>
          <cell r="C1601" t="str">
            <v>Bandeja</v>
          </cell>
          <cell r="D1601" t="str">
            <v>SIMPLES</v>
          </cell>
          <cell r="E1601" t="str">
            <v>SPARE</v>
          </cell>
        </row>
        <row r="1602">
          <cell r="A1602" t="str">
            <v>PARFTK00605</v>
          </cell>
          <cell r="B1602" t="str">
            <v>AUTOMOTIVO</v>
          </cell>
          <cell r="C1602" t="str">
            <v>Pivo</v>
          </cell>
          <cell r="D1602" t="str">
            <v>SIMPLES</v>
          </cell>
          <cell r="E1602" t="str">
            <v>SPARE</v>
          </cell>
        </row>
        <row r="1603">
          <cell r="A1603" t="str">
            <v>PARFTK00606</v>
          </cell>
          <cell r="B1603" t="str">
            <v>AUTOMOTIVO</v>
          </cell>
          <cell r="C1603" t="str">
            <v>Pivo</v>
          </cell>
          <cell r="D1603" t="str">
            <v>SIMPLES</v>
          </cell>
          <cell r="E1603" t="str">
            <v>SPARE</v>
          </cell>
        </row>
        <row r="1604">
          <cell r="A1604" t="str">
            <v>PAR-FTK00903</v>
          </cell>
          <cell r="B1604" t="str">
            <v>AUTOMOTIVO</v>
          </cell>
          <cell r="C1604" t="str">
            <v>Pivô</v>
          </cell>
          <cell r="D1604" t="str">
            <v>SIMPLES</v>
          </cell>
          <cell r="E1604" t="str">
            <v>SPARE</v>
          </cell>
        </row>
        <row r="1605">
          <cell r="A1605" t="str">
            <v>PARFTK1004/05</v>
          </cell>
          <cell r="B1605" t="str">
            <v>AUTOMOTIVO</v>
          </cell>
          <cell r="C1605" t="str">
            <v>Pivô</v>
          </cell>
          <cell r="D1605" t="str">
            <v>SIMPLES</v>
          </cell>
          <cell r="E1605" t="str">
            <v>SPARE</v>
          </cell>
        </row>
        <row r="1606">
          <cell r="A1606" t="str">
            <v>PAR-FTK11003</v>
          </cell>
          <cell r="B1606" t="str">
            <v>AUTOMOTIVO</v>
          </cell>
          <cell r="C1606" t="str">
            <v>Pivô</v>
          </cell>
          <cell r="D1606" t="str">
            <v>SIMPLES</v>
          </cell>
          <cell r="E1606" t="str">
            <v>SPARE</v>
          </cell>
        </row>
        <row r="1607">
          <cell r="A1607" t="str">
            <v>PARFTK11019</v>
          </cell>
          <cell r="B1607" t="str">
            <v>AUTOMOTIVO</v>
          </cell>
          <cell r="C1607" t="str">
            <v>Pivo</v>
          </cell>
          <cell r="D1607" t="str">
            <v>SIMPLES</v>
          </cell>
          <cell r="E1607" t="str">
            <v>SPARE</v>
          </cell>
        </row>
        <row r="1608">
          <cell r="A1608" t="str">
            <v>PAR-FTK11019</v>
          </cell>
          <cell r="B1608" t="str">
            <v>AUTOMOTIVO</v>
          </cell>
          <cell r="C1608" t="str">
            <v>Pivô</v>
          </cell>
          <cell r="D1608" t="str">
            <v>SIMPLES</v>
          </cell>
          <cell r="E1608" t="str">
            <v>SPARE</v>
          </cell>
        </row>
        <row r="1609">
          <cell r="A1609" t="str">
            <v>PARFTK-11020</v>
          </cell>
          <cell r="B1609" t="str">
            <v>AUTOMOTIVO</v>
          </cell>
          <cell r="C1609" t="str">
            <v>Pivô</v>
          </cell>
          <cell r="D1609" t="str">
            <v>SIMPLES</v>
          </cell>
          <cell r="E1609" t="str">
            <v>SPARE</v>
          </cell>
        </row>
        <row r="1610">
          <cell r="A1610" t="str">
            <v>PARFTK11021</v>
          </cell>
          <cell r="B1610" t="str">
            <v>AUTOMOTIVO</v>
          </cell>
          <cell r="C1610" t="str">
            <v>Pivo</v>
          </cell>
          <cell r="D1610" t="str">
            <v>SIMPLES</v>
          </cell>
          <cell r="E1610" t="str">
            <v>SPARE</v>
          </cell>
        </row>
        <row r="1611">
          <cell r="A1611" t="str">
            <v>PAR-FTK11022</v>
          </cell>
          <cell r="B1611" t="str">
            <v>AUTOMOTIVO</v>
          </cell>
          <cell r="C1611" t="str">
            <v>Pivô</v>
          </cell>
          <cell r="D1611" t="str">
            <v>SIMPLES</v>
          </cell>
          <cell r="E1611" t="str">
            <v>SPARE</v>
          </cell>
        </row>
        <row r="1612">
          <cell r="A1612" t="str">
            <v>PAR-FTK11026</v>
          </cell>
          <cell r="B1612" t="str">
            <v>AUTOMOTIVO</v>
          </cell>
          <cell r="C1612" t="str">
            <v>Pastilha Freio</v>
          </cell>
          <cell r="D1612" t="str">
            <v>SIMPLES</v>
          </cell>
          <cell r="E1612" t="str">
            <v>SPARE</v>
          </cell>
        </row>
        <row r="1613">
          <cell r="A1613" t="str">
            <v>PARFTK11030</v>
          </cell>
          <cell r="B1613" t="str">
            <v>AUTOMOTIVO</v>
          </cell>
          <cell r="C1613" t="str">
            <v>Pivô</v>
          </cell>
          <cell r="D1613" t="str">
            <v>SIMPLES</v>
          </cell>
          <cell r="E1613" t="str">
            <v>SPARE</v>
          </cell>
        </row>
        <row r="1614">
          <cell r="A1614" t="str">
            <v>PAR-FTK11032</v>
          </cell>
          <cell r="B1614" t="str">
            <v>AUTOMOTIVO</v>
          </cell>
          <cell r="C1614" t="str">
            <v>Pivo</v>
          </cell>
          <cell r="D1614" t="str">
            <v>SIMPLES</v>
          </cell>
          <cell r="E1614" t="str">
            <v>SPARE</v>
          </cell>
        </row>
        <row r="1615">
          <cell r="A1615" t="str">
            <v>PAR-FTK11038</v>
          </cell>
          <cell r="B1615" t="str">
            <v>AUTOMOTIVO</v>
          </cell>
          <cell r="C1615" t="str">
            <v>Pivô</v>
          </cell>
          <cell r="D1615" t="str">
            <v>SIMPLES</v>
          </cell>
          <cell r="E1615" t="str">
            <v>SPARE</v>
          </cell>
        </row>
        <row r="1616">
          <cell r="A1616" t="str">
            <v>PARFTK11042/43</v>
          </cell>
          <cell r="B1616" t="str">
            <v>AUTOMOTIVO</v>
          </cell>
          <cell r="C1616" t="str">
            <v>Pivô</v>
          </cell>
          <cell r="D1616" t="str">
            <v>SIMPLES</v>
          </cell>
          <cell r="E1616" t="str">
            <v>SPARE</v>
          </cell>
        </row>
        <row r="1617">
          <cell r="A1617" t="str">
            <v>PAR-FTK11045</v>
          </cell>
          <cell r="B1617" t="str">
            <v>AUTOMOTIVO</v>
          </cell>
          <cell r="C1617" t="str">
            <v>Pivô</v>
          </cell>
          <cell r="D1617" t="str">
            <v>SIMPLES</v>
          </cell>
          <cell r="E1617" t="str">
            <v>SPARE</v>
          </cell>
        </row>
        <row r="1618">
          <cell r="A1618" t="str">
            <v>PARFTK11048</v>
          </cell>
          <cell r="B1618" t="str">
            <v>AUTOMOTIVO</v>
          </cell>
          <cell r="C1618" t="str">
            <v>Pivô</v>
          </cell>
          <cell r="D1618" t="str">
            <v>SIMPLES</v>
          </cell>
          <cell r="E1618" t="str">
            <v>SPARE</v>
          </cell>
        </row>
        <row r="1619">
          <cell r="A1619" t="str">
            <v>PARFTK11052/53</v>
          </cell>
          <cell r="B1619" t="str">
            <v>AUTOMOTIVO</v>
          </cell>
          <cell r="C1619" t="str">
            <v>Pivô</v>
          </cell>
          <cell r="D1619" t="str">
            <v>SIMPLES</v>
          </cell>
          <cell r="E1619" t="str">
            <v>SPARE</v>
          </cell>
        </row>
        <row r="1620">
          <cell r="A1620" t="str">
            <v>PARFTK11055</v>
          </cell>
          <cell r="B1620" t="str">
            <v>AUTOMOTIVO</v>
          </cell>
          <cell r="C1620" t="str">
            <v>Pivô</v>
          </cell>
          <cell r="D1620" t="str">
            <v>SIMPLES</v>
          </cell>
          <cell r="E1620" t="str">
            <v>SPARE</v>
          </cell>
        </row>
        <row r="1621">
          <cell r="A1621" t="str">
            <v>PAR-FTK11056/57</v>
          </cell>
          <cell r="B1621" t="str">
            <v>AUTOMOTIVO</v>
          </cell>
          <cell r="C1621" t="str">
            <v>Pivô</v>
          </cell>
          <cell r="D1621" t="str">
            <v>SIMPLES</v>
          </cell>
          <cell r="E1621" t="str">
            <v>SPARE</v>
          </cell>
        </row>
        <row r="1622">
          <cell r="A1622" t="str">
            <v>PARFTK11058</v>
          </cell>
          <cell r="B1622" t="str">
            <v>AUTOMOTIVO</v>
          </cell>
          <cell r="C1622" t="str">
            <v>Pivô</v>
          </cell>
          <cell r="D1622" t="str">
            <v>SIMPLES</v>
          </cell>
          <cell r="E1622" t="str">
            <v>SPARE</v>
          </cell>
        </row>
        <row r="1623">
          <cell r="A1623" t="str">
            <v>PAR-FTK11058</v>
          </cell>
          <cell r="B1623" t="str">
            <v>AUTOMOTIVO</v>
          </cell>
          <cell r="C1623" t="str">
            <v>Pivô</v>
          </cell>
          <cell r="D1623" t="str">
            <v>SIMPLES</v>
          </cell>
          <cell r="E1623" t="str">
            <v>SPARE</v>
          </cell>
        </row>
        <row r="1624">
          <cell r="A1624" t="str">
            <v>PAR-FTK11110</v>
          </cell>
          <cell r="B1624" t="str">
            <v>AUTOMOTIVO</v>
          </cell>
          <cell r="C1624" t="str">
            <v>Pivô</v>
          </cell>
          <cell r="D1624" t="str">
            <v>SIMPLES</v>
          </cell>
          <cell r="E1624" t="str">
            <v>SPARE</v>
          </cell>
        </row>
        <row r="1625">
          <cell r="A1625" t="str">
            <v>PAR-FTK18169</v>
          </cell>
          <cell r="B1625" t="str">
            <v>AUTOMOTIVO</v>
          </cell>
          <cell r="C1625" t="str">
            <v>Bandeja</v>
          </cell>
          <cell r="D1625" t="str">
            <v>SIMPLES</v>
          </cell>
          <cell r="E1625" t="str">
            <v>SPARE</v>
          </cell>
        </row>
        <row r="1626">
          <cell r="A1626" t="str">
            <v>PAR-FTK18583</v>
          </cell>
          <cell r="B1626" t="str">
            <v>AUTOMOTIVO</v>
          </cell>
          <cell r="C1626" t="str">
            <v>Bandeja</v>
          </cell>
          <cell r="D1626" t="str">
            <v>SIMPLES</v>
          </cell>
          <cell r="E1626" t="str">
            <v>SPARE</v>
          </cell>
        </row>
        <row r="1627">
          <cell r="A1627" t="str">
            <v>PARFTK22002/03</v>
          </cell>
          <cell r="B1627" t="str">
            <v>AUTOMOTIVO</v>
          </cell>
          <cell r="C1627" t="str">
            <v>Pivô</v>
          </cell>
          <cell r="D1627" t="str">
            <v>SIMPLES</v>
          </cell>
          <cell r="E1627" t="str">
            <v>SPARE</v>
          </cell>
        </row>
        <row r="1628">
          <cell r="A1628" t="str">
            <v>PAR-FTK22104</v>
          </cell>
          <cell r="B1628" t="str">
            <v>AUTOMOTIVO</v>
          </cell>
          <cell r="C1628" t="str">
            <v>Pivô</v>
          </cell>
          <cell r="D1628" t="str">
            <v>SIMPLES</v>
          </cell>
          <cell r="E1628" t="str">
            <v>SPARE</v>
          </cell>
        </row>
        <row r="1629">
          <cell r="A1629" t="str">
            <v>PARFTK22182</v>
          </cell>
          <cell r="B1629" t="str">
            <v>AUTOMOTIVO</v>
          </cell>
          <cell r="C1629" t="str">
            <v>Pivô</v>
          </cell>
          <cell r="D1629" t="str">
            <v>SIMPLES</v>
          </cell>
          <cell r="E1629" t="str">
            <v>SPARE</v>
          </cell>
        </row>
        <row r="1630">
          <cell r="A1630" t="str">
            <v>PAR-FTK22182</v>
          </cell>
          <cell r="B1630" t="str">
            <v>AUTOMOTIVO</v>
          </cell>
          <cell r="C1630" t="str">
            <v>Pivô</v>
          </cell>
          <cell r="D1630" t="str">
            <v>SIMPLES</v>
          </cell>
          <cell r="E1630" t="str">
            <v>SPARE</v>
          </cell>
        </row>
        <row r="1631">
          <cell r="A1631" t="str">
            <v>PAR-FTK22183</v>
          </cell>
          <cell r="B1631" t="str">
            <v>AUTOMOTIVO</v>
          </cell>
          <cell r="C1631" t="str">
            <v>Pivô</v>
          </cell>
          <cell r="D1631" t="str">
            <v>SIMPLES</v>
          </cell>
          <cell r="E1631" t="str">
            <v>SPARE</v>
          </cell>
        </row>
        <row r="1632">
          <cell r="A1632" t="str">
            <v>PARFTK222014</v>
          </cell>
          <cell r="B1632" t="str">
            <v>AUTOMOTIVO</v>
          </cell>
          <cell r="C1632" t="str">
            <v>Pivô</v>
          </cell>
          <cell r="D1632" t="str">
            <v>SIMPLES</v>
          </cell>
          <cell r="E1632" t="str">
            <v>SPARE</v>
          </cell>
        </row>
        <row r="1633">
          <cell r="A1633" t="str">
            <v>PARFTK33395</v>
          </cell>
          <cell r="B1633" t="str">
            <v>AUTOMOTIVO</v>
          </cell>
          <cell r="C1633" t="str">
            <v>Pivô</v>
          </cell>
          <cell r="D1633" t="str">
            <v>SIMPLES</v>
          </cell>
          <cell r="E1633" t="str">
            <v>SPARE</v>
          </cell>
        </row>
        <row r="1634">
          <cell r="A1634" t="str">
            <v>PAR-FTK33395</v>
          </cell>
          <cell r="B1634" t="str">
            <v>AUTOMOTIVO</v>
          </cell>
          <cell r="C1634" t="str">
            <v>Pivo</v>
          </cell>
          <cell r="D1634" t="str">
            <v>SIMPLES</v>
          </cell>
          <cell r="E1634" t="str">
            <v>SPARE</v>
          </cell>
        </row>
        <row r="1635">
          <cell r="A1635" t="str">
            <v>PAR-FTK77365/66</v>
          </cell>
          <cell r="B1635" t="str">
            <v>AUTOMOTIVO</v>
          </cell>
          <cell r="C1635" t="str">
            <v>Pivô</v>
          </cell>
          <cell r="D1635" t="str">
            <v>SIMPLES</v>
          </cell>
          <cell r="E1635" t="str">
            <v>SPARE</v>
          </cell>
        </row>
        <row r="1636">
          <cell r="A1636" t="str">
            <v>PAR-PFTK22183</v>
          </cell>
          <cell r="B1636" t="str">
            <v>AUTOMOTIVO</v>
          </cell>
          <cell r="C1636" t="str">
            <v>Pivô</v>
          </cell>
          <cell r="D1636" t="str">
            <v>SIMPLES</v>
          </cell>
          <cell r="E1636" t="str">
            <v>SPARE</v>
          </cell>
        </row>
        <row r="1637">
          <cell r="A1637" t="str">
            <v>par-pivô442090</v>
          </cell>
          <cell r="B1637" t="str">
            <v>AUTOMOTIVO</v>
          </cell>
          <cell r="C1637" t="str">
            <v>Pivô</v>
          </cell>
          <cell r="D1637" t="str">
            <v>SIMPLES</v>
          </cell>
          <cell r="E1637" t="str">
            <v>SPARE</v>
          </cell>
        </row>
        <row r="1638">
          <cell r="A1638" t="str">
            <v>PAR-PVI0311</v>
          </cell>
          <cell r="B1638" t="str">
            <v>AUTOMOTIVO</v>
          </cell>
          <cell r="C1638" t="str">
            <v>Pivô</v>
          </cell>
          <cell r="D1638" t="str">
            <v>SIMPLES</v>
          </cell>
          <cell r="E1638" t="str">
            <v>SPARE</v>
          </cell>
        </row>
        <row r="1639">
          <cell r="A1639" t="str">
            <v>PAR-PVI0605</v>
          </cell>
          <cell r="B1639" t="str">
            <v>AUTOMOTIVO</v>
          </cell>
          <cell r="C1639" t="str">
            <v>Pivô</v>
          </cell>
          <cell r="D1639" t="str">
            <v>SIMPLES</v>
          </cell>
          <cell r="E1639" t="str">
            <v>SPARE</v>
          </cell>
        </row>
        <row r="1640">
          <cell r="A1640" t="str">
            <v>PAR-PVI0606</v>
          </cell>
          <cell r="B1640" t="str">
            <v>AUTOMOTIVO</v>
          </cell>
          <cell r="C1640" t="str">
            <v>Pivô</v>
          </cell>
          <cell r="D1640" t="str">
            <v>SIMPLES</v>
          </cell>
          <cell r="E1640" t="str">
            <v>SPARE</v>
          </cell>
        </row>
        <row r="1641">
          <cell r="A1641" t="str">
            <v>PAR-PVI0903</v>
          </cell>
          <cell r="B1641" t="str">
            <v>AUTOMOTIVO</v>
          </cell>
          <cell r="C1641" t="str">
            <v>Pivô</v>
          </cell>
          <cell r="D1641" t="str">
            <v>SIMPLES</v>
          </cell>
          <cell r="E1641" t="str">
            <v>SPARE</v>
          </cell>
        </row>
        <row r="1642">
          <cell r="A1642" t="str">
            <v>PAR-PVI1003</v>
          </cell>
          <cell r="B1642" t="str">
            <v>AUTOMOTIVO</v>
          </cell>
          <cell r="C1642" t="str">
            <v>Pivô</v>
          </cell>
          <cell r="D1642" t="str">
            <v>SIMPLES</v>
          </cell>
          <cell r="E1642" t="str">
            <v>SPARE</v>
          </cell>
        </row>
        <row r="1643">
          <cell r="A1643" t="str">
            <v>PAR-PVI1004/05</v>
          </cell>
          <cell r="B1643" t="str">
            <v>AUTOMOTIVO</v>
          </cell>
          <cell r="C1643" t="str">
            <v>Pivô</v>
          </cell>
          <cell r="D1643" t="str">
            <v>SIMPLES</v>
          </cell>
          <cell r="E1643" t="str">
            <v>SPARE</v>
          </cell>
        </row>
        <row r="1644">
          <cell r="A1644" t="str">
            <v>PAR-PVI1019</v>
          </cell>
          <cell r="B1644" t="str">
            <v>AUTOMOTIVO</v>
          </cell>
          <cell r="C1644" t="str">
            <v>Pivô</v>
          </cell>
          <cell r="D1644" t="str">
            <v>SIMPLES</v>
          </cell>
          <cell r="E1644" t="str">
            <v>SPARE</v>
          </cell>
        </row>
        <row r="1645">
          <cell r="A1645" t="str">
            <v>PAR-PVI1021</v>
          </cell>
          <cell r="B1645" t="str">
            <v>AUTOMOTIVO</v>
          </cell>
          <cell r="C1645" t="str">
            <v>Pivô</v>
          </cell>
          <cell r="D1645" t="str">
            <v>SIMPLES</v>
          </cell>
          <cell r="E1645" t="str">
            <v>SPARE</v>
          </cell>
        </row>
        <row r="1646">
          <cell r="A1646" t="str">
            <v>PAR-PVI1022</v>
          </cell>
          <cell r="B1646" t="str">
            <v>AUTOMOTIVO</v>
          </cell>
          <cell r="C1646" t="str">
            <v>Pivô</v>
          </cell>
          <cell r="D1646" t="str">
            <v>SIMPLES</v>
          </cell>
          <cell r="E1646" t="str">
            <v>SPARE</v>
          </cell>
        </row>
        <row r="1647">
          <cell r="A1647" t="str">
            <v>PAR-PVI1026</v>
          </cell>
          <cell r="B1647" t="str">
            <v>AUTOMOTIVO</v>
          </cell>
          <cell r="C1647" t="str">
            <v>Pivô</v>
          </cell>
          <cell r="D1647" t="str">
            <v>SIMPLES</v>
          </cell>
          <cell r="E1647" t="str">
            <v>SPARE</v>
          </cell>
        </row>
        <row r="1648">
          <cell r="A1648" t="str">
            <v>PAR-PVI1030</v>
          </cell>
          <cell r="B1648" t="str">
            <v>AUTOMOTIVO</v>
          </cell>
          <cell r="C1648" t="str">
            <v>Pivô</v>
          </cell>
          <cell r="D1648" t="str">
            <v>SIMPLES</v>
          </cell>
          <cell r="E1648" t="str">
            <v>SPARE</v>
          </cell>
        </row>
        <row r="1649">
          <cell r="A1649" t="str">
            <v>par-pvi1032/5113</v>
          </cell>
          <cell r="B1649" t="str">
            <v>AUTOMOTIVO</v>
          </cell>
          <cell r="C1649" t="str">
            <v>Pivô</v>
          </cell>
          <cell r="D1649" t="str">
            <v>SIMPLES</v>
          </cell>
          <cell r="E1649" t="str">
            <v>SPARE</v>
          </cell>
        </row>
        <row r="1650">
          <cell r="A1650" t="str">
            <v>PAR-PVI1047</v>
          </cell>
          <cell r="B1650" t="str">
            <v>AUTOMOTIVO</v>
          </cell>
          <cell r="C1650" t="str">
            <v>Pivô</v>
          </cell>
          <cell r="D1650" t="str">
            <v>SIMPLES</v>
          </cell>
          <cell r="E1650" t="str">
            <v>SPARE</v>
          </cell>
        </row>
        <row r="1651">
          <cell r="A1651" t="str">
            <v>PAR-PVI1048</v>
          </cell>
          <cell r="B1651" t="str">
            <v>AUTOMOTIVO</v>
          </cell>
          <cell r="C1651" t="str">
            <v>Pivô</v>
          </cell>
          <cell r="D1651" t="str">
            <v>SIMPLES</v>
          </cell>
          <cell r="E1651" t="str">
            <v>SPARE</v>
          </cell>
        </row>
        <row r="1652">
          <cell r="A1652" t="str">
            <v>PAR-PVI1049/50</v>
          </cell>
          <cell r="B1652" t="str">
            <v>AUTOMOTIVO</v>
          </cell>
          <cell r="C1652" t="str">
            <v>Pivô</v>
          </cell>
          <cell r="D1652" t="str">
            <v>SIMPLES</v>
          </cell>
          <cell r="E1652" t="str">
            <v>SPARE</v>
          </cell>
        </row>
        <row r="1653">
          <cell r="A1653" t="str">
            <v>PAR-PVI1052/53</v>
          </cell>
          <cell r="B1653" t="str">
            <v>AUTOMOTIVO</v>
          </cell>
          <cell r="C1653" t="str">
            <v>Pivô</v>
          </cell>
          <cell r="D1653" t="str">
            <v>SIMPLES</v>
          </cell>
          <cell r="E1653" t="str">
            <v>SPARE</v>
          </cell>
        </row>
        <row r="1654">
          <cell r="A1654" t="str">
            <v>PARPVI1055</v>
          </cell>
          <cell r="B1654" t="str">
            <v>AUTOMOTIVO</v>
          </cell>
          <cell r="C1654" t="str">
            <v>Pivô</v>
          </cell>
          <cell r="D1654" t="str">
            <v>SIMPLES</v>
          </cell>
          <cell r="E1654" t="str">
            <v>SPARE</v>
          </cell>
        </row>
        <row r="1655">
          <cell r="A1655" t="str">
            <v>par-pvi1058</v>
          </cell>
          <cell r="B1655" t="str">
            <v>AUTOMOTIVO</v>
          </cell>
          <cell r="C1655" t="str">
            <v>Pivô</v>
          </cell>
          <cell r="D1655" t="str">
            <v>SIMPLES</v>
          </cell>
          <cell r="E1655" t="str">
            <v>SPARE</v>
          </cell>
        </row>
        <row r="1656">
          <cell r="A1656" t="str">
            <v>PAR-PVI112050</v>
          </cell>
          <cell r="B1656" t="str">
            <v>AUTOMOTIVO</v>
          </cell>
          <cell r="C1656" t="str">
            <v>Pivô</v>
          </cell>
          <cell r="D1656" t="str">
            <v>SIMPLES</v>
          </cell>
          <cell r="E1656" t="str">
            <v>SPARE</v>
          </cell>
        </row>
        <row r="1657">
          <cell r="A1657" t="str">
            <v>PAR-PVI2002/03</v>
          </cell>
          <cell r="B1657" t="str">
            <v>AUTOMOTIVO</v>
          </cell>
          <cell r="C1657" t="str">
            <v>Pivô</v>
          </cell>
          <cell r="D1657" t="str">
            <v>SIMPLES</v>
          </cell>
          <cell r="E1657" t="str">
            <v>SPARE</v>
          </cell>
        </row>
        <row r="1658">
          <cell r="A1658" t="str">
            <v>PAR-PVI2004</v>
          </cell>
          <cell r="B1658" t="str">
            <v>AUTOMOTIVO</v>
          </cell>
          <cell r="C1658" t="str">
            <v>Pivô</v>
          </cell>
          <cell r="D1658" t="str">
            <v>SIMPLES</v>
          </cell>
          <cell r="E1658" t="str">
            <v>SPARE</v>
          </cell>
        </row>
        <row r="1659">
          <cell r="A1659" t="str">
            <v>PAR-PVI2104</v>
          </cell>
          <cell r="B1659" t="str">
            <v>AUTOMOTIVO</v>
          </cell>
          <cell r="C1659" t="str">
            <v>Pivô</v>
          </cell>
          <cell r="D1659" t="str">
            <v>SIMPLES</v>
          </cell>
          <cell r="E1659" t="str">
            <v>SPARE</v>
          </cell>
        </row>
        <row r="1660">
          <cell r="A1660" t="str">
            <v>PAR-PVI2182</v>
          </cell>
          <cell r="B1660" t="str">
            <v>AUTOMOTIVO</v>
          </cell>
          <cell r="C1660" t="str">
            <v>Pivô</v>
          </cell>
          <cell r="D1660" t="str">
            <v>SIMPLES</v>
          </cell>
          <cell r="E1660" t="str">
            <v>SPARE</v>
          </cell>
        </row>
        <row r="1661">
          <cell r="A1661" t="str">
            <v>PAR-PVI2183</v>
          </cell>
          <cell r="B1661" t="str">
            <v>AUTOMOTIVO</v>
          </cell>
          <cell r="C1661" t="str">
            <v>Pivô</v>
          </cell>
          <cell r="D1661" t="str">
            <v>SIMPLES</v>
          </cell>
          <cell r="E1661" t="str">
            <v>SPARE</v>
          </cell>
        </row>
        <row r="1662">
          <cell r="A1662" t="str">
            <v>PARPVI22002/03</v>
          </cell>
          <cell r="B1662" t="str">
            <v>AUTOMOTIVO</v>
          </cell>
          <cell r="C1662" t="str">
            <v>Pivô</v>
          </cell>
          <cell r="D1662" t="str">
            <v>SIMPLES</v>
          </cell>
          <cell r="E1662" t="str">
            <v>SPARE</v>
          </cell>
        </row>
        <row r="1663">
          <cell r="A1663" t="str">
            <v>PAR-PVI2404</v>
          </cell>
          <cell r="B1663" t="str">
            <v>AUTOMOTIVO</v>
          </cell>
          <cell r="C1663" t="str">
            <v>Pivô</v>
          </cell>
          <cell r="D1663" t="str">
            <v>SIMPLES</v>
          </cell>
          <cell r="E1663" t="str">
            <v>SPARE</v>
          </cell>
        </row>
        <row r="1664">
          <cell r="A1664" t="str">
            <v>PAR-PVI3395</v>
          </cell>
          <cell r="B1664" t="str">
            <v>AUTOMOTIVO</v>
          </cell>
          <cell r="C1664" t="str">
            <v>Pivô</v>
          </cell>
          <cell r="D1664" t="str">
            <v>SIMPLES</v>
          </cell>
          <cell r="E1664" t="str">
            <v>SPARE</v>
          </cell>
        </row>
        <row r="1665">
          <cell r="A1665" t="str">
            <v>PAR-PVI442090/91</v>
          </cell>
          <cell r="B1665" t="str">
            <v>AUTOMOTIVO</v>
          </cell>
          <cell r="C1665" t="str">
            <v>Pivô</v>
          </cell>
          <cell r="D1665" t="str">
            <v>SIMPLES</v>
          </cell>
          <cell r="E1665" t="str">
            <v>SPARE</v>
          </cell>
        </row>
        <row r="1666">
          <cell r="A1666" t="str">
            <v>PAR-PVI772102</v>
          </cell>
          <cell r="B1666" t="str">
            <v>AUTOMOTIVO</v>
          </cell>
          <cell r="C1666" t="str">
            <v>Pivô</v>
          </cell>
          <cell r="D1666" t="str">
            <v>SIMPLES</v>
          </cell>
          <cell r="E1666" t="str">
            <v>SPARE</v>
          </cell>
        </row>
        <row r="1667">
          <cell r="A1667" t="str">
            <v>PAR-T112006</v>
          </cell>
          <cell r="B1667" t="str">
            <v>AUTOMOTIVO</v>
          </cell>
          <cell r="C1667" t="str">
            <v>Pivô</v>
          </cell>
          <cell r="D1667" t="str">
            <v>SIMPLES</v>
          </cell>
          <cell r="E1667" t="str">
            <v>SPARE</v>
          </cell>
        </row>
        <row r="1668">
          <cell r="A1668" t="str">
            <v>Pivo-332092-5233</v>
          </cell>
          <cell r="B1668" t="str">
            <v>AUTOMOTIVO</v>
          </cell>
          <cell r="C1668" t="str">
            <v>Pivô</v>
          </cell>
          <cell r="D1668" t="str">
            <v>SIMPLES</v>
          </cell>
          <cell r="E1668" t="str">
            <v>SPARE</v>
          </cell>
        </row>
        <row r="1669">
          <cell r="A1669" t="str">
            <v>Pivô-442091</v>
          </cell>
          <cell r="B1669" t="str">
            <v>AUTOMOTIVO</v>
          </cell>
          <cell r="C1669" t="str">
            <v>Pivô</v>
          </cell>
          <cell r="D1669" t="str">
            <v>SIMPLES</v>
          </cell>
          <cell r="E1669" t="str">
            <v>SPARE</v>
          </cell>
        </row>
        <row r="1670">
          <cell r="A1670" t="str">
            <v>PVI0311-5233</v>
          </cell>
          <cell r="B1670" t="str">
            <v>AUTOMOTIVO</v>
          </cell>
          <cell r="C1670" t="str">
            <v>Pivô</v>
          </cell>
          <cell r="D1670" t="str">
            <v>SIMPLES</v>
          </cell>
          <cell r="E1670" t="str">
            <v>SPARE</v>
          </cell>
        </row>
        <row r="1671">
          <cell r="A1671" t="str">
            <v>PVI0605</v>
          </cell>
          <cell r="B1671" t="str">
            <v>AUTOMOTIVO</v>
          </cell>
          <cell r="C1671" t="str">
            <v>Pivô</v>
          </cell>
          <cell r="D1671" t="str">
            <v>SIMPLES</v>
          </cell>
          <cell r="E1671" t="str">
            <v>SPARE</v>
          </cell>
        </row>
        <row r="1672">
          <cell r="A1672" t="str">
            <v>PVI0606</v>
          </cell>
          <cell r="B1672" t="str">
            <v>AUTOMOTIVO</v>
          </cell>
          <cell r="C1672" t="str">
            <v>Pivô</v>
          </cell>
          <cell r="D1672" t="str">
            <v>SIMPLES</v>
          </cell>
          <cell r="E1672" t="str">
            <v>SPARE</v>
          </cell>
        </row>
        <row r="1673">
          <cell r="A1673" t="str">
            <v>PVI1003</v>
          </cell>
          <cell r="B1673" t="str">
            <v>AUTOMOTIVO</v>
          </cell>
          <cell r="C1673" t="str">
            <v>Pivô</v>
          </cell>
          <cell r="D1673" t="str">
            <v>SIMPLES</v>
          </cell>
          <cell r="E1673" t="str">
            <v>SPARE</v>
          </cell>
        </row>
        <row r="1674">
          <cell r="A1674" t="str">
            <v>PVI1004</v>
          </cell>
          <cell r="B1674" t="str">
            <v>AUTOMOTIVO</v>
          </cell>
          <cell r="C1674" t="str">
            <v>Pivô</v>
          </cell>
          <cell r="D1674" t="str">
            <v>SIMPLES</v>
          </cell>
          <cell r="E1674" t="str">
            <v>SPARE</v>
          </cell>
        </row>
        <row r="1675">
          <cell r="A1675" t="str">
            <v>PVI1005</v>
          </cell>
          <cell r="B1675" t="str">
            <v>AUTOMOTIVO</v>
          </cell>
          <cell r="C1675" t="str">
            <v>Pivô</v>
          </cell>
          <cell r="D1675" t="str">
            <v>SIMPLES</v>
          </cell>
          <cell r="E1675" t="str">
            <v>SPARE</v>
          </cell>
        </row>
        <row r="1676">
          <cell r="A1676" t="str">
            <v>PVI1021</v>
          </cell>
          <cell r="B1676" t="str">
            <v>AUTOMOTIVO</v>
          </cell>
          <cell r="C1676" t="str">
            <v>Pivô</v>
          </cell>
          <cell r="D1676" t="str">
            <v>SIMPLES</v>
          </cell>
          <cell r="E1676" t="str">
            <v>SPARE</v>
          </cell>
        </row>
        <row r="1677">
          <cell r="A1677" t="str">
            <v>PVI1022</v>
          </cell>
          <cell r="B1677" t="str">
            <v>AUTOMOTIVO</v>
          </cell>
          <cell r="C1677" t="str">
            <v>Pivô</v>
          </cell>
          <cell r="D1677" t="str">
            <v>SIMPLES</v>
          </cell>
          <cell r="E1677" t="str">
            <v>SPARE</v>
          </cell>
        </row>
        <row r="1678">
          <cell r="A1678" t="str">
            <v>PVI1026</v>
          </cell>
          <cell r="B1678" t="str">
            <v>AUTOMOTIVO</v>
          </cell>
          <cell r="C1678" t="str">
            <v>Pivô</v>
          </cell>
          <cell r="D1678" t="str">
            <v>SIMPLES</v>
          </cell>
          <cell r="E1678" t="str">
            <v>SPARE</v>
          </cell>
        </row>
        <row r="1679">
          <cell r="A1679" t="str">
            <v>PVI1030</v>
          </cell>
          <cell r="B1679" t="str">
            <v>AUTOMOTIVO</v>
          </cell>
          <cell r="C1679" t="str">
            <v>Pivô</v>
          </cell>
          <cell r="D1679" t="str">
            <v>SIMPLES</v>
          </cell>
          <cell r="E1679" t="str">
            <v>SPARE</v>
          </cell>
        </row>
        <row r="1680">
          <cell r="A1680" t="str">
            <v>PVI1047</v>
          </cell>
          <cell r="B1680" t="str">
            <v>AUTOMOTIVO</v>
          </cell>
          <cell r="C1680" t="str">
            <v>Pivô</v>
          </cell>
          <cell r="D1680" t="str">
            <v>SIMPLES</v>
          </cell>
          <cell r="E1680" t="str">
            <v>SPARE</v>
          </cell>
        </row>
        <row r="1681">
          <cell r="A1681" t="str">
            <v>PVI1048</v>
          </cell>
          <cell r="B1681" t="str">
            <v>AUTOMOTIVO</v>
          </cell>
          <cell r="C1681" t="str">
            <v>Pivô</v>
          </cell>
          <cell r="D1681" t="str">
            <v>SIMPLES</v>
          </cell>
          <cell r="E1681" t="str">
            <v>SPARE</v>
          </cell>
        </row>
        <row r="1682">
          <cell r="A1682" t="str">
            <v>PVI1049</v>
          </cell>
          <cell r="B1682" t="str">
            <v>AUTOMOTIVO</v>
          </cell>
          <cell r="C1682" t="str">
            <v>Pivô</v>
          </cell>
          <cell r="D1682" t="str">
            <v>SIMPLES</v>
          </cell>
          <cell r="E1682" t="str">
            <v>SPARE</v>
          </cell>
        </row>
        <row r="1683">
          <cell r="A1683" t="str">
            <v>PVI1058</v>
          </cell>
          <cell r="B1683" t="str">
            <v>AUTOMOTIVO</v>
          </cell>
          <cell r="C1683" t="str">
            <v>Pivô</v>
          </cell>
          <cell r="D1683" t="str">
            <v>SIMPLES</v>
          </cell>
          <cell r="E1683" t="str">
            <v>SPARE</v>
          </cell>
        </row>
        <row r="1684">
          <cell r="A1684" t="str">
            <v>PVI2002</v>
          </cell>
          <cell r="B1684" t="str">
            <v>AUTOMOTIVO</v>
          </cell>
          <cell r="C1684" t="str">
            <v>Pivô</v>
          </cell>
          <cell r="D1684" t="str">
            <v>SIMPLES</v>
          </cell>
          <cell r="E1684" t="str">
            <v>SPARE</v>
          </cell>
        </row>
        <row r="1685">
          <cell r="A1685" t="str">
            <v>PVI2004</v>
          </cell>
          <cell r="B1685" t="str">
            <v>AUTOMOTIVO</v>
          </cell>
          <cell r="C1685" t="str">
            <v>Pivô</v>
          </cell>
          <cell r="D1685" t="str">
            <v>SIMPLES</v>
          </cell>
          <cell r="E1685" t="str">
            <v>SPARE</v>
          </cell>
        </row>
        <row r="1686">
          <cell r="A1686" t="str">
            <v>PVI2182</v>
          </cell>
          <cell r="B1686" t="str">
            <v>AUTOMOTIVO</v>
          </cell>
          <cell r="C1686" t="str">
            <v>Pivô</v>
          </cell>
          <cell r="D1686" t="str">
            <v>SIMPLES</v>
          </cell>
          <cell r="E1686" t="str">
            <v>SPARE</v>
          </cell>
        </row>
        <row r="1687">
          <cell r="A1687" t="str">
            <v>PVI2183</v>
          </cell>
          <cell r="B1687" t="str">
            <v>AUTOMOTIVO</v>
          </cell>
          <cell r="C1687" t="str">
            <v>Pivô</v>
          </cell>
          <cell r="D1687" t="str">
            <v>SIMPLES</v>
          </cell>
          <cell r="E1687" t="str">
            <v>SPARE</v>
          </cell>
        </row>
        <row r="1688">
          <cell r="A1688" t="str">
            <v>PVI3395</v>
          </cell>
          <cell r="B1688" t="str">
            <v>AUTOMOTIVO</v>
          </cell>
          <cell r="C1688" t="str">
            <v>Pivô</v>
          </cell>
          <cell r="D1688" t="str">
            <v>SIMPLES</v>
          </cell>
          <cell r="E1688" t="str">
            <v>SPARE</v>
          </cell>
        </row>
        <row r="1689">
          <cell r="A1689" t="str">
            <v>PVI442090</v>
          </cell>
          <cell r="B1689" t="str">
            <v>AUTOMOTIVO</v>
          </cell>
          <cell r="C1689" t="str">
            <v>Pivô</v>
          </cell>
          <cell r="D1689" t="str">
            <v>SIMPLES</v>
          </cell>
          <cell r="E1689" t="str">
            <v>SPARE</v>
          </cell>
        </row>
        <row r="1690">
          <cell r="A1690" t="str">
            <v>PVI442091</v>
          </cell>
          <cell r="B1690" t="str">
            <v>AUTOMOTIVO</v>
          </cell>
          <cell r="C1690" t="str">
            <v>Pivô</v>
          </cell>
          <cell r="D1690" t="str">
            <v>SIMPLES</v>
          </cell>
          <cell r="E1690" t="str">
            <v>SPARE</v>
          </cell>
        </row>
        <row r="1691">
          <cell r="A1691" t="str">
            <v>Pvi552012</v>
          </cell>
          <cell r="B1691" t="str">
            <v>AUTOMOTIVO</v>
          </cell>
          <cell r="C1691" t="str">
            <v>Pivô</v>
          </cell>
          <cell r="D1691" t="str">
            <v>SIMPLES</v>
          </cell>
          <cell r="E1691" t="str">
            <v>SPARE</v>
          </cell>
        </row>
        <row r="1692">
          <cell r="A1692" t="str">
            <v>PVI772102</v>
          </cell>
          <cell r="B1692" t="str">
            <v>AUTOMOTIVO</v>
          </cell>
          <cell r="C1692" t="str">
            <v>Pivô</v>
          </cell>
          <cell r="D1692" t="str">
            <v>SIMPLES</v>
          </cell>
          <cell r="E1692" t="str">
            <v>SPARE</v>
          </cell>
        </row>
        <row r="1693">
          <cell r="A1693" t="str">
            <v>T112006</v>
          </cell>
          <cell r="B1693" t="str">
            <v>AUTOMOTIVO</v>
          </cell>
          <cell r="C1693" t="str">
            <v>Pivô</v>
          </cell>
          <cell r="D1693" t="str">
            <v>SIMPLES</v>
          </cell>
          <cell r="E1693" t="str">
            <v>SPARE</v>
          </cell>
        </row>
        <row r="1694">
          <cell r="A1694" t="str">
            <v>T-112006</v>
          </cell>
          <cell r="B1694" t="str">
            <v>AUTOMOTIVO</v>
          </cell>
          <cell r="C1694" t="str">
            <v>Terminal Cabo Câmbio</v>
          </cell>
          <cell r="D1694" t="str">
            <v>SIMPLES</v>
          </cell>
          <cell r="E1694" t="str">
            <v>SPARE</v>
          </cell>
        </row>
        <row r="1695">
          <cell r="A1695" t="str">
            <v>332092-5233</v>
          </cell>
          <cell r="B1695" t="str">
            <v>AUTOMOTIVO</v>
          </cell>
          <cell r="C1695" t="str">
            <v>Pivô e Bieleta</v>
          </cell>
          <cell r="D1695" t="str">
            <v>SIMPLES</v>
          </cell>
          <cell r="E1695" t="str">
            <v>SPARE / HOLYMAN</v>
          </cell>
        </row>
        <row r="1696">
          <cell r="A1696" t="str">
            <v>332093-5233</v>
          </cell>
          <cell r="B1696" t="str">
            <v>AUTOMOTIVO</v>
          </cell>
          <cell r="C1696" t="str">
            <v>Pivô e Bieleta</v>
          </cell>
          <cell r="D1696" t="str">
            <v>SIMPLES</v>
          </cell>
          <cell r="E1696" t="str">
            <v>SPARE / HOLYMAN</v>
          </cell>
        </row>
        <row r="1697">
          <cell r="A1697" t="str">
            <v>442090-5307</v>
          </cell>
          <cell r="B1697" t="str">
            <v>AUTOMOTIVO</v>
          </cell>
          <cell r="C1697" t="str">
            <v>Bandeja e Bieleta</v>
          </cell>
          <cell r="D1697" t="str">
            <v>SIMPLES</v>
          </cell>
          <cell r="E1697" t="str">
            <v>SPARE / HOLYMAN</v>
          </cell>
        </row>
        <row r="1698">
          <cell r="A1698" t="str">
            <v>442091-5307</v>
          </cell>
          <cell r="B1698" t="str">
            <v>AUTOMOTIVO</v>
          </cell>
          <cell r="C1698" t="str">
            <v>Bandeja e Bieleta</v>
          </cell>
          <cell r="D1698" t="str">
            <v>SIMPLES</v>
          </cell>
          <cell r="E1698" t="str">
            <v>SPARE / HOLYMAN</v>
          </cell>
        </row>
        <row r="1699">
          <cell r="A1699" t="str">
            <v>442092-5307</v>
          </cell>
          <cell r="B1699" t="str">
            <v>AUTOMOTIVO</v>
          </cell>
          <cell r="C1699" t="str">
            <v>Bandeja e Bieleta</v>
          </cell>
          <cell r="D1699" t="str">
            <v>SIMPLES</v>
          </cell>
          <cell r="E1699" t="str">
            <v>SPARE / HOLYMAN</v>
          </cell>
        </row>
        <row r="1700">
          <cell r="A1700" t="str">
            <v>442093-5307</v>
          </cell>
          <cell r="B1700" t="str">
            <v>AUTOMOTIVO</v>
          </cell>
          <cell r="C1700" t="str">
            <v>Bandeja e Bieleta</v>
          </cell>
          <cell r="D1700" t="str">
            <v>SIMPLES</v>
          </cell>
          <cell r="E1700" t="str">
            <v>SPARE / HOLYMAN</v>
          </cell>
        </row>
        <row r="1701">
          <cell r="A1701" t="str">
            <v>552001-5701</v>
          </cell>
          <cell r="B1701" t="str">
            <v>AUTOMOTIVO</v>
          </cell>
          <cell r="C1701" t="str">
            <v>Bandeja e Bieleta</v>
          </cell>
          <cell r="D1701" t="str">
            <v>SIMPLES</v>
          </cell>
          <cell r="E1701" t="str">
            <v>SPARE / HOLYMAN</v>
          </cell>
        </row>
        <row r="1702">
          <cell r="A1702" t="str">
            <v>552002-5701</v>
          </cell>
          <cell r="B1702" t="str">
            <v>AUTOMOTIVO</v>
          </cell>
          <cell r="C1702" t="str">
            <v>Bandeja e Bieleta</v>
          </cell>
          <cell r="D1702" t="str">
            <v>SIMPLES</v>
          </cell>
          <cell r="E1702" t="str">
            <v>SPARE / HOLYMAN</v>
          </cell>
        </row>
        <row r="1703">
          <cell r="A1703" t="str">
            <v>FTK00311/5233</v>
          </cell>
          <cell r="B1703" t="str">
            <v>AUTOMOTIVO</v>
          </cell>
          <cell r="C1703" t="str">
            <v>Pivô e Bieleta</v>
          </cell>
          <cell r="D1703" t="str">
            <v>SIMPLES</v>
          </cell>
          <cell r="E1703" t="str">
            <v>SPARE / HOLYMAN</v>
          </cell>
        </row>
        <row r="1704">
          <cell r="A1704" t="str">
            <v>PAR332092-5233</v>
          </cell>
          <cell r="B1704" t="str">
            <v>AUTOMOTIVO</v>
          </cell>
          <cell r="C1704" t="str">
            <v>Bandeja e Bieleta</v>
          </cell>
          <cell r="D1704" t="str">
            <v>SIMPLES</v>
          </cell>
          <cell r="E1704" t="str">
            <v>SPARE / HOLYMAN</v>
          </cell>
        </row>
        <row r="1705">
          <cell r="A1705" t="str">
            <v>PAR442090-5307</v>
          </cell>
          <cell r="B1705" t="str">
            <v>AUTOMOTIVO</v>
          </cell>
          <cell r="C1705" t="str">
            <v>Bandeja e Bieleta</v>
          </cell>
          <cell r="D1705" t="str">
            <v>SIMPLES</v>
          </cell>
          <cell r="E1705" t="str">
            <v>SPARE / HOLYMAN</v>
          </cell>
        </row>
        <row r="1706">
          <cell r="A1706" t="str">
            <v>par442092-5307</v>
          </cell>
          <cell r="B1706" t="str">
            <v>AUTOMOTIVO</v>
          </cell>
          <cell r="C1706" t="str">
            <v>Bandeja e Bieleta</v>
          </cell>
          <cell r="D1706" t="str">
            <v>SIMPLES</v>
          </cell>
          <cell r="E1706" t="str">
            <v>SPARE / HOLYMAN</v>
          </cell>
        </row>
        <row r="1707">
          <cell r="A1707" t="str">
            <v>par552002-5701</v>
          </cell>
          <cell r="B1707" t="str">
            <v>AUTOMOTIVO</v>
          </cell>
          <cell r="C1707" t="str">
            <v>Bandeja e Bieleta</v>
          </cell>
          <cell r="D1707" t="str">
            <v>SIMPLES</v>
          </cell>
          <cell r="E1707" t="str">
            <v>SPARE / HOLYMAN</v>
          </cell>
        </row>
        <row r="1708">
          <cell r="A1708" t="str">
            <v>PVI112050/5113</v>
          </cell>
          <cell r="B1708" t="str">
            <v>AUTOMOTIVO</v>
          </cell>
          <cell r="C1708" t="str">
            <v>Pivô e Bieleta</v>
          </cell>
          <cell r="D1708" t="str">
            <v>SIMPLES</v>
          </cell>
          <cell r="E1708" t="str">
            <v>SPARE / HOLYMAN</v>
          </cell>
        </row>
        <row r="1709">
          <cell r="A1709" t="str">
            <v>kit-332052/53-gm001</v>
          </cell>
          <cell r="B1709" t="str">
            <v>AUTOMOTIVO</v>
          </cell>
          <cell r="C1709" t="str">
            <v>Bandeja / Rolamento</v>
          </cell>
          <cell r="D1709" t="str">
            <v>SIMPLES</v>
          </cell>
          <cell r="E1709" t="str">
            <v>SPARE / POLO</v>
          </cell>
        </row>
        <row r="1710">
          <cell r="A1710">
            <v>205051</v>
          </cell>
          <cell r="B1710" t="str">
            <v>AUTOMOTIVO</v>
          </cell>
          <cell r="D1710" t="str">
            <v>SIMPLES</v>
          </cell>
        </row>
        <row r="1711">
          <cell r="A1711" t="str">
            <v>VA-10008</v>
          </cell>
          <cell r="B1711" t="str">
            <v>AUTOMOTIVO</v>
          </cell>
          <cell r="C1711" t="str">
            <v>Aditivos</v>
          </cell>
          <cell r="D1711" t="str">
            <v>SIMPLES</v>
          </cell>
          <cell r="E1711" t="str">
            <v>Valclei</v>
          </cell>
        </row>
        <row r="1712">
          <cell r="A1712" t="str">
            <v>FP270</v>
          </cell>
          <cell r="B1712" t="str">
            <v>AUTOMOTIVO</v>
          </cell>
          <cell r="C1712" t="str">
            <v>Pastilha Freio</v>
          </cell>
          <cell r="D1712" t="str">
            <v>SIMPLES</v>
          </cell>
          <cell r="E1712" t="str">
            <v>WILL TEC</v>
          </cell>
        </row>
        <row r="1713">
          <cell r="A1713" t="str">
            <v>fp963</v>
          </cell>
          <cell r="B1713" t="str">
            <v>AUTOMOTIVO</v>
          </cell>
          <cell r="C1713" t="str">
            <v>Pastilha Freio</v>
          </cell>
          <cell r="D1713" t="str">
            <v>SIMPLES</v>
          </cell>
          <cell r="E1713" t="str">
            <v>WILL TEC</v>
          </cell>
        </row>
        <row r="1714">
          <cell r="A1714" t="str">
            <v>fp991</v>
          </cell>
          <cell r="B1714" t="str">
            <v>AUTOMOTIVO</v>
          </cell>
          <cell r="C1714" t="str">
            <v>Pastilha Freio</v>
          </cell>
          <cell r="D1714" t="str">
            <v>SIMPLES</v>
          </cell>
          <cell r="E1714" t="str">
            <v>WILL TEC</v>
          </cell>
        </row>
        <row r="1715">
          <cell r="A1715" t="str">
            <v>fpi023</v>
          </cell>
          <cell r="B1715" t="str">
            <v>AUTOMOTIVO</v>
          </cell>
          <cell r="C1715" t="str">
            <v>Pastilha Freio</v>
          </cell>
          <cell r="D1715" t="str">
            <v>SIMPLES</v>
          </cell>
          <cell r="E1715" t="str">
            <v>WILL TEC</v>
          </cell>
        </row>
        <row r="1716">
          <cell r="A1716">
            <v>222016</v>
          </cell>
          <cell r="B1716" t="str">
            <v>AUTOMOTIVO</v>
          </cell>
          <cell r="D1716" t="str">
            <v>SIMPLES</v>
          </cell>
        </row>
        <row r="1717">
          <cell r="A1717">
            <v>222017</v>
          </cell>
          <cell r="B1717" t="str">
            <v>AUTOMOTIVO</v>
          </cell>
          <cell r="C1717" t="str">
            <v>Pastilha Freio</v>
          </cell>
          <cell r="D1717" t="str">
            <v>SIMPLES</v>
          </cell>
        </row>
        <row r="1718">
          <cell r="A1718">
            <v>222028</v>
          </cell>
          <cell r="B1718" t="str">
            <v>AUTOMOTIVO</v>
          </cell>
          <cell r="D1718" t="str">
            <v>SIMPLES</v>
          </cell>
        </row>
        <row r="1719">
          <cell r="A1719">
            <v>222069</v>
          </cell>
          <cell r="B1719" t="str">
            <v>AUTOMOTIVO</v>
          </cell>
          <cell r="C1719" t="str">
            <v>Bandeja</v>
          </cell>
          <cell r="D1719" t="str">
            <v>SIMPLES</v>
          </cell>
        </row>
        <row r="1720">
          <cell r="A1720">
            <v>222070</v>
          </cell>
          <cell r="B1720" t="str">
            <v>AUTOMOTIVO</v>
          </cell>
          <cell r="C1720" t="str">
            <v>Pastilha Freio</v>
          </cell>
          <cell r="D1720" t="str">
            <v>SIMPLES</v>
          </cell>
        </row>
        <row r="1721">
          <cell r="A1721">
            <v>222080</v>
          </cell>
          <cell r="B1721" t="str">
            <v>AUTOMOTIVO</v>
          </cell>
          <cell r="D1721" t="str">
            <v>SIMPLES</v>
          </cell>
        </row>
        <row r="1722">
          <cell r="A1722">
            <v>222081</v>
          </cell>
          <cell r="B1722" t="str">
            <v>AUTOMOTIVO</v>
          </cell>
          <cell r="D1722" t="str">
            <v>SIMPLES</v>
          </cell>
        </row>
        <row r="1723">
          <cell r="A1723">
            <v>222090</v>
          </cell>
          <cell r="B1723" t="str">
            <v>AUTOMOTIVO</v>
          </cell>
          <cell r="D1723" t="str">
            <v>SIMPLES</v>
          </cell>
        </row>
        <row r="1724">
          <cell r="A1724">
            <v>222091</v>
          </cell>
          <cell r="B1724" t="str">
            <v>AUTOMOTIVO</v>
          </cell>
          <cell r="D1724" t="str">
            <v>SIMPLES</v>
          </cell>
        </row>
        <row r="1725">
          <cell r="A1725">
            <v>222092</v>
          </cell>
          <cell r="B1725" t="str">
            <v>AUTOMOTIVO</v>
          </cell>
          <cell r="D1725" t="str">
            <v>SIMPLES</v>
          </cell>
        </row>
        <row r="1726">
          <cell r="A1726">
            <v>222093</v>
          </cell>
          <cell r="B1726" t="str">
            <v>AUTOMOTIVO</v>
          </cell>
          <cell r="D1726" t="str">
            <v>SIMPLES</v>
          </cell>
        </row>
        <row r="1727">
          <cell r="A1727">
            <v>222096</v>
          </cell>
          <cell r="B1727" t="str">
            <v>AUTOMOTIVO</v>
          </cell>
          <cell r="D1727" t="str">
            <v>SIMPLES</v>
          </cell>
        </row>
        <row r="1728">
          <cell r="A1728">
            <v>222097</v>
          </cell>
          <cell r="B1728" t="str">
            <v>AUTOMOTIVO</v>
          </cell>
          <cell r="D1728" t="str">
            <v>SIMPLES</v>
          </cell>
        </row>
        <row r="1729">
          <cell r="A1729">
            <v>222098</v>
          </cell>
          <cell r="B1729" t="str">
            <v>AUTOMOTIVO</v>
          </cell>
          <cell r="D1729" t="str">
            <v>SIMPLES</v>
          </cell>
        </row>
        <row r="1730">
          <cell r="A1730">
            <v>222310</v>
          </cell>
          <cell r="B1730" t="str">
            <v>AUTOMOTIVO</v>
          </cell>
          <cell r="C1730" t="str">
            <v>Pastilha Freio</v>
          </cell>
          <cell r="D1730" t="str">
            <v>SIMPLES</v>
          </cell>
        </row>
        <row r="1731">
          <cell r="A1731">
            <v>222311</v>
          </cell>
          <cell r="B1731" t="str">
            <v>AUTOMOTIVO</v>
          </cell>
          <cell r="C1731" t="str">
            <v>Bandeja</v>
          </cell>
          <cell r="D1731" t="str">
            <v>SIMPLES</v>
          </cell>
        </row>
        <row r="1732">
          <cell r="A1732">
            <v>222312</v>
          </cell>
          <cell r="B1732" t="str">
            <v>AUTOMOTIVO</v>
          </cell>
          <cell r="C1732" t="str">
            <v>Bandeja</v>
          </cell>
          <cell r="D1732" t="str">
            <v>SIMPLES</v>
          </cell>
        </row>
        <row r="1733">
          <cell r="A1733">
            <v>222313</v>
          </cell>
          <cell r="B1733" t="str">
            <v>AUTOMOTIVO</v>
          </cell>
          <cell r="C1733" t="str">
            <v>Pastilha Freio</v>
          </cell>
          <cell r="D1733" t="str">
            <v>SIMPLES</v>
          </cell>
        </row>
        <row r="1734">
          <cell r="A1734">
            <v>222314</v>
          </cell>
          <cell r="B1734" t="str">
            <v>AUTOMOTIVO</v>
          </cell>
          <cell r="C1734" t="str">
            <v>Bandeja</v>
          </cell>
          <cell r="D1734" t="str">
            <v>SIMPLES</v>
          </cell>
        </row>
        <row r="1735">
          <cell r="A1735">
            <v>222315</v>
          </cell>
          <cell r="B1735" t="str">
            <v>AUTOMOTIVO</v>
          </cell>
          <cell r="C1735" t="str">
            <v>Pastilha Freio</v>
          </cell>
          <cell r="D1735" t="str">
            <v>SIMPLES</v>
          </cell>
        </row>
        <row r="1736">
          <cell r="A1736">
            <v>225051</v>
          </cell>
          <cell r="B1736" t="str">
            <v>AUTOMOTIVO</v>
          </cell>
          <cell r="C1736" t="str">
            <v>Cabo Câmbio</v>
          </cell>
          <cell r="D1736" t="str">
            <v>SIMPLES</v>
          </cell>
          <cell r="E1736" t="str">
            <v>Importação</v>
          </cell>
        </row>
        <row r="1737">
          <cell r="A1737">
            <v>225052</v>
          </cell>
          <cell r="B1737" t="str">
            <v>AUTOMOTIVO</v>
          </cell>
          <cell r="C1737" t="str">
            <v>Cabo Câmbio</v>
          </cell>
          <cell r="D1737" t="str">
            <v>SIMPLES</v>
          </cell>
          <cell r="E1737" t="str">
            <v>Importação</v>
          </cell>
        </row>
        <row r="1738">
          <cell r="A1738">
            <v>226009</v>
          </cell>
          <cell r="B1738" t="str">
            <v>AUTOMOTIVO</v>
          </cell>
          <cell r="C1738" t="str">
            <v>Cabo Embreagem</v>
          </cell>
          <cell r="D1738" t="str">
            <v>SIMPLES</v>
          </cell>
          <cell r="E1738" t="str">
            <v>Importação</v>
          </cell>
        </row>
        <row r="1739">
          <cell r="A1739">
            <v>226102</v>
          </cell>
          <cell r="B1739" t="str">
            <v>AUTOMOTIVO</v>
          </cell>
          <cell r="C1739" t="str">
            <v>Cabo de Acelerador</v>
          </cell>
          <cell r="D1739" t="str">
            <v>SIMPLES</v>
          </cell>
          <cell r="E1739" t="str">
            <v>Importação</v>
          </cell>
        </row>
        <row r="1740">
          <cell r="A1740">
            <v>226103</v>
          </cell>
          <cell r="B1740" t="str">
            <v>AUTOMOTIVO</v>
          </cell>
          <cell r="C1740" t="str">
            <v>Cabo de Acelerador</v>
          </cell>
          <cell r="D1740" t="str">
            <v>SIMPLES</v>
          </cell>
          <cell r="E1740" t="str">
            <v>Importação</v>
          </cell>
        </row>
        <row r="1741">
          <cell r="A1741">
            <v>226106</v>
          </cell>
          <cell r="B1741" t="str">
            <v>AUTOMOTIVO</v>
          </cell>
          <cell r="C1741" t="str">
            <v>Cabo de Acelerador</v>
          </cell>
          <cell r="D1741" t="str">
            <v>SIMPLES</v>
          </cell>
          <cell r="E1741" t="str">
            <v>Importação</v>
          </cell>
        </row>
        <row r="1742">
          <cell r="A1742">
            <v>227200</v>
          </cell>
          <cell r="B1742" t="str">
            <v>AUTOMOTIVO</v>
          </cell>
          <cell r="C1742" t="str">
            <v>Cabo Embreagem</v>
          </cell>
          <cell r="D1742" t="str">
            <v>SIMPLES</v>
          </cell>
          <cell r="E1742" t="str">
            <v>Importação</v>
          </cell>
        </row>
        <row r="1743">
          <cell r="A1743">
            <v>227201</v>
          </cell>
          <cell r="B1743" t="str">
            <v>AUTOMOTIVO</v>
          </cell>
          <cell r="C1743" t="str">
            <v>Cabo Embreagem</v>
          </cell>
          <cell r="D1743" t="str">
            <v>SIMPLES</v>
          </cell>
          <cell r="E1743" t="str">
            <v>Importação</v>
          </cell>
        </row>
        <row r="1744">
          <cell r="A1744">
            <v>227203</v>
          </cell>
          <cell r="B1744" t="str">
            <v>AUTOMOTIVO</v>
          </cell>
          <cell r="C1744" t="str">
            <v>Cabo Embreagem</v>
          </cell>
          <cell r="D1744" t="str">
            <v>SIMPLES</v>
          </cell>
          <cell r="E1744" t="str">
            <v>Importação</v>
          </cell>
        </row>
        <row r="1745">
          <cell r="A1745">
            <v>227205</v>
          </cell>
          <cell r="B1745" t="str">
            <v>AUTOMOTIVO</v>
          </cell>
          <cell r="C1745" t="str">
            <v>Cabo Embreagem</v>
          </cell>
          <cell r="D1745" t="str">
            <v>SIMPLES</v>
          </cell>
          <cell r="E1745" t="str">
            <v>Importação</v>
          </cell>
        </row>
        <row r="1746">
          <cell r="A1746">
            <v>227206</v>
          </cell>
          <cell r="B1746" t="str">
            <v>AUTOMOTIVO</v>
          </cell>
          <cell r="C1746" t="str">
            <v>Cabo Embreagem</v>
          </cell>
          <cell r="D1746" t="str">
            <v>SIMPLES</v>
          </cell>
          <cell r="E1746" t="str">
            <v>Importação</v>
          </cell>
        </row>
        <row r="1747">
          <cell r="A1747">
            <v>229012</v>
          </cell>
          <cell r="B1747" t="str">
            <v>AUTOMOTIVO</v>
          </cell>
          <cell r="C1747" t="str">
            <v>Cabo de Velocímetro</v>
          </cell>
          <cell r="D1747" t="str">
            <v>SIMPLES</v>
          </cell>
          <cell r="E1747" t="str">
            <v>Importação</v>
          </cell>
        </row>
        <row r="1748">
          <cell r="A1748">
            <v>229051</v>
          </cell>
          <cell r="B1748" t="str">
            <v>AUTOMOTIVO</v>
          </cell>
          <cell r="C1748" t="str">
            <v>Cabo de Acelerador</v>
          </cell>
          <cell r="D1748" t="str">
            <v>SIMPLES</v>
          </cell>
          <cell r="E1748" t="str">
            <v>Importação</v>
          </cell>
        </row>
        <row r="1749">
          <cell r="A1749">
            <v>330074</v>
          </cell>
          <cell r="B1749" t="str">
            <v>AUTOMOTIVO</v>
          </cell>
          <cell r="D1749" t="str">
            <v>SIMPLES</v>
          </cell>
        </row>
        <row r="1750">
          <cell r="A1750">
            <v>330100</v>
          </cell>
          <cell r="B1750" t="str">
            <v>AUTOMOTIVO</v>
          </cell>
          <cell r="D1750" t="str">
            <v>SIMPLES</v>
          </cell>
        </row>
        <row r="1751">
          <cell r="A1751">
            <v>330101</v>
          </cell>
          <cell r="B1751" t="str">
            <v>AUTOMOTIVO</v>
          </cell>
          <cell r="D1751" t="str">
            <v>SIMPLES</v>
          </cell>
        </row>
        <row r="1752">
          <cell r="A1752">
            <v>330178</v>
          </cell>
          <cell r="B1752" t="str">
            <v>AUTOMOTIVO</v>
          </cell>
          <cell r="D1752" t="str">
            <v>SIMPLES</v>
          </cell>
        </row>
        <row r="1753">
          <cell r="A1753">
            <v>330179</v>
          </cell>
          <cell r="B1753" t="str">
            <v>AUTOMOTIVO</v>
          </cell>
          <cell r="D1753" t="str">
            <v>SIMPLES</v>
          </cell>
        </row>
        <row r="1754">
          <cell r="A1754">
            <v>330254</v>
          </cell>
          <cell r="B1754" t="str">
            <v>AUTOMOTIVO</v>
          </cell>
          <cell r="D1754" t="str">
            <v>SIMPLES</v>
          </cell>
        </row>
        <row r="1755">
          <cell r="A1755">
            <v>330314</v>
          </cell>
          <cell r="B1755" t="str">
            <v>AUTOMOTIVO</v>
          </cell>
          <cell r="D1755" t="str">
            <v>SIMPLES</v>
          </cell>
        </row>
        <row r="1756">
          <cell r="A1756">
            <v>330351</v>
          </cell>
          <cell r="B1756" t="str">
            <v>AUTOMOTIVO</v>
          </cell>
          <cell r="D1756" t="str">
            <v>SIMPLES</v>
          </cell>
        </row>
        <row r="1757">
          <cell r="A1757">
            <v>331050</v>
          </cell>
          <cell r="B1757" t="str">
            <v>AUTOMOTIVO</v>
          </cell>
          <cell r="D1757" t="str">
            <v>SIMPLES</v>
          </cell>
        </row>
        <row r="1758">
          <cell r="A1758">
            <v>331051</v>
          </cell>
          <cell r="B1758" t="str">
            <v>AUTOMOTIVO</v>
          </cell>
          <cell r="D1758" t="str">
            <v>SIMPLES</v>
          </cell>
        </row>
        <row r="1759">
          <cell r="A1759">
            <v>332005</v>
          </cell>
          <cell r="B1759" t="str">
            <v>AUTOMOTIVO</v>
          </cell>
          <cell r="D1759" t="str">
            <v>SIMPLES</v>
          </cell>
        </row>
        <row r="1760">
          <cell r="A1760">
            <v>332006</v>
          </cell>
          <cell r="B1760" t="str">
            <v>AUTOMOTIVO</v>
          </cell>
          <cell r="D1760" t="str">
            <v>SIMPLES</v>
          </cell>
        </row>
        <row r="1761">
          <cell r="A1761">
            <v>332100</v>
          </cell>
          <cell r="B1761" t="str">
            <v>AUTOMOTIVO</v>
          </cell>
          <cell r="D1761" t="str">
            <v>SIMPLES</v>
          </cell>
        </row>
        <row r="1762">
          <cell r="A1762">
            <v>332101</v>
          </cell>
          <cell r="B1762" t="str">
            <v>AUTOMOTIVO</v>
          </cell>
          <cell r="D1762" t="str">
            <v>SIMPLES</v>
          </cell>
        </row>
        <row r="1763">
          <cell r="A1763">
            <v>332108</v>
          </cell>
          <cell r="B1763" t="str">
            <v>AUTOMOTIVO</v>
          </cell>
          <cell r="D1763" t="str">
            <v>SIMPLES</v>
          </cell>
        </row>
        <row r="1764">
          <cell r="A1764">
            <v>332109</v>
          </cell>
          <cell r="B1764" t="str">
            <v>AUTOMOTIVO</v>
          </cell>
          <cell r="D1764" t="str">
            <v>SIMPLES</v>
          </cell>
        </row>
        <row r="1765">
          <cell r="A1765">
            <v>332125</v>
          </cell>
          <cell r="B1765" t="str">
            <v>AUTOMOTIVO</v>
          </cell>
          <cell r="D1765" t="str">
            <v>SIMPLES</v>
          </cell>
        </row>
        <row r="1766">
          <cell r="A1766">
            <v>332138</v>
          </cell>
          <cell r="B1766" t="str">
            <v>AUTOMOTIVO</v>
          </cell>
          <cell r="D1766" t="str">
            <v>SIMPLES</v>
          </cell>
        </row>
        <row r="1767">
          <cell r="A1767">
            <v>332139</v>
          </cell>
          <cell r="B1767" t="str">
            <v>AUTOMOTIVO</v>
          </cell>
          <cell r="C1767" t="str">
            <v>Pastilha Freio</v>
          </cell>
          <cell r="D1767" t="str">
            <v>SIMPLES</v>
          </cell>
        </row>
        <row r="1768">
          <cell r="A1768">
            <v>332140</v>
          </cell>
          <cell r="B1768" t="str">
            <v>AUTOMOTIVO</v>
          </cell>
          <cell r="C1768" t="str">
            <v>Bandeja</v>
          </cell>
          <cell r="D1768" t="str">
            <v>SIMPLES</v>
          </cell>
        </row>
        <row r="1769">
          <cell r="A1769">
            <v>332141</v>
          </cell>
          <cell r="B1769" t="str">
            <v>AUTOMOTIVO</v>
          </cell>
          <cell r="C1769" t="str">
            <v>Pastilha Freio</v>
          </cell>
          <cell r="D1769" t="str">
            <v>SIMPLES</v>
          </cell>
        </row>
        <row r="1770">
          <cell r="A1770">
            <v>332142</v>
          </cell>
          <cell r="B1770" t="str">
            <v>AUTOMOTIVO</v>
          </cell>
          <cell r="D1770" t="str">
            <v>SIMPLES</v>
          </cell>
        </row>
        <row r="1771">
          <cell r="A1771">
            <v>332143</v>
          </cell>
          <cell r="B1771" t="str">
            <v>AUTOMOTIVO</v>
          </cell>
          <cell r="D1771" t="str">
            <v>SIMPLES</v>
          </cell>
        </row>
        <row r="1772">
          <cell r="A1772">
            <v>332636</v>
          </cell>
          <cell r="B1772" t="str">
            <v>AUTOMOTIVO</v>
          </cell>
          <cell r="D1772" t="str">
            <v>SIMPLES</v>
          </cell>
        </row>
        <row r="1773">
          <cell r="A1773">
            <v>442100</v>
          </cell>
          <cell r="B1773" t="str">
            <v>AUTOMOTIVO</v>
          </cell>
          <cell r="C1773" t="str">
            <v>Bandeja</v>
          </cell>
          <cell r="D1773" t="str">
            <v>SIMPLES</v>
          </cell>
        </row>
        <row r="1774">
          <cell r="A1774">
            <v>442101</v>
          </cell>
          <cell r="B1774" t="str">
            <v>AUTOMOTIVO</v>
          </cell>
          <cell r="C1774" t="str">
            <v>Pastilha Freio</v>
          </cell>
          <cell r="D1774" t="str">
            <v>SIMPLES</v>
          </cell>
        </row>
        <row r="1775">
          <cell r="A1775">
            <v>442108</v>
          </cell>
          <cell r="B1775" t="str">
            <v>AUTOMOTIVO</v>
          </cell>
          <cell r="D1775" t="str">
            <v>SIMPLES</v>
          </cell>
        </row>
        <row r="1776">
          <cell r="A1776">
            <v>442109</v>
          </cell>
          <cell r="B1776" t="str">
            <v>AUTOMOTIVO</v>
          </cell>
          <cell r="D1776" t="str">
            <v>SIMPLES</v>
          </cell>
        </row>
        <row r="1777">
          <cell r="A1777">
            <v>442114</v>
          </cell>
          <cell r="B1777" t="str">
            <v>AUTOMOTIVO</v>
          </cell>
          <cell r="C1777" t="str">
            <v>Pastilha Freio</v>
          </cell>
          <cell r="D1777" t="str">
            <v>SIMPLES</v>
          </cell>
        </row>
        <row r="1778">
          <cell r="A1778">
            <v>662020</v>
          </cell>
          <cell r="B1778" t="str">
            <v>AUTOMOTIVO</v>
          </cell>
          <cell r="D1778" t="str">
            <v>SIMPLES</v>
          </cell>
        </row>
        <row r="1779">
          <cell r="A1779">
            <v>662021</v>
          </cell>
          <cell r="B1779" t="str">
            <v>AUTOMOTIVO</v>
          </cell>
          <cell r="D1779" t="str">
            <v>SIMPLES</v>
          </cell>
        </row>
        <row r="1780">
          <cell r="A1780">
            <v>662022</v>
          </cell>
          <cell r="B1780" t="str">
            <v>AUTOMOTIVO</v>
          </cell>
          <cell r="D1780" t="str">
            <v>SIMPLES</v>
          </cell>
        </row>
        <row r="1781">
          <cell r="A1781">
            <v>662023</v>
          </cell>
          <cell r="B1781" t="str">
            <v>AUTOMOTIVO</v>
          </cell>
          <cell r="D1781" t="str">
            <v>SIMPLES</v>
          </cell>
        </row>
        <row r="1782">
          <cell r="A1782">
            <v>662090</v>
          </cell>
          <cell r="B1782" t="str">
            <v>AUTOMOTIVO</v>
          </cell>
          <cell r="D1782" t="str">
            <v>SIMPLES</v>
          </cell>
        </row>
        <row r="1783">
          <cell r="A1783">
            <v>772060</v>
          </cell>
          <cell r="B1783" t="str">
            <v>AUTOMOTIVO</v>
          </cell>
          <cell r="D1783" t="str">
            <v>SIMPLES</v>
          </cell>
        </row>
        <row r="1784">
          <cell r="A1784">
            <v>772061</v>
          </cell>
          <cell r="B1784" t="str">
            <v>AUTOMOTIVO</v>
          </cell>
          <cell r="D1784" t="str">
            <v>SIMPLES</v>
          </cell>
        </row>
        <row r="1785">
          <cell r="A1785">
            <v>772108</v>
          </cell>
          <cell r="B1785" t="str">
            <v>AUTOMOTIVO</v>
          </cell>
          <cell r="D1785" t="str">
            <v>SIMPLES</v>
          </cell>
        </row>
        <row r="1786">
          <cell r="A1786">
            <v>772109</v>
          </cell>
          <cell r="B1786" t="str">
            <v>AUTOMOTIVO</v>
          </cell>
          <cell r="D1786" t="str">
            <v>SIMPLES</v>
          </cell>
        </row>
        <row r="1787">
          <cell r="A1787">
            <v>772136</v>
          </cell>
          <cell r="B1787" t="str">
            <v>AUTOMOTIVO</v>
          </cell>
          <cell r="D1787" t="str">
            <v>SIMPLES</v>
          </cell>
        </row>
        <row r="1788">
          <cell r="A1788">
            <v>772137</v>
          </cell>
          <cell r="B1788" t="str">
            <v>AUTOMOTIVO</v>
          </cell>
          <cell r="D1788" t="str">
            <v>SIMPLES</v>
          </cell>
        </row>
        <row r="1789">
          <cell r="A1789">
            <v>772142</v>
          </cell>
          <cell r="B1789" t="str">
            <v>AUTOMOTIVO</v>
          </cell>
          <cell r="D1789" t="str">
            <v>SIMPLES</v>
          </cell>
        </row>
        <row r="1790">
          <cell r="A1790">
            <v>772143</v>
          </cell>
          <cell r="B1790" t="str">
            <v>AUTOMOTIVO</v>
          </cell>
          <cell r="D1790" t="str">
            <v>SIMPLES</v>
          </cell>
        </row>
        <row r="1791">
          <cell r="A1791">
            <v>772154</v>
          </cell>
          <cell r="B1791" t="str">
            <v>AUTOMOTIVO</v>
          </cell>
          <cell r="D1791" t="str">
            <v>SIMPLES</v>
          </cell>
        </row>
        <row r="1792">
          <cell r="A1792">
            <v>772155</v>
          </cell>
          <cell r="B1792" t="str">
            <v>AUTOMOTIVO</v>
          </cell>
          <cell r="D1792" t="str">
            <v>SIMPLES</v>
          </cell>
        </row>
        <row r="1793">
          <cell r="A1793">
            <v>772192</v>
          </cell>
          <cell r="B1793" t="str">
            <v>AUTOMOTIVO</v>
          </cell>
          <cell r="D1793" t="str">
            <v>SIMPLES</v>
          </cell>
        </row>
        <row r="1794">
          <cell r="A1794">
            <v>772193</v>
          </cell>
          <cell r="B1794" t="str">
            <v>AUTOMOTIVO</v>
          </cell>
          <cell r="D1794" t="str">
            <v>SIMPLES</v>
          </cell>
        </row>
        <row r="1795">
          <cell r="A1795">
            <v>772195</v>
          </cell>
          <cell r="B1795" t="str">
            <v>AUTOMOTIVO</v>
          </cell>
          <cell r="D1795" t="str">
            <v>SIMPLES</v>
          </cell>
        </row>
        <row r="1796">
          <cell r="A1796">
            <v>772196</v>
          </cell>
          <cell r="B1796" t="str">
            <v>AUTOMOTIVO</v>
          </cell>
          <cell r="D1796" t="str">
            <v>SIMPLES</v>
          </cell>
        </row>
        <row r="1797">
          <cell r="A1797">
            <v>772202</v>
          </cell>
          <cell r="B1797" t="str">
            <v>AUTOMOTIVO</v>
          </cell>
          <cell r="D1797" t="str">
            <v>SIMPLES</v>
          </cell>
        </row>
        <row r="1798">
          <cell r="A1798">
            <v>772203</v>
          </cell>
          <cell r="B1798" t="str">
            <v>AUTOMOTIVO</v>
          </cell>
          <cell r="D1798" t="str">
            <v>SIMPLES</v>
          </cell>
        </row>
        <row r="1799">
          <cell r="A1799">
            <v>772208</v>
          </cell>
          <cell r="B1799" t="str">
            <v>AUTOMOTIVO</v>
          </cell>
          <cell r="D1799" t="str">
            <v>SIMPLES</v>
          </cell>
        </row>
        <row r="1800">
          <cell r="A1800">
            <v>772209</v>
          </cell>
          <cell r="B1800" t="str">
            <v>AUTOMOTIVO</v>
          </cell>
          <cell r="D1800" t="str">
            <v>SIMPLES</v>
          </cell>
        </row>
        <row r="1801">
          <cell r="A1801">
            <v>772218</v>
          </cell>
          <cell r="B1801" t="str">
            <v>AUTOMOTIVO</v>
          </cell>
          <cell r="D1801" t="str">
            <v>SIMPLES</v>
          </cell>
        </row>
        <row r="1802">
          <cell r="A1802">
            <v>772219</v>
          </cell>
          <cell r="B1802" t="str">
            <v>AUTOMOTIVO</v>
          </cell>
          <cell r="D1802" t="str">
            <v>SIMPLES</v>
          </cell>
        </row>
        <row r="1803">
          <cell r="A1803">
            <v>772220</v>
          </cell>
          <cell r="B1803" t="str">
            <v>AUTOMOTIVO</v>
          </cell>
          <cell r="D1803" t="str">
            <v>SIMPLES</v>
          </cell>
        </row>
        <row r="1804">
          <cell r="A1804">
            <v>772223</v>
          </cell>
          <cell r="B1804" t="str">
            <v>AUTOMOTIVO</v>
          </cell>
          <cell r="D1804" t="str">
            <v>SIMPLES</v>
          </cell>
        </row>
        <row r="1805">
          <cell r="A1805">
            <v>772224</v>
          </cell>
          <cell r="B1805" t="str">
            <v>AUTOMOTIVO</v>
          </cell>
          <cell r="D1805" t="str">
            <v>SIMPLES</v>
          </cell>
        </row>
        <row r="1806">
          <cell r="A1806">
            <v>772226</v>
          </cell>
          <cell r="B1806" t="str">
            <v>AUTOMOTIVO</v>
          </cell>
          <cell r="D1806" t="str">
            <v>SIMPLES</v>
          </cell>
        </row>
        <row r="1807">
          <cell r="A1807">
            <v>772227</v>
          </cell>
          <cell r="B1807" t="str">
            <v>AUTOMOTIVO</v>
          </cell>
          <cell r="D1807" t="str">
            <v>SIMPLES</v>
          </cell>
        </row>
        <row r="1808">
          <cell r="A1808">
            <v>772235</v>
          </cell>
          <cell r="B1808" t="str">
            <v>AUTOMOTIVO</v>
          </cell>
          <cell r="D1808" t="str">
            <v>SIMPLES</v>
          </cell>
        </row>
        <row r="1809">
          <cell r="A1809">
            <v>772236</v>
          </cell>
          <cell r="B1809" t="str">
            <v>AUTOMOTIVO</v>
          </cell>
          <cell r="D1809" t="str">
            <v>SIMPLES</v>
          </cell>
        </row>
        <row r="1810">
          <cell r="A1810">
            <v>772237</v>
          </cell>
          <cell r="B1810" t="str">
            <v>AUTOMOTIVO</v>
          </cell>
          <cell r="D1810" t="str">
            <v>SIMPLES</v>
          </cell>
        </row>
        <row r="1811">
          <cell r="A1811">
            <v>772238</v>
          </cell>
          <cell r="B1811" t="str">
            <v>AUTOMOTIVO</v>
          </cell>
          <cell r="D1811" t="str">
            <v>SIMPLES</v>
          </cell>
        </row>
        <row r="1812">
          <cell r="A1812">
            <v>880309</v>
          </cell>
          <cell r="B1812" t="str">
            <v>AUTOMOTIVO</v>
          </cell>
          <cell r="C1812" t="str">
            <v>Pastilha Freio</v>
          </cell>
          <cell r="D1812" t="str">
            <v>SIMPLES</v>
          </cell>
          <cell r="E1812" t="str">
            <v>Importação</v>
          </cell>
        </row>
        <row r="1813">
          <cell r="A1813">
            <v>880409</v>
          </cell>
          <cell r="B1813" t="str">
            <v>AUTOMOTIVO</v>
          </cell>
          <cell r="C1813" t="str">
            <v>Cabo velocímetro Moto</v>
          </cell>
          <cell r="D1813" t="str">
            <v>SIMPLES</v>
          </cell>
          <cell r="E1813" t="str">
            <v>Importação</v>
          </cell>
        </row>
        <row r="1814">
          <cell r="A1814">
            <v>992025</v>
          </cell>
          <cell r="B1814" t="str">
            <v>AUTOMOTIVO</v>
          </cell>
          <cell r="D1814" t="str">
            <v>SIMPLES</v>
          </cell>
        </row>
        <row r="1815">
          <cell r="A1815">
            <v>993005</v>
          </cell>
          <cell r="B1815" t="str">
            <v>AUTOMOTIVO</v>
          </cell>
          <cell r="C1815" t="str">
            <v>Bandeja</v>
          </cell>
          <cell r="D1815" t="str">
            <v>SIMPLES</v>
          </cell>
        </row>
        <row r="1816">
          <cell r="A1816">
            <v>993006</v>
          </cell>
          <cell r="B1816" t="str">
            <v>AUTOMOTIVO</v>
          </cell>
          <cell r="C1816" t="str">
            <v>Pastilha Freio</v>
          </cell>
          <cell r="D1816" t="str">
            <v>SIMPLES</v>
          </cell>
        </row>
        <row r="1817">
          <cell r="A1817">
            <v>993007</v>
          </cell>
          <cell r="B1817" t="str">
            <v>AUTOMOTIVO</v>
          </cell>
          <cell r="C1817" t="str">
            <v>Pastilha Freio</v>
          </cell>
          <cell r="D1817" t="str">
            <v>SIMPLES</v>
          </cell>
        </row>
        <row r="1818">
          <cell r="A1818">
            <v>993008</v>
          </cell>
          <cell r="B1818" t="str">
            <v>AUTOMOTIVO</v>
          </cell>
          <cell r="C1818" t="str">
            <v>Pastilha Freio</v>
          </cell>
          <cell r="D1818" t="str">
            <v>SIMPLES</v>
          </cell>
        </row>
        <row r="1819">
          <cell r="A1819">
            <v>993010</v>
          </cell>
          <cell r="B1819" t="str">
            <v>AUTOMOTIVO</v>
          </cell>
          <cell r="C1819" t="str">
            <v>Bandeja</v>
          </cell>
          <cell r="D1819" t="str">
            <v>SIMPLES</v>
          </cell>
        </row>
        <row r="1820">
          <cell r="A1820">
            <v>993011</v>
          </cell>
          <cell r="B1820" t="str">
            <v>AUTOMOTIVO</v>
          </cell>
          <cell r="C1820" t="str">
            <v>Bandeja</v>
          </cell>
          <cell r="D1820" t="str">
            <v>SIMPLES</v>
          </cell>
        </row>
        <row r="1821">
          <cell r="A1821">
            <v>993013</v>
          </cell>
          <cell r="B1821" t="str">
            <v>AUTOMOTIVO</v>
          </cell>
          <cell r="C1821" t="str">
            <v>Pastilha Freio</v>
          </cell>
          <cell r="D1821" t="str">
            <v>SIMPLES</v>
          </cell>
        </row>
        <row r="1822">
          <cell r="A1822">
            <v>993014</v>
          </cell>
          <cell r="B1822" t="str">
            <v>AUTOMOTIVO</v>
          </cell>
          <cell r="C1822" t="str">
            <v>Bandeja</v>
          </cell>
          <cell r="D1822" t="str">
            <v>SIMPLES</v>
          </cell>
        </row>
        <row r="1823">
          <cell r="A1823">
            <v>993015</v>
          </cell>
          <cell r="B1823" t="str">
            <v>AUTOMOTIVO</v>
          </cell>
          <cell r="C1823" t="str">
            <v>Bandeja</v>
          </cell>
          <cell r="D1823" t="str">
            <v>SIMPLES</v>
          </cell>
        </row>
        <row r="1824">
          <cell r="A1824">
            <v>993016</v>
          </cell>
          <cell r="B1824" t="str">
            <v>AUTOMOTIVO</v>
          </cell>
          <cell r="C1824" t="str">
            <v>Bandeja</v>
          </cell>
          <cell r="D1824" t="str">
            <v>SIMPLES</v>
          </cell>
        </row>
        <row r="1825">
          <cell r="A1825">
            <v>993017</v>
          </cell>
          <cell r="B1825" t="str">
            <v>AUTOMOTIVO</v>
          </cell>
          <cell r="C1825" t="str">
            <v>Pastilha Freio</v>
          </cell>
          <cell r="D1825" t="str">
            <v>SIMPLES</v>
          </cell>
        </row>
        <row r="1826">
          <cell r="A1826">
            <v>6044003</v>
          </cell>
          <cell r="B1826" t="str">
            <v>AUTOMOTIVO</v>
          </cell>
          <cell r="C1826" t="str">
            <v>Rolamento roda</v>
          </cell>
          <cell r="D1826" t="str">
            <v>SIMPLES</v>
          </cell>
        </row>
        <row r="1827">
          <cell r="A1827">
            <v>6044010</v>
          </cell>
          <cell r="B1827" t="str">
            <v>AUTOMOTIVO</v>
          </cell>
          <cell r="C1827" t="str">
            <v>Rolamento roda</v>
          </cell>
          <cell r="D1827" t="str">
            <v>SIMPLES</v>
          </cell>
        </row>
        <row r="1828">
          <cell r="A1828">
            <v>24582632</v>
          </cell>
          <cell r="B1828" t="str">
            <v>AUTOMOTIVO</v>
          </cell>
          <cell r="C1828" t="str">
            <v>Suporte Ar condicionado</v>
          </cell>
          <cell r="D1828" t="str">
            <v>SIMPLES</v>
          </cell>
          <cell r="E1828" t="str">
            <v>OUTROS</v>
          </cell>
        </row>
        <row r="1829">
          <cell r="A1829" t="str">
            <v>0W20</v>
          </cell>
          <cell r="B1829" t="str">
            <v>AUTOMOTIVO</v>
          </cell>
          <cell r="D1829" t="str">
            <v>SIMPLES</v>
          </cell>
        </row>
        <row r="1830">
          <cell r="A1830" t="str">
            <v>10W40</v>
          </cell>
          <cell r="B1830" t="str">
            <v>AUTOMOTIVO</v>
          </cell>
          <cell r="C1830" t="str">
            <v>Óleo</v>
          </cell>
          <cell r="D1830" t="str">
            <v>SIMPLES</v>
          </cell>
        </row>
        <row r="1831">
          <cell r="A1831" t="str">
            <v>10W50l</v>
          </cell>
          <cell r="B1831" t="str">
            <v>AUTOMOTIVO</v>
          </cell>
          <cell r="C1831" t="str">
            <v>Óleo</v>
          </cell>
          <cell r="D1831" t="str">
            <v>SIMPLES</v>
          </cell>
        </row>
        <row r="1832">
          <cell r="A1832" t="str">
            <v>112028p</v>
          </cell>
          <cell r="B1832" t="str">
            <v>AUTOMOTIVO</v>
          </cell>
          <cell r="D1832" t="str">
            <v>SIMPLES</v>
          </cell>
        </row>
        <row r="1833">
          <cell r="A1833" t="str">
            <v>112029p</v>
          </cell>
          <cell r="B1833" t="str">
            <v>AUTOMOTIVO</v>
          </cell>
          <cell r="D1833" t="str">
            <v>SIMPLES</v>
          </cell>
        </row>
        <row r="1834">
          <cell r="A1834" t="str">
            <v>15W40</v>
          </cell>
          <cell r="B1834" t="str">
            <v>AUTOMOTIVO</v>
          </cell>
          <cell r="C1834" t="str">
            <v>Óleo</v>
          </cell>
          <cell r="D1834" t="str">
            <v>SIMPLES</v>
          </cell>
        </row>
        <row r="1835">
          <cell r="A1835" t="str">
            <v>15w40-SB</v>
          </cell>
          <cell r="B1835" t="str">
            <v>AUTOMOTIVO</v>
          </cell>
          <cell r="C1835" t="str">
            <v>Óleo</v>
          </cell>
          <cell r="D1835" t="str">
            <v>SIMPLES</v>
          </cell>
        </row>
        <row r="1836">
          <cell r="A1836" t="str">
            <v>20W50-M</v>
          </cell>
          <cell r="B1836" t="str">
            <v>AUTOMOTIVO</v>
          </cell>
          <cell r="C1836" t="str">
            <v>Óleo</v>
          </cell>
          <cell r="D1836" t="str">
            <v>SIMPLES</v>
          </cell>
        </row>
        <row r="1837">
          <cell r="A1837" t="str">
            <v>20W50MT</v>
          </cell>
          <cell r="B1837" t="str">
            <v>AUTOMOTIVO</v>
          </cell>
          <cell r="C1837" t="str">
            <v>Óleo</v>
          </cell>
          <cell r="D1837" t="str">
            <v>SIMPLES</v>
          </cell>
        </row>
        <row r="1838">
          <cell r="A1838" t="str">
            <v>2367-E</v>
          </cell>
          <cell r="B1838" t="str">
            <v>AUTOMOTIVO</v>
          </cell>
          <cell r="D1838" t="str">
            <v>SIMPLES</v>
          </cell>
        </row>
        <row r="1839">
          <cell r="A1839" t="str">
            <v>44911/12</v>
          </cell>
          <cell r="B1839" t="str">
            <v>AUTOMOTIVO</v>
          </cell>
          <cell r="C1839" t="str">
            <v>Cabo Câmbio</v>
          </cell>
          <cell r="D1839" t="str">
            <v>SIMPLES</v>
          </cell>
          <cell r="E1839" t="str">
            <v>Importação</v>
          </cell>
        </row>
        <row r="1840">
          <cell r="A1840" t="str">
            <v>5W30</v>
          </cell>
          <cell r="B1840" t="str">
            <v>AUTOMOTIVO</v>
          </cell>
          <cell r="C1840" t="str">
            <v>Óleo</v>
          </cell>
          <cell r="D1840" t="str">
            <v>SIMPLES</v>
          </cell>
        </row>
        <row r="1841">
          <cell r="A1841" t="str">
            <v>5W30-MAX</v>
          </cell>
          <cell r="B1841" t="str">
            <v>AUTOMOTIVO</v>
          </cell>
          <cell r="D1841" t="str">
            <v>SIMPLES</v>
          </cell>
        </row>
        <row r="1842">
          <cell r="A1842" t="str">
            <v>5W30-SB</v>
          </cell>
          <cell r="B1842" t="str">
            <v>AUTOMOTIVO</v>
          </cell>
          <cell r="C1842" t="str">
            <v>Óleo</v>
          </cell>
          <cell r="D1842" t="str">
            <v>SIMPLES</v>
          </cell>
        </row>
        <row r="1843">
          <cell r="A1843" t="str">
            <v>66610/11</v>
          </cell>
          <cell r="B1843" t="str">
            <v>AUTOMOTIVO</v>
          </cell>
          <cell r="C1843" t="str">
            <v>Cabo Câmbio</v>
          </cell>
          <cell r="D1843" t="str">
            <v>SIMPLES</v>
          </cell>
          <cell r="E1843" t="str">
            <v>Importação</v>
          </cell>
        </row>
        <row r="1844">
          <cell r="A1844" t="str">
            <v>66642/43</v>
          </cell>
          <cell r="B1844" t="str">
            <v>AUTOMOTIVO</v>
          </cell>
          <cell r="C1844" t="str">
            <v>Cabo Câmbio</v>
          </cell>
          <cell r="D1844" t="str">
            <v>SIMPLES</v>
          </cell>
          <cell r="E1844" t="str">
            <v>Importação</v>
          </cell>
        </row>
        <row r="1845">
          <cell r="A1845" t="str">
            <v>77350/2316/24579046</v>
          </cell>
          <cell r="B1845" t="str">
            <v>AUTOMOTIVO</v>
          </cell>
          <cell r="C1845" t="str">
            <v>Cabo Câmbio</v>
          </cell>
          <cell r="D1845" t="str">
            <v>SIMPLES</v>
          </cell>
          <cell r="E1845" t="str">
            <v>Importação</v>
          </cell>
        </row>
        <row r="1846">
          <cell r="A1846" t="str">
            <v>77350T</v>
          </cell>
          <cell r="B1846" t="str">
            <v>AUTOMOTIVO</v>
          </cell>
          <cell r="C1846" t="str">
            <v>Cabo Câmbio</v>
          </cell>
          <cell r="D1846" t="str">
            <v>SIMPLES</v>
          </cell>
          <cell r="E1846" t="str">
            <v>Importação</v>
          </cell>
        </row>
        <row r="1847">
          <cell r="A1847" t="str">
            <v>77354T</v>
          </cell>
          <cell r="B1847" t="str">
            <v>AUTOMOTIVO</v>
          </cell>
          <cell r="C1847" t="str">
            <v>Cabo Câmbio</v>
          </cell>
          <cell r="D1847" t="str">
            <v>SIMPLES</v>
          </cell>
          <cell r="E1847" t="str">
            <v>Importação</v>
          </cell>
        </row>
        <row r="1848">
          <cell r="A1848" t="str">
            <v>BBXRE300</v>
          </cell>
          <cell r="B1848" t="str">
            <v>AUTOMOTIVO</v>
          </cell>
          <cell r="D1848" t="str">
            <v>SIMPLES</v>
          </cell>
        </row>
        <row r="1849">
          <cell r="A1849" t="str">
            <v>CL001</v>
          </cell>
          <cell r="B1849" t="str">
            <v>AUTOMOTIVO</v>
          </cell>
          <cell r="C1849" t="str">
            <v>OUTROS</v>
          </cell>
          <cell r="D1849" t="str">
            <v>SIMPLES</v>
          </cell>
          <cell r="E1849" t="str">
            <v>OUTROS</v>
          </cell>
        </row>
        <row r="1850">
          <cell r="A1850" t="str">
            <v>CX300</v>
          </cell>
          <cell r="B1850" t="str">
            <v>AUTOMOTIVO</v>
          </cell>
          <cell r="D1850" t="str">
            <v>SIMPLES</v>
          </cell>
        </row>
        <row r="1851">
          <cell r="A1851" t="str">
            <v>CXD-PG</v>
          </cell>
          <cell r="B1851" t="str">
            <v>AUTOMOTIVO</v>
          </cell>
          <cell r="D1851" t="str">
            <v>SIMPLES</v>
          </cell>
        </row>
        <row r="1852">
          <cell r="A1852" t="str">
            <v>FD001</v>
          </cell>
          <cell r="B1852" t="str">
            <v>AUTOMOTIVO</v>
          </cell>
          <cell r="C1852" t="str">
            <v>Rolamento Roda</v>
          </cell>
          <cell r="D1852" t="str">
            <v>SIMPLES</v>
          </cell>
          <cell r="E1852" t="str">
            <v>Importação</v>
          </cell>
        </row>
        <row r="1853">
          <cell r="A1853" t="str">
            <v>FTK00404</v>
          </cell>
          <cell r="B1853" t="str">
            <v>AUTOMOTIVO</v>
          </cell>
          <cell r="D1853" t="str">
            <v>SIMPLES</v>
          </cell>
        </row>
        <row r="1854">
          <cell r="A1854" t="str">
            <v>FTK00648</v>
          </cell>
          <cell r="B1854" t="str">
            <v>AUTOMOTIVO</v>
          </cell>
          <cell r="D1854" t="str">
            <v>SIMPLES</v>
          </cell>
        </row>
        <row r="1855">
          <cell r="A1855" t="str">
            <v>FTK050N</v>
          </cell>
          <cell r="B1855" t="str">
            <v>AUTOMOTIVO</v>
          </cell>
          <cell r="C1855" t="str">
            <v>Rolamento roda</v>
          </cell>
          <cell r="D1855" t="str">
            <v>SIMPLES</v>
          </cell>
        </row>
        <row r="1856">
          <cell r="A1856" t="str">
            <v>FTK-11020</v>
          </cell>
          <cell r="B1856" t="str">
            <v>AUTOMOTIVO</v>
          </cell>
          <cell r="D1856" t="str">
            <v>SIMPLES</v>
          </cell>
        </row>
        <row r="1857">
          <cell r="A1857" t="str">
            <v>FTK11026</v>
          </cell>
          <cell r="B1857" t="str">
            <v>AUTOMOTIVO</v>
          </cell>
          <cell r="D1857" t="str">
            <v>SIMPLES</v>
          </cell>
        </row>
        <row r="1858">
          <cell r="A1858" t="str">
            <v>FTK12223</v>
          </cell>
          <cell r="B1858" t="str">
            <v>AUTOMOTIVO</v>
          </cell>
          <cell r="C1858" t="str">
            <v>Rolamento roda</v>
          </cell>
          <cell r="D1858" t="str">
            <v>SIMPLES</v>
          </cell>
        </row>
        <row r="1859">
          <cell r="A1859" t="str">
            <v>FTK18005</v>
          </cell>
          <cell r="B1859" t="str">
            <v>AUTOMOTIVO</v>
          </cell>
          <cell r="C1859" t="str">
            <v>Rolamento roda</v>
          </cell>
          <cell r="D1859" t="str">
            <v>SIMPLES</v>
          </cell>
        </row>
        <row r="1860">
          <cell r="A1860" t="str">
            <v>FTK18026</v>
          </cell>
          <cell r="B1860" t="str">
            <v>AUTOMOTIVO</v>
          </cell>
          <cell r="C1860" t="str">
            <v>Rolamento roda</v>
          </cell>
          <cell r="D1860" t="str">
            <v>SIMPLES</v>
          </cell>
        </row>
        <row r="1861">
          <cell r="A1861" t="str">
            <v>FTK18042</v>
          </cell>
          <cell r="B1861" t="str">
            <v>AUTOMOTIVO</v>
          </cell>
          <cell r="C1861" t="str">
            <v>Rolamento roda</v>
          </cell>
          <cell r="D1861" t="str">
            <v>SIMPLES</v>
          </cell>
        </row>
        <row r="1862">
          <cell r="A1862" t="str">
            <v>FTK18072</v>
          </cell>
          <cell r="B1862" t="str">
            <v>AUTOMOTIVO</v>
          </cell>
          <cell r="D1862" t="str">
            <v>SIMPLES</v>
          </cell>
        </row>
        <row r="1863">
          <cell r="A1863" t="str">
            <v>FTK18096</v>
          </cell>
          <cell r="B1863" t="str">
            <v>AUTOMOTIVO</v>
          </cell>
          <cell r="C1863" t="str">
            <v>Rolamento roda</v>
          </cell>
          <cell r="D1863" t="str">
            <v>SIMPLES</v>
          </cell>
        </row>
        <row r="1864">
          <cell r="A1864" t="str">
            <v>FTK18098</v>
          </cell>
          <cell r="B1864" t="str">
            <v>AUTOMOTIVO</v>
          </cell>
          <cell r="C1864" t="str">
            <v>Rolamento roda</v>
          </cell>
          <cell r="D1864" t="str">
            <v>SIMPLES</v>
          </cell>
        </row>
        <row r="1865">
          <cell r="A1865" t="str">
            <v>FTK18242</v>
          </cell>
          <cell r="B1865" t="str">
            <v>AUTOMOTIVO</v>
          </cell>
          <cell r="C1865" t="str">
            <v>Rolamento roda</v>
          </cell>
          <cell r="D1865" t="str">
            <v>SIMPLES</v>
          </cell>
        </row>
        <row r="1866">
          <cell r="A1866" t="str">
            <v>FTK18505</v>
          </cell>
          <cell r="B1866" t="str">
            <v>AUTOMOTIVO</v>
          </cell>
          <cell r="D1866" t="str">
            <v>SIMPLES</v>
          </cell>
        </row>
        <row r="1867">
          <cell r="A1867" t="str">
            <v>FTK18648</v>
          </cell>
          <cell r="B1867" t="str">
            <v>AUTOMOTIVO</v>
          </cell>
          <cell r="C1867" t="str">
            <v>Rolamento roda</v>
          </cell>
          <cell r="D1867" t="str">
            <v>SIMPLES</v>
          </cell>
        </row>
        <row r="1868">
          <cell r="A1868" t="str">
            <v>FTK18695</v>
          </cell>
          <cell r="B1868" t="str">
            <v>AUTOMOTIVO</v>
          </cell>
          <cell r="C1868" t="str">
            <v>Rolamento roda</v>
          </cell>
          <cell r="D1868" t="str">
            <v>SIMPLES</v>
          </cell>
        </row>
        <row r="1869">
          <cell r="A1869" t="str">
            <v>FTK18782</v>
          </cell>
          <cell r="B1869" t="str">
            <v>AUTOMOTIVO</v>
          </cell>
          <cell r="C1869" t="str">
            <v>CUBO DE RODA</v>
          </cell>
          <cell r="D1869" t="str">
            <v>SIMPLES</v>
          </cell>
        </row>
        <row r="1870">
          <cell r="A1870" t="str">
            <v>FTK2004</v>
          </cell>
          <cell r="B1870" t="str">
            <v>AUTOMOTIVO</v>
          </cell>
          <cell r="D1870" t="str">
            <v>SIMPLES</v>
          </cell>
        </row>
        <row r="1871">
          <cell r="A1871" t="str">
            <v>FTK220</v>
          </cell>
          <cell r="B1871" t="str">
            <v>AUTOMOTIVO</v>
          </cell>
          <cell r="D1871" t="str">
            <v>SIMPLES</v>
          </cell>
        </row>
        <row r="1872">
          <cell r="A1872" t="str">
            <v>FTK223</v>
          </cell>
          <cell r="B1872" t="str">
            <v>AUTOMOTIVO</v>
          </cell>
          <cell r="C1872" t="str">
            <v>COXIM AMORTECEDOR</v>
          </cell>
          <cell r="D1872" t="str">
            <v>SIMPLES</v>
          </cell>
        </row>
        <row r="1873">
          <cell r="A1873" t="str">
            <v>FTK223/093007</v>
          </cell>
          <cell r="B1873" t="str">
            <v>AUTOMOTIVO</v>
          </cell>
          <cell r="C1873" t="str">
            <v>KIT AMORTECEDOR COMPLETO</v>
          </cell>
          <cell r="D1873" t="str">
            <v>SIMPLES</v>
          </cell>
        </row>
        <row r="1874">
          <cell r="A1874" t="str">
            <v>FTK276</v>
          </cell>
          <cell r="B1874" t="str">
            <v>AUTOMOTIVO</v>
          </cell>
          <cell r="D1874" t="str">
            <v>SIMPLES</v>
          </cell>
        </row>
        <row r="1875">
          <cell r="A1875" t="str">
            <v>FTK278</v>
          </cell>
          <cell r="B1875" t="str">
            <v>AUTOMOTIVO</v>
          </cell>
          <cell r="D1875" t="str">
            <v>SIMPLES</v>
          </cell>
        </row>
        <row r="1876">
          <cell r="A1876" t="str">
            <v>FTK279</v>
          </cell>
          <cell r="B1876" t="str">
            <v>AUTOMOTIVO</v>
          </cell>
          <cell r="D1876" t="str">
            <v>SIMPLES</v>
          </cell>
        </row>
        <row r="1877">
          <cell r="A1877" t="str">
            <v>FTK282</v>
          </cell>
          <cell r="B1877" t="str">
            <v>AUTOMOTIVO</v>
          </cell>
          <cell r="D1877" t="str">
            <v>SIMPLES</v>
          </cell>
        </row>
        <row r="1878">
          <cell r="A1878" t="str">
            <v>FTK284</v>
          </cell>
          <cell r="B1878" t="str">
            <v>AUTOMOTIVO</v>
          </cell>
          <cell r="D1878" t="str">
            <v>SIMPLES</v>
          </cell>
        </row>
        <row r="1879">
          <cell r="A1879" t="str">
            <v>FTK313</v>
          </cell>
          <cell r="B1879" t="str">
            <v>AUTOMOTIVO</v>
          </cell>
          <cell r="D1879" t="str">
            <v>SIMPLES</v>
          </cell>
        </row>
        <row r="1880">
          <cell r="A1880" t="str">
            <v>FTK340</v>
          </cell>
          <cell r="B1880" t="str">
            <v>AUTOMOTIVO</v>
          </cell>
          <cell r="C1880" t="str">
            <v>COXIM AMORTECEDOR</v>
          </cell>
          <cell r="D1880" t="str">
            <v>SIMPLES</v>
          </cell>
        </row>
        <row r="1881">
          <cell r="A1881" t="str">
            <v>FTK377</v>
          </cell>
          <cell r="B1881" t="str">
            <v>AUTOMOTIVO</v>
          </cell>
          <cell r="D1881" t="str">
            <v>SIMPLES</v>
          </cell>
        </row>
        <row r="1882">
          <cell r="A1882" t="str">
            <v>FTK379</v>
          </cell>
          <cell r="B1882" t="str">
            <v>AUTOMOTIVO</v>
          </cell>
          <cell r="C1882" t="str">
            <v>COXIM AMORTECEDOR</v>
          </cell>
          <cell r="D1882" t="str">
            <v>SIMPLES</v>
          </cell>
        </row>
        <row r="1883">
          <cell r="A1883" t="str">
            <v>FTK421</v>
          </cell>
          <cell r="B1883" t="str">
            <v>AUTOMOTIVO</v>
          </cell>
          <cell r="D1883" t="str">
            <v>SIMPLES</v>
          </cell>
        </row>
        <row r="1884">
          <cell r="A1884" t="str">
            <v>FTK44417</v>
          </cell>
          <cell r="B1884" t="str">
            <v>AUTOMOTIVO</v>
          </cell>
          <cell r="C1884" t="str">
            <v>Pastilha Freio</v>
          </cell>
          <cell r="D1884" t="str">
            <v>SIMPLES</v>
          </cell>
        </row>
        <row r="1885">
          <cell r="A1885" t="str">
            <v>FTK452</v>
          </cell>
          <cell r="B1885" t="str">
            <v>AUTOMOTIVO</v>
          </cell>
          <cell r="D1885" t="str">
            <v>SIMPLES</v>
          </cell>
        </row>
        <row r="1886">
          <cell r="A1886" t="str">
            <v>FTK601</v>
          </cell>
          <cell r="B1886" t="str">
            <v>AUTOMOTIVO</v>
          </cell>
          <cell r="C1886" t="str">
            <v>COXIM AMORTECEDOR</v>
          </cell>
          <cell r="D1886" t="str">
            <v>SIMPLES</v>
          </cell>
        </row>
        <row r="1887">
          <cell r="A1887" t="str">
            <v>ftk88002</v>
          </cell>
          <cell r="B1887" t="str">
            <v>AUTOMOTIVO</v>
          </cell>
          <cell r="C1887" t="str">
            <v>Pastilha Freio</v>
          </cell>
          <cell r="D1887" t="str">
            <v>SIMPLES</v>
          </cell>
        </row>
        <row r="1888">
          <cell r="A1888" t="str">
            <v>FTK889628</v>
          </cell>
          <cell r="B1888" t="str">
            <v>AUTOMOTIVO</v>
          </cell>
          <cell r="C1888" t="str">
            <v>Rolamento semi Eixo</v>
          </cell>
          <cell r="D1888" t="str">
            <v>SIMPLES</v>
          </cell>
          <cell r="E1888" t="str">
            <v>POLO</v>
          </cell>
        </row>
        <row r="1889">
          <cell r="A1889" t="str">
            <v>FTK946</v>
          </cell>
          <cell r="B1889" t="str">
            <v>AUTOMOTIVO</v>
          </cell>
          <cell r="D1889" t="str">
            <v>SIMPLES</v>
          </cell>
        </row>
        <row r="1890">
          <cell r="A1890" t="str">
            <v>FTK99133</v>
          </cell>
          <cell r="B1890" t="str">
            <v>AUTOMOTIVO</v>
          </cell>
          <cell r="C1890" t="str">
            <v>Pastilha Freio</v>
          </cell>
          <cell r="D1890" t="str">
            <v>SIMPLES</v>
          </cell>
        </row>
        <row r="1891">
          <cell r="A1891" t="str">
            <v>FTK99261</v>
          </cell>
          <cell r="B1891" t="str">
            <v>AUTOMOTIVO</v>
          </cell>
          <cell r="C1891" t="str">
            <v>Pastilha Freio</v>
          </cell>
          <cell r="D1891" t="str">
            <v>SIMPLES</v>
          </cell>
        </row>
        <row r="1892">
          <cell r="A1892" t="str">
            <v>FTK200121A</v>
          </cell>
          <cell r="B1892" t="str">
            <v>MOTO PEÇAS</v>
          </cell>
          <cell r="C1892" t="str">
            <v>Junta moto</v>
          </cell>
          <cell r="D1892" t="str">
            <v>SIMPLES</v>
          </cell>
          <cell r="E1892" t="str">
            <v>KRATER</v>
          </cell>
        </row>
        <row r="1893">
          <cell r="A1893" t="str">
            <v>KIT-FD001</v>
          </cell>
          <cell r="B1893" t="str">
            <v>AUTOMOTIVO</v>
          </cell>
          <cell r="C1893" t="str">
            <v>Rolamento Roda</v>
          </cell>
          <cell r="D1893" t="str">
            <v>SIMPLES</v>
          </cell>
          <cell r="E1893" t="str">
            <v>Importação</v>
          </cell>
        </row>
        <row r="1894">
          <cell r="A1894" t="str">
            <v>FTK200123A</v>
          </cell>
          <cell r="B1894" t="str">
            <v>MOTO PEÇAS</v>
          </cell>
          <cell r="C1894" t="str">
            <v>Junta moto</v>
          </cell>
          <cell r="D1894" t="str">
            <v>SIMPLES</v>
          </cell>
          <cell r="E1894" t="str">
            <v>KRATER</v>
          </cell>
        </row>
        <row r="1895">
          <cell r="A1895" t="str">
            <v>FTK200123PA</v>
          </cell>
          <cell r="B1895" t="str">
            <v>MOTO PEÇAS</v>
          </cell>
          <cell r="C1895" t="str">
            <v>Junta moto</v>
          </cell>
          <cell r="D1895" t="str">
            <v>SIMPLES</v>
          </cell>
          <cell r="E1895" t="str">
            <v>KRATER</v>
          </cell>
        </row>
        <row r="1896">
          <cell r="A1896" t="str">
            <v>kit-pg001</v>
          </cell>
          <cell r="B1896" t="str">
            <v>AUTOMOTIVO</v>
          </cell>
          <cell r="C1896" t="str">
            <v>Rolamento Eixo</v>
          </cell>
          <cell r="D1896" t="str">
            <v>SIMPLES</v>
          </cell>
          <cell r="E1896" t="str">
            <v>Importação</v>
          </cell>
        </row>
        <row r="1897">
          <cell r="A1897" t="str">
            <v>KIT-VW001</v>
          </cell>
          <cell r="B1897" t="str">
            <v>AUTOMOTIVO</v>
          </cell>
          <cell r="C1897" t="str">
            <v>Rolamento Roda</v>
          </cell>
          <cell r="D1897" t="str">
            <v>SIMPLES</v>
          </cell>
          <cell r="E1897" t="str">
            <v>Importação</v>
          </cell>
        </row>
        <row r="1898">
          <cell r="A1898" t="str">
            <v>LT2212</v>
          </cell>
          <cell r="B1898" t="str">
            <v>AUTOMOTIVO</v>
          </cell>
          <cell r="C1898" t="str">
            <v>Reparo alavanta Câmbio</v>
          </cell>
          <cell r="D1898" t="str">
            <v>SIMPLES</v>
          </cell>
        </row>
        <row r="1899">
          <cell r="A1899" t="str">
            <v>LT5506</v>
          </cell>
          <cell r="B1899" t="str">
            <v>AUTOMOTIVO</v>
          </cell>
          <cell r="D1899" t="str">
            <v>SIMPLES</v>
          </cell>
        </row>
        <row r="1900">
          <cell r="A1900" t="str">
            <v>LT5678</v>
          </cell>
          <cell r="B1900" t="str">
            <v>AUTOMOTIVO</v>
          </cell>
          <cell r="D1900" t="str">
            <v>SIMPLES</v>
          </cell>
        </row>
        <row r="1901">
          <cell r="A1901" t="str">
            <v>NZT0055AA</v>
          </cell>
          <cell r="B1901" t="str">
            <v>AUTOMOTIVO</v>
          </cell>
          <cell r="C1901" t="str">
            <v>ROLAMENTO RODA</v>
          </cell>
          <cell r="D1901" t="str">
            <v>SIMPLES</v>
          </cell>
        </row>
        <row r="1902">
          <cell r="A1902" t="str">
            <v>FTK201366A</v>
          </cell>
          <cell r="B1902" t="str">
            <v>MOTO PEÇAS</v>
          </cell>
          <cell r="C1902" t="str">
            <v>Junta moto</v>
          </cell>
          <cell r="D1902" t="str">
            <v>SIMPLES</v>
          </cell>
          <cell r="E1902" t="str">
            <v>KRATER</v>
          </cell>
        </row>
        <row r="1903">
          <cell r="A1903" t="str">
            <v>FTK201366PA</v>
          </cell>
          <cell r="B1903" t="str">
            <v>MOTO PEÇAS</v>
          </cell>
          <cell r="C1903" t="str">
            <v>Junta moto</v>
          </cell>
          <cell r="D1903" t="str">
            <v>SIMPLES</v>
          </cell>
          <cell r="E1903" t="str">
            <v>KRATER</v>
          </cell>
        </row>
        <row r="1904">
          <cell r="A1904" t="str">
            <v>FTK-CCA0035</v>
          </cell>
          <cell r="B1904" t="str">
            <v>MOTO PEÇAS</v>
          </cell>
          <cell r="C1904" t="str">
            <v>Cabo Acelerador Moto</v>
          </cell>
          <cell r="D1904" t="str">
            <v>SIMPLES</v>
          </cell>
          <cell r="E1904" t="str">
            <v>POLO</v>
          </cell>
        </row>
        <row r="1905">
          <cell r="A1905" t="str">
            <v>FTK-CCA0036</v>
          </cell>
          <cell r="B1905" t="str">
            <v>MOTO PEÇAS</v>
          </cell>
          <cell r="C1905" t="str">
            <v>Cabo Acelerador Moto</v>
          </cell>
          <cell r="D1905" t="str">
            <v>SIMPLES</v>
          </cell>
          <cell r="E1905" t="str">
            <v>POLO</v>
          </cell>
        </row>
        <row r="1906">
          <cell r="A1906" t="str">
            <v>NZT6004/2RS</v>
          </cell>
          <cell r="B1906" t="str">
            <v>AUTOMOTIVO</v>
          </cell>
          <cell r="D1906" t="str">
            <v>SIMPLES</v>
          </cell>
        </row>
        <row r="1907">
          <cell r="A1907" t="str">
            <v>NZT6302/2RS</v>
          </cell>
          <cell r="B1907" t="str">
            <v>AUTOMOTIVO</v>
          </cell>
          <cell r="D1907" t="str">
            <v>SIMPLES</v>
          </cell>
        </row>
        <row r="1908">
          <cell r="A1908" t="str">
            <v>20w50-SB</v>
          </cell>
          <cell r="B1908" t="str">
            <v>AUTOMOTIVO</v>
          </cell>
          <cell r="C1908" t="str">
            <v>Óleo</v>
          </cell>
          <cell r="D1908" t="str">
            <v>SIMPLES</v>
          </cell>
        </row>
        <row r="1909">
          <cell r="A1909" t="str">
            <v>NZT6916A</v>
          </cell>
          <cell r="B1909" t="str">
            <v>AUTOMOTIVO</v>
          </cell>
          <cell r="C1909" t="str">
            <v>Rolamento Roda</v>
          </cell>
          <cell r="D1909" t="str">
            <v>SIMPLES</v>
          </cell>
        </row>
        <row r="1910">
          <cell r="A1910" t="str">
            <v>Par-FD001</v>
          </cell>
          <cell r="B1910" t="str">
            <v>AUTOMOTIVO</v>
          </cell>
          <cell r="C1910" t="str">
            <v>Rolamento Roda</v>
          </cell>
          <cell r="D1910" t="str">
            <v>SIMPLES</v>
          </cell>
          <cell r="E1910" t="str">
            <v>Importação</v>
          </cell>
        </row>
        <row r="1911">
          <cell r="A1911" t="str">
            <v>PAR-FTK18096</v>
          </cell>
          <cell r="B1911" t="str">
            <v>AUTOMOTIVO</v>
          </cell>
          <cell r="C1911" t="str">
            <v>ROLAMENTO RODA</v>
          </cell>
          <cell r="D1911" t="str">
            <v>SIMPLES</v>
          </cell>
        </row>
        <row r="1912">
          <cell r="A1912" t="str">
            <v>Par-PF005</v>
          </cell>
          <cell r="B1912" t="str">
            <v>AUTOMOTIVO</v>
          </cell>
          <cell r="C1912" t="str">
            <v>Rolamento Eixo</v>
          </cell>
          <cell r="D1912" t="str">
            <v>SIMPLES</v>
          </cell>
          <cell r="E1912" t="str">
            <v>Importação</v>
          </cell>
        </row>
        <row r="1913">
          <cell r="A1913" t="str">
            <v>BUZ0001</v>
          </cell>
          <cell r="B1913" t="str">
            <v>AUTOMOTIVO</v>
          </cell>
          <cell r="D1913" t="str">
            <v>SIMPLES</v>
          </cell>
        </row>
        <row r="1914">
          <cell r="A1914" t="str">
            <v>FTK-CCA0038</v>
          </cell>
          <cell r="B1914" t="str">
            <v>MOTO PEÇAS</v>
          </cell>
          <cell r="C1914" t="str">
            <v>Cabo Acelerador Moto</v>
          </cell>
          <cell r="D1914" t="str">
            <v>SIMPLES</v>
          </cell>
          <cell r="E1914" t="str">
            <v>POLO</v>
          </cell>
        </row>
        <row r="1915">
          <cell r="A1915" t="str">
            <v>FTK-CCA0041</v>
          </cell>
          <cell r="B1915" t="str">
            <v>MOTO PEÇAS</v>
          </cell>
          <cell r="C1915" t="str">
            <v>Cabo Acelerador Moto</v>
          </cell>
          <cell r="D1915" t="str">
            <v>SIMPLES</v>
          </cell>
          <cell r="E1915" t="str">
            <v>POLO</v>
          </cell>
        </row>
        <row r="1916">
          <cell r="A1916" t="str">
            <v>FTK-CCA0043</v>
          </cell>
          <cell r="B1916" t="str">
            <v>MOTO PEÇAS</v>
          </cell>
          <cell r="C1916" t="str">
            <v>Cabo Acelerador Moto</v>
          </cell>
          <cell r="D1916" t="str">
            <v>SIMPLES</v>
          </cell>
          <cell r="E1916" t="str">
            <v>POLO</v>
          </cell>
        </row>
        <row r="1917">
          <cell r="A1917" t="str">
            <v>FTK-CCE0048</v>
          </cell>
          <cell r="B1917" t="str">
            <v>MOTO PEÇAS</v>
          </cell>
          <cell r="C1917" t="str">
            <v>Cabo Embreagem moto</v>
          </cell>
          <cell r="D1917" t="str">
            <v>SIMPLES</v>
          </cell>
          <cell r="E1917" t="str">
            <v>POLO</v>
          </cell>
        </row>
        <row r="1918">
          <cell r="A1918" t="str">
            <v>FTK-CCE0052</v>
          </cell>
          <cell r="B1918" t="str">
            <v>MOTO PEÇAS</v>
          </cell>
          <cell r="C1918" t="str">
            <v>Cabo Embreagem moto</v>
          </cell>
          <cell r="D1918" t="str">
            <v>SIMPLES</v>
          </cell>
          <cell r="E1918" t="str">
            <v>POLO</v>
          </cell>
        </row>
        <row r="1919">
          <cell r="A1919" t="str">
            <v>FTK-CCE0053</v>
          </cell>
          <cell r="B1919" t="str">
            <v>MOTO PEÇAS</v>
          </cell>
          <cell r="C1919" t="str">
            <v>Cabo Embreagem moto</v>
          </cell>
          <cell r="D1919" t="str">
            <v>SIMPLES</v>
          </cell>
          <cell r="E1919" t="str">
            <v>POLO</v>
          </cell>
        </row>
        <row r="1920">
          <cell r="A1920" t="str">
            <v>FTK-CCE0054</v>
          </cell>
          <cell r="B1920" t="str">
            <v>MOTO PEÇAS</v>
          </cell>
          <cell r="C1920" t="str">
            <v>Cabo Embreagem moto</v>
          </cell>
          <cell r="D1920" t="str">
            <v>SIMPLES</v>
          </cell>
          <cell r="E1920" t="str">
            <v>POLO</v>
          </cell>
        </row>
        <row r="1921">
          <cell r="A1921" t="str">
            <v>FTK-CCF0056</v>
          </cell>
          <cell r="B1921" t="str">
            <v>MOTO PEÇAS</v>
          </cell>
          <cell r="C1921" t="str">
            <v>Cabo Freio Moto</v>
          </cell>
          <cell r="D1921" t="str">
            <v>SIMPLES</v>
          </cell>
          <cell r="E1921" t="str">
            <v>POLO</v>
          </cell>
        </row>
        <row r="1922">
          <cell r="A1922" t="str">
            <v>FTK-CCV0061</v>
          </cell>
          <cell r="B1922" t="str">
            <v>MOTO PEÇAS</v>
          </cell>
          <cell r="C1922" t="str">
            <v>Cabo velocímetro Moto</v>
          </cell>
          <cell r="D1922" t="str">
            <v>SIMPLES</v>
          </cell>
          <cell r="E1922" t="str">
            <v>POLO</v>
          </cell>
        </row>
        <row r="1923">
          <cell r="A1923" t="str">
            <v>GM001</v>
          </cell>
          <cell r="B1923" t="str">
            <v>AUTOMOTIVO</v>
          </cell>
          <cell r="C1923" t="str">
            <v>Rolamento Roda</v>
          </cell>
          <cell r="D1923" t="str">
            <v>SIMPLES</v>
          </cell>
          <cell r="E1923" t="str">
            <v>POLO</v>
          </cell>
        </row>
        <row r="1924">
          <cell r="A1924" t="str">
            <v>kit/vw001DT</v>
          </cell>
          <cell r="B1924" t="str">
            <v>AUTOMOTIVO</v>
          </cell>
          <cell r="C1924" t="str">
            <v>Rolamento Roda</v>
          </cell>
          <cell r="D1924" t="str">
            <v>SIMPLES</v>
          </cell>
          <cell r="E1924" t="str">
            <v>POLO</v>
          </cell>
        </row>
        <row r="1925">
          <cell r="A1925" t="str">
            <v>KIT-3600DT</v>
          </cell>
          <cell r="B1925" t="str">
            <v>AUTOMOTIVO</v>
          </cell>
          <cell r="C1925" t="str">
            <v>Rolamento Roda</v>
          </cell>
          <cell r="D1925" t="str">
            <v>SIMPLES</v>
          </cell>
          <cell r="E1925" t="str">
            <v>POLO</v>
          </cell>
        </row>
        <row r="1926">
          <cell r="A1926" t="str">
            <v>KIT-FTK3320/22</v>
          </cell>
          <cell r="B1926" t="str">
            <v>AUTOMOTIVO</v>
          </cell>
          <cell r="C1926" t="str">
            <v>Coifa Homocinética</v>
          </cell>
          <cell r="D1926" t="str">
            <v>SIMPLES</v>
          </cell>
          <cell r="E1926" t="str">
            <v>POLO</v>
          </cell>
        </row>
        <row r="1927">
          <cell r="A1927" t="str">
            <v>KIT-GM001DT</v>
          </cell>
          <cell r="B1927" t="str">
            <v>AUTOMOTIVO</v>
          </cell>
          <cell r="C1927" t="str">
            <v>Rolamento Roda</v>
          </cell>
          <cell r="D1927" t="str">
            <v>SIMPLES</v>
          </cell>
          <cell r="E1927" t="str">
            <v>POLO</v>
          </cell>
        </row>
        <row r="1928">
          <cell r="A1928" t="str">
            <v>NZT0012</v>
          </cell>
          <cell r="B1928" t="str">
            <v>AUTOMOTIVO</v>
          </cell>
          <cell r="C1928" t="str">
            <v>Rolamento Roda</v>
          </cell>
          <cell r="D1928" t="str">
            <v>SIMPLES</v>
          </cell>
          <cell r="E1928" t="str">
            <v>POLO</v>
          </cell>
        </row>
        <row r="1929">
          <cell r="A1929" t="str">
            <v>NZT0186</v>
          </cell>
          <cell r="B1929" t="str">
            <v>AUTOMOTIVO</v>
          </cell>
          <cell r="C1929" t="str">
            <v>Rolamento Roda</v>
          </cell>
          <cell r="D1929" t="str">
            <v>SIMPLES</v>
          </cell>
          <cell r="E1929" t="str">
            <v>POLO</v>
          </cell>
        </row>
        <row r="1930">
          <cell r="A1930" t="str">
            <v>NZT1206</v>
          </cell>
          <cell r="B1930" t="str">
            <v>AUTOMOTIVO</v>
          </cell>
          <cell r="C1930" t="str">
            <v>Pastilha Freio</v>
          </cell>
          <cell r="D1930" t="str">
            <v>SIMPLES</v>
          </cell>
          <cell r="E1930" t="str">
            <v>POLO</v>
          </cell>
        </row>
        <row r="1931">
          <cell r="A1931" t="str">
            <v>nzt311315</v>
          </cell>
          <cell r="B1931" t="str">
            <v>AUTOMOTIVO</v>
          </cell>
          <cell r="C1931" t="str">
            <v>Rolamento Roda</v>
          </cell>
          <cell r="D1931" t="str">
            <v>SIMPLES</v>
          </cell>
          <cell r="E1931" t="str">
            <v>POLO</v>
          </cell>
        </row>
        <row r="1932">
          <cell r="A1932" t="str">
            <v>NZT311396</v>
          </cell>
          <cell r="B1932" t="str">
            <v>AUTOMOTIVO</v>
          </cell>
          <cell r="C1932" t="str">
            <v>Rolamento Roda</v>
          </cell>
          <cell r="D1932" t="str">
            <v>SIMPLES</v>
          </cell>
          <cell r="E1932" t="str">
            <v>POLO</v>
          </cell>
        </row>
        <row r="1933">
          <cell r="A1933" t="str">
            <v>nzt3600</v>
          </cell>
          <cell r="B1933" t="str">
            <v>AUTOMOTIVO</v>
          </cell>
          <cell r="C1933" t="str">
            <v>Rolamento Roda</v>
          </cell>
          <cell r="D1933" t="str">
            <v>SIMPLES</v>
          </cell>
          <cell r="E1933" t="str">
            <v>POLO</v>
          </cell>
        </row>
        <row r="1934">
          <cell r="A1934" t="str">
            <v>NZT3601</v>
          </cell>
          <cell r="B1934" t="str">
            <v>AUTOMOTIVO</v>
          </cell>
          <cell r="C1934" t="str">
            <v>Rolamento Roda</v>
          </cell>
          <cell r="D1934" t="str">
            <v>SIMPLES</v>
          </cell>
          <cell r="E1934" t="str">
            <v>POLO</v>
          </cell>
        </row>
        <row r="1935">
          <cell r="A1935" t="str">
            <v>Par-PG001</v>
          </cell>
          <cell r="B1935" t="str">
            <v>AUTOMOTIVO</v>
          </cell>
          <cell r="C1935" t="str">
            <v>Rolamento Eixo</v>
          </cell>
          <cell r="D1935" t="str">
            <v>SIMPLES</v>
          </cell>
          <cell r="E1935" t="str">
            <v>Importação</v>
          </cell>
        </row>
        <row r="1936">
          <cell r="A1936" t="str">
            <v>Par-PG001A</v>
          </cell>
          <cell r="B1936" t="str">
            <v>AUTOMOTIVO</v>
          </cell>
          <cell r="C1936" t="str">
            <v>Rolamento Eixo</v>
          </cell>
          <cell r="D1936" t="str">
            <v>SIMPLES</v>
          </cell>
          <cell r="E1936" t="str">
            <v>Importação</v>
          </cell>
        </row>
        <row r="1937">
          <cell r="A1937" t="str">
            <v>Par-PG002</v>
          </cell>
          <cell r="B1937" t="str">
            <v>AUTOMOTIVO</v>
          </cell>
          <cell r="C1937" t="str">
            <v>Rolamento Eixo</v>
          </cell>
          <cell r="D1937" t="str">
            <v>SIMPLES</v>
          </cell>
          <cell r="E1937" t="str">
            <v>Importação</v>
          </cell>
        </row>
        <row r="1938">
          <cell r="A1938" t="str">
            <v>Par-PG003</v>
          </cell>
          <cell r="B1938" t="str">
            <v>AUTOMOTIVO</v>
          </cell>
          <cell r="C1938" t="str">
            <v>Rolamento Eixo</v>
          </cell>
          <cell r="D1938" t="str">
            <v>SIMPLES</v>
          </cell>
          <cell r="E1938" t="str">
            <v>Importação</v>
          </cell>
        </row>
        <row r="1939">
          <cell r="A1939" t="str">
            <v>PF005</v>
          </cell>
          <cell r="B1939" t="str">
            <v>AUTOMOTIVO</v>
          </cell>
          <cell r="C1939" t="str">
            <v>Rolamento Eixo</v>
          </cell>
          <cell r="D1939" t="str">
            <v>SIMPLES</v>
          </cell>
          <cell r="E1939" t="str">
            <v>Importação</v>
          </cell>
        </row>
        <row r="1940">
          <cell r="A1940" t="str">
            <v>PG001</v>
          </cell>
          <cell r="B1940" t="str">
            <v>AUTOMOTIVO</v>
          </cell>
          <cell r="C1940" t="str">
            <v>Rolamento Eixo</v>
          </cell>
          <cell r="D1940" t="str">
            <v>SIMPLES</v>
          </cell>
          <cell r="E1940" t="str">
            <v>Importação</v>
          </cell>
        </row>
        <row r="1941">
          <cell r="A1941" t="str">
            <v>PG001A</v>
          </cell>
          <cell r="B1941" t="str">
            <v>AUTOMOTIVO</v>
          </cell>
          <cell r="C1941" t="str">
            <v>Rolamento Eixo</v>
          </cell>
          <cell r="D1941" t="str">
            <v>SIMPLES</v>
          </cell>
          <cell r="E1941" t="str">
            <v>Importação</v>
          </cell>
        </row>
        <row r="1942">
          <cell r="A1942" t="str">
            <v>PG002</v>
          </cell>
          <cell r="B1942" t="str">
            <v>AUTOMOTIVO</v>
          </cell>
          <cell r="C1942" t="str">
            <v>Rolamento Eixo</v>
          </cell>
          <cell r="D1942" t="str">
            <v>SIMPLES</v>
          </cell>
          <cell r="E1942" t="str">
            <v>Importação</v>
          </cell>
        </row>
        <row r="1943">
          <cell r="A1943" t="str">
            <v>PG003</v>
          </cell>
          <cell r="B1943" t="str">
            <v>AUTOMOTIVO</v>
          </cell>
          <cell r="C1943" t="str">
            <v>Rolamento Eixo</v>
          </cell>
          <cell r="D1943" t="str">
            <v>SIMPLES</v>
          </cell>
          <cell r="E1943" t="str">
            <v>Importação</v>
          </cell>
        </row>
        <row r="1944">
          <cell r="A1944" t="str">
            <v>NZT41999</v>
          </cell>
          <cell r="B1944" t="str">
            <v>AUTOMOTIVO</v>
          </cell>
          <cell r="C1944" t="str">
            <v>Rolamento Roda</v>
          </cell>
          <cell r="D1944" t="str">
            <v>SIMPLES</v>
          </cell>
          <cell r="E1944" t="str">
            <v>POLO</v>
          </cell>
        </row>
        <row r="1945">
          <cell r="A1945" t="str">
            <v>NZT563644</v>
          </cell>
          <cell r="B1945" t="str">
            <v>AUTOMOTIVO</v>
          </cell>
          <cell r="C1945" t="str">
            <v>Pastilha Freio</v>
          </cell>
          <cell r="D1945" t="str">
            <v>SIMPLES</v>
          </cell>
          <cell r="E1945" t="str">
            <v>POLO</v>
          </cell>
        </row>
        <row r="1946">
          <cell r="A1946" t="str">
            <v>NZT636096</v>
          </cell>
          <cell r="B1946" t="str">
            <v>AUTOMOTIVO</v>
          </cell>
          <cell r="C1946" t="str">
            <v>Pastilha Freio</v>
          </cell>
          <cell r="D1946" t="str">
            <v>SIMPLES</v>
          </cell>
          <cell r="E1946" t="str">
            <v>POLO</v>
          </cell>
        </row>
        <row r="1947">
          <cell r="A1947" t="str">
            <v>R6202</v>
          </cell>
          <cell r="B1947" t="str">
            <v>AUTOMOTIVO</v>
          </cell>
          <cell r="C1947" t="str">
            <v>Rolamento 6000</v>
          </cell>
          <cell r="D1947" t="str">
            <v>SIMPLES</v>
          </cell>
          <cell r="E1947" t="str">
            <v>TERRITÓRIO</v>
          </cell>
        </row>
        <row r="1948">
          <cell r="A1948" t="str">
            <v>FTK-CCV0062</v>
          </cell>
          <cell r="B1948" t="str">
            <v>MOTO PEÇAS</v>
          </cell>
          <cell r="C1948" t="str">
            <v>Cabo velocímetro Moto</v>
          </cell>
          <cell r="D1948" t="str">
            <v>SIMPLES</v>
          </cell>
          <cell r="E1948" t="str">
            <v>POLO</v>
          </cell>
        </row>
        <row r="1949">
          <cell r="A1949" t="str">
            <v>t005/06</v>
          </cell>
          <cell r="B1949" t="str">
            <v>AUTOMOTIVO</v>
          </cell>
          <cell r="C1949" t="str">
            <v>Reparo alavanta Câmbio</v>
          </cell>
          <cell r="D1949" t="str">
            <v>SIMPLES</v>
          </cell>
          <cell r="E1949" t="str">
            <v>Importação</v>
          </cell>
        </row>
        <row r="1950">
          <cell r="A1950" t="str">
            <v>T1005</v>
          </cell>
          <cell r="B1950" t="str">
            <v>AUTOMOTIVO</v>
          </cell>
          <cell r="C1950" t="str">
            <v>Terminal Cabo Câmbio</v>
          </cell>
          <cell r="D1950" t="str">
            <v>SIMPLES</v>
          </cell>
          <cell r="E1950" t="str">
            <v>Importação</v>
          </cell>
        </row>
        <row r="1951">
          <cell r="A1951" t="str">
            <v>OC504</v>
          </cell>
          <cell r="B1951" t="str">
            <v>AUTOMOTIVO</v>
          </cell>
          <cell r="C1951" t="str">
            <v>Terminal Cabo Câmbio</v>
          </cell>
          <cell r="D1951" t="str">
            <v>SIMPLES</v>
          </cell>
        </row>
        <row r="1952">
          <cell r="A1952" t="str">
            <v>OC505</v>
          </cell>
          <cell r="B1952" t="str">
            <v>AUTOMOTIVO</v>
          </cell>
          <cell r="D1952" t="str">
            <v>SIMPLES</v>
          </cell>
        </row>
        <row r="1953">
          <cell r="A1953" t="str">
            <v>OC506</v>
          </cell>
          <cell r="B1953" t="str">
            <v>AUTOMOTIVO</v>
          </cell>
          <cell r="D1953" t="str">
            <v>SIMPLES</v>
          </cell>
        </row>
        <row r="1954">
          <cell r="A1954" t="str">
            <v>OC522</v>
          </cell>
          <cell r="B1954" t="str">
            <v>AUTOMOTIVO</v>
          </cell>
          <cell r="D1954" t="str">
            <v>SIMPLES</v>
          </cell>
        </row>
        <row r="1955">
          <cell r="A1955" t="str">
            <v>OC600</v>
          </cell>
          <cell r="B1955" t="str">
            <v>AUTOMOTIVO</v>
          </cell>
          <cell r="D1955" t="str">
            <v>SIMPLES</v>
          </cell>
        </row>
        <row r="1956">
          <cell r="A1956" t="str">
            <v>nzt636114</v>
          </cell>
          <cell r="B1956" t="str">
            <v>AUTOMOTIVO</v>
          </cell>
          <cell r="C1956" t="str">
            <v>Rolamento Roda</v>
          </cell>
          <cell r="D1956" t="str">
            <v>SIMPLES</v>
          </cell>
          <cell r="E1956" t="str">
            <v>POLO</v>
          </cell>
        </row>
        <row r="1957">
          <cell r="A1957" t="str">
            <v>PAR-3025</v>
          </cell>
          <cell r="B1957" t="str">
            <v>AUTOMOTIVO</v>
          </cell>
          <cell r="C1957" t="str">
            <v>Suporte Parachoque</v>
          </cell>
          <cell r="D1957" t="str">
            <v>SIMPLES</v>
          </cell>
          <cell r="E1957" t="str">
            <v>POLO</v>
          </cell>
        </row>
        <row r="1958">
          <cell r="A1958" t="str">
            <v>Par-GM001</v>
          </cell>
          <cell r="B1958" t="str">
            <v>AUTOMOTIVO</v>
          </cell>
          <cell r="C1958" t="str">
            <v>Rolamento Roda</v>
          </cell>
          <cell r="D1958" t="str">
            <v>SIMPLES</v>
          </cell>
          <cell r="E1958" t="str">
            <v>POLO</v>
          </cell>
        </row>
        <row r="1959">
          <cell r="A1959" t="str">
            <v>T1005/06</v>
          </cell>
          <cell r="B1959" t="str">
            <v>AUTOMOTIVO</v>
          </cell>
          <cell r="C1959" t="str">
            <v>Terminal Cabo Câmbio</v>
          </cell>
          <cell r="D1959" t="str">
            <v>SIMPLES</v>
          </cell>
          <cell r="E1959" t="str">
            <v>Importação</v>
          </cell>
        </row>
        <row r="1960">
          <cell r="A1960" t="str">
            <v>t1006</v>
          </cell>
          <cell r="B1960" t="str">
            <v>AUTOMOTIVO</v>
          </cell>
          <cell r="C1960" t="str">
            <v>Terminal Cabo Câmbio</v>
          </cell>
          <cell r="D1960" t="str">
            <v>SIMPLES</v>
          </cell>
          <cell r="E1960" t="str">
            <v>Importação</v>
          </cell>
        </row>
        <row r="1961">
          <cell r="A1961" t="str">
            <v>T-10111</v>
          </cell>
          <cell r="B1961" t="str">
            <v>AUTOMOTIVO</v>
          </cell>
          <cell r="C1961" t="str">
            <v>Terminal Cabo Câmbio</v>
          </cell>
          <cell r="D1961" t="str">
            <v>SIMPLES</v>
          </cell>
          <cell r="E1961" t="str">
            <v>Importação</v>
          </cell>
        </row>
        <row r="1962">
          <cell r="A1962" t="str">
            <v>TERMINAL AXIAL NAKATA</v>
          </cell>
          <cell r="B1962" t="str">
            <v>AUTOMOTIVO</v>
          </cell>
          <cell r="C1962" t="str">
            <v>Terminal Axial</v>
          </cell>
          <cell r="D1962" t="str">
            <v>SIMPLES</v>
          </cell>
          <cell r="E1962" t="str">
            <v>Outros</v>
          </cell>
        </row>
        <row r="1963">
          <cell r="A1963" t="str">
            <v>TK0912</v>
          </cell>
          <cell r="B1963" t="str">
            <v>AUTOMOTIVO</v>
          </cell>
          <cell r="C1963" t="str">
            <v>Terminal Axial</v>
          </cell>
          <cell r="D1963" t="str">
            <v>SIMPLES</v>
          </cell>
        </row>
        <row r="1964">
          <cell r="A1964" t="str">
            <v>TK1912</v>
          </cell>
          <cell r="B1964" t="str">
            <v>AUTOMOTIVO</v>
          </cell>
          <cell r="D1964" t="str">
            <v>SIMPLES</v>
          </cell>
        </row>
        <row r="1965">
          <cell r="A1965" t="str">
            <v>PAR-NZT0012</v>
          </cell>
          <cell r="B1965" t="str">
            <v>AUTOMOTIVO</v>
          </cell>
          <cell r="C1965" t="str">
            <v>Rolamento Roda</v>
          </cell>
          <cell r="D1965" t="str">
            <v>SIMPLES</v>
          </cell>
          <cell r="E1965" t="str">
            <v>POLO</v>
          </cell>
        </row>
        <row r="1966">
          <cell r="A1966" t="str">
            <v>PAR-NZT0186</v>
          </cell>
          <cell r="B1966" t="str">
            <v>AUTOMOTIVO</v>
          </cell>
          <cell r="C1966" t="str">
            <v>Rolamento Roda</v>
          </cell>
          <cell r="D1966" t="str">
            <v>SIMPLES</v>
          </cell>
          <cell r="E1966" t="str">
            <v>Polo</v>
          </cell>
        </row>
        <row r="1967">
          <cell r="A1967" t="str">
            <v>PAR-NZT1206</v>
          </cell>
          <cell r="B1967" t="str">
            <v>AUTOMOTIVO</v>
          </cell>
          <cell r="C1967" t="str">
            <v>Rolamento</v>
          </cell>
          <cell r="D1967" t="str">
            <v>SIMPLES</v>
          </cell>
          <cell r="E1967" t="str">
            <v>POLO</v>
          </cell>
        </row>
        <row r="1968">
          <cell r="A1968" t="str">
            <v>TK2124</v>
          </cell>
          <cell r="B1968" t="str">
            <v>AUTOMOTIVO</v>
          </cell>
          <cell r="C1968" t="str">
            <v>Rolamento</v>
          </cell>
          <cell r="D1968" t="str">
            <v>SIMPLES</v>
          </cell>
        </row>
        <row r="1969">
          <cell r="A1969" t="str">
            <v>TK2130VM</v>
          </cell>
          <cell r="B1969" t="str">
            <v>AUTOMOTIVO</v>
          </cell>
          <cell r="D1969" t="str">
            <v>SIMPLES</v>
          </cell>
        </row>
        <row r="1970">
          <cell r="A1970" t="str">
            <v>TM982</v>
          </cell>
          <cell r="B1970" t="str">
            <v>AUTOMOTIVO</v>
          </cell>
          <cell r="D1970" t="str">
            <v>SIMPLES</v>
          </cell>
        </row>
        <row r="1971">
          <cell r="A1971" t="str">
            <v>par-nzt311315</v>
          </cell>
          <cell r="B1971" t="str">
            <v>AUTOMOTIVO</v>
          </cell>
          <cell r="C1971" t="str">
            <v>Rolamento Roda</v>
          </cell>
          <cell r="D1971" t="str">
            <v>SIMPLES</v>
          </cell>
          <cell r="E1971" t="str">
            <v>POLO</v>
          </cell>
        </row>
        <row r="1972">
          <cell r="A1972" t="str">
            <v>Par-NZT311396</v>
          </cell>
          <cell r="B1972" t="str">
            <v>AUTOMOTIVO</v>
          </cell>
          <cell r="C1972" t="str">
            <v>Rolamento Roda</v>
          </cell>
          <cell r="D1972" t="str">
            <v>SIMPLES</v>
          </cell>
          <cell r="E1972" t="str">
            <v>POLO</v>
          </cell>
        </row>
        <row r="1973">
          <cell r="A1973" t="str">
            <v>PAR-NZT3600</v>
          </cell>
          <cell r="B1973" t="str">
            <v>AUTOMOTIVO</v>
          </cell>
          <cell r="C1973" t="str">
            <v>Rolamento Roda</v>
          </cell>
          <cell r="D1973" t="str">
            <v>SIMPLES</v>
          </cell>
          <cell r="E1973" t="str">
            <v>POLO</v>
          </cell>
        </row>
        <row r="1974">
          <cell r="A1974" t="str">
            <v>PAR-NZT3601</v>
          </cell>
          <cell r="B1974" t="str">
            <v>AUTOMOTIVO</v>
          </cell>
          <cell r="C1974" t="str">
            <v>Rolamento Roda</v>
          </cell>
          <cell r="D1974" t="str">
            <v>SIMPLES</v>
          </cell>
          <cell r="E1974" t="str">
            <v>POLO</v>
          </cell>
        </row>
        <row r="1975">
          <cell r="A1975" t="str">
            <v>PAR-NZT563644</v>
          </cell>
          <cell r="B1975" t="str">
            <v>AUTOMOTIVO</v>
          </cell>
          <cell r="C1975" t="str">
            <v>Pastilha Freio</v>
          </cell>
          <cell r="D1975" t="str">
            <v>SIMPLES</v>
          </cell>
          <cell r="E1975" t="str">
            <v>POLO</v>
          </cell>
        </row>
        <row r="1976">
          <cell r="A1976" t="str">
            <v>TPN001</v>
          </cell>
          <cell r="B1976" t="str">
            <v>AUTOMOTIVO</v>
          </cell>
          <cell r="C1976" t="str">
            <v>Calota Eixo Peugeot</v>
          </cell>
          <cell r="D1976" t="str">
            <v>SIMPLES</v>
          </cell>
          <cell r="E1976" t="str">
            <v>Outros</v>
          </cell>
        </row>
        <row r="1977">
          <cell r="A1977" t="str">
            <v>par-nzt636114</v>
          </cell>
          <cell r="B1977" t="str">
            <v>AUTOMOTIVO</v>
          </cell>
          <cell r="C1977" t="str">
            <v>Rolamento Roda</v>
          </cell>
          <cell r="D1977" t="str">
            <v>SIMPLES</v>
          </cell>
          <cell r="E1977" t="str">
            <v>POLO</v>
          </cell>
        </row>
        <row r="1978">
          <cell r="A1978" t="str">
            <v>Par-VW001</v>
          </cell>
          <cell r="B1978" t="str">
            <v>AUTOMOTIVO</v>
          </cell>
          <cell r="C1978" t="str">
            <v>Rolamento Roda</v>
          </cell>
          <cell r="D1978" t="str">
            <v>SIMPLES</v>
          </cell>
          <cell r="E1978" t="str">
            <v>POLO</v>
          </cell>
        </row>
        <row r="1979">
          <cell r="A1979" t="str">
            <v>PARVW001-636114</v>
          </cell>
          <cell r="B1979" t="str">
            <v>AUTOMOTIVO</v>
          </cell>
          <cell r="C1979" t="str">
            <v>Rolamento Roda</v>
          </cell>
          <cell r="D1979" t="str">
            <v>SIMPLES</v>
          </cell>
          <cell r="E1979" t="str">
            <v>POLO</v>
          </cell>
        </row>
        <row r="1980">
          <cell r="A1980" t="str">
            <v>RT001</v>
          </cell>
          <cell r="B1980" t="str">
            <v>MOTO PEÇAS</v>
          </cell>
          <cell r="C1980" t="str">
            <v>Kit Relação moto</v>
          </cell>
          <cell r="D1980" t="str">
            <v>SIMPLES</v>
          </cell>
          <cell r="E1980" t="str">
            <v>POLO</v>
          </cell>
        </row>
        <row r="1981">
          <cell r="A1981" t="str">
            <v>RT002</v>
          </cell>
          <cell r="B1981" t="str">
            <v>MOTO PEÇAS</v>
          </cell>
          <cell r="C1981" t="str">
            <v>Kit Relação moto</v>
          </cell>
          <cell r="D1981" t="str">
            <v>SIMPLES</v>
          </cell>
          <cell r="E1981" t="str">
            <v>POLO</v>
          </cell>
        </row>
        <row r="1982">
          <cell r="A1982" t="str">
            <v>VKM4837</v>
          </cell>
          <cell r="B1982" t="str">
            <v>AUTOMOTIVO</v>
          </cell>
          <cell r="C1982" t="str">
            <v>OUTROS</v>
          </cell>
          <cell r="D1982" t="str">
            <v>SIMPLES</v>
          </cell>
          <cell r="E1982" t="str">
            <v>HOLYMAN</v>
          </cell>
        </row>
        <row r="1983">
          <cell r="A1983" t="str">
            <v>RT003</v>
          </cell>
          <cell r="B1983" t="str">
            <v>MOTO PEÇAS</v>
          </cell>
          <cell r="C1983" t="str">
            <v>Kit Relação moto</v>
          </cell>
          <cell r="D1983" t="str">
            <v>SIMPLES</v>
          </cell>
          <cell r="E1983" t="str">
            <v>POLO</v>
          </cell>
        </row>
        <row r="1984">
          <cell r="A1984" t="str">
            <v>RT004</v>
          </cell>
          <cell r="B1984" t="str">
            <v>MOTO PEÇAS</v>
          </cell>
          <cell r="C1984" t="str">
            <v>Kit Relação moto</v>
          </cell>
          <cell r="D1984" t="str">
            <v>SIMPLES</v>
          </cell>
          <cell r="E1984" t="str">
            <v>POLO</v>
          </cell>
        </row>
        <row r="1985">
          <cell r="A1985" t="str">
            <v>RT006</v>
          </cell>
          <cell r="B1985" t="str">
            <v>MOTO PEÇAS</v>
          </cell>
          <cell r="C1985" t="str">
            <v>Kit Relação moto</v>
          </cell>
          <cell r="D1985" t="str">
            <v>SIMPLES</v>
          </cell>
        </row>
        <row r="1986">
          <cell r="A1986" t="str">
            <v>RT008</v>
          </cell>
          <cell r="B1986" t="str">
            <v>MOTO PEÇAS</v>
          </cell>
          <cell r="C1986" t="str">
            <v>Kit Relação moto</v>
          </cell>
          <cell r="D1986" t="str">
            <v>SIMPLES</v>
          </cell>
          <cell r="E1986" t="str">
            <v>POLO</v>
          </cell>
        </row>
        <row r="1987">
          <cell r="A1987" t="str">
            <v>YBR 125 Velocímetro</v>
          </cell>
          <cell r="B1987" t="str">
            <v>MOTO PEÇAS</v>
          </cell>
          <cell r="C1987" t="str">
            <v>Cabo velocímetro Moto</v>
          </cell>
          <cell r="D1987" t="str">
            <v>SIMPLES</v>
          </cell>
          <cell r="E1987" t="str">
            <v>Importação</v>
          </cell>
        </row>
        <row r="1988">
          <cell r="A1988" t="str">
            <v>VW001</v>
          </cell>
          <cell r="B1988" t="str">
            <v>AUTOMOTIVO</v>
          </cell>
          <cell r="C1988" t="str">
            <v>Rolamento Eixo</v>
          </cell>
          <cell r="D1988" t="str">
            <v>SIMPLES</v>
          </cell>
          <cell r="E1988" t="str">
            <v>POLO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Vendas BR"/>
      <sheetName val="simples"/>
      <sheetName val="KITS"/>
    </sheetNames>
    <sheetDataSet>
      <sheetData sheetId="0"/>
      <sheetData sheetId="1"/>
      <sheetData sheetId="2">
        <row r="1">
          <cell r="A1" t="str">
            <v>SKU</v>
          </cell>
          <cell r="B1" t="str">
            <v>QUANT</v>
          </cell>
        </row>
        <row r="2">
          <cell r="A2">
            <v>55142</v>
          </cell>
          <cell r="B2">
            <v>51</v>
          </cell>
        </row>
        <row r="3">
          <cell r="A3">
            <v>10107</v>
          </cell>
          <cell r="B3">
            <v>49</v>
          </cell>
        </row>
        <row r="4">
          <cell r="A4">
            <v>5554</v>
          </cell>
          <cell r="B4">
            <v>47</v>
          </cell>
        </row>
        <row r="5">
          <cell r="A5">
            <v>77352</v>
          </cell>
          <cell r="B5">
            <v>37</v>
          </cell>
        </row>
        <row r="6">
          <cell r="A6">
            <v>77354</v>
          </cell>
          <cell r="B6">
            <v>37</v>
          </cell>
        </row>
        <row r="7">
          <cell r="A7">
            <v>2374</v>
          </cell>
          <cell r="B7">
            <v>34</v>
          </cell>
        </row>
        <row r="8">
          <cell r="A8">
            <v>110914</v>
          </cell>
          <cell r="B8">
            <v>33</v>
          </cell>
        </row>
        <row r="9">
          <cell r="A9">
            <v>2316</v>
          </cell>
          <cell r="B9">
            <v>33</v>
          </cell>
        </row>
        <row r="10">
          <cell r="A10" t="str">
            <v>LT5609</v>
          </cell>
          <cell r="B10">
            <v>31</v>
          </cell>
        </row>
        <row r="11">
          <cell r="A11">
            <v>552001</v>
          </cell>
          <cell r="B11">
            <v>28</v>
          </cell>
        </row>
        <row r="12">
          <cell r="A12">
            <v>14104</v>
          </cell>
          <cell r="B12">
            <v>27</v>
          </cell>
        </row>
        <row r="13">
          <cell r="A13">
            <v>66418</v>
          </cell>
          <cell r="B13">
            <v>26</v>
          </cell>
        </row>
        <row r="14">
          <cell r="A14" t="str">
            <v>LT5526</v>
          </cell>
          <cell r="B14">
            <v>25</v>
          </cell>
        </row>
        <row r="15">
          <cell r="A15" t="str">
            <v>PG001</v>
          </cell>
          <cell r="B15">
            <v>24</v>
          </cell>
        </row>
        <row r="16">
          <cell r="A16" t="str">
            <v>FD001</v>
          </cell>
          <cell r="B16">
            <v>21</v>
          </cell>
        </row>
        <row r="17">
          <cell r="A17">
            <v>552002</v>
          </cell>
          <cell r="B17">
            <v>20</v>
          </cell>
        </row>
        <row r="18">
          <cell r="A18">
            <v>2327</v>
          </cell>
          <cell r="B18">
            <v>19</v>
          </cell>
        </row>
        <row r="19">
          <cell r="A19">
            <v>77350</v>
          </cell>
          <cell r="B19">
            <v>18</v>
          </cell>
        </row>
        <row r="20">
          <cell r="A20">
            <v>662052</v>
          </cell>
          <cell r="B20">
            <v>17</v>
          </cell>
        </row>
        <row r="21">
          <cell r="A21">
            <v>2375</v>
          </cell>
          <cell r="B21">
            <v>17</v>
          </cell>
        </row>
        <row r="22">
          <cell r="A22" t="str">
            <v>CCA0035</v>
          </cell>
          <cell r="B22">
            <v>17</v>
          </cell>
        </row>
        <row r="23">
          <cell r="A23">
            <v>226103</v>
          </cell>
          <cell r="B23">
            <v>16</v>
          </cell>
        </row>
        <row r="24">
          <cell r="A24">
            <v>22051</v>
          </cell>
          <cell r="B24">
            <v>16</v>
          </cell>
        </row>
        <row r="25">
          <cell r="A25">
            <v>4023</v>
          </cell>
          <cell r="B25">
            <v>16</v>
          </cell>
        </row>
        <row r="26">
          <cell r="A26">
            <v>66640</v>
          </cell>
          <cell r="B26">
            <v>15</v>
          </cell>
        </row>
        <row r="27">
          <cell r="A27">
            <v>13125</v>
          </cell>
          <cell r="B27">
            <v>15</v>
          </cell>
        </row>
        <row r="28">
          <cell r="A28" t="str">
            <v>LT5637</v>
          </cell>
          <cell r="B28">
            <v>13</v>
          </cell>
        </row>
        <row r="29">
          <cell r="A29">
            <v>662046</v>
          </cell>
          <cell r="B29">
            <v>13</v>
          </cell>
        </row>
        <row r="30">
          <cell r="A30">
            <v>2367</v>
          </cell>
          <cell r="B30">
            <v>13</v>
          </cell>
        </row>
        <row r="31">
          <cell r="A31">
            <v>66636</v>
          </cell>
          <cell r="B31">
            <v>12</v>
          </cell>
        </row>
        <row r="32">
          <cell r="A32" t="str">
            <v>VA-10008</v>
          </cell>
          <cell r="B32">
            <v>12</v>
          </cell>
        </row>
        <row r="33">
          <cell r="A33">
            <v>225051</v>
          </cell>
          <cell r="B33">
            <v>11</v>
          </cell>
        </row>
        <row r="34">
          <cell r="A34">
            <v>112005</v>
          </cell>
          <cell r="B34">
            <v>11</v>
          </cell>
        </row>
        <row r="35">
          <cell r="A35">
            <v>442055</v>
          </cell>
          <cell r="B35">
            <v>11</v>
          </cell>
        </row>
        <row r="36">
          <cell r="A36">
            <v>66606</v>
          </cell>
          <cell r="B36">
            <v>10</v>
          </cell>
        </row>
        <row r="37">
          <cell r="A37">
            <v>662047</v>
          </cell>
          <cell r="B37">
            <v>10</v>
          </cell>
        </row>
        <row r="38">
          <cell r="A38">
            <v>66412</v>
          </cell>
          <cell r="B38">
            <v>9</v>
          </cell>
        </row>
        <row r="39">
          <cell r="A39">
            <v>66003</v>
          </cell>
          <cell r="B39">
            <v>9</v>
          </cell>
        </row>
        <row r="40">
          <cell r="A40">
            <v>4063</v>
          </cell>
          <cell r="B40">
            <v>9</v>
          </cell>
        </row>
        <row r="41">
          <cell r="A41" t="str">
            <v>LT5544</v>
          </cell>
          <cell r="B41">
            <v>8</v>
          </cell>
        </row>
        <row r="42">
          <cell r="A42">
            <v>4077</v>
          </cell>
          <cell r="B42">
            <v>8</v>
          </cell>
        </row>
        <row r="43">
          <cell r="A43">
            <v>4041</v>
          </cell>
          <cell r="B43">
            <v>8</v>
          </cell>
        </row>
        <row r="44">
          <cell r="A44">
            <v>222032</v>
          </cell>
          <cell r="B44">
            <v>7</v>
          </cell>
        </row>
        <row r="45">
          <cell r="A45">
            <v>2360</v>
          </cell>
          <cell r="B45">
            <v>7</v>
          </cell>
        </row>
        <row r="46">
          <cell r="A46">
            <v>14098</v>
          </cell>
          <cell r="B46">
            <v>7</v>
          </cell>
        </row>
        <row r="47">
          <cell r="A47" t="str">
            <v>VW001</v>
          </cell>
          <cell r="B47">
            <v>10</v>
          </cell>
        </row>
        <row r="48">
          <cell r="A48" t="str">
            <v>LT5553</v>
          </cell>
          <cell r="B48">
            <v>7</v>
          </cell>
        </row>
        <row r="49">
          <cell r="A49">
            <v>4073</v>
          </cell>
          <cell r="B49">
            <v>7</v>
          </cell>
        </row>
        <row r="50">
          <cell r="A50">
            <v>880409</v>
          </cell>
          <cell r="B50">
            <v>7</v>
          </cell>
        </row>
        <row r="51">
          <cell r="A51">
            <v>222105</v>
          </cell>
          <cell r="B51">
            <v>6</v>
          </cell>
        </row>
        <row r="52">
          <cell r="A52">
            <v>662030</v>
          </cell>
          <cell r="B52">
            <v>6</v>
          </cell>
        </row>
        <row r="53">
          <cell r="A53">
            <v>552033</v>
          </cell>
          <cell r="B53">
            <v>6</v>
          </cell>
        </row>
        <row r="54">
          <cell r="A54">
            <v>90501</v>
          </cell>
          <cell r="B54">
            <v>6</v>
          </cell>
        </row>
        <row r="55">
          <cell r="A55">
            <v>660211</v>
          </cell>
          <cell r="B55">
            <v>6</v>
          </cell>
        </row>
        <row r="56">
          <cell r="A56">
            <v>11097</v>
          </cell>
          <cell r="B56">
            <v>6</v>
          </cell>
        </row>
        <row r="57">
          <cell r="A57">
            <v>4059</v>
          </cell>
          <cell r="B57">
            <v>6</v>
          </cell>
        </row>
        <row r="58">
          <cell r="A58">
            <v>4058</v>
          </cell>
          <cell r="B58">
            <v>6</v>
          </cell>
        </row>
        <row r="59">
          <cell r="A59">
            <v>70541</v>
          </cell>
          <cell r="B59">
            <v>6</v>
          </cell>
        </row>
        <row r="60">
          <cell r="A60">
            <v>77351</v>
          </cell>
          <cell r="B60">
            <v>5</v>
          </cell>
        </row>
        <row r="61">
          <cell r="A61">
            <v>222203</v>
          </cell>
          <cell r="B61">
            <v>5</v>
          </cell>
        </row>
        <row r="62">
          <cell r="A62">
            <v>66630</v>
          </cell>
          <cell r="B62">
            <v>5</v>
          </cell>
        </row>
        <row r="63">
          <cell r="A63">
            <v>112011</v>
          </cell>
          <cell r="B63">
            <v>5</v>
          </cell>
        </row>
        <row r="64">
          <cell r="A64">
            <v>442096</v>
          </cell>
          <cell r="B64">
            <v>5</v>
          </cell>
        </row>
        <row r="65">
          <cell r="A65">
            <v>222014</v>
          </cell>
          <cell r="B65">
            <v>5</v>
          </cell>
        </row>
        <row r="66">
          <cell r="A66">
            <v>222015</v>
          </cell>
          <cell r="B66">
            <v>5</v>
          </cell>
        </row>
        <row r="67">
          <cell r="A67">
            <v>90503</v>
          </cell>
          <cell r="B67">
            <v>5</v>
          </cell>
        </row>
        <row r="68">
          <cell r="A68">
            <v>70526</v>
          </cell>
          <cell r="B68">
            <v>5</v>
          </cell>
        </row>
        <row r="69">
          <cell r="A69" t="str">
            <v>LT5568</v>
          </cell>
          <cell r="B69">
            <v>5</v>
          </cell>
        </row>
        <row r="70">
          <cell r="A70">
            <v>5711</v>
          </cell>
          <cell r="B70">
            <v>5</v>
          </cell>
        </row>
        <row r="71">
          <cell r="A71">
            <v>22099</v>
          </cell>
          <cell r="B71">
            <v>5</v>
          </cell>
        </row>
        <row r="72">
          <cell r="A72">
            <v>5034</v>
          </cell>
          <cell r="B72">
            <v>5</v>
          </cell>
        </row>
        <row r="73">
          <cell r="A73" t="str">
            <v>T1005</v>
          </cell>
          <cell r="B73">
            <v>5</v>
          </cell>
        </row>
        <row r="74">
          <cell r="A74">
            <v>4071</v>
          </cell>
          <cell r="B74">
            <v>5</v>
          </cell>
        </row>
        <row r="75">
          <cell r="A75">
            <v>4055</v>
          </cell>
          <cell r="B75">
            <v>5</v>
          </cell>
        </row>
        <row r="76">
          <cell r="A76">
            <v>4021</v>
          </cell>
          <cell r="B76">
            <v>5</v>
          </cell>
        </row>
        <row r="77">
          <cell r="A77">
            <v>4024</v>
          </cell>
          <cell r="B77">
            <v>5</v>
          </cell>
        </row>
        <row r="78">
          <cell r="A78" t="str">
            <v>44911/12</v>
          </cell>
          <cell r="B78">
            <v>4</v>
          </cell>
        </row>
        <row r="79">
          <cell r="A79">
            <v>112012</v>
          </cell>
          <cell r="B79">
            <v>4</v>
          </cell>
        </row>
        <row r="80">
          <cell r="A80">
            <v>662012</v>
          </cell>
          <cell r="B80">
            <v>4</v>
          </cell>
        </row>
        <row r="81">
          <cell r="A81">
            <v>112010</v>
          </cell>
          <cell r="B81">
            <v>4</v>
          </cell>
        </row>
        <row r="82">
          <cell r="A82">
            <v>112107</v>
          </cell>
          <cell r="B82">
            <v>4</v>
          </cell>
        </row>
        <row r="83">
          <cell r="A83" t="str">
            <v>ftk00205</v>
          </cell>
          <cell r="B83">
            <v>4</v>
          </cell>
        </row>
        <row r="84">
          <cell r="A84">
            <v>78180</v>
          </cell>
          <cell r="B84">
            <v>4</v>
          </cell>
        </row>
        <row r="85">
          <cell r="A85">
            <v>227200</v>
          </cell>
          <cell r="B85">
            <v>4</v>
          </cell>
        </row>
        <row r="86">
          <cell r="A86">
            <v>442058</v>
          </cell>
          <cell r="B86">
            <v>4</v>
          </cell>
        </row>
        <row r="87">
          <cell r="A87">
            <v>2361</v>
          </cell>
          <cell r="B87">
            <v>4</v>
          </cell>
        </row>
        <row r="88">
          <cell r="A88">
            <v>23129</v>
          </cell>
          <cell r="B88">
            <v>4</v>
          </cell>
        </row>
        <row r="89">
          <cell r="A89" t="str">
            <v>PF005</v>
          </cell>
          <cell r="B89">
            <v>4</v>
          </cell>
        </row>
        <row r="90">
          <cell r="A90">
            <v>226102</v>
          </cell>
          <cell r="B90">
            <v>4</v>
          </cell>
        </row>
        <row r="91">
          <cell r="A91">
            <v>23125</v>
          </cell>
          <cell r="B91">
            <v>4</v>
          </cell>
        </row>
        <row r="92">
          <cell r="A92">
            <v>88487</v>
          </cell>
          <cell r="B92">
            <v>4</v>
          </cell>
        </row>
        <row r="93">
          <cell r="A93">
            <v>66413</v>
          </cell>
          <cell r="B93">
            <v>4</v>
          </cell>
        </row>
        <row r="94">
          <cell r="A94" t="str">
            <v>FTK11003</v>
          </cell>
          <cell r="B94">
            <v>4</v>
          </cell>
        </row>
        <row r="95">
          <cell r="A95">
            <v>4064</v>
          </cell>
          <cell r="B95">
            <v>4</v>
          </cell>
        </row>
        <row r="96">
          <cell r="A96" t="str">
            <v>T1007</v>
          </cell>
          <cell r="B96">
            <v>4</v>
          </cell>
        </row>
        <row r="97">
          <cell r="A97">
            <v>4003</v>
          </cell>
          <cell r="B97">
            <v>4</v>
          </cell>
        </row>
        <row r="98">
          <cell r="A98">
            <v>110907</v>
          </cell>
          <cell r="B98">
            <v>3</v>
          </cell>
        </row>
        <row r="99">
          <cell r="A99">
            <v>222104</v>
          </cell>
          <cell r="B99">
            <v>3</v>
          </cell>
        </row>
        <row r="100">
          <cell r="A100">
            <v>552031</v>
          </cell>
          <cell r="B100">
            <v>3</v>
          </cell>
        </row>
        <row r="101">
          <cell r="A101">
            <v>772223</v>
          </cell>
          <cell r="B101">
            <v>3</v>
          </cell>
        </row>
        <row r="102">
          <cell r="A102">
            <v>112093</v>
          </cell>
          <cell r="B102">
            <v>3</v>
          </cell>
        </row>
        <row r="103">
          <cell r="A103">
            <v>66643</v>
          </cell>
          <cell r="B103">
            <v>3</v>
          </cell>
        </row>
        <row r="104">
          <cell r="A104">
            <v>222053</v>
          </cell>
          <cell r="B104">
            <v>3</v>
          </cell>
        </row>
        <row r="105">
          <cell r="A105">
            <v>222033</v>
          </cell>
          <cell r="B105">
            <v>3</v>
          </cell>
        </row>
        <row r="106">
          <cell r="A106">
            <v>662053</v>
          </cell>
          <cell r="B106">
            <v>3</v>
          </cell>
        </row>
        <row r="107">
          <cell r="A107">
            <v>552032</v>
          </cell>
          <cell r="B107">
            <v>3</v>
          </cell>
        </row>
        <row r="108">
          <cell r="A108">
            <v>112092</v>
          </cell>
          <cell r="B108">
            <v>3</v>
          </cell>
        </row>
        <row r="109">
          <cell r="A109">
            <v>229051</v>
          </cell>
          <cell r="B109">
            <v>3</v>
          </cell>
        </row>
        <row r="110">
          <cell r="A110">
            <v>11042</v>
          </cell>
          <cell r="B110">
            <v>3</v>
          </cell>
        </row>
        <row r="111">
          <cell r="A111" t="str">
            <v>NZT563644</v>
          </cell>
          <cell r="B111">
            <v>3</v>
          </cell>
        </row>
        <row r="112">
          <cell r="A112" t="str">
            <v>FTK11051</v>
          </cell>
          <cell r="B112">
            <v>3</v>
          </cell>
        </row>
        <row r="113">
          <cell r="A113">
            <v>2362</v>
          </cell>
          <cell r="B113">
            <v>3</v>
          </cell>
        </row>
        <row r="114">
          <cell r="A114">
            <v>772102</v>
          </cell>
          <cell r="B114">
            <v>3</v>
          </cell>
        </row>
        <row r="115">
          <cell r="A115" t="str">
            <v>FTK11057</v>
          </cell>
          <cell r="B115">
            <v>3</v>
          </cell>
        </row>
        <row r="116">
          <cell r="A116" t="str">
            <v>FTK11045</v>
          </cell>
          <cell r="B116">
            <v>3</v>
          </cell>
        </row>
        <row r="117">
          <cell r="A117">
            <v>28006</v>
          </cell>
          <cell r="B117">
            <v>3</v>
          </cell>
        </row>
        <row r="118">
          <cell r="A118">
            <v>26056</v>
          </cell>
          <cell r="B118">
            <v>3</v>
          </cell>
        </row>
        <row r="119">
          <cell r="A119">
            <v>55023</v>
          </cell>
          <cell r="B119">
            <v>3</v>
          </cell>
        </row>
        <row r="120">
          <cell r="A120" t="str">
            <v>FTK11048</v>
          </cell>
          <cell r="B120">
            <v>3</v>
          </cell>
        </row>
        <row r="121">
          <cell r="A121">
            <v>88573</v>
          </cell>
          <cell r="B121">
            <v>3</v>
          </cell>
        </row>
        <row r="122">
          <cell r="A122">
            <v>66507</v>
          </cell>
          <cell r="B122">
            <v>3</v>
          </cell>
        </row>
        <row r="123">
          <cell r="A123">
            <v>88461</v>
          </cell>
          <cell r="B123">
            <v>3</v>
          </cell>
        </row>
        <row r="124">
          <cell r="A124">
            <v>77261</v>
          </cell>
          <cell r="B124">
            <v>3</v>
          </cell>
        </row>
        <row r="125">
          <cell r="A125" t="str">
            <v>FTK200121PA</v>
          </cell>
          <cell r="B125">
            <v>3</v>
          </cell>
        </row>
        <row r="126">
          <cell r="A126">
            <v>55312</v>
          </cell>
          <cell r="B126">
            <v>3</v>
          </cell>
        </row>
        <row r="127">
          <cell r="A127">
            <v>4001</v>
          </cell>
          <cell r="B127">
            <v>3</v>
          </cell>
        </row>
        <row r="128">
          <cell r="A128" t="str">
            <v>CCF0056</v>
          </cell>
          <cell r="B128">
            <v>3</v>
          </cell>
        </row>
        <row r="129">
          <cell r="A129">
            <v>4066</v>
          </cell>
          <cell r="B129">
            <v>3</v>
          </cell>
        </row>
        <row r="130">
          <cell r="A130">
            <v>772148</v>
          </cell>
          <cell r="B130">
            <v>2</v>
          </cell>
        </row>
        <row r="131">
          <cell r="A131">
            <v>112106</v>
          </cell>
          <cell r="B131">
            <v>2</v>
          </cell>
        </row>
        <row r="132">
          <cell r="A132">
            <v>332153</v>
          </cell>
          <cell r="B132">
            <v>2</v>
          </cell>
        </row>
        <row r="133">
          <cell r="A133">
            <v>772144</v>
          </cell>
          <cell r="B133">
            <v>2</v>
          </cell>
        </row>
        <row r="134">
          <cell r="A134">
            <v>332077</v>
          </cell>
          <cell r="B134">
            <v>2</v>
          </cell>
        </row>
        <row r="135">
          <cell r="A135">
            <v>662070</v>
          </cell>
          <cell r="B135">
            <v>2</v>
          </cell>
        </row>
        <row r="136">
          <cell r="A136">
            <v>442080</v>
          </cell>
          <cell r="B136">
            <v>2</v>
          </cell>
        </row>
        <row r="137">
          <cell r="A137">
            <v>112013</v>
          </cell>
          <cell r="B137">
            <v>2</v>
          </cell>
        </row>
        <row r="138">
          <cell r="A138">
            <v>2219</v>
          </cell>
          <cell r="B138">
            <v>2</v>
          </cell>
        </row>
        <row r="139">
          <cell r="A139">
            <v>442067</v>
          </cell>
          <cell r="B139">
            <v>2</v>
          </cell>
        </row>
        <row r="140">
          <cell r="A140">
            <v>112025</v>
          </cell>
          <cell r="B140">
            <v>2</v>
          </cell>
        </row>
        <row r="141">
          <cell r="A141">
            <v>442084</v>
          </cell>
          <cell r="B141">
            <v>2</v>
          </cell>
        </row>
        <row r="142">
          <cell r="A142">
            <v>993001</v>
          </cell>
          <cell r="B142">
            <v>2</v>
          </cell>
        </row>
        <row r="143">
          <cell r="A143">
            <v>442081</v>
          </cell>
          <cell r="B143">
            <v>2</v>
          </cell>
        </row>
        <row r="144">
          <cell r="A144">
            <v>551311</v>
          </cell>
          <cell r="B144">
            <v>2</v>
          </cell>
        </row>
        <row r="145">
          <cell r="A145" t="str">
            <v>FTK66039-MB</v>
          </cell>
          <cell r="B145">
            <v>2</v>
          </cell>
        </row>
        <row r="146">
          <cell r="A146">
            <v>227203</v>
          </cell>
          <cell r="B146">
            <v>2</v>
          </cell>
        </row>
        <row r="147">
          <cell r="A147" t="str">
            <v>LT2365</v>
          </cell>
          <cell r="B147">
            <v>2</v>
          </cell>
        </row>
        <row r="148">
          <cell r="A148" t="str">
            <v>LT2273</v>
          </cell>
          <cell r="B148">
            <v>2</v>
          </cell>
        </row>
        <row r="149">
          <cell r="A149" t="str">
            <v>FTK77368</v>
          </cell>
          <cell r="B149">
            <v>2</v>
          </cell>
        </row>
        <row r="150">
          <cell r="A150">
            <v>66260</v>
          </cell>
          <cell r="B150">
            <v>2</v>
          </cell>
        </row>
        <row r="151">
          <cell r="A151">
            <v>442092</v>
          </cell>
          <cell r="B151">
            <v>2</v>
          </cell>
        </row>
        <row r="152">
          <cell r="A152">
            <v>112017</v>
          </cell>
          <cell r="B152">
            <v>2</v>
          </cell>
        </row>
        <row r="153">
          <cell r="A153" t="str">
            <v>FTK77014-MB</v>
          </cell>
          <cell r="B153">
            <v>2</v>
          </cell>
        </row>
        <row r="154">
          <cell r="A154">
            <v>88459</v>
          </cell>
          <cell r="B154">
            <v>2</v>
          </cell>
        </row>
        <row r="155">
          <cell r="A155">
            <v>221142</v>
          </cell>
          <cell r="B155">
            <v>2</v>
          </cell>
        </row>
        <row r="156">
          <cell r="A156">
            <v>332052</v>
          </cell>
          <cell r="B156">
            <v>2</v>
          </cell>
        </row>
        <row r="157">
          <cell r="A157">
            <v>29037</v>
          </cell>
          <cell r="B157">
            <v>2</v>
          </cell>
        </row>
        <row r="158">
          <cell r="A158">
            <v>26048</v>
          </cell>
          <cell r="B158">
            <v>2</v>
          </cell>
        </row>
        <row r="159">
          <cell r="A159" t="str">
            <v>T-10111</v>
          </cell>
          <cell r="B159">
            <v>2</v>
          </cell>
        </row>
        <row r="160">
          <cell r="A160">
            <v>66416</v>
          </cell>
          <cell r="B160">
            <v>2</v>
          </cell>
        </row>
        <row r="161">
          <cell r="A161">
            <v>442050</v>
          </cell>
          <cell r="B161">
            <v>2</v>
          </cell>
        </row>
        <row r="162">
          <cell r="A162">
            <v>8106</v>
          </cell>
          <cell r="B162">
            <v>2</v>
          </cell>
        </row>
        <row r="163">
          <cell r="A163" t="str">
            <v>FTK110165</v>
          </cell>
          <cell r="B163">
            <v>2</v>
          </cell>
        </row>
        <row r="164">
          <cell r="A164">
            <v>66508</v>
          </cell>
          <cell r="B164">
            <v>2</v>
          </cell>
        </row>
        <row r="165">
          <cell r="A165" t="str">
            <v>FTK11110</v>
          </cell>
          <cell r="B165">
            <v>2</v>
          </cell>
        </row>
        <row r="166">
          <cell r="A166">
            <v>4079</v>
          </cell>
          <cell r="B166">
            <v>2</v>
          </cell>
        </row>
        <row r="167">
          <cell r="A167">
            <v>77156</v>
          </cell>
          <cell r="B167">
            <v>2</v>
          </cell>
        </row>
        <row r="168">
          <cell r="A168" t="str">
            <v>LT2212</v>
          </cell>
          <cell r="B168">
            <v>2</v>
          </cell>
        </row>
        <row r="169">
          <cell r="A169" t="str">
            <v>hl4047</v>
          </cell>
          <cell r="B169">
            <v>2</v>
          </cell>
        </row>
        <row r="170">
          <cell r="A170">
            <v>4016</v>
          </cell>
          <cell r="B170">
            <v>2</v>
          </cell>
        </row>
        <row r="171">
          <cell r="A171">
            <v>2312</v>
          </cell>
          <cell r="B171">
            <v>2</v>
          </cell>
        </row>
        <row r="172">
          <cell r="A172">
            <v>4068</v>
          </cell>
          <cell r="B172">
            <v>2</v>
          </cell>
        </row>
        <row r="173">
          <cell r="A173">
            <v>4072</v>
          </cell>
          <cell r="B173">
            <v>2</v>
          </cell>
        </row>
        <row r="174">
          <cell r="A174">
            <v>4044</v>
          </cell>
          <cell r="B174">
            <v>2</v>
          </cell>
        </row>
        <row r="175">
          <cell r="A175" t="str">
            <v>CCE0053</v>
          </cell>
          <cell r="B175">
            <v>2</v>
          </cell>
        </row>
        <row r="176">
          <cell r="A176">
            <v>4013</v>
          </cell>
          <cell r="B176">
            <v>2</v>
          </cell>
        </row>
        <row r="177">
          <cell r="A177">
            <v>4005</v>
          </cell>
          <cell r="B177">
            <v>2</v>
          </cell>
        </row>
        <row r="178">
          <cell r="A178">
            <v>55064</v>
          </cell>
          <cell r="B178">
            <v>2</v>
          </cell>
        </row>
        <row r="179">
          <cell r="A179">
            <v>662071</v>
          </cell>
          <cell r="B179">
            <v>1</v>
          </cell>
        </row>
        <row r="180">
          <cell r="A180">
            <v>332117</v>
          </cell>
          <cell r="B180">
            <v>1</v>
          </cell>
        </row>
        <row r="181">
          <cell r="A181">
            <v>993018</v>
          </cell>
          <cell r="B181">
            <v>1</v>
          </cell>
        </row>
        <row r="182">
          <cell r="A182" t="str">
            <v>NZT0012</v>
          </cell>
          <cell r="B182">
            <v>1</v>
          </cell>
        </row>
        <row r="183">
          <cell r="A183">
            <v>772147</v>
          </cell>
          <cell r="B183">
            <v>1</v>
          </cell>
        </row>
        <row r="184">
          <cell r="A184">
            <v>112125</v>
          </cell>
          <cell r="B184">
            <v>1</v>
          </cell>
        </row>
        <row r="185">
          <cell r="A185">
            <v>882003</v>
          </cell>
          <cell r="B185">
            <v>1</v>
          </cell>
        </row>
        <row r="186">
          <cell r="A186">
            <v>772153</v>
          </cell>
          <cell r="B186">
            <v>1</v>
          </cell>
        </row>
        <row r="187">
          <cell r="A187">
            <v>772007</v>
          </cell>
          <cell r="B187">
            <v>1</v>
          </cell>
        </row>
        <row r="188">
          <cell r="A188">
            <v>772008</v>
          </cell>
          <cell r="B188">
            <v>1</v>
          </cell>
        </row>
        <row r="189">
          <cell r="A189">
            <v>2357</v>
          </cell>
          <cell r="B189">
            <v>1</v>
          </cell>
        </row>
        <row r="190">
          <cell r="A190">
            <v>112103</v>
          </cell>
          <cell r="B190">
            <v>1</v>
          </cell>
        </row>
        <row r="191">
          <cell r="A191">
            <v>112133</v>
          </cell>
          <cell r="B191">
            <v>1</v>
          </cell>
        </row>
        <row r="192">
          <cell r="A192">
            <v>112102</v>
          </cell>
          <cell r="B192">
            <v>1</v>
          </cell>
        </row>
        <row r="193">
          <cell r="A193">
            <v>10136</v>
          </cell>
          <cell r="B193">
            <v>1</v>
          </cell>
        </row>
        <row r="194">
          <cell r="A194">
            <v>442059</v>
          </cell>
          <cell r="B194">
            <v>1</v>
          </cell>
        </row>
        <row r="195">
          <cell r="A195">
            <v>332082</v>
          </cell>
          <cell r="B195">
            <v>1</v>
          </cell>
        </row>
        <row r="196">
          <cell r="A196">
            <v>772112</v>
          </cell>
          <cell r="B196">
            <v>1</v>
          </cell>
        </row>
        <row r="197">
          <cell r="A197">
            <v>772053</v>
          </cell>
          <cell r="B197">
            <v>1</v>
          </cell>
        </row>
        <row r="198">
          <cell r="A198">
            <v>552030</v>
          </cell>
          <cell r="B198">
            <v>1</v>
          </cell>
        </row>
        <row r="199">
          <cell r="A199">
            <v>772246</v>
          </cell>
          <cell r="B199">
            <v>1</v>
          </cell>
        </row>
        <row r="200">
          <cell r="A200">
            <v>442097</v>
          </cell>
          <cell r="B200">
            <v>1</v>
          </cell>
        </row>
        <row r="201">
          <cell r="A201">
            <v>552014</v>
          </cell>
          <cell r="B201">
            <v>1</v>
          </cell>
        </row>
        <row r="202">
          <cell r="A202">
            <v>332111</v>
          </cell>
          <cell r="B202">
            <v>1</v>
          </cell>
        </row>
        <row r="203">
          <cell r="A203">
            <v>112126</v>
          </cell>
          <cell r="B203">
            <v>1</v>
          </cell>
        </row>
        <row r="204">
          <cell r="A204">
            <v>112108</v>
          </cell>
          <cell r="B204">
            <v>1</v>
          </cell>
        </row>
        <row r="205">
          <cell r="A205">
            <v>772107</v>
          </cell>
          <cell r="B205">
            <v>1</v>
          </cell>
        </row>
        <row r="206">
          <cell r="A206">
            <v>332102</v>
          </cell>
          <cell r="B206">
            <v>1</v>
          </cell>
        </row>
        <row r="207">
          <cell r="A207">
            <v>332022</v>
          </cell>
          <cell r="B207">
            <v>1</v>
          </cell>
        </row>
        <row r="208">
          <cell r="A208">
            <v>5678</v>
          </cell>
          <cell r="B208">
            <v>1</v>
          </cell>
        </row>
        <row r="209">
          <cell r="A209">
            <v>662031</v>
          </cell>
          <cell r="B209">
            <v>1</v>
          </cell>
        </row>
        <row r="210">
          <cell r="A210">
            <v>442144</v>
          </cell>
          <cell r="B210">
            <v>1</v>
          </cell>
        </row>
        <row r="211">
          <cell r="A211">
            <v>66642</v>
          </cell>
          <cell r="B211">
            <v>1</v>
          </cell>
        </row>
        <row r="212">
          <cell r="A212">
            <v>112056</v>
          </cell>
          <cell r="B212">
            <v>1</v>
          </cell>
        </row>
        <row r="213">
          <cell r="A213" t="str">
            <v>FTK347F</v>
          </cell>
          <cell r="B213">
            <v>1</v>
          </cell>
        </row>
        <row r="214">
          <cell r="A214">
            <v>112024</v>
          </cell>
          <cell r="B214">
            <v>1</v>
          </cell>
        </row>
        <row r="215">
          <cell r="A215">
            <v>662041</v>
          </cell>
          <cell r="B215">
            <v>1</v>
          </cell>
        </row>
        <row r="216">
          <cell r="A216">
            <v>552010</v>
          </cell>
          <cell r="B216">
            <v>1</v>
          </cell>
        </row>
        <row r="217">
          <cell r="A217">
            <v>111301</v>
          </cell>
          <cell r="B217">
            <v>1</v>
          </cell>
        </row>
        <row r="218">
          <cell r="A218">
            <v>442083</v>
          </cell>
          <cell r="B218">
            <v>1</v>
          </cell>
        </row>
        <row r="219">
          <cell r="A219">
            <v>552013</v>
          </cell>
          <cell r="B219">
            <v>1</v>
          </cell>
        </row>
        <row r="220">
          <cell r="A220">
            <v>2252</v>
          </cell>
          <cell r="B220">
            <v>1</v>
          </cell>
        </row>
        <row r="221">
          <cell r="A221">
            <v>36656</v>
          </cell>
          <cell r="B221">
            <v>1</v>
          </cell>
        </row>
        <row r="222">
          <cell r="A222">
            <v>2353</v>
          </cell>
          <cell r="B222">
            <v>1</v>
          </cell>
        </row>
        <row r="223">
          <cell r="A223">
            <v>222021</v>
          </cell>
          <cell r="B223">
            <v>1</v>
          </cell>
        </row>
        <row r="224">
          <cell r="A224">
            <v>227205</v>
          </cell>
          <cell r="B224">
            <v>1</v>
          </cell>
        </row>
        <row r="225">
          <cell r="A225">
            <v>880549</v>
          </cell>
          <cell r="B225">
            <v>1</v>
          </cell>
        </row>
        <row r="226">
          <cell r="A226">
            <v>227201</v>
          </cell>
          <cell r="B226">
            <v>1</v>
          </cell>
        </row>
        <row r="227">
          <cell r="A227">
            <v>11398</v>
          </cell>
          <cell r="B227">
            <v>1</v>
          </cell>
        </row>
        <row r="228">
          <cell r="A228" t="str">
            <v>NZT311396</v>
          </cell>
          <cell r="B228">
            <v>1</v>
          </cell>
        </row>
        <row r="229">
          <cell r="A229">
            <v>6616</v>
          </cell>
          <cell r="B229">
            <v>1</v>
          </cell>
        </row>
        <row r="230">
          <cell r="A230">
            <v>6615</v>
          </cell>
          <cell r="B230">
            <v>1</v>
          </cell>
        </row>
        <row r="231">
          <cell r="A231">
            <v>6617</v>
          </cell>
          <cell r="B231">
            <v>1</v>
          </cell>
        </row>
        <row r="232">
          <cell r="A232" t="str">
            <v>FTK-CCV0063</v>
          </cell>
          <cell r="B232">
            <v>1</v>
          </cell>
        </row>
        <row r="233">
          <cell r="A233" t="str">
            <v>NZT636096</v>
          </cell>
          <cell r="B233">
            <v>1</v>
          </cell>
        </row>
        <row r="234">
          <cell r="A234">
            <v>88651</v>
          </cell>
          <cell r="B234">
            <v>1</v>
          </cell>
        </row>
        <row r="235">
          <cell r="A235" t="str">
            <v>pg002</v>
          </cell>
          <cell r="B235">
            <v>1</v>
          </cell>
        </row>
        <row r="236">
          <cell r="A236">
            <v>772103</v>
          </cell>
          <cell r="B236">
            <v>1</v>
          </cell>
        </row>
        <row r="237">
          <cell r="A237">
            <v>77262</v>
          </cell>
          <cell r="B237">
            <v>1</v>
          </cell>
        </row>
        <row r="238">
          <cell r="A238">
            <v>552011</v>
          </cell>
          <cell r="B238">
            <v>1</v>
          </cell>
        </row>
        <row r="239">
          <cell r="A239">
            <v>11410</v>
          </cell>
          <cell r="B239">
            <v>1</v>
          </cell>
        </row>
        <row r="240">
          <cell r="A240" t="str">
            <v>FTK281</v>
          </cell>
          <cell r="B240">
            <v>1</v>
          </cell>
        </row>
        <row r="241">
          <cell r="A241">
            <v>13120</v>
          </cell>
          <cell r="B241">
            <v>1</v>
          </cell>
        </row>
        <row r="242">
          <cell r="A242">
            <v>29014</v>
          </cell>
          <cell r="B242">
            <v>1</v>
          </cell>
        </row>
        <row r="243">
          <cell r="A243">
            <v>77032</v>
          </cell>
          <cell r="B243">
            <v>1</v>
          </cell>
        </row>
        <row r="244">
          <cell r="A244" t="str">
            <v>NZT1206</v>
          </cell>
          <cell r="B244">
            <v>1</v>
          </cell>
        </row>
        <row r="245">
          <cell r="A245">
            <v>22383</v>
          </cell>
          <cell r="B245">
            <v>1</v>
          </cell>
        </row>
        <row r="246">
          <cell r="A246">
            <v>6312</v>
          </cell>
          <cell r="B246">
            <v>1</v>
          </cell>
        </row>
        <row r="247">
          <cell r="A247">
            <v>4034</v>
          </cell>
          <cell r="B247">
            <v>1</v>
          </cell>
        </row>
        <row r="248">
          <cell r="A248" t="str">
            <v>FTK319K</v>
          </cell>
          <cell r="B248">
            <v>1</v>
          </cell>
        </row>
        <row r="249">
          <cell r="A249">
            <v>5700</v>
          </cell>
          <cell r="B249">
            <v>1</v>
          </cell>
        </row>
        <row r="250">
          <cell r="A250">
            <v>5014</v>
          </cell>
          <cell r="B250">
            <v>1</v>
          </cell>
        </row>
        <row r="251">
          <cell r="A251">
            <v>2302</v>
          </cell>
          <cell r="B251">
            <v>1</v>
          </cell>
        </row>
        <row r="252">
          <cell r="A252">
            <v>4004</v>
          </cell>
          <cell r="B252">
            <v>1</v>
          </cell>
        </row>
        <row r="253">
          <cell r="A253">
            <v>77173</v>
          </cell>
          <cell r="B253">
            <v>1</v>
          </cell>
        </row>
        <row r="254">
          <cell r="A254">
            <v>77158</v>
          </cell>
          <cell r="B254">
            <v>1</v>
          </cell>
        </row>
        <row r="255">
          <cell r="A255">
            <v>332053</v>
          </cell>
          <cell r="B255">
            <v>1</v>
          </cell>
        </row>
        <row r="256">
          <cell r="A256">
            <v>55120</v>
          </cell>
          <cell r="B256">
            <v>1</v>
          </cell>
        </row>
        <row r="257">
          <cell r="A257">
            <v>11195</v>
          </cell>
          <cell r="B257">
            <v>1</v>
          </cell>
        </row>
        <row r="258">
          <cell r="A258" t="str">
            <v>FTK200121A</v>
          </cell>
          <cell r="B258">
            <v>1</v>
          </cell>
        </row>
        <row r="259">
          <cell r="A259">
            <v>5607</v>
          </cell>
          <cell r="B259">
            <v>1</v>
          </cell>
        </row>
        <row r="260">
          <cell r="A260">
            <v>2278</v>
          </cell>
          <cell r="B260">
            <v>1</v>
          </cell>
        </row>
        <row r="261">
          <cell r="A261" t="str">
            <v>TPN001</v>
          </cell>
          <cell r="B261">
            <v>1</v>
          </cell>
        </row>
        <row r="262">
          <cell r="A262">
            <v>2309</v>
          </cell>
          <cell r="B262">
            <v>1</v>
          </cell>
        </row>
        <row r="263">
          <cell r="A263">
            <v>2214</v>
          </cell>
          <cell r="B263">
            <v>1</v>
          </cell>
        </row>
        <row r="264">
          <cell r="A264">
            <v>77152</v>
          </cell>
          <cell r="B264">
            <v>1</v>
          </cell>
        </row>
        <row r="265">
          <cell r="A265">
            <v>5303</v>
          </cell>
          <cell r="B265">
            <v>1</v>
          </cell>
        </row>
        <row r="266">
          <cell r="A266">
            <v>44507</v>
          </cell>
          <cell r="B266">
            <v>1</v>
          </cell>
        </row>
        <row r="267">
          <cell r="A267">
            <v>226106</v>
          </cell>
          <cell r="B267">
            <v>1</v>
          </cell>
        </row>
        <row r="268">
          <cell r="A268">
            <v>3003</v>
          </cell>
          <cell r="B268">
            <v>1</v>
          </cell>
        </row>
        <row r="269">
          <cell r="A269">
            <v>4083</v>
          </cell>
          <cell r="B269">
            <v>1</v>
          </cell>
        </row>
        <row r="270">
          <cell r="A270" t="str">
            <v>FTK200116PA</v>
          </cell>
          <cell r="B270">
            <v>1</v>
          </cell>
        </row>
        <row r="271">
          <cell r="A271">
            <v>4042</v>
          </cell>
          <cell r="B271">
            <v>1</v>
          </cell>
        </row>
        <row r="272">
          <cell r="A272">
            <v>4078</v>
          </cell>
          <cell r="B272">
            <v>1</v>
          </cell>
        </row>
        <row r="273">
          <cell r="A273">
            <v>55110</v>
          </cell>
          <cell r="B273">
            <v>1</v>
          </cell>
        </row>
        <row r="274">
          <cell r="A274">
            <v>4085</v>
          </cell>
          <cell r="B274">
            <v>1</v>
          </cell>
        </row>
        <row r="275">
          <cell r="A275" t="str">
            <v>CCV0062</v>
          </cell>
          <cell r="B275">
            <v>1</v>
          </cell>
        </row>
        <row r="276">
          <cell r="A276">
            <v>550111</v>
          </cell>
          <cell r="B276">
            <v>1</v>
          </cell>
        </row>
        <row r="277">
          <cell r="A277" t="str">
            <v>YBR 125 Velocímetro</v>
          </cell>
          <cell r="B277">
            <v>1</v>
          </cell>
        </row>
        <row r="278">
          <cell r="A278">
            <v>4062</v>
          </cell>
          <cell r="B278">
            <v>1</v>
          </cell>
        </row>
        <row r="279">
          <cell r="A279">
            <v>4031</v>
          </cell>
          <cell r="B279">
            <v>1</v>
          </cell>
        </row>
        <row r="280">
          <cell r="A280" t="str">
            <v>CCA0043</v>
          </cell>
          <cell r="B280">
            <v>1</v>
          </cell>
        </row>
        <row r="281">
          <cell r="A281">
            <v>4002</v>
          </cell>
          <cell r="B281">
            <v>1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"/>
      <sheetName val="Fornecedores"/>
      <sheetName val="2023"/>
      <sheetName val="Plan1"/>
    </sheetNames>
    <sheetDataSet>
      <sheetData sheetId="0"/>
      <sheetData sheetId="1"/>
      <sheetData sheetId="2">
        <row r="3">
          <cell r="A3" t="str">
            <v>VW001</v>
          </cell>
          <cell r="B3" t="str">
            <v>Sim</v>
          </cell>
          <cell r="C3" t="str">
            <v>Rolamento Eixo</v>
          </cell>
          <cell r="D3" t="str">
            <v>Importação / Polo</v>
          </cell>
          <cell r="E3" t="e">
            <v>#N/A</v>
          </cell>
          <cell r="F3" t="str">
            <v>Kit De Rolamento Roda Traseira Versailles 1992 A 1996</v>
          </cell>
          <cell r="G3"/>
          <cell r="H3">
            <v>994</v>
          </cell>
          <cell r="I3">
            <v>2607</v>
          </cell>
          <cell r="J3">
            <v>1674</v>
          </cell>
          <cell r="K3">
            <v>83</v>
          </cell>
          <cell r="L3">
            <v>850</v>
          </cell>
          <cell r="M3">
            <v>3765</v>
          </cell>
          <cell r="N3">
            <v>85</v>
          </cell>
          <cell r="O3">
            <v>2080</v>
          </cell>
          <cell r="P3">
            <v>1600</v>
          </cell>
          <cell r="Q3">
            <v>2423</v>
          </cell>
          <cell r="R3">
            <v>50</v>
          </cell>
          <cell r="S3">
            <v>1548</v>
          </cell>
          <cell r="T3">
            <v>812</v>
          </cell>
          <cell r="U3">
            <v>13</v>
          </cell>
          <cell r="V3">
            <v>2729</v>
          </cell>
          <cell r="W3">
            <v>66</v>
          </cell>
          <cell r="X3">
            <v>1812</v>
          </cell>
          <cell r="Y3">
            <v>850</v>
          </cell>
          <cell r="Z3">
            <v>1</v>
          </cell>
          <cell r="AA3">
            <v>2562</v>
          </cell>
          <cell r="AB3">
            <v>75</v>
          </cell>
          <cell r="AC3">
            <v>1465</v>
          </cell>
          <cell r="AD3">
            <v>1000</v>
          </cell>
          <cell r="AE3">
            <v>22</v>
          </cell>
          <cell r="AF3">
            <v>2454</v>
          </cell>
          <cell r="AG3">
            <v>52</v>
          </cell>
          <cell r="AH3">
            <v>1121</v>
          </cell>
          <cell r="AI3">
            <v>1250</v>
          </cell>
          <cell r="AJ3">
            <v>31</v>
          </cell>
          <cell r="AK3">
            <v>2495.3333333333335</v>
          </cell>
        </row>
        <row r="4">
          <cell r="A4">
            <v>77350</v>
          </cell>
          <cell r="B4" t="str">
            <v>Sim</v>
          </cell>
          <cell r="C4" t="str">
            <v>Cabo Câmbio</v>
          </cell>
          <cell r="D4" t="str">
            <v>Importação</v>
          </cell>
          <cell r="E4">
            <v>1</v>
          </cell>
          <cell r="F4" t="str">
            <v>Cabo De Trambulador Corsa Classic 2005/2014</v>
          </cell>
          <cell r="G4"/>
          <cell r="H4">
            <v>115</v>
          </cell>
          <cell r="I4">
            <v>978</v>
          </cell>
          <cell r="J4">
            <v>1</v>
          </cell>
          <cell r="K4">
            <v>216</v>
          </cell>
          <cell r="L4">
            <v>761</v>
          </cell>
          <cell r="M4">
            <v>385</v>
          </cell>
          <cell r="N4">
            <v>235</v>
          </cell>
          <cell r="O4">
            <v>0</v>
          </cell>
          <cell r="P4">
            <v>150</v>
          </cell>
          <cell r="Q4">
            <v>404</v>
          </cell>
          <cell r="R4">
            <v>206</v>
          </cell>
          <cell r="S4">
            <v>26</v>
          </cell>
          <cell r="T4">
            <v>170</v>
          </cell>
          <cell r="U4">
            <v>2</v>
          </cell>
          <cell r="V4">
            <v>205</v>
          </cell>
          <cell r="W4">
            <v>176</v>
          </cell>
          <cell r="X4">
            <v>29</v>
          </cell>
          <cell r="Y4" t="str">
            <v/>
          </cell>
          <cell r="Z4" t="str">
            <v/>
          </cell>
          <cell r="AA4">
            <v>219</v>
          </cell>
          <cell r="AB4">
            <v>191</v>
          </cell>
          <cell r="AC4">
            <v>28</v>
          </cell>
          <cell r="AD4"/>
          <cell r="AE4">
            <v>0</v>
          </cell>
          <cell r="AF4">
            <v>711</v>
          </cell>
          <cell r="AG4">
            <v>111</v>
          </cell>
          <cell r="AH4">
            <v>20</v>
          </cell>
          <cell r="AI4">
            <v>580</v>
          </cell>
          <cell r="AJ4">
            <v>0</v>
          </cell>
          <cell r="AK4">
            <v>466.33333333333331</v>
          </cell>
        </row>
        <row r="5">
          <cell r="A5">
            <v>332052</v>
          </cell>
          <cell r="B5" t="str">
            <v>Sim</v>
          </cell>
          <cell r="C5" t="str">
            <v>Bandeja</v>
          </cell>
          <cell r="D5" t="str">
            <v>SPARE</v>
          </cell>
          <cell r="E5">
            <v>2</v>
          </cell>
          <cell r="F5" t="str">
            <v>Morceguinho Dianteiro Classic Lado Direito 2004 A 2015</v>
          </cell>
          <cell r="G5"/>
          <cell r="H5">
            <v>229</v>
          </cell>
          <cell r="I5">
            <v>284</v>
          </cell>
          <cell r="J5">
            <v>277</v>
          </cell>
          <cell r="K5">
            <v>6</v>
          </cell>
          <cell r="L5">
            <v>1</v>
          </cell>
          <cell r="M5">
            <v>398</v>
          </cell>
          <cell r="N5">
            <v>1</v>
          </cell>
          <cell r="O5">
            <v>347</v>
          </cell>
          <cell r="P5">
            <v>50</v>
          </cell>
          <cell r="Q5">
            <v>500</v>
          </cell>
          <cell r="R5">
            <v>7</v>
          </cell>
          <cell r="S5">
            <v>491</v>
          </cell>
          <cell r="T5">
            <v>0</v>
          </cell>
          <cell r="U5">
            <v>2</v>
          </cell>
          <cell r="V5">
            <v>299</v>
          </cell>
          <cell r="W5">
            <v>5</v>
          </cell>
          <cell r="X5">
            <v>270</v>
          </cell>
          <cell r="Y5" t="str">
            <v/>
          </cell>
          <cell r="Z5">
            <v>24</v>
          </cell>
          <cell r="AA5">
            <v>357</v>
          </cell>
          <cell r="AB5">
            <v>9</v>
          </cell>
          <cell r="AC5">
            <v>348</v>
          </cell>
          <cell r="AD5"/>
          <cell r="AE5">
            <v>0</v>
          </cell>
          <cell r="AF5">
            <v>298</v>
          </cell>
          <cell r="AG5">
            <v>11</v>
          </cell>
          <cell r="AH5">
            <v>266</v>
          </cell>
          <cell r="AI5">
            <v>0</v>
          </cell>
          <cell r="AJ5">
            <v>21</v>
          </cell>
          <cell r="AK5">
            <v>334.66666666666669</v>
          </cell>
        </row>
        <row r="6">
          <cell r="A6">
            <v>332053</v>
          </cell>
          <cell r="B6" t="str">
            <v>Sim</v>
          </cell>
          <cell r="C6" t="str">
            <v>Bandeja</v>
          </cell>
          <cell r="D6" t="str">
            <v>SPARE</v>
          </cell>
          <cell r="E6">
            <v>2</v>
          </cell>
          <cell r="F6" t="str">
            <v>Morceguinho Dianteiro Classic Lado Esquerdo 2004 A 2015</v>
          </cell>
          <cell r="G6"/>
          <cell r="H6">
            <v>225</v>
          </cell>
          <cell r="I6">
            <v>285</v>
          </cell>
          <cell r="J6">
            <v>277</v>
          </cell>
          <cell r="K6">
            <v>7</v>
          </cell>
          <cell r="L6">
            <v>1</v>
          </cell>
          <cell r="M6">
            <v>401</v>
          </cell>
          <cell r="N6">
            <v>4</v>
          </cell>
          <cell r="O6">
            <v>347</v>
          </cell>
          <cell r="P6">
            <v>50</v>
          </cell>
          <cell r="Q6">
            <v>498</v>
          </cell>
          <cell r="R6">
            <v>5</v>
          </cell>
          <cell r="S6">
            <v>491</v>
          </cell>
          <cell r="T6">
            <v>0</v>
          </cell>
          <cell r="U6">
            <v>2</v>
          </cell>
          <cell r="V6">
            <v>307</v>
          </cell>
          <cell r="W6">
            <v>3</v>
          </cell>
          <cell r="X6">
            <v>270</v>
          </cell>
          <cell r="Y6" t="str">
            <v/>
          </cell>
          <cell r="Z6">
            <v>34</v>
          </cell>
          <cell r="AA6">
            <v>354</v>
          </cell>
          <cell r="AB6">
            <v>6</v>
          </cell>
          <cell r="AC6">
            <v>348</v>
          </cell>
          <cell r="AD6"/>
          <cell r="AE6">
            <v>0</v>
          </cell>
          <cell r="AF6">
            <v>267</v>
          </cell>
          <cell r="AG6">
            <v>0</v>
          </cell>
          <cell r="AH6">
            <v>266</v>
          </cell>
          <cell r="AI6">
            <v>0</v>
          </cell>
          <cell r="AJ6">
            <v>1</v>
          </cell>
          <cell r="AK6">
            <v>330.5</v>
          </cell>
        </row>
        <row r="7">
          <cell r="A7" t="str">
            <v>PG001</v>
          </cell>
          <cell r="B7" t="str">
            <v>Sim</v>
          </cell>
          <cell r="C7" t="str">
            <v>Rolamento Eixo</v>
          </cell>
          <cell r="D7" t="str">
            <v>Importação</v>
          </cell>
          <cell r="E7">
            <v>1</v>
          </cell>
          <cell r="F7" t="str">
            <v>Reparo Rolamento Eixo Traseiro Pegeout 207 47mm 2008 A 2010</v>
          </cell>
          <cell r="G7"/>
          <cell r="H7">
            <v>284</v>
          </cell>
          <cell r="I7">
            <v>317</v>
          </cell>
          <cell r="J7">
            <v>250</v>
          </cell>
          <cell r="K7">
            <v>17</v>
          </cell>
          <cell r="L7">
            <v>50</v>
          </cell>
          <cell r="M7">
            <v>269</v>
          </cell>
          <cell r="N7">
            <v>9</v>
          </cell>
          <cell r="O7">
            <v>240</v>
          </cell>
          <cell r="P7">
            <v>20</v>
          </cell>
          <cell r="Q7">
            <v>270</v>
          </cell>
          <cell r="R7">
            <v>14</v>
          </cell>
          <cell r="S7">
            <v>224</v>
          </cell>
          <cell r="T7">
            <v>16</v>
          </cell>
          <cell r="U7">
            <v>16</v>
          </cell>
          <cell r="V7">
            <v>204</v>
          </cell>
          <cell r="W7">
            <v>8</v>
          </cell>
          <cell r="X7">
            <v>196</v>
          </cell>
          <cell r="Y7" t="str">
            <v/>
          </cell>
          <cell r="Z7" t="str">
            <v/>
          </cell>
          <cell r="AA7">
            <v>90</v>
          </cell>
          <cell r="AB7">
            <v>0</v>
          </cell>
          <cell r="AC7">
            <v>90</v>
          </cell>
          <cell r="AD7"/>
          <cell r="AE7">
            <v>0</v>
          </cell>
          <cell r="AF7">
            <v>72</v>
          </cell>
          <cell r="AG7">
            <v>10</v>
          </cell>
          <cell r="AH7">
            <v>62</v>
          </cell>
          <cell r="AI7">
            <v>0</v>
          </cell>
          <cell r="AJ7">
            <v>0</v>
          </cell>
          <cell r="AK7">
            <v>236</v>
          </cell>
        </row>
        <row r="8">
          <cell r="A8" t="str">
            <v>FD001</v>
          </cell>
          <cell r="B8" t="str">
            <v>Sim</v>
          </cell>
          <cell r="C8" t="str">
            <v>Rolamento Roda</v>
          </cell>
          <cell r="D8" t="str">
            <v>Importação</v>
          </cell>
          <cell r="E8">
            <v>1</v>
          </cell>
          <cell r="F8" t="str">
            <v>Kit Rolamento Roda Traseira Ford Verona 1993 1994 1995 1996.</v>
          </cell>
          <cell r="G8"/>
          <cell r="H8">
            <v>79</v>
          </cell>
          <cell r="I8">
            <v>187</v>
          </cell>
          <cell r="J8">
            <v>30</v>
          </cell>
          <cell r="K8">
            <v>57</v>
          </cell>
          <cell r="L8">
            <v>100</v>
          </cell>
          <cell r="M8">
            <v>134</v>
          </cell>
          <cell r="N8">
            <v>86</v>
          </cell>
          <cell r="O8">
            <v>48</v>
          </cell>
          <cell r="P8" t="str">
            <v/>
          </cell>
          <cell r="Q8">
            <v>131</v>
          </cell>
          <cell r="R8">
            <v>77</v>
          </cell>
          <cell r="S8">
            <v>54</v>
          </cell>
          <cell r="T8">
            <v>0</v>
          </cell>
          <cell r="U8">
            <v>0</v>
          </cell>
          <cell r="V8">
            <v>255</v>
          </cell>
          <cell r="W8">
            <v>93</v>
          </cell>
          <cell r="X8">
            <v>62</v>
          </cell>
          <cell r="Y8">
            <v>100</v>
          </cell>
          <cell r="Z8" t="str">
            <v/>
          </cell>
          <cell r="AA8">
            <v>135</v>
          </cell>
          <cell r="AB8">
            <v>78</v>
          </cell>
          <cell r="AC8">
            <v>56</v>
          </cell>
          <cell r="AD8"/>
          <cell r="AE8">
            <v>1</v>
          </cell>
          <cell r="AF8">
            <v>121</v>
          </cell>
          <cell r="AG8">
            <v>73</v>
          </cell>
          <cell r="AH8">
            <v>48</v>
          </cell>
          <cell r="AI8">
            <v>0</v>
          </cell>
          <cell r="AJ8">
            <v>0</v>
          </cell>
          <cell r="AK8">
            <v>151.16666666666666</v>
          </cell>
        </row>
        <row r="9">
          <cell r="A9">
            <v>14104</v>
          </cell>
          <cell r="B9" t="str">
            <v>Sim</v>
          </cell>
          <cell r="C9" t="str">
            <v>Pino de Freio</v>
          </cell>
          <cell r="D9" t="str">
            <v>MultiKit</v>
          </cell>
          <cell r="E9">
            <v>4</v>
          </cell>
          <cell r="F9" t="str">
            <v xml:space="preserve">Kit Pino Guia Bucha Pinça Freio Vw Crossfox Fox Gol Saveiro </v>
          </cell>
          <cell r="G9"/>
          <cell r="H9">
            <v>143</v>
          </cell>
          <cell r="I9">
            <v>135</v>
          </cell>
          <cell r="J9">
            <v>110</v>
          </cell>
          <cell r="K9">
            <v>25</v>
          </cell>
          <cell r="L9" t="str">
            <v/>
          </cell>
          <cell r="M9">
            <v>155</v>
          </cell>
          <cell r="N9">
            <v>15</v>
          </cell>
          <cell r="O9">
            <v>140</v>
          </cell>
          <cell r="P9" t="str">
            <v/>
          </cell>
          <cell r="Q9">
            <v>119</v>
          </cell>
          <cell r="R9">
            <v>21</v>
          </cell>
          <cell r="S9">
            <v>98</v>
          </cell>
          <cell r="T9">
            <v>0</v>
          </cell>
          <cell r="U9">
            <v>0</v>
          </cell>
          <cell r="V9">
            <v>138</v>
          </cell>
          <cell r="W9">
            <v>13</v>
          </cell>
          <cell r="X9">
            <v>124</v>
          </cell>
          <cell r="Y9" t="str">
            <v/>
          </cell>
          <cell r="Z9">
            <v>1</v>
          </cell>
          <cell r="AA9">
            <v>127</v>
          </cell>
          <cell r="AB9">
            <v>21</v>
          </cell>
          <cell r="AC9">
            <v>106</v>
          </cell>
          <cell r="AD9"/>
          <cell r="AE9">
            <v>0</v>
          </cell>
          <cell r="AF9">
            <v>106</v>
          </cell>
          <cell r="AG9">
            <v>18</v>
          </cell>
          <cell r="AH9">
            <v>88</v>
          </cell>
          <cell r="AI9">
            <v>0</v>
          </cell>
          <cell r="AJ9">
            <v>0</v>
          </cell>
          <cell r="AK9">
            <v>132.66666666666666</v>
          </cell>
        </row>
        <row r="10">
          <cell r="A10" t="str">
            <v>PF005</v>
          </cell>
          <cell r="B10" t="str">
            <v>Sim</v>
          </cell>
          <cell r="C10" t="str">
            <v>Rolamento Eixo</v>
          </cell>
          <cell r="D10" t="str">
            <v>Importação</v>
          </cell>
          <cell r="E10">
            <v>1</v>
          </cell>
          <cell r="F10" t="str">
            <v>Reparo Traseiro Rolamento Blindado Palio Weekend Marea Brava</v>
          </cell>
          <cell r="G10"/>
          <cell r="H10">
            <v>0</v>
          </cell>
          <cell r="I10">
            <v>65</v>
          </cell>
          <cell r="J10">
            <v>64</v>
          </cell>
          <cell r="K10">
            <v>1</v>
          </cell>
          <cell r="L10" t="str">
            <v/>
          </cell>
          <cell r="M10">
            <v>223</v>
          </cell>
          <cell r="N10">
            <v>1</v>
          </cell>
          <cell r="O10">
            <v>122</v>
          </cell>
          <cell r="P10">
            <v>100</v>
          </cell>
          <cell r="Q10">
            <v>133</v>
          </cell>
          <cell r="R10">
            <v>7</v>
          </cell>
          <cell r="S10">
            <v>96</v>
          </cell>
          <cell r="T10">
            <v>30</v>
          </cell>
          <cell r="U10">
            <v>0</v>
          </cell>
          <cell r="V10">
            <v>85</v>
          </cell>
          <cell r="W10">
            <v>7</v>
          </cell>
          <cell r="X10">
            <v>78</v>
          </cell>
          <cell r="Y10" t="str">
            <v/>
          </cell>
          <cell r="Z10" t="str">
            <v/>
          </cell>
          <cell r="AA10">
            <v>1621</v>
          </cell>
          <cell r="AB10">
            <v>7</v>
          </cell>
          <cell r="AC10">
            <v>64</v>
          </cell>
          <cell r="AD10">
            <v>1550</v>
          </cell>
          <cell r="AE10">
            <v>0</v>
          </cell>
          <cell r="AF10">
            <v>140</v>
          </cell>
          <cell r="AG10">
            <v>4</v>
          </cell>
          <cell r="AH10">
            <v>86</v>
          </cell>
          <cell r="AI10">
            <v>50</v>
          </cell>
          <cell r="AJ10">
            <v>0</v>
          </cell>
          <cell r="AK10">
            <v>107.66666666666667</v>
          </cell>
        </row>
        <row r="11">
          <cell r="A11" t="str">
            <v>T-10111</v>
          </cell>
          <cell r="B11" t="str">
            <v>Sim</v>
          </cell>
          <cell r="C11" t="str">
            <v>Reparo alavanta Câmbio</v>
          </cell>
          <cell r="D11" t="str">
            <v>Importação</v>
          </cell>
          <cell r="E11">
            <v>1</v>
          </cell>
          <cell r="F11" t="str">
            <v>Terminal Cabo De Engate Seleção Mercedes Benz 1720 - Mesmo que 110601</v>
          </cell>
          <cell r="G11" t="str">
            <v>-</v>
          </cell>
          <cell r="H11" t="str">
            <v>-</v>
          </cell>
          <cell r="I11" t="str">
            <v>-</v>
          </cell>
          <cell r="J11"/>
          <cell r="K11">
            <v>1</v>
          </cell>
          <cell r="L11"/>
          <cell r="M11">
            <v>36</v>
          </cell>
          <cell r="N11">
            <v>6</v>
          </cell>
          <cell r="O11" t="str">
            <v/>
          </cell>
          <cell r="P11">
            <v>30</v>
          </cell>
          <cell r="Q11">
            <v>2</v>
          </cell>
          <cell r="R11">
            <v>2</v>
          </cell>
          <cell r="S11" t="str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 t="str">
            <v/>
          </cell>
          <cell r="Y11" t="str">
            <v/>
          </cell>
          <cell r="Z11" t="str">
            <v/>
          </cell>
          <cell r="AA11">
            <v>101</v>
          </cell>
          <cell r="AB11">
            <v>1</v>
          </cell>
          <cell r="AC11">
            <v>0</v>
          </cell>
          <cell r="AD11">
            <v>100</v>
          </cell>
          <cell r="AE11">
            <v>0</v>
          </cell>
          <cell r="AF11">
            <v>388</v>
          </cell>
          <cell r="AG11">
            <v>0</v>
          </cell>
          <cell r="AH11">
            <v>0</v>
          </cell>
          <cell r="AI11">
            <v>388</v>
          </cell>
          <cell r="AJ11">
            <v>0</v>
          </cell>
          <cell r="AK11">
            <v>106.5</v>
          </cell>
        </row>
        <row r="12">
          <cell r="A12" t="str">
            <v>NZT311396</v>
          </cell>
          <cell r="B12" t="str">
            <v>Sim</v>
          </cell>
          <cell r="C12" t="str">
            <v>Rolamento Roda</v>
          </cell>
          <cell r="D12" t="str">
            <v>Importação / Polo</v>
          </cell>
          <cell r="E12" t="e">
            <v>#N/A</v>
          </cell>
          <cell r="F12" t="str">
            <v>Rolamento Da Roda Dianteira Sem Abs Kadett 89 A 97</v>
          </cell>
          <cell r="G12"/>
          <cell r="H12">
            <v>10</v>
          </cell>
          <cell r="I12">
            <v>26</v>
          </cell>
          <cell r="J12">
            <v>26</v>
          </cell>
          <cell r="K12" t="str">
            <v/>
          </cell>
          <cell r="L12" t="str">
            <v/>
          </cell>
          <cell r="M12">
            <v>47</v>
          </cell>
          <cell r="N12">
            <v>5</v>
          </cell>
          <cell r="O12">
            <v>42</v>
          </cell>
          <cell r="P12" t="str">
            <v/>
          </cell>
          <cell r="Q12">
            <v>493</v>
          </cell>
          <cell r="R12">
            <v>1</v>
          </cell>
          <cell r="S12">
            <v>12</v>
          </cell>
          <cell r="T12">
            <v>480</v>
          </cell>
          <cell r="U12">
            <v>0</v>
          </cell>
          <cell r="V12">
            <v>38</v>
          </cell>
          <cell r="W12">
            <v>8</v>
          </cell>
          <cell r="X12">
            <v>30</v>
          </cell>
          <cell r="Y12" t="str">
            <v/>
          </cell>
          <cell r="Z12" t="str">
            <v/>
          </cell>
          <cell r="AA12">
            <v>540</v>
          </cell>
          <cell r="AB12">
            <v>2</v>
          </cell>
          <cell r="AC12">
            <v>38</v>
          </cell>
          <cell r="AD12">
            <v>500</v>
          </cell>
          <cell r="AE12">
            <v>0</v>
          </cell>
          <cell r="AF12">
            <v>18</v>
          </cell>
          <cell r="AG12">
            <v>0</v>
          </cell>
          <cell r="AH12">
            <v>16</v>
          </cell>
          <cell r="AI12">
            <v>0</v>
          </cell>
          <cell r="AJ12">
            <v>2</v>
          </cell>
          <cell r="AK12">
            <v>105.33333333333333</v>
          </cell>
        </row>
        <row r="13">
          <cell r="A13">
            <v>5701</v>
          </cell>
          <cell r="B13" t="str">
            <v>Sim</v>
          </cell>
          <cell r="C13" t="str">
            <v>Bieleta</v>
          </cell>
          <cell r="D13" t="str">
            <v>HOLYMAN</v>
          </cell>
          <cell r="E13">
            <v>5</v>
          </cell>
          <cell r="F13" t="str">
            <v>Bieleta Dianteira Ambos Os Lados Citroen Ds3</v>
          </cell>
          <cell r="G13"/>
          <cell r="H13">
            <v>59</v>
          </cell>
          <cell r="I13">
            <v>101</v>
          </cell>
          <cell r="J13">
            <v>100</v>
          </cell>
          <cell r="K13">
            <v>1</v>
          </cell>
          <cell r="L13" t="str">
            <v/>
          </cell>
          <cell r="M13">
            <v>111</v>
          </cell>
          <cell r="N13">
            <v>1</v>
          </cell>
          <cell r="O13">
            <v>110</v>
          </cell>
          <cell r="P13" t="str">
            <v/>
          </cell>
          <cell r="Q13">
            <v>145</v>
          </cell>
          <cell r="R13">
            <v>4</v>
          </cell>
          <cell r="S13">
            <v>141</v>
          </cell>
          <cell r="T13">
            <v>0</v>
          </cell>
          <cell r="U13">
            <v>0</v>
          </cell>
          <cell r="V13">
            <v>90</v>
          </cell>
          <cell r="W13">
            <v>1</v>
          </cell>
          <cell r="X13">
            <v>84</v>
          </cell>
          <cell r="Y13" t="str">
            <v/>
          </cell>
          <cell r="Z13">
            <v>5</v>
          </cell>
          <cell r="AA13">
            <v>107</v>
          </cell>
          <cell r="AB13">
            <v>1</v>
          </cell>
          <cell r="AC13">
            <v>106</v>
          </cell>
          <cell r="AD13"/>
          <cell r="AE13">
            <v>0</v>
          </cell>
          <cell r="AF13">
            <v>73</v>
          </cell>
          <cell r="AG13">
            <v>0</v>
          </cell>
          <cell r="AH13">
            <v>73</v>
          </cell>
          <cell r="AI13">
            <v>0</v>
          </cell>
          <cell r="AJ13">
            <v>0</v>
          </cell>
          <cell r="AK13">
            <v>96.5</v>
          </cell>
        </row>
        <row r="14">
          <cell r="A14">
            <v>552001</v>
          </cell>
          <cell r="B14" t="str">
            <v>Sim</v>
          </cell>
          <cell r="C14" t="str">
            <v>Bandeja</v>
          </cell>
          <cell r="D14" t="str">
            <v>SPARE</v>
          </cell>
          <cell r="E14">
            <v>2</v>
          </cell>
          <cell r="F14" t="str">
            <v>Bandeja Lado Esquerdo Peugeot 206 Todos 1999 A 2010 C Pivô</v>
          </cell>
          <cell r="G14"/>
          <cell r="H14">
            <v>96</v>
          </cell>
          <cell r="I14">
            <v>90</v>
          </cell>
          <cell r="J14">
            <v>27</v>
          </cell>
          <cell r="K14">
            <v>63</v>
          </cell>
          <cell r="L14" t="str">
            <v/>
          </cell>
          <cell r="M14">
            <v>124</v>
          </cell>
          <cell r="N14">
            <v>84</v>
          </cell>
          <cell r="O14">
            <v>40</v>
          </cell>
          <cell r="P14" t="str">
            <v/>
          </cell>
          <cell r="Q14">
            <v>119</v>
          </cell>
          <cell r="R14">
            <v>61</v>
          </cell>
          <cell r="S14">
            <v>28</v>
          </cell>
          <cell r="T14">
            <v>15</v>
          </cell>
          <cell r="U14">
            <v>15</v>
          </cell>
          <cell r="V14">
            <v>79</v>
          </cell>
          <cell r="W14">
            <v>49</v>
          </cell>
          <cell r="X14">
            <v>15</v>
          </cell>
          <cell r="Y14" t="str">
            <v/>
          </cell>
          <cell r="Z14">
            <v>15</v>
          </cell>
          <cell r="AA14">
            <v>98</v>
          </cell>
          <cell r="AB14">
            <v>62</v>
          </cell>
          <cell r="AC14">
            <v>13</v>
          </cell>
          <cell r="AD14"/>
          <cell r="AE14">
            <v>23</v>
          </cell>
          <cell r="AF14">
            <v>69</v>
          </cell>
          <cell r="AG14">
            <v>32</v>
          </cell>
          <cell r="AH14">
            <v>7</v>
          </cell>
          <cell r="AI14">
            <v>0</v>
          </cell>
          <cell r="AJ14">
            <v>30</v>
          </cell>
          <cell r="AK14">
            <v>96.166666666666671</v>
          </cell>
        </row>
        <row r="15">
          <cell r="A15">
            <v>2210</v>
          </cell>
          <cell r="B15" t="str">
            <v>Sim</v>
          </cell>
          <cell r="C15" t="str">
            <v>Haste Câmbio</v>
          </cell>
          <cell r="D15" t="str">
            <v>LT CORREA</v>
          </cell>
          <cell r="E15">
            <v>3</v>
          </cell>
          <cell r="F15" t="str">
            <v>Haste Bieleta Do Câmbio Peugeot 206 207  1.4 .16 161mm Curta</v>
          </cell>
          <cell r="G15"/>
          <cell r="H15">
            <v>124</v>
          </cell>
          <cell r="I15">
            <v>71</v>
          </cell>
          <cell r="J15">
            <v>66</v>
          </cell>
          <cell r="K15">
            <v>5</v>
          </cell>
          <cell r="L15" t="str">
            <v/>
          </cell>
          <cell r="M15">
            <v>107</v>
          </cell>
          <cell r="N15">
            <v>11</v>
          </cell>
          <cell r="O15">
            <v>96</v>
          </cell>
          <cell r="P15" t="str">
            <v/>
          </cell>
          <cell r="Q15">
            <v>116</v>
          </cell>
          <cell r="R15">
            <v>12</v>
          </cell>
          <cell r="S15">
            <v>104</v>
          </cell>
          <cell r="T15">
            <v>0</v>
          </cell>
          <cell r="U15">
            <v>0</v>
          </cell>
          <cell r="V15">
            <v>80</v>
          </cell>
          <cell r="W15">
            <v>6</v>
          </cell>
          <cell r="X15">
            <v>74</v>
          </cell>
          <cell r="Y15" t="str">
            <v/>
          </cell>
          <cell r="Z15" t="str">
            <v/>
          </cell>
          <cell r="AA15">
            <v>101</v>
          </cell>
          <cell r="AB15">
            <v>7</v>
          </cell>
          <cell r="AC15">
            <v>94</v>
          </cell>
          <cell r="AD15"/>
          <cell r="AE15">
            <v>0</v>
          </cell>
          <cell r="AF15">
            <v>78</v>
          </cell>
          <cell r="AG15">
            <v>0</v>
          </cell>
          <cell r="AH15">
            <v>78</v>
          </cell>
          <cell r="AI15">
            <v>0</v>
          </cell>
          <cell r="AJ15">
            <v>0</v>
          </cell>
          <cell r="AK15">
            <v>96</v>
          </cell>
        </row>
        <row r="16">
          <cell r="A16">
            <v>10107</v>
          </cell>
          <cell r="B16" t="str">
            <v>Sim</v>
          </cell>
          <cell r="C16" t="str">
            <v>Bomba Combustível</v>
          </cell>
          <cell r="D16" t="str">
            <v>POLO</v>
          </cell>
          <cell r="E16">
            <v>7</v>
          </cell>
          <cell r="F16" t="str">
            <v>Kit Bomba Combustível Gasolina Sistema Bosch Verona 94 A 96</v>
          </cell>
          <cell r="G16"/>
          <cell r="H16">
            <v>83</v>
          </cell>
          <cell r="I16">
            <v>78</v>
          </cell>
          <cell r="J16" t="str">
            <v/>
          </cell>
          <cell r="K16">
            <v>78</v>
          </cell>
          <cell r="L16" t="str">
            <v/>
          </cell>
          <cell r="M16">
            <v>118</v>
          </cell>
          <cell r="N16">
            <v>118</v>
          </cell>
          <cell r="O16" t="str">
            <v/>
          </cell>
          <cell r="P16" t="str">
            <v/>
          </cell>
          <cell r="Q16">
            <v>96</v>
          </cell>
          <cell r="R16">
            <v>93</v>
          </cell>
          <cell r="S16">
            <v>0</v>
          </cell>
          <cell r="T16">
            <v>0</v>
          </cell>
          <cell r="U16">
            <v>3</v>
          </cell>
          <cell r="V16">
            <v>86</v>
          </cell>
          <cell r="W16">
            <v>86</v>
          </cell>
          <cell r="X16" t="str">
            <v/>
          </cell>
          <cell r="Y16" t="str">
            <v/>
          </cell>
          <cell r="Z16" t="str">
            <v/>
          </cell>
          <cell r="AA16">
            <v>114</v>
          </cell>
          <cell r="AB16">
            <v>109</v>
          </cell>
          <cell r="AC16">
            <v>0</v>
          </cell>
          <cell r="AD16"/>
          <cell r="AE16">
            <v>5</v>
          </cell>
          <cell r="AF16">
            <v>105</v>
          </cell>
          <cell r="AG16">
            <v>105</v>
          </cell>
          <cell r="AH16">
            <v>0</v>
          </cell>
          <cell r="AI16">
            <v>0</v>
          </cell>
          <cell r="AJ16">
            <v>0</v>
          </cell>
          <cell r="AK16">
            <v>94.333333333333329</v>
          </cell>
        </row>
        <row r="17">
          <cell r="A17">
            <v>23079</v>
          </cell>
          <cell r="B17" t="str">
            <v>Sim</v>
          </cell>
          <cell r="C17" t="str">
            <v>Pino de Porta</v>
          </cell>
          <cell r="D17" t="str">
            <v>MultiKit</v>
          </cell>
          <cell r="E17">
            <v>4</v>
          </cell>
          <cell r="F17" t="str">
            <v>Pino Da Dobradiça Da Porta Blazer 1996 A 2011</v>
          </cell>
          <cell r="G17"/>
          <cell r="H17">
            <v>52</v>
          </cell>
          <cell r="I17">
            <v>124</v>
          </cell>
          <cell r="J17">
            <v>90</v>
          </cell>
          <cell r="K17">
            <v>34</v>
          </cell>
          <cell r="L17" t="str">
            <v/>
          </cell>
          <cell r="M17">
            <v>80</v>
          </cell>
          <cell r="N17">
            <v>20</v>
          </cell>
          <cell r="O17">
            <v>60</v>
          </cell>
          <cell r="P17" t="str">
            <v/>
          </cell>
          <cell r="Q17">
            <v>91</v>
          </cell>
          <cell r="R17">
            <v>29</v>
          </cell>
          <cell r="S17">
            <v>62</v>
          </cell>
          <cell r="T17">
            <v>0</v>
          </cell>
          <cell r="U17">
            <v>0</v>
          </cell>
          <cell r="V17">
            <v>107</v>
          </cell>
          <cell r="W17">
            <v>23</v>
          </cell>
          <cell r="X17">
            <v>84</v>
          </cell>
          <cell r="Y17" t="str">
            <v/>
          </cell>
          <cell r="Z17" t="str">
            <v/>
          </cell>
          <cell r="AA17">
            <v>124</v>
          </cell>
          <cell r="AB17">
            <v>12</v>
          </cell>
          <cell r="AC17">
            <v>112</v>
          </cell>
          <cell r="AD17"/>
          <cell r="AE17">
            <v>0</v>
          </cell>
          <cell r="AF17">
            <v>83</v>
          </cell>
          <cell r="AG17">
            <v>5</v>
          </cell>
          <cell r="AH17">
            <v>78</v>
          </cell>
          <cell r="AI17">
            <v>0</v>
          </cell>
          <cell r="AJ17">
            <v>0</v>
          </cell>
          <cell r="AK17">
            <v>89.5</v>
          </cell>
        </row>
        <row r="18">
          <cell r="A18">
            <v>552002</v>
          </cell>
          <cell r="B18" t="str">
            <v>Sim</v>
          </cell>
          <cell r="C18" t="str">
            <v>Bandeja</v>
          </cell>
          <cell r="D18" t="str">
            <v>SPARE</v>
          </cell>
          <cell r="E18">
            <v>2</v>
          </cell>
          <cell r="F18" t="str">
            <v>Bandeja Ld Peugeot 207 Exceto Escapade 2008 Em Diante C Pivô</v>
          </cell>
          <cell r="G18"/>
          <cell r="H18">
            <v>79</v>
          </cell>
          <cell r="I18">
            <v>75</v>
          </cell>
          <cell r="J18">
            <v>27</v>
          </cell>
          <cell r="K18">
            <v>48</v>
          </cell>
          <cell r="L18" t="str">
            <v/>
          </cell>
          <cell r="M18">
            <v>134</v>
          </cell>
          <cell r="N18">
            <v>94</v>
          </cell>
          <cell r="O18">
            <v>40</v>
          </cell>
          <cell r="P18" t="str">
            <v/>
          </cell>
          <cell r="Q18">
            <v>103</v>
          </cell>
          <cell r="R18">
            <v>48</v>
          </cell>
          <cell r="S18">
            <v>25</v>
          </cell>
          <cell r="T18">
            <v>15</v>
          </cell>
          <cell r="U18">
            <v>15</v>
          </cell>
          <cell r="V18">
            <v>60</v>
          </cell>
          <cell r="W18">
            <v>30</v>
          </cell>
          <cell r="X18">
            <v>15</v>
          </cell>
          <cell r="Y18" t="str">
            <v/>
          </cell>
          <cell r="Z18">
            <v>15</v>
          </cell>
          <cell r="AA18">
            <v>81</v>
          </cell>
          <cell r="AB18">
            <v>33</v>
          </cell>
          <cell r="AC18">
            <v>13</v>
          </cell>
          <cell r="AD18"/>
          <cell r="AE18">
            <v>35</v>
          </cell>
          <cell r="AF18">
            <v>72</v>
          </cell>
          <cell r="AG18">
            <v>23</v>
          </cell>
          <cell r="AH18">
            <v>6</v>
          </cell>
          <cell r="AI18">
            <v>0</v>
          </cell>
          <cell r="AJ18">
            <v>43</v>
          </cell>
          <cell r="AK18">
            <v>87.166666666666671</v>
          </cell>
        </row>
        <row r="19">
          <cell r="A19">
            <v>112005</v>
          </cell>
          <cell r="B19" t="str">
            <v>Sim</v>
          </cell>
          <cell r="C19" t="str">
            <v>Bandeja</v>
          </cell>
          <cell r="D19" t="str">
            <v>SPARE</v>
          </cell>
          <cell r="E19">
            <v>2</v>
          </cell>
          <cell r="F19" t="str">
            <v>Bracinho Oscilante Com Pivô Uno 2002 A 2011</v>
          </cell>
          <cell r="G19"/>
          <cell r="H19">
            <v>0</v>
          </cell>
          <cell r="I19">
            <v>40</v>
          </cell>
          <cell r="J19">
            <v>38</v>
          </cell>
          <cell r="K19" t="str">
            <v/>
          </cell>
          <cell r="L19">
            <v>2</v>
          </cell>
          <cell r="M19">
            <v>67</v>
          </cell>
          <cell r="N19">
            <v>1</v>
          </cell>
          <cell r="O19">
            <v>66</v>
          </cell>
          <cell r="P19" t="str">
            <v/>
          </cell>
          <cell r="Q19">
            <v>67</v>
          </cell>
          <cell r="R19">
            <v>7</v>
          </cell>
          <cell r="S19">
            <v>58</v>
          </cell>
          <cell r="T19">
            <v>0</v>
          </cell>
          <cell r="U19">
            <v>2</v>
          </cell>
          <cell r="V19">
            <v>184</v>
          </cell>
          <cell r="W19">
            <v>34</v>
          </cell>
          <cell r="X19">
            <v>70</v>
          </cell>
          <cell r="Y19" t="str">
            <v/>
          </cell>
          <cell r="Z19">
            <v>80</v>
          </cell>
          <cell r="AA19">
            <v>113</v>
          </cell>
          <cell r="AB19">
            <v>11</v>
          </cell>
          <cell r="AC19">
            <v>56</v>
          </cell>
          <cell r="AD19"/>
          <cell r="AE19">
            <v>46</v>
          </cell>
          <cell r="AF19">
            <v>158</v>
          </cell>
          <cell r="AG19">
            <v>4</v>
          </cell>
          <cell r="AH19">
            <v>54</v>
          </cell>
          <cell r="AI19">
            <v>0</v>
          </cell>
          <cell r="AJ19">
            <v>100</v>
          </cell>
          <cell r="AK19">
            <v>86</v>
          </cell>
        </row>
        <row r="20">
          <cell r="A20">
            <v>2316</v>
          </cell>
          <cell r="B20" t="str">
            <v>Sim</v>
          </cell>
          <cell r="C20" t="str">
            <v>Reparo alavanta Câmbio</v>
          </cell>
          <cell r="D20" t="str">
            <v>LT CORREA</v>
          </cell>
          <cell r="E20">
            <v>3</v>
          </cell>
          <cell r="F20" t="str">
            <v>Kit Reparo Alavanca Câmbio Trambulador Vectra 2006 Até 2011</v>
          </cell>
          <cell r="G20"/>
          <cell r="H20">
            <v>72</v>
          </cell>
          <cell r="I20">
            <v>76</v>
          </cell>
          <cell r="J20">
            <v>0</v>
          </cell>
          <cell r="K20">
            <v>76</v>
          </cell>
          <cell r="L20" t="str">
            <v/>
          </cell>
          <cell r="M20">
            <v>85</v>
          </cell>
          <cell r="N20">
            <v>85</v>
          </cell>
          <cell r="O20">
            <v>0</v>
          </cell>
          <cell r="P20" t="str">
            <v/>
          </cell>
          <cell r="Q20">
            <v>71</v>
          </cell>
          <cell r="R20">
            <v>71</v>
          </cell>
          <cell r="S20">
            <v>0</v>
          </cell>
          <cell r="T20">
            <v>0</v>
          </cell>
          <cell r="U20">
            <v>0</v>
          </cell>
          <cell r="V20">
            <v>103</v>
          </cell>
          <cell r="W20">
            <v>102</v>
          </cell>
          <cell r="X20">
            <v>1</v>
          </cell>
          <cell r="Y20" t="str">
            <v/>
          </cell>
          <cell r="Z20" t="str">
            <v/>
          </cell>
          <cell r="AA20">
            <v>106</v>
          </cell>
          <cell r="AB20">
            <v>101</v>
          </cell>
          <cell r="AC20">
            <v>5</v>
          </cell>
          <cell r="AD20"/>
          <cell r="AE20">
            <v>0</v>
          </cell>
          <cell r="AF20">
            <v>92</v>
          </cell>
          <cell r="AG20">
            <v>80</v>
          </cell>
          <cell r="AH20">
            <v>12</v>
          </cell>
          <cell r="AI20">
            <v>0</v>
          </cell>
          <cell r="AJ20">
            <v>0</v>
          </cell>
          <cell r="AK20">
            <v>83.166666666666671</v>
          </cell>
        </row>
        <row r="21">
          <cell r="A21">
            <v>2278</v>
          </cell>
          <cell r="B21" t="str">
            <v>Sim</v>
          </cell>
          <cell r="C21" t="str">
            <v>Bucha Eixo Suspensão</v>
          </cell>
          <cell r="D21" t="str">
            <v>LT CORREA</v>
          </cell>
          <cell r="E21">
            <v>3</v>
          </cell>
          <cell r="F21" t="str">
            <v>Bucha Eixo Tras Elimina Folga 47mm Peugeot 206 1999 A 2010</v>
          </cell>
          <cell r="G21"/>
          <cell r="H21">
            <v>92</v>
          </cell>
          <cell r="I21">
            <v>94</v>
          </cell>
          <cell r="J21">
            <v>94</v>
          </cell>
          <cell r="K21" t="str">
            <v/>
          </cell>
          <cell r="L21" t="str">
            <v/>
          </cell>
          <cell r="M21">
            <v>112</v>
          </cell>
          <cell r="N21" t="str">
            <v/>
          </cell>
          <cell r="O21">
            <v>112</v>
          </cell>
          <cell r="P21" t="str">
            <v/>
          </cell>
          <cell r="Q21">
            <v>100</v>
          </cell>
          <cell r="R21" t="str">
            <v>0</v>
          </cell>
          <cell r="S21">
            <v>100</v>
          </cell>
          <cell r="T21">
            <v>0</v>
          </cell>
          <cell r="U21">
            <v>0</v>
          </cell>
          <cell r="V21">
            <v>84</v>
          </cell>
          <cell r="W21">
            <v>0</v>
          </cell>
          <cell r="X21">
            <v>84</v>
          </cell>
          <cell r="Y21" t="str">
            <v/>
          </cell>
          <cell r="Z21" t="str">
            <v/>
          </cell>
          <cell r="AA21">
            <v>23</v>
          </cell>
          <cell r="AB21">
            <v>1</v>
          </cell>
          <cell r="AC21">
            <v>22</v>
          </cell>
          <cell r="AD21"/>
          <cell r="AE21">
            <v>0</v>
          </cell>
          <cell r="AF21">
            <v>10</v>
          </cell>
          <cell r="AG21">
            <v>0</v>
          </cell>
          <cell r="AH21">
            <v>10</v>
          </cell>
          <cell r="AI21">
            <v>0</v>
          </cell>
          <cell r="AJ21">
            <v>0</v>
          </cell>
          <cell r="AK21">
            <v>82</v>
          </cell>
        </row>
        <row r="22">
          <cell r="A22">
            <v>2327</v>
          </cell>
          <cell r="B22" t="str">
            <v>Sim</v>
          </cell>
          <cell r="C22" t="str">
            <v>Reparo alavanta Câmbio</v>
          </cell>
          <cell r="D22" t="str">
            <v>LT CORREA</v>
          </cell>
          <cell r="E22">
            <v>3</v>
          </cell>
          <cell r="F22" t="str">
            <v>Kit Reparo Bucha Alavanca Câmbio Varão Corsa</v>
          </cell>
          <cell r="G22"/>
          <cell r="H22">
            <v>57</v>
          </cell>
          <cell r="I22">
            <v>79</v>
          </cell>
          <cell r="J22" t="str">
            <v/>
          </cell>
          <cell r="K22">
            <v>79</v>
          </cell>
          <cell r="L22" t="str">
            <v/>
          </cell>
          <cell r="M22">
            <v>126</v>
          </cell>
          <cell r="N22">
            <v>126</v>
          </cell>
          <cell r="O22" t="str">
            <v/>
          </cell>
          <cell r="P22" t="str">
            <v/>
          </cell>
          <cell r="Q22">
            <v>78</v>
          </cell>
          <cell r="R22">
            <v>78</v>
          </cell>
          <cell r="S22" t="str">
            <v>0</v>
          </cell>
          <cell r="T22">
            <v>0</v>
          </cell>
          <cell r="U22">
            <v>0</v>
          </cell>
          <cell r="V22">
            <v>61</v>
          </cell>
          <cell r="W22">
            <v>61</v>
          </cell>
          <cell r="X22" t="str">
            <v/>
          </cell>
          <cell r="Y22" t="str">
            <v/>
          </cell>
          <cell r="Z22" t="str">
            <v/>
          </cell>
          <cell r="AA22">
            <v>86</v>
          </cell>
          <cell r="AB22">
            <v>86</v>
          </cell>
          <cell r="AC22">
            <v>0</v>
          </cell>
          <cell r="AD22"/>
          <cell r="AE22">
            <v>0</v>
          </cell>
          <cell r="AF22">
            <v>85</v>
          </cell>
          <cell r="AG22">
            <v>85</v>
          </cell>
          <cell r="AH22">
            <v>0</v>
          </cell>
          <cell r="AI22">
            <v>0</v>
          </cell>
          <cell r="AJ22">
            <v>0</v>
          </cell>
          <cell r="AK22">
            <v>81</v>
          </cell>
        </row>
        <row r="23">
          <cell r="A23" t="str">
            <v>LT5609</v>
          </cell>
          <cell r="B23" t="str">
            <v>Sim</v>
          </cell>
          <cell r="C23" t="str">
            <v>Reparo alavanta Câmbio</v>
          </cell>
          <cell r="D23" t="str">
            <v>LT CORREA</v>
          </cell>
          <cell r="E23">
            <v>3</v>
          </cell>
          <cell r="F23" t="str">
            <v>Kit Reparo Terminal Cabo Engate Seleção Nissan Versa</v>
          </cell>
          <cell r="G23"/>
          <cell r="H23">
            <v>71</v>
          </cell>
          <cell r="I23">
            <v>72</v>
          </cell>
          <cell r="J23" t="str">
            <v/>
          </cell>
          <cell r="K23">
            <v>72</v>
          </cell>
          <cell r="L23" t="str">
            <v/>
          </cell>
          <cell r="M23">
            <v>97</v>
          </cell>
          <cell r="N23">
            <v>97</v>
          </cell>
          <cell r="O23" t="str">
            <v/>
          </cell>
          <cell r="P23" t="str">
            <v/>
          </cell>
          <cell r="Q23">
            <v>63</v>
          </cell>
          <cell r="R23">
            <v>63</v>
          </cell>
          <cell r="S23" t="str">
            <v>0</v>
          </cell>
          <cell r="T23">
            <v>0</v>
          </cell>
          <cell r="U23">
            <v>0</v>
          </cell>
          <cell r="V23">
            <v>78</v>
          </cell>
          <cell r="W23">
            <v>76</v>
          </cell>
          <cell r="X23" t="str">
            <v/>
          </cell>
          <cell r="Y23">
            <v>1</v>
          </cell>
          <cell r="Z23">
            <v>1</v>
          </cell>
          <cell r="AA23">
            <v>68</v>
          </cell>
          <cell r="AB23">
            <v>67</v>
          </cell>
          <cell r="AC23">
            <v>0</v>
          </cell>
          <cell r="AD23"/>
          <cell r="AE23">
            <v>1</v>
          </cell>
          <cell r="AF23">
            <v>86</v>
          </cell>
          <cell r="AG23">
            <v>85</v>
          </cell>
          <cell r="AH23">
            <v>0</v>
          </cell>
          <cell r="AI23">
            <v>0</v>
          </cell>
          <cell r="AJ23">
            <v>1</v>
          </cell>
          <cell r="AK23">
            <v>77.833333333333329</v>
          </cell>
        </row>
        <row r="24">
          <cell r="A24" t="str">
            <v>PG001A</v>
          </cell>
          <cell r="B24" t="str">
            <v>Sim</v>
          </cell>
          <cell r="C24" t="str">
            <v>Rolamento Eixo</v>
          </cell>
          <cell r="D24" t="str">
            <v>Importação</v>
          </cell>
          <cell r="E24">
            <v>1</v>
          </cell>
          <cell r="F24" t="str">
            <v>Kit De Rolamento Eixo Traseiro 207 Passion Com Barra 50mm</v>
          </cell>
          <cell r="G24"/>
          <cell r="H24">
            <v>87</v>
          </cell>
          <cell r="I24">
            <v>89</v>
          </cell>
          <cell r="J24">
            <v>86</v>
          </cell>
          <cell r="K24">
            <v>3</v>
          </cell>
          <cell r="L24" t="str">
            <v/>
          </cell>
          <cell r="M24">
            <v>121</v>
          </cell>
          <cell r="N24">
            <v>1</v>
          </cell>
          <cell r="O24">
            <v>100</v>
          </cell>
          <cell r="P24">
            <v>20</v>
          </cell>
          <cell r="Q24">
            <v>71</v>
          </cell>
          <cell r="R24">
            <v>3</v>
          </cell>
          <cell r="S24">
            <v>68</v>
          </cell>
          <cell r="T24">
            <v>0</v>
          </cell>
          <cell r="U24">
            <v>0</v>
          </cell>
          <cell r="V24">
            <v>61</v>
          </cell>
          <cell r="W24">
            <v>3</v>
          </cell>
          <cell r="X24">
            <v>58</v>
          </cell>
          <cell r="Y24" t="str">
            <v/>
          </cell>
          <cell r="Z24" t="str">
            <v/>
          </cell>
          <cell r="AA24">
            <v>6</v>
          </cell>
          <cell r="AB24">
            <v>0</v>
          </cell>
          <cell r="AC24">
            <v>6</v>
          </cell>
          <cell r="AD24"/>
          <cell r="AE24">
            <v>0</v>
          </cell>
          <cell r="AF24">
            <v>34</v>
          </cell>
          <cell r="AG24">
            <v>0</v>
          </cell>
          <cell r="AH24">
            <v>34</v>
          </cell>
          <cell r="AI24">
            <v>0</v>
          </cell>
          <cell r="AJ24">
            <v>0</v>
          </cell>
          <cell r="AK24">
            <v>77.166666666666671</v>
          </cell>
        </row>
        <row r="25">
          <cell r="A25">
            <v>5110</v>
          </cell>
          <cell r="B25" t="str">
            <v>Sim</v>
          </cell>
          <cell r="C25" t="str">
            <v>Bieleta</v>
          </cell>
          <cell r="D25" t="str">
            <v>HOLYMAN</v>
          </cell>
          <cell r="E25">
            <v>5</v>
          </cell>
          <cell r="F25" t="str">
            <v>Bieleta Dianteira Fiat Bravo 2011 Em Diante</v>
          </cell>
          <cell r="G25"/>
          <cell r="H25">
            <v>58</v>
          </cell>
          <cell r="I25">
            <v>88</v>
          </cell>
          <cell r="J25">
            <v>88</v>
          </cell>
          <cell r="K25" t="str">
            <v/>
          </cell>
          <cell r="L25" t="str">
            <v/>
          </cell>
          <cell r="M25">
            <v>78</v>
          </cell>
          <cell r="N25" t="str">
            <v/>
          </cell>
          <cell r="O25">
            <v>78</v>
          </cell>
          <cell r="P25" t="str">
            <v/>
          </cell>
          <cell r="Q25">
            <v>83</v>
          </cell>
          <cell r="R25">
            <v>1</v>
          </cell>
          <cell r="S25">
            <v>82</v>
          </cell>
          <cell r="T25">
            <v>0</v>
          </cell>
          <cell r="U25">
            <v>0</v>
          </cell>
          <cell r="V25">
            <v>89</v>
          </cell>
          <cell r="W25">
            <v>1</v>
          </cell>
          <cell r="X25">
            <v>88</v>
          </cell>
          <cell r="Y25" t="str">
            <v/>
          </cell>
          <cell r="Z25" t="str">
            <v/>
          </cell>
          <cell r="AA25">
            <v>84</v>
          </cell>
          <cell r="AB25">
            <v>0</v>
          </cell>
          <cell r="AC25">
            <v>84</v>
          </cell>
          <cell r="AD25"/>
          <cell r="AE25">
            <v>0</v>
          </cell>
          <cell r="AF25">
            <v>64</v>
          </cell>
          <cell r="AG25">
            <v>0</v>
          </cell>
          <cell r="AH25">
            <v>64</v>
          </cell>
          <cell r="AI25">
            <v>0</v>
          </cell>
          <cell r="AJ25">
            <v>0</v>
          </cell>
          <cell r="AK25">
            <v>76.666666666666671</v>
          </cell>
        </row>
        <row r="26">
          <cell r="A26">
            <v>13125</v>
          </cell>
          <cell r="B26" t="str">
            <v>Sim</v>
          </cell>
          <cell r="C26" t="str">
            <v>Pino de Freio</v>
          </cell>
          <cell r="D26" t="str">
            <v>MultiKit</v>
          </cell>
          <cell r="E26">
            <v>4</v>
          </cell>
          <cell r="F26" t="str">
            <v>Kit Guia Pinça De Freio Sonic Lt Flex 1.6man 2013</v>
          </cell>
          <cell r="G26"/>
          <cell r="H26">
            <v>56</v>
          </cell>
          <cell r="I26">
            <v>57</v>
          </cell>
          <cell r="J26">
            <v>48</v>
          </cell>
          <cell r="K26">
            <v>9</v>
          </cell>
          <cell r="L26" t="str">
            <v/>
          </cell>
          <cell r="M26">
            <v>64</v>
          </cell>
          <cell r="N26">
            <v>14</v>
          </cell>
          <cell r="O26">
            <v>50</v>
          </cell>
          <cell r="P26" t="str">
            <v/>
          </cell>
          <cell r="Q26">
            <v>55</v>
          </cell>
          <cell r="R26">
            <v>15</v>
          </cell>
          <cell r="S26">
            <v>40</v>
          </cell>
          <cell r="T26">
            <v>0</v>
          </cell>
          <cell r="U26">
            <v>0</v>
          </cell>
          <cell r="V26">
            <v>78</v>
          </cell>
          <cell r="W26">
            <v>12</v>
          </cell>
          <cell r="X26">
            <v>62</v>
          </cell>
          <cell r="Y26" t="str">
            <v/>
          </cell>
          <cell r="Z26">
            <v>4</v>
          </cell>
          <cell r="AA26">
            <v>68</v>
          </cell>
          <cell r="AB26">
            <v>14</v>
          </cell>
          <cell r="AC26">
            <v>54</v>
          </cell>
          <cell r="AD26"/>
          <cell r="AE26">
            <v>0</v>
          </cell>
          <cell r="AF26">
            <v>68</v>
          </cell>
          <cell r="AG26">
            <v>32</v>
          </cell>
          <cell r="AH26">
            <v>36</v>
          </cell>
          <cell r="AI26">
            <v>0</v>
          </cell>
          <cell r="AJ26">
            <v>0</v>
          </cell>
          <cell r="AK26">
            <v>63</v>
          </cell>
        </row>
        <row r="27">
          <cell r="A27">
            <v>5607</v>
          </cell>
          <cell r="B27" t="str">
            <v>Sim</v>
          </cell>
          <cell r="C27" t="str">
            <v>Bieleta</v>
          </cell>
          <cell r="D27" t="str">
            <v>HOLYMAN</v>
          </cell>
          <cell r="E27">
            <v>5</v>
          </cell>
          <cell r="F27" t="str">
            <v>Bieleta Dianteira I30 Cerato</v>
          </cell>
          <cell r="G27"/>
          <cell r="H27">
            <v>60</v>
          </cell>
          <cell r="I27">
            <v>81</v>
          </cell>
          <cell r="J27">
            <v>80</v>
          </cell>
          <cell r="K27">
            <v>1</v>
          </cell>
          <cell r="L27" t="str">
            <v/>
          </cell>
          <cell r="M27">
            <v>78</v>
          </cell>
          <cell r="N27" t="str">
            <v/>
          </cell>
          <cell r="O27">
            <v>78</v>
          </cell>
          <cell r="P27" t="str">
            <v/>
          </cell>
          <cell r="Q27">
            <v>72</v>
          </cell>
          <cell r="R27" t="str">
            <v>0</v>
          </cell>
          <cell r="S27">
            <v>72</v>
          </cell>
          <cell r="T27">
            <v>0</v>
          </cell>
          <cell r="U27">
            <v>0</v>
          </cell>
          <cell r="V27">
            <v>45</v>
          </cell>
          <cell r="W27">
            <v>1</v>
          </cell>
          <cell r="X27">
            <v>44</v>
          </cell>
          <cell r="Y27" t="str">
            <v/>
          </cell>
          <cell r="Z27" t="str">
            <v/>
          </cell>
          <cell r="AA27">
            <v>20</v>
          </cell>
          <cell r="AB27">
            <v>0</v>
          </cell>
          <cell r="AC27">
            <v>20</v>
          </cell>
          <cell r="AD27"/>
          <cell r="AE27">
            <v>0</v>
          </cell>
          <cell r="AF27">
            <v>26</v>
          </cell>
          <cell r="AG27">
            <v>0</v>
          </cell>
          <cell r="AH27">
            <v>26</v>
          </cell>
          <cell r="AI27">
            <v>0</v>
          </cell>
          <cell r="AJ27">
            <v>0</v>
          </cell>
          <cell r="AK27">
            <v>60.333333333333336</v>
          </cell>
        </row>
        <row r="28">
          <cell r="A28">
            <v>12152</v>
          </cell>
          <cell r="B28" t="str">
            <v>Sim</v>
          </cell>
          <cell r="C28" t="str">
            <v>Pino de Porta</v>
          </cell>
          <cell r="D28" t="str">
            <v>MultiKit</v>
          </cell>
          <cell r="E28">
            <v>4</v>
          </cell>
          <cell r="F28" t="str">
            <v>Pino Buchas Da Dobradiça Porta Belina 1989</v>
          </cell>
          <cell r="G28"/>
          <cell r="H28">
            <v>60</v>
          </cell>
          <cell r="I28">
            <v>48</v>
          </cell>
          <cell r="J28">
            <v>44</v>
          </cell>
          <cell r="K28">
            <v>4</v>
          </cell>
          <cell r="L28" t="str">
            <v/>
          </cell>
          <cell r="M28">
            <v>90</v>
          </cell>
          <cell r="N28">
            <v>4</v>
          </cell>
          <cell r="O28">
            <v>86</v>
          </cell>
          <cell r="P28" t="str">
            <v/>
          </cell>
          <cell r="Q28">
            <v>56</v>
          </cell>
          <cell r="R28">
            <v>2</v>
          </cell>
          <cell r="S28">
            <v>54</v>
          </cell>
          <cell r="T28">
            <v>0</v>
          </cell>
          <cell r="U28">
            <v>0</v>
          </cell>
          <cell r="V28">
            <v>54</v>
          </cell>
          <cell r="W28">
            <v>0</v>
          </cell>
          <cell r="X28">
            <v>54</v>
          </cell>
          <cell r="Y28" t="str">
            <v/>
          </cell>
          <cell r="Z28" t="str">
            <v/>
          </cell>
          <cell r="AA28">
            <v>85</v>
          </cell>
          <cell r="AB28">
            <v>1</v>
          </cell>
          <cell r="AC28">
            <v>84</v>
          </cell>
          <cell r="AD28"/>
          <cell r="AE28">
            <v>0</v>
          </cell>
          <cell r="AF28">
            <v>42</v>
          </cell>
          <cell r="AG28">
            <v>0</v>
          </cell>
          <cell r="AH28">
            <v>42</v>
          </cell>
          <cell r="AI28">
            <v>0</v>
          </cell>
          <cell r="AJ28">
            <v>0</v>
          </cell>
          <cell r="AK28">
            <v>58.333333333333336</v>
          </cell>
        </row>
        <row r="29">
          <cell r="A29" t="str">
            <v>20w50-SB</v>
          </cell>
          <cell r="B29"/>
          <cell r="C29" t="str">
            <v>Óleo Motor</v>
          </cell>
          <cell r="D29" t="str">
            <v>SB LUBRIFICANTES</v>
          </cell>
          <cell r="E29"/>
          <cell r="F29" t="str">
            <v xml:space="preserve">20W50 OLEO MOTOR RB LUBRIFICANTES  </v>
          </cell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>
            <v>56</v>
          </cell>
          <cell r="AG29">
            <v>0</v>
          </cell>
          <cell r="AH29"/>
          <cell r="AI29">
            <v>0</v>
          </cell>
          <cell r="AJ29">
            <v>56</v>
          </cell>
          <cell r="AK29">
            <v>56</v>
          </cell>
        </row>
        <row r="30">
          <cell r="A30">
            <v>55142</v>
          </cell>
          <cell r="B30" t="str">
            <v>Sim</v>
          </cell>
          <cell r="C30" t="str">
            <v>Cabo de Freio</v>
          </cell>
          <cell r="D30" t="str">
            <v>MundiFlex</v>
          </cell>
          <cell r="E30">
            <v>6</v>
          </cell>
          <cell r="F30" t="str">
            <v>Cabo De Freio Gol G2 Todos Traseiro 1994 A 2002</v>
          </cell>
          <cell r="G30"/>
          <cell r="H30">
            <v>61</v>
          </cell>
          <cell r="I30">
            <v>62</v>
          </cell>
          <cell r="J30" t="str">
            <v/>
          </cell>
          <cell r="K30">
            <v>62</v>
          </cell>
          <cell r="L30" t="str">
            <v/>
          </cell>
          <cell r="M30">
            <v>69</v>
          </cell>
          <cell r="N30">
            <v>69</v>
          </cell>
          <cell r="O30" t="str">
            <v/>
          </cell>
          <cell r="P30" t="str">
            <v/>
          </cell>
          <cell r="Q30">
            <v>45</v>
          </cell>
          <cell r="R30">
            <v>45</v>
          </cell>
          <cell r="S30" t="str">
            <v>0</v>
          </cell>
          <cell r="T30">
            <v>0</v>
          </cell>
          <cell r="U30">
            <v>0</v>
          </cell>
          <cell r="V30">
            <v>43</v>
          </cell>
          <cell r="W30">
            <v>43</v>
          </cell>
          <cell r="X30" t="str">
            <v/>
          </cell>
          <cell r="Y30" t="str">
            <v/>
          </cell>
          <cell r="Z30" t="str">
            <v/>
          </cell>
          <cell r="AA30">
            <v>53</v>
          </cell>
          <cell r="AB30">
            <v>53</v>
          </cell>
          <cell r="AC30">
            <v>0</v>
          </cell>
          <cell r="AD30"/>
          <cell r="AE30">
            <v>0</v>
          </cell>
          <cell r="AF30">
            <v>53</v>
          </cell>
          <cell r="AG30">
            <v>53</v>
          </cell>
          <cell r="AH30">
            <v>0</v>
          </cell>
          <cell r="AI30">
            <v>0</v>
          </cell>
          <cell r="AJ30">
            <v>0</v>
          </cell>
          <cell r="AK30">
            <v>55.5</v>
          </cell>
        </row>
        <row r="31">
          <cell r="A31">
            <v>28006</v>
          </cell>
          <cell r="B31" t="str">
            <v>Sim</v>
          </cell>
          <cell r="C31" t="str">
            <v>Pino de Freio</v>
          </cell>
          <cell r="D31" t="str">
            <v>MultiKit</v>
          </cell>
          <cell r="E31">
            <v>4</v>
          </cell>
          <cell r="F31" t="str">
            <v>Reparo Pino Guia Pinça De Freio Dianteiro Nissan Versa</v>
          </cell>
          <cell r="G31"/>
          <cell r="H31">
            <v>16</v>
          </cell>
          <cell r="I31">
            <v>48</v>
          </cell>
          <cell r="J31">
            <v>44</v>
          </cell>
          <cell r="K31">
            <v>4</v>
          </cell>
          <cell r="L31" t="str">
            <v/>
          </cell>
          <cell r="M31">
            <v>73</v>
          </cell>
          <cell r="N31">
            <v>11</v>
          </cell>
          <cell r="O31">
            <v>62</v>
          </cell>
          <cell r="P31" t="str">
            <v/>
          </cell>
          <cell r="Q31">
            <v>64</v>
          </cell>
          <cell r="R31">
            <v>8</v>
          </cell>
          <cell r="S31">
            <v>56</v>
          </cell>
          <cell r="T31">
            <v>0</v>
          </cell>
          <cell r="U31">
            <v>0</v>
          </cell>
          <cell r="V31">
            <v>37</v>
          </cell>
          <cell r="W31">
            <v>8</v>
          </cell>
          <cell r="X31">
            <v>24</v>
          </cell>
          <cell r="Y31" t="str">
            <v/>
          </cell>
          <cell r="Z31">
            <v>5</v>
          </cell>
          <cell r="AA31">
            <v>57</v>
          </cell>
          <cell r="AB31">
            <v>9</v>
          </cell>
          <cell r="AC31">
            <v>48</v>
          </cell>
          <cell r="AD31"/>
          <cell r="AE31">
            <v>0</v>
          </cell>
          <cell r="AF31">
            <v>84</v>
          </cell>
          <cell r="AG31">
            <v>14</v>
          </cell>
          <cell r="AH31">
            <v>68</v>
          </cell>
          <cell r="AI31">
            <v>0</v>
          </cell>
          <cell r="AJ31">
            <v>2</v>
          </cell>
          <cell r="AK31">
            <v>53.666666666666664</v>
          </cell>
        </row>
        <row r="32">
          <cell r="A32">
            <v>5554</v>
          </cell>
          <cell r="B32" t="str">
            <v>Sim</v>
          </cell>
          <cell r="C32" t="str">
            <v>Terminal Cabo Câmbio</v>
          </cell>
          <cell r="D32" t="str">
            <v>LT CORREA</v>
          </cell>
          <cell r="E32">
            <v>3</v>
          </cell>
          <cell r="F32" t="str">
            <v>Terminal Cabo De Engate Audi A3 2003</v>
          </cell>
          <cell r="G32"/>
          <cell r="H32">
            <v>44</v>
          </cell>
          <cell r="I32">
            <v>59</v>
          </cell>
          <cell r="J32" t="str">
            <v/>
          </cell>
          <cell r="K32">
            <v>59</v>
          </cell>
          <cell r="L32" t="str">
            <v/>
          </cell>
          <cell r="M32">
            <v>60</v>
          </cell>
          <cell r="N32">
            <v>60</v>
          </cell>
          <cell r="O32" t="str">
            <v/>
          </cell>
          <cell r="P32" t="str">
            <v/>
          </cell>
          <cell r="Q32">
            <v>45</v>
          </cell>
          <cell r="R32">
            <v>45</v>
          </cell>
          <cell r="S32" t="str">
            <v>0</v>
          </cell>
          <cell r="T32">
            <v>0</v>
          </cell>
          <cell r="U32">
            <v>0</v>
          </cell>
          <cell r="V32">
            <v>47</v>
          </cell>
          <cell r="W32">
            <v>47</v>
          </cell>
          <cell r="X32" t="str">
            <v/>
          </cell>
          <cell r="Y32" t="str">
            <v/>
          </cell>
          <cell r="Z32" t="str">
            <v/>
          </cell>
          <cell r="AA32">
            <v>59</v>
          </cell>
          <cell r="AB32">
            <v>59</v>
          </cell>
          <cell r="AC32">
            <v>0</v>
          </cell>
          <cell r="AD32"/>
          <cell r="AE32">
            <v>0</v>
          </cell>
          <cell r="AF32">
            <v>53</v>
          </cell>
          <cell r="AG32">
            <v>53</v>
          </cell>
          <cell r="AH32">
            <v>0</v>
          </cell>
          <cell r="AI32">
            <v>0</v>
          </cell>
          <cell r="AJ32">
            <v>0</v>
          </cell>
          <cell r="AK32">
            <v>51.333333333333336</v>
          </cell>
        </row>
        <row r="33">
          <cell r="A33">
            <v>4063</v>
          </cell>
          <cell r="B33" t="str">
            <v>Sim</v>
          </cell>
          <cell r="C33" t="str">
            <v>Capa Pedal</v>
          </cell>
          <cell r="D33" t="str">
            <v>HOLYMAN</v>
          </cell>
          <cell r="E33">
            <v>5</v>
          </cell>
          <cell r="F33" t="str">
            <v>Capa Pedal Freio Embreagem Gm Spin 2012 Em Diante</v>
          </cell>
          <cell r="G33"/>
          <cell r="H33">
            <v>64</v>
          </cell>
          <cell r="I33">
            <v>41</v>
          </cell>
          <cell r="J33" t="str">
            <v/>
          </cell>
          <cell r="K33">
            <v>41</v>
          </cell>
          <cell r="L33" t="str">
            <v/>
          </cell>
          <cell r="M33">
            <v>72</v>
          </cell>
          <cell r="N33">
            <v>72</v>
          </cell>
          <cell r="O33" t="str">
            <v/>
          </cell>
          <cell r="P33" t="str">
            <v/>
          </cell>
          <cell r="Q33">
            <v>42</v>
          </cell>
          <cell r="R33">
            <v>42</v>
          </cell>
          <cell r="S33" t="str">
            <v>0</v>
          </cell>
          <cell r="T33">
            <v>0</v>
          </cell>
          <cell r="U33">
            <v>0</v>
          </cell>
          <cell r="V33">
            <v>41</v>
          </cell>
          <cell r="W33">
            <v>41</v>
          </cell>
          <cell r="X33" t="str">
            <v/>
          </cell>
          <cell r="Y33" t="str">
            <v/>
          </cell>
          <cell r="Z33" t="str">
            <v/>
          </cell>
          <cell r="AA33">
            <v>61</v>
          </cell>
          <cell r="AB33">
            <v>61</v>
          </cell>
          <cell r="AC33">
            <v>0</v>
          </cell>
          <cell r="AD33"/>
          <cell r="AE33">
            <v>0</v>
          </cell>
          <cell r="AF33">
            <v>17</v>
          </cell>
          <cell r="AG33">
            <v>17</v>
          </cell>
          <cell r="AH33">
            <v>0</v>
          </cell>
          <cell r="AI33">
            <v>0</v>
          </cell>
          <cell r="AJ33">
            <v>0</v>
          </cell>
          <cell r="AK33">
            <v>46.166666666666664</v>
          </cell>
        </row>
        <row r="34">
          <cell r="A34">
            <v>27020</v>
          </cell>
          <cell r="B34" t="str">
            <v>Sim</v>
          </cell>
          <cell r="C34" t="str">
            <v>Pino de Freio</v>
          </cell>
          <cell r="D34" t="str">
            <v>MultiKit</v>
          </cell>
          <cell r="E34">
            <v>4</v>
          </cell>
          <cell r="F34" t="str">
            <v>Reparo Pino Guia Pinça De Freio Dianteiro Corolla 2003a2008</v>
          </cell>
          <cell r="G34"/>
          <cell r="H34">
            <v>57</v>
          </cell>
          <cell r="I34">
            <v>53</v>
          </cell>
          <cell r="J34">
            <v>52</v>
          </cell>
          <cell r="K34">
            <v>1</v>
          </cell>
          <cell r="L34" t="str">
            <v/>
          </cell>
          <cell r="M34">
            <v>69</v>
          </cell>
          <cell r="N34">
            <v>1</v>
          </cell>
          <cell r="O34">
            <v>68</v>
          </cell>
          <cell r="P34" t="str">
            <v/>
          </cell>
          <cell r="Q34">
            <v>47</v>
          </cell>
          <cell r="R34">
            <v>1</v>
          </cell>
          <cell r="S34">
            <v>46</v>
          </cell>
          <cell r="T34">
            <v>0</v>
          </cell>
          <cell r="U34">
            <v>0</v>
          </cell>
          <cell r="V34">
            <v>37</v>
          </cell>
          <cell r="W34">
            <v>0</v>
          </cell>
          <cell r="X34">
            <v>36</v>
          </cell>
          <cell r="Y34" t="str">
            <v/>
          </cell>
          <cell r="Z34">
            <v>1</v>
          </cell>
          <cell r="AA34">
            <v>50</v>
          </cell>
          <cell r="AB34">
            <v>2</v>
          </cell>
          <cell r="AC34">
            <v>48</v>
          </cell>
          <cell r="AD34"/>
          <cell r="AE34">
            <v>0</v>
          </cell>
          <cell r="AF34">
            <v>6</v>
          </cell>
          <cell r="AG34">
            <v>0</v>
          </cell>
          <cell r="AH34">
            <v>6</v>
          </cell>
          <cell r="AI34">
            <v>0</v>
          </cell>
          <cell r="AJ34">
            <v>0</v>
          </cell>
          <cell r="AK34">
            <v>44.833333333333336</v>
          </cell>
        </row>
        <row r="35">
          <cell r="A35" t="str">
            <v>t1006</v>
          </cell>
          <cell r="B35" t="str">
            <v>Sim</v>
          </cell>
          <cell r="C35" t="str">
            <v>Terminal Cabo Câmbio</v>
          </cell>
          <cell r="D35" t="str">
            <v>Importação</v>
          </cell>
          <cell r="E35">
            <v>1</v>
          </cell>
          <cell r="F35" t="str">
            <v>Terminal Cabo Trambulador Seleção 10mm Grand Siena 2014 2015</v>
          </cell>
          <cell r="G35"/>
          <cell r="H35">
            <v>11</v>
          </cell>
          <cell r="I35">
            <v>5</v>
          </cell>
          <cell r="J35">
            <v>2</v>
          </cell>
          <cell r="K35">
            <v>3</v>
          </cell>
          <cell r="L35" t="str">
            <v/>
          </cell>
          <cell r="M35">
            <v>13</v>
          </cell>
          <cell r="N35">
            <v>4</v>
          </cell>
          <cell r="O35">
            <v>9</v>
          </cell>
          <cell r="P35" t="str">
            <v/>
          </cell>
          <cell r="Q35">
            <v>209</v>
          </cell>
          <cell r="R35">
            <v>3</v>
          </cell>
          <cell r="S35">
            <v>6</v>
          </cell>
          <cell r="T35">
            <v>200</v>
          </cell>
          <cell r="U35">
            <v>0</v>
          </cell>
          <cell r="V35">
            <v>3</v>
          </cell>
          <cell r="W35">
            <v>3</v>
          </cell>
          <cell r="X35" t="str">
            <v/>
          </cell>
          <cell r="Y35" t="str">
            <v/>
          </cell>
          <cell r="Z35" t="str">
            <v/>
          </cell>
          <cell r="AA35">
            <v>7</v>
          </cell>
          <cell r="AB35">
            <v>7</v>
          </cell>
          <cell r="AC35">
            <v>0</v>
          </cell>
          <cell r="AD35"/>
          <cell r="AE35">
            <v>0</v>
          </cell>
          <cell r="AF35">
            <v>4</v>
          </cell>
          <cell r="AG35">
            <v>4</v>
          </cell>
          <cell r="AH35">
            <v>0</v>
          </cell>
          <cell r="AI35">
            <v>0</v>
          </cell>
          <cell r="AJ35">
            <v>0</v>
          </cell>
          <cell r="AK35">
            <v>40.833333333333336</v>
          </cell>
        </row>
        <row r="36">
          <cell r="A36" t="str">
            <v>T1005</v>
          </cell>
          <cell r="B36" t="str">
            <v>Sim</v>
          </cell>
          <cell r="C36" t="str">
            <v>Terminal Cabo Câmbio</v>
          </cell>
          <cell r="D36" t="str">
            <v>Importação</v>
          </cell>
          <cell r="E36">
            <v>1</v>
          </cell>
          <cell r="F36" t="str">
            <v>Terminal Do Cabo De Marcha Engate 13mm Uno 2014 Em Diante</v>
          </cell>
          <cell r="G36"/>
          <cell r="H36">
            <v>5</v>
          </cell>
          <cell r="I36">
            <v>8</v>
          </cell>
          <cell r="J36">
            <v>2</v>
          </cell>
          <cell r="K36">
            <v>6</v>
          </cell>
          <cell r="L36" t="str">
            <v/>
          </cell>
          <cell r="M36">
            <v>11</v>
          </cell>
          <cell r="N36">
            <v>2</v>
          </cell>
          <cell r="O36">
            <v>9</v>
          </cell>
          <cell r="P36" t="str">
            <v/>
          </cell>
          <cell r="Q36">
            <v>210</v>
          </cell>
          <cell r="R36">
            <v>3</v>
          </cell>
          <cell r="S36">
            <v>6</v>
          </cell>
          <cell r="T36">
            <v>200</v>
          </cell>
          <cell r="U36">
            <v>1</v>
          </cell>
          <cell r="V36">
            <v>3</v>
          </cell>
          <cell r="W36">
            <v>3</v>
          </cell>
          <cell r="X36" t="str">
            <v/>
          </cell>
          <cell r="Y36" t="str">
            <v/>
          </cell>
          <cell r="Z36" t="str">
            <v/>
          </cell>
          <cell r="AA36">
            <v>2</v>
          </cell>
          <cell r="AB36">
            <v>2</v>
          </cell>
          <cell r="AC36">
            <v>0</v>
          </cell>
          <cell r="AD36"/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39.5</v>
          </cell>
        </row>
        <row r="37">
          <cell r="A37">
            <v>77352</v>
          </cell>
          <cell r="B37" t="str">
            <v>Sim</v>
          </cell>
          <cell r="C37" t="str">
            <v>Cabo Câmbio</v>
          </cell>
          <cell r="D37" t="str">
            <v>Importação</v>
          </cell>
          <cell r="E37">
            <v>1</v>
          </cell>
          <cell r="F37" t="str">
            <v>Cabo De Marcha Astra 2001/2005 Original 93306003</v>
          </cell>
          <cell r="G37"/>
          <cell r="H37">
            <v>39</v>
          </cell>
          <cell r="I37">
            <v>28</v>
          </cell>
          <cell r="J37" t="str">
            <v/>
          </cell>
          <cell r="K37">
            <v>28</v>
          </cell>
          <cell r="L37" t="str">
            <v/>
          </cell>
          <cell r="M37">
            <v>40</v>
          </cell>
          <cell r="N37">
            <v>40</v>
          </cell>
          <cell r="O37" t="str">
            <v/>
          </cell>
          <cell r="P37" t="str">
            <v/>
          </cell>
          <cell r="Q37">
            <v>33</v>
          </cell>
          <cell r="R37">
            <v>33</v>
          </cell>
          <cell r="S37" t="str">
            <v>0</v>
          </cell>
          <cell r="T37">
            <v>0</v>
          </cell>
          <cell r="U37">
            <v>0</v>
          </cell>
          <cell r="V37">
            <v>44</v>
          </cell>
          <cell r="W37">
            <v>44</v>
          </cell>
          <cell r="X37" t="str">
            <v/>
          </cell>
          <cell r="Y37" t="str">
            <v/>
          </cell>
          <cell r="Z37" t="str">
            <v/>
          </cell>
          <cell r="AA37">
            <v>55</v>
          </cell>
          <cell r="AB37">
            <v>55</v>
          </cell>
          <cell r="AC37">
            <v>0</v>
          </cell>
          <cell r="AD37"/>
          <cell r="AE37">
            <v>0</v>
          </cell>
          <cell r="AF37">
            <v>39</v>
          </cell>
          <cell r="AG37">
            <v>38</v>
          </cell>
          <cell r="AH37">
            <v>0</v>
          </cell>
          <cell r="AI37">
            <v>1</v>
          </cell>
          <cell r="AJ37">
            <v>0</v>
          </cell>
          <cell r="AK37">
            <v>37.166666666666664</v>
          </cell>
        </row>
        <row r="38">
          <cell r="A38">
            <v>5033</v>
          </cell>
          <cell r="B38" t="str">
            <v>Sim</v>
          </cell>
          <cell r="C38" t="str">
            <v>Bieleta</v>
          </cell>
          <cell r="D38" t="str">
            <v>HOLYMAN</v>
          </cell>
          <cell r="E38">
            <v>5</v>
          </cell>
          <cell r="F38" t="str">
            <v>Bieleta Dianteira New Fiesta 2010 Em Diante</v>
          </cell>
          <cell r="G38"/>
          <cell r="H38">
            <v>23</v>
          </cell>
          <cell r="I38">
            <v>28</v>
          </cell>
          <cell r="J38">
            <v>28</v>
          </cell>
          <cell r="K38" t="str">
            <v/>
          </cell>
          <cell r="L38" t="str">
            <v/>
          </cell>
          <cell r="M38">
            <v>55</v>
          </cell>
          <cell r="N38">
            <v>1</v>
          </cell>
          <cell r="O38">
            <v>54</v>
          </cell>
          <cell r="P38" t="str">
            <v/>
          </cell>
          <cell r="Q38">
            <v>44</v>
          </cell>
          <cell r="R38">
            <v>0</v>
          </cell>
          <cell r="S38">
            <v>44</v>
          </cell>
          <cell r="T38">
            <v>0</v>
          </cell>
          <cell r="U38">
            <v>0</v>
          </cell>
          <cell r="V38">
            <v>40</v>
          </cell>
          <cell r="W38">
            <v>0</v>
          </cell>
          <cell r="X38">
            <v>38</v>
          </cell>
          <cell r="Y38" t="str">
            <v/>
          </cell>
          <cell r="Z38">
            <v>2</v>
          </cell>
          <cell r="AA38">
            <v>43</v>
          </cell>
          <cell r="AB38">
            <v>5</v>
          </cell>
          <cell r="AC38">
            <v>38</v>
          </cell>
          <cell r="AD38"/>
          <cell r="AE38">
            <v>0</v>
          </cell>
          <cell r="AF38">
            <v>28</v>
          </cell>
          <cell r="AG38">
            <v>0</v>
          </cell>
          <cell r="AH38">
            <v>28</v>
          </cell>
          <cell r="AI38">
            <v>0</v>
          </cell>
          <cell r="AJ38">
            <v>0</v>
          </cell>
          <cell r="AK38">
            <v>36.333333333333336</v>
          </cell>
        </row>
        <row r="39">
          <cell r="A39">
            <v>2211</v>
          </cell>
          <cell r="B39" t="str">
            <v>Sim</v>
          </cell>
          <cell r="C39" t="str">
            <v>Reparo alavanta Câmbio</v>
          </cell>
          <cell r="D39" t="str">
            <v>LT CORREA</v>
          </cell>
          <cell r="E39">
            <v>3</v>
          </cell>
          <cell r="F39" t="str">
            <v>Haste  Bieleta Câmbio 206 207 1.4 / 1.6 Longo 34cm</v>
          </cell>
          <cell r="G39"/>
          <cell r="H39">
            <v>47</v>
          </cell>
          <cell r="I39">
            <v>31</v>
          </cell>
          <cell r="J39">
            <v>28</v>
          </cell>
          <cell r="K39">
            <v>3</v>
          </cell>
          <cell r="L39" t="str">
            <v/>
          </cell>
          <cell r="M39">
            <v>42</v>
          </cell>
          <cell r="N39" t="str">
            <v/>
          </cell>
          <cell r="O39">
            <v>42</v>
          </cell>
          <cell r="P39" t="str">
            <v/>
          </cell>
          <cell r="Q39">
            <v>39</v>
          </cell>
          <cell r="R39" t="str">
            <v>0</v>
          </cell>
          <cell r="S39">
            <v>39</v>
          </cell>
          <cell r="T39">
            <v>0</v>
          </cell>
          <cell r="U39">
            <v>0</v>
          </cell>
          <cell r="V39">
            <v>34</v>
          </cell>
          <cell r="W39">
            <v>2</v>
          </cell>
          <cell r="X39">
            <v>32</v>
          </cell>
          <cell r="Y39" t="str">
            <v/>
          </cell>
          <cell r="Z39" t="str">
            <v/>
          </cell>
          <cell r="AA39">
            <v>31</v>
          </cell>
          <cell r="AB39">
            <v>0</v>
          </cell>
          <cell r="AC39">
            <v>31</v>
          </cell>
          <cell r="AD39"/>
          <cell r="AE39">
            <v>0</v>
          </cell>
          <cell r="AF39">
            <v>21</v>
          </cell>
          <cell r="AG39">
            <v>0</v>
          </cell>
          <cell r="AH39">
            <v>21</v>
          </cell>
          <cell r="AI39">
            <v>0</v>
          </cell>
          <cell r="AJ39">
            <v>0</v>
          </cell>
          <cell r="AK39">
            <v>35.666666666666664</v>
          </cell>
        </row>
        <row r="40">
          <cell r="A40">
            <v>66418</v>
          </cell>
          <cell r="B40" t="str">
            <v>Sim</v>
          </cell>
          <cell r="C40" t="str">
            <v>Cabo Embreagem</v>
          </cell>
          <cell r="D40" t="str">
            <v>Importação / Mundiflex</v>
          </cell>
          <cell r="E40">
            <v>19</v>
          </cell>
          <cell r="F40" t="str">
            <v>Cabo De Embreagem Palio 1.0 (46522369) 1996 1997 98 99 2000</v>
          </cell>
          <cell r="G40"/>
          <cell r="H40">
            <v>55</v>
          </cell>
          <cell r="I40">
            <v>30</v>
          </cell>
          <cell r="J40" t="str">
            <v/>
          </cell>
          <cell r="K40">
            <v>30</v>
          </cell>
          <cell r="L40" t="str">
            <v/>
          </cell>
          <cell r="M40">
            <v>43</v>
          </cell>
          <cell r="N40">
            <v>43</v>
          </cell>
          <cell r="O40" t="str">
            <v/>
          </cell>
          <cell r="P40" t="str">
            <v/>
          </cell>
          <cell r="Q40">
            <v>30</v>
          </cell>
          <cell r="R40">
            <v>30</v>
          </cell>
          <cell r="S40" t="str">
            <v>0</v>
          </cell>
          <cell r="T40">
            <v>0</v>
          </cell>
          <cell r="U40">
            <v>0</v>
          </cell>
          <cell r="V40">
            <v>24</v>
          </cell>
          <cell r="W40">
            <v>24</v>
          </cell>
          <cell r="X40" t="str">
            <v/>
          </cell>
          <cell r="Y40" t="str">
            <v/>
          </cell>
          <cell r="Z40" t="str">
            <v/>
          </cell>
          <cell r="AA40">
            <v>37</v>
          </cell>
          <cell r="AB40">
            <v>37</v>
          </cell>
          <cell r="AC40">
            <v>0</v>
          </cell>
          <cell r="AD40"/>
          <cell r="AE40">
            <v>0</v>
          </cell>
          <cell r="AF40">
            <v>29</v>
          </cell>
          <cell r="AG40">
            <v>19</v>
          </cell>
          <cell r="AH40">
            <v>0</v>
          </cell>
          <cell r="AI40">
            <v>10</v>
          </cell>
          <cell r="AJ40">
            <v>0</v>
          </cell>
          <cell r="AK40">
            <v>35.166666666666664</v>
          </cell>
        </row>
        <row r="41">
          <cell r="A41" t="str">
            <v>10w40-SB</v>
          </cell>
          <cell r="B41"/>
          <cell r="C41" t="str">
            <v>Óleo Motor</v>
          </cell>
          <cell r="D41" t="str">
            <v>SB LUBRIFICANTES</v>
          </cell>
          <cell r="E41"/>
          <cell r="F41" t="str">
            <v xml:space="preserve">OLEO DE MOTOR 15W40 SB LUBRIFICANTES  </v>
          </cell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>
            <v>35</v>
          </cell>
          <cell r="AG41">
            <v>0</v>
          </cell>
          <cell r="AH41"/>
          <cell r="AI41">
            <v>0</v>
          </cell>
          <cell r="AJ41">
            <v>35</v>
          </cell>
          <cell r="AK41">
            <v>35</v>
          </cell>
        </row>
        <row r="42">
          <cell r="A42">
            <v>662053</v>
          </cell>
          <cell r="B42" t="str">
            <v>Sim</v>
          </cell>
          <cell r="C42" t="str">
            <v>Bandeja</v>
          </cell>
          <cell r="D42" t="str">
            <v>SPARE</v>
          </cell>
          <cell r="E42">
            <v>2</v>
          </cell>
          <cell r="F42" t="str">
            <v>Bandeja Com Pivô Esquerda Logan 2004 Em Diante</v>
          </cell>
          <cell r="G42"/>
          <cell r="H42">
            <v>13</v>
          </cell>
          <cell r="I42">
            <v>26</v>
          </cell>
          <cell r="J42">
            <v>0</v>
          </cell>
          <cell r="K42">
            <v>26</v>
          </cell>
          <cell r="L42" t="str">
            <v/>
          </cell>
          <cell r="M42">
            <v>38</v>
          </cell>
          <cell r="N42">
            <v>35</v>
          </cell>
          <cell r="O42">
            <v>3</v>
          </cell>
          <cell r="P42" t="str">
            <v/>
          </cell>
          <cell r="Q42">
            <v>30</v>
          </cell>
          <cell r="R42">
            <v>28</v>
          </cell>
          <cell r="S42">
            <v>2</v>
          </cell>
          <cell r="T42">
            <v>0</v>
          </cell>
          <cell r="U42">
            <v>0</v>
          </cell>
          <cell r="V42">
            <v>38</v>
          </cell>
          <cell r="W42">
            <v>35</v>
          </cell>
          <cell r="X42">
            <v>1</v>
          </cell>
          <cell r="Y42" t="str">
            <v/>
          </cell>
          <cell r="Z42">
            <v>2</v>
          </cell>
          <cell r="AA42">
            <v>75</v>
          </cell>
          <cell r="AB42">
            <v>30</v>
          </cell>
          <cell r="AC42">
            <v>43</v>
          </cell>
          <cell r="AD42"/>
          <cell r="AE42">
            <v>2</v>
          </cell>
          <cell r="AF42">
            <v>58</v>
          </cell>
          <cell r="AG42">
            <v>26</v>
          </cell>
          <cell r="AH42">
            <v>32</v>
          </cell>
          <cell r="AI42">
            <v>0</v>
          </cell>
          <cell r="AJ42">
            <v>0</v>
          </cell>
          <cell r="AK42">
            <v>33.833333333333336</v>
          </cell>
        </row>
        <row r="43">
          <cell r="A43">
            <v>442055</v>
          </cell>
          <cell r="B43" t="str">
            <v>Sim</v>
          </cell>
          <cell r="C43" t="str">
            <v>Bandeja</v>
          </cell>
          <cell r="D43" t="str">
            <v>SPARE</v>
          </cell>
          <cell r="E43">
            <v>2</v>
          </cell>
          <cell r="F43" t="str">
            <v>Bandeja Dianteira Ambos Lados Parati 1993 A 2008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>
            <v>41</v>
          </cell>
          <cell r="R43">
            <v>1</v>
          </cell>
          <cell r="S43">
            <v>40</v>
          </cell>
          <cell r="T43">
            <v>0</v>
          </cell>
          <cell r="U43">
            <v>0</v>
          </cell>
          <cell r="V43">
            <v>27</v>
          </cell>
          <cell r="W43">
            <v>7</v>
          </cell>
          <cell r="X43">
            <v>20</v>
          </cell>
          <cell r="Y43" t="str">
            <v/>
          </cell>
          <cell r="Z43" t="str">
            <v/>
          </cell>
          <cell r="AA43">
            <v>41</v>
          </cell>
          <cell r="AB43">
            <v>3</v>
          </cell>
          <cell r="AC43">
            <v>38</v>
          </cell>
          <cell r="AD43"/>
          <cell r="AE43">
            <v>0</v>
          </cell>
          <cell r="AF43">
            <v>31</v>
          </cell>
          <cell r="AG43">
            <v>9</v>
          </cell>
          <cell r="AH43">
            <v>20</v>
          </cell>
          <cell r="AI43">
            <v>0</v>
          </cell>
          <cell r="AJ43">
            <v>2</v>
          </cell>
          <cell r="AK43">
            <v>33</v>
          </cell>
        </row>
        <row r="44">
          <cell r="A44" t="str">
            <v>5W30-SB</v>
          </cell>
          <cell r="B44"/>
          <cell r="C44" t="str">
            <v>Óleo Motor</v>
          </cell>
          <cell r="D44"/>
          <cell r="E44"/>
          <cell r="F44" t="str">
            <v xml:space="preserve">OLEO 5W30 SB LUBRIFICANTES  </v>
          </cell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>
            <v>32</v>
          </cell>
          <cell r="AG44">
            <v>0</v>
          </cell>
          <cell r="AH44"/>
          <cell r="AI44">
            <v>0</v>
          </cell>
          <cell r="AJ44">
            <v>32</v>
          </cell>
          <cell r="AK44">
            <v>32</v>
          </cell>
        </row>
        <row r="45">
          <cell r="A45">
            <v>24579046</v>
          </cell>
          <cell r="B45" t="str">
            <v>Sim</v>
          </cell>
          <cell r="C45" t="str">
            <v>Terminal Cabo Câmbio</v>
          </cell>
          <cell r="D45" t="str">
            <v>Importação / LT CORREA</v>
          </cell>
          <cell r="E45">
            <v>18</v>
          </cell>
          <cell r="F45" t="str">
            <v>Terminal Conector Cabo Trambulador Vectra 2006 Em Diante</v>
          </cell>
          <cell r="G45"/>
          <cell r="H45">
            <v>42</v>
          </cell>
          <cell r="I45">
            <v>39</v>
          </cell>
          <cell r="J45">
            <v>0</v>
          </cell>
          <cell r="K45">
            <v>39</v>
          </cell>
          <cell r="L45" t="str">
            <v/>
          </cell>
          <cell r="M45">
            <v>33</v>
          </cell>
          <cell r="N45">
            <v>33</v>
          </cell>
          <cell r="O45">
            <v>0</v>
          </cell>
          <cell r="P45" t="str">
            <v/>
          </cell>
          <cell r="Q45">
            <v>32</v>
          </cell>
          <cell r="R45">
            <v>32</v>
          </cell>
          <cell r="S45">
            <v>0</v>
          </cell>
          <cell r="T45">
            <v>0</v>
          </cell>
          <cell r="U45">
            <v>0</v>
          </cell>
          <cell r="V45">
            <v>36</v>
          </cell>
          <cell r="W45">
            <v>35</v>
          </cell>
          <cell r="X45">
            <v>1</v>
          </cell>
          <cell r="Y45" t="str">
            <v/>
          </cell>
          <cell r="Z45" t="str">
            <v/>
          </cell>
          <cell r="AA45">
            <v>12</v>
          </cell>
          <cell r="AB45">
            <v>12</v>
          </cell>
          <cell r="AC45">
            <v>0</v>
          </cell>
          <cell r="AD45"/>
          <cell r="AE45">
            <v>0</v>
          </cell>
          <cell r="AF45">
            <v>10</v>
          </cell>
          <cell r="AG45">
            <v>10</v>
          </cell>
          <cell r="AH45">
            <v>0</v>
          </cell>
          <cell r="AI45">
            <v>0</v>
          </cell>
          <cell r="AJ45">
            <v>0</v>
          </cell>
          <cell r="AK45">
            <v>32</v>
          </cell>
        </row>
        <row r="46">
          <cell r="A46" t="str">
            <v>FTK33005-AMW</v>
          </cell>
          <cell r="B46"/>
          <cell r="C46" t="str">
            <v>Bucha Bandeja</v>
          </cell>
          <cell r="D46" t="str">
            <v>AMW</v>
          </cell>
          <cell r="E46">
            <v>9</v>
          </cell>
          <cell r="F46" t="str">
            <v>BUCHA BRAÇO TENSOR ESCORT NÃO EXPORTAR</v>
          </cell>
          <cell r="G46"/>
          <cell r="H46" t="str">
            <v>-</v>
          </cell>
          <cell r="I46">
            <v>32</v>
          </cell>
          <cell r="J46">
            <v>32</v>
          </cell>
          <cell r="K46" t="str">
            <v/>
          </cell>
          <cell r="L46" t="str">
            <v/>
          </cell>
          <cell r="M46">
            <v>24</v>
          </cell>
          <cell r="N46" t="str">
            <v/>
          </cell>
          <cell r="O46">
            <v>24</v>
          </cell>
          <cell r="P46" t="str">
            <v/>
          </cell>
          <cell r="Q46">
            <v>32</v>
          </cell>
          <cell r="R46" t="str">
            <v>0</v>
          </cell>
          <cell r="S46">
            <v>32</v>
          </cell>
          <cell r="T46">
            <v>0</v>
          </cell>
          <cell r="U46">
            <v>0</v>
          </cell>
          <cell r="V46">
            <v>40</v>
          </cell>
          <cell r="W46">
            <v>0</v>
          </cell>
          <cell r="X46">
            <v>40</v>
          </cell>
          <cell r="Y46" t="str">
            <v/>
          </cell>
          <cell r="Z46" t="str">
            <v/>
          </cell>
          <cell r="AA46">
            <v>36</v>
          </cell>
          <cell r="AB46">
            <v>0</v>
          </cell>
          <cell r="AC46">
            <v>36</v>
          </cell>
          <cell r="AD46"/>
          <cell r="AE46">
            <v>0</v>
          </cell>
          <cell r="AF46">
            <v>28</v>
          </cell>
          <cell r="AG46">
            <v>0</v>
          </cell>
          <cell r="AH46">
            <v>28</v>
          </cell>
          <cell r="AI46">
            <v>0</v>
          </cell>
          <cell r="AJ46">
            <v>0</v>
          </cell>
          <cell r="AK46">
            <v>31.2</v>
          </cell>
        </row>
        <row r="47">
          <cell r="A47">
            <v>4041</v>
          </cell>
          <cell r="B47" t="str">
            <v>Sim</v>
          </cell>
          <cell r="C47" t="str">
            <v>Capa Pedal</v>
          </cell>
          <cell r="D47" t="str">
            <v>HOLYMAN</v>
          </cell>
          <cell r="E47">
            <v>5</v>
          </cell>
          <cell r="F47" t="str">
            <v xml:space="preserve">Capa Pedal Hyundai Hr E H100 Kia Bongo K2500 K2700 K2799 </v>
          </cell>
          <cell r="G47"/>
          <cell r="H47">
            <v>34</v>
          </cell>
          <cell r="I47">
            <v>27</v>
          </cell>
          <cell r="J47" t="str">
            <v/>
          </cell>
          <cell r="K47">
            <v>27</v>
          </cell>
          <cell r="L47" t="str">
            <v/>
          </cell>
          <cell r="M47">
            <v>40</v>
          </cell>
          <cell r="N47">
            <v>40</v>
          </cell>
          <cell r="O47" t="str">
            <v/>
          </cell>
          <cell r="P47" t="str">
            <v/>
          </cell>
          <cell r="Q47">
            <v>32</v>
          </cell>
          <cell r="R47">
            <v>32</v>
          </cell>
          <cell r="S47" t="str">
            <v>0</v>
          </cell>
          <cell r="T47">
            <v>0</v>
          </cell>
          <cell r="U47">
            <v>0</v>
          </cell>
          <cell r="V47">
            <v>34</v>
          </cell>
          <cell r="W47">
            <v>34</v>
          </cell>
          <cell r="X47" t="str">
            <v/>
          </cell>
          <cell r="Y47" t="str">
            <v/>
          </cell>
          <cell r="Z47" t="str">
            <v/>
          </cell>
          <cell r="AA47">
            <v>19</v>
          </cell>
          <cell r="AB47">
            <v>19</v>
          </cell>
          <cell r="AC47">
            <v>0</v>
          </cell>
          <cell r="AD47"/>
          <cell r="AE47">
            <v>0</v>
          </cell>
          <cell r="AF47">
            <v>14</v>
          </cell>
          <cell r="AG47">
            <v>14</v>
          </cell>
          <cell r="AH47">
            <v>0</v>
          </cell>
          <cell r="AI47">
            <v>0</v>
          </cell>
          <cell r="AJ47">
            <v>0</v>
          </cell>
          <cell r="AK47">
            <v>30.166666666666668</v>
          </cell>
        </row>
        <row r="48">
          <cell r="A48">
            <v>4058</v>
          </cell>
          <cell r="B48" t="str">
            <v>Sim</v>
          </cell>
          <cell r="C48" t="str">
            <v>Capa Pedal</v>
          </cell>
          <cell r="D48" t="str">
            <v>HOLYMAN</v>
          </cell>
          <cell r="E48">
            <v>5</v>
          </cell>
          <cell r="F48" t="str">
            <v>Capa De Pedal Freio E Embreagem Citroen C3</v>
          </cell>
          <cell r="G48"/>
          <cell r="H48">
            <v>24</v>
          </cell>
          <cell r="I48">
            <v>34</v>
          </cell>
          <cell r="J48" t="str">
            <v/>
          </cell>
          <cell r="K48">
            <v>34</v>
          </cell>
          <cell r="L48" t="str">
            <v/>
          </cell>
          <cell r="M48">
            <v>35</v>
          </cell>
          <cell r="N48">
            <v>35</v>
          </cell>
          <cell r="O48" t="str">
            <v/>
          </cell>
          <cell r="P48" t="str">
            <v/>
          </cell>
          <cell r="Q48">
            <v>25</v>
          </cell>
          <cell r="R48">
            <v>25</v>
          </cell>
          <cell r="S48" t="str">
            <v>0</v>
          </cell>
          <cell r="T48">
            <v>0</v>
          </cell>
          <cell r="U48">
            <v>0</v>
          </cell>
          <cell r="V48">
            <v>32</v>
          </cell>
          <cell r="W48">
            <v>32</v>
          </cell>
          <cell r="X48" t="str">
            <v/>
          </cell>
          <cell r="Y48" t="str">
            <v/>
          </cell>
          <cell r="Z48" t="str">
            <v/>
          </cell>
          <cell r="AA48">
            <v>26</v>
          </cell>
          <cell r="AB48">
            <v>26</v>
          </cell>
          <cell r="AC48">
            <v>0</v>
          </cell>
          <cell r="AD48"/>
          <cell r="AE48">
            <v>0</v>
          </cell>
          <cell r="AF48">
            <v>23</v>
          </cell>
          <cell r="AG48">
            <v>23</v>
          </cell>
          <cell r="AH48">
            <v>0</v>
          </cell>
          <cell r="AI48">
            <v>0</v>
          </cell>
          <cell r="AJ48">
            <v>0</v>
          </cell>
          <cell r="AK48">
            <v>28.833333333333332</v>
          </cell>
        </row>
        <row r="49">
          <cell r="A49">
            <v>442050</v>
          </cell>
          <cell r="B49" t="str">
            <v>Sim</v>
          </cell>
          <cell r="C49" t="str">
            <v>Bandeja</v>
          </cell>
          <cell r="D49" t="str">
            <v>SPARE</v>
          </cell>
          <cell r="E49">
            <v>2</v>
          </cell>
          <cell r="F49" t="str">
            <v>Bandeja Dianteira Ambos Lados Parati 1993 A 2008</v>
          </cell>
          <cell r="G49"/>
          <cell r="H49">
            <v>18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>
            <v>32</v>
          </cell>
          <cell r="N49">
            <v>14</v>
          </cell>
          <cell r="O49">
            <v>18</v>
          </cell>
          <cell r="P49" t="str">
            <v/>
          </cell>
          <cell r="Q49">
            <v>28</v>
          </cell>
          <cell r="R49">
            <v>12</v>
          </cell>
          <cell r="S49">
            <v>14</v>
          </cell>
          <cell r="T49">
            <v>0</v>
          </cell>
          <cell r="U49">
            <v>2</v>
          </cell>
          <cell r="V49">
            <v>26</v>
          </cell>
          <cell r="W49">
            <v>10</v>
          </cell>
          <cell r="X49">
            <v>16</v>
          </cell>
          <cell r="Y49" t="str">
            <v/>
          </cell>
          <cell r="Z49" t="str">
            <v/>
          </cell>
          <cell r="AA49">
            <v>26</v>
          </cell>
          <cell r="AB49">
            <v>8</v>
          </cell>
          <cell r="AC49">
            <v>16</v>
          </cell>
          <cell r="AD49"/>
          <cell r="AE49">
            <v>2</v>
          </cell>
          <cell r="AF49">
            <v>56</v>
          </cell>
          <cell r="AG49">
            <v>0</v>
          </cell>
          <cell r="AH49">
            <v>4</v>
          </cell>
          <cell r="AI49">
            <v>52</v>
          </cell>
          <cell r="AJ49">
            <v>0</v>
          </cell>
          <cell r="AK49">
            <v>26.666666666666668</v>
          </cell>
        </row>
        <row r="50">
          <cell r="A50">
            <v>2280</v>
          </cell>
          <cell r="B50" t="str">
            <v>Sim</v>
          </cell>
          <cell r="C50" t="str">
            <v>Bucha Eixo Suspensão</v>
          </cell>
          <cell r="D50" t="str">
            <v>LT CORREA</v>
          </cell>
          <cell r="E50">
            <v>3</v>
          </cell>
          <cell r="F50" t="str">
            <v>Bucha Eixo Traseiro Elimina Folga Pegeout 206 207 50mm</v>
          </cell>
          <cell r="G50"/>
          <cell r="H50">
            <v>26</v>
          </cell>
          <cell r="I50">
            <v>36</v>
          </cell>
          <cell r="J50">
            <v>36</v>
          </cell>
          <cell r="K50" t="str">
            <v/>
          </cell>
          <cell r="L50" t="str">
            <v/>
          </cell>
          <cell r="M50">
            <v>26</v>
          </cell>
          <cell r="N50" t="str">
            <v/>
          </cell>
          <cell r="O50">
            <v>26</v>
          </cell>
          <cell r="P50" t="str">
            <v/>
          </cell>
          <cell r="Q50">
            <v>24</v>
          </cell>
          <cell r="R50" t="str">
            <v>0</v>
          </cell>
          <cell r="S50">
            <v>24</v>
          </cell>
          <cell r="T50">
            <v>0</v>
          </cell>
          <cell r="U50">
            <v>0</v>
          </cell>
          <cell r="V50">
            <v>30</v>
          </cell>
          <cell r="W50">
            <v>0</v>
          </cell>
          <cell r="X50">
            <v>30</v>
          </cell>
          <cell r="Y50" t="str">
            <v/>
          </cell>
          <cell r="Z50" t="str">
            <v/>
          </cell>
          <cell r="AA50">
            <v>4</v>
          </cell>
          <cell r="AB50">
            <v>0</v>
          </cell>
          <cell r="AC50">
            <v>4</v>
          </cell>
          <cell r="AD50"/>
          <cell r="AE50">
            <v>0</v>
          </cell>
          <cell r="AF50">
            <v>16</v>
          </cell>
          <cell r="AG50">
            <v>0</v>
          </cell>
          <cell r="AH50">
            <v>16</v>
          </cell>
          <cell r="AI50">
            <v>0</v>
          </cell>
          <cell r="AJ50">
            <v>0</v>
          </cell>
          <cell r="AK50">
            <v>26.333333333333332</v>
          </cell>
        </row>
        <row r="51">
          <cell r="A51">
            <v>29014</v>
          </cell>
          <cell r="B51" t="str">
            <v>Sim</v>
          </cell>
          <cell r="C51" t="str">
            <v>Pino de Freio</v>
          </cell>
          <cell r="D51" t="str">
            <v>MultiKit</v>
          </cell>
          <cell r="E51">
            <v>4</v>
          </cell>
          <cell r="F51" t="str">
            <v>Kit Pino Guia Pinça Freio Logan 2008 A 2013</v>
          </cell>
          <cell r="G51"/>
          <cell r="H51">
            <v>26</v>
          </cell>
          <cell r="I51">
            <v>22</v>
          </cell>
          <cell r="J51">
            <v>10</v>
          </cell>
          <cell r="K51">
            <v>12</v>
          </cell>
          <cell r="L51" t="str">
            <v/>
          </cell>
          <cell r="M51">
            <v>35</v>
          </cell>
          <cell r="N51">
            <v>17</v>
          </cell>
          <cell r="O51">
            <v>18</v>
          </cell>
          <cell r="P51" t="str">
            <v/>
          </cell>
          <cell r="Q51">
            <v>30</v>
          </cell>
          <cell r="R51">
            <v>8</v>
          </cell>
          <cell r="S51">
            <v>22</v>
          </cell>
          <cell r="T51">
            <v>0</v>
          </cell>
          <cell r="U51">
            <v>0</v>
          </cell>
          <cell r="V51">
            <v>28</v>
          </cell>
          <cell r="W51">
            <v>7</v>
          </cell>
          <cell r="X51">
            <v>20</v>
          </cell>
          <cell r="Y51" t="str">
            <v/>
          </cell>
          <cell r="Z51">
            <v>1</v>
          </cell>
          <cell r="AA51">
            <v>33</v>
          </cell>
          <cell r="AB51">
            <v>7</v>
          </cell>
          <cell r="AC51">
            <v>26</v>
          </cell>
          <cell r="AD51"/>
          <cell r="AE51">
            <v>0</v>
          </cell>
          <cell r="AF51">
            <v>14</v>
          </cell>
          <cell r="AG51">
            <v>4</v>
          </cell>
          <cell r="AH51">
            <v>10</v>
          </cell>
          <cell r="AI51">
            <v>0</v>
          </cell>
          <cell r="AJ51">
            <v>0</v>
          </cell>
          <cell r="AK51">
            <v>25.833333333333332</v>
          </cell>
        </row>
        <row r="52">
          <cell r="A52">
            <v>5000</v>
          </cell>
          <cell r="B52" t="str">
            <v>Sim</v>
          </cell>
          <cell r="C52" t="str">
            <v>Bieleta</v>
          </cell>
          <cell r="D52" t="str">
            <v>HOLYMAN</v>
          </cell>
          <cell r="E52">
            <v>5</v>
          </cell>
          <cell r="F52" t="str">
            <v>Bieleta Dianteira Logus Verona Escort Pointer 93 96</v>
          </cell>
          <cell r="G52"/>
          <cell r="H52">
            <v>10</v>
          </cell>
          <cell r="I52">
            <v>16</v>
          </cell>
          <cell r="J52">
            <v>16</v>
          </cell>
          <cell r="K52" t="str">
            <v/>
          </cell>
          <cell r="L52" t="str">
            <v/>
          </cell>
          <cell r="M52">
            <v>36</v>
          </cell>
          <cell r="N52" t="str">
            <v/>
          </cell>
          <cell r="O52">
            <v>36</v>
          </cell>
          <cell r="P52" t="str">
            <v/>
          </cell>
          <cell r="Q52">
            <v>44</v>
          </cell>
          <cell r="R52">
            <v>2</v>
          </cell>
          <cell r="S52">
            <v>42</v>
          </cell>
          <cell r="T52">
            <v>0</v>
          </cell>
          <cell r="U52">
            <v>0</v>
          </cell>
          <cell r="V52">
            <v>29</v>
          </cell>
          <cell r="W52">
            <v>1</v>
          </cell>
          <cell r="X52">
            <v>28</v>
          </cell>
          <cell r="Y52" t="str">
            <v/>
          </cell>
          <cell r="Z52" t="str">
            <v/>
          </cell>
          <cell r="AA52">
            <v>18</v>
          </cell>
          <cell r="AB52">
            <v>0</v>
          </cell>
          <cell r="AC52">
            <v>18</v>
          </cell>
          <cell r="AD52"/>
          <cell r="AE52">
            <v>0</v>
          </cell>
          <cell r="AF52">
            <v>18</v>
          </cell>
          <cell r="AG52">
            <v>0</v>
          </cell>
          <cell r="AH52">
            <v>18</v>
          </cell>
          <cell r="AI52">
            <v>0</v>
          </cell>
          <cell r="AJ52">
            <v>0</v>
          </cell>
          <cell r="AK52">
            <v>25.5</v>
          </cell>
        </row>
        <row r="53">
          <cell r="A53">
            <v>225051</v>
          </cell>
          <cell r="B53" t="str">
            <v>Sim</v>
          </cell>
          <cell r="C53" t="str">
            <v>Cabo Câmbio</v>
          </cell>
          <cell r="D53" t="str">
            <v>Importação</v>
          </cell>
          <cell r="E53">
            <v>1</v>
          </cell>
          <cell r="F53" t="str">
            <v>Cabo De Marcha Hyundai Hr 2005 A 2012</v>
          </cell>
          <cell r="G53"/>
          <cell r="H53">
            <v>30</v>
          </cell>
          <cell r="I53">
            <v>30</v>
          </cell>
          <cell r="J53" t="str">
            <v/>
          </cell>
          <cell r="K53">
            <v>30</v>
          </cell>
          <cell r="L53" t="str">
            <v/>
          </cell>
          <cell r="M53">
            <v>22</v>
          </cell>
          <cell r="N53">
            <v>22</v>
          </cell>
          <cell r="O53" t="str">
            <v/>
          </cell>
          <cell r="P53" t="str">
            <v/>
          </cell>
          <cell r="Q53">
            <v>24</v>
          </cell>
          <cell r="R53">
            <v>24</v>
          </cell>
          <cell r="S53" t="str">
            <v>0</v>
          </cell>
          <cell r="T53">
            <v>0</v>
          </cell>
          <cell r="U53">
            <v>0</v>
          </cell>
          <cell r="V53">
            <v>28</v>
          </cell>
          <cell r="W53">
            <v>27</v>
          </cell>
          <cell r="X53" t="str">
            <v/>
          </cell>
          <cell r="Y53" t="str">
            <v/>
          </cell>
          <cell r="Z53">
            <v>1</v>
          </cell>
          <cell r="AA53">
            <v>24</v>
          </cell>
          <cell r="AB53">
            <v>24</v>
          </cell>
          <cell r="AC53">
            <v>0</v>
          </cell>
          <cell r="AD53"/>
          <cell r="AE53">
            <v>0</v>
          </cell>
          <cell r="AF53">
            <v>18</v>
          </cell>
          <cell r="AG53">
            <v>17</v>
          </cell>
          <cell r="AH53">
            <v>0</v>
          </cell>
          <cell r="AI53">
            <v>0</v>
          </cell>
          <cell r="AJ53">
            <v>1</v>
          </cell>
          <cell r="AK53">
            <v>25.333333333333332</v>
          </cell>
        </row>
        <row r="54">
          <cell r="A54">
            <v>662052</v>
          </cell>
          <cell r="B54" t="str">
            <v>Sim</v>
          </cell>
          <cell r="C54" t="str">
            <v>Bandeja</v>
          </cell>
          <cell r="D54" t="str">
            <v>SPARE</v>
          </cell>
          <cell r="E54">
            <v>2</v>
          </cell>
          <cell r="F54" t="str">
            <v>Bandeja Com Pivô Direita Sandero 2006 Em Diante</v>
          </cell>
          <cell r="G54"/>
          <cell r="H54">
            <v>4</v>
          </cell>
          <cell r="I54">
            <v>4</v>
          </cell>
          <cell r="J54">
            <v>0</v>
          </cell>
          <cell r="K54">
            <v>4</v>
          </cell>
          <cell r="L54" t="str">
            <v/>
          </cell>
          <cell r="M54">
            <v>22</v>
          </cell>
          <cell r="N54">
            <v>19</v>
          </cell>
          <cell r="O54">
            <v>3</v>
          </cell>
          <cell r="P54" t="str">
            <v/>
          </cell>
          <cell r="Q54">
            <v>15</v>
          </cell>
          <cell r="R54">
            <v>13</v>
          </cell>
          <cell r="S54">
            <v>2</v>
          </cell>
          <cell r="T54">
            <v>0</v>
          </cell>
          <cell r="U54">
            <v>0</v>
          </cell>
          <cell r="V54">
            <v>31</v>
          </cell>
          <cell r="W54">
            <v>27</v>
          </cell>
          <cell r="X54">
            <v>1</v>
          </cell>
          <cell r="Y54" t="str">
            <v/>
          </cell>
          <cell r="Z54">
            <v>3</v>
          </cell>
          <cell r="AA54">
            <v>69</v>
          </cell>
          <cell r="AB54">
            <v>24</v>
          </cell>
          <cell r="AC54">
            <v>43</v>
          </cell>
          <cell r="AD54"/>
          <cell r="AE54">
            <v>2</v>
          </cell>
          <cell r="AF54">
            <v>73</v>
          </cell>
          <cell r="AG54">
            <v>41</v>
          </cell>
          <cell r="AH54">
            <v>32</v>
          </cell>
          <cell r="AI54">
            <v>0</v>
          </cell>
          <cell r="AJ54">
            <v>0</v>
          </cell>
          <cell r="AK54">
            <v>24.833333333333332</v>
          </cell>
        </row>
        <row r="55">
          <cell r="A55">
            <v>5307</v>
          </cell>
          <cell r="B55" t="str">
            <v>Sim</v>
          </cell>
          <cell r="C55" t="str">
            <v>Bieleta</v>
          </cell>
          <cell r="D55" t="str">
            <v>HOLYMAN</v>
          </cell>
          <cell r="E55">
            <v>5</v>
          </cell>
          <cell r="F55" t="str">
            <v>Bieleta Dianteira Vw Spacefox E Spacecross Todas Versões</v>
          </cell>
          <cell r="G55"/>
          <cell r="H55">
            <v>29</v>
          </cell>
          <cell r="I55">
            <v>29</v>
          </cell>
          <cell r="J55">
            <v>26</v>
          </cell>
          <cell r="K55">
            <v>3</v>
          </cell>
          <cell r="L55" t="str">
            <v/>
          </cell>
          <cell r="M55">
            <v>30</v>
          </cell>
          <cell r="N55">
            <v>2</v>
          </cell>
          <cell r="O55">
            <v>28</v>
          </cell>
          <cell r="P55" t="str">
            <v/>
          </cell>
          <cell r="Q55">
            <v>26</v>
          </cell>
          <cell r="R55">
            <v>1</v>
          </cell>
          <cell r="S55">
            <v>25</v>
          </cell>
          <cell r="T55">
            <v>0</v>
          </cell>
          <cell r="U55">
            <v>0</v>
          </cell>
          <cell r="V55">
            <v>26</v>
          </cell>
          <cell r="W55">
            <v>2</v>
          </cell>
          <cell r="X55">
            <v>24</v>
          </cell>
          <cell r="Y55" t="str">
            <v/>
          </cell>
          <cell r="Z55" t="str">
            <v/>
          </cell>
          <cell r="AA55">
            <v>20</v>
          </cell>
          <cell r="AB55">
            <v>0</v>
          </cell>
          <cell r="AC55">
            <v>18</v>
          </cell>
          <cell r="AD55"/>
          <cell r="AE55">
            <v>2</v>
          </cell>
          <cell r="AF55">
            <v>6</v>
          </cell>
          <cell r="AG55">
            <v>0</v>
          </cell>
          <cell r="AH55">
            <v>6</v>
          </cell>
          <cell r="AI55">
            <v>0</v>
          </cell>
          <cell r="AJ55">
            <v>0</v>
          </cell>
          <cell r="AK55">
            <v>24.333333333333332</v>
          </cell>
        </row>
        <row r="56">
          <cell r="A56">
            <v>5236</v>
          </cell>
          <cell r="B56" t="str">
            <v>Sim</v>
          </cell>
          <cell r="C56" t="str">
            <v>Bieleta</v>
          </cell>
          <cell r="D56" t="str">
            <v>HOLYMAN</v>
          </cell>
          <cell r="E56">
            <v>5</v>
          </cell>
          <cell r="F56" t="str">
            <v>Bieleta Traseira Barra Estabilizadora Blazer 1996 Até 2011</v>
          </cell>
          <cell r="G56"/>
          <cell r="H56">
            <v>38</v>
          </cell>
          <cell r="I56">
            <v>22</v>
          </cell>
          <cell r="J56">
            <v>22</v>
          </cell>
          <cell r="K56" t="str">
            <v/>
          </cell>
          <cell r="L56" t="str">
            <v/>
          </cell>
          <cell r="M56">
            <v>20</v>
          </cell>
          <cell r="N56">
            <v>2</v>
          </cell>
          <cell r="O56">
            <v>18</v>
          </cell>
          <cell r="P56" t="str">
            <v/>
          </cell>
          <cell r="Q56">
            <v>16</v>
          </cell>
          <cell r="R56" t="str">
            <v>0</v>
          </cell>
          <cell r="S56">
            <v>16</v>
          </cell>
          <cell r="T56">
            <v>0</v>
          </cell>
          <cell r="U56">
            <v>0</v>
          </cell>
          <cell r="V56">
            <v>16</v>
          </cell>
          <cell r="W56">
            <v>6</v>
          </cell>
          <cell r="X56">
            <v>10</v>
          </cell>
          <cell r="Y56" t="str">
            <v/>
          </cell>
          <cell r="Z56" t="str">
            <v/>
          </cell>
          <cell r="AA56">
            <v>20</v>
          </cell>
          <cell r="AB56">
            <v>0</v>
          </cell>
          <cell r="AC56">
            <v>20</v>
          </cell>
          <cell r="AD56"/>
          <cell r="AE56">
            <v>0</v>
          </cell>
          <cell r="AF56">
            <v>22</v>
          </cell>
          <cell r="AG56">
            <v>0</v>
          </cell>
          <cell r="AH56">
            <v>22</v>
          </cell>
          <cell r="AI56">
            <v>0</v>
          </cell>
          <cell r="AJ56">
            <v>0</v>
          </cell>
          <cell r="AK56">
            <v>22.333333333333332</v>
          </cell>
        </row>
        <row r="57">
          <cell r="A57">
            <v>110914</v>
          </cell>
          <cell r="B57" t="str">
            <v>Sim</v>
          </cell>
          <cell r="C57" t="str">
            <v>Cabo Câmbio</v>
          </cell>
          <cell r="D57" t="str">
            <v>Importação</v>
          </cell>
          <cell r="E57">
            <v>1</v>
          </cell>
          <cell r="F57" t="str">
            <v>Cabo Do Trambulador Sprinter Cdi 313 2004 A 2019</v>
          </cell>
          <cell r="G57"/>
          <cell r="H57">
            <v>21</v>
          </cell>
          <cell r="I57">
            <v>21</v>
          </cell>
          <cell r="J57" t="str">
            <v/>
          </cell>
          <cell r="K57">
            <v>21</v>
          </cell>
          <cell r="L57" t="str">
            <v/>
          </cell>
          <cell r="M57">
            <v>31</v>
          </cell>
          <cell r="N57">
            <v>31</v>
          </cell>
          <cell r="O57" t="str">
            <v/>
          </cell>
          <cell r="P57" t="str">
            <v/>
          </cell>
          <cell r="Q57">
            <v>16</v>
          </cell>
          <cell r="R57">
            <v>16</v>
          </cell>
          <cell r="S57" t="str">
            <v>0</v>
          </cell>
          <cell r="T57">
            <v>0</v>
          </cell>
          <cell r="U57">
            <v>0</v>
          </cell>
          <cell r="V57">
            <v>29</v>
          </cell>
          <cell r="W57">
            <v>29</v>
          </cell>
          <cell r="X57" t="str">
            <v/>
          </cell>
          <cell r="Y57" t="str">
            <v/>
          </cell>
          <cell r="Z57" t="str">
            <v/>
          </cell>
          <cell r="AA57">
            <v>35</v>
          </cell>
          <cell r="AB57">
            <v>35</v>
          </cell>
          <cell r="AC57">
            <v>0</v>
          </cell>
          <cell r="AD57"/>
          <cell r="AE57">
            <v>0</v>
          </cell>
          <cell r="AF57">
            <v>14</v>
          </cell>
          <cell r="AG57">
            <v>14</v>
          </cell>
          <cell r="AH57">
            <v>0</v>
          </cell>
          <cell r="AI57">
            <v>0</v>
          </cell>
          <cell r="AJ57">
            <v>0</v>
          </cell>
          <cell r="AK57">
            <v>22</v>
          </cell>
        </row>
        <row r="58">
          <cell r="A58">
            <v>14099</v>
          </cell>
          <cell r="B58" t="str">
            <v>Sim</v>
          </cell>
          <cell r="C58" t="str">
            <v>Pino de Porta</v>
          </cell>
          <cell r="D58" t="str">
            <v>MultiKit</v>
          </cell>
          <cell r="E58">
            <v>4</v>
          </cell>
          <cell r="F58" t="str">
            <v>Pino Dobradiça Porta Uno Mille Ld Le 2011</v>
          </cell>
          <cell r="G58"/>
          <cell r="H58">
            <v>22</v>
          </cell>
          <cell r="I58">
            <v>30</v>
          </cell>
          <cell r="J58">
            <v>30</v>
          </cell>
          <cell r="K58" t="str">
            <v/>
          </cell>
          <cell r="L58" t="str">
            <v/>
          </cell>
          <cell r="M58">
            <v>30</v>
          </cell>
          <cell r="N58">
            <v>1</v>
          </cell>
          <cell r="O58">
            <v>29</v>
          </cell>
          <cell r="P58" t="str">
            <v/>
          </cell>
          <cell r="Q58">
            <v>26</v>
          </cell>
          <cell r="R58" t="str">
            <v>0</v>
          </cell>
          <cell r="S58">
            <v>26</v>
          </cell>
          <cell r="T58">
            <v>0</v>
          </cell>
          <cell r="U58">
            <v>0</v>
          </cell>
          <cell r="V58">
            <v>10</v>
          </cell>
          <cell r="W58">
            <v>0</v>
          </cell>
          <cell r="X58">
            <v>10</v>
          </cell>
          <cell r="Y58" t="str">
            <v/>
          </cell>
          <cell r="Z58" t="str">
            <v/>
          </cell>
          <cell r="AA58">
            <v>17</v>
          </cell>
          <cell r="AB58">
            <v>0</v>
          </cell>
          <cell r="AC58">
            <v>17</v>
          </cell>
          <cell r="AD58"/>
          <cell r="AE58">
            <v>0</v>
          </cell>
          <cell r="AF58">
            <v>13</v>
          </cell>
          <cell r="AG58">
            <v>0</v>
          </cell>
          <cell r="AH58">
            <v>13</v>
          </cell>
          <cell r="AI58">
            <v>0</v>
          </cell>
          <cell r="AJ58">
            <v>0</v>
          </cell>
          <cell r="AK58">
            <v>21.833333333333332</v>
          </cell>
        </row>
        <row r="59">
          <cell r="A59">
            <v>66412</v>
          </cell>
          <cell r="B59" t="str">
            <v>Sim</v>
          </cell>
          <cell r="C59" t="str">
            <v>Cabo Embreagem</v>
          </cell>
          <cell r="D59" t="str">
            <v>Importação</v>
          </cell>
          <cell r="E59">
            <v>1</v>
          </cell>
          <cell r="F59" t="str">
            <v>Cabo De Embreagem Ducato(2.8mglu)2001 2002 2003 2004 2005...</v>
          </cell>
          <cell r="G59"/>
          <cell r="H59">
            <v>15</v>
          </cell>
          <cell r="I59">
            <v>24</v>
          </cell>
          <cell r="J59" t="str">
            <v/>
          </cell>
          <cell r="K59">
            <v>24</v>
          </cell>
          <cell r="L59" t="str">
            <v/>
          </cell>
          <cell r="M59">
            <v>28</v>
          </cell>
          <cell r="N59">
            <v>28</v>
          </cell>
          <cell r="O59" t="str">
            <v/>
          </cell>
          <cell r="P59" t="str">
            <v/>
          </cell>
          <cell r="Q59">
            <v>27</v>
          </cell>
          <cell r="R59">
            <v>27</v>
          </cell>
          <cell r="S59" t="str">
            <v>0</v>
          </cell>
          <cell r="T59">
            <v>0</v>
          </cell>
          <cell r="U59">
            <v>0</v>
          </cell>
          <cell r="V59">
            <v>17</v>
          </cell>
          <cell r="W59">
            <v>17</v>
          </cell>
          <cell r="X59" t="str">
            <v/>
          </cell>
          <cell r="Y59" t="str">
            <v/>
          </cell>
          <cell r="Z59" t="str">
            <v/>
          </cell>
          <cell r="AA59">
            <v>24</v>
          </cell>
          <cell r="AB59">
            <v>24</v>
          </cell>
          <cell r="AC59">
            <v>0</v>
          </cell>
          <cell r="AD59"/>
          <cell r="AE59">
            <v>0</v>
          </cell>
          <cell r="AF59">
            <v>19</v>
          </cell>
          <cell r="AG59">
            <v>19</v>
          </cell>
          <cell r="AH59">
            <v>0</v>
          </cell>
          <cell r="AI59">
            <v>0</v>
          </cell>
          <cell r="AJ59">
            <v>0</v>
          </cell>
          <cell r="AK59">
            <v>21.666666666666668</v>
          </cell>
        </row>
        <row r="60">
          <cell r="A60">
            <v>332056</v>
          </cell>
          <cell r="B60" t="str">
            <v>Sim</v>
          </cell>
          <cell r="C60" t="str">
            <v>Bandeja</v>
          </cell>
          <cell r="D60" t="str">
            <v>SPARE</v>
          </cell>
          <cell r="E60">
            <v>2</v>
          </cell>
          <cell r="F60" t="str">
            <v>Morceguinho Dianteira Direita Agile 2010 A 2014</v>
          </cell>
          <cell r="G60"/>
          <cell r="H60">
            <v>9</v>
          </cell>
          <cell r="I60">
            <v>10</v>
          </cell>
          <cell r="J60">
            <v>10</v>
          </cell>
          <cell r="K60" t="str">
            <v/>
          </cell>
          <cell r="L60" t="str">
            <v/>
          </cell>
          <cell r="M60">
            <v>30</v>
          </cell>
          <cell r="N60" t="str">
            <v/>
          </cell>
          <cell r="O60">
            <v>30</v>
          </cell>
          <cell r="P60" t="str">
            <v/>
          </cell>
          <cell r="Q60">
            <v>26</v>
          </cell>
          <cell r="R60" t="str">
            <v>0</v>
          </cell>
          <cell r="S60">
            <v>26</v>
          </cell>
          <cell r="T60">
            <v>0</v>
          </cell>
          <cell r="U60">
            <v>0</v>
          </cell>
          <cell r="V60">
            <v>27</v>
          </cell>
          <cell r="W60">
            <v>2</v>
          </cell>
          <cell r="X60">
            <v>25</v>
          </cell>
          <cell r="Y60" t="str">
            <v/>
          </cell>
          <cell r="Z60" t="str">
            <v/>
          </cell>
          <cell r="AA60">
            <v>28</v>
          </cell>
          <cell r="AB60">
            <v>0</v>
          </cell>
          <cell r="AC60">
            <v>28</v>
          </cell>
          <cell r="AD60"/>
          <cell r="AE60">
            <v>0</v>
          </cell>
          <cell r="AF60">
            <v>27</v>
          </cell>
          <cell r="AG60">
            <v>0</v>
          </cell>
          <cell r="AH60">
            <v>26</v>
          </cell>
          <cell r="AI60">
            <v>0</v>
          </cell>
          <cell r="AJ60">
            <v>1</v>
          </cell>
          <cell r="AK60">
            <v>21.5</v>
          </cell>
        </row>
        <row r="61">
          <cell r="A61">
            <v>332057</v>
          </cell>
          <cell r="B61" t="str">
            <v>Sim</v>
          </cell>
          <cell r="C61" t="str">
            <v>Bandeja</v>
          </cell>
          <cell r="D61" t="str">
            <v>SPARE</v>
          </cell>
          <cell r="E61">
            <v>2</v>
          </cell>
          <cell r="F61" t="str">
            <v>Morceguinho Dianteiro Esquerdo Montana 2011 A 2016</v>
          </cell>
          <cell r="G61"/>
          <cell r="H61">
            <v>10</v>
          </cell>
          <cell r="I61">
            <v>10</v>
          </cell>
          <cell r="J61">
            <v>10</v>
          </cell>
          <cell r="K61" t="str">
            <v/>
          </cell>
          <cell r="L61" t="str">
            <v/>
          </cell>
          <cell r="M61">
            <v>30</v>
          </cell>
          <cell r="N61" t="str">
            <v/>
          </cell>
          <cell r="O61">
            <v>30</v>
          </cell>
          <cell r="P61" t="str">
            <v/>
          </cell>
          <cell r="Q61">
            <v>26</v>
          </cell>
          <cell r="R61" t="str">
            <v>0</v>
          </cell>
          <cell r="S61">
            <v>26</v>
          </cell>
          <cell r="T61">
            <v>0</v>
          </cell>
          <cell r="U61">
            <v>0</v>
          </cell>
          <cell r="V61">
            <v>25</v>
          </cell>
          <cell r="W61">
            <v>0</v>
          </cell>
          <cell r="X61">
            <v>25</v>
          </cell>
          <cell r="Y61" t="str">
            <v/>
          </cell>
          <cell r="Z61" t="str">
            <v/>
          </cell>
          <cell r="AA61">
            <v>28</v>
          </cell>
          <cell r="AB61">
            <v>0</v>
          </cell>
          <cell r="AC61">
            <v>28</v>
          </cell>
          <cell r="AD61"/>
          <cell r="AE61">
            <v>0</v>
          </cell>
          <cell r="AF61">
            <v>27</v>
          </cell>
          <cell r="AG61">
            <v>0</v>
          </cell>
          <cell r="AH61">
            <v>26</v>
          </cell>
          <cell r="AI61">
            <v>0</v>
          </cell>
          <cell r="AJ61">
            <v>1</v>
          </cell>
          <cell r="AK61">
            <v>21.333333333333332</v>
          </cell>
        </row>
        <row r="62">
          <cell r="A62">
            <v>552031</v>
          </cell>
          <cell r="B62" t="str">
            <v>Sim</v>
          </cell>
          <cell r="C62" t="str">
            <v>Bandeja</v>
          </cell>
          <cell r="D62" t="str">
            <v>SPARE</v>
          </cell>
          <cell r="E62">
            <v>2</v>
          </cell>
          <cell r="F62" t="str">
            <v>Bandeja Inferior Direito Berlingo 1999 Em Diante</v>
          </cell>
          <cell r="G62"/>
          <cell r="H62">
            <v>13</v>
          </cell>
          <cell r="I62">
            <v>26</v>
          </cell>
          <cell r="J62">
            <v>20</v>
          </cell>
          <cell r="K62">
            <v>6</v>
          </cell>
          <cell r="L62" t="str">
            <v/>
          </cell>
          <cell r="M62">
            <v>19</v>
          </cell>
          <cell r="N62">
            <v>6</v>
          </cell>
          <cell r="O62">
            <v>13</v>
          </cell>
          <cell r="P62" t="str">
            <v/>
          </cell>
          <cell r="Q62">
            <v>27</v>
          </cell>
          <cell r="R62">
            <v>5</v>
          </cell>
          <cell r="S62">
            <v>12</v>
          </cell>
          <cell r="T62">
            <v>5</v>
          </cell>
          <cell r="U62">
            <v>5</v>
          </cell>
          <cell r="V62">
            <v>23</v>
          </cell>
          <cell r="W62">
            <v>5</v>
          </cell>
          <cell r="X62">
            <v>18</v>
          </cell>
          <cell r="Y62" t="str">
            <v/>
          </cell>
          <cell r="Z62" t="str">
            <v/>
          </cell>
          <cell r="AA62">
            <v>8</v>
          </cell>
          <cell r="AB62">
            <v>3</v>
          </cell>
          <cell r="AC62">
            <v>4</v>
          </cell>
          <cell r="AD62"/>
          <cell r="AE62">
            <v>1</v>
          </cell>
          <cell r="AF62">
            <v>20</v>
          </cell>
          <cell r="AG62">
            <v>7</v>
          </cell>
          <cell r="AH62">
            <v>13</v>
          </cell>
          <cell r="AI62">
            <v>0</v>
          </cell>
          <cell r="AJ62">
            <v>0</v>
          </cell>
          <cell r="AK62">
            <v>21.333333333333332</v>
          </cell>
        </row>
        <row r="63">
          <cell r="A63">
            <v>14097</v>
          </cell>
          <cell r="B63"/>
          <cell r="C63" t="str">
            <v>Pino de Freio</v>
          </cell>
          <cell r="D63" t="str">
            <v>MultiKit</v>
          </cell>
          <cell r="E63">
            <v>4</v>
          </cell>
          <cell r="F63" t="str">
            <v>Pino Reparo Da Dobradiça Porta Uno Mille Ld Le 2007</v>
          </cell>
          <cell r="G63"/>
          <cell r="H63">
            <v>19</v>
          </cell>
          <cell r="I63">
            <v>30</v>
          </cell>
          <cell r="J63">
            <v>30</v>
          </cell>
          <cell r="K63" t="str">
            <v/>
          </cell>
          <cell r="L63" t="str">
            <v/>
          </cell>
          <cell r="M63">
            <v>29</v>
          </cell>
          <cell r="N63" t="str">
            <v/>
          </cell>
          <cell r="O63">
            <v>29</v>
          </cell>
          <cell r="P63" t="str">
            <v/>
          </cell>
          <cell r="Q63">
            <v>26</v>
          </cell>
          <cell r="R63" t="str">
            <v>0</v>
          </cell>
          <cell r="S63">
            <v>26</v>
          </cell>
          <cell r="T63">
            <v>0</v>
          </cell>
          <cell r="U63">
            <v>0</v>
          </cell>
          <cell r="V63">
            <v>10</v>
          </cell>
          <cell r="W63">
            <v>0</v>
          </cell>
          <cell r="X63">
            <v>10</v>
          </cell>
          <cell r="Y63" t="str">
            <v/>
          </cell>
          <cell r="Z63" t="str">
            <v/>
          </cell>
          <cell r="AA63">
            <v>17</v>
          </cell>
          <cell r="AB63">
            <v>0</v>
          </cell>
          <cell r="AC63">
            <v>17</v>
          </cell>
          <cell r="AD63"/>
          <cell r="AE63">
            <v>0</v>
          </cell>
          <cell r="AF63">
            <v>13</v>
          </cell>
          <cell r="AG63">
            <v>0</v>
          </cell>
          <cell r="AH63">
            <v>13</v>
          </cell>
          <cell r="AI63">
            <v>0</v>
          </cell>
          <cell r="AJ63">
            <v>0</v>
          </cell>
          <cell r="AK63">
            <v>21.166666666666668</v>
          </cell>
        </row>
        <row r="64">
          <cell r="A64">
            <v>552030</v>
          </cell>
          <cell r="B64" t="str">
            <v>Sim</v>
          </cell>
          <cell r="C64" t="str">
            <v>Bandeja</v>
          </cell>
          <cell r="D64" t="str">
            <v>SPARE</v>
          </cell>
          <cell r="E64">
            <v>2</v>
          </cell>
          <cell r="F64" t="str">
            <v>Bandeja Inferior Esquerdo Xsara Picasso 2001 A 2011</v>
          </cell>
          <cell r="G64"/>
          <cell r="H64">
            <v>13</v>
          </cell>
          <cell r="I64">
            <v>27</v>
          </cell>
          <cell r="J64">
            <v>20</v>
          </cell>
          <cell r="K64">
            <v>7</v>
          </cell>
          <cell r="L64" t="str">
            <v/>
          </cell>
          <cell r="M64">
            <v>16</v>
          </cell>
          <cell r="N64">
            <v>3</v>
          </cell>
          <cell r="O64">
            <v>13</v>
          </cell>
          <cell r="P64" t="str">
            <v/>
          </cell>
          <cell r="Q64">
            <v>25</v>
          </cell>
          <cell r="R64">
            <v>3</v>
          </cell>
          <cell r="S64">
            <v>12</v>
          </cell>
          <cell r="T64">
            <v>5</v>
          </cell>
          <cell r="U64">
            <v>5</v>
          </cell>
          <cell r="V64">
            <v>22</v>
          </cell>
          <cell r="W64">
            <v>2</v>
          </cell>
          <cell r="X64">
            <v>18</v>
          </cell>
          <cell r="Y64" t="str">
            <v/>
          </cell>
          <cell r="Z64">
            <v>2</v>
          </cell>
          <cell r="AA64">
            <v>6</v>
          </cell>
          <cell r="AB64">
            <v>1</v>
          </cell>
          <cell r="AC64">
            <v>4</v>
          </cell>
          <cell r="AD64"/>
          <cell r="AE64">
            <v>1</v>
          </cell>
          <cell r="AF64">
            <v>20</v>
          </cell>
          <cell r="AG64">
            <v>7</v>
          </cell>
          <cell r="AH64">
            <v>13</v>
          </cell>
          <cell r="AI64">
            <v>0</v>
          </cell>
          <cell r="AJ64">
            <v>0</v>
          </cell>
          <cell r="AK64">
            <v>20.5</v>
          </cell>
        </row>
        <row r="65">
          <cell r="A65" t="str">
            <v>RT001</v>
          </cell>
          <cell r="B65"/>
          <cell r="C65" t="str">
            <v>Relação Moto</v>
          </cell>
          <cell r="D65" t="str">
            <v>Polo</v>
          </cell>
          <cell r="E65"/>
          <cell r="F65" t="str">
            <v>KIT TRANSMISSAO S/ RET CG 150 TITAN KS 04/08 ES 04/08 ESD 04/16 MIX 09/15 FAN 09/15</v>
          </cell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>
            <v>2</v>
          </cell>
          <cell r="AF65">
            <v>20</v>
          </cell>
          <cell r="AG65">
            <v>0</v>
          </cell>
          <cell r="AH65">
            <v>0</v>
          </cell>
          <cell r="AI65">
            <v>0</v>
          </cell>
          <cell r="AJ65">
            <v>20</v>
          </cell>
          <cell r="AK65">
            <v>20</v>
          </cell>
        </row>
        <row r="66">
          <cell r="A66">
            <v>112056</v>
          </cell>
          <cell r="B66" t="str">
            <v>Sim</v>
          </cell>
          <cell r="C66" t="str">
            <v>Bandeja</v>
          </cell>
          <cell r="D66" t="str">
            <v>SPARE</v>
          </cell>
          <cell r="E66">
            <v>2</v>
          </cell>
          <cell r="F66" t="str">
            <v>Bandeja Direita Sem Pivô Idea Hlx 2005 A 2016 Motor 1.8</v>
          </cell>
          <cell r="G66"/>
          <cell r="H66">
            <v>39</v>
          </cell>
          <cell r="I66">
            <v>13</v>
          </cell>
          <cell r="J66">
            <v>13</v>
          </cell>
          <cell r="K66" t="str">
            <v/>
          </cell>
          <cell r="L66" t="str">
            <v/>
          </cell>
          <cell r="M66">
            <v>22</v>
          </cell>
          <cell r="N66" t="str">
            <v/>
          </cell>
          <cell r="O66">
            <v>22</v>
          </cell>
          <cell r="P66" t="str">
            <v/>
          </cell>
          <cell r="Q66">
            <v>16</v>
          </cell>
          <cell r="R66" t="str">
            <v>0</v>
          </cell>
          <cell r="S66">
            <v>16</v>
          </cell>
          <cell r="T66">
            <v>0</v>
          </cell>
          <cell r="U66">
            <v>0</v>
          </cell>
          <cell r="V66">
            <v>10</v>
          </cell>
          <cell r="W66">
            <v>0</v>
          </cell>
          <cell r="X66">
            <v>10</v>
          </cell>
          <cell r="Y66" t="str">
            <v/>
          </cell>
          <cell r="Z66" t="str">
            <v/>
          </cell>
          <cell r="AA66">
            <v>17</v>
          </cell>
          <cell r="AB66">
            <v>1</v>
          </cell>
          <cell r="AC66">
            <v>16</v>
          </cell>
          <cell r="AD66"/>
          <cell r="AE66">
            <v>0</v>
          </cell>
          <cell r="AF66">
            <v>19</v>
          </cell>
          <cell r="AG66">
            <v>0</v>
          </cell>
          <cell r="AH66">
            <v>19</v>
          </cell>
          <cell r="AI66">
            <v>0</v>
          </cell>
          <cell r="AJ66">
            <v>0</v>
          </cell>
          <cell r="AK66">
            <v>19.833333333333332</v>
          </cell>
        </row>
        <row r="67">
          <cell r="A67">
            <v>70541</v>
          </cell>
          <cell r="B67" t="str">
            <v>Sim</v>
          </cell>
          <cell r="C67" t="str">
            <v>Reparo alavanta Câmbio</v>
          </cell>
          <cell r="D67" t="str">
            <v>BRK</v>
          </cell>
          <cell r="E67">
            <v>8</v>
          </cell>
          <cell r="F67" t="str">
            <v>Kit Reparo Alavanca Câmbio Del Rey Motor Ap  1990 À 1997</v>
          </cell>
          <cell r="G67"/>
          <cell r="H67">
            <v>27</v>
          </cell>
          <cell r="I67">
            <v>22</v>
          </cell>
          <cell r="J67">
            <v>18</v>
          </cell>
          <cell r="K67">
            <v>4</v>
          </cell>
          <cell r="L67" t="str">
            <v/>
          </cell>
          <cell r="M67">
            <v>16</v>
          </cell>
          <cell r="N67">
            <v>4</v>
          </cell>
          <cell r="O67">
            <v>12</v>
          </cell>
          <cell r="P67" t="str">
            <v/>
          </cell>
          <cell r="Q67">
            <v>15</v>
          </cell>
          <cell r="R67">
            <v>1</v>
          </cell>
          <cell r="S67">
            <v>14</v>
          </cell>
          <cell r="T67">
            <v>0</v>
          </cell>
          <cell r="U67">
            <v>0</v>
          </cell>
          <cell r="V67">
            <v>17</v>
          </cell>
          <cell r="W67">
            <v>4</v>
          </cell>
          <cell r="X67">
            <v>13</v>
          </cell>
          <cell r="Y67" t="str">
            <v/>
          </cell>
          <cell r="Z67" t="str">
            <v/>
          </cell>
          <cell r="AA67">
            <v>11</v>
          </cell>
          <cell r="AB67">
            <v>0</v>
          </cell>
          <cell r="AC67">
            <v>11</v>
          </cell>
          <cell r="AD67"/>
          <cell r="AE67">
            <v>0</v>
          </cell>
          <cell r="AF67">
            <v>20</v>
          </cell>
          <cell r="AG67">
            <v>0</v>
          </cell>
          <cell r="AH67">
            <v>20</v>
          </cell>
          <cell r="AI67">
            <v>0</v>
          </cell>
          <cell r="AJ67">
            <v>0</v>
          </cell>
          <cell r="AK67">
            <v>19.5</v>
          </cell>
        </row>
        <row r="68">
          <cell r="A68" t="str">
            <v>PG003</v>
          </cell>
          <cell r="B68" t="str">
            <v>Sim</v>
          </cell>
          <cell r="C68" t="str">
            <v>Rolamento Eixo</v>
          </cell>
          <cell r="D68" t="str">
            <v>Importação</v>
          </cell>
          <cell r="E68">
            <v>1</v>
          </cell>
          <cell r="F68" t="str">
            <v>Kit Rolamento Eixo Traseiro Picasso Sem Barra</v>
          </cell>
          <cell r="G68"/>
          <cell r="H68">
            <v>8</v>
          </cell>
          <cell r="I68">
            <v>27</v>
          </cell>
          <cell r="J68">
            <v>16</v>
          </cell>
          <cell r="K68">
            <v>1</v>
          </cell>
          <cell r="L68">
            <v>10</v>
          </cell>
          <cell r="M68">
            <v>28</v>
          </cell>
          <cell r="N68">
            <v>2</v>
          </cell>
          <cell r="O68">
            <v>16</v>
          </cell>
          <cell r="P68">
            <v>10</v>
          </cell>
          <cell r="Q68">
            <v>19</v>
          </cell>
          <cell r="R68">
            <v>1</v>
          </cell>
          <cell r="S68">
            <v>18</v>
          </cell>
          <cell r="T68">
            <v>0</v>
          </cell>
          <cell r="U68">
            <v>0</v>
          </cell>
          <cell r="V68">
            <v>14</v>
          </cell>
          <cell r="W68">
            <v>0</v>
          </cell>
          <cell r="X68">
            <v>14</v>
          </cell>
          <cell r="Y68" t="str">
            <v/>
          </cell>
          <cell r="Z68" t="str">
            <v/>
          </cell>
          <cell r="AA68">
            <v>8</v>
          </cell>
          <cell r="AB68">
            <v>2</v>
          </cell>
          <cell r="AC68">
            <v>6</v>
          </cell>
          <cell r="AD68"/>
          <cell r="AE68">
            <v>0</v>
          </cell>
          <cell r="AF68">
            <v>20</v>
          </cell>
          <cell r="AG68">
            <v>0</v>
          </cell>
          <cell r="AH68">
            <v>20</v>
          </cell>
          <cell r="AI68">
            <v>0</v>
          </cell>
          <cell r="AJ68">
            <v>0</v>
          </cell>
          <cell r="AK68">
            <v>19.333333333333332</v>
          </cell>
        </row>
        <row r="69">
          <cell r="A69" t="str">
            <v>T10007</v>
          </cell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>
            <v>23</v>
          </cell>
          <cell r="AC69">
            <v>0</v>
          </cell>
          <cell r="AD69"/>
          <cell r="AE69">
            <v>0</v>
          </cell>
          <cell r="AF69">
            <v>19</v>
          </cell>
          <cell r="AG69">
            <v>19</v>
          </cell>
          <cell r="AH69">
            <v>0</v>
          </cell>
          <cell r="AI69">
            <v>0</v>
          </cell>
          <cell r="AJ69">
            <v>0</v>
          </cell>
          <cell r="AK69">
            <v>19</v>
          </cell>
        </row>
        <row r="70">
          <cell r="A70">
            <v>14098</v>
          </cell>
          <cell r="B70" t="str">
            <v>Sim</v>
          </cell>
          <cell r="C70" t="str">
            <v>Pino de Porta</v>
          </cell>
          <cell r="D70" t="str">
            <v>MultiKit</v>
          </cell>
          <cell r="E70">
            <v>4</v>
          </cell>
          <cell r="F70" t="str">
            <v>Pino Da Dobradiça Da Porta Siena G3 2005 A 2008</v>
          </cell>
          <cell r="G70"/>
          <cell r="H70">
            <v>0</v>
          </cell>
          <cell r="I70">
            <v>0</v>
          </cell>
          <cell r="J70"/>
          <cell r="K70"/>
          <cell r="L70"/>
          <cell r="M70">
            <v>14</v>
          </cell>
          <cell r="N70">
            <v>2</v>
          </cell>
          <cell r="O70">
            <v>12</v>
          </cell>
          <cell r="P70" t="str">
            <v/>
          </cell>
          <cell r="Q70">
            <v>20</v>
          </cell>
          <cell r="R70">
            <v>6</v>
          </cell>
          <cell r="S70">
            <v>14</v>
          </cell>
          <cell r="T70">
            <v>0</v>
          </cell>
          <cell r="U70">
            <v>0</v>
          </cell>
          <cell r="V70">
            <v>33</v>
          </cell>
          <cell r="W70">
            <v>9</v>
          </cell>
          <cell r="X70">
            <v>24</v>
          </cell>
          <cell r="Y70" t="str">
            <v/>
          </cell>
          <cell r="Z70" t="str">
            <v/>
          </cell>
          <cell r="AA70">
            <v>34</v>
          </cell>
          <cell r="AB70">
            <v>4</v>
          </cell>
          <cell r="AC70">
            <v>30</v>
          </cell>
          <cell r="AD70"/>
          <cell r="AE70">
            <v>0</v>
          </cell>
          <cell r="AF70">
            <v>46</v>
          </cell>
          <cell r="AG70">
            <v>8</v>
          </cell>
          <cell r="AH70">
            <v>38</v>
          </cell>
          <cell r="AI70">
            <v>0</v>
          </cell>
          <cell r="AJ70">
            <v>0</v>
          </cell>
          <cell r="AK70">
            <v>18.833333333333332</v>
          </cell>
        </row>
        <row r="71">
          <cell r="A71">
            <v>66636</v>
          </cell>
          <cell r="B71" t="str">
            <v>Sim</v>
          </cell>
          <cell r="C71" t="str">
            <v>Cabo Câmbio</v>
          </cell>
          <cell r="D71" t="str">
            <v>Importação</v>
          </cell>
          <cell r="E71">
            <v>1</v>
          </cell>
          <cell r="F71" t="str">
            <v>Cabo De Engate Siena El 1.0/1.4 Mpi 8v 2013 Flex  55208207</v>
          </cell>
          <cell r="G71"/>
          <cell r="H71">
            <v>16</v>
          </cell>
          <cell r="I71">
            <v>20</v>
          </cell>
          <cell r="J71" t="str">
            <v/>
          </cell>
          <cell r="K71">
            <v>18</v>
          </cell>
          <cell r="L71">
            <v>2</v>
          </cell>
          <cell r="M71">
            <v>33</v>
          </cell>
          <cell r="N71">
            <v>13</v>
          </cell>
          <cell r="O71" t="str">
            <v/>
          </cell>
          <cell r="P71">
            <v>20</v>
          </cell>
          <cell r="Q71">
            <v>25</v>
          </cell>
          <cell r="R71">
            <v>25</v>
          </cell>
          <cell r="S71" t="str">
            <v>0</v>
          </cell>
          <cell r="T71">
            <v>0</v>
          </cell>
          <cell r="U71">
            <v>0</v>
          </cell>
          <cell r="V71">
            <v>8</v>
          </cell>
          <cell r="W71">
            <v>8</v>
          </cell>
          <cell r="X71" t="str">
            <v/>
          </cell>
          <cell r="Y71" t="str">
            <v/>
          </cell>
          <cell r="Z71" t="str">
            <v/>
          </cell>
          <cell r="AA71">
            <v>8</v>
          </cell>
          <cell r="AB71">
            <v>8</v>
          </cell>
          <cell r="AC71">
            <v>0</v>
          </cell>
          <cell r="AD71"/>
          <cell r="AE71">
            <v>0</v>
          </cell>
          <cell r="AF71">
            <v>9</v>
          </cell>
          <cell r="AG71">
            <v>8</v>
          </cell>
          <cell r="AH71">
            <v>0</v>
          </cell>
          <cell r="AI71">
            <v>0</v>
          </cell>
          <cell r="AJ71">
            <v>1</v>
          </cell>
          <cell r="AK71">
            <v>18.5</v>
          </cell>
        </row>
        <row r="72">
          <cell r="A72" t="str">
            <v>FTK00311</v>
          </cell>
          <cell r="B72" t="str">
            <v>Sim</v>
          </cell>
          <cell r="C72" t="str">
            <v>Pivô</v>
          </cell>
          <cell r="D72" t="str">
            <v>SPARE</v>
          </cell>
          <cell r="E72">
            <v>2</v>
          </cell>
          <cell r="F72" t="str">
            <v>Pivô Bandeja Spin 2013 Em Diante</v>
          </cell>
          <cell r="G72"/>
          <cell r="H72">
            <v>26</v>
          </cell>
          <cell r="I72">
            <v>11</v>
          </cell>
          <cell r="J72">
            <v>10</v>
          </cell>
          <cell r="K72">
            <v>1</v>
          </cell>
          <cell r="L72" t="str">
            <v/>
          </cell>
          <cell r="M72">
            <v>12</v>
          </cell>
          <cell r="N72" t="str">
            <v/>
          </cell>
          <cell r="O72">
            <v>12</v>
          </cell>
          <cell r="P72" t="str">
            <v/>
          </cell>
          <cell r="Q72">
            <v>26</v>
          </cell>
          <cell r="R72" t="str">
            <v>0</v>
          </cell>
          <cell r="S72">
            <v>26</v>
          </cell>
          <cell r="T72">
            <v>0</v>
          </cell>
          <cell r="U72">
            <v>0</v>
          </cell>
          <cell r="V72">
            <v>15</v>
          </cell>
          <cell r="W72">
            <v>0</v>
          </cell>
          <cell r="X72">
            <v>15</v>
          </cell>
          <cell r="Y72" t="str">
            <v/>
          </cell>
          <cell r="Z72" t="str">
            <v/>
          </cell>
          <cell r="AA72">
            <v>16</v>
          </cell>
          <cell r="AB72">
            <v>0</v>
          </cell>
          <cell r="AC72">
            <v>16</v>
          </cell>
          <cell r="AD72"/>
          <cell r="AE72">
            <v>0</v>
          </cell>
          <cell r="AF72">
            <v>20</v>
          </cell>
          <cell r="AG72">
            <v>0</v>
          </cell>
          <cell r="AH72">
            <v>20</v>
          </cell>
          <cell r="AI72">
            <v>0</v>
          </cell>
          <cell r="AJ72">
            <v>0</v>
          </cell>
          <cell r="AK72">
            <v>18.333333333333332</v>
          </cell>
        </row>
        <row r="73">
          <cell r="A73">
            <v>70526</v>
          </cell>
          <cell r="B73"/>
          <cell r="C73" t="str">
            <v>Reparo alavanta Câmbio</v>
          </cell>
          <cell r="D73" t="str">
            <v>BRK</v>
          </cell>
          <cell r="E73">
            <v>8</v>
          </cell>
          <cell r="F73" t="str">
            <v>Kit Alavanca Cambio Parati Cht Ap 1982 À 2005</v>
          </cell>
          <cell r="G73"/>
          <cell r="H73">
            <v>22</v>
          </cell>
          <cell r="I73">
            <v>19</v>
          </cell>
          <cell r="J73">
            <v>18</v>
          </cell>
          <cell r="K73">
            <v>1</v>
          </cell>
          <cell r="L73" t="str">
            <v/>
          </cell>
          <cell r="M73">
            <v>12</v>
          </cell>
          <cell r="N73" t="str">
            <v/>
          </cell>
          <cell r="O73">
            <v>12</v>
          </cell>
          <cell r="P73" t="str">
            <v/>
          </cell>
          <cell r="Q73">
            <v>15</v>
          </cell>
          <cell r="R73">
            <v>1</v>
          </cell>
          <cell r="S73">
            <v>14</v>
          </cell>
          <cell r="T73">
            <v>0</v>
          </cell>
          <cell r="U73">
            <v>0</v>
          </cell>
          <cell r="V73">
            <v>18</v>
          </cell>
          <cell r="W73">
            <v>4</v>
          </cell>
          <cell r="X73">
            <v>13</v>
          </cell>
          <cell r="Y73" t="str">
            <v/>
          </cell>
          <cell r="Z73">
            <v>1</v>
          </cell>
          <cell r="AA73">
            <v>12</v>
          </cell>
          <cell r="AB73">
            <v>1</v>
          </cell>
          <cell r="AC73">
            <v>11</v>
          </cell>
          <cell r="AD73"/>
          <cell r="AE73">
            <v>0</v>
          </cell>
          <cell r="AF73">
            <v>24</v>
          </cell>
          <cell r="AG73">
            <v>4</v>
          </cell>
          <cell r="AH73">
            <v>20</v>
          </cell>
          <cell r="AI73">
            <v>0</v>
          </cell>
          <cell r="AJ73">
            <v>0</v>
          </cell>
          <cell r="AK73">
            <v>18.333333333333332</v>
          </cell>
        </row>
        <row r="74">
          <cell r="A74">
            <v>772007</v>
          </cell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>
            <v>1</v>
          </cell>
          <cell r="AC74">
            <v>7</v>
          </cell>
          <cell r="AD74"/>
          <cell r="AE74">
            <v>0</v>
          </cell>
          <cell r="AF74">
            <v>18</v>
          </cell>
          <cell r="AG74">
            <v>5</v>
          </cell>
          <cell r="AH74">
            <v>12</v>
          </cell>
          <cell r="AI74">
            <v>0</v>
          </cell>
          <cell r="AJ74">
            <v>1</v>
          </cell>
          <cell r="AK74">
            <v>18</v>
          </cell>
        </row>
        <row r="75">
          <cell r="A75">
            <v>2314</v>
          </cell>
          <cell r="B75" t="str">
            <v>Sim</v>
          </cell>
          <cell r="C75" t="str">
            <v>Haste Câmbio</v>
          </cell>
          <cell r="D75" t="str">
            <v>LT CORREA</v>
          </cell>
          <cell r="E75">
            <v>3</v>
          </cell>
          <cell r="F75" t="str">
            <v>Reparo Alavanca Cambio Corsa Classic Celta 2005/2014</v>
          </cell>
          <cell r="G75"/>
          <cell r="H75">
            <v>23</v>
          </cell>
          <cell r="I75">
            <v>18</v>
          </cell>
          <cell r="J75" t="str">
            <v/>
          </cell>
          <cell r="K75">
            <v>18</v>
          </cell>
          <cell r="L75" t="str">
            <v/>
          </cell>
          <cell r="M75">
            <v>25</v>
          </cell>
          <cell r="N75">
            <v>25</v>
          </cell>
          <cell r="O75" t="str">
            <v/>
          </cell>
          <cell r="P75" t="str">
            <v/>
          </cell>
          <cell r="Q75">
            <v>15</v>
          </cell>
          <cell r="R75">
            <v>15</v>
          </cell>
          <cell r="S75" t="str">
            <v>0</v>
          </cell>
          <cell r="T75">
            <v>0</v>
          </cell>
          <cell r="U75">
            <v>0</v>
          </cell>
          <cell r="V75">
            <v>11</v>
          </cell>
          <cell r="W75">
            <v>11</v>
          </cell>
          <cell r="X75" t="str">
            <v/>
          </cell>
          <cell r="Y75" t="str">
            <v/>
          </cell>
          <cell r="Z75" t="str">
            <v/>
          </cell>
          <cell r="AA75">
            <v>11</v>
          </cell>
          <cell r="AB75">
            <v>11</v>
          </cell>
          <cell r="AC75">
            <v>0</v>
          </cell>
          <cell r="AD75"/>
          <cell r="AE75">
            <v>0</v>
          </cell>
          <cell r="AF75">
            <v>11</v>
          </cell>
          <cell r="AG75">
            <v>11</v>
          </cell>
          <cell r="AH75">
            <v>0</v>
          </cell>
          <cell r="AI75">
            <v>0</v>
          </cell>
          <cell r="AJ75">
            <v>0</v>
          </cell>
          <cell r="AK75">
            <v>17.166666666666668</v>
          </cell>
        </row>
        <row r="76">
          <cell r="A76">
            <v>2367</v>
          </cell>
          <cell r="B76" t="str">
            <v>Sim</v>
          </cell>
          <cell r="C76" t="str">
            <v>Suporte Radiador</v>
          </cell>
          <cell r="D76" t="str">
            <v>LT CORREA</v>
          </cell>
          <cell r="E76">
            <v>3</v>
          </cell>
          <cell r="F76" t="str">
            <v>Suporte Do Radiador Vectra Cd 2.2 16v 2000</v>
          </cell>
          <cell r="G76"/>
          <cell r="H76">
            <v>13</v>
          </cell>
          <cell r="I76">
            <v>23</v>
          </cell>
          <cell r="J76" t="str">
            <v/>
          </cell>
          <cell r="K76">
            <v>23</v>
          </cell>
          <cell r="L76" t="str">
            <v/>
          </cell>
          <cell r="M76">
            <v>13</v>
          </cell>
          <cell r="N76">
            <v>13</v>
          </cell>
          <cell r="O76">
            <v>0</v>
          </cell>
          <cell r="P76" t="str">
            <v/>
          </cell>
          <cell r="Q76">
            <v>18</v>
          </cell>
          <cell r="R76">
            <v>18</v>
          </cell>
          <cell r="S76">
            <v>0</v>
          </cell>
          <cell r="T76">
            <v>0</v>
          </cell>
          <cell r="U76">
            <v>0</v>
          </cell>
          <cell r="V76">
            <v>13</v>
          </cell>
          <cell r="W76">
            <v>13</v>
          </cell>
          <cell r="X76" t="str">
            <v/>
          </cell>
          <cell r="Y76" t="str">
            <v/>
          </cell>
          <cell r="Z76" t="str">
            <v/>
          </cell>
          <cell r="AA76">
            <v>11</v>
          </cell>
          <cell r="AB76">
            <v>10</v>
          </cell>
          <cell r="AC76">
            <v>0</v>
          </cell>
          <cell r="AD76"/>
          <cell r="AE76">
            <v>1</v>
          </cell>
          <cell r="AF76">
            <v>23</v>
          </cell>
          <cell r="AG76">
            <v>23</v>
          </cell>
          <cell r="AH76">
            <v>0</v>
          </cell>
          <cell r="AI76">
            <v>0</v>
          </cell>
          <cell r="AJ76">
            <v>0</v>
          </cell>
          <cell r="AK76">
            <v>17.166666666666668</v>
          </cell>
        </row>
        <row r="77">
          <cell r="A77">
            <v>772008</v>
          </cell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>
            <v>5</v>
          </cell>
          <cell r="AC77">
            <v>7</v>
          </cell>
          <cell r="AD77"/>
          <cell r="AE77">
            <v>0</v>
          </cell>
          <cell r="AF77">
            <v>17</v>
          </cell>
          <cell r="AG77">
            <v>4</v>
          </cell>
          <cell r="AH77">
            <v>12</v>
          </cell>
          <cell r="AI77">
            <v>0</v>
          </cell>
          <cell r="AJ77">
            <v>1</v>
          </cell>
          <cell r="AK77">
            <v>17</v>
          </cell>
        </row>
        <row r="78">
          <cell r="A78">
            <v>112057</v>
          </cell>
          <cell r="B78" t="str">
            <v>Sim</v>
          </cell>
          <cell r="C78" t="str">
            <v>Bandeja</v>
          </cell>
          <cell r="D78" t="str">
            <v>SPARE</v>
          </cell>
          <cell r="E78">
            <v>2</v>
          </cell>
          <cell r="F78" t="str">
            <v>Bandeja Esquerda Sem Pivô Strada 2005 A 2008 Motor 1.8</v>
          </cell>
          <cell r="G78"/>
          <cell r="H78">
            <v>17</v>
          </cell>
          <cell r="I78">
            <v>13</v>
          </cell>
          <cell r="J78">
            <v>13</v>
          </cell>
          <cell r="K78" t="str">
            <v/>
          </cell>
          <cell r="L78" t="str">
            <v/>
          </cell>
          <cell r="M78">
            <v>22</v>
          </cell>
          <cell r="N78" t="str">
            <v/>
          </cell>
          <cell r="O78">
            <v>22</v>
          </cell>
          <cell r="P78" t="str">
            <v/>
          </cell>
          <cell r="Q78">
            <v>18</v>
          </cell>
          <cell r="R78">
            <v>2</v>
          </cell>
          <cell r="S78">
            <v>16</v>
          </cell>
          <cell r="T78">
            <v>0</v>
          </cell>
          <cell r="U78">
            <v>0</v>
          </cell>
          <cell r="V78">
            <v>11</v>
          </cell>
          <cell r="W78">
            <v>1</v>
          </cell>
          <cell r="X78">
            <v>10</v>
          </cell>
          <cell r="Y78" t="str">
            <v/>
          </cell>
          <cell r="Z78" t="str">
            <v/>
          </cell>
          <cell r="AA78">
            <v>17</v>
          </cell>
          <cell r="AB78">
            <v>1</v>
          </cell>
          <cell r="AC78">
            <v>16</v>
          </cell>
          <cell r="AD78"/>
          <cell r="AE78">
            <v>0</v>
          </cell>
          <cell r="AF78">
            <v>19</v>
          </cell>
          <cell r="AG78">
            <v>0</v>
          </cell>
          <cell r="AH78">
            <v>19</v>
          </cell>
          <cell r="AI78">
            <v>0</v>
          </cell>
          <cell r="AJ78">
            <v>0</v>
          </cell>
          <cell r="AK78">
            <v>16.666666666666668</v>
          </cell>
        </row>
        <row r="79">
          <cell r="A79" t="str">
            <v>FTK44004-AMW</v>
          </cell>
          <cell r="B79"/>
          <cell r="C79" t="str">
            <v>Bucha Bandeja</v>
          </cell>
          <cell r="D79" t="str">
            <v/>
          </cell>
          <cell r="E79" t="e">
            <v>#N/A</v>
          </cell>
          <cell r="F79" t="str">
            <v>BUCHA BRAÇO TENSOR UNO NÃO EXPORTAR</v>
          </cell>
          <cell r="G79"/>
          <cell r="H79">
            <v>0</v>
          </cell>
          <cell r="I79">
            <v>40</v>
          </cell>
          <cell r="J79">
            <v>40</v>
          </cell>
          <cell r="K79" t="str">
            <v/>
          </cell>
          <cell r="L79" t="str">
            <v/>
          </cell>
          <cell r="M79">
            <v>20</v>
          </cell>
          <cell r="N79" t="str">
            <v/>
          </cell>
          <cell r="O79">
            <v>20</v>
          </cell>
          <cell r="P79" t="str">
            <v/>
          </cell>
          <cell r="Q79">
            <v>28</v>
          </cell>
          <cell r="R79" t="str">
            <v>0</v>
          </cell>
          <cell r="S79">
            <v>28</v>
          </cell>
          <cell r="T79">
            <v>0</v>
          </cell>
          <cell r="U79">
            <v>0</v>
          </cell>
          <cell r="V79">
            <v>12</v>
          </cell>
          <cell r="W79">
            <v>0</v>
          </cell>
          <cell r="X79">
            <v>12</v>
          </cell>
          <cell r="Y79" t="str">
            <v/>
          </cell>
          <cell r="Z79" t="str">
            <v/>
          </cell>
          <cell r="AA79">
            <v>0</v>
          </cell>
          <cell r="AB79">
            <v>0</v>
          </cell>
          <cell r="AC79">
            <v>0</v>
          </cell>
          <cell r="AD79"/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16.666666666666668</v>
          </cell>
        </row>
        <row r="80">
          <cell r="A80">
            <v>5233</v>
          </cell>
          <cell r="B80" t="str">
            <v>Sim</v>
          </cell>
          <cell r="C80" t="str">
            <v>Bieleta</v>
          </cell>
          <cell r="D80" t="str">
            <v>HOLYMAN</v>
          </cell>
          <cell r="E80">
            <v>5</v>
          </cell>
          <cell r="F80" t="str">
            <v>Bieleta Dianteira Cobalt Onix Spin Sonic Malibu Le Ld</v>
          </cell>
          <cell r="G80"/>
          <cell r="H80">
            <v>24</v>
          </cell>
          <cell r="I80">
            <v>10</v>
          </cell>
          <cell r="J80">
            <v>10</v>
          </cell>
          <cell r="K80" t="str">
            <v/>
          </cell>
          <cell r="L80" t="str">
            <v/>
          </cell>
          <cell r="M80">
            <v>12</v>
          </cell>
          <cell r="N80" t="str">
            <v/>
          </cell>
          <cell r="O80">
            <v>12</v>
          </cell>
          <cell r="P80" t="str">
            <v/>
          </cell>
          <cell r="Q80">
            <v>22</v>
          </cell>
          <cell r="R80" t="str">
            <v>0</v>
          </cell>
          <cell r="S80">
            <v>22</v>
          </cell>
          <cell r="T80">
            <v>0</v>
          </cell>
          <cell r="U80">
            <v>0</v>
          </cell>
          <cell r="V80">
            <v>15</v>
          </cell>
          <cell r="W80">
            <v>0</v>
          </cell>
          <cell r="X80">
            <v>15</v>
          </cell>
          <cell r="Y80" t="str">
            <v/>
          </cell>
          <cell r="Z80" t="str">
            <v/>
          </cell>
          <cell r="AA80">
            <v>14</v>
          </cell>
          <cell r="AB80">
            <v>0</v>
          </cell>
          <cell r="AC80">
            <v>14</v>
          </cell>
          <cell r="AD80"/>
          <cell r="AE80">
            <v>0</v>
          </cell>
          <cell r="AF80">
            <v>16</v>
          </cell>
          <cell r="AG80">
            <v>0</v>
          </cell>
          <cell r="AH80">
            <v>16</v>
          </cell>
          <cell r="AI80">
            <v>0</v>
          </cell>
          <cell r="AJ80">
            <v>0</v>
          </cell>
          <cell r="AK80">
            <v>16.5</v>
          </cell>
        </row>
        <row r="81">
          <cell r="A81">
            <v>5717</v>
          </cell>
          <cell r="B81" t="str">
            <v>Sim</v>
          </cell>
          <cell r="C81" t="str">
            <v>Bieleta</v>
          </cell>
          <cell r="D81" t="str">
            <v>HOLYMAN</v>
          </cell>
          <cell r="E81">
            <v>5</v>
          </cell>
          <cell r="F81" t="str">
            <v>Bieleta Barra Peugeot 307 308 408 3008 C4 - C4  Picasso</v>
          </cell>
          <cell r="G81"/>
          <cell r="H81">
            <v>10</v>
          </cell>
          <cell r="I81">
            <v>14</v>
          </cell>
          <cell r="J81">
            <v>14</v>
          </cell>
          <cell r="K81" t="str">
            <v/>
          </cell>
          <cell r="L81" t="str">
            <v/>
          </cell>
          <cell r="M81">
            <v>28</v>
          </cell>
          <cell r="N81" t="str">
            <v/>
          </cell>
          <cell r="O81">
            <v>28</v>
          </cell>
          <cell r="P81" t="str">
            <v/>
          </cell>
          <cell r="Q81">
            <v>20</v>
          </cell>
          <cell r="R81" t="str">
            <v>0</v>
          </cell>
          <cell r="S81">
            <v>20</v>
          </cell>
          <cell r="T81">
            <v>0</v>
          </cell>
          <cell r="U81">
            <v>0</v>
          </cell>
          <cell r="V81">
            <v>20</v>
          </cell>
          <cell r="W81">
            <v>0</v>
          </cell>
          <cell r="X81">
            <v>20</v>
          </cell>
          <cell r="Y81" t="str">
            <v/>
          </cell>
          <cell r="Z81" t="str">
            <v/>
          </cell>
          <cell r="AA81">
            <v>6</v>
          </cell>
          <cell r="AB81">
            <v>0</v>
          </cell>
          <cell r="AC81">
            <v>6</v>
          </cell>
          <cell r="AD81"/>
          <cell r="AE81">
            <v>0</v>
          </cell>
          <cell r="AF81">
            <v>6</v>
          </cell>
          <cell r="AG81">
            <v>0</v>
          </cell>
          <cell r="AH81">
            <v>6</v>
          </cell>
          <cell r="AI81">
            <v>0</v>
          </cell>
          <cell r="AJ81">
            <v>0</v>
          </cell>
          <cell r="AK81">
            <v>16.333333333333332</v>
          </cell>
        </row>
        <row r="82">
          <cell r="A82">
            <v>4004</v>
          </cell>
          <cell r="B82" t="str">
            <v>Sim</v>
          </cell>
          <cell r="C82" t="str">
            <v>Capa Pedal</v>
          </cell>
          <cell r="D82" t="str">
            <v>HOLYMAN</v>
          </cell>
          <cell r="E82">
            <v>5</v>
          </cell>
          <cell r="F82" t="str">
            <v>Capa Pedal Acelerador Freio Embreagem Corsa 1994 Até 2015</v>
          </cell>
          <cell r="G82"/>
          <cell r="H82">
            <v>11</v>
          </cell>
          <cell r="I82">
            <v>16</v>
          </cell>
          <cell r="J82" t="str">
            <v/>
          </cell>
          <cell r="K82">
            <v>16</v>
          </cell>
          <cell r="L82" t="str">
            <v/>
          </cell>
          <cell r="M82">
            <v>18</v>
          </cell>
          <cell r="N82">
            <v>18</v>
          </cell>
          <cell r="O82" t="str">
            <v/>
          </cell>
          <cell r="P82" t="str">
            <v/>
          </cell>
          <cell r="Q82">
            <v>23</v>
          </cell>
          <cell r="R82">
            <v>23</v>
          </cell>
          <cell r="S82" t="str">
            <v>0</v>
          </cell>
          <cell r="T82">
            <v>0</v>
          </cell>
          <cell r="U82">
            <v>0</v>
          </cell>
          <cell r="V82">
            <v>15</v>
          </cell>
          <cell r="W82">
            <v>15</v>
          </cell>
          <cell r="X82" t="str">
            <v/>
          </cell>
          <cell r="Y82" t="str">
            <v/>
          </cell>
          <cell r="Z82" t="str">
            <v/>
          </cell>
          <cell r="AA82">
            <v>11</v>
          </cell>
          <cell r="AB82">
            <v>11</v>
          </cell>
          <cell r="AC82">
            <v>0</v>
          </cell>
          <cell r="AD82"/>
          <cell r="AE82">
            <v>0</v>
          </cell>
          <cell r="AF82">
            <v>14</v>
          </cell>
          <cell r="AG82">
            <v>14</v>
          </cell>
          <cell r="AH82">
            <v>0</v>
          </cell>
          <cell r="AI82">
            <v>0</v>
          </cell>
          <cell r="AJ82">
            <v>0</v>
          </cell>
          <cell r="AK82">
            <v>16.166666666666668</v>
          </cell>
        </row>
        <row r="83">
          <cell r="A83">
            <v>5705</v>
          </cell>
          <cell r="B83" t="str">
            <v>Sim</v>
          </cell>
          <cell r="C83" t="str">
            <v>Bieleta</v>
          </cell>
          <cell r="D83" t="str">
            <v>HOLYMAN</v>
          </cell>
          <cell r="E83">
            <v>5</v>
          </cell>
          <cell r="F83" t="str">
            <v>Bieleta Dianteira Pallas 2007 A 2013</v>
          </cell>
          <cell r="G83"/>
          <cell r="H83">
            <v>12</v>
          </cell>
          <cell r="I83">
            <v>15</v>
          </cell>
          <cell r="J83">
            <v>14</v>
          </cell>
          <cell r="K83">
            <v>1</v>
          </cell>
          <cell r="L83" t="str">
            <v/>
          </cell>
          <cell r="M83">
            <v>31</v>
          </cell>
          <cell r="N83">
            <v>1</v>
          </cell>
          <cell r="O83">
            <v>30</v>
          </cell>
          <cell r="P83" t="str">
            <v/>
          </cell>
          <cell r="Q83">
            <v>16</v>
          </cell>
          <cell r="R83" t="str">
            <v>0</v>
          </cell>
          <cell r="S83">
            <v>16</v>
          </cell>
          <cell r="T83">
            <v>0</v>
          </cell>
          <cell r="U83">
            <v>0</v>
          </cell>
          <cell r="V83">
            <v>15</v>
          </cell>
          <cell r="W83">
            <v>1</v>
          </cell>
          <cell r="X83">
            <v>14</v>
          </cell>
          <cell r="Y83" t="str">
            <v/>
          </cell>
          <cell r="Z83" t="str">
            <v/>
          </cell>
          <cell r="AA83">
            <v>18</v>
          </cell>
          <cell r="AB83">
            <v>2</v>
          </cell>
          <cell r="AC83">
            <v>16</v>
          </cell>
          <cell r="AD83"/>
          <cell r="AE83">
            <v>0</v>
          </cell>
          <cell r="AF83">
            <v>6</v>
          </cell>
          <cell r="AG83">
            <v>0</v>
          </cell>
          <cell r="AH83">
            <v>6</v>
          </cell>
          <cell r="AI83">
            <v>0</v>
          </cell>
          <cell r="AJ83">
            <v>0</v>
          </cell>
          <cell r="AK83">
            <v>15.833333333333334</v>
          </cell>
        </row>
        <row r="84">
          <cell r="A84">
            <v>4001</v>
          </cell>
          <cell r="B84" t="str">
            <v>Sim</v>
          </cell>
          <cell r="C84" t="str">
            <v>Capa Pedal</v>
          </cell>
          <cell r="D84" t="str">
            <v>HOLYMAN</v>
          </cell>
          <cell r="E84">
            <v>5</v>
          </cell>
          <cell r="F84" t="str">
            <v>Capa Pedal Acelerador Freio Embreagem Voyage Saveiro Gol</v>
          </cell>
          <cell r="G84"/>
          <cell r="H84">
            <v>13</v>
          </cell>
          <cell r="I84">
            <v>18</v>
          </cell>
          <cell r="J84" t="str">
            <v/>
          </cell>
          <cell r="K84">
            <v>18</v>
          </cell>
          <cell r="L84" t="str">
            <v/>
          </cell>
          <cell r="M84">
            <v>20</v>
          </cell>
          <cell r="N84">
            <v>20</v>
          </cell>
          <cell r="O84" t="str">
            <v/>
          </cell>
          <cell r="P84" t="str">
            <v/>
          </cell>
          <cell r="Q84">
            <v>20</v>
          </cell>
          <cell r="R84">
            <v>20</v>
          </cell>
          <cell r="S84" t="str">
            <v>0</v>
          </cell>
          <cell r="T84">
            <v>0</v>
          </cell>
          <cell r="U84">
            <v>0</v>
          </cell>
          <cell r="V84">
            <v>12</v>
          </cell>
          <cell r="W84">
            <v>12</v>
          </cell>
          <cell r="X84" t="str">
            <v/>
          </cell>
          <cell r="Y84" t="str">
            <v/>
          </cell>
          <cell r="Z84" t="str">
            <v/>
          </cell>
          <cell r="AA84">
            <v>3</v>
          </cell>
          <cell r="AB84">
            <v>3</v>
          </cell>
          <cell r="AC84">
            <v>0</v>
          </cell>
          <cell r="AD84"/>
          <cell r="AE84">
            <v>0</v>
          </cell>
          <cell r="AF84">
            <v>11</v>
          </cell>
          <cell r="AG84">
            <v>11</v>
          </cell>
          <cell r="AH84">
            <v>0</v>
          </cell>
          <cell r="AI84">
            <v>0</v>
          </cell>
          <cell r="AJ84">
            <v>0</v>
          </cell>
          <cell r="AK84">
            <v>15.666666666666666</v>
          </cell>
        </row>
        <row r="85">
          <cell r="A85">
            <v>5113</v>
          </cell>
          <cell r="B85" t="str">
            <v>Sim</v>
          </cell>
          <cell r="C85" t="str">
            <v>Bieleta</v>
          </cell>
          <cell r="D85" t="str">
            <v>HOLYMAN</v>
          </cell>
          <cell r="E85">
            <v>5</v>
          </cell>
          <cell r="F85" t="str">
            <v>Bieleta Dianteira Mobi Uno Palio Fiorino Grand Siena</v>
          </cell>
          <cell r="G85"/>
          <cell r="H85">
            <v>29</v>
          </cell>
          <cell r="I85">
            <v>10</v>
          </cell>
          <cell r="J85">
            <v>8</v>
          </cell>
          <cell r="K85">
            <v>2</v>
          </cell>
          <cell r="L85" t="str">
            <v/>
          </cell>
          <cell r="M85">
            <v>26</v>
          </cell>
          <cell r="N85">
            <v>2</v>
          </cell>
          <cell r="O85">
            <v>24</v>
          </cell>
          <cell r="P85" t="str">
            <v/>
          </cell>
          <cell r="Q85">
            <v>16</v>
          </cell>
          <cell r="R85" t="str">
            <v>0</v>
          </cell>
          <cell r="S85">
            <v>16</v>
          </cell>
          <cell r="T85">
            <v>0</v>
          </cell>
          <cell r="U85">
            <v>0</v>
          </cell>
          <cell r="V85">
            <v>5</v>
          </cell>
          <cell r="W85">
            <v>1</v>
          </cell>
          <cell r="X85">
            <v>4</v>
          </cell>
          <cell r="Y85" t="str">
            <v/>
          </cell>
          <cell r="Z85" t="str">
            <v/>
          </cell>
          <cell r="AA85">
            <v>11</v>
          </cell>
          <cell r="AB85">
            <v>3</v>
          </cell>
          <cell r="AC85">
            <v>8</v>
          </cell>
          <cell r="AD85"/>
          <cell r="AE85">
            <v>0</v>
          </cell>
          <cell r="AF85">
            <v>2</v>
          </cell>
          <cell r="AG85">
            <v>0</v>
          </cell>
          <cell r="AH85">
            <v>2</v>
          </cell>
          <cell r="AI85">
            <v>0</v>
          </cell>
          <cell r="AJ85">
            <v>0</v>
          </cell>
          <cell r="AK85">
            <v>14.666666666666666</v>
          </cell>
        </row>
        <row r="86">
          <cell r="A86">
            <v>112001</v>
          </cell>
          <cell r="B86" t="str">
            <v>Sim</v>
          </cell>
          <cell r="C86" t="str">
            <v>Bandeja</v>
          </cell>
          <cell r="D86" t="str">
            <v>SPARE</v>
          </cell>
          <cell r="E86">
            <v>2</v>
          </cell>
          <cell r="F86" t="str">
            <v>Bandeja Traseira Uno Cs S Sx 1984 A 1996</v>
          </cell>
          <cell r="G86"/>
          <cell r="H86">
            <v>15</v>
          </cell>
          <cell r="I86">
            <v>11</v>
          </cell>
          <cell r="J86">
            <v>10</v>
          </cell>
          <cell r="K86">
            <v>1</v>
          </cell>
          <cell r="L86" t="str">
            <v/>
          </cell>
          <cell r="M86">
            <v>20</v>
          </cell>
          <cell r="N86">
            <v>2</v>
          </cell>
          <cell r="O86">
            <v>18</v>
          </cell>
          <cell r="P86" t="str">
            <v/>
          </cell>
          <cell r="Q86">
            <v>13</v>
          </cell>
          <cell r="R86">
            <v>1</v>
          </cell>
          <cell r="S86">
            <v>12</v>
          </cell>
          <cell r="T86">
            <v>0</v>
          </cell>
          <cell r="U86">
            <v>0</v>
          </cell>
          <cell r="V86">
            <v>17</v>
          </cell>
          <cell r="W86">
            <v>5</v>
          </cell>
          <cell r="X86">
            <v>8</v>
          </cell>
          <cell r="Y86" t="str">
            <v/>
          </cell>
          <cell r="Z86">
            <v>4</v>
          </cell>
          <cell r="AA86">
            <v>14</v>
          </cell>
          <cell r="AB86">
            <v>2</v>
          </cell>
          <cell r="AC86">
            <v>12</v>
          </cell>
          <cell r="AD86"/>
          <cell r="AE86">
            <v>0</v>
          </cell>
          <cell r="AF86">
            <v>10</v>
          </cell>
          <cell r="AG86">
            <v>0</v>
          </cell>
          <cell r="AH86">
            <v>10</v>
          </cell>
          <cell r="AI86">
            <v>0</v>
          </cell>
          <cell r="AJ86">
            <v>0</v>
          </cell>
          <cell r="AK86">
            <v>14.333333333333334</v>
          </cell>
        </row>
        <row r="87">
          <cell r="A87" t="str">
            <v>FTK3321K</v>
          </cell>
          <cell r="B87" t="str">
            <v>Sim</v>
          </cell>
          <cell r="C87" t="str">
            <v>Coifa Homocinética</v>
          </cell>
          <cell r="D87" t="str">
            <v>Replabor</v>
          </cell>
          <cell r="E87">
            <v>11</v>
          </cell>
          <cell r="F87" t="str">
            <v>Coifa Homocinética Câmbio Ambos Lados Fiorino 1996 A 2017</v>
          </cell>
          <cell r="G87"/>
          <cell r="H87">
            <v>4</v>
          </cell>
          <cell r="I87">
            <v>22</v>
          </cell>
          <cell r="J87">
            <v>22</v>
          </cell>
          <cell r="K87" t="str">
            <v/>
          </cell>
          <cell r="L87" t="str">
            <v/>
          </cell>
          <cell r="M87">
            <v>23</v>
          </cell>
          <cell r="N87">
            <v>1</v>
          </cell>
          <cell r="O87">
            <v>22</v>
          </cell>
          <cell r="P87" t="str">
            <v/>
          </cell>
          <cell r="Q87">
            <v>24</v>
          </cell>
          <cell r="R87" t="str">
            <v>0</v>
          </cell>
          <cell r="S87">
            <v>24</v>
          </cell>
          <cell r="T87">
            <v>0</v>
          </cell>
          <cell r="U87">
            <v>0</v>
          </cell>
          <cell r="V87">
            <v>13</v>
          </cell>
          <cell r="W87">
            <v>1</v>
          </cell>
          <cell r="X87">
            <v>12</v>
          </cell>
          <cell r="Y87" t="str">
            <v/>
          </cell>
          <cell r="Z87" t="str">
            <v/>
          </cell>
          <cell r="AA87">
            <v>4</v>
          </cell>
          <cell r="AB87">
            <v>0</v>
          </cell>
          <cell r="AC87">
            <v>4</v>
          </cell>
          <cell r="AD87"/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14.333333333333334</v>
          </cell>
        </row>
        <row r="88">
          <cell r="A88">
            <v>90503</v>
          </cell>
          <cell r="B88" t="str">
            <v>Sim</v>
          </cell>
          <cell r="C88" t="str">
            <v>Reparo alavanta Câmbio</v>
          </cell>
          <cell r="D88" t="str">
            <v>BRK</v>
          </cell>
          <cell r="E88">
            <v>8</v>
          </cell>
          <cell r="F88" t="str">
            <v>Kit Reparo Trambulador Sandero 2007 À 2019</v>
          </cell>
          <cell r="G88"/>
          <cell r="H88">
            <v>14</v>
          </cell>
          <cell r="I88">
            <v>12</v>
          </cell>
          <cell r="J88" t="str">
            <v/>
          </cell>
          <cell r="K88">
            <v>12</v>
          </cell>
          <cell r="L88" t="str">
            <v/>
          </cell>
          <cell r="M88">
            <v>9</v>
          </cell>
          <cell r="N88">
            <v>9</v>
          </cell>
          <cell r="O88" t="str">
            <v/>
          </cell>
          <cell r="P88" t="str">
            <v/>
          </cell>
          <cell r="Q88">
            <v>16</v>
          </cell>
          <cell r="R88">
            <v>16</v>
          </cell>
          <cell r="S88" t="str">
            <v>0</v>
          </cell>
          <cell r="T88">
            <v>0</v>
          </cell>
          <cell r="U88">
            <v>0</v>
          </cell>
          <cell r="V88">
            <v>6</v>
          </cell>
          <cell r="W88">
            <v>5</v>
          </cell>
          <cell r="X88" t="str">
            <v/>
          </cell>
          <cell r="Y88" t="str">
            <v/>
          </cell>
          <cell r="Z88">
            <v>1</v>
          </cell>
          <cell r="AA88">
            <v>17</v>
          </cell>
          <cell r="AB88">
            <v>17</v>
          </cell>
          <cell r="AC88">
            <v>0</v>
          </cell>
          <cell r="AD88"/>
          <cell r="AE88">
            <v>0</v>
          </cell>
          <cell r="AF88">
            <v>25</v>
          </cell>
          <cell r="AG88">
            <v>25</v>
          </cell>
          <cell r="AH88">
            <v>0</v>
          </cell>
          <cell r="AI88">
            <v>0</v>
          </cell>
          <cell r="AJ88">
            <v>0</v>
          </cell>
          <cell r="AK88">
            <v>13.666666666666666</v>
          </cell>
        </row>
        <row r="89">
          <cell r="A89">
            <v>222014</v>
          </cell>
          <cell r="B89" t="str">
            <v>Sim</v>
          </cell>
          <cell r="C89" t="str">
            <v>Bandeja</v>
          </cell>
          <cell r="D89" t="str">
            <v>SPARE</v>
          </cell>
          <cell r="E89">
            <v>2</v>
          </cell>
          <cell r="F89" t="str">
            <v>Bandeja Superior Direita Com Pivô Ranger 1998 A 2011</v>
          </cell>
          <cell r="G89"/>
          <cell r="H89">
            <v>16</v>
          </cell>
          <cell r="I89">
            <v>19</v>
          </cell>
          <cell r="J89">
            <v>9</v>
          </cell>
          <cell r="K89">
            <v>10</v>
          </cell>
          <cell r="L89" t="str">
            <v/>
          </cell>
          <cell r="M89">
            <v>8</v>
          </cell>
          <cell r="N89">
            <v>5</v>
          </cell>
          <cell r="O89">
            <v>3</v>
          </cell>
          <cell r="P89" t="str">
            <v/>
          </cell>
          <cell r="Q89">
            <v>9</v>
          </cell>
          <cell r="R89">
            <v>7</v>
          </cell>
          <cell r="S89">
            <v>2</v>
          </cell>
          <cell r="T89">
            <v>0</v>
          </cell>
          <cell r="U89">
            <v>0</v>
          </cell>
          <cell r="V89">
            <v>11</v>
          </cell>
          <cell r="W89">
            <v>7</v>
          </cell>
          <cell r="X89">
            <v>3</v>
          </cell>
          <cell r="Y89" t="str">
            <v/>
          </cell>
          <cell r="Z89">
            <v>1</v>
          </cell>
          <cell r="AA89">
            <v>4</v>
          </cell>
          <cell r="AB89">
            <v>3</v>
          </cell>
          <cell r="AC89">
            <v>1</v>
          </cell>
          <cell r="AD89"/>
          <cell r="AE89">
            <v>0</v>
          </cell>
          <cell r="AF89">
            <v>18</v>
          </cell>
          <cell r="AG89">
            <v>4</v>
          </cell>
          <cell r="AH89">
            <v>14</v>
          </cell>
          <cell r="AI89">
            <v>0</v>
          </cell>
          <cell r="AJ89">
            <v>0</v>
          </cell>
          <cell r="AK89">
            <v>13.5</v>
          </cell>
        </row>
        <row r="90">
          <cell r="A90" t="str">
            <v>FTK11052</v>
          </cell>
          <cell r="B90" t="str">
            <v>Sim</v>
          </cell>
          <cell r="C90" t="str">
            <v>Pivô</v>
          </cell>
          <cell r="D90" t="str">
            <v>SPARE</v>
          </cell>
          <cell r="E90">
            <v>2</v>
          </cell>
          <cell r="F90" t="str">
            <v>Pivô Inferior Direita Strada Adventure Locker 2009 A 2017</v>
          </cell>
          <cell r="G90"/>
          <cell r="H90">
            <v>21</v>
          </cell>
          <cell r="I90">
            <v>12</v>
          </cell>
          <cell r="J90">
            <v>12</v>
          </cell>
          <cell r="K90" t="str">
            <v/>
          </cell>
          <cell r="L90" t="str">
            <v/>
          </cell>
          <cell r="M90">
            <v>18</v>
          </cell>
          <cell r="N90" t="str">
            <v/>
          </cell>
          <cell r="O90">
            <v>18</v>
          </cell>
          <cell r="P90" t="str">
            <v/>
          </cell>
          <cell r="Q90">
            <v>12</v>
          </cell>
          <cell r="R90" t="str">
            <v>0</v>
          </cell>
          <cell r="S90">
            <v>12</v>
          </cell>
          <cell r="T90">
            <v>0</v>
          </cell>
          <cell r="U90">
            <v>0</v>
          </cell>
          <cell r="V90">
            <v>7</v>
          </cell>
          <cell r="W90">
            <v>0</v>
          </cell>
          <cell r="X90">
            <v>7</v>
          </cell>
          <cell r="Y90" t="str">
            <v/>
          </cell>
          <cell r="Z90" t="str">
            <v/>
          </cell>
          <cell r="AA90">
            <v>12</v>
          </cell>
          <cell r="AB90">
            <v>0</v>
          </cell>
          <cell r="AC90">
            <v>12</v>
          </cell>
          <cell r="AD90"/>
          <cell r="AE90">
            <v>0</v>
          </cell>
          <cell r="AF90">
            <v>10</v>
          </cell>
          <cell r="AG90">
            <v>0</v>
          </cell>
          <cell r="AH90">
            <v>10</v>
          </cell>
          <cell r="AI90">
            <v>0</v>
          </cell>
          <cell r="AJ90">
            <v>0</v>
          </cell>
          <cell r="AK90">
            <v>13.333333333333334</v>
          </cell>
        </row>
        <row r="91">
          <cell r="A91" t="str">
            <v>FTK11053</v>
          </cell>
          <cell r="B91" t="str">
            <v>Sim</v>
          </cell>
          <cell r="C91" t="str">
            <v>Pivô</v>
          </cell>
          <cell r="D91" t="str">
            <v>SPARE</v>
          </cell>
          <cell r="E91">
            <v>2</v>
          </cell>
          <cell r="F91" t="str">
            <v>Pivô Inferior Da Bandeja Esquerda Idea Adventure 2006 A 2017</v>
          </cell>
          <cell r="G91"/>
          <cell r="H91">
            <v>20</v>
          </cell>
          <cell r="I91">
            <v>12</v>
          </cell>
          <cell r="J91">
            <v>12</v>
          </cell>
          <cell r="K91" t="str">
            <v/>
          </cell>
          <cell r="L91" t="str">
            <v/>
          </cell>
          <cell r="M91">
            <v>18</v>
          </cell>
          <cell r="N91" t="str">
            <v/>
          </cell>
          <cell r="O91">
            <v>18</v>
          </cell>
          <cell r="P91" t="str">
            <v/>
          </cell>
          <cell r="Q91">
            <v>12</v>
          </cell>
          <cell r="R91" t="str">
            <v>0</v>
          </cell>
          <cell r="S91">
            <v>12</v>
          </cell>
          <cell r="T91">
            <v>0</v>
          </cell>
          <cell r="U91">
            <v>0</v>
          </cell>
          <cell r="V91">
            <v>7</v>
          </cell>
          <cell r="W91">
            <v>0</v>
          </cell>
          <cell r="X91">
            <v>7</v>
          </cell>
          <cell r="Y91" t="str">
            <v/>
          </cell>
          <cell r="Z91" t="str">
            <v/>
          </cell>
          <cell r="AA91">
            <v>12</v>
          </cell>
          <cell r="AB91">
            <v>0</v>
          </cell>
          <cell r="AC91">
            <v>12</v>
          </cell>
          <cell r="AD91"/>
          <cell r="AE91">
            <v>0</v>
          </cell>
          <cell r="AF91">
            <v>10</v>
          </cell>
          <cell r="AG91">
            <v>0</v>
          </cell>
          <cell r="AH91">
            <v>10</v>
          </cell>
          <cell r="AI91">
            <v>0</v>
          </cell>
          <cell r="AJ91">
            <v>0</v>
          </cell>
          <cell r="AK91">
            <v>13.166666666666666</v>
          </cell>
        </row>
        <row r="92">
          <cell r="A92">
            <v>662012</v>
          </cell>
          <cell r="B92" t="str">
            <v>Sim</v>
          </cell>
          <cell r="C92" t="str">
            <v>Bandeja</v>
          </cell>
          <cell r="D92" t="str">
            <v>SPARE</v>
          </cell>
          <cell r="E92">
            <v>2</v>
          </cell>
          <cell r="F92" t="str">
            <v>Bandeja Inferior Direita Com Pivô Kwid 2017 Em Diante</v>
          </cell>
          <cell r="G92"/>
          <cell r="H92">
            <v>9</v>
          </cell>
          <cell r="I92">
            <v>14</v>
          </cell>
          <cell r="J92">
            <v>14</v>
          </cell>
          <cell r="K92" t="str">
            <v/>
          </cell>
          <cell r="L92" t="str">
            <v/>
          </cell>
          <cell r="M92">
            <v>13</v>
          </cell>
          <cell r="N92">
            <v>1</v>
          </cell>
          <cell r="O92">
            <v>12</v>
          </cell>
          <cell r="P92" t="str">
            <v/>
          </cell>
          <cell r="Q92">
            <v>14</v>
          </cell>
          <cell r="R92">
            <v>1</v>
          </cell>
          <cell r="S92">
            <v>13</v>
          </cell>
          <cell r="T92">
            <v>0</v>
          </cell>
          <cell r="U92">
            <v>0</v>
          </cell>
          <cell r="V92">
            <v>15</v>
          </cell>
          <cell r="W92">
            <v>2</v>
          </cell>
          <cell r="X92">
            <v>13</v>
          </cell>
          <cell r="Y92" t="str">
            <v/>
          </cell>
          <cell r="Z92" t="str">
            <v/>
          </cell>
          <cell r="AA92">
            <v>12</v>
          </cell>
          <cell r="AB92">
            <v>2</v>
          </cell>
          <cell r="AC92">
            <v>10</v>
          </cell>
          <cell r="AD92"/>
          <cell r="AE92">
            <v>0</v>
          </cell>
          <cell r="AF92">
            <v>13</v>
          </cell>
          <cell r="AG92">
            <v>0</v>
          </cell>
          <cell r="AH92">
            <v>13</v>
          </cell>
          <cell r="AI92">
            <v>0</v>
          </cell>
          <cell r="AJ92">
            <v>0</v>
          </cell>
          <cell r="AK92">
            <v>13</v>
          </cell>
        </row>
        <row r="93">
          <cell r="A93">
            <v>662013</v>
          </cell>
          <cell r="B93" t="str">
            <v>Sim</v>
          </cell>
          <cell r="C93" t="str">
            <v>Bandeja</v>
          </cell>
          <cell r="D93" t="str">
            <v>SPARE</v>
          </cell>
          <cell r="E93">
            <v>2</v>
          </cell>
          <cell r="F93" t="str">
            <v>Bandeja Inferior Esquerda Com Pivô Kwid 2017 Em Diante</v>
          </cell>
          <cell r="G93"/>
          <cell r="H93">
            <v>9</v>
          </cell>
          <cell r="I93">
            <v>15</v>
          </cell>
          <cell r="J93">
            <v>14</v>
          </cell>
          <cell r="K93">
            <v>1</v>
          </cell>
          <cell r="L93" t="str">
            <v/>
          </cell>
          <cell r="M93">
            <v>12</v>
          </cell>
          <cell r="N93" t="str">
            <v/>
          </cell>
          <cell r="O93">
            <v>12</v>
          </cell>
          <cell r="P93" t="str">
            <v/>
          </cell>
          <cell r="Q93">
            <v>14</v>
          </cell>
          <cell r="R93">
            <v>0</v>
          </cell>
          <cell r="S93">
            <v>13</v>
          </cell>
          <cell r="T93">
            <v>0</v>
          </cell>
          <cell r="U93">
            <v>1</v>
          </cell>
          <cell r="V93">
            <v>14</v>
          </cell>
          <cell r="W93">
            <v>1</v>
          </cell>
          <cell r="X93">
            <v>13</v>
          </cell>
          <cell r="Y93" t="str">
            <v/>
          </cell>
          <cell r="Z93" t="str">
            <v/>
          </cell>
          <cell r="AA93">
            <v>11</v>
          </cell>
          <cell r="AB93">
            <v>1</v>
          </cell>
          <cell r="AC93">
            <v>10</v>
          </cell>
          <cell r="AD93"/>
          <cell r="AE93">
            <v>0</v>
          </cell>
          <cell r="AF93">
            <v>13</v>
          </cell>
          <cell r="AG93">
            <v>0</v>
          </cell>
          <cell r="AH93">
            <v>13</v>
          </cell>
          <cell r="AI93">
            <v>0</v>
          </cell>
          <cell r="AJ93">
            <v>0</v>
          </cell>
          <cell r="AK93">
            <v>12.833333333333334</v>
          </cell>
        </row>
        <row r="94">
          <cell r="A94" t="str">
            <v>5W30-MAX</v>
          </cell>
          <cell r="B94"/>
          <cell r="C94" t="str">
            <v>Óleo Motor</v>
          </cell>
          <cell r="D94" t="str">
            <v>MAX Lubrificantes</v>
          </cell>
          <cell r="E94">
            <v>20</v>
          </cell>
          <cell r="F94" t="str">
            <v xml:space="preserve">Óleo 5W30 Maxi Lubrificantes  </v>
          </cell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>
            <v>4</v>
          </cell>
          <cell r="R94"/>
          <cell r="S94"/>
          <cell r="T94"/>
          <cell r="U94">
            <v>4</v>
          </cell>
          <cell r="V94">
            <v>22</v>
          </cell>
          <cell r="W94">
            <v>0</v>
          </cell>
          <cell r="X94" t="str">
            <v/>
          </cell>
          <cell r="Y94" t="str">
            <v/>
          </cell>
          <cell r="Z94">
            <v>22</v>
          </cell>
          <cell r="AA94">
            <v>24</v>
          </cell>
          <cell r="AB94">
            <v>0</v>
          </cell>
          <cell r="AC94">
            <v>0</v>
          </cell>
          <cell r="AD94"/>
          <cell r="AE94">
            <v>24</v>
          </cell>
          <cell r="AF94">
            <v>12</v>
          </cell>
          <cell r="AG94">
            <v>0</v>
          </cell>
          <cell r="AH94">
            <v>0</v>
          </cell>
          <cell r="AI94">
            <v>0</v>
          </cell>
          <cell r="AJ94">
            <v>12</v>
          </cell>
          <cell r="AK94">
            <v>12.666666666666666</v>
          </cell>
        </row>
        <row r="95">
          <cell r="A95">
            <v>2345</v>
          </cell>
          <cell r="B95" t="str">
            <v>Sim</v>
          </cell>
          <cell r="C95" t="str">
            <v>Pino de Porta</v>
          </cell>
          <cell r="D95" t="str">
            <v>LT CORREA</v>
          </cell>
          <cell r="E95">
            <v>3</v>
          </cell>
          <cell r="F95" t="str">
            <v>Pino Regulagem Da Ponta Do Cabo De Marcha Corsa Celta Vectra</v>
          </cell>
          <cell r="G95"/>
          <cell r="H95">
            <v>9</v>
          </cell>
          <cell r="I95">
            <v>4</v>
          </cell>
          <cell r="J95">
            <v>1</v>
          </cell>
          <cell r="K95">
            <v>3</v>
          </cell>
          <cell r="L95" t="str">
            <v/>
          </cell>
          <cell r="M95">
            <v>4</v>
          </cell>
          <cell r="N95">
            <v>4</v>
          </cell>
          <cell r="O95">
            <v>0</v>
          </cell>
          <cell r="P95" t="str">
            <v/>
          </cell>
          <cell r="Q95">
            <v>27</v>
          </cell>
          <cell r="R95">
            <v>1</v>
          </cell>
          <cell r="S95">
            <v>26</v>
          </cell>
          <cell r="T95">
            <v>0</v>
          </cell>
          <cell r="U95">
            <v>0</v>
          </cell>
          <cell r="V95">
            <v>28</v>
          </cell>
          <cell r="W95">
            <v>0</v>
          </cell>
          <cell r="X95">
            <v>28</v>
          </cell>
          <cell r="Y95" t="str">
            <v/>
          </cell>
          <cell r="Z95" t="str">
            <v/>
          </cell>
          <cell r="AA95">
            <v>2</v>
          </cell>
          <cell r="AB95">
            <v>1</v>
          </cell>
          <cell r="AC95">
            <v>1</v>
          </cell>
          <cell r="AD95"/>
          <cell r="AE95">
            <v>0</v>
          </cell>
          <cell r="AF95">
            <v>3</v>
          </cell>
          <cell r="AG95">
            <v>0</v>
          </cell>
          <cell r="AH95">
            <v>3</v>
          </cell>
          <cell r="AI95">
            <v>0</v>
          </cell>
          <cell r="AJ95">
            <v>0</v>
          </cell>
          <cell r="AK95">
            <v>12.5</v>
          </cell>
        </row>
        <row r="96">
          <cell r="A96">
            <v>5404</v>
          </cell>
          <cell r="B96" t="str">
            <v>Sim</v>
          </cell>
          <cell r="C96" t="str">
            <v>Bieleta</v>
          </cell>
          <cell r="D96" t="str">
            <v>HOLYMAN</v>
          </cell>
          <cell r="E96">
            <v>5</v>
          </cell>
          <cell r="F96" t="str">
            <v>Bieleta Dianteira Direita Honda Fit 2003 Até 2008 1.4 1.5</v>
          </cell>
          <cell r="G96"/>
          <cell r="H96">
            <v>10</v>
          </cell>
          <cell r="I96">
            <v>11</v>
          </cell>
          <cell r="J96">
            <v>11</v>
          </cell>
          <cell r="K96" t="str">
            <v/>
          </cell>
          <cell r="L96" t="str">
            <v/>
          </cell>
          <cell r="M96">
            <v>19</v>
          </cell>
          <cell r="N96" t="str">
            <v/>
          </cell>
          <cell r="O96">
            <v>19</v>
          </cell>
          <cell r="P96" t="str">
            <v/>
          </cell>
          <cell r="Q96">
            <v>9</v>
          </cell>
          <cell r="R96" t="str">
            <v>0</v>
          </cell>
          <cell r="S96">
            <v>9</v>
          </cell>
          <cell r="T96">
            <v>0</v>
          </cell>
          <cell r="U96">
            <v>0</v>
          </cell>
          <cell r="V96">
            <v>10</v>
          </cell>
          <cell r="W96">
            <v>2</v>
          </cell>
          <cell r="X96">
            <v>6</v>
          </cell>
          <cell r="Y96" t="str">
            <v/>
          </cell>
          <cell r="Z96">
            <v>2</v>
          </cell>
          <cell r="AA96">
            <v>11</v>
          </cell>
          <cell r="AB96">
            <v>0</v>
          </cell>
          <cell r="AC96">
            <v>11</v>
          </cell>
          <cell r="AD96"/>
          <cell r="AE96">
            <v>0</v>
          </cell>
          <cell r="AF96">
            <v>15</v>
          </cell>
          <cell r="AG96">
            <v>0</v>
          </cell>
          <cell r="AH96">
            <v>14</v>
          </cell>
          <cell r="AI96">
            <v>0</v>
          </cell>
          <cell r="AJ96">
            <v>1</v>
          </cell>
          <cell r="AK96">
            <v>12.333333333333334</v>
          </cell>
        </row>
        <row r="97">
          <cell r="A97" t="str">
            <v>FTK00903</v>
          </cell>
          <cell r="B97" t="str">
            <v>Não</v>
          </cell>
          <cell r="C97" t="str">
            <v>Pivô</v>
          </cell>
          <cell r="D97" t="str">
            <v>SPARE</v>
          </cell>
          <cell r="E97">
            <v>2</v>
          </cell>
          <cell r="F97" t="str">
            <v>Pivô Da Bandeja Inferior Peugeot 208 2013 A 2022</v>
          </cell>
          <cell r="G97"/>
          <cell r="H97">
            <v>0</v>
          </cell>
          <cell r="I97">
            <v>8</v>
          </cell>
          <cell r="J97">
            <v>8</v>
          </cell>
          <cell r="K97" t="str">
            <v/>
          </cell>
          <cell r="L97" t="str">
            <v/>
          </cell>
          <cell r="M97">
            <v>6</v>
          </cell>
          <cell r="N97" t="str">
            <v/>
          </cell>
          <cell r="O97">
            <v>6</v>
          </cell>
          <cell r="P97" t="str">
            <v/>
          </cell>
          <cell r="Q97">
            <v>30</v>
          </cell>
          <cell r="R97" t="str">
            <v>0</v>
          </cell>
          <cell r="S97">
            <v>30</v>
          </cell>
          <cell r="T97">
            <v>0</v>
          </cell>
          <cell r="U97">
            <v>0</v>
          </cell>
          <cell r="V97">
            <v>16</v>
          </cell>
          <cell r="W97">
            <v>0</v>
          </cell>
          <cell r="X97">
            <v>16</v>
          </cell>
          <cell r="Y97" t="str">
            <v/>
          </cell>
          <cell r="Z97" t="str">
            <v/>
          </cell>
          <cell r="AA97">
            <v>2</v>
          </cell>
          <cell r="AB97">
            <v>0</v>
          </cell>
          <cell r="AC97">
            <v>2</v>
          </cell>
          <cell r="AD97"/>
          <cell r="AE97">
            <v>0</v>
          </cell>
          <cell r="AF97">
            <v>14</v>
          </cell>
          <cell r="AG97">
            <v>0</v>
          </cell>
          <cell r="AH97">
            <v>14</v>
          </cell>
          <cell r="AI97">
            <v>0</v>
          </cell>
          <cell r="AJ97">
            <v>0</v>
          </cell>
          <cell r="AK97">
            <v>12.333333333333334</v>
          </cell>
        </row>
        <row r="98">
          <cell r="A98" t="str">
            <v>FTK3322K</v>
          </cell>
          <cell r="B98"/>
          <cell r="C98" t="str">
            <v>Coifa Homocinética</v>
          </cell>
          <cell r="D98" t="str">
            <v>Replabor</v>
          </cell>
          <cell r="E98">
            <v>11</v>
          </cell>
          <cell r="F98" t="str">
            <v>Coifa Homocinética Lado Roda Fiat Tipo 1.6 Todos Os Anos</v>
          </cell>
          <cell r="G98"/>
          <cell r="H98">
            <v>4</v>
          </cell>
          <cell r="I98">
            <v>24</v>
          </cell>
          <cell r="J98">
            <v>24</v>
          </cell>
          <cell r="K98">
            <v>0</v>
          </cell>
          <cell r="L98" t="str">
            <v/>
          </cell>
          <cell r="M98">
            <v>26</v>
          </cell>
          <cell r="N98" t="str">
            <v/>
          </cell>
          <cell r="O98">
            <v>26</v>
          </cell>
          <cell r="P98" t="str">
            <v/>
          </cell>
          <cell r="Q98">
            <v>16</v>
          </cell>
          <cell r="R98" t="str">
            <v>0</v>
          </cell>
          <cell r="S98">
            <v>16</v>
          </cell>
          <cell r="T98">
            <v>0</v>
          </cell>
          <cell r="U98">
            <v>0</v>
          </cell>
          <cell r="V98">
            <v>4</v>
          </cell>
          <cell r="W98">
            <v>0</v>
          </cell>
          <cell r="X98">
            <v>4</v>
          </cell>
          <cell r="Y98" t="str">
            <v/>
          </cell>
          <cell r="Z98" t="str">
            <v/>
          </cell>
          <cell r="AA98">
            <v>0</v>
          </cell>
          <cell r="AB98">
            <v>0</v>
          </cell>
          <cell r="AC98">
            <v>0</v>
          </cell>
          <cell r="AD98"/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12.333333333333334</v>
          </cell>
        </row>
        <row r="99">
          <cell r="A99">
            <v>4076</v>
          </cell>
          <cell r="B99" t="str">
            <v>Sim</v>
          </cell>
          <cell r="C99" t="str">
            <v>Capa Pedal</v>
          </cell>
          <cell r="D99" t="str">
            <v>HOLYMAN</v>
          </cell>
          <cell r="E99">
            <v>5</v>
          </cell>
          <cell r="F99" t="str">
            <v>Capa Pedal Embreagem Freio Renault Logan 2007 Até 2011</v>
          </cell>
          <cell r="G99"/>
          <cell r="H99">
            <v>15</v>
          </cell>
          <cell r="I99">
            <v>14</v>
          </cell>
          <cell r="J99" t="str">
            <v/>
          </cell>
          <cell r="K99">
            <v>14</v>
          </cell>
          <cell r="L99" t="str">
            <v/>
          </cell>
          <cell r="M99">
            <v>17</v>
          </cell>
          <cell r="N99">
            <v>17</v>
          </cell>
          <cell r="O99" t="str">
            <v/>
          </cell>
          <cell r="P99" t="str">
            <v/>
          </cell>
          <cell r="Q99">
            <v>7</v>
          </cell>
          <cell r="R99">
            <v>7</v>
          </cell>
          <cell r="S99" t="str">
            <v>0</v>
          </cell>
          <cell r="T99">
            <v>0</v>
          </cell>
          <cell r="U99">
            <v>0</v>
          </cell>
          <cell r="V99">
            <v>14</v>
          </cell>
          <cell r="W99">
            <v>14</v>
          </cell>
          <cell r="X99" t="str">
            <v/>
          </cell>
          <cell r="Y99" t="str">
            <v/>
          </cell>
          <cell r="Z99" t="str">
            <v/>
          </cell>
          <cell r="AA99">
            <v>6</v>
          </cell>
          <cell r="AB99">
            <v>6</v>
          </cell>
          <cell r="AC99">
            <v>0</v>
          </cell>
          <cell r="AD99"/>
          <cell r="AE99">
            <v>0</v>
          </cell>
          <cell r="AF99">
            <v>7</v>
          </cell>
          <cell r="AG99">
            <v>7</v>
          </cell>
          <cell r="AH99">
            <v>0</v>
          </cell>
          <cell r="AI99">
            <v>0</v>
          </cell>
          <cell r="AJ99">
            <v>0</v>
          </cell>
          <cell r="AK99">
            <v>12.333333333333334</v>
          </cell>
        </row>
        <row r="100">
          <cell r="A100">
            <v>5405</v>
          </cell>
          <cell r="B100" t="str">
            <v>Sim</v>
          </cell>
          <cell r="C100" t="str">
            <v>Bieleta</v>
          </cell>
          <cell r="D100" t="str">
            <v>HOLYMAN</v>
          </cell>
          <cell r="E100">
            <v>5</v>
          </cell>
          <cell r="F100" t="str">
            <v>Bieleta Dianteira Equerdo Honda Fit 2003 Até 2008 1.4 1.5</v>
          </cell>
          <cell r="G100"/>
          <cell r="H100">
            <v>10</v>
          </cell>
          <cell r="I100">
            <v>11</v>
          </cell>
          <cell r="J100">
            <v>11</v>
          </cell>
          <cell r="K100" t="str">
            <v/>
          </cell>
          <cell r="L100" t="str">
            <v/>
          </cell>
          <cell r="M100">
            <v>19</v>
          </cell>
          <cell r="N100" t="str">
            <v/>
          </cell>
          <cell r="O100">
            <v>19</v>
          </cell>
          <cell r="P100" t="str">
            <v/>
          </cell>
          <cell r="Q100">
            <v>9</v>
          </cell>
          <cell r="R100" t="str">
            <v>0</v>
          </cell>
          <cell r="S100">
            <v>9</v>
          </cell>
          <cell r="T100">
            <v>0</v>
          </cell>
          <cell r="U100">
            <v>0</v>
          </cell>
          <cell r="V100">
            <v>9</v>
          </cell>
          <cell r="W100">
            <v>1</v>
          </cell>
          <cell r="X100">
            <v>6</v>
          </cell>
          <cell r="Y100" t="str">
            <v/>
          </cell>
          <cell r="Z100">
            <v>2</v>
          </cell>
          <cell r="AA100">
            <v>11</v>
          </cell>
          <cell r="AB100">
            <v>0</v>
          </cell>
          <cell r="AC100">
            <v>11</v>
          </cell>
          <cell r="AD100"/>
          <cell r="AE100">
            <v>0</v>
          </cell>
          <cell r="AF100">
            <v>15</v>
          </cell>
          <cell r="AG100">
            <v>0</v>
          </cell>
          <cell r="AH100">
            <v>14</v>
          </cell>
          <cell r="AI100">
            <v>0</v>
          </cell>
          <cell r="AJ100">
            <v>1</v>
          </cell>
          <cell r="AK100">
            <v>12.166666666666666</v>
          </cell>
        </row>
        <row r="101">
          <cell r="A101" t="str">
            <v>FTK11038</v>
          </cell>
          <cell r="B101"/>
          <cell r="C101" t="str">
            <v>Pivô</v>
          </cell>
          <cell r="D101" t="str">
            <v>SPARE</v>
          </cell>
          <cell r="E101">
            <v>2</v>
          </cell>
          <cell r="F101" t="str">
            <v>PIVÔ INFERIOR AMBOS LADOS PALIO 1996 A 1999</v>
          </cell>
          <cell r="G101"/>
          <cell r="H101" t="str">
            <v>-</v>
          </cell>
          <cell r="I101"/>
          <cell r="J101"/>
          <cell r="K101"/>
          <cell r="L101"/>
          <cell r="M101"/>
          <cell r="N101"/>
          <cell r="O101"/>
          <cell r="P101"/>
          <cell r="Q101">
            <v>0</v>
          </cell>
          <cell r="R101"/>
          <cell r="S101">
            <v>0</v>
          </cell>
          <cell r="T101">
            <v>0</v>
          </cell>
          <cell r="U101">
            <v>0</v>
          </cell>
          <cell r="V101">
            <v>2</v>
          </cell>
          <cell r="W101">
            <v>0</v>
          </cell>
          <cell r="X101">
            <v>2</v>
          </cell>
          <cell r="Y101" t="str">
            <v/>
          </cell>
          <cell r="Z101" t="str">
            <v/>
          </cell>
          <cell r="AA101">
            <v>16</v>
          </cell>
          <cell r="AB101">
            <v>0</v>
          </cell>
          <cell r="AC101">
            <v>16</v>
          </cell>
          <cell r="AD101"/>
          <cell r="AE101">
            <v>0</v>
          </cell>
          <cell r="AF101">
            <v>34</v>
          </cell>
          <cell r="AG101">
            <v>0</v>
          </cell>
          <cell r="AH101">
            <v>34</v>
          </cell>
          <cell r="AI101">
            <v>0</v>
          </cell>
          <cell r="AJ101">
            <v>0</v>
          </cell>
          <cell r="AK101">
            <v>12</v>
          </cell>
        </row>
        <row r="102">
          <cell r="A102">
            <v>222015</v>
          </cell>
          <cell r="B102" t="str">
            <v>Sim</v>
          </cell>
          <cell r="C102" t="str">
            <v>Bandeja</v>
          </cell>
          <cell r="D102" t="str">
            <v>SPARE</v>
          </cell>
          <cell r="E102">
            <v>2</v>
          </cell>
          <cell r="F102" t="str">
            <v>Bandeja Superior Esquerda Com Pivô Ranger 1998 A 2011</v>
          </cell>
          <cell r="G102"/>
          <cell r="H102">
            <v>13</v>
          </cell>
          <cell r="I102">
            <v>18</v>
          </cell>
          <cell r="J102">
            <v>9</v>
          </cell>
          <cell r="K102">
            <v>9</v>
          </cell>
          <cell r="L102" t="str">
            <v/>
          </cell>
          <cell r="M102">
            <v>4</v>
          </cell>
          <cell r="N102">
            <v>1</v>
          </cell>
          <cell r="O102">
            <v>3</v>
          </cell>
          <cell r="P102" t="str">
            <v/>
          </cell>
          <cell r="Q102">
            <v>6</v>
          </cell>
          <cell r="R102">
            <v>4</v>
          </cell>
          <cell r="S102">
            <v>2</v>
          </cell>
          <cell r="T102">
            <v>0</v>
          </cell>
          <cell r="U102">
            <v>0</v>
          </cell>
          <cell r="V102">
            <v>7</v>
          </cell>
          <cell r="W102">
            <v>3</v>
          </cell>
          <cell r="X102">
            <v>3</v>
          </cell>
          <cell r="Y102" t="str">
            <v/>
          </cell>
          <cell r="Z102">
            <v>1</v>
          </cell>
          <cell r="AA102">
            <v>9</v>
          </cell>
          <cell r="AB102">
            <v>8</v>
          </cell>
          <cell r="AC102">
            <v>1</v>
          </cell>
          <cell r="AD102"/>
          <cell r="AE102">
            <v>0</v>
          </cell>
          <cell r="AF102">
            <v>23</v>
          </cell>
          <cell r="AG102">
            <v>9</v>
          </cell>
          <cell r="AH102">
            <v>14</v>
          </cell>
          <cell r="AI102">
            <v>0</v>
          </cell>
          <cell r="AJ102">
            <v>0</v>
          </cell>
          <cell r="AK102">
            <v>11.833333333333334</v>
          </cell>
        </row>
        <row r="103">
          <cell r="A103">
            <v>552015</v>
          </cell>
          <cell r="B103" t="str">
            <v>Sim</v>
          </cell>
          <cell r="C103" t="str">
            <v>Bandeja</v>
          </cell>
          <cell r="D103" t="str">
            <v>SPARE</v>
          </cell>
          <cell r="E103">
            <v>2</v>
          </cell>
          <cell r="F103" t="str">
            <v>Bandeja 307 Esquerdo 2002 Á 2012</v>
          </cell>
          <cell r="G103"/>
          <cell r="H103">
            <v>6</v>
          </cell>
          <cell r="I103">
            <v>13</v>
          </cell>
          <cell r="J103">
            <v>11</v>
          </cell>
          <cell r="K103" t="str">
            <v/>
          </cell>
          <cell r="L103">
            <v>2</v>
          </cell>
          <cell r="M103">
            <v>14</v>
          </cell>
          <cell r="N103">
            <v>2</v>
          </cell>
          <cell r="O103">
            <v>12</v>
          </cell>
          <cell r="P103" t="str">
            <v/>
          </cell>
          <cell r="Q103">
            <v>12</v>
          </cell>
          <cell r="R103">
            <v>3</v>
          </cell>
          <cell r="S103">
            <v>9</v>
          </cell>
          <cell r="T103">
            <v>0</v>
          </cell>
          <cell r="U103">
            <v>0</v>
          </cell>
          <cell r="V103">
            <v>18</v>
          </cell>
          <cell r="W103">
            <v>7</v>
          </cell>
          <cell r="X103">
            <v>11</v>
          </cell>
          <cell r="Y103" t="str">
            <v/>
          </cell>
          <cell r="Z103" t="str">
            <v/>
          </cell>
          <cell r="AA103">
            <v>13</v>
          </cell>
          <cell r="AB103">
            <v>3</v>
          </cell>
          <cell r="AC103">
            <v>10</v>
          </cell>
          <cell r="AD103"/>
          <cell r="AE103">
            <v>0</v>
          </cell>
          <cell r="AF103">
            <v>6</v>
          </cell>
          <cell r="AG103">
            <v>0</v>
          </cell>
          <cell r="AH103">
            <v>6</v>
          </cell>
          <cell r="AI103">
            <v>0</v>
          </cell>
          <cell r="AJ103">
            <v>0</v>
          </cell>
          <cell r="AK103">
            <v>11.5</v>
          </cell>
        </row>
        <row r="104">
          <cell r="A104" t="str">
            <v>FTK22182</v>
          </cell>
          <cell r="B104" t="str">
            <v>Não</v>
          </cell>
          <cell r="C104" t="str">
            <v>Pivô</v>
          </cell>
          <cell r="D104" t="str">
            <v>SPARE</v>
          </cell>
          <cell r="E104">
            <v>2</v>
          </cell>
          <cell r="F104" t="str">
            <v>Pivô Inferior Da Bandeja Ambos Lados Renault R11 1983 A 1997</v>
          </cell>
          <cell r="G104"/>
          <cell r="H104">
            <v>0</v>
          </cell>
          <cell r="I104">
            <v>18</v>
          </cell>
          <cell r="J104">
            <v>18</v>
          </cell>
          <cell r="K104" t="str">
            <v/>
          </cell>
          <cell r="L104" t="str">
            <v/>
          </cell>
          <cell r="M104">
            <v>22</v>
          </cell>
          <cell r="N104" t="str">
            <v/>
          </cell>
          <cell r="O104">
            <v>22</v>
          </cell>
          <cell r="P104" t="str">
            <v/>
          </cell>
          <cell r="Q104">
            <v>18</v>
          </cell>
          <cell r="R104" t="str">
            <v>0</v>
          </cell>
          <cell r="S104">
            <v>18</v>
          </cell>
          <cell r="T104">
            <v>0</v>
          </cell>
          <cell r="U104">
            <v>0</v>
          </cell>
          <cell r="V104">
            <v>7</v>
          </cell>
          <cell r="W104">
            <v>1</v>
          </cell>
          <cell r="X104">
            <v>6</v>
          </cell>
          <cell r="Y104" t="str">
            <v/>
          </cell>
          <cell r="Z104" t="str">
            <v/>
          </cell>
          <cell r="AA104">
            <v>14</v>
          </cell>
          <cell r="AB104">
            <v>0</v>
          </cell>
          <cell r="AC104">
            <v>14</v>
          </cell>
          <cell r="AD104"/>
          <cell r="AE104">
            <v>0</v>
          </cell>
          <cell r="AF104">
            <v>4</v>
          </cell>
          <cell r="AG104">
            <v>0</v>
          </cell>
          <cell r="AH104">
            <v>4</v>
          </cell>
          <cell r="AI104">
            <v>0</v>
          </cell>
          <cell r="AJ104">
            <v>0</v>
          </cell>
          <cell r="AK104">
            <v>11.5</v>
          </cell>
        </row>
        <row r="105">
          <cell r="A105">
            <v>227201</v>
          </cell>
          <cell r="B105" t="str">
            <v>Sim</v>
          </cell>
          <cell r="C105" t="str">
            <v>Cabo Embreagem</v>
          </cell>
          <cell r="D105" t="str">
            <v>Importação</v>
          </cell>
          <cell r="E105">
            <v>1</v>
          </cell>
          <cell r="F105" t="str">
            <v>Cabo Embreagem (regulagem Manual) Peugeot 206 1999 Em Diante</v>
          </cell>
          <cell r="G105"/>
          <cell r="H105">
            <v>15</v>
          </cell>
          <cell r="I105">
            <v>10</v>
          </cell>
          <cell r="J105" t="str">
            <v/>
          </cell>
          <cell r="K105">
            <v>10</v>
          </cell>
          <cell r="L105" t="str">
            <v/>
          </cell>
          <cell r="M105">
            <v>41</v>
          </cell>
          <cell r="N105">
            <v>11</v>
          </cell>
          <cell r="O105" t="str">
            <v/>
          </cell>
          <cell r="P105">
            <v>30</v>
          </cell>
          <cell r="Q105">
            <v>1</v>
          </cell>
          <cell r="R105">
            <v>1</v>
          </cell>
          <cell r="S105" t="str">
            <v>0</v>
          </cell>
          <cell r="T105">
            <v>0</v>
          </cell>
          <cell r="U105">
            <v>0</v>
          </cell>
          <cell r="V105">
            <v>2</v>
          </cell>
          <cell r="W105">
            <v>2</v>
          </cell>
          <cell r="X105" t="str">
            <v/>
          </cell>
          <cell r="Y105" t="str">
            <v/>
          </cell>
          <cell r="Z105" t="str">
            <v/>
          </cell>
          <cell r="AA105">
            <v>1</v>
          </cell>
          <cell r="AB105">
            <v>1</v>
          </cell>
          <cell r="AC105">
            <v>0</v>
          </cell>
          <cell r="AD105"/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11.5</v>
          </cell>
        </row>
        <row r="106">
          <cell r="A106">
            <v>26056</v>
          </cell>
          <cell r="B106" t="str">
            <v>Sim</v>
          </cell>
          <cell r="C106" t="str">
            <v>Pino de Freio</v>
          </cell>
          <cell r="D106" t="str">
            <v>MultiKit</v>
          </cell>
          <cell r="E106">
            <v>4</v>
          </cell>
          <cell r="F106" t="str">
            <v>Kit Pino Guia Pinça Freio Pajero Tr4 2003 Em Diante</v>
          </cell>
          <cell r="G106"/>
          <cell r="H106">
            <v>16</v>
          </cell>
          <cell r="I106">
            <v>2</v>
          </cell>
          <cell r="J106">
            <v>0</v>
          </cell>
          <cell r="K106">
            <v>2</v>
          </cell>
          <cell r="L106" t="str">
            <v/>
          </cell>
          <cell r="M106">
            <v>20</v>
          </cell>
          <cell r="N106">
            <v>14</v>
          </cell>
          <cell r="O106">
            <v>6</v>
          </cell>
          <cell r="P106" t="str">
            <v/>
          </cell>
          <cell r="Q106">
            <v>8</v>
          </cell>
          <cell r="R106">
            <v>2</v>
          </cell>
          <cell r="S106">
            <v>6</v>
          </cell>
          <cell r="T106">
            <v>0</v>
          </cell>
          <cell r="U106">
            <v>0</v>
          </cell>
          <cell r="V106">
            <v>11</v>
          </cell>
          <cell r="W106">
            <v>9</v>
          </cell>
          <cell r="X106" t="str">
            <v/>
          </cell>
          <cell r="Y106" t="str">
            <v/>
          </cell>
          <cell r="Z106">
            <v>2</v>
          </cell>
          <cell r="AA106">
            <v>19</v>
          </cell>
          <cell r="AB106">
            <v>13</v>
          </cell>
          <cell r="AC106">
            <v>6</v>
          </cell>
          <cell r="AD106"/>
          <cell r="AE106">
            <v>0</v>
          </cell>
          <cell r="AF106">
            <v>12</v>
          </cell>
          <cell r="AG106">
            <v>8</v>
          </cell>
          <cell r="AH106">
            <v>4</v>
          </cell>
          <cell r="AI106">
            <v>0</v>
          </cell>
          <cell r="AJ106">
            <v>0</v>
          </cell>
          <cell r="AK106">
            <v>11.5</v>
          </cell>
        </row>
        <row r="107">
          <cell r="A107">
            <v>442083</v>
          </cell>
          <cell r="B107" t="str">
            <v>Sim</v>
          </cell>
          <cell r="C107" t="str">
            <v>Bandeja</v>
          </cell>
          <cell r="D107" t="str">
            <v>SPARE</v>
          </cell>
          <cell r="E107">
            <v>2</v>
          </cell>
          <cell r="F107" t="str">
            <v>Bandeja Inferior Ambos Lados Escort 1993 A 1996 Sem Pivô</v>
          </cell>
          <cell r="G107"/>
          <cell r="H107">
            <v>10</v>
          </cell>
          <cell r="I107">
            <v>12</v>
          </cell>
          <cell r="J107">
            <v>12</v>
          </cell>
          <cell r="K107" t="str">
            <v/>
          </cell>
          <cell r="L107" t="str">
            <v/>
          </cell>
          <cell r="M107">
            <v>14</v>
          </cell>
          <cell r="N107" t="str">
            <v/>
          </cell>
          <cell r="O107">
            <v>14</v>
          </cell>
          <cell r="P107" t="str">
            <v/>
          </cell>
          <cell r="Q107">
            <v>5</v>
          </cell>
          <cell r="R107">
            <v>1</v>
          </cell>
          <cell r="S107">
            <v>4</v>
          </cell>
          <cell r="T107">
            <v>0</v>
          </cell>
          <cell r="U107">
            <v>0</v>
          </cell>
          <cell r="V107">
            <v>25</v>
          </cell>
          <cell r="W107">
            <v>0</v>
          </cell>
          <cell r="X107">
            <v>18</v>
          </cell>
          <cell r="Y107" t="str">
            <v/>
          </cell>
          <cell r="Z107">
            <v>7</v>
          </cell>
          <cell r="AA107">
            <v>8</v>
          </cell>
          <cell r="AB107">
            <v>0</v>
          </cell>
          <cell r="AC107">
            <v>8</v>
          </cell>
          <cell r="AD107"/>
          <cell r="AE107">
            <v>0</v>
          </cell>
          <cell r="AF107">
            <v>2</v>
          </cell>
          <cell r="AG107">
            <v>0</v>
          </cell>
          <cell r="AH107">
            <v>2</v>
          </cell>
          <cell r="AI107">
            <v>0</v>
          </cell>
          <cell r="AJ107">
            <v>0</v>
          </cell>
          <cell r="AK107">
            <v>11.333333333333334</v>
          </cell>
        </row>
        <row r="108">
          <cell r="A108">
            <v>552014</v>
          </cell>
          <cell r="B108" t="str">
            <v>Sim</v>
          </cell>
          <cell r="C108" t="str">
            <v>Bandeja</v>
          </cell>
          <cell r="D108" t="str">
            <v>SPARE</v>
          </cell>
          <cell r="E108">
            <v>2</v>
          </cell>
          <cell r="F108" t="str">
            <v>Bandeja C4 Picasso 2009 Á 2014 Lado Direito</v>
          </cell>
          <cell r="G108"/>
          <cell r="H108">
            <v>7</v>
          </cell>
          <cell r="I108">
            <v>14</v>
          </cell>
          <cell r="J108">
            <v>11</v>
          </cell>
          <cell r="K108">
            <v>1</v>
          </cell>
          <cell r="L108">
            <v>2</v>
          </cell>
          <cell r="M108">
            <v>14</v>
          </cell>
          <cell r="N108">
            <v>2</v>
          </cell>
          <cell r="O108">
            <v>12</v>
          </cell>
          <cell r="P108" t="str">
            <v/>
          </cell>
          <cell r="Q108">
            <v>11</v>
          </cell>
          <cell r="R108">
            <v>2</v>
          </cell>
          <cell r="S108">
            <v>9</v>
          </cell>
          <cell r="T108">
            <v>0</v>
          </cell>
          <cell r="U108">
            <v>0</v>
          </cell>
          <cell r="V108">
            <v>12</v>
          </cell>
          <cell r="W108">
            <v>1</v>
          </cell>
          <cell r="X108">
            <v>11</v>
          </cell>
          <cell r="Y108" t="str">
            <v/>
          </cell>
          <cell r="Z108" t="str">
            <v/>
          </cell>
          <cell r="AA108">
            <v>13</v>
          </cell>
          <cell r="AB108">
            <v>3</v>
          </cell>
          <cell r="AC108">
            <v>10</v>
          </cell>
          <cell r="AD108"/>
          <cell r="AE108">
            <v>0</v>
          </cell>
          <cell r="AF108">
            <v>10</v>
          </cell>
          <cell r="AG108">
            <v>4</v>
          </cell>
          <cell r="AH108">
            <v>6</v>
          </cell>
          <cell r="AI108">
            <v>0</v>
          </cell>
          <cell r="AJ108">
            <v>0</v>
          </cell>
          <cell r="AK108">
            <v>11.333333333333334</v>
          </cell>
        </row>
        <row r="109">
          <cell r="A109">
            <v>5711</v>
          </cell>
          <cell r="B109" t="str">
            <v>Sim</v>
          </cell>
          <cell r="C109" t="str">
            <v>Bieleta</v>
          </cell>
          <cell r="D109" t="str">
            <v>HOLYMAN</v>
          </cell>
          <cell r="E109">
            <v>5</v>
          </cell>
          <cell r="F109" t="str">
            <v>Bieleta Dianteira C3 2003 A 2008 E 2013 Em  Diante</v>
          </cell>
          <cell r="G109"/>
          <cell r="H109">
            <v>22</v>
          </cell>
          <cell r="I109">
            <v>14</v>
          </cell>
          <cell r="J109">
            <v>12</v>
          </cell>
          <cell r="K109">
            <v>2</v>
          </cell>
          <cell r="L109" t="str">
            <v/>
          </cell>
          <cell r="M109">
            <v>3</v>
          </cell>
          <cell r="N109">
            <v>1</v>
          </cell>
          <cell r="O109">
            <v>2</v>
          </cell>
          <cell r="P109" t="str">
            <v/>
          </cell>
          <cell r="Q109">
            <v>11</v>
          </cell>
          <cell r="R109">
            <v>5</v>
          </cell>
          <cell r="S109">
            <v>6</v>
          </cell>
          <cell r="T109">
            <v>0</v>
          </cell>
          <cell r="U109">
            <v>0</v>
          </cell>
          <cell r="V109">
            <v>14</v>
          </cell>
          <cell r="W109">
            <v>6</v>
          </cell>
          <cell r="X109">
            <v>8</v>
          </cell>
          <cell r="Y109" t="str">
            <v/>
          </cell>
          <cell r="Z109" t="str">
            <v/>
          </cell>
          <cell r="AA109">
            <v>12</v>
          </cell>
          <cell r="AB109">
            <v>4</v>
          </cell>
          <cell r="AC109">
            <v>8</v>
          </cell>
          <cell r="AD109"/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10.666666666666666</v>
          </cell>
        </row>
        <row r="110">
          <cell r="A110" t="str">
            <v>YBR 125 Velocímetro</v>
          </cell>
          <cell r="B110" t="str">
            <v>Sim</v>
          </cell>
          <cell r="C110" t="str">
            <v>Cabo velocímetro Moto</v>
          </cell>
          <cell r="D110" t="str">
            <v>Importação</v>
          </cell>
          <cell r="E110">
            <v>1</v>
          </cell>
          <cell r="F110" t="str">
            <v>Cabo De Velocímetro Yamaha Ybr 125 2003 2004 2005</v>
          </cell>
          <cell r="G110"/>
          <cell r="H110">
            <v>9</v>
          </cell>
          <cell r="I110">
            <v>12</v>
          </cell>
          <cell r="J110" t="str">
            <v/>
          </cell>
          <cell r="K110">
            <v>12</v>
          </cell>
          <cell r="L110" t="str">
            <v/>
          </cell>
          <cell r="M110">
            <v>5</v>
          </cell>
          <cell r="N110">
            <v>5</v>
          </cell>
          <cell r="O110" t="str">
            <v/>
          </cell>
          <cell r="P110" t="str">
            <v/>
          </cell>
          <cell r="Q110">
            <v>14</v>
          </cell>
          <cell r="R110">
            <v>14</v>
          </cell>
          <cell r="S110" t="str">
            <v>0</v>
          </cell>
          <cell r="T110">
            <v>0</v>
          </cell>
          <cell r="U110">
            <v>0</v>
          </cell>
          <cell r="V110">
            <v>16</v>
          </cell>
          <cell r="W110">
            <v>16</v>
          </cell>
          <cell r="X110" t="str">
            <v/>
          </cell>
          <cell r="Y110" t="str">
            <v/>
          </cell>
          <cell r="Z110" t="str">
            <v/>
          </cell>
          <cell r="AA110">
            <v>14</v>
          </cell>
          <cell r="AB110">
            <v>14</v>
          </cell>
          <cell r="AC110">
            <v>0</v>
          </cell>
          <cell r="AD110"/>
          <cell r="AE110">
            <v>0</v>
          </cell>
          <cell r="AF110">
            <v>8</v>
          </cell>
          <cell r="AG110">
            <v>8</v>
          </cell>
          <cell r="AH110">
            <v>0</v>
          </cell>
          <cell r="AI110">
            <v>0</v>
          </cell>
          <cell r="AJ110">
            <v>0</v>
          </cell>
          <cell r="AK110">
            <v>10.666666666666666</v>
          </cell>
        </row>
        <row r="111">
          <cell r="A111" t="str">
            <v>FTK33395</v>
          </cell>
          <cell r="B111" t="str">
            <v>Não</v>
          </cell>
          <cell r="C111" t="str">
            <v>Pivô</v>
          </cell>
          <cell r="D111" t="str">
            <v>SPARE</v>
          </cell>
          <cell r="E111">
            <v>2</v>
          </cell>
          <cell r="F111" t="str">
            <v>Pivô Inferior Dianteira Ambos Lados Ford Ka 2008 A 2014</v>
          </cell>
          <cell r="G111"/>
          <cell r="H111">
            <v>0</v>
          </cell>
          <cell r="I111">
            <v>12</v>
          </cell>
          <cell r="J111">
            <v>12</v>
          </cell>
          <cell r="K111" t="str">
            <v/>
          </cell>
          <cell r="L111" t="str">
            <v/>
          </cell>
          <cell r="M111">
            <v>22</v>
          </cell>
          <cell r="N111" t="str">
            <v/>
          </cell>
          <cell r="O111">
            <v>22</v>
          </cell>
          <cell r="P111" t="str">
            <v/>
          </cell>
          <cell r="Q111">
            <v>4</v>
          </cell>
          <cell r="R111" t="str">
            <v>0</v>
          </cell>
          <cell r="S111">
            <v>4</v>
          </cell>
          <cell r="T111">
            <v>0</v>
          </cell>
          <cell r="U111">
            <v>0</v>
          </cell>
          <cell r="V111">
            <v>16</v>
          </cell>
          <cell r="W111">
            <v>0</v>
          </cell>
          <cell r="X111">
            <v>16</v>
          </cell>
          <cell r="Y111" t="str">
            <v/>
          </cell>
          <cell r="Z111" t="str">
            <v/>
          </cell>
          <cell r="AA111">
            <v>16</v>
          </cell>
          <cell r="AB111">
            <v>0</v>
          </cell>
          <cell r="AC111">
            <v>16</v>
          </cell>
          <cell r="AD111"/>
          <cell r="AE111">
            <v>0</v>
          </cell>
          <cell r="AF111">
            <v>8</v>
          </cell>
          <cell r="AG111">
            <v>0</v>
          </cell>
          <cell r="AH111">
            <v>8</v>
          </cell>
          <cell r="AI111">
            <v>0</v>
          </cell>
          <cell r="AJ111">
            <v>0</v>
          </cell>
          <cell r="AK111">
            <v>10.333333333333334</v>
          </cell>
        </row>
        <row r="112">
          <cell r="A112">
            <v>332043</v>
          </cell>
          <cell r="B112" t="str">
            <v>Sim</v>
          </cell>
          <cell r="C112" t="str">
            <v>Bandeja</v>
          </cell>
          <cell r="D112" t="str">
            <v>SPARE</v>
          </cell>
          <cell r="E112">
            <v>2</v>
          </cell>
          <cell r="F112" t="str">
            <v>Morceguinho Lado Esquerdo Corsa 1994 A 1998</v>
          </cell>
          <cell r="G112"/>
          <cell r="H112">
            <v>5</v>
          </cell>
          <cell r="I112">
            <v>5</v>
          </cell>
          <cell r="J112">
            <v>5</v>
          </cell>
          <cell r="K112" t="str">
            <v/>
          </cell>
          <cell r="L112" t="str">
            <v/>
          </cell>
          <cell r="M112">
            <v>8</v>
          </cell>
          <cell r="N112" t="str">
            <v/>
          </cell>
          <cell r="O112">
            <v>8</v>
          </cell>
          <cell r="P112" t="str">
            <v/>
          </cell>
          <cell r="Q112">
            <v>9</v>
          </cell>
          <cell r="R112" t="str">
            <v>0</v>
          </cell>
          <cell r="S112">
            <v>9</v>
          </cell>
          <cell r="T112">
            <v>0</v>
          </cell>
          <cell r="U112">
            <v>0</v>
          </cell>
          <cell r="V112">
            <v>13</v>
          </cell>
          <cell r="W112">
            <v>0</v>
          </cell>
          <cell r="X112">
            <v>12</v>
          </cell>
          <cell r="Y112" t="str">
            <v/>
          </cell>
          <cell r="Z112">
            <v>1</v>
          </cell>
          <cell r="AA112">
            <v>14</v>
          </cell>
          <cell r="AB112">
            <v>0</v>
          </cell>
          <cell r="AC112">
            <v>14</v>
          </cell>
          <cell r="AD112"/>
          <cell r="AE112">
            <v>0</v>
          </cell>
          <cell r="AF112">
            <v>20</v>
          </cell>
          <cell r="AG112">
            <v>0</v>
          </cell>
          <cell r="AH112">
            <v>13</v>
          </cell>
          <cell r="AI112">
            <v>0</v>
          </cell>
          <cell r="AJ112">
            <v>7</v>
          </cell>
          <cell r="AK112">
            <v>10</v>
          </cell>
        </row>
        <row r="113">
          <cell r="A113">
            <v>332042</v>
          </cell>
          <cell r="B113" t="str">
            <v>Sim</v>
          </cell>
          <cell r="C113" t="str">
            <v>Bandeja</v>
          </cell>
          <cell r="D113" t="str">
            <v>SPARE</v>
          </cell>
          <cell r="E113">
            <v>2</v>
          </cell>
          <cell r="F113" t="str">
            <v>Morceguinho Lado Direito Corsa 1994 A 1998</v>
          </cell>
          <cell r="G113"/>
          <cell r="H113">
            <v>5</v>
          </cell>
          <cell r="I113">
            <v>5</v>
          </cell>
          <cell r="J113">
            <v>5</v>
          </cell>
          <cell r="K113" t="str">
            <v/>
          </cell>
          <cell r="L113" t="str">
            <v/>
          </cell>
          <cell r="M113">
            <v>8</v>
          </cell>
          <cell r="N113" t="str">
            <v/>
          </cell>
          <cell r="O113">
            <v>8</v>
          </cell>
          <cell r="P113" t="str">
            <v/>
          </cell>
          <cell r="Q113">
            <v>9</v>
          </cell>
          <cell r="R113" t="str">
            <v>0</v>
          </cell>
          <cell r="S113">
            <v>9</v>
          </cell>
          <cell r="T113">
            <v>0</v>
          </cell>
          <cell r="U113">
            <v>0</v>
          </cell>
          <cell r="V113">
            <v>13</v>
          </cell>
          <cell r="W113">
            <v>0</v>
          </cell>
          <cell r="X113">
            <v>12</v>
          </cell>
          <cell r="Y113" t="str">
            <v/>
          </cell>
          <cell r="Z113">
            <v>1</v>
          </cell>
          <cell r="AA113">
            <v>14</v>
          </cell>
          <cell r="AB113">
            <v>0</v>
          </cell>
          <cell r="AC113">
            <v>14</v>
          </cell>
          <cell r="AD113"/>
          <cell r="AE113">
            <v>0</v>
          </cell>
          <cell r="AF113">
            <v>20</v>
          </cell>
          <cell r="AG113">
            <v>0</v>
          </cell>
          <cell r="AH113">
            <v>13</v>
          </cell>
          <cell r="AI113">
            <v>0</v>
          </cell>
          <cell r="AJ113">
            <v>7</v>
          </cell>
          <cell r="AK113">
            <v>10</v>
          </cell>
        </row>
        <row r="114">
          <cell r="A114">
            <v>772006</v>
          </cell>
          <cell r="B114" t="str">
            <v>Sim</v>
          </cell>
          <cell r="C114" t="str">
            <v>Bandeja</v>
          </cell>
          <cell r="D114" t="str">
            <v>SPARE</v>
          </cell>
          <cell r="E114">
            <v>2</v>
          </cell>
          <cell r="F114" t="str">
            <v>Bandeja Dianteira Direita Sem Pivô Honda Fit 2009 A 2013</v>
          </cell>
          <cell r="G114"/>
          <cell r="H114">
            <v>7</v>
          </cell>
          <cell r="I114">
            <v>5</v>
          </cell>
          <cell r="J114" t="str">
            <v/>
          </cell>
          <cell r="K114" t="str">
            <v/>
          </cell>
          <cell r="L114" t="str">
            <v/>
          </cell>
          <cell r="M114">
            <v>19</v>
          </cell>
          <cell r="N114" t="str">
            <v/>
          </cell>
          <cell r="O114" t="str">
            <v/>
          </cell>
          <cell r="P114" t="str">
            <v/>
          </cell>
          <cell r="Q114">
            <v>13</v>
          </cell>
          <cell r="R114" t="str">
            <v>0</v>
          </cell>
          <cell r="S114">
            <v>1</v>
          </cell>
          <cell r="T114">
            <v>0</v>
          </cell>
          <cell r="U114">
            <v>0</v>
          </cell>
          <cell r="V114">
            <v>16</v>
          </cell>
          <cell r="W114">
            <v>0</v>
          </cell>
          <cell r="X114" t="str">
            <v/>
          </cell>
          <cell r="Y114" t="str">
            <v/>
          </cell>
          <cell r="Z114" t="str">
            <v/>
          </cell>
          <cell r="AA114">
            <v>0</v>
          </cell>
          <cell r="AB114">
            <v>0</v>
          </cell>
          <cell r="AC114">
            <v>0</v>
          </cell>
          <cell r="AD114"/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10</v>
          </cell>
        </row>
        <row r="115">
          <cell r="A115">
            <v>66416</v>
          </cell>
          <cell r="B115" t="str">
            <v>Sim</v>
          </cell>
          <cell r="C115" t="str">
            <v>Cabo Embreagem</v>
          </cell>
          <cell r="D115" t="str">
            <v>Importação / Mundiflex</v>
          </cell>
          <cell r="E115">
            <v>19</v>
          </cell>
          <cell r="F115" t="str">
            <v>Cabo De Embreagem Palio 1.0 (46781013) 2000 2001 2002 2003</v>
          </cell>
          <cell r="G115"/>
          <cell r="H115">
            <v>14</v>
          </cell>
          <cell r="I115">
            <v>7</v>
          </cell>
          <cell r="J115">
            <v>0</v>
          </cell>
          <cell r="K115">
            <v>7</v>
          </cell>
          <cell r="L115" t="str">
            <v/>
          </cell>
          <cell r="M115">
            <v>11</v>
          </cell>
          <cell r="N115">
            <v>11</v>
          </cell>
          <cell r="O115">
            <v>0</v>
          </cell>
          <cell r="P115" t="str">
            <v/>
          </cell>
          <cell r="Q115">
            <v>17</v>
          </cell>
          <cell r="R115">
            <v>17</v>
          </cell>
          <cell r="S115">
            <v>0</v>
          </cell>
          <cell r="T115">
            <v>0</v>
          </cell>
          <cell r="U115">
            <v>0</v>
          </cell>
          <cell r="V115">
            <v>6</v>
          </cell>
          <cell r="W115">
            <v>6</v>
          </cell>
          <cell r="X115" t="str">
            <v/>
          </cell>
          <cell r="Y115" t="str">
            <v/>
          </cell>
          <cell r="Z115" t="str">
            <v/>
          </cell>
          <cell r="AA115">
            <v>3</v>
          </cell>
          <cell r="AB115">
            <v>3</v>
          </cell>
          <cell r="AC115">
            <v>0</v>
          </cell>
          <cell r="AD115"/>
          <cell r="AE115">
            <v>0</v>
          </cell>
          <cell r="AF115">
            <v>4</v>
          </cell>
          <cell r="AG115">
            <v>4</v>
          </cell>
          <cell r="AH115">
            <v>0</v>
          </cell>
          <cell r="AI115">
            <v>0</v>
          </cell>
          <cell r="AJ115">
            <v>0</v>
          </cell>
          <cell r="AK115">
            <v>9.8333333333333339</v>
          </cell>
        </row>
        <row r="116">
          <cell r="A116" t="str">
            <v>FTK11022</v>
          </cell>
          <cell r="B116" t="str">
            <v>Não</v>
          </cell>
          <cell r="C116" t="str">
            <v>Pivô</v>
          </cell>
          <cell r="D116" t="str">
            <v>SPARE</v>
          </cell>
          <cell r="E116">
            <v>2</v>
          </cell>
          <cell r="F116" t="str">
            <v>Pivô Bandeja Inferior Ambos Lados Verona 1993 A 1996</v>
          </cell>
          <cell r="G116"/>
          <cell r="H116">
            <v>0</v>
          </cell>
          <cell r="I116">
            <v>12</v>
          </cell>
          <cell r="J116">
            <v>12</v>
          </cell>
          <cell r="K116" t="str">
            <v/>
          </cell>
          <cell r="L116" t="str">
            <v/>
          </cell>
          <cell r="M116">
            <v>12</v>
          </cell>
          <cell r="N116" t="str">
            <v/>
          </cell>
          <cell r="O116">
            <v>12</v>
          </cell>
          <cell r="P116" t="str">
            <v/>
          </cell>
          <cell r="Q116">
            <v>4</v>
          </cell>
          <cell r="R116" t="str">
            <v>0</v>
          </cell>
          <cell r="S116">
            <v>4</v>
          </cell>
          <cell r="T116">
            <v>0</v>
          </cell>
          <cell r="U116">
            <v>0</v>
          </cell>
          <cell r="V116">
            <v>28</v>
          </cell>
          <cell r="W116">
            <v>0</v>
          </cell>
          <cell r="X116">
            <v>16</v>
          </cell>
          <cell r="Y116" t="str">
            <v/>
          </cell>
          <cell r="Z116">
            <v>12</v>
          </cell>
          <cell r="AA116">
            <v>9</v>
          </cell>
          <cell r="AB116">
            <v>0</v>
          </cell>
          <cell r="AC116">
            <v>8</v>
          </cell>
          <cell r="AD116"/>
          <cell r="AE116">
            <v>1</v>
          </cell>
          <cell r="AF116">
            <v>2</v>
          </cell>
          <cell r="AG116">
            <v>0</v>
          </cell>
          <cell r="AH116">
            <v>2</v>
          </cell>
          <cell r="AI116">
            <v>0</v>
          </cell>
          <cell r="AJ116">
            <v>0</v>
          </cell>
          <cell r="AK116">
            <v>9.6666666666666661</v>
          </cell>
        </row>
        <row r="117">
          <cell r="A117">
            <v>66640</v>
          </cell>
          <cell r="B117" t="str">
            <v>Sim</v>
          </cell>
          <cell r="C117" t="str">
            <v>Cabo Câmbio</v>
          </cell>
          <cell r="D117" t="str">
            <v>Importação</v>
          </cell>
          <cell r="E117">
            <v>1</v>
          </cell>
          <cell r="F117" t="str">
            <v>Cabo Do Trambulador Engate Palio Weekend G2 G3 2003 A 2008</v>
          </cell>
          <cell r="G117"/>
          <cell r="H117">
            <v>15</v>
          </cell>
          <cell r="I117">
            <v>8</v>
          </cell>
          <cell r="J117" t="str">
            <v/>
          </cell>
          <cell r="K117">
            <v>8</v>
          </cell>
          <cell r="L117" t="str">
            <v/>
          </cell>
          <cell r="M117">
            <v>9</v>
          </cell>
          <cell r="N117">
            <v>9</v>
          </cell>
          <cell r="O117" t="str">
            <v/>
          </cell>
          <cell r="P117" t="str">
            <v/>
          </cell>
          <cell r="Q117">
            <v>10</v>
          </cell>
          <cell r="R117">
            <v>10</v>
          </cell>
          <cell r="S117" t="str">
            <v>0</v>
          </cell>
          <cell r="T117">
            <v>0</v>
          </cell>
          <cell r="U117">
            <v>0</v>
          </cell>
          <cell r="V117">
            <v>9</v>
          </cell>
          <cell r="W117">
            <v>9</v>
          </cell>
          <cell r="X117" t="str">
            <v/>
          </cell>
          <cell r="Y117" t="str">
            <v/>
          </cell>
          <cell r="Z117" t="str">
            <v/>
          </cell>
          <cell r="AA117">
            <v>8</v>
          </cell>
          <cell r="AB117">
            <v>8</v>
          </cell>
          <cell r="AC117">
            <v>0</v>
          </cell>
          <cell r="AD117"/>
          <cell r="AE117">
            <v>0</v>
          </cell>
          <cell r="AF117">
            <v>6</v>
          </cell>
          <cell r="AG117">
            <v>6</v>
          </cell>
          <cell r="AH117">
            <v>0</v>
          </cell>
          <cell r="AI117">
            <v>0</v>
          </cell>
          <cell r="AJ117">
            <v>0</v>
          </cell>
          <cell r="AK117">
            <v>9.5</v>
          </cell>
        </row>
        <row r="118">
          <cell r="A118">
            <v>552010</v>
          </cell>
          <cell r="B118" t="str">
            <v>Sim</v>
          </cell>
          <cell r="C118" t="str">
            <v>Bandeja</v>
          </cell>
          <cell r="D118" t="str">
            <v>SPARE</v>
          </cell>
          <cell r="E118">
            <v>2</v>
          </cell>
          <cell r="F118" t="str">
            <v>Bandeja Direita Sem Pivô Citroen C3 2003 A 2012</v>
          </cell>
          <cell r="G118"/>
          <cell r="H118">
            <v>7</v>
          </cell>
          <cell r="I118">
            <v>6</v>
          </cell>
          <cell r="J118">
            <v>4</v>
          </cell>
          <cell r="K118">
            <v>2</v>
          </cell>
          <cell r="L118" t="str">
            <v/>
          </cell>
          <cell r="M118">
            <v>6</v>
          </cell>
          <cell r="N118">
            <v>2</v>
          </cell>
          <cell r="O118">
            <v>4</v>
          </cell>
          <cell r="P118" t="str">
            <v/>
          </cell>
          <cell r="Q118">
            <v>11</v>
          </cell>
          <cell r="R118">
            <v>5</v>
          </cell>
          <cell r="S118">
            <v>6</v>
          </cell>
          <cell r="T118">
            <v>0</v>
          </cell>
          <cell r="U118">
            <v>0</v>
          </cell>
          <cell r="V118">
            <v>12</v>
          </cell>
          <cell r="W118">
            <v>6</v>
          </cell>
          <cell r="X118">
            <v>6</v>
          </cell>
          <cell r="Y118" t="str">
            <v/>
          </cell>
          <cell r="Z118" t="str">
            <v/>
          </cell>
          <cell r="AA118">
            <v>9</v>
          </cell>
          <cell r="AB118">
            <v>7</v>
          </cell>
          <cell r="AC118">
            <v>2</v>
          </cell>
          <cell r="AD118"/>
          <cell r="AE118">
            <v>0</v>
          </cell>
          <cell r="AF118">
            <v>15</v>
          </cell>
          <cell r="AG118">
            <v>7</v>
          </cell>
          <cell r="AH118">
            <v>8</v>
          </cell>
          <cell r="AI118">
            <v>0</v>
          </cell>
          <cell r="AJ118">
            <v>0</v>
          </cell>
          <cell r="AK118">
            <v>9.5</v>
          </cell>
        </row>
        <row r="119">
          <cell r="A119">
            <v>26048</v>
          </cell>
          <cell r="B119" t="str">
            <v>Sim</v>
          </cell>
          <cell r="C119" t="str">
            <v>Pino de Freio</v>
          </cell>
          <cell r="D119" t="str">
            <v>MultiKit</v>
          </cell>
          <cell r="E119">
            <v>4</v>
          </cell>
          <cell r="F119" t="str">
            <v>Kit Pino Guia Pinça De Freio Diant 1lado L200 Sport 2004</v>
          </cell>
          <cell r="G119"/>
          <cell r="H119">
            <v>11</v>
          </cell>
          <cell r="I119">
            <v>14</v>
          </cell>
          <cell r="J119">
            <v>2</v>
          </cell>
          <cell r="K119">
            <v>12</v>
          </cell>
          <cell r="L119" t="str">
            <v/>
          </cell>
          <cell r="M119">
            <v>8</v>
          </cell>
          <cell r="N119">
            <v>4</v>
          </cell>
          <cell r="O119">
            <v>4</v>
          </cell>
          <cell r="P119" t="str">
            <v/>
          </cell>
          <cell r="Q119">
            <v>10</v>
          </cell>
          <cell r="R119">
            <v>6</v>
          </cell>
          <cell r="S119">
            <v>4</v>
          </cell>
          <cell r="T119">
            <v>0</v>
          </cell>
          <cell r="U119">
            <v>0</v>
          </cell>
          <cell r="V119">
            <v>7</v>
          </cell>
          <cell r="W119">
            <v>5</v>
          </cell>
          <cell r="X119">
            <v>2</v>
          </cell>
          <cell r="Y119" t="str">
            <v/>
          </cell>
          <cell r="Z119" t="str">
            <v/>
          </cell>
          <cell r="AA119">
            <v>10</v>
          </cell>
          <cell r="AB119">
            <v>0</v>
          </cell>
          <cell r="AC119">
            <v>10</v>
          </cell>
          <cell r="AD119"/>
          <cell r="AE119">
            <v>0</v>
          </cell>
          <cell r="AF119">
            <v>6</v>
          </cell>
          <cell r="AG119">
            <v>0</v>
          </cell>
          <cell r="AH119">
            <v>6</v>
          </cell>
          <cell r="AI119">
            <v>0</v>
          </cell>
          <cell r="AJ119">
            <v>0</v>
          </cell>
          <cell r="AK119">
            <v>9.3333333333333339</v>
          </cell>
        </row>
        <row r="120">
          <cell r="A120" t="str">
            <v>FTK-T325/T</v>
          </cell>
          <cell r="B120" t="str">
            <v>Sim</v>
          </cell>
          <cell r="C120" t="str">
            <v>Reparo alavanta Câmbio</v>
          </cell>
          <cell r="D120" t="str">
            <v>CAMARG</v>
          </cell>
          <cell r="E120">
            <v>15</v>
          </cell>
          <cell r="F120" t="str">
            <v>Trambulador Do Câmbio Completo Gol Quadrado 5 Marchas</v>
          </cell>
          <cell r="G120"/>
          <cell r="H120" t="str">
            <v>-</v>
          </cell>
          <cell r="I120"/>
          <cell r="J120"/>
          <cell r="K120"/>
          <cell r="L120"/>
          <cell r="M120"/>
          <cell r="N120"/>
          <cell r="O120"/>
          <cell r="P120"/>
          <cell r="Q120">
            <v>3</v>
          </cell>
          <cell r="R120">
            <v>3</v>
          </cell>
          <cell r="S120" t="str">
            <v>0</v>
          </cell>
          <cell r="T120">
            <v>0</v>
          </cell>
          <cell r="U120">
            <v>0</v>
          </cell>
          <cell r="V120">
            <v>13</v>
          </cell>
          <cell r="W120">
            <v>13</v>
          </cell>
          <cell r="X120" t="str">
            <v/>
          </cell>
          <cell r="Y120" t="str">
            <v/>
          </cell>
          <cell r="Z120" t="str">
            <v/>
          </cell>
          <cell r="AA120">
            <v>7</v>
          </cell>
          <cell r="AB120">
            <v>7</v>
          </cell>
          <cell r="AC120">
            <v>0</v>
          </cell>
          <cell r="AD120"/>
          <cell r="AE120">
            <v>0</v>
          </cell>
          <cell r="AF120">
            <v>12</v>
          </cell>
          <cell r="AG120">
            <v>12</v>
          </cell>
          <cell r="AH120">
            <v>0</v>
          </cell>
          <cell r="AI120">
            <v>0</v>
          </cell>
          <cell r="AJ120">
            <v>0</v>
          </cell>
          <cell r="AK120">
            <v>9.3333333333333339</v>
          </cell>
        </row>
        <row r="121">
          <cell r="A121">
            <v>66610</v>
          </cell>
          <cell r="B121" t="str">
            <v>Sim</v>
          </cell>
          <cell r="C121" t="str">
            <v>Cabo Câmbio</v>
          </cell>
          <cell r="D121" t="str">
            <v>Importação</v>
          </cell>
          <cell r="E121">
            <v>1</v>
          </cell>
          <cell r="F121" t="str">
            <v>Cabo De Câmbio Engate Strada 1.5 1.6 1999 A 2002</v>
          </cell>
          <cell r="G121"/>
          <cell r="H121">
            <v>9</v>
          </cell>
          <cell r="I121">
            <v>6</v>
          </cell>
          <cell r="J121">
            <v>0</v>
          </cell>
          <cell r="K121">
            <v>6</v>
          </cell>
          <cell r="L121" t="str">
            <v/>
          </cell>
          <cell r="M121">
            <v>13</v>
          </cell>
          <cell r="N121">
            <v>4</v>
          </cell>
          <cell r="O121">
            <v>9</v>
          </cell>
          <cell r="P121" t="str">
            <v/>
          </cell>
          <cell r="Q121">
            <v>8</v>
          </cell>
          <cell r="R121">
            <v>1</v>
          </cell>
          <cell r="S121">
            <v>7</v>
          </cell>
          <cell r="T121">
            <v>0</v>
          </cell>
          <cell r="U121">
            <v>0</v>
          </cell>
          <cell r="V121">
            <v>19</v>
          </cell>
          <cell r="W121">
            <v>7</v>
          </cell>
          <cell r="X121">
            <v>12</v>
          </cell>
          <cell r="Y121" t="str">
            <v/>
          </cell>
          <cell r="Z121" t="str">
            <v/>
          </cell>
          <cell r="AA121">
            <v>1</v>
          </cell>
          <cell r="AB121">
            <v>1</v>
          </cell>
          <cell r="AC121">
            <v>0</v>
          </cell>
          <cell r="AD121"/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9.1666666666666661</v>
          </cell>
        </row>
        <row r="122">
          <cell r="A122">
            <v>772005</v>
          </cell>
          <cell r="B122" t="str">
            <v>Sim</v>
          </cell>
          <cell r="C122" t="str">
            <v>Bandeja</v>
          </cell>
          <cell r="D122" t="str">
            <v>SPARE</v>
          </cell>
          <cell r="E122">
            <v>2</v>
          </cell>
          <cell r="F122" t="str">
            <v>Bandeja Dianteira Esquerda Sem Pivô Honda Fit 2°geração 2008</v>
          </cell>
          <cell r="G122"/>
          <cell r="H122">
            <v>4</v>
          </cell>
          <cell r="I122">
            <v>7</v>
          </cell>
          <cell r="J122" t="str">
            <v/>
          </cell>
          <cell r="K122" t="str">
            <v/>
          </cell>
          <cell r="L122" t="str">
            <v/>
          </cell>
          <cell r="M122">
            <v>14</v>
          </cell>
          <cell r="N122" t="str">
            <v/>
          </cell>
          <cell r="O122" t="str">
            <v/>
          </cell>
          <cell r="P122" t="str">
            <v/>
          </cell>
          <cell r="Q122">
            <v>15</v>
          </cell>
          <cell r="R122" t="str">
            <v>0</v>
          </cell>
          <cell r="S122">
            <v>1</v>
          </cell>
          <cell r="T122">
            <v>0</v>
          </cell>
          <cell r="U122">
            <v>0</v>
          </cell>
          <cell r="V122">
            <v>15</v>
          </cell>
          <cell r="W122">
            <v>0</v>
          </cell>
          <cell r="X122" t="str">
            <v/>
          </cell>
          <cell r="Y122" t="str">
            <v/>
          </cell>
          <cell r="Z122" t="str">
            <v/>
          </cell>
          <cell r="AA122">
            <v>0</v>
          </cell>
          <cell r="AB122">
            <v>0</v>
          </cell>
          <cell r="AC122">
            <v>0</v>
          </cell>
          <cell r="AD122"/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9.1666666666666661</v>
          </cell>
        </row>
        <row r="123">
          <cell r="A123">
            <v>112011</v>
          </cell>
          <cell r="B123" t="str">
            <v>Sim</v>
          </cell>
          <cell r="C123" t="str">
            <v>Bandeja</v>
          </cell>
          <cell r="D123" t="str">
            <v>SPARE</v>
          </cell>
          <cell r="E123">
            <v>2</v>
          </cell>
          <cell r="F123" t="str">
            <v>Bandeja Inferior Esquerda Fiat Tempra Sw 1995 A 2003</v>
          </cell>
          <cell r="G123"/>
          <cell r="H123">
            <v>9</v>
          </cell>
          <cell r="I123">
            <v>7</v>
          </cell>
          <cell r="J123">
            <v>2</v>
          </cell>
          <cell r="K123">
            <v>5</v>
          </cell>
          <cell r="L123" t="str">
            <v/>
          </cell>
          <cell r="M123">
            <v>20</v>
          </cell>
          <cell r="N123">
            <v>17</v>
          </cell>
          <cell r="O123">
            <v>3</v>
          </cell>
          <cell r="P123" t="str">
            <v/>
          </cell>
          <cell r="Q123">
            <v>4</v>
          </cell>
          <cell r="R123">
            <v>4</v>
          </cell>
          <cell r="S123">
            <v>0</v>
          </cell>
          <cell r="T123">
            <v>0</v>
          </cell>
          <cell r="U123">
            <v>0</v>
          </cell>
          <cell r="V123">
            <v>8</v>
          </cell>
          <cell r="W123">
            <v>6</v>
          </cell>
          <cell r="X123" t="str">
            <v/>
          </cell>
          <cell r="Y123" t="str">
            <v/>
          </cell>
          <cell r="Z123">
            <v>2</v>
          </cell>
          <cell r="AA123">
            <v>6</v>
          </cell>
          <cell r="AB123">
            <v>4</v>
          </cell>
          <cell r="AC123">
            <v>2</v>
          </cell>
          <cell r="AD123"/>
          <cell r="AE123">
            <v>0</v>
          </cell>
          <cell r="AF123">
            <v>7</v>
          </cell>
          <cell r="AG123">
            <v>4</v>
          </cell>
          <cell r="AH123">
            <v>3</v>
          </cell>
          <cell r="AI123">
            <v>0</v>
          </cell>
          <cell r="AJ123">
            <v>0</v>
          </cell>
          <cell r="AK123">
            <v>9.1666666666666661</v>
          </cell>
        </row>
        <row r="124">
          <cell r="A124">
            <v>5009</v>
          </cell>
          <cell r="B124"/>
          <cell r="C124" t="str">
            <v>Bieleta</v>
          </cell>
          <cell r="D124" t="str">
            <v>HOLYMAN</v>
          </cell>
          <cell r="E124">
            <v>5</v>
          </cell>
          <cell r="F124" t="str">
            <v>Bieleta Dianteira Fiesta Ecosport</v>
          </cell>
          <cell r="G124"/>
          <cell r="H124">
            <v>2</v>
          </cell>
          <cell r="I124">
            <v>12</v>
          </cell>
          <cell r="J124">
            <v>12</v>
          </cell>
          <cell r="K124" t="str">
            <v/>
          </cell>
          <cell r="L124" t="str">
            <v/>
          </cell>
          <cell r="M124">
            <v>6</v>
          </cell>
          <cell r="N124" t="str">
            <v/>
          </cell>
          <cell r="O124">
            <v>6</v>
          </cell>
          <cell r="P124" t="str">
            <v/>
          </cell>
          <cell r="Q124">
            <v>6</v>
          </cell>
          <cell r="R124" t="str">
            <v>0</v>
          </cell>
          <cell r="S124">
            <v>6</v>
          </cell>
          <cell r="T124">
            <v>0</v>
          </cell>
          <cell r="U124">
            <v>0</v>
          </cell>
          <cell r="V124">
            <v>10</v>
          </cell>
          <cell r="W124">
            <v>0</v>
          </cell>
          <cell r="X124">
            <v>10</v>
          </cell>
          <cell r="Y124" t="str">
            <v/>
          </cell>
          <cell r="Z124" t="str">
            <v/>
          </cell>
          <cell r="AA124">
            <v>14</v>
          </cell>
          <cell r="AB124">
            <v>0</v>
          </cell>
          <cell r="AC124">
            <v>14</v>
          </cell>
          <cell r="AD124"/>
          <cell r="AE124">
            <v>0</v>
          </cell>
          <cell r="AF124">
            <v>18</v>
          </cell>
          <cell r="AG124">
            <v>0</v>
          </cell>
          <cell r="AH124">
            <v>18</v>
          </cell>
          <cell r="AI124">
            <v>0</v>
          </cell>
          <cell r="AJ124">
            <v>0</v>
          </cell>
          <cell r="AK124">
            <v>9</v>
          </cell>
        </row>
        <row r="125">
          <cell r="A125">
            <v>226103</v>
          </cell>
          <cell r="B125" t="str">
            <v>Sim</v>
          </cell>
          <cell r="C125" t="str">
            <v>Cabo de Acelerador</v>
          </cell>
          <cell r="D125" t="str">
            <v>Importação</v>
          </cell>
          <cell r="E125">
            <v>1</v>
          </cell>
          <cell r="F125" t="str">
            <v>Cabo De Acelerador Scenic 1996 Em Diante 1.6 2.0</v>
          </cell>
          <cell r="G125"/>
          <cell r="H125" t="str">
            <v>-</v>
          </cell>
          <cell r="I125" t="str">
            <v>-</v>
          </cell>
          <cell r="J125"/>
          <cell r="K125"/>
          <cell r="L125"/>
          <cell r="M125">
            <v>2</v>
          </cell>
          <cell r="N125">
            <v>2</v>
          </cell>
          <cell r="O125" t="str">
            <v/>
          </cell>
          <cell r="P125" t="str">
            <v/>
          </cell>
          <cell r="Q125">
            <v>9</v>
          </cell>
          <cell r="R125">
            <v>9</v>
          </cell>
          <cell r="S125" t="str">
            <v>0</v>
          </cell>
          <cell r="T125">
            <v>0</v>
          </cell>
          <cell r="U125">
            <v>0</v>
          </cell>
          <cell r="V125">
            <v>8</v>
          </cell>
          <cell r="W125">
            <v>8</v>
          </cell>
          <cell r="X125" t="str">
            <v/>
          </cell>
          <cell r="Y125" t="str">
            <v/>
          </cell>
          <cell r="Z125" t="str">
            <v/>
          </cell>
          <cell r="AA125">
            <v>18</v>
          </cell>
          <cell r="AB125">
            <v>18</v>
          </cell>
          <cell r="AC125">
            <v>0</v>
          </cell>
          <cell r="AD125"/>
          <cell r="AE125">
            <v>0</v>
          </cell>
          <cell r="AF125">
            <v>16</v>
          </cell>
          <cell r="AG125">
            <v>15</v>
          </cell>
          <cell r="AH125">
            <v>0</v>
          </cell>
          <cell r="AI125">
            <v>1</v>
          </cell>
          <cell r="AJ125">
            <v>0</v>
          </cell>
          <cell r="AK125">
            <v>8.75</v>
          </cell>
        </row>
        <row r="126">
          <cell r="A126">
            <v>662046</v>
          </cell>
          <cell r="B126" t="str">
            <v>Sim</v>
          </cell>
          <cell r="C126" t="str">
            <v>Bandeja</v>
          </cell>
          <cell r="D126" t="str">
            <v>SPARE</v>
          </cell>
          <cell r="E126">
            <v>2</v>
          </cell>
          <cell r="F126" t="str">
            <v>Bandeja Dianteira Direita Com Pivô Sandero 2014 A 2019</v>
          </cell>
          <cell r="G126"/>
          <cell r="H126">
            <v>7</v>
          </cell>
          <cell r="I126">
            <v>8</v>
          </cell>
          <cell r="J126">
            <v>5</v>
          </cell>
          <cell r="K126">
            <v>3</v>
          </cell>
          <cell r="L126" t="str">
            <v/>
          </cell>
          <cell r="M126">
            <v>5</v>
          </cell>
          <cell r="N126">
            <v>3</v>
          </cell>
          <cell r="O126">
            <v>2</v>
          </cell>
          <cell r="P126" t="str">
            <v/>
          </cell>
          <cell r="Q126">
            <v>3</v>
          </cell>
          <cell r="R126" t="str">
            <v>0</v>
          </cell>
          <cell r="S126">
            <v>3</v>
          </cell>
          <cell r="T126">
            <v>0</v>
          </cell>
          <cell r="U126">
            <v>0</v>
          </cell>
          <cell r="V126">
            <v>5</v>
          </cell>
          <cell r="W126">
            <v>4</v>
          </cell>
          <cell r="X126">
            <v>1</v>
          </cell>
          <cell r="Y126" t="str">
            <v/>
          </cell>
          <cell r="Z126" t="str">
            <v/>
          </cell>
          <cell r="AA126">
            <v>9</v>
          </cell>
          <cell r="AB126">
            <v>6</v>
          </cell>
          <cell r="AC126">
            <v>3</v>
          </cell>
          <cell r="AD126"/>
          <cell r="AE126">
            <v>0</v>
          </cell>
          <cell r="AF126">
            <v>24</v>
          </cell>
          <cell r="AG126">
            <v>5</v>
          </cell>
          <cell r="AH126">
            <v>17</v>
          </cell>
          <cell r="AI126">
            <v>0</v>
          </cell>
          <cell r="AJ126">
            <v>2</v>
          </cell>
          <cell r="AK126">
            <v>8.6666666666666661</v>
          </cell>
        </row>
        <row r="127">
          <cell r="A127">
            <v>110907</v>
          </cell>
          <cell r="B127" t="str">
            <v>Sim</v>
          </cell>
          <cell r="C127" t="str">
            <v>Cabo de Câmbio</v>
          </cell>
          <cell r="D127" t="str">
            <v>Importação</v>
          </cell>
          <cell r="E127">
            <v>1</v>
          </cell>
          <cell r="F127" t="str">
            <v>Cabo De Câmbio Mercedes Benz 1720 2765mm</v>
          </cell>
          <cell r="G127"/>
          <cell r="H127" t="str">
            <v>-</v>
          </cell>
          <cell r="I127" t="str">
            <v>-</v>
          </cell>
          <cell r="J127"/>
          <cell r="K127"/>
          <cell r="L127"/>
          <cell r="M127">
            <v>5</v>
          </cell>
          <cell r="N127">
            <v>5</v>
          </cell>
          <cell r="O127" t="str">
            <v/>
          </cell>
          <cell r="P127" t="str">
            <v/>
          </cell>
          <cell r="Q127">
            <v>4</v>
          </cell>
          <cell r="R127">
            <v>4</v>
          </cell>
          <cell r="S127" t="str">
            <v>0</v>
          </cell>
          <cell r="T127">
            <v>0</v>
          </cell>
          <cell r="U127">
            <v>0</v>
          </cell>
          <cell r="V127">
            <v>6</v>
          </cell>
          <cell r="W127">
            <v>6</v>
          </cell>
          <cell r="X127" t="str">
            <v/>
          </cell>
          <cell r="Y127" t="str">
            <v/>
          </cell>
          <cell r="Z127" t="str">
            <v/>
          </cell>
          <cell r="AA127">
            <v>8</v>
          </cell>
          <cell r="AB127">
            <v>6</v>
          </cell>
          <cell r="AC127">
            <v>0</v>
          </cell>
          <cell r="AD127">
            <v>2</v>
          </cell>
          <cell r="AE127">
            <v>0</v>
          </cell>
          <cell r="AF127">
            <v>19</v>
          </cell>
          <cell r="AG127">
            <v>4</v>
          </cell>
          <cell r="AH127">
            <v>0</v>
          </cell>
          <cell r="AI127">
            <v>15</v>
          </cell>
          <cell r="AJ127">
            <v>0</v>
          </cell>
          <cell r="AK127">
            <v>8.5</v>
          </cell>
        </row>
        <row r="128">
          <cell r="A128">
            <v>4079</v>
          </cell>
          <cell r="B128" t="str">
            <v>Sim</v>
          </cell>
          <cell r="C128" t="str">
            <v>Capa Pedal</v>
          </cell>
          <cell r="D128" t="str">
            <v>HOLYMAN</v>
          </cell>
          <cell r="E128">
            <v>5</v>
          </cell>
          <cell r="F128" t="str">
            <v>Kit Capa De Pedal New Fiesta</v>
          </cell>
          <cell r="G128"/>
          <cell r="H128">
            <v>7</v>
          </cell>
          <cell r="I128">
            <v>6</v>
          </cell>
          <cell r="J128" t="str">
            <v/>
          </cell>
          <cell r="K128">
            <v>6</v>
          </cell>
          <cell r="L128" t="str">
            <v/>
          </cell>
          <cell r="M128">
            <v>6</v>
          </cell>
          <cell r="N128">
            <v>6</v>
          </cell>
          <cell r="O128" t="str">
            <v/>
          </cell>
          <cell r="P128" t="str">
            <v/>
          </cell>
          <cell r="Q128">
            <v>7</v>
          </cell>
          <cell r="R128">
            <v>7</v>
          </cell>
          <cell r="S128" t="str">
            <v>0</v>
          </cell>
          <cell r="T128">
            <v>0</v>
          </cell>
          <cell r="U128">
            <v>0</v>
          </cell>
          <cell r="V128">
            <v>11</v>
          </cell>
          <cell r="W128">
            <v>11</v>
          </cell>
          <cell r="X128" t="str">
            <v/>
          </cell>
          <cell r="Y128" t="str">
            <v/>
          </cell>
          <cell r="Z128" t="str">
            <v/>
          </cell>
          <cell r="AA128">
            <v>14</v>
          </cell>
          <cell r="AB128">
            <v>14</v>
          </cell>
          <cell r="AC128">
            <v>0</v>
          </cell>
          <cell r="AD128"/>
          <cell r="AE128">
            <v>0</v>
          </cell>
          <cell r="AF128">
            <v>14</v>
          </cell>
          <cell r="AG128">
            <v>14</v>
          </cell>
          <cell r="AH128">
            <v>0</v>
          </cell>
          <cell r="AI128">
            <v>0</v>
          </cell>
          <cell r="AJ128">
            <v>0</v>
          </cell>
          <cell r="AK128">
            <v>8.5</v>
          </cell>
        </row>
        <row r="129">
          <cell r="A129">
            <v>222011</v>
          </cell>
          <cell r="B129" t="str">
            <v>Sim</v>
          </cell>
          <cell r="C129" t="str">
            <v>Bandeja</v>
          </cell>
          <cell r="D129" t="str">
            <v>SPARE</v>
          </cell>
          <cell r="E129">
            <v>2</v>
          </cell>
          <cell r="F129" t="str">
            <v>Braço Oscilante Esquerdo Sem Bucha Escort 1983 A 1996</v>
          </cell>
          <cell r="G129"/>
          <cell r="H129">
            <v>6</v>
          </cell>
          <cell r="I129">
            <v>9</v>
          </cell>
          <cell r="J129">
            <v>9</v>
          </cell>
          <cell r="K129" t="str">
            <v/>
          </cell>
          <cell r="L129" t="str">
            <v/>
          </cell>
          <cell r="M129">
            <v>7</v>
          </cell>
          <cell r="N129" t="str">
            <v/>
          </cell>
          <cell r="O129">
            <v>7</v>
          </cell>
          <cell r="P129" t="str">
            <v/>
          </cell>
          <cell r="Q129">
            <v>9</v>
          </cell>
          <cell r="R129" t="str">
            <v>0</v>
          </cell>
          <cell r="S129">
            <v>9</v>
          </cell>
          <cell r="T129">
            <v>0</v>
          </cell>
          <cell r="U129">
            <v>0</v>
          </cell>
          <cell r="V129">
            <v>12</v>
          </cell>
          <cell r="W129">
            <v>0</v>
          </cell>
          <cell r="X129">
            <v>11</v>
          </cell>
          <cell r="Y129" t="str">
            <v/>
          </cell>
          <cell r="Z129">
            <v>1</v>
          </cell>
          <cell r="AA129">
            <v>10</v>
          </cell>
          <cell r="AB129">
            <v>0</v>
          </cell>
          <cell r="AC129">
            <v>10</v>
          </cell>
          <cell r="AD129"/>
          <cell r="AE129">
            <v>0</v>
          </cell>
          <cell r="AF129">
            <v>7</v>
          </cell>
          <cell r="AG129">
            <v>0</v>
          </cell>
          <cell r="AH129">
            <v>7</v>
          </cell>
          <cell r="AI129">
            <v>0</v>
          </cell>
          <cell r="AJ129">
            <v>0</v>
          </cell>
          <cell r="AK129">
            <v>8.3333333333333339</v>
          </cell>
        </row>
        <row r="130">
          <cell r="A130">
            <v>552011</v>
          </cell>
          <cell r="B130" t="str">
            <v>Sim</v>
          </cell>
          <cell r="C130" t="str">
            <v>Bandeja</v>
          </cell>
          <cell r="D130" t="str">
            <v>SPARE</v>
          </cell>
          <cell r="E130">
            <v>2</v>
          </cell>
          <cell r="F130" t="str">
            <v>Bandeja Esquerda Sem Pivô Citroen C3 2003 A 2012</v>
          </cell>
          <cell r="G130"/>
          <cell r="H130">
            <v>7</v>
          </cell>
          <cell r="I130">
            <v>5</v>
          </cell>
          <cell r="J130">
            <v>4</v>
          </cell>
          <cell r="K130">
            <v>1</v>
          </cell>
          <cell r="L130" t="str">
            <v/>
          </cell>
          <cell r="M130">
            <v>6</v>
          </cell>
          <cell r="N130">
            <v>2</v>
          </cell>
          <cell r="O130">
            <v>4</v>
          </cell>
          <cell r="P130" t="str">
            <v/>
          </cell>
          <cell r="Q130">
            <v>10</v>
          </cell>
          <cell r="R130">
            <v>4</v>
          </cell>
          <cell r="S130">
            <v>6</v>
          </cell>
          <cell r="T130">
            <v>0</v>
          </cell>
          <cell r="U130">
            <v>0</v>
          </cell>
          <cell r="V130">
            <v>7</v>
          </cell>
          <cell r="W130">
            <v>1</v>
          </cell>
          <cell r="X130">
            <v>6</v>
          </cell>
          <cell r="Y130" t="str">
            <v/>
          </cell>
          <cell r="Z130" t="str">
            <v/>
          </cell>
          <cell r="AA130">
            <v>5</v>
          </cell>
          <cell r="AB130">
            <v>3</v>
          </cell>
          <cell r="AC130">
            <v>2</v>
          </cell>
          <cell r="AD130"/>
          <cell r="AE130">
            <v>0</v>
          </cell>
          <cell r="AF130">
            <v>15</v>
          </cell>
          <cell r="AG130">
            <v>7</v>
          </cell>
          <cell r="AH130">
            <v>8</v>
          </cell>
          <cell r="AI130">
            <v>0</v>
          </cell>
          <cell r="AJ130">
            <v>0</v>
          </cell>
          <cell r="AK130">
            <v>8.3333333333333339</v>
          </cell>
        </row>
        <row r="131">
          <cell r="A131" t="str">
            <v>FTK11058</v>
          </cell>
          <cell r="B131" t="str">
            <v>Sim</v>
          </cell>
          <cell r="C131" t="str">
            <v>Pivô</v>
          </cell>
          <cell r="D131" t="str">
            <v>SPARE</v>
          </cell>
          <cell r="E131">
            <v>2</v>
          </cell>
          <cell r="F131" t="str">
            <v>Pivô Inferior Bandeja Dianteira Idea Ambos Lados 2006 À 2017</v>
          </cell>
          <cell r="G131"/>
          <cell r="H131">
            <v>0</v>
          </cell>
          <cell r="I131">
            <v>6</v>
          </cell>
          <cell r="J131">
            <v>6</v>
          </cell>
          <cell r="K131" t="str">
            <v/>
          </cell>
          <cell r="L131" t="str">
            <v/>
          </cell>
          <cell r="M131">
            <v>8</v>
          </cell>
          <cell r="N131">
            <v>2</v>
          </cell>
          <cell r="O131">
            <v>6</v>
          </cell>
          <cell r="P131" t="str">
            <v/>
          </cell>
          <cell r="Q131">
            <v>12</v>
          </cell>
          <cell r="R131" t="str">
            <v>0</v>
          </cell>
          <cell r="S131">
            <v>12</v>
          </cell>
          <cell r="T131">
            <v>0</v>
          </cell>
          <cell r="U131">
            <v>0</v>
          </cell>
          <cell r="V131">
            <v>5</v>
          </cell>
          <cell r="W131">
            <v>1</v>
          </cell>
          <cell r="X131">
            <v>4</v>
          </cell>
          <cell r="Y131" t="str">
            <v/>
          </cell>
          <cell r="Z131" t="str">
            <v/>
          </cell>
          <cell r="AA131">
            <v>6</v>
          </cell>
          <cell r="AB131">
            <v>0</v>
          </cell>
          <cell r="AC131">
            <v>6</v>
          </cell>
          <cell r="AD131"/>
          <cell r="AE131">
            <v>0</v>
          </cell>
          <cell r="AF131">
            <v>18</v>
          </cell>
          <cell r="AG131">
            <v>0</v>
          </cell>
          <cell r="AH131">
            <v>18</v>
          </cell>
          <cell r="AI131">
            <v>0</v>
          </cell>
          <cell r="AJ131">
            <v>0</v>
          </cell>
          <cell r="AK131">
            <v>8.1666666666666661</v>
          </cell>
        </row>
        <row r="132">
          <cell r="A132">
            <v>222108</v>
          </cell>
          <cell r="B132" t="str">
            <v>Sim</v>
          </cell>
          <cell r="C132" t="str">
            <v>Bandeja</v>
          </cell>
          <cell r="D132" t="str">
            <v>SPARE</v>
          </cell>
          <cell r="E132">
            <v>2</v>
          </cell>
          <cell r="F132" t="str">
            <v>Braço Da Suspensão Inferior Fusion 2006 A 2012</v>
          </cell>
          <cell r="G132"/>
          <cell r="H132">
            <v>7</v>
          </cell>
          <cell r="I132">
            <v>9</v>
          </cell>
          <cell r="J132">
            <v>6</v>
          </cell>
          <cell r="K132">
            <v>3</v>
          </cell>
          <cell r="L132" t="str">
            <v/>
          </cell>
          <cell r="M132">
            <v>20</v>
          </cell>
          <cell r="N132">
            <v>16</v>
          </cell>
          <cell r="O132">
            <v>4</v>
          </cell>
          <cell r="P132" t="str">
            <v/>
          </cell>
          <cell r="Q132">
            <v>6</v>
          </cell>
          <cell r="R132">
            <v>6</v>
          </cell>
          <cell r="S132">
            <v>0</v>
          </cell>
          <cell r="T132">
            <v>0</v>
          </cell>
          <cell r="U132">
            <v>0</v>
          </cell>
          <cell r="V132">
            <v>5</v>
          </cell>
          <cell r="W132">
            <v>1</v>
          </cell>
          <cell r="X132">
            <v>4</v>
          </cell>
          <cell r="Y132" t="str">
            <v/>
          </cell>
          <cell r="Z132" t="str">
            <v/>
          </cell>
          <cell r="AA132">
            <v>3</v>
          </cell>
          <cell r="AB132">
            <v>3</v>
          </cell>
          <cell r="AC132">
            <v>0</v>
          </cell>
          <cell r="AD132"/>
          <cell r="AE132">
            <v>0</v>
          </cell>
          <cell r="AF132">
            <v>2</v>
          </cell>
          <cell r="AG132">
            <v>0</v>
          </cell>
          <cell r="AH132">
            <v>2</v>
          </cell>
          <cell r="AI132">
            <v>0</v>
          </cell>
          <cell r="AJ132">
            <v>0</v>
          </cell>
          <cell r="AK132">
            <v>8.1666666666666661</v>
          </cell>
        </row>
        <row r="133">
          <cell r="A133" t="str">
            <v>FTK11043</v>
          </cell>
          <cell r="B133" t="str">
            <v>Sim</v>
          </cell>
          <cell r="C133" t="str">
            <v>Pivô</v>
          </cell>
          <cell r="D133" t="str">
            <v>SPARE</v>
          </cell>
          <cell r="E133">
            <v>2</v>
          </cell>
          <cell r="F133" t="str">
            <v>Pivô Bandeja Dianteira Esquerda Polo 2002 A 2017</v>
          </cell>
          <cell r="G133"/>
          <cell r="H133">
            <v>6</v>
          </cell>
          <cell r="I133">
            <v>6</v>
          </cell>
          <cell r="J133">
            <v>6</v>
          </cell>
          <cell r="K133" t="str">
            <v/>
          </cell>
          <cell r="L133" t="str">
            <v/>
          </cell>
          <cell r="M133">
            <v>8</v>
          </cell>
          <cell r="N133" t="str">
            <v/>
          </cell>
          <cell r="O133">
            <v>8</v>
          </cell>
          <cell r="P133" t="str">
            <v/>
          </cell>
          <cell r="Q133">
            <v>3</v>
          </cell>
          <cell r="R133" t="str">
            <v>0</v>
          </cell>
          <cell r="S133">
            <v>3</v>
          </cell>
          <cell r="T133">
            <v>0</v>
          </cell>
          <cell r="U133">
            <v>0</v>
          </cell>
          <cell r="V133">
            <v>10</v>
          </cell>
          <cell r="W133">
            <v>0</v>
          </cell>
          <cell r="X133">
            <v>10</v>
          </cell>
          <cell r="Y133" t="str">
            <v/>
          </cell>
          <cell r="Z133" t="str">
            <v/>
          </cell>
          <cell r="AA133">
            <v>10</v>
          </cell>
          <cell r="AB133">
            <v>0</v>
          </cell>
          <cell r="AC133">
            <v>10</v>
          </cell>
          <cell r="AD133"/>
          <cell r="AE133">
            <v>0</v>
          </cell>
          <cell r="AF133">
            <v>15</v>
          </cell>
          <cell r="AG133">
            <v>0</v>
          </cell>
          <cell r="AH133">
            <v>15</v>
          </cell>
          <cell r="AI133">
            <v>0</v>
          </cell>
          <cell r="AJ133">
            <v>0</v>
          </cell>
          <cell r="AK133">
            <v>8</v>
          </cell>
        </row>
        <row r="134">
          <cell r="A134">
            <v>222010</v>
          </cell>
          <cell r="B134" t="str">
            <v>Sim</v>
          </cell>
          <cell r="C134" t="str">
            <v>Bandeja</v>
          </cell>
          <cell r="D134" t="str">
            <v>SPARE</v>
          </cell>
          <cell r="E134">
            <v>2</v>
          </cell>
          <cell r="F134" t="str">
            <v>Braço Oscilante Direito Sem Bucha Apollo 1990 A 1992</v>
          </cell>
          <cell r="G134"/>
          <cell r="H134">
            <v>5</v>
          </cell>
          <cell r="I134">
            <v>9</v>
          </cell>
          <cell r="J134">
            <v>9</v>
          </cell>
          <cell r="K134" t="str">
            <v/>
          </cell>
          <cell r="L134" t="str">
            <v/>
          </cell>
          <cell r="M134">
            <v>7</v>
          </cell>
          <cell r="N134" t="str">
            <v/>
          </cell>
          <cell r="O134">
            <v>7</v>
          </cell>
          <cell r="P134" t="str">
            <v/>
          </cell>
          <cell r="Q134">
            <v>9</v>
          </cell>
          <cell r="R134" t="str">
            <v>0</v>
          </cell>
          <cell r="S134">
            <v>9</v>
          </cell>
          <cell r="T134">
            <v>0</v>
          </cell>
          <cell r="U134">
            <v>0</v>
          </cell>
          <cell r="V134">
            <v>11</v>
          </cell>
          <cell r="W134">
            <v>0</v>
          </cell>
          <cell r="X134">
            <v>11</v>
          </cell>
          <cell r="Y134" t="str">
            <v/>
          </cell>
          <cell r="Z134" t="str">
            <v/>
          </cell>
          <cell r="AA134">
            <v>10</v>
          </cell>
          <cell r="AB134">
            <v>0</v>
          </cell>
          <cell r="AC134">
            <v>10</v>
          </cell>
          <cell r="AD134"/>
          <cell r="AE134">
            <v>0</v>
          </cell>
          <cell r="AF134">
            <v>7</v>
          </cell>
          <cell r="AG134">
            <v>0</v>
          </cell>
          <cell r="AH134">
            <v>7</v>
          </cell>
          <cell r="AI134">
            <v>0</v>
          </cell>
          <cell r="AJ134">
            <v>0</v>
          </cell>
          <cell r="AK134">
            <v>8</v>
          </cell>
        </row>
        <row r="135">
          <cell r="A135">
            <v>55023</v>
          </cell>
          <cell r="B135" t="str">
            <v>Sim</v>
          </cell>
          <cell r="C135" t="str">
            <v>Cabo Embreagem</v>
          </cell>
          <cell r="D135" t="str">
            <v>MundiFlex</v>
          </cell>
          <cell r="E135">
            <v>6</v>
          </cell>
          <cell r="F135" t="str">
            <v>Cabo Embreagem Gol G2 1994 A 1998</v>
          </cell>
          <cell r="G135"/>
          <cell r="H135">
            <v>14</v>
          </cell>
          <cell r="I135">
            <v>5</v>
          </cell>
          <cell r="J135" t="str">
            <v/>
          </cell>
          <cell r="K135">
            <v>5</v>
          </cell>
          <cell r="L135" t="str">
            <v/>
          </cell>
          <cell r="M135">
            <v>9</v>
          </cell>
          <cell r="N135">
            <v>9</v>
          </cell>
          <cell r="O135" t="str">
            <v/>
          </cell>
          <cell r="P135" t="str">
            <v/>
          </cell>
          <cell r="Q135">
            <v>10</v>
          </cell>
          <cell r="R135">
            <v>10</v>
          </cell>
          <cell r="S135" t="str">
            <v>0</v>
          </cell>
          <cell r="T135">
            <v>0</v>
          </cell>
          <cell r="U135">
            <v>0</v>
          </cell>
          <cell r="V135">
            <v>10</v>
          </cell>
          <cell r="W135">
            <v>10</v>
          </cell>
          <cell r="X135" t="str">
            <v/>
          </cell>
          <cell r="Y135" t="str">
            <v/>
          </cell>
          <cell r="Z135" t="str">
            <v/>
          </cell>
          <cell r="AA135">
            <v>10</v>
          </cell>
          <cell r="AB135">
            <v>10</v>
          </cell>
          <cell r="AC135">
            <v>0</v>
          </cell>
          <cell r="AD135"/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8</v>
          </cell>
        </row>
        <row r="136">
          <cell r="A136">
            <v>112093</v>
          </cell>
          <cell r="B136"/>
          <cell r="C136" t="str">
            <v>Bandeja</v>
          </cell>
          <cell r="D136" t="str">
            <v>SPARE</v>
          </cell>
          <cell r="E136"/>
          <cell r="F136" t="str">
            <v>BANDEJA DIANTEIRA DIREITA STILO 2002 A 2011 COM PIVÔ</v>
          </cell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>
            <v>1</v>
          </cell>
          <cell r="AB136"/>
          <cell r="AC136">
            <v>1</v>
          </cell>
          <cell r="AD136"/>
          <cell r="AE136">
            <v>0</v>
          </cell>
          <cell r="AF136">
            <v>8</v>
          </cell>
          <cell r="AG136">
            <v>7</v>
          </cell>
          <cell r="AH136">
            <v>0</v>
          </cell>
          <cell r="AI136">
            <v>0</v>
          </cell>
          <cell r="AJ136">
            <v>1</v>
          </cell>
          <cell r="AK136">
            <v>8</v>
          </cell>
        </row>
        <row r="137">
          <cell r="A137" t="str">
            <v>FTK11042</v>
          </cell>
          <cell r="B137" t="str">
            <v>Sim</v>
          </cell>
          <cell r="C137" t="str">
            <v>Pivô</v>
          </cell>
          <cell r="D137" t="str">
            <v>SPARE</v>
          </cell>
          <cell r="E137">
            <v>2</v>
          </cell>
          <cell r="F137" t="str">
            <v>Pivô Bandeja Dianteira Direita Polo Gti 2006 A 2017</v>
          </cell>
          <cell r="G137"/>
          <cell r="H137">
            <v>4</v>
          </cell>
          <cell r="I137">
            <v>6</v>
          </cell>
          <cell r="J137">
            <v>6</v>
          </cell>
          <cell r="K137" t="str">
            <v/>
          </cell>
          <cell r="L137" t="str">
            <v/>
          </cell>
          <cell r="M137">
            <v>8</v>
          </cell>
          <cell r="N137" t="str">
            <v/>
          </cell>
          <cell r="O137">
            <v>8</v>
          </cell>
          <cell r="P137" t="str">
            <v/>
          </cell>
          <cell r="Q137">
            <v>3</v>
          </cell>
          <cell r="R137" t="str">
            <v>0</v>
          </cell>
          <cell r="S137">
            <v>3</v>
          </cell>
          <cell r="T137">
            <v>0</v>
          </cell>
          <cell r="U137">
            <v>0</v>
          </cell>
          <cell r="V137">
            <v>10</v>
          </cell>
          <cell r="W137">
            <v>0</v>
          </cell>
          <cell r="X137">
            <v>10</v>
          </cell>
          <cell r="Y137" t="str">
            <v/>
          </cell>
          <cell r="Z137" t="str">
            <v/>
          </cell>
          <cell r="AA137">
            <v>10</v>
          </cell>
          <cell r="AB137">
            <v>0</v>
          </cell>
          <cell r="AC137">
            <v>10</v>
          </cell>
          <cell r="AD137"/>
          <cell r="AE137">
            <v>0</v>
          </cell>
          <cell r="AF137">
            <v>15</v>
          </cell>
          <cell r="AG137">
            <v>0</v>
          </cell>
          <cell r="AH137">
            <v>15</v>
          </cell>
          <cell r="AI137">
            <v>0</v>
          </cell>
          <cell r="AJ137">
            <v>0</v>
          </cell>
          <cell r="AK137">
            <v>7.666666666666667</v>
          </cell>
        </row>
        <row r="138">
          <cell r="A138">
            <v>55123</v>
          </cell>
          <cell r="B138" t="str">
            <v>Sim</v>
          </cell>
          <cell r="C138" t="str">
            <v>Cabo de Freio</v>
          </cell>
          <cell r="D138" t="str">
            <v>MundiFlex</v>
          </cell>
          <cell r="E138">
            <v>6</v>
          </cell>
          <cell r="F138" t="str">
            <v>Cabo De Freio Fusca Brasília 1300 1500 De  1981 Em Diante</v>
          </cell>
          <cell r="G138"/>
          <cell r="H138">
            <v>20</v>
          </cell>
          <cell r="I138">
            <v>0</v>
          </cell>
          <cell r="J138">
            <v>0</v>
          </cell>
          <cell r="K138" t="str">
            <v/>
          </cell>
          <cell r="L138" t="str">
            <v/>
          </cell>
          <cell r="M138">
            <v>14</v>
          </cell>
          <cell r="N138" t="str">
            <v/>
          </cell>
          <cell r="O138">
            <v>14</v>
          </cell>
          <cell r="P138" t="str">
            <v/>
          </cell>
          <cell r="Q138">
            <v>8</v>
          </cell>
          <cell r="R138" t="str">
            <v>0</v>
          </cell>
          <cell r="S138">
            <v>8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/>
          </cell>
          <cell r="Y138" t="str">
            <v/>
          </cell>
          <cell r="Z138" t="str">
            <v/>
          </cell>
          <cell r="AA138">
            <v>2</v>
          </cell>
          <cell r="AB138">
            <v>0</v>
          </cell>
          <cell r="AC138">
            <v>2</v>
          </cell>
          <cell r="AD138"/>
          <cell r="AE138">
            <v>0</v>
          </cell>
          <cell r="AF138">
            <v>4</v>
          </cell>
          <cell r="AG138">
            <v>0</v>
          </cell>
          <cell r="AH138">
            <v>4</v>
          </cell>
          <cell r="AI138">
            <v>0</v>
          </cell>
          <cell r="AJ138">
            <v>0</v>
          </cell>
          <cell r="AK138">
            <v>7.666666666666667</v>
          </cell>
        </row>
        <row r="139">
          <cell r="A139">
            <v>66413</v>
          </cell>
          <cell r="B139" t="str">
            <v>Sim</v>
          </cell>
          <cell r="C139" t="str">
            <v>Cabo Embreagem</v>
          </cell>
          <cell r="D139" t="str">
            <v>MundiFlex</v>
          </cell>
          <cell r="E139">
            <v>6</v>
          </cell>
          <cell r="F139" t="str">
            <v>Cabo Embreagem Uno Mille Motor 1.0 8v Mpi Fire 2002 A 2004</v>
          </cell>
          <cell r="G139"/>
          <cell r="H139">
            <v>9</v>
          </cell>
          <cell r="I139">
            <v>10</v>
          </cell>
          <cell r="J139" t="str">
            <v/>
          </cell>
          <cell r="K139">
            <v>10</v>
          </cell>
          <cell r="L139" t="str">
            <v/>
          </cell>
          <cell r="M139">
            <v>17</v>
          </cell>
          <cell r="N139">
            <v>17</v>
          </cell>
          <cell r="O139" t="str">
            <v/>
          </cell>
          <cell r="P139" t="str">
            <v/>
          </cell>
          <cell r="Q139">
            <v>2</v>
          </cell>
          <cell r="R139">
            <v>2</v>
          </cell>
          <cell r="S139" t="str">
            <v>0</v>
          </cell>
          <cell r="T139">
            <v>0</v>
          </cell>
          <cell r="U139">
            <v>0</v>
          </cell>
          <cell r="V139">
            <v>8</v>
          </cell>
          <cell r="W139">
            <v>8</v>
          </cell>
          <cell r="X139" t="str">
            <v/>
          </cell>
          <cell r="Y139" t="str">
            <v/>
          </cell>
          <cell r="Z139" t="str">
            <v/>
          </cell>
          <cell r="AA139">
            <v>7</v>
          </cell>
          <cell r="AB139">
            <v>7</v>
          </cell>
          <cell r="AC139">
            <v>0</v>
          </cell>
          <cell r="AD139"/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7.666666666666667</v>
          </cell>
        </row>
        <row r="140">
          <cell r="A140">
            <v>112013</v>
          </cell>
          <cell r="B140" t="str">
            <v>Sim</v>
          </cell>
          <cell r="C140" t="str">
            <v>Bandeja</v>
          </cell>
          <cell r="D140" t="str">
            <v>SPARE</v>
          </cell>
          <cell r="E140">
            <v>2</v>
          </cell>
          <cell r="F140" t="str">
            <v>Bandeja Inferior Esquerda Fiat Marea Weekend 1999 A 2008</v>
          </cell>
          <cell r="G140"/>
          <cell r="H140">
            <v>12</v>
          </cell>
          <cell r="I140">
            <v>6</v>
          </cell>
          <cell r="J140">
            <v>3</v>
          </cell>
          <cell r="K140">
            <v>3</v>
          </cell>
          <cell r="L140" t="str">
            <v/>
          </cell>
          <cell r="M140">
            <v>6</v>
          </cell>
          <cell r="N140">
            <v>2</v>
          </cell>
          <cell r="O140">
            <v>4</v>
          </cell>
          <cell r="P140" t="str">
            <v/>
          </cell>
          <cell r="Q140">
            <v>5</v>
          </cell>
          <cell r="R140">
            <v>3</v>
          </cell>
          <cell r="S140">
            <v>2</v>
          </cell>
          <cell r="T140">
            <v>0</v>
          </cell>
          <cell r="U140">
            <v>0</v>
          </cell>
          <cell r="V140">
            <v>6</v>
          </cell>
          <cell r="W140">
            <v>1</v>
          </cell>
          <cell r="X140">
            <v>3</v>
          </cell>
          <cell r="Y140" t="str">
            <v/>
          </cell>
          <cell r="Z140">
            <v>2</v>
          </cell>
          <cell r="AA140">
            <v>5</v>
          </cell>
          <cell r="AB140">
            <v>1</v>
          </cell>
          <cell r="AC140">
            <v>4</v>
          </cell>
          <cell r="AD140"/>
          <cell r="AE140">
            <v>0</v>
          </cell>
          <cell r="AF140">
            <v>10</v>
          </cell>
          <cell r="AG140">
            <v>5</v>
          </cell>
          <cell r="AH140">
            <v>3</v>
          </cell>
          <cell r="AI140">
            <v>0</v>
          </cell>
          <cell r="AJ140">
            <v>2</v>
          </cell>
          <cell r="AK140">
            <v>7.5</v>
          </cell>
        </row>
        <row r="141">
          <cell r="A141">
            <v>112025</v>
          </cell>
          <cell r="B141" t="str">
            <v>Sim</v>
          </cell>
          <cell r="C141" t="str">
            <v>Bandeja</v>
          </cell>
          <cell r="D141" t="str">
            <v>SPARE</v>
          </cell>
          <cell r="E141">
            <v>2</v>
          </cell>
          <cell r="F141" t="str">
            <v>Bandeja  Esquerda Palio 1996 Á 2001  Com Pivô</v>
          </cell>
          <cell r="G141"/>
          <cell r="H141">
            <v>0</v>
          </cell>
          <cell r="I141">
            <v>4</v>
          </cell>
          <cell r="J141">
            <v>2</v>
          </cell>
          <cell r="K141">
            <v>2</v>
          </cell>
          <cell r="L141" t="str">
            <v/>
          </cell>
          <cell r="M141">
            <v>10</v>
          </cell>
          <cell r="N141">
            <v>2</v>
          </cell>
          <cell r="O141">
            <v>8</v>
          </cell>
          <cell r="P141" t="str">
            <v/>
          </cell>
          <cell r="Q141">
            <v>5</v>
          </cell>
          <cell r="R141">
            <v>2</v>
          </cell>
          <cell r="S141">
            <v>3</v>
          </cell>
          <cell r="T141">
            <v>0</v>
          </cell>
          <cell r="U141">
            <v>0</v>
          </cell>
          <cell r="V141">
            <v>11</v>
          </cell>
          <cell r="W141">
            <v>4</v>
          </cell>
          <cell r="X141">
            <v>5</v>
          </cell>
          <cell r="Y141" t="str">
            <v/>
          </cell>
          <cell r="Z141">
            <v>2</v>
          </cell>
          <cell r="AA141">
            <v>15</v>
          </cell>
          <cell r="AB141">
            <v>4</v>
          </cell>
          <cell r="AC141">
            <v>8</v>
          </cell>
          <cell r="AD141"/>
          <cell r="AE141">
            <v>3</v>
          </cell>
          <cell r="AF141">
            <v>14</v>
          </cell>
          <cell r="AG141">
            <v>0</v>
          </cell>
          <cell r="AH141">
            <v>13</v>
          </cell>
          <cell r="AI141">
            <v>0</v>
          </cell>
          <cell r="AJ141">
            <v>1</v>
          </cell>
          <cell r="AK141">
            <v>7.333333333333333</v>
          </cell>
        </row>
        <row r="142">
          <cell r="A142">
            <v>662047</v>
          </cell>
          <cell r="B142" t="str">
            <v>Sim</v>
          </cell>
          <cell r="C142" t="str">
            <v>Bandeja</v>
          </cell>
          <cell r="D142" t="str">
            <v>SPARE</v>
          </cell>
          <cell r="E142">
            <v>2</v>
          </cell>
          <cell r="F142" t="str">
            <v>Bandeja Dianteira Esquerda Com Pivô Sandero 2014 A 2019</v>
          </cell>
          <cell r="G142"/>
          <cell r="H142">
            <v>5</v>
          </cell>
          <cell r="I142">
            <v>7</v>
          </cell>
          <cell r="J142">
            <v>5</v>
          </cell>
          <cell r="K142">
            <v>2</v>
          </cell>
          <cell r="L142" t="str">
            <v/>
          </cell>
          <cell r="M142">
            <v>3</v>
          </cell>
          <cell r="N142">
            <v>1</v>
          </cell>
          <cell r="O142">
            <v>2</v>
          </cell>
          <cell r="P142" t="str">
            <v/>
          </cell>
          <cell r="Q142">
            <v>5</v>
          </cell>
          <cell r="R142">
            <v>2</v>
          </cell>
          <cell r="S142">
            <v>3</v>
          </cell>
          <cell r="T142">
            <v>0</v>
          </cell>
          <cell r="U142">
            <v>0</v>
          </cell>
          <cell r="V142">
            <v>1</v>
          </cell>
          <cell r="W142">
            <v>0</v>
          </cell>
          <cell r="X142">
            <v>1</v>
          </cell>
          <cell r="Y142" t="str">
            <v/>
          </cell>
          <cell r="Z142" t="str">
            <v/>
          </cell>
          <cell r="AA142">
            <v>5</v>
          </cell>
          <cell r="AB142">
            <v>2</v>
          </cell>
          <cell r="AC142">
            <v>3</v>
          </cell>
          <cell r="AD142"/>
          <cell r="AE142">
            <v>0</v>
          </cell>
          <cell r="AF142">
            <v>23</v>
          </cell>
          <cell r="AG142">
            <v>6</v>
          </cell>
          <cell r="AH142">
            <v>17</v>
          </cell>
          <cell r="AI142">
            <v>0</v>
          </cell>
          <cell r="AJ142">
            <v>0</v>
          </cell>
          <cell r="AK142">
            <v>7.333333333333333</v>
          </cell>
        </row>
        <row r="143">
          <cell r="A143">
            <v>44507</v>
          </cell>
          <cell r="B143" t="str">
            <v>Sim</v>
          </cell>
          <cell r="C143" t="str">
            <v>Cabo de Capô</v>
          </cell>
          <cell r="D143" t="str">
            <v>MundiFlex</v>
          </cell>
          <cell r="E143">
            <v>6</v>
          </cell>
          <cell r="F143" t="str">
            <v>Cabo De Capô Com Alavanca Kadett 1989 A 1998</v>
          </cell>
          <cell r="G143"/>
          <cell r="H143">
            <v>9</v>
          </cell>
          <cell r="I143">
            <v>11</v>
          </cell>
          <cell r="J143" t="str">
            <v/>
          </cell>
          <cell r="K143">
            <v>11</v>
          </cell>
          <cell r="L143" t="str">
            <v/>
          </cell>
          <cell r="M143">
            <v>9</v>
          </cell>
          <cell r="N143">
            <v>9</v>
          </cell>
          <cell r="O143" t="str">
            <v/>
          </cell>
          <cell r="P143" t="str">
            <v/>
          </cell>
          <cell r="Q143">
            <v>6</v>
          </cell>
          <cell r="R143">
            <v>6</v>
          </cell>
          <cell r="S143" t="str">
            <v>0</v>
          </cell>
          <cell r="T143">
            <v>0</v>
          </cell>
          <cell r="U143">
            <v>0</v>
          </cell>
          <cell r="V143">
            <v>3</v>
          </cell>
          <cell r="W143">
            <v>3</v>
          </cell>
          <cell r="X143" t="str">
            <v/>
          </cell>
          <cell r="Y143" t="str">
            <v/>
          </cell>
          <cell r="Z143" t="str">
            <v/>
          </cell>
          <cell r="AA143">
            <v>8</v>
          </cell>
          <cell r="AB143">
            <v>8</v>
          </cell>
          <cell r="AC143">
            <v>0</v>
          </cell>
          <cell r="AD143"/>
          <cell r="AE143">
            <v>0</v>
          </cell>
          <cell r="AF143">
            <v>6</v>
          </cell>
          <cell r="AG143">
            <v>6</v>
          </cell>
          <cell r="AH143">
            <v>0</v>
          </cell>
          <cell r="AI143">
            <v>0</v>
          </cell>
          <cell r="AJ143">
            <v>0</v>
          </cell>
          <cell r="AK143">
            <v>7.333333333333333</v>
          </cell>
        </row>
        <row r="144">
          <cell r="A144">
            <v>112010</v>
          </cell>
          <cell r="B144" t="str">
            <v>Sim</v>
          </cell>
          <cell r="C144" t="str">
            <v>Bandeja</v>
          </cell>
          <cell r="D144" t="str">
            <v>SPARE</v>
          </cell>
          <cell r="E144">
            <v>2</v>
          </cell>
          <cell r="F144" t="str">
            <v>Bandeja Inferior Direito Fiat Tempra Sw</v>
          </cell>
          <cell r="G144"/>
          <cell r="H144">
            <v>6</v>
          </cell>
          <cell r="I144">
            <v>15</v>
          </cell>
          <cell r="J144">
            <v>2</v>
          </cell>
          <cell r="K144">
            <v>13</v>
          </cell>
          <cell r="L144" t="str">
            <v/>
          </cell>
          <cell r="M144">
            <v>6</v>
          </cell>
          <cell r="N144">
            <v>3</v>
          </cell>
          <cell r="O144">
            <v>3</v>
          </cell>
          <cell r="P144" t="str">
            <v/>
          </cell>
          <cell r="Q144">
            <v>1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5</v>
          </cell>
          <cell r="W144">
            <v>3</v>
          </cell>
          <cell r="X144" t="str">
            <v/>
          </cell>
          <cell r="Y144" t="str">
            <v/>
          </cell>
          <cell r="Z144">
            <v>2</v>
          </cell>
          <cell r="AA144">
            <v>7</v>
          </cell>
          <cell r="AB144">
            <v>5</v>
          </cell>
          <cell r="AC144">
            <v>2</v>
          </cell>
          <cell r="AD144"/>
          <cell r="AE144">
            <v>0</v>
          </cell>
          <cell r="AF144">
            <v>10</v>
          </cell>
          <cell r="AG144">
            <v>6</v>
          </cell>
          <cell r="AH144">
            <v>3</v>
          </cell>
          <cell r="AI144">
            <v>0</v>
          </cell>
          <cell r="AJ144">
            <v>1</v>
          </cell>
          <cell r="AK144">
            <v>7.166666666666667</v>
          </cell>
        </row>
        <row r="145">
          <cell r="A145" t="str">
            <v>FTK-00605</v>
          </cell>
          <cell r="B145" t="str">
            <v>Não</v>
          </cell>
          <cell r="C145" t="str">
            <v>Pivô</v>
          </cell>
          <cell r="D145" t="str">
            <v>SPARE</v>
          </cell>
          <cell r="E145">
            <v>2</v>
          </cell>
          <cell r="F145" t="str">
            <v>Pivô Da Bandeja Dianteira Ambos Lados Oroch 2016 A 2019</v>
          </cell>
          <cell r="G145"/>
          <cell r="H145">
            <v>0</v>
          </cell>
          <cell r="I145">
            <v>6</v>
          </cell>
          <cell r="J145">
            <v>6</v>
          </cell>
          <cell r="K145" t="str">
            <v/>
          </cell>
          <cell r="L145" t="str">
            <v/>
          </cell>
          <cell r="M145">
            <v>6</v>
          </cell>
          <cell r="N145" t="str">
            <v/>
          </cell>
          <cell r="O145">
            <v>6</v>
          </cell>
          <cell r="P145" t="str">
            <v/>
          </cell>
          <cell r="Q145">
            <v>16</v>
          </cell>
          <cell r="R145" t="str">
            <v>0</v>
          </cell>
          <cell r="S145">
            <v>16</v>
          </cell>
          <cell r="T145">
            <v>0</v>
          </cell>
          <cell r="U145">
            <v>0</v>
          </cell>
          <cell r="V145">
            <v>6</v>
          </cell>
          <cell r="W145">
            <v>0</v>
          </cell>
          <cell r="X145">
            <v>6</v>
          </cell>
          <cell r="Y145" t="str">
            <v/>
          </cell>
          <cell r="Z145" t="str">
            <v/>
          </cell>
          <cell r="AA145">
            <v>4</v>
          </cell>
          <cell r="AB145">
            <v>0</v>
          </cell>
          <cell r="AC145">
            <v>4</v>
          </cell>
          <cell r="AD145"/>
          <cell r="AE145">
            <v>0</v>
          </cell>
          <cell r="AF145">
            <v>8</v>
          </cell>
          <cell r="AG145">
            <v>0</v>
          </cell>
          <cell r="AH145">
            <v>8</v>
          </cell>
          <cell r="AI145">
            <v>0</v>
          </cell>
          <cell r="AJ145">
            <v>0</v>
          </cell>
          <cell r="AK145">
            <v>7</v>
          </cell>
        </row>
        <row r="146">
          <cell r="A146">
            <v>112090</v>
          </cell>
          <cell r="B146" t="str">
            <v>Sim</v>
          </cell>
          <cell r="C146" t="str">
            <v>Bandeja</v>
          </cell>
          <cell r="D146" t="str">
            <v>SPARE</v>
          </cell>
          <cell r="E146">
            <v>2</v>
          </cell>
          <cell r="F146" t="str">
            <v>Bandeja Inferior Ambos Os Lados Bravo Sem Pivô 2011 Á 2014</v>
          </cell>
          <cell r="G146"/>
          <cell r="H146">
            <v>0</v>
          </cell>
          <cell r="I146">
            <v>7</v>
          </cell>
          <cell r="J146">
            <v>2</v>
          </cell>
          <cell r="K146" t="str">
            <v/>
          </cell>
          <cell r="L146" t="str">
            <v/>
          </cell>
          <cell r="M146">
            <v>12</v>
          </cell>
          <cell r="N146" t="str">
            <v/>
          </cell>
          <cell r="O146">
            <v>0</v>
          </cell>
          <cell r="P146" t="str">
            <v/>
          </cell>
          <cell r="Q146">
            <v>7</v>
          </cell>
          <cell r="R146" t="str">
            <v>0</v>
          </cell>
          <cell r="S146">
            <v>0</v>
          </cell>
          <cell r="T146">
            <v>0</v>
          </cell>
          <cell r="U146">
            <v>0</v>
          </cell>
          <cell r="V146">
            <v>16</v>
          </cell>
          <cell r="W146">
            <v>0</v>
          </cell>
          <cell r="X146" t="str">
            <v/>
          </cell>
          <cell r="Y146" t="str">
            <v/>
          </cell>
          <cell r="Z146" t="str">
            <v/>
          </cell>
          <cell r="AA146">
            <v>2</v>
          </cell>
          <cell r="AB146">
            <v>0</v>
          </cell>
          <cell r="AC146">
            <v>2</v>
          </cell>
          <cell r="AD146"/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7</v>
          </cell>
        </row>
        <row r="147">
          <cell r="A147" t="str">
            <v>FTK-CCA0036</v>
          </cell>
          <cell r="B147"/>
          <cell r="C147" t="str">
            <v>Cabo de Acelerador Moto</v>
          </cell>
          <cell r="D147" t="str">
            <v>POLO</v>
          </cell>
          <cell r="E147"/>
          <cell r="F147" t="str">
            <v>Cabo De Acelerador Nxr 150 Bros Ks 2009 A 2012</v>
          </cell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>
            <v>7</v>
          </cell>
          <cell r="AG147">
            <v>7</v>
          </cell>
          <cell r="AH147">
            <v>0</v>
          </cell>
          <cell r="AI147">
            <v>0</v>
          </cell>
          <cell r="AJ147">
            <v>0</v>
          </cell>
          <cell r="AK147">
            <v>7</v>
          </cell>
        </row>
        <row r="148">
          <cell r="A148">
            <v>77152</v>
          </cell>
          <cell r="B148" t="str">
            <v>Sim</v>
          </cell>
          <cell r="C148" t="str">
            <v>Cabo de Capô</v>
          </cell>
          <cell r="D148" t="str">
            <v>MundiFlex</v>
          </cell>
          <cell r="E148">
            <v>6</v>
          </cell>
          <cell r="F148" t="str">
            <v>Cabo De Capô Com Alavanca Chevette 1983 A 1994</v>
          </cell>
          <cell r="G148"/>
          <cell r="H148">
            <v>6</v>
          </cell>
          <cell r="I148">
            <v>11</v>
          </cell>
          <cell r="J148" t="str">
            <v/>
          </cell>
          <cell r="K148">
            <v>11</v>
          </cell>
          <cell r="L148" t="str">
            <v/>
          </cell>
          <cell r="M148">
            <v>6</v>
          </cell>
          <cell r="N148">
            <v>6</v>
          </cell>
          <cell r="O148" t="str">
            <v/>
          </cell>
          <cell r="P148" t="str">
            <v/>
          </cell>
          <cell r="Q148">
            <v>4</v>
          </cell>
          <cell r="R148">
            <v>4</v>
          </cell>
          <cell r="S148" t="str">
            <v>0</v>
          </cell>
          <cell r="T148">
            <v>0</v>
          </cell>
          <cell r="U148">
            <v>0</v>
          </cell>
          <cell r="V148">
            <v>6</v>
          </cell>
          <cell r="W148">
            <v>6</v>
          </cell>
          <cell r="X148" t="str">
            <v/>
          </cell>
          <cell r="Y148" t="str">
            <v/>
          </cell>
          <cell r="Z148" t="str">
            <v/>
          </cell>
          <cell r="AA148">
            <v>11</v>
          </cell>
          <cell r="AB148">
            <v>11</v>
          </cell>
          <cell r="AC148">
            <v>0</v>
          </cell>
          <cell r="AD148"/>
          <cell r="AE148">
            <v>0</v>
          </cell>
          <cell r="AF148">
            <v>8</v>
          </cell>
          <cell r="AG148">
            <v>7</v>
          </cell>
          <cell r="AH148">
            <v>0</v>
          </cell>
          <cell r="AI148">
            <v>1</v>
          </cell>
          <cell r="AJ148">
            <v>0</v>
          </cell>
          <cell r="AK148">
            <v>6.833333333333333</v>
          </cell>
        </row>
        <row r="149">
          <cell r="A149">
            <v>112024</v>
          </cell>
          <cell r="B149" t="str">
            <v>Sim</v>
          </cell>
          <cell r="C149" t="str">
            <v>Bandeja</v>
          </cell>
          <cell r="D149" t="str">
            <v>SPARE</v>
          </cell>
          <cell r="E149">
            <v>2</v>
          </cell>
          <cell r="F149" t="str">
            <v>Bandeja Direita Siena 1997 Á 2001 Com Pivô</v>
          </cell>
          <cell r="G149"/>
          <cell r="H149">
            <v>3</v>
          </cell>
          <cell r="I149">
            <v>3</v>
          </cell>
          <cell r="J149">
            <v>2</v>
          </cell>
          <cell r="K149">
            <v>1</v>
          </cell>
          <cell r="L149" t="str">
            <v/>
          </cell>
          <cell r="M149">
            <v>9</v>
          </cell>
          <cell r="N149">
            <v>1</v>
          </cell>
          <cell r="O149">
            <v>8</v>
          </cell>
          <cell r="P149" t="str">
            <v/>
          </cell>
          <cell r="Q149">
            <v>3</v>
          </cell>
          <cell r="R149" t="str">
            <v>0</v>
          </cell>
          <cell r="S149">
            <v>3</v>
          </cell>
          <cell r="T149">
            <v>0</v>
          </cell>
          <cell r="U149">
            <v>0</v>
          </cell>
          <cell r="V149">
            <v>9</v>
          </cell>
          <cell r="W149">
            <v>2</v>
          </cell>
          <cell r="X149">
            <v>5</v>
          </cell>
          <cell r="Y149" t="str">
            <v/>
          </cell>
          <cell r="Z149">
            <v>2</v>
          </cell>
          <cell r="AA149">
            <v>10</v>
          </cell>
          <cell r="AB149">
            <v>0</v>
          </cell>
          <cell r="AC149">
            <v>8</v>
          </cell>
          <cell r="AD149"/>
          <cell r="AE149">
            <v>2</v>
          </cell>
          <cell r="AF149">
            <v>13</v>
          </cell>
          <cell r="AG149">
            <v>0</v>
          </cell>
          <cell r="AH149">
            <v>13</v>
          </cell>
          <cell r="AI149">
            <v>0</v>
          </cell>
          <cell r="AJ149">
            <v>0</v>
          </cell>
          <cell r="AK149">
            <v>6.666666666666667</v>
          </cell>
        </row>
        <row r="150">
          <cell r="A150" t="str">
            <v>PG002</v>
          </cell>
          <cell r="B150" t="str">
            <v>Sim</v>
          </cell>
          <cell r="C150" t="str">
            <v>Rolamento Eixo</v>
          </cell>
          <cell r="D150" t="str">
            <v>Importação</v>
          </cell>
          <cell r="E150">
            <v>1</v>
          </cell>
          <cell r="F150" t="str">
            <v>Rolamento 47mm Suspensão Trás 206 207 Sem Barra Estabiliza</v>
          </cell>
          <cell r="G150"/>
          <cell r="H150">
            <v>0</v>
          </cell>
          <cell r="I150">
            <v>10</v>
          </cell>
          <cell r="J150" t="str">
            <v/>
          </cell>
          <cell r="K150" t="str">
            <v/>
          </cell>
          <cell r="L150">
            <v>10</v>
          </cell>
          <cell r="M150">
            <v>30</v>
          </cell>
          <cell r="N150" t="str">
            <v/>
          </cell>
          <cell r="O150" t="str">
            <v/>
          </cell>
          <cell r="P150">
            <v>30</v>
          </cell>
          <cell r="Q150">
            <v>0</v>
          </cell>
          <cell r="R150" t="str">
            <v>0</v>
          </cell>
          <cell r="S150" t="str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/>
          </cell>
          <cell r="Y150" t="str">
            <v/>
          </cell>
          <cell r="Z150" t="str">
            <v/>
          </cell>
          <cell r="AA150">
            <v>0</v>
          </cell>
          <cell r="AB150">
            <v>0</v>
          </cell>
          <cell r="AC150">
            <v>0</v>
          </cell>
          <cell r="AD150"/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6.666666666666667</v>
          </cell>
        </row>
        <row r="151">
          <cell r="A151">
            <v>4002</v>
          </cell>
          <cell r="B151" t="str">
            <v>Sim</v>
          </cell>
          <cell r="C151" t="str">
            <v>Capa Pedal</v>
          </cell>
          <cell r="D151" t="str">
            <v>HOLYMAN</v>
          </cell>
          <cell r="E151">
            <v>5</v>
          </cell>
          <cell r="F151" t="str">
            <v>Capa De Pedal Freio Embreagem Spacefox 2012 A 2015</v>
          </cell>
          <cell r="G151"/>
          <cell r="H151">
            <v>8</v>
          </cell>
          <cell r="I151">
            <v>6</v>
          </cell>
          <cell r="J151" t="str">
            <v/>
          </cell>
          <cell r="K151">
            <v>6</v>
          </cell>
          <cell r="L151" t="str">
            <v/>
          </cell>
          <cell r="M151">
            <v>9</v>
          </cell>
          <cell r="N151">
            <v>9</v>
          </cell>
          <cell r="O151" t="str">
            <v/>
          </cell>
          <cell r="P151" t="str">
            <v/>
          </cell>
          <cell r="Q151">
            <v>4</v>
          </cell>
          <cell r="R151">
            <v>4</v>
          </cell>
          <cell r="S151" t="str">
            <v>0</v>
          </cell>
          <cell r="T151">
            <v>0</v>
          </cell>
          <cell r="U151">
            <v>0</v>
          </cell>
          <cell r="V151">
            <v>12</v>
          </cell>
          <cell r="W151">
            <v>12</v>
          </cell>
          <cell r="X151" t="str">
            <v/>
          </cell>
          <cell r="Y151" t="str">
            <v/>
          </cell>
          <cell r="Z151" t="str">
            <v/>
          </cell>
          <cell r="AA151">
            <v>7</v>
          </cell>
          <cell r="AB151">
            <v>7</v>
          </cell>
          <cell r="AC151">
            <v>0</v>
          </cell>
          <cell r="AD151"/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6.5</v>
          </cell>
        </row>
        <row r="152">
          <cell r="A152" t="str">
            <v>FTK44005-AMW</v>
          </cell>
          <cell r="B152"/>
          <cell r="C152" t="str">
            <v>Bucha Bandeja</v>
          </cell>
          <cell r="D152" t="str">
            <v/>
          </cell>
          <cell r="E152" t="e">
            <v>#N/A</v>
          </cell>
          <cell r="F152" t="str">
            <v>BUCHA DA BANDEJA SUSPENSÃO TRASEIRA UNO MILLE 1991 A 2013 NÃO EXPORTAR</v>
          </cell>
          <cell r="G152"/>
          <cell r="H152" t="str">
            <v>-</v>
          </cell>
          <cell r="I152">
            <v>24</v>
          </cell>
          <cell r="J152">
            <v>24</v>
          </cell>
          <cell r="K152" t="str">
            <v/>
          </cell>
          <cell r="L152" t="str">
            <v/>
          </cell>
          <cell r="M152">
            <v>8</v>
          </cell>
          <cell r="N152" t="str">
            <v/>
          </cell>
          <cell r="O152">
            <v>8</v>
          </cell>
          <cell r="P152" t="str">
            <v/>
          </cell>
          <cell r="Q152">
            <v>0</v>
          </cell>
          <cell r="R152" t="str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/>
          </cell>
          <cell r="Y152" t="str">
            <v/>
          </cell>
          <cell r="Z152" t="str">
            <v/>
          </cell>
          <cell r="AA152">
            <v>8</v>
          </cell>
          <cell r="AB152">
            <v>0</v>
          </cell>
          <cell r="AC152">
            <v>8</v>
          </cell>
          <cell r="AD152"/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6.4</v>
          </cell>
        </row>
        <row r="153">
          <cell r="A153">
            <v>77365</v>
          </cell>
          <cell r="B153"/>
          <cell r="C153" t="str">
            <v>Cabo Câmbio</v>
          </cell>
          <cell r="D153" t="str">
            <v>Importação</v>
          </cell>
          <cell r="E153">
            <v>1</v>
          </cell>
          <cell r="F153" t="str">
            <v>Cabo Do Trambulador Onix 2012 A 2014</v>
          </cell>
          <cell r="G153"/>
          <cell r="H153">
            <v>3</v>
          </cell>
          <cell r="I153">
            <v>0</v>
          </cell>
          <cell r="J153" t="str">
            <v/>
          </cell>
          <cell r="K153" t="str">
            <v/>
          </cell>
          <cell r="L153" t="str">
            <v/>
          </cell>
          <cell r="M153">
            <v>0</v>
          </cell>
          <cell r="N153" t="str">
            <v/>
          </cell>
          <cell r="O153" t="str">
            <v/>
          </cell>
          <cell r="P153" t="str">
            <v/>
          </cell>
          <cell r="Q153">
            <v>0</v>
          </cell>
          <cell r="R153" t="str">
            <v>0</v>
          </cell>
          <cell r="S153" t="str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/>
          </cell>
          <cell r="Y153" t="str">
            <v/>
          </cell>
          <cell r="Z153" t="str">
            <v/>
          </cell>
          <cell r="AA153">
            <v>0</v>
          </cell>
          <cell r="AB153">
            <v>0</v>
          </cell>
          <cell r="AC153">
            <v>0</v>
          </cell>
          <cell r="AD153"/>
          <cell r="AE153">
            <v>0</v>
          </cell>
          <cell r="AF153">
            <v>35</v>
          </cell>
          <cell r="AG153">
            <v>0</v>
          </cell>
          <cell r="AH153">
            <v>0</v>
          </cell>
          <cell r="AI153">
            <v>35</v>
          </cell>
          <cell r="AJ153">
            <v>0</v>
          </cell>
          <cell r="AK153">
            <v>6.333333333333333</v>
          </cell>
        </row>
        <row r="154">
          <cell r="A154" t="str">
            <v>hl5609</v>
          </cell>
          <cell r="B154" t="str">
            <v>Sim</v>
          </cell>
          <cell r="C154" t="str">
            <v>Bieleta</v>
          </cell>
          <cell r="D154" t="str">
            <v>HOLYMAN</v>
          </cell>
          <cell r="E154">
            <v>5</v>
          </cell>
          <cell r="F154" t="str">
            <v>Bieleta Dianteira Direita Vera Cruz 2007 A 2012</v>
          </cell>
          <cell r="G154"/>
          <cell r="H154">
            <v>11</v>
          </cell>
          <cell r="I154">
            <v>4</v>
          </cell>
          <cell r="J154">
            <v>4</v>
          </cell>
          <cell r="K154" t="str">
            <v/>
          </cell>
          <cell r="L154" t="str">
            <v/>
          </cell>
          <cell r="M154">
            <v>7</v>
          </cell>
          <cell r="N154" t="str">
            <v/>
          </cell>
          <cell r="O154">
            <v>7</v>
          </cell>
          <cell r="P154" t="str">
            <v/>
          </cell>
          <cell r="Q154">
            <v>6</v>
          </cell>
          <cell r="R154" t="str">
            <v>0</v>
          </cell>
          <cell r="S154">
            <v>6</v>
          </cell>
          <cell r="T154">
            <v>0</v>
          </cell>
          <cell r="U154">
            <v>0</v>
          </cell>
          <cell r="V154">
            <v>6</v>
          </cell>
          <cell r="W154">
            <v>0</v>
          </cell>
          <cell r="X154">
            <v>4</v>
          </cell>
          <cell r="Y154" t="str">
            <v/>
          </cell>
          <cell r="Z154">
            <v>2</v>
          </cell>
          <cell r="AA154">
            <v>4</v>
          </cell>
          <cell r="AB154">
            <v>1</v>
          </cell>
          <cell r="AC154">
            <v>3</v>
          </cell>
          <cell r="AD154"/>
          <cell r="AE154">
            <v>0</v>
          </cell>
          <cell r="AF154">
            <v>4</v>
          </cell>
          <cell r="AG154">
            <v>0</v>
          </cell>
          <cell r="AH154">
            <v>4</v>
          </cell>
          <cell r="AI154">
            <v>0</v>
          </cell>
          <cell r="AJ154">
            <v>0</v>
          </cell>
          <cell r="AK154">
            <v>6.333333333333333</v>
          </cell>
        </row>
        <row r="155">
          <cell r="A155">
            <v>13120</v>
          </cell>
          <cell r="B155" t="str">
            <v>Sim</v>
          </cell>
          <cell r="C155" t="str">
            <v>Pino de Freio</v>
          </cell>
          <cell r="D155" t="str">
            <v>MultiKit</v>
          </cell>
          <cell r="E155">
            <v>4</v>
          </cell>
          <cell r="F155" t="str">
            <v>Kit Pino Deslizante Pinça De Freio Corsa 2003 Em Diante</v>
          </cell>
          <cell r="G155"/>
          <cell r="H155">
            <v>4</v>
          </cell>
          <cell r="I155">
            <v>3</v>
          </cell>
          <cell r="J155">
            <v>0</v>
          </cell>
          <cell r="K155">
            <v>3</v>
          </cell>
          <cell r="L155" t="str">
            <v/>
          </cell>
          <cell r="M155">
            <v>15</v>
          </cell>
          <cell r="N155">
            <v>3</v>
          </cell>
          <cell r="O155">
            <v>12</v>
          </cell>
          <cell r="P155" t="str">
            <v/>
          </cell>
          <cell r="Q155">
            <v>4</v>
          </cell>
          <cell r="R155">
            <v>0</v>
          </cell>
          <cell r="S155">
            <v>4</v>
          </cell>
          <cell r="T155">
            <v>0</v>
          </cell>
          <cell r="U155">
            <v>0</v>
          </cell>
          <cell r="V155">
            <v>10</v>
          </cell>
          <cell r="W155">
            <v>2</v>
          </cell>
          <cell r="X155">
            <v>8</v>
          </cell>
          <cell r="Y155" t="str">
            <v/>
          </cell>
          <cell r="Z155" t="str">
            <v/>
          </cell>
          <cell r="AA155">
            <v>10</v>
          </cell>
          <cell r="AB155">
            <v>4</v>
          </cell>
          <cell r="AC155">
            <v>6</v>
          </cell>
          <cell r="AD155"/>
          <cell r="AE155">
            <v>0</v>
          </cell>
          <cell r="AF155">
            <v>2</v>
          </cell>
          <cell r="AG155">
            <v>0</v>
          </cell>
          <cell r="AH155">
            <v>2</v>
          </cell>
          <cell r="AI155">
            <v>0</v>
          </cell>
          <cell r="AJ155">
            <v>0</v>
          </cell>
          <cell r="AK155">
            <v>6.333333333333333</v>
          </cell>
        </row>
        <row r="156">
          <cell r="A156">
            <v>442080</v>
          </cell>
          <cell r="B156" t="str">
            <v>Sim</v>
          </cell>
          <cell r="C156" t="str">
            <v>Bandeja</v>
          </cell>
          <cell r="D156" t="str">
            <v>SPARE</v>
          </cell>
          <cell r="E156">
            <v>2</v>
          </cell>
          <cell r="F156" t="str">
            <v>Bandeja Inferior Belina Scala 1984 A 1991</v>
          </cell>
          <cell r="G156"/>
          <cell r="H156">
            <v>5</v>
          </cell>
          <cell r="I156">
            <v>5</v>
          </cell>
          <cell r="J156">
            <v>0</v>
          </cell>
          <cell r="K156">
            <v>5</v>
          </cell>
          <cell r="L156" t="str">
            <v/>
          </cell>
          <cell r="M156">
            <v>9</v>
          </cell>
          <cell r="N156">
            <v>3</v>
          </cell>
          <cell r="O156">
            <v>6</v>
          </cell>
          <cell r="P156" t="str">
            <v/>
          </cell>
          <cell r="Q156">
            <v>6</v>
          </cell>
          <cell r="R156">
            <v>4</v>
          </cell>
          <cell r="S156">
            <v>2</v>
          </cell>
          <cell r="T156">
            <v>0</v>
          </cell>
          <cell r="U156">
            <v>0</v>
          </cell>
          <cell r="V156">
            <v>11</v>
          </cell>
          <cell r="W156">
            <v>5</v>
          </cell>
          <cell r="X156">
            <v>6</v>
          </cell>
          <cell r="Y156" t="str">
            <v/>
          </cell>
          <cell r="Z156" t="str">
            <v/>
          </cell>
          <cell r="AA156">
            <v>4</v>
          </cell>
          <cell r="AB156">
            <v>2</v>
          </cell>
          <cell r="AC156">
            <v>2</v>
          </cell>
          <cell r="AD156"/>
          <cell r="AE156">
            <v>0</v>
          </cell>
          <cell r="AF156">
            <v>2</v>
          </cell>
          <cell r="AG156">
            <v>0</v>
          </cell>
          <cell r="AH156">
            <v>2</v>
          </cell>
          <cell r="AI156">
            <v>0</v>
          </cell>
          <cell r="AJ156">
            <v>0</v>
          </cell>
          <cell r="AK156">
            <v>6.333333333333333</v>
          </cell>
        </row>
        <row r="157">
          <cell r="A157">
            <v>112012</v>
          </cell>
          <cell r="B157" t="str">
            <v>Sim</v>
          </cell>
          <cell r="C157" t="str">
            <v>Bandeja</v>
          </cell>
          <cell r="D157" t="str">
            <v>SPARE</v>
          </cell>
          <cell r="E157">
            <v>2</v>
          </cell>
          <cell r="F157" t="str">
            <v>Bandeja Inferior Direito Fiat Coupe</v>
          </cell>
          <cell r="G157"/>
          <cell r="H157">
            <v>10</v>
          </cell>
          <cell r="I157">
            <v>4</v>
          </cell>
          <cell r="J157">
            <v>3</v>
          </cell>
          <cell r="K157">
            <v>1</v>
          </cell>
          <cell r="L157" t="str">
            <v/>
          </cell>
          <cell r="M157">
            <v>5</v>
          </cell>
          <cell r="N157">
            <v>1</v>
          </cell>
          <cell r="O157">
            <v>4</v>
          </cell>
          <cell r="P157" t="str">
            <v/>
          </cell>
          <cell r="Q157">
            <v>3</v>
          </cell>
          <cell r="R157">
            <v>1</v>
          </cell>
          <cell r="S157">
            <v>2</v>
          </cell>
          <cell r="T157">
            <v>0</v>
          </cell>
          <cell r="U157">
            <v>0</v>
          </cell>
          <cell r="V157">
            <v>7</v>
          </cell>
          <cell r="W157">
            <v>2</v>
          </cell>
          <cell r="X157">
            <v>3</v>
          </cell>
          <cell r="Y157" t="str">
            <v/>
          </cell>
          <cell r="Z157">
            <v>2</v>
          </cell>
          <cell r="AA157">
            <v>9</v>
          </cell>
          <cell r="AB157">
            <v>5</v>
          </cell>
          <cell r="AC157">
            <v>4</v>
          </cell>
          <cell r="AD157"/>
          <cell r="AE157">
            <v>0</v>
          </cell>
          <cell r="AF157">
            <v>9</v>
          </cell>
          <cell r="AG157">
            <v>5</v>
          </cell>
          <cell r="AH157">
            <v>3</v>
          </cell>
          <cell r="AI157">
            <v>0</v>
          </cell>
          <cell r="AJ157">
            <v>1</v>
          </cell>
          <cell r="AK157">
            <v>6.333333333333333</v>
          </cell>
        </row>
        <row r="158">
          <cell r="A158">
            <v>77173</v>
          </cell>
          <cell r="B158" t="str">
            <v>Sim</v>
          </cell>
          <cell r="C158" t="str">
            <v>Cabo de Capô</v>
          </cell>
          <cell r="D158" t="str">
            <v>Importação</v>
          </cell>
          <cell r="E158">
            <v>1</v>
          </cell>
          <cell r="F158" t="str">
            <v>Cabo De Capô Com Alavanca Montana 2003 Em Diante</v>
          </cell>
          <cell r="G158"/>
          <cell r="H158">
            <v>9</v>
          </cell>
          <cell r="I158">
            <v>3</v>
          </cell>
          <cell r="J158" t="str">
            <v/>
          </cell>
          <cell r="K158">
            <v>3</v>
          </cell>
          <cell r="L158" t="str">
            <v/>
          </cell>
          <cell r="M158">
            <v>5</v>
          </cell>
          <cell r="N158">
            <v>5</v>
          </cell>
          <cell r="O158" t="str">
            <v/>
          </cell>
          <cell r="P158" t="str">
            <v/>
          </cell>
          <cell r="Q158">
            <v>8</v>
          </cell>
          <cell r="R158">
            <v>8</v>
          </cell>
          <cell r="S158" t="str">
            <v>0</v>
          </cell>
          <cell r="T158">
            <v>0</v>
          </cell>
          <cell r="U158">
            <v>0</v>
          </cell>
          <cell r="V158">
            <v>2</v>
          </cell>
          <cell r="W158">
            <v>2</v>
          </cell>
          <cell r="X158" t="str">
            <v/>
          </cell>
          <cell r="Y158" t="str">
            <v/>
          </cell>
          <cell r="Z158" t="str">
            <v/>
          </cell>
          <cell r="AA158">
            <v>9</v>
          </cell>
          <cell r="AB158">
            <v>9</v>
          </cell>
          <cell r="AC158">
            <v>0</v>
          </cell>
          <cell r="AD158"/>
          <cell r="AE158">
            <v>0</v>
          </cell>
          <cell r="AF158">
            <v>11</v>
          </cell>
          <cell r="AG158">
            <v>11</v>
          </cell>
          <cell r="AH158">
            <v>0</v>
          </cell>
          <cell r="AI158">
            <v>0</v>
          </cell>
          <cell r="AJ158">
            <v>0</v>
          </cell>
          <cell r="AK158">
            <v>6.333333333333333</v>
          </cell>
        </row>
        <row r="159">
          <cell r="A159" t="str">
            <v>FTK11056</v>
          </cell>
          <cell r="B159" t="str">
            <v>Sim</v>
          </cell>
          <cell r="C159" t="str">
            <v>Pivô</v>
          </cell>
          <cell r="D159" t="str">
            <v>SPARE</v>
          </cell>
          <cell r="E159">
            <v>2</v>
          </cell>
          <cell r="F159" t="str">
            <v>Pivô Lado Direito Crossfox 2014 Em Diante</v>
          </cell>
          <cell r="G159"/>
          <cell r="H159">
            <v>9</v>
          </cell>
          <cell r="I159">
            <v>5</v>
          </cell>
          <cell r="J159">
            <v>2</v>
          </cell>
          <cell r="K159">
            <v>3</v>
          </cell>
          <cell r="L159" t="str">
            <v/>
          </cell>
          <cell r="M159">
            <v>2</v>
          </cell>
          <cell r="N159">
            <v>1</v>
          </cell>
          <cell r="O159">
            <v>1</v>
          </cell>
          <cell r="P159" t="str">
            <v/>
          </cell>
          <cell r="Q159">
            <v>5</v>
          </cell>
          <cell r="R159" t="str">
            <v>0</v>
          </cell>
          <cell r="S159">
            <v>5</v>
          </cell>
          <cell r="T159">
            <v>0</v>
          </cell>
          <cell r="U159">
            <v>0</v>
          </cell>
          <cell r="V159">
            <v>7</v>
          </cell>
          <cell r="W159">
            <v>0</v>
          </cell>
          <cell r="X159">
            <v>7</v>
          </cell>
          <cell r="Y159" t="str">
            <v/>
          </cell>
          <cell r="Z159" t="str">
            <v/>
          </cell>
          <cell r="AA159">
            <v>18</v>
          </cell>
          <cell r="AB159">
            <v>2</v>
          </cell>
          <cell r="AC159">
            <v>16</v>
          </cell>
          <cell r="AD159"/>
          <cell r="AE159">
            <v>0</v>
          </cell>
          <cell r="AF159">
            <v>9</v>
          </cell>
          <cell r="AG159">
            <v>0</v>
          </cell>
          <cell r="AH159">
            <v>9</v>
          </cell>
          <cell r="AI159">
            <v>0</v>
          </cell>
          <cell r="AJ159">
            <v>0</v>
          </cell>
          <cell r="AK159">
            <v>6.166666666666667</v>
          </cell>
        </row>
        <row r="160">
          <cell r="A160" t="str">
            <v>hl5610</v>
          </cell>
          <cell r="B160" t="str">
            <v>Sim</v>
          </cell>
          <cell r="C160" t="str">
            <v>Bieleta</v>
          </cell>
          <cell r="D160" t="str">
            <v>HOLYMAN</v>
          </cell>
          <cell r="E160">
            <v>5</v>
          </cell>
          <cell r="F160" t="str">
            <v>Bieleta Dianteira Esquerda Vera Cruz 2007 A 2012</v>
          </cell>
          <cell r="G160"/>
          <cell r="H160">
            <v>10</v>
          </cell>
          <cell r="I160">
            <v>4</v>
          </cell>
          <cell r="J160">
            <v>4</v>
          </cell>
          <cell r="K160" t="str">
            <v/>
          </cell>
          <cell r="L160" t="str">
            <v/>
          </cell>
          <cell r="M160">
            <v>7</v>
          </cell>
          <cell r="N160" t="str">
            <v/>
          </cell>
          <cell r="O160">
            <v>7</v>
          </cell>
          <cell r="P160" t="str">
            <v/>
          </cell>
          <cell r="Q160">
            <v>6</v>
          </cell>
          <cell r="R160" t="str">
            <v>0</v>
          </cell>
          <cell r="S160">
            <v>6</v>
          </cell>
          <cell r="T160">
            <v>0</v>
          </cell>
          <cell r="U160">
            <v>0</v>
          </cell>
          <cell r="V160">
            <v>6</v>
          </cell>
          <cell r="W160">
            <v>0</v>
          </cell>
          <cell r="X160">
            <v>4</v>
          </cell>
          <cell r="Y160" t="str">
            <v/>
          </cell>
          <cell r="Z160">
            <v>2</v>
          </cell>
          <cell r="AA160">
            <v>3</v>
          </cell>
          <cell r="AB160">
            <v>0</v>
          </cell>
          <cell r="AC160">
            <v>3</v>
          </cell>
          <cell r="AD160"/>
          <cell r="AE160">
            <v>0</v>
          </cell>
          <cell r="AF160">
            <v>4</v>
          </cell>
          <cell r="AG160">
            <v>0</v>
          </cell>
          <cell r="AH160">
            <v>4</v>
          </cell>
          <cell r="AI160">
            <v>0</v>
          </cell>
          <cell r="AJ160">
            <v>0</v>
          </cell>
          <cell r="AK160">
            <v>6.166666666666667</v>
          </cell>
        </row>
        <row r="161">
          <cell r="A161">
            <v>5041</v>
          </cell>
          <cell r="B161" t="str">
            <v>Sim</v>
          </cell>
          <cell r="C161" t="str">
            <v>Bieleta</v>
          </cell>
          <cell r="D161" t="str">
            <v>HOLYMAN</v>
          </cell>
          <cell r="E161">
            <v>5</v>
          </cell>
          <cell r="F161" t="str">
            <v>Bieleta Traseira Ambos Os Lados Fusion 2013 A 2020</v>
          </cell>
          <cell r="G161"/>
          <cell r="H161">
            <v>2</v>
          </cell>
          <cell r="I161">
            <v>4</v>
          </cell>
          <cell r="J161">
            <v>4</v>
          </cell>
          <cell r="K161">
            <v>0</v>
          </cell>
          <cell r="L161" t="str">
            <v/>
          </cell>
          <cell r="M161">
            <v>8</v>
          </cell>
          <cell r="N161" t="str">
            <v/>
          </cell>
          <cell r="O161">
            <v>8</v>
          </cell>
          <cell r="P161" t="str">
            <v/>
          </cell>
          <cell r="Q161">
            <v>8</v>
          </cell>
          <cell r="R161">
            <v>2</v>
          </cell>
          <cell r="S161">
            <v>6</v>
          </cell>
          <cell r="T161">
            <v>0</v>
          </cell>
          <cell r="U161">
            <v>0</v>
          </cell>
          <cell r="V161">
            <v>8</v>
          </cell>
          <cell r="W161">
            <v>0</v>
          </cell>
          <cell r="X161">
            <v>8</v>
          </cell>
          <cell r="Y161" t="str">
            <v/>
          </cell>
          <cell r="Z161" t="str">
            <v/>
          </cell>
          <cell r="AA161">
            <v>16</v>
          </cell>
          <cell r="AB161">
            <v>4</v>
          </cell>
          <cell r="AC161">
            <v>12</v>
          </cell>
          <cell r="AD161"/>
          <cell r="AE161">
            <v>0</v>
          </cell>
          <cell r="AF161">
            <v>6</v>
          </cell>
          <cell r="AG161">
            <v>0</v>
          </cell>
          <cell r="AH161">
            <v>6</v>
          </cell>
          <cell r="AI161">
            <v>0</v>
          </cell>
          <cell r="AJ161">
            <v>0</v>
          </cell>
          <cell r="AK161">
            <v>6</v>
          </cell>
        </row>
        <row r="162">
          <cell r="A162">
            <v>66643</v>
          </cell>
          <cell r="B162" t="str">
            <v>Sim</v>
          </cell>
          <cell r="C162" t="str">
            <v>Cabo Câmbio</v>
          </cell>
          <cell r="D162" t="str">
            <v>Importação</v>
          </cell>
          <cell r="E162">
            <v>1</v>
          </cell>
          <cell r="F162" t="str">
            <v>Cabo Trambulador Seleção Strada 1.4 Fire Mpi 8v 2012</v>
          </cell>
          <cell r="G162"/>
          <cell r="H162">
            <v>15</v>
          </cell>
          <cell r="I162">
            <v>9</v>
          </cell>
          <cell r="J162">
            <v>8</v>
          </cell>
          <cell r="K162">
            <v>1</v>
          </cell>
          <cell r="L162" t="str">
            <v/>
          </cell>
          <cell r="M162">
            <v>7</v>
          </cell>
          <cell r="N162">
            <v>1</v>
          </cell>
          <cell r="O162">
            <v>6</v>
          </cell>
          <cell r="P162" t="str">
            <v/>
          </cell>
          <cell r="Q162">
            <v>1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1</v>
          </cell>
          <cell r="W162">
            <v>1</v>
          </cell>
          <cell r="X162" t="str">
            <v/>
          </cell>
          <cell r="Y162" t="str">
            <v/>
          </cell>
          <cell r="Z162" t="str">
            <v/>
          </cell>
          <cell r="AA162">
            <v>1</v>
          </cell>
          <cell r="AB162">
            <v>1</v>
          </cell>
          <cell r="AC162">
            <v>0</v>
          </cell>
          <cell r="AD162"/>
          <cell r="AE162">
            <v>0</v>
          </cell>
          <cell r="AF162">
            <v>3</v>
          </cell>
          <cell r="AG162">
            <v>0</v>
          </cell>
          <cell r="AH162">
            <v>2</v>
          </cell>
          <cell r="AI162">
            <v>1</v>
          </cell>
          <cell r="AJ162">
            <v>0</v>
          </cell>
          <cell r="AK162">
            <v>6</v>
          </cell>
        </row>
        <row r="163">
          <cell r="A163">
            <v>93006</v>
          </cell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>
            <v>6</v>
          </cell>
          <cell r="AG163">
            <v>0</v>
          </cell>
          <cell r="AH163">
            <v>6</v>
          </cell>
          <cell r="AI163">
            <v>0</v>
          </cell>
          <cell r="AJ163">
            <v>0</v>
          </cell>
          <cell r="AK163">
            <v>6</v>
          </cell>
        </row>
        <row r="164">
          <cell r="A164" t="str">
            <v>FTK220</v>
          </cell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>
            <v>6</v>
          </cell>
          <cell r="AG164">
            <v>0</v>
          </cell>
          <cell r="AH164">
            <v>6</v>
          </cell>
          <cell r="AI164">
            <v>0</v>
          </cell>
          <cell r="AJ164">
            <v>0</v>
          </cell>
          <cell r="AK164">
            <v>6</v>
          </cell>
        </row>
        <row r="165">
          <cell r="A165">
            <v>66642</v>
          </cell>
          <cell r="B165" t="str">
            <v>Sim</v>
          </cell>
          <cell r="C165" t="str">
            <v>Cabo Câmbio</v>
          </cell>
          <cell r="D165" t="str">
            <v>Importação</v>
          </cell>
          <cell r="E165">
            <v>1</v>
          </cell>
          <cell r="F165" t="str">
            <v>Cabo De Câmbio Engate Strada 1.6 1.8 16v 2011 Em Diante</v>
          </cell>
          <cell r="G165"/>
          <cell r="H165">
            <v>15</v>
          </cell>
          <cell r="I165">
            <v>8</v>
          </cell>
          <cell r="J165">
            <v>8</v>
          </cell>
          <cell r="K165" t="str">
            <v/>
          </cell>
          <cell r="L165" t="str">
            <v/>
          </cell>
          <cell r="M165">
            <v>10</v>
          </cell>
          <cell r="N165">
            <v>1</v>
          </cell>
          <cell r="O165">
            <v>9</v>
          </cell>
          <cell r="P165" t="str">
            <v/>
          </cell>
          <cell r="Q165">
            <v>0</v>
          </cell>
          <cell r="R165" t="str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/>
          </cell>
          <cell r="Y165" t="str">
            <v/>
          </cell>
          <cell r="Z165" t="str">
            <v/>
          </cell>
          <cell r="AA165">
            <v>0</v>
          </cell>
          <cell r="AB165">
            <v>0</v>
          </cell>
          <cell r="AC165">
            <v>0</v>
          </cell>
          <cell r="AD165"/>
          <cell r="AE165">
            <v>0</v>
          </cell>
          <cell r="AF165">
            <v>2</v>
          </cell>
          <cell r="AG165">
            <v>0</v>
          </cell>
          <cell r="AH165">
            <v>2</v>
          </cell>
          <cell r="AI165">
            <v>0</v>
          </cell>
          <cell r="AJ165">
            <v>0</v>
          </cell>
          <cell r="AK165">
            <v>5.833333333333333</v>
          </cell>
        </row>
        <row r="166">
          <cell r="A166">
            <v>442091</v>
          </cell>
          <cell r="B166" t="str">
            <v>Sim</v>
          </cell>
          <cell r="C166" t="str">
            <v>Bandeja</v>
          </cell>
          <cell r="D166" t="str">
            <v>SPARE</v>
          </cell>
          <cell r="E166">
            <v>2</v>
          </cell>
          <cell r="F166" t="str">
            <v>Bandeja Sem Pivô Lado Direito Gol G6 2012 Em Diante</v>
          </cell>
          <cell r="G166"/>
          <cell r="H166">
            <v>10</v>
          </cell>
          <cell r="I166">
            <v>2</v>
          </cell>
          <cell r="J166">
            <v>0</v>
          </cell>
          <cell r="K166">
            <v>2</v>
          </cell>
          <cell r="L166" t="str">
            <v/>
          </cell>
          <cell r="M166">
            <v>1</v>
          </cell>
          <cell r="N166">
            <v>1</v>
          </cell>
          <cell r="O166">
            <v>0</v>
          </cell>
          <cell r="P166" t="str">
            <v/>
          </cell>
          <cell r="Q166">
            <v>5</v>
          </cell>
          <cell r="R166" t="str">
            <v>0</v>
          </cell>
          <cell r="S166">
            <v>4</v>
          </cell>
          <cell r="T166">
            <v>0</v>
          </cell>
          <cell r="U166">
            <v>1</v>
          </cell>
          <cell r="V166">
            <v>8</v>
          </cell>
          <cell r="W166">
            <v>2</v>
          </cell>
          <cell r="X166">
            <v>6</v>
          </cell>
          <cell r="Y166" t="str">
            <v/>
          </cell>
          <cell r="Z166" t="str">
            <v/>
          </cell>
          <cell r="AA166">
            <v>16</v>
          </cell>
          <cell r="AB166">
            <v>1</v>
          </cell>
          <cell r="AC166">
            <v>15</v>
          </cell>
          <cell r="AD166"/>
          <cell r="AE166">
            <v>0</v>
          </cell>
          <cell r="AF166">
            <v>8</v>
          </cell>
          <cell r="AG166">
            <v>0</v>
          </cell>
          <cell r="AH166">
            <v>8</v>
          </cell>
          <cell r="AI166">
            <v>0</v>
          </cell>
          <cell r="AJ166">
            <v>0</v>
          </cell>
          <cell r="AK166">
            <v>5.666666666666667</v>
          </cell>
        </row>
        <row r="167">
          <cell r="A167">
            <v>222052</v>
          </cell>
          <cell r="B167" t="str">
            <v>Sim</v>
          </cell>
          <cell r="C167" t="str">
            <v>Bandeja</v>
          </cell>
          <cell r="D167" t="str">
            <v>SPARE</v>
          </cell>
          <cell r="E167">
            <v>2</v>
          </cell>
          <cell r="F167" t="str">
            <v>Bandeja Inferior Direito Ecosport Sem Pivô 2003 Á 2011</v>
          </cell>
          <cell r="G167"/>
          <cell r="H167">
            <v>5</v>
          </cell>
          <cell r="I167">
            <v>4</v>
          </cell>
          <cell r="J167">
            <v>4</v>
          </cell>
          <cell r="K167" t="str">
            <v/>
          </cell>
          <cell r="L167" t="str">
            <v/>
          </cell>
          <cell r="M167">
            <v>10</v>
          </cell>
          <cell r="N167">
            <v>1</v>
          </cell>
          <cell r="O167">
            <v>9</v>
          </cell>
          <cell r="P167" t="str">
            <v/>
          </cell>
          <cell r="Q167">
            <v>1</v>
          </cell>
          <cell r="R167" t="str">
            <v>0</v>
          </cell>
          <cell r="S167">
            <v>1</v>
          </cell>
          <cell r="T167">
            <v>0</v>
          </cell>
          <cell r="U167">
            <v>0</v>
          </cell>
          <cell r="V167">
            <v>6</v>
          </cell>
          <cell r="W167">
            <v>0</v>
          </cell>
          <cell r="X167">
            <v>6</v>
          </cell>
          <cell r="Y167" t="str">
            <v/>
          </cell>
          <cell r="Z167" t="str">
            <v/>
          </cell>
          <cell r="AA167">
            <v>5</v>
          </cell>
          <cell r="AB167">
            <v>0</v>
          </cell>
          <cell r="AC167">
            <v>5</v>
          </cell>
          <cell r="AD167"/>
          <cell r="AE167">
            <v>0</v>
          </cell>
          <cell r="AF167">
            <v>8</v>
          </cell>
          <cell r="AG167">
            <v>0</v>
          </cell>
          <cell r="AH167">
            <v>4</v>
          </cell>
          <cell r="AI167">
            <v>0</v>
          </cell>
          <cell r="AJ167">
            <v>4</v>
          </cell>
          <cell r="AK167">
            <v>5.666666666666667</v>
          </cell>
        </row>
        <row r="168">
          <cell r="A168">
            <v>66611</v>
          </cell>
          <cell r="B168"/>
          <cell r="C168" t="str">
            <v>Cabo Câmbio</v>
          </cell>
          <cell r="D168" t="str">
            <v>Importação</v>
          </cell>
          <cell r="E168">
            <v>1</v>
          </cell>
          <cell r="F168" t="str">
            <v>Cabo De Seleção Siena 1.5 1.6 1998 A 2001</v>
          </cell>
          <cell r="G168"/>
          <cell r="H168">
            <v>4</v>
          </cell>
          <cell r="I168">
            <v>0</v>
          </cell>
          <cell r="J168">
            <v>0</v>
          </cell>
          <cell r="K168" t="str">
            <v/>
          </cell>
          <cell r="L168" t="str">
            <v/>
          </cell>
          <cell r="M168">
            <v>9</v>
          </cell>
          <cell r="N168" t="str">
            <v/>
          </cell>
          <cell r="O168">
            <v>9</v>
          </cell>
          <cell r="P168" t="str">
            <v/>
          </cell>
          <cell r="Q168">
            <v>8</v>
          </cell>
          <cell r="R168">
            <v>1</v>
          </cell>
          <cell r="S168">
            <v>7</v>
          </cell>
          <cell r="T168">
            <v>0</v>
          </cell>
          <cell r="U168">
            <v>0</v>
          </cell>
          <cell r="V168">
            <v>13</v>
          </cell>
          <cell r="W168">
            <v>1</v>
          </cell>
          <cell r="X168">
            <v>12</v>
          </cell>
          <cell r="Y168" t="str">
            <v/>
          </cell>
          <cell r="Z168" t="str">
            <v/>
          </cell>
          <cell r="AA168">
            <v>0</v>
          </cell>
          <cell r="AB168">
            <v>0</v>
          </cell>
          <cell r="AC168">
            <v>0</v>
          </cell>
          <cell r="AD168"/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5.666666666666667</v>
          </cell>
        </row>
        <row r="169">
          <cell r="A169">
            <v>442090</v>
          </cell>
          <cell r="B169" t="str">
            <v>Sim</v>
          </cell>
          <cell r="C169" t="str">
            <v>Bandeja</v>
          </cell>
          <cell r="D169" t="str">
            <v>SPARE</v>
          </cell>
          <cell r="E169">
            <v>2</v>
          </cell>
          <cell r="F169" t="str">
            <v>Bandeja Sem Pivô Lado Esquerdo Saveiro G6 2012 Em Diante</v>
          </cell>
          <cell r="G169"/>
          <cell r="H169">
            <v>7</v>
          </cell>
          <cell r="I169">
            <v>0</v>
          </cell>
          <cell r="J169">
            <v>0</v>
          </cell>
          <cell r="K169" t="str">
            <v/>
          </cell>
          <cell r="L169" t="str">
            <v/>
          </cell>
          <cell r="M169">
            <v>1</v>
          </cell>
          <cell r="N169">
            <v>1</v>
          </cell>
          <cell r="O169">
            <v>0</v>
          </cell>
          <cell r="P169" t="str">
            <v/>
          </cell>
          <cell r="Q169">
            <v>8</v>
          </cell>
          <cell r="R169">
            <v>5</v>
          </cell>
          <cell r="S169">
            <v>3</v>
          </cell>
          <cell r="T169">
            <v>0</v>
          </cell>
          <cell r="U169">
            <v>0</v>
          </cell>
          <cell r="V169">
            <v>9</v>
          </cell>
          <cell r="W169">
            <v>3</v>
          </cell>
          <cell r="X169">
            <v>6</v>
          </cell>
          <cell r="Y169" t="str">
            <v/>
          </cell>
          <cell r="Z169" t="str">
            <v/>
          </cell>
          <cell r="AA169">
            <v>19</v>
          </cell>
          <cell r="AB169">
            <v>4</v>
          </cell>
          <cell r="AC169">
            <v>15</v>
          </cell>
          <cell r="AD169"/>
          <cell r="AE169">
            <v>0</v>
          </cell>
          <cell r="AF169">
            <v>8</v>
          </cell>
          <cell r="AG169">
            <v>0</v>
          </cell>
          <cell r="AH169">
            <v>8</v>
          </cell>
          <cell r="AI169">
            <v>0</v>
          </cell>
          <cell r="AJ169">
            <v>0</v>
          </cell>
          <cell r="AK169">
            <v>5.5</v>
          </cell>
        </row>
        <row r="170">
          <cell r="A170">
            <v>662030</v>
          </cell>
          <cell r="B170" t="str">
            <v>Sim</v>
          </cell>
          <cell r="C170" t="str">
            <v>Bandeja</v>
          </cell>
          <cell r="D170" t="str">
            <v>SPARE</v>
          </cell>
          <cell r="E170">
            <v>2</v>
          </cell>
          <cell r="F170" t="str">
            <v>Bandeja Direita Com Pivô New Megane 2007 Em Diante</v>
          </cell>
          <cell r="G170"/>
          <cell r="H170">
            <v>1</v>
          </cell>
          <cell r="I170">
            <v>9</v>
          </cell>
          <cell r="J170">
            <v>8</v>
          </cell>
          <cell r="K170">
            <v>1</v>
          </cell>
          <cell r="L170" t="str">
            <v/>
          </cell>
          <cell r="M170">
            <v>5</v>
          </cell>
          <cell r="N170" t="str">
            <v/>
          </cell>
          <cell r="O170">
            <v>5</v>
          </cell>
          <cell r="P170" t="str">
            <v/>
          </cell>
          <cell r="Q170">
            <v>5</v>
          </cell>
          <cell r="R170">
            <v>3</v>
          </cell>
          <cell r="S170">
            <v>2</v>
          </cell>
          <cell r="T170">
            <v>0</v>
          </cell>
          <cell r="U170">
            <v>0</v>
          </cell>
          <cell r="V170">
            <v>10</v>
          </cell>
          <cell r="W170">
            <v>2</v>
          </cell>
          <cell r="X170">
            <v>8</v>
          </cell>
          <cell r="Y170" t="str">
            <v/>
          </cell>
          <cell r="Z170" t="str">
            <v/>
          </cell>
          <cell r="AA170">
            <v>2</v>
          </cell>
          <cell r="AB170">
            <v>1</v>
          </cell>
          <cell r="AC170">
            <v>1</v>
          </cell>
          <cell r="AD170"/>
          <cell r="AE170">
            <v>0</v>
          </cell>
          <cell r="AF170">
            <v>3</v>
          </cell>
          <cell r="AG170">
            <v>0</v>
          </cell>
          <cell r="AH170">
            <v>3</v>
          </cell>
          <cell r="AI170">
            <v>0</v>
          </cell>
          <cell r="AJ170">
            <v>0</v>
          </cell>
          <cell r="AK170">
            <v>5.5</v>
          </cell>
        </row>
        <row r="171">
          <cell r="A171">
            <v>77144</v>
          </cell>
          <cell r="B171" t="str">
            <v>Sim</v>
          </cell>
          <cell r="C171" t="str">
            <v>Cabo de Velocímetro</v>
          </cell>
          <cell r="D171" t="str">
            <v>MundiFlex</v>
          </cell>
          <cell r="E171">
            <v>6</v>
          </cell>
          <cell r="F171" t="str">
            <v>Cabo De Velocímetro Corsa Wind Gl Gls Gsi 1994 Em Diante</v>
          </cell>
          <cell r="G171"/>
          <cell r="H171">
            <v>11</v>
          </cell>
          <cell r="I171">
            <v>6</v>
          </cell>
          <cell r="J171" t="str">
            <v/>
          </cell>
          <cell r="K171">
            <v>6</v>
          </cell>
          <cell r="L171" t="str">
            <v/>
          </cell>
          <cell r="M171">
            <v>3</v>
          </cell>
          <cell r="N171">
            <v>3</v>
          </cell>
          <cell r="O171" t="str">
            <v/>
          </cell>
          <cell r="P171" t="str">
            <v/>
          </cell>
          <cell r="Q171">
            <v>2</v>
          </cell>
          <cell r="R171">
            <v>2</v>
          </cell>
          <cell r="S171" t="str">
            <v>0</v>
          </cell>
          <cell r="T171">
            <v>0</v>
          </cell>
          <cell r="U171">
            <v>0</v>
          </cell>
          <cell r="V171">
            <v>7</v>
          </cell>
          <cell r="W171">
            <v>7</v>
          </cell>
          <cell r="X171" t="str">
            <v/>
          </cell>
          <cell r="Y171" t="str">
            <v/>
          </cell>
          <cell r="Z171" t="str">
            <v/>
          </cell>
          <cell r="AA171">
            <v>2</v>
          </cell>
          <cell r="AB171">
            <v>2</v>
          </cell>
          <cell r="AC171">
            <v>0</v>
          </cell>
          <cell r="AD171"/>
          <cell r="AE171">
            <v>0</v>
          </cell>
          <cell r="AF171">
            <v>4</v>
          </cell>
          <cell r="AG171">
            <v>4</v>
          </cell>
          <cell r="AH171">
            <v>0</v>
          </cell>
          <cell r="AI171">
            <v>0</v>
          </cell>
          <cell r="AJ171">
            <v>0</v>
          </cell>
          <cell r="AK171">
            <v>5.5</v>
          </cell>
        </row>
        <row r="172">
          <cell r="A172">
            <v>55312</v>
          </cell>
          <cell r="B172" t="str">
            <v>Sim</v>
          </cell>
          <cell r="C172" t="str">
            <v>Cabo de Capô</v>
          </cell>
          <cell r="D172" t="str">
            <v>MundiFlex</v>
          </cell>
          <cell r="E172">
            <v>6</v>
          </cell>
          <cell r="F172" t="str">
            <v>Cabo De Capô Fox Flex Com Alavanca 2003 A 2005</v>
          </cell>
          <cell r="G172"/>
          <cell r="H172">
            <v>4</v>
          </cell>
          <cell r="I172">
            <v>4</v>
          </cell>
          <cell r="J172" t="str">
            <v/>
          </cell>
          <cell r="K172">
            <v>4</v>
          </cell>
          <cell r="L172" t="str">
            <v/>
          </cell>
          <cell r="M172">
            <v>7</v>
          </cell>
          <cell r="N172">
            <v>7</v>
          </cell>
          <cell r="O172" t="str">
            <v/>
          </cell>
          <cell r="P172" t="str">
            <v/>
          </cell>
          <cell r="Q172">
            <v>3</v>
          </cell>
          <cell r="R172">
            <v>3</v>
          </cell>
          <cell r="S172" t="str">
            <v>0</v>
          </cell>
          <cell r="T172">
            <v>0</v>
          </cell>
          <cell r="U172">
            <v>0</v>
          </cell>
          <cell r="V172">
            <v>11</v>
          </cell>
          <cell r="W172">
            <v>11</v>
          </cell>
          <cell r="X172" t="str">
            <v/>
          </cell>
          <cell r="Y172" t="str">
            <v/>
          </cell>
          <cell r="Z172" t="str">
            <v/>
          </cell>
          <cell r="AA172">
            <v>1</v>
          </cell>
          <cell r="AB172">
            <v>1</v>
          </cell>
          <cell r="AC172">
            <v>0</v>
          </cell>
          <cell r="AD172"/>
          <cell r="AE172">
            <v>0</v>
          </cell>
          <cell r="AF172">
            <v>4</v>
          </cell>
          <cell r="AG172">
            <v>4</v>
          </cell>
          <cell r="AH172">
            <v>0</v>
          </cell>
          <cell r="AI172">
            <v>0</v>
          </cell>
          <cell r="AJ172">
            <v>0</v>
          </cell>
          <cell r="AK172">
            <v>5.5</v>
          </cell>
        </row>
        <row r="173">
          <cell r="A173">
            <v>222104</v>
          </cell>
          <cell r="B173" t="str">
            <v>Sim</v>
          </cell>
          <cell r="C173" t="str">
            <v>Bandeja</v>
          </cell>
          <cell r="D173" t="str">
            <v>SPARE</v>
          </cell>
          <cell r="E173">
            <v>2</v>
          </cell>
          <cell r="F173" t="str">
            <v>Bandeja Fiesta 2008 A 2014 Lado Direito Com Pivô</v>
          </cell>
          <cell r="G173"/>
          <cell r="H173">
            <v>4</v>
          </cell>
          <cell r="I173">
            <v>4</v>
          </cell>
          <cell r="J173">
            <v>0</v>
          </cell>
          <cell r="K173">
            <v>4</v>
          </cell>
          <cell r="L173" t="str">
            <v/>
          </cell>
          <cell r="M173">
            <v>3</v>
          </cell>
          <cell r="N173">
            <v>3</v>
          </cell>
          <cell r="O173">
            <v>0</v>
          </cell>
          <cell r="P173" t="str">
            <v/>
          </cell>
          <cell r="Q173">
            <v>5</v>
          </cell>
          <cell r="R173">
            <v>5</v>
          </cell>
          <cell r="S173">
            <v>0</v>
          </cell>
          <cell r="T173">
            <v>0</v>
          </cell>
          <cell r="U173">
            <v>0</v>
          </cell>
          <cell r="V173">
            <v>7</v>
          </cell>
          <cell r="W173">
            <v>6</v>
          </cell>
          <cell r="X173" t="str">
            <v/>
          </cell>
          <cell r="Y173" t="str">
            <v/>
          </cell>
          <cell r="Z173">
            <v>1</v>
          </cell>
          <cell r="AA173">
            <v>2</v>
          </cell>
          <cell r="AB173">
            <v>1</v>
          </cell>
          <cell r="AC173">
            <v>0</v>
          </cell>
          <cell r="AD173"/>
          <cell r="AE173">
            <v>1</v>
          </cell>
          <cell r="AF173">
            <v>10</v>
          </cell>
          <cell r="AG173">
            <v>6</v>
          </cell>
          <cell r="AH173">
            <v>0</v>
          </cell>
          <cell r="AI173">
            <v>0</v>
          </cell>
          <cell r="AJ173">
            <v>4</v>
          </cell>
          <cell r="AK173">
            <v>5.5</v>
          </cell>
        </row>
        <row r="174">
          <cell r="A174" t="str">
            <v>FTK11032</v>
          </cell>
          <cell r="B174" t="str">
            <v>Sim</v>
          </cell>
          <cell r="C174" t="str">
            <v>Pivô</v>
          </cell>
          <cell r="D174" t="str">
            <v>SPARE</v>
          </cell>
          <cell r="E174">
            <v>2</v>
          </cell>
          <cell r="F174" t="str">
            <v>Pivô Inferior Ambos Lados Grand Siena 2012 A 2021</v>
          </cell>
          <cell r="G174"/>
          <cell r="H174">
            <v>0</v>
          </cell>
          <cell r="I174">
            <v>2</v>
          </cell>
          <cell r="J174">
            <v>2</v>
          </cell>
          <cell r="K174" t="str">
            <v/>
          </cell>
          <cell r="L174" t="str">
            <v/>
          </cell>
          <cell r="M174">
            <v>0</v>
          </cell>
          <cell r="N174" t="str">
            <v/>
          </cell>
          <cell r="O174">
            <v>0</v>
          </cell>
          <cell r="P174" t="str">
            <v/>
          </cell>
          <cell r="Q174">
            <v>10</v>
          </cell>
          <cell r="R174" t="str">
            <v>0</v>
          </cell>
          <cell r="S174">
            <v>10</v>
          </cell>
          <cell r="T174">
            <v>0</v>
          </cell>
          <cell r="U174">
            <v>0</v>
          </cell>
          <cell r="V174">
            <v>6</v>
          </cell>
          <cell r="W174">
            <v>0</v>
          </cell>
          <cell r="X174">
            <v>6</v>
          </cell>
          <cell r="Y174" t="str">
            <v/>
          </cell>
          <cell r="Z174" t="str">
            <v/>
          </cell>
          <cell r="AA174">
            <v>6</v>
          </cell>
          <cell r="AB174">
            <v>0</v>
          </cell>
          <cell r="AC174">
            <v>6</v>
          </cell>
          <cell r="AD174"/>
          <cell r="AE174">
            <v>0</v>
          </cell>
          <cell r="AF174">
            <v>14</v>
          </cell>
          <cell r="AG174">
            <v>0</v>
          </cell>
          <cell r="AH174">
            <v>12</v>
          </cell>
          <cell r="AI174">
            <v>0</v>
          </cell>
          <cell r="AJ174">
            <v>2</v>
          </cell>
          <cell r="AK174">
            <v>5.333333333333333</v>
          </cell>
        </row>
        <row r="175">
          <cell r="A175">
            <v>662031</v>
          </cell>
          <cell r="B175" t="str">
            <v>Sim</v>
          </cell>
          <cell r="C175" t="str">
            <v>Bandeja</v>
          </cell>
          <cell r="D175" t="str">
            <v>SPARE</v>
          </cell>
          <cell r="E175">
            <v>2</v>
          </cell>
          <cell r="F175" t="str">
            <v>Bandeja Esquerda Com Pivô Megane Grand Tour 2006 A 2012</v>
          </cell>
          <cell r="G175"/>
          <cell r="H175">
            <v>2</v>
          </cell>
          <cell r="I175">
            <v>8</v>
          </cell>
          <cell r="J175">
            <v>8</v>
          </cell>
          <cell r="K175" t="str">
            <v/>
          </cell>
          <cell r="L175" t="str">
            <v/>
          </cell>
          <cell r="M175">
            <v>8</v>
          </cell>
          <cell r="N175">
            <v>3</v>
          </cell>
          <cell r="O175">
            <v>5</v>
          </cell>
          <cell r="P175" t="str">
            <v/>
          </cell>
          <cell r="Q175">
            <v>2</v>
          </cell>
          <cell r="R175">
            <v>0</v>
          </cell>
          <cell r="S175">
            <v>2</v>
          </cell>
          <cell r="T175">
            <v>0</v>
          </cell>
          <cell r="U175">
            <v>0</v>
          </cell>
          <cell r="V175">
            <v>9</v>
          </cell>
          <cell r="W175">
            <v>1</v>
          </cell>
          <cell r="X175">
            <v>8</v>
          </cell>
          <cell r="Y175" t="str">
            <v/>
          </cell>
          <cell r="Z175" t="str">
            <v/>
          </cell>
          <cell r="AA175">
            <v>4</v>
          </cell>
          <cell r="AB175">
            <v>3</v>
          </cell>
          <cell r="AC175">
            <v>1</v>
          </cell>
          <cell r="AD175"/>
          <cell r="AE175">
            <v>0</v>
          </cell>
          <cell r="AF175">
            <v>3</v>
          </cell>
          <cell r="AG175">
            <v>0</v>
          </cell>
          <cell r="AH175">
            <v>3</v>
          </cell>
          <cell r="AI175">
            <v>0</v>
          </cell>
          <cell r="AJ175">
            <v>0</v>
          </cell>
          <cell r="AK175">
            <v>5.333333333333333</v>
          </cell>
        </row>
        <row r="176">
          <cell r="A176">
            <v>221142</v>
          </cell>
          <cell r="B176" t="str">
            <v>Sim</v>
          </cell>
          <cell r="C176" t="str">
            <v>Cabo de Capô</v>
          </cell>
          <cell r="D176" t="str">
            <v>MundiFlex</v>
          </cell>
          <cell r="E176">
            <v>6</v>
          </cell>
          <cell r="F176" t="str">
            <v>Cabo De Capô Com Alavanca 1623mm Palio 2008 A 2012</v>
          </cell>
          <cell r="G176"/>
          <cell r="H176">
            <v>5</v>
          </cell>
          <cell r="I176">
            <v>9</v>
          </cell>
          <cell r="J176" t="str">
            <v/>
          </cell>
          <cell r="K176">
            <v>9</v>
          </cell>
          <cell r="L176" t="str">
            <v/>
          </cell>
          <cell r="M176">
            <v>5</v>
          </cell>
          <cell r="N176">
            <v>5</v>
          </cell>
          <cell r="O176" t="str">
            <v/>
          </cell>
          <cell r="P176" t="str">
            <v/>
          </cell>
          <cell r="Q176">
            <v>4</v>
          </cell>
          <cell r="R176">
            <v>4</v>
          </cell>
          <cell r="S176" t="str">
            <v>0</v>
          </cell>
          <cell r="T176">
            <v>0</v>
          </cell>
          <cell r="U176">
            <v>0</v>
          </cell>
          <cell r="V176">
            <v>9</v>
          </cell>
          <cell r="W176">
            <v>9</v>
          </cell>
          <cell r="X176" t="str">
            <v/>
          </cell>
          <cell r="Y176" t="str">
            <v/>
          </cell>
          <cell r="Z176" t="str">
            <v/>
          </cell>
          <cell r="AA176">
            <v>6</v>
          </cell>
          <cell r="AB176">
            <v>6</v>
          </cell>
          <cell r="AC176">
            <v>0</v>
          </cell>
          <cell r="AD176"/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5.333333333333333</v>
          </cell>
        </row>
        <row r="177">
          <cell r="A177">
            <v>660211</v>
          </cell>
          <cell r="B177" t="str">
            <v>Sim</v>
          </cell>
          <cell r="C177" t="str">
            <v>Cabo de Capô</v>
          </cell>
          <cell r="D177" t="str">
            <v>MundiFlex</v>
          </cell>
          <cell r="E177">
            <v>6</v>
          </cell>
          <cell r="F177" t="str">
            <v>Cabo De Capô Com Alavanca 1624mm Uno Mille 1991 Em Diante</v>
          </cell>
          <cell r="G177"/>
          <cell r="H177">
            <v>6</v>
          </cell>
          <cell r="I177">
            <v>6</v>
          </cell>
          <cell r="J177" t="str">
            <v/>
          </cell>
          <cell r="K177">
            <v>6</v>
          </cell>
          <cell r="L177" t="str">
            <v/>
          </cell>
          <cell r="M177">
            <v>5</v>
          </cell>
          <cell r="N177">
            <v>5</v>
          </cell>
          <cell r="O177" t="str">
            <v/>
          </cell>
          <cell r="P177" t="str">
            <v/>
          </cell>
          <cell r="Q177">
            <v>6</v>
          </cell>
          <cell r="R177">
            <v>6</v>
          </cell>
          <cell r="S177" t="str">
            <v>0</v>
          </cell>
          <cell r="T177">
            <v>0</v>
          </cell>
          <cell r="U177">
            <v>0</v>
          </cell>
          <cell r="V177">
            <v>8</v>
          </cell>
          <cell r="W177">
            <v>8</v>
          </cell>
          <cell r="X177" t="str">
            <v/>
          </cell>
          <cell r="Y177" t="str">
            <v/>
          </cell>
          <cell r="Z177" t="str">
            <v/>
          </cell>
          <cell r="AA177">
            <v>6</v>
          </cell>
          <cell r="AB177">
            <v>6</v>
          </cell>
          <cell r="AC177">
            <v>0</v>
          </cell>
          <cell r="AD177"/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5.166666666666667</v>
          </cell>
        </row>
        <row r="178">
          <cell r="A178">
            <v>77351</v>
          </cell>
          <cell r="B178"/>
          <cell r="C178" t="str">
            <v>Cabo Câmbio</v>
          </cell>
          <cell r="D178" t="str">
            <v>Importação</v>
          </cell>
          <cell r="E178">
            <v>1</v>
          </cell>
          <cell r="F178" t="str">
            <v>Cabo De Marcha Vectra 2006 A 2011  Todos ( Câmbio Mecânico )</v>
          </cell>
          <cell r="G178"/>
          <cell r="H178">
            <v>0</v>
          </cell>
          <cell r="I178">
            <v>0</v>
          </cell>
          <cell r="J178">
            <v>0</v>
          </cell>
          <cell r="K178" t="str">
            <v/>
          </cell>
          <cell r="L178" t="str">
            <v/>
          </cell>
          <cell r="M178">
            <v>0</v>
          </cell>
          <cell r="N178" t="str">
            <v/>
          </cell>
          <cell r="O178">
            <v>0</v>
          </cell>
          <cell r="P178" t="str">
            <v/>
          </cell>
          <cell r="Q178">
            <v>0</v>
          </cell>
          <cell r="R178" t="str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/>
          </cell>
          <cell r="Y178" t="str">
            <v/>
          </cell>
          <cell r="Z178" t="str">
            <v/>
          </cell>
          <cell r="AA178">
            <v>0</v>
          </cell>
          <cell r="AB178">
            <v>0</v>
          </cell>
          <cell r="AC178">
            <v>0</v>
          </cell>
          <cell r="AD178"/>
          <cell r="AE178">
            <v>0</v>
          </cell>
          <cell r="AF178">
            <v>30</v>
          </cell>
          <cell r="AG178">
            <v>0</v>
          </cell>
          <cell r="AH178">
            <v>0</v>
          </cell>
          <cell r="AI178">
            <v>30</v>
          </cell>
          <cell r="AJ178">
            <v>0</v>
          </cell>
          <cell r="AK178">
            <v>5</v>
          </cell>
        </row>
        <row r="179">
          <cell r="A179">
            <v>77354</v>
          </cell>
          <cell r="B179"/>
          <cell r="C179" t="str">
            <v>Cabo Câmbio</v>
          </cell>
          <cell r="D179" t="str">
            <v>Importação</v>
          </cell>
          <cell r="E179">
            <v>1</v>
          </cell>
          <cell r="F179" t="str">
            <v>Cabo De Engate E Seleção Montana 2011 2012 2013 2014 Novo</v>
          </cell>
          <cell r="G179"/>
          <cell r="H179">
            <v>8</v>
          </cell>
          <cell r="I179">
            <v>2</v>
          </cell>
          <cell r="J179" t="str">
            <v/>
          </cell>
          <cell r="K179">
            <v>2</v>
          </cell>
          <cell r="L179" t="str">
            <v/>
          </cell>
          <cell r="M179">
            <v>0</v>
          </cell>
          <cell r="N179" t="str">
            <v/>
          </cell>
          <cell r="O179" t="str">
            <v/>
          </cell>
          <cell r="P179" t="str">
            <v/>
          </cell>
          <cell r="Q179">
            <v>0</v>
          </cell>
          <cell r="R179" t="str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/>
          </cell>
          <cell r="Y179" t="str">
            <v/>
          </cell>
          <cell r="Z179" t="str">
            <v/>
          </cell>
          <cell r="AA179">
            <v>0</v>
          </cell>
          <cell r="AB179">
            <v>0</v>
          </cell>
          <cell r="AC179">
            <v>0</v>
          </cell>
          <cell r="AD179"/>
          <cell r="AE179">
            <v>0</v>
          </cell>
          <cell r="AF179">
            <v>20</v>
          </cell>
          <cell r="AG179">
            <v>0</v>
          </cell>
          <cell r="AH179">
            <v>0</v>
          </cell>
          <cell r="AI179">
            <v>20</v>
          </cell>
          <cell r="AJ179">
            <v>0</v>
          </cell>
          <cell r="AK179">
            <v>5</v>
          </cell>
        </row>
        <row r="180">
          <cell r="A180">
            <v>222051</v>
          </cell>
          <cell r="B180" t="str">
            <v>Sim</v>
          </cell>
          <cell r="C180" t="str">
            <v>Bandeja</v>
          </cell>
          <cell r="D180" t="str">
            <v>SPARE</v>
          </cell>
          <cell r="E180">
            <v>2</v>
          </cell>
          <cell r="F180" t="str">
            <v>Bandeja Inferior Esquerdo Fiesta Sem Pivô 2003 Á 2009</v>
          </cell>
          <cell r="G180"/>
          <cell r="H180">
            <v>4</v>
          </cell>
          <cell r="I180">
            <v>4</v>
          </cell>
          <cell r="J180">
            <v>4</v>
          </cell>
          <cell r="K180" t="str">
            <v/>
          </cell>
          <cell r="L180" t="str">
            <v/>
          </cell>
          <cell r="M180">
            <v>9</v>
          </cell>
          <cell r="N180" t="str">
            <v/>
          </cell>
          <cell r="O180">
            <v>9</v>
          </cell>
          <cell r="P180" t="str">
            <v/>
          </cell>
          <cell r="Q180">
            <v>1</v>
          </cell>
          <cell r="R180" t="str">
            <v>0</v>
          </cell>
          <cell r="S180">
            <v>1</v>
          </cell>
          <cell r="T180">
            <v>0</v>
          </cell>
          <cell r="U180">
            <v>0</v>
          </cell>
          <cell r="V180">
            <v>6</v>
          </cell>
          <cell r="W180">
            <v>0</v>
          </cell>
          <cell r="X180">
            <v>6</v>
          </cell>
          <cell r="Y180" t="str">
            <v/>
          </cell>
          <cell r="Z180" t="str">
            <v/>
          </cell>
          <cell r="AA180">
            <v>5</v>
          </cell>
          <cell r="AB180">
            <v>0</v>
          </cell>
          <cell r="AC180">
            <v>5</v>
          </cell>
          <cell r="AD180"/>
          <cell r="AE180">
            <v>0</v>
          </cell>
          <cell r="AF180">
            <v>6</v>
          </cell>
          <cell r="AG180">
            <v>0</v>
          </cell>
          <cell r="AH180">
            <v>4</v>
          </cell>
          <cell r="AI180">
            <v>0</v>
          </cell>
          <cell r="AJ180">
            <v>2</v>
          </cell>
          <cell r="AK180">
            <v>5</v>
          </cell>
        </row>
        <row r="181">
          <cell r="A181" t="str">
            <v>BUZ0001</v>
          </cell>
          <cell r="B181"/>
          <cell r="C181" t="str">
            <v>Buzina Moto</v>
          </cell>
          <cell r="D181" t="str">
            <v>POLO</v>
          </cell>
          <cell r="E181"/>
          <cell r="F181" t="str">
            <v xml:space="preserve">BUZINA DE MOTO CG 125 150 160 NZR 125 160 POP 110i XLW 125 XRE YAHAMA FACTOR 125  </v>
          </cell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>
            <v>5</v>
          </cell>
          <cell r="AG181">
            <v>0</v>
          </cell>
          <cell r="AH181"/>
          <cell r="AI181">
            <v>0</v>
          </cell>
          <cell r="AJ181">
            <v>5</v>
          </cell>
          <cell r="AK181">
            <v>5</v>
          </cell>
        </row>
        <row r="182">
          <cell r="A182" t="str">
            <v>201.377K004</v>
          </cell>
          <cell r="B182"/>
          <cell r="C182" t="str">
            <v>Junta</v>
          </cell>
          <cell r="D182" t="str">
            <v>KRATER</v>
          </cell>
          <cell r="E182"/>
          <cell r="F182" t="str">
            <v xml:space="preserve">JUNTA LATERAL MOTOR YS 250 FAZER XTZ 250 LANDER 2005 EM DIANTE LE  </v>
          </cell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>
            <v>5</v>
          </cell>
          <cell r="AG182">
            <v>0</v>
          </cell>
          <cell r="AH182"/>
          <cell r="AI182">
            <v>0</v>
          </cell>
          <cell r="AJ182">
            <v>5</v>
          </cell>
          <cell r="AK182">
            <v>5</v>
          </cell>
        </row>
        <row r="183">
          <cell r="A183" t="str">
            <v>200.141K006</v>
          </cell>
          <cell r="B183"/>
          <cell r="C183" t="str">
            <v>Junta moto</v>
          </cell>
          <cell r="D183" t="str">
            <v>KRATER</v>
          </cell>
          <cell r="E183"/>
          <cell r="F183" t="str">
            <v xml:space="preserve">JUNTA LATERAL MOTOR CBX TWISTER 250 XR TORNADO 250 ATÉ 2015 LE  </v>
          </cell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>
            <v>5</v>
          </cell>
          <cell r="AG183">
            <v>0</v>
          </cell>
          <cell r="AH183"/>
          <cell r="AI183">
            <v>0</v>
          </cell>
          <cell r="AJ183">
            <v>5</v>
          </cell>
          <cell r="AK183">
            <v>5</v>
          </cell>
        </row>
        <row r="184">
          <cell r="A184" t="str">
            <v>200.141K005</v>
          </cell>
          <cell r="B184"/>
          <cell r="C184" t="str">
            <v>Junta moto</v>
          </cell>
          <cell r="D184" t="str">
            <v>KRATER</v>
          </cell>
          <cell r="E184"/>
          <cell r="F184" t="str">
            <v xml:space="preserve">JUNTA LATERAL MOTOR CBX TWISTER 250 XR TORNADO 250 CB 300R XRE 300 LD  </v>
          </cell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>
            <v>5</v>
          </cell>
          <cell r="AG184">
            <v>0</v>
          </cell>
          <cell r="AH184"/>
          <cell r="AI184">
            <v>0</v>
          </cell>
          <cell r="AJ184">
            <v>5</v>
          </cell>
          <cell r="AK184">
            <v>5</v>
          </cell>
        </row>
        <row r="185">
          <cell r="A185" t="str">
            <v>200.121K004</v>
          </cell>
          <cell r="B185"/>
          <cell r="C185" t="str">
            <v>Junta moto</v>
          </cell>
          <cell r="D185" t="str">
            <v>KRATER</v>
          </cell>
          <cell r="E185"/>
          <cell r="F185" t="str">
            <v xml:space="preserve">JUNTA LATERAL MOTOR CG 125 FAN CG 150 FAN LE  </v>
          </cell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>
            <v>5</v>
          </cell>
          <cell r="AG185">
            <v>0</v>
          </cell>
          <cell r="AH185"/>
          <cell r="AI185">
            <v>0</v>
          </cell>
          <cell r="AJ185">
            <v>5</v>
          </cell>
          <cell r="AK185">
            <v>5</v>
          </cell>
        </row>
        <row r="186">
          <cell r="A186">
            <v>66654</v>
          </cell>
          <cell r="B186"/>
          <cell r="C186" t="str">
            <v>Cabo de Câmbio</v>
          </cell>
          <cell r="D186" t="str">
            <v>Importação</v>
          </cell>
          <cell r="E186"/>
          <cell r="F186" t="str">
            <v xml:space="preserve">CABO DE ENGATE GRAND SIENA ATTRACTIVE 1.4 2013 EM DIANTE  </v>
          </cell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>
            <v>5</v>
          </cell>
          <cell r="AG186">
            <v>0</v>
          </cell>
          <cell r="AH186"/>
          <cell r="AI186">
            <v>5</v>
          </cell>
          <cell r="AJ186"/>
          <cell r="AK186">
            <v>5</v>
          </cell>
        </row>
        <row r="187">
          <cell r="A187">
            <v>22051</v>
          </cell>
          <cell r="B187"/>
          <cell r="C187" t="str">
            <v>Cabo de Capô</v>
          </cell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>
            <v>2</v>
          </cell>
          <cell r="W187">
            <v>2</v>
          </cell>
          <cell r="X187" t="str">
            <v/>
          </cell>
          <cell r="Y187" t="str">
            <v/>
          </cell>
          <cell r="Z187" t="str">
            <v/>
          </cell>
          <cell r="AA187">
            <v>5</v>
          </cell>
          <cell r="AB187">
            <v>5</v>
          </cell>
          <cell r="AC187">
            <v>0</v>
          </cell>
          <cell r="AD187"/>
          <cell r="AE187">
            <v>0</v>
          </cell>
          <cell r="AF187">
            <v>8</v>
          </cell>
          <cell r="AG187">
            <v>7</v>
          </cell>
          <cell r="AH187">
            <v>0</v>
          </cell>
          <cell r="AI187">
            <v>1</v>
          </cell>
          <cell r="AJ187">
            <v>0</v>
          </cell>
          <cell r="AK187">
            <v>5</v>
          </cell>
        </row>
        <row r="188">
          <cell r="A188">
            <v>11042</v>
          </cell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>
            <v>2</v>
          </cell>
          <cell r="AC188">
            <v>0</v>
          </cell>
          <cell r="AD188"/>
          <cell r="AE188">
            <v>0</v>
          </cell>
          <cell r="AF188">
            <v>5</v>
          </cell>
          <cell r="AG188">
            <v>5</v>
          </cell>
          <cell r="AH188">
            <v>0</v>
          </cell>
          <cell r="AI188">
            <v>0</v>
          </cell>
          <cell r="AJ188">
            <v>0</v>
          </cell>
          <cell r="AK188">
            <v>5</v>
          </cell>
        </row>
        <row r="189">
          <cell r="A189" t="str">
            <v>FTK11057</v>
          </cell>
          <cell r="B189" t="str">
            <v>Sim</v>
          </cell>
          <cell r="C189" t="str">
            <v>Pivô</v>
          </cell>
          <cell r="D189" t="str">
            <v>SPARE</v>
          </cell>
          <cell r="E189">
            <v>2</v>
          </cell>
          <cell r="F189" t="str">
            <v>Pivô Lado Esquerdo Gol G6 2012 Em Diante</v>
          </cell>
          <cell r="G189"/>
          <cell r="H189">
            <v>4</v>
          </cell>
          <cell r="I189">
            <v>3</v>
          </cell>
          <cell r="J189">
            <v>2</v>
          </cell>
          <cell r="K189">
            <v>1</v>
          </cell>
          <cell r="L189" t="str">
            <v/>
          </cell>
          <cell r="M189">
            <v>1</v>
          </cell>
          <cell r="N189" t="str">
            <v/>
          </cell>
          <cell r="O189">
            <v>1</v>
          </cell>
          <cell r="P189" t="str">
            <v/>
          </cell>
          <cell r="Q189">
            <v>5</v>
          </cell>
          <cell r="R189" t="str">
            <v>0</v>
          </cell>
          <cell r="S189">
            <v>5</v>
          </cell>
          <cell r="T189">
            <v>0</v>
          </cell>
          <cell r="U189">
            <v>0</v>
          </cell>
          <cell r="V189">
            <v>7</v>
          </cell>
          <cell r="W189">
            <v>0</v>
          </cell>
          <cell r="X189">
            <v>7</v>
          </cell>
          <cell r="Y189" t="str">
            <v/>
          </cell>
          <cell r="Z189" t="str">
            <v/>
          </cell>
          <cell r="AA189">
            <v>17</v>
          </cell>
          <cell r="AB189">
            <v>1</v>
          </cell>
          <cell r="AC189">
            <v>16</v>
          </cell>
          <cell r="AD189"/>
          <cell r="AE189">
            <v>0</v>
          </cell>
          <cell r="AF189">
            <v>9</v>
          </cell>
          <cell r="AG189">
            <v>0</v>
          </cell>
          <cell r="AH189">
            <v>9</v>
          </cell>
          <cell r="AI189">
            <v>0</v>
          </cell>
          <cell r="AJ189">
            <v>0</v>
          </cell>
          <cell r="AK189">
            <v>4.833333333333333</v>
          </cell>
        </row>
        <row r="190">
          <cell r="A190">
            <v>332068</v>
          </cell>
          <cell r="B190" t="str">
            <v>Sim</v>
          </cell>
          <cell r="C190" t="str">
            <v>Bandeja</v>
          </cell>
          <cell r="D190" t="str">
            <v>SPARE</v>
          </cell>
          <cell r="E190">
            <v>2</v>
          </cell>
          <cell r="F190" t="str">
            <v>Bandeja Inferior Direita Com Pivô Meriva 2003 A 2012</v>
          </cell>
          <cell r="G190"/>
          <cell r="H190">
            <v>3</v>
          </cell>
          <cell r="I190">
            <v>2</v>
          </cell>
          <cell r="J190">
            <v>1</v>
          </cell>
          <cell r="K190">
            <v>1</v>
          </cell>
          <cell r="L190" t="str">
            <v/>
          </cell>
          <cell r="M190">
            <v>6</v>
          </cell>
          <cell r="N190">
            <v>2</v>
          </cell>
          <cell r="O190">
            <v>4</v>
          </cell>
          <cell r="P190" t="str">
            <v/>
          </cell>
          <cell r="Q190">
            <v>7</v>
          </cell>
          <cell r="R190">
            <v>1</v>
          </cell>
          <cell r="S190">
            <v>4</v>
          </cell>
          <cell r="T190">
            <v>0</v>
          </cell>
          <cell r="U190">
            <v>2</v>
          </cell>
          <cell r="V190">
            <v>6</v>
          </cell>
          <cell r="W190">
            <v>2</v>
          </cell>
          <cell r="X190">
            <v>4</v>
          </cell>
          <cell r="Y190" t="str">
            <v/>
          </cell>
          <cell r="Z190" t="str">
            <v/>
          </cell>
          <cell r="AA190">
            <v>7</v>
          </cell>
          <cell r="AB190">
            <v>3</v>
          </cell>
          <cell r="AC190">
            <v>3</v>
          </cell>
          <cell r="AD190"/>
          <cell r="AE190">
            <v>1</v>
          </cell>
          <cell r="AF190">
            <v>5</v>
          </cell>
          <cell r="AG190">
            <v>0</v>
          </cell>
          <cell r="AH190">
            <v>2</v>
          </cell>
          <cell r="AI190">
            <v>0</v>
          </cell>
          <cell r="AJ190">
            <v>3</v>
          </cell>
          <cell r="AK190">
            <v>4.833333333333333</v>
          </cell>
        </row>
        <row r="191">
          <cell r="A191" t="str">
            <v>FTK22104</v>
          </cell>
          <cell r="B191" t="str">
            <v>Sim</v>
          </cell>
          <cell r="C191" t="str">
            <v>Pivô</v>
          </cell>
          <cell r="D191" t="str">
            <v>SPARE</v>
          </cell>
          <cell r="E191">
            <v>2</v>
          </cell>
          <cell r="F191" t="str">
            <v>Pivô Da Bandeja Dianteira Ambos Lados Ix35 2010 A 2017</v>
          </cell>
          <cell r="G191"/>
          <cell r="H191">
            <v>6</v>
          </cell>
          <cell r="I191">
            <v>1</v>
          </cell>
          <cell r="J191">
            <v>0</v>
          </cell>
          <cell r="K191">
            <v>1</v>
          </cell>
          <cell r="L191" t="str">
            <v/>
          </cell>
          <cell r="M191">
            <v>5</v>
          </cell>
          <cell r="N191">
            <v>1</v>
          </cell>
          <cell r="O191">
            <v>4</v>
          </cell>
          <cell r="P191" t="str">
            <v/>
          </cell>
          <cell r="Q191">
            <v>9</v>
          </cell>
          <cell r="R191">
            <v>1</v>
          </cell>
          <cell r="S191">
            <v>8</v>
          </cell>
          <cell r="T191">
            <v>0</v>
          </cell>
          <cell r="U191">
            <v>0</v>
          </cell>
          <cell r="V191">
            <v>4</v>
          </cell>
          <cell r="W191">
            <v>0</v>
          </cell>
          <cell r="X191">
            <v>4</v>
          </cell>
          <cell r="Y191" t="str">
            <v/>
          </cell>
          <cell r="Z191" t="str">
            <v/>
          </cell>
          <cell r="AA191">
            <v>8</v>
          </cell>
          <cell r="AB191">
            <v>0</v>
          </cell>
          <cell r="AC191">
            <v>8</v>
          </cell>
          <cell r="AD191"/>
          <cell r="AE191">
            <v>0</v>
          </cell>
          <cell r="AF191">
            <v>4</v>
          </cell>
          <cell r="AG191">
            <v>0</v>
          </cell>
          <cell r="AH191">
            <v>4</v>
          </cell>
          <cell r="AI191">
            <v>0</v>
          </cell>
          <cell r="AJ191">
            <v>0</v>
          </cell>
          <cell r="AK191">
            <v>4.833333333333333</v>
          </cell>
        </row>
        <row r="192">
          <cell r="A192">
            <v>88461</v>
          </cell>
          <cell r="B192" t="str">
            <v>Sim</v>
          </cell>
          <cell r="C192" t="str">
            <v>Cabo de Capô</v>
          </cell>
          <cell r="D192" t="str">
            <v>MundiFlex</v>
          </cell>
          <cell r="E192">
            <v>6</v>
          </cell>
          <cell r="F192" t="str">
            <v>Cabo De Capô Com Alavanca Santana Quantum 1992 A 2001</v>
          </cell>
          <cell r="G192"/>
          <cell r="H192">
            <v>4</v>
          </cell>
          <cell r="I192">
            <v>7</v>
          </cell>
          <cell r="J192" t="str">
            <v/>
          </cell>
          <cell r="K192">
            <v>7</v>
          </cell>
          <cell r="L192" t="str">
            <v/>
          </cell>
          <cell r="M192">
            <v>7</v>
          </cell>
          <cell r="N192">
            <v>7</v>
          </cell>
          <cell r="O192" t="str">
            <v/>
          </cell>
          <cell r="P192" t="str">
            <v/>
          </cell>
          <cell r="Q192">
            <v>4</v>
          </cell>
          <cell r="R192">
            <v>4</v>
          </cell>
          <cell r="S192" t="str">
            <v>0</v>
          </cell>
          <cell r="T192">
            <v>0</v>
          </cell>
          <cell r="U192">
            <v>0</v>
          </cell>
          <cell r="V192">
            <v>7</v>
          </cell>
          <cell r="W192">
            <v>7</v>
          </cell>
          <cell r="X192" t="str">
            <v/>
          </cell>
          <cell r="Y192" t="str">
            <v/>
          </cell>
          <cell r="Z192" t="str">
            <v/>
          </cell>
          <cell r="AA192">
            <v>4</v>
          </cell>
          <cell r="AB192">
            <v>4</v>
          </cell>
          <cell r="AC192">
            <v>0</v>
          </cell>
          <cell r="AD192"/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4.833333333333333</v>
          </cell>
        </row>
        <row r="193">
          <cell r="A193">
            <v>55131</v>
          </cell>
          <cell r="B193" t="str">
            <v>Sim</v>
          </cell>
          <cell r="C193" t="str">
            <v>Cabo de Acelerador</v>
          </cell>
          <cell r="D193" t="str">
            <v>Importação</v>
          </cell>
          <cell r="E193">
            <v>1</v>
          </cell>
          <cell r="F193" t="str">
            <v>Cabo De Acelerador Civic 2001 A 2006</v>
          </cell>
          <cell r="G193"/>
          <cell r="H193">
            <v>1</v>
          </cell>
          <cell r="I193">
            <v>10</v>
          </cell>
          <cell r="J193" t="str">
            <v/>
          </cell>
          <cell r="K193">
            <v>10</v>
          </cell>
          <cell r="L193" t="str">
            <v/>
          </cell>
          <cell r="M193">
            <v>17</v>
          </cell>
          <cell r="N193">
            <v>17</v>
          </cell>
          <cell r="O193" t="str">
            <v/>
          </cell>
          <cell r="P193" t="str">
            <v/>
          </cell>
          <cell r="Q193">
            <v>1</v>
          </cell>
          <cell r="R193">
            <v>1</v>
          </cell>
          <cell r="S193" t="str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 t="str">
            <v/>
          </cell>
          <cell r="Y193" t="str">
            <v/>
          </cell>
          <cell r="Z193" t="str">
            <v/>
          </cell>
          <cell r="AA193">
            <v>0</v>
          </cell>
          <cell r="AB193">
            <v>0</v>
          </cell>
          <cell r="AC193">
            <v>0</v>
          </cell>
          <cell r="AD193"/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4.833333333333333</v>
          </cell>
        </row>
        <row r="194">
          <cell r="A194">
            <v>772148</v>
          </cell>
          <cell r="B194" t="str">
            <v>Sim</v>
          </cell>
          <cell r="C194" t="str">
            <v>Bandeja</v>
          </cell>
          <cell r="D194" t="str">
            <v>SPARE</v>
          </cell>
          <cell r="E194">
            <v>2</v>
          </cell>
          <cell r="F194" t="str">
            <v>Bandeja Dianteira Direita Com Pivô Sportage 2011 A 2022</v>
          </cell>
          <cell r="G194"/>
          <cell r="H194">
            <v>3</v>
          </cell>
          <cell r="I194">
            <v>1</v>
          </cell>
          <cell r="J194">
            <v>1</v>
          </cell>
          <cell r="K194" t="str">
            <v/>
          </cell>
          <cell r="L194" t="str">
            <v/>
          </cell>
          <cell r="M194">
            <v>2</v>
          </cell>
          <cell r="N194">
            <v>1</v>
          </cell>
          <cell r="O194">
            <v>1</v>
          </cell>
          <cell r="P194" t="str">
            <v/>
          </cell>
          <cell r="Q194">
            <v>3</v>
          </cell>
          <cell r="R194" t="str">
            <v>0</v>
          </cell>
          <cell r="S194">
            <v>3</v>
          </cell>
          <cell r="T194">
            <v>0</v>
          </cell>
          <cell r="U194">
            <v>0</v>
          </cell>
          <cell r="V194">
            <v>8</v>
          </cell>
          <cell r="W194">
            <v>2</v>
          </cell>
          <cell r="X194">
            <v>6</v>
          </cell>
          <cell r="Y194" t="str">
            <v/>
          </cell>
          <cell r="Z194" t="str">
            <v/>
          </cell>
          <cell r="AA194">
            <v>2</v>
          </cell>
          <cell r="AB194">
            <v>1</v>
          </cell>
          <cell r="AC194">
            <v>1</v>
          </cell>
          <cell r="AD194"/>
          <cell r="AE194">
            <v>0</v>
          </cell>
          <cell r="AF194">
            <v>11</v>
          </cell>
          <cell r="AG194">
            <v>0</v>
          </cell>
          <cell r="AH194">
            <v>11</v>
          </cell>
          <cell r="AI194">
            <v>0</v>
          </cell>
          <cell r="AJ194">
            <v>0</v>
          </cell>
          <cell r="AK194">
            <v>4.666666666666667</v>
          </cell>
        </row>
        <row r="195">
          <cell r="A195" t="str">
            <v>FTK11055</v>
          </cell>
          <cell r="B195" t="str">
            <v>Sim</v>
          </cell>
          <cell r="C195" t="str">
            <v>Pivô</v>
          </cell>
          <cell r="D195" t="str">
            <v>SPARE</v>
          </cell>
          <cell r="E195">
            <v>2</v>
          </cell>
          <cell r="F195" t="str">
            <v>Pivô Bandeja Dianteira Ambos Os Lados Punto 2008 A 2017</v>
          </cell>
          <cell r="G195"/>
          <cell r="H195">
            <v>2</v>
          </cell>
          <cell r="I195">
            <v>10</v>
          </cell>
          <cell r="J195">
            <v>8</v>
          </cell>
          <cell r="K195">
            <v>2</v>
          </cell>
          <cell r="L195" t="str">
            <v/>
          </cell>
          <cell r="M195">
            <v>4</v>
          </cell>
          <cell r="N195" t="str">
            <v/>
          </cell>
          <cell r="O195">
            <v>4</v>
          </cell>
          <cell r="P195" t="str">
            <v/>
          </cell>
          <cell r="Q195">
            <v>4</v>
          </cell>
          <cell r="R195" t="str">
            <v>0</v>
          </cell>
          <cell r="S195">
            <v>4</v>
          </cell>
          <cell r="T195">
            <v>0</v>
          </cell>
          <cell r="U195">
            <v>0</v>
          </cell>
          <cell r="V195">
            <v>4</v>
          </cell>
          <cell r="W195">
            <v>0</v>
          </cell>
          <cell r="X195">
            <v>4</v>
          </cell>
          <cell r="Y195" t="str">
            <v/>
          </cell>
          <cell r="Z195" t="str">
            <v/>
          </cell>
          <cell r="AA195">
            <v>2</v>
          </cell>
          <cell r="AB195">
            <v>0</v>
          </cell>
          <cell r="AC195">
            <v>2</v>
          </cell>
          <cell r="AD195"/>
          <cell r="AE195">
            <v>0</v>
          </cell>
          <cell r="AF195">
            <v>4</v>
          </cell>
          <cell r="AG195">
            <v>0</v>
          </cell>
          <cell r="AH195">
            <v>4</v>
          </cell>
          <cell r="AI195">
            <v>0</v>
          </cell>
          <cell r="AJ195">
            <v>0</v>
          </cell>
          <cell r="AK195">
            <v>4.666666666666667</v>
          </cell>
        </row>
        <row r="196">
          <cell r="A196">
            <v>772102</v>
          </cell>
          <cell r="B196" t="str">
            <v>Sim</v>
          </cell>
          <cell r="C196" t="str">
            <v>Bandeja</v>
          </cell>
          <cell r="D196" t="str">
            <v>SPARE</v>
          </cell>
          <cell r="E196">
            <v>2</v>
          </cell>
          <cell r="F196" t="str">
            <v>Bandeja Com Pivô Lado Esquerdo Nissan March 2011 Em Diante</v>
          </cell>
          <cell r="G196"/>
          <cell r="H196">
            <v>9</v>
          </cell>
          <cell r="I196">
            <v>9</v>
          </cell>
          <cell r="J196">
            <v>9</v>
          </cell>
          <cell r="K196" t="str">
            <v/>
          </cell>
          <cell r="L196" t="str">
            <v/>
          </cell>
          <cell r="M196">
            <v>4</v>
          </cell>
          <cell r="N196" t="str">
            <v/>
          </cell>
          <cell r="O196">
            <v>4</v>
          </cell>
          <cell r="P196" t="str">
            <v/>
          </cell>
          <cell r="Q196">
            <v>3</v>
          </cell>
          <cell r="R196" t="str">
            <v>0</v>
          </cell>
          <cell r="S196">
            <v>3</v>
          </cell>
          <cell r="T196">
            <v>0</v>
          </cell>
          <cell r="U196">
            <v>0</v>
          </cell>
          <cell r="V196">
            <v>1</v>
          </cell>
          <cell r="W196">
            <v>0</v>
          </cell>
          <cell r="X196">
            <v>1</v>
          </cell>
          <cell r="Y196" t="str">
            <v/>
          </cell>
          <cell r="Z196" t="str">
            <v/>
          </cell>
          <cell r="AA196">
            <v>3</v>
          </cell>
          <cell r="AB196">
            <v>1</v>
          </cell>
          <cell r="AC196">
            <v>2</v>
          </cell>
          <cell r="AD196"/>
          <cell r="AE196">
            <v>0</v>
          </cell>
          <cell r="AF196">
            <v>2</v>
          </cell>
          <cell r="AG196">
            <v>0</v>
          </cell>
          <cell r="AH196">
            <v>2</v>
          </cell>
          <cell r="AI196">
            <v>0</v>
          </cell>
          <cell r="AJ196">
            <v>0</v>
          </cell>
          <cell r="AK196">
            <v>4.666666666666667</v>
          </cell>
        </row>
        <row r="197">
          <cell r="A197">
            <v>77146</v>
          </cell>
          <cell r="B197" t="str">
            <v>Sim</v>
          </cell>
          <cell r="C197" t="str">
            <v>Cabo de Velocímetro</v>
          </cell>
          <cell r="D197" t="str">
            <v>MundiFlex</v>
          </cell>
          <cell r="E197">
            <v>6</v>
          </cell>
          <cell r="F197" t="str">
            <v>Cabo De Velocímetro Vectra Todos Câmbio Mecânico 1993 A 1996</v>
          </cell>
          <cell r="G197"/>
          <cell r="H197">
            <v>6</v>
          </cell>
          <cell r="I197">
            <v>5</v>
          </cell>
          <cell r="J197" t="str">
            <v/>
          </cell>
          <cell r="K197">
            <v>5</v>
          </cell>
          <cell r="L197" t="str">
            <v/>
          </cell>
          <cell r="M197">
            <v>8</v>
          </cell>
          <cell r="N197">
            <v>8</v>
          </cell>
          <cell r="O197" t="str">
            <v/>
          </cell>
          <cell r="P197" t="str">
            <v/>
          </cell>
          <cell r="Q197">
            <v>4</v>
          </cell>
          <cell r="R197">
            <v>4</v>
          </cell>
          <cell r="S197" t="str">
            <v>0</v>
          </cell>
          <cell r="T197">
            <v>0</v>
          </cell>
          <cell r="U197">
            <v>0</v>
          </cell>
          <cell r="V197">
            <v>5</v>
          </cell>
          <cell r="W197">
            <v>5</v>
          </cell>
          <cell r="X197" t="str">
            <v/>
          </cell>
          <cell r="Y197" t="str">
            <v/>
          </cell>
          <cell r="Z197" t="str">
            <v/>
          </cell>
          <cell r="AA197">
            <v>2</v>
          </cell>
          <cell r="AB197">
            <v>2</v>
          </cell>
          <cell r="AC197">
            <v>0</v>
          </cell>
          <cell r="AD197"/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4.666666666666667</v>
          </cell>
        </row>
        <row r="198">
          <cell r="A198">
            <v>77157</v>
          </cell>
          <cell r="B198" t="str">
            <v>Sim</v>
          </cell>
          <cell r="C198" t="str">
            <v>Cabo de Capô</v>
          </cell>
          <cell r="D198" t="str">
            <v>MundiFlex</v>
          </cell>
          <cell r="E198">
            <v>6</v>
          </cell>
          <cell r="F198" t="str">
            <v>Cabo De Capô Com Botão Opala 1975 A 1983</v>
          </cell>
          <cell r="G198"/>
          <cell r="H198">
            <v>5</v>
          </cell>
          <cell r="I198">
            <v>9</v>
          </cell>
          <cell r="J198" t="str">
            <v/>
          </cell>
          <cell r="K198">
            <v>9</v>
          </cell>
          <cell r="L198" t="str">
            <v/>
          </cell>
          <cell r="M198">
            <v>4</v>
          </cell>
          <cell r="N198">
            <v>4</v>
          </cell>
          <cell r="O198" t="str">
            <v/>
          </cell>
          <cell r="P198" t="str">
            <v/>
          </cell>
          <cell r="Q198">
            <v>4</v>
          </cell>
          <cell r="R198">
            <v>4</v>
          </cell>
          <cell r="S198" t="str">
            <v>0</v>
          </cell>
          <cell r="T198">
            <v>0</v>
          </cell>
          <cell r="U198">
            <v>0</v>
          </cell>
          <cell r="V198">
            <v>1</v>
          </cell>
          <cell r="W198">
            <v>1</v>
          </cell>
          <cell r="X198" t="str">
            <v/>
          </cell>
          <cell r="Y198" t="str">
            <v/>
          </cell>
          <cell r="Z198" t="str">
            <v/>
          </cell>
          <cell r="AA198">
            <v>3</v>
          </cell>
          <cell r="AB198">
            <v>3</v>
          </cell>
          <cell r="AC198">
            <v>0</v>
          </cell>
          <cell r="AD198"/>
          <cell r="AE198">
            <v>0</v>
          </cell>
          <cell r="AF198">
            <v>5</v>
          </cell>
          <cell r="AG198">
            <v>5</v>
          </cell>
          <cell r="AH198">
            <v>0</v>
          </cell>
          <cell r="AI198">
            <v>0</v>
          </cell>
          <cell r="AJ198">
            <v>0</v>
          </cell>
          <cell r="AK198">
            <v>4.666666666666667</v>
          </cell>
        </row>
        <row r="199">
          <cell r="A199">
            <v>227203</v>
          </cell>
          <cell r="B199" t="str">
            <v>Sim</v>
          </cell>
          <cell r="C199" t="str">
            <v>Cabo Embreagem</v>
          </cell>
          <cell r="D199" t="str">
            <v>Importação</v>
          </cell>
          <cell r="E199">
            <v>1</v>
          </cell>
          <cell r="F199" t="str">
            <v>Cabo De Embreagem Peugeot 206 Até 03 1.1 1.3 1.6 Reg Manual</v>
          </cell>
          <cell r="G199"/>
          <cell r="H199">
            <v>6</v>
          </cell>
          <cell r="I199">
            <v>4</v>
          </cell>
          <cell r="J199" t="str">
            <v/>
          </cell>
          <cell r="K199">
            <v>4</v>
          </cell>
          <cell r="L199" t="str">
            <v/>
          </cell>
          <cell r="M199">
            <v>4</v>
          </cell>
          <cell r="N199">
            <v>4</v>
          </cell>
          <cell r="O199" t="str">
            <v/>
          </cell>
          <cell r="P199" t="str">
            <v/>
          </cell>
          <cell r="Q199">
            <v>5</v>
          </cell>
          <cell r="R199">
            <v>5</v>
          </cell>
          <cell r="S199" t="str">
            <v>0</v>
          </cell>
          <cell r="T199">
            <v>0</v>
          </cell>
          <cell r="U199">
            <v>0</v>
          </cell>
          <cell r="V199">
            <v>3</v>
          </cell>
          <cell r="W199">
            <v>3</v>
          </cell>
          <cell r="X199" t="str">
            <v/>
          </cell>
          <cell r="Y199" t="str">
            <v/>
          </cell>
          <cell r="Z199" t="str">
            <v/>
          </cell>
          <cell r="AA199">
            <v>8</v>
          </cell>
          <cell r="AB199">
            <v>8</v>
          </cell>
          <cell r="AC199">
            <v>0</v>
          </cell>
          <cell r="AD199"/>
          <cell r="AE199">
            <v>0</v>
          </cell>
          <cell r="AF199">
            <v>6</v>
          </cell>
          <cell r="AG199">
            <v>6</v>
          </cell>
          <cell r="AH199">
            <v>0</v>
          </cell>
          <cell r="AI199">
            <v>0</v>
          </cell>
          <cell r="AJ199">
            <v>0</v>
          </cell>
          <cell r="AK199">
            <v>4.666666666666667</v>
          </cell>
        </row>
        <row r="200">
          <cell r="A200">
            <v>11097</v>
          </cell>
          <cell r="B200" t="str">
            <v>Sim</v>
          </cell>
          <cell r="C200" t="str">
            <v>Pastilha de Freio</v>
          </cell>
          <cell r="D200" t="str">
            <v>Fabreck</v>
          </cell>
          <cell r="E200">
            <v>16</v>
          </cell>
          <cell r="F200" t="str">
            <v>Pastilha De Freio Dianteira Daewoo Lanos 1997 Em Diante</v>
          </cell>
          <cell r="G200"/>
          <cell r="H200">
            <v>0</v>
          </cell>
          <cell r="I200">
            <v>1</v>
          </cell>
          <cell r="J200" t="str">
            <v/>
          </cell>
          <cell r="K200">
            <v>1</v>
          </cell>
          <cell r="L200" t="str">
            <v/>
          </cell>
          <cell r="M200">
            <v>2</v>
          </cell>
          <cell r="N200">
            <v>2</v>
          </cell>
          <cell r="O200" t="str">
            <v/>
          </cell>
          <cell r="P200" t="str">
            <v/>
          </cell>
          <cell r="Q200">
            <v>9</v>
          </cell>
          <cell r="R200">
            <v>2</v>
          </cell>
          <cell r="S200" t="str">
            <v>0</v>
          </cell>
          <cell r="T200">
            <v>0</v>
          </cell>
          <cell r="U200">
            <v>7</v>
          </cell>
          <cell r="V200">
            <v>7</v>
          </cell>
          <cell r="W200">
            <v>6</v>
          </cell>
          <cell r="X200" t="str">
            <v/>
          </cell>
          <cell r="Y200" t="str">
            <v/>
          </cell>
          <cell r="Z200">
            <v>1</v>
          </cell>
          <cell r="AA200">
            <v>10</v>
          </cell>
          <cell r="AB200">
            <v>10</v>
          </cell>
          <cell r="AC200">
            <v>0</v>
          </cell>
          <cell r="AD200"/>
          <cell r="AE200">
            <v>0</v>
          </cell>
          <cell r="AF200">
            <v>9</v>
          </cell>
          <cell r="AG200">
            <v>9</v>
          </cell>
          <cell r="AH200">
            <v>0</v>
          </cell>
          <cell r="AI200">
            <v>0</v>
          </cell>
          <cell r="AJ200">
            <v>0</v>
          </cell>
          <cell r="AK200">
            <v>4.666666666666667</v>
          </cell>
        </row>
        <row r="201">
          <cell r="A201">
            <v>227200</v>
          </cell>
          <cell r="B201" t="str">
            <v>Sim</v>
          </cell>
          <cell r="C201" t="str">
            <v>Cabo Embreagem</v>
          </cell>
          <cell r="D201" t="str">
            <v>Importação</v>
          </cell>
          <cell r="E201">
            <v>1</v>
          </cell>
          <cell r="F201" t="str">
            <v>Cabo De Embreagem 206 1.0 16v Chassi .../9456 - Reg. Manual</v>
          </cell>
          <cell r="G201"/>
          <cell r="H201">
            <v>1</v>
          </cell>
          <cell r="I201">
            <v>1</v>
          </cell>
          <cell r="J201" t="str">
            <v/>
          </cell>
          <cell r="K201">
            <v>1</v>
          </cell>
          <cell r="L201" t="str">
            <v/>
          </cell>
          <cell r="M201">
            <v>3</v>
          </cell>
          <cell r="N201">
            <v>3</v>
          </cell>
          <cell r="O201" t="str">
            <v/>
          </cell>
          <cell r="P201" t="str">
            <v/>
          </cell>
          <cell r="Q201">
            <v>3</v>
          </cell>
          <cell r="R201">
            <v>3</v>
          </cell>
          <cell r="S201" t="str">
            <v>0</v>
          </cell>
          <cell r="T201">
            <v>0</v>
          </cell>
          <cell r="U201">
            <v>0</v>
          </cell>
          <cell r="V201">
            <v>7</v>
          </cell>
          <cell r="W201">
            <v>7</v>
          </cell>
          <cell r="X201" t="str">
            <v/>
          </cell>
          <cell r="Y201" t="str">
            <v/>
          </cell>
          <cell r="Z201" t="str">
            <v/>
          </cell>
          <cell r="AA201">
            <v>10</v>
          </cell>
          <cell r="AB201">
            <v>10</v>
          </cell>
          <cell r="AC201">
            <v>0</v>
          </cell>
          <cell r="AD201"/>
          <cell r="AE201">
            <v>0</v>
          </cell>
          <cell r="AF201">
            <v>13</v>
          </cell>
          <cell r="AG201">
            <v>13</v>
          </cell>
          <cell r="AH201">
            <v>0</v>
          </cell>
          <cell r="AI201">
            <v>0</v>
          </cell>
          <cell r="AJ201">
            <v>0</v>
          </cell>
          <cell r="AK201">
            <v>4.666666666666667</v>
          </cell>
        </row>
        <row r="202">
          <cell r="A202">
            <v>442061</v>
          </cell>
          <cell r="B202" t="str">
            <v>Sim</v>
          </cell>
          <cell r="C202" t="str">
            <v>Bandeja</v>
          </cell>
          <cell r="D202" t="str">
            <v>SPARE</v>
          </cell>
          <cell r="E202">
            <v>2</v>
          </cell>
          <cell r="F202" t="str">
            <v>Bandeja Esquerda Sem Pivô Audi A3 1996 A 2006</v>
          </cell>
          <cell r="G202"/>
          <cell r="H202">
            <v>3</v>
          </cell>
          <cell r="I202">
            <v>2</v>
          </cell>
          <cell r="J202">
            <v>0</v>
          </cell>
          <cell r="K202">
            <v>2</v>
          </cell>
          <cell r="L202" t="str">
            <v/>
          </cell>
          <cell r="M202">
            <v>5</v>
          </cell>
          <cell r="N202">
            <v>3</v>
          </cell>
          <cell r="O202">
            <v>2</v>
          </cell>
          <cell r="P202" t="str">
            <v/>
          </cell>
          <cell r="Q202">
            <v>3</v>
          </cell>
          <cell r="R202">
            <v>1</v>
          </cell>
          <cell r="S202">
            <v>2</v>
          </cell>
          <cell r="T202">
            <v>0</v>
          </cell>
          <cell r="U202">
            <v>0</v>
          </cell>
          <cell r="V202">
            <v>10</v>
          </cell>
          <cell r="W202">
            <v>4</v>
          </cell>
          <cell r="X202">
            <v>4</v>
          </cell>
          <cell r="Y202" t="str">
            <v/>
          </cell>
          <cell r="Z202">
            <v>2</v>
          </cell>
          <cell r="AA202">
            <v>1</v>
          </cell>
          <cell r="AB202">
            <v>1</v>
          </cell>
          <cell r="AC202">
            <v>0</v>
          </cell>
          <cell r="AD202"/>
          <cell r="AE202">
            <v>0</v>
          </cell>
          <cell r="AF202">
            <v>4</v>
          </cell>
          <cell r="AG202">
            <v>0</v>
          </cell>
          <cell r="AH202">
            <v>2</v>
          </cell>
          <cell r="AI202">
            <v>0</v>
          </cell>
          <cell r="AJ202">
            <v>2</v>
          </cell>
          <cell r="AK202">
            <v>4.5</v>
          </cell>
        </row>
        <row r="203">
          <cell r="A203">
            <v>772103</v>
          </cell>
          <cell r="B203" t="str">
            <v>Sim</v>
          </cell>
          <cell r="C203" t="str">
            <v>Bandeja</v>
          </cell>
          <cell r="D203" t="str">
            <v>SPARE</v>
          </cell>
          <cell r="E203">
            <v>2</v>
          </cell>
          <cell r="F203" t="str">
            <v>Bandeja Com Pivô Lado Direito March 2011 Em Diante</v>
          </cell>
          <cell r="G203"/>
          <cell r="H203">
            <v>8</v>
          </cell>
          <cell r="I203">
            <v>9</v>
          </cell>
          <cell r="J203">
            <v>9</v>
          </cell>
          <cell r="K203" t="str">
            <v/>
          </cell>
          <cell r="L203" t="str">
            <v/>
          </cell>
          <cell r="M203">
            <v>4</v>
          </cell>
          <cell r="N203" t="str">
            <v/>
          </cell>
          <cell r="O203">
            <v>4</v>
          </cell>
          <cell r="P203" t="str">
            <v/>
          </cell>
          <cell r="Q203">
            <v>3</v>
          </cell>
          <cell r="R203">
            <v>0</v>
          </cell>
          <cell r="S203">
            <v>3</v>
          </cell>
          <cell r="T203">
            <v>0</v>
          </cell>
          <cell r="U203">
            <v>0</v>
          </cell>
          <cell r="V203">
            <v>1</v>
          </cell>
          <cell r="W203">
            <v>0</v>
          </cell>
          <cell r="X203">
            <v>1</v>
          </cell>
          <cell r="Y203" t="str">
            <v/>
          </cell>
          <cell r="Z203" t="str">
            <v/>
          </cell>
          <cell r="AA203">
            <v>2</v>
          </cell>
          <cell r="AB203">
            <v>0</v>
          </cell>
          <cell r="AC203">
            <v>2</v>
          </cell>
          <cell r="AD203"/>
          <cell r="AE203">
            <v>0</v>
          </cell>
          <cell r="AF203">
            <v>2</v>
          </cell>
          <cell r="AG203">
            <v>0</v>
          </cell>
          <cell r="AH203">
            <v>2</v>
          </cell>
          <cell r="AI203">
            <v>0</v>
          </cell>
          <cell r="AJ203">
            <v>0</v>
          </cell>
          <cell r="AK203">
            <v>4.5</v>
          </cell>
        </row>
        <row r="204">
          <cell r="A204">
            <v>2358</v>
          </cell>
          <cell r="B204" t="str">
            <v>Sim</v>
          </cell>
          <cell r="C204" t="str">
            <v>Suporte Radiador</v>
          </cell>
          <cell r="D204" t="str">
            <v>LT CORREA</v>
          </cell>
          <cell r="E204">
            <v>3</v>
          </cell>
          <cell r="F204" t="str">
            <v>Suporte Coxin Radiador Direito Montana Antiga 2002 A 2012</v>
          </cell>
          <cell r="G204"/>
          <cell r="H204">
            <v>8</v>
          </cell>
          <cell r="I204">
            <v>5</v>
          </cell>
          <cell r="J204">
            <v>0</v>
          </cell>
          <cell r="K204">
            <v>5</v>
          </cell>
          <cell r="L204" t="str">
            <v/>
          </cell>
          <cell r="M204">
            <v>6</v>
          </cell>
          <cell r="N204">
            <v>2</v>
          </cell>
          <cell r="O204">
            <v>4</v>
          </cell>
          <cell r="P204" t="str">
            <v/>
          </cell>
          <cell r="Q204">
            <v>6</v>
          </cell>
          <cell r="R204">
            <v>5</v>
          </cell>
          <cell r="S204">
            <v>1</v>
          </cell>
          <cell r="T204">
            <v>0</v>
          </cell>
          <cell r="U204">
            <v>0</v>
          </cell>
          <cell r="V204">
            <v>1</v>
          </cell>
          <cell r="W204">
            <v>0</v>
          </cell>
          <cell r="X204">
            <v>1</v>
          </cell>
          <cell r="Y204" t="str">
            <v/>
          </cell>
          <cell r="Z204" t="str">
            <v/>
          </cell>
          <cell r="AA204">
            <v>2</v>
          </cell>
          <cell r="AB204">
            <v>1</v>
          </cell>
          <cell r="AC204">
            <v>1</v>
          </cell>
          <cell r="AD204"/>
          <cell r="AE204">
            <v>0</v>
          </cell>
          <cell r="AF204">
            <v>1</v>
          </cell>
          <cell r="AG204">
            <v>0</v>
          </cell>
          <cell r="AH204">
            <v>1</v>
          </cell>
          <cell r="AI204">
            <v>0</v>
          </cell>
          <cell r="AJ204">
            <v>0</v>
          </cell>
          <cell r="AK204">
            <v>4.5</v>
          </cell>
        </row>
        <row r="205">
          <cell r="A205">
            <v>2302</v>
          </cell>
          <cell r="B205" t="str">
            <v>Sim</v>
          </cell>
          <cell r="C205" t="str">
            <v>Reparo alavanta Câmbio</v>
          </cell>
          <cell r="D205" t="str">
            <v>LT CORREA</v>
          </cell>
          <cell r="E205">
            <v>3</v>
          </cell>
          <cell r="F205" t="str">
            <v>Kit Reparo Trambulador Cambio Astra Com Liame 1993 A 2006</v>
          </cell>
          <cell r="G205"/>
          <cell r="H205">
            <v>8</v>
          </cell>
          <cell r="I205">
            <v>9</v>
          </cell>
          <cell r="J205">
            <v>2</v>
          </cell>
          <cell r="K205">
            <v>7</v>
          </cell>
          <cell r="L205" t="str">
            <v/>
          </cell>
          <cell r="M205">
            <v>3</v>
          </cell>
          <cell r="N205">
            <v>3</v>
          </cell>
          <cell r="O205">
            <v>0</v>
          </cell>
          <cell r="P205" t="str">
            <v/>
          </cell>
          <cell r="Q205">
            <v>4</v>
          </cell>
          <cell r="R205">
            <v>4</v>
          </cell>
          <cell r="S205">
            <v>0</v>
          </cell>
          <cell r="T205">
            <v>0</v>
          </cell>
          <cell r="U205">
            <v>0</v>
          </cell>
          <cell r="V205">
            <v>3</v>
          </cell>
          <cell r="W205">
            <v>3</v>
          </cell>
          <cell r="X205" t="str">
            <v/>
          </cell>
          <cell r="Y205" t="str">
            <v/>
          </cell>
          <cell r="Z205" t="str">
            <v/>
          </cell>
          <cell r="AA205">
            <v>8</v>
          </cell>
          <cell r="AB205">
            <v>8</v>
          </cell>
          <cell r="AC205">
            <v>0</v>
          </cell>
          <cell r="AD205"/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4.5</v>
          </cell>
        </row>
        <row r="206">
          <cell r="A206">
            <v>66606</v>
          </cell>
          <cell r="B206" t="str">
            <v>Sim</v>
          </cell>
          <cell r="C206" t="str">
            <v>Cabo Câmbio</v>
          </cell>
          <cell r="D206" t="str">
            <v>Importação</v>
          </cell>
          <cell r="E206">
            <v>1</v>
          </cell>
          <cell r="F206" t="str">
            <v>Cabo De Câmbio Engate Linea 2009 A 2014</v>
          </cell>
          <cell r="G206"/>
          <cell r="H206">
            <v>10</v>
          </cell>
          <cell r="I206">
            <v>3</v>
          </cell>
          <cell r="J206" t="str">
            <v/>
          </cell>
          <cell r="K206">
            <v>3</v>
          </cell>
          <cell r="L206" t="str">
            <v/>
          </cell>
          <cell r="M206">
            <v>7</v>
          </cell>
          <cell r="N206">
            <v>7</v>
          </cell>
          <cell r="O206" t="str">
            <v/>
          </cell>
          <cell r="P206" t="str">
            <v/>
          </cell>
          <cell r="Q206">
            <v>3</v>
          </cell>
          <cell r="R206">
            <v>3</v>
          </cell>
          <cell r="S206" t="str">
            <v>0</v>
          </cell>
          <cell r="T206">
            <v>0</v>
          </cell>
          <cell r="U206">
            <v>0</v>
          </cell>
          <cell r="V206">
            <v>4</v>
          </cell>
          <cell r="W206">
            <v>4</v>
          </cell>
          <cell r="X206" t="str">
            <v/>
          </cell>
          <cell r="Y206" t="str">
            <v/>
          </cell>
          <cell r="Z206" t="str">
            <v/>
          </cell>
          <cell r="AA206">
            <v>0</v>
          </cell>
          <cell r="AB206">
            <v>0</v>
          </cell>
          <cell r="AC206">
            <v>0</v>
          </cell>
          <cell r="AD206"/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4.5</v>
          </cell>
        </row>
        <row r="207">
          <cell r="A207">
            <v>55120</v>
          </cell>
          <cell r="B207" t="str">
            <v>Sim</v>
          </cell>
          <cell r="C207" t="str">
            <v>Cabo de Freio</v>
          </cell>
          <cell r="D207" t="str">
            <v>MundiFlex</v>
          </cell>
          <cell r="E207">
            <v>6</v>
          </cell>
          <cell r="F207" t="str">
            <v>Cabo De Freio Fusca 1.200 1.300 E Karmanghia</v>
          </cell>
          <cell r="G207"/>
          <cell r="H207">
            <v>4</v>
          </cell>
          <cell r="I207">
            <v>9</v>
          </cell>
          <cell r="J207">
            <v>8</v>
          </cell>
          <cell r="K207">
            <v>1</v>
          </cell>
          <cell r="L207" t="str">
            <v/>
          </cell>
          <cell r="M207">
            <v>3</v>
          </cell>
          <cell r="N207">
            <v>1</v>
          </cell>
          <cell r="O207">
            <v>2</v>
          </cell>
          <cell r="P207" t="str">
            <v/>
          </cell>
          <cell r="Q207">
            <v>2</v>
          </cell>
          <cell r="R207" t="str">
            <v>0</v>
          </cell>
          <cell r="S207">
            <v>2</v>
          </cell>
          <cell r="T207">
            <v>0</v>
          </cell>
          <cell r="U207">
            <v>0</v>
          </cell>
          <cell r="V207">
            <v>4</v>
          </cell>
          <cell r="W207">
            <v>0</v>
          </cell>
          <cell r="X207">
            <v>4</v>
          </cell>
          <cell r="Y207" t="str">
            <v/>
          </cell>
          <cell r="Z207" t="str">
            <v/>
          </cell>
          <cell r="AA207">
            <v>8</v>
          </cell>
          <cell r="AB207">
            <v>0</v>
          </cell>
          <cell r="AC207">
            <v>8</v>
          </cell>
          <cell r="AD207"/>
          <cell r="AE207">
            <v>0</v>
          </cell>
          <cell r="AF207">
            <v>4</v>
          </cell>
          <cell r="AG207">
            <v>0</v>
          </cell>
          <cell r="AH207">
            <v>4</v>
          </cell>
          <cell r="AI207">
            <v>0</v>
          </cell>
          <cell r="AJ207">
            <v>0</v>
          </cell>
          <cell r="AK207">
            <v>4.333333333333333</v>
          </cell>
        </row>
        <row r="208">
          <cell r="A208" t="str">
            <v>FTK00606</v>
          </cell>
          <cell r="B208" t="str">
            <v>Sim</v>
          </cell>
          <cell r="C208" t="str">
            <v>Pivô</v>
          </cell>
          <cell r="D208" t="str">
            <v>SPARE</v>
          </cell>
          <cell r="E208">
            <v>2</v>
          </cell>
          <cell r="F208" t="str">
            <v>Pivô Bandeja Dianteira Ambos Os Lados Fluence 2011 Em Diante</v>
          </cell>
          <cell r="G208"/>
          <cell r="H208">
            <v>0</v>
          </cell>
          <cell r="I208">
            <v>0</v>
          </cell>
          <cell r="J208">
            <v>0</v>
          </cell>
          <cell r="K208" t="str">
            <v/>
          </cell>
          <cell r="L208" t="str">
            <v/>
          </cell>
          <cell r="M208">
            <v>0</v>
          </cell>
          <cell r="N208" t="str">
            <v/>
          </cell>
          <cell r="O208">
            <v>0</v>
          </cell>
          <cell r="P208" t="str">
            <v/>
          </cell>
          <cell r="Q208">
            <v>20</v>
          </cell>
          <cell r="R208" t="str">
            <v>0</v>
          </cell>
          <cell r="S208">
            <v>20</v>
          </cell>
          <cell r="T208">
            <v>0</v>
          </cell>
          <cell r="U208">
            <v>0</v>
          </cell>
          <cell r="V208">
            <v>2</v>
          </cell>
          <cell r="W208">
            <v>0</v>
          </cell>
          <cell r="X208">
            <v>2</v>
          </cell>
          <cell r="Y208" t="str">
            <v/>
          </cell>
          <cell r="Z208" t="str">
            <v/>
          </cell>
          <cell r="AA208">
            <v>1</v>
          </cell>
          <cell r="AB208">
            <v>0</v>
          </cell>
          <cell r="AC208">
            <v>1</v>
          </cell>
          <cell r="AD208"/>
          <cell r="AE208">
            <v>0</v>
          </cell>
          <cell r="AF208">
            <v>4</v>
          </cell>
          <cell r="AG208">
            <v>0</v>
          </cell>
          <cell r="AH208">
            <v>4</v>
          </cell>
          <cell r="AI208">
            <v>0</v>
          </cell>
          <cell r="AJ208">
            <v>0</v>
          </cell>
          <cell r="AK208">
            <v>4.333333333333333</v>
          </cell>
        </row>
        <row r="209">
          <cell r="A209" t="str">
            <v>FTK3320K</v>
          </cell>
          <cell r="B209"/>
          <cell r="C209" t="str">
            <v>Coifa Homocinética</v>
          </cell>
          <cell r="D209" t="str">
            <v>Replabor</v>
          </cell>
          <cell r="E209">
            <v>11</v>
          </cell>
          <cell r="F209" t="str">
            <v>Coifa Homocinética Lado Câmbio Premio 1994 A 1996</v>
          </cell>
          <cell r="G209"/>
          <cell r="H209">
            <v>2</v>
          </cell>
          <cell r="I209">
            <v>2</v>
          </cell>
          <cell r="J209">
            <v>2</v>
          </cell>
          <cell r="K209" t="str">
            <v/>
          </cell>
          <cell r="L209" t="str">
            <v/>
          </cell>
          <cell r="M209">
            <v>6</v>
          </cell>
          <cell r="N209" t="str">
            <v/>
          </cell>
          <cell r="O209">
            <v>6</v>
          </cell>
          <cell r="P209" t="str">
            <v/>
          </cell>
          <cell r="Q209">
            <v>6</v>
          </cell>
          <cell r="R209" t="str">
            <v>0</v>
          </cell>
          <cell r="S209">
            <v>6</v>
          </cell>
          <cell r="T209">
            <v>0</v>
          </cell>
          <cell r="U209">
            <v>0</v>
          </cell>
          <cell r="V209">
            <v>10</v>
          </cell>
          <cell r="W209">
            <v>0</v>
          </cell>
          <cell r="X209">
            <v>10</v>
          </cell>
          <cell r="Y209" t="str">
            <v/>
          </cell>
          <cell r="Z209" t="str">
            <v/>
          </cell>
          <cell r="AA209">
            <v>4</v>
          </cell>
          <cell r="AB209">
            <v>0</v>
          </cell>
          <cell r="AC209">
            <v>4</v>
          </cell>
          <cell r="AD209"/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4.333333333333333</v>
          </cell>
        </row>
        <row r="210">
          <cell r="A210" t="str">
            <v>T1007</v>
          </cell>
          <cell r="B210"/>
          <cell r="C210" t="str">
            <v>Terminal Cabo Câmbio</v>
          </cell>
          <cell r="D210" t="str">
            <v>Importação</v>
          </cell>
          <cell r="E210">
            <v>1</v>
          </cell>
          <cell r="F210" t="str">
            <v>Terminal cabo do Corsa</v>
          </cell>
          <cell r="G210"/>
          <cell r="H210" t="str">
            <v>-</v>
          </cell>
          <cell r="I210" t="str">
            <v>-</v>
          </cell>
          <cell r="J210"/>
          <cell r="K210"/>
          <cell r="L210">
            <v>2500</v>
          </cell>
          <cell r="M210">
            <v>0</v>
          </cell>
          <cell r="N210" t="str">
            <v/>
          </cell>
          <cell r="O210" t="str">
            <v/>
          </cell>
          <cell r="P210" t="str">
            <v/>
          </cell>
          <cell r="Q210">
            <v>0</v>
          </cell>
          <cell r="R210" t="str">
            <v>0</v>
          </cell>
          <cell r="S210" t="str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 t="str">
            <v/>
          </cell>
          <cell r="Y210" t="str">
            <v/>
          </cell>
          <cell r="Z210" t="str">
            <v/>
          </cell>
          <cell r="AA210">
            <v>27</v>
          </cell>
          <cell r="AB210">
            <v>0</v>
          </cell>
          <cell r="AC210">
            <v>27</v>
          </cell>
          <cell r="AD210"/>
          <cell r="AE210">
            <v>0</v>
          </cell>
          <cell r="AF210">
            <v>17</v>
          </cell>
          <cell r="AG210">
            <v>0</v>
          </cell>
          <cell r="AH210">
            <v>17</v>
          </cell>
          <cell r="AI210">
            <v>0</v>
          </cell>
          <cell r="AJ210">
            <v>0</v>
          </cell>
          <cell r="AK210">
            <v>4.25</v>
          </cell>
        </row>
        <row r="211">
          <cell r="A211">
            <v>111301</v>
          </cell>
          <cell r="B211" t="str">
            <v>Sim</v>
          </cell>
          <cell r="C211" t="str">
            <v>Cabo Embreagem</v>
          </cell>
          <cell r="D211" t="str">
            <v>Importação</v>
          </cell>
          <cell r="E211">
            <v>1</v>
          </cell>
          <cell r="F211" t="str">
            <v>Cabo De Embreagem Toyota Etios 1.3/1.5 16v 2012/2013... Novo</v>
          </cell>
          <cell r="G211"/>
          <cell r="H211">
            <v>4</v>
          </cell>
          <cell r="I211">
            <v>0</v>
          </cell>
          <cell r="J211" t="str">
            <v/>
          </cell>
          <cell r="K211" t="str">
            <v/>
          </cell>
          <cell r="L211" t="str">
            <v/>
          </cell>
          <cell r="M211">
            <v>0</v>
          </cell>
          <cell r="N211" t="str">
            <v/>
          </cell>
          <cell r="O211" t="str">
            <v/>
          </cell>
          <cell r="P211" t="str">
            <v/>
          </cell>
          <cell r="Q211">
            <v>1</v>
          </cell>
          <cell r="R211">
            <v>1</v>
          </cell>
          <cell r="S211" t="str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 t="str">
            <v/>
          </cell>
          <cell r="Y211" t="str">
            <v/>
          </cell>
          <cell r="Z211" t="str">
            <v/>
          </cell>
          <cell r="AA211">
            <v>0</v>
          </cell>
          <cell r="AB211">
            <v>0</v>
          </cell>
          <cell r="AC211">
            <v>0</v>
          </cell>
          <cell r="AD211"/>
          <cell r="AE211">
            <v>0</v>
          </cell>
          <cell r="AF211">
            <v>20</v>
          </cell>
          <cell r="AG211">
            <v>0</v>
          </cell>
          <cell r="AH211">
            <v>0</v>
          </cell>
          <cell r="AI211">
            <v>20</v>
          </cell>
          <cell r="AJ211">
            <v>0</v>
          </cell>
          <cell r="AK211">
            <v>4.166666666666667</v>
          </cell>
        </row>
        <row r="212">
          <cell r="A212">
            <v>772149</v>
          </cell>
          <cell r="B212" t="str">
            <v>Sim</v>
          </cell>
          <cell r="C212" t="str">
            <v>Bandeja</v>
          </cell>
          <cell r="D212" t="str">
            <v>SPARE</v>
          </cell>
          <cell r="E212">
            <v>2</v>
          </cell>
          <cell r="F212" t="str">
            <v>Bandeja Dianteira Esquerda Com Pivô Sportage 2011 A 2022</v>
          </cell>
          <cell r="G212"/>
          <cell r="H212">
            <v>1</v>
          </cell>
          <cell r="I212">
            <v>1</v>
          </cell>
          <cell r="J212">
            <v>1</v>
          </cell>
          <cell r="K212" t="str">
            <v/>
          </cell>
          <cell r="L212" t="str">
            <v/>
          </cell>
          <cell r="M212">
            <v>2</v>
          </cell>
          <cell r="N212">
            <v>1</v>
          </cell>
          <cell r="O212">
            <v>1</v>
          </cell>
          <cell r="P212" t="str">
            <v/>
          </cell>
          <cell r="Q212">
            <v>3</v>
          </cell>
          <cell r="R212" t="str">
            <v>0</v>
          </cell>
          <cell r="S212">
            <v>3</v>
          </cell>
          <cell r="T212">
            <v>0</v>
          </cell>
          <cell r="U212">
            <v>0</v>
          </cell>
          <cell r="V212">
            <v>7</v>
          </cell>
          <cell r="W212">
            <v>1</v>
          </cell>
          <cell r="X212">
            <v>6</v>
          </cell>
          <cell r="Y212" t="str">
            <v/>
          </cell>
          <cell r="Z212" t="str">
            <v/>
          </cell>
          <cell r="AA212">
            <v>1</v>
          </cell>
          <cell r="AB212">
            <v>0</v>
          </cell>
          <cell r="AC212">
            <v>1</v>
          </cell>
          <cell r="AD212"/>
          <cell r="AE212">
            <v>0</v>
          </cell>
          <cell r="AF212">
            <v>11</v>
          </cell>
          <cell r="AG212">
            <v>0</v>
          </cell>
          <cell r="AH212">
            <v>11</v>
          </cell>
          <cell r="AI212">
            <v>0</v>
          </cell>
          <cell r="AJ212">
            <v>0</v>
          </cell>
          <cell r="AK212">
            <v>4.166666666666667</v>
          </cell>
        </row>
        <row r="213">
          <cell r="A213">
            <v>332067</v>
          </cell>
          <cell r="B213" t="str">
            <v>Sim</v>
          </cell>
          <cell r="C213" t="str">
            <v>Bandeja</v>
          </cell>
          <cell r="D213" t="str">
            <v>SPARE</v>
          </cell>
          <cell r="E213">
            <v>2</v>
          </cell>
          <cell r="F213" t="str">
            <v>Bandeja Inferior Esquerda Com Pivô Montana 2003 A 2010</v>
          </cell>
          <cell r="G213"/>
          <cell r="H213">
            <v>4</v>
          </cell>
          <cell r="I213">
            <v>2</v>
          </cell>
          <cell r="J213">
            <v>1</v>
          </cell>
          <cell r="K213">
            <v>1</v>
          </cell>
          <cell r="L213" t="str">
            <v/>
          </cell>
          <cell r="M213">
            <v>5</v>
          </cell>
          <cell r="N213">
            <v>1</v>
          </cell>
          <cell r="O213">
            <v>4</v>
          </cell>
          <cell r="P213" t="str">
            <v/>
          </cell>
          <cell r="Q213">
            <v>4</v>
          </cell>
          <cell r="R213" t="str">
            <v>0</v>
          </cell>
          <cell r="S213">
            <v>4</v>
          </cell>
          <cell r="T213">
            <v>0</v>
          </cell>
          <cell r="U213">
            <v>0</v>
          </cell>
          <cell r="V213">
            <v>5</v>
          </cell>
          <cell r="W213">
            <v>1</v>
          </cell>
          <cell r="X213">
            <v>4</v>
          </cell>
          <cell r="Y213" t="str">
            <v/>
          </cell>
          <cell r="Z213" t="str">
            <v/>
          </cell>
          <cell r="AA213">
            <v>5</v>
          </cell>
          <cell r="AB213">
            <v>1</v>
          </cell>
          <cell r="AC213">
            <v>3</v>
          </cell>
          <cell r="AD213"/>
          <cell r="AE213">
            <v>1</v>
          </cell>
          <cell r="AF213">
            <v>5</v>
          </cell>
          <cell r="AG213">
            <v>0</v>
          </cell>
          <cell r="AH213">
            <v>2</v>
          </cell>
          <cell r="AI213">
            <v>0</v>
          </cell>
          <cell r="AJ213">
            <v>3</v>
          </cell>
          <cell r="AK213">
            <v>4.166666666666667</v>
          </cell>
        </row>
        <row r="214">
          <cell r="A214" t="str">
            <v>FTK22183</v>
          </cell>
          <cell r="B214" t="str">
            <v>Sim</v>
          </cell>
          <cell r="C214" t="str">
            <v>Pivô</v>
          </cell>
          <cell r="D214" t="str">
            <v>SPARE</v>
          </cell>
          <cell r="E214">
            <v>2</v>
          </cell>
          <cell r="F214" t="str">
            <v>Pivô Da Bandeja Dianteira Ambos Lados Clio 2003 A 2016</v>
          </cell>
          <cell r="G214"/>
          <cell r="H214">
            <v>0</v>
          </cell>
          <cell r="I214">
            <v>3</v>
          </cell>
          <cell r="J214">
            <v>2</v>
          </cell>
          <cell r="K214">
            <v>1</v>
          </cell>
          <cell r="L214" t="str">
            <v/>
          </cell>
          <cell r="M214">
            <v>6</v>
          </cell>
          <cell r="N214" t="str">
            <v/>
          </cell>
          <cell r="O214">
            <v>6</v>
          </cell>
          <cell r="P214" t="str">
            <v/>
          </cell>
          <cell r="Q214">
            <v>8</v>
          </cell>
          <cell r="R214" t="str">
            <v>0</v>
          </cell>
          <cell r="S214">
            <v>8</v>
          </cell>
          <cell r="T214">
            <v>0</v>
          </cell>
          <cell r="U214">
            <v>0</v>
          </cell>
          <cell r="V214">
            <v>4</v>
          </cell>
          <cell r="W214">
            <v>0</v>
          </cell>
          <cell r="X214">
            <v>4</v>
          </cell>
          <cell r="Y214" t="str">
            <v/>
          </cell>
          <cell r="Z214" t="str">
            <v/>
          </cell>
          <cell r="AA214">
            <v>12</v>
          </cell>
          <cell r="AB214">
            <v>2</v>
          </cell>
          <cell r="AC214">
            <v>10</v>
          </cell>
          <cell r="AD214"/>
          <cell r="AE214">
            <v>0</v>
          </cell>
          <cell r="AF214">
            <v>4</v>
          </cell>
          <cell r="AG214">
            <v>0</v>
          </cell>
          <cell r="AH214">
            <v>4</v>
          </cell>
          <cell r="AI214">
            <v>0</v>
          </cell>
          <cell r="AJ214">
            <v>0</v>
          </cell>
          <cell r="AK214">
            <v>4.166666666666667</v>
          </cell>
        </row>
        <row r="215">
          <cell r="A215">
            <v>442095</v>
          </cell>
          <cell r="B215" t="str">
            <v>Sim</v>
          </cell>
          <cell r="C215" t="str">
            <v>Bandeja</v>
          </cell>
          <cell r="D215" t="str">
            <v>SPARE</v>
          </cell>
          <cell r="E215">
            <v>2</v>
          </cell>
          <cell r="F215" t="str">
            <v>Bandeja Inferior Ambos Os Lados Crossfox  2005 Á 2013</v>
          </cell>
          <cell r="G215"/>
          <cell r="H215">
            <v>6</v>
          </cell>
          <cell r="I215">
            <v>8</v>
          </cell>
          <cell r="J215">
            <v>8</v>
          </cell>
          <cell r="K215" t="str">
            <v/>
          </cell>
          <cell r="L215" t="str">
            <v/>
          </cell>
          <cell r="M215">
            <v>6</v>
          </cell>
          <cell r="N215" t="str">
            <v/>
          </cell>
          <cell r="O215">
            <v>6</v>
          </cell>
          <cell r="P215" t="str">
            <v/>
          </cell>
          <cell r="Q215">
            <v>0</v>
          </cell>
          <cell r="R215" t="str">
            <v>0</v>
          </cell>
          <cell r="S215">
            <v>0</v>
          </cell>
          <cell r="T215">
            <v>0</v>
          </cell>
          <cell r="U215">
            <v>0</v>
          </cell>
          <cell r="V215">
            <v>3</v>
          </cell>
          <cell r="W215">
            <v>0</v>
          </cell>
          <cell r="X215" t="str">
            <v/>
          </cell>
          <cell r="Y215" t="str">
            <v/>
          </cell>
          <cell r="Z215">
            <v>3</v>
          </cell>
          <cell r="AA215">
            <v>2</v>
          </cell>
          <cell r="AB215">
            <v>0</v>
          </cell>
          <cell r="AC215">
            <v>2</v>
          </cell>
          <cell r="AD215"/>
          <cell r="AE215">
            <v>0</v>
          </cell>
          <cell r="AF215">
            <v>2</v>
          </cell>
          <cell r="AG215">
            <v>0</v>
          </cell>
          <cell r="AH215">
            <v>2</v>
          </cell>
          <cell r="AI215">
            <v>0</v>
          </cell>
          <cell r="AJ215">
            <v>0</v>
          </cell>
          <cell r="AK215">
            <v>4.166666666666667</v>
          </cell>
        </row>
        <row r="216">
          <cell r="A216" t="str">
            <v>VA-10008</v>
          </cell>
          <cell r="B216" t="str">
            <v>Sim</v>
          </cell>
          <cell r="C216" t="str">
            <v>Aditivos</v>
          </cell>
          <cell r="D216" t="str">
            <v>Valclei</v>
          </cell>
          <cell r="E216">
            <v>23</v>
          </cell>
          <cell r="F216" t="str">
            <v>Aditivo Para Radiador Valclei</v>
          </cell>
          <cell r="G216"/>
          <cell r="H216">
            <v>0</v>
          </cell>
          <cell r="I216">
            <v>0</v>
          </cell>
          <cell r="J216" t="str">
            <v/>
          </cell>
          <cell r="K216" t="str">
            <v/>
          </cell>
          <cell r="L216" t="str">
            <v/>
          </cell>
          <cell r="M216">
            <v>0</v>
          </cell>
          <cell r="N216" t="str">
            <v/>
          </cell>
          <cell r="O216" t="str">
            <v/>
          </cell>
          <cell r="P216" t="str">
            <v/>
          </cell>
          <cell r="Q216">
            <v>12</v>
          </cell>
          <cell r="R216" t="str">
            <v>0</v>
          </cell>
          <cell r="S216" t="str">
            <v>0</v>
          </cell>
          <cell r="T216">
            <v>0</v>
          </cell>
          <cell r="U216">
            <v>12</v>
          </cell>
          <cell r="V216">
            <v>0</v>
          </cell>
          <cell r="W216">
            <v>0</v>
          </cell>
          <cell r="X216" t="str">
            <v/>
          </cell>
          <cell r="Y216" t="str">
            <v/>
          </cell>
          <cell r="Z216" t="str">
            <v/>
          </cell>
          <cell r="AA216">
            <v>0</v>
          </cell>
          <cell r="AB216">
            <v>0</v>
          </cell>
          <cell r="AC216">
            <v>0</v>
          </cell>
          <cell r="AD216"/>
          <cell r="AE216">
            <v>0</v>
          </cell>
          <cell r="AF216">
            <v>12</v>
          </cell>
          <cell r="AG216">
            <v>0</v>
          </cell>
          <cell r="AH216">
            <v>0</v>
          </cell>
          <cell r="AI216">
            <v>0</v>
          </cell>
          <cell r="AJ216">
            <v>12</v>
          </cell>
          <cell r="AK216">
            <v>4</v>
          </cell>
        </row>
        <row r="217">
          <cell r="A217" t="str">
            <v>5W30</v>
          </cell>
          <cell r="B217"/>
          <cell r="C217" t="str">
            <v>Óleo Motor</v>
          </cell>
          <cell r="D217"/>
          <cell r="E217"/>
          <cell r="F217" t="str">
            <v xml:space="preserve">OLEO 5W30 SB LUBRIFICANTES  </v>
          </cell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>
            <v>4</v>
          </cell>
          <cell r="AG217">
            <v>0</v>
          </cell>
          <cell r="AH217"/>
          <cell r="AI217">
            <v>0</v>
          </cell>
          <cell r="AJ217">
            <v>4</v>
          </cell>
          <cell r="AK217">
            <v>4</v>
          </cell>
        </row>
        <row r="218">
          <cell r="A218">
            <v>442056</v>
          </cell>
          <cell r="B218" t="str">
            <v>Sim</v>
          </cell>
          <cell r="C218" t="str">
            <v>Bandeja</v>
          </cell>
          <cell r="D218" t="str">
            <v>SPARE</v>
          </cell>
          <cell r="E218">
            <v>2</v>
          </cell>
          <cell r="F218" t="str">
            <v>Bandeja Inferior Direita Sem Pivô Royale 1991 A 1996</v>
          </cell>
          <cell r="G218"/>
          <cell r="H218">
            <v>8</v>
          </cell>
          <cell r="I218">
            <v>6</v>
          </cell>
          <cell r="J218">
            <v>6</v>
          </cell>
          <cell r="K218" t="str">
            <v/>
          </cell>
          <cell r="L218" t="str">
            <v/>
          </cell>
          <cell r="M218">
            <v>3</v>
          </cell>
          <cell r="N218" t="str">
            <v/>
          </cell>
          <cell r="O218">
            <v>3</v>
          </cell>
          <cell r="P218" t="str">
            <v/>
          </cell>
          <cell r="Q218">
            <v>2</v>
          </cell>
          <cell r="R218" t="str">
            <v>0</v>
          </cell>
          <cell r="S218">
            <v>2</v>
          </cell>
          <cell r="T218">
            <v>0</v>
          </cell>
          <cell r="U218">
            <v>0</v>
          </cell>
          <cell r="V218">
            <v>2</v>
          </cell>
          <cell r="W218">
            <v>0</v>
          </cell>
          <cell r="X218">
            <v>1</v>
          </cell>
          <cell r="Y218" t="str">
            <v/>
          </cell>
          <cell r="Z218">
            <v>1</v>
          </cell>
          <cell r="AA218">
            <v>7</v>
          </cell>
          <cell r="AB218">
            <v>0</v>
          </cell>
          <cell r="AC218">
            <v>7</v>
          </cell>
          <cell r="AD218"/>
          <cell r="AE218">
            <v>0</v>
          </cell>
          <cell r="AF218">
            <v>3</v>
          </cell>
          <cell r="AG218">
            <v>0</v>
          </cell>
          <cell r="AH218">
            <v>3</v>
          </cell>
          <cell r="AI218">
            <v>0</v>
          </cell>
          <cell r="AJ218">
            <v>0</v>
          </cell>
          <cell r="AK218">
            <v>4</v>
          </cell>
        </row>
        <row r="219">
          <cell r="A219">
            <v>442066</v>
          </cell>
          <cell r="B219" t="str">
            <v>Sim</v>
          </cell>
          <cell r="C219" t="str">
            <v>Bandeja</v>
          </cell>
          <cell r="D219" t="str">
            <v>SPARE</v>
          </cell>
          <cell r="E219">
            <v>2</v>
          </cell>
          <cell r="F219" t="str">
            <v>Bandeja Inca 1999 Á 2001</v>
          </cell>
          <cell r="G219"/>
          <cell r="H219">
            <v>8</v>
          </cell>
          <cell r="I219">
            <v>4</v>
          </cell>
          <cell r="J219">
            <v>2</v>
          </cell>
          <cell r="K219">
            <v>2</v>
          </cell>
          <cell r="L219" t="str">
            <v/>
          </cell>
          <cell r="M219">
            <v>7</v>
          </cell>
          <cell r="N219">
            <v>3</v>
          </cell>
          <cell r="O219">
            <v>4</v>
          </cell>
          <cell r="P219" t="str">
            <v/>
          </cell>
          <cell r="Q219">
            <v>3</v>
          </cell>
          <cell r="R219">
            <v>1</v>
          </cell>
          <cell r="S219">
            <v>2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 t="str">
            <v/>
          </cell>
          <cell r="Y219" t="str">
            <v/>
          </cell>
          <cell r="Z219" t="str">
            <v/>
          </cell>
          <cell r="AA219">
            <v>2</v>
          </cell>
          <cell r="AB219">
            <v>0</v>
          </cell>
          <cell r="AC219">
            <v>0</v>
          </cell>
          <cell r="AD219"/>
          <cell r="AE219">
            <v>2</v>
          </cell>
          <cell r="AF219">
            <v>2</v>
          </cell>
          <cell r="AG219">
            <v>0</v>
          </cell>
          <cell r="AH219">
            <v>2</v>
          </cell>
          <cell r="AI219">
            <v>0</v>
          </cell>
          <cell r="AJ219">
            <v>0</v>
          </cell>
          <cell r="AK219">
            <v>4</v>
          </cell>
        </row>
        <row r="220">
          <cell r="A220">
            <v>229051</v>
          </cell>
          <cell r="B220" t="str">
            <v>Sim</v>
          </cell>
          <cell r="C220" t="str">
            <v>Cabo de Acelerador</v>
          </cell>
          <cell r="D220" t="str">
            <v>Importação</v>
          </cell>
          <cell r="E220">
            <v>1</v>
          </cell>
          <cell r="F220" t="str">
            <v>Cabo De Acelerador Mitsubishi L200 Sport 2003 Em Diante</v>
          </cell>
          <cell r="G220"/>
          <cell r="H220">
            <v>4</v>
          </cell>
          <cell r="I220">
            <v>6</v>
          </cell>
          <cell r="J220" t="str">
            <v/>
          </cell>
          <cell r="K220">
            <v>6</v>
          </cell>
          <cell r="L220" t="str">
            <v/>
          </cell>
          <cell r="M220">
            <v>7</v>
          </cell>
          <cell r="N220">
            <v>7</v>
          </cell>
          <cell r="O220" t="str">
            <v/>
          </cell>
          <cell r="P220" t="str">
            <v/>
          </cell>
          <cell r="Q220">
            <v>4</v>
          </cell>
          <cell r="R220">
            <v>4</v>
          </cell>
          <cell r="S220" t="str">
            <v>0</v>
          </cell>
          <cell r="T220">
            <v>0</v>
          </cell>
          <cell r="U220">
            <v>0</v>
          </cell>
          <cell r="V220">
            <v>3</v>
          </cell>
          <cell r="W220">
            <v>3</v>
          </cell>
          <cell r="X220" t="str">
            <v/>
          </cell>
          <cell r="Y220" t="str">
            <v/>
          </cell>
          <cell r="Z220" t="str">
            <v/>
          </cell>
          <cell r="AA220">
            <v>2</v>
          </cell>
          <cell r="AB220">
            <v>2</v>
          </cell>
          <cell r="AC220">
            <v>0</v>
          </cell>
          <cell r="AD220"/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4</v>
          </cell>
        </row>
        <row r="221">
          <cell r="A221">
            <v>5229</v>
          </cell>
          <cell r="B221"/>
          <cell r="C221" t="str">
            <v>Bieleta</v>
          </cell>
          <cell r="D221" t="str">
            <v>HOLYMAN</v>
          </cell>
          <cell r="E221">
            <v>5</v>
          </cell>
          <cell r="F221" t="str">
            <v>Bieleta Dianteira Cruze 2010 Em Diante</v>
          </cell>
          <cell r="G221"/>
          <cell r="H221">
            <v>2</v>
          </cell>
          <cell r="I221">
            <v>6</v>
          </cell>
          <cell r="J221">
            <v>6</v>
          </cell>
          <cell r="K221" t="str">
            <v/>
          </cell>
          <cell r="L221" t="str">
            <v/>
          </cell>
          <cell r="M221">
            <v>6</v>
          </cell>
          <cell r="N221" t="str">
            <v/>
          </cell>
          <cell r="O221">
            <v>6</v>
          </cell>
          <cell r="P221" t="str">
            <v/>
          </cell>
          <cell r="Q221">
            <v>4</v>
          </cell>
          <cell r="R221" t="str">
            <v>0</v>
          </cell>
          <cell r="S221">
            <v>4</v>
          </cell>
          <cell r="T221">
            <v>0</v>
          </cell>
          <cell r="U221">
            <v>0</v>
          </cell>
          <cell r="V221">
            <v>6</v>
          </cell>
          <cell r="W221">
            <v>0</v>
          </cell>
          <cell r="X221">
            <v>6</v>
          </cell>
          <cell r="Y221" t="str">
            <v/>
          </cell>
          <cell r="Z221" t="str">
            <v/>
          </cell>
          <cell r="AA221">
            <v>2</v>
          </cell>
          <cell r="AB221">
            <v>0</v>
          </cell>
          <cell r="AC221">
            <v>2</v>
          </cell>
          <cell r="AD221"/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4</v>
          </cell>
        </row>
        <row r="222">
          <cell r="A222">
            <v>222105</v>
          </cell>
          <cell r="B222" t="str">
            <v>Sim</v>
          </cell>
          <cell r="C222" t="str">
            <v>Bandeja</v>
          </cell>
          <cell r="D222" t="str">
            <v>SPARE</v>
          </cell>
          <cell r="E222">
            <v>2</v>
          </cell>
          <cell r="F222" t="str">
            <v>Bandeja Fiesta 2008 A 2014 Lado Esquerdo Com Pivô</v>
          </cell>
          <cell r="G222"/>
          <cell r="H222">
            <v>1</v>
          </cell>
          <cell r="I222">
            <v>4</v>
          </cell>
          <cell r="J222">
            <v>0</v>
          </cell>
          <cell r="K222">
            <v>4</v>
          </cell>
          <cell r="L222" t="str">
            <v/>
          </cell>
          <cell r="M222">
            <v>2</v>
          </cell>
          <cell r="N222">
            <v>2</v>
          </cell>
          <cell r="O222">
            <v>0</v>
          </cell>
          <cell r="P222" t="str">
            <v/>
          </cell>
          <cell r="Q222">
            <v>2</v>
          </cell>
          <cell r="R222">
            <v>2</v>
          </cell>
          <cell r="S222">
            <v>0</v>
          </cell>
          <cell r="T222">
            <v>0</v>
          </cell>
          <cell r="U222">
            <v>0</v>
          </cell>
          <cell r="V222">
            <v>5</v>
          </cell>
          <cell r="W222">
            <v>3</v>
          </cell>
          <cell r="X222" t="str">
            <v/>
          </cell>
          <cell r="Y222" t="str">
            <v/>
          </cell>
          <cell r="Z222">
            <v>2</v>
          </cell>
          <cell r="AA222">
            <v>3</v>
          </cell>
          <cell r="AB222">
            <v>3</v>
          </cell>
          <cell r="AC222">
            <v>0</v>
          </cell>
          <cell r="AD222"/>
          <cell r="AE222">
            <v>0</v>
          </cell>
          <cell r="AF222">
            <v>10</v>
          </cell>
          <cell r="AG222">
            <v>6</v>
          </cell>
          <cell r="AH222">
            <v>0</v>
          </cell>
          <cell r="AI222">
            <v>0</v>
          </cell>
          <cell r="AJ222">
            <v>4</v>
          </cell>
          <cell r="AK222">
            <v>4</v>
          </cell>
        </row>
        <row r="223">
          <cell r="A223">
            <v>2361</v>
          </cell>
          <cell r="B223" t="str">
            <v>Sim</v>
          </cell>
          <cell r="C223" t="str">
            <v>Suporte Parachoque</v>
          </cell>
          <cell r="D223" t="str">
            <v>LT CORREA</v>
          </cell>
          <cell r="E223">
            <v>3</v>
          </cell>
          <cell r="F223" t="str">
            <v>Corsa Sedan Class. Super 1.6 2004 A 2006</v>
          </cell>
          <cell r="G223"/>
          <cell r="H223">
            <v>8</v>
          </cell>
          <cell r="I223">
            <v>1</v>
          </cell>
          <cell r="J223" t="str">
            <v/>
          </cell>
          <cell r="K223">
            <v>1</v>
          </cell>
          <cell r="L223" t="str">
            <v/>
          </cell>
          <cell r="M223">
            <v>4</v>
          </cell>
          <cell r="N223">
            <v>4</v>
          </cell>
          <cell r="O223" t="str">
            <v/>
          </cell>
          <cell r="P223" t="str">
            <v/>
          </cell>
          <cell r="Q223">
            <v>4</v>
          </cell>
          <cell r="R223">
            <v>4</v>
          </cell>
          <cell r="S223" t="str">
            <v>0</v>
          </cell>
          <cell r="T223">
            <v>0</v>
          </cell>
          <cell r="U223">
            <v>0</v>
          </cell>
          <cell r="V223">
            <v>1</v>
          </cell>
          <cell r="W223">
            <v>1</v>
          </cell>
          <cell r="X223" t="str">
            <v/>
          </cell>
          <cell r="Y223" t="str">
            <v/>
          </cell>
          <cell r="Z223" t="str">
            <v/>
          </cell>
          <cell r="AA223">
            <v>2</v>
          </cell>
          <cell r="AB223">
            <v>2</v>
          </cell>
          <cell r="AC223">
            <v>0</v>
          </cell>
          <cell r="AD223"/>
          <cell r="AE223">
            <v>0</v>
          </cell>
          <cell r="AF223">
            <v>6</v>
          </cell>
          <cell r="AG223">
            <v>6</v>
          </cell>
          <cell r="AH223">
            <v>0</v>
          </cell>
          <cell r="AI223">
            <v>0</v>
          </cell>
          <cell r="AJ223">
            <v>0</v>
          </cell>
          <cell r="AK223">
            <v>4</v>
          </cell>
        </row>
        <row r="224">
          <cell r="A224">
            <v>772056</v>
          </cell>
          <cell r="B224" t="str">
            <v>Sim</v>
          </cell>
          <cell r="C224" t="str">
            <v>Bandeja</v>
          </cell>
          <cell r="D224" t="str">
            <v>SPARE</v>
          </cell>
          <cell r="E224">
            <v>2</v>
          </cell>
          <cell r="F224" t="str">
            <v>Bandeja Direita Inferior Com Pivô Kia Cerato 2009 Em Diante</v>
          </cell>
          <cell r="G224"/>
          <cell r="H224">
            <v>4</v>
          </cell>
          <cell r="I224">
            <v>4</v>
          </cell>
          <cell r="J224">
            <v>3</v>
          </cell>
          <cell r="K224">
            <v>1</v>
          </cell>
          <cell r="L224" t="str">
            <v/>
          </cell>
          <cell r="M224">
            <v>4</v>
          </cell>
          <cell r="N224">
            <v>3</v>
          </cell>
          <cell r="O224">
            <v>1</v>
          </cell>
          <cell r="P224" t="str">
            <v/>
          </cell>
          <cell r="Q224">
            <v>3</v>
          </cell>
          <cell r="R224">
            <v>2</v>
          </cell>
          <cell r="S224">
            <v>1</v>
          </cell>
          <cell r="T224">
            <v>0</v>
          </cell>
          <cell r="U224">
            <v>0</v>
          </cell>
          <cell r="V224">
            <v>2</v>
          </cell>
          <cell r="W224">
            <v>1</v>
          </cell>
          <cell r="X224">
            <v>1</v>
          </cell>
          <cell r="Y224" t="str">
            <v/>
          </cell>
          <cell r="Z224" t="str">
            <v/>
          </cell>
          <cell r="AA224">
            <v>6</v>
          </cell>
          <cell r="AB224">
            <v>1</v>
          </cell>
          <cell r="AC224">
            <v>5</v>
          </cell>
          <cell r="AD224"/>
          <cell r="AE224">
            <v>0</v>
          </cell>
          <cell r="AF224">
            <v>6</v>
          </cell>
          <cell r="AG224">
            <v>0</v>
          </cell>
          <cell r="AH224">
            <v>4</v>
          </cell>
          <cell r="AI224">
            <v>0</v>
          </cell>
          <cell r="AJ224">
            <v>2</v>
          </cell>
          <cell r="AK224">
            <v>3.8333333333333335</v>
          </cell>
        </row>
        <row r="225">
          <cell r="A225">
            <v>77262</v>
          </cell>
          <cell r="B225" t="str">
            <v>Sim</v>
          </cell>
          <cell r="C225" t="str">
            <v>Cabo de Freio</v>
          </cell>
          <cell r="D225" t="str">
            <v>MundiFlex</v>
          </cell>
          <cell r="E225">
            <v>6</v>
          </cell>
          <cell r="F225" t="str">
            <v>Cabo Freio Tras Esquerdo Prisma 2006 Em Diante Com Conector</v>
          </cell>
          <cell r="G225"/>
          <cell r="H225">
            <v>5</v>
          </cell>
          <cell r="I225">
            <v>2</v>
          </cell>
          <cell r="J225">
            <v>1</v>
          </cell>
          <cell r="K225">
            <v>1</v>
          </cell>
          <cell r="L225" t="str">
            <v/>
          </cell>
          <cell r="M225">
            <v>5</v>
          </cell>
          <cell r="N225">
            <v>1</v>
          </cell>
          <cell r="O225">
            <v>4</v>
          </cell>
          <cell r="P225" t="str">
            <v/>
          </cell>
          <cell r="Q225">
            <v>3</v>
          </cell>
          <cell r="R225" t="str">
            <v>0</v>
          </cell>
          <cell r="S225">
            <v>3</v>
          </cell>
          <cell r="T225">
            <v>0</v>
          </cell>
          <cell r="U225">
            <v>0</v>
          </cell>
          <cell r="V225">
            <v>8</v>
          </cell>
          <cell r="W225">
            <v>1</v>
          </cell>
          <cell r="X225">
            <v>7</v>
          </cell>
          <cell r="Y225" t="str">
            <v/>
          </cell>
          <cell r="Z225" t="str">
            <v/>
          </cell>
          <cell r="AA225">
            <v>5</v>
          </cell>
          <cell r="AB225">
            <v>1</v>
          </cell>
          <cell r="AC225">
            <v>4</v>
          </cell>
          <cell r="AD225"/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3.8333333333333335</v>
          </cell>
        </row>
        <row r="226">
          <cell r="A226">
            <v>77261</v>
          </cell>
          <cell r="B226" t="str">
            <v>Sim</v>
          </cell>
          <cell r="C226" t="str">
            <v>Cabo de Freio</v>
          </cell>
          <cell r="D226" t="str">
            <v>MundiFlex</v>
          </cell>
          <cell r="E226">
            <v>6</v>
          </cell>
          <cell r="F226" t="str">
            <v>Cabo De Freio Traseira Lado Direito Celta 2001 Em Diante</v>
          </cell>
          <cell r="G226"/>
          <cell r="H226">
            <v>5</v>
          </cell>
          <cell r="I226">
            <v>1</v>
          </cell>
          <cell r="J226">
            <v>1</v>
          </cell>
          <cell r="K226" t="str">
            <v/>
          </cell>
          <cell r="L226" t="str">
            <v/>
          </cell>
          <cell r="M226">
            <v>4</v>
          </cell>
          <cell r="N226" t="str">
            <v/>
          </cell>
          <cell r="O226">
            <v>4</v>
          </cell>
          <cell r="P226" t="str">
            <v/>
          </cell>
          <cell r="Q226">
            <v>3</v>
          </cell>
          <cell r="R226" t="str">
            <v>0</v>
          </cell>
          <cell r="S226">
            <v>3</v>
          </cell>
          <cell r="T226">
            <v>0</v>
          </cell>
          <cell r="U226">
            <v>0</v>
          </cell>
          <cell r="V226">
            <v>10</v>
          </cell>
          <cell r="W226">
            <v>3</v>
          </cell>
          <cell r="X226">
            <v>7</v>
          </cell>
          <cell r="Y226" t="str">
            <v/>
          </cell>
          <cell r="Z226" t="str">
            <v/>
          </cell>
          <cell r="AA226">
            <v>4</v>
          </cell>
          <cell r="AB226">
            <v>0</v>
          </cell>
          <cell r="AC226">
            <v>4</v>
          </cell>
          <cell r="AD226"/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3.8333333333333335</v>
          </cell>
        </row>
        <row r="227">
          <cell r="A227">
            <v>442057</v>
          </cell>
          <cell r="B227" t="str">
            <v>Sim</v>
          </cell>
          <cell r="C227" t="str">
            <v>Bandeja</v>
          </cell>
          <cell r="D227" t="str">
            <v>SPARE</v>
          </cell>
          <cell r="E227">
            <v>2</v>
          </cell>
          <cell r="F227" t="str">
            <v>Bandeja Inferior Esquerdo Sem Pivô Audi 80 Ano 1981 A 1991</v>
          </cell>
          <cell r="G227"/>
          <cell r="H227">
            <v>7</v>
          </cell>
          <cell r="I227">
            <v>6</v>
          </cell>
          <cell r="J227">
            <v>6</v>
          </cell>
          <cell r="K227" t="str">
            <v/>
          </cell>
          <cell r="L227" t="str">
            <v/>
          </cell>
          <cell r="M227">
            <v>3</v>
          </cell>
          <cell r="N227" t="str">
            <v/>
          </cell>
          <cell r="O227">
            <v>3</v>
          </cell>
          <cell r="P227" t="str">
            <v/>
          </cell>
          <cell r="Q227">
            <v>2</v>
          </cell>
          <cell r="R227" t="str">
            <v>0</v>
          </cell>
          <cell r="S227">
            <v>2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1</v>
          </cell>
          <cell r="Y227" t="str">
            <v/>
          </cell>
          <cell r="Z227" t="str">
            <v/>
          </cell>
          <cell r="AA227">
            <v>5</v>
          </cell>
          <cell r="AB227">
            <v>0</v>
          </cell>
          <cell r="AC227">
            <v>5</v>
          </cell>
          <cell r="AD227"/>
          <cell r="AE227">
            <v>0</v>
          </cell>
          <cell r="AF227">
            <v>3</v>
          </cell>
          <cell r="AG227">
            <v>0</v>
          </cell>
          <cell r="AH227">
            <v>3</v>
          </cell>
          <cell r="AI227">
            <v>0</v>
          </cell>
          <cell r="AJ227">
            <v>0</v>
          </cell>
          <cell r="AK227">
            <v>3.6666666666666665</v>
          </cell>
        </row>
        <row r="228">
          <cell r="A228">
            <v>2357</v>
          </cell>
          <cell r="B228" t="str">
            <v>Sim</v>
          </cell>
          <cell r="C228" t="str">
            <v>Suporte Radiador</v>
          </cell>
          <cell r="D228" t="str">
            <v>LT CORREA</v>
          </cell>
          <cell r="E228">
            <v>3</v>
          </cell>
          <cell r="F228" t="str">
            <v>Suporte Coxin Radiador Esquerdo Corsa Frente Montana 2002/12</v>
          </cell>
          <cell r="G228"/>
          <cell r="H228">
            <v>3</v>
          </cell>
          <cell r="I228">
            <v>6</v>
          </cell>
          <cell r="J228">
            <v>0</v>
          </cell>
          <cell r="K228">
            <v>6</v>
          </cell>
          <cell r="L228" t="str">
            <v/>
          </cell>
          <cell r="M228">
            <v>8</v>
          </cell>
          <cell r="N228">
            <v>4</v>
          </cell>
          <cell r="O228">
            <v>4</v>
          </cell>
          <cell r="P228" t="str">
            <v/>
          </cell>
          <cell r="Q228">
            <v>1</v>
          </cell>
          <cell r="R228" t="str">
            <v>0</v>
          </cell>
          <cell r="S228">
            <v>1</v>
          </cell>
          <cell r="T228">
            <v>0</v>
          </cell>
          <cell r="U228">
            <v>0</v>
          </cell>
          <cell r="V228">
            <v>3</v>
          </cell>
          <cell r="W228">
            <v>2</v>
          </cell>
          <cell r="X228">
            <v>1</v>
          </cell>
          <cell r="Y228" t="str">
            <v/>
          </cell>
          <cell r="Z228" t="str">
            <v/>
          </cell>
          <cell r="AA228">
            <v>3</v>
          </cell>
          <cell r="AB228">
            <v>2</v>
          </cell>
          <cell r="AC228">
            <v>1</v>
          </cell>
          <cell r="AD228"/>
          <cell r="AE228">
            <v>0</v>
          </cell>
          <cell r="AF228">
            <v>1</v>
          </cell>
          <cell r="AG228">
            <v>0</v>
          </cell>
          <cell r="AH228">
            <v>1</v>
          </cell>
          <cell r="AI228">
            <v>0</v>
          </cell>
          <cell r="AJ228">
            <v>0</v>
          </cell>
          <cell r="AK228">
            <v>3.6666666666666665</v>
          </cell>
        </row>
        <row r="229">
          <cell r="A229">
            <v>8106</v>
          </cell>
          <cell r="B229"/>
          <cell r="C229" t="str">
            <v>Bieleta</v>
          </cell>
          <cell r="D229" t="str">
            <v>HOLYMAN</v>
          </cell>
          <cell r="E229">
            <v>5</v>
          </cell>
          <cell r="F229" t="str">
            <v>Bieleta Traseira Ambos Lados Chery Cielo 2008 A 2013</v>
          </cell>
          <cell r="G229"/>
          <cell r="H229">
            <v>4</v>
          </cell>
          <cell r="I229">
            <v>4</v>
          </cell>
          <cell r="J229">
            <v>4</v>
          </cell>
          <cell r="K229" t="str">
            <v/>
          </cell>
          <cell r="L229" t="str">
            <v/>
          </cell>
          <cell r="M229">
            <v>0</v>
          </cell>
          <cell r="N229" t="str">
            <v/>
          </cell>
          <cell r="O229">
            <v>0</v>
          </cell>
          <cell r="P229" t="str">
            <v/>
          </cell>
          <cell r="Q229">
            <v>6</v>
          </cell>
          <cell r="R229" t="str">
            <v>0</v>
          </cell>
          <cell r="S229">
            <v>6</v>
          </cell>
          <cell r="T229">
            <v>0</v>
          </cell>
          <cell r="U229">
            <v>0</v>
          </cell>
          <cell r="V229">
            <v>8</v>
          </cell>
          <cell r="W229">
            <v>0</v>
          </cell>
          <cell r="X229">
            <v>8</v>
          </cell>
          <cell r="Y229" t="str">
            <v/>
          </cell>
          <cell r="Z229" t="str">
            <v/>
          </cell>
          <cell r="AA229">
            <v>4</v>
          </cell>
          <cell r="AB229">
            <v>0</v>
          </cell>
          <cell r="AC229">
            <v>4</v>
          </cell>
          <cell r="AD229"/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3.6666666666666665</v>
          </cell>
        </row>
        <row r="230">
          <cell r="A230">
            <v>66507</v>
          </cell>
          <cell r="B230" t="str">
            <v>Sim</v>
          </cell>
          <cell r="C230" t="str">
            <v>Cabo de Capô</v>
          </cell>
          <cell r="D230" t="str">
            <v>MundiFlex</v>
          </cell>
          <cell r="E230">
            <v>6</v>
          </cell>
          <cell r="F230" t="str">
            <v>Cabo De Capô Com Alavanca 1575mm Siena 1998 A 2000</v>
          </cell>
          <cell r="G230"/>
          <cell r="H230">
            <v>7</v>
          </cell>
          <cell r="I230">
            <v>2</v>
          </cell>
          <cell r="J230" t="str">
            <v/>
          </cell>
          <cell r="K230">
            <v>2</v>
          </cell>
          <cell r="L230" t="str">
            <v/>
          </cell>
          <cell r="M230">
            <v>2</v>
          </cell>
          <cell r="N230">
            <v>2</v>
          </cell>
          <cell r="O230" t="str">
            <v/>
          </cell>
          <cell r="P230" t="str">
            <v/>
          </cell>
          <cell r="Q230">
            <v>7</v>
          </cell>
          <cell r="R230">
            <v>7</v>
          </cell>
          <cell r="S230" t="str">
            <v>0</v>
          </cell>
          <cell r="T230">
            <v>0</v>
          </cell>
          <cell r="U230">
            <v>0</v>
          </cell>
          <cell r="V230">
            <v>4</v>
          </cell>
          <cell r="W230">
            <v>4</v>
          </cell>
          <cell r="X230" t="str">
            <v/>
          </cell>
          <cell r="Y230" t="str">
            <v/>
          </cell>
          <cell r="Z230" t="str">
            <v/>
          </cell>
          <cell r="AA230">
            <v>3</v>
          </cell>
          <cell r="AB230">
            <v>3</v>
          </cell>
          <cell r="AC230">
            <v>0</v>
          </cell>
          <cell r="AD230"/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3.6666666666666665</v>
          </cell>
        </row>
        <row r="231">
          <cell r="A231">
            <v>442092</v>
          </cell>
          <cell r="B231" t="str">
            <v>Sim</v>
          </cell>
          <cell r="C231" t="str">
            <v>Bandeja</v>
          </cell>
          <cell r="D231" t="str">
            <v>SPARE</v>
          </cell>
          <cell r="E231">
            <v>2</v>
          </cell>
          <cell r="F231" t="str">
            <v>Bandeja Ld Voyage G5 2008 Em Diante Com Direção Hidraulica</v>
          </cell>
          <cell r="G231"/>
          <cell r="H231">
            <v>4</v>
          </cell>
          <cell r="I231">
            <v>3</v>
          </cell>
          <cell r="J231">
            <v>0</v>
          </cell>
          <cell r="K231">
            <v>3</v>
          </cell>
          <cell r="L231" t="str">
            <v/>
          </cell>
          <cell r="M231">
            <v>2</v>
          </cell>
          <cell r="N231">
            <v>2</v>
          </cell>
          <cell r="O231">
            <v>0</v>
          </cell>
          <cell r="P231" t="str">
            <v/>
          </cell>
          <cell r="Q231">
            <v>0</v>
          </cell>
          <cell r="R231" t="str">
            <v>0</v>
          </cell>
          <cell r="S231">
            <v>0</v>
          </cell>
          <cell r="T231">
            <v>0</v>
          </cell>
          <cell r="U231">
            <v>0</v>
          </cell>
          <cell r="V231">
            <v>7</v>
          </cell>
          <cell r="W231">
            <v>7</v>
          </cell>
          <cell r="X231" t="str">
            <v/>
          </cell>
          <cell r="Y231" t="str">
            <v/>
          </cell>
          <cell r="Z231" t="str">
            <v/>
          </cell>
          <cell r="AA231">
            <v>5</v>
          </cell>
          <cell r="AB231">
            <v>5</v>
          </cell>
          <cell r="AC231">
            <v>0</v>
          </cell>
          <cell r="AD231"/>
          <cell r="AE231">
            <v>0</v>
          </cell>
          <cell r="AF231">
            <v>6</v>
          </cell>
          <cell r="AG231">
            <v>4</v>
          </cell>
          <cell r="AH231">
            <v>0</v>
          </cell>
          <cell r="AI231">
            <v>0</v>
          </cell>
          <cell r="AJ231">
            <v>2</v>
          </cell>
          <cell r="AK231">
            <v>3.6666666666666665</v>
          </cell>
        </row>
        <row r="232">
          <cell r="A232">
            <v>112108</v>
          </cell>
          <cell r="B232" t="str">
            <v>Sim</v>
          </cell>
          <cell r="C232" t="str">
            <v>Bandeja</v>
          </cell>
          <cell r="D232" t="str">
            <v>SPARE</v>
          </cell>
          <cell r="E232">
            <v>2</v>
          </cell>
          <cell r="F232" t="str">
            <v>Bandeja Direita Sem Pivô Uno Vivace 2010 Em Diante</v>
          </cell>
          <cell r="G232"/>
          <cell r="H232">
            <v>1</v>
          </cell>
          <cell r="I232">
            <v>0</v>
          </cell>
          <cell r="J232">
            <v>0</v>
          </cell>
          <cell r="K232" t="str">
            <v/>
          </cell>
          <cell r="L232" t="str">
            <v/>
          </cell>
          <cell r="M232">
            <v>2</v>
          </cell>
          <cell r="N232">
            <v>2</v>
          </cell>
          <cell r="O232">
            <v>0</v>
          </cell>
          <cell r="P232" t="str">
            <v/>
          </cell>
          <cell r="Q232">
            <v>6</v>
          </cell>
          <cell r="R232">
            <v>1</v>
          </cell>
          <cell r="S232">
            <v>5</v>
          </cell>
          <cell r="T232">
            <v>0</v>
          </cell>
          <cell r="U232">
            <v>0</v>
          </cell>
          <cell r="V232">
            <v>3</v>
          </cell>
          <cell r="W232">
            <v>0</v>
          </cell>
          <cell r="X232">
            <v>3</v>
          </cell>
          <cell r="Y232" t="str">
            <v/>
          </cell>
          <cell r="Z232" t="str">
            <v/>
          </cell>
          <cell r="AA232">
            <v>3</v>
          </cell>
          <cell r="AB232">
            <v>1</v>
          </cell>
          <cell r="AC232">
            <v>2</v>
          </cell>
          <cell r="AD232"/>
          <cell r="AE232">
            <v>0</v>
          </cell>
          <cell r="AF232">
            <v>9</v>
          </cell>
          <cell r="AG232">
            <v>0</v>
          </cell>
          <cell r="AH232">
            <v>9</v>
          </cell>
          <cell r="AI232">
            <v>0</v>
          </cell>
          <cell r="AJ232">
            <v>0</v>
          </cell>
          <cell r="AK232">
            <v>3.5</v>
          </cell>
        </row>
        <row r="233">
          <cell r="A233">
            <v>332015</v>
          </cell>
          <cell r="B233" t="str">
            <v>Sim</v>
          </cell>
          <cell r="C233" t="str">
            <v>Bandeja</v>
          </cell>
          <cell r="D233" t="str">
            <v>SPARE</v>
          </cell>
          <cell r="E233">
            <v>2</v>
          </cell>
          <cell r="F233" t="str">
            <v>Braço Da Suspensão Esquerdo Celta Sem Pivô 2000 A 2015</v>
          </cell>
          <cell r="G233"/>
          <cell r="H233">
            <v>0</v>
          </cell>
          <cell r="I233">
            <v>0</v>
          </cell>
          <cell r="J233">
            <v>0</v>
          </cell>
          <cell r="K233" t="str">
            <v/>
          </cell>
          <cell r="L233" t="str">
            <v/>
          </cell>
          <cell r="M233">
            <v>1</v>
          </cell>
          <cell r="N233" t="str">
            <v/>
          </cell>
          <cell r="O233">
            <v>1</v>
          </cell>
          <cell r="P233" t="str">
            <v/>
          </cell>
          <cell r="Q233">
            <v>2</v>
          </cell>
          <cell r="R233" t="str">
            <v>0</v>
          </cell>
          <cell r="S233">
            <v>2</v>
          </cell>
          <cell r="T233">
            <v>0</v>
          </cell>
          <cell r="U233">
            <v>0</v>
          </cell>
          <cell r="V233">
            <v>11</v>
          </cell>
          <cell r="W233">
            <v>0</v>
          </cell>
          <cell r="X233">
            <v>11</v>
          </cell>
          <cell r="Y233" t="str">
            <v/>
          </cell>
          <cell r="Z233" t="str">
            <v/>
          </cell>
          <cell r="AA233">
            <v>10</v>
          </cell>
          <cell r="AB233">
            <v>0</v>
          </cell>
          <cell r="AC233">
            <v>10</v>
          </cell>
          <cell r="AD233"/>
          <cell r="AE233">
            <v>0</v>
          </cell>
          <cell r="AF233">
            <v>7</v>
          </cell>
          <cell r="AG233">
            <v>0</v>
          </cell>
          <cell r="AH233">
            <v>7</v>
          </cell>
          <cell r="AI233">
            <v>0</v>
          </cell>
          <cell r="AJ233">
            <v>0</v>
          </cell>
          <cell r="AK233">
            <v>3.5</v>
          </cell>
        </row>
        <row r="234">
          <cell r="A234">
            <v>332014</v>
          </cell>
          <cell r="B234" t="str">
            <v>Sim</v>
          </cell>
          <cell r="C234" t="str">
            <v>Bandeja</v>
          </cell>
          <cell r="D234" t="str">
            <v>SPARE</v>
          </cell>
          <cell r="E234">
            <v>2</v>
          </cell>
          <cell r="F234" t="str">
            <v>Braço Da Suspensão  Corsa Classic Sem Pivô 98 A 2016</v>
          </cell>
          <cell r="G234"/>
          <cell r="H234">
            <v>0</v>
          </cell>
          <cell r="I234">
            <v>0</v>
          </cell>
          <cell r="J234">
            <v>0</v>
          </cell>
          <cell r="K234" t="str">
            <v/>
          </cell>
          <cell r="L234" t="str">
            <v/>
          </cell>
          <cell r="M234">
            <v>1</v>
          </cell>
          <cell r="N234" t="str">
            <v/>
          </cell>
          <cell r="O234">
            <v>1</v>
          </cell>
          <cell r="P234" t="str">
            <v/>
          </cell>
          <cell r="Q234">
            <v>2</v>
          </cell>
          <cell r="R234" t="str">
            <v>0</v>
          </cell>
          <cell r="S234">
            <v>2</v>
          </cell>
          <cell r="T234">
            <v>0</v>
          </cell>
          <cell r="U234">
            <v>0</v>
          </cell>
          <cell r="V234">
            <v>11</v>
          </cell>
          <cell r="W234">
            <v>0</v>
          </cell>
          <cell r="X234">
            <v>11</v>
          </cell>
          <cell r="Y234" t="str">
            <v/>
          </cell>
          <cell r="Z234" t="str">
            <v/>
          </cell>
          <cell r="AA234">
            <v>10</v>
          </cell>
          <cell r="AB234">
            <v>0</v>
          </cell>
          <cell r="AC234">
            <v>10</v>
          </cell>
          <cell r="AD234"/>
          <cell r="AE234">
            <v>0</v>
          </cell>
          <cell r="AF234">
            <v>7</v>
          </cell>
          <cell r="AG234">
            <v>0</v>
          </cell>
          <cell r="AH234">
            <v>7</v>
          </cell>
          <cell r="AI234">
            <v>0</v>
          </cell>
          <cell r="AJ234">
            <v>0</v>
          </cell>
          <cell r="AK234">
            <v>3.5</v>
          </cell>
        </row>
        <row r="235">
          <cell r="A235">
            <v>13121</v>
          </cell>
          <cell r="B235" t="str">
            <v>Sim</v>
          </cell>
          <cell r="C235" t="str">
            <v>Pino de Freio</v>
          </cell>
          <cell r="D235" t="str">
            <v>MultiKit</v>
          </cell>
          <cell r="E235">
            <v>4</v>
          </cell>
          <cell r="F235" t="str">
            <v>Reparo Pino Guia Pinça De Freio Del Rey 1986 Até1991</v>
          </cell>
          <cell r="G235"/>
          <cell r="H235">
            <v>4</v>
          </cell>
          <cell r="I235">
            <v>2</v>
          </cell>
          <cell r="J235">
            <v>2</v>
          </cell>
          <cell r="K235" t="str">
            <v/>
          </cell>
          <cell r="L235" t="str">
            <v/>
          </cell>
          <cell r="M235">
            <v>5</v>
          </cell>
          <cell r="N235">
            <v>3</v>
          </cell>
          <cell r="O235">
            <v>2</v>
          </cell>
          <cell r="P235" t="str">
            <v/>
          </cell>
          <cell r="Q235">
            <v>4</v>
          </cell>
          <cell r="R235" t="str">
            <v>0</v>
          </cell>
          <cell r="S235">
            <v>4</v>
          </cell>
          <cell r="T235">
            <v>0</v>
          </cell>
          <cell r="U235">
            <v>0</v>
          </cell>
          <cell r="V235">
            <v>4</v>
          </cell>
          <cell r="W235">
            <v>0</v>
          </cell>
          <cell r="X235">
            <v>4</v>
          </cell>
          <cell r="Y235" t="str">
            <v/>
          </cell>
          <cell r="Z235" t="str">
            <v/>
          </cell>
          <cell r="AA235">
            <v>7</v>
          </cell>
          <cell r="AB235">
            <v>1</v>
          </cell>
          <cell r="AC235">
            <v>6</v>
          </cell>
          <cell r="AD235"/>
          <cell r="AE235">
            <v>0</v>
          </cell>
          <cell r="AF235">
            <v>2</v>
          </cell>
          <cell r="AG235">
            <v>0</v>
          </cell>
          <cell r="AH235">
            <v>2</v>
          </cell>
          <cell r="AI235">
            <v>0</v>
          </cell>
          <cell r="AJ235">
            <v>0</v>
          </cell>
          <cell r="AK235">
            <v>3.5</v>
          </cell>
        </row>
        <row r="236">
          <cell r="A236">
            <v>2312</v>
          </cell>
          <cell r="B236" t="str">
            <v>Sim</v>
          </cell>
          <cell r="C236" t="str">
            <v>Reparo alavanta Câmbio</v>
          </cell>
          <cell r="D236" t="str">
            <v>LT CORREA</v>
          </cell>
          <cell r="E236">
            <v>3</v>
          </cell>
          <cell r="F236" t="str">
            <v>Reparo Bucha Cabo Marcha Zafira A Partir De 2006 Até 2012</v>
          </cell>
          <cell r="G236"/>
          <cell r="H236">
            <v>2</v>
          </cell>
          <cell r="I236">
            <v>2</v>
          </cell>
          <cell r="J236" t="str">
            <v/>
          </cell>
          <cell r="K236">
            <v>2</v>
          </cell>
          <cell r="L236" t="str">
            <v/>
          </cell>
          <cell r="M236">
            <v>7</v>
          </cell>
          <cell r="N236">
            <v>7</v>
          </cell>
          <cell r="O236" t="str">
            <v/>
          </cell>
          <cell r="P236" t="str">
            <v/>
          </cell>
          <cell r="Q236">
            <v>6</v>
          </cell>
          <cell r="R236">
            <v>6</v>
          </cell>
          <cell r="S236" t="str">
            <v>0</v>
          </cell>
          <cell r="T236">
            <v>0</v>
          </cell>
          <cell r="U236">
            <v>0</v>
          </cell>
          <cell r="V236">
            <v>4</v>
          </cell>
          <cell r="W236">
            <v>4</v>
          </cell>
          <cell r="X236" t="str">
            <v/>
          </cell>
          <cell r="Y236" t="str">
            <v/>
          </cell>
          <cell r="Z236" t="str">
            <v/>
          </cell>
          <cell r="AA236">
            <v>1</v>
          </cell>
          <cell r="AB236">
            <v>1</v>
          </cell>
          <cell r="AC236">
            <v>0</v>
          </cell>
          <cell r="AD236"/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3.5</v>
          </cell>
        </row>
        <row r="237">
          <cell r="A237">
            <v>11418</v>
          </cell>
          <cell r="B237"/>
          <cell r="C237" t="str">
            <v>Pastilha de Freio</v>
          </cell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>
            <v>7</v>
          </cell>
          <cell r="W237">
            <v>7</v>
          </cell>
          <cell r="X237" t="str">
            <v/>
          </cell>
          <cell r="Y237" t="str">
            <v/>
          </cell>
          <cell r="Z237" t="str">
            <v/>
          </cell>
          <cell r="AA237">
            <v>0</v>
          </cell>
          <cell r="AB237">
            <v>0</v>
          </cell>
          <cell r="AC237">
            <v>0</v>
          </cell>
          <cell r="AD237"/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3.5</v>
          </cell>
        </row>
        <row r="238">
          <cell r="A238">
            <v>2360</v>
          </cell>
          <cell r="B238" t="str">
            <v>Sim</v>
          </cell>
          <cell r="C238" t="str">
            <v>Suporte Radiador</v>
          </cell>
          <cell r="D238" t="str">
            <v>LT CORREA</v>
          </cell>
          <cell r="E238">
            <v>3</v>
          </cell>
          <cell r="F238" t="str">
            <v>Suporte Radiador Lado Motorista - Corsa Sedan 1.6 - 1999</v>
          </cell>
          <cell r="G238"/>
          <cell r="H238">
            <v>0</v>
          </cell>
          <cell r="I238">
            <v>3</v>
          </cell>
          <cell r="J238" t="str">
            <v/>
          </cell>
          <cell r="K238">
            <v>3</v>
          </cell>
          <cell r="L238" t="str">
            <v/>
          </cell>
          <cell r="M238">
            <v>3</v>
          </cell>
          <cell r="N238">
            <v>3</v>
          </cell>
          <cell r="O238" t="str">
            <v/>
          </cell>
          <cell r="P238" t="str">
            <v/>
          </cell>
          <cell r="Q238">
            <v>5</v>
          </cell>
          <cell r="R238">
            <v>5</v>
          </cell>
          <cell r="S238" t="str">
            <v>0</v>
          </cell>
          <cell r="T238">
            <v>0</v>
          </cell>
          <cell r="U238">
            <v>0</v>
          </cell>
          <cell r="V238">
            <v>6</v>
          </cell>
          <cell r="W238">
            <v>6</v>
          </cell>
          <cell r="X238" t="str">
            <v/>
          </cell>
          <cell r="Y238" t="str">
            <v/>
          </cell>
          <cell r="Z238" t="str">
            <v/>
          </cell>
          <cell r="AA238">
            <v>4</v>
          </cell>
          <cell r="AB238">
            <v>4</v>
          </cell>
          <cell r="AC238">
            <v>0</v>
          </cell>
          <cell r="AD238"/>
          <cell r="AE238">
            <v>0</v>
          </cell>
          <cell r="AF238">
            <v>4</v>
          </cell>
          <cell r="AG238">
            <v>4</v>
          </cell>
          <cell r="AH238">
            <v>0</v>
          </cell>
          <cell r="AI238">
            <v>0</v>
          </cell>
          <cell r="AJ238">
            <v>0</v>
          </cell>
          <cell r="AK238">
            <v>3.5</v>
          </cell>
        </row>
        <row r="239">
          <cell r="A239">
            <v>772057</v>
          </cell>
          <cell r="B239" t="str">
            <v>Sim</v>
          </cell>
          <cell r="C239" t="str">
            <v>Bandeja</v>
          </cell>
          <cell r="D239" t="str">
            <v>SPARE</v>
          </cell>
          <cell r="E239">
            <v>2</v>
          </cell>
          <cell r="F239" t="str">
            <v>Bandeja Esquerda Inferior Com Pivô I30 2008 A 2012</v>
          </cell>
          <cell r="G239"/>
          <cell r="H239">
            <v>3</v>
          </cell>
          <cell r="I239">
            <v>5</v>
          </cell>
          <cell r="J239">
            <v>3</v>
          </cell>
          <cell r="K239">
            <v>2</v>
          </cell>
          <cell r="L239" t="str">
            <v/>
          </cell>
          <cell r="M239">
            <v>2</v>
          </cell>
          <cell r="N239">
            <v>1</v>
          </cell>
          <cell r="O239">
            <v>1</v>
          </cell>
          <cell r="P239" t="str">
            <v/>
          </cell>
          <cell r="Q239">
            <v>1</v>
          </cell>
          <cell r="R239" t="str">
            <v>0</v>
          </cell>
          <cell r="S239">
            <v>1</v>
          </cell>
          <cell r="T239">
            <v>0</v>
          </cell>
          <cell r="U239">
            <v>0</v>
          </cell>
          <cell r="V239">
            <v>4</v>
          </cell>
          <cell r="W239">
            <v>3</v>
          </cell>
          <cell r="X239">
            <v>1</v>
          </cell>
          <cell r="Y239" t="str">
            <v/>
          </cell>
          <cell r="Z239" t="str">
            <v/>
          </cell>
          <cell r="AA239">
            <v>7</v>
          </cell>
          <cell r="AB239">
            <v>2</v>
          </cell>
          <cell r="AC239">
            <v>5</v>
          </cell>
          <cell r="AD239"/>
          <cell r="AE239">
            <v>0</v>
          </cell>
          <cell r="AF239">
            <v>5</v>
          </cell>
          <cell r="AG239">
            <v>0</v>
          </cell>
          <cell r="AH239">
            <v>4</v>
          </cell>
          <cell r="AI239">
            <v>0</v>
          </cell>
          <cell r="AJ239">
            <v>1</v>
          </cell>
          <cell r="AK239">
            <v>3.3333333333333335</v>
          </cell>
        </row>
        <row r="240">
          <cell r="A240" t="str">
            <v>FTK11019</v>
          </cell>
          <cell r="B240" t="str">
            <v>Sim</v>
          </cell>
          <cell r="C240" t="str">
            <v>Pivô</v>
          </cell>
          <cell r="D240" t="str">
            <v>SPARE</v>
          </cell>
          <cell r="E240">
            <v>2</v>
          </cell>
          <cell r="F240" t="str">
            <v>Pivô Bandeja Inferior Dianteira Ambos Os Lados Van 98 À 02</v>
          </cell>
          <cell r="G240"/>
          <cell r="H240">
            <v>8</v>
          </cell>
          <cell r="I240">
            <v>2</v>
          </cell>
          <cell r="J240">
            <v>2</v>
          </cell>
          <cell r="K240" t="str">
            <v/>
          </cell>
          <cell r="L240" t="str">
            <v/>
          </cell>
          <cell r="M240">
            <v>4</v>
          </cell>
          <cell r="N240" t="str">
            <v/>
          </cell>
          <cell r="O240">
            <v>4</v>
          </cell>
          <cell r="P240" t="str">
            <v/>
          </cell>
          <cell r="Q240">
            <v>0</v>
          </cell>
          <cell r="R240" t="str">
            <v>0</v>
          </cell>
          <cell r="S240">
            <v>0</v>
          </cell>
          <cell r="T240">
            <v>0</v>
          </cell>
          <cell r="U240">
            <v>0</v>
          </cell>
          <cell r="V240">
            <v>4</v>
          </cell>
          <cell r="W240">
            <v>0</v>
          </cell>
          <cell r="X240">
            <v>4</v>
          </cell>
          <cell r="Y240" t="str">
            <v/>
          </cell>
          <cell r="Z240" t="str">
            <v/>
          </cell>
          <cell r="AA240">
            <v>0</v>
          </cell>
          <cell r="AB240">
            <v>0</v>
          </cell>
          <cell r="AC240">
            <v>0</v>
          </cell>
          <cell r="AD240"/>
          <cell r="AE240">
            <v>0</v>
          </cell>
          <cell r="AF240">
            <v>2</v>
          </cell>
          <cell r="AG240">
            <v>0</v>
          </cell>
          <cell r="AH240">
            <v>2</v>
          </cell>
          <cell r="AI240">
            <v>0</v>
          </cell>
          <cell r="AJ240">
            <v>0</v>
          </cell>
          <cell r="AK240">
            <v>3.3333333333333335</v>
          </cell>
        </row>
        <row r="241">
          <cell r="A241" t="str">
            <v>112005B</v>
          </cell>
          <cell r="B241" t="str">
            <v>Sim</v>
          </cell>
          <cell r="C241" t="str">
            <v>Bandeja</v>
          </cell>
          <cell r="D241" t="str">
            <v>SPARE</v>
          </cell>
          <cell r="E241">
            <v>2</v>
          </cell>
          <cell r="F241" t="str">
            <v>Bracinho Oscilante Com Pivô Fiat Uno 1986 A 1996</v>
          </cell>
          <cell r="G241"/>
          <cell r="H241">
            <v>12</v>
          </cell>
          <cell r="I241">
            <v>3</v>
          </cell>
          <cell r="J241" t="str">
            <v/>
          </cell>
          <cell r="K241">
            <v>3</v>
          </cell>
          <cell r="L241" t="str">
            <v/>
          </cell>
          <cell r="M241">
            <v>2</v>
          </cell>
          <cell r="N241">
            <v>2</v>
          </cell>
          <cell r="O241" t="str">
            <v/>
          </cell>
          <cell r="P241" t="str">
            <v/>
          </cell>
          <cell r="Q241">
            <v>3</v>
          </cell>
          <cell r="R241">
            <v>3</v>
          </cell>
          <cell r="S241" t="str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 t="str">
            <v/>
          </cell>
          <cell r="Y241" t="str">
            <v/>
          </cell>
          <cell r="Z241" t="str">
            <v/>
          </cell>
          <cell r="AA241">
            <v>0</v>
          </cell>
          <cell r="AB241">
            <v>0</v>
          </cell>
          <cell r="AC241">
            <v>0</v>
          </cell>
          <cell r="AD241"/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3.3333333333333335</v>
          </cell>
        </row>
        <row r="242">
          <cell r="A242" t="str">
            <v>CCA0031</v>
          </cell>
          <cell r="B242"/>
          <cell r="C242" t="str">
            <v>Cabo Moto</v>
          </cell>
          <cell r="D242" t="str">
            <v>POLO</v>
          </cell>
          <cell r="E242">
            <v>7</v>
          </cell>
          <cell r="F242" t="str">
            <v xml:space="preserve">CCA0031 CABO ACELERADOR HONDA CG 150 TITAN 08&gt;  </v>
          </cell>
          <cell r="G242"/>
          <cell r="H242" t="str">
            <v>-</v>
          </cell>
          <cell r="I242"/>
          <cell r="J242"/>
          <cell r="K242"/>
          <cell r="L242"/>
          <cell r="M242"/>
          <cell r="N242"/>
          <cell r="O242"/>
          <cell r="P242"/>
          <cell r="Q242">
            <v>10</v>
          </cell>
          <cell r="R242"/>
          <cell r="S242"/>
          <cell r="T242"/>
          <cell r="U242">
            <v>10</v>
          </cell>
          <cell r="V242">
            <v>0</v>
          </cell>
          <cell r="W242">
            <v>0</v>
          </cell>
          <cell r="X242" t="str">
            <v/>
          </cell>
          <cell r="Y242" t="str">
            <v/>
          </cell>
          <cell r="Z242" t="str">
            <v/>
          </cell>
          <cell r="AA242">
            <v>0</v>
          </cell>
          <cell r="AB242">
            <v>0</v>
          </cell>
          <cell r="AC242">
            <v>0</v>
          </cell>
          <cell r="AD242"/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3.3333333333333335</v>
          </cell>
        </row>
        <row r="243">
          <cell r="A243" t="str">
            <v>CCE0045</v>
          </cell>
          <cell r="B243"/>
          <cell r="C243" t="str">
            <v>Cabo Moto</v>
          </cell>
          <cell r="D243" t="str">
            <v>POLO</v>
          </cell>
          <cell r="E243">
            <v>7</v>
          </cell>
          <cell r="F243" t="str">
            <v xml:space="preserve">CCE0045 CABO EMBREAGEM HONDA CG 150 TITAN ES/KS 08&gt;  </v>
          </cell>
          <cell r="G243"/>
          <cell r="H243" t="str">
            <v>-</v>
          </cell>
          <cell r="I243"/>
          <cell r="J243"/>
          <cell r="K243"/>
          <cell r="L243"/>
          <cell r="M243"/>
          <cell r="N243"/>
          <cell r="O243"/>
          <cell r="P243"/>
          <cell r="Q243">
            <v>10</v>
          </cell>
          <cell r="R243"/>
          <cell r="S243"/>
          <cell r="T243"/>
          <cell r="U243">
            <v>10</v>
          </cell>
          <cell r="V243">
            <v>0</v>
          </cell>
          <cell r="W243">
            <v>0</v>
          </cell>
          <cell r="X243" t="str">
            <v/>
          </cell>
          <cell r="Y243" t="str">
            <v/>
          </cell>
          <cell r="Z243" t="str">
            <v/>
          </cell>
          <cell r="AA243">
            <v>0</v>
          </cell>
          <cell r="AB243">
            <v>0</v>
          </cell>
          <cell r="AC243">
            <v>0</v>
          </cell>
          <cell r="AD243"/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3.3333333333333335</v>
          </cell>
        </row>
        <row r="244">
          <cell r="A244" t="str">
            <v>TK0912</v>
          </cell>
          <cell r="B244"/>
          <cell r="C244" t="str">
            <v>Lampada</v>
          </cell>
          <cell r="D244" t="str">
            <v>POLO</v>
          </cell>
          <cell r="E244">
            <v>7</v>
          </cell>
          <cell r="F244" t="str">
            <v xml:space="preserve">TK0912 2821 12V 3W T10 WEDGE ESMAGADA GRANDE  </v>
          </cell>
          <cell r="G244"/>
          <cell r="H244" t="str">
            <v>-</v>
          </cell>
          <cell r="I244"/>
          <cell r="J244"/>
          <cell r="K244"/>
          <cell r="L244"/>
          <cell r="M244"/>
          <cell r="N244"/>
          <cell r="O244"/>
          <cell r="P244"/>
          <cell r="Q244">
            <v>10</v>
          </cell>
          <cell r="R244"/>
          <cell r="S244"/>
          <cell r="T244"/>
          <cell r="U244">
            <v>10</v>
          </cell>
          <cell r="V244">
            <v>0</v>
          </cell>
          <cell r="W244">
            <v>0</v>
          </cell>
          <cell r="X244" t="str">
            <v/>
          </cell>
          <cell r="Y244" t="str">
            <v/>
          </cell>
          <cell r="Z244" t="str">
            <v/>
          </cell>
          <cell r="AA244">
            <v>0</v>
          </cell>
          <cell r="AB244">
            <v>0</v>
          </cell>
          <cell r="AC244">
            <v>0</v>
          </cell>
          <cell r="AD244"/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3.3333333333333335</v>
          </cell>
        </row>
        <row r="245">
          <cell r="A245" t="str">
            <v>TK1912</v>
          </cell>
          <cell r="B245"/>
          <cell r="C245" t="str">
            <v>Lampada</v>
          </cell>
          <cell r="D245" t="str">
            <v>POLO</v>
          </cell>
          <cell r="E245">
            <v>7</v>
          </cell>
          <cell r="F245" t="str">
            <v xml:space="preserve">TK1912 1156 12V 21W T20 WEDGE 6941  </v>
          </cell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>
            <v>10</v>
          </cell>
          <cell r="R245"/>
          <cell r="S245"/>
          <cell r="T245"/>
          <cell r="U245">
            <v>10</v>
          </cell>
          <cell r="V245">
            <v>0</v>
          </cell>
          <cell r="W245">
            <v>0</v>
          </cell>
          <cell r="X245" t="str">
            <v/>
          </cell>
          <cell r="Y245" t="str">
            <v/>
          </cell>
          <cell r="Z245" t="str">
            <v/>
          </cell>
          <cell r="AA245">
            <v>0</v>
          </cell>
          <cell r="AB245">
            <v>0</v>
          </cell>
          <cell r="AC245">
            <v>0</v>
          </cell>
          <cell r="AD245"/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3.3333333333333335</v>
          </cell>
        </row>
        <row r="246">
          <cell r="A246" t="str">
            <v>TK2124</v>
          </cell>
          <cell r="B246"/>
          <cell r="C246" t="str">
            <v>Lampada</v>
          </cell>
          <cell r="D246" t="str">
            <v>POLO</v>
          </cell>
          <cell r="E246">
            <v>7</v>
          </cell>
          <cell r="F246" t="str">
            <v xml:space="preserve">TK2124 67 12V 5W G18 BA15S  </v>
          </cell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>
            <v>10</v>
          </cell>
          <cell r="R246"/>
          <cell r="S246"/>
          <cell r="T246"/>
          <cell r="U246">
            <v>10</v>
          </cell>
          <cell r="V246">
            <v>0</v>
          </cell>
          <cell r="W246">
            <v>0</v>
          </cell>
          <cell r="X246" t="str">
            <v/>
          </cell>
          <cell r="Y246" t="str">
            <v/>
          </cell>
          <cell r="Z246" t="str">
            <v/>
          </cell>
          <cell r="AA246">
            <v>0</v>
          </cell>
          <cell r="AB246">
            <v>0</v>
          </cell>
          <cell r="AC246">
            <v>0</v>
          </cell>
          <cell r="AD246"/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3.3333333333333335</v>
          </cell>
        </row>
        <row r="247">
          <cell r="A247" t="str">
            <v>TK2130VM</v>
          </cell>
          <cell r="B247"/>
          <cell r="C247" t="str">
            <v>Lampada</v>
          </cell>
          <cell r="D247" t="str">
            <v>POLO</v>
          </cell>
          <cell r="E247">
            <v>7</v>
          </cell>
          <cell r="F247" t="str">
            <v xml:space="preserve">TK2130VM 67 12V 10W G18 BA15S VERMELHO  </v>
          </cell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>
            <v>10</v>
          </cell>
          <cell r="R247"/>
          <cell r="S247"/>
          <cell r="T247"/>
          <cell r="U247">
            <v>10</v>
          </cell>
          <cell r="V247">
            <v>0</v>
          </cell>
          <cell r="W247">
            <v>0</v>
          </cell>
          <cell r="X247" t="str">
            <v/>
          </cell>
          <cell r="Y247" t="str">
            <v/>
          </cell>
          <cell r="Z247" t="str">
            <v/>
          </cell>
          <cell r="AA247">
            <v>0</v>
          </cell>
          <cell r="AB247">
            <v>0</v>
          </cell>
          <cell r="AC247">
            <v>0</v>
          </cell>
          <cell r="AD247"/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3.3333333333333335</v>
          </cell>
        </row>
        <row r="248">
          <cell r="A248" t="str">
            <v>TM982</v>
          </cell>
          <cell r="B248"/>
          <cell r="C248" t="str">
            <v>Rolamento Moto</v>
          </cell>
          <cell r="D248"/>
          <cell r="E248" t="e">
            <v>#N/A</v>
          </cell>
          <cell r="F248" t="str">
            <v xml:space="preserve">Rolamento 6202 TM982 6202 RODA DIANTEIRA CG TITAN 125 - NX 200 / NX 350 SAHARA / NX4 FALCON 400 / XLX 250R / XLX 350 / XR 200  </v>
          </cell>
          <cell r="G248"/>
          <cell r="H248" t="str">
            <v>-</v>
          </cell>
          <cell r="I248"/>
          <cell r="J248"/>
          <cell r="K248"/>
          <cell r="L248"/>
          <cell r="M248"/>
          <cell r="N248"/>
          <cell r="O248"/>
          <cell r="P248"/>
          <cell r="Q248">
            <v>10</v>
          </cell>
          <cell r="R248"/>
          <cell r="S248"/>
          <cell r="T248"/>
          <cell r="U248">
            <v>10</v>
          </cell>
          <cell r="V248">
            <v>0</v>
          </cell>
          <cell r="W248">
            <v>0</v>
          </cell>
          <cell r="X248" t="str">
            <v/>
          </cell>
          <cell r="Y248" t="str">
            <v/>
          </cell>
          <cell r="Z248" t="str">
            <v/>
          </cell>
          <cell r="AA248">
            <v>0</v>
          </cell>
          <cell r="AB248">
            <v>0</v>
          </cell>
          <cell r="AC248">
            <v>0</v>
          </cell>
          <cell r="AD248"/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3.3333333333333335</v>
          </cell>
        </row>
        <row r="249">
          <cell r="A249">
            <v>4081</v>
          </cell>
          <cell r="B249" t="str">
            <v>Sim</v>
          </cell>
          <cell r="C249" t="str">
            <v>Capa pedal</v>
          </cell>
          <cell r="D249" t="str">
            <v>HOLYMAN</v>
          </cell>
          <cell r="E249">
            <v>5</v>
          </cell>
          <cell r="F249" t="str">
            <v>Capa De Pedal Freio Automático Focus 2008 A 2016</v>
          </cell>
          <cell r="G249"/>
          <cell r="H249">
            <v>0</v>
          </cell>
          <cell r="I249">
            <v>0</v>
          </cell>
          <cell r="J249"/>
          <cell r="K249">
            <v>3</v>
          </cell>
          <cell r="L249"/>
          <cell r="M249">
            <v>7</v>
          </cell>
          <cell r="N249">
            <v>7</v>
          </cell>
          <cell r="O249" t="str">
            <v/>
          </cell>
          <cell r="P249" t="str">
            <v/>
          </cell>
          <cell r="Q249">
            <v>3</v>
          </cell>
          <cell r="R249">
            <v>3</v>
          </cell>
          <cell r="S249" t="str">
            <v>0</v>
          </cell>
          <cell r="T249">
            <v>0</v>
          </cell>
          <cell r="U249">
            <v>0</v>
          </cell>
          <cell r="V249">
            <v>3</v>
          </cell>
          <cell r="W249">
            <v>3</v>
          </cell>
          <cell r="X249" t="str">
            <v/>
          </cell>
          <cell r="Y249" t="str">
            <v/>
          </cell>
          <cell r="Z249" t="str">
            <v/>
          </cell>
          <cell r="AA249">
            <v>2</v>
          </cell>
          <cell r="AB249">
            <v>2</v>
          </cell>
          <cell r="AC249">
            <v>0</v>
          </cell>
          <cell r="AD249"/>
          <cell r="AE249">
            <v>0</v>
          </cell>
          <cell r="AF249">
            <v>7</v>
          </cell>
          <cell r="AG249">
            <v>7</v>
          </cell>
          <cell r="AH249">
            <v>0</v>
          </cell>
          <cell r="AI249">
            <v>0</v>
          </cell>
          <cell r="AJ249">
            <v>0</v>
          </cell>
          <cell r="AK249">
            <v>3.3333333333333335</v>
          </cell>
        </row>
        <row r="250">
          <cell r="A250">
            <v>226102</v>
          </cell>
          <cell r="B250" t="str">
            <v>Sim</v>
          </cell>
          <cell r="C250" t="str">
            <v>Cabo de Acelerador</v>
          </cell>
          <cell r="D250" t="str">
            <v>Importação</v>
          </cell>
          <cell r="E250">
            <v>1</v>
          </cell>
          <cell r="F250" t="str">
            <v>Cabo De Acelerador Clio I I Motor 1.0 1.6 16v</v>
          </cell>
          <cell r="G250"/>
          <cell r="H250" t="str">
            <v>-</v>
          </cell>
          <cell r="I250" t="str">
            <v>-</v>
          </cell>
          <cell r="J250"/>
          <cell r="K250"/>
          <cell r="L250"/>
          <cell r="M250">
            <v>1</v>
          </cell>
          <cell r="N250">
            <v>1</v>
          </cell>
          <cell r="O250" t="str">
            <v/>
          </cell>
          <cell r="P250" t="str">
            <v/>
          </cell>
          <cell r="Q250">
            <v>2</v>
          </cell>
          <cell r="R250">
            <v>2</v>
          </cell>
          <cell r="S250" t="str">
            <v>0</v>
          </cell>
          <cell r="T250">
            <v>0</v>
          </cell>
          <cell r="U250">
            <v>0</v>
          </cell>
          <cell r="V250">
            <v>4</v>
          </cell>
          <cell r="W250">
            <v>4</v>
          </cell>
          <cell r="X250" t="str">
            <v/>
          </cell>
          <cell r="Y250" t="str">
            <v/>
          </cell>
          <cell r="Z250" t="str">
            <v/>
          </cell>
          <cell r="AA250">
            <v>5</v>
          </cell>
          <cell r="AB250">
            <v>5</v>
          </cell>
          <cell r="AC250">
            <v>0</v>
          </cell>
          <cell r="AD250"/>
          <cell r="AE250">
            <v>0</v>
          </cell>
          <cell r="AF250">
            <v>6</v>
          </cell>
          <cell r="AG250">
            <v>5</v>
          </cell>
          <cell r="AH250">
            <v>0</v>
          </cell>
          <cell r="AI250">
            <v>1</v>
          </cell>
          <cell r="AJ250">
            <v>0</v>
          </cell>
          <cell r="AK250">
            <v>3.25</v>
          </cell>
        </row>
        <row r="251">
          <cell r="A251">
            <v>662060</v>
          </cell>
          <cell r="B251" t="str">
            <v>Sim</v>
          </cell>
          <cell r="C251" t="str">
            <v>Bandeja</v>
          </cell>
          <cell r="D251" t="str">
            <v>SPARE</v>
          </cell>
          <cell r="E251">
            <v>2</v>
          </cell>
          <cell r="F251" t="str">
            <v>Bandeja Inferior Oroch Lado Passageiro 2015 Á 2020 Sem Pivô</v>
          </cell>
          <cell r="G251"/>
          <cell r="H251">
            <v>3</v>
          </cell>
          <cell r="I251">
            <v>3</v>
          </cell>
          <cell r="J251">
            <v>1</v>
          </cell>
          <cell r="K251">
            <v>2</v>
          </cell>
          <cell r="L251" t="str">
            <v/>
          </cell>
          <cell r="M251">
            <v>2</v>
          </cell>
          <cell r="N251">
            <v>2</v>
          </cell>
          <cell r="O251">
            <v>0</v>
          </cell>
          <cell r="P251" t="str">
            <v/>
          </cell>
          <cell r="Q251">
            <v>4</v>
          </cell>
          <cell r="R251">
            <v>1</v>
          </cell>
          <cell r="S251">
            <v>3</v>
          </cell>
          <cell r="T251">
            <v>0</v>
          </cell>
          <cell r="U251">
            <v>0</v>
          </cell>
          <cell r="V251">
            <v>2</v>
          </cell>
          <cell r="W251">
            <v>0</v>
          </cell>
          <cell r="X251">
            <v>2</v>
          </cell>
          <cell r="Y251" t="str">
            <v/>
          </cell>
          <cell r="Z251" t="str">
            <v/>
          </cell>
          <cell r="AA251">
            <v>1</v>
          </cell>
          <cell r="AB251">
            <v>0</v>
          </cell>
          <cell r="AC251">
            <v>1</v>
          </cell>
          <cell r="AD251"/>
          <cell r="AE251">
            <v>0</v>
          </cell>
          <cell r="AF251">
            <v>5</v>
          </cell>
          <cell r="AG251">
            <v>0</v>
          </cell>
          <cell r="AH251">
            <v>5</v>
          </cell>
          <cell r="AI251">
            <v>0</v>
          </cell>
          <cell r="AJ251">
            <v>0</v>
          </cell>
          <cell r="AK251">
            <v>3.1666666666666665</v>
          </cell>
        </row>
        <row r="252">
          <cell r="A252" t="str">
            <v>FTK11045</v>
          </cell>
          <cell r="B252" t="str">
            <v>Sim</v>
          </cell>
          <cell r="C252" t="str">
            <v>Pivô</v>
          </cell>
          <cell r="D252" t="str">
            <v>SPARE</v>
          </cell>
          <cell r="E252">
            <v>2</v>
          </cell>
          <cell r="F252" t="str">
            <v>Pivô Inferior Bandeja Lifan 620 2010 Á 2017 1.6 16v</v>
          </cell>
          <cell r="G252"/>
          <cell r="H252">
            <v>0</v>
          </cell>
          <cell r="I252">
            <v>0</v>
          </cell>
          <cell r="J252"/>
          <cell r="K252">
            <v>2</v>
          </cell>
          <cell r="L252"/>
          <cell r="M252">
            <v>4</v>
          </cell>
          <cell r="N252">
            <v>2</v>
          </cell>
          <cell r="O252">
            <v>2</v>
          </cell>
          <cell r="P252" t="str">
            <v/>
          </cell>
          <cell r="Q252">
            <v>8</v>
          </cell>
          <cell r="R252">
            <v>2</v>
          </cell>
          <cell r="S252">
            <v>6</v>
          </cell>
          <cell r="T252">
            <v>0</v>
          </cell>
          <cell r="U252">
            <v>0</v>
          </cell>
          <cell r="V252">
            <v>5</v>
          </cell>
          <cell r="W252">
            <v>3</v>
          </cell>
          <cell r="X252">
            <v>2</v>
          </cell>
          <cell r="Y252" t="str">
            <v/>
          </cell>
          <cell r="Z252" t="str">
            <v/>
          </cell>
          <cell r="AA252">
            <v>6</v>
          </cell>
          <cell r="AB252">
            <v>2</v>
          </cell>
          <cell r="AC252">
            <v>4</v>
          </cell>
          <cell r="AD252"/>
          <cell r="AE252">
            <v>0</v>
          </cell>
          <cell r="AF252">
            <v>2</v>
          </cell>
          <cell r="AG252">
            <v>0</v>
          </cell>
          <cell r="AH252">
            <v>2</v>
          </cell>
          <cell r="AI252">
            <v>0</v>
          </cell>
          <cell r="AJ252">
            <v>0</v>
          </cell>
          <cell r="AK252">
            <v>3.1666666666666665</v>
          </cell>
        </row>
        <row r="253">
          <cell r="A253">
            <v>66508</v>
          </cell>
          <cell r="B253" t="str">
            <v>Sim</v>
          </cell>
          <cell r="C253" t="str">
            <v>Cabo de Capô</v>
          </cell>
          <cell r="D253" t="str">
            <v>MundiFlex</v>
          </cell>
          <cell r="E253">
            <v>6</v>
          </cell>
          <cell r="F253" t="str">
            <v>Cabo De Capô Com Alavanca 1610mm Siena 2001 A 2007</v>
          </cell>
          <cell r="G253"/>
          <cell r="H253">
            <v>4</v>
          </cell>
          <cell r="I253">
            <v>3</v>
          </cell>
          <cell r="J253" t="str">
            <v/>
          </cell>
          <cell r="K253">
            <v>3</v>
          </cell>
          <cell r="L253" t="str">
            <v/>
          </cell>
          <cell r="M253">
            <v>6</v>
          </cell>
          <cell r="N253">
            <v>6</v>
          </cell>
          <cell r="O253" t="str">
            <v/>
          </cell>
          <cell r="P253" t="str">
            <v/>
          </cell>
          <cell r="Q253">
            <v>2</v>
          </cell>
          <cell r="R253">
            <v>2</v>
          </cell>
          <cell r="S253" t="str">
            <v>0</v>
          </cell>
          <cell r="T253">
            <v>0</v>
          </cell>
          <cell r="U253">
            <v>0</v>
          </cell>
          <cell r="V253">
            <v>4</v>
          </cell>
          <cell r="W253">
            <v>4</v>
          </cell>
          <cell r="X253" t="str">
            <v/>
          </cell>
          <cell r="Y253" t="str">
            <v/>
          </cell>
          <cell r="Z253" t="str">
            <v/>
          </cell>
          <cell r="AA253">
            <v>4</v>
          </cell>
          <cell r="AB253">
            <v>4</v>
          </cell>
          <cell r="AC253">
            <v>0</v>
          </cell>
          <cell r="AD253"/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3.1666666666666665</v>
          </cell>
        </row>
        <row r="254">
          <cell r="A254">
            <v>2362</v>
          </cell>
          <cell r="B254" t="str">
            <v>Sim</v>
          </cell>
          <cell r="C254" t="str">
            <v>Suporte Radiador</v>
          </cell>
          <cell r="D254" t="str">
            <v>LT CORREA</v>
          </cell>
          <cell r="E254">
            <v>3</v>
          </cell>
          <cell r="F254" t="str">
            <v>Suporte Sup. Radiador Celta 2009 Le Ld</v>
          </cell>
          <cell r="G254"/>
          <cell r="H254">
            <v>3</v>
          </cell>
          <cell r="I254">
            <v>8</v>
          </cell>
          <cell r="J254" t="str">
            <v/>
          </cell>
          <cell r="K254">
            <v>8</v>
          </cell>
          <cell r="L254" t="str">
            <v/>
          </cell>
          <cell r="M254">
            <v>2</v>
          </cell>
          <cell r="N254">
            <v>2</v>
          </cell>
          <cell r="O254">
            <v>0</v>
          </cell>
          <cell r="P254" t="str">
            <v/>
          </cell>
          <cell r="Q254">
            <v>3</v>
          </cell>
          <cell r="R254">
            <v>3</v>
          </cell>
          <cell r="S254">
            <v>0</v>
          </cell>
          <cell r="T254">
            <v>0</v>
          </cell>
          <cell r="U254">
            <v>0</v>
          </cell>
          <cell r="V254">
            <v>3</v>
          </cell>
          <cell r="W254">
            <v>3</v>
          </cell>
          <cell r="X254" t="str">
            <v/>
          </cell>
          <cell r="Y254" t="str">
            <v/>
          </cell>
          <cell r="Z254" t="str">
            <v/>
          </cell>
          <cell r="AA254">
            <v>3</v>
          </cell>
          <cell r="AB254">
            <v>3</v>
          </cell>
          <cell r="AC254">
            <v>0</v>
          </cell>
          <cell r="AD254"/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3.1666666666666665</v>
          </cell>
        </row>
        <row r="255">
          <cell r="A255">
            <v>112109</v>
          </cell>
          <cell r="B255" t="str">
            <v>Sim</v>
          </cell>
          <cell r="C255" t="str">
            <v>Bandeja</v>
          </cell>
          <cell r="D255" t="str">
            <v>SPARE</v>
          </cell>
          <cell r="E255">
            <v>2</v>
          </cell>
          <cell r="F255" t="str">
            <v>Bandeja Esquerda Sem Pivô Uno Vivace 2010 Em Diante</v>
          </cell>
          <cell r="G255"/>
          <cell r="H255">
            <v>0</v>
          </cell>
          <cell r="I255">
            <v>0</v>
          </cell>
          <cell r="J255">
            <v>0</v>
          </cell>
          <cell r="K255" t="str">
            <v/>
          </cell>
          <cell r="L255" t="str">
            <v/>
          </cell>
          <cell r="M255">
            <v>0</v>
          </cell>
          <cell r="N255" t="str">
            <v/>
          </cell>
          <cell r="O255">
            <v>0</v>
          </cell>
          <cell r="P255" t="str">
            <v/>
          </cell>
          <cell r="Q255">
            <v>6</v>
          </cell>
          <cell r="R255">
            <v>1</v>
          </cell>
          <cell r="S255">
            <v>5</v>
          </cell>
          <cell r="T255">
            <v>0</v>
          </cell>
          <cell r="U255">
            <v>0</v>
          </cell>
          <cell r="V255">
            <v>3</v>
          </cell>
          <cell r="W255">
            <v>0</v>
          </cell>
          <cell r="X255">
            <v>3</v>
          </cell>
          <cell r="Y255" t="str">
            <v/>
          </cell>
          <cell r="Z255" t="str">
            <v/>
          </cell>
          <cell r="AA255">
            <v>3</v>
          </cell>
          <cell r="AB255">
            <v>1</v>
          </cell>
          <cell r="AC255">
            <v>2</v>
          </cell>
          <cell r="AD255"/>
          <cell r="AE255">
            <v>0</v>
          </cell>
          <cell r="AF255">
            <v>9</v>
          </cell>
          <cell r="AG255">
            <v>0</v>
          </cell>
          <cell r="AH255">
            <v>9</v>
          </cell>
          <cell r="AI255">
            <v>0</v>
          </cell>
          <cell r="AJ255">
            <v>0</v>
          </cell>
          <cell r="AK255">
            <v>3</v>
          </cell>
        </row>
        <row r="256">
          <cell r="A256">
            <v>662061</v>
          </cell>
          <cell r="B256" t="str">
            <v>Sim</v>
          </cell>
          <cell r="C256" t="str">
            <v>Bandeja</v>
          </cell>
          <cell r="D256" t="str">
            <v>SPARE</v>
          </cell>
          <cell r="E256">
            <v>2</v>
          </cell>
          <cell r="F256" t="str">
            <v>Bandeja Inferior Duster Lado Motorista 2011 Á 2014 Sem Pivô</v>
          </cell>
          <cell r="G256"/>
          <cell r="H256">
            <v>4</v>
          </cell>
          <cell r="I256">
            <v>2</v>
          </cell>
          <cell r="J256">
            <v>1</v>
          </cell>
          <cell r="K256">
            <v>1</v>
          </cell>
          <cell r="L256" t="str">
            <v/>
          </cell>
          <cell r="M256">
            <v>0</v>
          </cell>
          <cell r="N256" t="str">
            <v/>
          </cell>
          <cell r="O256">
            <v>0</v>
          </cell>
          <cell r="P256" t="str">
            <v/>
          </cell>
          <cell r="Q256">
            <v>4</v>
          </cell>
          <cell r="R256">
            <v>1</v>
          </cell>
          <cell r="S256">
            <v>3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2</v>
          </cell>
          <cell r="Y256" t="str">
            <v/>
          </cell>
          <cell r="Z256" t="str">
            <v/>
          </cell>
          <cell r="AA256">
            <v>3</v>
          </cell>
          <cell r="AB256">
            <v>2</v>
          </cell>
          <cell r="AC256">
            <v>1</v>
          </cell>
          <cell r="AD256"/>
          <cell r="AE256">
            <v>0</v>
          </cell>
          <cell r="AF256">
            <v>5</v>
          </cell>
          <cell r="AG256">
            <v>0</v>
          </cell>
          <cell r="AH256">
            <v>5</v>
          </cell>
          <cell r="AI256">
            <v>0</v>
          </cell>
          <cell r="AJ256">
            <v>0</v>
          </cell>
          <cell r="AK256">
            <v>3</v>
          </cell>
        </row>
        <row r="257">
          <cell r="A257" t="str">
            <v>LT5561</v>
          </cell>
          <cell r="B257" t="str">
            <v>Sim</v>
          </cell>
          <cell r="C257" t="str">
            <v>Terminal Cabo Câmbio</v>
          </cell>
          <cell r="D257" t="str">
            <v>LT CORREA</v>
          </cell>
          <cell r="E257">
            <v>3</v>
          </cell>
          <cell r="F257" t="str">
            <v>TERMINAL DO CABO DE ENGATE 8 MM</v>
          </cell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>
            <v>1</v>
          </cell>
          <cell r="R257">
            <v>1</v>
          </cell>
          <cell r="S257">
            <v>0</v>
          </cell>
          <cell r="T257">
            <v>0</v>
          </cell>
          <cell r="U257">
            <v>0</v>
          </cell>
          <cell r="V257">
            <v>4</v>
          </cell>
          <cell r="W257">
            <v>0</v>
          </cell>
          <cell r="X257">
            <v>4</v>
          </cell>
          <cell r="Y257" t="str">
            <v/>
          </cell>
          <cell r="Z257" t="str">
            <v/>
          </cell>
          <cell r="AA257">
            <v>7</v>
          </cell>
          <cell r="AB257">
            <v>0</v>
          </cell>
          <cell r="AC257">
            <v>7</v>
          </cell>
          <cell r="AD257"/>
          <cell r="AE257">
            <v>0</v>
          </cell>
          <cell r="AF257">
            <v>4</v>
          </cell>
          <cell r="AG257">
            <v>0</v>
          </cell>
          <cell r="AH257">
            <v>4</v>
          </cell>
          <cell r="AI257">
            <v>0</v>
          </cell>
          <cell r="AJ257">
            <v>0</v>
          </cell>
          <cell r="AK257">
            <v>3</v>
          </cell>
        </row>
        <row r="258">
          <cell r="A258" t="str">
            <v>CCE0053</v>
          </cell>
          <cell r="B258"/>
          <cell r="C258" t="str">
            <v>Cabo Moto</v>
          </cell>
          <cell r="D258" t="str">
            <v>POLO</v>
          </cell>
          <cell r="E258">
            <v>7</v>
          </cell>
          <cell r="F258" t="str">
            <v xml:space="preserve">CCE0053 CABO EMBREAGEM HONDA POP 110 16&gt;  </v>
          </cell>
          <cell r="G258"/>
          <cell r="H258" t="str">
            <v>-</v>
          </cell>
          <cell r="I258"/>
          <cell r="J258"/>
          <cell r="K258"/>
          <cell r="L258"/>
          <cell r="M258"/>
          <cell r="N258"/>
          <cell r="O258"/>
          <cell r="P258"/>
          <cell r="Q258">
            <v>5</v>
          </cell>
          <cell r="R258"/>
          <cell r="S258"/>
          <cell r="T258"/>
          <cell r="U258">
            <v>5</v>
          </cell>
          <cell r="V258">
            <v>0</v>
          </cell>
          <cell r="W258">
            <v>0</v>
          </cell>
          <cell r="X258" t="str">
            <v/>
          </cell>
          <cell r="Y258" t="str">
            <v/>
          </cell>
          <cell r="Z258" t="str">
            <v/>
          </cell>
          <cell r="AA258">
            <v>0</v>
          </cell>
          <cell r="AB258">
            <v>0</v>
          </cell>
          <cell r="AC258">
            <v>0</v>
          </cell>
          <cell r="AD258"/>
          <cell r="AE258">
            <v>0</v>
          </cell>
          <cell r="AF258">
            <v>4</v>
          </cell>
          <cell r="AG258">
            <v>0</v>
          </cell>
          <cell r="AH258">
            <v>0</v>
          </cell>
          <cell r="AI258">
            <v>0</v>
          </cell>
          <cell r="AJ258">
            <v>4</v>
          </cell>
          <cell r="AK258">
            <v>3</v>
          </cell>
        </row>
        <row r="259">
          <cell r="A259" t="str">
            <v>RT002</v>
          </cell>
          <cell r="B259"/>
          <cell r="C259" t="str">
            <v>Relação Moto</v>
          </cell>
          <cell r="D259" t="str">
            <v>POLO</v>
          </cell>
          <cell r="E259"/>
          <cell r="F259" t="str">
            <v xml:space="preserve">KIT TRANSMISSÃO HONDA CG 125 TITAN  </v>
          </cell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>
            <v>3</v>
          </cell>
          <cell r="AG259">
            <v>0</v>
          </cell>
          <cell r="AH259"/>
          <cell r="AI259">
            <v>0</v>
          </cell>
          <cell r="AJ259">
            <v>3</v>
          </cell>
          <cell r="AK259">
            <v>3</v>
          </cell>
        </row>
        <row r="260">
          <cell r="A260" t="str">
            <v>T112006</v>
          </cell>
          <cell r="B260"/>
          <cell r="C260" t="str">
            <v>Terminal Cabo Câmbio</v>
          </cell>
          <cell r="D260"/>
          <cell r="E260"/>
          <cell r="F260" t="str">
            <v>Terminal Da Direção Do Braço Tensor Uno 1992 A 2008</v>
          </cell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>
            <v>4</v>
          </cell>
          <cell r="W260"/>
          <cell r="X260">
            <v>4</v>
          </cell>
          <cell r="Y260" t="str">
            <v/>
          </cell>
          <cell r="Z260" t="str">
            <v/>
          </cell>
          <cell r="AA260">
            <v>0</v>
          </cell>
          <cell r="AB260">
            <v>0</v>
          </cell>
          <cell r="AC260">
            <v>0</v>
          </cell>
          <cell r="AD260"/>
          <cell r="AE260">
            <v>0</v>
          </cell>
          <cell r="AF260">
            <v>2</v>
          </cell>
          <cell r="AG260">
            <v>0</v>
          </cell>
          <cell r="AH260">
            <v>2</v>
          </cell>
          <cell r="AI260">
            <v>0</v>
          </cell>
          <cell r="AJ260">
            <v>0</v>
          </cell>
          <cell r="AK260">
            <v>3</v>
          </cell>
        </row>
        <row r="261">
          <cell r="A261">
            <v>330074</v>
          </cell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>
            <v>3</v>
          </cell>
          <cell r="AG261">
            <v>0</v>
          </cell>
          <cell r="AH261">
            <v>3</v>
          </cell>
          <cell r="AI261">
            <v>0</v>
          </cell>
          <cell r="AJ261">
            <v>0</v>
          </cell>
          <cell r="AK261">
            <v>3</v>
          </cell>
        </row>
        <row r="262">
          <cell r="A262">
            <v>332003</v>
          </cell>
          <cell r="B262" t="str">
            <v>Sim</v>
          </cell>
          <cell r="C262" t="str">
            <v>Bandeja</v>
          </cell>
          <cell r="D262" t="str">
            <v>SPARE</v>
          </cell>
          <cell r="E262">
            <v>2</v>
          </cell>
          <cell r="F262" t="str">
            <v>Bandeja Superior Esquerda Chevrolet Chevette</v>
          </cell>
          <cell r="G262"/>
          <cell r="H262">
            <v>6</v>
          </cell>
          <cell r="I262">
            <v>1</v>
          </cell>
          <cell r="J262">
            <v>1</v>
          </cell>
          <cell r="K262" t="str">
            <v/>
          </cell>
          <cell r="L262" t="str">
            <v/>
          </cell>
          <cell r="M262">
            <v>6</v>
          </cell>
          <cell r="N262">
            <v>2</v>
          </cell>
          <cell r="O262">
            <v>4</v>
          </cell>
          <cell r="P262" t="str">
            <v/>
          </cell>
          <cell r="Q262">
            <v>4</v>
          </cell>
          <cell r="R262">
            <v>1</v>
          </cell>
          <cell r="S262">
            <v>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 t="str">
            <v/>
          </cell>
          <cell r="Y262" t="str">
            <v/>
          </cell>
          <cell r="Z262" t="str">
            <v/>
          </cell>
          <cell r="AA262">
            <v>3</v>
          </cell>
          <cell r="AB262">
            <v>0</v>
          </cell>
          <cell r="AC262">
            <v>3</v>
          </cell>
          <cell r="AD262"/>
          <cell r="AE262">
            <v>0</v>
          </cell>
          <cell r="AF262">
            <v>1</v>
          </cell>
          <cell r="AG262">
            <v>0</v>
          </cell>
          <cell r="AH262">
            <v>1</v>
          </cell>
          <cell r="AI262">
            <v>0</v>
          </cell>
          <cell r="AJ262">
            <v>0</v>
          </cell>
          <cell r="AK262">
            <v>3</v>
          </cell>
        </row>
        <row r="263">
          <cell r="A263">
            <v>332090</v>
          </cell>
          <cell r="B263" t="str">
            <v>Sim</v>
          </cell>
          <cell r="C263" t="str">
            <v>Bandeja</v>
          </cell>
          <cell r="D263" t="str">
            <v>SPARE</v>
          </cell>
          <cell r="E263">
            <v>2</v>
          </cell>
          <cell r="F263" t="str">
            <v>Bandeja Inferior Direito Cobalt 2013 Em Diante Sem Pivô</v>
          </cell>
          <cell r="G263"/>
          <cell r="H263">
            <v>5</v>
          </cell>
          <cell r="I263">
            <v>1</v>
          </cell>
          <cell r="J263">
            <v>1</v>
          </cell>
          <cell r="K263" t="str">
            <v/>
          </cell>
          <cell r="L263" t="str">
            <v/>
          </cell>
          <cell r="M263">
            <v>5</v>
          </cell>
          <cell r="N263">
            <v>1</v>
          </cell>
          <cell r="O263">
            <v>3</v>
          </cell>
          <cell r="P263" t="str">
            <v/>
          </cell>
          <cell r="Q263">
            <v>3</v>
          </cell>
          <cell r="R263" t="str">
            <v>0</v>
          </cell>
          <cell r="S263">
            <v>1</v>
          </cell>
          <cell r="T263">
            <v>0</v>
          </cell>
          <cell r="U263">
            <v>0</v>
          </cell>
          <cell r="V263">
            <v>4</v>
          </cell>
          <cell r="W263">
            <v>2</v>
          </cell>
          <cell r="X263">
            <v>1</v>
          </cell>
          <cell r="Y263" t="str">
            <v/>
          </cell>
          <cell r="Z263" t="str">
            <v/>
          </cell>
          <cell r="AA263">
            <v>2</v>
          </cell>
          <cell r="AB263">
            <v>0</v>
          </cell>
          <cell r="AC263">
            <v>2</v>
          </cell>
          <cell r="AD263"/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</v>
          </cell>
        </row>
        <row r="264">
          <cell r="A264">
            <v>4077</v>
          </cell>
          <cell r="B264"/>
          <cell r="C264" t="str">
            <v>Capa Pedal</v>
          </cell>
          <cell r="D264" t="str">
            <v>HOLYMAN</v>
          </cell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>
            <v>1</v>
          </cell>
          <cell r="W264">
            <v>1</v>
          </cell>
          <cell r="X264" t="str">
            <v/>
          </cell>
          <cell r="Y264" t="str">
            <v/>
          </cell>
          <cell r="Z264" t="str">
            <v/>
          </cell>
          <cell r="AA264">
            <v>1</v>
          </cell>
          <cell r="AB264">
            <v>1</v>
          </cell>
          <cell r="AC264">
            <v>0</v>
          </cell>
          <cell r="AD264"/>
          <cell r="AE264">
            <v>0</v>
          </cell>
          <cell r="AF264">
            <v>5</v>
          </cell>
          <cell r="AG264">
            <v>5</v>
          </cell>
          <cell r="AH264">
            <v>0</v>
          </cell>
          <cell r="AI264">
            <v>0</v>
          </cell>
          <cell r="AJ264">
            <v>0</v>
          </cell>
          <cell r="AK264">
            <v>3</v>
          </cell>
        </row>
        <row r="265">
          <cell r="A265" t="str">
            <v>LT2365</v>
          </cell>
          <cell r="B265"/>
          <cell r="C265" t="str">
            <v>Reparo alavanta Câmbio</v>
          </cell>
          <cell r="D265" t="str">
            <v>LT CORREA</v>
          </cell>
          <cell r="E265"/>
          <cell r="F265" t="str">
            <v>Reparo Terminal Do Cabo De Marcha Onix 2013 A 2019</v>
          </cell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>
            <v>3</v>
          </cell>
          <cell r="AG265">
            <v>3</v>
          </cell>
          <cell r="AH265">
            <v>0</v>
          </cell>
          <cell r="AI265">
            <v>0</v>
          </cell>
          <cell r="AJ265">
            <v>0</v>
          </cell>
          <cell r="AK265">
            <v>3</v>
          </cell>
        </row>
        <row r="266">
          <cell r="A266">
            <v>222020</v>
          </cell>
          <cell r="B266" t="str">
            <v>Sim</v>
          </cell>
          <cell r="C266" t="str">
            <v>Bandeja</v>
          </cell>
          <cell r="D266" t="str">
            <v>SPARE</v>
          </cell>
          <cell r="E266">
            <v>2</v>
          </cell>
          <cell r="F266" t="str">
            <v>Bandeja Inferior Direito Ka 1997 Á 1999 Sem Pivô</v>
          </cell>
          <cell r="G266"/>
          <cell r="H266">
            <v>1</v>
          </cell>
          <cell r="I266">
            <v>2</v>
          </cell>
          <cell r="J266">
            <v>0</v>
          </cell>
          <cell r="K266">
            <v>2</v>
          </cell>
          <cell r="L266" t="str">
            <v/>
          </cell>
          <cell r="M266">
            <v>2</v>
          </cell>
          <cell r="N266" t="str">
            <v/>
          </cell>
          <cell r="O266">
            <v>2</v>
          </cell>
          <cell r="P266" t="str">
            <v/>
          </cell>
          <cell r="Q266">
            <v>2</v>
          </cell>
          <cell r="R266">
            <v>2</v>
          </cell>
          <cell r="S266">
            <v>0</v>
          </cell>
          <cell r="T266">
            <v>0</v>
          </cell>
          <cell r="U266">
            <v>0</v>
          </cell>
          <cell r="V266">
            <v>3</v>
          </cell>
          <cell r="W266">
            <v>1</v>
          </cell>
          <cell r="X266">
            <v>2</v>
          </cell>
          <cell r="Y266" t="str">
            <v/>
          </cell>
          <cell r="Z266" t="str">
            <v/>
          </cell>
          <cell r="AA266">
            <v>4</v>
          </cell>
          <cell r="AB266">
            <v>4</v>
          </cell>
          <cell r="AC266">
            <v>0</v>
          </cell>
          <cell r="AD266"/>
          <cell r="AE266">
            <v>0</v>
          </cell>
          <cell r="AF266">
            <v>7</v>
          </cell>
          <cell r="AG266">
            <v>0</v>
          </cell>
          <cell r="AH266">
            <v>0</v>
          </cell>
          <cell r="AI266">
            <v>0</v>
          </cell>
          <cell r="AJ266">
            <v>7</v>
          </cell>
          <cell r="AK266">
            <v>2.8333333333333335</v>
          </cell>
        </row>
        <row r="267">
          <cell r="A267">
            <v>552033</v>
          </cell>
          <cell r="B267" t="str">
            <v>Sim</v>
          </cell>
          <cell r="C267" t="str">
            <v>Bandeja</v>
          </cell>
          <cell r="D267" t="str">
            <v>SPARE</v>
          </cell>
          <cell r="E267">
            <v>2</v>
          </cell>
          <cell r="F267" t="str">
            <v>Bandeja Inferior Esquerda Com Pivô Citroen C3 2013 A 2022</v>
          </cell>
          <cell r="G267"/>
          <cell r="H267">
            <v>1</v>
          </cell>
          <cell r="I267">
            <v>0</v>
          </cell>
          <cell r="J267" t="str">
            <v/>
          </cell>
          <cell r="K267" t="str">
            <v/>
          </cell>
          <cell r="L267" t="str">
            <v/>
          </cell>
          <cell r="M267">
            <v>5</v>
          </cell>
          <cell r="N267">
            <v>1</v>
          </cell>
          <cell r="O267">
            <v>4</v>
          </cell>
          <cell r="P267" t="str">
            <v/>
          </cell>
          <cell r="Q267">
            <v>2</v>
          </cell>
          <cell r="R267">
            <v>2</v>
          </cell>
          <cell r="S267">
            <v>0</v>
          </cell>
          <cell r="T267">
            <v>0</v>
          </cell>
          <cell r="U267">
            <v>0</v>
          </cell>
          <cell r="V267">
            <v>5</v>
          </cell>
          <cell r="W267">
            <v>0</v>
          </cell>
          <cell r="X267">
            <v>3</v>
          </cell>
          <cell r="Y267" t="str">
            <v/>
          </cell>
          <cell r="Z267">
            <v>2</v>
          </cell>
          <cell r="AA267">
            <v>3</v>
          </cell>
          <cell r="AB267">
            <v>1</v>
          </cell>
          <cell r="AC267">
            <v>2</v>
          </cell>
          <cell r="AD267"/>
          <cell r="AE267">
            <v>0</v>
          </cell>
          <cell r="AF267">
            <v>4</v>
          </cell>
          <cell r="AG267">
            <v>0</v>
          </cell>
          <cell r="AH267">
            <v>3</v>
          </cell>
          <cell r="AI267">
            <v>0</v>
          </cell>
          <cell r="AJ267">
            <v>1</v>
          </cell>
          <cell r="AK267">
            <v>2.8333333333333335</v>
          </cell>
        </row>
        <row r="268">
          <cell r="A268">
            <v>23125</v>
          </cell>
          <cell r="B268" t="str">
            <v>Sim</v>
          </cell>
          <cell r="C268" t="str">
            <v>Pino de Freio</v>
          </cell>
          <cell r="D268" t="str">
            <v>MultiKit</v>
          </cell>
          <cell r="E268">
            <v>4</v>
          </cell>
          <cell r="F268" t="str">
            <v>Pino Guia Pinça Freio S10 4x2 1995 A 2010</v>
          </cell>
          <cell r="G268"/>
          <cell r="H268">
            <v>3</v>
          </cell>
          <cell r="I268">
            <v>0</v>
          </cell>
          <cell r="J268">
            <v>0</v>
          </cell>
          <cell r="K268" t="str">
            <v/>
          </cell>
          <cell r="L268" t="str">
            <v/>
          </cell>
          <cell r="M268">
            <v>4</v>
          </cell>
          <cell r="N268">
            <v>2</v>
          </cell>
          <cell r="O268">
            <v>2</v>
          </cell>
          <cell r="P268" t="str">
            <v/>
          </cell>
          <cell r="Q268">
            <v>6</v>
          </cell>
          <cell r="R268" t="str">
            <v>0</v>
          </cell>
          <cell r="S268">
            <v>6</v>
          </cell>
          <cell r="T268">
            <v>0</v>
          </cell>
          <cell r="U268">
            <v>0</v>
          </cell>
          <cell r="V268">
            <v>4</v>
          </cell>
          <cell r="W268">
            <v>2</v>
          </cell>
          <cell r="X268">
            <v>2</v>
          </cell>
          <cell r="Y268" t="str">
            <v/>
          </cell>
          <cell r="Z268" t="str">
            <v/>
          </cell>
          <cell r="AA268">
            <v>1</v>
          </cell>
          <cell r="AB268">
            <v>1</v>
          </cell>
          <cell r="AC268">
            <v>0</v>
          </cell>
          <cell r="AD268"/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2.8333333333333335</v>
          </cell>
        </row>
        <row r="269">
          <cell r="A269">
            <v>550111</v>
          </cell>
          <cell r="B269" t="str">
            <v>Sim</v>
          </cell>
          <cell r="C269" t="str">
            <v>Cabo Embreagem</v>
          </cell>
          <cell r="D269" t="str">
            <v>MundiFlex</v>
          </cell>
          <cell r="E269">
            <v>6</v>
          </cell>
          <cell r="F269" t="str">
            <v>Tubo Flexível Kombi Todos Até 1996</v>
          </cell>
          <cell r="G269"/>
          <cell r="H269">
            <v>1</v>
          </cell>
          <cell r="I269">
            <v>5</v>
          </cell>
          <cell r="J269" t="str">
            <v/>
          </cell>
          <cell r="K269">
            <v>5</v>
          </cell>
          <cell r="L269" t="str">
            <v/>
          </cell>
          <cell r="M269">
            <v>1</v>
          </cell>
          <cell r="N269">
            <v>1</v>
          </cell>
          <cell r="O269" t="str">
            <v/>
          </cell>
          <cell r="P269" t="str">
            <v/>
          </cell>
          <cell r="Q269">
            <v>0</v>
          </cell>
          <cell r="R269" t="str">
            <v>0</v>
          </cell>
          <cell r="S269" t="str">
            <v>0</v>
          </cell>
          <cell r="T269">
            <v>0</v>
          </cell>
          <cell r="U269">
            <v>0</v>
          </cell>
          <cell r="V269">
            <v>10</v>
          </cell>
          <cell r="W269">
            <v>10</v>
          </cell>
          <cell r="X269" t="str">
            <v/>
          </cell>
          <cell r="Y269" t="str">
            <v/>
          </cell>
          <cell r="Z269" t="str">
            <v/>
          </cell>
          <cell r="AA269">
            <v>0</v>
          </cell>
          <cell r="AB269">
            <v>0</v>
          </cell>
          <cell r="AC269">
            <v>0</v>
          </cell>
          <cell r="AD269"/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2.8333333333333335</v>
          </cell>
        </row>
        <row r="270">
          <cell r="A270" t="str">
            <v>LT5562</v>
          </cell>
          <cell r="B270" t="str">
            <v>Sim</v>
          </cell>
          <cell r="C270" t="str">
            <v>Terminal Cabo Câmbio</v>
          </cell>
          <cell r="D270" t="str">
            <v>LT CORREA</v>
          </cell>
          <cell r="E270">
            <v>3</v>
          </cell>
          <cell r="F270" t="str">
            <v>TERMINAL DO CABO DE ENGATE 10 MM</v>
          </cell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>
            <v>0</v>
          </cell>
          <cell r="R270"/>
          <cell r="S270">
            <v>0</v>
          </cell>
          <cell r="T270">
            <v>0</v>
          </cell>
          <cell r="U270">
            <v>0</v>
          </cell>
          <cell r="V270">
            <v>4</v>
          </cell>
          <cell r="W270">
            <v>0</v>
          </cell>
          <cell r="X270">
            <v>4</v>
          </cell>
          <cell r="Y270" t="str">
            <v/>
          </cell>
          <cell r="Z270" t="str">
            <v/>
          </cell>
          <cell r="AA270">
            <v>8</v>
          </cell>
          <cell r="AB270">
            <v>1</v>
          </cell>
          <cell r="AC270">
            <v>7</v>
          </cell>
          <cell r="AD270"/>
          <cell r="AE270">
            <v>0</v>
          </cell>
          <cell r="AF270">
            <v>4</v>
          </cell>
          <cell r="AG270">
            <v>0</v>
          </cell>
          <cell r="AH270">
            <v>4</v>
          </cell>
          <cell r="AI270">
            <v>0</v>
          </cell>
          <cell r="AJ270">
            <v>0</v>
          </cell>
          <cell r="AK270">
            <v>2.6666666666666665</v>
          </cell>
        </row>
        <row r="271">
          <cell r="A271">
            <v>332111</v>
          </cell>
          <cell r="B271" t="str">
            <v>Sim</v>
          </cell>
          <cell r="C271" t="str">
            <v>Bandeja</v>
          </cell>
          <cell r="D271" t="str">
            <v>SPARE</v>
          </cell>
          <cell r="E271">
            <v>2</v>
          </cell>
          <cell r="F271" t="str">
            <v>Bandeja Superior Esquerdo S10 4x2 E 4x4 1995 Á 2011</v>
          </cell>
          <cell r="G271"/>
          <cell r="H271">
            <v>5</v>
          </cell>
          <cell r="I271">
            <v>2</v>
          </cell>
          <cell r="J271">
            <v>1</v>
          </cell>
          <cell r="K271">
            <v>1</v>
          </cell>
          <cell r="L271" t="str">
            <v/>
          </cell>
          <cell r="M271">
            <v>5</v>
          </cell>
          <cell r="N271">
            <v>2</v>
          </cell>
          <cell r="O271">
            <v>3</v>
          </cell>
          <cell r="P271" t="str">
            <v/>
          </cell>
          <cell r="Q271">
            <v>1</v>
          </cell>
          <cell r="R271">
            <v>1</v>
          </cell>
          <cell r="S271">
            <v>0</v>
          </cell>
          <cell r="T271">
            <v>0</v>
          </cell>
          <cell r="U271">
            <v>0</v>
          </cell>
          <cell r="V271">
            <v>3</v>
          </cell>
          <cell r="W271">
            <v>3</v>
          </cell>
          <cell r="X271" t="str">
            <v/>
          </cell>
          <cell r="Y271" t="str">
            <v/>
          </cell>
          <cell r="Z271" t="str">
            <v/>
          </cell>
          <cell r="AA271">
            <v>2</v>
          </cell>
          <cell r="AB271">
            <v>0</v>
          </cell>
          <cell r="AC271">
            <v>2</v>
          </cell>
          <cell r="AD271"/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2.6666666666666665</v>
          </cell>
        </row>
        <row r="272">
          <cell r="A272">
            <v>78180</v>
          </cell>
          <cell r="B272" t="str">
            <v>Sim</v>
          </cell>
          <cell r="C272" t="str">
            <v>Cabo de Acelerador</v>
          </cell>
          <cell r="D272" t="str">
            <v>Importação</v>
          </cell>
          <cell r="E272">
            <v>1</v>
          </cell>
          <cell r="F272" t="str">
            <v>Cabo De Acelerador Corolla A Gasolina 2003, 2004, 2005, 2006</v>
          </cell>
          <cell r="G272"/>
          <cell r="H272">
            <v>2</v>
          </cell>
          <cell r="I272">
            <v>3</v>
          </cell>
          <cell r="J272" t="str">
            <v/>
          </cell>
          <cell r="K272">
            <v>3</v>
          </cell>
          <cell r="L272" t="str">
            <v/>
          </cell>
          <cell r="M272">
            <v>5</v>
          </cell>
          <cell r="N272">
            <v>5</v>
          </cell>
          <cell r="O272" t="str">
            <v/>
          </cell>
          <cell r="P272" t="str">
            <v/>
          </cell>
          <cell r="Q272">
            <v>2</v>
          </cell>
          <cell r="R272">
            <v>2</v>
          </cell>
          <cell r="S272" t="str">
            <v>0</v>
          </cell>
          <cell r="T272">
            <v>0</v>
          </cell>
          <cell r="U272">
            <v>0</v>
          </cell>
          <cell r="V272">
            <v>1</v>
          </cell>
          <cell r="W272">
            <v>1</v>
          </cell>
          <cell r="X272" t="str">
            <v/>
          </cell>
          <cell r="Y272" t="str">
            <v/>
          </cell>
          <cell r="Z272" t="str">
            <v/>
          </cell>
          <cell r="AA272">
            <v>1</v>
          </cell>
          <cell r="AB272">
            <v>1</v>
          </cell>
          <cell r="AC272">
            <v>0</v>
          </cell>
          <cell r="AD272"/>
          <cell r="AE272">
            <v>0</v>
          </cell>
          <cell r="AF272">
            <v>3</v>
          </cell>
          <cell r="AG272">
            <v>3</v>
          </cell>
          <cell r="AH272">
            <v>0</v>
          </cell>
          <cell r="AI272">
            <v>0</v>
          </cell>
          <cell r="AJ272">
            <v>0</v>
          </cell>
          <cell r="AK272">
            <v>2.6666666666666665</v>
          </cell>
        </row>
        <row r="273">
          <cell r="A273">
            <v>222032</v>
          </cell>
          <cell r="B273" t="str">
            <v>Sim</v>
          </cell>
          <cell r="C273" t="str">
            <v>Bandeja</v>
          </cell>
          <cell r="D273" t="str">
            <v>SPARE</v>
          </cell>
          <cell r="E273">
            <v>2</v>
          </cell>
          <cell r="F273" t="str">
            <v>Bandeja DIANTEIRA DIREITA COM PIVÔ COURIER 2000 A 2003</v>
          </cell>
          <cell r="G273"/>
          <cell r="H273">
            <v>0</v>
          </cell>
          <cell r="I273">
            <v>0</v>
          </cell>
          <cell r="J273"/>
          <cell r="K273"/>
          <cell r="L273"/>
          <cell r="M273">
            <v>2</v>
          </cell>
          <cell r="N273" t="str">
            <v/>
          </cell>
          <cell r="O273">
            <v>2</v>
          </cell>
          <cell r="P273" t="str">
            <v/>
          </cell>
          <cell r="Q273">
            <v>3</v>
          </cell>
          <cell r="R273">
            <v>2</v>
          </cell>
          <cell r="S273">
            <v>1</v>
          </cell>
          <cell r="T273">
            <v>0</v>
          </cell>
          <cell r="U273">
            <v>0</v>
          </cell>
          <cell r="V273">
            <v>4</v>
          </cell>
          <cell r="W273">
            <v>3</v>
          </cell>
          <cell r="X273">
            <v>1</v>
          </cell>
          <cell r="Y273" t="str">
            <v/>
          </cell>
          <cell r="Z273" t="str">
            <v/>
          </cell>
          <cell r="AA273">
            <v>7</v>
          </cell>
          <cell r="AB273">
            <v>3</v>
          </cell>
          <cell r="AC273">
            <v>4</v>
          </cell>
          <cell r="AD273"/>
          <cell r="AE273">
            <v>0</v>
          </cell>
          <cell r="AF273">
            <v>7</v>
          </cell>
          <cell r="AG273">
            <v>4</v>
          </cell>
          <cell r="AH273">
            <v>3</v>
          </cell>
          <cell r="AI273">
            <v>0</v>
          </cell>
          <cell r="AJ273">
            <v>0</v>
          </cell>
          <cell r="AK273">
            <v>2.6666666666666665</v>
          </cell>
        </row>
        <row r="274">
          <cell r="A274" t="str">
            <v>LT5637</v>
          </cell>
          <cell r="B274" t="str">
            <v>Sim</v>
          </cell>
          <cell r="C274" t="str">
            <v>Reparo alavanta Câmbio</v>
          </cell>
          <cell r="D274" t="str">
            <v>LT CORREA</v>
          </cell>
          <cell r="E274">
            <v>3</v>
          </cell>
          <cell r="F274" t="str">
            <v>Reparo Bucha Alavanca Câmbio Golf Mk4 1999 A 2006</v>
          </cell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>
            <v>1</v>
          </cell>
          <cell r="R274">
            <v>1</v>
          </cell>
          <cell r="S274" t="str">
            <v>0</v>
          </cell>
          <cell r="T274">
            <v>0</v>
          </cell>
          <cell r="U274">
            <v>0</v>
          </cell>
          <cell r="V274">
            <v>1</v>
          </cell>
          <cell r="W274">
            <v>1</v>
          </cell>
          <cell r="X274" t="str">
            <v/>
          </cell>
          <cell r="Y274" t="str">
            <v/>
          </cell>
          <cell r="Z274" t="str">
            <v/>
          </cell>
          <cell r="AA274">
            <v>5</v>
          </cell>
          <cell r="AB274">
            <v>5</v>
          </cell>
          <cell r="AC274">
            <v>0</v>
          </cell>
          <cell r="AD274"/>
          <cell r="AE274">
            <v>0</v>
          </cell>
          <cell r="AF274">
            <v>6</v>
          </cell>
          <cell r="AG274">
            <v>6</v>
          </cell>
          <cell r="AH274">
            <v>0</v>
          </cell>
          <cell r="AI274">
            <v>0</v>
          </cell>
          <cell r="AJ274">
            <v>0</v>
          </cell>
          <cell r="AK274">
            <v>2.6666666666666665</v>
          </cell>
        </row>
        <row r="275">
          <cell r="A275">
            <v>5014</v>
          </cell>
          <cell r="B275"/>
          <cell r="C275" t="str">
            <v>Bieleta</v>
          </cell>
          <cell r="D275" t="str">
            <v>HOLYMAN</v>
          </cell>
          <cell r="E275">
            <v>5</v>
          </cell>
          <cell r="F275" t="str">
            <v>Bieleta Dianteira Ranger 1999 A 2011</v>
          </cell>
          <cell r="G275"/>
          <cell r="H275">
            <v>2</v>
          </cell>
          <cell r="I275">
            <v>3</v>
          </cell>
          <cell r="J275">
            <v>2</v>
          </cell>
          <cell r="K275">
            <v>1</v>
          </cell>
          <cell r="L275" t="str">
            <v/>
          </cell>
          <cell r="M275">
            <v>2</v>
          </cell>
          <cell r="N275" t="str">
            <v/>
          </cell>
          <cell r="O275">
            <v>2</v>
          </cell>
          <cell r="P275" t="str">
            <v/>
          </cell>
          <cell r="Q275">
            <v>2</v>
          </cell>
          <cell r="R275" t="str">
            <v>0</v>
          </cell>
          <cell r="S275">
            <v>2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 t="str">
            <v/>
          </cell>
          <cell r="Y275" t="str">
            <v/>
          </cell>
          <cell r="Z275" t="str">
            <v/>
          </cell>
          <cell r="AA275">
            <v>2</v>
          </cell>
          <cell r="AB275">
            <v>0</v>
          </cell>
          <cell r="AC275">
            <v>2</v>
          </cell>
          <cell r="AD275"/>
          <cell r="AE275">
            <v>0</v>
          </cell>
          <cell r="AF275">
            <v>6</v>
          </cell>
          <cell r="AG275">
            <v>0</v>
          </cell>
          <cell r="AH275">
            <v>6</v>
          </cell>
          <cell r="AI275">
            <v>0</v>
          </cell>
          <cell r="AJ275">
            <v>0</v>
          </cell>
          <cell r="AK275">
            <v>2.5</v>
          </cell>
        </row>
        <row r="276">
          <cell r="A276">
            <v>6211</v>
          </cell>
          <cell r="B276"/>
          <cell r="C276" t="str">
            <v>Bieleta</v>
          </cell>
          <cell r="D276" t="str">
            <v>HOLYMAN</v>
          </cell>
          <cell r="E276">
            <v>5</v>
          </cell>
          <cell r="F276" t="str">
            <v>Bieleta Dianteira Esquerda Nissan Altima 2013 A 2019</v>
          </cell>
          <cell r="G276"/>
          <cell r="H276">
            <v>4</v>
          </cell>
          <cell r="I276">
            <v>4</v>
          </cell>
          <cell r="J276">
            <v>3</v>
          </cell>
          <cell r="K276">
            <v>1</v>
          </cell>
          <cell r="L276" t="str">
            <v/>
          </cell>
          <cell r="M276">
            <v>2</v>
          </cell>
          <cell r="N276" t="str">
            <v/>
          </cell>
          <cell r="O276">
            <v>2</v>
          </cell>
          <cell r="P276" t="str">
            <v/>
          </cell>
          <cell r="Q276">
            <v>2</v>
          </cell>
          <cell r="R276">
            <v>1</v>
          </cell>
          <cell r="S276">
            <v>1</v>
          </cell>
          <cell r="T276">
            <v>0</v>
          </cell>
          <cell r="U276">
            <v>0</v>
          </cell>
          <cell r="V276">
            <v>1</v>
          </cell>
          <cell r="W276">
            <v>0</v>
          </cell>
          <cell r="X276" t="str">
            <v/>
          </cell>
          <cell r="Y276" t="str">
            <v/>
          </cell>
          <cell r="Z276">
            <v>1</v>
          </cell>
          <cell r="AA276">
            <v>0</v>
          </cell>
          <cell r="AB276">
            <v>0</v>
          </cell>
          <cell r="AC276">
            <v>0</v>
          </cell>
          <cell r="AD276"/>
          <cell r="AE276">
            <v>0</v>
          </cell>
          <cell r="AF276">
            <v>2</v>
          </cell>
          <cell r="AG276">
            <v>0</v>
          </cell>
          <cell r="AH276">
            <v>2</v>
          </cell>
          <cell r="AI276">
            <v>0</v>
          </cell>
          <cell r="AJ276">
            <v>0</v>
          </cell>
          <cell r="AK276">
            <v>2.5</v>
          </cell>
        </row>
        <row r="277">
          <cell r="A277">
            <v>332002</v>
          </cell>
          <cell r="B277" t="str">
            <v>Sim</v>
          </cell>
          <cell r="C277" t="str">
            <v>Bandeja</v>
          </cell>
          <cell r="D277" t="str">
            <v>SPARE</v>
          </cell>
          <cell r="E277">
            <v>2</v>
          </cell>
          <cell r="F277" t="str">
            <v>Bandeja Superior Direito Sem Pivô Chevy 500 1984 À 1995</v>
          </cell>
          <cell r="G277"/>
          <cell r="H277">
            <v>5</v>
          </cell>
          <cell r="I277">
            <v>1</v>
          </cell>
          <cell r="J277">
            <v>1</v>
          </cell>
          <cell r="K277">
            <v>0</v>
          </cell>
          <cell r="L277" t="str">
            <v/>
          </cell>
          <cell r="M277">
            <v>5</v>
          </cell>
          <cell r="N277">
            <v>1</v>
          </cell>
          <cell r="O277">
            <v>4</v>
          </cell>
          <cell r="P277" t="str">
            <v/>
          </cell>
          <cell r="Q277">
            <v>3</v>
          </cell>
          <cell r="R277">
            <v>0</v>
          </cell>
          <cell r="S277">
            <v>3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 t="str">
            <v/>
          </cell>
          <cell r="Y277" t="str">
            <v/>
          </cell>
          <cell r="Z277" t="str">
            <v/>
          </cell>
          <cell r="AA277">
            <v>3</v>
          </cell>
          <cell r="AB277">
            <v>0</v>
          </cell>
          <cell r="AC277">
            <v>3</v>
          </cell>
          <cell r="AD277"/>
          <cell r="AE277">
            <v>0</v>
          </cell>
          <cell r="AF277">
            <v>1</v>
          </cell>
          <cell r="AG277">
            <v>0</v>
          </cell>
          <cell r="AH277">
            <v>1</v>
          </cell>
          <cell r="AI277">
            <v>0</v>
          </cell>
          <cell r="AJ277">
            <v>0</v>
          </cell>
          <cell r="AK277">
            <v>2.5</v>
          </cell>
        </row>
        <row r="278">
          <cell r="A278" t="str">
            <v>LT5526</v>
          </cell>
          <cell r="B278"/>
          <cell r="C278" t="str">
            <v>Reparo alavanta Câmbio</v>
          </cell>
          <cell r="D278" t="str">
            <v>LT CORREA</v>
          </cell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>
            <v>5</v>
          </cell>
          <cell r="W278">
            <v>5</v>
          </cell>
          <cell r="X278" t="str">
            <v/>
          </cell>
          <cell r="Y278" t="str">
            <v/>
          </cell>
          <cell r="Z278" t="str">
            <v/>
          </cell>
          <cell r="AA278">
            <v>8</v>
          </cell>
          <cell r="AB278">
            <v>8</v>
          </cell>
          <cell r="AC278">
            <v>0</v>
          </cell>
          <cell r="AD278"/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2.5</v>
          </cell>
        </row>
        <row r="279">
          <cell r="A279">
            <v>4043</v>
          </cell>
          <cell r="B279"/>
          <cell r="C279" t="str">
            <v>Capa Pedal</v>
          </cell>
          <cell r="D279" t="str">
            <v>HOLYMAN</v>
          </cell>
          <cell r="E279">
            <v>5</v>
          </cell>
          <cell r="F279" t="str">
            <v>Kit Capa De Pedal Vw Voyage 2008 A 2021</v>
          </cell>
          <cell r="G279"/>
          <cell r="H279">
            <v>0</v>
          </cell>
          <cell r="I279">
            <v>2</v>
          </cell>
          <cell r="J279" t="str">
            <v/>
          </cell>
          <cell r="K279">
            <v>2</v>
          </cell>
          <cell r="L279" t="str">
            <v/>
          </cell>
          <cell r="M279">
            <v>0</v>
          </cell>
          <cell r="N279" t="str">
            <v/>
          </cell>
          <cell r="O279" t="str">
            <v/>
          </cell>
          <cell r="P279" t="str">
            <v/>
          </cell>
          <cell r="Q279">
            <v>4</v>
          </cell>
          <cell r="R279">
            <v>4</v>
          </cell>
          <cell r="S279" t="str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 t="str">
            <v/>
          </cell>
          <cell r="Y279" t="str">
            <v/>
          </cell>
          <cell r="Z279" t="str">
            <v/>
          </cell>
          <cell r="AA279">
            <v>1</v>
          </cell>
          <cell r="AB279">
            <v>1</v>
          </cell>
          <cell r="AC279">
            <v>0</v>
          </cell>
          <cell r="AD279"/>
          <cell r="AE279">
            <v>0</v>
          </cell>
          <cell r="AF279">
            <v>9</v>
          </cell>
          <cell r="AG279">
            <v>9</v>
          </cell>
          <cell r="AH279">
            <v>0</v>
          </cell>
          <cell r="AI279">
            <v>0</v>
          </cell>
          <cell r="AJ279">
            <v>0</v>
          </cell>
          <cell r="AK279">
            <v>2.5</v>
          </cell>
        </row>
        <row r="280">
          <cell r="A280">
            <v>4053</v>
          </cell>
          <cell r="B280"/>
          <cell r="C280" t="str">
            <v>Capa Pedal</v>
          </cell>
          <cell r="D280" t="str">
            <v>HOLYMAN</v>
          </cell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>
            <v>1</v>
          </cell>
          <cell r="W280">
            <v>1</v>
          </cell>
          <cell r="X280" t="str">
            <v/>
          </cell>
          <cell r="Y280" t="str">
            <v/>
          </cell>
          <cell r="Z280" t="str">
            <v/>
          </cell>
          <cell r="AA280">
            <v>3</v>
          </cell>
          <cell r="AB280">
            <v>3</v>
          </cell>
          <cell r="AC280">
            <v>0</v>
          </cell>
          <cell r="AD280"/>
          <cell r="AE280">
            <v>0</v>
          </cell>
          <cell r="AF280">
            <v>4</v>
          </cell>
          <cell r="AG280">
            <v>4</v>
          </cell>
          <cell r="AH280">
            <v>0</v>
          </cell>
          <cell r="AI280">
            <v>0</v>
          </cell>
          <cell r="AJ280">
            <v>0</v>
          </cell>
          <cell r="AK280">
            <v>2.5</v>
          </cell>
        </row>
        <row r="281">
          <cell r="A281">
            <v>772033</v>
          </cell>
          <cell r="B281" t="str">
            <v>Sim</v>
          </cell>
          <cell r="C281" t="str">
            <v>Bandeja</v>
          </cell>
          <cell r="D281" t="str">
            <v>SPARE</v>
          </cell>
          <cell r="E281">
            <v>2</v>
          </cell>
          <cell r="F281" t="str">
            <v>Bandeja DIANTEIRA ESQUERDA COROLLA COM Pivô</v>
          </cell>
          <cell r="G281"/>
          <cell r="H281">
            <v>0</v>
          </cell>
          <cell r="I281">
            <v>0</v>
          </cell>
          <cell r="J281"/>
          <cell r="K281"/>
          <cell r="L281"/>
          <cell r="M281">
            <v>0</v>
          </cell>
          <cell r="N281" t="str">
            <v/>
          </cell>
          <cell r="O281">
            <v>0</v>
          </cell>
          <cell r="P281" t="str">
            <v/>
          </cell>
          <cell r="Q281">
            <v>1</v>
          </cell>
          <cell r="R281">
            <v>1</v>
          </cell>
          <cell r="S281">
            <v>0</v>
          </cell>
          <cell r="T281">
            <v>0</v>
          </cell>
          <cell r="U281">
            <v>0</v>
          </cell>
          <cell r="V281">
            <v>5</v>
          </cell>
          <cell r="W281">
            <v>2</v>
          </cell>
          <cell r="X281">
            <v>3</v>
          </cell>
          <cell r="Y281" t="str">
            <v/>
          </cell>
          <cell r="Z281" t="str">
            <v/>
          </cell>
          <cell r="AA281">
            <v>10</v>
          </cell>
          <cell r="AB281">
            <v>2</v>
          </cell>
          <cell r="AC281">
            <v>8</v>
          </cell>
          <cell r="AD281"/>
          <cell r="AE281">
            <v>0</v>
          </cell>
          <cell r="AF281">
            <v>8</v>
          </cell>
          <cell r="AG281">
            <v>0</v>
          </cell>
          <cell r="AH281">
            <v>8</v>
          </cell>
          <cell r="AI281">
            <v>0</v>
          </cell>
          <cell r="AJ281">
            <v>0</v>
          </cell>
          <cell r="AK281">
            <v>2.3333333333333335</v>
          </cell>
        </row>
        <row r="282">
          <cell r="A282">
            <v>222099</v>
          </cell>
          <cell r="B282" t="str">
            <v>Sim</v>
          </cell>
          <cell r="C282" t="str">
            <v>Bandeja</v>
          </cell>
          <cell r="D282" t="str">
            <v>SPARE</v>
          </cell>
          <cell r="E282">
            <v>2</v>
          </cell>
          <cell r="F282" t="str">
            <v>Bandeja INFERIOR TRASEIRA AMBOS LADOS ESCORT ATÉ 1992</v>
          </cell>
          <cell r="G282"/>
          <cell r="H282">
            <v>0</v>
          </cell>
          <cell r="I282">
            <v>0</v>
          </cell>
          <cell r="J282"/>
          <cell r="K282"/>
          <cell r="L282"/>
          <cell r="M282">
            <v>0</v>
          </cell>
          <cell r="N282" t="str">
            <v/>
          </cell>
          <cell r="O282">
            <v>0</v>
          </cell>
          <cell r="P282" t="str">
            <v/>
          </cell>
          <cell r="Q282">
            <v>0</v>
          </cell>
          <cell r="R282" t="str">
            <v>0</v>
          </cell>
          <cell r="S282">
            <v>0</v>
          </cell>
          <cell r="T282">
            <v>0</v>
          </cell>
          <cell r="U282">
            <v>0</v>
          </cell>
          <cell r="V282">
            <v>8</v>
          </cell>
          <cell r="W282">
            <v>0</v>
          </cell>
          <cell r="X282">
            <v>8</v>
          </cell>
          <cell r="Y282" t="str">
            <v/>
          </cell>
          <cell r="Z282" t="str">
            <v/>
          </cell>
          <cell r="AA282">
            <v>3</v>
          </cell>
          <cell r="AB282">
            <v>1</v>
          </cell>
          <cell r="AC282">
            <v>2</v>
          </cell>
          <cell r="AD282"/>
          <cell r="AE282">
            <v>0</v>
          </cell>
          <cell r="AF282">
            <v>6</v>
          </cell>
          <cell r="AG282">
            <v>0</v>
          </cell>
          <cell r="AH282">
            <v>6</v>
          </cell>
          <cell r="AI282">
            <v>0</v>
          </cell>
          <cell r="AJ282">
            <v>0</v>
          </cell>
          <cell r="AK282">
            <v>2.3333333333333335</v>
          </cell>
        </row>
        <row r="283">
          <cell r="A283">
            <v>552032</v>
          </cell>
          <cell r="B283" t="str">
            <v>Sim</v>
          </cell>
          <cell r="C283" t="str">
            <v>Bandeja</v>
          </cell>
          <cell r="D283" t="str">
            <v>SPARE</v>
          </cell>
          <cell r="E283">
            <v>2</v>
          </cell>
          <cell r="F283" t="str">
            <v>Bandeja Inferior Direita Com Pivô Citroen C3 2013 A 2022</v>
          </cell>
          <cell r="G283"/>
          <cell r="H283">
            <v>0</v>
          </cell>
          <cell r="I283">
            <v>0</v>
          </cell>
          <cell r="J283"/>
          <cell r="K283">
            <v>1</v>
          </cell>
          <cell r="L283"/>
          <cell r="M283">
            <v>4</v>
          </cell>
          <cell r="N283" t="str">
            <v/>
          </cell>
          <cell r="O283">
            <v>4</v>
          </cell>
          <cell r="P283" t="str">
            <v/>
          </cell>
          <cell r="Q283">
            <v>0</v>
          </cell>
          <cell r="R283" t="str">
            <v>0</v>
          </cell>
          <cell r="S283">
            <v>0</v>
          </cell>
          <cell r="T283">
            <v>0</v>
          </cell>
          <cell r="U283">
            <v>0</v>
          </cell>
          <cell r="V283">
            <v>6</v>
          </cell>
          <cell r="W283">
            <v>1</v>
          </cell>
          <cell r="X283">
            <v>3</v>
          </cell>
          <cell r="Y283" t="str">
            <v/>
          </cell>
          <cell r="Z283">
            <v>2</v>
          </cell>
          <cell r="AA283">
            <v>2</v>
          </cell>
          <cell r="AB283">
            <v>0</v>
          </cell>
          <cell r="AC283">
            <v>2</v>
          </cell>
          <cell r="AD283"/>
          <cell r="AE283">
            <v>0</v>
          </cell>
          <cell r="AF283">
            <v>4</v>
          </cell>
          <cell r="AG283">
            <v>0</v>
          </cell>
          <cell r="AH283">
            <v>3</v>
          </cell>
          <cell r="AI283">
            <v>0</v>
          </cell>
          <cell r="AJ283">
            <v>1</v>
          </cell>
          <cell r="AK283">
            <v>2.3333333333333335</v>
          </cell>
        </row>
        <row r="284">
          <cell r="A284" t="str">
            <v>FTK11030</v>
          </cell>
          <cell r="B284" t="str">
            <v>Sim</v>
          </cell>
          <cell r="C284" t="str">
            <v>Pivô</v>
          </cell>
          <cell r="D284" t="str">
            <v>SPARE</v>
          </cell>
          <cell r="E284">
            <v>2</v>
          </cell>
          <cell r="F284" t="str">
            <v>Pivô Da Bandeja Inferior Ambos Os Lados Kadett 1989 À 1998</v>
          </cell>
          <cell r="G284"/>
          <cell r="H284">
            <v>0</v>
          </cell>
          <cell r="I284">
            <v>6</v>
          </cell>
          <cell r="J284">
            <v>6</v>
          </cell>
          <cell r="K284" t="str">
            <v/>
          </cell>
          <cell r="L284" t="str">
            <v/>
          </cell>
          <cell r="M284">
            <v>0</v>
          </cell>
          <cell r="N284" t="str">
            <v/>
          </cell>
          <cell r="O284">
            <v>0</v>
          </cell>
          <cell r="P284" t="str">
            <v/>
          </cell>
          <cell r="Q284">
            <v>2</v>
          </cell>
          <cell r="R284" t="str">
            <v>0</v>
          </cell>
          <cell r="S284">
            <v>2</v>
          </cell>
          <cell r="T284">
            <v>0</v>
          </cell>
          <cell r="U284">
            <v>0</v>
          </cell>
          <cell r="V284">
            <v>2</v>
          </cell>
          <cell r="W284">
            <v>0</v>
          </cell>
          <cell r="X284">
            <v>2</v>
          </cell>
          <cell r="Y284" t="str">
            <v/>
          </cell>
          <cell r="Z284" t="str">
            <v/>
          </cell>
          <cell r="AA284">
            <v>2</v>
          </cell>
          <cell r="AB284">
            <v>0</v>
          </cell>
          <cell r="AC284">
            <v>2</v>
          </cell>
          <cell r="AD284"/>
          <cell r="AE284">
            <v>0</v>
          </cell>
          <cell r="AF284">
            <v>4</v>
          </cell>
          <cell r="AG284">
            <v>0</v>
          </cell>
          <cell r="AH284">
            <v>4</v>
          </cell>
          <cell r="AI284">
            <v>0</v>
          </cell>
          <cell r="AJ284">
            <v>0</v>
          </cell>
          <cell r="AK284">
            <v>2.3333333333333335</v>
          </cell>
        </row>
        <row r="285">
          <cell r="A285">
            <v>772111</v>
          </cell>
          <cell r="B285" t="str">
            <v>Sim</v>
          </cell>
          <cell r="C285" t="str">
            <v>Bandeja</v>
          </cell>
          <cell r="D285" t="str">
            <v>SPARE</v>
          </cell>
          <cell r="E285">
            <v>2</v>
          </cell>
          <cell r="F285" t="str">
            <v>Bandeja Dianteira Esquerda Sentra 2007 A 2012 Com Pivô</v>
          </cell>
          <cell r="G285"/>
          <cell r="H285">
            <v>3</v>
          </cell>
          <cell r="I285">
            <v>2</v>
          </cell>
          <cell r="J285">
            <v>2</v>
          </cell>
          <cell r="K285" t="str">
            <v/>
          </cell>
          <cell r="L285" t="str">
            <v/>
          </cell>
          <cell r="M285">
            <v>2</v>
          </cell>
          <cell r="N285" t="str">
            <v/>
          </cell>
          <cell r="O285">
            <v>2</v>
          </cell>
          <cell r="P285" t="str">
            <v/>
          </cell>
          <cell r="Q285">
            <v>3</v>
          </cell>
          <cell r="R285" t="str">
            <v>0</v>
          </cell>
          <cell r="S285">
            <v>3</v>
          </cell>
          <cell r="T285">
            <v>0</v>
          </cell>
          <cell r="U285">
            <v>0</v>
          </cell>
          <cell r="V285">
            <v>1</v>
          </cell>
          <cell r="W285">
            <v>0</v>
          </cell>
          <cell r="X285">
            <v>1</v>
          </cell>
          <cell r="Y285" t="str">
            <v/>
          </cell>
          <cell r="Z285" t="str">
            <v/>
          </cell>
          <cell r="AA285">
            <v>2</v>
          </cell>
          <cell r="AB285">
            <v>0</v>
          </cell>
          <cell r="AC285">
            <v>2</v>
          </cell>
          <cell r="AD285"/>
          <cell r="AE285">
            <v>0</v>
          </cell>
          <cell r="AF285">
            <v>3</v>
          </cell>
          <cell r="AG285">
            <v>0</v>
          </cell>
          <cell r="AH285">
            <v>3</v>
          </cell>
          <cell r="AI285">
            <v>0</v>
          </cell>
          <cell r="AJ285">
            <v>0</v>
          </cell>
          <cell r="AK285">
            <v>2.3333333333333335</v>
          </cell>
        </row>
        <row r="286">
          <cell r="A286">
            <v>112023</v>
          </cell>
          <cell r="B286" t="str">
            <v>Sim</v>
          </cell>
          <cell r="C286" t="str">
            <v>Bandeja</v>
          </cell>
          <cell r="D286" t="str">
            <v>SPARE</v>
          </cell>
          <cell r="E286">
            <v>2</v>
          </cell>
          <cell r="F286" t="str">
            <v>Bandeja  Esquerda Palio 1996 Á 2001 Sem Pivô</v>
          </cell>
          <cell r="G286"/>
          <cell r="H286">
            <v>2</v>
          </cell>
          <cell r="I286">
            <v>4</v>
          </cell>
          <cell r="J286">
            <v>2</v>
          </cell>
          <cell r="K286">
            <v>2</v>
          </cell>
          <cell r="L286" t="str">
            <v/>
          </cell>
          <cell r="M286">
            <v>5</v>
          </cell>
          <cell r="N286">
            <v>1</v>
          </cell>
          <cell r="O286">
            <v>4</v>
          </cell>
          <cell r="P286" t="str">
            <v/>
          </cell>
          <cell r="Q286">
            <v>1</v>
          </cell>
          <cell r="R286" t="str">
            <v>0</v>
          </cell>
          <cell r="S286">
            <v>1</v>
          </cell>
          <cell r="T286">
            <v>0</v>
          </cell>
          <cell r="U286">
            <v>0</v>
          </cell>
          <cell r="V286">
            <v>1</v>
          </cell>
          <cell r="W286">
            <v>1</v>
          </cell>
          <cell r="X286" t="str">
            <v/>
          </cell>
          <cell r="Y286" t="str">
            <v/>
          </cell>
          <cell r="Z286" t="str">
            <v/>
          </cell>
          <cell r="AA286">
            <v>5</v>
          </cell>
          <cell r="AB286">
            <v>1</v>
          </cell>
          <cell r="AC286">
            <v>4</v>
          </cell>
          <cell r="AD286"/>
          <cell r="AE286">
            <v>0</v>
          </cell>
          <cell r="AF286">
            <v>1</v>
          </cell>
          <cell r="AG286">
            <v>0</v>
          </cell>
          <cell r="AH286">
            <v>1</v>
          </cell>
          <cell r="AI286">
            <v>0</v>
          </cell>
          <cell r="AJ286">
            <v>0</v>
          </cell>
          <cell r="AK286">
            <v>2.3333333333333335</v>
          </cell>
        </row>
        <row r="287">
          <cell r="A287">
            <v>5001</v>
          </cell>
          <cell r="B287"/>
          <cell r="C287" t="str">
            <v>Bieleta</v>
          </cell>
          <cell r="D287" t="str">
            <v>HOLYMAN</v>
          </cell>
          <cell r="E287">
            <v>5</v>
          </cell>
          <cell r="F287" t="str">
            <v>Bieleta Dianteira Fiesta 1996 A 2002</v>
          </cell>
          <cell r="G287"/>
          <cell r="H287">
            <v>8</v>
          </cell>
          <cell r="I287">
            <v>0</v>
          </cell>
          <cell r="J287">
            <v>0</v>
          </cell>
          <cell r="K287" t="str">
            <v/>
          </cell>
          <cell r="L287" t="str">
            <v/>
          </cell>
          <cell r="M287">
            <v>2</v>
          </cell>
          <cell r="N287" t="str">
            <v/>
          </cell>
          <cell r="O287">
            <v>2</v>
          </cell>
          <cell r="P287" t="str">
            <v/>
          </cell>
          <cell r="Q287">
            <v>0</v>
          </cell>
          <cell r="R287" t="str">
            <v>0</v>
          </cell>
          <cell r="S287">
            <v>0</v>
          </cell>
          <cell r="T287">
            <v>0</v>
          </cell>
          <cell r="U287">
            <v>0</v>
          </cell>
          <cell r="V287">
            <v>4</v>
          </cell>
          <cell r="W287">
            <v>0</v>
          </cell>
          <cell r="X287">
            <v>4</v>
          </cell>
          <cell r="Y287" t="str">
            <v/>
          </cell>
          <cell r="Z287" t="str">
            <v/>
          </cell>
          <cell r="AA287">
            <v>4</v>
          </cell>
          <cell r="AB287">
            <v>0</v>
          </cell>
          <cell r="AC287">
            <v>4</v>
          </cell>
          <cell r="AD287"/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2.3333333333333335</v>
          </cell>
        </row>
        <row r="288">
          <cell r="A288">
            <v>77032</v>
          </cell>
          <cell r="B288" t="str">
            <v>Sim</v>
          </cell>
          <cell r="C288" t="str">
            <v>Cabo Embreagem</v>
          </cell>
          <cell r="D288" t="str">
            <v>MundiFlex</v>
          </cell>
          <cell r="E288">
            <v>6</v>
          </cell>
          <cell r="F288" t="str">
            <v>Cabo De Embreagem Montana Nova 2012 A 2016</v>
          </cell>
          <cell r="G288"/>
          <cell r="H288">
            <v>2</v>
          </cell>
          <cell r="I288">
            <v>3</v>
          </cell>
          <cell r="J288" t="str">
            <v/>
          </cell>
          <cell r="K288">
            <v>3</v>
          </cell>
          <cell r="L288" t="str">
            <v/>
          </cell>
          <cell r="M288">
            <v>3</v>
          </cell>
          <cell r="N288">
            <v>3</v>
          </cell>
          <cell r="O288" t="str">
            <v/>
          </cell>
          <cell r="P288" t="str">
            <v/>
          </cell>
          <cell r="Q288">
            <v>3</v>
          </cell>
          <cell r="R288">
            <v>3</v>
          </cell>
          <cell r="S288" t="str">
            <v>0</v>
          </cell>
          <cell r="T288">
            <v>0</v>
          </cell>
          <cell r="U288">
            <v>0</v>
          </cell>
          <cell r="V288">
            <v>3</v>
          </cell>
          <cell r="W288">
            <v>3</v>
          </cell>
          <cell r="X288" t="str">
            <v/>
          </cell>
          <cell r="Y288" t="str">
            <v/>
          </cell>
          <cell r="Z288" t="str">
            <v/>
          </cell>
          <cell r="AA288">
            <v>1</v>
          </cell>
          <cell r="AB288">
            <v>1</v>
          </cell>
          <cell r="AC288">
            <v>0</v>
          </cell>
          <cell r="AD288"/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2.3333333333333335</v>
          </cell>
        </row>
        <row r="289">
          <cell r="A289">
            <v>772110</v>
          </cell>
          <cell r="B289" t="str">
            <v>Sim</v>
          </cell>
          <cell r="C289" t="str">
            <v>Bandeja</v>
          </cell>
          <cell r="D289" t="str">
            <v>SPARE</v>
          </cell>
          <cell r="E289">
            <v>2</v>
          </cell>
          <cell r="F289" t="str">
            <v>Bandeja Dianteira Direita Com Pivô Sentra 2007 A 2012</v>
          </cell>
          <cell r="G289"/>
          <cell r="H289">
            <v>2</v>
          </cell>
          <cell r="I289">
            <v>2</v>
          </cell>
          <cell r="J289">
            <v>2</v>
          </cell>
          <cell r="K289" t="str">
            <v/>
          </cell>
          <cell r="L289" t="str">
            <v/>
          </cell>
          <cell r="M289">
            <v>2</v>
          </cell>
          <cell r="N289" t="str">
            <v/>
          </cell>
          <cell r="O289">
            <v>2</v>
          </cell>
          <cell r="P289" t="str">
            <v/>
          </cell>
          <cell r="Q289">
            <v>3</v>
          </cell>
          <cell r="R289" t="str">
            <v>0</v>
          </cell>
          <cell r="S289">
            <v>3</v>
          </cell>
          <cell r="T289">
            <v>0</v>
          </cell>
          <cell r="U289">
            <v>0</v>
          </cell>
          <cell r="V289">
            <v>1</v>
          </cell>
          <cell r="W289">
            <v>0</v>
          </cell>
          <cell r="X289">
            <v>1</v>
          </cell>
          <cell r="Y289" t="str">
            <v/>
          </cell>
          <cell r="Z289" t="str">
            <v/>
          </cell>
          <cell r="AA289">
            <v>2</v>
          </cell>
          <cell r="AB289">
            <v>0</v>
          </cell>
          <cell r="AC289">
            <v>2</v>
          </cell>
          <cell r="AD289"/>
          <cell r="AE289">
            <v>0</v>
          </cell>
          <cell r="AF289">
            <v>3</v>
          </cell>
          <cell r="AG289">
            <v>0</v>
          </cell>
          <cell r="AH289">
            <v>3</v>
          </cell>
          <cell r="AI289">
            <v>0</v>
          </cell>
          <cell r="AJ289">
            <v>0</v>
          </cell>
          <cell r="AK289">
            <v>2.1666666666666665</v>
          </cell>
        </row>
        <row r="290">
          <cell r="A290">
            <v>77366</v>
          </cell>
          <cell r="B290" t="str">
            <v>Sim</v>
          </cell>
          <cell r="C290" t="str">
            <v>Cabo Câmbio</v>
          </cell>
          <cell r="D290" t="str">
            <v>Importação</v>
          </cell>
          <cell r="E290">
            <v>1</v>
          </cell>
          <cell r="F290" t="str">
            <v>Cabo De Engate E Seleção Prisma 2014 Em Diante</v>
          </cell>
          <cell r="G290"/>
          <cell r="H290">
            <v>3</v>
          </cell>
          <cell r="I290">
            <v>2</v>
          </cell>
          <cell r="J290" t="str">
            <v/>
          </cell>
          <cell r="K290">
            <v>2</v>
          </cell>
          <cell r="L290" t="str">
            <v/>
          </cell>
          <cell r="M290">
            <v>6</v>
          </cell>
          <cell r="N290">
            <v>6</v>
          </cell>
          <cell r="O290" t="str">
            <v/>
          </cell>
          <cell r="P290" t="str">
            <v/>
          </cell>
          <cell r="Q290">
            <v>2</v>
          </cell>
          <cell r="R290">
            <v>2</v>
          </cell>
          <cell r="S290" t="str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 t="str">
            <v/>
          </cell>
          <cell r="Y290" t="str">
            <v/>
          </cell>
          <cell r="Z290" t="str">
            <v/>
          </cell>
          <cell r="AA290">
            <v>2</v>
          </cell>
          <cell r="AB290">
            <v>1</v>
          </cell>
          <cell r="AC290">
            <v>0</v>
          </cell>
          <cell r="AD290"/>
          <cell r="AE290">
            <v>1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2.1666666666666665</v>
          </cell>
        </row>
        <row r="291">
          <cell r="A291">
            <v>90501</v>
          </cell>
          <cell r="B291" t="str">
            <v>Sim</v>
          </cell>
          <cell r="C291" t="str">
            <v>Reparo alavanta Câmbio</v>
          </cell>
          <cell r="D291" t="str">
            <v>BRK</v>
          </cell>
          <cell r="E291">
            <v>8</v>
          </cell>
          <cell r="F291" t="str">
            <v>Kit Reparo Trambulador Com Mola Megane Até 2004</v>
          </cell>
          <cell r="G291"/>
          <cell r="H291">
            <v>2</v>
          </cell>
          <cell r="I291">
            <v>2</v>
          </cell>
          <cell r="J291" t="str">
            <v/>
          </cell>
          <cell r="K291">
            <v>2</v>
          </cell>
          <cell r="L291" t="str">
            <v/>
          </cell>
          <cell r="M291">
            <v>4</v>
          </cell>
          <cell r="N291">
            <v>4</v>
          </cell>
          <cell r="O291" t="str">
            <v/>
          </cell>
          <cell r="P291" t="str">
            <v/>
          </cell>
          <cell r="Q291">
            <v>1</v>
          </cell>
          <cell r="R291">
            <v>1</v>
          </cell>
          <cell r="S291" t="str">
            <v>0</v>
          </cell>
          <cell r="T291">
            <v>0</v>
          </cell>
          <cell r="U291">
            <v>0</v>
          </cell>
          <cell r="V291">
            <v>4</v>
          </cell>
          <cell r="W291">
            <v>4</v>
          </cell>
          <cell r="X291" t="str">
            <v/>
          </cell>
          <cell r="Y291" t="str">
            <v/>
          </cell>
          <cell r="Z291" t="str">
            <v/>
          </cell>
          <cell r="AA291">
            <v>2</v>
          </cell>
          <cell r="AB291">
            <v>2</v>
          </cell>
          <cell r="AC291">
            <v>0</v>
          </cell>
          <cell r="AD291"/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2.1666666666666665</v>
          </cell>
        </row>
        <row r="292">
          <cell r="A292">
            <v>2325</v>
          </cell>
          <cell r="B292" t="str">
            <v>Sim</v>
          </cell>
          <cell r="C292" t="str">
            <v>Reparo alavanta Câmbio</v>
          </cell>
          <cell r="D292" t="str">
            <v>LT CORREA</v>
          </cell>
          <cell r="E292">
            <v>3</v>
          </cell>
          <cell r="F292" t="str">
            <v>Bucha Reparo Alavanca Trambulador Astra 1993 A 2006</v>
          </cell>
          <cell r="G292"/>
          <cell r="H292">
            <v>5</v>
          </cell>
          <cell r="I292">
            <v>2</v>
          </cell>
          <cell r="J292">
            <v>2</v>
          </cell>
          <cell r="K292" t="str">
            <v/>
          </cell>
          <cell r="L292" t="str">
            <v/>
          </cell>
          <cell r="M292">
            <v>2</v>
          </cell>
          <cell r="N292">
            <v>2</v>
          </cell>
          <cell r="O292">
            <v>0</v>
          </cell>
          <cell r="P292" t="str">
            <v/>
          </cell>
          <cell r="Q292">
            <v>4</v>
          </cell>
          <cell r="R292" t="str">
            <v>0</v>
          </cell>
          <cell r="S292">
            <v>0</v>
          </cell>
          <cell r="T292">
            <v>0</v>
          </cell>
          <cell r="U292">
            <v>4</v>
          </cell>
          <cell r="V292">
            <v>0</v>
          </cell>
          <cell r="W292">
            <v>0</v>
          </cell>
          <cell r="X292" t="str">
            <v/>
          </cell>
          <cell r="Y292" t="str">
            <v/>
          </cell>
          <cell r="Z292" t="str">
            <v/>
          </cell>
          <cell r="AA292">
            <v>0</v>
          </cell>
          <cell r="AB292">
            <v>0</v>
          </cell>
          <cell r="AC292">
            <v>0</v>
          </cell>
          <cell r="AD292"/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2.1666666666666665</v>
          </cell>
        </row>
        <row r="293">
          <cell r="A293">
            <v>772034</v>
          </cell>
          <cell r="B293" t="str">
            <v>Sim</v>
          </cell>
          <cell r="C293" t="str">
            <v>Bandeja</v>
          </cell>
          <cell r="D293" t="str">
            <v>SPARE</v>
          </cell>
          <cell r="E293">
            <v>2</v>
          </cell>
          <cell r="F293" t="str">
            <v>Bandeja DIANTEIRA DIREITA COROLLA COM Pivô</v>
          </cell>
          <cell r="G293"/>
          <cell r="H293">
            <v>0</v>
          </cell>
          <cell r="I293">
            <v>0</v>
          </cell>
          <cell r="J293"/>
          <cell r="K293"/>
          <cell r="L293"/>
          <cell r="M293">
            <v>0</v>
          </cell>
          <cell r="N293" t="str">
            <v/>
          </cell>
          <cell r="O293">
            <v>0</v>
          </cell>
          <cell r="P293" t="str">
            <v/>
          </cell>
          <cell r="Q293">
            <v>0</v>
          </cell>
          <cell r="R293" t="str">
            <v>0</v>
          </cell>
          <cell r="S293">
            <v>0</v>
          </cell>
          <cell r="T293">
            <v>0</v>
          </cell>
          <cell r="U293">
            <v>0</v>
          </cell>
          <cell r="V293">
            <v>4</v>
          </cell>
          <cell r="W293">
            <v>1</v>
          </cell>
          <cell r="X293">
            <v>3</v>
          </cell>
          <cell r="Y293" t="str">
            <v/>
          </cell>
          <cell r="Z293" t="str">
            <v/>
          </cell>
          <cell r="AA293">
            <v>10</v>
          </cell>
          <cell r="AB293">
            <v>2</v>
          </cell>
          <cell r="AC293">
            <v>8</v>
          </cell>
          <cell r="AD293"/>
          <cell r="AE293">
            <v>0</v>
          </cell>
          <cell r="AF293">
            <v>8</v>
          </cell>
          <cell r="AG293">
            <v>0</v>
          </cell>
          <cell r="AH293">
            <v>8</v>
          </cell>
          <cell r="AI293">
            <v>0</v>
          </cell>
          <cell r="AJ293">
            <v>0</v>
          </cell>
          <cell r="AK293">
            <v>2</v>
          </cell>
        </row>
        <row r="294">
          <cell r="A294" t="str">
            <v>FTK625</v>
          </cell>
          <cell r="B294"/>
          <cell r="C294" t="str">
            <v>Coifa Homocinética</v>
          </cell>
          <cell r="D294" t="str">
            <v>Replabor</v>
          </cell>
          <cell r="E294"/>
          <cell r="F294" t="str">
            <v>COIFA HOMOCINETICA LADO RODA AX 1993 A 1995</v>
          </cell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>
            <v>1</v>
          </cell>
          <cell r="AB294"/>
          <cell r="AC294">
            <v>1</v>
          </cell>
          <cell r="AD294"/>
          <cell r="AE294">
            <v>0</v>
          </cell>
          <cell r="AF294">
            <v>2</v>
          </cell>
          <cell r="AG294">
            <v>0</v>
          </cell>
          <cell r="AH294">
            <v>2</v>
          </cell>
          <cell r="AI294">
            <v>0</v>
          </cell>
          <cell r="AJ294">
            <v>0</v>
          </cell>
          <cell r="AK294">
            <v>2</v>
          </cell>
        </row>
        <row r="295">
          <cell r="A295" t="str">
            <v>FTK11026</v>
          </cell>
          <cell r="B295"/>
          <cell r="C295" t="str">
            <v>Pivô</v>
          </cell>
          <cell r="D295" t="str">
            <v>SPARE</v>
          </cell>
          <cell r="E295">
            <v>2</v>
          </cell>
          <cell r="F295" t="str">
            <v xml:space="preserve">Pivô Inferior Bandeja Dianteira Celta 2001 À 2002  </v>
          </cell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>
            <v>2</v>
          </cell>
          <cell r="R295"/>
          <cell r="S295"/>
          <cell r="T295"/>
          <cell r="U295">
            <v>2</v>
          </cell>
          <cell r="V295">
            <v>0</v>
          </cell>
          <cell r="W295">
            <v>0</v>
          </cell>
          <cell r="X295" t="str">
            <v/>
          </cell>
          <cell r="Y295" t="str">
            <v/>
          </cell>
          <cell r="Z295" t="str">
            <v/>
          </cell>
          <cell r="AA295">
            <v>30</v>
          </cell>
          <cell r="AB295">
            <v>0</v>
          </cell>
          <cell r="AC295">
            <v>2</v>
          </cell>
          <cell r="AD295"/>
          <cell r="AE295">
            <v>28</v>
          </cell>
          <cell r="AF295">
            <v>4</v>
          </cell>
          <cell r="AG295">
            <v>0</v>
          </cell>
          <cell r="AH295">
            <v>0</v>
          </cell>
          <cell r="AI295">
            <v>0</v>
          </cell>
          <cell r="AJ295">
            <v>4</v>
          </cell>
          <cell r="AK295">
            <v>2</v>
          </cell>
        </row>
        <row r="296">
          <cell r="A296">
            <v>6401</v>
          </cell>
          <cell r="B296" t="str">
            <v>Sim</v>
          </cell>
          <cell r="C296" t="str">
            <v>Bieleta</v>
          </cell>
          <cell r="D296" t="str">
            <v>HOLYMAN</v>
          </cell>
          <cell r="E296">
            <v>5</v>
          </cell>
          <cell r="F296" t="str">
            <v>Bieleta Barra Dianteira Zx 10mm</v>
          </cell>
          <cell r="G296"/>
          <cell r="H296">
            <v>2</v>
          </cell>
          <cell r="I296">
            <v>3</v>
          </cell>
          <cell r="J296">
            <v>0</v>
          </cell>
          <cell r="K296">
            <v>3</v>
          </cell>
          <cell r="L296" t="str">
            <v/>
          </cell>
          <cell r="M296">
            <v>3</v>
          </cell>
          <cell r="N296">
            <v>3</v>
          </cell>
          <cell r="O296">
            <v>0</v>
          </cell>
          <cell r="P296" t="str">
            <v/>
          </cell>
          <cell r="Q296">
            <v>0</v>
          </cell>
          <cell r="R296" t="str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 t="str">
            <v/>
          </cell>
          <cell r="Y296" t="str">
            <v/>
          </cell>
          <cell r="Z296" t="str">
            <v/>
          </cell>
          <cell r="AA296">
            <v>5</v>
          </cell>
          <cell r="AB296">
            <v>1</v>
          </cell>
          <cell r="AC296">
            <v>4</v>
          </cell>
          <cell r="AD296"/>
          <cell r="AE296">
            <v>0</v>
          </cell>
          <cell r="AF296">
            <v>4</v>
          </cell>
          <cell r="AG296">
            <v>0</v>
          </cell>
          <cell r="AH296">
            <v>4</v>
          </cell>
          <cell r="AI296">
            <v>0</v>
          </cell>
          <cell r="AJ296">
            <v>0</v>
          </cell>
          <cell r="AK296">
            <v>2</v>
          </cell>
        </row>
        <row r="297">
          <cell r="A297">
            <v>8001</v>
          </cell>
          <cell r="B297"/>
          <cell r="C297" t="str">
            <v>Bieleta</v>
          </cell>
          <cell r="D297" t="str">
            <v>HOLYMAN</v>
          </cell>
          <cell r="E297">
            <v>5</v>
          </cell>
          <cell r="F297" t="str">
            <v>Bieleta Traseira Land Rover Freelander 2 2008 A 2014</v>
          </cell>
          <cell r="G297"/>
          <cell r="H297">
            <v>0</v>
          </cell>
          <cell r="I297">
            <v>2</v>
          </cell>
          <cell r="J297">
            <v>2</v>
          </cell>
          <cell r="K297" t="str">
            <v/>
          </cell>
          <cell r="L297" t="str">
            <v/>
          </cell>
          <cell r="M297">
            <v>2</v>
          </cell>
          <cell r="N297" t="str">
            <v/>
          </cell>
          <cell r="O297">
            <v>2</v>
          </cell>
          <cell r="P297" t="str">
            <v/>
          </cell>
          <cell r="Q297">
            <v>0</v>
          </cell>
          <cell r="R297" t="str">
            <v>0</v>
          </cell>
          <cell r="S297">
            <v>0</v>
          </cell>
          <cell r="T297">
            <v>0</v>
          </cell>
          <cell r="U297">
            <v>0</v>
          </cell>
          <cell r="V297">
            <v>4</v>
          </cell>
          <cell r="W297">
            <v>0</v>
          </cell>
          <cell r="X297">
            <v>4</v>
          </cell>
          <cell r="Y297" t="str">
            <v/>
          </cell>
          <cell r="Z297" t="str">
            <v/>
          </cell>
          <cell r="AA297">
            <v>0</v>
          </cell>
          <cell r="AB297">
            <v>0</v>
          </cell>
          <cell r="AC297">
            <v>0</v>
          </cell>
          <cell r="AD297"/>
          <cell r="AE297">
            <v>0</v>
          </cell>
          <cell r="AF297">
            <v>4</v>
          </cell>
          <cell r="AG297">
            <v>0</v>
          </cell>
          <cell r="AH297">
            <v>4</v>
          </cell>
          <cell r="AI297">
            <v>0</v>
          </cell>
          <cell r="AJ297">
            <v>0</v>
          </cell>
          <cell r="AK297">
            <v>2</v>
          </cell>
        </row>
        <row r="298">
          <cell r="A298">
            <v>772246</v>
          </cell>
          <cell r="B298" t="str">
            <v>Sim</v>
          </cell>
          <cell r="C298" t="str">
            <v>Bandeja</v>
          </cell>
          <cell r="D298" t="str">
            <v>SPARE</v>
          </cell>
          <cell r="E298">
            <v>2</v>
          </cell>
          <cell r="F298" t="str">
            <v>Bandeja Inferior Direita Com Pivô Etios 2012 A 2018</v>
          </cell>
          <cell r="G298"/>
          <cell r="H298">
            <v>2</v>
          </cell>
          <cell r="I298">
            <v>0</v>
          </cell>
          <cell r="J298">
            <v>0</v>
          </cell>
          <cell r="K298" t="str">
            <v/>
          </cell>
          <cell r="L298" t="str">
            <v/>
          </cell>
          <cell r="M298">
            <v>1</v>
          </cell>
          <cell r="N298">
            <v>1</v>
          </cell>
          <cell r="O298">
            <v>0</v>
          </cell>
          <cell r="P298" t="str">
            <v/>
          </cell>
          <cell r="Q298">
            <v>2</v>
          </cell>
          <cell r="R298">
            <v>1</v>
          </cell>
          <cell r="S298">
            <v>1</v>
          </cell>
          <cell r="T298">
            <v>0</v>
          </cell>
          <cell r="U298">
            <v>0</v>
          </cell>
          <cell r="V298">
            <v>4</v>
          </cell>
          <cell r="W298">
            <v>1</v>
          </cell>
          <cell r="X298">
            <v>3</v>
          </cell>
          <cell r="Y298" t="str">
            <v/>
          </cell>
          <cell r="Z298" t="str">
            <v/>
          </cell>
          <cell r="AA298">
            <v>2</v>
          </cell>
          <cell r="AB298">
            <v>1</v>
          </cell>
          <cell r="AC298">
            <v>1</v>
          </cell>
          <cell r="AD298"/>
          <cell r="AE298">
            <v>0</v>
          </cell>
          <cell r="AF298">
            <v>3</v>
          </cell>
          <cell r="AG298">
            <v>0</v>
          </cell>
          <cell r="AH298">
            <v>3</v>
          </cell>
          <cell r="AI298">
            <v>0</v>
          </cell>
          <cell r="AJ298">
            <v>0</v>
          </cell>
          <cell r="AK298">
            <v>2</v>
          </cell>
        </row>
        <row r="299">
          <cell r="A299">
            <v>772247</v>
          </cell>
          <cell r="B299" t="str">
            <v>Sim</v>
          </cell>
          <cell r="C299" t="str">
            <v>Bandeja</v>
          </cell>
          <cell r="D299" t="str">
            <v>SPARE</v>
          </cell>
          <cell r="E299">
            <v>2</v>
          </cell>
          <cell r="F299" t="str">
            <v>Bandeja Inferior Esquerda Com Pivô Etios 2012 A 2018</v>
          </cell>
          <cell r="G299"/>
          <cell r="H299">
            <v>4</v>
          </cell>
          <cell r="I299">
            <v>1</v>
          </cell>
          <cell r="J299">
            <v>0</v>
          </cell>
          <cell r="K299">
            <v>1</v>
          </cell>
          <cell r="L299" t="str">
            <v/>
          </cell>
          <cell r="M299">
            <v>0</v>
          </cell>
          <cell r="N299" t="str">
            <v/>
          </cell>
          <cell r="O299">
            <v>0</v>
          </cell>
          <cell r="P299" t="str">
            <v/>
          </cell>
          <cell r="Q299">
            <v>1</v>
          </cell>
          <cell r="R299" t="str">
            <v>0</v>
          </cell>
          <cell r="S299">
            <v>1</v>
          </cell>
          <cell r="T299">
            <v>0</v>
          </cell>
          <cell r="U299">
            <v>0</v>
          </cell>
          <cell r="V299">
            <v>3</v>
          </cell>
          <cell r="W299">
            <v>0</v>
          </cell>
          <cell r="X299">
            <v>3</v>
          </cell>
          <cell r="Y299" t="str">
            <v/>
          </cell>
          <cell r="Z299" t="str">
            <v/>
          </cell>
          <cell r="AA299">
            <v>2</v>
          </cell>
          <cell r="AB299">
            <v>1</v>
          </cell>
          <cell r="AC299">
            <v>1</v>
          </cell>
          <cell r="AD299"/>
          <cell r="AE299">
            <v>0</v>
          </cell>
          <cell r="AF299">
            <v>3</v>
          </cell>
          <cell r="AG299">
            <v>0</v>
          </cell>
          <cell r="AH299">
            <v>3</v>
          </cell>
          <cell r="AI299">
            <v>0</v>
          </cell>
          <cell r="AJ299">
            <v>0</v>
          </cell>
          <cell r="AK299">
            <v>2</v>
          </cell>
        </row>
        <row r="300">
          <cell r="A300" t="str">
            <v>20W50-MAX</v>
          </cell>
          <cell r="B300"/>
          <cell r="C300" t="str">
            <v>Óleo</v>
          </cell>
          <cell r="D300" t="str">
            <v>Maxi Lubrificantes</v>
          </cell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>
            <v>4</v>
          </cell>
          <cell r="AA300">
            <v>12</v>
          </cell>
          <cell r="AB300">
            <v>0</v>
          </cell>
          <cell r="AC300">
            <v>0</v>
          </cell>
          <cell r="AD300"/>
          <cell r="AE300">
            <v>12</v>
          </cell>
          <cell r="AF300">
            <v>2</v>
          </cell>
          <cell r="AG300">
            <v>0</v>
          </cell>
          <cell r="AH300">
            <v>0</v>
          </cell>
          <cell r="AI300">
            <v>0</v>
          </cell>
          <cell r="AJ300">
            <v>2</v>
          </cell>
          <cell r="AK300">
            <v>2</v>
          </cell>
        </row>
        <row r="301">
          <cell r="A301" t="str">
            <v>NZT563644</v>
          </cell>
          <cell r="B301"/>
          <cell r="C301" t="str">
            <v>Rolamento Roda</v>
          </cell>
          <cell r="D301" t="str">
            <v>POLO</v>
          </cell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>
            <v>4</v>
          </cell>
          <cell r="AB301">
            <v>0</v>
          </cell>
          <cell r="AC301">
            <v>4</v>
          </cell>
          <cell r="AD301"/>
          <cell r="AE301">
            <v>0</v>
          </cell>
          <cell r="AF301">
            <v>2</v>
          </cell>
          <cell r="AG301">
            <v>0</v>
          </cell>
          <cell r="AH301">
            <v>2</v>
          </cell>
          <cell r="AI301">
            <v>0</v>
          </cell>
          <cell r="AJ301">
            <v>0</v>
          </cell>
          <cell r="AK301">
            <v>2</v>
          </cell>
        </row>
        <row r="302">
          <cell r="A302" t="str">
            <v>FTK18505</v>
          </cell>
          <cell r="B302"/>
          <cell r="C302" t="str">
            <v>Rolamento Roda</v>
          </cell>
          <cell r="D302"/>
          <cell r="E302"/>
          <cell r="F302" t="str">
            <v>ROLAMENTO RODA TRASEIRA DODGE DURANGO 2011 A 2017</v>
          </cell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>
            <v>2</v>
          </cell>
          <cell r="AB302"/>
          <cell r="AC302">
            <v>2</v>
          </cell>
          <cell r="AD302"/>
          <cell r="AE302">
            <v>0</v>
          </cell>
          <cell r="AF302">
            <v>2</v>
          </cell>
          <cell r="AG302">
            <v>0</v>
          </cell>
          <cell r="AH302">
            <v>2</v>
          </cell>
          <cell r="AI302">
            <v>0</v>
          </cell>
          <cell r="AJ302">
            <v>0</v>
          </cell>
          <cell r="AK302">
            <v>2</v>
          </cell>
        </row>
        <row r="303">
          <cell r="A303">
            <v>6210</v>
          </cell>
          <cell r="B303"/>
          <cell r="C303" t="str">
            <v>Bieleta</v>
          </cell>
          <cell r="D303" t="str">
            <v>HOLYMAN</v>
          </cell>
          <cell r="E303">
            <v>5</v>
          </cell>
          <cell r="F303" t="str">
            <v>Bieleta Dianteira Direita Nissan Altima 2013 A 2019</v>
          </cell>
          <cell r="G303"/>
          <cell r="H303">
            <v>4</v>
          </cell>
          <cell r="I303">
            <v>3</v>
          </cell>
          <cell r="J303">
            <v>3</v>
          </cell>
          <cell r="K303" t="str">
            <v/>
          </cell>
          <cell r="L303" t="str">
            <v/>
          </cell>
          <cell r="M303">
            <v>2</v>
          </cell>
          <cell r="N303" t="str">
            <v/>
          </cell>
          <cell r="O303">
            <v>2</v>
          </cell>
          <cell r="P303" t="str">
            <v/>
          </cell>
          <cell r="Q303">
            <v>1</v>
          </cell>
          <cell r="R303" t="str">
            <v>0</v>
          </cell>
          <cell r="S303">
            <v>1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 t="str">
            <v/>
          </cell>
          <cell r="Y303" t="str">
            <v/>
          </cell>
          <cell r="Z303" t="str">
            <v/>
          </cell>
          <cell r="AA303">
            <v>0</v>
          </cell>
          <cell r="AB303">
            <v>0</v>
          </cell>
          <cell r="AC303">
            <v>0</v>
          </cell>
          <cell r="AD303"/>
          <cell r="AE303">
            <v>0</v>
          </cell>
          <cell r="AF303">
            <v>2</v>
          </cell>
          <cell r="AG303">
            <v>0</v>
          </cell>
          <cell r="AH303">
            <v>2</v>
          </cell>
          <cell r="AI303">
            <v>0</v>
          </cell>
          <cell r="AJ303">
            <v>0</v>
          </cell>
          <cell r="AK303">
            <v>2</v>
          </cell>
        </row>
        <row r="304">
          <cell r="A304" t="str">
            <v>OC506</v>
          </cell>
          <cell r="B304"/>
          <cell r="C304" t="str">
            <v>Filtro de óleo</v>
          </cell>
          <cell r="D304" t="str">
            <v>RMP</v>
          </cell>
          <cell r="E304"/>
          <cell r="F304" t="str">
            <v xml:space="preserve">OC506 FILTRO DE OLEO  </v>
          </cell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>
            <v>2</v>
          </cell>
          <cell r="AG304">
            <v>0</v>
          </cell>
          <cell r="AH304"/>
          <cell r="AI304">
            <v>0</v>
          </cell>
          <cell r="AJ304">
            <v>2</v>
          </cell>
          <cell r="AK304">
            <v>2</v>
          </cell>
        </row>
        <row r="305">
          <cell r="A305">
            <v>442058</v>
          </cell>
          <cell r="B305"/>
          <cell r="C305" t="str">
            <v>Bandeja</v>
          </cell>
          <cell r="D305" t="str">
            <v>SPARE</v>
          </cell>
          <cell r="E305">
            <v>2</v>
          </cell>
          <cell r="F305" t="str">
            <v>Bandeja INFERIOR DIREITA COM PIVÔ QUANTUM 1988 A 2006</v>
          </cell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>
            <v>0</v>
          </cell>
          <cell r="R305"/>
          <cell r="S305">
            <v>0</v>
          </cell>
          <cell r="T305">
            <v>0</v>
          </cell>
          <cell r="U305">
            <v>0</v>
          </cell>
          <cell r="V305">
            <v>5</v>
          </cell>
          <cell r="W305">
            <v>1</v>
          </cell>
          <cell r="X305">
            <v>4</v>
          </cell>
          <cell r="Y305" t="str">
            <v/>
          </cell>
          <cell r="Z305" t="str">
            <v/>
          </cell>
          <cell r="AA305">
            <v>3</v>
          </cell>
          <cell r="AB305">
            <v>1</v>
          </cell>
          <cell r="AC305">
            <v>2</v>
          </cell>
          <cell r="AD305"/>
          <cell r="AE305">
            <v>0</v>
          </cell>
          <cell r="AF305">
            <v>1</v>
          </cell>
          <cell r="AG305">
            <v>0</v>
          </cell>
          <cell r="AH305">
            <v>1</v>
          </cell>
          <cell r="AI305">
            <v>0</v>
          </cell>
          <cell r="AJ305">
            <v>0</v>
          </cell>
          <cell r="AK305">
            <v>2</v>
          </cell>
        </row>
        <row r="306">
          <cell r="A306">
            <v>442059</v>
          </cell>
          <cell r="B306"/>
          <cell r="C306" t="str">
            <v>Bandeja</v>
          </cell>
          <cell r="D306" t="str">
            <v>SPARE</v>
          </cell>
          <cell r="E306">
            <v>2</v>
          </cell>
          <cell r="F306" t="str">
            <v>Bandeja INFERIOR ESQUERDA COM PIVÔ QUANTUM 1988 A 2006</v>
          </cell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>
            <v>0</v>
          </cell>
          <cell r="R306"/>
          <cell r="S306">
            <v>0</v>
          </cell>
          <cell r="T306">
            <v>0</v>
          </cell>
          <cell r="U306">
            <v>0</v>
          </cell>
          <cell r="V306">
            <v>5</v>
          </cell>
          <cell r="W306">
            <v>1</v>
          </cell>
          <cell r="X306">
            <v>4</v>
          </cell>
          <cell r="Y306" t="str">
            <v/>
          </cell>
          <cell r="Z306" t="str">
            <v/>
          </cell>
          <cell r="AA306">
            <v>2</v>
          </cell>
          <cell r="AB306">
            <v>0</v>
          </cell>
          <cell r="AC306">
            <v>2</v>
          </cell>
          <cell r="AD306"/>
          <cell r="AE306">
            <v>0</v>
          </cell>
          <cell r="AF306">
            <v>1</v>
          </cell>
          <cell r="AG306">
            <v>0</v>
          </cell>
          <cell r="AH306">
            <v>1</v>
          </cell>
          <cell r="AI306">
            <v>0</v>
          </cell>
          <cell r="AJ306">
            <v>0</v>
          </cell>
          <cell r="AK306">
            <v>2</v>
          </cell>
        </row>
        <row r="307">
          <cell r="A307">
            <v>5231</v>
          </cell>
          <cell r="B307"/>
          <cell r="C307" t="str">
            <v>Bieleta</v>
          </cell>
          <cell r="D307" t="str">
            <v>HOLYMAN</v>
          </cell>
          <cell r="E307">
            <v>5</v>
          </cell>
          <cell r="F307" t="str">
            <v>Bieleta Dianteira Ld S10 Trailblazer 2012 Em Diante</v>
          </cell>
          <cell r="G307"/>
          <cell r="H307">
            <v>1</v>
          </cell>
          <cell r="I307">
            <v>2</v>
          </cell>
          <cell r="J307">
            <v>2</v>
          </cell>
          <cell r="K307" t="str">
            <v/>
          </cell>
          <cell r="L307" t="str">
            <v/>
          </cell>
          <cell r="M307">
            <v>2</v>
          </cell>
          <cell r="N307" t="str">
            <v/>
          </cell>
          <cell r="O307">
            <v>2</v>
          </cell>
          <cell r="P307" t="str">
            <v/>
          </cell>
          <cell r="Q307">
            <v>1</v>
          </cell>
          <cell r="R307" t="str">
            <v>0</v>
          </cell>
          <cell r="S307">
            <v>1</v>
          </cell>
          <cell r="T307">
            <v>0</v>
          </cell>
          <cell r="U307">
            <v>0</v>
          </cell>
          <cell r="V307">
            <v>5</v>
          </cell>
          <cell r="W307">
            <v>0</v>
          </cell>
          <cell r="X307">
            <v>5</v>
          </cell>
          <cell r="Y307" t="str">
            <v/>
          </cell>
          <cell r="Z307" t="str">
            <v/>
          </cell>
          <cell r="AA307">
            <v>2</v>
          </cell>
          <cell r="AB307">
            <v>0</v>
          </cell>
          <cell r="AC307">
            <v>2</v>
          </cell>
          <cell r="AD307"/>
          <cell r="AE307">
            <v>0</v>
          </cell>
          <cell r="AF307">
            <v>1</v>
          </cell>
          <cell r="AG307">
            <v>0</v>
          </cell>
          <cell r="AH307">
            <v>1</v>
          </cell>
          <cell r="AI307">
            <v>0</v>
          </cell>
          <cell r="AJ307">
            <v>0</v>
          </cell>
          <cell r="AK307">
            <v>2</v>
          </cell>
        </row>
        <row r="308">
          <cell r="A308">
            <v>5232</v>
          </cell>
          <cell r="B308"/>
          <cell r="C308" t="str">
            <v>Bieleta</v>
          </cell>
          <cell r="D308" t="str">
            <v>HOLYMAN</v>
          </cell>
          <cell r="E308">
            <v>5</v>
          </cell>
          <cell r="F308" t="str">
            <v>Bieleta Dianteira Esquerda S10 Trailblazer 2012 Em Diante</v>
          </cell>
          <cell r="G308"/>
          <cell r="H308">
            <v>1</v>
          </cell>
          <cell r="I308">
            <v>2</v>
          </cell>
          <cell r="J308">
            <v>2</v>
          </cell>
          <cell r="K308" t="str">
            <v/>
          </cell>
          <cell r="L308" t="str">
            <v/>
          </cell>
          <cell r="M308">
            <v>2</v>
          </cell>
          <cell r="N308" t="str">
            <v/>
          </cell>
          <cell r="O308">
            <v>2</v>
          </cell>
          <cell r="P308" t="str">
            <v/>
          </cell>
          <cell r="Q308">
            <v>1</v>
          </cell>
          <cell r="R308" t="str">
            <v>0</v>
          </cell>
          <cell r="S308">
            <v>1</v>
          </cell>
          <cell r="T308">
            <v>0</v>
          </cell>
          <cell r="U308">
            <v>0</v>
          </cell>
          <cell r="V308">
            <v>5</v>
          </cell>
          <cell r="W308">
            <v>0</v>
          </cell>
          <cell r="X308">
            <v>5</v>
          </cell>
          <cell r="Y308" t="str">
            <v/>
          </cell>
          <cell r="Z308" t="str">
            <v/>
          </cell>
          <cell r="AA308">
            <v>2</v>
          </cell>
          <cell r="AB308">
            <v>0</v>
          </cell>
          <cell r="AC308">
            <v>2</v>
          </cell>
          <cell r="AD308"/>
          <cell r="AE308">
            <v>0</v>
          </cell>
          <cell r="AF308">
            <v>1</v>
          </cell>
          <cell r="AG308">
            <v>0</v>
          </cell>
          <cell r="AH308">
            <v>1</v>
          </cell>
          <cell r="AI308">
            <v>0</v>
          </cell>
          <cell r="AJ308">
            <v>0</v>
          </cell>
          <cell r="AK308">
            <v>2</v>
          </cell>
        </row>
        <row r="309">
          <cell r="A309" t="str">
            <v>FTK313</v>
          </cell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>
            <v>2</v>
          </cell>
          <cell r="AG309">
            <v>0</v>
          </cell>
          <cell r="AH309">
            <v>2</v>
          </cell>
          <cell r="AI309">
            <v>0</v>
          </cell>
          <cell r="AJ309">
            <v>0</v>
          </cell>
          <cell r="AK309">
            <v>2</v>
          </cell>
        </row>
        <row r="310">
          <cell r="A310" t="str">
            <v>FTK18168</v>
          </cell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>
            <v>2</v>
          </cell>
          <cell r="AG310">
            <v>0</v>
          </cell>
          <cell r="AH310">
            <v>2</v>
          </cell>
          <cell r="AI310">
            <v>0</v>
          </cell>
          <cell r="AJ310">
            <v>0</v>
          </cell>
          <cell r="AK310">
            <v>2</v>
          </cell>
        </row>
        <row r="311">
          <cell r="A311" t="str">
            <v>FTK-11020</v>
          </cell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>
            <v>2</v>
          </cell>
          <cell r="AG311">
            <v>0</v>
          </cell>
          <cell r="AH311">
            <v>2</v>
          </cell>
          <cell r="AI311">
            <v>0</v>
          </cell>
          <cell r="AJ311">
            <v>0</v>
          </cell>
          <cell r="AK311">
            <v>2</v>
          </cell>
        </row>
        <row r="312">
          <cell r="A312" t="str">
            <v>FTK452</v>
          </cell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>
            <v>2</v>
          </cell>
          <cell r="AG312">
            <v>0</v>
          </cell>
          <cell r="AH312">
            <v>2</v>
          </cell>
          <cell r="AI312">
            <v>0</v>
          </cell>
          <cell r="AJ312">
            <v>0</v>
          </cell>
          <cell r="AK312">
            <v>2</v>
          </cell>
        </row>
        <row r="313">
          <cell r="A313">
            <v>11410</v>
          </cell>
          <cell r="B313"/>
          <cell r="C313" t="str">
            <v>Pastilha de Freio</v>
          </cell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>
            <v>4</v>
          </cell>
          <cell r="W313">
            <v>4</v>
          </cell>
          <cell r="X313" t="str">
            <v/>
          </cell>
          <cell r="Y313" t="str">
            <v/>
          </cell>
          <cell r="Z313" t="str">
            <v/>
          </cell>
          <cell r="AA313">
            <v>5</v>
          </cell>
          <cell r="AB313">
            <v>5</v>
          </cell>
          <cell r="AC313">
            <v>0</v>
          </cell>
          <cell r="AD313"/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2</v>
          </cell>
        </row>
        <row r="314">
          <cell r="A314">
            <v>332080</v>
          </cell>
          <cell r="B314" t="str">
            <v>Sim</v>
          </cell>
          <cell r="C314" t="str">
            <v>Bandeja</v>
          </cell>
          <cell r="D314" t="str">
            <v>SPARE</v>
          </cell>
          <cell r="E314">
            <v>2</v>
          </cell>
          <cell r="F314" t="str">
            <v>Bandeja Dianteira Vectra Sem Pivô 1997 Á 2011</v>
          </cell>
          <cell r="G314"/>
          <cell r="H314">
            <v>4</v>
          </cell>
          <cell r="I314">
            <v>4</v>
          </cell>
          <cell r="J314">
            <v>4</v>
          </cell>
          <cell r="K314" t="str">
            <v/>
          </cell>
          <cell r="L314" t="str">
            <v/>
          </cell>
          <cell r="M314">
            <v>4</v>
          </cell>
          <cell r="N314">
            <v>4</v>
          </cell>
          <cell r="O314">
            <v>0</v>
          </cell>
          <cell r="P314" t="str">
            <v/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/>
          </cell>
          <cell r="Y314" t="str">
            <v/>
          </cell>
          <cell r="Z314" t="str">
            <v/>
          </cell>
          <cell r="AA314">
            <v>3</v>
          </cell>
          <cell r="AB314">
            <v>1</v>
          </cell>
          <cell r="AC314">
            <v>2</v>
          </cell>
          <cell r="AD314"/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2</v>
          </cell>
        </row>
        <row r="315">
          <cell r="A315">
            <v>332110</v>
          </cell>
          <cell r="B315" t="str">
            <v>Sim</v>
          </cell>
          <cell r="C315" t="str">
            <v>Bandeja</v>
          </cell>
          <cell r="D315" t="str">
            <v>SPARE</v>
          </cell>
          <cell r="E315">
            <v>2</v>
          </cell>
          <cell r="F315" t="str">
            <v>Bandeja Superior Direito S10 4x2 E 4x4 1995 Á 2011</v>
          </cell>
          <cell r="G315"/>
          <cell r="H315">
            <v>5</v>
          </cell>
          <cell r="I315">
            <v>2</v>
          </cell>
          <cell r="J315">
            <v>1</v>
          </cell>
          <cell r="K315">
            <v>1</v>
          </cell>
          <cell r="L315" t="str">
            <v/>
          </cell>
          <cell r="M315">
            <v>4</v>
          </cell>
          <cell r="N315">
            <v>1</v>
          </cell>
          <cell r="O315">
            <v>3</v>
          </cell>
          <cell r="P315" t="str">
            <v/>
          </cell>
          <cell r="Q315">
            <v>1</v>
          </cell>
          <cell r="R315">
            <v>1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 t="str">
            <v/>
          </cell>
          <cell r="Y315" t="str">
            <v/>
          </cell>
          <cell r="Z315" t="str">
            <v/>
          </cell>
          <cell r="AA315">
            <v>3</v>
          </cell>
          <cell r="AB315">
            <v>1</v>
          </cell>
          <cell r="AC315">
            <v>2</v>
          </cell>
          <cell r="AD315"/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2</v>
          </cell>
        </row>
        <row r="316">
          <cell r="A316">
            <v>3037</v>
          </cell>
          <cell r="B316" t="str">
            <v>Sim</v>
          </cell>
          <cell r="C316" t="str">
            <v>Caixa Rótula</v>
          </cell>
          <cell r="D316" t="str">
            <v>HOLYMAN</v>
          </cell>
          <cell r="E316">
            <v>5</v>
          </cell>
          <cell r="F316" t="str">
            <v>Caixa Rótula Alavanca Câmbio Gol G1 G2 G3</v>
          </cell>
          <cell r="G316"/>
          <cell r="H316">
            <v>2</v>
          </cell>
          <cell r="I316">
            <v>2</v>
          </cell>
          <cell r="J316" t="str">
            <v/>
          </cell>
          <cell r="K316">
            <v>2</v>
          </cell>
          <cell r="L316" t="str">
            <v/>
          </cell>
          <cell r="M316">
            <v>0</v>
          </cell>
          <cell r="N316" t="str">
            <v/>
          </cell>
          <cell r="O316" t="str">
            <v/>
          </cell>
          <cell r="P316" t="str">
            <v/>
          </cell>
          <cell r="Q316">
            <v>3</v>
          </cell>
          <cell r="R316">
            <v>3</v>
          </cell>
          <cell r="S316" t="str">
            <v>0</v>
          </cell>
          <cell r="T316">
            <v>0</v>
          </cell>
          <cell r="U316">
            <v>0</v>
          </cell>
          <cell r="V316">
            <v>5</v>
          </cell>
          <cell r="W316">
            <v>5</v>
          </cell>
          <cell r="X316" t="str">
            <v/>
          </cell>
          <cell r="Y316" t="str">
            <v/>
          </cell>
          <cell r="Z316" t="str">
            <v/>
          </cell>
          <cell r="AA316">
            <v>2</v>
          </cell>
          <cell r="AB316">
            <v>2</v>
          </cell>
          <cell r="AC316">
            <v>0</v>
          </cell>
          <cell r="AD316"/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2</v>
          </cell>
        </row>
        <row r="317">
          <cell r="A317">
            <v>330112</v>
          </cell>
          <cell r="B317"/>
          <cell r="C317" t="str">
            <v>Bandeja</v>
          </cell>
          <cell r="D317" t="str">
            <v>SPARE</v>
          </cell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>
            <v>4</v>
          </cell>
          <cell r="W317">
            <v>4</v>
          </cell>
          <cell r="X317" t="str">
            <v/>
          </cell>
          <cell r="Y317" t="str">
            <v/>
          </cell>
          <cell r="Z317" t="str">
            <v/>
          </cell>
          <cell r="AA317">
            <v>2</v>
          </cell>
          <cell r="AB317">
            <v>1</v>
          </cell>
          <cell r="AC317">
            <v>0</v>
          </cell>
          <cell r="AD317"/>
          <cell r="AE317">
            <v>1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2</v>
          </cell>
        </row>
        <row r="318">
          <cell r="A318" t="str">
            <v>112004b</v>
          </cell>
          <cell r="B318" t="str">
            <v>Sim</v>
          </cell>
          <cell r="C318" t="str">
            <v>Bandeja</v>
          </cell>
          <cell r="D318" t="str">
            <v>SPARE</v>
          </cell>
          <cell r="E318">
            <v>2</v>
          </cell>
          <cell r="F318" t="str">
            <v>Bracinho Oscilante Com Pivô E Buchas Fiat Oggi</v>
          </cell>
          <cell r="G318"/>
          <cell r="H318">
            <v>6</v>
          </cell>
          <cell r="I318">
            <v>3</v>
          </cell>
          <cell r="J318">
            <v>2</v>
          </cell>
          <cell r="K318">
            <v>1</v>
          </cell>
          <cell r="L318" t="str">
            <v/>
          </cell>
          <cell r="M318">
            <v>2</v>
          </cell>
          <cell r="N318">
            <v>2</v>
          </cell>
          <cell r="O318">
            <v>0</v>
          </cell>
          <cell r="P318" t="str">
            <v/>
          </cell>
          <cell r="Q318">
            <v>0</v>
          </cell>
          <cell r="R318" t="str">
            <v>0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1</v>
          </cell>
          <cell r="X318" t="str">
            <v/>
          </cell>
          <cell r="Y318" t="str">
            <v/>
          </cell>
          <cell r="Z318" t="str">
            <v/>
          </cell>
          <cell r="AA318">
            <v>2</v>
          </cell>
          <cell r="AB318">
            <v>2</v>
          </cell>
          <cell r="AC318">
            <v>0</v>
          </cell>
          <cell r="AD318"/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2</v>
          </cell>
        </row>
        <row r="319">
          <cell r="A319">
            <v>4045</v>
          </cell>
          <cell r="B319" t="str">
            <v>Sim</v>
          </cell>
          <cell r="C319" t="str">
            <v>Capa Pedal</v>
          </cell>
          <cell r="D319" t="str">
            <v>HOLYMAN</v>
          </cell>
          <cell r="E319">
            <v>5</v>
          </cell>
          <cell r="F319" t="str">
            <v>Capa De Pedal Freio Embreagem Mercedes 709 1978 A 2018</v>
          </cell>
          <cell r="G319"/>
          <cell r="H319" t="str">
            <v>-</v>
          </cell>
          <cell r="I319" t="str">
            <v>-</v>
          </cell>
          <cell r="J319"/>
          <cell r="K319"/>
          <cell r="L319"/>
          <cell r="M319">
            <v>3</v>
          </cell>
          <cell r="N319">
            <v>3</v>
          </cell>
          <cell r="O319" t="str">
            <v/>
          </cell>
          <cell r="P319" t="str">
            <v/>
          </cell>
          <cell r="Q319">
            <v>4</v>
          </cell>
          <cell r="R319">
            <v>4</v>
          </cell>
          <cell r="S319" t="str">
            <v>0</v>
          </cell>
          <cell r="T319">
            <v>0</v>
          </cell>
          <cell r="U319">
            <v>0</v>
          </cell>
          <cell r="V319">
            <v>1</v>
          </cell>
          <cell r="W319">
            <v>1</v>
          </cell>
          <cell r="X319" t="str">
            <v/>
          </cell>
          <cell r="Y319" t="str">
            <v/>
          </cell>
          <cell r="Z319" t="str">
            <v/>
          </cell>
          <cell r="AA319">
            <v>1</v>
          </cell>
          <cell r="AB319">
            <v>1</v>
          </cell>
          <cell r="AC319">
            <v>0</v>
          </cell>
          <cell r="AD319"/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2</v>
          </cell>
        </row>
        <row r="320">
          <cell r="A320">
            <v>2309</v>
          </cell>
          <cell r="B320" t="str">
            <v>Sim</v>
          </cell>
          <cell r="C320" t="str">
            <v>Reparo alavanta Câmbio</v>
          </cell>
          <cell r="D320" t="str">
            <v>LT CORREA</v>
          </cell>
          <cell r="E320">
            <v>3</v>
          </cell>
          <cell r="F320" t="str">
            <v>Suporte Da Alavanca De Seleção Do Trambulador Corsa Celta</v>
          </cell>
          <cell r="G320"/>
          <cell r="H320">
            <v>1</v>
          </cell>
          <cell r="I320">
            <v>3</v>
          </cell>
          <cell r="J320" t="str">
            <v/>
          </cell>
          <cell r="K320">
            <v>3</v>
          </cell>
          <cell r="L320" t="str">
            <v/>
          </cell>
          <cell r="M320">
            <v>2</v>
          </cell>
          <cell r="N320">
            <v>2</v>
          </cell>
          <cell r="O320" t="str">
            <v/>
          </cell>
          <cell r="P320" t="str">
            <v/>
          </cell>
          <cell r="Q320">
            <v>1</v>
          </cell>
          <cell r="R320">
            <v>1</v>
          </cell>
          <cell r="S320">
            <v>0</v>
          </cell>
          <cell r="T320">
            <v>0</v>
          </cell>
          <cell r="U320">
            <v>0</v>
          </cell>
          <cell r="V320">
            <v>5</v>
          </cell>
          <cell r="W320">
            <v>5</v>
          </cell>
          <cell r="X320" t="str">
            <v/>
          </cell>
          <cell r="Y320" t="str">
            <v/>
          </cell>
          <cell r="Z320" t="str">
            <v/>
          </cell>
          <cell r="AA320">
            <v>1</v>
          </cell>
          <cell r="AB320">
            <v>1</v>
          </cell>
          <cell r="AC320">
            <v>0</v>
          </cell>
          <cell r="AD320"/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2</v>
          </cell>
        </row>
        <row r="321">
          <cell r="A321">
            <v>5205</v>
          </cell>
          <cell r="B321"/>
          <cell r="C321" t="str">
            <v>Bieleta</v>
          </cell>
          <cell r="D321" t="str">
            <v>HOLYMAN</v>
          </cell>
          <cell r="E321">
            <v>5</v>
          </cell>
          <cell r="F321" t="str">
            <v>BIELETA DIANTEIRA AMBOS LADOS OPALA 1969 A 1988</v>
          </cell>
          <cell r="G321"/>
          <cell r="H321" t="str">
            <v>-</v>
          </cell>
          <cell r="I321">
            <v>4</v>
          </cell>
          <cell r="J321">
            <v>4</v>
          </cell>
          <cell r="K321" t="str">
            <v/>
          </cell>
          <cell r="L321" t="str">
            <v/>
          </cell>
          <cell r="M321">
            <v>2</v>
          </cell>
          <cell r="N321" t="str">
            <v/>
          </cell>
          <cell r="O321">
            <v>2</v>
          </cell>
          <cell r="P321" t="str">
            <v/>
          </cell>
          <cell r="Q321">
            <v>0</v>
          </cell>
          <cell r="R321" t="str">
            <v>0</v>
          </cell>
          <cell r="S321">
            <v>0</v>
          </cell>
          <cell r="T321">
            <v>0</v>
          </cell>
          <cell r="U321">
            <v>0</v>
          </cell>
          <cell r="V321">
            <v>4</v>
          </cell>
          <cell r="W321">
            <v>0</v>
          </cell>
          <cell r="X321">
            <v>4</v>
          </cell>
          <cell r="Y321" t="str">
            <v/>
          </cell>
          <cell r="Z321" t="str">
            <v/>
          </cell>
          <cell r="AA321">
            <v>0</v>
          </cell>
          <cell r="AB321">
            <v>0</v>
          </cell>
          <cell r="AC321">
            <v>0</v>
          </cell>
          <cell r="AD321"/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2</v>
          </cell>
        </row>
        <row r="322">
          <cell r="A322">
            <v>6208</v>
          </cell>
          <cell r="B322"/>
          <cell r="C322" t="str">
            <v>Bieleta</v>
          </cell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>
            <v>4</v>
          </cell>
          <cell r="W322"/>
          <cell r="X322">
            <v>4</v>
          </cell>
          <cell r="Y322" t="str">
            <v/>
          </cell>
          <cell r="Z322" t="str">
            <v/>
          </cell>
          <cell r="AA322">
            <v>0</v>
          </cell>
          <cell r="AB322">
            <v>0</v>
          </cell>
          <cell r="AC322">
            <v>0</v>
          </cell>
          <cell r="AD322"/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2</v>
          </cell>
        </row>
        <row r="323">
          <cell r="A323">
            <v>55311</v>
          </cell>
          <cell r="B323" t="str">
            <v>Sim</v>
          </cell>
          <cell r="C323" t="str">
            <v>Cabo limitador tampa traseira</v>
          </cell>
          <cell r="D323" t="str">
            <v>MundiFlex</v>
          </cell>
          <cell r="E323">
            <v>6</v>
          </cell>
          <cell r="F323" t="str">
            <v>Cabo Limitador Da Tampa Traseira Saveiro G2</v>
          </cell>
          <cell r="G323"/>
          <cell r="H323">
            <v>0</v>
          </cell>
          <cell r="I323">
            <v>2</v>
          </cell>
          <cell r="J323">
            <v>2</v>
          </cell>
          <cell r="K323" t="str">
            <v/>
          </cell>
          <cell r="L323" t="str">
            <v/>
          </cell>
          <cell r="M323">
            <v>6</v>
          </cell>
          <cell r="N323">
            <v>2</v>
          </cell>
          <cell r="O323">
            <v>4</v>
          </cell>
          <cell r="P323" t="str">
            <v/>
          </cell>
          <cell r="Q323">
            <v>2</v>
          </cell>
          <cell r="R323">
            <v>2</v>
          </cell>
          <cell r="S323">
            <v>0</v>
          </cell>
          <cell r="T323">
            <v>0</v>
          </cell>
          <cell r="U323">
            <v>0</v>
          </cell>
          <cell r="V323">
            <v>2</v>
          </cell>
          <cell r="W323">
            <v>0</v>
          </cell>
          <cell r="X323">
            <v>2</v>
          </cell>
          <cell r="Y323" t="str">
            <v/>
          </cell>
          <cell r="Z323" t="str">
            <v/>
          </cell>
          <cell r="AA323">
            <v>0</v>
          </cell>
          <cell r="AB323">
            <v>0</v>
          </cell>
          <cell r="AC323">
            <v>0</v>
          </cell>
          <cell r="AD323"/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2</v>
          </cell>
        </row>
        <row r="324">
          <cell r="A324">
            <v>4042</v>
          </cell>
          <cell r="B324"/>
          <cell r="C324" t="str">
            <v>Capa Pedal</v>
          </cell>
          <cell r="D324" t="str">
            <v>HOLYMAN</v>
          </cell>
          <cell r="E324">
            <v>5</v>
          </cell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>
            <v>3</v>
          </cell>
          <cell r="R324">
            <v>3</v>
          </cell>
          <cell r="S324" t="str">
            <v>0</v>
          </cell>
          <cell r="T324">
            <v>0</v>
          </cell>
          <cell r="U324">
            <v>0</v>
          </cell>
          <cell r="V324">
            <v>3</v>
          </cell>
          <cell r="W324">
            <v>3</v>
          </cell>
          <cell r="X324" t="str">
            <v/>
          </cell>
          <cell r="Y324" t="str">
            <v/>
          </cell>
          <cell r="Z324" t="str">
            <v/>
          </cell>
          <cell r="AA324">
            <v>0</v>
          </cell>
          <cell r="AB324">
            <v>0</v>
          </cell>
          <cell r="AC324">
            <v>0</v>
          </cell>
          <cell r="AD324"/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2</v>
          </cell>
        </row>
        <row r="325">
          <cell r="A325" t="str">
            <v>FTK22003</v>
          </cell>
          <cell r="B325" t="str">
            <v>Sim</v>
          </cell>
          <cell r="C325" t="str">
            <v>Pivô</v>
          </cell>
          <cell r="D325" t="str">
            <v>SPARE</v>
          </cell>
          <cell r="E325">
            <v>2</v>
          </cell>
          <cell r="F325" t="str">
            <v>Pivô Da Bandeja Inferior Lado Esquerdo New Civic 2006 A 2011</v>
          </cell>
          <cell r="G325"/>
          <cell r="H325">
            <v>2</v>
          </cell>
          <cell r="I325">
            <v>0</v>
          </cell>
          <cell r="J325">
            <v>0</v>
          </cell>
          <cell r="K325" t="str">
            <v/>
          </cell>
          <cell r="L325" t="str">
            <v/>
          </cell>
          <cell r="M325">
            <v>6</v>
          </cell>
          <cell r="N325">
            <v>3</v>
          </cell>
          <cell r="O325">
            <v>3</v>
          </cell>
          <cell r="P325" t="str">
            <v/>
          </cell>
          <cell r="Q325">
            <v>4</v>
          </cell>
          <cell r="R325" t="str">
            <v>0</v>
          </cell>
          <cell r="S325">
            <v>4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 t="str">
            <v/>
          </cell>
          <cell r="Y325" t="str">
            <v/>
          </cell>
          <cell r="Z325" t="str">
            <v/>
          </cell>
          <cell r="AA325">
            <v>0</v>
          </cell>
          <cell r="AB325">
            <v>0</v>
          </cell>
          <cell r="AC325">
            <v>0</v>
          </cell>
          <cell r="AD325"/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2</v>
          </cell>
        </row>
        <row r="326">
          <cell r="A326">
            <v>4024</v>
          </cell>
          <cell r="B326" t="str">
            <v>Sim</v>
          </cell>
          <cell r="C326" t="str">
            <v>Capa Pedal</v>
          </cell>
          <cell r="D326" t="str">
            <v>HOLYMAN</v>
          </cell>
          <cell r="E326">
            <v>5</v>
          </cell>
          <cell r="F326" t="str">
            <v>Capa De Pedal Freio Embreagem Sandero 2012 A 2014</v>
          </cell>
          <cell r="G326"/>
          <cell r="H326">
            <v>0</v>
          </cell>
          <cell r="I326">
            <v>0</v>
          </cell>
          <cell r="J326"/>
          <cell r="K326">
            <v>1</v>
          </cell>
          <cell r="L326"/>
          <cell r="M326">
            <v>2</v>
          </cell>
          <cell r="N326">
            <v>2</v>
          </cell>
          <cell r="O326" t="str">
            <v/>
          </cell>
          <cell r="P326" t="str">
            <v/>
          </cell>
          <cell r="Q326">
            <v>3</v>
          </cell>
          <cell r="R326">
            <v>3</v>
          </cell>
          <cell r="S326" t="str">
            <v>0</v>
          </cell>
          <cell r="T326">
            <v>0</v>
          </cell>
          <cell r="U326">
            <v>0</v>
          </cell>
          <cell r="V326">
            <v>3</v>
          </cell>
          <cell r="W326">
            <v>3</v>
          </cell>
          <cell r="X326" t="str">
            <v/>
          </cell>
          <cell r="Y326" t="str">
            <v/>
          </cell>
          <cell r="Z326" t="str">
            <v/>
          </cell>
          <cell r="AA326">
            <v>10</v>
          </cell>
          <cell r="AB326">
            <v>10</v>
          </cell>
          <cell r="AC326">
            <v>0</v>
          </cell>
          <cell r="AD326"/>
          <cell r="AE326">
            <v>0</v>
          </cell>
          <cell r="AF326">
            <v>4</v>
          </cell>
          <cell r="AG326">
            <v>4</v>
          </cell>
          <cell r="AH326">
            <v>0</v>
          </cell>
          <cell r="AI326">
            <v>0</v>
          </cell>
          <cell r="AJ326">
            <v>0</v>
          </cell>
          <cell r="AK326">
            <v>2</v>
          </cell>
        </row>
        <row r="327">
          <cell r="A327">
            <v>662070</v>
          </cell>
          <cell r="B327" t="str">
            <v>Sim</v>
          </cell>
          <cell r="C327" t="str">
            <v>Bandeja</v>
          </cell>
          <cell r="D327" t="str">
            <v>SPARE</v>
          </cell>
          <cell r="E327">
            <v>2</v>
          </cell>
          <cell r="F327" t="str">
            <v>Bandeja Dianteira Direita Com Pivô Oroch 2012 A 2016</v>
          </cell>
          <cell r="G327"/>
          <cell r="H327">
            <v>0</v>
          </cell>
          <cell r="I327">
            <v>0</v>
          </cell>
          <cell r="J327" t="str">
            <v/>
          </cell>
          <cell r="K327" t="str">
            <v/>
          </cell>
          <cell r="L327" t="str">
            <v/>
          </cell>
          <cell r="M327">
            <v>3</v>
          </cell>
          <cell r="N327">
            <v>3</v>
          </cell>
          <cell r="O327" t="str">
            <v/>
          </cell>
          <cell r="P327" t="str">
            <v/>
          </cell>
          <cell r="Q327">
            <v>4</v>
          </cell>
          <cell r="R327">
            <v>4</v>
          </cell>
          <cell r="S327" t="str">
            <v>0</v>
          </cell>
          <cell r="T327">
            <v>0</v>
          </cell>
          <cell r="U327">
            <v>0</v>
          </cell>
          <cell r="V327">
            <v>1</v>
          </cell>
          <cell r="W327">
            <v>1</v>
          </cell>
          <cell r="X327" t="str">
            <v/>
          </cell>
          <cell r="Y327" t="str">
            <v/>
          </cell>
          <cell r="Z327" t="str">
            <v/>
          </cell>
          <cell r="AA327">
            <v>1</v>
          </cell>
          <cell r="AB327">
            <v>1</v>
          </cell>
          <cell r="AC327">
            <v>0</v>
          </cell>
          <cell r="AD327"/>
          <cell r="AE327">
            <v>0</v>
          </cell>
          <cell r="AF327">
            <v>4</v>
          </cell>
          <cell r="AG327">
            <v>4</v>
          </cell>
          <cell r="AH327">
            <v>0</v>
          </cell>
          <cell r="AI327">
            <v>0</v>
          </cell>
          <cell r="AJ327">
            <v>0</v>
          </cell>
          <cell r="AK327">
            <v>2</v>
          </cell>
        </row>
        <row r="328">
          <cell r="A328">
            <v>55110</v>
          </cell>
          <cell r="B328" t="str">
            <v>Sim</v>
          </cell>
          <cell r="C328" t="str">
            <v>Cabo de Capô</v>
          </cell>
          <cell r="D328" t="str">
            <v>MundiFlex</v>
          </cell>
          <cell r="E328">
            <v>6</v>
          </cell>
          <cell r="F328" t="str">
            <v>Cabo De Capô Gol Com Alavanca 1984 Em Diante</v>
          </cell>
          <cell r="G328"/>
          <cell r="H328">
            <v>0</v>
          </cell>
          <cell r="I328">
            <v>2</v>
          </cell>
          <cell r="J328" t="str">
            <v/>
          </cell>
          <cell r="K328">
            <v>2</v>
          </cell>
          <cell r="L328" t="str">
            <v/>
          </cell>
          <cell r="M328">
            <v>3</v>
          </cell>
          <cell r="N328">
            <v>3</v>
          </cell>
          <cell r="O328" t="str">
            <v/>
          </cell>
          <cell r="P328" t="str">
            <v/>
          </cell>
          <cell r="Q328">
            <v>3</v>
          </cell>
          <cell r="R328">
            <v>3</v>
          </cell>
          <cell r="S328" t="str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 t="str">
            <v/>
          </cell>
          <cell r="Y328" t="str">
            <v/>
          </cell>
          <cell r="Z328" t="str">
            <v/>
          </cell>
          <cell r="AA328">
            <v>1</v>
          </cell>
          <cell r="AB328">
            <v>1</v>
          </cell>
          <cell r="AC328">
            <v>0</v>
          </cell>
          <cell r="AD328"/>
          <cell r="AE328">
            <v>0</v>
          </cell>
          <cell r="AF328">
            <v>4</v>
          </cell>
          <cell r="AG328">
            <v>4</v>
          </cell>
          <cell r="AH328">
            <v>0</v>
          </cell>
          <cell r="AI328">
            <v>0</v>
          </cell>
          <cell r="AJ328">
            <v>0</v>
          </cell>
          <cell r="AK328">
            <v>2</v>
          </cell>
        </row>
        <row r="329">
          <cell r="A329">
            <v>2214</v>
          </cell>
          <cell r="B329" t="str">
            <v>Sim</v>
          </cell>
          <cell r="C329" t="str">
            <v>Haste Câmbio</v>
          </cell>
          <cell r="D329" t="str">
            <v>LT CORREA</v>
          </cell>
          <cell r="E329">
            <v>3</v>
          </cell>
          <cell r="F329" t="str">
            <v>Bieleta Haste Curta Trambulador Peugeot 306</v>
          </cell>
          <cell r="G329"/>
          <cell r="H329">
            <v>1</v>
          </cell>
          <cell r="I329">
            <v>3</v>
          </cell>
          <cell r="J329" t="str">
            <v/>
          </cell>
          <cell r="K329">
            <v>3</v>
          </cell>
          <cell r="L329" t="str">
            <v/>
          </cell>
          <cell r="M329">
            <v>1</v>
          </cell>
          <cell r="N329">
            <v>1</v>
          </cell>
          <cell r="O329" t="str">
            <v/>
          </cell>
          <cell r="P329" t="str">
            <v/>
          </cell>
          <cell r="Q329">
            <v>2</v>
          </cell>
          <cell r="R329">
            <v>2</v>
          </cell>
          <cell r="S329" t="str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 t="str">
            <v/>
          </cell>
          <cell r="Y329" t="str">
            <v/>
          </cell>
          <cell r="Z329" t="str">
            <v/>
          </cell>
          <cell r="AA329">
            <v>0</v>
          </cell>
          <cell r="AB329">
            <v>0</v>
          </cell>
          <cell r="AC329">
            <v>0</v>
          </cell>
          <cell r="AD329"/>
          <cell r="AE329">
            <v>0</v>
          </cell>
          <cell r="AF329">
            <v>5</v>
          </cell>
          <cell r="AG329">
            <v>5</v>
          </cell>
          <cell r="AH329">
            <v>0</v>
          </cell>
          <cell r="AI329">
            <v>0</v>
          </cell>
          <cell r="AJ329">
            <v>0</v>
          </cell>
          <cell r="AK329">
            <v>2</v>
          </cell>
        </row>
        <row r="330">
          <cell r="A330">
            <v>112002</v>
          </cell>
          <cell r="B330" t="str">
            <v>Sim</v>
          </cell>
          <cell r="C330" t="str">
            <v>Bandeja</v>
          </cell>
          <cell r="D330" t="str">
            <v>SPARE</v>
          </cell>
          <cell r="E330">
            <v>2</v>
          </cell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>
            <v>0</v>
          </cell>
          <cell r="R330" t="str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 t="str">
            <v/>
          </cell>
          <cell r="Y330" t="str">
            <v/>
          </cell>
          <cell r="Z330" t="str">
            <v/>
          </cell>
          <cell r="AA330">
            <v>0</v>
          </cell>
          <cell r="AB330">
            <v>0</v>
          </cell>
          <cell r="AC330">
            <v>0</v>
          </cell>
          <cell r="AD330"/>
          <cell r="AE330">
            <v>0</v>
          </cell>
          <cell r="AF330">
            <v>6</v>
          </cell>
          <cell r="AG330">
            <v>4</v>
          </cell>
          <cell r="AH330">
            <v>2</v>
          </cell>
          <cell r="AI330">
            <v>0</v>
          </cell>
          <cell r="AJ330">
            <v>0</v>
          </cell>
          <cell r="AK330">
            <v>2</v>
          </cell>
        </row>
        <row r="331">
          <cell r="A331">
            <v>112022</v>
          </cell>
          <cell r="B331" t="str">
            <v>Sim</v>
          </cell>
          <cell r="C331" t="str">
            <v>Bandeja</v>
          </cell>
          <cell r="D331" t="str">
            <v>SPARE</v>
          </cell>
          <cell r="E331">
            <v>2</v>
          </cell>
          <cell r="F331" t="str">
            <v>Bandeja  Direita Palio 1996 Á 2001 Sem Pivô</v>
          </cell>
          <cell r="G331"/>
          <cell r="H331">
            <v>1</v>
          </cell>
          <cell r="I331">
            <v>2</v>
          </cell>
          <cell r="J331">
            <v>2</v>
          </cell>
          <cell r="K331" t="str">
            <v/>
          </cell>
          <cell r="L331" t="str">
            <v/>
          </cell>
          <cell r="M331">
            <v>4</v>
          </cell>
          <cell r="N331" t="str">
            <v/>
          </cell>
          <cell r="O331">
            <v>4</v>
          </cell>
          <cell r="P331" t="str">
            <v/>
          </cell>
          <cell r="Q331">
            <v>1</v>
          </cell>
          <cell r="R331" t="str">
            <v>0</v>
          </cell>
          <cell r="S331">
            <v>1</v>
          </cell>
          <cell r="T331">
            <v>0</v>
          </cell>
          <cell r="U331">
            <v>0</v>
          </cell>
          <cell r="V331">
            <v>2</v>
          </cell>
          <cell r="W331">
            <v>0</v>
          </cell>
          <cell r="X331" t="str">
            <v/>
          </cell>
          <cell r="Y331" t="str">
            <v/>
          </cell>
          <cell r="Z331">
            <v>2</v>
          </cell>
          <cell r="AA331">
            <v>4</v>
          </cell>
          <cell r="AB331">
            <v>0</v>
          </cell>
          <cell r="AC331">
            <v>4</v>
          </cell>
          <cell r="AD331"/>
          <cell r="AE331">
            <v>0</v>
          </cell>
          <cell r="AF331">
            <v>1</v>
          </cell>
          <cell r="AG331">
            <v>0</v>
          </cell>
          <cell r="AH331">
            <v>1</v>
          </cell>
          <cell r="AI331">
            <v>0</v>
          </cell>
          <cell r="AJ331">
            <v>0</v>
          </cell>
          <cell r="AK331">
            <v>1.8333333333333333</v>
          </cell>
        </row>
        <row r="332">
          <cell r="A332">
            <v>112103</v>
          </cell>
          <cell r="B332" t="str">
            <v>Sim</v>
          </cell>
          <cell r="C332" t="str">
            <v>Bandeja</v>
          </cell>
          <cell r="D332" t="str">
            <v>SPARE</v>
          </cell>
          <cell r="E332">
            <v>2</v>
          </cell>
          <cell r="F332" t="str">
            <v>Bandeja Dianteira Esquerda Com Pivô Fiat Punto 2006 A 2014</v>
          </cell>
          <cell r="G332"/>
          <cell r="H332">
            <v>0</v>
          </cell>
          <cell r="I332">
            <v>3</v>
          </cell>
          <cell r="J332">
            <v>0</v>
          </cell>
          <cell r="K332">
            <v>3</v>
          </cell>
          <cell r="L332" t="str">
            <v/>
          </cell>
          <cell r="M332">
            <v>2</v>
          </cell>
          <cell r="N332">
            <v>2</v>
          </cell>
          <cell r="O332">
            <v>0</v>
          </cell>
          <cell r="P332" t="str">
            <v/>
          </cell>
          <cell r="Q332">
            <v>3</v>
          </cell>
          <cell r="R332">
            <v>3</v>
          </cell>
          <cell r="S332">
            <v>0</v>
          </cell>
          <cell r="T332">
            <v>0</v>
          </cell>
          <cell r="U332">
            <v>0</v>
          </cell>
          <cell r="V332">
            <v>2</v>
          </cell>
          <cell r="W332">
            <v>2</v>
          </cell>
          <cell r="X332" t="str">
            <v/>
          </cell>
          <cell r="Y332" t="str">
            <v/>
          </cell>
          <cell r="Z332" t="str">
            <v/>
          </cell>
          <cell r="AA332">
            <v>3</v>
          </cell>
          <cell r="AB332">
            <v>2</v>
          </cell>
          <cell r="AC332">
            <v>1</v>
          </cell>
          <cell r="AD332"/>
          <cell r="AE332">
            <v>0</v>
          </cell>
          <cell r="AF332">
            <v>1</v>
          </cell>
          <cell r="AG332">
            <v>0</v>
          </cell>
          <cell r="AH332">
            <v>1</v>
          </cell>
          <cell r="AI332">
            <v>0</v>
          </cell>
          <cell r="AJ332">
            <v>0</v>
          </cell>
          <cell r="AK332">
            <v>1.8333333333333333</v>
          </cell>
        </row>
        <row r="333">
          <cell r="A333">
            <v>77156</v>
          </cell>
          <cell r="B333" t="str">
            <v>Sim</v>
          </cell>
          <cell r="C333" t="str">
            <v>Cabo de Capô</v>
          </cell>
          <cell r="D333" t="str">
            <v>MundiFlex</v>
          </cell>
          <cell r="E333">
            <v>6</v>
          </cell>
          <cell r="F333" t="str">
            <v>Cabo De Capô Com Alavanca Opala 1984 Em Diante</v>
          </cell>
          <cell r="G333"/>
          <cell r="H333">
            <v>0</v>
          </cell>
          <cell r="I333">
            <v>3</v>
          </cell>
          <cell r="J333" t="str">
            <v/>
          </cell>
          <cell r="K333">
            <v>3</v>
          </cell>
          <cell r="L333" t="str">
            <v/>
          </cell>
          <cell r="M333">
            <v>4</v>
          </cell>
          <cell r="N333">
            <v>4</v>
          </cell>
          <cell r="O333" t="str">
            <v/>
          </cell>
          <cell r="P333" t="str">
            <v/>
          </cell>
          <cell r="Q333">
            <v>3</v>
          </cell>
          <cell r="R333">
            <v>3</v>
          </cell>
          <cell r="S333" t="str">
            <v>0</v>
          </cell>
          <cell r="T333">
            <v>0</v>
          </cell>
          <cell r="U333">
            <v>0</v>
          </cell>
          <cell r="V333">
            <v>1</v>
          </cell>
          <cell r="W333">
            <v>1</v>
          </cell>
          <cell r="X333" t="str">
            <v/>
          </cell>
          <cell r="Y333" t="str">
            <v/>
          </cell>
          <cell r="Z333" t="str">
            <v/>
          </cell>
          <cell r="AA333">
            <v>1</v>
          </cell>
          <cell r="AB333">
            <v>1</v>
          </cell>
          <cell r="AC333">
            <v>0</v>
          </cell>
          <cell r="AD333"/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1.8333333333333333</v>
          </cell>
        </row>
        <row r="334">
          <cell r="A334">
            <v>4055</v>
          </cell>
          <cell r="B334" t="str">
            <v>Sim</v>
          </cell>
          <cell r="C334" t="str">
            <v>Capa Pedal</v>
          </cell>
          <cell r="D334" t="str">
            <v>HOLYMAN</v>
          </cell>
          <cell r="E334">
            <v>5</v>
          </cell>
          <cell r="F334" t="str">
            <v>Capa De Pedal Freio Embreagem Volare</v>
          </cell>
          <cell r="G334"/>
          <cell r="H334">
            <v>0</v>
          </cell>
          <cell r="I334">
            <v>0</v>
          </cell>
          <cell r="J334"/>
          <cell r="K334"/>
          <cell r="L334"/>
          <cell r="M334">
            <v>2</v>
          </cell>
          <cell r="N334">
            <v>2</v>
          </cell>
          <cell r="O334" t="str">
            <v/>
          </cell>
          <cell r="P334" t="str">
            <v/>
          </cell>
          <cell r="Q334">
            <v>3</v>
          </cell>
          <cell r="R334">
            <v>3</v>
          </cell>
          <cell r="S334" t="str">
            <v>0</v>
          </cell>
          <cell r="T334">
            <v>0</v>
          </cell>
          <cell r="U334">
            <v>0</v>
          </cell>
          <cell r="V334">
            <v>6</v>
          </cell>
          <cell r="W334">
            <v>6</v>
          </cell>
          <cell r="X334" t="str">
            <v/>
          </cell>
          <cell r="Y334" t="str">
            <v/>
          </cell>
          <cell r="Z334" t="str">
            <v/>
          </cell>
          <cell r="AA334">
            <v>1</v>
          </cell>
          <cell r="AB334">
            <v>1</v>
          </cell>
          <cell r="AC334">
            <v>0</v>
          </cell>
          <cell r="AD334"/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1.8333333333333333</v>
          </cell>
        </row>
        <row r="335">
          <cell r="A335">
            <v>772032</v>
          </cell>
          <cell r="B335" t="str">
            <v>Sim</v>
          </cell>
          <cell r="C335" t="str">
            <v>Bandeja</v>
          </cell>
          <cell r="D335" t="str">
            <v>SPARE</v>
          </cell>
          <cell r="E335">
            <v>2</v>
          </cell>
          <cell r="F335" t="str">
            <v>Bandeja Direita Inferior Corolla Fielder 2002 A 2019</v>
          </cell>
          <cell r="G335"/>
          <cell r="H335">
            <v>1</v>
          </cell>
          <cell r="I335">
            <v>3</v>
          </cell>
          <cell r="J335" t="str">
            <v/>
          </cell>
          <cell r="K335">
            <v>3</v>
          </cell>
          <cell r="L335" t="str">
            <v/>
          </cell>
          <cell r="M335">
            <v>4</v>
          </cell>
          <cell r="N335">
            <v>4</v>
          </cell>
          <cell r="O335" t="str">
            <v/>
          </cell>
          <cell r="P335" t="str">
            <v/>
          </cell>
          <cell r="Q335">
            <v>1</v>
          </cell>
          <cell r="R335">
            <v>1</v>
          </cell>
          <cell r="S335" t="str">
            <v>0</v>
          </cell>
          <cell r="T335">
            <v>0</v>
          </cell>
          <cell r="U335">
            <v>0</v>
          </cell>
          <cell r="V335">
            <v>2</v>
          </cell>
          <cell r="W335">
            <v>2</v>
          </cell>
          <cell r="X335" t="str">
            <v/>
          </cell>
          <cell r="Y335" t="str">
            <v/>
          </cell>
          <cell r="Z335" t="str">
            <v/>
          </cell>
          <cell r="AA335">
            <v>0</v>
          </cell>
          <cell r="AB335">
            <v>0</v>
          </cell>
          <cell r="AC335">
            <v>0</v>
          </cell>
          <cell r="AD335"/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1.8333333333333333</v>
          </cell>
        </row>
        <row r="336">
          <cell r="A336">
            <v>332000</v>
          </cell>
          <cell r="B336" t="str">
            <v>Sim</v>
          </cell>
          <cell r="C336" t="str">
            <v>Bandeja</v>
          </cell>
          <cell r="D336" t="str">
            <v>SPARE</v>
          </cell>
          <cell r="E336">
            <v>2</v>
          </cell>
          <cell r="F336" t="str">
            <v>Bandeja Inferior Direita Sem Pivô Chevy 500 1984 A 1995</v>
          </cell>
          <cell r="G336"/>
          <cell r="H336">
            <v>0</v>
          </cell>
          <cell r="I336">
            <v>0</v>
          </cell>
          <cell r="J336"/>
          <cell r="K336">
            <v>1</v>
          </cell>
          <cell r="L336"/>
          <cell r="M336">
            <v>3</v>
          </cell>
          <cell r="N336">
            <v>3</v>
          </cell>
          <cell r="O336">
            <v>0</v>
          </cell>
          <cell r="P336" t="str">
            <v/>
          </cell>
          <cell r="Q336">
            <v>3</v>
          </cell>
          <cell r="R336">
            <v>3</v>
          </cell>
          <cell r="S336">
            <v>0</v>
          </cell>
          <cell r="T336">
            <v>0</v>
          </cell>
          <cell r="U336">
            <v>0</v>
          </cell>
          <cell r="V336">
            <v>5</v>
          </cell>
          <cell r="W336">
            <v>5</v>
          </cell>
          <cell r="X336" t="str">
            <v/>
          </cell>
          <cell r="Y336" t="str">
            <v/>
          </cell>
          <cell r="Z336" t="str">
            <v/>
          </cell>
          <cell r="AA336">
            <v>0</v>
          </cell>
          <cell r="AB336">
            <v>0</v>
          </cell>
          <cell r="AC336">
            <v>0</v>
          </cell>
          <cell r="AD336"/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1.8333333333333333</v>
          </cell>
        </row>
        <row r="337">
          <cell r="A337">
            <v>2324</v>
          </cell>
          <cell r="B337" t="str">
            <v>Sim</v>
          </cell>
          <cell r="C337" t="str">
            <v>Reparo alavanta Câmbio</v>
          </cell>
          <cell r="D337" t="str">
            <v>LT CORREA</v>
          </cell>
          <cell r="E337">
            <v>3</v>
          </cell>
          <cell r="F337" t="str">
            <v>Bucha Trambulador Corsa Todos De 94 Até 2012</v>
          </cell>
          <cell r="G337"/>
          <cell r="H337">
            <v>5</v>
          </cell>
          <cell r="I337">
            <v>4</v>
          </cell>
          <cell r="J337">
            <v>2</v>
          </cell>
          <cell r="K337">
            <v>2</v>
          </cell>
          <cell r="L337" t="str">
            <v/>
          </cell>
          <cell r="M337">
            <v>1</v>
          </cell>
          <cell r="N337">
            <v>1</v>
          </cell>
          <cell r="O337">
            <v>0</v>
          </cell>
          <cell r="P337" t="str">
            <v/>
          </cell>
          <cell r="Q337">
            <v>0</v>
          </cell>
          <cell r="R337" t="str">
            <v>0</v>
          </cell>
          <cell r="S337">
            <v>0</v>
          </cell>
          <cell r="T337">
            <v>0</v>
          </cell>
          <cell r="U337">
            <v>0</v>
          </cell>
          <cell r="V337">
            <v>1</v>
          </cell>
          <cell r="W337">
            <v>1</v>
          </cell>
          <cell r="X337" t="str">
            <v/>
          </cell>
          <cell r="Y337" t="str">
            <v/>
          </cell>
          <cell r="Z337" t="str">
            <v/>
          </cell>
          <cell r="AA337">
            <v>0</v>
          </cell>
          <cell r="AB337">
            <v>0</v>
          </cell>
          <cell r="AC337">
            <v>0</v>
          </cell>
          <cell r="AD337"/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1.8333333333333333</v>
          </cell>
        </row>
        <row r="338">
          <cell r="A338">
            <v>442093</v>
          </cell>
          <cell r="B338" t="str">
            <v>Sim</v>
          </cell>
          <cell r="C338" t="str">
            <v>Bandeja</v>
          </cell>
          <cell r="D338" t="str">
            <v>SPARE</v>
          </cell>
          <cell r="E338">
            <v>2</v>
          </cell>
          <cell r="F338" t="str">
            <v>Bandeja Le Voyage G5 2008 Em Diante Com Direção Hidraulica</v>
          </cell>
          <cell r="G338"/>
          <cell r="H338">
            <v>0</v>
          </cell>
          <cell r="I338">
            <v>0</v>
          </cell>
          <cell r="J338" t="str">
            <v/>
          </cell>
          <cell r="K338" t="str">
            <v/>
          </cell>
          <cell r="L338" t="str">
            <v/>
          </cell>
          <cell r="M338">
            <v>2</v>
          </cell>
          <cell r="N338">
            <v>2</v>
          </cell>
          <cell r="O338" t="str">
            <v/>
          </cell>
          <cell r="P338" t="str">
            <v/>
          </cell>
          <cell r="Q338">
            <v>0</v>
          </cell>
          <cell r="R338" t="str">
            <v>0</v>
          </cell>
          <cell r="S338" t="str">
            <v>0</v>
          </cell>
          <cell r="T338">
            <v>0</v>
          </cell>
          <cell r="U338">
            <v>0</v>
          </cell>
          <cell r="V338">
            <v>2</v>
          </cell>
          <cell r="W338">
            <v>2</v>
          </cell>
          <cell r="X338" t="str">
            <v/>
          </cell>
          <cell r="Y338" t="str">
            <v/>
          </cell>
          <cell r="Z338" t="str">
            <v/>
          </cell>
          <cell r="AA338">
            <v>8</v>
          </cell>
          <cell r="AB338">
            <v>8</v>
          </cell>
          <cell r="AC338">
            <v>0</v>
          </cell>
          <cell r="AD338"/>
          <cell r="AE338">
            <v>0</v>
          </cell>
          <cell r="AF338">
            <v>7</v>
          </cell>
          <cell r="AG338">
            <v>5</v>
          </cell>
          <cell r="AH338">
            <v>0</v>
          </cell>
          <cell r="AI338">
            <v>0</v>
          </cell>
          <cell r="AJ338">
            <v>2</v>
          </cell>
          <cell r="AK338">
            <v>1.8333333333333333</v>
          </cell>
        </row>
        <row r="339">
          <cell r="A339">
            <v>22099</v>
          </cell>
          <cell r="B339"/>
          <cell r="C339" t="str">
            <v>Pastilha de Freio</v>
          </cell>
          <cell r="D339" t="str">
            <v>Fabreck</v>
          </cell>
          <cell r="E339">
            <v>16</v>
          </cell>
          <cell r="F339" t="str">
            <v>Pastilha De Freio Dianteira Classic 2010 Em Diante</v>
          </cell>
          <cell r="G339"/>
          <cell r="H339">
            <v>0</v>
          </cell>
          <cell r="I339">
            <v>2</v>
          </cell>
          <cell r="J339" t="str">
            <v/>
          </cell>
          <cell r="K339">
            <v>2</v>
          </cell>
          <cell r="L339" t="str">
            <v/>
          </cell>
          <cell r="M339">
            <v>0</v>
          </cell>
          <cell r="N339" t="str">
            <v/>
          </cell>
          <cell r="O339" t="str">
            <v/>
          </cell>
          <cell r="P339" t="str">
            <v/>
          </cell>
          <cell r="Q339">
            <v>3</v>
          </cell>
          <cell r="R339">
            <v>2</v>
          </cell>
          <cell r="S339" t="str">
            <v>0</v>
          </cell>
          <cell r="T339">
            <v>0</v>
          </cell>
          <cell r="U339">
            <v>1</v>
          </cell>
          <cell r="V339">
            <v>0</v>
          </cell>
          <cell r="W339">
            <v>0</v>
          </cell>
          <cell r="X339" t="str">
            <v/>
          </cell>
          <cell r="Y339" t="str">
            <v/>
          </cell>
          <cell r="Z339" t="str">
            <v/>
          </cell>
          <cell r="AA339">
            <v>2</v>
          </cell>
          <cell r="AB339">
            <v>1</v>
          </cell>
          <cell r="AC339">
            <v>0</v>
          </cell>
          <cell r="AD339"/>
          <cell r="AE339">
            <v>1</v>
          </cell>
          <cell r="AF339">
            <v>6</v>
          </cell>
          <cell r="AG339">
            <v>6</v>
          </cell>
          <cell r="AH339">
            <v>0</v>
          </cell>
          <cell r="AI339">
            <v>0</v>
          </cell>
          <cell r="AJ339">
            <v>0</v>
          </cell>
          <cell r="AK339">
            <v>1.8333333333333333</v>
          </cell>
        </row>
        <row r="340">
          <cell r="A340">
            <v>66080</v>
          </cell>
          <cell r="B340" t="str">
            <v>Sim</v>
          </cell>
          <cell r="C340" t="str">
            <v>Cabo de Capô</v>
          </cell>
          <cell r="D340" t="str">
            <v>MundiFlex</v>
          </cell>
          <cell r="E340">
            <v>6</v>
          </cell>
          <cell r="F340" t="str">
            <v>Cabo De Capô Com Alavanca 1566mm Uno Sporting 2010 Em Diante</v>
          </cell>
          <cell r="G340"/>
          <cell r="H340">
            <v>3</v>
          </cell>
          <cell r="I340">
            <v>1</v>
          </cell>
          <cell r="J340" t="str">
            <v/>
          </cell>
          <cell r="K340">
            <v>1</v>
          </cell>
          <cell r="L340" t="str">
            <v/>
          </cell>
          <cell r="M340">
            <v>3</v>
          </cell>
          <cell r="N340">
            <v>3</v>
          </cell>
          <cell r="O340" t="str">
            <v/>
          </cell>
          <cell r="P340" t="str">
            <v/>
          </cell>
          <cell r="Q340">
            <v>2</v>
          </cell>
          <cell r="R340">
            <v>2</v>
          </cell>
          <cell r="S340" t="str">
            <v>0</v>
          </cell>
          <cell r="T340">
            <v>0</v>
          </cell>
          <cell r="U340">
            <v>0</v>
          </cell>
          <cell r="V340">
            <v>1</v>
          </cell>
          <cell r="W340">
            <v>1</v>
          </cell>
          <cell r="X340" t="str">
            <v/>
          </cell>
          <cell r="Y340" t="str">
            <v/>
          </cell>
          <cell r="Z340" t="str">
            <v/>
          </cell>
          <cell r="AA340">
            <v>6</v>
          </cell>
          <cell r="AB340">
            <v>6</v>
          </cell>
          <cell r="AC340">
            <v>0</v>
          </cell>
          <cell r="AD340"/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1.6666666666666667</v>
          </cell>
        </row>
        <row r="341">
          <cell r="A341" t="str">
            <v>CCE0051</v>
          </cell>
          <cell r="B341"/>
          <cell r="C341" t="str">
            <v>Cabo Moto</v>
          </cell>
          <cell r="D341" t="str">
            <v>POLO</v>
          </cell>
          <cell r="E341">
            <v>7</v>
          </cell>
          <cell r="F341" t="str">
            <v xml:space="preserve">CCE0051 CABO EMBREAGEM HONDA BROS 160 16&gt;  </v>
          </cell>
          <cell r="G341"/>
          <cell r="H341" t="str">
            <v>-</v>
          </cell>
          <cell r="I341"/>
          <cell r="J341"/>
          <cell r="K341"/>
          <cell r="L341"/>
          <cell r="M341"/>
          <cell r="N341"/>
          <cell r="O341"/>
          <cell r="P341"/>
          <cell r="Q341">
            <v>5</v>
          </cell>
          <cell r="R341"/>
          <cell r="S341"/>
          <cell r="T341"/>
          <cell r="U341">
            <v>5</v>
          </cell>
          <cell r="V341">
            <v>0</v>
          </cell>
          <cell r="W341">
            <v>0</v>
          </cell>
          <cell r="X341" t="str">
            <v/>
          </cell>
          <cell r="Y341" t="str">
            <v/>
          </cell>
          <cell r="Z341" t="str">
            <v/>
          </cell>
          <cell r="AA341">
            <v>5</v>
          </cell>
          <cell r="AB341">
            <v>0</v>
          </cell>
          <cell r="AC341">
            <v>0</v>
          </cell>
          <cell r="AD341"/>
          <cell r="AE341">
            <v>5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1.6666666666666667</v>
          </cell>
        </row>
        <row r="342">
          <cell r="A342">
            <v>112053</v>
          </cell>
          <cell r="B342" t="str">
            <v>Sim</v>
          </cell>
          <cell r="C342" t="str">
            <v>Bandeja</v>
          </cell>
          <cell r="D342" t="str">
            <v>SPARE</v>
          </cell>
          <cell r="E342">
            <v>2</v>
          </cell>
          <cell r="F342" t="str">
            <v>Bandeja Esquerda Sem Pivô Idea Elx 2005 A 2016 Motor 1.4</v>
          </cell>
          <cell r="G342"/>
          <cell r="H342">
            <v>2</v>
          </cell>
          <cell r="I342">
            <v>4</v>
          </cell>
          <cell r="J342">
            <v>0</v>
          </cell>
          <cell r="K342">
            <v>4</v>
          </cell>
          <cell r="L342" t="str">
            <v/>
          </cell>
          <cell r="M342">
            <v>2</v>
          </cell>
          <cell r="N342">
            <v>2</v>
          </cell>
          <cell r="O342">
            <v>0</v>
          </cell>
          <cell r="P342" t="str">
            <v/>
          </cell>
          <cell r="Q342">
            <v>1</v>
          </cell>
          <cell r="R342" t="str">
            <v>0</v>
          </cell>
          <cell r="S342">
            <v>1</v>
          </cell>
          <cell r="T342">
            <v>0</v>
          </cell>
          <cell r="U342">
            <v>0</v>
          </cell>
          <cell r="V342">
            <v>1</v>
          </cell>
          <cell r="W342">
            <v>1</v>
          </cell>
          <cell r="X342" t="str">
            <v/>
          </cell>
          <cell r="Y342" t="str">
            <v/>
          </cell>
          <cell r="Z342" t="str">
            <v/>
          </cell>
          <cell r="AA342">
            <v>5</v>
          </cell>
          <cell r="AB342">
            <v>2</v>
          </cell>
          <cell r="AC342">
            <v>2</v>
          </cell>
          <cell r="AD342"/>
          <cell r="AE342">
            <v>1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1.6666666666666667</v>
          </cell>
        </row>
        <row r="343">
          <cell r="A343">
            <v>772031</v>
          </cell>
          <cell r="B343" t="str">
            <v>Sim</v>
          </cell>
          <cell r="C343" t="str">
            <v>Bandeja</v>
          </cell>
          <cell r="D343" t="str">
            <v>SPARE</v>
          </cell>
          <cell r="E343">
            <v>2</v>
          </cell>
          <cell r="F343" t="str">
            <v>Bandeja Esquerda Inferior Corolla 2001 A 2019</v>
          </cell>
          <cell r="G343"/>
          <cell r="H343">
            <v>1</v>
          </cell>
          <cell r="I343">
            <v>2</v>
          </cell>
          <cell r="J343" t="str">
            <v/>
          </cell>
          <cell r="K343">
            <v>2</v>
          </cell>
          <cell r="L343" t="str">
            <v/>
          </cell>
          <cell r="M343">
            <v>3</v>
          </cell>
          <cell r="N343">
            <v>3</v>
          </cell>
          <cell r="O343" t="str">
            <v/>
          </cell>
          <cell r="P343" t="str">
            <v/>
          </cell>
          <cell r="Q343">
            <v>2</v>
          </cell>
          <cell r="R343">
            <v>2</v>
          </cell>
          <cell r="S343" t="str">
            <v>0</v>
          </cell>
          <cell r="T343">
            <v>0</v>
          </cell>
          <cell r="U343">
            <v>0</v>
          </cell>
          <cell r="V343">
            <v>2</v>
          </cell>
          <cell r="W343">
            <v>2</v>
          </cell>
          <cell r="X343" t="str">
            <v/>
          </cell>
          <cell r="Y343" t="str">
            <v/>
          </cell>
          <cell r="Z343" t="str">
            <v/>
          </cell>
          <cell r="AA343">
            <v>4</v>
          </cell>
          <cell r="AB343">
            <v>4</v>
          </cell>
          <cell r="AC343">
            <v>0</v>
          </cell>
          <cell r="AD343"/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1.6666666666666667</v>
          </cell>
        </row>
        <row r="344">
          <cell r="A344">
            <v>112052</v>
          </cell>
          <cell r="B344" t="str">
            <v>Sim</v>
          </cell>
          <cell r="C344" t="str">
            <v>Bandeja</v>
          </cell>
          <cell r="D344" t="str">
            <v>SPARE</v>
          </cell>
          <cell r="E344">
            <v>2</v>
          </cell>
          <cell r="F344" t="str">
            <v>Bandeja Direita Sem Pivô Palio Weekend 2005 A 2019</v>
          </cell>
          <cell r="G344"/>
          <cell r="H344">
            <v>4</v>
          </cell>
          <cell r="I344">
            <v>1</v>
          </cell>
          <cell r="J344">
            <v>0</v>
          </cell>
          <cell r="K344">
            <v>1</v>
          </cell>
          <cell r="L344" t="str">
            <v/>
          </cell>
          <cell r="M344">
            <v>2</v>
          </cell>
          <cell r="N344">
            <v>2</v>
          </cell>
          <cell r="O344">
            <v>0</v>
          </cell>
          <cell r="P344" t="str">
            <v/>
          </cell>
          <cell r="Q344">
            <v>2</v>
          </cell>
          <cell r="R344">
            <v>1</v>
          </cell>
          <cell r="S344">
            <v>1</v>
          </cell>
          <cell r="T344">
            <v>0</v>
          </cell>
          <cell r="U344">
            <v>0</v>
          </cell>
          <cell r="V344">
            <v>1</v>
          </cell>
          <cell r="W344">
            <v>1</v>
          </cell>
          <cell r="X344" t="str">
            <v/>
          </cell>
          <cell r="Y344" t="str">
            <v/>
          </cell>
          <cell r="Z344" t="str">
            <v/>
          </cell>
          <cell r="AA344">
            <v>4</v>
          </cell>
          <cell r="AB344">
            <v>2</v>
          </cell>
          <cell r="AC344">
            <v>2</v>
          </cell>
          <cell r="AD344"/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1.6666666666666667</v>
          </cell>
        </row>
        <row r="345">
          <cell r="A345">
            <v>332112</v>
          </cell>
          <cell r="B345" t="str">
            <v>Não</v>
          </cell>
          <cell r="C345" t="str">
            <v>Bandeja</v>
          </cell>
          <cell r="D345" t="str">
            <v>SPARE</v>
          </cell>
          <cell r="E345">
            <v>2</v>
          </cell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>
            <v>0</v>
          </cell>
          <cell r="R345" t="str">
            <v>0</v>
          </cell>
          <cell r="S345">
            <v>0</v>
          </cell>
          <cell r="T345">
            <v>0</v>
          </cell>
          <cell r="U345">
            <v>0</v>
          </cell>
          <cell r="V345">
            <v>5</v>
          </cell>
          <cell r="W345">
            <v>1</v>
          </cell>
          <cell r="X345">
            <v>4</v>
          </cell>
          <cell r="Y345" t="str">
            <v/>
          </cell>
          <cell r="Z345" t="str">
            <v/>
          </cell>
          <cell r="AA345">
            <v>3</v>
          </cell>
          <cell r="AB345">
            <v>3</v>
          </cell>
          <cell r="AC345">
            <v>0</v>
          </cell>
          <cell r="AD345"/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1.6666666666666667</v>
          </cell>
        </row>
        <row r="346">
          <cell r="A346">
            <v>442081</v>
          </cell>
          <cell r="B346" t="str">
            <v>Sim</v>
          </cell>
          <cell r="C346" t="str">
            <v>Bandeja</v>
          </cell>
          <cell r="D346" t="str">
            <v>SPARE</v>
          </cell>
          <cell r="E346">
            <v>2</v>
          </cell>
          <cell r="F346" t="str">
            <v>Bandeja Superior Direito Sem Pivô Pampa 1984 À 1997</v>
          </cell>
          <cell r="G346"/>
          <cell r="H346">
            <v>2</v>
          </cell>
          <cell r="I346">
            <v>2</v>
          </cell>
          <cell r="J346">
            <v>2</v>
          </cell>
          <cell r="K346" t="str">
            <v/>
          </cell>
          <cell r="L346" t="str">
            <v/>
          </cell>
          <cell r="M346">
            <v>2</v>
          </cell>
          <cell r="N346" t="str">
            <v/>
          </cell>
          <cell r="O346">
            <v>2</v>
          </cell>
          <cell r="P346" t="str">
            <v/>
          </cell>
          <cell r="Q346">
            <v>2</v>
          </cell>
          <cell r="R346">
            <v>1</v>
          </cell>
          <cell r="S346">
            <v>1</v>
          </cell>
          <cell r="T346">
            <v>0</v>
          </cell>
          <cell r="U346">
            <v>0</v>
          </cell>
          <cell r="V346">
            <v>2</v>
          </cell>
          <cell r="W346">
            <v>1</v>
          </cell>
          <cell r="X346">
            <v>1</v>
          </cell>
          <cell r="Y346" t="str">
            <v/>
          </cell>
          <cell r="Z346" t="str">
            <v/>
          </cell>
          <cell r="AA346">
            <v>2</v>
          </cell>
          <cell r="AB346">
            <v>1</v>
          </cell>
          <cell r="AC346">
            <v>1</v>
          </cell>
          <cell r="AD346"/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1.6666666666666667</v>
          </cell>
        </row>
        <row r="347">
          <cell r="A347">
            <v>332113</v>
          </cell>
          <cell r="B347" t="str">
            <v>Não</v>
          </cell>
          <cell r="C347" t="str">
            <v>Bandeja</v>
          </cell>
          <cell r="D347" t="str">
            <v>SPARE</v>
          </cell>
          <cell r="E347">
            <v>2</v>
          </cell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>
            <v>0</v>
          </cell>
          <cell r="R347" t="str">
            <v>0</v>
          </cell>
          <cell r="S347">
            <v>0</v>
          </cell>
          <cell r="T347">
            <v>0</v>
          </cell>
          <cell r="U347">
            <v>0</v>
          </cell>
          <cell r="V347">
            <v>5</v>
          </cell>
          <cell r="W347">
            <v>1</v>
          </cell>
          <cell r="X347">
            <v>4</v>
          </cell>
          <cell r="Y347" t="str">
            <v/>
          </cell>
          <cell r="Z347" t="str">
            <v/>
          </cell>
          <cell r="AA347">
            <v>1</v>
          </cell>
          <cell r="AB347">
            <v>1</v>
          </cell>
          <cell r="AC347">
            <v>0</v>
          </cell>
          <cell r="AD347"/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1.6666666666666667</v>
          </cell>
        </row>
        <row r="348">
          <cell r="A348">
            <v>5227</v>
          </cell>
          <cell r="B348"/>
          <cell r="C348" t="str">
            <v>Bieleta</v>
          </cell>
          <cell r="D348" t="str">
            <v>HOLYMAN</v>
          </cell>
          <cell r="E348">
            <v>5</v>
          </cell>
          <cell r="F348" t="str">
            <v>Bieleta Dianteira Direita Captiva 2008 A 2015</v>
          </cell>
          <cell r="G348"/>
          <cell r="H348">
            <v>2</v>
          </cell>
          <cell r="I348">
            <v>2</v>
          </cell>
          <cell r="J348">
            <v>2</v>
          </cell>
          <cell r="K348" t="str">
            <v/>
          </cell>
          <cell r="L348" t="str">
            <v/>
          </cell>
          <cell r="M348">
            <v>0</v>
          </cell>
          <cell r="N348" t="str">
            <v/>
          </cell>
          <cell r="O348">
            <v>0</v>
          </cell>
          <cell r="P348" t="str">
            <v/>
          </cell>
          <cell r="Q348">
            <v>4</v>
          </cell>
          <cell r="R348" t="str">
            <v>0</v>
          </cell>
          <cell r="S348">
            <v>4</v>
          </cell>
          <cell r="T348">
            <v>0</v>
          </cell>
          <cell r="U348">
            <v>0</v>
          </cell>
          <cell r="V348">
            <v>2</v>
          </cell>
          <cell r="W348">
            <v>1</v>
          </cell>
          <cell r="X348">
            <v>1</v>
          </cell>
          <cell r="Y348" t="str">
            <v/>
          </cell>
          <cell r="Z348" t="str">
            <v/>
          </cell>
          <cell r="AA348">
            <v>1</v>
          </cell>
          <cell r="AB348">
            <v>1</v>
          </cell>
          <cell r="AC348">
            <v>0</v>
          </cell>
          <cell r="AD348"/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1.6666666666666667</v>
          </cell>
        </row>
        <row r="349">
          <cell r="A349" t="str">
            <v>4004r</v>
          </cell>
          <cell r="B349" t="str">
            <v>Sim</v>
          </cell>
          <cell r="C349" t="str">
            <v>Capa Pedal</v>
          </cell>
          <cell r="D349" t="str">
            <v>HOLYMAN</v>
          </cell>
          <cell r="E349">
            <v>5</v>
          </cell>
          <cell r="F349" t="str">
            <v>Capa Pedal Acelerador Freio Embreagem Rosa Kadett 89 A 98</v>
          </cell>
          <cell r="G349"/>
          <cell r="H349">
            <v>1</v>
          </cell>
          <cell r="I349">
            <v>2</v>
          </cell>
          <cell r="J349" t="str">
            <v/>
          </cell>
          <cell r="K349">
            <v>2</v>
          </cell>
          <cell r="L349" t="str">
            <v/>
          </cell>
          <cell r="M349">
            <v>1</v>
          </cell>
          <cell r="N349">
            <v>1</v>
          </cell>
          <cell r="O349" t="str">
            <v/>
          </cell>
          <cell r="P349" t="str">
            <v/>
          </cell>
          <cell r="Q349">
            <v>5</v>
          </cell>
          <cell r="R349">
            <v>5</v>
          </cell>
          <cell r="S349" t="str">
            <v>0</v>
          </cell>
          <cell r="T349">
            <v>0</v>
          </cell>
          <cell r="U349">
            <v>0</v>
          </cell>
          <cell r="V349">
            <v>1</v>
          </cell>
          <cell r="W349">
            <v>1</v>
          </cell>
          <cell r="X349" t="str">
            <v/>
          </cell>
          <cell r="Y349" t="str">
            <v/>
          </cell>
          <cell r="Z349" t="str">
            <v/>
          </cell>
          <cell r="AA349">
            <v>1</v>
          </cell>
          <cell r="AB349">
            <v>1</v>
          </cell>
          <cell r="AC349">
            <v>0</v>
          </cell>
          <cell r="AD349"/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1.6666666666666667</v>
          </cell>
        </row>
        <row r="350">
          <cell r="A350" t="str">
            <v>FTK-PDA151</v>
          </cell>
          <cell r="B350"/>
          <cell r="C350" t="str">
            <v>Amortecedor Pota Malas</v>
          </cell>
          <cell r="D350" t="str">
            <v>Pandão</v>
          </cell>
          <cell r="E350">
            <v>22</v>
          </cell>
          <cell r="F350" t="str">
            <v>AMORTECEDOR MOLA A GÁS PORTA MALAS AGILE 2009 A 2013</v>
          </cell>
          <cell r="G350"/>
          <cell r="H350" t="str">
            <v>-</v>
          </cell>
          <cell r="I350"/>
          <cell r="J350"/>
          <cell r="K350"/>
          <cell r="L350"/>
          <cell r="M350"/>
          <cell r="N350"/>
          <cell r="O350"/>
          <cell r="P350"/>
          <cell r="Q350">
            <v>0</v>
          </cell>
          <cell r="R350"/>
          <cell r="S350">
            <v>0</v>
          </cell>
          <cell r="T350">
            <v>0</v>
          </cell>
          <cell r="U350">
            <v>0</v>
          </cell>
          <cell r="V350">
            <v>5</v>
          </cell>
          <cell r="W350">
            <v>1</v>
          </cell>
          <cell r="X350">
            <v>4</v>
          </cell>
          <cell r="Y350" t="str">
            <v/>
          </cell>
          <cell r="Z350" t="str">
            <v/>
          </cell>
          <cell r="AA350">
            <v>0</v>
          </cell>
          <cell r="AB350">
            <v>0</v>
          </cell>
          <cell r="AC350">
            <v>0</v>
          </cell>
          <cell r="AD350"/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1.6666666666666667</v>
          </cell>
        </row>
        <row r="351">
          <cell r="A351">
            <v>882003</v>
          </cell>
          <cell r="B351" t="str">
            <v>Sim</v>
          </cell>
          <cell r="C351" t="str">
            <v>Bandeja</v>
          </cell>
          <cell r="D351" t="str">
            <v>SPARE</v>
          </cell>
          <cell r="E351">
            <v>2</v>
          </cell>
          <cell r="F351" t="str">
            <v>Bandeja Dianteira Esquerdo Com Pivô J3 2011 À 2015</v>
          </cell>
          <cell r="G351"/>
          <cell r="H351">
            <v>3</v>
          </cell>
          <cell r="I351">
            <v>2</v>
          </cell>
          <cell r="J351">
            <v>1</v>
          </cell>
          <cell r="K351">
            <v>1</v>
          </cell>
          <cell r="L351" t="str">
            <v/>
          </cell>
          <cell r="M351">
            <v>3</v>
          </cell>
          <cell r="N351">
            <v>3</v>
          </cell>
          <cell r="O351">
            <v>0</v>
          </cell>
          <cell r="P351" t="str">
            <v/>
          </cell>
          <cell r="Q351">
            <v>2</v>
          </cell>
          <cell r="R351">
            <v>2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 t="str">
            <v/>
          </cell>
          <cell r="Y351" t="str">
            <v/>
          </cell>
          <cell r="Z351" t="str">
            <v/>
          </cell>
          <cell r="AA351">
            <v>0</v>
          </cell>
          <cell r="AB351">
            <v>0</v>
          </cell>
          <cell r="AC351">
            <v>0</v>
          </cell>
          <cell r="AD351"/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1.6666666666666667</v>
          </cell>
        </row>
        <row r="352">
          <cell r="A352">
            <v>772194</v>
          </cell>
          <cell r="B352" t="str">
            <v>Sim</v>
          </cell>
          <cell r="C352" t="str">
            <v>Bandeja</v>
          </cell>
          <cell r="D352" t="str">
            <v>SPARE</v>
          </cell>
          <cell r="E352">
            <v>2</v>
          </cell>
          <cell r="F352" t="str">
            <v>Bandeja Superior Besta 1998 A 2003 Ambos Os Lados</v>
          </cell>
          <cell r="G352"/>
          <cell r="H352">
            <v>0</v>
          </cell>
          <cell r="I352">
            <v>4</v>
          </cell>
          <cell r="J352">
            <v>4</v>
          </cell>
          <cell r="K352" t="str">
            <v/>
          </cell>
          <cell r="L352" t="str">
            <v/>
          </cell>
          <cell r="M352">
            <v>3</v>
          </cell>
          <cell r="N352">
            <v>1</v>
          </cell>
          <cell r="O352">
            <v>2</v>
          </cell>
          <cell r="P352" t="str">
            <v/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3</v>
          </cell>
          <cell r="W352">
            <v>3</v>
          </cell>
          <cell r="X352" t="str">
            <v/>
          </cell>
          <cell r="Y352" t="str">
            <v/>
          </cell>
          <cell r="Z352" t="str">
            <v/>
          </cell>
          <cell r="AA352">
            <v>0</v>
          </cell>
          <cell r="AB352">
            <v>0</v>
          </cell>
          <cell r="AC352">
            <v>0</v>
          </cell>
          <cell r="AD352"/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1.6666666666666667</v>
          </cell>
        </row>
        <row r="353">
          <cell r="A353">
            <v>77158</v>
          </cell>
          <cell r="B353" t="str">
            <v>Sim</v>
          </cell>
          <cell r="C353" t="str">
            <v>Cabo de Capô</v>
          </cell>
          <cell r="D353" t="str">
            <v>MundiFlex</v>
          </cell>
          <cell r="E353">
            <v>6</v>
          </cell>
          <cell r="F353" t="str">
            <v>Cabo De Capô Com Botão Opala 1969 A 1974</v>
          </cell>
          <cell r="G353"/>
          <cell r="H353">
            <v>1</v>
          </cell>
          <cell r="I353">
            <v>5</v>
          </cell>
          <cell r="J353" t="str">
            <v/>
          </cell>
          <cell r="K353">
            <v>5</v>
          </cell>
          <cell r="L353" t="str">
            <v/>
          </cell>
          <cell r="M353">
            <v>2</v>
          </cell>
          <cell r="N353">
            <v>2</v>
          </cell>
          <cell r="O353" t="str">
            <v/>
          </cell>
          <cell r="P353" t="str">
            <v/>
          </cell>
          <cell r="Q353">
            <v>1</v>
          </cell>
          <cell r="R353">
            <v>1</v>
          </cell>
          <cell r="S353" t="str">
            <v>0</v>
          </cell>
          <cell r="T353">
            <v>0</v>
          </cell>
          <cell r="U353">
            <v>0</v>
          </cell>
          <cell r="V353">
            <v>1</v>
          </cell>
          <cell r="W353">
            <v>1</v>
          </cell>
          <cell r="X353" t="str">
            <v/>
          </cell>
          <cell r="Y353" t="str">
            <v/>
          </cell>
          <cell r="Z353" t="str">
            <v/>
          </cell>
          <cell r="AA353">
            <v>0</v>
          </cell>
          <cell r="AB353">
            <v>0</v>
          </cell>
          <cell r="AC353">
            <v>0</v>
          </cell>
          <cell r="AD353"/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1.6666666666666667</v>
          </cell>
        </row>
        <row r="354">
          <cell r="A354">
            <v>66301</v>
          </cell>
          <cell r="B354"/>
          <cell r="C354" t="str">
            <v>Cabo de Freio</v>
          </cell>
          <cell r="D354" t="str">
            <v>MundiFlex</v>
          </cell>
          <cell r="E354">
            <v>6</v>
          </cell>
          <cell r="F354" t="str">
            <v>Cabo De Freio Traseiro Ld Siena Attractive Elx 2008 Diante</v>
          </cell>
          <cell r="G354"/>
          <cell r="H354">
            <v>1</v>
          </cell>
          <cell r="I354">
            <v>3</v>
          </cell>
          <cell r="J354">
            <v>3</v>
          </cell>
          <cell r="K354" t="str">
            <v/>
          </cell>
          <cell r="L354" t="str">
            <v/>
          </cell>
          <cell r="M354">
            <v>1</v>
          </cell>
          <cell r="N354" t="str">
            <v/>
          </cell>
          <cell r="O354">
            <v>1</v>
          </cell>
          <cell r="P354" t="str">
            <v/>
          </cell>
          <cell r="Q354">
            <v>2</v>
          </cell>
          <cell r="R354" t="str">
            <v>0</v>
          </cell>
          <cell r="S354">
            <v>2</v>
          </cell>
          <cell r="T354">
            <v>0</v>
          </cell>
          <cell r="U354">
            <v>0</v>
          </cell>
          <cell r="V354">
            <v>3</v>
          </cell>
          <cell r="W354">
            <v>1</v>
          </cell>
          <cell r="X354">
            <v>2</v>
          </cell>
          <cell r="Y354" t="str">
            <v/>
          </cell>
          <cell r="Z354" t="str">
            <v/>
          </cell>
          <cell r="AA354">
            <v>0</v>
          </cell>
          <cell r="AB354">
            <v>0</v>
          </cell>
          <cell r="AC354">
            <v>0</v>
          </cell>
          <cell r="AD354"/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1.6666666666666667</v>
          </cell>
        </row>
        <row r="355">
          <cell r="A355" t="str">
            <v>CCA0036</v>
          </cell>
          <cell r="B355"/>
          <cell r="C355" t="str">
            <v>Cabo Moto</v>
          </cell>
          <cell r="D355" t="str">
            <v>POLO</v>
          </cell>
          <cell r="E355">
            <v>7</v>
          </cell>
          <cell r="F355" t="str">
            <v xml:space="preserve">CCA0036 CABO ACELERADOR HONDA CG NXR 150 BROS ES KS 09&gt;12  </v>
          </cell>
          <cell r="G355"/>
          <cell r="H355" t="str">
            <v>-</v>
          </cell>
          <cell r="I355"/>
          <cell r="J355"/>
          <cell r="K355"/>
          <cell r="L355"/>
          <cell r="M355"/>
          <cell r="N355"/>
          <cell r="O355"/>
          <cell r="P355"/>
          <cell r="Q355">
            <v>5</v>
          </cell>
          <cell r="R355"/>
          <cell r="S355"/>
          <cell r="T355"/>
          <cell r="U355">
            <v>5</v>
          </cell>
          <cell r="V355">
            <v>0</v>
          </cell>
          <cell r="W355">
            <v>0</v>
          </cell>
          <cell r="X355" t="str">
            <v/>
          </cell>
          <cell r="Y355" t="str">
            <v/>
          </cell>
          <cell r="Z355" t="str">
            <v/>
          </cell>
          <cell r="AA355">
            <v>0</v>
          </cell>
          <cell r="AB355">
            <v>0</v>
          </cell>
          <cell r="AC355">
            <v>0</v>
          </cell>
          <cell r="AD355"/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1.6666666666666667</v>
          </cell>
        </row>
        <row r="356">
          <cell r="A356" t="str">
            <v>CCE0054</v>
          </cell>
          <cell r="B356"/>
          <cell r="C356" t="str">
            <v>Cabo Moto</v>
          </cell>
          <cell r="D356" t="str">
            <v>POLO</v>
          </cell>
          <cell r="E356">
            <v>7</v>
          </cell>
          <cell r="F356" t="str">
            <v xml:space="preserve">CCE0054 CABO EMBREAGEM YAMAHA YBR 125 FACTOR ED/EK 09&gt;  </v>
          </cell>
          <cell r="G356"/>
          <cell r="H356" t="str">
            <v>-</v>
          </cell>
          <cell r="I356"/>
          <cell r="J356"/>
          <cell r="K356"/>
          <cell r="L356"/>
          <cell r="M356"/>
          <cell r="N356"/>
          <cell r="O356"/>
          <cell r="P356"/>
          <cell r="Q356">
            <v>5</v>
          </cell>
          <cell r="R356"/>
          <cell r="S356"/>
          <cell r="T356"/>
          <cell r="U356">
            <v>5</v>
          </cell>
          <cell r="V356">
            <v>0</v>
          </cell>
          <cell r="W356">
            <v>0</v>
          </cell>
          <cell r="X356" t="str">
            <v/>
          </cell>
          <cell r="Y356" t="str">
            <v/>
          </cell>
          <cell r="Z356" t="str">
            <v/>
          </cell>
          <cell r="AA356">
            <v>0</v>
          </cell>
          <cell r="AB356">
            <v>0</v>
          </cell>
          <cell r="AC356">
            <v>0</v>
          </cell>
          <cell r="AD356"/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1.6666666666666667</v>
          </cell>
        </row>
        <row r="357">
          <cell r="A357" t="str">
            <v>CCE0056</v>
          </cell>
          <cell r="B357"/>
          <cell r="C357" t="str">
            <v>Cabo Moto</v>
          </cell>
          <cell r="D357" t="str">
            <v>POLO</v>
          </cell>
          <cell r="E357">
            <v>7</v>
          </cell>
          <cell r="F357" t="str">
            <v xml:space="preserve">CCE0056 CABO EMBREAGEM HONDA CG 150 TITAN ES/KS 09&gt;  </v>
          </cell>
          <cell r="G357"/>
          <cell r="H357" t="str">
            <v>-</v>
          </cell>
          <cell r="I357"/>
          <cell r="J357"/>
          <cell r="K357"/>
          <cell r="L357"/>
          <cell r="M357"/>
          <cell r="N357"/>
          <cell r="O357"/>
          <cell r="P357"/>
          <cell r="Q357">
            <v>5</v>
          </cell>
          <cell r="R357"/>
          <cell r="S357"/>
          <cell r="T357"/>
          <cell r="U357">
            <v>5</v>
          </cell>
          <cell r="V357">
            <v>0</v>
          </cell>
          <cell r="W357">
            <v>0</v>
          </cell>
          <cell r="X357" t="str">
            <v/>
          </cell>
          <cell r="Y357" t="str">
            <v/>
          </cell>
          <cell r="Z357" t="str">
            <v/>
          </cell>
          <cell r="AA357">
            <v>0</v>
          </cell>
          <cell r="AB357">
            <v>0</v>
          </cell>
          <cell r="AC357">
            <v>0</v>
          </cell>
          <cell r="AD357"/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1.6666666666666667</v>
          </cell>
        </row>
        <row r="358">
          <cell r="A358" t="str">
            <v>FTK77503-AMW</v>
          </cell>
          <cell r="B358"/>
          <cell r="C358" t="str">
            <v>Bucha Bandeja</v>
          </cell>
          <cell r="D358" t="str">
            <v>AMW</v>
          </cell>
          <cell r="E358">
            <v>9</v>
          </cell>
          <cell r="F358" t="str">
            <v>BUCHA DA BANDEJA SUSPENSÃO DIANTEIRA CLIO 1998 EM DIANTE NÃO EXPORTAR</v>
          </cell>
          <cell r="G358"/>
          <cell r="H358" t="str">
            <v>-</v>
          </cell>
          <cell r="I358">
            <v>0</v>
          </cell>
          <cell r="J358">
            <v>0</v>
          </cell>
          <cell r="K358" t="str">
            <v/>
          </cell>
          <cell r="L358" t="str">
            <v/>
          </cell>
          <cell r="M358">
            <v>0</v>
          </cell>
          <cell r="N358" t="str">
            <v/>
          </cell>
          <cell r="O358">
            <v>0</v>
          </cell>
          <cell r="P358" t="str">
            <v/>
          </cell>
          <cell r="Q358">
            <v>0</v>
          </cell>
          <cell r="R358" t="str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 t="str">
            <v/>
          </cell>
          <cell r="Y358" t="str">
            <v/>
          </cell>
          <cell r="Z358" t="str">
            <v/>
          </cell>
          <cell r="AA358">
            <v>4</v>
          </cell>
          <cell r="AB358">
            <v>0</v>
          </cell>
          <cell r="AC358">
            <v>4</v>
          </cell>
          <cell r="AD358"/>
          <cell r="AE358">
            <v>0</v>
          </cell>
          <cell r="AF358">
            <v>8</v>
          </cell>
          <cell r="AG358">
            <v>0</v>
          </cell>
          <cell r="AH358">
            <v>8</v>
          </cell>
          <cell r="AI358">
            <v>0</v>
          </cell>
          <cell r="AJ358">
            <v>0</v>
          </cell>
          <cell r="AK358">
            <v>1.6</v>
          </cell>
        </row>
        <row r="359">
          <cell r="A359">
            <v>5310</v>
          </cell>
          <cell r="B359"/>
          <cell r="C359" t="str">
            <v>Bieleta</v>
          </cell>
          <cell r="D359" t="str">
            <v>HOLYMAN</v>
          </cell>
          <cell r="E359">
            <v>5</v>
          </cell>
          <cell r="F359" t="str">
            <v>BIELETA DIANTEIRA AMBOS LADOS AUDI A3 1999 A 2003</v>
          </cell>
          <cell r="G359"/>
          <cell r="H359" t="str">
            <v>-</v>
          </cell>
          <cell r="I359">
            <v>0</v>
          </cell>
          <cell r="J359">
            <v>0</v>
          </cell>
          <cell r="K359" t="str">
            <v/>
          </cell>
          <cell r="L359" t="str">
            <v/>
          </cell>
          <cell r="M359">
            <v>0</v>
          </cell>
          <cell r="N359" t="str">
            <v/>
          </cell>
          <cell r="O359">
            <v>0</v>
          </cell>
          <cell r="P359" t="str">
            <v/>
          </cell>
          <cell r="Q359">
            <v>4</v>
          </cell>
          <cell r="R359" t="str">
            <v>0</v>
          </cell>
          <cell r="S359">
            <v>4</v>
          </cell>
          <cell r="T359">
            <v>0</v>
          </cell>
          <cell r="U359">
            <v>0</v>
          </cell>
          <cell r="V359">
            <v>2</v>
          </cell>
          <cell r="W359">
            <v>0</v>
          </cell>
          <cell r="X359">
            <v>2</v>
          </cell>
          <cell r="Y359" t="str">
            <v/>
          </cell>
          <cell r="Z359" t="str">
            <v/>
          </cell>
          <cell r="AA359">
            <v>0</v>
          </cell>
          <cell r="AB359">
            <v>0</v>
          </cell>
          <cell r="AC359">
            <v>0</v>
          </cell>
          <cell r="AD359"/>
          <cell r="AE359">
            <v>0</v>
          </cell>
          <cell r="AF359">
            <v>2</v>
          </cell>
          <cell r="AG359">
            <v>0</v>
          </cell>
          <cell r="AH359">
            <v>2</v>
          </cell>
          <cell r="AI359">
            <v>0</v>
          </cell>
          <cell r="AJ359">
            <v>0</v>
          </cell>
          <cell r="AK359">
            <v>1.6</v>
          </cell>
        </row>
        <row r="360">
          <cell r="A360" t="str">
            <v>FTK77001-AMW</v>
          </cell>
          <cell r="B360"/>
          <cell r="C360" t="str">
            <v>Bucha Bandeja</v>
          </cell>
          <cell r="D360" t="str">
            <v/>
          </cell>
          <cell r="E360" t="e">
            <v>#N/A</v>
          </cell>
          <cell r="F360" t="str">
            <v>BUCHA DIANTEIRA DA BANDEJA DIANTEIRA PICASSO 2001 A 2012 NÃO EXPORTAR</v>
          </cell>
          <cell r="G360"/>
          <cell r="H360" t="str">
            <v>-</v>
          </cell>
          <cell r="I360">
            <v>2</v>
          </cell>
          <cell r="J360">
            <v>2</v>
          </cell>
          <cell r="K360" t="str">
            <v/>
          </cell>
          <cell r="L360" t="str">
            <v/>
          </cell>
          <cell r="M360">
            <v>0</v>
          </cell>
          <cell r="N360" t="str">
            <v/>
          </cell>
          <cell r="O360">
            <v>0</v>
          </cell>
          <cell r="P360" t="str">
            <v/>
          </cell>
          <cell r="Q360">
            <v>6</v>
          </cell>
          <cell r="R360" t="str">
            <v>0</v>
          </cell>
          <cell r="S360">
            <v>6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 t="str">
            <v/>
          </cell>
          <cell r="Y360" t="str">
            <v/>
          </cell>
          <cell r="Z360" t="str">
            <v/>
          </cell>
          <cell r="AA360">
            <v>4</v>
          </cell>
          <cell r="AB360">
            <v>0</v>
          </cell>
          <cell r="AC360">
            <v>4</v>
          </cell>
          <cell r="AD360"/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1.6</v>
          </cell>
        </row>
        <row r="361">
          <cell r="A361">
            <v>222033</v>
          </cell>
          <cell r="B361" t="str">
            <v>Sim</v>
          </cell>
          <cell r="C361" t="str">
            <v>Bandeja</v>
          </cell>
          <cell r="D361" t="str">
            <v>SPARE</v>
          </cell>
          <cell r="E361">
            <v>2</v>
          </cell>
          <cell r="F361" t="str">
            <v>Bandeja Dianteira Esquerda Com Pivô Fiesta 2000 A 2003</v>
          </cell>
          <cell r="G361"/>
          <cell r="H361">
            <v>0</v>
          </cell>
          <cell r="I361">
            <v>0</v>
          </cell>
          <cell r="J361"/>
          <cell r="K361"/>
          <cell r="L361"/>
          <cell r="M361">
            <v>3</v>
          </cell>
          <cell r="N361">
            <v>1</v>
          </cell>
          <cell r="O361">
            <v>2</v>
          </cell>
          <cell r="P361" t="str">
            <v/>
          </cell>
          <cell r="Q361">
            <v>1</v>
          </cell>
          <cell r="R361" t="str">
            <v>0</v>
          </cell>
          <cell r="S361">
            <v>1</v>
          </cell>
          <cell r="T361">
            <v>0</v>
          </cell>
          <cell r="U361">
            <v>0</v>
          </cell>
          <cell r="V361">
            <v>2</v>
          </cell>
          <cell r="W361">
            <v>1</v>
          </cell>
          <cell r="X361">
            <v>1</v>
          </cell>
          <cell r="Y361" t="str">
            <v/>
          </cell>
          <cell r="Z361" t="str">
            <v/>
          </cell>
          <cell r="AA361">
            <v>7</v>
          </cell>
          <cell r="AB361">
            <v>3</v>
          </cell>
          <cell r="AC361">
            <v>4</v>
          </cell>
          <cell r="AD361"/>
          <cell r="AE361">
            <v>0</v>
          </cell>
          <cell r="AF361">
            <v>3</v>
          </cell>
          <cell r="AG361">
            <v>0</v>
          </cell>
          <cell r="AH361">
            <v>3</v>
          </cell>
          <cell r="AI361">
            <v>0</v>
          </cell>
          <cell r="AJ361">
            <v>0</v>
          </cell>
          <cell r="AK361">
            <v>1.5</v>
          </cell>
        </row>
        <row r="362">
          <cell r="A362" t="str">
            <v>FTK616</v>
          </cell>
          <cell r="B362"/>
          <cell r="C362" t="str">
            <v>Coifa Homocinética</v>
          </cell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>
            <v>1</v>
          </cell>
          <cell r="W362">
            <v>1</v>
          </cell>
          <cell r="X362" t="str">
            <v/>
          </cell>
          <cell r="Y362" t="str">
            <v/>
          </cell>
          <cell r="Z362" t="str">
            <v/>
          </cell>
          <cell r="AA362">
            <v>3</v>
          </cell>
          <cell r="AB362">
            <v>1</v>
          </cell>
          <cell r="AC362">
            <v>1</v>
          </cell>
          <cell r="AD362"/>
          <cell r="AE362">
            <v>1</v>
          </cell>
          <cell r="AF362">
            <v>2</v>
          </cell>
          <cell r="AG362">
            <v>0</v>
          </cell>
          <cell r="AH362">
            <v>2</v>
          </cell>
          <cell r="AI362">
            <v>0</v>
          </cell>
          <cell r="AJ362">
            <v>0</v>
          </cell>
          <cell r="AK362">
            <v>1.5</v>
          </cell>
        </row>
        <row r="363">
          <cell r="A363">
            <v>6202</v>
          </cell>
          <cell r="B363"/>
          <cell r="C363" t="str">
            <v>Bieleta</v>
          </cell>
          <cell r="D363" t="str">
            <v>HOLYMAN</v>
          </cell>
          <cell r="E363">
            <v>5</v>
          </cell>
          <cell r="F363" t="str">
            <v>BIELETA DIANT. ESQ. X-TERRA / FRONTIER SET 07/...</v>
          </cell>
          <cell r="G363"/>
          <cell r="H363">
            <v>0</v>
          </cell>
          <cell r="I363">
            <v>0</v>
          </cell>
          <cell r="J363"/>
          <cell r="K363"/>
          <cell r="L363"/>
          <cell r="M363">
            <v>2</v>
          </cell>
          <cell r="N363" t="str">
            <v/>
          </cell>
          <cell r="O363">
            <v>2</v>
          </cell>
          <cell r="P363" t="str">
            <v/>
          </cell>
          <cell r="Q363">
            <v>2</v>
          </cell>
          <cell r="R363" t="str">
            <v>0</v>
          </cell>
          <cell r="S363">
            <v>2</v>
          </cell>
          <cell r="T363">
            <v>0</v>
          </cell>
          <cell r="U363">
            <v>0</v>
          </cell>
          <cell r="V363">
            <v>3</v>
          </cell>
          <cell r="W363">
            <v>0</v>
          </cell>
          <cell r="X363">
            <v>3</v>
          </cell>
          <cell r="Y363" t="str">
            <v/>
          </cell>
          <cell r="Z363" t="str">
            <v/>
          </cell>
          <cell r="AA363">
            <v>3</v>
          </cell>
          <cell r="AB363">
            <v>1</v>
          </cell>
          <cell r="AC363">
            <v>2</v>
          </cell>
          <cell r="AD363"/>
          <cell r="AE363">
            <v>0</v>
          </cell>
          <cell r="AF363">
            <v>2</v>
          </cell>
          <cell r="AG363">
            <v>0</v>
          </cell>
          <cell r="AH363">
            <v>2</v>
          </cell>
          <cell r="AI363">
            <v>0</v>
          </cell>
          <cell r="AJ363">
            <v>0</v>
          </cell>
          <cell r="AK363">
            <v>1.5</v>
          </cell>
        </row>
        <row r="364">
          <cell r="A364">
            <v>6203</v>
          </cell>
          <cell r="B364"/>
          <cell r="C364" t="str">
            <v>Bieleta</v>
          </cell>
          <cell r="D364" t="str">
            <v>HOLYMAN</v>
          </cell>
          <cell r="E364">
            <v>5</v>
          </cell>
          <cell r="F364" t="str">
            <v>BIELETA DIANT. ESQ. X-TERRA / FRONTIER SET 07/...</v>
          </cell>
          <cell r="G364"/>
          <cell r="H364">
            <v>0</v>
          </cell>
          <cell r="I364">
            <v>0</v>
          </cell>
          <cell r="J364"/>
          <cell r="K364"/>
          <cell r="L364"/>
          <cell r="M364">
            <v>2</v>
          </cell>
          <cell r="N364" t="str">
            <v/>
          </cell>
          <cell r="O364">
            <v>2</v>
          </cell>
          <cell r="P364" t="str">
            <v/>
          </cell>
          <cell r="Q364">
            <v>2</v>
          </cell>
          <cell r="R364" t="str">
            <v>0</v>
          </cell>
          <cell r="S364">
            <v>2</v>
          </cell>
          <cell r="T364">
            <v>0</v>
          </cell>
          <cell r="U364">
            <v>0</v>
          </cell>
          <cell r="V364">
            <v>3</v>
          </cell>
          <cell r="W364">
            <v>0</v>
          </cell>
          <cell r="X364">
            <v>3</v>
          </cell>
          <cell r="Y364" t="str">
            <v/>
          </cell>
          <cell r="Z364" t="str">
            <v/>
          </cell>
          <cell r="AA364">
            <v>2</v>
          </cell>
          <cell r="AB364">
            <v>0</v>
          </cell>
          <cell r="AC364">
            <v>2</v>
          </cell>
          <cell r="AD364"/>
          <cell r="AE364">
            <v>0</v>
          </cell>
          <cell r="AF364">
            <v>2</v>
          </cell>
          <cell r="AG364">
            <v>0</v>
          </cell>
          <cell r="AH364">
            <v>2</v>
          </cell>
          <cell r="AI364">
            <v>0</v>
          </cell>
          <cell r="AJ364">
            <v>0</v>
          </cell>
          <cell r="AK364">
            <v>1.5</v>
          </cell>
        </row>
        <row r="365">
          <cell r="A365">
            <v>23129</v>
          </cell>
          <cell r="B365" t="str">
            <v>Sim</v>
          </cell>
          <cell r="C365" t="str">
            <v>Pino de Freio</v>
          </cell>
          <cell r="D365" t="str">
            <v>MultiKit</v>
          </cell>
          <cell r="E365">
            <v>4</v>
          </cell>
          <cell r="F365" t="str">
            <v>Kit Pino Da Pinça De Freio Chevrolet S10 2012 Em Diante</v>
          </cell>
          <cell r="G365"/>
          <cell r="H365">
            <v>0</v>
          </cell>
          <cell r="I365">
            <v>2</v>
          </cell>
          <cell r="J365">
            <v>2</v>
          </cell>
          <cell r="K365" t="str">
            <v/>
          </cell>
          <cell r="L365" t="str">
            <v/>
          </cell>
          <cell r="M365">
            <v>1</v>
          </cell>
          <cell r="N365">
            <v>1</v>
          </cell>
          <cell r="O365">
            <v>0</v>
          </cell>
          <cell r="P365" t="str">
            <v/>
          </cell>
          <cell r="Q365">
            <v>2</v>
          </cell>
          <cell r="R365" t="str">
            <v>0</v>
          </cell>
          <cell r="S365">
            <v>2</v>
          </cell>
          <cell r="T365">
            <v>0</v>
          </cell>
          <cell r="U365">
            <v>0</v>
          </cell>
          <cell r="V365">
            <v>2</v>
          </cell>
          <cell r="W365">
            <v>2</v>
          </cell>
          <cell r="X365" t="str">
            <v/>
          </cell>
          <cell r="Y365" t="str">
            <v/>
          </cell>
          <cell r="Z365" t="str">
            <v/>
          </cell>
          <cell r="AA365">
            <v>0</v>
          </cell>
          <cell r="AB365">
            <v>0</v>
          </cell>
          <cell r="AC365">
            <v>0</v>
          </cell>
          <cell r="AD365"/>
          <cell r="AE365">
            <v>0</v>
          </cell>
          <cell r="AF365">
            <v>2</v>
          </cell>
          <cell r="AG365">
            <v>0</v>
          </cell>
          <cell r="AH365">
            <v>2</v>
          </cell>
          <cell r="AI365">
            <v>0</v>
          </cell>
          <cell r="AJ365">
            <v>0</v>
          </cell>
          <cell r="AK365">
            <v>1.5</v>
          </cell>
        </row>
        <row r="366">
          <cell r="A366">
            <v>112102</v>
          </cell>
          <cell r="B366" t="str">
            <v>Sim</v>
          </cell>
          <cell r="C366" t="str">
            <v>Bandeja</v>
          </cell>
          <cell r="D366" t="str">
            <v>SPARE</v>
          </cell>
          <cell r="E366">
            <v>2</v>
          </cell>
          <cell r="F366" t="str">
            <v>Bandeja Dianteira Direita Com Pivô Fiat Punto 2006 A 2014</v>
          </cell>
          <cell r="G366"/>
          <cell r="H366">
            <v>1</v>
          </cell>
          <cell r="I366">
            <v>2</v>
          </cell>
          <cell r="J366">
            <v>0</v>
          </cell>
          <cell r="K366">
            <v>2</v>
          </cell>
          <cell r="L366" t="str">
            <v/>
          </cell>
          <cell r="M366">
            <v>0</v>
          </cell>
          <cell r="N366" t="str">
            <v/>
          </cell>
          <cell r="O366">
            <v>0</v>
          </cell>
          <cell r="P366" t="str">
            <v/>
          </cell>
          <cell r="Q366">
            <v>2</v>
          </cell>
          <cell r="R366">
            <v>2</v>
          </cell>
          <cell r="S366">
            <v>0</v>
          </cell>
          <cell r="T366">
            <v>0</v>
          </cell>
          <cell r="U366">
            <v>0</v>
          </cell>
          <cell r="V366">
            <v>3</v>
          </cell>
          <cell r="W366">
            <v>3</v>
          </cell>
          <cell r="X366" t="str">
            <v/>
          </cell>
          <cell r="Y366" t="str">
            <v/>
          </cell>
          <cell r="Z366" t="str">
            <v/>
          </cell>
          <cell r="AA366">
            <v>8</v>
          </cell>
          <cell r="AB366">
            <v>7</v>
          </cell>
          <cell r="AC366">
            <v>1</v>
          </cell>
          <cell r="AD366"/>
          <cell r="AE366">
            <v>0</v>
          </cell>
          <cell r="AF366">
            <v>1</v>
          </cell>
          <cell r="AG366">
            <v>0</v>
          </cell>
          <cell r="AH366">
            <v>1</v>
          </cell>
          <cell r="AI366">
            <v>0</v>
          </cell>
          <cell r="AJ366">
            <v>0</v>
          </cell>
          <cell r="AK366">
            <v>1.5</v>
          </cell>
        </row>
        <row r="367">
          <cell r="A367">
            <v>662040</v>
          </cell>
          <cell r="B367" t="str">
            <v>Sim</v>
          </cell>
          <cell r="C367" t="str">
            <v>Bandeja</v>
          </cell>
          <cell r="D367" t="str">
            <v>SPARE</v>
          </cell>
          <cell r="E367">
            <v>2</v>
          </cell>
          <cell r="F367" t="str">
            <v>Bandeja Fluence Lado Direito 2011 Á 2018</v>
          </cell>
          <cell r="G367"/>
          <cell r="H367">
            <v>0</v>
          </cell>
          <cell r="I367">
            <v>0</v>
          </cell>
          <cell r="J367">
            <v>0</v>
          </cell>
          <cell r="K367" t="str">
            <v/>
          </cell>
          <cell r="L367" t="str">
            <v/>
          </cell>
          <cell r="M367">
            <v>4</v>
          </cell>
          <cell r="N367" t="str">
            <v/>
          </cell>
          <cell r="O367">
            <v>4</v>
          </cell>
          <cell r="P367" t="str">
            <v/>
          </cell>
          <cell r="Q367">
            <v>2</v>
          </cell>
          <cell r="R367" t="str">
            <v>0</v>
          </cell>
          <cell r="S367">
            <v>2</v>
          </cell>
          <cell r="T367">
            <v>0</v>
          </cell>
          <cell r="U367">
            <v>0</v>
          </cell>
          <cell r="V367">
            <v>2</v>
          </cell>
          <cell r="W367">
            <v>0</v>
          </cell>
          <cell r="X367">
            <v>2</v>
          </cell>
          <cell r="Y367" t="str">
            <v/>
          </cell>
          <cell r="Z367" t="str">
            <v/>
          </cell>
          <cell r="AA367">
            <v>5</v>
          </cell>
          <cell r="AB367">
            <v>0</v>
          </cell>
          <cell r="AC367">
            <v>5</v>
          </cell>
          <cell r="AD367"/>
          <cell r="AE367">
            <v>0</v>
          </cell>
          <cell r="AF367">
            <v>1</v>
          </cell>
          <cell r="AG367">
            <v>0</v>
          </cell>
          <cell r="AH367">
            <v>1</v>
          </cell>
          <cell r="AI367">
            <v>0</v>
          </cell>
          <cell r="AJ367">
            <v>0</v>
          </cell>
          <cell r="AK367">
            <v>1.5</v>
          </cell>
        </row>
        <row r="368">
          <cell r="A368">
            <v>662041</v>
          </cell>
          <cell r="B368" t="str">
            <v>Sim</v>
          </cell>
          <cell r="C368" t="str">
            <v>Bandeja</v>
          </cell>
          <cell r="D368" t="str">
            <v>SPARE</v>
          </cell>
          <cell r="E368">
            <v>2</v>
          </cell>
          <cell r="F368" t="str">
            <v>Bandeja Fluence Lado Esquerdo 2011 Á 2018</v>
          </cell>
          <cell r="G368"/>
          <cell r="H368">
            <v>0</v>
          </cell>
          <cell r="I368">
            <v>0</v>
          </cell>
          <cell r="J368">
            <v>0</v>
          </cell>
          <cell r="K368" t="str">
            <v/>
          </cell>
          <cell r="L368" t="str">
            <v/>
          </cell>
          <cell r="M368">
            <v>4</v>
          </cell>
          <cell r="N368" t="str">
            <v/>
          </cell>
          <cell r="O368">
            <v>4</v>
          </cell>
          <cell r="P368" t="str">
            <v/>
          </cell>
          <cell r="Q368">
            <v>2</v>
          </cell>
          <cell r="R368" t="str">
            <v>0</v>
          </cell>
          <cell r="S368">
            <v>2</v>
          </cell>
          <cell r="T368">
            <v>0</v>
          </cell>
          <cell r="U368">
            <v>0</v>
          </cell>
          <cell r="V368">
            <v>2</v>
          </cell>
          <cell r="W368">
            <v>0</v>
          </cell>
          <cell r="X368">
            <v>2</v>
          </cell>
          <cell r="Y368" t="str">
            <v/>
          </cell>
          <cell r="Z368" t="str">
            <v/>
          </cell>
          <cell r="AA368">
            <v>5</v>
          </cell>
          <cell r="AB368">
            <v>0</v>
          </cell>
          <cell r="AC368">
            <v>5</v>
          </cell>
          <cell r="AD368"/>
          <cell r="AE368">
            <v>0</v>
          </cell>
          <cell r="AF368">
            <v>1</v>
          </cell>
          <cell r="AG368">
            <v>0</v>
          </cell>
          <cell r="AH368">
            <v>1</v>
          </cell>
          <cell r="AI368">
            <v>0</v>
          </cell>
          <cell r="AJ368">
            <v>0</v>
          </cell>
          <cell r="AK368">
            <v>1.5</v>
          </cell>
        </row>
        <row r="369">
          <cell r="A369">
            <v>772153</v>
          </cell>
          <cell r="B369" t="str">
            <v>Sim</v>
          </cell>
          <cell r="C369" t="str">
            <v>Bandeja</v>
          </cell>
          <cell r="D369" t="str">
            <v>SPARE</v>
          </cell>
          <cell r="E369">
            <v>2</v>
          </cell>
          <cell r="F369" t="str">
            <v>Bandeja Inferior Esquerdo Com Pivô Santa Fé 2006 À 2011</v>
          </cell>
          <cell r="G369"/>
          <cell r="H369">
            <v>0</v>
          </cell>
          <cell r="I369">
            <v>2</v>
          </cell>
          <cell r="J369" t="str">
            <v/>
          </cell>
          <cell r="K369">
            <v>2</v>
          </cell>
          <cell r="L369" t="str">
            <v/>
          </cell>
          <cell r="M369">
            <v>1</v>
          </cell>
          <cell r="N369">
            <v>1</v>
          </cell>
          <cell r="O369" t="str">
            <v/>
          </cell>
          <cell r="P369" t="str">
            <v/>
          </cell>
          <cell r="Q369">
            <v>2</v>
          </cell>
          <cell r="R369">
            <v>2</v>
          </cell>
          <cell r="S369" t="str">
            <v>0</v>
          </cell>
          <cell r="T369">
            <v>0</v>
          </cell>
          <cell r="U369">
            <v>0</v>
          </cell>
          <cell r="V369">
            <v>3</v>
          </cell>
          <cell r="W369">
            <v>0</v>
          </cell>
          <cell r="X369">
            <v>3</v>
          </cell>
          <cell r="Y369" t="str">
            <v/>
          </cell>
          <cell r="Z369" t="str">
            <v/>
          </cell>
          <cell r="AA369">
            <v>4</v>
          </cell>
          <cell r="AB369">
            <v>2</v>
          </cell>
          <cell r="AC369">
            <v>2</v>
          </cell>
          <cell r="AD369"/>
          <cell r="AE369">
            <v>0</v>
          </cell>
          <cell r="AF369">
            <v>1</v>
          </cell>
          <cell r="AG369">
            <v>0</v>
          </cell>
          <cell r="AH369">
            <v>1</v>
          </cell>
          <cell r="AI369">
            <v>0</v>
          </cell>
          <cell r="AJ369">
            <v>0</v>
          </cell>
          <cell r="AK369">
            <v>1.5</v>
          </cell>
        </row>
        <row r="370">
          <cell r="A370">
            <v>10128</v>
          </cell>
          <cell r="B370" t="str">
            <v>Sim</v>
          </cell>
          <cell r="C370" t="str">
            <v>Bomba Combustível</v>
          </cell>
          <cell r="D370" t="str">
            <v>POLO</v>
          </cell>
          <cell r="E370">
            <v>7</v>
          </cell>
          <cell r="F370" t="str">
            <v>Bomba Combustível Flex Universal Sistema Bosch</v>
          </cell>
          <cell r="G370"/>
          <cell r="H370">
            <v>2</v>
          </cell>
          <cell r="I370">
            <v>0</v>
          </cell>
          <cell r="J370" t="str">
            <v/>
          </cell>
          <cell r="K370" t="str">
            <v/>
          </cell>
          <cell r="L370" t="str">
            <v/>
          </cell>
          <cell r="M370">
            <v>0</v>
          </cell>
          <cell r="N370" t="str">
            <v/>
          </cell>
          <cell r="O370" t="str">
            <v/>
          </cell>
          <cell r="P370" t="str">
            <v/>
          </cell>
          <cell r="Q370">
            <v>5</v>
          </cell>
          <cell r="R370" t="str">
            <v>0</v>
          </cell>
          <cell r="S370" t="str">
            <v>0</v>
          </cell>
          <cell r="T370">
            <v>0</v>
          </cell>
          <cell r="U370">
            <v>5</v>
          </cell>
          <cell r="V370">
            <v>2</v>
          </cell>
          <cell r="W370">
            <v>0</v>
          </cell>
          <cell r="X370" t="str">
            <v/>
          </cell>
          <cell r="Y370" t="str">
            <v/>
          </cell>
          <cell r="Z370">
            <v>2</v>
          </cell>
          <cell r="AA370">
            <v>5</v>
          </cell>
          <cell r="AB370">
            <v>0</v>
          </cell>
          <cell r="AC370">
            <v>0</v>
          </cell>
          <cell r="AD370"/>
          <cell r="AE370">
            <v>5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1.5</v>
          </cell>
        </row>
        <row r="371">
          <cell r="A371" t="str">
            <v>FTK200123PA</v>
          </cell>
          <cell r="B371" t="str">
            <v>Sim</v>
          </cell>
          <cell r="C371" t="str">
            <v>Junta moto</v>
          </cell>
          <cell r="D371" t="str">
            <v>KRATER</v>
          </cell>
          <cell r="E371">
            <v>13</v>
          </cell>
          <cell r="F371" t="str">
            <v>Kit Juntas Superior Do Cabeçote Cg150 Titan 2006 Diante</v>
          </cell>
          <cell r="G371"/>
          <cell r="H371" t="str">
            <v>-</v>
          </cell>
          <cell r="I371" t="str">
            <v>-</v>
          </cell>
          <cell r="J371"/>
          <cell r="K371"/>
          <cell r="L371"/>
          <cell r="M371">
            <v>1</v>
          </cell>
          <cell r="N371">
            <v>1</v>
          </cell>
          <cell r="O371" t="str">
            <v/>
          </cell>
          <cell r="P371" t="str">
            <v/>
          </cell>
          <cell r="Q371">
            <v>4</v>
          </cell>
          <cell r="R371">
            <v>4</v>
          </cell>
          <cell r="S371" t="str">
            <v>0</v>
          </cell>
          <cell r="T371">
            <v>0</v>
          </cell>
          <cell r="U371">
            <v>0</v>
          </cell>
          <cell r="V371">
            <v>1</v>
          </cell>
          <cell r="W371">
            <v>1</v>
          </cell>
          <cell r="X371" t="str">
            <v/>
          </cell>
          <cell r="Y371" t="str">
            <v/>
          </cell>
          <cell r="Z371" t="str">
            <v/>
          </cell>
          <cell r="AA371">
            <v>3</v>
          </cell>
          <cell r="AB371">
            <v>3</v>
          </cell>
          <cell r="AC371">
            <v>0</v>
          </cell>
          <cell r="AD371"/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1.5</v>
          </cell>
        </row>
        <row r="372">
          <cell r="A372">
            <v>88487</v>
          </cell>
          <cell r="B372" t="str">
            <v>Sim</v>
          </cell>
          <cell r="C372" t="str">
            <v>Cabo de Capô</v>
          </cell>
          <cell r="D372" t="str">
            <v>MundiFlex</v>
          </cell>
          <cell r="E372">
            <v>6</v>
          </cell>
          <cell r="F372" t="str">
            <v>Cabo Capô Com Alavanca Fiesta 2002 A 2012</v>
          </cell>
          <cell r="G372"/>
          <cell r="H372">
            <v>3</v>
          </cell>
          <cell r="I372">
            <v>1</v>
          </cell>
          <cell r="J372" t="str">
            <v/>
          </cell>
          <cell r="K372">
            <v>1</v>
          </cell>
          <cell r="L372" t="str">
            <v/>
          </cell>
          <cell r="M372">
            <v>1</v>
          </cell>
          <cell r="N372">
            <v>1</v>
          </cell>
          <cell r="O372" t="str">
            <v/>
          </cell>
          <cell r="P372" t="str">
            <v/>
          </cell>
          <cell r="Q372">
            <v>2</v>
          </cell>
          <cell r="R372">
            <v>2</v>
          </cell>
          <cell r="S372" t="str">
            <v>0</v>
          </cell>
          <cell r="T372">
            <v>0</v>
          </cell>
          <cell r="U372">
            <v>0</v>
          </cell>
          <cell r="V372">
            <v>2</v>
          </cell>
          <cell r="W372">
            <v>2</v>
          </cell>
          <cell r="X372" t="str">
            <v/>
          </cell>
          <cell r="Y372" t="str">
            <v/>
          </cell>
          <cell r="Z372" t="str">
            <v/>
          </cell>
          <cell r="AA372">
            <v>2</v>
          </cell>
          <cell r="AB372">
            <v>2</v>
          </cell>
          <cell r="AC372">
            <v>0</v>
          </cell>
          <cell r="AD372"/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1.5</v>
          </cell>
        </row>
        <row r="373">
          <cell r="A373">
            <v>332001</v>
          </cell>
          <cell r="B373" t="str">
            <v>Sim</v>
          </cell>
          <cell r="C373" t="str">
            <v>Bandeja</v>
          </cell>
          <cell r="D373" t="str">
            <v>SPARE</v>
          </cell>
          <cell r="E373">
            <v>2</v>
          </cell>
          <cell r="F373" t="str">
            <v>Bandeja Inferior Esquerda Sem Pivô Marajó 1973 A 1993</v>
          </cell>
          <cell r="G373"/>
          <cell r="H373">
            <v>0</v>
          </cell>
          <cell r="I373">
            <v>0</v>
          </cell>
          <cell r="J373"/>
          <cell r="K373"/>
          <cell r="L373"/>
          <cell r="M373">
            <v>3</v>
          </cell>
          <cell r="N373">
            <v>3</v>
          </cell>
          <cell r="O373">
            <v>0</v>
          </cell>
          <cell r="P373" t="str">
            <v/>
          </cell>
          <cell r="Q373">
            <v>4</v>
          </cell>
          <cell r="R373">
            <v>4</v>
          </cell>
          <cell r="S373">
            <v>0</v>
          </cell>
          <cell r="T373">
            <v>0</v>
          </cell>
          <cell r="U373">
            <v>0</v>
          </cell>
          <cell r="V373">
            <v>2</v>
          </cell>
          <cell r="W373">
            <v>2</v>
          </cell>
          <cell r="X373" t="str">
            <v/>
          </cell>
          <cell r="Y373" t="str">
            <v/>
          </cell>
          <cell r="Z373" t="str">
            <v/>
          </cell>
          <cell r="AA373">
            <v>2</v>
          </cell>
          <cell r="AB373">
            <v>2</v>
          </cell>
          <cell r="AC373">
            <v>0</v>
          </cell>
          <cell r="AD373"/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1.5</v>
          </cell>
        </row>
        <row r="374">
          <cell r="A374">
            <v>332091</v>
          </cell>
          <cell r="B374" t="str">
            <v>Sim</v>
          </cell>
          <cell r="C374" t="str">
            <v>Bandeja</v>
          </cell>
          <cell r="D374" t="str">
            <v>SPARE</v>
          </cell>
          <cell r="E374">
            <v>2</v>
          </cell>
          <cell r="F374" t="str">
            <v>Bandeja Inferior Esquerdo Cobalt 2013 Em Diante Sem Pivô</v>
          </cell>
          <cell r="G374"/>
          <cell r="H374">
            <v>3</v>
          </cell>
          <cell r="I374">
            <v>1</v>
          </cell>
          <cell r="J374">
            <v>1</v>
          </cell>
          <cell r="K374" t="str">
            <v/>
          </cell>
          <cell r="L374" t="str">
            <v/>
          </cell>
          <cell r="M374">
            <v>3</v>
          </cell>
          <cell r="N374" t="str">
            <v/>
          </cell>
          <cell r="O374">
            <v>3</v>
          </cell>
          <cell r="P374" t="str">
            <v/>
          </cell>
          <cell r="Q374">
            <v>1</v>
          </cell>
          <cell r="R374" t="str">
            <v>0</v>
          </cell>
          <cell r="S374">
            <v>1</v>
          </cell>
          <cell r="T374">
            <v>0</v>
          </cell>
          <cell r="U374">
            <v>0</v>
          </cell>
          <cell r="V374">
            <v>1</v>
          </cell>
          <cell r="W374">
            <v>0</v>
          </cell>
          <cell r="X374">
            <v>1</v>
          </cell>
          <cell r="Y374" t="str">
            <v/>
          </cell>
          <cell r="Z374" t="str">
            <v/>
          </cell>
          <cell r="AA374">
            <v>2</v>
          </cell>
          <cell r="AB374">
            <v>0</v>
          </cell>
          <cell r="AC374">
            <v>2</v>
          </cell>
          <cell r="AD374"/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1.5</v>
          </cell>
        </row>
        <row r="375">
          <cell r="A375">
            <v>112107</v>
          </cell>
          <cell r="B375" t="str">
            <v>Sim</v>
          </cell>
          <cell r="C375" t="str">
            <v>Bandeja</v>
          </cell>
          <cell r="D375" t="str">
            <v>SPARE</v>
          </cell>
          <cell r="E375">
            <v>2</v>
          </cell>
          <cell r="F375" t="str">
            <v>Bandeja Esquerda Com Pivô Grand Siena 2012 Em Diante</v>
          </cell>
          <cell r="G375"/>
          <cell r="H375">
            <v>2</v>
          </cell>
          <cell r="I375">
            <v>0</v>
          </cell>
          <cell r="J375" t="str">
            <v/>
          </cell>
          <cell r="K375" t="str">
            <v/>
          </cell>
          <cell r="L375" t="str">
            <v/>
          </cell>
          <cell r="M375">
            <v>1</v>
          </cell>
          <cell r="N375">
            <v>1</v>
          </cell>
          <cell r="O375" t="str">
            <v/>
          </cell>
          <cell r="P375" t="str">
            <v/>
          </cell>
          <cell r="Q375">
            <v>3</v>
          </cell>
          <cell r="R375">
            <v>3</v>
          </cell>
          <cell r="S375" t="str">
            <v>0</v>
          </cell>
          <cell r="T375">
            <v>0</v>
          </cell>
          <cell r="U375">
            <v>0</v>
          </cell>
          <cell r="V375">
            <v>3</v>
          </cell>
          <cell r="W375">
            <v>3</v>
          </cell>
          <cell r="X375" t="str">
            <v/>
          </cell>
          <cell r="Y375" t="str">
            <v/>
          </cell>
          <cell r="Z375" t="str">
            <v/>
          </cell>
          <cell r="AA375">
            <v>1</v>
          </cell>
          <cell r="AB375">
            <v>1</v>
          </cell>
          <cell r="AC375">
            <v>0</v>
          </cell>
          <cell r="AD375"/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1.5</v>
          </cell>
        </row>
        <row r="376">
          <cell r="A376">
            <v>55143</v>
          </cell>
          <cell r="B376" t="str">
            <v>Sim</v>
          </cell>
          <cell r="C376" t="str">
            <v>Cabo de Freio</v>
          </cell>
          <cell r="D376" t="str">
            <v>MundiFlex</v>
          </cell>
          <cell r="E376">
            <v>6</v>
          </cell>
          <cell r="F376" t="str">
            <v>Cabo De Freio Gol G3 2002 Em Diante</v>
          </cell>
          <cell r="G376"/>
          <cell r="H376">
            <v>2</v>
          </cell>
          <cell r="I376">
            <v>1</v>
          </cell>
          <cell r="J376" t="str">
            <v/>
          </cell>
          <cell r="K376">
            <v>1</v>
          </cell>
          <cell r="L376" t="str">
            <v/>
          </cell>
          <cell r="M376">
            <v>5</v>
          </cell>
          <cell r="N376">
            <v>5</v>
          </cell>
          <cell r="O376" t="str">
            <v/>
          </cell>
          <cell r="P376" t="str">
            <v/>
          </cell>
          <cell r="Q376">
            <v>1</v>
          </cell>
          <cell r="R376">
            <v>1</v>
          </cell>
          <cell r="S376" t="str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 t="str">
            <v/>
          </cell>
          <cell r="Y376" t="str">
            <v/>
          </cell>
          <cell r="Z376" t="str">
            <v/>
          </cell>
          <cell r="AA376">
            <v>1</v>
          </cell>
          <cell r="AB376">
            <v>1</v>
          </cell>
          <cell r="AC376">
            <v>0</v>
          </cell>
          <cell r="AD376"/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1.5</v>
          </cell>
        </row>
        <row r="377">
          <cell r="A377">
            <v>332147</v>
          </cell>
          <cell r="B377" t="str">
            <v>Sim</v>
          </cell>
          <cell r="C377" t="str">
            <v>Bandeja</v>
          </cell>
          <cell r="D377" t="str">
            <v>SPARE</v>
          </cell>
          <cell r="E377">
            <v>2</v>
          </cell>
          <cell r="F377" t="str">
            <v>Bandeja Superior Direita Opala 1969 A 1992</v>
          </cell>
          <cell r="G377"/>
          <cell r="H377">
            <v>1</v>
          </cell>
          <cell r="I377">
            <v>1</v>
          </cell>
          <cell r="J377">
            <v>0</v>
          </cell>
          <cell r="K377">
            <v>1</v>
          </cell>
          <cell r="L377" t="str">
            <v/>
          </cell>
          <cell r="M377">
            <v>0</v>
          </cell>
          <cell r="N377" t="str">
            <v/>
          </cell>
          <cell r="O377">
            <v>0</v>
          </cell>
          <cell r="P377" t="str">
            <v/>
          </cell>
          <cell r="Q377">
            <v>3</v>
          </cell>
          <cell r="R377" t="str">
            <v>0</v>
          </cell>
          <cell r="S377">
            <v>0</v>
          </cell>
          <cell r="T377">
            <v>1</v>
          </cell>
          <cell r="U377">
            <v>2</v>
          </cell>
          <cell r="V377">
            <v>4</v>
          </cell>
          <cell r="W377">
            <v>0</v>
          </cell>
          <cell r="X377">
            <v>1</v>
          </cell>
          <cell r="Y377" t="str">
            <v/>
          </cell>
          <cell r="Z377">
            <v>3</v>
          </cell>
          <cell r="AA377">
            <v>1</v>
          </cell>
          <cell r="AB377">
            <v>0</v>
          </cell>
          <cell r="AC377">
            <v>1</v>
          </cell>
          <cell r="AD377"/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1.5</v>
          </cell>
        </row>
        <row r="378">
          <cell r="A378">
            <v>332148</v>
          </cell>
          <cell r="B378" t="str">
            <v>Sim</v>
          </cell>
          <cell r="C378" t="str">
            <v>Bandeja</v>
          </cell>
          <cell r="D378" t="str">
            <v>SPARE</v>
          </cell>
          <cell r="E378">
            <v>2</v>
          </cell>
          <cell r="F378" t="str">
            <v>Bandeja Superior Esquerda Caravan 1975 A 1992</v>
          </cell>
          <cell r="G378"/>
          <cell r="H378">
            <v>1</v>
          </cell>
          <cell r="I378">
            <v>0</v>
          </cell>
          <cell r="J378">
            <v>0</v>
          </cell>
          <cell r="K378" t="str">
            <v/>
          </cell>
          <cell r="L378" t="str">
            <v/>
          </cell>
          <cell r="M378">
            <v>1</v>
          </cell>
          <cell r="N378">
            <v>1</v>
          </cell>
          <cell r="O378">
            <v>0</v>
          </cell>
          <cell r="P378" t="str">
            <v/>
          </cell>
          <cell r="Q378">
            <v>3</v>
          </cell>
          <cell r="R378" t="str">
            <v>0</v>
          </cell>
          <cell r="S378">
            <v>0</v>
          </cell>
          <cell r="T378">
            <v>1</v>
          </cell>
          <cell r="U378">
            <v>2</v>
          </cell>
          <cell r="V378">
            <v>4</v>
          </cell>
          <cell r="W378">
            <v>0</v>
          </cell>
          <cell r="X378">
            <v>1</v>
          </cell>
          <cell r="Y378" t="str">
            <v/>
          </cell>
          <cell r="Z378">
            <v>3</v>
          </cell>
          <cell r="AA378">
            <v>1</v>
          </cell>
          <cell r="AB378">
            <v>0</v>
          </cell>
          <cell r="AC378">
            <v>1</v>
          </cell>
          <cell r="AD378"/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1.5</v>
          </cell>
        </row>
        <row r="379">
          <cell r="A379">
            <v>772169</v>
          </cell>
          <cell r="B379"/>
          <cell r="C379" t="str">
            <v>Bandeja</v>
          </cell>
          <cell r="D379" t="str">
            <v>SPARE</v>
          </cell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>
            <v>3</v>
          </cell>
          <cell r="W379">
            <v>3</v>
          </cell>
          <cell r="X379" t="str">
            <v/>
          </cell>
          <cell r="Y379" t="str">
            <v/>
          </cell>
          <cell r="Z379" t="str">
            <v/>
          </cell>
          <cell r="AA379">
            <v>0</v>
          </cell>
          <cell r="AB379">
            <v>0</v>
          </cell>
          <cell r="AC379">
            <v>0</v>
          </cell>
          <cell r="AD379"/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1.5</v>
          </cell>
        </row>
        <row r="380">
          <cell r="A380">
            <v>662050</v>
          </cell>
          <cell r="B380" t="str">
            <v>Sim</v>
          </cell>
          <cell r="C380" t="str">
            <v>Bandeja</v>
          </cell>
          <cell r="D380" t="str">
            <v>SPARE</v>
          </cell>
          <cell r="E380">
            <v>2</v>
          </cell>
          <cell r="F380" t="str">
            <v>Bandeja Dianteira Direita Sem Pivô Sandero 2008 A 2014</v>
          </cell>
          <cell r="G380"/>
          <cell r="H380">
            <v>2</v>
          </cell>
          <cell r="I380">
            <v>0</v>
          </cell>
          <cell r="J380">
            <v>0</v>
          </cell>
          <cell r="K380">
            <v>0</v>
          </cell>
          <cell r="L380" t="str">
            <v/>
          </cell>
          <cell r="M380">
            <v>4</v>
          </cell>
          <cell r="N380">
            <v>4</v>
          </cell>
          <cell r="O380">
            <v>0</v>
          </cell>
          <cell r="P380" t="str">
            <v/>
          </cell>
          <cell r="Q380">
            <v>2</v>
          </cell>
          <cell r="R380">
            <v>2</v>
          </cell>
          <cell r="S380">
            <v>0</v>
          </cell>
          <cell r="T380">
            <v>0</v>
          </cell>
          <cell r="U380">
            <v>0</v>
          </cell>
          <cell r="V380">
            <v>1</v>
          </cell>
          <cell r="W380">
            <v>1</v>
          </cell>
          <cell r="X380" t="str">
            <v/>
          </cell>
          <cell r="Y380" t="str">
            <v/>
          </cell>
          <cell r="Z380" t="str">
            <v/>
          </cell>
          <cell r="AA380">
            <v>0</v>
          </cell>
          <cell r="AB380">
            <v>0</v>
          </cell>
          <cell r="AC380">
            <v>0</v>
          </cell>
          <cell r="AD380"/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1.5</v>
          </cell>
        </row>
        <row r="381">
          <cell r="A381">
            <v>66300</v>
          </cell>
          <cell r="B381"/>
          <cell r="C381" t="str">
            <v>Cabo de Freio</v>
          </cell>
          <cell r="D381" t="str">
            <v>MundiFlex</v>
          </cell>
          <cell r="E381">
            <v>6</v>
          </cell>
          <cell r="F381" t="str">
            <v>Cabo De Freio Traseiro Le Palio Attractive Elx 2008 Diante</v>
          </cell>
          <cell r="G381"/>
          <cell r="H381">
            <v>1</v>
          </cell>
          <cell r="I381">
            <v>3</v>
          </cell>
          <cell r="J381">
            <v>3</v>
          </cell>
          <cell r="K381" t="str">
            <v/>
          </cell>
          <cell r="L381" t="str">
            <v/>
          </cell>
          <cell r="M381">
            <v>1</v>
          </cell>
          <cell r="N381" t="str">
            <v/>
          </cell>
          <cell r="O381">
            <v>1</v>
          </cell>
          <cell r="P381" t="str">
            <v/>
          </cell>
          <cell r="Q381">
            <v>2</v>
          </cell>
          <cell r="R381" t="str">
            <v>0</v>
          </cell>
          <cell r="S381">
            <v>2</v>
          </cell>
          <cell r="T381">
            <v>0</v>
          </cell>
          <cell r="U381">
            <v>0</v>
          </cell>
          <cell r="V381">
            <v>2</v>
          </cell>
          <cell r="W381">
            <v>0</v>
          </cell>
          <cell r="X381">
            <v>2</v>
          </cell>
          <cell r="Y381" t="str">
            <v/>
          </cell>
          <cell r="Z381" t="str">
            <v/>
          </cell>
          <cell r="AA381">
            <v>0</v>
          </cell>
          <cell r="AB381">
            <v>0</v>
          </cell>
          <cell r="AC381">
            <v>0</v>
          </cell>
          <cell r="AD381"/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1.5</v>
          </cell>
        </row>
        <row r="382">
          <cell r="A382">
            <v>11230</v>
          </cell>
          <cell r="B382"/>
          <cell r="C382" t="str">
            <v>Pastilha de Freio</v>
          </cell>
          <cell r="D382" t="str">
            <v>Fabreck</v>
          </cell>
          <cell r="E382">
            <v>16</v>
          </cell>
          <cell r="F382" t="str">
            <v>Pastilha De Freio Dianteira Kia Sephia Set 1993 A 2001</v>
          </cell>
          <cell r="G382"/>
          <cell r="H382">
            <v>2</v>
          </cell>
          <cell r="I382">
            <v>7</v>
          </cell>
          <cell r="J382" t="str">
            <v/>
          </cell>
          <cell r="K382">
            <v>7</v>
          </cell>
          <cell r="L382" t="str">
            <v/>
          </cell>
          <cell r="M382">
            <v>0</v>
          </cell>
          <cell r="N382" t="str">
            <v/>
          </cell>
          <cell r="O382" t="str">
            <v/>
          </cell>
          <cell r="P382" t="str">
            <v/>
          </cell>
          <cell r="Q382">
            <v>0</v>
          </cell>
          <cell r="R382" t="str">
            <v>0</v>
          </cell>
          <cell r="S382" t="str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 t="str">
            <v/>
          </cell>
          <cell r="Y382" t="str">
            <v/>
          </cell>
          <cell r="Z382" t="str">
            <v/>
          </cell>
          <cell r="AA382">
            <v>0</v>
          </cell>
          <cell r="AB382">
            <v>0</v>
          </cell>
          <cell r="AC382">
            <v>0</v>
          </cell>
          <cell r="AD382"/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1.5</v>
          </cell>
        </row>
        <row r="383">
          <cell r="A383" t="str">
            <v>FTK22002</v>
          </cell>
          <cell r="B383" t="str">
            <v>Sim</v>
          </cell>
          <cell r="C383" t="str">
            <v>Pivô</v>
          </cell>
          <cell r="D383" t="str">
            <v>SPARE</v>
          </cell>
          <cell r="E383">
            <v>2</v>
          </cell>
          <cell r="F383" t="str">
            <v>Pivô Da Bandeja Inferior Lado Direito New Civic 2006 A 2011</v>
          </cell>
          <cell r="G383"/>
          <cell r="H383">
            <v>2</v>
          </cell>
          <cell r="I383">
            <v>0</v>
          </cell>
          <cell r="J383">
            <v>0</v>
          </cell>
          <cell r="K383" t="str">
            <v/>
          </cell>
          <cell r="L383" t="str">
            <v/>
          </cell>
          <cell r="M383">
            <v>3</v>
          </cell>
          <cell r="N383" t="str">
            <v/>
          </cell>
          <cell r="O383">
            <v>3</v>
          </cell>
          <cell r="P383" t="str">
            <v/>
          </cell>
          <cell r="Q383">
            <v>4</v>
          </cell>
          <cell r="R383" t="str">
            <v>0</v>
          </cell>
          <cell r="S383">
            <v>4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 t="str">
            <v/>
          </cell>
          <cell r="Y383" t="str">
            <v/>
          </cell>
          <cell r="Z383" t="str">
            <v/>
          </cell>
          <cell r="AA383">
            <v>0</v>
          </cell>
          <cell r="AB383">
            <v>0</v>
          </cell>
          <cell r="AC383">
            <v>0</v>
          </cell>
          <cell r="AD383"/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1.5</v>
          </cell>
        </row>
        <row r="384">
          <cell r="A384">
            <v>222203</v>
          </cell>
          <cell r="B384" t="str">
            <v>Sim</v>
          </cell>
          <cell r="C384" t="str">
            <v>Cabo de Freio</v>
          </cell>
          <cell r="D384" t="str">
            <v>MundiFlex</v>
          </cell>
          <cell r="E384">
            <v>6</v>
          </cell>
          <cell r="F384" t="str">
            <v>Cabo De Freio Dianteiro Journey 2009 A 2016</v>
          </cell>
          <cell r="G384"/>
          <cell r="H384">
            <v>0</v>
          </cell>
          <cell r="I384">
            <v>2</v>
          </cell>
          <cell r="J384" t="str">
            <v/>
          </cell>
          <cell r="K384">
            <v>2</v>
          </cell>
          <cell r="L384" t="str">
            <v/>
          </cell>
          <cell r="M384">
            <v>0</v>
          </cell>
          <cell r="N384" t="str">
            <v/>
          </cell>
          <cell r="O384" t="str">
            <v/>
          </cell>
          <cell r="P384" t="str">
            <v/>
          </cell>
          <cell r="Q384">
            <v>1</v>
          </cell>
          <cell r="R384">
            <v>1</v>
          </cell>
          <cell r="S384" t="str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 t="str">
            <v/>
          </cell>
          <cell r="Y384" t="str">
            <v/>
          </cell>
          <cell r="Z384" t="str">
            <v/>
          </cell>
          <cell r="AA384">
            <v>2</v>
          </cell>
          <cell r="AB384">
            <v>2</v>
          </cell>
          <cell r="AC384">
            <v>0</v>
          </cell>
          <cell r="AD384"/>
          <cell r="AE384">
            <v>0</v>
          </cell>
          <cell r="AF384">
            <v>6</v>
          </cell>
          <cell r="AG384">
            <v>6</v>
          </cell>
          <cell r="AH384">
            <v>0</v>
          </cell>
          <cell r="AI384">
            <v>0</v>
          </cell>
          <cell r="AJ384">
            <v>0</v>
          </cell>
          <cell r="AK384">
            <v>1.5</v>
          </cell>
        </row>
        <row r="385">
          <cell r="A385">
            <v>222021</v>
          </cell>
          <cell r="B385" t="str">
            <v>Sim</v>
          </cell>
          <cell r="C385" t="str">
            <v>Bandeja</v>
          </cell>
          <cell r="D385" t="str">
            <v>SPARE</v>
          </cell>
          <cell r="E385">
            <v>2</v>
          </cell>
          <cell r="F385" t="str">
            <v>Bandeja Inferior Esquerda Ka Sem Pivô 1996 Á 2007</v>
          </cell>
          <cell r="G385"/>
          <cell r="H385">
            <v>0</v>
          </cell>
          <cell r="I385">
            <v>1</v>
          </cell>
          <cell r="J385" t="str">
            <v/>
          </cell>
          <cell r="K385">
            <v>1</v>
          </cell>
          <cell r="L385" t="str">
            <v/>
          </cell>
          <cell r="M385">
            <v>0</v>
          </cell>
          <cell r="N385" t="str">
            <v/>
          </cell>
          <cell r="O385" t="str">
            <v/>
          </cell>
          <cell r="P385" t="str">
            <v/>
          </cell>
          <cell r="Q385">
            <v>0</v>
          </cell>
          <cell r="R385" t="str">
            <v>0</v>
          </cell>
          <cell r="S385" t="str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 t="str">
            <v/>
          </cell>
          <cell r="Y385" t="str">
            <v/>
          </cell>
          <cell r="Z385" t="str">
            <v/>
          </cell>
          <cell r="AA385">
            <v>0</v>
          </cell>
          <cell r="AB385">
            <v>0</v>
          </cell>
          <cell r="AC385">
            <v>0</v>
          </cell>
          <cell r="AD385"/>
          <cell r="AE385">
            <v>0</v>
          </cell>
          <cell r="AF385">
            <v>7</v>
          </cell>
          <cell r="AG385">
            <v>0</v>
          </cell>
          <cell r="AH385">
            <v>0</v>
          </cell>
          <cell r="AI385">
            <v>0</v>
          </cell>
          <cell r="AJ385">
            <v>7</v>
          </cell>
          <cell r="AK385">
            <v>1.3333333333333333</v>
          </cell>
        </row>
        <row r="386">
          <cell r="A386">
            <v>6005</v>
          </cell>
          <cell r="B386"/>
          <cell r="C386" t="str">
            <v>Bieleta</v>
          </cell>
          <cell r="D386" t="str">
            <v>HOLYMAN</v>
          </cell>
          <cell r="E386">
            <v>5</v>
          </cell>
          <cell r="F386" t="str">
            <v>Bieleta Dianteira Ambos Lados Grand Tour 2006 A 2013</v>
          </cell>
          <cell r="G386"/>
          <cell r="H386">
            <v>0</v>
          </cell>
          <cell r="I386">
            <v>0</v>
          </cell>
          <cell r="J386"/>
          <cell r="K386">
            <v>1</v>
          </cell>
          <cell r="L386"/>
          <cell r="M386">
            <v>2</v>
          </cell>
          <cell r="N386" t="str">
            <v/>
          </cell>
          <cell r="O386">
            <v>2</v>
          </cell>
          <cell r="P386" t="str">
            <v/>
          </cell>
          <cell r="Q386">
            <v>2</v>
          </cell>
          <cell r="R386" t="str">
            <v>0</v>
          </cell>
          <cell r="S386">
            <v>2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 t="str">
            <v/>
          </cell>
          <cell r="Y386" t="str">
            <v/>
          </cell>
          <cell r="Z386" t="str">
            <v/>
          </cell>
          <cell r="AA386">
            <v>2</v>
          </cell>
          <cell r="AB386">
            <v>0</v>
          </cell>
          <cell r="AC386">
            <v>0</v>
          </cell>
          <cell r="AD386"/>
          <cell r="AE386">
            <v>2</v>
          </cell>
          <cell r="AF386">
            <v>4</v>
          </cell>
          <cell r="AG386">
            <v>0</v>
          </cell>
          <cell r="AH386">
            <v>4</v>
          </cell>
          <cell r="AI386">
            <v>0</v>
          </cell>
          <cell r="AJ386">
            <v>0</v>
          </cell>
          <cell r="AK386">
            <v>1.3333333333333333</v>
          </cell>
        </row>
        <row r="387">
          <cell r="A387" t="str">
            <v>OC504</v>
          </cell>
          <cell r="B387"/>
          <cell r="C387" t="str">
            <v>Filtro de Óleo</v>
          </cell>
          <cell r="D387" t="str">
            <v>RMP / Presidente</v>
          </cell>
          <cell r="E387">
            <v>25</v>
          </cell>
          <cell r="F387" t="str">
            <v xml:space="preserve">Filtro de Óleo OC504 METAL LEVE  </v>
          </cell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>
            <v>1</v>
          </cell>
          <cell r="R387"/>
          <cell r="S387"/>
          <cell r="T387"/>
          <cell r="U387">
            <v>1</v>
          </cell>
          <cell r="V387">
            <v>2</v>
          </cell>
          <cell r="W387">
            <v>0</v>
          </cell>
          <cell r="X387" t="str">
            <v/>
          </cell>
          <cell r="Y387" t="str">
            <v/>
          </cell>
          <cell r="Z387">
            <v>2</v>
          </cell>
          <cell r="AA387">
            <v>1</v>
          </cell>
          <cell r="AB387">
            <v>0</v>
          </cell>
          <cell r="AC387">
            <v>0</v>
          </cell>
          <cell r="AD387"/>
          <cell r="AE387">
            <v>1</v>
          </cell>
          <cell r="AF387">
            <v>1</v>
          </cell>
          <cell r="AG387">
            <v>0</v>
          </cell>
          <cell r="AH387">
            <v>0</v>
          </cell>
          <cell r="AI387">
            <v>0</v>
          </cell>
          <cell r="AJ387">
            <v>1</v>
          </cell>
          <cell r="AK387">
            <v>1.3333333333333333</v>
          </cell>
        </row>
        <row r="388">
          <cell r="A388" t="str">
            <v>LT5577</v>
          </cell>
          <cell r="B388" t="str">
            <v>Sim</v>
          </cell>
          <cell r="C388" t="str">
            <v>Haste Câmbio</v>
          </cell>
          <cell r="D388" t="str">
            <v>LT CORREA</v>
          </cell>
          <cell r="E388">
            <v>3</v>
          </cell>
          <cell r="F388" t="str">
            <v>HASTE DO TRAMBULADOR 230MM - Golf 98/01 - Audi A4 98/01 Motor 1.6</v>
          </cell>
          <cell r="G388" t="str">
            <v>-</v>
          </cell>
          <cell r="H388"/>
          <cell r="I388"/>
          <cell r="J388"/>
          <cell r="K388"/>
          <cell r="L388"/>
          <cell r="M388"/>
          <cell r="N388"/>
          <cell r="O388"/>
          <cell r="P388"/>
          <cell r="Q388">
            <v>2</v>
          </cell>
          <cell r="R388"/>
          <cell r="S388">
            <v>2</v>
          </cell>
          <cell r="T388">
            <v>0</v>
          </cell>
          <cell r="U388">
            <v>0</v>
          </cell>
          <cell r="V388">
            <v>2</v>
          </cell>
          <cell r="W388">
            <v>0</v>
          </cell>
          <cell r="X388">
            <v>2</v>
          </cell>
          <cell r="Y388" t="str">
            <v/>
          </cell>
          <cell r="Z388" t="str">
            <v/>
          </cell>
          <cell r="AA388">
            <v>6</v>
          </cell>
          <cell r="AB388">
            <v>0</v>
          </cell>
          <cell r="AC388">
            <v>6</v>
          </cell>
          <cell r="AD388"/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1.3333333333333333</v>
          </cell>
        </row>
        <row r="389">
          <cell r="A389">
            <v>442096</v>
          </cell>
          <cell r="B389" t="str">
            <v>Sim</v>
          </cell>
          <cell r="C389" t="str">
            <v>Bandeja</v>
          </cell>
          <cell r="D389" t="str">
            <v>SPARE</v>
          </cell>
          <cell r="E389">
            <v>2</v>
          </cell>
          <cell r="F389" t="str">
            <v>Bandeja Dianteira Direita Com Pivô Polo Gti 2006 A 2017</v>
          </cell>
          <cell r="G389"/>
          <cell r="H389">
            <v>0</v>
          </cell>
          <cell r="I389">
            <v>1</v>
          </cell>
          <cell r="J389" t="str">
            <v/>
          </cell>
          <cell r="K389">
            <v>1</v>
          </cell>
          <cell r="L389" t="str">
            <v/>
          </cell>
          <cell r="M389">
            <v>2</v>
          </cell>
          <cell r="N389">
            <v>2</v>
          </cell>
          <cell r="O389" t="str">
            <v/>
          </cell>
          <cell r="P389" t="str">
            <v/>
          </cell>
          <cell r="Q389">
            <v>1</v>
          </cell>
          <cell r="R389">
            <v>1</v>
          </cell>
          <cell r="S389" t="str">
            <v>0</v>
          </cell>
          <cell r="T389">
            <v>0</v>
          </cell>
          <cell r="U389">
            <v>0</v>
          </cell>
          <cell r="V389">
            <v>4</v>
          </cell>
          <cell r="W389">
            <v>4</v>
          </cell>
          <cell r="X389" t="str">
            <v/>
          </cell>
          <cell r="Y389" t="str">
            <v/>
          </cell>
          <cell r="Z389" t="str">
            <v/>
          </cell>
          <cell r="AA389">
            <v>5</v>
          </cell>
          <cell r="AB389">
            <v>5</v>
          </cell>
          <cell r="AC389">
            <v>0</v>
          </cell>
          <cell r="AD389"/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1.3333333333333333</v>
          </cell>
        </row>
        <row r="390">
          <cell r="A390">
            <v>993001</v>
          </cell>
          <cell r="B390" t="str">
            <v>Sim</v>
          </cell>
          <cell r="C390" t="str">
            <v>Bandeja</v>
          </cell>
          <cell r="D390" t="str">
            <v>SPARE</v>
          </cell>
          <cell r="E390">
            <v>2</v>
          </cell>
          <cell r="F390" t="str">
            <v>Braço Bandeja Ambos Lados Com Pivô Chery Qq 1.1 2011 A 2018</v>
          </cell>
          <cell r="G390"/>
          <cell r="H390">
            <v>3</v>
          </cell>
          <cell r="I390">
            <v>1</v>
          </cell>
          <cell r="J390">
            <v>0</v>
          </cell>
          <cell r="K390">
            <v>1</v>
          </cell>
          <cell r="L390" t="str">
            <v/>
          </cell>
          <cell r="M390">
            <v>2</v>
          </cell>
          <cell r="N390">
            <v>2</v>
          </cell>
          <cell r="O390">
            <v>0</v>
          </cell>
          <cell r="P390" t="str">
            <v/>
          </cell>
          <cell r="Q390">
            <v>2</v>
          </cell>
          <cell r="R390">
            <v>2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 t="str">
            <v/>
          </cell>
          <cell r="Y390" t="str">
            <v/>
          </cell>
          <cell r="Z390" t="str">
            <v/>
          </cell>
          <cell r="AA390">
            <v>3</v>
          </cell>
          <cell r="AB390">
            <v>3</v>
          </cell>
          <cell r="AC390">
            <v>0</v>
          </cell>
          <cell r="AD390"/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1.3333333333333333</v>
          </cell>
        </row>
        <row r="391">
          <cell r="A391" t="str">
            <v>FTK201366A</v>
          </cell>
          <cell r="B391"/>
          <cell r="C391" t="str">
            <v>Junta moto</v>
          </cell>
          <cell r="D391" t="str">
            <v>KRATER</v>
          </cell>
          <cell r="E391">
            <v>13</v>
          </cell>
          <cell r="F391" t="str">
            <v>Kit Junta Superior Do Cabeçote Xtz 125 2000 A 2008</v>
          </cell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>
            <v>1</v>
          </cell>
          <cell r="R391">
            <v>1</v>
          </cell>
          <cell r="S391" t="str">
            <v>0</v>
          </cell>
          <cell r="T391">
            <v>0</v>
          </cell>
          <cell r="U391">
            <v>0</v>
          </cell>
          <cell r="V391">
            <v>3</v>
          </cell>
          <cell r="W391">
            <v>3</v>
          </cell>
          <cell r="X391" t="str">
            <v/>
          </cell>
          <cell r="Y391" t="str">
            <v/>
          </cell>
          <cell r="Z391" t="str">
            <v/>
          </cell>
          <cell r="AA391">
            <v>2</v>
          </cell>
          <cell r="AB391">
            <v>2</v>
          </cell>
          <cell r="AC391">
            <v>0</v>
          </cell>
          <cell r="AD391"/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1.3333333333333333</v>
          </cell>
        </row>
        <row r="392">
          <cell r="A392">
            <v>5608</v>
          </cell>
          <cell r="B392"/>
          <cell r="C392" t="str">
            <v>Bieleta</v>
          </cell>
          <cell r="D392" t="str">
            <v>HOLYMAN</v>
          </cell>
          <cell r="E392">
            <v>5</v>
          </cell>
          <cell r="F392" t="str">
            <v>Bieleta Traseira Tucson Le</v>
          </cell>
          <cell r="G392"/>
          <cell r="H392">
            <v>0</v>
          </cell>
          <cell r="I392">
            <v>2</v>
          </cell>
          <cell r="J392">
            <v>2</v>
          </cell>
          <cell r="K392" t="str">
            <v/>
          </cell>
          <cell r="L392" t="str">
            <v/>
          </cell>
          <cell r="M392">
            <v>6</v>
          </cell>
          <cell r="N392" t="str">
            <v/>
          </cell>
          <cell r="O392">
            <v>6</v>
          </cell>
          <cell r="P392" t="str">
            <v/>
          </cell>
          <cell r="Q392">
            <v>0</v>
          </cell>
          <cell r="R392" t="str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 t="str">
            <v/>
          </cell>
          <cell r="Y392" t="str">
            <v/>
          </cell>
          <cell r="Z392" t="str">
            <v/>
          </cell>
          <cell r="AA392">
            <v>2</v>
          </cell>
          <cell r="AB392">
            <v>0</v>
          </cell>
          <cell r="AC392">
            <v>2</v>
          </cell>
          <cell r="AD392"/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1.3333333333333333</v>
          </cell>
        </row>
        <row r="393">
          <cell r="A393">
            <v>882002</v>
          </cell>
          <cell r="B393" t="str">
            <v>Sim</v>
          </cell>
          <cell r="C393" t="str">
            <v>Bandeja</v>
          </cell>
          <cell r="D393" t="str">
            <v>SPARE</v>
          </cell>
          <cell r="E393">
            <v>2</v>
          </cell>
          <cell r="F393" t="str">
            <v>Bandeja Dianteira Direita Com Pivô J3 2011 À 2015</v>
          </cell>
          <cell r="G393"/>
          <cell r="H393">
            <v>0</v>
          </cell>
          <cell r="I393">
            <v>4</v>
          </cell>
          <cell r="J393">
            <v>1</v>
          </cell>
          <cell r="K393">
            <v>3</v>
          </cell>
          <cell r="L393" t="str">
            <v/>
          </cell>
          <cell r="M393">
            <v>3</v>
          </cell>
          <cell r="N393">
            <v>3</v>
          </cell>
          <cell r="O393">
            <v>0</v>
          </cell>
          <cell r="P393" t="str">
            <v/>
          </cell>
          <cell r="Q393">
            <v>1</v>
          </cell>
          <cell r="R393">
            <v>1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 t="str">
            <v/>
          </cell>
          <cell r="Y393" t="str">
            <v/>
          </cell>
          <cell r="Z393" t="str">
            <v/>
          </cell>
          <cell r="AA393">
            <v>1</v>
          </cell>
          <cell r="AB393">
            <v>1</v>
          </cell>
          <cell r="AC393">
            <v>0</v>
          </cell>
          <cell r="AD393"/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1.3333333333333333</v>
          </cell>
        </row>
        <row r="394">
          <cell r="A394">
            <v>4013</v>
          </cell>
          <cell r="B394" t="str">
            <v>Sim</v>
          </cell>
          <cell r="C394" t="str">
            <v>Capa Pedal</v>
          </cell>
          <cell r="D394" t="str">
            <v>HOLYMAN</v>
          </cell>
          <cell r="E394">
            <v>5</v>
          </cell>
          <cell r="F394" t="str">
            <v>Capa De Pedal Freio Embreagem F-250</v>
          </cell>
          <cell r="G394"/>
          <cell r="H394">
            <v>0</v>
          </cell>
          <cell r="I394">
            <v>0</v>
          </cell>
          <cell r="J394"/>
          <cell r="K394">
            <v>2</v>
          </cell>
          <cell r="L394"/>
          <cell r="M394">
            <v>3</v>
          </cell>
          <cell r="N394">
            <v>3</v>
          </cell>
          <cell r="O394" t="str">
            <v/>
          </cell>
          <cell r="P394" t="str">
            <v/>
          </cell>
          <cell r="Q394">
            <v>0</v>
          </cell>
          <cell r="R394">
            <v>0</v>
          </cell>
          <cell r="S394" t="str">
            <v>0</v>
          </cell>
          <cell r="T394">
            <v>0</v>
          </cell>
          <cell r="U394">
            <v>0</v>
          </cell>
          <cell r="V394">
            <v>5</v>
          </cell>
          <cell r="W394">
            <v>5</v>
          </cell>
          <cell r="X394" t="str">
            <v/>
          </cell>
          <cell r="Y394" t="str">
            <v/>
          </cell>
          <cell r="Z394" t="str">
            <v/>
          </cell>
          <cell r="AA394">
            <v>1</v>
          </cell>
          <cell r="AB394">
            <v>1</v>
          </cell>
          <cell r="AC394">
            <v>0</v>
          </cell>
          <cell r="AD394"/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1.3333333333333333</v>
          </cell>
        </row>
        <row r="395">
          <cell r="A395" t="str">
            <v>NZT0012</v>
          </cell>
          <cell r="B395" t="str">
            <v>Sim</v>
          </cell>
          <cell r="C395" t="str">
            <v>Rolamento Roda</v>
          </cell>
          <cell r="D395" t="str">
            <v>IRB</v>
          </cell>
          <cell r="E395">
            <v>12</v>
          </cell>
          <cell r="F395" t="str">
            <v>Rolamento Da Roda Dianteira Sem Abs Fiat Marea 1999 A 2007</v>
          </cell>
          <cell r="G395"/>
          <cell r="H395">
            <v>0</v>
          </cell>
          <cell r="I395">
            <v>0</v>
          </cell>
          <cell r="J395">
            <v>0</v>
          </cell>
          <cell r="K395" t="str">
            <v/>
          </cell>
          <cell r="L395" t="str">
            <v/>
          </cell>
          <cell r="M395">
            <v>3</v>
          </cell>
          <cell r="N395">
            <v>3</v>
          </cell>
          <cell r="O395">
            <v>0</v>
          </cell>
          <cell r="P395" t="str">
            <v/>
          </cell>
          <cell r="Q395">
            <v>1</v>
          </cell>
          <cell r="R395">
            <v>1</v>
          </cell>
          <cell r="S395">
            <v>0</v>
          </cell>
          <cell r="T395">
            <v>0</v>
          </cell>
          <cell r="U395">
            <v>0</v>
          </cell>
          <cell r="V395">
            <v>4</v>
          </cell>
          <cell r="W395">
            <v>4</v>
          </cell>
          <cell r="X395" t="str">
            <v/>
          </cell>
          <cell r="Y395" t="str">
            <v/>
          </cell>
          <cell r="Z395" t="str">
            <v/>
          </cell>
          <cell r="AA395">
            <v>1</v>
          </cell>
          <cell r="AB395">
            <v>1</v>
          </cell>
          <cell r="AC395">
            <v>0</v>
          </cell>
          <cell r="AD395"/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1.3333333333333333</v>
          </cell>
        </row>
        <row r="396">
          <cell r="A396" t="str">
            <v>FTK-PDA152</v>
          </cell>
          <cell r="B396"/>
          <cell r="C396" t="str">
            <v>Amortecedor Pota Malas</v>
          </cell>
          <cell r="D396" t="str">
            <v>Pandão</v>
          </cell>
          <cell r="E396">
            <v>22</v>
          </cell>
          <cell r="F396" t="str">
            <v>AMORTECEDOR MOLA A GÁS PORTA MALAS JOY 2020 2021</v>
          </cell>
          <cell r="G396"/>
          <cell r="H396" t="str">
            <v>-</v>
          </cell>
          <cell r="I396"/>
          <cell r="J396"/>
          <cell r="K396"/>
          <cell r="L396"/>
          <cell r="M396"/>
          <cell r="N396"/>
          <cell r="O396"/>
          <cell r="P396"/>
          <cell r="Q396">
            <v>0</v>
          </cell>
          <cell r="R396"/>
          <cell r="S396">
            <v>0</v>
          </cell>
          <cell r="T396">
            <v>0</v>
          </cell>
          <cell r="U396">
            <v>0</v>
          </cell>
          <cell r="V396">
            <v>4</v>
          </cell>
          <cell r="W396">
            <v>0</v>
          </cell>
          <cell r="X396">
            <v>4</v>
          </cell>
          <cell r="Y396" t="str">
            <v/>
          </cell>
          <cell r="Z396" t="str">
            <v/>
          </cell>
          <cell r="AA396">
            <v>0</v>
          </cell>
          <cell r="AB396">
            <v>0</v>
          </cell>
          <cell r="AC396">
            <v>0</v>
          </cell>
          <cell r="AD396"/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1.3333333333333333</v>
          </cell>
        </row>
        <row r="397">
          <cell r="A397" t="str">
            <v>FTK-PDA163</v>
          </cell>
          <cell r="B397"/>
          <cell r="C397" t="str">
            <v>Amortecedor Pota Malas</v>
          </cell>
          <cell r="D397" t="str">
            <v>Pandão</v>
          </cell>
          <cell r="E397">
            <v>22</v>
          </cell>
          <cell r="F397" t="str">
            <v>AMORTECEDOR MOLA A GÁS PORTA MALAS ZAFIRA 2001 EM DIANTE</v>
          </cell>
          <cell r="G397"/>
          <cell r="H397" t="str">
            <v>-</v>
          </cell>
          <cell r="I397"/>
          <cell r="J397"/>
          <cell r="K397"/>
          <cell r="L397"/>
          <cell r="M397"/>
          <cell r="N397"/>
          <cell r="O397"/>
          <cell r="P397"/>
          <cell r="Q397">
            <v>0</v>
          </cell>
          <cell r="R397"/>
          <cell r="S397">
            <v>0</v>
          </cell>
          <cell r="T397">
            <v>0</v>
          </cell>
          <cell r="U397">
            <v>0</v>
          </cell>
          <cell r="V397">
            <v>4</v>
          </cell>
          <cell r="W397">
            <v>0</v>
          </cell>
          <cell r="X397">
            <v>4</v>
          </cell>
          <cell r="Y397" t="str">
            <v/>
          </cell>
          <cell r="Z397" t="str">
            <v/>
          </cell>
          <cell r="AA397">
            <v>0</v>
          </cell>
          <cell r="AB397">
            <v>0</v>
          </cell>
          <cell r="AC397">
            <v>0</v>
          </cell>
          <cell r="AD397"/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1.3333333333333333</v>
          </cell>
        </row>
        <row r="398">
          <cell r="A398">
            <v>772146</v>
          </cell>
          <cell r="B398" t="str">
            <v>Sim</v>
          </cell>
          <cell r="C398" t="str">
            <v>Bandeja</v>
          </cell>
          <cell r="D398" t="str">
            <v>SPARE</v>
          </cell>
          <cell r="E398">
            <v>2</v>
          </cell>
          <cell r="F398" t="str">
            <v>Bandeja Lado Direito Hb20 2012 A 2019 Com Pivô</v>
          </cell>
          <cell r="G398"/>
          <cell r="H398">
            <v>1</v>
          </cell>
          <cell r="I398">
            <v>1</v>
          </cell>
          <cell r="J398" t="str">
            <v/>
          </cell>
          <cell r="K398">
            <v>1</v>
          </cell>
          <cell r="L398" t="str">
            <v/>
          </cell>
          <cell r="M398">
            <v>1</v>
          </cell>
          <cell r="N398">
            <v>1</v>
          </cell>
          <cell r="O398" t="str">
            <v/>
          </cell>
          <cell r="P398" t="str">
            <v/>
          </cell>
          <cell r="Q398">
            <v>3</v>
          </cell>
          <cell r="R398">
            <v>3</v>
          </cell>
          <cell r="S398" t="str">
            <v>0</v>
          </cell>
          <cell r="T398">
            <v>0</v>
          </cell>
          <cell r="U398">
            <v>0</v>
          </cell>
          <cell r="V398">
            <v>2</v>
          </cell>
          <cell r="W398">
            <v>2</v>
          </cell>
          <cell r="X398" t="str">
            <v/>
          </cell>
          <cell r="Y398" t="str">
            <v/>
          </cell>
          <cell r="Z398" t="str">
            <v/>
          </cell>
          <cell r="AA398">
            <v>0</v>
          </cell>
          <cell r="AB398">
            <v>0</v>
          </cell>
          <cell r="AC398">
            <v>0</v>
          </cell>
          <cell r="AD398"/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1.3333333333333333</v>
          </cell>
        </row>
        <row r="399">
          <cell r="A399">
            <v>5228</v>
          </cell>
          <cell r="B399"/>
          <cell r="C399" t="str">
            <v>Bieleta</v>
          </cell>
          <cell r="D399" t="str">
            <v>HOLYMAN</v>
          </cell>
          <cell r="E399">
            <v>5</v>
          </cell>
          <cell r="F399" t="str">
            <v>Bieleta Dianteira Lado Esquerdo Captiva Tracker</v>
          </cell>
          <cell r="G399"/>
          <cell r="H399">
            <v>1</v>
          </cell>
          <cell r="I399">
            <v>2</v>
          </cell>
          <cell r="J399">
            <v>2</v>
          </cell>
          <cell r="K399" t="str">
            <v/>
          </cell>
          <cell r="L399" t="str">
            <v/>
          </cell>
          <cell r="M399">
            <v>0</v>
          </cell>
          <cell r="N399" t="str">
            <v/>
          </cell>
          <cell r="O399">
            <v>0</v>
          </cell>
          <cell r="P399" t="str">
            <v/>
          </cell>
          <cell r="Q399">
            <v>4</v>
          </cell>
          <cell r="R399" t="str">
            <v>0</v>
          </cell>
          <cell r="S399">
            <v>4</v>
          </cell>
          <cell r="T399">
            <v>0</v>
          </cell>
          <cell r="U399">
            <v>0</v>
          </cell>
          <cell r="V399">
            <v>1</v>
          </cell>
          <cell r="W399">
            <v>0</v>
          </cell>
          <cell r="X399">
            <v>1</v>
          </cell>
          <cell r="Y399" t="str">
            <v/>
          </cell>
          <cell r="Z399" t="str">
            <v/>
          </cell>
          <cell r="AA399">
            <v>0</v>
          </cell>
          <cell r="AB399">
            <v>0</v>
          </cell>
          <cell r="AC399">
            <v>0</v>
          </cell>
          <cell r="AD399"/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1.3333333333333333</v>
          </cell>
        </row>
        <row r="400">
          <cell r="A400">
            <v>5312</v>
          </cell>
          <cell r="B400" t="str">
            <v>Sim</v>
          </cell>
          <cell r="C400" t="str">
            <v>Bieleta</v>
          </cell>
          <cell r="D400" t="str">
            <v>HOLYMAN</v>
          </cell>
          <cell r="E400">
            <v>5</v>
          </cell>
          <cell r="F400" t="str">
            <v>Bieleta Traseira Ambos Lados Jetta 2007 A 2018</v>
          </cell>
          <cell r="G400"/>
          <cell r="H400">
            <v>1</v>
          </cell>
          <cell r="I400">
            <v>0</v>
          </cell>
          <cell r="J400">
            <v>0</v>
          </cell>
          <cell r="K400" t="str">
            <v/>
          </cell>
          <cell r="L400" t="str">
            <v/>
          </cell>
          <cell r="M400">
            <v>1</v>
          </cell>
          <cell r="N400">
            <v>1</v>
          </cell>
          <cell r="O400">
            <v>0</v>
          </cell>
          <cell r="P400" t="str">
            <v/>
          </cell>
          <cell r="Q400">
            <v>2</v>
          </cell>
          <cell r="R400">
            <v>2</v>
          </cell>
          <cell r="S400">
            <v>0</v>
          </cell>
          <cell r="T400">
            <v>0</v>
          </cell>
          <cell r="U400">
            <v>0</v>
          </cell>
          <cell r="V400">
            <v>4</v>
          </cell>
          <cell r="W400">
            <v>4</v>
          </cell>
          <cell r="X400" t="str">
            <v/>
          </cell>
          <cell r="Y400" t="str">
            <v/>
          </cell>
          <cell r="Z400" t="str">
            <v/>
          </cell>
          <cell r="AA400">
            <v>0</v>
          </cell>
          <cell r="AB400">
            <v>0</v>
          </cell>
          <cell r="AC400">
            <v>0</v>
          </cell>
          <cell r="AD400"/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1.3333333333333333</v>
          </cell>
        </row>
        <row r="401">
          <cell r="A401">
            <v>111288</v>
          </cell>
          <cell r="B401"/>
          <cell r="C401" t="str">
            <v>Cabo de Capô</v>
          </cell>
          <cell r="D401" t="str">
            <v>MundiFlex</v>
          </cell>
          <cell r="E401">
            <v>6</v>
          </cell>
          <cell r="F401" t="str">
            <v>Cabo De Capô Sem Alavanca Amarok 2010 Em Diante</v>
          </cell>
          <cell r="G401"/>
          <cell r="H401">
            <v>3</v>
          </cell>
          <cell r="I401">
            <v>0</v>
          </cell>
          <cell r="J401">
            <v>0</v>
          </cell>
          <cell r="K401">
            <v>0</v>
          </cell>
          <cell r="L401" t="str">
            <v/>
          </cell>
          <cell r="M401">
            <v>1</v>
          </cell>
          <cell r="N401" t="str">
            <v/>
          </cell>
          <cell r="O401">
            <v>1</v>
          </cell>
          <cell r="P401" t="str">
            <v/>
          </cell>
          <cell r="Q401">
            <v>4</v>
          </cell>
          <cell r="R401">
            <v>3</v>
          </cell>
          <cell r="S401">
            <v>1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/>
          </cell>
          <cell r="Y401" t="str">
            <v/>
          </cell>
          <cell r="Z401" t="str">
            <v/>
          </cell>
          <cell r="AA401">
            <v>0</v>
          </cell>
          <cell r="AB401">
            <v>0</v>
          </cell>
          <cell r="AC401">
            <v>0</v>
          </cell>
          <cell r="AD401"/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1.3333333333333333</v>
          </cell>
        </row>
        <row r="402">
          <cell r="A402">
            <v>227205</v>
          </cell>
          <cell r="B402" t="str">
            <v>Sim</v>
          </cell>
          <cell r="C402" t="str">
            <v>Cabo Embreagem</v>
          </cell>
          <cell r="D402" t="str">
            <v>Importação</v>
          </cell>
          <cell r="E402">
            <v>1</v>
          </cell>
          <cell r="F402" t="str">
            <v>Cabo De Embreagem 206 1.0 16v D4d 1060mm Regulagem Manual</v>
          </cell>
          <cell r="G402"/>
          <cell r="H402">
            <v>3</v>
          </cell>
          <cell r="I402">
            <v>0</v>
          </cell>
          <cell r="J402" t="str">
            <v/>
          </cell>
          <cell r="K402">
            <v>0</v>
          </cell>
          <cell r="L402" t="str">
            <v/>
          </cell>
          <cell r="M402">
            <v>1</v>
          </cell>
          <cell r="N402">
            <v>1</v>
          </cell>
          <cell r="O402" t="str">
            <v/>
          </cell>
          <cell r="P402" t="str">
            <v/>
          </cell>
          <cell r="Q402">
            <v>1</v>
          </cell>
          <cell r="R402">
            <v>1</v>
          </cell>
          <cell r="S402" t="str">
            <v>0</v>
          </cell>
          <cell r="T402">
            <v>0</v>
          </cell>
          <cell r="U402">
            <v>0</v>
          </cell>
          <cell r="V402">
            <v>3</v>
          </cell>
          <cell r="W402">
            <v>3</v>
          </cell>
          <cell r="X402" t="str">
            <v/>
          </cell>
          <cell r="Y402" t="str">
            <v/>
          </cell>
          <cell r="Z402" t="str">
            <v/>
          </cell>
          <cell r="AA402">
            <v>0</v>
          </cell>
          <cell r="AB402">
            <v>0</v>
          </cell>
          <cell r="AC402">
            <v>0</v>
          </cell>
          <cell r="AD402"/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1.3333333333333333</v>
          </cell>
        </row>
        <row r="403">
          <cell r="A403" t="str">
            <v>FTK11047</v>
          </cell>
          <cell r="B403"/>
          <cell r="C403" t="str">
            <v>Pivô</v>
          </cell>
          <cell r="D403" t="str">
            <v>SPARE</v>
          </cell>
          <cell r="E403">
            <v>2</v>
          </cell>
          <cell r="F403" t="str">
            <v>Pivô Bandeja Ambos Lados Corsa Frente Montana 2004 A 2010</v>
          </cell>
          <cell r="G403"/>
          <cell r="H403" t="str">
            <v>-</v>
          </cell>
          <cell r="I403"/>
          <cell r="J403"/>
          <cell r="K403"/>
          <cell r="L403"/>
          <cell r="M403"/>
          <cell r="N403"/>
          <cell r="O403"/>
          <cell r="P403"/>
          <cell r="Q403">
            <v>2</v>
          </cell>
          <cell r="R403"/>
          <cell r="S403">
            <v>2</v>
          </cell>
          <cell r="T403">
            <v>0</v>
          </cell>
          <cell r="U403">
            <v>0</v>
          </cell>
          <cell r="V403">
            <v>2</v>
          </cell>
          <cell r="W403">
            <v>0</v>
          </cell>
          <cell r="X403" t="str">
            <v/>
          </cell>
          <cell r="Y403" t="str">
            <v/>
          </cell>
          <cell r="Z403">
            <v>2</v>
          </cell>
          <cell r="AA403">
            <v>0</v>
          </cell>
          <cell r="AB403">
            <v>0</v>
          </cell>
          <cell r="AC403">
            <v>0</v>
          </cell>
          <cell r="AD403"/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1.3333333333333333</v>
          </cell>
        </row>
        <row r="404">
          <cell r="A404" t="str">
            <v>LT2266</v>
          </cell>
          <cell r="B404" t="str">
            <v>Sim</v>
          </cell>
          <cell r="C404" t="str">
            <v>Reparo Caixa de direção</v>
          </cell>
          <cell r="D404" t="str">
            <v>LT CORREA</v>
          </cell>
          <cell r="E404">
            <v>3</v>
          </cell>
          <cell r="F404" t="str">
            <v>Bucha Da Caixa De Direção Elétrica Citroen C3 2003 Á 2012</v>
          </cell>
          <cell r="G404"/>
          <cell r="H404" t="str">
            <v>-</v>
          </cell>
          <cell r="I404"/>
          <cell r="J404"/>
          <cell r="K404"/>
          <cell r="L404"/>
          <cell r="M404"/>
          <cell r="N404"/>
          <cell r="O404"/>
          <cell r="P404"/>
          <cell r="Q404">
            <v>1</v>
          </cell>
          <cell r="R404">
            <v>1</v>
          </cell>
          <cell r="S404" t="str">
            <v>0</v>
          </cell>
          <cell r="T404">
            <v>0</v>
          </cell>
          <cell r="U404">
            <v>0</v>
          </cell>
          <cell r="V404">
            <v>3</v>
          </cell>
          <cell r="W404">
            <v>3</v>
          </cell>
          <cell r="X404" t="str">
            <v/>
          </cell>
          <cell r="Y404" t="str">
            <v/>
          </cell>
          <cell r="Z404" t="str">
            <v/>
          </cell>
          <cell r="AA404">
            <v>0</v>
          </cell>
          <cell r="AB404">
            <v>0</v>
          </cell>
          <cell r="AC404">
            <v>0</v>
          </cell>
          <cell r="AD404"/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1.3333333333333333</v>
          </cell>
        </row>
        <row r="405">
          <cell r="A405" t="str">
            <v>NZT3601</v>
          </cell>
          <cell r="B405" t="str">
            <v>Sim</v>
          </cell>
          <cell r="C405" t="str">
            <v>Rolamento Roda</v>
          </cell>
          <cell r="D405" t="str">
            <v>POLO</v>
          </cell>
          <cell r="E405">
            <v>7</v>
          </cell>
          <cell r="F405" t="str">
            <v>Kit Rolamento Roda Traseira Meriva Le</v>
          </cell>
          <cell r="G405"/>
          <cell r="H405">
            <v>2</v>
          </cell>
          <cell r="I405">
            <v>5</v>
          </cell>
          <cell r="J405">
            <v>0</v>
          </cell>
          <cell r="K405">
            <v>5</v>
          </cell>
          <cell r="L405" t="str">
            <v/>
          </cell>
          <cell r="M405">
            <v>1</v>
          </cell>
          <cell r="N405">
            <v>1</v>
          </cell>
          <cell r="O405">
            <v>0</v>
          </cell>
          <cell r="P405" t="str">
            <v/>
          </cell>
          <cell r="Q405">
            <v>0</v>
          </cell>
          <cell r="R405" t="str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 t="str">
            <v/>
          </cell>
          <cell r="Y405" t="str">
            <v/>
          </cell>
          <cell r="Z405" t="str">
            <v/>
          </cell>
          <cell r="AA405">
            <v>0</v>
          </cell>
          <cell r="AB405">
            <v>0</v>
          </cell>
          <cell r="AC405">
            <v>0</v>
          </cell>
          <cell r="AD405"/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1.3333333333333333</v>
          </cell>
        </row>
        <row r="406">
          <cell r="A406">
            <v>222072</v>
          </cell>
          <cell r="B406" t="str">
            <v>Sim</v>
          </cell>
          <cell r="C406" t="str">
            <v>Bandeja</v>
          </cell>
          <cell r="D406" t="str">
            <v>SPARE</v>
          </cell>
          <cell r="E406">
            <v>2</v>
          </cell>
          <cell r="F406" t="str">
            <v>Bandeja Fiesta 2008 A 2014 Lado Direito Sem Pivô</v>
          </cell>
          <cell r="G406"/>
          <cell r="H406">
            <v>1</v>
          </cell>
          <cell r="I406">
            <v>1</v>
          </cell>
          <cell r="J406">
            <v>0</v>
          </cell>
          <cell r="K406">
            <v>1</v>
          </cell>
          <cell r="L406" t="str">
            <v/>
          </cell>
          <cell r="M406">
            <v>1</v>
          </cell>
          <cell r="N406">
            <v>1</v>
          </cell>
          <cell r="O406">
            <v>0</v>
          </cell>
          <cell r="P406" t="str">
            <v/>
          </cell>
          <cell r="Q406">
            <v>0</v>
          </cell>
          <cell r="R406" t="str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 t="str">
            <v/>
          </cell>
          <cell r="Y406" t="str">
            <v/>
          </cell>
          <cell r="Z406" t="str">
            <v/>
          </cell>
          <cell r="AA406">
            <v>0</v>
          </cell>
          <cell r="AB406">
            <v>0</v>
          </cell>
          <cell r="AC406">
            <v>0</v>
          </cell>
          <cell r="AD406"/>
          <cell r="AE406">
            <v>0</v>
          </cell>
          <cell r="AF406">
            <v>5</v>
          </cell>
          <cell r="AG406">
            <v>5</v>
          </cell>
          <cell r="AH406">
            <v>0</v>
          </cell>
          <cell r="AI406">
            <v>0</v>
          </cell>
          <cell r="AJ406">
            <v>0</v>
          </cell>
          <cell r="AK406">
            <v>1.3333333333333333</v>
          </cell>
        </row>
        <row r="407">
          <cell r="A407">
            <v>226009</v>
          </cell>
          <cell r="B407" t="str">
            <v>Sim</v>
          </cell>
          <cell r="C407" t="str">
            <v>Cabo Embreagem</v>
          </cell>
          <cell r="D407" t="str">
            <v>Importação</v>
          </cell>
          <cell r="E407">
            <v>1</v>
          </cell>
          <cell r="F407" t="str">
            <v>Cabo De Embreagem Sandero 2004 Em Diante 1.6 16v</v>
          </cell>
          <cell r="G407"/>
          <cell r="H407" t="str">
            <v>-</v>
          </cell>
          <cell r="I407" t="str">
            <v>-</v>
          </cell>
          <cell r="J407"/>
          <cell r="K407"/>
          <cell r="L407"/>
          <cell r="M407">
            <v>2</v>
          </cell>
          <cell r="N407">
            <v>2</v>
          </cell>
          <cell r="O407" t="str">
            <v/>
          </cell>
          <cell r="P407" t="str">
            <v/>
          </cell>
          <cell r="Q407">
            <v>1</v>
          </cell>
          <cell r="R407">
            <v>1</v>
          </cell>
          <cell r="S407" t="str">
            <v>0</v>
          </cell>
          <cell r="T407">
            <v>0</v>
          </cell>
          <cell r="U407">
            <v>0</v>
          </cell>
          <cell r="V407">
            <v>2</v>
          </cell>
          <cell r="W407">
            <v>2</v>
          </cell>
          <cell r="X407" t="str">
            <v/>
          </cell>
          <cell r="Y407" t="str">
            <v/>
          </cell>
          <cell r="Z407" t="str">
            <v/>
          </cell>
          <cell r="AA407">
            <v>1</v>
          </cell>
          <cell r="AB407">
            <v>1</v>
          </cell>
          <cell r="AC407">
            <v>0</v>
          </cell>
          <cell r="AD407"/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1.25</v>
          </cell>
        </row>
        <row r="408">
          <cell r="A408" t="str">
            <v>FTK99083-MB</v>
          </cell>
          <cell r="B408"/>
          <cell r="C408" t="str">
            <v>Bucha Bandeja</v>
          </cell>
          <cell r="D408" t="str">
            <v>MOBENSANI</v>
          </cell>
          <cell r="E408">
            <v>10</v>
          </cell>
          <cell r="F408" t="str">
            <v>BUCHA DIANTEIRA DA BANDEJA DIANTEIRA MONDEO 1993 A 2001</v>
          </cell>
          <cell r="G408"/>
          <cell r="H408" t="str">
            <v>-</v>
          </cell>
          <cell r="I408">
            <v>2</v>
          </cell>
          <cell r="J408">
            <v>2</v>
          </cell>
          <cell r="K408" t="str">
            <v/>
          </cell>
          <cell r="L408" t="str">
            <v/>
          </cell>
          <cell r="M408">
            <v>0</v>
          </cell>
          <cell r="N408" t="str">
            <v/>
          </cell>
          <cell r="O408">
            <v>0</v>
          </cell>
          <cell r="P408" t="str">
            <v/>
          </cell>
          <cell r="Q408">
            <v>0</v>
          </cell>
          <cell r="R408" t="str">
            <v>0</v>
          </cell>
          <cell r="S408">
            <v>0</v>
          </cell>
          <cell r="T408">
            <v>0</v>
          </cell>
          <cell r="U408">
            <v>0</v>
          </cell>
          <cell r="V408">
            <v>2</v>
          </cell>
          <cell r="W408">
            <v>0</v>
          </cell>
          <cell r="X408">
            <v>2</v>
          </cell>
          <cell r="Y408" t="str">
            <v/>
          </cell>
          <cell r="Z408" t="str">
            <v/>
          </cell>
          <cell r="AA408">
            <v>2</v>
          </cell>
          <cell r="AB408">
            <v>0</v>
          </cell>
          <cell r="AC408">
            <v>2</v>
          </cell>
          <cell r="AD408"/>
          <cell r="AE408">
            <v>0</v>
          </cell>
          <cell r="AF408">
            <v>2</v>
          </cell>
          <cell r="AG408">
            <v>0</v>
          </cell>
          <cell r="AH408">
            <v>2</v>
          </cell>
          <cell r="AI408">
            <v>0</v>
          </cell>
          <cell r="AJ408">
            <v>0</v>
          </cell>
          <cell r="AK408">
            <v>1.2</v>
          </cell>
        </row>
        <row r="409">
          <cell r="A409">
            <v>5509</v>
          </cell>
          <cell r="B409" t="str">
            <v>Sim</v>
          </cell>
          <cell r="C409" t="str">
            <v>Bieleta</v>
          </cell>
          <cell r="D409" t="str">
            <v>HOLYMAN</v>
          </cell>
          <cell r="E409">
            <v>5</v>
          </cell>
          <cell r="F409" t="str">
            <v>Bieleta Traseira Ambos Lados Hilux Sw4 Motor 3.0</v>
          </cell>
          <cell r="G409"/>
          <cell r="H409" t="str">
            <v>-</v>
          </cell>
          <cell r="I409">
            <v>0</v>
          </cell>
          <cell r="J409">
            <v>0</v>
          </cell>
          <cell r="K409" t="str">
            <v/>
          </cell>
          <cell r="L409" t="str">
            <v/>
          </cell>
          <cell r="M409">
            <v>4</v>
          </cell>
          <cell r="N409">
            <v>4</v>
          </cell>
          <cell r="O409">
            <v>0</v>
          </cell>
          <cell r="P409" t="str">
            <v/>
          </cell>
          <cell r="Q409">
            <v>0</v>
          </cell>
          <cell r="R409" t="str">
            <v>0</v>
          </cell>
          <cell r="S409">
            <v>0</v>
          </cell>
          <cell r="T409">
            <v>0</v>
          </cell>
          <cell r="U409">
            <v>0</v>
          </cell>
          <cell r="V409">
            <v>2</v>
          </cell>
          <cell r="W409">
            <v>2</v>
          </cell>
          <cell r="X409" t="str">
            <v/>
          </cell>
          <cell r="Y409" t="str">
            <v/>
          </cell>
          <cell r="Z409" t="str">
            <v/>
          </cell>
          <cell r="AA409">
            <v>0</v>
          </cell>
          <cell r="AB409">
            <v>0</v>
          </cell>
          <cell r="AC409">
            <v>0</v>
          </cell>
          <cell r="AD409"/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1.2</v>
          </cell>
        </row>
        <row r="410">
          <cell r="A410">
            <v>662068</v>
          </cell>
          <cell r="B410" t="str">
            <v>Sim</v>
          </cell>
          <cell r="C410" t="str">
            <v>Bandeja</v>
          </cell>
          <cell r="D410" t="str">
            <v>SPARE</v>
          </cell>
          <cell r="E410">
            <v>2</v>
          </cell>
          <cell r="F410" t="str">
            <v>Bandeja Dianteira Lado Esquerdo Com Pivô Fluence 2011 À 2018</v>
          </cell>
          <cell r="G410"/>
          <cell r="H410">
            <v>0</v>
          </cell>
          <cell r="I410">
            <v>0</v>
          </cell>
          <cell r="J410">
            <v>0</v>
          </cell>
          <cell r="K410" t="str">
            <v/>
          </cell>
          <cell r="L410" t="str">
            <v/>
          </cell>
          <cell r="M410">
            <v>0</v>
          </cell>
          <cell r="N410" t="str">
            <v/>
          </cell>
          <cell r="O410">
            <v>0</v>
          </cell>
          <cell r="P410" t="str">
            <v/>
          </cell>
          <cell r="Q410">
            <v>4</v>
          </cell>
          <cell r="R410">
            <v>3</v>
          </cell>
          <cell r="S410">
            <v>1</v>
          </cell>
          <cell r="T410">
            <v>0</v>
          </cell>
          <cell r="U410">
            <v>0</v>
          </cell>
          <cell r="V410">
            <v>1</v>
          </cell>
          <cell r="W410">
            <v>1</v>
          </cell>
          <cell r="X410" t="str">
            <v/>
          </cell>
          <cell r="Y410" t="str">
            <v/>
          </cell>
          <cell r="Z410" t="str">
            <v/>
          </cell>
          <cell r="AA410">
            <v>3</v>
          </cell>
          <cell r="AB410">
            <v>2</v>
          </cell>
          <cell r="AC410">
            <v>1</v>
          </cell>
          <cell r="AD410"/>
          <cell r="AE410">
            <v>0</v>
          </cell>
          <cell r="AF410">
            <v>2</v>
          </cell>
          <cell r="AG410">
            <v>0</v>
          </cell>
          <cell r="AH410">
            <v>2</v>
          </cell>
          <cell r="AI410">
            <v>0</v>
          </cell>
          <cell r="AJ410">
            <v>0</v>
          </cell>
          <cell r="AK410">
            <v>1.1666666666666667</v>
          </cell>
        </row>
        <row r="411">
          <cell r="A411" t="str">
            <v>FTK11021</v>
          </cell>
          <cell r="B411" t="str">
            <v>Sim</v>
          </cell>
          <cell r="C411" t="str">
            <v>Pivô</v>
          </cell>
          <cell r="D411" t="str">
            <v>SPARE</v>
          </cell>
          <cell r="E411">
            <v>2</v>
          </cell>
          <cell r="F411" t="str">
            <v>Pivô Inferior Bandeja Dianteira Ka 1997 À 2007</v>
          </cell>
          <cell r="G411"/>
          <cell r="H411">
            <v>3</v>
          </cell>
          <cell r="I411">
            <v>0</v>
          </cell>
          <cell r="J411">
            <v>0</v>
          </cell>
          <cell r="K411" t="str">
            <v/>
          </cell>
          <cell r="L411" t="str">
            <v/>
          </cell>
          <cell r="M411">
            <v>0</v>
          </cell>
          <cell r="N411" t="str">
            <v/>
          </cell>
          <cell r="O411">
            <v>0</v>
          </cell>
          <cell r="P411" t="str">
            <v/>
          </cell>
          <cell r="Q411">
            <v>0</v>
          </cell>
          <cell r="R411" t="str">
            <v>0</v>
          </cell>
          <cell r="S411">
            <v>0</v>
          </cell>
          <cell r="T411">
            <v>0</v>
          </cell>
          <cell r="U411">
            <v>0</v>
          </cell>
          <cell r="V411">
            <v>2</v>
          </cell>
          <cell r="W411">
            <v>0</v>
          </cell>
          <cell r="X411">
            <v>2</v>
          </cell>
          <cell r="Y411" t="str">
            <v/>
          </cell>
          <cell r="Z411" t="str">
            <v/>
          </cell>
          <cell r="AA411">
            <v>1</v>
          </cell>
          <cell r="AB411">
            <v>1</v>
          </cell>
          <cell r="AC411">
            <v>0</v>
          </cell>
          <cell r="AD411"/>
          <cell r="AE411">
            <v>0</v>
          </cell>
          <cell r="AF411">
            <v>2</v>
          </cell>
          <cell r="AG411">
            <v>0</v>
          </cell>
          <cell r="AH411">
            <v>2</v>
          </cell>
          <cell r="AI411">
            <v>0</v>
          </cell>
          <cell r="AJ411">
            <v>0</v>
          </cell>
          <cell r="AK411">
            <v>1.1666666666666667</v>
          </cell>
        </row>
        <row r="412">
          <cell r="A412">
            <v>5402</v>
          </cell>
          <cell r="B412"/>
          <cell r="C412" t="str">
            <v>Bieleta</v>
          </cell>
          <cell r="D412" t="str">
            <v>HOLYMAN</v>
          </cell>
          <cell r="E412">
            <v>5</v>
          </cell>
          <cell r="F412" t="str">
            <v>Bieleta Dianteira Direita Honda Civic 2001 A 2006</v>
          </cell>
          <cell r="G412"/>
          <cell r="H412">
            <v>2</v>
          </cell>
          <cell r="I412">
            <v>0</v>
          </cell>
          <cell r="J412">
            <v>0</v>
          </cell>
          <cell r="K412" t="str">
            <v/>
          </cell>
          <cell r="L412" t="str">
            <v/>
          </cell>
          <cell r="M412">
            <v>0</v>
          </cell>
          <cell r="N412" t="str">
            <v/>
          </cell>
          <cell r="O412">
            <v>0</v>
          </cell>
          <cell r="P412" t="str">
            <v/>
          </cell>
          <cell r="Q412">
            <v>2</v>
          </cell>
          <cell r="R412" t="str">
            <v>0</v>
          </cell>
          <cell r="S412">
            <v>2</v>
          </cell>
          <cell r="T412">
            <v>0</v>
          </cell>
          <cell r="U412">
            <v>0</v>
          </cell>
          <cell r="V412">
            <v>1</v>
          </cell>
          <cell r="W412">
            <v>0</v>
          </cell>
          <cell r="X412">
            <v>1</v>
          </cell>
          <cell r="Y412" t="str">
            <v/>
          </cell>
          <cell r="Z412" t="str">
            <v/>
          </cell>
          <cell r="AA412">
            <v>0</v>
          </cell>
          <cell r="AB412">
            <v>0</v>
          </cell>
          <cell r="AC412">
            <v>0</v>
          </cell>
          <cell r="AD412"/>
          <cell r="AE412">
            <v>0</v>
          </cell>
          <cell r="AF412">
            <v>2</v>
          </cell>
          <cell r="AG412">
            <v>0</v>
          </cell>
          <cell r="AH412">
            <v>2</v>
          </cell>
          <cell r="AI412">
            <v>0</v>
          </cell>
          <cell r="AJ412">
            <v>0</v>
          </cell>
          <cell r="AK412">
            <v>1.1666666666666667</v>
          </cell>
        </row>
        <row r="413">
          <cell r="A413">
            <v>5403</v>
          </cell>
          <cell r="B413"/>
          <cell r="C413" t="str">
            <v>Bieleta</v>
          </cell>
          <cell r="D413" t="str">
            <v>HOLYMAN</v>
          </cell>
          <cell r="E413">
            <v>5</v>
          </cell>
          <cell r="F413" t="str">
            <v>Bieleta Dianteira Esquerda Honda Civic 2001 A 2006</v>
          </cell>
          <cell r="G413"/>
          <cell r="H413">
            <v>2</v>
          </cell>
          <cell r="I413">
            <v>0</v>
          </cell>
          <cell r="J413">
            <v>0</v>
          </cell>
          <cell r="K413" t="str">
            <v/>
          </cell>
          <cell r="L413" t="str">
            <v/>
          </cell>
          <cell r="M413">
            <v>0</v>
          </cell>
          <cell r="N413" t="str">
            <v/>
          </cell>
          <cell r="O413">
            <v>0</v>
          </cell>
          <cell r="P413" t="str">
            <v/>
          </cell>
          <cell r="Q413">
            <v>2</v>
          </cell>
          <cell r="R413" t="str">
            <v>0</v>
          </cell>
          <cell r="S413">
            <v>2</v>
          </cell>
          <cell r="T413">
            <v>0</v>
          </cell>
          <cell r="U413">
            <v>0</v>
          </cell>
          <cell r="V413">
            <v>1</v>
          </cell>
          <cell r="W413">
            <v>0</v>
          </cell>
          <cell r="X413">
            <v>1</v>
          </cell>
          <cell r="Y413" t="str">
            <v/>
          </cell>
          <cell r="Z413" t="str">
            <v/>
          </cell>
          <cell r="AA413">
            <v>0</v>
          </cell>
          <cell r="AB413">
            <v>0</v>
          </cell>
          <cell r="AC413">
            <v>0</v>
          </cell>
          <cell r="AD413"/>
          <cell r="AE413">
            <v>0</v>
          </cell>
          <cell r="AF413">
            <v>2</v>
          </cell>
          <cell r="AG413">
            <v>0</v>
          </cell>
          <cell r="AH413">
            <v>2</v>
          </cell>
          <cell r="AI413">
            <v>0</v>
          </cell>
          <cell r="AJ413">
            <v>0</v>
          </cell>
          <cell r="AK413">
            <v>1.1666666666666667</v>
          </cell>
        </row>
        <row r="414">
          <cell r="A414">
            <v>5616</v>
          </cell>
          <cell r="B414"/>
          <cell r="C414" t="str">
            <v>Bieleta</v>
          </cell>
          <cell r="D414" t="str">
            <v>HOLYMAN</v>
          </cell>
          <cell r="E414">
            <v>5</v>
          </cell>
          <cell r="F414" t="str">
            <v>Bieleta Dianteira Ambos Os Lados Ix35 2010 A 2015</v>
          </cell>
          <cell r="G414"/>
          <cell r="H414">
            <v>0</v>
          </cell>
          <cell r="I414">
            <v>1</v>
          </cell>
          <cell r="J414">
            <v>0</v>
          </cell>
          <cell r="K414">
            <v>1</v>
          </cell>
          <cell r="L414" t="str">
            <v/>
          </cell>
          <cell r="M414">
            <v>2</v>
          </cell>
          <cell r="N414" t="str">
            <v/>
          </cell>
          <cell r="O414">
            <v>2</v>
          </cell>
          <cell r="P414" t="str">
            <v/>
          </cell>
          <cell r="Q414">
            <v>2</v>
          </cell>
          <cell r="R414">
            <v>2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 t="str">
            <v/>
          </cell>
          <cell r="Y414" t="str">
            <v/>
          </cell>
          <cell r="Z414" t="str">
            <v/>
          </cell>
          <cell r="AA414">
            <v>0</v>
          </cell>
          <cell r="AB414">
            <v>0</v>
          </cell>
          <cell r="AC414">
            <v>0</v>
          </cell>
          <cell r="AD414"/>
          <cell r="AE414">
            <v>0</v>
          </cell>
          <cell r="AF414">
            <v>2</v>
          </cell>
          <cell r="AG414">
            <v>0</v>
          </cell>
          <cell r="AH414">
            <v>2</v>
          </cell>
          <cell r="AI414">
            <v>0</v>
          </cell>
          <cell r="AJ414">
            <v>0</v>
          </cell>
          <cell r="AK414">
            <v>1.1666666666666667</v>
          </cell>
        </row>
        <row r="415">
          <cell r="A415">
            <v>332117</v>
          </cell>
          <cell r="B415" t="str">
            <v>Sim</v>
          </cell>
          <cell r="C415" t="str">
            <v>Bandeja</v>
          </cell>
          <cell r="D415" t="str">
            <v>SPARE</v>
          </cell>
          <cell r="E415">
            <v>2</v>
          </cell>
          <cell r="F415" t="str">
            <v>Bandeja Dianteira Inferior Esquerda Com Pivô Daewoo 97 À 02</v>
          </cell>
          <cell r="G415"/>
          <cell r="H415">
            <v>1</v>
          </cell>
          <cell r="I415">
            <v>1</v>
          </cell>
          <cell r="J415">
            <v>0</v>
          </cell>
          <cell r="K415">
            <v>1</v>
          </cell>
          <cell r="L415" t="str">
            <v/>
          </cell>
          <cell r="M415">
            <v>1</v>
          </cell>
          <cell r="N415">
            <v>1</v>
          </cell>
          <cell r="O415">
            <v>0</v>
          </cell>
          <cell r="P415" t="str">
            <v/>
          </cell>
          <cell r="Q415">
            <v>1</v>
          </cell>
          <cell r="R415">
            <v>1</v>
          </cell>
          <cell r="S415">
            <v>0</v>
          </cell>
          <cell r="T415">
            <v>0</v>
          </cell>
          <cell r="U415">
            <v>0</v>
          </cell>
          <cell r="V415">
            <v>2</v>
          </cell>
          <cell r="W415">
            <v>2</v>
          </cell>
          <cell r="X415" t="str">
            <v/>
          </cell>
          <cell r="Y415" t="str">
            <v/>
          </cell>
          <cell r="Z415" t="str">
            <v/>
          </cell>
          <cell r="AA415">
            <v>0</v>
          </cell>
          <cell r="AB415">
            <v>0</v>
          </cell>
          <cell r="AC415">
            <v>0</v>
          </cell>
          <cell r="AD415"/>
          <cell r="AE415">
            <v>0</v>
          </cell>
          <cell r="AF415">
            <v>1</v>
          </cell>
          <cell r="AG415">
            <v>0</v>
          </cell>
          <cell r="AH415">
            <v>1</v>
          </cell>
          <cell r="AI415">
            <v>0</v>
          </cell>
          <cell r="AJ415">
            <v>0</v>
          </cell>
          <cell r="AK415">
            <v>1.1666666666666667</v>
          </cell>
        </row>
        <row r="416">
          <cell r="A416">
            <v>88459</v>
          </cell>
          <cell r="B416" t="str">
            <v>Sim</v>
          </cell>
          <cell r="C416" t="str">
            <v>Cabo de Capô</v>
          </cell>
          <cell r="D416" t="str">
            <v>MundiFlex</v>
          </cell>
          <cell r="E416">
            <v>6</v>
          </cell>
          <cell r="F416" t="str">
            <v>Cabo Capô Com Alavanca Fiesta 1996 A 2002</v>
          </cell>
          <cell r="G416"/>
          <cell r="H416">
            <v>1</v>
          </cell>
          <cell r="I416">
            <v>1</v>
          </cell>
          <cell r="J416" t="str">
            <v/>
          </cell>
          <cell r="K416">
            <v>1</v>
          </cell>
          <cell r="L416" t="str">
            <v/>
          </cell>
          <cell r="M416">
            <v>2</v>
          </cell>
          <cell r="N416">
            <v>2</v>
          </cell>
          <cell r="O416" t="str">
            <v/>
          </cell>
          <cell r="P416" t="str">
            <v/>
          </cell>
          <cell r="Q416">
            <v>2</v>
          </cell>
          <cell r="R416">
            <v>2</v>
          </cell>
          <cell r="S416" t="str">
            <v>0</v>
          </cell>
          <cell r="T416">
            <v>0</v>
          </cell>
          <cell r="U416">
            <v>0</v>
          </cell>
          <cell r="V416">
            <v>1</v>
          </cell>
          <cell r="W416">
            <v>1</v>
          </cell>
          <cell r="X416" t="str">
            <v/>
          </cell>
          <cell r="Y416" t="str">
            <v/>
          </cell>
          <cell r="Z416" t="str">
            <v/>
          </cell>
          <cell r="AA416">
            <v>5</v>
          </cell>
          <cell r="AB416">
            <v>5</v>
          </cell>
          <cell r="AC416">
            <v>0</v>
          </cell>
          <cell r="AD416"/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1.1666666666666667</v>
          </cell>
        </row>
        <row r="417">
          <cell r="A417">
            <v>5313</v>
          </cell>
          <cell r="B417" t="str">
            <v>Sim</v>
          </cell>
          <cell r="C417" t="str">
            <v>Bieleta</v>
          </cell>
          <cell r="D417" t="str">
            <v>HOLYMAN</v>
          </cell>
          <cell r="E417">
            <v>5</v>
          </cell>
          <cell r="F417" t="str">
            <v>Bieleta Dianteira Ambos Lados Audi A3 2003 A 2020</v>
          </cell>
          <cell r="G417"/>
          <cell r="H417">
            <v>4</v>
          </cell>
          <cell r="I417">
            <v>0</v>
          </cell>
          <cell r="J417">
            <v>0</v>
          </cell>
          <cell r="K417">
            <v>0</v>
          </cell>
          <cell r="L417" t="str">
            <v/>
          </cell>
          <cell r="M417">
            <v>1</v>
          </cell>
          <cell r="N417">
            <v>1</v>
          </cell>
          <cell r="O417">
            <v>0</v>
          </cell>
          <cell r="P417" t="str">
            <v/>
          </cell>
          <cell r="Q417">
            <v>2</v>
          </cell>
          <cell r="R417" t="str">
            <v>0</v>
          </cell>
          <cell r="S417">
            <v>2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 t="str">
            <v/>
          </cell>
          <cell r="Y417" t="str">
            <v/>
          </cell>
          <cell r="Z417" t="str">
            <v/>
          </cell>
          <cell r="AA417">
            <v>5</v>
          </cell>
          <cell r="AB417">
            <v>1</v>
          </cell>
          <cell r="AC417">
            <v>4</v>
          </cell>
          <cell r="AD417"/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1.1666666666666667</v>
          </cell>
        </row>
        <row r="418">
          <cell r="A418">
            <v>112133</v>
          </cell>
          <cell r="B418" t="str">
            <v>Sim</v>
          </cell>
          <cell r="C418" t="str">
            <v>Bandeja</v>
          </cell>
          <cell r="D418" t="str">
            <v>SPARE</v>
          </cell>
          <cell r="E418">
            <v>2</v>
          </cell>
          <cell r="F418" t="str">
            <v>Bandeja Dianteira Esquerda Com Pivô Linea 2008 A 2016</v>
          </cell>
          <cell r="G418"/>
          <cell r="H418">
            <v>1</v>
          </cell>
          <cell r="I418">
            <v>0</v>
          </cell>
          <cell r="J418">
            <v>0</v>
          </cell>
          <cell r="K418" t="str">
            <v/>
          </cell>
          <cell r="L418" t="str">
            <v/>
          </cell>
          <cell r="M418">
            <v>2</v>
          </cell>
          <cell r="N418">
            <v>1</v>
          </cell>
          <cell r="O418">
            <v>1</v>
          </cell>
          <cell r="P418" t="str">
            <v/>
          </cell>
          <cell r="Q418">
            <v>2</v>
          </cell>
          <cell r="R418">
            <v>1</v>
          </cell>
          <cell r="S418">
            <v>1</v>
          </cell>
          <cell r="T418">
            <v>0</v>
          </cell>
          <cell r="U418">
            <v>0</v>
          </cell>
          <cell r="V418">
            <v>2</v>
          </cell>
          <cell r="W418">
            <v>1</v>
          </cell>
          <cell r="X418">
            <v>1</v>
          </cell>
          <cell r="Y418" t="str">
            <v/>
          </cell>
          <cell r="Z418" t="str">
            <v/>
          </cell>
          <cell r="AA418">
            <v>3</v>
          </cell>
          <cell r="AB418">
            <v>3</v>
          </cell>
          <cell r="AC418">
            <v>0</v>
          </cell>
          <cell r="AD418"/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1.1666666666666667</v>
          </cell>
        </row>
        <row r="419">
          <cell r="A419">
            <v>332024</v>
          </cell>
          <cell r="B419" t="str">
            <v>Sim</v>
          </cell>
          <cell r="C419" t="str">
            <v>Bandeja</v>
          </cell>
          <cell r="D419" t="str">
            <v>SPARE</v>
          </cell>
          <cell r="E419">
            <v>2</v>
          </cell>
          <cell r="F419" t="str">
            <v>Bandeja Dianteira Ambos Lados Monza 1991 A 1996 Sem Pivô</v>
          </cell>
          <cell r="G419"/>
          <cell r="H419">
            <v>0</v>
          </cell>
          <cell r="I419">
            <v>0</v>
          </cell>
          <cell r="J419"/>
          <cell r="K419"/>
          <cell r="L419"/>
          <cell r="M419">
            <v>1</v>
          </cell>
          <cell r="N419">
            <v>1</v>
          </cell>
          <cell r="O419">
            <v>0</v>
          </cell>
          <cell r="P419" t="str">
            <v/>
          </cell>
          <cell r="Q419">
            <v>2</v>
          </cell>
          <cell r="R419">
            <v>2</v>
          </cell>
          <cell r="S419">
            <v>0</v>
          </cell>
          <cell r="T419">
            <v>0</v>
          </cell>
          <cell r="U419">
            <v>0</v>
          </cell>
          <cell r="V419">
            <v>4</v>
          </cell>
          <cell r="W419">
            <v>2</v>
          </cell>
          <cell r="X419">
            <v>2</v>
          </cell>
          <cell r="Y419" t="str">
            <v/>
          </cell>
          <cell r="Z419" t="str">
            <v/>
          </cell>
          <cell r="AA419">
            <v>3</v>
          </cell>
          <cell r="AB419">
            <v>3</v>
          </cell>
          <cell r="AC419">
            <v>0</v>
          </cell>
          <cell r="AD419"/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1.1666666666666667</v>
          </cell>
        </row>
        <row r="420">
          <cell r="A420">
            <v>222053</v>
          </cell>
          <cell r="B420" t="str">
            <v>Sim</v>
          </cell>
          <cell r="C420" t="str">
            <v>Bandeja</v>
          </cell>
          <cell r="D420" t="str">
            <v>SPARE</v>
          </cell>
          <cell r="E420">
            <v>2</v>
          </cell>
          <cell r="F420" t="str">
            <v>Bandeja Dianteira Direita Com Pivô Ecosport 2003 A 2011</v>
          </cell>
          <cell r="G420"/>
          <cell r="H420">
            <v>3</v>
          </cell>
          <cell r="I420">
            <v>3</v>
          </cell>
          <cell r="J420" t="str">
            <v/>
          </cell>
          <cell r="K420">
            <v>3</v>
          </cell>
          <cell r="L420" t="str">
            <v/>
          </cell>
          <cell r="M420">
            <v>0</v>
          </cell>
          <cell r="N420" t="str">
            <v/>
          </cell>
          <cell r="O420" t="str">
            <v/>
          </cell>
          <cell r="P420" t="str">
            <v/>
          </cell>
          <cell r="Q420">
            <v>0</v>
          </cell>
          <cell r="R420" t="str">
            <v>0</v>
          </cell>
          <cell r="S420" t="str">
            <v>0</v>
          </cell>
          <cell r="T420">
            <v>0</v>
          </cell>
          <cell r="U420">
            <v>0</v>
          </cell>
          <cell r="V420">
            <v>1</v>
          </cell>
          <cell r="W420">
            <v>1</v>
          </cell>
          <cell r="X420" t="str">
            <v/>
          </cell>
          <cell r="Y420" t="str">
            <v/>
          </cell>
          <cell r="Z420" t="str">
            <v/>
          </cell>
          <cell r="AA420">
            <v>2</v>
          </cell>
          <cell r="AB420">
            <v>1</v>
          </cell>
          <cell r="AC420">
            <v>0</v>
          </cell>
          <cell r="AD420"/>
          <cell r="AE420">
            <v>1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1.1666666666666667</v>
          </cell>
        </row>
        <row r="421">
          <cell r="A421">
            <v>332081</v>
          </cell>
          <cell r="B421" t="str">
            <v>Sim</v>
          </cell>
          <cell r="C421" t="str">
            <v>Bandeja</v>
          </cell>
          <cell r="D421" t="str">
            <v>SPARE</v>
          </cell>
          <cell r="E421">
            <v>2</v>
          </cell>
          <cell r="F421" t="str">
            <v>Bandeja Inferior Direita Com Pivô Vectra 1997 A 2005</v>
          </cell>
          <cell r="G421"/>
          <cell r="H421">
            <v>2</v>
          </cell>
          <cell r="I421">
            <v>0</v>
          </cell>
          <cell r="J421">
            <v>0</v>
          </cell>
          <cell r="K421" t="str">
            <v/>
          </cell>
          <cell r="L421" t="str">
            <v/>
          </cell>
          <cell r="M421">
            <v>3</v>
          </cell>
          <cell r="N421">
            <v>1</v>
          </cell>
          <cell r="O421">
            <v>2</v>
          </cell>
          <cell r="P421" t="str">
            <v/>
          </cell>
          <cell r="Q421">
            <v>2</v>
          </cell>
          <cell r="R421" t="str">
            <v>0</v>
          </cell>
          <cell r="S421">
            <v>2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 t="str">
            <v/>
          </cell>
          <cell r="Y421" t="str">
            <v/>
          </cell>
          <cell r="Z421" t="str">
            <v/>
          </cell>
          <cell r="AA421">
            <v>1</v>
          </cell>
          <cell r="AB421">
            <v>0</v>
          </cell>
          <cell r="AC421">
            <v>0</v>
          </cell>
          <cell r="AD421"/>
          <cell r="AE421">
            <v>1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1.1666666666666667</v>
          </cell>
        </row>
        <row r="422">
          <cell r="A422">
            <v>4005</v>
          </cell>
          <cell r="B422" t="str">
            <v>Sim</v>
          </cell>
          <cell r="C422" t="str">
            <v>Capa Pedal</v>
          </cell>
          <cell r="D422" t="str">
            <v>HOLYMAN</v>
          </cell>
          <cell r="E422">
            <v>5</v>
          </cell>
          <cell r="F422" t="str">
            <v>Capa De Pedal Freio Embreagem Acelerador Passat G1 74 A 78</v>
          </cell>
          <cell r="G422"/>
          <cell r="H422">
            <v>0</v>
          </cell>
          <cell r="I422">
            <v>0</v>
          </cell>
          <cell r="J422"/>
          <cell r="K422"/>
          <cell r="L422"/>
          <cell r="M422">
            <v>3</v>
          </cell>
          <cell r="N422">
            <v>3</v>
          </cell>
          <cell r="O422" t="str">
            <v/>
          </cell>
          <cell r="P422" t="str">
            <v/>
          </cell>
          <cell r="Q422">
            <v>3</v>
          </cell>
          <cell r="R422">
            <v>3</v>
          </cell>
          <cell r="S422" t="str">
            <v>0</v>
          </cell>
          <cell r="T422">
            <v>0</v>
          </cell>
          <cell r="U422">
            <v>0</v>
          </cell>
          <cell r="V422">
            <v>1</v>
          </cell>
          <cell r="W422">
            <v>1</v>
          </cell>
          <cell r="X422" t="str">
            <v/>
          </cell>
          <cell r="Y422" t="str">
            <v/>
          </cell>
          <cell r="Z422" t="str">
            <v/>
          </cell>
          <cell r="AA422">
            <v>1</v>
          </cell>
          <cell r="AB422">
            <v>1</v>
          </cell>
          <cell r="AC422">
            <v>0</v>
          </cell>
          <cell r="AD422"/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1.1666666666666667</v>
          </cell>
        </row>
        <row r="423">
          <cell r="A423">
            <v>442082</v>
          </cell>
          <cell r="B423" t="str">
            <v>Sim</v>
          </cell>
          <cell r="C423" t="str">
            <v>Bandeja</v>
          </cell>
          <cell r="D423" t="str">
            <v>SPARE</v>
          </cell>
          <cell r="E423">
            <v>2</v>
          </cell>
          <cell r="F423" t="str">
            <v>Bandeja Superior Esquerdo Sem Pivô  Del Rey 1984 À 1991</v>
          </cell>
          <cell r="G423"/>
          <cell r="H423">
            <v>0</v>
          </cell>
          <cell r="I423">
            <v>2</v>
          </cell>
          <cell r="J423">
            <v>2</v>
          </cell>
          <cell r="K423" t="str">
            <v/>
          </cell>
          <cell r="L423" t="str">
            <v/>
          </cell>
          <cell r="M423">
            <v>2</v>
          </cell>
          <cell r="N423" t="str">
            <v/>
          </cell>
          <cell r="O423">
            <v>2</v>
          </cell>
          <cell r="P423" t="str">
            <v/>
          </cell>
          <cell r="Q423">
            <v>2</v>
          </cell>
          <cell r="R423">
            <v>1</v>
          </cell>
          <cell r="S423">
            <v>1</v>
          </cell>
          <cell r="T423">
            <v>0</v>
          </cell>
          <cell r="U423">
            <v>0</v>
          </cell>
          <cell r="V423">
            <v>1</v>
          </cell>
          <cell r="W423">
            <v>0</v>
          </cell>
          <cell r="X423">
            <v>1</v>
          </cell>
          <cell r="Y423" t="str">
            <v/>
          </cell>
          <cell r="Z423" t="str">
            <v/>
          </cell>
          <cell r="AA423">
            <v>1</v>
          </cell>
          <cell r="AB423">
            <v>0</v>
          </cell>
          <cell r="AC423">
            <v>1</v>
          </cell>
          <cell r="AD423"/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1.1666666666666667</v>
          </cell>
        </row>
        <row r="424">
          <cell r="A424" t="str">
            <v>FTK11006-AMW</v>
          </cell>
          <cell r="B424" t="str">
            <v>Sim</v>
          </cell>
          <cell r="C424" t="str">
            <v>Bucha Bandeja</v>
          </cell>
          <cell r="D424" t="str">
            <v>AMW</v>
          </cell>
          <cell r="E424">
            <v>9</v>
          </cell>
          <cell r="F424" t="str">
            <v>Bucha Traseira Da Bandeja Dianteira Golf 1999 A 2007</v>
          </cell>
          <cell r="G424"/>
          <cell r="H424">
            <v>0</v>
          </cell>
          <cell r="I424">
            <v>0</v>
          </cell>
          <cell r="J424">
            <v>0</v>
          </cell>
          <cell r="K424" t="str">
            <v/>
          </cell>
          <cell r="L424" t="str">
            <v/>
          </cell>
          <cell r="M424">
            <v>2</v>
          </cell>
          <cell r="N424">
            <v>2</v>
          </cell>
          <cell r="O424">
            <v>0</v>
          </cell>
          <cell r="P424" t="str">
            <v/>
          </cell>
          <cell r="Q424">
            <v>2</v>
          </cell>
          <cell r="R424">
            <v>2</v>
          </cell>
          <cell r="S424">
            <v>0</v>
          </cell>
          <cell r="T424">
            <v>0</v>
          </cell>
          <cell r="U424">
            <v>0</v>
          </cell>
          <cell r="V424">
            <v>3</v>
          </cell>
          <cell r="W424">
            <v>3</v>
          </cell>
          <cell r="X424" t="str">
            <v/>
          </cell>
          <cell r="Y424" t="str">
            <v/>
          </cell>
          <cell r="Z424" t="str">
            <v/>
          </cell>
          <cell r="AA424">
            <v>0</v>
          </cell>
          <cell r="AB424">
            <v>0</v>
          </cell>
          <cell r="AC424">
            <v>0</v>
          </cell>
          <cell r="AD424"/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1.1666666666666667</v>
          </cell>
        </row>
        <row r="425">
          <cell r="A425" t="str">
            <v>ftk00205</v>
          </cell>
          <cell r="B425" t="str">
            <v>Sim</v>
          </cell>
          <cell r="C425" t="str">
            <v>Pivô</v>
          </cell>
          <cell r="D425" t="str">
            <v>SPARE</v>
          </cell>
          <cell r="E425">
            <v>2</v>
          </cell>
          <cell r="F425" t="str">
            <v>Pivô Ambos Os Lados Bandeja Grand Santa Fé 2014 A 2019 3.3</v>
          </cell>
          <cell r="G425"/>
          <cell r="H425">
            <v>1</v>
          </cell>
          <cell r="I425">
            <v>1</v>
          </cell>
          <cell r="J425" t="str">
            <v/>
          </cell>
          <cell r="K425">
            <v>1</v>
          </cell>
          <cell r="L425" t="str">
            <v/>
          </cell>
          <cell r="M425">
            <v>4</v>
          </cell>
          <cell r="N425">
            <v>4</v>
          </cell>
          <cell r="O425" t="str">
            <v/>
          </cell>
          <cell r="P425" t="str">
            <v/>
          </cell>
          <cell r="Q425">
            <v>0</v>
          </cell>
          <cell r="R425">
            <v>0</v>
          </cell>
          <cell r="S425" t="str">
            <v>0</v>
          </cell>
          <cell r="T425">
            <v>0</v>
          </cell>
          <cell r="U425">
            <v>0</v>
          </cell>
          <cell r="V425">
            <v>1</v>
          </cell>
          <cell r="W425">
            <v>1</v>
          </cell>
          <cell r="X425" t="str">
            <v/>
          </cell>
          <cell r="Y425" t="str">
            <v/>
          </cell>
          <cell r="Z425" t="str">
            <v/>
          </cell>
          <cell r="AA425">
            <v>0</v>
          </cell>
          <cell r="AB425">
            <v>0</v>
          </cell>
          <cell r="AC425">
            <v>0</v>
          </cell>
          <cell r="AD425"/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1.1666666666666667</v>
          </cell>
        </row>
        <row r="426">
          <cell r="A426">
            <v>2353</v>
          </cell>
          <cell r="B426" t="str">
            <v>Sim</v>
          </cell>
          <cell r="C426" t="str">
            <v>Suporte Câmbio</v>
          </cell>
          <cell r="D426" t="str">
            <v>LT CORREA</v>
          </cell>
          <cell r="E426">
            <v>3</v>
          </cell>
          <cell r="F426" t="str">
            <v>Suporte Traseiro Do Motor Câmbio Manual Astra 2004</v>
          </cell>
          <cell r="G426"/>
          <cell r="H426">
            <v>3</v>
          </cell>
          <cell r="I426">
            <v>1</v>
          </cell>
          <cell r="J426" t="str">
            <v/>
          </cell>
          <cell r="K426">
            <v>1</v>
          </cell>
          <cell r="L426" t="str">
            <v/>
          </cell>
          <cell r="M426">
            <v>1</v>
          </cell>
          <cell r="N426">
            <v>1</v>
          </cell>
          <cell r="O426">
            <v>0</v>
          </cell>
          <cell r="P426" t="str">
            <v/>
          </cell>
          <cell r="Q426">
            <v>0</v>
          </cell>
          <cell r="R426" t="str">
            <v>0</v>
          </cell>
          <cell r="S426">
            <v>0</v>
          </cell>
          <cell r="T426">
            <v>0</v>
          </cell>
          <cell r="U426">
            <v>0</v>
          </cell>
          <cell r="V426">
            <v>2</v>
          </cell>
          <cell r="W426">
            <v>2</v>
          </cell>
          <cell r="X426" t="str">
            <v/>
          </cell>
          <cell r="Y426" t="str">
            <v/>
          </cell>
          <cell r="Z426" t="str">
            <v/>
          </cell>
          <cell r="AA426">
            <v>0</v>
          </cell>
          <cell r="AB426">
            <v>0</v>
          </cell>
          <cell r="AC426">
            <v>0</v>
          </cell>
          <cell r="AD426"/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1.1666666666666667</v>
          </cell>
        </row>
        <row r="427">
          <cell r="A427">
            <v>6209</v>
          </cell>
          <cell r="B427"/>
          <cell r="C427" t="str">
            <v>Bieleta</v>
          </cell>
          <cell r="D427" t="str">
            <v>HOLYMAN</v>
          </cell>
          <cell r="E427">
            <v>5</v>
          </cell>
          <cell r="F427" t="str">
            <v>BIELETA TRAS. FRONTIER 17/....</v>
          </cell>
          <cell r="G427"/>
          <cell r="H427">
            <v>0</v>
          </cell>
          <cell r="I427">
            <v>0</v>
          </cell>
          <cell r="J427"/>
          <cell r="K427"/>
          <cell r="L427"/>
          <cell r="M427">
            <v>0</v>
          </cell>
          <cell r="N427" t="str">
            <v/>
          </cell>
          <cell r="O427">
            <v>0</v>
          </cell>
          <cell r="P427" t="str">
            <v/>
          </cell>
          <cell r="Q427">
            <v>0</v>
          </cell>
          <cell r="R427" t="str">
            <v>0</v>
          </cell>
          <cell r="S427">
            <v>0</v>
          </cell>
          <cell r="T427">
            <v>0</v>
          </cell>
          <cell r="U427">
            <v>0</v>
          </cell>
          <cell r="V427">
            <v>2</v>
          </cell>
          <cell r="W427">
            <v>2</v>
          </cell>
          <cell r="X427" t="str">
            <v/>
          </cell>
          <cell r="Y427" t="str">
            <v/>
          </cell>
          <cell r="Z427" t="str">
            <v/>
          </cell>
          <cell r="AA427">
            <v>4</v>
          </cell>
          <cell r="AB427">
            <v>0</v>
          </cell>
          <cell r="AC427">
            <v>4</v>
          </cell>
          <cell r="AD427"/>
          <cell r="AE427">
            <v>0</v>
          </cell>
          <cell r="AF427">
            <v>4</v>
          </cell>
          <cell r="AG427">
            <v>0</v>
          </cell>
          <cell r="AH427">
            <v>4</v>
          </cell>
          <cell r="AI427">
            <v>0</v>
          </cell>
          <cell r="AJ427">
            <v>0</v>
          </cell>
          <cell r="AK427">
            <v>1</v>
          </cell>
        </row>
        <row r="428">
          <cell r="A428" t="str">
            <v>FTK18273</v>
          </cell>
          <cell r="B428" t="str">
            <v>Sim</v>
          </cell>
          <cell r="C428" t="str">
            <v>Rolamento Roda</v>
          </cell>
          <cell r="D428" t="str">
            <v>IRB</v>
          </cell>
          <cell r="E428">
            <v>12</v>
          </cell>
          <cell r="F428" t="str">
            <v>Rolamento Roda Traseira Bmw Série 3 325 2005 A 2012 2.5</v>
          </cell>
          <cell r="G428"/>
          <cell r="H428" t="str">
            <v>-</v>
          </cell>
          <cell r="I428" t="str">
            <v>-</v>
          </cell>
          <cell r="J428"/>
          <cell r="K428"/>
          <cell r="L428"/>
          <cell r="M428">
            <v>2</v>
          </cell>
          <cell r="N428">
            <v>2</v>
          </cell>
          <cell r="O428">
            <v>0</v>
          </cell>
          <cell r="P428" t="str">
            <v/>
          </cell>
          <cell r="Q428">
            <v>0</v>
          </cell>
          <cell r="R428" t="str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 t="str">
            <v/>
          </cell>
          <cell r="Y428" t="str">
            <v/>
          </cell>
          <cell r="Z428" t="str">
            <v/>
          </cell>
          <cell r="AA428">
            <v>2</v>
          </cell>
          <cell r="AB428">
            <v>0</v>
          </cell>
          <cell r="AC428">
            <v>2</v>
          </cell>
          <cell r="AD428"/>
          <cell r="AE428">
            <v>0</v>
          </cell>
          <cell r="AF428">
            <v>2</v>
          </cell>
          <cell r="AG428">
            <v>0</v>
          </cell>
          <cell r="AH428">
            <v>2</v>
          </cell>
          <cell r="AI428">
            <v>0</v>
          </cell>
          <cell r="AJ428">
            <v>0</v>
          </cell>
          <cell r="AK428">
            <v>1</v>
          </cell>
        </row>
        <row r="429">
          <cell r="A429" t="str">
            <v>FTK11110</v>
          </cell>
          <cell r="B429"/>
          <cell r="C429" t="str">
            <v>Pivô</v>
          </cell>
          <cell r="D429" t="str">
            <v>SPARE</v>
          </cell>
          <cell r="E429">
            <v>2</v>
          </cell>
          <cell r="F429" t="str">
            <v>PIVÔ INFERIOR AMBOS LADOS ELANTRA 2009 A 2013</v>
          </cell>
          <cell r="G429"/>
          <cell r="H429" t="str">
            <v>-</v>
          </cell>
          <cell r="I429"/>
          <cell r="J429"/>
          <cell r="K429"/>
          <cell r="L429"/>
          <cell r="M429"/>
          <cell r="N429"/>
          <cell r="O429"/>
          <cell r="P429"/>
          <cell r="Q429">
            <v>0</v>
          </cell>
          <cell r="R429"/>
          <cell r="S429">
            <v>0</v>
          </cell>
          <cell r="T429">
            <v>0</v>
          </cell>
          <cell r="U429">
            <v>0</v>
          </cell>
          <cell r="V429">
            <v>1</v>
          </cell>
          <cell r="W429">
            <v>1</v>
          </cell>
          <cell r="X429" t="str">
            <v/>
          </cell>
          <cell r="Y429" t="str">
            <v/>
          </cell>
          <cell r="Z429" t="str">
            <v/>
          </cell>
          <cell r="AA429">
            <v>0</v>
          </cell>
          <cell r="AB429">
            <v>0</v>
          </cell>
          <cell r="AC429">
            <v>0</v>
          </cell>
          <cell r="AD429"/>
          <cell r="AE429">
            <v>0</v>
          </cell>
          <cell r="AF429">
            <v>2</v>
          </cell>
          <cell r="AG429">
            <v>0</v>
          </cell>
          <cell r="AH429">
            <v>2</v>
          </cell>
          <cell r="AI429">
            <v>0</v>
          </cell>
          <cell r="AJ429">
            <v>0</v>
          </cell>
          <cell r="AK429">
            <v>1</v>
          </cell>
        </row>
        <row r="430">
          <cell r="A430" t="str">
            <v>OC235</v>
          </cell>
          <cell r="B430"/>
          <cell r="C430" t="str">
            <v>Filtro de óleo</v>
          </cell>
          <cell r="D430"/>
          <cell r="E430"/>
          <cell r="F430" t="str">
            <v xml:space="preserve">Filtro de Óleo OC235 METAL LEVE  </v>
          </cell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>
            <v>1</v>
          </cell>
          <cell r="AA430">
            <v>4</v>
          </cell>
          <cell r="AB430">
            <v>0</v>
          </cell>
          <cell r="AC430">
            <v>0</v>
          </cell>
          <cell r="AD430"/>
          <cell r="AE430">
            <v>4</v>
          </cell>
          <cell r="AF430">
            <v>1</v>
          </cell>
          <cell r="AG430">
            <v>0</v>
          </cell>
          <cell r="AH430">
            <v>0</v>
          </cell>
          <cell r="AI430">
            <v>0</v>
          </cell>
          <cell r="AJ430">
            <v>1</v>
          </cell>
          <cell r="AK430">
            <v>1</v>
          </cell>
        </row>
        <row r="431">
          <cell r="A431">
            <v>772152</v>
          </cell>
          <cell r="B431" t="str">
            <v>Sim</v>
          </cell>
          <cell r="C431" t="str">
            <v>Bandeja</v>
          </cell>
          <cell r="D431" t="str">
            <v>SPARE</v>
          </cell>
          <cell r="E431">
            <v>2</v>
          </cell>
          <cell r="F431" t="str">
            <v>Bandeja Inferior Direito Com Pivô Vera Cruz 2009 À 2012</v>
          </cell>
          <cell r="G431"/>
          <cell r="H431">
            <v>0</v>
          </cell>
          <cell r="I431">
            <v>2</v>
          </cell>
          <cell r="J431" t="str">
            <v/>
          </cell>
          <cell r="K431">
            <v>2</v>
          </cell>
          <cell r="L431" t="str">
            <v/>
          </cell>
          <cell r="M431">
            <v>0</v>
          </cell>
          <cell r="N431" t="str">
            <v/>
          </cell>
          <cell r="O431" t="str">
            <v/>
          </cell>
          <cell r="P431" t="str">
            <v/>
          </cell>
          <cell r="Q431">
            <v>0</v>
          </cell>
          <cell r="R431" t="str">
            <v>0</v>
          </cell>
          <cell r="S431" t="str">
            <v>0</v>
          </cell>
          <cell r="T431">
            <v>0</v>
          </cell>
          <cell r="U431">
            <v>0</v>
          </cell>
          <cell r="V431">
            <v>3</v>
          </cell>
          <cell r="W431">
            <v>0</v>
          </cell>
          <cell r="X431">
            <v>3</v>
          </cell>
          <cell r="Y431" t="str">
            <v/>
          </cell>
          <cell r="Z431" t="str">
            <v/>
          </cell>
          <cell r="AA431">
            <v>3</v>
          </cell>
          <cell r="AB431">
            <v>1</v>
          </cell>
          <cell r="AC431">
            <v>2</v>
          </cell>
          <cell r="AD431"/>
          <cell r="AE431">
            <v>0</v>
          </cell>
          <cell r="AF431">
            <v>1</v>
          </cell>
          <cell r="AG431">
            <v>0</v>
          </cell>
          <cell r="AH431">
            <v>1</v>
          </cell>
          <cell r="AI431">
            <v>0</v>
          </cell>
          <cell r="AJ431">
            <v>0</v>
          </cell>
          <cell r="AK431">
            <v>1</v>
          </cell>
        </row>
        <row r="432">
          <cell r="A432" t="str">
            <v>OC600</v>
          </cell>
          <cell r="B432"/>
          <cell r="C432" t="str">
            <v>Filtro òleo</v>
          </cell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>
            <v>2</v>
          </cell>
          <cell r="AF432">
            <v>1</v>
          </cell>
          <cell r="AG432">
            <v>0</v>
          </cell>
          <cell r="AH432">
            <v>0</v>
          </cell>
          <cell r="AI432">
            <v>0</v>
          </cell>
          <cell r="AJ432">
            <v>1</v>
          </cell>
          <cell r="AK432">
            <v>1</v>
          </cell>
        </row>
        <row r="433">
          <cell r="A433">
            <v>112058</v>
          </cell>
          <cell r="B433"/>
          <cell r="C433" t="str">
            <v>Bandeja</v>
          </cell>
          <cell r="D433" t="str">
            <v>SPARE</v>
          </cell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>
            <v>1</v>
          </cell>
          <cell r="AC433">
            <v>0</v>
          </cell>
          <cell r="AD433"/>
          <cell r="AE433">
            <v>1</v>
          </cell>
          <cell r="AF433">
            <v>1</v>
          </cell>
          <cell r="AG433">
            <v>0</v>
          </cell>
          <cell r="AH433">
            <v>0</v>
          </cell>
          <cell r="AI433">
            <v>0</v>
          </cell>
          <cell r="AJ433">
            <v>1</v>
          </cell>
          <cell r="AK433">
            <v>1</v>
          </cell>
        </row>
        <row r="434">
          <cell r="A434">
            <v>332092</v>
          </cell>
          <cell r="B434"/>
          <cell r="C434" t="str">
            <v>Bandeja</v>
          </cell>
          <cell r="D434" t="str">
            <v>SPARE</v>
          </cell>
          <cell r="E434"/>
          <cell r="F434" t="str">
            <v>Bandeja Direita Com Pivô Onix Prisma Cobalt Spin</v>
          </cell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>
            <v>1</v>
          </cell>
          <cell r="AF434">
            <v>1</v>
          </cell>
          <cell r="AG434">
            <v>0</v>
          </cell>
          <cell r="AH434">
            <v>0</v>
          </cell>
          <cell r="AI434">
            <v>0</v>
          </cell>
          <cell r="AJ434">
            <v>1</v>
          </cell>
          <cell r="AK434">
            <v>1</v>
          </cell>
        </row>
        <row r="435">
          <cell r="A435">
            <v>332093</v>
          </cell>
          <cell r="B435"/>
          <cell r="C435" t="str">
            <v>Bandeja</v>
          </cell>
          <cell r="D435" t="str">
            <v>SPARE</v>
          </cell>
          <cell r="E435"/>
          <cell r="F435" t="str">
            <v>Bandeja Esquerda Com Pivô Joy 2020 Em Diante</v>
          </cell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>
            <v>1</v>
          </cell>
          <cell r="AF435">
            <v>1</v>
          </cell>
          <cell r="AG435">
            <v>0</v>
          </cell>
          <cell r="AH435">
            <v>0</v>
          </cell>
          <cell r="AI435">
            <v>0</v>
          </cell>
          <cell r="AJ435">
            <v>1</v>
          </cell>
          <cell r="AK435">
            <v>1</v>
          </cell>
        </row>
        <row r="436">
          <cell r="A436" t="str">
            <v>FTK946</v>
          </cell>
          <cell r="B436"/>
          <cell r="C436" t="str">
            <v>Coxim amortecedor</v>
          </cell>
          <cell r="D436"/>
          <cell r="E436"/>
          <cell r="F436" t="str">
            <v xml:space="preserve">COXIM AMORTECEDOR DIANTEIRO CLIO II  </v>
          </cell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>
            <v>1</v>
          </cell>
          <cell r="AG436">
            <v>0</v>
          </cell>
          <cell r="AH436"/>
          <cell r="AI436">
            <v>0</v>
          </cell>
          <cell r="AJ436">
            <v>1</v>
          </cell>
          <cell r="AK436">
            <v>1</v>
          </cell>
        </row>
        <row r="437">
          <cell r="A437">
            <v>22132</v>
          </cell>
          <cell r="B437"/>
          <cell r="C437" t="str">
            <v>Cabo Acelerador</v>
          </cell>
          <cell r="D437" t="str">
            <v>Importação</v>
          </cell>
          <cell r="E437"/>
          <cell r="F437" t="str">
            <v xml:space="preserve">CABO DE ACELERADOR ESCORT  </v>
          </cell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>
            <v>1</v>
          </cell>
          <cell r="AG437">
            <v>0</v>
          </cell>
          <cell r="AH437"/>
          <cell r="AI437">
            <v>1</v>
          </cell>
          <cell r="AJ437"/>
          <cell r="AK437">
            <v>1</v>
          </cell>
        </row>
        <row r="438">
          <cell r="A438" t="str">
            <v>LT5553</v>
          </cell>
          <cell r="B438"/>
          <cell r="C438" t="str">
            <v>Reparo alavanta Câmbio</v>
          </cell>
          <cell r="D438" t="str">
            <v>LT CORREA</v>
          </cell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>
            <v>2</v>
          </cell>
          <cell r="W438">
            <v>2</v>
          </cell>
          <cell r="X438" t="str">
            <v/>
          </cell>
          <cell r="Y438" t="str">
            <v/>
          </cell>
          <cell r="Z438" t="str">
            <v/>
          </cell>
          <cell r="AA438">
            <v>5</v>
          </cell>
          <cell r="AB438">
            <v>5</v>
          </cell>
          <cell r="AC438">
            <v>0</v>
          </cell>
          <cell r="AD438"/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</row>
        <row r="439">
          <cell r="A439">
            <v>4003</v>
          </cell>
          <cell r="B439" t="str">
            <v>Sim</v>
          </cell>
          <cell r="C439" t="str">
            <v>Capa Pedal</v>
          </cell>
          <cell r="D439" t="str">
            <v>HOLYMAN</v>
          </cell>
          <cell r="E439">
            <v>5</v>
          </cell>
          <cell r="F439" t="str">
            <v>Capa De Pedal Freio Embreagem Acelerador Fiorino 1981 A 2016</v>
          </cell>
          <cell r="G439"/>
          <cell r="H439">
            <v>0</v>
          </cell>
          <cell r="I439">
            <v>0</v>
          </cell>
          <cell r="J439"/>
          <cell r="K439">
            <v>1</v>
          </cell>
          <cell r="L439"/>
          <cell r="M439">
            <v>1</v>
          </cell>
          <cell r="N439">
            <v>1</v>
          </cell>
          <cell r="O439" t="str">
            <v/>
          </cell>
          <cell r="P439" t="str">
            <v/>
          </cell>
          <cell r="Q439">
            <v>0</v>
          </cell>
          <cell r="R439" t="str">
            <v>0</v>
          </cell>
          <cell r="S439" t="str">
            <v>0</v>
          </cell>
          <cell r="T439">
            <v>0</v>
          </cell>
          <cell r="U439">
            <v>0</v>
          </cell>
          <cell r="V439">
            <v>5</v>
          </cell>
          <cell r="W439">
            <v>5</v>
          </cell>
          <cell r="X439" t="str">
            <v/>
          </cell>
          <cell r="Y439" t="str">
            <v/>
          </cell>
          <cell r="Z439" t="str">
            <v/>
          </cell>
          <cell r="AA439">
            <v>4</v>
          </cell>
          <cell r="AB439">
            <v>4</v>
          </cell>
          <cell r="AC439">
            <v>0</v>
          </cell>
          <cell r="AD439"/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</row>
        <row r="440">
          <cell r="A440">
            <v>50050</v>
          </cell>
          <cell r="B440" t="str">
            <v>Sim</v>
          </cell>
          <cell r="C440" t="str">
            <v>Garfo Embreagem</v>
          </cell>
          <cell r="D440" t="str">
            <v>LT CORREA</v>
          </cell>
          <cell r="E440">
            <v>3</v>
          </cell>
          <cell r="F440" t="str">
            <v>Garfo Da Embreagem Peugeot Partner 2012 A 2018</v>
          </cell>
          <cell r="G440"/>
          <cell r="H440">
            <v>4</v>
          </cell>
          <cell r="I440">
            <v>1</v>
          </cell>
          <cell r="J440" t="str">
            <v/>
          </cell>
          <cell r="K440">
            <v>1</v>
          </cell>
          <cell r="L440" t="str">
            <v/>
          </cell>
          <cell r="M440">
            <v>0</v>
          </cell>
          <cell r="N440" t="str">
            <v/>
          </cell>
          <cell r="O440" t="str">
            <v/>
          </cell>
          <cell r="P440" t="str">
            <v/>
          </cell>
          <cell r="Q440">
            <v>0</v>
          </cell>
          <cell r="R440" t="str">
            <v>0</v>
          </cell>
          <cell r="S440" t="str">
            <v>0</v>
          </cell>
          <cell r="T440">
            <v>0</v>
          </cell>
          <cell r="U440">
            <v>0</v>
          </cell>
          <cell r="V440">
            <v>1</v>
          </cell>
          <cell r="W440">
            <v>1</v>
          </cell>
          <cell r="X440" t="str">
            <v/>
          </cell>
          <cell r="Y440" t="str">
            <v/>
          </cell>
          <cell r="Z440" t="str">
            <v/>
          </cell>
          <cell r="AA440">
            <v>4</v>
          </cell>
          <cell r="AB440">
            <v>4</v>
          </cell>
          <cell r="AC440">
            <v>0</v>
          </cell>
          <cell r="AD440"/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</row>
        <row r="441">
          <cell r="A441">
            <v>442084</v>
          </cell>
          <cell r="B441" t="str">
            <v>Sim</v>
          </cell>
          <cell r="C441" t="str">
            <v>Bandeja</v>
          </cell>
          <cell r="D441" t="str">
            <v>SPARE</v>
          </cell>
          <cell r="E441">
            <v>2</v>
          </cell>
          <cell r="F441" t="str">
            <v>Bandeja Inferior Direita Com Pivô Verona 1993 A 1996</v>
          </cell>
          <cell r="G441"/>
          <cell r="H441">
            <v>3</v>
          </cell>
          <cell r="I441">
            <v>0</v>
          </cell>
          <cell r="J441" t="str">
            <v/>
          </cell>
          <cell r="K441" t="str">
            <v/>
          </cell>
          <cell r="L441" t="str">
            <v/>
          </cell>
          <cell r="M441">
            <v>1</v>
          </cell>
          <cell r="N441">
            <v>1</v>
          </cell>
          <cell r="O441" t="str">
            <v/>
          </cell>
          <cell r="P441" t="str">
            <v/>
          </cell>
          <cell r="Q441">
            <v>0</v>
          </cell>
          <cell r="R441" t="str">
            <v>0</v>
          </cell>
          <cell r="S441" t="str">
            <v>0</v>
          </cell>
          <cell r="T441">
            <v>0</v>
          </cell>
          <cell r="U441">
            <v>0</v>
          </cell>
          <cell r="V441">
            <v>2</v>
          </cell>
          <cell r="W441">
            <v>2</v>
          </cell>
          <cell r="X441" t="str">
            <v/>
          </cell>
          <cell r="Y441" t="str">
            <v/>
          </cell>
          <cell r="Z441" t="str">
            <v/>
          </cell>
          <cell r="AA441">
            <v>4</v>
          </cell>
          <cell r="AB441">
            <v>3</v>
          </cell>
          <cell r="AC441">
            <v>0</v>
          </cell>
          <cell r="AD441"/>
          <cell r="AE441">
            <v>1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</row>
        <row r="442">
          <cell r="A442">
            <v>222016</v>
          </cell>
          <cell r="B442" t="str">
            <v>Sim</v>
          </cell>
          <cell r="C442" t="str">
            <v>Bandeja</v>
          </cell>
          <cell r="D442" t="str">
            <v>SPARE</v>
          </cell>
          <cell r="E442">
            <v>2</v>
          </cell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>
            <v>1</v>
          </cell>
          <cell r="R442" t="str">
            <v>0</v>
          </cell>
          <cell r="S442">
            <v>1</v>
          </cell>
          <cell r="T442">
            <v>0</v>
          </cell>
          <cell r="U442">
            <v>0</v>
          </cell>
          <cell r="V442">
            <v>2</v>
          </cell>
          <cell r="W442">
            <v>0</v>
          </cell>
          <cell r="X442">
            <v>2</v>
          </cell>
          <cell r="Y442" t="str">
            <v/>
          </cell>
          <cell r="Z442" t="str">
            <v/>
          </cell>
          <cell r="AA442">
            <v>4</v>
          </cell>
          <cell r="AB442">
            <v>0</v>
          </cell>
          <cell r="AC442">
            <v>4</v>
          </cell>
          <cell r="AD442"/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</row>
        <row r="443">
          <cell r="A443">
            <v>222017</v>
          </cell>
          <cell r="B443" t="str">
            <v>Sim</v>
          </cell>
          <cell r="C443" t="str">
            <v>Bandeja</v>
          </cell>
          <cell r="D443" t="str">
            <v>SPARE</v>
          </cell>
          <cell r="E443">
            <v>2</v>
          </cell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>
            <v>1</v>
          </cell>
          <cell r="R443" t="str">
            <v>0</v>
          </cell>
          <cell r="S443">
            <v>1</v>
          </cell>
          <cell r="T443">
            <v>0</v>
          </cell>
          <cell r="U443">
            <v>0</v>
          </cell>
          <cell r="V443">
            <v>2</v>
          </cell>
          <cell r="W443">
            <v>0</v>
          </cell>
          <cell r="X443">
            <v>2</v>
          </cell>
          <cell r="Y443" t="str">
            <v/>
          </cell>
          <cell r="Z443" t="str">
            <v/>
          </cell>
          <cell r="AA443">
            <v>4</v>
          </cell>
          <cell r="AB443">
            <v>0</v>
          </cell>
          <cell r="AC443">
            <v>4</v>
          </cell>
          <cell r="AD443"/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</row>
        <row r="444">
          <cell r="A444" t="str">
            <v>CCE0047</v>
          </cell>
          <cell r="B444"/>
          <cell r="C444" t="str">
            <v>Cabo Moto</v>
          </cell>
          <cell r="D444" t="str">
            <v>POLO</v>
          </cell>
          <cell r="E444">
            <v>7</v>
          </cell>
          <cell r="F444" t="str">
            <v xml:space="preserve">CCE0047 CABO EMBREAGEM HONDA NXR 150 BROS ESD 08&gt;  </v>
          </cell>
          <cell r="G444"/>
          <cell r="H444" t="str">
            <v>-</v>
          </cell>
          <cell r="I444"/>
          <cell r="J444"/>
          <cell r="K444"/>
          <cell r="L444"/>
          <cell r="M444"/>
          <cell r="N444"/>
          <cell r="O444"/>
          <cell r="P444"/>
          <cell r="Q444">
            <v>3</v>
          </cell>
          <cell r="R444"/>
          <cell r="S444"/>
          <cell r="T444"/>
          <cell r="U444">
            <v>3</v>
          </cell>
          <cell r="V444">
            <v>0</v>
          </cell>
          <cell r="W444">
            <v>0</v>
          </cell>
          <cell r="X444" t="str">
            <v/>
          </cell>
          <cell r="Y444" t="str">
            <v/>
          </cell>
          <cell r="Z444" t="str">
            <v/>
          </cell>
          <cell r="AA444">
            <v>3</v>
          </cell>
          <cell r="AB444">
            <v>0</v>
          </cell>
          <cell r="AC444">
            <v>0</v>
          </cell>
          <cell r="AD444"/>
          <cell r="AE444">
            <v>3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</row>
        <row r="445">
          <cell r="A445">
            <v>66044</v>
          </cell>
          <cell r="B445"/>
          <cell r="C445" t="str">
            <v>Cabo de Velocímetro</v>
          </cell>
          <cell r="D445" t="str">
            <v>MundiFlex</v>
          </cell>
          <cell r="E445">
            <v>6</v>
          </cell>
          <cell r="F445" t="str">
            <v>Cabo De Velocímetro Uno S Cs Sx Furgoneta 1985 A 1990</v>
          </cell>
          <cell r="G445"/>
          <cell r="H445">
            <v>1</v>
          </cell>
          <cell r="I445">
            <v>1</v>
          </cell>
          <cell r="J445" t="str">
            <v/>
          </cell>
          <cell r="K445">
            <v>1</v>
          </cell>
          <cell r="L445" t="str">
            <v/>
          </cell>
          <cell r="M445">
            <v>0</v>
          </cell>
          <cell r="N445" t="str">
            <v/>
          </cell>
          <cell r="O445" t="str">
            <v/>
          </cell>
          <cell r="P445" t="str">
            <v/>
          </cell>
          <cell r="Q445">
            <v>2</v>
          </cell>
          <cell r="R445">
            <v>2</v>
          </cell>
          <cell r="S445" t="str">
            <v>0</v>
          </cell>
          <cell r="T445">
            <v>0</v>
          </cell>
          <cell r="U445">
            <v>0</v>
          </cell>
          <cell r="V445">
            <v>2</v>
          </cell>
          <cell r="W445">
            <v>2</v>
          </cell>
          <cell r="X445" t="str">
            <v/>
          </cell>
          <cell r="Y445" t="str">
            <v/>
          </cell>
          <cell r="Z445" t="str">
            <v/>
          </cell>
          <cell r="AA445">
            <v>3</v>
          </cell>
          <cell r="AB445">
            <v>3</v>
          </cell>
          <cell r="AC445">
            <v>0</v>
          </cell>
          <cell r="AD445"/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</row>
        <row r="446">
          <cell r="A446" t="str">
            <v>FTK-T350</v>
          </cell>
          <cell r="B446"/>
          <cell r="C446" t="str">
            <v>Suporte Câmbio</v>
          </cell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>
            <v>2</v>
          </cell>
          <cell r="W446">
            <v>2</v>
          </cell>
          <cell r="X446" t="str">
            <v/>
          </cell>
          <cell r="Y446" t="str">
            <v/>
          </cell>
          <cell r="Z446" t="str">
            <v/>
          </cell>
          <cell r="AA446">
            <v>3</v>
          </cell>
          <cell r="AB446">
            <v>3</v>
          </cell>
          <cell r="AC446">
            <v>0</v>
          </cell>
          <cell r="AD446"/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</row>
        <row r="447">
          <cell r="A447">
            <v>332082</v>
          </cell>
          <cell r="B447" t="str">
            <v>Sim</v>
          </cell>
          <cell r="C447" t="str">
            <v>Bandeja</v>
          </cell>
          <cell r="D447" t="str">
            <v>SPARE</v>
          </cell>
          <cell r="E447">
            <v>2</v>
          </cell>
          <cell r="F447" t="str">
            <v>Bandeja Inferior Esquerda Com Pivô Zafira 2001 A 2012</v>
          </cell>
          <cell r="G447"/>
          <cell r="H447">
            <v>0</v>
          </cell>
          <cell r="I447">
            <v>0</v>
          </cell>
          <cell r="J447">
            <v>0</v>
          </cell>
          <cell r="K447" t="str">
            <v/>
          </cell>
          <cell r="L447" t="str">
            <v/>
          </cell>
          <cell r="M447">
            <v>3</v>
          </cell>
          <cell r="N447">
            <v>1</v>
          </cell>
          <cell r="O447">
            <v>2</v>
          </cell>
          <cell r="P447" t="str">
            <v/>
          </cell>
          <cell r="Q447">
            <v>2</v>
          </cell>
          <cell r="R447" t="str">
            <v>0</v>
          </cell>
          <cell r="S447">
            <v>2</v>
          </cell>
          <cell r="T447">
            <v>0</v>
          </cell>
          <cell r="U447">
            <v>0</v>
          </cell>
          <cell r="V447">
            <v>1</v>
          </cell>
          <cell r="W447">
            <v>1</v>
          </cell>
          <cell r="X447" t="str">
            <v/>
          </cell>
          <cell r="Y447" t="str">
            <v/>
          </cell>
          <cell r="Z447" t="str">
            <v/>
          </cell>
          <cell r="AA447">
            <v>3</v>
          </cell>
          <cell r="AB447">
            <v>2</v>
          </cell>
          <cell r="AC447">
            <v>0</v>
          </cell>
          <cell r="AD447"/>
          <cell r="AE447">
            <v>1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</row>
        <row r="448">
          <cell r="A448">
            <v>332140</v>
          </cell>
          <cell r="B448"/>
          <cell r="C448" t="str">
            <v>Bandeja</v>
          </cell>
          <cell r="D448" t="str">
            <v>SPARE</v>
          </cell>
          <cell r="E448">
            <v>2</v>
          </cell>
          <cell r="F448" t="str">
            <v>Bandeja INFERIOR DIREITA COM PIVÔ CARAVAN 1980 A 1992</v>
          </cell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>
            <v>1</v>
          </cell>
          <cell r="R448"/>
          <cell r="S448">
            <v>1</v>
          </cell>
          <cell r="T448">
            <v>0</v>
          </cell>
          <cell r="U448">
            <v>0</v>
          </cell>
          <cell r="V448">
            <v>2</v>
          </cell>
          <cell r="W448">
            <v>0</v>
          </cell>
          <cell r="X448">
            <v>1</v>
          </cell>
          <cell r="Y448" t="str">
            <v/>
          </cell>
          <cell r="Z448">
            <v>1</v>
          </cell>
          <cell r="AA448">
            <v>3</v>
          </cell>
          <cell r="AB448">
            <v>0</v>
          </cell>
          <cell r="AC448">
            <v>2</v>
          </cell>
          <cell r="AD448"/>
          <cell r="AE448">
            <v>1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</row>
        <row r="449">
          <cell r="A449">
            <v>332141</v>
          </cell>
          <cell r="B449"/>
          <cell r="C449" t="str">
            <v>Bandeja</v>
          </cell>
          <cell r="D449" t="str">
            <v>SPARE</v>
          </cell>
          <cell r="E449">
            <v>2</v>
          </cell>
          <cell r="F449" t="str">
            <v>Bandeja INFERIOR ESQUERDO COM PIVÔ CARAVAN 1980 A 1992</v>
          </cell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>
            <v>1</v>
          </cell>
          <cell r="R449"/>
          <cell r="S449">
            <v>1</v>
          </cell>
          <cell r="T449">
            <v>0</v>
          </cell>
          <cell r="U449">
            <v>0</v>
          </cell>
          <cell r="V449">
            <v>2</v>
          </cell>
          <cell r="W449">
            <v>0</v>
          </cell>
          <cell r="X449">
            <v>1</v>
          </cell>
          <cell r="Y449" t="str">
            <v/>
          </cell>
          <cell r="Z449">
            <v>1</v>
          </cell>
          <cell r="AA449">
            <v>3</v>
          </cell>
          <cell r="AB449">
            <v>0</v>
          </cell>
          <cell r="AC449">
            <v>2</v>
          </cell>
          <cell r="AD449"/>
          <cell r="AE449">
            <v>1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</row>
        <row r="450">
          <cell r="A450">
            <v>66081</v>
          </cell>
          <cell r="B450" t="str">
            <v>Sim</v>
          </cell>
          <cell r="C450" t="str">
            <v>Cabo de Capô</v>
          </cell>
          <cell r="D450" t="str">
            <v>MundiFlex</v>
          </cell>
          <cell r="E450">
            <v>6</v>
          </cell>
          <cell r="F450" t="str">
            <v>Cabo De Capô Com Alavanca 1608mm Strada 2012 Em Diante</v>
          </cell>
          <cell r="G450"/>
          <cell r="H450">
            <v>2</v>
          </cell>
          <cell r="I450">
            <v>0</v>
          </cell>
          <cell r="J450" t="str">
            <v/>
          </cell>
          <cell r="K450">
            <v>0</v>
          </cell>
          <cell r="L450" t="str">
            <v/>
          </cell>
          <cell r="M450">
            <v>2</v>
          </cell>
          <cell r="N450">
            <v>2</v>
          </cell>
          <cell r="O450" t="str">
            <v/>
          </cell>
          <cell r="P450" t="str">
            <v/>
          </cell>
          <cell r="Q450">
            <v>2</v>
          </cell>
          <cell r="R450">
            <v>2</v>
          </cell>
          <cell r="S450" t="str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 t="str">
            <v/>
          </cell>
          <cell r="Y450" t="str">
            <v/>
          </cell>
          <cell r="Z450" t="str">
            <v/>
          </cell>
          <cell r="AA450">
            <v>2</v>
          </cell>
          <cell r="AB450">
            <v>2</v>
          </cell>
          <cell r="AC450">
            <v>0</v>
          </cell>
          <cell r="AD450"/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</row>
        <row r="451">
          <cell r="A451" t="str">
            <v>NZT0186</v>
          </cell>
          <cell r="B451"/>
          <cell r="C451" t="str">
            <v>Rolamento Roda</v>
          </cell>
          <cell r="D451" t="str">
            <v>POLO</v>
          </cell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>
            <v>2</v>
          </cell>
          <cell r="W451"/>
          <cell r="X451">
            <v>2</v>
          </cell>
          <cell r="Y451" t="str">
            <v/>
          </cell>
          <cell r="Z451" t="str">
            <v/>
          </cell>
          <cell r="AA451">
            <v>2</v>
          </cell>
          <cell r="AB451">
            <v>2</v>
          </cell>
          <cell r="AC451">
            <v>0</v>
          </cell>
          <cell r="AD451"/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</row>
        <row r="452">
          <cell r="A452">
            <v>24582632</v>
          </cell>
          <cell r="B452"/>
          <cell r="C452" t="str">
            <v>Suporte Ar condicionado</v>
          </cell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>
            <v>2</v>
          </cell>
          <cell r="W452">
            <v>2</v>
          </cell>
          <cell r="X452" t="str">
            <v/>
          </cell>
          <cell r="Y452" t="str">
            <v/>
          </cell>
          <cell r="Z452" t="str">
            <v/>
          </cell>
          <cell r="AA452">
            <v>2</v>
          </cell>
          <cell r="AB452">
            <v>2</v>
          </cell>
          <cell r="AC452">
            <v>0</v>
          </cell>
          <cell r="AD452"/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</row>
        <row r="453">
          <cell r="A453">
            <v>772106</v>
          </cell>
          <cell r="B453" t="str">
            <v>Sim</v>
          </cell>
          <cell r="C453" t="str">
            <v>Bandeja</v>
          </cell>
          <cell r="D453" t="str">
            <v>SPARE</v>
          </cell>
          <cell r="E453">
            <v>2</v>
          </cell>
          <cell r="F453" t="str">
            <v>Bandeja Inferior Direito Com Pivô Grand Livina 2009 A 2014</v>
          </cell>
          <cell r="G453"/>
          <cell r="H453">
            <v>0</v>
          </cell>
          <cell r="I453">
            <v>0</v>
          </cell>
          <cell r="J453">
            <v>0</v>
          </cell>
          <cell r="K453" t="str">
            <v/>
          </cell>
          <cell r="L453" t="str">
            <v/>
          </cell>
          <cell r="M453">
            <v>0</v>
          </cell>
          <cell r="N453" t="str">
            <v/>
          </cell>
          <cell r="O453">
            <v>0</v>
          </cell>
          <cell r="P453" t="str">
            <v/>
          </cell>
          <cell r="Q453">
            <v>3</v>
          </cell>
          <cell r="R453">
            <v>1</v>
          </cell>
          <cell r="S453">
            <v>2</v>
          </cell>
          <cell r="T453">
            <v>0</v>
          </cell>
          <cell r="U453">
            <v>0</v>
          </cell>
          <cell r="V453">
            <v>3</v>
          </cell>
          <cell r="W453">
            <v>0</v>
          </cell>
          <cell r="X453">
            <v>3</v>
          </cell>
          <cell r="Y453" t="str">
            <v/>
          </cell>
          <cell r="Z453" t="str">
            <v/>
          </cell>
          <cell r="AA453">
            <v>2</v>
          </cell>
          <cell r="AB453">
            <v>1</v>
          </cell>
          <cell r="AC453">
            <v>1</v>
          </cell>
          <cell r="AD453"/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</row>
        <row r="454">
          <cell r="A454">
            <v>6312</v>
          </cell>
          <cell r="B454"/>
          <cell r="C454" t="str">
            <v>Bieleta</v>
          </cell>
          <cell r="D454" t="str">
            <v>HOLYMAN</v>
          </cell>
          <cell r="E454">
            <v>5</v>
          </cell>
          <cell r="F454" t="str">
            <v>Bieleta Dianteira Ambos Lados Towner Jr Cabine Dupla</v>
          </cell>
          <cell r="G454"/>
          <cell r="H454">
            <v>2</v>
          </cell>
          <cell r="I454">
            <v>4</v>
          </cell>
          <cell r="J454">
            <v>2</v>
          </cell>
          <cell r="K454">
            <v>2</v>
          </cell>
          <cell r="L454" t="str">
            <v/>
          </cell>
          <cell r="M454">
            <v>0</v>
          </cell>
          <cell r="N454" t="str">
            <v/>
          </cell>
          <cell r="O454">
            <v>0</v>
          </cell>
          <cell r="P454" t="str">
            <v/>
          </cell>
          <cell r="Q454">
            <v>0</v>
          </cell>
          <cell r="R454" t="str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 t="str">
            <v/>
          </cell>
          <cell r="Y454" t="str">
            <v/>
          </cell>
          <cell r="Z454" t="str">
            <v/>
          </cell>
          <cell r="AA454">
            <v>2</v>
          </cell>
          <cell r="AB454">
            <v>0</v>
          </cell>
          <cell r="AC454">
            <v>2</v>
          </cell>
          <cell r="AD454"/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</row>
        <row r="455">
          <cell r="A455" t="str">
            <v>FTK314</v>
          </cell>
          <cell r="B455"/>
          <cell r="C455" t="str">
            <v>Coifa Homocinética</v>
          </cell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>
            <v>2</v>
          </cell>
          <cell r="W455"/>
          <cell r="X455">
            <v>2</v>
          </cell>
          <cell r="Y455" t="str">
            <v/>
          </cell>
          <cell r="Z455" t="str">
            <v/>
          </cell>
          <cell r="AA455">
            <v>2</v>
          </cell>
          <cell r="AB455">
            <v>0</v>
          </cell>
          <cell r="AC455">
            <v>2</v>
          </cell>
          <cell r="AD455"/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</row>
        <row r="456">
          <cell r="A456" t="str">
            <v>FTK347</v>
          </cell>
          <cell r="B456"/>
          <cell r="C456" t="str">
            <v>Coifa Homocinética</v>
          </cell>
          <cell r="D456"/>
          <cell r="E456"/>
          <cell r="F456" t="str">
            <v>COIFA HOMOCINETICA LADO CAMBIO BRAVA 1999 A 2002</v>
          </cell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>
            <v>2</v>
          </cell>
          <cell r="W456"/>
          <cell r="X456">
            <v>2</v>
          </cell>
          <cell r="Y456" t="str">
            <v/>
          </cell>
          <cell r="Z456" t="str">
            <v/>
          </cell>
          <cell r="AA456">
            <v>2</v>
          </cell>
          <cell r="AB456">
            <v>0</v>
          </cell>
          <cell r="AC456">
            <v>2</v>
          </cell>
          <cell r="AD456"/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</row>
        <row r="457">
          <cell r="A457" t="str">
            <v>FTK363</v>
          </cell>
          <cell r="B457"/>
          <cell r="C457" t="str">
            <v>Coifa Homocinética</v>
          </cell>
          <cell r="D457"/>
          <cell r="E457"/>
          <cell r="F457" t="str">
            <v>COIFA HOMOCINETICA LADO RODA DOBLO 2002 EM DIANTE</v>
          </cell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>
            <v>2</v>
          </cell>
          <cell r="W457"/>
          <cell r="X457">
            <v>2</v>
          </cell>
          <cell r="Y457" t="str">
            <v/>
          </cell>
          <cell r="Z457" t="str">
            <v/>
          </cell>
          <cell r="AA457">
            <v>2</v>
          </cell>
          <cell r="AB457">
            <v>0</v>
          </cell>
          <cell r="AC457">
            <v>2</v>
          </cell>
          <cell r="AD457"/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</row>
        <row r="458">
          <cell r="A458" t="str">
            <v>FTK18583</v>
          </cell>
          <cell r="B458"/>
          <cell r="C458" t="str">
            <v>Rolamento Roda</v>
          </cell>
          <cell r="D458" t="str">
            <v>IRB</v>
          </cell>
          <cell r="E458">
            <v>12</v>
          </cell>
          <cell r="F458" t="str">
            <v>ROLAMENTO RODA DIANTEIRA CIVIC 1.5 1.6 16V ATÉ 1995</v>
          </cell>
          <cell r="G458"/>
          <cell r="H458" t="str">
            <v>-</v>
          </cell>
          <cell r="I458" t="str">
            <v>-</v>
          </cell>
          <cell r="J458"/>
          <cell r="K458"/>
          <cell r="L458"/>
          <cell r="M458">
            <v>0</v>
          </cell>
          <cell r="N458" t="str">
            <v/>
          </cell>
          <cell r="O458">
            <v>0</v>
          </cell>
          <cell r="P458" t="str">
            <v/>
          </cell>
          <cell r="Q458">
            <v>0</v>
          </cell>
          <cell r="R458" t="str">
            <v>0</v>
          </cell>
          <cell r="S458">
            <v>0</v>
          </cell>
          <cell r="T458">
            <v>0</v>
          </cell>
          <cell r="U458">
            <v>0</v>
          </cell>
          <cell r="V458">
            <v>4</v>
          </cell>
          <cell r="W458">
            <v>0</v>
          </cell>
          <cell r="X458">
            <v>4</v>
          </cell>
          <cell r="Y458" t="str">
            <v/>
          </cell>
          <cell r="Z458" t="str">
            <v/>
          </cell>
          <cell r="AA458">
            <v>2</v>
          </cell>
          <cell r="AB458">
            <v>0</v>
          </cell>
          <cell r="AC458">
            <v>2</v>
          </cell>
          <cell r="AD458"/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</row>
        <row r="459">
          <cell r="A459" t="str">
            <v>FTK18627</v>
          </cell>
          <cell r="B459"/>
          <cell r="C459" t="str">
            <v>Rolamento Roda</v>
          </cell>
          <cell r="D459" t="str">
            <v>IRB</v>
          </cell>
          <cell r="E459">
            <v>12</v>
          </cell>
          <cell r="F459" t="str">
            <v>ROLAMENTO RODA DIANTEIRA AMAROK 2011 EM DIANTE</v>
          </cell>
          <cell r="G459"/>
          <cell r="H459" t="str">
            <v>-</v>
          </cell>
          <cell r="I459" t="str">
            <v>-</v>
          </cell>
          <cell r="J459"/>
          <cell r="K459"/>
          <cell r="L459"/>
          <cell r="M459">
            <v>0</v>
          </cell>
          <cell r="N459" t="str">
            <v/>
          </cell>
          <cell r="O459">
            <v>0</v>
          </cell>
          <cell r="P459" t="str">
            <v/>
          </cell>
          <cell r="Q459">
            <v>2</v>
          </cell>
          <cell r="R459" t="str">
            <v>0</v>
          </cell>
          <cell r="S459">
            <v>2</v>
          </cell>
          <cell r="T459">
            <v>0</v>
          </cell>
          <cell r="U459">
            <v>0</v>
          </cell>
          <cell r="V459">
            <v>2</v>
          </cell>
          <cell r="W459">
            <v>0</v>
          </cell>
          <cell r="X459">
            <v>2</v>
          </cell>
          <cell r="Y459" t="str">
            <v/>
          </cell>
          <cell r="Z459" t="str">
            <v/>
          </cell>
          <cell r="AA459">
            <v>2</v>
          </cell>
          <cell r="AB459">
            <v>0</v>
          </cell>
          <cell r="AC459">
            <v>2</v>
          </cell>
          <cell r="AD459"/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</row>
        <row r="460">
          <cell r="A460" t="str">
            <v>OC505</v>
          </cell>
          <cell r="B460"/>
          <cell r="C460" t="str">
            <v>Óleo Motor</v>
          </cell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>
            <v>3</v>
          </cell>
          <cell r="AF460">
            <v>1</v>
          </cell>
          <cell r="AG460">
            <v>0</v>
          </cell>
          <cell r="AH460">
            <v>0</v>
          </cell>
          <cell r="AI460">
            <v>0</v>
          </cell>
          <cell r="AJ460">
            <v>1</v>
          </cell>
          <cell r="AK460">
            <v>1</v>
          </cell>
        </row>
        <row r="461">
          <cell r="A461">
            <v>112059</v>
          </cell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>
            <v>2</v>
          </cell>
          <cell r="AF461">
            <v>1</v>
          </cell>
          <cell r="AG461">
            <v>0</v>
          </cell>
          <cell r="AH461">
            <v>0</v>
          </cell>
          <cell r="AI461">
            <v>0</v>
          </cell>
          <cell r="AJ461">
            <v>1</v>
          </cell>
          <cell r="AK461">
            <v>1</v>
          </cell>
        </row>
        <row r="462">
          <cell r="A462">
            <v>112092</v>
          </cell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>
            <v>1</v>
          </cell>
          <cell r="AC462">
            <v>1</v>
          </cell>
          <cell r="AD462"/>
          <cell r="AE462">
            <v>0</v>
          </cell>
          <cell r="AF462">
            <v>1</v>
          </cell>
          <cell r="AG462">
            <v>0</v>
          </cell>
          <cell r="AH462">
            <v>0</v>
          </cell>
          <cell r="AI462">
            <v>0</v>
          </cell>
          <cell r="AJ462">
            <v>1</v>
          </cell>
          <cell r="AK462">
            <v>1</v>
          </cell>
        </row>
        <row r="463">
          <cell r="A463">
            <v>772107</v>
          </cell>
          <cell r="B463" t="str">
            <v>Sim</v>
          </cell>
          <cell r="C463" t="str">
            <v>Bandeja</v>
          </cell>
          <cell r="D463" t="str">
            <v>SPARE</v>
          </cell>
          <cell r="E463">
            <v>2</v>
          </cell>
          <cell r="F463" t="str">
            <v>Bandeja Inferior Esquerdo Com Pivô  Livina 2010 Á 2014</v>
          </cell>
          <cell r="G463"/>
          <cell r="H463">
            <v>0</v>
          </cell>
          <cell r="I463">
            <v>0</v>
          </cell>
          <cell r="J463">
            <v>0</v>
          </cell>
          <cell r="K463" t="str">
            <v/>
          </cell>
          <cell r="L463" t="str">
            <v/>
          </cell>
          <cell r="M463">
            <v>0</v>
          </cell>
          <cell r="N463" t="str">
            <v/>
          </cell>
          <cell r="O463">
            <v>0</v>
          </cell>
          <cell r="P463" t="str">
            <v/>
          </cell>
          <cell r="Q463">
            <v>2</v>
          </cell>
          <cell r="R463" t="str">
            <v>0</v>
          </cell>
          <cell r="S463">
            <v>2</v>
          </cell>
          <cell r="T463">
            <v>0</v>
          </cell>
          <cell r="U463">
            <v>0</v>
          </cell>
          <cell r="V463">
            <v>4</v>
          </cell>
          <cell r="W463">
            <v>1</v>
          </cell>
          <cell r="X463">
            <v>3</v>
          </cell>
          <cell r="Y463" t="str">
            <v/>
          </cell>
          <cell r="Z463" t="str">
            <v/>
          </cell>
          <cell r="AA463">
            <v>1</v>
          </cell>
          <cell r="AB463">
            <v>0</v>
          </cell>
          <cell r="AC463">
            <v>1</v>
          </cell>
          <cell r="AD463"/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</row>
        <row r="464">
          <cell r="A464">
            <v>330100</v>
          </cell>
          <cell r="B464"/>
          <cell r="C464" t="str">
            <v>Amortecedor</v>
          </cell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>
            <v>2</v>
          </cell>
          <cell r="W464"/>
          <cell r="X464">
            <v>2</v>
          </cell>
          <cell r="Y464" t="str">
            <v/>
          </cell>
          <cell r="Z464" t="str">
            <v/>
          </cell>
          <cell r="AA464">
            <v>0</v>
          </cell>
          <cell r="AB464">
            <v>0</v>
          </cell>
          <cell r="AC464">
            <v>0</v>
          </cell>
          <cell r="AD464"/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</row>
        <row r="465">
          <cell r="A465">
            <v>330101</v>
          </cell>
          <cell r="B465"/>
          <cell r="C465" t="str">
            <v>Amortecedor</v>
          </cell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>
            <v>2</v>
          </cell>
          <cell r="W465"/>
          <cell r="X465">
            <v>2</v>
          </cell>
          <cell r="Y465" t="str">
            <v/>
          </cell>
          <cell r="Z465" t="str">
            <v/>
          </cell>
          <cell r="AA465">
            <v>0</v>
          </cell>
          <cell r="AB465">
            <v>0</v>
          </cell>
          <cell r="AC465">
            <v>0</v>
          </cell>
          <cell r="AD465"/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</row>
        <row r="466">
          <cell r="A466">
            <v>442097</v>
          </cell>
          <cell r="B466" t="str">
            <v>Sim</v>
          </cell>
          <cell r="C466" t="str">
            <v>Bandeja</v>
          </cell>
          <cell r="D466" t="str">
            <v>SPARE</v>
          </cell>
          <cell r="E466">
            <v>2</v>
          </cell>
          <cell r="F466" t="str">
            <v>Bandeja Dianteira Esquerda Com Pivô Fox 2003 A 2014</v>
          </cell>
          <cell r="G466"/>
          <cell r="H466">
            <v>2</v>
          </cell>
          <cell r="I466">
            <v>1</v>
          </cell>
          <cell r="J466" t="str">
            <v/>
          </cell>
          <cell r="K466">
            <v>1</v>
          </cell>
          <cell r="L466" t="str">
            <v/>
          </cell>
          <cell r="M466">
            <v>1</v>
          </cell>
          <cell r="N466">
            <v>1</v>
          </cell>
          <cell r="O466" t="str">
            <v/>
          </cell>
          <cell r="P466" t="str">
            <v/>
          </cell>
          <cell r="Q466">
            <v>1</v>
          </cell>
          <cell r="R466">
            <v>1</v>
          </cell>
          <cell r="S466" t="str">
            <v>0</v>
          </cell>
          <cell r="T466">
            <v>0</v>
          </cell>
          <cell r="U466">
            <v>0</v>
          </cell>
          <cell r="V466">
            <v>1</v>
          </cell>
          <cell r="W466">
            <v>1</v>
          </cell>
          <cell r="X466" t="str">
            <v/>
          </cell>
          <cell r="Y466" t="str">
            <v/>
          </cell>
          <cell r="Z466" t="str">
            <v/>
          </cell>
          <cell r="AA466">
            <v>0</v>
          </cell>
          <cell r="AB466">
            <v>0</v>
          </cell>
          <cell r="AC466">
            <v>0</v>
          </cell>
          <cell r="AD466"/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</row>
        <row r="467">
          <cell r="A467">
            <v>4084</v>
          </cell>
          <cell r="B467" t="str">
            <v>Sim</v>
          </cell>
          <cell r="C467" t="str">
            <v>Capa Pedal</v>
          </cell>
          <cell r="D467" t="str">
            <v>HOLYMAN</v>
          </cell>
          <cell r="E467">
            <v>5</v>
          </cell>
          <cell r="F467" t="str">
            <v>Capa De Pedal Freio Embreagem L200 Hpe Sport 2003 A 2008</v>
          </cell>
          <cell r="G467"/>
          <cell r="H467">
            <v>0</v>
          </cell>
          <cell r="I467">
            <v>0</v>
          </cell>
          <cell r="J467"/>
          <cell r="K467"/>
          <cell r="L467"/>
          <cell r="M467">
            <v>3</v>
          </cell>
          <cell r="N467">
            <v>3</v>
          </cell>
          <cell r="O467" t="str">
            <v/>
          </cell>
          <cell r="P467" t="str">
            <v/>
          </cell>
          <cell r="Q467">
            <v>2</v>
          </cell>
          <cell r="R467">
            <v>2</v>
          </cell>
          <cell r="S467" t="str">
            <v>0</v>
          </cell>
          <cell r="T467">
            <v>0</v>
          </cell>
          <cell r="U467">
            <v>0</v>
          </cell>
          <cell r="V467">
            <v>1</v>
          </cell>
          <cell r="W467">
            <v>1</v>
          </cell>
          <cell r="X467" t="str">
            <v/>
          </cell>
          <cell r="Y467" t="str">
            <v/>
          </cell>
          <cell r="Z467" t="str">
            <v/>
          </cell>
          <cell r="AA467">
            <v>0</v>
          </cell>
          <cell r="AB467">
            <v>0</v>
          </cell>
          <cell r="AC467">
            <v>0</v>
          </cell>
          <cell r="AD467"/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</row>
        <row r="468">
          <cell r="A468" t="str">
            <v>FTK281</v>
          </cell>
          <cell r="B468"/>
          <cell r="C468" t="str">
            <v>Coifa Homocinética</v>
          </cell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>
            <v>2</v>
          </cell>
          <cell r="W468">
            <v>2</v>
          </cell>
          <cell r="X468" t="str">
            <v/>
          </cell>
          <cell r="Y468" t="str">
            <v/>
          </cell>
          <cell r="Z468" t="str">
            <v/>
          </cell>
          <cell r="AA468">
            <v>0</v>
          </cell>
          <cell r="AB468">
            <v>0</v>
          </cell>
          <cell r="AC468">
            <v>0</v>
          </cell>
          <cell r="AD468"/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</row>
        <row r="469">
          <cell r="A469">
            <v>3002</v>
          </cell>
          <cell r="B469" t="str">
            <v>Sim</v>
          </cell>
          <cell r="C469" t="str">
            <v>Cupula alavanca</v>
          </cell>
          <cell r="D469" t="str">
            <v>HOLYMAN</v>
          </cell>
          <cell r="E469">
            <v>5</v>
          </cell>
          <cell r="F469" t="str">
            <v>Kit Cúpula Alavanca Do Cambio 6 Marchas Siena 1999 A 2000</v>
          </cell>
          <cell r="G469"/>
          <cell r="H469" t="str">
            <v>-</v>
          </cell>
          <cell r="I469" t="str">
            <v>-</v>
          </cell>
          <cell r="J469"/>
          <cell r="K469"/>
          <cell r="L469"/>
          <cell r="M469">
            <v>2</v>
          </cell>
          <cell r="N469">
            <v>2</v>
          </cell>
          <cell r="O469" t="str">
            <v/>
          </cell>
          <cell r="P469" t="str">
            <v/>
          </cell>
          <cell r="Q469">
            <v>2</v>
          </cell>
          <cell r="R469">
            <v>2</v>
          </cell>
          <cell r="S469" t="str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 t="str">
            <v/>
          </cell>
          <cell r="Y469" t="str">
            <v/>
          </cell>
          <cell r="Z469" t="str">
            <v/>
          </cell>
          <cell r="AA469">
            <v>0</v>
          </cell>
          <cell r="AB469">
            <v>0</v>
          </cell>
          <cell r="AC469">
            <v>0</v>
          </cell>
          <cell r="AD469"/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</row>
        <row r="470">
          <cell r="A470" t="str">
            <v>FTK200119AE190</v>
          </cell>
          <cell r="B470"/>
          <cell r="C470" t="str">
            <v>Junta moto</v>
          </cell>
          <cell r="D470" t="str">
            <v>KRATER</v>
          </cell>
          <cell r="E470"/>
          <cell r="F470" t="str">
            <v>Jogo De Juntas Superior Do Cabeçote Cg150 Fan 2009 Em Diante</v>
          </cell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>
            <v>2</v>
          </cell>
          <cell r="W470">
            <v>2</v>
          </cell>
          <cell r="X470" t="str">
            <v/>
          </cell>
          <cell r="Y470" t="str">
            <v/>
          </cell>
          <cell r="Z470" t="str">
            <v/>
          </cell>
          <cell r="AA470">
            <v>0</v>
          </cell>
          <cell r="AB470">
            <v>0</v>
          </cell>
          <cell r="AC470">
            <v>0</v>
          </cell>
          <cell r="AD470"/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</row>
        <row r="471">
          <cell r="A471">
            <v>11195</v>
          </cell>
          <cell r="B471"/>
          <cell r="C471" t="str">
            <v>Pastilha de Freio</v>
          </cell>
          <cell r="D471"/>
          <cell r="E471" t="e">
            <v>#N/A</v>
          </cell>
          <cell r="F471" t="str">
            <v xml:space="preserve">Pastilha De Freio Dianteira Palio 1998  </v>
          </cell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>
            <v>2</v>
          </cell>
          <cell r="R471"/>
          <cell r="S471"/>
          <cell r="T471"/>
          <cell r="U471">
            <v>2</v>
          </cell>
          <cell r="V471">
            <v>1</v>
          </cell>
          <cell r="W471">
            <v>1</v>
          </cell>
          <cell r="X471" t="str">
            <v/>
          </cell>
          <cell r="Y471" t="str">
            <v/>
          </cell>
          <cell r="Z471" t="str">
            <v/>
          </cell>
          <cell r="AA471">
            <v>0</v>
          </cell>
          <cell r="AB471">
            <v>0</v>
          </cell>
          <cell r="AC471">
            <v>0</v>
          </cell>
          <cell r="AD471"/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</row>
        <row r="472">
          <cell r="A472">
            <v>90500</v>
          </cell>
          <cell r="B472" t="str">
            <v>Sim</v>
          </cell>
          <cell r="C472" t="str">
            <v>Reparo alavanta Câmbio</v>
          </cell>
          <cell r="D472" t="str">
            <v>BRK</v>
          </cell>
          <cell r="E472">
            <v>8</v>
          </cell>
          <cell r="F472" t="str">
            <v>Kit Reparo Trambulador Sem Mola Kangoo Todos Os Anos</v>
          </cell>
          <cell r="G472"/>
          <cell r="H472">
            <v>0</v>
          </cell>
          <cell r="I472">
            <v>0</v>
          </cell>
          <cell r="J472" t="str">
            <v/>
          </cell>
          <cell r="K472" t="str">
            <v/>
          </cell>
          <cell r="L472" t="str">
            <v/>
          </cell>
          <cell r="M472">
            <v>6</v>
          </cell>
          <cell r="N472">
            <v>6</v>
          </cell>
          <cell r="O472" t="str">
            <v/>
          </cell>
          <cell r="P472" t="str">
            <v/>
          </cell>
          <cell r="Q472">
            <v>0</v>
          </cell>
          <cell r="R472" t="str">
            <v>0</v>
          </cell>
          <cell r="S472" t="str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/>
          </cell>
          <cell r="Y472" t="str">
            <v/>
          </cell>
          <cell r="Z472" t="str">
            <v/>
          </cell>
          <cell r="AA472">
            <v>0</v>
          </cell>
          <cell r="AB472">
            <v>0</v>
          </cell>
          <cell r="AC472">
            <v>0</v>
          </cell>
          <cell r="AD472"/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</row>
        <row r="473">
          <cell r="A473" t="str">
            <v>FTK14272</v>
          </cell>
          <cell r="B473"/>
          <cell r="C473" t="str">
            <v>Rolamento Roda</v>
          </cell>
          <cell r="D473" t="str">
            <v>IRB</v>
          </cell>
          <cell r="E473">
            <v>12</v>
          </cell>
          <cell r="F473" t="str">
            <v>ROLAMENTO RODA DIANTEIRA SUBARU FORESTER 2.0 2.5 1997 A 2008</v>
          </cell>
          <cell r="G473"/>
          <cell r="H473" t="str">
            <v>-</v>
          </cell>
          <cell r="I473" t="str">
            <v>-</v>
          </cell>
          <cell r="J473"/>
          <cell r="K473"/>
          <cell r="L473"/>
          <cell r="M473">
            <v>0</v>
          </cell>
          <cell r="N473" t="str">
            <v/>
          </cell>
          <cell r="O473">
            <v>0</v>
          </cell>
          <cell r="P473" t="str">
            <v/>
          </cell>
          <cell r="Q473">
            <v>0</v>
          </cell>
          <cell r="R473" t="str">
            <v>0</v>
          </cell>
          <cell r="S473">
            <v>0</v>
          </cell>
          <cell r="T473">
            <v>0</v>
          </cell>
          <cell r="U473">
            <v>0</v>
          </cell>
          <cell r="V473">
            <v>4</v>
          </cell>
          <cell r="W473">
            <v>0</v>
          </cell>
          <cell r="X473">
            <v>4</v>
          </cell>
          <cell r="Y473" t="str">
            <v/>
          </cell>
          <cell r="Z473" t="str">
            <v/>
          </cell>
          <cell r="AA473">
            <v>0</v>
          </cell>
          <cell r="AB473">
            <v>0</v>
          </cell>
          <cell r="AC473">
            <v>0</v>
          </cell>
          <cell r="AD473"/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</row>
        <row r="474">
          <cell r="A474">
            <v>3025</v>
          </cell>
          <cell r="B474"/>
          <cell r="C474" t="str">
            <v>Suporte Parachoque</v>
          </cell>
          <cell r="D474" t="str">
            <v>HOLYMAN</v>
          </cell>
          <cell r="E474">
            <v>5</v>
          </cell>
          <cell r="F474" t="str">
            <v>Suporte Do Para Choque Fusca</v>
          </cell>
          <cell r="G474"/>
          <cell r="H474">
            <v>0</v>
          </cell>
          <cell r="I474">
            <v>0</v>
          </cell>
          <cell r="J474">
            <v>0</v>
          </cell>
          <cell r="K474" t="str">
            <v/>
          </cell>
          <cell r="L474" t="str">
            <v/>
          </cell>
          <cell r="M474">
            <v>4</v>
          </cell>
          <cell r="N474" t="str">
            <v/>
          </cell>
          <cell r="O474">
            <v>4</v>
          </cell>
          <cell r="P474" t="str">
            <v/>
          </cell>
          <cell r="Q474">
            <v>0</v>
          </cell>
          <cell r="R474" t="str">
            <v>0</v>
          </cell>
          <cell r="S474">
            <v>0</v>
          </cell>
          <cell r="T474">
            <v>0</v>
          </cell>
          <cell r="U474">
            <v>0</v>
          </cell>
          <cell r="V474">
            <v>2</v>
          </cell>
          <cell r="W474">
            <v>2</v>
          </cell>
          <cell r="X474" t="str">
            <v/>
          </cell>
          <cell r="Y474" t="str">
            <v/>
          </cell>
          <cell r="Z474" t="str">
            <v/>
          </cell>
          <cell r="AA474">
            <v>0</v>
          </cell>
          <cell r="AB474">
            <v>0</v>
          </cell>
          <cell r="AC474">
            <v>0</v>
          </cell>
          <cell r="AD474"/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</row>
        <row r="475">
          <cell r="A475">
            <v>4025</v>
          </cell>
          <cell r="B475"/>
          <cell r="C475" t="str">
            <v>Capa Pedal</v>
          </cell>
          <cell r="D475" t="str">
            <v>HOLYMAN</v>
          </cell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>
            <v>0</v>
          </cell>
          <cell r="AB475">
            <v>0</v>
          </cell>
          <cell r="AC475">
            <v>0</v>
          </cell>
          <cell r="AD475"/>
          <cell r="AE475">
            <v>0</v>
          </cell>
          <cell r="AF475">
            <v>1</v>
          </cell>
          <cell r="AG475">
            <v>1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</row>
        <row r="476">
          <cell r="A476">
            <v>4082</v>
          </cell>
          <cell r="B476"/>
          <cell r="C476" t="str">
            <v>Capa Pedal</v>
          </cell>
          <cell r="D476" t="str">
            <v>HOLYMAN</v>
          </cell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>
            <v>0</v>
          </cell>
          <cell r="AB476">
            <v>0</v>
          </cell>
          <cell r="AC476">
            <v>0</v>
          </cell>
          <cell r="AD476"/>
          <cell r="AE476">
            <v>0</v>
          </cell>
          <cell r="AF476">
            <v>1</v>
          </cell>
          <cell r="AG476">
            <v>1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</row>
        <row r="477">
          <cell r="A477" t="str">
            <v>FTK435F</v>
          </cell>
          <cell r="B477"/>
          <cell r="C477" t="str">
            <v>Coifa Homocinética</v>
          </cell>
          <cell r="D477" t="str">
            <v>Replabor</v>
          </cell>
          <cell r="E477"/>
          <cell r="F477" t="str">
            <v>Coifa Homocinetica Lado Câmbio Com Flange Passat 95 Diante</v>
          </cell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>
            <v>1</v>
          </cell>
          <cell r="AG477">
            <v>1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</row>
        <row r="478">
          <cell r="A478" t="str">
            <v>FTK201366PA</v>
          </cell>
          <cell r="B478"/>
          <cell r="C478" t="str">
            <v>Junta moto</v>
          </cell>
          <cell r="D478" t="str">
            <v>KRATER</v>
          </cell>
          <cell r="E478"/>
          <cell r="F478" t="str">
            <v>Jogo De Juntas Superior Do Cabeçote Ybr125 2000 A 2008</v>
          </cell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>
            <v>1</v>
          </cell>
          <cell r="AG478">
            <v>1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</row>
        <row r="479">
          <cell r="A479">
            <v>330214</v>
          </cell>
          <cell r="B479"/>
          <cell r="C479" t="str">
            <v>Amortecedor Suspensão</v>
          </cell>
          <cell r="D479" t="str">
            <v>SPARE</v>
          </cell>
          <cell r="E479"/>
          <cell r="F479" t="str">
            <v>Par Amortecedor  Dianteiro Kangoo 1999 A 2012</v>
          </cell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>
            <v>1</v>
          </cell>
          <cell r="AG479">
            <v>1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</row>
        <row r="480">
          <cell r="A480">
            <v>5034</v>
          </cell>
          <cell r="B480"/>
          <cell r="C480" t="str">
            <v>Bieleta</v>
          </cell>
          <cell r="D480" t="str">
            <v>HOLYMAN</v>
          </cell>
          <cell r="E480"/>
          <cell r="F480" t="str">
            <v>Eixo Da Bandeja Corcel 1985 Em Diante</v>
          </cell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>
            <v>1</v>
          </cell>
          <cell r="AG480">
            <v>1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</row>
        <row r="481">
          <cell r="A481">
            <v>5615</v>
          </cell>
          <cell r="B481" t="str">
            <v>Sim</v>
          </cell>
          <cell r="C481" t="str">
            <v>Bieleta</v>
          </cell>
          <cell r="D481" t="str">
            <v>HOLYMAN</v>
          </cell>
          <cell r="E481">
            <v>5</v>
          </cell>
          <cell r="F481" t="str">
            <v>Bieleta Traseira Ambos Lados Sportage 2011 Em Diante</v>
          </cell>
          <cell r="G481"/>
          <cell r="H481">
            <v>0</v>
          </cell>
          <cell r="I481">
            <v>2</v>
          </cell>
          <cell r="J481">
            <v>2</v>
          </cell>
          <cell r="K481" t="str">
            <v/>
          </cell>
          <cell r="L481" t="str">
            <v/>
          </cell>
          <cell r="M481">
            <v>1</v>
          </cell>
          <cell r="N481">
            <v>1</v>
          </cell>
          <cell r="O481">
            <v>0</v>
          </cell>
          <cell r="P481" t="str">
            <v/>
          </cell>
          <cell r="Q481">
            <v>0</v>
          </cell>
          <cell r="R481" t="str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/>
          </cell>
          <cell r="Y481" t="str">
            <v/>
          </cell>
          <cell r="Z481" t="str">
            <v/>
          </cell>
          <cell r="AA481">
            <v>4</v>
          </cell>
          <cell r="AB481">
            <v>0</v>
          </cell>
          <cell r="AC481">
            <v>4</v>
          </cell>
          <cell r="AD481"/>
          <cell r="AE481">
            <v>0</v>
          </cell>
          <cell r="AF481">
            <v>2</v>
          </cell>
          <cell r="AG481">
            <v>0</v>
          </cell>
          <cell r="AH481">
            <v>2</v>
          </cell>
          <cell r="AI481">
            <v>0</v>
          </cell>
          <cell r="AJ481">
            <v>0</v>
          </cell>
          <cell r="AK481">
            <v>0.83333333333333337</v>
          </cell>
        </row>
        <row r="482">
          <cell r="A482">
            <v>222054</v>
          </cell>
          <cell r="B482" t="str">
            <v>Sim</v>
          </cell>
          <cell r="C482" t="str">
            <v>Bandeja</v>
          </cell>
          <cell r="D482" t="str">
            <v>SPARE</v>
          </cell>
          <cell r="E482">
            <v>2</v>
          </cell>
          <cell r="F482" t="str">
            <v>Bandeja Dianteira Esquerda Com Pivô Fiesta 2003 A 2009</v>
          </cell>
          <cell r="G482"/>
          <cell r="H482">
            <v>0</v>
          </cell>
          <cell r="I482">
            <v>0</v>
          </cell>
          <cell r="J482" t="str">
            <v/>
          </cell>
          <cell r="K482" t="str">
            <v/>
          </cell>
          <cell r="L482" t="str">
            <v/>
          </cell>
          <cell r="M482">
            <v>1</v>
          </cell>
          <cell r="N482">
            <v>1</v>
          </cell>
          <cell r="O482" t="str">
            <v/>
          </cell>
          <cell r="P482" t="str">
            <v/>
          </cell>
          <cell r="Q482">
            <v>0</v>
          </cell>
          <cell r="R482">
            <v>0</v>
          </cell>
          <cell r="S482" t="str">
            <v>0</v>
          </cell>
          <cell r="T482">
            <v>0</v>
          </cell>
          <cell r="U482">
            <v>0</v>
          </cell>
          <cell r="V482">
            <v>3</v>
          </cell>
          <cell r="W482">
            <v>3</v>
          </cell>
          <cell r="X482" t="str">
            <v/>
          </cell>
          <cell r="Y482" t="str">
            <v/>
          </cell>
          <cell r="Z482" t="str">
            <v/>
          </cell>
          <cell r="AA482">
            <v>5</v>
          </cell>
          <cell r="AB482">
            <v>4</v>
          </cell>
          <cell r="AC482">
            <v>0</v>
          </cell>
          <cell r="AD482"/>
          <cell r="AE482">
            <v>1</v>
          </cell>
          <cell r="AF482">
            <v>1</v>
          </cell>
          <cell r="AG482">
            <v>0</v>
          </cell>
          <cell r="AH482">
            <v>0</v>
          </cell>
          <cell r="AI482">
            <v>0</v>
          </cell>
          <cell r="AJ482">
            <v>1</v>
          </cell>
          <cell r="AK482">
            <v>0.83333333333333337</v>
          </cell>
        </row>
        <row r="483">
          <cell r="A483">
            <v>442120</v>
          </cell>
          <cell r="B483" t="str">
            <v>Sim</v>
          </cell>
          <cell r="C483" t="str">
            <v>Bandeja</v>
          </cell>
          <cell r="D483" t="str">
            <v>SPARE</v>
          </cell>
          <cell r="E483">
            <v>2</v>
          </cell>
          <cell r="F483" t="str">
            <v>Bandeja Superior Direito Amarok 2010 Á 2020</v>
          </cell>
          <cell r="G483"/>
          <cell r="H483">
            <v>0</v>
          </cell>
          <cell r="I483">
            <v>0</v>
          </cell>
          <cell r="J483" t="str">
            <v/>
          </cell>
          <cell r="K483" t="str">
            <v/>
          </cell>
          <cell r="L483" t="str">
            <v/>
          </cell>
          <cell r="M483">
            <v>0</v>
          </cell>
          <cell r="N483" t="str">
            <v/>
          </cell>
          <cell r="O483" t="str">
            <v/>
          </cell>
          <cell r="P483" t="str">
            <v/>
          </cell>
          <cell r="Q483">
            <v>3</v>
          </cell>
          <cell r="R483" t="str">
            <v>0</v>
          </cell>
          <cell r="S483">
            <v>3</v>
          </cell>
          <cell r="T483">
            <v>0</v>
          </cell>
          <cell r="U483">
            <v>0</v>
          </cell>
          <cell r="V483">
            <v>1</v>
          </cell>
          <cell r="W483">
            <v>0</v>
          </cell>
          <cell r="X483">
            <v>1</v>
          </cell>
          <cell r="Y483" t="str">
            <v/>
          </cell>
          <cell r="Z483" t="str">
            <v/>
          </cell>
          <cell r="AA483">
            <v>1</v>
          </cell>
          <cell r="AB483">
            <v>0</v>
          </cell>
          <cell r="AC483">
            <v>1</v>
          </cell>
          <cell r="AD483"/>
          <cell r="AE483">
            <v>0</v>
          </cell>
          <cell r="AF483">
            <v>1</v>
          </cell>
          <cell r="AG483">
            <v>0</v>
          </cell>
          <cell r="AH483">
            <v>1</v>
          </cell>
          <cell r="AI483">
            <v>0</v>
          </cell>
          <cell r="AJ483">
            <v>0</v>
          </cell>
          <cell r="AK483">
            <v>0.83333333333333337</v>
          </cell>
        </row>
        <row r="484">
          <cell r="A484">
            <v>442121</v>
          </cell>
          <cell r="B484" t="str">
            <v>Sim</v>
          </cell>
          <cell r="C484" t="str">
            <v>Bandeja</v>
          </cell>
          <cell r="D484" t="str">
            <v>SPARE</v>
          </cell>
          <cell r="E484">
            <v>2</v>
          </cell>
          <cell r="F484" t="str">
            <v>Bandeja Superior Esquerda Amarok 2010 Á 2020</v>
          </cell>
          <cell r="G484"/>
          <cell r="H484">
            <v>0</v>
          </cell>
          <cell r="I484">
            <v>0</v>
          </cell>
          <cell r="J484" t="str">
            <v/>
          </cell>
          <cell r="K484" t="str">
            <v/>
          </cell>
          <cell r="L484" t="str">
            <v/>
          </cell>
          <cell r="M484">
            <v>0</v>
          </cell>
          <cell r="N484" t="str">
            <v/>
          </cell>
          <cell r="O484" t="str">
            <v/>
          </cell>
          <cell r="P484" t="str">
            <v/>
          </cell>
          <cell r="Q484">
            <v>3</v>
          </cell>
          <cell r="R484" t="str">
            <v>0</v>
          </cell>
          <cell r="S484">
            <v>3</v>
          </cell>
          <cell r="T484">
            <v>0</v>
          </cell>
          <cell r="U484">
            <v>0</v>
          </cell>
          <cell r="V484">
            <v>1</v>
          </cell>
          <cell r="W484">
            <v>0</v>
          </cell>
          <cell r="X484">
            <v>1</v>
          </cell>
          <cell r="Y484" t="str">
            <v/>
          </cell>
          <cell r="Z484" t="str">
            <v/>
          </cell>
          <cell r="AA484">
            <v>1</v>
          </cell>
          <cell r="AB484">
            <v>0</v>
          </cell>
          <cell r="AC484">
            <v>1</v>
          </cell>
          <cell r="AD484"/>
          <cell r="AE484">
            <v>0</v>
          </cell>
          <cell r="AF484">
            <v>1</v>
          </cell>
          <cell r="AG484">
            <v>0</v>
          </cell>
          <cell r="AH484">
            <v>1</v>
          </cell>
          <cell r="AI484">
            <v>0</v>
          </cell>
          <cell r="AJ484">
            <v>0</v>
          </cell>
          <cell r="AK484">
            <v>0.83333333333333337</v>
          </cell>
        </row>
        <row r="485">
          <cell r="A485">
            <v>112007</v>
          </cell>
          <cell r="B485" t="str">
            <v>Sim</v>
          </cell>
          <cell r="C485" t="str">
            <v>Bandeja</v>
          </cell>
          <cell r="D485" t="str">
            <v>SPARE</v>
          </cell>
          <cell r="E485">
            <v>2</v>
          </cell>
          <cell r="F485" t="str">
            <v>Braço Tensor Esquerdo Com Terminal Elba 1985 A 2004</v>
          </cell>
          <cell r="G485"/>
          <cell r="H485">
            <v>0</v>
          </cell>
          <cell r="I485">
            <v>1</v>
          </cell>
          <cell r="J485">
            <v>0</v>
          </cell>
          <cell r="K485">
            <v>1</v>
          </cell>
          <cell r="L485" t="str">
            <v/>
          </cell>
          <cell r="M485">
            <v>1</v>
          </cell>
          <cell r="N485">
            <v>1</v>
          </cell>
          <cell r="O485">
            <v>0</v>
          </cell>
          <cell r="P485" t="str">
            <v/>
          </cell>
          <cell r="Q485">
            <v>1</v>
          </cell>
          <cell r="R485">
            <v>1</v>
          </cell>
          <cell r="S485">
            <v>0</v>
          </cell>
          <cell r="T485">
            <v>0</v>
          </cell>
          <cell r="U485">
            <v>0</v>
          </cell>
          <cell r="V485">
            <v>2</v>
          </cell>
          <cell r="W485">
            <v>2</v>
          </cell>
          <cell r="X485" t="str">
            <v/>
          </cell>
          <cell r="Y485" t="str">
            <v/>
          </cell>
          <cell r="Z485" t="str">
            <v/>
          </cell>
          <cell r="AA485">
            <v>4</v>
          </cell>
          <cell r="AB485">
            <v>4</v>
          </cell>
          <cell r="AC485">
            <v>0</v>
          </cell>
          <cell r="AD485"/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0.83333333333333337</v>
          </cell>
        </row>
        <row r="486">
          <cell r="A486">
            <v>3003</v>
          </cell>
          <cell r="B486" t="str">
            <v>Sim</v>
          </cell>
          <cell r="C486" t="str">
            <v>Caixa Rótula</v>
          </cell>
          <cell r="D486" t="str">
            <v>HOLYMAN</v>
          </cell>
          <cell r="E486">
            <v>5</v>
          </cell>
          <cell r="F486" t="str">
            <v>Caixa Rótula Alavanca Câmbio Santana Até 2005</v>
          </cell>
          <cell r="G486"/>
          <cell r="H486">
            <v>1</v>
          </cell>
          <cell r="I486">
            <v>0</v>
          </cell>
          <cell r="J486" t="str">
            <v/>
          </cell>
          <cell r="K486" t="str">
            <v/>
          </cell>
          <cell r="L486" t="str">
            <v/>
          </cell>
          <cell r="M486">
            <v>1</v>
          </cell>
          <cell r="N486">
            <v>1</v>
          </cell>
          <cell r="O486" t="str">
            <v/>
          </cell>
          <cell r="P486" t="str">
            <v/>
          </cell>
          <cell r="Q486">
            <v>1</v>
          </cell>
          <cell r="R486">
            <v>1</v>
          </cell>
          <cell r="S486" t="str">
            <v>0</v>
          </cell>
          <cell r="T486">
            <v>0</v>
          </cell>
          <cell r="U486">
            <v>0</v>
          </cell>
          <cell r="V486">
            <v>2</v>
          </cell>
          <cell r="W486">
            <v>2</v>
          </cell>
          <cell r="X486" t="str">
            <v/>
          </cell>
          <cell r="Y486" t="str">
            <v/>
          </cell>
          <cell r="Z486" t="str">
            <v/>
          </cell>
          <cell r="AA486">
            <v>3</v>
          </cell>
          <cell r="AB486">
            <v>3</v>
          </cell>
          <cell r="AC486">
            <v>0</v>
          </cell>
          <cell r="AD486"/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0.83333333333333337</v>
          </cell>
        </row>
        <row r="487">
          <cell r="A487">
            <v>4016</v>
          </cell>
          <cell r="B487" t="str">
            <v>Sim</v>
          </cell>
          <cell r="C487" t="str">
            <v>Capa Pedal</v>
          </cell>
          <cell r="D487" t="str">
            <v>HOLYMAN</v>
          </cell>
          <cell r="E487">
            <v>5</v>
          </cell>
          <cell r="F487" t="str">
            <v>Capa De Pedal Freio Embreagem Acelerador Vectra 1997 A 2005</v>
          </cell>
          <cell r="G487"/>
          <cell r="H487">
            <v>0</v>
          </cell>
          <cell r="I487">
            <v>0</v>
          </cell>
          <cell r="J487"/>
          <cell r="K487">
            <v>2</v>
          </cell>
          <cell r="L487"/>
          <cell r="M487">
            <v>1</v>
          </cell>
          <cell r="N487">
            <v>1</v>
          </cell>
          <cell r="O487" t="str">
            <v/>
          </cell>
          <cell r="P487" t="str">
            <v/>
          </cell>
          <cell r="Q487">
            <v>1</v>
          </cell>
          <cell r="R487">
            <v>1</v>
          </cell>
          <cell r="S487" t="str">
            <v>0</v>
          </cell>
          <cell r="T487">
            <v>0</v>
          </cell>
          <cell r="U487">
            <v>0</v>
          </cell>
          <cell r="V487">
            <v>3</v>
          </cell>
          <cell r="W487">
            <v>3</v>
          </cell>
          <cell r="X487" t="str">
            <v/>
          </cell>
          <cell r="Y487" t="str">
            <v/>
          </cell>
          <cell r="Z487" t="str">
            <v/>
          </cell>
          <cell r="AA487">
            <v>3</v>
          </cell>
          <cell r="AB487">
            <v>3</v>
          </cell>
          <cell r="AC487">
            <v>0</v>
          </cell>
          <cell r="AD487"/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0.83333333333333337</v>
          </cell>
        </row>
        <row r="488">
          <cell r="A488">
            <v>4051</v>
          </cell>
          <cell r="B488" t="str">
            <v>Sim</v>
          </cell>
          <cell r="C488" t="str">
            <v>Capa Pedal</v>
          </cell>
          <cell r="D488" t="str">
            <v>HOLYMAN</v>
          </cell>
          <cell r="E488">
            <v>5</v>
          </cell>
          <cell r="F488" t="str">
            <v>Capa De Pedal Freio Embreagem Scania T113</v>
          </cell>
          <cell r="G488"/>
          <cell r="H488">
            <v>0</v>
          </cell>
          <cell r="I488">
            <v>0</v>
          </cell>
          <cell r="J488"/>
          <cell r="K488">
            <v>1</v>
          </cell>
          <cell r="L488"/>
          <cell r="M488">
            <v>1</v>
          </cell>
          <cell r="N488">
            <v>1</v>
          </cell>
          <cell r="O488" t="str">
            <v/>
          </cell>
          <cell r="P488" t="str">
            <v/>
          </cell>
          <cell r="Q488">
            <v>1</v>
          </cell>
          <cell r="R488">
            <v>1</v>
          </cell>
          <cell r="S488" t="str">
            <v>0</v>
          </cell>
          <cell r="T488">
            <v>0</v>
          </cell>
          <cell r="U488">
            <v>0</v>
          </cell>
          <cell r="V488">
            <v>3</v>
          </cell>
          <cell r="W488">
            <v>3</v>
          </cell>
          <cell r="X488" t="str">
            <v/>
          </cell>
          <cell r="Y488" t="str">
            <v/>
          </cell>
          <cell r="Z488" t="str">
            <v/>
          </cell>
          <cell r="AA488">
            <v>2</v>
          </cell>
          <cell r="AB488">
            <v>2</v>
          </cell>
          <cell r="AC488">
            <v>0</v>
          </cell>
          <cell r="AD488"/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0.83333333333333337</v>
          </cell>
        </row>
        <row r="489">
          <cell r="A489">
            <v>880549</v>
          </cell>
          <cell r="B489" t="str">
            <v>Sim</v>
          </cell>
          <cell r="C489" t="str">
            <v>Cupula alavanca</v>
          </cell>
          <cell r="D489" t="str">
            <v>HOLYMAN</v>
          </cell>
          <cell r="E489">
            <v>5</v>
          </cell>
          <cell r="F489" t="str">
            <v>Kit Cupula Alavanca Ré Para Trás Siena 1996 Em Diante</v>
          </cell>
          <cell r="G489"/>
          <cell r="H489">
            <v>0</v>
          </cell>
          <cell r="I489">
            <v>0</v>
          </cell>
          <cell r="J489" t="str">
            <v/>
          </cell>
          <cell r="K489" t="str">
            <v/>
          </cell>
          <cell r="L489" t="str">
            <v/>
          </cell>
          <cell r="M489">
            <v>2</v>
          </cell>
          <cell r="N489">
            <v>2</v>
          </cell>
          <cell r="O489" t="str">
            <v/>
          </cell>
          <cell r="P489" t="str">
            <v/>
          </cell>
          <cell r="Q489">
            <v>1</v>
          </cell>
          <cell r="R489">
            <v>1</v>
          </cell>
          <cell r="S489" t="str">
            <v>0</v>
          </cell>
          <cell r="T489">
            <v>0</v>
          </cell>
          <cell r="U489">
            <v>0</v>
          </cell>
          <cell r="V489">
            <v>2</v>
          </cell>
          <cell r="W489">
            <v>2</v>
          </cell>
          <cell r="X489" t="str">
            <v/>
          </cell>
          <cell r="Y489" t="str">
            <v/>
          </cell>
          <cell r="Z489" t="str">
            <v/>
          </cell>
          <cell r="AA489">
            <v>2</v>
          </cell>
          <cell r="AB489">
            <v>2</v>
          </cell>
          <cell r="AC489">
            <v>0</v>
          </cell>
          <cell r="AD489"/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0.83333333333333337</v>
          </cell>
        </row>
        <row r="490">
          <cell r="A490">
            <v>112009</v>
          </cell>
          <cell r="B490" t="str">
            <v>Sim</v>
          </cell>
          <cell r="C490" t="str">
            <v>Bandeja</v>
          </cell>
          <cell r="D490" t="str">
            <v>SPARE</v>
          </cell>
          <cell r="E490">
            <v>2</v>
          </cell>
          <cell r="F490" t="str">
            <v>Braço Tensor Esquerda Sem Terminal Uno Mille 1985 A 2004</v>
          </cell>
          <cell r="G490"/>
          <cell r="H490">
            <v>2</v>
          </cell>
          <cell r="I490">
            <v>0</v>
          </cell>
          <cell r="J490">
            <v>0</v>
          </cell>
          <cell r="K490" t="str">
            <v/>
          </cell>
          <cell r="L490" t="str">
            <v/>
          </cell>
          <cell r="M490">
            <v>1</v>
          </cell>
          <cell r="N490">
            <v>1</v>
          </cell>
          <cell r="O490">
            <v>0</v>
          </cell>
          <cell r="P490" t="str">
            <v/>
          </cell>
          <cell r="Q490">
            <v>1</v>
          </cell>
          <cell r="R490">
            <v>1</v>
          </cell>
          <cell r="S490">
            <v>0</v>
          </cell>
          <cell r="T490">
            <v>0</v>
          </cell>
          <cell r="U490">
            <v>0</v>
          </cell>
          <cell r="V490">
            <v>1</v>
          </cell>
          <cell r="W490">
            <v>1</v>
          </cell>
          <cell r="X490" t="str">
            <v/>
          </cell>
          <cell r="Y490" t="str">
            <v/>
          </cell>
          <cell r="Z490" t="str">
            <v/>
          </cell>
          <cell r="AA490">
            <v>2</v>
          </cell>
          <cell r="AB490">
            <v>2</v>
          </cell>
          <cell r="AC490">
            <v>0</v>
          </cell>
          <cell r="AD490"/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0.83333333333333337</v>
          </cell>
        </row>
        <row r="491">
          <cell r="A491">
            <v>332121</v>
          </cell>
          <cell r="B491" t="str">
            <v>Sim</v>
          </cell>
          <cell r="C491" t="str">
            <v>Bandeja</v>
          </cell>
          <cell r="D491" t="str">
            <v>SPARE</v>
          </cell>
          <cell r="E491">
            <v>2</v>
          </cell>
          <cell r="F491" t="str">
            <v>Bandeja Dianteira Esquerda Com Pivô Cruze 2011 A 2016</v>
          </cell>
          <cell r="G491"/>
          <cell r="H491">
            <v>0</v>
          </cell>
          <cell r="I491">
            <v>0</v>
          </cell>
          <cell r="J491"/>
          <cell r="K491"/>
          <cell r="L491"/>
          <cell r="M491">
            <v>1</v>
          </cell>
          <cell r="N491">
            <v>1</v>
          </cell>
          <cell r="O491">
            <v>0</v>
          </cell>
          <cell r="P491" t="str">
            <v/>
          </cell>
          <cell r="Q491">
            <v>1</v>
          </cell>
          <cell r="R491">
            <v>1</v>
          </cell>
          <cell r="S491">
            <v>0</v>
          </cell>
          <cell r="T491">
            <v>0</v>
          </cell>
          <cell r="U491">
            <v>0</v>
          </cell>
          <cell r="V491">
            <v>3</v>
          </cell>
          <cell r="W491">
            <v>3</v>
          </cell>
          <cell r="X491" t="str">
            <v/>
          </cell>
          <cell r="Y491" t="str">
            <v/>
          </cell>
          <cell r="Z491" t="str">
            <v/>
          </cell>
          <cell r="AA491">
            <v>1</v>
          </cell>
          <cell r="AB491">
            <v>1</v>
          </cell>
          <cell r="AC491">
            <v>0</v>
          </cell>
          <cell r="AD491"/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0.83333333333333337</v>
          </cell>
        </row>
        <row r="492">
          <cell r="A492">
            <v>332022</v>
          </cell>
          <cell r="B492" t="str">
            <v>Sim</v>
          </cell>
          <cell r="C492" t="str">
            <v>Bandeja</v>
          </cell>
          <cell r="D492" t="str">
            <v>SPARE</v>
          </cell>
          <cell r="E492">
            <v>2</v>
          </cell>
          <cell r="F492" t="str">
            <v>Bandeja Dianteira Direita Monza 1991 A 1996 Com Pivô</v>
          </cell>
          <cell r="G492"/>
          <cell r="H492">
            <v>0</v>
          </cell>
          <cell r="I492">
            <v>0</v>
          </cell>
          <cell r="J492"/>
          <cell r="K492"/>
          <cell r="L492"/>
          <cell r="M492">
            <v>2</v>
          </cell>
          <cell r="N492">
            <v>2</v>
          </cell>
          <cell r="O492">
            <v>0</v>
          </cell>
          <cell r="P492" t="str">
            <v/>
          </cell>
          <cell r="Q492">
            <v>1</v>
          </cell>
          <cell r="R492">
            <v>1</v>
          </cell>
          <cell r="S492">
            <v>0</v>
          </cell>
          <cell r="T492">
            <v>0</v>
          </cell>
          <cell r="U492">
            <v>0</v>
          </cell>
          <cell r="V492">
            <v>2</v>
          </cell>
          <cell r="W492">
            <v>2</v>
          </cell>
          <cell r="X492" t="str">
            <v/>
          </cell>
          <cell r="Y492" t="str">
            <v/>
          </cell>
          <cell r="Z492" t="str">
            <v/>
          </cell>
          <cell r="AA492">
            <v>1</v>
          </cell>
          <cell r="AB492">
            <v>1</v>
          </cell>
          <cell r="AC492">
            <v>0</v>
          </cell>
          <cell r="AD492"/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0.83333333333333337</v>
          </cell>
        </row>
        <row r="493">
          <cell r="A493">
            <v>88665</v>
          </cell>
          <cell r="B493" t="str">
            <v>Sim</v>
          </cell>
          <cell r="C493" t="str">
            <v>Cabo de Freio</v>
          </cell>
          <cell r="D493" t="str">
            <v>Importação</v>
          </cell>
          <cell r="E493">
            <v>1</v>
          </cell>
          <cell r="F493" t="str">
            <v>Cabo De Freio Ecosport Todos 4x2 Flex 2012/2017</v>
          </cell>
          <cell r="G493"/>
          <cell r="H493">
            <v>0</v>
          </cell>
          <cell r="I493">
            <v>0</v>
          </cell>
          <cell r="J493" t="str">
            <v/>
          </cell>
          <cell r="K493" t="str">
            <v/>
          </cell>
          <cell r="L493" t="str">
            <v/>
          </cell>
          <cell r="M493">
            <v>1</v>
          </cell>
          <cell r="N493">
            <v>1</v>
          </cell>
          <cell r="O493" t="str">
            <v/>
          </cell>
          <cell r="P493" t="str">
            <v/>
          </cell>
          <cell r="Q493">
            <v>1</v>
          </cell>
          <cell r="R493">
            <v>1</v>
          </cell>
          <cell r="S493" t="str">
            <v>0</v>
          </cell>
          <cell r="T493">
            <v>0</v>
          </cell>
          <cell r="U493">
            <v>0</v>
          </cell>
          <cell r="V493">
            <v>3</v>
          </cell>
          <cell r="W493">
            <v>3</v>
          </cell>
          <cell r="X493" t="str">
            <v/>
          </cell>
          <cell r="Y493" t="str">
            <v/>
          </cell>
          <cell r="Z493" t="str">
            <v/>
          </cell>
          <cell r="AA493">
            <v>1</v>
          </cell>
          <cell r="AB493">
            <v>1</v>
          </cell>
          <cell r="AC493">
            <v>0</v>
          </cell>
          <cell r="AD493"/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0.83333333333333337</v>
          </cell>
        </row>
        <row r="494">
          <cell r="A494">
            <v>442085</v>
          </cell>
          <cell r="B494" t="str">
            <v>Sim</v>
          </cell>
          <cell r="C494" t="str">
            <v>Bandeja</v>
          </cell>
          <cell r="D494" t="str">
            <v>SPARE</v>
          </cell>
          <cell r="E494">
            <v>2</v>
          </cell>
          <cell r="F494" t="str">
            <v>Bandeja Inferior Esquerda Com Pivô Logus 1993 A 1996</v>
          </cell>
          <cell r="G494"/>
          <cell r="H494">
            <v>2</v>
          </cell>
          <cell r="I494">
            <v>0</v>
          </cell>
          <cell r="J494" t="str">
            <v/>
          </cell>
          <cell r="K494" t="str">
            <v/>
          </cell>
          <cell r="L494" t="str">
            <v/>
          </cell>
          <cell r="M494">
            <v>0</v>
          </cell>
          <cell r="N494" t="str">
            <v/>
          </cell>
          <cell r="O494" t="str">
            <v/>
          </cell>
          <cell r="P494" t="str">
            <v/>
          </cell>
          <cell r="Q494">
            <v>1</v>
          </cell>
          <cell r="R494">
            <v>1</v>
          </cell>
          <cell r="S494" t="str">
            <v>0</v>
          </cell>
          <cell r="T494">
            <v>0</v>
          </cell>
          <cell r="U494">
            <v>0</v>
          </cell>
          <cell r="V494">
            <v>2</v>
          </cell>
          <cell r="W494">
            <v>2</v>
          </cell>
          <cell r="X494" t="str">
            <v/>
          </cell>
          <cell r="Y494" t="str">
            <v/>
          </cell>
          <cell r="Z494" t="str">
            <v/>
          </cell>
          <cell r="AA494">
            <v>1</v>
          </cell>
          <cell r="AB494">
            <v>1</v>
          </cell>
          <cell r="AC494">
            <v>0</v>
          </cell>
          <cell r="AD494"/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0.83333333333333337</v>
          </cell>
        </row>
        <row r="495">
          <cell r="A495">
            <v>552019</v>
          </cell>
          <cell r="B495" t="str">
            <v>Sim</v>
          </cell>
          <cell r="C495" t="str">
            <v>Bandeja</v>
          </cell>
          <cell r="D495" t="str">
            <v>SPARE</v>
          </cell>
          <cell r="E495">
            <v>2</v>
          </cell>
          <cell r="F495" t="str">
            <v>Bandeja Dianteira Esquerda Partner 1999 A 2008</v>
          </cell>
          <cell r="G495"/>
          <cell r="H495">
            <v>0</v>
          </cell>
          <cell r="I495">
            <v>1</v>
          </cell>
          <cell r="J495" t="str">
            <v/>
          </cell>
          <cell r="K495">
            <v>1</v>
          </cell>
          <cell r="L495" t="str">
            <v/>
          </cell>
          <cell r="M495">
            <v>0</v>
          </cell>
          <cell r="N495" t="str">
            <v/>
          </cell>
          <cell r="O495" t="str">
            <v/>
          </cell>
          <cell r="P495" t="str">
            <v/>
          </cell>
          <cell r="Q495">
            <v>4</v>
          </cell>
          <cell r="R495">
            <v>4</v>
          </cell>
          <cell r="S495" t="str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/>
          </cell>
          <cell r="Y495" t="str">
            <v/>
          </cell>
          <cell r="Z495" t="str">
            <v/>
          </cell>
          <cell r="AA495">
            <v>1</v>
          </cell>
          <cell r="AB495">
            <v>1</v>
          </cell>
          <cell r="AC495">
            <v>0</v>
          </cell>
          <cell r="AD495"/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0.83333333333333337</v>
          </cell>
        </row>
        <row r="496">
          <cell r="A496">
            <v>112004</v>
          </cell>
          <cell r="B496" t="str">
            <v>Sim</v>
          </cell>
          <cell r="C496" t="str">
            <v>Bandeja</v>
          </cell>
          <cell r="D496" t="str">
            <v>SPARE</v>
          </cell>
          <cell r="E496">
            <v>2</v>
          </cell>
          <cell r="F496" t="str">
            <v>Bracinho Oscilante Com Pivô Sem Bucha Fiat Panorama</v>
          </cell>
          <cell r="G496"/>
          <cell r="H496">
            <v>2</v>
          </cell>
          <cell r="I496">
            <v>2</v>
          </cell>
          <cell r="J496">
            <v>2</v>
          </cell>
          <cell r="K496" t="str">
            <v/>
          </cell>
          <cell r="L496" t="str">
            <v/>
          </cell>
          <cell r="M496">
            <v>1</v>
          </cell>
          <cell r="N496">
            <v>1</v>
          </cell>
          <cell r="O496">
            <v>0</v>
          </cell>
          <cell r="P496" t="str">
            <v/>
          </cell>
          <cell r="Q496">
            <v>0</v>
          </cell>
          <cell r="R496" t="str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/>
          </cell>
          <cell r="Y496" t="str">
            <v/>
          </cell>
          <cell r="Z496" t="str">
            <v/>
          </cell>
          <cell r="AA496">
            <v>0</v>
          </cell>
          <cell r="AB496">
            <v>0</v>
          </cell>
          <cell r="AC496">
            <v>0</v>
          </cell>
          <cell r="AD496"/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0.83333333333333337</v>
          </cell>
        </row>
        <row r="497">
          <cell r="A497">
            <v>772058</v>
          </cell>
          <cell r="B497" t="str">
            <v>Sim</v>
          </cell>
          <cell r="C497" t="str">
            <v>Bandeja</v>
          </cell>
          <cell r="D497" t="str">
            <v>SPARE</v>
          </cell>
          <cell r="E497">
            <v>2</v>
          </cell>
          <cell r="F497" t="str">
            <v>Bandeja Dianteira Direita Sem Pivô Hyundai Ix35 2010 A 2015</v>
          </cell>
          <cell r="G497"/>
          <cell r="H497">
            <v>4</v>
          </cell>
          <cell r="I497">
            <v>1</v>
          </cell>
          <cell r="J497">
            <v>0</v>
          </cell>
          <cell r="K497">
            <v>1</v>
          </cell>
          <cell r="L497" t="str">
            <v/>
          </cell>
          <cell r="M497">
            <v>0</v>
          </cell>
          <cell r="N497" t="str">
            <v/>
          </cell>
          <cell r="O497">
            <v>0</v>
          </cell>
          <cell r="P497" t="str">
            <v/>
          </cell>
          <cell r="Q497">
            <v>0</v>
          </cell>
          <cell r="R497" t="str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/>
          </cell>
          <cell r="Y497" t="str">
            <v/>
          </cell>
          <cell r="Z497" t="str">
            <v/>
          </cell>
          <cell r="AA497">
            <v>0</v>
          </cell>
          <cell r="AB497">
            <v>0</v>
          </cell>
          <cell r="AC497">
            <v>0</v>
          </cell>
          <cell r="AD497"/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0.83333333333333337</v>
          </cell>
        </row>
        <row r="498">
          <cell r="A498">
            <v>772027</v>
          </cell>
          <cell r="B498" t="str">
            <v>Sim</v>
          </cell>
          <cell r="C498" t="str">
            <v>Bandeja</v>
          </cell>
          <cell r="D498" t="str">
            <v>SPARE</v>
          </cell>
          <cell r="E498">
            <v>2</v>
          </cell>
          <cell r="F498" t="str">
            <v>Bandeja Inferior Esquerda Com Pivô New Civic 2007 A 2011</v>
          </cell>
          <cell r="G498"/>
          <cell r="H498">
            <v>1</v>
          </cell>
          <cell r="I498">
            <v>0</v>
          </cell>
          <cell r="J498">
            <v>0</v>
          </cell>
          <cell r="K498" t="str">
            <v/>
          </cell>
          <cell r="L498" t="str">
            <v/>
          </cell>
          <cell r="M498">
            <v>3</v>
          </cell>
          <cell r="N498" t="str">
            <v/>
          </cell>
          <cell r="O498">
            <v>3</v>
          </cell>
          <cell r="P498" t="str">
            <v/>
          </cell>
          <cell r="Q498">
            <v>1</v>
          </cell>
          <cell r="R498" t="str">
            <v>0</v>
          </cell>
          <cell r="S498">
            <v>1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 t="str">
            <v/>
          </cell>
          <cell r="Y498" t="str">
            <v/>
          </cell>
          <cell r="Z498" t="str">
            <v/>
          </cell>
          <cell r="AA498">
            <v>0</v>
          </cell>
          <cell r="AB498">
            <v>0</v>
          </cell>
          <cell r="AC498">
            <v>0</v>
          </cell>
          <cell r="AD498"/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0.83333333333333337</v>
          </cell>
        </row>
        <row r="499">
          <cell r="A499">
            <v>772139</v>
          </cell>
          <cell r="B499" t="str">
            <v>Sim</v>
          </cell>
          <cell r="C499" t="str">
            <v>Bandeja</v>
          </cell>
          <cell r="D499" t="str">
            <v>SPARE</v>
          </cell>
          <cell r="E499">
            <v>2</v>
          </cell>
          <cell r="F499" t="str">
            <v>Bandeja Dianteira Esquerda Sem Pivô Civic 2011 A 2016</v>
          </cell>
          <cell r="G499"/>
          <cell r="H499">
            <v>0</v>
          </cell>
          <cell r="I499">
            <v>1</v>
          </cell>
          <cell r="J499">
            <v>1</v>
          </cell>
          <cell r="K499" t="str">
            <v/>
          </cell>
          <cell r="L499" t="str">
            <v/>
          </cell>
          <cell r="M499">
            <v>2</v>
          </cell>
          <cell r="N499">
            <v>2</v>
          </cell>
          <cell r="O499">
            <v>0</v>
          </cell>
          <cell r="P499" t="str">
            <v/>
          </cell>
          <cell r="Q499">
            <v>1</v>
          </cell>
          <cell r="R499">
            <v>1</v>
          </cell>
          <cell r="S499">
            <v>0</v>
          </cell>
          <cell r="T499">
            <v>0</v>
          </cell>
          <cell r="U499">
            <v>0</v>
          </cell>
          <cell r="V499">
            <v>1</v>
          </cell>
          <cell r="W499">
            <v>0</v>
          </cell>
          <cell r="X499">
            <v>1</v>
          </cell>
          <cell r="Y499" t="str">
            <v/>
          </cell>
          <cell r="Z499" t="str">
            <v/>
          </cell>
          <cell r="AA499">
            <v>0</v>
          </cell>
          <cell r="AB499">
            <v>0</v>
          </cell>
          <cell r="AC499">
            <v>0</v>
          </cell>
          <cell r="AD499"/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0.83333333333333337</v>
          </cell>
        </row>
        <row r="500">
          <cell r="A500">
            <v>4008</v>
          </cell>
          <cell r="B500" t="str">
            <v>Sim</v>
          </cell>
          <cell r="C500" t="str">
            <v>Capa Pedal</v>
          </cell>
          <cell r="D500" t="str">
            <v>HOLYMAN</v>
          </cell>
          <cell r="E500">
            <v>5</v>
          </cell>
          <cell r="F500" t="str">
            <v>Capa De Pedal Freio Embreagem Acelerador Chevette 1973 A 80</v>
          </cell>
          <cell r="G500"/>
          <cell r="H500">
            <v>0</v>
          </cell>
          <cell r="I500">
            <v>0</v>
          </cell>
          <cell r="J500"/>
          <cell r="K500">
            <v>2</v>
          </cell>
          <cell r="L500"/>
          <cell r="M500">
            <v>1</v>
          </cell>
          <cell r="N500">
            <v>1</v>
          </cell>
          <cell r="O500" t="str">
            <v/>
          </cell>
          <cell r="P500" t="str">
            <v/>
          </cell>
          <cell r="Q500">
            <v>3</v>
          </cell>
          <cell r="R500">
            <v>3</v>
          </cell>
          <cell r="S500" t="str">
            <v>0</v>
          </cell>
          <cell r="T500">
            <v>0</v>
          </cell>
          <cell r="U500">
            <v>0</v>
          </cell>
          <cell r="V500">
            <v>1</v>
          </cell>
          <cell r="W500">
            <v>1</v>
          </cell>
          <cell r="X500" t="str">
            <v/>
          </cell>
          <cell r="Y500" t="str">
            <v/>
          </cell>
          <cell r="Z500" t="str">
            <v/>
          </cell>
          <cell r="AA500">
            <v>0</v>
          </cell>
          <cell r="AB500">
            <v>0</v>
          </cell>
          <cell r="AC500">
            <v>0</v>
          </cell>
          <cell r="AD500"/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0.83333333333333337</v>
          </cell>
        </row>
        <row r="501">
          <cell r="A501" t="str">
            <v>hl4047</v>
          </cell>
          <cell r="B501" t="str">
            <v>Sim</v>
          </cell>
          <cell r="C501" t="str">
            <v>Capa Pedal</v>
          </cell>
          <cell r="D501" t="str">
            <v>HOLYMAN</v>
          </cell>
          <cell r="E501">
            <v>5</v>
          </cell>
          <cell r="F501" t="str">
            <v>Capa Pedal De Freio Zafira 2004 A 2011 Automático</v>
          </cell>
          <cell r="G501"/>
          <cell r="H501">
            <v>0</v>
          </cell>
          <cell r="I501">
            <v>0</v>
          </cell>
          <cell r="J501" t="str">
            <v/>
          </cell>
          <cell r="K501" t="str">
            <v/>
          </cell>
          <cell r="L501" t="str">
            <v/>
          </cell>
          <cell r="M501">
            <v>1</v>
          </cell>
          <cell r="N501">
            <v>1</v>
          </cell>
          <cell r="O501" t="str">
            <v/>
          </cell>
          <cell r="P501" t="str">
            <v/>
          </cell>
          <cell r="Q501">
            <v>2</v>
          </cell>
          <cell r="R501">
            <v>2</v>
          </cell>
          <cell r="S501" t="str">
            <v>0</v>
          </cell>
          <cell r="T501">
            <v>0</v>
          </cell>
          <cell r="U501">
            <v>0</v>
          </cell>
          <cell r="V501">
            <v>2</v>
          </cell>
          <cell r="W501">
            <v>2</v>
          </cell>
          <cell r="X501" t="str">
            <v/>
          </cell>
          <cell r="Y501" t="str">
            <v/>
          </cell>
          <cell r="Z501" t="str">
            <v/>
          </cell>
          <cell r="AA501">
            <v>0</v>
          </cell>
          <cell r="AB501">
            <v>0</v>
          </cell>
          <cell r="AC501">
            <v>0</v>
          </cell>
          <cell r="AD501"/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0.83333333333333337</v>
          </cell>
        </row>
        <row r="502">
          <cell r="A502" t="str">
            <v>FTK11051</v>
          </cell>
          <cell r="B502" t="str">
            <v>Sim</v>
          </cell>
          <cell r="C502" t="str">
            <v>Pivô</v>
          </cell>
          <cell r="D502" t="str">
            <v>SPARE</v>
          </cell>
          <cell r="E502">
            <v>2</v>
          </cell>
          <cell r="F502" t="str">
            <v>PIVÔ INFERIOR AMBOS LADOS MERIVA 1.4 1.8 2003 A 2012</v>
          </cell>
          <cell r="G502"/>
          <cell r="H502">
            <v>0</v>
          </cell>
          <cell r="I502">
            <v>0</v>
          </cell>
          <cell r="J502"/>
          <cell r="K502"/>
          <cell r="L502"/>
          <cell r="M502">
            <v>0</v>
          </cell>
          <cell r="N502" t="str">
            <v/>
          </cell>
          <cell r="O502">
            <v>0</v>
          </cell>
          <cell r="P502" t="str">
            <v/>
          </cell>
          <cell r="Q502">
            <v>2</v>
          </cell>
          <cell r="R502">
            <v>2</v>
          </cell>
          <cell r="S502">
            <v>0</v>
          </cell>
          <cell r="T502">
            <v>0</v>
          </cell>
          <cell r="U502">
            <v>0</v>
          </cell>
          <cell r="V502">
            <v>3</v>
          </cell>
          <cell r="W502">
            <v>3</v>
          </cell>
          <cell r="X502" t="str">
            <v/>
          </cell>
          <cell r="Y502" t="str">
            <v/>
          </cell>
          <cell r="Z502" t="str">
            <v/>
          </cell>
          <cell r="AA502">
            <v>0</v>
          </cell>
          <cell r="AB502">
            <v>0</v>
          </cell>
          <cell r="AC502">
            <v>0</v>
          </cell>
          <cell r="AD502"/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0.83333333333333337</v>
          </cell>
        </row>
        <row r="503">
          <cell r="A503">
            <v>5200</v>
          </cell>
          <cell r="B503"/>
          <cell r="C503" t="str">
            <v>Bieleta</v>
          </cell>
          <cell r="D503" t="str">
            <v>HOLYMAN</v>
          </cell>
          <cell r="E503">
            <v>5</v>
          </cell>
          <cell r="F503" t="str">
            <v>BIELETA DIANTEIRA AMBOS LADOS OMEGA 1993 A 1998</v>
          </cell>
          <cell r="G503"/>
          <cell r="H503" t="str">
            <v>-</v>
          </cell>
          <cell r="I503">
            <v>0</v>
          </cell>
          <cell r="J503">
            <v>0</v>
          </cell>
          <cell r="K503" t="str">
            <v/>
          </cell>
          <cell r="L503" t="str">
            <v/>
          </cell>
          <cell r="M503">
            <v>0</v>
          </cell>
          <cell r="N503" t="str">
            <v/>
          </cell>
          <cell r="O503">
            <v>0</v>
          </cell>
          <cell r="P503" t="str">
            <v/>
          </cell>
          <cell r="Q503">
            <v>4</v>
          </cell>
          <cell r="R503" t="str">
            <v>0</v>
          </cell>
          <cell r="S503">
            <v>4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 t="str">
            <v/>
          </cell>
          <cell r="Y503" t="str">
            <v/>
          </cell>
          <cell r="Z503" t="str">
            <v/>
          </cell>
          <cell r="AA503">
            <v>0</v>
          </cell>
          <cell r="AB503">
            <v>0</v>
          </cell>
          <cell r="AC503">
            <v>0</v>
          </cell>
          <cell r="AD503"/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0.8</v>
          </cell>
        </row>
        <row r="504">
          <cell r="A504">
            <v>5502</v>
          </cell>
          <cell r="B504"/>
          <cell r="C504" t="str">
            <v>Bieleta</v>
          </cell>
          <cell r="D504" t="str">
            <v>HOLYMAN</v>
          </cell>
          <cell r="E504">
            <v>5</v>
          </cell>
          <cell r="F504" t="str">
            <v>BIELETA DIANTEIRA AMBOS LADOS HILUX SW4 4X4 1996 A 2004</v>
          </cell>
          <cell r="G504"/>
          <cell r="H504" t="str">
            <v>-</v>
          </cell>
          <cell r="I504">
            <v>0</v>
          </cell>
          <cell r="J504">
            <v>0</v>
          </cell>
          <cell r="K504" t="str">
            <v/>
          </cell>
          <cell r="L504" t="str">
            <v/>
          </cell>
          <cell r="M504">
            <v>0</v>
          </cell>
          <cell r="N504" t="str">
            <v/>
          </cell>
          <cell r="O504">
            <v>0</v>
          </cell>
          <cell r="P504" t="str">
            <v/>
          </cell>
          <cell r="Q504">
            <v>2</v>
          </cell>
          <cell r="R504" t="str">
            <v>0</v>
          </cell>
          <cell r="S504">
            <v>2</v>
          </cell>
          <cell r="T504">
            <v>0</v>
          </cell>
          <cell r="U504">
            <v>0</v>
          </cell>
          <cell r="V504">
            <v>2</v>
          </cell>
          <cell r="W504">
            <v>0</v>
          </cell>
          <cell r="X504">
            <v>2</v>
          </cell>
          <cell r="Y504" t="str">
            <v/>
          </cell>
          <cell r="Z504" t="str">
            <v/>
          </cell>
          <cell r="AA504">
            <v>0</v>
          </cell>
          <cell r="AB504">
            <v>0</v>
          </cell>
          <cell r="AC504">
            <v>0</v>
          </cell>
          <cell r="AD504"/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0.8</v>
          </cell>
        </row>
        <row r="505">
          <cell r="A505">
            <v>442060</v>
          </cell>
          <cell r="B505" t="str">
            <v>Sim</v>
          </cell>
          <cell r="C505" t="str">
            <v>Bandeja</v>
          </cell>
          <cell r="D505" t="str">
            <v>SPARE</v>
          </cell>
          <cell r="E505">
            <v>2</v>
          </cell>
          <cell r="F505" t="str">
            <v>Bandeja Inferior Ambos Os Lados Sem Pivô Santana 1988 A 2002</v>
          </cell>
          <cell r="G505"/>
          <cell r="H505">
            <v>0</v>
          </cell>
          <cell r="I505">
            <v>0</v>
          </cell>
          <cell r="J505"/>
          <cell r="K505"/>
          <cell r="L505"/>
          <cell r="M505">
            <v>1</v>
          </cell>
          <cell r="N505">
            <v>1</v>
          </cell>
          <cell r="O505" t="str">
            <v/>
          </cell>
          <cell r="P505" t="str">
            <v/>
          </cell>
          <cell r="Q505">
            <v>1</v>
          </cell>
          <cell r="R505">
            <v>1</v>
          </cell>
          <cell r="S505" t="str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 t="str">
            <v/>
          </cell>
          <cell r="Y505" t="str">
            <v/>
          </cell>
          <cell r="Z505" t="str">
            <v/>
          </cell>
          <cell r="AA505">
            <v>1</v>
          </cell>
          <cell r="AB505">
            <v>1</v>
          </cell>
          <cell r="AC505">
            <v>0</v>
          </cell>
          <cell r="AD505"/>
          <cell r="AE505">
            <v>0</v>
          </cell>
          <cell r="AF505">
            <v>2</v>
          </cell>
          <cell r="AG505">
            <v>0</v>
          </cell>
          <cell r="AH505">
            <v>2</v>
          </cell>
          <cell r="AI505">
            <v>0</v>
          </cell>
          <cell r="AJ505">
            <v>0</v>
          </cell>
          <cell r="AK505">
            <v>0.66666666666666663</v>
          </cell>
        </row>
        <row r="506">
          <cell r="A506" t="str">
            <v>FTK-PDA162</v>
          </cell>
          <cell r="B506"/>
          <cell r="C506" t="str">
            <v>Amortecedor Pota Malas</v>
          </cell>
          <cell r="D506" t="str">
            <v>Pandão</v>
          </cell>
          <cell r="E506">
            <v>22</v>
          </cell>
          <cell r="F506" t="str">
            <v>AMORTECEDOR MOLA A GÁS PORTA MALAS FOCUS HATCH 2009 A 2013</v>
          </cell>
          <cell r="G506"/>
          <cell r="H506" t="str">
            <v>-</v>
          </cell>
          <cell r="I506"/>
          <cell r="J506"/>
          <cell r="K506"/>
          <cell r="L506"/>
          <cell r="M506"/>
          <cell r="N506"/>
          <cell r="O506"/>
          <cell r="P506"/>
          <cell r="Q506">
            <v>0</v>
          </cell>
          <cell r="R506"/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 t="str">
            <v/>
          </cell>
          <cell r="Y506" t="str">
            <v/>
          </cell>
          <cell r="Z506" t="str">
            <v/>
          </cell>
          <cell r="AA506">
            <v>0</v>
          </cell>
          <cell r="AB506">
            <v>0</v>
          </cell>
          <cell r="AC506">
            <v>0</v>
          </cell>
          <cell r="AD506"/>
          <cell r="AE506">
            <v>0</v>
          </cell>
          <cell r="AF506">
            <v>2</v>
          </cell>
          <cell r="AG506">
            <v>0</v>
          </cell>
          <cell r="AH506">
            <v>2</v>
          </cell>
          <cell r="AI506">
            <v>0</v>
          </cell>
          <cell r="AJ506">
            <v>0</v>
          </cell>
          <cell r="AK506">
            <v>0.66666666666666663</v>
          </cell>
        </row>
        <row r="507">
          <cell r="A507">
            <v>6001</v>
          </cell>
          <cell r="B507"/>
          <cell r="C507" t="str">
            <v>Bieleta</v>
          </cell>
          <cell r="D507" t="str">
            <v>HOLYMAN</v>
          </cell>
          <cell r="E507">
            <v>5</v>
          </cell>
          <cell r="F507" t="str">
            <v>Bieleta Dianteira Ambos Os Lados Symbol 2010 Em Diante</v>
          </cell>
          <cell r="G507"/>
          <cell r="H507">
            <v>0</v>
          </cell>
          <cell r="I507">
            <v>0</v>
          </cell>
          <cell r="J507">
            <v>0</v>
          </cell>
          <cell r="K507" t="str">
            <v/>
          </cell>
          <cell r="L507" t="str">
            <v/>
          </cell>
          <cell r="M507">
            <v>0</v>
          </cell>
          <cell r="N507" t="str">
            <v/>
          </cell>
          <cell r="O507">
            <v>0</v>
          </cell>
          <cell r="P507" t="str">
            <v/>
          </cell>
          <cell r="Q507">
            <v>2</v>
          </cell>
          <cell r="R507" t="str">
            <v>0</v>
          </cell>
          <cell r="S507">
            <v>0</v>
          </cell>
          <cell r="T507">
            <v>0</v>
          </cell>
          <cell r="U507">
            <v>2</v>
          </cell>
          <cell r="V507">
            <v>0</v>
          </cell>
          <cell r="W507">
            <v>0</v>
          </cell>
          <cell r="X507" t="str">
            <v/>
          </cell>
          <cell r="Y507" t="str">
            <v/>
          </cell>
          <cell r="Z507" t="str">
            <v/>
          </cell>
          <cell r="AA507">
            <v>0</v>
          </cell>
          <cell r="AB507">
            <v>0</v>
          </cell>
          <cell r="AC507">
            <v>0</v>
          </cell>
          <cell r="AD507"/>
          <cell r="AE507">
            <v>0</v>
          </cell>
          <cell r="AF507">
            <v>2</v>
          </cell>
          <cell r="AG507">
            <v>0</v>
          </cell>
          <cell r="AH507">
            <v>0</v>
          </cell>
          <cell r="AI507">
            <v>0</v>
          </cell>
          <cell r="AJ507">
            <v>2</v>
          </cell>
          <cell r="AK507">
            <v>0.66666666666666663</v>
          </cell>
        </row>
        <row r="508">
          <cell r="A508">
            <v>662024</v>
          </cell>
          <cell r="B508" t="str">
            <v>Sim</v>
          </cell>
          <cell r="C508" t="str">
            <v>Bandeja</v>
          </cell>
          <cell r="D508" t="str">
            <v>SPARE</v>
          </cell>
          <cell r="E508">
            <v>2</v>
          </cell>
          <cell r="F508" t="str">
            <v>Bandeja Clio Inferior Direito 2005 Á 2016 Sem Pivô</v>
          </cell>
          <cell r="G508"/>
          <cell r="H508">
            <v>0</v>
          </cell>
          <cell r="I508">
            <v>1</v>
          </cell>
          <cell r="J508">
            <v>1</v>
          </cell>
          <cell r="K508" t="str">
            <v/>
          </cell>
          <cell r="L508" t="str">
            <v/>
          </cell>
          <cell r="M508">
            <v>0</v>
          </cell>
          <cell r="N508" t="str">
            <v/>
          </cell>
          <cell r="O508">
            <v>0</v>
          </cell>
          <cell r="P508" t="str">
            <v/>
          </cell>
          <cell r="Q508">
            <v>0</v>
          </cell>
          <cell r="R508" t="str">
            <v>0</v>
          </cell>
          <cell r="S508">
            <v>0</v>
          </cell>
          <cell r="T508">
            <v>0</v>
          </cell>
          <cell r="U508">
            <v>0</v>
          </cell>
          <cell r="V508">
            <v>2</v>
          </cell>
          <cell r="W508">
            <v>1</v>
          </cell>
          <cell r="X508">
            <v>1</v>
          </cell>
          <cell r="Y508" t="str">
            <v/>
          </cell>
          <cell r="Z508" t="str">
            <v/>
          </cell>
          <cell r="AA508">
            <v>1</v>
          </cell>
          <cell r="AB508">
            <v>0</v>
          </cell>
          <cell r="AC508">
            <v>1</v>
          </cell>
          <cell r="AD508"/>
          <cell r="AE508">
            <v>0</v>
          </cell>
          <cell r="AF508">
            <v>1</v>
          </cell>
          <cell r="AG508">
            <v>0</v>
          </cell>
          <cell r="AH508">
            <v>1</v>
          </cell>
          <cell r="AI508">
            <v>0</v>
          </cell>
          <cell r="AJ508">
            <v>0</v>
          </cell>
          <cell r="AK508">
            <v>0.66666666666666663</v>
          </cell>
        </row>
        <row r="509">
          <cell r="A509" t="str">
            <v>FTK00226</v>
          </cell>
          <cell r="B509"/>
          <cell r="C509" t="str">
            <v>Pivô</v>
          </cell>
          <cell r="D509" t="str">
            <v>SPARE</v>
          </cell>
          <cell r="E509">
            <v>2</v>
          </cell>
          <cell r="F509" t="str">
            <v>PIVÔ INFERIOR DIREITO FOCUS 2014 EM DIANTE</v>
          </cell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>
            <v>0</v>
          </cell>
          <cell r="R509"/>
          <cell r="S509">
            <v>0</v>
          </cell>
          <cell r="T509">
            <v>0</v>
          </cell>
          <cell r="U509">
            <v>0</v>
          </cell>
          <cell r="V509">
            <v>1</v>
          </cell>
          <cell r="W509">
            <v>0</v>
          </cell>
          <cell r="X509">
            <v>1</v>
          </cell>
          <cell r="Y509" t="str">
            <v/>
          </cell>
          <cell r="Z509" t="str">
            <v/>
          </cell>
          <cell r="AA509">
            <v>1</v>
          </cell>
          <cell r="AB509">
            <v>0</v>
          </cell>
          <cell r="AC509">
            <v>1</v>
          </cell>
          <cell r="AD509"/>
          <cell r="AE509">
            <v>0</v>
          </cell>
          <cell r="AF509">
            <v>1</v>
          </cell>
          <cell r="AG509">
            <v>0</v>
          </cell>
          <cell r="AH509">
            <v>1</v>
          </cell>
          <cell r="AI509">
            <v>0</v>
          </cell>
          <cell r="AJ509">
            <v>0</v>
          </cell>
          <cell r="AK509">
            <v>0.66666666666666663</v>
          </cell>
        </row>
        <row r="510">
          <cell r="A510" t="str">
            <v>FTK00227</v>
          </cell>
          <cell r="B510"/>
          <cell r="C510" t="str">
            <v>Pivô</v>
          </cell>
          <cell r="D510" t="str">
            <v>SPARE</v>
          </cell>
          <cell r="E510">
            <v>2</v>
          </cell>
          <cell r="F510" t="str">
            <v>PIVÔ INFERIOR ESQUERDO FOCUS 2014 EM DIANTE</v>
          </cell>
          <cell r="G510"/>
          <cell r="H510" t="str">
            <v>-</v>
          </cell>
          <cell r="I510"/>
          <cell r="J510"/>
          <cell r="K510"/>
          <cell r="L510"/>
          <cell r="M510"/>
          <cell r="N510"/>
          <cell r="O510"/>
          <cell r="P510"/>
          <cell r="Q510">
            <v>0</v>
          </cell>
          <cell r="R510"/>
          <cell r="S510">
            <v>0</v>
          </cell>
          <cell r="T510">
            <v>0</v>
          </cell>
          <cell r="U510">
            <v>0</v>
          </cell>
          <cell r="V510">
            <v>1</v>
          </cell>
          <cell r="W510">
            <v>0</v>
          </cell>
          <cell r="X510">
            <v>1</v>
          </cell>
          <cell r="Y510" t="str">
            <v/>
          </cell>
          <cell r="Z510" t="str">
            <v/>
          </cell>
          <cell r="AA510">
            <v>1</v>
          </cell>
          <cell r="AB510">
            <v>0</v>
          </cell>
          <cell r="AC510">
            <v>1</v>
          </cell>
          <cell r="AD510"/>
          <cell r="AE510">
            <v>0</v>
          </cell>
          <cell r="AF510">
            <v>1</v>
          </cell>
          <cell r="AG510">
            <v>0</v>
          </cell>
          <cell r="AH510">
            <v>1</v>
          </cell>
          <cell r="AI510">
            <v>0</v>
          </cell>
          <cell r="AJ510">
            <v>0</v>
          </cell>
          <cell r="AK510">
            <v>0.66666666666666663</v>
          </cell>
        </row>
        <row r="511">
          <cell r="A511">
            <v>112030</v>
          </cell>
          <cell r="B511" t="str">
            <v>Sim</v>
          </cell>
          <cell r="C511" t="str">
            <v>Bandeja</v>
          </cell>
          <cell r="D511" t="str">
            <v>SPARE</v>
          </cell>
          <cell r="E511">
            <v>2</v>
          </cell>
          <cell r="F511" t="str">
            <v>Bandeja Direita Siena 1997 Á 2001 Com Pivô</v>
          </cell>
          <cell r="G511"/>
          <cell r="H511">
            <v>2</v>
          </cell>
          <cell r="I511">
            <v>0</v>
          </cell>
          <cell r="J511">
            <v>0</v>
          </cell>
          <cell r="K511" t="str">
            <v/>
          </cell>
          <cell r="L511" t="str">
            <v/>
          </cell>
          <cell r="M511">
            <v>0</v>
          </cell>
          <cell r="N511" t="str">
            <v/>
          </cell>
          <cell r="O511">
            <v>0</v>
          </cell>
          <cell r="P511" t="str">
            <v/>
          </cell>
          <cell r="Q511">
            <v>0</v>
          </cell>
          <cell r="R511" t="str">
            <v>0</v>
          </cell>
          <cell r="S511">
            <v>0</v>
          </cell>
          <cell r="T511">
            <v>0</v>
          </cell>
          <cell r="U511">
            <v>0</v>
          </cell>
          <cell r="V511">
            <v>1</v>
          </cell>
          <cell r="W511">
            <v>0</v>
          </cell>
          <cell r="X511">
            <v>1</v>
          </cell>
          <cell r="Y511" t="str">
            <v/>
          </cell>
          <cell r="Z511" t="str">
            <v/>
          </cell>
          <cell r="AA511">
            <v>0</v>
          </cell>
          <cell r="AB511">
            <v>0</v>
          </cell>
          <cell r="AC511">
            <v>0</v>
          </cell>
          <cell r="AD511"/>
          <cell r="AE511">
            <v>0</v>
          </cell>
          <cell r="AF511">
            <v>1</v>
          </cell>
          <cell r="AG511">
            <v>0</v>
          </cell>
          <cell r="AH511">
            <v>1</v>
          </cell>
          <cell r="AI511">
            <v>0</v>
          </cell>
          <cell r="AJ511">
            <v>0</v>
          </cell>
          <cell r="AK511">
            <v>0.66666666666666663</v>
          </cell>
        </row>
        <row r="512">
          <cell r="A512">
            <v>662071</v>
          </cell>
          <cell r="B512" t="str">
            <v>Sim</v>
          </cell>
          <cell r="C512" t="str">
            <v>Bandeja</v>
          </cell>
          <cell r="D512" t="str">
            <v>SPARE</v>
          </cell>
          <cell r="E512">
            <v>2</v>
          </cell>
          <cell r="F512" t="str">
            <v>Bandeja Dianteira Esquerda Com Pivô Oroch 2012 A 2016</v>
          </cell>
          <cell r="G512"/>
          <cell r="H512">
            <v>0</v>
          </cell>
          <cell r="I512">
            <v>0</v>
          </cell>
          <cell r="J512" t="str">
            <v/>
          </cell>
          <cell r="K512" t="str">
            <v/>
          </cell>
          <cell r="L512" t="str">
            <v/>
          </cell>
          <cell r="M512">
            <v>1</v>
          </cell>
          <cell r="N512">
            <v>1</v>
          </cell>
          <cell r="O512" t="str">
            <v/>
          </cell>
          <cell r="P512" t="str">
            <v/>
          </cell>
          <cell r="Q512">
            <v>2</v>
          </cell>
          <cell r="R512">
            <v>2</v>
          </cell>
          <cell r="S512" t="str">
            <v>0</v>
          </cell>
          <cell r="T512">
            <v>0</v>
          </cell>
          <cell r="U512">
            <v>0</v>
          </cell>
          <cell r="V512">
            <v>1</v>
          </cell>
          <cell r="W512">
            <v>1</v>
          </cell>
          <cell r="X512" t="str">
            <v/>
          </cell>
          <cell r="Y512" t="str">
            <v/>
          </cell>
          <cell r="Z512" t="str">
            <v/>
          </cell>
          <cell r="AA512">
            <v>6</v>
          </cell>
          <cell r="AB512">
            <v>6</v>
          </cell>
          <cell r="AC512">
            <v>0</v>
          </cell>
          <cell r="AD512"/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0.66666666666666663</v>
          </cell>
        </row>
        <row r="513">
          <cell r="A513">
            <v>112126</v>
          </cell>
          <cell r="B513" t="str">
            <v>Sim</v>
          </cell>
          <cell r="C513" t="str">
            <v>Bandeja</v>
          </cell>
          <cell r="D513" t="str">
            <v>SPARE</v>
          </cell>
          <cell r="E513">
            <v>2</v>
          </cell>
          <cell r="F513" t="str">
            <v>Bandeja Inferior Direita Com Pivô Idea Elx 2005 A 2016</v>
          </cell>
          <cell r="G513"/>
          <cell r="H513">
            <v>1</v>
          </cell>
          <cell r="I513">
            <v>1</v>
          </cell>
          <cell r="J513" t="str">
            <v/>
          </cell>
          <cell r="K513">
            <v>1</v>
          </cell>
          <cell r="L513" t="str">
            <v/>
          </cell>
          <cell r="M513">
            <v>1</v>
          </cell>
          <cell r="N513">
            <v>1</v>
          </cell>
          <cell r="O513" t="str">
            <v/>
          </cell>
          <cell r="P513" t="str">
            <v/>
          </cell>
          <cell r="Q513">
            <v>0</v>
          </cell>
          <cell r="R513" t="str">
            <v>0</v>
          </cell>
          <cell r="S513" t="str">
            <v>0</v>
          </cell>
          <cell r="T513">
            <v>0</v>
          </cell>
          <cell r="U513">
            <v>0</v>
          </cell>
          <cell r="V513">
            <v>1</v>
          </cell>
          <cell r="W513">
            <v>1</v>
          </cell>
          <cell r="X513" t="str">
            <v/>
          </cell>
          <cell r="Y513" t="str">
            <v/>
          </cell>
          <cell r="Z513" t="str">
            <v/>
          </cell>
          <cell r="AA513">
            <v>4</v>
          </cell>
          <cell r="AB513">
            <v>4</v>
          </cell>
          <cell r="AC513">
            <v>0</v>
          </cell>
          <cell r="AD513"/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0.66666666666666663</v>
          </cell>
        </row>
        <row r="514">
          <cell r="A514">
            <v>5025</v>
          </cell>
          <cell r="B514"/>
          <cell r="C514" t="str">
            <v>Bieleta</v>
          </cell>
          <cell r="D514" t="str">
            <v>HOLYMAN</v>
          </cell>
          <cell r="E514">
            <v>5</v>
          </cell>
          <cell r="F514" t="str">
            <v>Bieleta Dianteira Ambos Os Lados Transit 2009 A 2015</v>
          </cell>
          <cell r="G514"/>
          <cell r="H514">
            <v>4</v>
          </cell>
          <cell r="I514">
            <v>0</v>
          </cell>
          <cell r="J514">
            <v>0</v>
          </cell>
          <cell r="K514" t="str">
            <v/>
          </cell>
          <cell r="L514" t="str">
            <v/>
          </cell>
          <cell r="M514">
            <v>0</v>
          </cell>
          <cell r="N514" t="str">
            <v/>
          </cell>
          <cell r="O514">
            <v>0</v>
          </cell>
          <cell r="P514" t="str">
            <v/>
          </cell>
          <cell r="Q514">
            <v>0</v>
          </cell>
          <cell r="R514" t="str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 t="str">
            <v/>
          </cell>
          <cell r="Y514" t="str">
            <v/>
          </cell>
          <cell r="Z514" t="str">
            <v/>
          </cell>
          <cell r="AA514">
            <v>4</v>
          </cell>
          <cell r="AB514">
            <v>0</v>
          </cell>
          <cell r="AC514">
            <v>4</v>
          </cell>
          <cell r="AD514"/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0.66666666666666663</v>
          </cell>
        </row>
        <row r="515">
          <cell r="A515">
            <v>66260</v>
          </cell>
          <cell r="B515"/>
          <cell r="C515" t="str">
            <v>Pastilha de Freio</v>
          </cell>
          <cell r="D515" t="str">
            <v>BRASFREIO</v>
          </cell>
          <cell r="E515">
            <v>21</v>
          </cell>
          <cell r="F515" t="str">
            <v>Pastilha De Freio Dianteira Novo Hb20 2016 A 2019</v>
          </cell>
          <cell r="G515"/>
          <cell r="H515">
            <v>0</v>
          </cell>
          <cell r="I515">
            <v>0</v>
          </cell>
          <cell r="J515" t="str">
            <v/>
          </cell>
          <cell r="K515" t="str">
            <v/>
          </cell>
          <cell r="L515" t="str">
            <v/>
          </cell>
          <cell r="M515">
            <v>0</v>
          </cell>
          <cell r="N515" t="str">
            <v/>
          </cell>
          <cell r="O515" t="str">
            <v/>
          </cell>
          <cell r="P515" t="str">
            <v/>
          </cell>
          <cell r="Q515">
            <v>3</v>
          </cell>
          <cell r="R515">
            <v>3</v>
          </cell>
          <cell r="S515" t="str">
            <v>0</v>
          </cell>
          <cell r="T515">
            <v>0</v>
          </cell>
          <cell r="U515">
            <v>0</v>
          </cell>
          <cell r="V515">
            <v>1</v>
          </cell>
          <cell r="W515">
            <v>1</v>
          </cell>
          <cell r="X515" t="str">
            <v/>
          </cell>
          <cell r="Y515" t="str">
            <v/>
          </cell>
          <cell r="Z515" t="str">
            <v/>
          </cell>
          <cell r="AA515">
            <v>3</v>
          </cell>
          <cell r="AB515">
            <v>3</v>
          </cell>
          <cell r="AC515">
            <v>0</v>
          </cell>
          <cell r="AD515"/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0.66666666666666663</v>
          </cell>
        </row>
        <row r="516">
          <cell r="A516" t="str">
            <v>FTK11048</v>
          </cell>
          <cell r="B516" t="str">
            <v>Sim</v>
          </cell>
          <cell r="C516" t="str">
            <v>Pivô</v>
          </cell>
          <cell r="D516" t="str">
            <v>SPARE</v>
          </cell>
          <cell r="E516">
            <v>2</v>
          </cell>
          <cell r="F516" t="str">
            <v>Pivô Da Bandeja Inferior C3 2002 À 2013</v>
          </cell>
          <cell r="G516"/>
          <cell r="H516">
            <v>0</v>
          </cell>
          <cell r="I516">
            <v>0</v>
          </cell>
          <cell r="J516"/>
          <cell r="K516"/>
          <cell r="L516"/>
          <cell r="M516">
            <v>2</v>
          </cell>
          <cell r="N516">
            <v>2</v>
          </cell>
          <cell r="O516" t="str">
            <v/>
          </cell>
          <cell r="P516" t="str">
            <v/>
          </cell>
          <cell r="Q516">
            <v>2</v>
          </cell>
          <cell r="R516" t="str">
            <v>0</v>
          </cell>
          <cell r="S516">
            <v>2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 t="str">
            <v/>
          </cell>
          <cell r="Y516" t="str">
            <v/>
          </cell>
          <cell r="Z516" t="str">
            <v/>
          </cell>
          <cell r="AA516">
            <v>3</v>
          </cell>
          <cell r="AB516">
            <v>3</v>
          </cell>
          <cell r="AC516">
            <v>0</v>
          </cell>
          <cell r="AD516"/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0.66666666666666663</v>
          </cell>
        </row>
        <row r="517">
          <cell r="A517">
            <v>222110</v>
          </cell>
          <cell r="B517" t="str">
            <v>Não</v>
          </cell>
          <cell r="C517" t="str">
            <v>Bandeja</v>
          </cell>
          <cell r="D517" t="str">
            <v>SPARE</v>
          </cell>
          <cell r="E517">
            <v>2</v>
          </cell>
          <cell r="F517"/>
          <cell r="G517"/>
          <cell r="H517" t="str">
            <v>-</v>
          </cell>
          <cell r="I517" t="str">
            <v>-</v>
          </cell>
          <cell r="J517"/>
          <cell r="K517"/>
          <cell r="L517"/>
          <cell r="M517" t="str">
            <v>-</v>
          </cell>
          <cell r="N517"/>
          <cell r="O517"/>
          <cell r="P517"/>
          <cell r="Q517">
            <v>0</v>
          </cell>
          <cell r="R517" t="str">
            <v>0</v>
          </cell>
          <cell r="S517">
            <v>0</v>
          </cell>
          <cell r="T517">
            <v>0</v>
          </cell>
          <cell r="U517">
            <v>0</v>
          </cell>
          <cell r="V517">
            <v>2</v>
          </cell>
          <cell r="W517">
            <v>2</v>
          </cell>
          <cell r="X517" t="str">
            <v/>
          </cell>
          <cell r="Y517" t="str">
            <v/>
          </cell>
          <cell r="Z517" t="str">
            <v/>
          </cell>
          <cell r="AA517">
            <v>3</v>
          </cell>
          <cell r="AB517">
            <v>2</v>
          </cell>
          <cell r="AC517">
            <v>1</v>
          </cell>
          <cell r="AD517"/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0.66666666666666663</v>
          </cell>
        </row>
        <row r="518">
          <cell r="A518">
            <v>4023</v>
          </cell>
          <cell r="B518"/>
          <cell r="C518" t="str">
            <v>Capa Pedal</v>
          </cell>
          <cell r="D518" t="str">
            <v>HOLYMAN</v>
          </cell>
          <cell r="E518">
            <v>5</v>
          </cell>
          <cell r="F518" t="str">
            <v>Capa De Pedal Freio Embreagem Sprinter 310 312 412 311 313</v>
          </cell>
          <cell r="G518"/>
          <cell r="H518">
            <v>0</v>
          </cell>
          <cell r="I518">
            <v>0</v>
          </cell>
          <cell r="J518"/>
          <cell r="K518">
            <v>2</v>
          </cell>
          <cell r="L518"/>
          <cell r="M518">
            <v>0</v>
          </cell>
          <cell r="N518" t="str">
            <v/>
          </cell>
          <cell r="O518" t="str">
            <v/>
          </cell>
          <cell r="P518" t="str">
            <v/>
          </cell>
          <cell r="Q518">
            <v>2</v>
          </cell>
          <cell r="R518">
            <v>2</v>
          </cell>
          <cell r="S518" t="str">
            <v>0</v>
          </cell>
          <cell r="T518">
            <v>0</v>
          </cell>
          <cell r="U518">
            <v>0</v>
          </cell>
          <cell r="V518">
            <v>2</v>
          </cell>
          <cell r="W518">
            <v>2</v>
          </cell>
          <cell r="X518" t="str">
            <v/>
          </cell>
          <cell r="Y518" t="str">
            <v/>
          </cell>
          <cell r="Z518" t="str">
            <v/>
          </cell>
          <cell r="AA518">
            <v>2</v>
          </cell>
          <cell r="AB518">
            <v>2</v>
          </cell>
          <cell r="AC518">
            <v>0</v>
          </cell>
          <cell r="AD518"/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0.66666666666666663</v>
          </cell>
        </row>
        <row r="519">
          <cell r="A519">
            <v>22383</v>
          </cell>
          <cell r="B519"/>
          <cell r="C519" t="str">
            <v>Pastilha de Freio</v>
          </cell>
          <cell r="D519"/>
          <cell r="E519" t="e">
            <v>#N/A</v>
          </cell>
          <cell r="F519" t="str">
            <v>Pastilhas De Freio Traseiro Corolla 2.0 Automatico 11 A 19</v>
          </cell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>
            <v>2</v>
          </cell>
          <cell r="R519">
            <v>2</v>
          </cell>
          <cell r="S519" t="str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 t="str">
            <v/>
          </cell>
          <cell r="Y519" t="str">
            <v/>
          </cell>
          <cell r="Z519" t="str">
            <v/>
          </cell>
          <cell r="AA519">
            <v>2</v>
          </cell>
          <cell r="AB519">
            <v>2</v>
          </cell>
          <cell r="AC519">
            <v>0</v>
          </cell>
          <cell r="AD519"/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0.66666666666666663</v>
          </cell>
        </row>
        <row r="520">
          <cell r="A520">
            <v>112106</v>
          </cell>
          <cell r="B520" t="str">
            <v>Sim</v>
          </cell>
          <cell r="C520" t="str">
            <v>Bandeja</v>
          </cell>
          <cell r="D520" t="str">
            <v>SPARE</v>
          </cell>
          <cell r="E520">
            <v>2</v>
          </cell>
          <cell r="F520" t="str">
            <v>Bandeja Direita Com Pivô Mobi 2016 Em Diante</v>
          </cell>
          <cell r="G520"/>
          <cell r="H520">
            <v>1</v>
          </cell>
          <cell r="I520">
            <v>0</v>
          </cell>
          <cell r="J520" t="str">
            <v/>
          </cell>
          <cell r="K520">
            <v>0</v>
          </cell>
          <cell r="L520" t="str">
            <v/>
          </cell>
          <cell r="M520">
            <v>1</v>
          </cell>
          <cell r="N520">
            <v>1</v>
          </cell>
          <cell r="O520" t="str">
            <v/>
          </cell>
          <cell r="P520" t="str">
            <v/>
          </cell>
          <cell r="Q520">
            <v>1</v>
          </cell>
          <cell r="R520">
            <v>1</v>
          </cell>
          <cell r="S520" t="str">
            <v>0</v>
          </cell>
          <cell r="T520">
            <v>0</v>
          </cell>
          <cell r="U520">
            <v>0</v>
          </cell>
          <cell r="V520">
            <v>1</v>
          </cell>
          <cell r="W520">
            <v>1</v>
          </cell>
          <cell r="X520" t="str">
            <v/>
          </cell>
          <cell r="Y520" t="str">
            <v/>
          </cell>
          <cell r="Z520" t="str">
            <v/>
          </cell>
          <cell r="AA520">
            <v>2</v>
          </cell>
          <cell r="AB520">
            <v>2</v>
          </cell>
          <cell r="AC520">
            <v>0</v>
          </cell>
          <cell r="AD520"/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0.66666666666666663</v>
          </cell>
        </row>
        <row r="521">
          <cell r="A521">
            <v>332144</v>
          </cell>
          <cell r="B521" t="str">
            <v>Sim</v>
          </cell>
          <cell r="C521" t="str">
            <v>Bandeja</v>
          </cell>
          <cell r="D521" t="str">
            <v>SPARE</v>
          </cell>
          <cell r="E521">
            <v>2</v>
          </cell>
          <cell r="F521" t="str">
            <v>Bandeja Ambos Lados Tracker 1.4 Lt Ltz 2017 A 2020</v>
          </cell>
          <cell r="G521"/>
          <cell r="H521">
            <v>0</v>
          </cell>
          <cell r="I521">
            <v>0</v>
          </cell>
          <cell r="J521">
            <v>0</v>
          </cell>
          <cell r="K521" t="str">
            <v/>
          </cell>
          <cell r="L521" t="str">
            <v/>
          </cell>
          <cell r="M521">
            <v>2</v>
          </cell>
          <cell r="N521" t="str">
            <v/>
          </cell>
          <cell r="O521">
            <v>2</v>
          </cell>
          <cell r="P521" t="str">
            <v/>
          </cell>
          <cell r="Q521">
            <v>0</v>
          </cell>
          <cell r="R521" t="str">
            <v>0</v>
          </cell>
          <cell r="S521">
            <v>0</v>
          </cell>
          <cell r="T521">
            <v>0</v>
          </cell>
          <cell r="U521">
            <v>0</v>
          </cell>
          <cell r="V521">
            <v>2</v>
          </cell>
          <cell r="W521">
            <v>0</v>
          </cell>
          <cell r="X521">
            <v>2</v>
          </cell>
          <cell r="Y521" t="str">
            <v/>
          </cell>
          <cell r="Z521" t="str">
            <v/>
          </cell>
          <cell r="AA521">
            <v>2</v>
          </cell>
          <cell r="AB521">
            <v>0</v>
          </cell>
          <cell r="AC521">
            <v>2</v>
          </cell>
          <cell r="AD521"/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0.66666666666666663</v>
          </cell>
        </row>
        <row r="522">
          <cell r="A522">
            <v>88651</v>
          </cell>
          <cell r="B522"/>
          <cell r="C522" t="str">
            <v>Cabo de Freio</v>
          </cell>
          <cell r="D522" t="str">
            <v>Importação</v>
          </cell>
          <cell r="E522">
            <v>1</v>
          </cell>
          <cell r="F522" t="str">
            <v>Cabo De Freio Traseiro Direito Ranger 2009 Em Diante</v>
          </cell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>
            <v>1</v>
          </cell>
          <cell r="R522">
            <v>1</v>
          </cell>
          <cell r="S522" t="str">
            <v>0</v>
          </cell>
          <cell r="T522">
            <v>0</v>
          </cell>
          <cell r="U522">
            <v>0</v>
          </cell>
          <cell r="V522">
            <v>1</v>
          </cell>
          <cell r="W522">
            <v>1</v>
          </cell>
          <cell r="X522" t="str">
            <v/>
          </cell>
          <cell r="Y522" t="str">
            <v/>
          </cell>
          <cell r="Z522" t="str">
            <v/>
          </cell>
          <cell r="AA522">
            <v>1</v>
          </cell>
          <cell r="AB522">
            <v>1</v>
          </cell>
          <cell r="AC522">
            <v>0</v>
          </cell>
          <cell r="AD522"/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0.66666666666666663</v>
          </cell>
        </row>
        <row r="523">
          <cell r="A523">
            <v>4044</v>
          </cell>
          <cell r="B523" t="str">
            <v>Sim</v>
          </cell>
          <cell r="C523" t="str">
            <v>Capa Pedal</v>
          </cell>
          <cell r="D523" t="str">
            <v>HOLYMAN</v>
          </cell>
          <cell r="E523">
            <v>5</v>
          </cell>
          <cell r="F523" t="str">
            <v>Capa Pedal Acelerador Freio Embreagem Santana 1984 A 1991</v>
          </cell>
          <cell r="G523"/>
          <cell r="H523">
            <v>0</v>
          </cell>
          <cell r="I523">
            <v>1</v>
          </cell>
          <cell r="J523" t="str">
            <v/>
          </cell>
          <cell r="K523">
            <v>1</v>
          </cell>
          <cell r="L523" t="str">
            <v/>
          </cell>
          <cell r="M523">
            <v>2</v>
          </cell>
          <cell r="N523">
            <v>2</v>
          </cell>
          <cell r="O523" t="str">
            <v/>
          </cell>
          <cell r="P523" t="str">
            <v/>
          </cell>
          <cell r="Q523">
            <v>1</v>
          </cell>
          <cell r="R523">
            <v>1</v>
          </cell>
          <cell r="S523" t="str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 t="str">
            <v/>
          </cell>
          <cell r="Y523" t="str">
            <v/>
          </cell>
          <cell r="Z523" t="str">
            <v/>
          </cell>
          <cell r="AA523">
            <v>1</v>
          </cell>
          <cell r="AB523">
            <v>1</v>
          </cell>
          <cell r="AC523">
            <v>0</v>
          </cell>
          <cell r="AD523"/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0.66666666666666663</v>
          </cell>
        </row>
        <row r="524">
          <cell r="A524">
            <v>772147</v>
          </cell>
          <cell r="B524" t="str">
            <v>Sim</v>
          </cell>
          <cell r="C524" t="str">
            <v>Bandeja</v>
          </cell>
          <cell r="D524" t="str">
            <v>SPARE</v>
          </cell>
          <cell r="E524">
            <v>2</v>
          </cell>
          <cell r="F524" t="str">
            <v>Bandeja Lado Esquerdo Hb20 Hatch 2012 A 2019 Com Pivô</v>
          </cell>
          <cell r="G524"/>
          <cell r="H524">
            <v>3</v>
          </cell>
          <cell r="I524">
            <v>0</v>
          </cell>
          <cell r="J524" t="str">
            <v/>
          </cell>
          <cell r="K524">
            <v>0</v>
          </cell>
          <cell r="L524" t="str">
            <v/>
          </cell>
          <cell r="M524">
            <v>1</v>
          </cell>
          <cell r="N524">
            <v>1</v>
          </cell>
          <cell r="O524" t="str">
            <v/>
          </cell>
          <cell r="P524" t="str">
            <v/>
          </cell>
          <cell r="Q524">
            <v>0</v>
          </cell>
          <cell r="R524" t="str">
            <v>0</v>
          </cell>
          <cell r="S524" t="str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 t="str">
            <v/>
          </cell>
          <cell r="Y524" t="str">
            <v/>
          </cell>
          <cell r="Z524" t="str">
            <v/>
          </cell>
          <cell r="AA524">
            <v>1</v>
          </cell>
          <cell r="AB524">
            <v>1</v>
          </cell>
          <cell r="AC524">
            <v>0</v>
          </cell>
          <cell r="AD524"/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0.66666666666666663</v>
          </cell>
        </row>
        <row r="525">
          <cell r="A525">
            <v>332136</v>
          </cell>
          <cell r="B525" t="str">
            <v>Sim</v>
          </cell>
          <cell r="C525" t="str">
            <v>Bandeja</v>
          </cell>
          <cell r="D525" t="str">
            <v>SPARE</v>
          </cell>
          <cell r="E525">
            <v>2</v>
          </cell>
          <cell r="F525" t="str">
            <v>Bandeja Inferior Opala 1980 Até 1992 Lado Direito</v>
          </cell>
          <cell r="G525"/>
          <cell r="H525">
            <v>0</v>
          </cell>
          <cell r="I525">
            <v>0</v>
          </cell>
          <cell r="J525"/>
          <cell r="K525">
            <v>1</v>
          </cell>
          <cell r="L525"/>
          <cell r="M525">
            <v>1</v>
          </cell>
          <cell r="N525">
            <v>1</v>
          </cell>
          <cell r="O525" t="str">
            <v/>
          </cell>
          <cell r="P525" t="str">
            <v/>
          </cell>
          <cell r="Q525">
            <v>3</v>
          </cell>
          <cell r="R525">
            <v>1</v>
          </cell>
          <cell r="S525">
            <v>2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 t="str">
            <v/>
          </cell>
          <cell r="Y525" t="str">
            <v/>
          </cell>
          <cell r="Z525" t="str">
            <v/>
          </cell>
          <cell r="AA525">
            <v>1</v>
          </cell>
          <cell r="AB525">
            <v>1</v>
          </cell>
          <cell r="AC525">
            <v>0</v>
          </cell>
          <cell r="AD525"/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0.66666666666666663</v>
          </cell>
        </row>
        <row r="526">
          <cell r="A526">
            <v>332155</v>
          </cell>
          <cell r="B526"/>
          <cell r="C526" t="str">
            <v>Bandeja</v>
          </cell>
          <cell r="D526" t="str">
            <v>SPARE</v>
          </cell>
          <cell r="E526">
            <v>2</v>
          </cell>
          <cell r="F526" t="str">
            <v>Bandeja SUPERIOR DIREITA COM PIVÔ A10 1993 A 1996</v>
          </cell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>
            <v>0</v>
          </cell>
          <cell r="R526"/>
          <cell r="S526">
            <v>0</v>
          </cell>
          <cell r="T526">
            <v>0</v>
          </cell>
          <cell r="U526">
            <v>0</v>
          </cell>
          <cell r="V526">
            <v>2</v>
          </cell>
          <cell r="W526">
            <v>2</v>
          </cell>
          <cell r="X526" t="str">
            <v/>
          </cell>
          <cell r="Y526" t="str">
            <v/>
          </cell>
          <cell r="Z526" t="str">
            <v/>
          </cell>
          <cell r="AA526">
            <v>0</v>
          </cell>
          <cell r="AB526">
            <v>0</v>
          </cell>
          <cell r="AC526">
            <v>0</v>
          </cell>
          <cell r="AD526"/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0.66666666666666663</v>
          </cell>
        </row>
        <row r="527">
          <cell r="A527">
            <v>772026</v>
          </cell>
          <cell r="B527" t="str">
            <v>Sim</v>
          </cell>
          <cell r="C527" t="str">
            <v>Bandeja</v>
          </cell>
          <cell r="D527" t="str">
            <v>SPARE</v>
          </cell>
          <cell r="E527">
            <v>2</v>
          </cell>
          <cell r="F527" t="str">
            <v>Bandeja Inferior Direita Sem Pivô New Civic 2007 A 2011</v>
          </cell>
          <cell r="G527"/>
          <cell r="H527">
            <v>0</v>
          </cell>
          <cell r="I527">
            <v>0</v>
          </cell>
          <cell r="J527">
            <v>0</v>
          </cell>
          <cell r="K527" t="str">
            <v/>
          </cell>
          <cell r="L527" t="str">
            <v/>
          </cell>
          <cell r="M527">
            <v>3</v>
          </cell>
          <cell r="N527" t="str">
            <v/>
          </cell>
          <cell r="O527">
            <v>3</v>
          </cell>
          <cell r="P527" t="str">
            <v/>
          </cell>
          <cell r="Q527">
            <v>1</v>
          </cell>
          <cell r="R527" t="str">
            <v>0</v>
          </cell>
          <cell r="S527">
            <v>1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 t="str">
            <v/>
          </cell>
          <cell r="Y527" t="str">
            <v/>
          </cell>
          <cell r="Z527" t="str">
            <v/>
          </cell>
          <cell r="AA527">
            <v>0</v>
          </cell>
          <cell r="AB527">
            <v>0</v>
          </cell>
          <cell r="AC527">
            <v>0</v>
          </cell>
          <cell r="AD527"/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0.66666666666666663</v>
          </cell>
        </row>
        <row r="528">
          <cell r="A528">
            <v>332146</v>
          </cell>
          <cell r="B528" t="str">
            <v>Sim</v>
          </cell>
          <cell r="C528" t="str">
            <v>Bandeja</v>
          </cell>
          <cell r="D528" t="str">
            <v>SPARE</v>
          </cell>
          <cell r="E528">
            <v>2</v>
          </cell>
          <cell r="F528" t="str">
            <v>Bandeja Direita Com Pivô Tracker 1.4 Turbo 2017 A 2020</v>
          </cell>
          <cell r="G528"/>
          <cell r="H528">
            <v>0</v>
          </cell>
          <cell r="I528">
            <v>0</v>
          </cell>
          <cell r="J528">
            <v>0</v>
          </cell>
          <cell r="K528" t="str">
            <v/>
          </cell>
          <cell r="L528" t="str">
            <v/>
          </cell>
          <cell r="M528">
            <v>2</v>
          </cell>
          <cell r="N528">
            <v>1</v>
          </cell>
          <cell r="O528">
            <v>1</v>
          </cell>
          <cell r="P528" t="str">
            <v/>
          </cell>
          <cell r="Q528">
            <v>2</v>
          </cell>
          <cell r="R528">
            <v>1</v>
          </cell>
          <cell r="S528">
            <v>1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 t="str">
            <v/>
          </cell>
          <cell r="Y528" t="str">
            <v/>
          </cell>
          <cell r="Z528" t="str">
            <v/>
          </cell>
          <cell r="AA528">
            <v>0</v>
          </cell>
          <cell r="AB528">
            <v>0</v>
          </cell>
          <cell r="AC528">
            <v>0</v>
          </cell>
          <cell r="AD528"/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0.66666666666666663</v>
          </cell>
        </row>
        <row r="529">
          <cell r="A529">
            <v>332007</v>
          </cell>
          <cell r="B529" t="str">
            <v>Sim</v>
          </cell>
          <cell r="C529" t="str">
            <v>Bandeja</v>
          </cell>
          <cell r="D529" t="str">
            <v>SPARE</v>
          </cell>
          <cell r="E529">
            <v>2</v>
          </cell>
          <cell r="F529" t="str">
            <v>Bandeja Direita Inferior Sem Pivô Kadett 1989 A 1998</v>
          </cell>
          <cell r="G529"/>
          <cell r="H529">
            <v>2</v>
          </cell>
          <cell r="I529">
            <v>2</v>
          </cell>
          <cell r="J529">
            <v>0</v>
          </cell>
          <cell r="K529">
            <v>2</v>
          </cell>
          <cell r="L529" t="str">
            <v/>
          </cell>
          <cell r="M529">
            <v>0</v>
          </cell>
          <cell r="N529" t="str">
            <v/>
          </cell>
          <cell r="O529">
            <v>0</v>
          </cell>
          <cell r="P529" t="str">
            <v/>
          </cell>
          <cell r="Q529">
            <v>0</v>
          </cell>
          <cell r="R529" t="str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 t="str">
            <v/>
          </cell>
          <cell r="Y529" t="str">
            <v/>
          </cell>
          <cell r="Z529" t="str">
            <v/>
          </cell>
          <cell r="AA529">
            <v>0</v>
          </cell>
          <cell r="AB529">
            <v>0</v>
          </cell>
          <cell r="AC529">
            <v>0</v>
          </cell>
          <cell r="AD529"/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0.66666666666666663</v>
          </cell>
        </row>
        <row r="530">
          <cell r="A530">
            <v>222082</v>
          </cell>
          <cell r="B530" t="str">
            <v>Sim</v>
          </cell>
          <cell r="C530" t="str">
            <v>Bandeja</v>
          </cell>
          <cell r="D530" t="str">
            <v>SPARE</v>
          </cell>
          <cell r="E530">
            <v>2</v>
          </cell>
          <cell r="F530" t="str">
            <v>Bandeja DIANTEIRA DIREITA KA 2014 A 2020 COM PIVÔ</v>
          </cell>
          <cell r="G530"/>
          <cell r="H530">
            <v>0</v>
          </cell>
          <cell r="I530">
            <v>0</v>
          </cell>
          <cell r="J530"/>
          <cell r="K530"/>
          <cell r="L530"/>
          <cell r="M530">
            <v>0</v>
          </cell>
          <cell r="N530" t="str">
            <v/>
          </cell>
          <cell r="O530">
            <v>0</v>
          </cell>
          <cell r="P530" t="str">
            <v/>
          </cell>
          <cell r="Q530">
            <v>1</v>
          </cell>
          <cell r="R530">
            <v>1</v>
          </cell>
          <cell r="S530">
            <v>0</v>
          </cell>
          <cell r="T530">
            <v>0</v>
          </cell>
          <cell r="U530">
            <v>0</v>
          </cell>
          <cell r="V530">
            <v>3</v>
          </cell>
          <cell r="W530">
            <v>3</v>
          </cell>
          <cell r="X530" t="str">
            <v/>
          </cell>
          <cell r="Y530" t="str">
            <v/>
          </cell>
          <cell r="Z530" t="str">
            <v/>
          </cell>
          <cell r="AA530">
            <v>0</v>
          </cell>
          <cell r="AB530">
            <v>0</v>
          </cell>
          <cell r="AC530">
            <v>0</v>
          </cell>
          <cell r="AD530"/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0.66666666666666663</v>
          </cell>
        </row>
        <row r="531">
          <cell r="A531">
            <v>112132</v>
          </cell>
          <cell r="B531" t="str">
            <v>Sim</v>
          </cell>
          <cell r="C531" t="str">
            <v>Bandeja</v>
          </cell>
          <cell r="D531" t="str">
            <v>SPARE</v>
          </cell>
          <cell r="E531">
            <v>2</v>
          </cell>
          <cell r="F531" t="str">
            <v>Bandeja Dianteira Direita Com Pivô Punto 2008 A 2017</v>
          </cell>
          <cell r="G531"/>
          <cell r="H531">
            <v>1</v>
          </cell>
          <cell r="I531">
            <v>0</v>
          </cell>
          <cell r="J531">
            <v>0</v>
          </cell>
          <cell r="K531" t="str">
            <v/>
          </cell>
          <cell r="L531" t="str">
            <v/>
          </cell>
          <cell r="M531">
            <v>1</v>
          </cell>
          <cell r="N531" t="str">
            <v/>
          </cell>
          <cell r="O531">
            <v>1</v>
          </cell>
          <cell r="P531" t="str">
            <v/>
          </cell>
          <cell r="Q531">
            <v>1</v>
          </cell>
          <cell r="R531" t="str">
            <v>0</v>
          </cell>
          <cell r="S531">
            <v>1</v>
          </cell>
          <cell r="T531">
            <v>0</v>
          </cell>
          <cell r="U531">
            <v>0</v>
          </cell>
          <cell r="V531">
            <v>1</v>
          </cell>
          <cell r="W531">
            <v>0</v>
          </cell>
          <cell r="X531">
            <v>1</v>
          </cell>
          <cell r="Y531" t="str">
            <v/>
          </cell>
          <cell r="Z531" t="str">
            <v/>
          </cell>
          <cell r="AA531">
            <v>0</v>
          </cell>
          <cell r="AB531">
            <v>0</v>
          </cell>
          <cell r="AC531">
            <v>0</v>
          </cell>
          <cell r="AD531"/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0.66666666666666663</v>
          </cell>
        </row>
        <row r="532">
          <cell r="A532">
            <v>222064</v>
          </cell>
          <cell r="B532" t="str">
            <v>Sim</v>
          </cell>
          <cell r="C532" t="str">
            <v>Bandeja</v>
          </cell>
          <cell r="D532" t="str">
            <v>SPARE</v>
          </cell>
          <cell r="E532">
            <v>2</v>
          </cell>
          <cell r="F532" t="str">
            <v>Bandeja Inferior Direito Ka Direção Hidráulica Pivô 08 Á 13</v>
          </cell>
          <cell r="G532"/>
          <cell r="H532">
            <v>0</v>
          </cell>
          <cell r="I532">
            <v>1</v>
          </cell>
          <cell r="J532" t="str">
            <v/>
          </cell>
          <cell r="K532">
            <v>1</v>
          </cell>
          <cell r="L532" t="str">
            <v/>
          </cell>
          <cell r="M532">
            <v>0</v>
          </cell>
          <cell r="N532" t="str">
            <v/>
          </cell>
          <cell r="O532" t="str">
            <v/>
          </cell>
          <cell r="P532" t="str">
            <v/>
          </cell>
          <cell r="Q532">
            <v>0</v>
          </cell>
          <cell r="R532" t="str">
            <v>0</v>
          </cell>
          <cell r="S532" t="str">
            <v>0</v>
          </cell>
          <cell r="T532">
            <v>0</v>
          </cell>
          <cell r="U532">
            <v>0</v>
          </cell>
          <cell r="V532">
            <v>3</v>
          </cell>
          <cell r="W532">
            <v>0</v>
          </cell>
          <cell r="X532" t="str">
            <v/>
          </cell>
          <cell r="Y532" t="str">
            <v/>
          </cell>
          <cell r="Z532">
            <v>3</v>
          </cell>
          <cell r="AA532">
            <v>0</v>
          </cell>
          <cell r="AB532">
            <v>0</v>
          </cell>
          <cell r="AC532">
            <v>0</v>
          </cell>
          <cell r="AD532"/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0.66666666666666663</v>
          </cell>
        </row>
        <row r="533">
          <cell r="A533">
            <v>332137</v>
          </cell>
          <cell r="B533" t="str">
            <v>Sim</v>
          </cell>
          <cell r="C533" t="str">
            <v>Bandeja</v>
          </cell>
          <cell r="D533" t="str">
            <v>SPARE</v>
          </cell>
          <cell r="E533">
            <v>2</v>
          </cell>
          <cell r="F533" t="str">
            <v>Bandeja Inferior Opala 1980 Até 1992 Lado Esquerdo</v>
          </cell>
          <cell r="G533"/>
          <cell r="H533">
            <v>0</v>
          </cell>
          <cell r="I533">
            <v>0</v>
          </cell>
          <cell r="J533"/>
          <cell r="K533">
            <v>1</v>
          </cell>
          <cell r="L533"/>
          <cell r="M533">
            <v>2</v>
          </cell>
          <cell r="N533">
            <v>2</v>
          </cell>
          <cell r="O533" t="str">
            <v/>
          </cell>
          <cell r="P533" t="str">
            <v/>
          </cell>
          <cell r="Q533">
            <v>2</v>
          </cell>
          <cell r="R533" t="str">
            <v>0</v>
          </cell>
          <cell r="S533">
            <v>2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 t="str">
            <v/>
          </cell>
          <cell r="Y533" t="str">
            <v/>
          </cell>
          <cell r="Z533" t="str">
            <v/>
          </cell>
          <cell r="AA533">
            <v>0</v>
          </cell>
          <cell r="AB533">
            <v>0</v>
          </cell>
          <cell r="AC533">
            <v>0</v>
          </cell>
          <cell r="AD533"/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0.66666666666666663</v>
          </cell>
        </row>
        <row r="534">
          <cell r="A534">
            <v>332145</v>
          </cell>
          <cell r="B534" t="str">
            <v>Sim</v>
          </cell>
          <cell r="C534" t="str">
            <v>Bandeja</v>
          </cell>
          <cell r="D534" t="str">
            <v>SPARE</v>
          </cell>
          <cell r="E534">
            <v>2</v>
          </cell>
          <cell r="F534" t="str">
            <v>Bandeja Esquerda Com Pivô Tracker 1.8 2014 A 2016</v>
          </cell>
          <cell r="G534"/>
          <cell r="H534">
            <v>0</v>
          </cell>
          <cell r="I534">
            <v>0</v>
          </cell>
          <cell r="J534">
            <v>0</v>
          </cell>
          <cell r="K534" t="str">
            <v/>
          </cell>
          <cell r="L534" t="str">
            <v/>
          </cell>
          <cell r="M534">
            <v>1</v>
          </cell>
          <cell r="N534" t="str">
            <v/>
          </cell>
          <cell r="O534">
            <v>1</v>
          </cell>
          <cell r="P534" t="str">
            <v/>
          </cell>
          <cell r="Q534">
            <v>1</v>
          </cell>
          <cell r="R534" t="str">
            <v>0</v>
          </cell>
          <cell r="S534">
            <v>1</v>
          </cell>
          <cell r="T534">
            <v>0</v>
          </cell>
          <cell r="U534">
            <v>0</v>
          </cell>
          <cell r="V534">
            <v>2</v>
          </cell>
          <cell r="W534">
            <v>0</v>
          </cell>
          <cell r="X534" t="str">
            <v/>
          </cell>
          <cell r="Y534" t="str">
            <v/>
          </cell>
          <cell r="Z534">
            <v>2</v>
          </cell>
          <cell r="AA534">
            <v>0</v>
          </cell>
          <cell r="AB534">
            <v>0</v>
          </cell>
          <cell r="AC534">
            <v>0</v>
          </cell>
          <cell r="AD534"/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0.66666666666666663</v>
          </cell>
        </row>
        <row r="535">
          <cell r="A535" t="str">
            <v>222010b</v>
          </cell>
          <cell r="B535" t="str">
            <v>Sim</v>
          </cell>
          <cell r="C535" t="str">
            <v>Bandeja</v>
          </cell>
          <cell r="D535" t="str">
            <v>SPARE</v>
          </cell>
          <cell r="E535">
            <v>2</v>
          </cell>
          <cell r="F535" t="str">
            <v>Braço Oscilante Direito Com Bucha Verona 1990 A 1992</v>
          </cell>
          <cell r="G535"/>
          <cell r="H535">
            <v>3</v>
          </cell>
          <cell r="I535">
            <v>0</v>
          </cell>
          <cell r="J535" t="str">
            <v/>
          </cell>
          <cell r="K535" t="str">
            <v/>
          </cell>
          <cell r="L535" t="str">
            <v/>
          </cell>
          <cell r="M535">
            <v>0</v>
          </cell>
          <cell r="N535" t="str">
            <v/>
          </cell>
          <cell r="O535" t="str">
            <v/>
          </cell>
          <cell r="P535" t="str">
            <v/>
          </cell>
          <cell r="Q535">
            <v>0</v>
          </cell>
          <cell r="R535" t="str">
            <v>0</v>
          </cell>
          <cell r="S535" t="str">
            <v>0</v>
          </cell>
          <cell r="T535">
            <v>0</v>
          </cell>
          <cell r="U535">
            <v>0</v>
          </cell>
          <cell r="V535">
            <v>1</v>
          </cell>
          <cell r="W535">
            <v>1</v>
          </cell>
          <cell r="X535" t="str">
            <v/>
          </cell>
          <cell r="Y535" t="str">
            <v/>
          </cell>
          <cell r="Z535" t="str">
            <v/>
          </cell>
          <cell r="AA535">
            <v>0</v>
          </cell>
          <cell r="AB535">
            <v>0</v>
          </cell>
          <cell r="AC535">
            <v>0</v>
          </cell>
          <cell r="AD535"/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0.66666666666666663</v>
          </cell>
        </row>
        <row r="536">
          <cell r="A536">
            <v>5103</v>
          </cell>
          <cell r="B536"/>
          <cell r="C536" t="str">
            <v>Bieleta</v>
          </cell>
          <cell r="D536" t="str">
            <v>HOLYMAN</v>
          </cell>
          <cell r="E536">
            <v>5</v>
          </cell>
          <cell r="F536" t="str">
            <v>Bieleta Dianteira Ambos Os Lados Jumper 1994 À 2017</v>
          </cell>
          <cell r="G536"/>
          <cell r="H536">
            <v>0</v>
          </cell>
          <cell r="I536">
            <v>0</v>
          </cell>
          <cell r="J536">
            <v>0</v>
          </cell>
          <cell r="K536" t="str">
            <v/>
          </cell>
          <cell r="L536" t="str">
            <v/>
          </cell>
          <cell r="M536">
            <v>0</v>
          </cell>
          <cell r="N536" t="str">
            <v/>
          </cell>
          <cell r="O536">
            <v>0</v>
          </cell>
          <cell r="P536" t="str">
            <v/>
          </cell>
          <cell r="Q536">
            <v>2</v>
          </cell>
          <cell r="R536" t="str">
            <v>0</v>
          </cell>
          <cell r="S536">
            <v>2</v>
          </cell>
          <cell r="T536">
            <v>0</v>
          </cell>
          <cell r="U536">
            <v>0</v>
          </cell>
          <cell r="V536">
            <v>2</v>
          </cell>
          <cell r="W536">
            <v>0</v>
          </cell>
          <cell r="X536">
            <v>2</v>
          </cell>
          <cell r="Y536" t="str">
            <v/>
          </cell>
          <cell r="Z536" t="str">
            <v/>
          </cell>
          <cell r="AA536">
            <v>0</v>
          </cell>
          <cell r="AB536">
            <v>0</v>
          </cell>
          <cell r="AC536">
            <v>0</v>
          </cell>
          <cell r="AD536"/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0.66666666666666663</v>
          </cell>
        </row>
        <row r="537">
          <cell r="A537">
            <v>5125</v>
          </cell>
          <cell r="B537"/>
          <cell r="C537" t="str">
            <v>Bieleta</v>
          </cell>
          <cell r="D537" t="str">
            <v>HOLYMAN</v>
          </cell>
          <cell r="E537">
            <v>5</v>
          </cell>
          <cell r="F537" t="str">
            <v>Bieleta Traseira Renegade 4x2 2015 Em Diante</v>
          </cell>
          <cell r="G537"/>
          <cell r="H537">
            <v>2</v>
          </cell>
          <cell r="I537">
            <v>2</v>
          </cell>
          <cell r="J537">
            <v>2</v>
          </cell>
          <cell r="K537" t="str">
            <v/>
          </cell>
          <cell r="L537" t="str">
            <v/>
          </cell>
          <cell r="M537">
            <v>0</v>
          </cell>
          <cell r="N537" t="str">
            <v/>
          </cell>
          <cell r="O537">
            <v>0</v>
          </cell>
          <cell r="P537" t="str">
            <v/>
          </cell>
          <cell r="Q537">
            <v>0</v>
          </cell>
          <cell r="R537" t="str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 t="str">
            <v/>
          </cell>
          <cell r="Y537" t="str">
            <v/>
          </cell>
          <cell r="Z537" t="str">
            <v/>
          </cell>
          <cell r="AA537">
            <v>0</v>
          </cell>
          <cell r="AB537">
            <v>0</v>
          </cell>
          <cell r="AC537">
            <v>0</v>
          </cell>
          <cell r="AD537"/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0.66666666666666663</v>
          </cell>
        </row>
        <row r="538">
          <cell r="A538">
            <v>5127</v>
          </cell>
          <cell r="B538"/>
          <cell r="C538" t="str">
            <v>Bieleta</v>
          </cell>
          <cell r="D538" t="str">
            <v>HOLYMAN</v>
          </cell>
          <cell r="E538">
            <v>5</v>
          </cell>
          <cell r="F538" t="str">
            <v>Bieleta Dianteira Strada 2020 2021 2022</v>
          </cell>
          <cell r="G538"/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 t="str">
            <v/>
          </cell>
          <cell r="M538">
            <v>0</v>
          </cell>
          <cell r="N538" t="str">
            <v/>
          </cell>
          <cell r="O538">
            <v>0</v>
          </cell>
          <cell r="P538" t="str">
            <v/>
          </cell>
          <cell r="Q538">
            <v>1</v>
          </cell>
          <cell r="R538" t="str">
            <v>0</v>
          </cell>
          <cell r="S538">
            <v>0</v>
          </cell>
          <cell r="T538">
            <v>0</v>
          </cell>
          <cell r="U538">
            <v>1</v>
          </cell>
          <cell r="V538">
            <v>2</v>
          </cell>
          <cell r="W538">
            <v>0</v>
          </cell>
          <cell r="X538">
            <v>2</v>
          </cell>
          <cell r="Y538" t="str">
            <v/>
          </cell>
          <cell r="Z538" t="str">
            <v/>
          </cell>
          <cell r="AA538">
            <v>0</v>
          </cell>
          <cell r="AB538">
            <v>0</v>
          </cell>
          <cell r="AC538">
            <v>0</v>
          </cell>
          <cell r="AD538"/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0.66666666666666663</v>
          </cell>
        </row>
        <row r="539">
          <cell r="A539">
            <v>5203</v>
          </cell>
          <cell r="B539"/>
          <cell r="C539" t="str">
            <v>Bieleta</v>
          </cell>
          <cell r="D539" t="str">
            <v>HOLYMAN</v>
          </cell>
          <cell r="E539">
            <v>5</v>
          </cell>
          <cell r="F539" t="str">
            <v>Bieleta Dianteira Spin 2012 Em Diante</v>
          </cell>
          <cell r="G539"/>
          <cell r="H539">
            <v>2</v>
          </cell>
          <cell r="I539">
            <v>2</v>
          </cell>
          <cell r="J539">
            <v>2</v>
          </cell>
          <cell r="K539" t="str">
            <v/>
          </cell>
          <cell r="L539" t="str">
            <v/>
          </cell>
          <cell r="M539">
            <v>0</v>
          </cell>
          <cell r="N539" t="str">
            <v/>
          </cell>
          <cell r="O539">
            <v>0</v>
          </cell>
          <cell r="P539" t="str">
            <v/>
          </cell>
          <cell r="Q539">
            <v>0</v>
          </cell>
          <cell r="R539" t="str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 t="str">
            <v/>
          </cell>
          <cell r="Y539" t="str">
            <v/>
          </cell>
          <cell r="Z539" t="str">
            <v/>
          </cell>
          <cell r="AA539">
            <v>0</v>
          </cell>
          <cell r="AB539">
            <v>0</v>
          </cell>
          <cell r="AC539">
            <v>0</v>
          </cell>
          <cell r="AD539"/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0.66666666666666663</v>
          </cell>
        </row>
        <row r="540">
          <cell r="A540">
            <v>5416</v>
          </cell>
          <cell r="B540"/>
          <cell r="C540" t="str">
            <v>Bieleta</v>
          </cell>
          <cell r="D540" t="str">
            <v>HOLYMAN</v>
          </cell>
          <cell r="E540">
            <v>5</v>
          </cell>
          <cell r="F540" t="str">
            <v>Bieleta Dianteira Ambos Lados Civic 2012 A 2016</v>
          </cell>
          <cell r="G540"/>
          <cell r="H540">
            <v>4</v>
          </cell>
          <cell r="I540">
            <v>0</v>
          </cell>
          <cell r="J540">
            <v>0</v>
          </cell>
          <cell r="K540" t="str">
            <v/>
          </cell>
          <cell r="L540" t="str">
            <v/>
          </cell>
          <cell r="M540">
            <v>0</v>
          </cell>
          <cell r="N540" t="str">
            <v/>
          </cell>
          <cell r="O540">
            <v>0</v>
          </cell>
          <cell r="P540" t="str">
            <v/>
          </cell>
          <cell r="Q540">
            <v>0</v>
          </cell>
          <cell r="R540" t="str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 t="str">
            <v/>
          </cell>
          <cell r="Y540" t="str">
            <v/>
          </cell>
          <cell r="Z540" t="str">
            <v/>
          </cell>
          <cell r="AA540">
            <v>0</v>
          </cell>
          <cell r="AB540">
            <v>0</v>
          </cell>
          <cell r="AC540">
            <v>0</v>
          </cell>
          <cell r="AD540"/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0.66666666666666663</v>
          </cell>
        </row>
        <row r="541">
          <cell r="A541">
            <v>6617</v>
          </cell>
          <cell r="B541" t="str">
            <v>Sim</v>
          </cell>
          <cell r="C541" t="str">
            <v>Bieleta</v>
          </cell>
          <cell r="D541" t="str">
            <v>HOLYMAN</v>
          </cell>
          <cell r="E541">
            <v>5</v>
          </cell>
          <cell r="F541" t="str">
            <v>Bieleta Dianteira Ambos Lados Bmw 116d 116i 2011 Em Diante</v>
          </cell>
          <cell r="G541"/>
          <cell r="H541">
            <v>0</v>
          </cell>
          <cell r="I541">
            <v>0</v>
          </cell>
          <cell r="J541"/>
          <cell r="K541"/>
          <cell r="L541"/>
          <cell r="M541">
            <v>1</v>
          </cell>
          <cell r="N541">
            <v>1</v>
          </cell>
          <cell r="O541">
            <v>0</v>
          </cell>
          <cell r="P541" t="str">
            <v/>
          </cell>
          <cell r="Q541">
            <v>3</v>
          </cell>
          <cell r="R541">
            <v>3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 t="str">
            <v/>
          </cell>
          <cell r="Y541" t="str">
            <v/>
          </cell>
          <cell r="Z541" t="str">
            <v/>
          </cell>
          <cell r="AA541">
            <v>0</v>
          </cell>
          <cell r="AB541">
            <v>0</v>
          </cell>
          <cell r="AC541">
            <v>0</v>
          </cell>
          <cell r="AD541"/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0.66666666666666663</v>
          </cell>
        </row>
        <row r="542">
          <cell r="A542">
            <v>33820</v>
          </cell>
          <cell r="B542"/>
          <cell r="C542" t="str">
            <v>Cabo limitador tampa traseira</v>
          </cell>
          <cell r="D542" t="str">
            <v>MundiFlex</v>
          </cell>
          <cell r="E542">
            <v>6</v>
          </cell>
          <cell r="F542" t="str">
            <v>Cabo Limitador Tampa Traseira Nova Strada Iv 2013  Em Diante</v>
          </cell>
          <cell r="G542"/>
          <cell r="H542">
            <v>2</v>
          </cell>
          <cell r="I542">
            <v>2</v>
          </cell>
          <cell r="J542">
            <v>2</v>
          </cell>
          <cell r="K542" t="str">
            <v/>
          </cell>
          <cell r="L542" t="str">
            <v/>
          </cell>
          <cell r="M542">
            <v>0</v>
          </cell>
          <cell r="N542" t="str">
            <v/>
          </cell>
          <cell r="O542">
            <v>0</v>
          </cell>
          <cell r="P542" t="str">
            <v/>
          </cell>
          <cell r="Q542">
            <v>0</v>
          </cell>
          <cell r="R542" t="str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 t="str">
            <v/>
          </cell>
          <cell r="Y542" t="str">
            <v/>
          </cell>
          <cell r="Z542" t="str">
            <v/>
          </cell>
          <cell r="AA542">
            <v>0</v>
          </cell>
          <cell r="AB542">
            <v>0</v>
          </cell>
          <cell r="AC542">
            <v>0</v>
          </cell>
          <cell r="AD542"/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0.66666666666666663</v>
          </cell>
        </row>
        <row r="543">
          <cell r="A543">
            <v>4020</v>
          </cell>
          <cell r="B543" t="str">
            <v>Sim</v>
          </cell>
          <cell r="C543" t="str">
            <v>Capa Pedal</v>
          </cell>
          <cell r="D543" t="str">
            <v>HOLYMAN</v>
          </cell>
          <cell r="E543">
            <v>5</v>
          </cell>
          <cell r="F543" t="str">
            <v>Capa Pedal Freio Embreagem Variant Até 1975</v>
          </cell>
          <cell r="G543"/>
          <cell r="H543">
            <v>1</v>
          </cell>
          <cell r="I543">
            <v>1</v>
          </cell>
          <cell r="J543" t="str">
            <v/>
          </cell>
          <cell r="K543">
            <v>1</v>
          </cell>
          <cell r="L543" t="str">
            <v/>
          </cell>
          <cell r="M543">
            <v>2</v>
          </cell>
          <cell r="N543">
            <v>2</v>
          </cell>
          <cell r="O543" t="str">
            <v/>
          </cell>
          <cell r="P543" t="str">
            <v/>
          </cell>
          <cell r="Q543">
            <v>0</v>
          </cell>
          <cell r="R543" t="str">
            <v>0</v>
          </cell>
          <cell r="S543" t="str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 t="str">
            <v/>
          </cell>
          <cell r="Y543" t="str">
            <v/>
          </cell>
          <cell r="Z543" t="str">
            <v/>
          </cell>
          <cell r="AA543">
            <v>0</v>
          </cell>
          <cell r="AB543">
            <v>0</v>
          </cell>
          <cell r="AC543">
            <v>0</v>
          </cell>
          <cell r="AD543"/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0.66666666666666663</v>
          </cell>
        </row>
        <row r="544">
          <cell r="A544">
            <v>4050</v>
          </cell>
          <cell r="B544" t="str">
            <v>Sim</v>
          </cell>
          <cell r="C544" t="str">
            <v>Capa Pedal</v>
          </cell>
          <cell r="D544" t="str">
            <v>HOLYMAN</v>
          </cell>
          <cell r="E544">
            <v>5</v>
          </cell>
          <cell r="F544" t="str">
            <v>Capa De Pedal Freio Automatico Etios 2016 A 2021</v>
          </cell>
          <cell r="G544"/>
          <cell r="H544">
            <v>0</v>
          </cell>
          <cell r="I544">
            <v>0</v>
          </cell>
          <cell r="J544"/>
          <cell r="K544">
            <v>5</v>
          </cell>
          <cell r="L544"/>
          <cell r="M544">
            <v>2</v>
          </cell>
          <cell r="N544">
            <v>2</v>
          </cell>
          <cell r="O544" t="str">
            <v/>
          </cell>
          <cell r="P544" t="str">
            <v/>
          </cell>
          <cell r="Q544">
            <v>1</v>
          </cell>
          <cell r="R544">
            <v>1</v>
          </cell>
          <cell r="S544" t="str">
            <v>0</v>
          </cell>
          <cell r="T544">
            <v>0</v>
          </cell>
          <cell r="U544">
            <v>0</v>
          </cell>
          <cell r="V544">
            <v>1</v>
          </cell>
          <cell r="W544">
            <v>1</v>
          </cell>
          <cell r="X544" t="str">
            <v/>
          </cell>
          <cell r="Y544" t="str">
            <v/>
          </cell>
          <cell r="Z544" t="str">
            <v/>
          </cell>
          <cell r="AA544">
            <v>0</v>
          </cell>
          <cell r="AB544">
            <v>0</v>
          </cell>
          <cell r="AC544">
            <v>0</v>
          </cell>
          <cell r="AD544"/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0.66666666666666663</v>
          </cell>
        </row>
        <row r="545">
          <cell r="A545">
            <v>4073</v>
          </cell>
          <cell r="B545" t="str">
            <v>Sim</v>
          </cell>
          <cell r="C545" t="str">
            <v>Capa Pedal</v>
          </cell>
          <cell r="D545" t="str">
            <v>HOLYMAN</v>
          </cell>
          <cell r="E545">
            <v>5</v>
          </cell>
          <cell r="F545" t="str">
            <v>Capa De Pedal Freio E Embreagem Renault Kwid</v>
          </cell>
          <cell r="G545"/>
          <cell r="H545">
            <v>1</v>
          </cell>
          <cell r="I545">
            <v>0</v>
          </cell>
          <cell r="J545" t="str">
            <v/>
          </cell>
          <cell r="K545" t="str">
            <v/>
          </cell>
          <cell r="L545" t="str">
            <v/>
          </cell>
          <cell r="M545">
            <v>1</v>
          </cell>
          <cell r="N545">
            <v>1</v>
          </cell>
          <cell r="O545" t="str">
            <v/>
          </cell>
          <cell r="P545" t="str">
            <v/>
          </cell>
          <cell r="Q545">
            <v>0</v>
          </cell>
          <cell r="R545" t="str">
            <v>0</v>
          </cell>
          <cell r="S545" t="str">
            <v>0</v>
          </cell>
          <cell r="T545">
            <v>0</v>
          </cell>
          <cell r="U545">
            <v>0</v>
          </cell>
          <cell r="V545">
            <v>2</v>
          </cell>
          <cell r="W545">
            <v>2</v>
          </cell>
          <cell r="X545" t="str">
            <v/>
          </cell>
          <cell r="Y545" t="str">
            <v/>
          </cell>
          <cell r="Z545" t="str">
            <v/>
          </cell>
          <cell r="AA545">
            <v>0</v>
          </cell>
          <cell r="AB545">
            <v>0</v>
          </cell>
          <cell r="AC545">
            <v>0</v>
          </cell>
          <cell r="AD545"/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0.66666666666666663</v>
          </cell>
        </row>
        <row r="546">
          <cell r="A546">
            <v>880547</v>
          </cell>
          <cell r="B546" t="str">
            <v>Sim</v>
          </cell>
          <cell r="C546" t="str">
            <v>Cupula alavanca</v>
          </cell>
          <cell r="D546" t="str">
            <v>HOLYMAN / BRK</v>
          </cell>
          <cell r="E546" t="e">
            <v>#N/A</v>
          </cell>
          <cell r="F546" t="str">
            <v>Kit Cupula Alavanca Ré Para Frente Strada Até 2001</v>
          </cell>
          <cell r="G546"/>
          <cell r="H546">
            <v>2</v>
          </cell>
          <cell r="I546">
            <v>0</v>
          </cell>
          <cell r="J546" t="str">
            <v/>
          </cell>
          <cell r="K546" t="str">
            <v/>
          </cell>
          <cell r="L546" t="str">
            <v/>
          </cell>
          <cell r="M546">
            <v>2</v>
          </cell>
          <cell r="N546">
            <v>2</v>
          </cell>
          <cell r="O546" t="str">
            <v/>
          </cell>
          <cell r="P546" t="str">
            <v/>
          </cell>
          <cell r="Q546">
            <v>0</v>
          </cell>
          <cell r="R546" t="str">
            <v>0</v>
          </cell>
          <cell r="S546" t="str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 t="str">
            <v/>
          </cell>
          <cell r="Y546" t="str">
            <v/>
          </cell>
          <cell r="Z546" t="str">
            <v/>
          </cell>
          <cell r="AA546">
            <v>0</v>
          </cell>
          <cell r="AB546">
            <v>0</v>
          </cell>
          <cell r="AC546">
            <v>0</v>
          </cell>
          <cell r="AD546"/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0.66666666666666663</v>
          </cell>
        </row>
        <row r="547">
          <cell r="A547">
            <v>11407</v>
          </cell>
          <cell r="B547"/>
          <cell r="C547" t="str">
            <v>Pastilha de Freio</v>
          </cell>
          <cell r="D547"/>
          <cell r="E547" t="e">
            <v>#N/A</v>
          </cell>
          <cell r="F547" t="str">
            <v>Pastilhas De Freio Dianteiro Gol 1.6 G3 Julho 2000 A 2005</v>
          </cell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>
            <v>1</v>
          </cell>
          <cell r="R547">
            <v>1</v>
          </cell>
          <cell r="S547" t="str">
            <v>0</v>
          </cell>
          <cell r="T547">
            <v>0</v>
          </cell>
          <cell r="U547">
            <v>0</v>
          </cell>
          <cell r="V547">
            <v>1</v>
          </cell>
          <cell r="W547">
            <v>1</v>
          </cell>
          <cell r="X547" t="str">
            <v/>
          </cell>
          <cell r="Y547" t="str">
            <v/>
          </cell>
          <cell r="Z547" t="str">
            <v/>
          </cell>
          <cell r="AA547">
            <v>0</v>
          </cell>
          <cell r="AB547">
            <v>0</v>
          </cell>
          <cell r="AC547">
            <v>0</v>
          </cell>
          <cell r="AD547"/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0.66666666666666663</v>
          </cell>
        </row>
        <row r="548">
          <cell r="A548" t="str">
            <v>FTK11003</v>
          </cell>
          <cell r="B548"/>
          <cell r="C548" t="str">
            <v>Pivô</v>
          </cell>
          <cell r="D548" t="str">
            <v>SPARE</v>
          </cell>
          <cell r="E548">
            <v>2</v>
          </cell>
          <cell r="F548" t="str">
            <v>Pivô Da Bandeja Inferior Ambos Os Lados Parati 1992 À 1997</v>
          </cell>
          <cell r="G548"/>
          <cell r="H548" t="str">
            <v>-</v>
          </cell>
          <cell r="I548"/>
          <cell r="J548"/>
          <cell r="K548"/>
          <cell r="L548"/>
          <cell r="M548"/>
          <cell r="N548"/>
          <cell r="O548"/>
          <cell r="P548"/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2</v>
          </cell>
          <cell r="W548">
            <v>0</v>
          </cell>
          <cell r="X548">
            <v>2</v>
          </cell>
          <cell r="Y548" t="str">
            <v/>
          </cell>
          <cell r="Z548" t="str">
            <v/>
          </cell>
          <cell r="AA548">
            <v>0</v>
          </cell>
          <cell r="AB548">
            <v>0</v>
          </cell>
          <cell r="AC548">
            <v>0</v>
          </cell>
          <cell r="AD548"/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0.66666666666666663</v>
          </cell>
        </row>
        <row r="549">
          <cell r="A549" t="str">
            <v>FTK99162</v>
          </cell>
          <cell r="B549"/>
          <cell r="C549" t="str">
            <v>Pivô</v>
          </cell>
          <cell r="D549" t="str">
            <v>SPARE</v>
          </cell>
          <cell r="E549">
            <v>2</v>
          </cell>
          <cell r="F549" t="str">
            <v>PIVÔ INFERIOR AMBOS LADOS L200 TRITON 2008 A 2022</v>
          </cell>
          <cell r="G549"/>
          <cell r="H549" t="str">
            <v>-</v>
          </cell>
          <cell r="I549"/>
          <cell r="J549"/>
          <cell r="K549"/>
          <cell r="L549"/>
          <cell r="M549"/>
          <cell r="N549"/>
          <cell r="O549"/>
          <cell r="P549"/>
          <cell r="Q549">
            <v>0</v>
          </cell>
          <cell r="R549"/>
          <cell r="S549">
            <v>0</v>
          </cell>
          <cell r="T549">
            <v>0</v>
          </cell>
          <cell r="U549">
            <v>0</v>
          </cell>
          <cell r="V549">
            <v>2</v>
          </cell>
          <cell r="W549">
            <v>2</v>
          </cell>
          <cell r="X549" t="str">
            <v/>
          </cell>
          <cell r="Y549" t="str">
            <v/>
          </cell>
          <cell r="Z549" t="str">
            <v/>
          </cell>
          <cell r="AA549">
            <v>0</v>
          </cell>
          <cell r="AB549">
            <v>0</v>
          </cell>
          <cell r="AC549">
            <v>0</v>
          </cell>
          <cell r="AD549"/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0.66666666666666663</v>
          </cell>
        </row>
        <row r="550">
          <cell r="A550" t="str">
            <v>NZT0055AA</v>
          </cell>
          <cell r="B550"/>
          <cell r="C550" t="str">
            <v>Rolamento roda</v>
          </cell>
          <cell r="D550" t="str">
            <v>IRB</v>
          </cell>
          <cell r="E550">
            <v>12</v>
          </cell>
          <cell r="F550" t="str">
            <v xml:space="preserve">ROLAMENTO RODA DIANTEIRA PALIO PUNTO BRAVO  </v>
          </cell>
          <cell r="G550"/>
          <cell r="H550" t="str">
            <v>-</v>
          </cell>
          <cell r="I550"/>
          <cell r="J550"/>
          <cell r="K550"/>
          <cell r="L550"/>
          <cell r="M550"/>
          <cell r="N550"/>
          <cell r="O550"/>
          <cell r="P550"/>
          <cell r="Q550">
            <v>2</v>
          </cell>
          <cell r="R550"/>
          <cell r="S550"/>
          <cell r="T550"/>
          <cell r="U550">
            <v>2</v>
          </cell>
          <cell r="V550">
            <v>0</v>
          </cell>
          <cell r="W550">
            <v>0</v>
          </cell>
          <cell r="X550" t="str">
            <v/>
          </cell>
          <cell r="Y550" t="str">
            <v/>
          </cell>
          <cell r="Z550" t="str">
            <v/>
          </cell>
          <cell r="AA550">
            <v>0</v>
          </cell>
          <cell r="AB550">
            <v>0</v>
          </cell>
          <cell r="AC550">
            <v>0</v>
          </cell>
          <cell r="AD550"/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0.66666666666666663</v>
          </cell>
        </row>
        <row r="551">
          <cell r="A551" t="str">
            <v>NZT3600</v>
          </cell>
          <cell r="B551"/>
          <cell r="C551" t="str">
            <v>Rolamento Roda</v>
          </cell>
          <cell r="D551" t="str">
            <v>POLO</v>
          </cell>
          <cell r="E551">
            <v>7</v>
          </cell>
          <cell r="F551" t="str">
            <v>Kit Rolamento Dianteira Corsa</v>
          </cell>
          <cell r="G551"/>
          <cell r="H551">
            <v>0</v>
          </cell>
          <cell r="I551">
            <v>0</v>
          </cell>
          <cell r="J551">
            <v>0</v>
          </cell>
          <cell r="K551" t="str">
            <v/>
          </cell>
          <cell r="L551" t="str">
            <v/>
          </cell>
          <cell r="M551">
            <v>0</v>
          </cell>
          <cell r="N551" t="str">
            <v/>
          </cell>
          <cell r="O551">
            <v>0</v>
          </cell>
          <cell r="P551" t="str">
            <v/>
          </cell>
          <cell r="Q551">
            <v>0</v>
          </cell>
          <cell r="R551" t="str">
            <v>0</v>
          </cell>
          <cell r="S551">
            <v>0</v>
          </cell>
          <cell r="T551">
            <v>0</v>
          </cell>
          <cell r="U551">
            <v>0</v>
          </cell>
          <cell r="V551">
            <v>4</v>
          </cell>
          <cell r="W551">
            <v>0</v>
          </cell>
          <cell r="X551">
            <v>4</v>
          </cell>
          <cell r="Y551" t="str">
            <v/>
          </cell>
          <cell r="Z551" t="str">
            <v/>
          </cell>
          <cell r="AA551">
            <v>0</v>
          </cell>
          <cell r="AB551">
            <v>0</v>
          </cell>
          <cell r="AC551">
            <v>0</v>
          </cell>
          <cell r="AD551"/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0.66666666666666663</v>
          </cell>
        </row>
        <row r="552">
          <cell r="A552" t="str">
            <v>nzt636114</v>
          </cell>
          <cell r="B552"/>
          <cell r="C552" t="str">
            <v>Rolamento Roda</v>
          </cell>
          <cell r="D552" t="str">
            <v>POLO</v>
          </cell>
          <cell r="E552">
            <v>7</v>
          </cell>
          <cell r="F552" t="str">
            <v>Rolamento Roda Dianteira Sem Abs Corsa Classic Prisma Agile</v>
          </cell>
          <cell r="G552"/>
          <cell r="H552">
            <v>4</v>
          </cell>
          <cell r="I552">
            <v>0</v>
          </cell>
          <cell r="J552">
            <v>0</v>
          </cell>
          <cell r="K552" t="str">
            <v/>
          </cell>
          <cell r="L552" t="str">
            <v/>
          </cell>
          <cell r="M552">
            <v>0</v>
          </cell>
          <cell r="N552" t="str">
            <v/>
          </cell>
          <cell r="O552">
            <v>0</v>
          </cell>
          <cell r="P552" t="str">
            <v/>
          </cell>
          <cell r="Q552">
            <v>0</v>
          </cell>
          <cell r="R552" t="str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 t="str">
            <v/>
          </cell>
          <cell r="Y552" t="str">
            <v/>
          </cell>
          <cell r="Z552" t="str">
            <v/>
          </cell>
          <cell r="AA552">
            <v>0</v>
          </cell>
          <cell r="AB552">
            <v>0</v>
          </cell>
          <cell r="AC552">
            <v>0</v>
          </cell>
          <cell r="AD552"/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0.66666666666666663</v>
          </cell>
        </row>
        <row r="553">
          <cell r="A553">
            <v>772022</v>
          </cell>
          <cell r="B553" t="str">
            <v>Sim</v>
          </cell>
          <cell r="C553" t="str">
            <v>Bandeja</v>
          </cell>
          <cell r="D553" t="str">
            <v>SPARE</v>
          </cell>
          <cell r="E553">
            <v>2</v>
          </cell>
          <cell r="F553" t="str">
            <v>Bandeja INFERIOR ESQUERDA SEM PIVÔ CIVIC 2001 A 2006</v>
          </cell>
          <cell r="G553"/>
          <cell r="H553">
            <v>0</v>
          </cell>
          <cell r="I553">
            <v>0</v>
          </cell>
          <cell r="J553"/>
          <cell r="K553"/>
          <cell r="L553"/>
          <cell r="M553">
            <v>0</v>
          </cell>
          <cell r="N553" t="str">
            <v/>
          </cell>
          <cell r="O553">
            <v>0</v>
          </cell>
          <cell r="P553" t="str">
            <v/>
          </cell>
          <cell r="Q553">
            <v>0</v>
          </cell>
          <cell r="R553" t="str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 t="str">
            <v/>
          </cell>
          <cell r="Y553" t="str">
            <v/>
          </cell>
          <cell r="Z553" t="str">
            <v/>
          </cell>
          <cell r="AA553">
            <v>2</v>
          </cell>
          <cell r="AB553">
            <v>2</v>
          </cell>
          <cell r="AC553">
            <v>0</v>
          </cell>
          <cell r="AD553"/>
          <cell r="AE553">
            <v>0</v>
          </cell>
          <cell r="AF553">
            <v>4</v>
          </cell>
          <cell r="AG553">
            <v>4</v>
          </cell>
          <cell r="AH553">
            <v>0</v>
          </cell>
          <cell r="AI553">
            <v>0</v>
          </cell>
          <cell r="AJ553">
            <v>0</v>
          </cell>
          <cell r="AK553">
            <v>0.66666666666666663</v>
          </cell>
        </row>
        <row r="554">
          <cell r="A554">
            <v>5208</v>
          </cell>
          <cell r="B554"/>
          <cell r="C554" t="str">
            <v>Bieleta</v>
          </cell>
          <cell r="D554" t="str">
            <v>HOLYMAN</v>
          </cell>
          <cell r="E554">
            <v>5</v>
          </cell>
          <cell r="F554" t="str">
            <v>Bieleta Dianteira Ambos Lados Monza 1991 A 1997</v>
          </cell>
          <cell r="G554"/>
          <cell r="H554" t="str">
            <v>-</v>
          </cell>
          <cell r="I554">
            <v>1</v>
          </cell>
          <cell r="J554">
            <v>0</v>
          </cell>
          <cell r="K554">
            <v>1</v>
          </cell>
          <cell r="L554" t="str">
            <v/>
          </cell>
          <cell r="M554">
            <v>0</v>
          </cell>
          <cell r="N554" t="str">
            <v/>
          </cell>
          <cell r="O554">
            <v>0</v>
          </cell>
          <cell r="P554" t="str">
            <v/>
          </cell>
          <cell r="Q554">
            <v>0</v>
          </cell>
          <cell r="R554" t="str">
            <v>0</v>
          </cell>
          <cell r="S554">
            <v>0</v>
          </cell>
          <cell r="T554">
            <v>0</v>
          </cell>
          <cell r="U554">
            <v>0</v>
          </cell>
          <cell r="V554">
            <v>2</v>
          </cell>
          <cell r="W554">
            <v>0</v>
          </cell>
          <cell r="X554">
            <v>2</v>
          </cell>
          <cell r="Y554" t="str">
            <v/>
          </cell>
          <cell r="Z554" t="str">
            <v/>
          </cell>
          <cell r="AA554">
            <v>0</v>
          </cell>
          <cell r="AB554">
            <v>0</v>
          </cell>
          <cell r="AC554">
            <v>0</v>
          </cell>
          <cell r="AD554"/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0.6</v>
          </cell>
        </row>
        <row r="555">
          <cell r="A555">
            <v>662069</v>
          </cell>
          <cell r="B555" t="str">
            <v>Sim</v>
          </cell>
          <cell r="C555" t="str">
            <v>Bandeja</v>
          </cell>
          <cell r="D555" t="str">
            <v>SPARE</v>
          </cell>
          <cell r="E555">
            <v>2</v>
          </cell>
          <cell r="F555" t="str">
            <v>Bandeja Dianteira Lado Direito Com Pivô Fluence 2011 À 2018</v>
          </cell>
          <cell r="G555"/>
          <cell r="H555">
            <v>0</v>
          </cell>
          <cell r="I555">
            <v>0</v>
          </cell>
          <cell r="J555">
            <v>0</v>
          </cell>
          <cell r="K555" t="str">
            <v/>
          </cell>
          <cell r="L555" t="str">
            <v/>
          </cell>
          <cell r="M555">
            <v>0</v>
          </cell>
          <cell r="N555" t="str">
            <v/>
          </cell>
          <cell r="O555">
            <v>0</v>
          </cell>
          <cell r="P555" t="str">
            <v/>
          </cell>
          <cell r="Q555">
            <v>1</v>
          </cell>
          <cell r="R555" t="str">
            <v>0</v>
          </cell>
          <cell r="S555">
            <v>1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 t="str">
            <v/>
          </cell>
          <cell r="Y555" t="str">
            <v/>
          </cell>
          <cell r="Z555" t="str">
            <v/>
          </cell>
          <cell r="AA555">
            <v>1</v>
          </cell>
          <cell r="AB555">
            <v>0</v>
          </cell>
          <cell r="AC555">
            <v>1</v>
          </cell>
          <cell r="AD555"/>
          <cell r="AE555">
            <v>0</v>
          </cell>
          <cell r="AF555">
            <v>2</v>
          </cell>
          <cell r="AG555">
            <v>0</v>
          </cell>
          <cell r="AH555">
            <v>2</v>
          </cell>
          <cell r="AI555">
            <v>0</v>
          </cell>
          <cell r="AJ555">
            <v>0</v>
          </cell>
          <cell r="AK555">
            <v>0.5</v>
          </cell>
        </row>
        <row r="556">
          <cell r="A556">
            <v>332010</v>
          </cell>
          <cell r="B556" t="str">
            <v>Sim</v>
          </cell>
          <cell r="C556" t="str">
            <v>Bandeja</v>
          </cell>
          <cell r="D556" t="str">
            <v>SPARE</v>
          </cell>
          <cell r="E556">
            <v>2</v>
          </cell>
          <cell r="F556" t="str">
            <v>Braço Da Suspensão Direito Corsa Wagon Sem Pivô 1995 A 1997</v>
          </cell>
          <cell r="G556"/>
          <cell r="H556">
            <v>1</v>
          </cell>
          <cell r="I556">
            <v>0</v>
          </cell>
          <cell r="J556">
            <v>0</v>
          </cell>
          <cell r="K556" t="str">
            <v/>
          </cell>
          <cell r="L556" t="str">
            <v/>
          </cell>
          <cell r="M556">
            <v>0</v>
          </cell>
          <cell r="N556" t="str">
            <v/>
          </cell>
          <cell r="O556">
            <v>0</v>
          </cell>
          <cell r="P556" t="str">
            <v/>
          </cell>
          <cell r="Q556">
            <v>0</v>
          </cell>
          <cell r="R556" t="str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 t="str">
            <v/>
          </cell>
          <cell r="Y556" t="str">
            <v/>
          </cell>
          <cell r="Z556" t="str">
            <v/>
          </cell>
          <cell r="AA556">
            <v>0</v>
          </cell>
          <cell r="AB556">
            <v>0</v>
          </cell>
          <cell r="AC556">
            <v>0</v>
          </cell>
          <cell r="AD556"/>
          <cell r="AE556">
            <v>0</v>
          </cell>
          <cell r="AF556">
            <v>2</v>
          </cell>
          <cell r="AG556">
            <v>0</v>
          </cell>
          <cell r="AH556">
            <v>0</v>
          </cell>
          <cell r="AI556">
            <v>0</v>
          </cell>
          <cell r="AJ556">
            <v>2</v>
          </cell>
          <cell r="AK556">
            <v>0.5</v>
          </cell>
        </row>
        <row r="557">
          <cell r="A557">
            <v>332011</v>
          </cell>
          <cell r="B557" t="str">
            <v>Sim</v>
          </cell>
          <cell r="C557" t="str">
            <v>Bandeja</v>
          </cell>
          <cell r="D557" t="str">
            <v>SPARE</v>
          </cell>
          <cell r="E557">
            <v>2</v>
          </cell>
          <cell r="F557" t="str">
            <v>Braço Suspensão Esquerdo Corsa Wagon Sem Pivô 1995 A 1997</v>
          </cell>
          <cell r="G557"/>
          <cell r="H557">
            <v>1</v>
          </cell>
          <cell r="I557">
            <v>0</v>
          </cell>
          <cell r="J557">
            <v>0</v>
          </cell>
          <cell r="K557" t="str">
            <v/>
          </cell>
          <cell r="L557" t="str">
            <v/>
          </cell>
          <cell r="M557">
            <v>0</v>
          </cell>
          <cell r="N557" t="str">
            <v/>
          </cell>
          <cell r="O557">
            <v>0</v>
          </cell>
          <cell r="P557" t="str">
            <v/>
          </cell>
          <cell r="Q557">
            <v>0</v>
          </cell>
          <cell r="R557" t="str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 t="str">
            <v/>
          </cell>
          <cell r="Y557" t="str">
            <v/>
          </cell>
          <cell r="Z557" t="str">
            <v/>
          </cell>
          <cell r="AA557">
            <v>0</v>
          </cell>
          <cell r="AB557">
            <v>0</v>
          </cell>
          <cell r="AC557">
            <v>0</v>
          </cell>
          <cell r="AD557"/>
          <cell r="AE557">
            <v>0</v>
          </cell>
          <cell r="AF557">
            <v>2</v>
          </cell>
          <cell r="AG557">
            <v>0</v>
          </cell>
          <cell r="AH557">
            <v>0</v>
          </cell>
          <cell r="AI557">
            <v>0</v>
          </cell>
          <cell r="AJ557">
            <v>2</v>
          </cell>
          <cell r="AK557">
            <v>0.5</v>
          </cell>
        </row>
        <row r="558">
          <cell r="A558" t="str">
            <v>FTK18647</v>
          </cell>
          <cell r="B558"/>
          <cell r="C558" t="str">
            <v>Rolamento Roda</v>
          </cell>
          <cell r="D558" t="str">
            <v>IRB</v>
          </cell>
          <cell r="E558">
            <v>12</v>
          </cell>
          <cell r="F558" t="str">
            <v>ROLAMENTO RODA DIANTEIRA RANGER 4X2 4X4 MARÇO 2012 EM DIANTE</v>
          </cell>
          <cell r="G558"/>
          <cell r="H558" t="str">
            <v>-</v>
          </cell>
          <cell r="I558" t="str">
            <v>-</v>
          </cell>
          <cell r="J558"/>
          <cell r="K558"/>
          <cell r="L558"/>
          <cell r="M558">
            <v>0</v>
          </cell>
          <cell r="N558" t="str">
            <v/>
          </cell>
          <cell r="O558">
            <v>0</v>
          </cell>
          <cell r="P558" t="str">
            <v/>
          </cell>
          <cell r="Q558">
            <v>0</v>
          </cell>
          <cell r="R558" t="str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 t="str">
            <v/>
          </cell>
          <cell r="Y558" t="str">
            <v/>
          </cell>
          <cell r="Z558" t="str">
            <v/>
          </cell>
          <cell r="AA558">
            <v>0</v>
          </cell>
          <cell r="AB558">
            <v>0</v>
          </cell>
          <cell r="AC558">
            <v>0</v>
          </cell>
          <cell r="AD558"/>
          <cell r="AE558">
            <v>0</v>
          </cell>
          <cell r="AF558">
            <v>2</v>
          </cell>
          <cell r="AG558">
            <v>0</v>
          </cell>
          <cell r="AH558">
            <v>2</v>
          </cell>
          <cell r="AI558">
            <v>0</v>
          </cell>
          <cell r="AJ558">
            <v>0</v>
          </cell>
          <cell r="AK558">
            <v>0.5</v>
          </cell>
        </row>
        <row r="559">
          <cell r="A559">
            <v>112127</v>
          </cell>
          <cell r="B559" t="str">
            <v>Sim</v>
          </cell>
          <cell r="C559" t="str">
            <v>Bandeja</v>
          </cell>
          <cell r="D559" t="str">
            <v>SPARE</v>
          </cell>
          <cell r="E559">
            <v>2</v>
          </cell>
          <cell r="F559" t="str">
            <v>Bandeja Inferior Esquerda Com Pivô Idea Elx 2005 A 2016</v>
          </cell>
          <cell r="G559"/>
          <cell r="H559">
            <v>0</v>
          </cell>
          <cell r="I559">
            <v>0</v>
          </cell>
          <cell r="J559" t="str">
            <v/>
          </cell>
          <cell r="K559" t="str">
            <v/>
          </cell>
          <cell r="L559" t="str">
            <v/>
          </cell>
          <cell r="M559">
            <v>1</v>
          </cell>
          <cell r="N559">
            <v>1</v>
          </cell>
          <cell r="O559" t="str">
            <v/>
          </cell>
          <cell r="P559" t="str">
            <v/>
          </cell>
          <cell r="Q559">
            <v>1</v>
          </cell>
          <cell r="R559">
            <v>1</v>
          </cell>
          <cell r="S559" t="str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 t="str">
            <v/>
          </cell>
          <cell r="Y559" t="str">
            <v/>
          </cell>
          <cell r="Z559" t="str">
            <v/>
          </cell>
          <cell r="AA559">
            <v>1</v>
          </cell>
          <cell r="AB559">
            <v>1</v>
          </cell>
          <cell r="AC559">
            <v>0</v>
          </cell>
          <cell r="AD559"/>
          <cell r="AE559">
            <v>0</v>
          </cell>
          <cell r="AF559">
            <v>1</v>
          </cell>
          <cell r="AG559">
            <v>0</v>
          </cell>
          <cell r="AH559">
            <v>0</v>
          </cell>
          <cell r="AI559">
            <v>0</v>
          </cell>
          <cell r="AJ559">
            <v>1</v>
          </cell>
          <cell r="AK559">
            <v>0.5</v>
          </cell>
        </row>
        <row r="560">
          <cell r="A560">
            <v>662025</v>
          </cell>
          <cell r="B560" t="str">
            <v>Sim</v>
          </cell>
          <cell r="C560" t="str">
            <v>Bandeja</v>
          </cell>
          <cell r="D560" t="str">
            <v>SPARE</v>
          </cell>
          <cell r="E560">
            <v>2</v>
          </cell>
          <cell r="F560" t="str">
            <v>Bandeja Clio Inferior Esquerdo 2005 Á 2016 Sem Pivô</v>
          </cell>
          <cell r="G560"/>
          <cell r="H560">
            <v>0</v>
          </cell>
          <cell r="I560">
            <v>1</v>
          </cell>
          <cell r="J560">
            <v>1</v>
          </cell>
          <cell r="K560" t="str">
            <v/>
          </cell>
          <cell r="L560" t="str">
            <v/>
          </cell>
          <cell r="M560">
            <v>0</v>
          </cell>
          <cell r="N560" t="str">
            <v/>
          </cell>
          <cell r="O560">
            <v>0</v>
          </cell>
          <cell r="P560" t="str">
            <v/>
          </cell>
          <cell r="Q560">
            <v>0</v>
          </cell>
          <cell r="R560" t="str">
            <v>0</v>
          </cell>
          <cell r="S560">
            <v>0</v>
          </cell>
          <cell r="T560">
            <v>0</v>
          </cell>
          <cell r="U560">
            <v>0</v>
          </cell>
          <cell r="V560">
            <v>1</v>
          </cell>
          <cell r="W560">
            <v>0</v>
          </cell>
          <cell r="X560">
            <v>1</v>
          </cell>
          <cell r="Y560" t="str">
            <v/>
          </cell>
          <cell r="Z560" t="str">
            <v/>
          </cell>
          <cell r="AA560">
            <v>1</v>
          </cell>
          <cell r="AB560">
            <v>0</v>
          </cell>
          <cell r="AC560">
            <v>1</v>
          </cell>
          <cell r="AD560"/>
          <cell r="AE560">
            <v>0</v>
          </cell>
          <cell r="AF560">
            <v>1</v>
          </cell>
          <cell r="AG560">
            <v>0</v>
          </cell>
          <cell r="AH560">
            <v>1</v>
          </cell>
          <cell r="AI560">
            <v>0</v>
          </cell>
          <cell r="AJ560">
            <v>0</v>
          </cell>
          <cell r="AK560">
            <v>0.5</v>
          </cell>
        </row>
        <row r="561">
          <cell r="A561">
            <v>880409</v>
          </cell>
          <cell r="B561"/>
          <cell r="C561" t="str">
            <v>Cabo velocímetro Moto</v>
          </cell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>
            <v>1</v>
          </cell>
          <cell r="W561">
            <v>1</v>
          </cell>
          <cell r="X561" t="str">
            <v/>
          </cell>
          <cell r="Y561" t="str">
            <v/>
          </cell>
          <cell r="Z561" t="str">
            <v/>
          </cell>
          <cell r="AA561">
            <v>5</v>
          </cell>
          <cell r="AB561">
            <v>5</v>
          </cell>
          <cell r="AC561">
            <v>0</v>
          </cell>
          <cell r="AD561"/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0.5</v>
          </cell>
        </row>
        <row r="562">
          <cell r="A562">
            <v>11193</v>
          </cell>
          <cell r="B562"/>
          <cell r="C562" t="str">
            <v>Pastilha de Freio</v>
          </cell>
          <cell r="D562"/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>
            <v>1</v>
          </cell>
          <cell r="W562">
            <v>1</v>
          </cell>
          <cell r="X562" t="str">
            <v/>
          </cell>
          <cell r="Y562" t="str">
            <v/>
          </cell>
          <cell r="Z562" t="str">
            <v/>
          </cell>
          <cell r="AA562">
            <v>5</v>
          </cell>
          <cell r="AB562">
            <v>5</v>
          </cell>
          <cell r="AC562">
            <v>0</v>
          </cell>
          <cell r="AD562"/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0.5</v>
          </cell>
        </row>
        <row r="563">
          <cell r="A563">
            <v>4032</v>
          </cell>
          <cell r="B563"/>
          <cell r="C563" t="str">
            <v>Capa Pedal</v>
          </cell>
          <cell r="D563" t="str">
            <v>HOLYMAN</v>
          </cell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>
            <v>1</v>
          </cell>
          <cell r="W563">
            <v>1</v>
          </cell>
          <cell r="X563" t="str">
            <v/>
          </cell>
          <cell r="Y563" t="str">
            <v/>
          </cell>
          <cell r="Z563" t="str">
            <v/>
          </cell>
          <cell r="AA563">
            <v>4</v>
          </cell>
          <cell r="AB563">
            <v>4</v>
          </cell>
          <cell r="AC563">
            <v>0</v>
          </cell>
          <cell r="AD563"/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0.5</v>
          </cell>
        </row>
        <row r="564">
          <cell r="A564" t="str">
            <v>FTK18045</v>
          </cell>
          <cell r="B564"/>
          <cell r="C564" t="str">
            <v>Rolamento Roda</v>
          </cell>
          <cell r="D564" t="str">
            <v>IRB</v>
          </cell>
          <cell r="E564">
            <v>12</v>
          </cell>
          <cell r="F564" t="str">
            <v>ROLAMENTO RODA DIANTEIRA CELER 1.5 16V 2012 EM DIANTE</v>
          </cell>
          <cell r="G564"/>
          <cell r="H564" t="str">
            <v>-</v>
          </cell>
          <cell r="I564" t="str">
            <v>-</v>
          </cell>
          <cell r="J564"/>
          <cell r="K564"/>
          <cell r="L564"/>
          <cell r="M564">
            <v>2</v>
          </cell>
          <cell r="N564" t="str">
            <v/>
          </cell>
          <cell r="O564">
            <v>2</v>
          </cell>
          <cell r="P564" t="str">
            <v/>
          </cell>
          <cell r="Q564">
            <v>0</v>
          </cell>
          <cell r="R564" t="str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 t="str">
            <v/>
          </cell>
          <cell r="Y564" t="str">
            <v/>
          </cell>
          <cell r="Z564" t="str">
            <v/>
          </cell>
          <cell r="AA564">
            <v>4</v>
          </cell>
          <cell r="AB564">
            <v>4</v>
          </cell>
          <cell r="AC564">
            <v>0</v>
          </cell>
          <cell r="AD564"/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0.5</v>
          </cell>
        </row>
        <row r="565">
          <cell r="A565">
            <v>4083</v>
          </cell>
          <cell r="B565" t="str">
            <v>Sim</v>
          </cell>
          <cell r="C565" t="str">
            <v>Capa Pedal</v>
          </cell>
          <cell r="D565" t="str">
            <v>HOLYMAN</v>
          </cell>
          <cell r="E565">
            <v>5</v>
          </cell>
          <cell r="F565" t="str">
            <v>Capa De Pedal Freio Automático Santa Fé 2010 A 2014</v>
          </cell>
          <cell r="G565"/>
          <cell r="H565">
            <v>0</v>
          </cell>
          <cell r="I565">
            <v>0</v>
          </cell>
          <cell r="J565"/>
          <cell r="K565"/>
          <cell r="L565"/>
          <cell r="M565">
            <v>1</v>
          </cell>
          <cell r="N565">
            <v>1</v>
          </cell>
          <cell r="O565" t="str">
            <v/>
          </cell>
          <cell r="P565" t="str">
            <v/>
          </cell>
          <cell r="Q565">
            <v>1</v>
          </cell>
          <cell r="R565">
            <v>1</v>
          </cell>
          <cell r="S565" t="str">
            <v>0</v>
          </cell>
          <cell r="T565">
            <v>0</v>
          </cell>
          <cell r="U565">
            <v>0</v>
          </cell>
          <cell r="V565">
            <v>1</v>
          </cell>
          <cell r="W565">
            <v>1</v>
          </cell>
          <cell r="X565" t="str">
            <v/>
          </cell>
          <cell r="Y565" t="str">
            <v/>
          </cell>
          <cell r="Z565" t="str">
            <v/>
          </cell>
          <cell r="AA565">
            <v>3</v>
          </cell>
          <cell r="AB565">
            <v>3</v>
          </cell>
          <cell r="AC565">
            <v>0</v>
          </cell>
          <cell r="AD565"/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0.5</v>
          </cell>
        </row>
        <row r="566">
          <cell r="A566" t="str">
            <v>T-112006</v>
          </cell>
          <cell r="B566"/>
          <cell r="C566"/>
          <cell r="D566" t="str">
            <v>SPARE</v>
          </cell>
          <cell r="E566">
            <v>2</v>
          </cell>
          <cell r="F566" t="str">
            <v>Terminal Da Direção Braço Tensor Ambos Lados Premio 91 A 96</v>
          </cell>
          <cell r="G566"/>
          <cell r="H566">
            <v>0</v>
          </cell>
          <cell r="I566">
            <v>0</v>
          </cell>
          <cell r="J566" t="str">
            <v/>
          </cell>
          <cell r="K566" t="str">
            <v/>
          </cell>
          <cell r="L566" t="str">
            <v/>
          </cell>
          <cell r="M566">
            <v>0</v>
          </cell>
          <cell r="N566" t="str">
            <v/>
          </cell>
          <cell r="O566" t="str">
            <v/>
          </cell>
          <cell r="P566" t="str">
            <v/>
          </cell>
          <cell r="Q566">
            <v>1</v>
          </cell>
          <cell r="R566">
            <v>1</v>
          </cell>
          <cell r="S566" t="str">
            <v>0</v>
          </cell>
          <cell r="T566">
            <v>0</v>
          </cell>
          <cell r="U566">
            <v>0</v>
          </cell>
          <cell r="V566">
            <v>2</v>
          </cell>
          <cell r="W566">
            <v>2</v>
          </cell>
          <cell r="X566" t="str">
            <v/>
          </cell>
          <cell r="Y566" t="str">
            <v/>
          </cell>
          <cell r="Z566" t="str">
            <v/>
          </cell>
          <cell r="AA566">
            <v>3</v>
          </cell>
          <cell r="AB566">
            <v>3</v>
          </cell>
          <cell r="AC566">
            <v>0</v>
          </cell>
          <cell r="AD566"/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0.5</v>
          </cell>
        </row>
        <row r="567">
          <cell r="A567">
            <v>6616</v>
          </cell>
          <cell r="B567" t="str">
            <v>Sim</v>
          </cell>
          <cell r="C567" t="str">
            <v>Bieleta</v>
          </cell>
          <cell r="D567" t="str">
            <v>HOLYMAN</v>
          </cell>
          <cell r="E567">
            <v>5</v>
          </cell>
          <cell r="F567" t="str">
            <v>Bieleta Dianteira Direita Bmw 320i 2005 A 2012 E90 92 93</v>
          </cell>
          <cell r="G567"/>
          <cell r="H567">
            <v>0</v>
          </cell>
          <cell r="I567">
            <v>0</v>
          </cell>
          <cell r="J567"/>
          <cell r="K567">
            <v>1</v>
          </cell>
          <cell r="L567"/>
          <cell r="M567">
            <v>2</v>
          </cell>
          <cell r="N567">
            <v>2</v>
          </cell>
          <cell r="O567">
            <v>0</v>
          </cell>
          <cell r="P567" t="str">
            <v/>
          </cell>
          <cell r="Q567">
            <v>1</v>
          </cell>
          <cell r="R567">
            <v>1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 t="str">
            <v/>
          </cell>
          <cell r="Y567" t="str">
            <v/>
          </cell>
          <cell r="Z567" t="str">
            <v/>
          </cell>
          <cell r="AA567">
            <v>3</v>
          </cell>
          <cell r="AB567">
            <v>2</v>
          </cell>
          <cell r="AC567">
            <v>1</v>
          </cell>
          <cell r="AD567"/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0.5</v>
          </cell>
        </row>
        <row r="568">
          <cell r="A568">
            <v>442119</v>
          </cell>
          <cell r="B568" t="str">
            <v>Sim</v>
          </cell>
          <cell r="C568" t="str">
            <v>Bandeja</v>
          </cell>
          <cell r="D568" t="str">
            <v>SPARE</v>
          </cell>
          <cell r="E568">
            <v>2</v>
          </cell>
          <cell r="F568" t="str">
            <v>Bandeja Inferior Esquerda Com Pivô Amarok 2010 A 2020 2.0</v>
          </cell>
          <cell r="G568"/>
          <cell r="H568">
            <v>2</v>
          </cell>
          <cell r="I568">
            <v>0</v>
          </cell>
          <cell r="J568">
            <v>0</v>
          </cell>
          <cell r="K568" t="str">
            <v/>
          </cell>
          <cell r="L568" t="str">
            <v/>
          </cell>
          <cell r="M568">
            <v>0</v>
          </cell>
          <cell r="N568" t="str">
            <v/>
          </cell>
          <cell r="O568">
            <v>0</v>
          </cell>
          <cell r="P568" t="str">
            <v/>
          </cell>
          <cell r="Q568">
            <v>1</v>
          </cell>
          <cell r="R568" t="str">
            <v>0</v>
          </cell>
          <cell r="S568">
            <v>1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 t="str">
            <v/>
          </cell>
          <cell r="Y568" t="str">
            <v/>
          </cell>
          <cell r="Z568" t="str">
            <v/>
          </cell>
          <cell r="AA568">
            <v>2</v>
          </cell>
          <cell r="AB568">
            <v>2</v>
          </cell>
          <cell r="AC568">
            <v>0</v>
          </cell>
          <cell r="AD568"/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0.5</v>
          </cell>
        </row>
        <row r="569">
          <cell r="A569">
            <v>11419</v>
          </cell>
          <cell r="B569" t="str">
            <v>Sim</v>
          </cell>
          <cell r="C569" t="str">
            <v>Pastilha de Freio</v>
          </cell>
          <cell r="D569" t="str">
            <v>BRASFREIO</v>
          </cell>
          <cell r="E569">
            <v>21</v>
          </cell>
          <cell r="F569" t="str">
            <v>Pastilha De Freio Dianteira Gol G5 G6 1.0 1.6 2012 Em Diante</v>
          </cell>
          <cell r="G569"/>
          <cell r="H569">
            <v>0</v>
          </cell>
          <cell r="I569">
            <v>0</v>
          </cell>
          <cell r="J569" t="str">
            <v/>
          </cell>
          <cell r="K569" t="str">
            <v/>
          </cell>
          <cell r="L569" t="str">
            <v/>
          </cell>
          <cell r="M569">
            <v>2</v>
          </cell>
          <cell r="N569">
            <v>2</v>
          </cell>
          <cell r="O569" t="str">
            <v/>
          </cell>
          <cell r="P569" t="str">
            <v/>
          </cell>
          <cell r="Q569">
            <v>1</v>
          </cell>
          <cell r="R569">
            <v>1</v>
          </cell>
          <cell r="S569" t="str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 t="str">
            <v/>
          </cell>
          <cell r="Y569" t="str">
            <v/>
          </cell>
          <cell r="Z569" t="str">
            <v/>
          </cell>
          <cell r="AA569">
            <v>1</v>
          </cell>
          <cell r="AB569">
            <v>0</v>
          </cell>
          <cell r="AC569">
            <v>0</v>
          </cell>
          <cell r="AD569"/>
          <cell r="AE569">
            <v>1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0.5</v>
          </cell>
        </row>
        <row r="570">
          <cell r="A570">
            <v>4054</v>
          </cell>
          <cell r="B570" t="str">
            <v>Sim</v>
          </cell>
          <cell r="C570" t="str">
            <v>Capa Pedal</v>
          </cell>
          <cell r="D570" t="str">
            <v>HOLYMAN</v>
          </cell>
          <cell r="E570">
            <v>5</v>
          </cell>
          <cell r="F570" t="str">
            <v>Capa De Pedal Freio Embreagem Micro Ônibus Vw</v>
          </cell>
          <cell r="G570"/>
          <cell r="H570">
            <v>0</v>
          </cell>
          <cell r="I570">
            <v>0</v>
          </cell>
          <cell r="J570"/>
          <cell r="K570"/>
          <cell r="L570"/>
          <cell r="M570">
            <v>1</v>
          </cell>
          <cell r="N570">
            <v>1</v>
          </cell>
          <cell r="O570" t="str">
            <v/>
          </cell>
          <cell r="P570" t="str">
            <v/>
          </cell>
          <cell r="Q570">
            <v>0</v>
          </cell>
          <cell r="R570" t="str">
            <v>0</v>
          </cell>
          <cell r="S570" t="str">
            <v>0</v>
          </cell>
          <cell r="T570">
            <v>0</v>
          </cell>
          <cell r="U570">
            <v>0</v>
          </cell>
          <cell r="V570">
            <v>2</v>
          </cell>
          <cell r="W570">
            <v>2</v>
          </cell>
          <cell r="X570" t="str">
            <v/>
          </cell>
          <cell r="Y570" t="str">
            <v/>
          </cell>
          <cell r="Z570" t="str">
            <v/>
          </cell>
          <cell r="AA570">
            <v>1</v>
          </cell>
          <cell r="AB570">
            <v>1</v>
          </cell>
          <cell r="AC570">
            <v>0</v>
          </cell>
          <cell r="AD570"/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0.5</v>
          </cell>
        </row>
        <row r="571">
          <cell r="A571" t="str">
            <v>LT5568</v>
          </cell>
          <cell r="B571"/>
          <cell r="C571" t="str">
            <v>Reparo alavanta Câmbio</v>
          </cell>
          <cell r="D571" t="str">
            <v>LT CORREA</v>
          </cell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>
            <v>1</v>
          </cell>
          <cell r="W571">
            <v>1</v>
          </cell>
          <cell r="X571" t="str">
            <v/>
          </cell>
          <cell r="Y571" t="str">
            <v/>
          </cell>
          <cell r="Z571" t="str">
            <v/>
          </cell>
          <cell r="AA571">
            <v>1</v>
          </cell>
          <cell r="AB571">
            <v>1</v>
          </cell>
          <cell r="AC571">
            <v>0</v>
          </cell>
          <cell r="AD571"/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0.5</v>
          </cell>
        </row>
        <row r="572">
          <cell r="A572">
            <v>772052</v>
          </cell>
          <cell r="B572" t="str">
            <v>Sim</v>
          </cell>
          <cell r="C572" t="str">
            <v>Bandeja</v>
          </cell>
          <cell r="D572" t="str">
            <v>SPARE</v>
          </cell>
          <cell r="E572">
            <v>2</v>
          </cell>
          <cell r="F572" t="str">
            <v>Bandeja Direita Inferior Sem Pivô Sportage 2006 A 2009</v>
          </cell>
          <cell r="G572"/>
          <cell r="H572">
            <v>1</v>
          </cell>
          <cell r="I572">
            <v>0</v>
          </cell>
          <cell r="J572">
            <v>0</v>
          </cell>
          <cell r="K572" t="str">
            <v/>
          </cell>
          <cell r="L572" t="str">
            <v/>
          </cell>
          <cell r="M572">
            <v>1</v>
          </cell>
          <cell r="N572">
            <v>1</v>
          </cell>
          <cell r="O572">
            <v>0</v>
          </cell>
          <cell r="P572" t="str">
            <v/>
          </cell>
          <cell r="Q572">
            <v>0</v>
          </cell>
          <cell r="R572" t="str">
            <v>0</v>
          </cell>
          <cell r="S572">
            <v>0</v>
          </cell>
          <cell r="T572">
            <v>0</v>
          </cell>
          <cell r="U572">
            <v>0</v>
          </cell>
          <cell r="V572">
            <v>1</v>
          </cell>
          <cell r="W572">
            <v>1</v>
          </cell>
          <cell r="X572" t="str">
            <v/>
          </cell>
          <cell r="Y572" t="str">
            <v/>
          </cell>
          <cell r="Z572" t="str">
            <v/>
          </cell>
          <cell r="AA572">
            <v>1</v>
          </cell>
          <cell r="AB572">
            <v>1</v>
          </cell>
          <cell r="AC572">
            <v>0</v>
          </cell>
          <cell r="AD572"/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0.5</v>
          </cell>
        </row>
        <row r="573">
          <cell r="A573">
            <v>112101</v>
          </cell>
          <cell r="B573" t="str">
            <v>Sim</v>
          </cell>
          <cell r="C573" t="str">
            <v>Bandeja</v>
          </cell>
          <cell r="D573" t="str">
            <v>SPARE</v>
          </cell>
          <cell r="E573">
            <v>2</v>
          </cell>
          <cell r="F573" t="str">
            <v>Bandeja Dianteira Esquerda Sem Pivô Punto 2006 A 2014</v>
          </cell>
          <cell r="G573"/>
          <cell r="H573">
            <v>1</v>
          </cell>
          <cell r="I573">
            <v>0</v>
          </cell>
          <cell r="J573">
            <v>0</v>
          </cell>
          <cell r="K573" t="str">
            <v/>
          </cell>
          <cell r="L573" t="str">
            <v/>
          </cell>
          <cell r="M573">
            <v>0</v>
          </cell>
          <cell r="N573" t="str">
            <v/>
          </cell>
          <cell r="O573">
            <v>0</v>
          </cell>
          <cell r="P573" t="str">
            <v/>
          </cell>
          <cell r="Q573">
            <v>2</v>
          </cell>
          <cell r="R573">
            <v>2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 t="str">
            <v/>
          </cell>
          <cell r="Y573" t="str">
            <v/>
          </cell>
          <cell r="Z573" t="str">
            <v/>
          </cell>
          <cell r="AA573">
            <v>1</v>
          </cell>
          <cell r="AB573">
            <v>1</v>
          </cell>
          <cell r="AC573">
            <v>0</v>
          </cell>
          <cell r="AD573"/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0.5</v>
          </cell>
        </row>
        <row r="574">
          <cell r="A574">
            <v>772138</v>
          </cell>
          <cell r="B574" t="str">
            <v>Sim</v>
          </cell>
          <cell r="C574" t="str">
            <v>Bandeja</v>
          </cell>
          <cell r="D574" t="str">
            <v>SPARE</v>
          </cell>
          <cell r="E574">
            <v>2</v>
          </cell>
          <cell r="F574" t="str">
            <v>Bandeja Dianteira Direita Sem Pivô Civic 2011 A 2016</v>
          </cell>
          <cell r="G574"/>
          <cell r="H574">
            <v>0</v>
          </cell>
          <cell r="I574">
            <v>1</v>
          </cell>
          <cell r="J574">
            <v>1</v>
          </cell>
          <cell r="K574" t="str">
            <v/>
          </cell>
          <cell r="L574" t="str">
            <v/>
          </cell>
          <cell r="M574">
            <v>0</v>
          </cell>
          <cell r="N574" t="str">
            <v/>
          </cell>
          <cell r="O574">
            <v>0</v>
          </cell>
          <cell r="P574" t="str">
            <v/>
          </cell>
          <cell r="Q574">
            <v>0</v>
          </cell>
          <cell r="R574" t="str">
            <v>0</v>
          </cell>
          <cell r="S574">
            <v>0</v>
          </cell>
          <cell r="T574">
            <v>0</v>
          </cell>
          <cell r="U574">
            <v>0</v>
          </cell>
          <cell r="V574">
            <v>2</v>
          </cell>
          <cell r="W574">
            <v>1</v>
          </cell>
          <cell r="X574">
            <v>1</v>
          </cell>
          <cell r="Y574" t="str">
            <v/>
          </cell>
          <cell r="Z574" t="str">
            <v/>
          </cell>
          <cell r="AA574">
            <v>1</v>
          </cell>
          <cell r="AB574">
            <v>1</v>
          </cell>
          <cell r="AC574">
            <v>0</v>
          </cell>
          <cell r="AD574"/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0.5</v>
          </cell>
        </row>
        <row r="575">
          <cell r="A575">
            <v>330178</v>
          </cell>
          <cell r="B575"/>
          <cell r="C575" t="str">
            <v>Amortecedor</v>
          </cell>
          <cell r="D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>
            <v>1</v>
          </cell>
          <cell r="W575"/>
          <cell r="X575">
            <v>1</v>
          </cell>
          <cell r="Y575" t="str">
            <v/>
          </cell>
          <cell r="Z575" t="str">
            <v/>
          </cell>
          <cell r="AA575">
            <v>0</v>
          </cell>
          <cell r="AB575">
            <v>0</v>
          </cell>
          <cell r="AC575">
            <v>0</v>
          </cell>
          <cell r="AD575"/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0.5</v>
          </cell>
        </row>
        <row r="576">
          <cell r="A576">
            <v>330179</v>
          </cell>
          <cell r="B576"/>
          <cell r="C576" t="str">
            <v>Amortecedor</v>
          </cell>
          <cell r="D576"/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>
            <v>1</v>
          </cell>
          <cell r="W576"/>
          <cell r="X576">
            <v>1</v>
          </cell>
          <cell r="Y576" t="str">
            <v/>
          </cell>
          <cell r="Z576" t="str">
            <v/>
          </cell>
          <cell r="AA576">
            <v>0</v>
          </cell>
          <cell r="AB576">
            <v>0</v>
          </cell>
          <cell r="AC576">
            <v>0</v>
          </cell>
          <cell r="AD576"/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0.5</v>
          </cell>
        </row>
        <row r="577">
          <cell r="A577">
            <v>222083</v>
          </cell>
          <cell r="B577" t="str">
            <v>Sim</v>
          </cell>
          <cell r="C577" t="str">
            <v>Bandeja</v>
          </cell>
          <cell r="D577" t="str">
            <v>SPARE</v>
          </cell>
          <cell r="E577">
            <v>2</v>
          </cell>
          <cell r="F577" t="str">
            <v>Bandeja Dianteira Esquerda New Fiesta 2011 A 2018 Com Pivô</v>
          </cell>
          <cell r="G577"/>
          <cell r="H577">
            <v>0</v>
          </cell>
          <cell r="I577">
            <v>0</v>
          </cell>
          <cell r="J577"/>
          <cell r="K577"/>
          <cell r="L577"/>
          <cell r="M577">
            <v>1</v>
          </cell>
          <cell r="N577">
            <v>1</v>
          </cell>
          <cell r="O577">
            <v>0</v>
          </cell>
          <cell r="P577" t="str">
            <v/>
          </cell>
          <cell r="Q577">
            <v>2</v>
          </cell>
          <cell r="R577">
            <v>2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 t="str">
            <v/>
          </cell>
          <cell r="Y577" t="str">
            <v/>
          </cell>
          <cell r="Z577" t="str">
            <v/>
          </cell>
          <cell r="AA577">
            <v>0</v>
          </cell>
          <cell r="AB577">
            <v>0</v>
          </cell>
          <cell r="AC577">
            <v>0</v>
          </cell>
          <cell r="AD577"/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0.5</v>
          </cell>
        </row>
        <row r="578">
          <cell r="A578">
            <v>112017</v>
          </cell>
          <cell r="B578" t="str">
            <v>Sim</v>
          </cell>
          <cell r="C578" t="str">
            <v>Bandeja</v>
          </cell>
          <cell r="D578" t="str">
            <v>SPARE</v>
          </cell>
          <cell r="E578">
            <v>2</v>
          </cell>
          <cell r="F578" t="str">
            <v>Bandeja DIANTEIRA DIREITA TEMPRA 1992 A 1999 SEM PIVÔ</v>
          </cell>
          <cell r="G578"/>
          <cell r="H578">
            <v>0</v>
          </cell>
          <cell r="I578">
            <v>0</v>
          </cell>
          <cell r="J578"/>
          <cell r="K578"/>
          <cell r="L578"/>
          <cell r="M578">
            <v>0</v>
          </cell>
          <cell r="N578" t="str">
            <v/>
          </cell>
          <cell r="O578">
            <v>0</v>
          </cell>
          <cell r="P578" t="str">
            <v/>
          </cell>
          <cell r="Q578">
            <v>2</v>
          </cell>
          <cell r="R578">
            <v>1</v>
          </cell>
          <cell r="S578">
            <v>1</v>
          </cell>
          <cell r="T578">
            <v>0</v>
          </cell>
          <cell r="U578">
            <v>0</v>
          </cell>
          <cell r="V578">
            <v>1</v>
          </cell>
          <cell r="W578">
            <v>1</v>
          </cell>
          <cell r="X578" t="str">
            <v/>
          </cell>
          <cell r="Y578" t="str">
            <v/>
          </cell>
          <cell r="Z578" t="str">
            <v/>
          </cell>
          <cell r="AA578">
            <v>0</v>
          </cell>
          <cell r="AB578">
            <v>0</v>
          </cell>
          <cell r="AC578">
            <v>0</v>
          </cell>
          <cell r="AD578"/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0.5</v>
          </cell>
        </row>
        <row r="579">
          <cell r="A579">
            <v>552007</v>
          </cell>
          <cell r="B579" t="str">
            <v>Não</v>
          </cell>
          <cell r="C579" t="str">
            <v>Bandeja</v>
          </cell>
          <cell r="D579" t="str">
            <v>SPARE</v>
          </cell>
          <cell r="E579">
            <v>2</v>
          </cell>
          <cell r="F579" t="str">
            <v>Bandeja - AX 96/ - inferior - Esquerda</v>
          </cell>
          <cell r="G579"/>
          <cell r="H579">
            <v>1</v>
          </cell>
          <cell r="I579">
            <v>0</v>
          </cell>
          <cell r="J579">
            <v>0</v>
          </cell>
          <cell r="K579" t="str">
            <v/>
          </cell>
          <cell r="L579" t="str">
            <v/>
          </cell>
          <cell r="M579">
            <v>0</v>
          </cell>
          <cell r="N579" t="str">
            <v/>
          </cell>
          <cell r="O579">
            <v>0</v>
          </cell>
          <cell r="P579" t="str">
            <v/>
          </cell>
          <cell r="Q579">
            <v>0</v>
          </cell>
          <cell r="R579" t="str">
            <v>0</v>
          </cell>
          <cell r="S579">
            <v>0</v>
          </cell>
          <cell r="T579">
            <v>0</v>
          </cell>
          <cell r="U579">
            <v>0</v>
          </cell>
          <cell r="V579">
            <v>2</v>
          </cell>
          <cell r="W579">
            <v>1</v>
          </cell>
          <cell r="X579">
            <v>1</v>
          </cell>
          <cell r="Y579" t="str">
            <v/>
          </cell>
          <cell r="Z579" t="str">
            <v/>
          </cell>
          <cell r="AA579">
            <v>0</v>
          </cell>
          <cell r="AB579">
            <v>0</v>
          </cell>
          <cell r="AC579">
            <v>0</v>
          </cell>
          <cell r="AD579"/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0.5</v>
          </cell>
        </row>
        <row r="580">
          <cell r="A580">
            <v>442106</v>
          </cell>
          <cell r="B580" t="str">
            <v>Sim</v>
          </cell>
          <cell r="C580" t="str">
            <v>Bandeja</v>
          </cell>
          <cell r="D580" t="str">
            <v>SPARE</v>
          </cell>
          <cell r="E580">
            <v>2</v>
          </cell>
          <cell r="F580" t="str">
            <v>Bandeja Inferior Direito Com Pivô Passat 2012 A 2015</v>
          </cell>
          <cell r="G580"/>
          <cell r="H580">
            <v>0</v>
          </cell>
          <cell r="I580">
            <v>0</v>
          </cell>
          <cell r="J580">
            <v>0</v>
          </cell>
          <cell r="K580" t="str">
            <v/>
          </cell>
          <cell r="L580" t="str">
            <v/>
          </cell>
          <cell r="M580">
            <v>2</v>
          </cell>
          <cell r="N580">
            <v>2</v>
          </cell>
          <cell r="O580">
            <v>0</v>
          </cell>
          <cell r="P580" t="str">
            <v/>
          </cell>
          <cell r="Q580">
            <v>1</v>
          </cell>
          <cell r="R580">
            <v>1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 t="str">
            <v/>
          </cell>
          <cell r="Y580" t="str">
            <v/>
          </cell>
          <cell r="Z580" t="str">
            <v/>
          </cell>
          <cell r="AA580">
            <v>0</v>
          </cell>
          <cell r="AB580">
            <v>0</v>
          </cell>
          <cell r="AC580">
            <v>0</v>
          </cell>
          <cell r="AD580"/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0.5</v>
          </cell>
        </row>
        <row r="581">
          <cell r="A581">
            <v>222063</v>
          </cell>
          <cell r="B581" t="str">
            <v>Sim</v>
          </cell>
          <cell r="C581" t="str">
            <v>Bandeja</v>
          </cell>
          <cell r="D581" t="str">
            <v>SPARE</v>
          </cell>
          <cell r="E581">
            <v>2</v>
          </cell>
          <cell r="F581" t="str">
            <v>Bandeja Inferior Esquerdo Ka Direção Hidráulica Pivô 08 A 13</v>
          </cell>
          <cell r="G581"/>
          <cell r="H581">
            <v>0</v>
          </cell>
          <cell r="I581">
            <v>0</v>
          </cell>
          <cell r="J581" t="str">
            <v/>
          </cell>
          <cell r="K581" t="str">
            <v/>
          </cell>
          <cell r="L581" t="str">
            <v/>
          </cell>
          <cell r="M581">
            <v>0</v>
          </cell>
          <cell r="N581" t="str">
            <v/>
          </cell>
          <cell r="O581" t="str">
            <v/>
          </cell>
          <cell r="P581" t="str">
            <v/>
          </cell>
          <cell r="Q581">
            <v>0</v>
          </cell>
          <cell r="R581" t="str">
            <v>0</v>
          </cell>
          <cell r="S581" t="str">
            <v>0</v>
          </cell>
          <cell r="T581">
            <v>0</v>
          </cell>
          <cell r="U581">
            <v>0</v>
          </cell>
          <cell r="V581">
            <v>3</v>
          </cell>
          <cell r="W581">
            <v>0</v>
          </cell>
          <cell r="X581" t="str">
            <v/>
          </cell>
          <cell r="Y581" t="str">
            <v/>
          </cell>
          <cell r="Z581">
            <v>3</v>
          </cell>
          <cell r="AA581">
            <v>0</v>
          </cell>
          <cell r="AB581">
            <v>0</v>
          </cell>
          <cell r="AC581">
            <v>0</v>
          </cell>
          <cell r="AD581"/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0.5</v>
          </cell>
        </row>
        <row r="582">
          <cell r="A582">
            <v>332114</v>
          </cell>
          <cell r="B582" t="str">
            <v>Sim</v>
          </cell>
          <cell r="C582" t="str">
            <v>Bandeja</v>
          </cell>
          <cell r="D582" t="str">
            <v>SPARE</v>
          </cell>
          <cell r="E582">
            <v>2</v>
          </cell>
          <cell r="F582" t="str">
            <v>Bandeja Dianteira Direita Chevette 1973 A 1993 Com Pivô</v>
          </cell>
          <cell r="G582"/>
          <cell r="H582">
            <v>0</v>
          </cell>
          <cell r="I582">
            <v>0</v>
          </cell>
          <cell r="J582"/>
          <cell r="K582"/>
          <cell r="L582"/>
          <cell r="M582">
            <v>1</v>
          </cell>
          <cell r="N582">
            <v>1</v>
          </cell>
          <cell r="O582">
            <v>0</v>
          </cell>
          <cell r="P582" t="str">
            <v/>
          </cell>
          <cell r="Q582">
            <v>2</v>
          </cell>
          <cell r="R582">
            <v>2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 t="str">
            <v/>
          </cell>
          <cell r="Y582" t="str">
            <v/>
          </cell>
          <cell r="Z582" t="str">
            <v/>
          </cell>
          <cell r="AA582">
            <v>0</v>
          </cell>
          <cell r="AB582">
            <v>0</v>
          </cell>
          <cell r="AC582">
            <v>0</v>
          </cell>
          <cell r="AD582"/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0.5</v>
          </cell>
        </row>
        <row r="583">
          <cell r="A583">
            <v>332115</v>
          </cell>
          <cell r="B583" t="str">
            <v>Sim</v>
          </cell>
          <cell r="C583" t="str">
            <v>Bandeja</v>
          </cell>
          <cell r="D583" t="str">
            <v>SPARE</v>
          </cell>
          <cell r="E583">
            <v>2</v>
          </cell>
          <cell r="F583" t="str">
            <v>Bandeja Dianteira Esquerda Chevette 1973 A 1993 Com Pivô</v>
          </cell>
          <cell r="G583"/>
          <cell r="H583">
            <v>0</v>
          </cell>
          <cell r="I583">
            <v>0</v>
          </cell>
          <cell r="J583"/>
          <cell r="K583"/>
          <cell r="L583"/>
          <cell r="M583">
            <v>1</v>
          </cell>
          <cell r="N583">
            <v>1</v>
          </cell>
          <cell r="O583">
            <v>0</v>
          </cell>
          <cell r="P583" t="str">
            <v/>
          </cell>
          <cell r="Q583">
            <v>1</v>
          </cell>
          <cell r="R583">
            <v>1</v>
          </cell>
          <cell r="S583">
            <v>0</v>
          </cell>
          <cell r="T583">
            <v>0</v>
          </cell>
          <cell r="U583">
            <v>0</v>
          </cell>
          <cell r="V583">
            <v>1</v>
          </cell>
          <cell r="W583">
            <v>1</v>
          </cell>
          <cell r="X583" t="str">
            <v/>
          </cell>
          <cell r="Y583" t="str">
            <v/>
          </cell>
          <cell r="Z583" t="str">
            <v/>
          </cell>
          <cell r="AA583">
            <v>0</v>
          </cell>
          <cell r="AB583">
            <v>0</v>
          </cell>
          <cell r="AC583">
            <v>0</v>
          </cell>
          <cell r="AD583"/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0.5</v>
          </cell>
        </row>
        <row r="584">
          <cell r="A584">
            <v>442067</v>
          </cell>
          <cell r="B584" t="str">
            <v>Sim</v>
          </cell>
          <cell r="C584" t="str">
            <v>Bandeja</v>
          </cell>
          <cell r="D584" t="str">
            <v>SPARE</v>
          </cell>
          <cell r="E584">
            <v>2</v>
          </cell>
          <cell r="F584" t="str">
            <v>Bandeja Ibiza 1995 Á 2003  Lado Esquerdo Com Pivô</v>
          </cell>
          <cell r="G584"/>
          <cell r="H584">
            <v>2</v>
          </cell>
          <cell r="I584">
            <v>1</v>
          </cell>
          <cell r="J584" t="str">
            <v/>
          </cell>
          <cell r="K584">
            <v>1</v>
          </cell>
          <cell r="L584" t="str">
            <v/>
          </cell>
          <cell r="M584">
            <v>0</v>
          </cell>
          <cell r="N584" t="str">
            <v/>
          </cell>
          <cell r="O584" t="str">
            <v/>
          </cell>
          <cell r="P584" t="str">
            <v/>
          </cell>
          <cell r="Q584">
            <v>0</v>
          </cell>
          <cell r="R584">
            <v>0</v>
          </cell>
          <cell r="S584" t="str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 t="str">
            <v/>
          </cell>
          <cell r="Y584" t="str">
            <v/>
          </cell>
          <cell r="Z584" t="str">
            <v/>
          </cell>
          <cell r="AA584">
            <v>0</v>
          </cell>
          <cell r="AB584">
            <v>0</v>
          </cell>
          <cell r="AC584">
            <v>0</v>
          </cell>
          <cell r="AD584"/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0.5</v>
          </cell>
        </row>
        <row r="585">
          <cell r="A585">
            <v>552013</v>
          </cell>
          <cell r="B585" t="str">
            <v>Sim</v>
          </cell>
          <cell r="C585" t="str">
            <v>Bandeja</v>
          </cell>
          <cell r="D585" t="str">
            <v>SPARE</v>
          </cell>
          <cell r="E585">
            <v>2</v>
          </cell>
          <cell r="F585" t="str">
            <v>Bandeja Inferior C3 Lado Esquerdo Com Pivô</v>
          </cell>
          <cell r="G585"/>
          <cell r="H585">
            <v>0</v>
          </cell>
          <cell r="I585">
            <v>0</v>
          </cell>
          <cell r="J585" t="str">
            <v/>
          </cell>
          <cell r="K585" t="str">
            <v/>
          </cell>
          <cell r="L585" t="str">
            <v/>
          </cell>
          <cell r="M585">
            <v>1</v>
          </cell>
          <cell r="N585">
            <v>1</v>
          </cell>
          <cell r="O585" t="str">
            <v/>
          </cell>
          <cell r="P585" t="str">
            <v/>
          </cell>
          <cell r="Q585">
            <v>0</v>
          </cell>
          <cell r="R585" t="str">
            <v>0</v>
          </cell>
          <cell r="S585" t="str">
            <v>0</v>
          </cell>
          <cell r="T585">
            <v>0</v>
          </cell>
          <cell r="U585">
            <v>0</v>
          </cell>
          <cell r="V585">
            <v>2</v>
          </cell>
          <cell r="W585">
            <v>2</v>
          </cell>
          <cell r="X585" t="str">
            <v/>
          </cell>
          <cell r="Y585" t="str">
            <v/>
          </cell>
          <cell r="Z585" t="str">
            <v/>
          </cell>
          <cell r="AA585">
            <v>0</v>
          </cell>
          <cell r="AB585">
            <v>0</v>
          </cell>
          <cell r="AC585">
            <v>0</v>
          </cell>
          <cell r="AD585"/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0.5</v>
          </cell>
        </row>
        <row r="586">
          <cell r="A586">
            <v>662049</v>
          </cell>
          <cell r="B586" t="str">
            <v>Sim</v>
          </cell>
          <cell r="C586" t="str">
            <v>Bandeja</v>
          </cell>
          <cell r="D586" t="str">
            <v>SPARE</v>
          </cell>
          <cell r="E586">
            <v>2</v>
          </cell>
          <cell r="F586" t="str">
            <v>Bandeja Dianteira Esquerda Sem Pivô Logan 2014 A 2019</v>
          </cell>
          <cell r="G586"/>
          <cell r="H586">
            <v>0</v>
          </cell>
          <cell r="I586">
            <v>0</v>
          </cell>
          <cell r="J586">
            <v>0</v>
          </cell>
          <cell r="K586" t="str">
            <v/>
          </cell>
          <cell r="L586" t="str">
            <v/>
          </cell>
          <cell r="M586">
            <v>1</v>
          </cell>
          <cell r="N586">
            <v>1</v>
          </cell>
          <cell r="O586">
            <v>0</v>
          </cell>
          <cell r="P586" t="str">
            <v/>
          </cell>
          <cell r="Q586">
            <v>1</v>
          </cell>
          <cell r="R586">
            <v>1</v>
          </cell>
          <cell r="S586">
            <v>0</v>
          </cell>
          <cell r="T586">
            <v>0</v>
          </cell>
          <cell r="U586">
            <v>0</v>
          </cell>
          <cell r="V586">
            <v>1</v>
          </cell>
          <cell r="W586">
            <v>1</v>
          </cell>
          <cell r="X586" t="str">
            <v/>
          </cell>
          <cell r="Y586" t="str">
            <v/>
          </cell>
          <cell r="Z586" t="str">
            <v/>
          </cell>
          <cell r="AA586">
            <v>0</v>
          </cell>
          <cell r="AB586">
            <v>0</v>
          </cell>
          <cell r="AC586">
            <v>0</v>
          </cell>
          <cell r="AD586"/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0.5</v>
          </cell>
        </row>
        <row r="587">
          <cell r="A587" t="str">
            <v>FTK00313</v>
          </cell>
          <cell r="B587"/>
          <cell r="C587" t="str">
            <v>Bucha Barra estabilizadora</v>
          </cell>
          <cell r="D587" t="str">
            <v/>
          </cell>
          <cell r="E587" t="e">
            <v>#N/A</v>
          </cell>
          <cell r="F587" t="str">
            <v>BUCHA DA SUSPENSÃO DIANTEIRA ESCORT 1993 A JANEIRO 1995</v>
          </cell>
          <cell r="G587"/>
          <cell r="H587" t="str">
            <v>-</v>
          </cell>
          <cell r="I587" t="str">
            <v>-</v>
          </cell>
          <cell r="J587"/>
          <cell r="K587"/>
          <cell r="L587"/>
          <cell r="M587">
            <v>2</v>
          </cell>
          <cell r="N587" t="str">
            <v/>
          </cell>
          <cell r="O587">
            <v>2</v>
          </cell>
          <cell r="P587" t="str">
            <v/>
          </cell>
          <cell r="Q587">
            <v>0</v>
          </cell>
          <cell r="R587" t="str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 t="str">
            <v/>
          </cell>
          <cell r="Y587" t="str">
            <v/>
          </cell>
          <cell r="Z587" t="str">
            <v/>
          </cell>
          <cell r="AA587">
            <v>0</v>
          </cell>
          <cell r="AB587">
            <v>0</v>
          </cell>
          <cell r="AC587">
            <v>0</v>
          </cell>
          <cell r="AD587"/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0.5</v>
          </cell>
        </row>
        <row r="588">
          <cell r="A588">
            <v>55174</v>
          </cell>
          <cell r="B588"/>
          <cell r="C588" t="str">
            <v>Cabo de Velocímetro</v>
          </cell>
          <cell r="D588" t="str">
            <v>MundiFlex</v>
          </cell>
          <cell r="E588">
            <v>6</v>
          </cell>
          <cell r="F588" t="str">
            <v>Cabo De Velocímetro Kombi T2 2006 Em Diante Motor Água</v>
          </cell>
          <cell r="G588"/>
          <cell r="H588">
            <v>1</v>
          </cell>
          <cell r="I588">
            <v>0</v>
          </cell>
          <cell r="J588" t="str">
            <v/>
          </cell>
          <cell r="K588" t="str">
            <v/>
          </cell>
          <cell r="L588" t="str">
            <v/>
          </cell>
          <cell r="M588">
            <v>0</v>
          </cell>
          <cell r="N588" t="str">
            <v/>
          </cell>
          <cell r="O588" t="str">
            <v/>
          </cell>
          <cell r="P588" t="str">
            <v/>
          </cell>
          <cell r="Q588">
            <v>0</v>
          </cell>
          <cell r="R588" t="str">
            <v>0</v>
          </cell>
          <cell r="S588" t="str">
            <v>0</v>
          </cell>
          <cell r="T588">
            <v>0</v>
          </cell>
          <cell r="U588">
            <v>0</v>
          </cell>
          <cell r="V588">
            <v>2</v>
          </cell>
          <cell r="W588">
            <v>2</v>
          </cell>
          <cell r="X588" t="str">
            <v/>
          </cell>
          <cell r="Y588" t="str">
            <v/>
          </cell>
          <cell r="Z588" t="str">
            <v/>
          </cell>
          <cell r="AA588">
            <v>0</v>
          </cell>
          <cell r="AB588">
            <v>0</v>
          </cell>
          <cell r="AC588">
            <v>0</v>
          </cell>
          <cell r="AD588"/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0.5</v>
          </cell>
        </row>
        <row r="589">
          <cell r="A589">
            <v>55030</v>
          </cell>
          <cell r="B589" t="str">
            <v>Sim</v>
          </cell>
          <cell r="C589" t="str">
            <v>Cabo Embreagem</v>
          </cell>
          <cell r="D589" t="str">
            <v>MundiFlex</v>
          </cell>
          <cell r="E589">
            <v>6</v>
          </cell>
          <cell r="F589" t="str">
            <v>Cabo De Embreagem Parati G1 G2 Ap Efi 1.6 1.8 E 2.0</v>
          </cell>
          <cell r="G589"/>
          <cell r="H589">
            <v>1</v>
          </cell>
          <cell r="I589">
            <v>0</v>
          </cell>
          <cell r="J589" t="str">
            <v/>
          </cell>
          <cell r="K589" t="str">
            <v/>
          </cell>
          <cell r="L589" t="str">
            <v/>
          </cell>
          <cell r="M589">
            <v>1</v>
          </cell>
          <cell r="N589">
            <v>1</v>
          </cell>
          <cell r="O589" t="str">
            <v/>
          </cell>
          <cell r="P589" t="str">
            <v/>
          </cell>
          <cell r="Q589">
            <v>0</v>
          </cell>
          <cell r="R589">
            <v>0</v>
          </cell>
          <cell r="S589" t="str">
            <v>0</v>
          </cell>
          <cell r="T589">
            <v>0</v>
          </cell>
          <cell r="U589">
            <v>0</v>
          </cell>
          <cell r="V589">
            <v>1</v>
          </cell>
          <cell r="W589">
            <v>1</v>
          </cell>
          <cell r="X589" t="str">
            <v/>
          </cell>
          <cell r="Y589" t="str">
            <v/>
          </cell>
          <cell r="Z589" t="str">
            <v/>
          </cell>
          <cell r="AA589">
            <v>0</v>
          </cell>
          <cell r="AB589">
            <v>0</v>
          </cell>
          <cell r="AC589">
            <v>0</v>
          </cell>
          <cell r="AD589"/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0.5</v>
          </cell>
        </row>
        <row r="590">
          <cell r="A590">
            <v>227206</v>
          </cell>
          <cell r="B590"/>
          <cell r="C590" t="str">
            <v>Cabo Embreagem</v>
          </cell>
          <cell r="D590" t="str">
            <v>Importação</v>
          </cell>
          <cell r="E590">
            <v>1</v>
          </cell>
          <cell r="F590" t="str">
            <v>Cabo De Embreagem Peugeot 206 1.1 / 1.3 / 1.6 Chassi 9683/..</v>
          </cell>
          <cell r="G590"/>
          <cell r="H590">
            <v>1</v>
          </cell>
          <cell r="I590">
            <v>1</v>
          </cell>
          <cell r="J590" t="str">
            <v/>
          </cell>
          <cell r="K590">
            <v>1</v>
          </cell>
          <cell r="L590" t="str">
            <v/>
          </cell>
          <cell r="M590">
            <v>0</v>
          </cell>
          <cell r="N590" t="str">
            <v/>
          </cell>
          <cell r="O590" t="str">
            <v/>
          </cell>
          <cell r="P590" t="str">
            <v/>
          </cell>
          <cell r="Q590">
            <v>0</v>
          </cell>
          <cell r="R590" t="str">
            <v>0</v>
          </cell>
          <cell r="S590" t="str">
            <v>0</v>
          </cell>
          <cell r="T590">
            <v>0</v>
          </cell>
          <cell r="U590">
            <v>0</v>
          </cell>
          <cell r="V590">
            <v>1</v>
          </cell>
          <cell r="W590">
            <v>1</v>
          </cell>
          <cell r="X590" t="str">
            <v/>
          </cell>
          <cell r="Y590" t="str">
            <v/>
          </cell>
          <cell r="Z590" t="str">
            <v/>
          </cell>
          <cell r="AA590">
            <v>0</v>
          </cell>
          <cell r="AB590">
            <v>0</v>
          </cell>
          <cell r="AC590">
            <v>0</v>
          </cell>
          <cell r="AD590"/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0.5</v>
          </cell>
        </row>
        <row r="591">
          <cell r="A591">
            <v>550291</v>
          </cell>
          <cell r="B591" t="str">
            <v>Sim</v>
          </cell>
          <cell r="C591" t="str">
            <v>Cabo Embreagem</v>
          </cell>
          <cell r="D591" t="str">
            <v>MundiFlex</v>
          </cell>
          <cell r="E591">
            <v>6</v>
          </cell>
          <cell r="F591" t="str">
            <v>Tubo Flexível Kombi T2 Motor A Água 2006 Em Diante</v>
          </cell>
          <cell r="G591"/>
          <cell r="H591">
            <v>1</v>
          </cell>
          <cell r="I591">
            <v>0</v>
          </cell>
          <cell r="J591" t="str">
            <v/>
          </cell>
          <cell r="K591" t="str">
            <v/>
          </cell>
          <cell r="L591" t="str">
            <v/>
          </cell>
          <cell r="M591">
            <v>1</v>
          </cell>
          <cell r="N591">
            <v>1</v>
          </cell>
          <cell r="O591" t="str">
            <v/>
          </cell>
          <cell r="P591" t="str">
            <v/>
          </cell>
          <cell r="Q591">
            <v>1</v>
          </cell>
          <cell r="R591">
            <v>1</v>
          </cell>
          <cell r="S591" t="str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 t="str">
            <v/>
          </cell>
          <cell r="Y591" t="str">
            <v/>
          </cell>
          <cell r="Z591" t="str">
            <v/>
          </cell>
          <cell r="AA591">
            <v>0</v>
          </cell>
          <cell r="AB591">
            <v>0</v>
          </cell>
          <cell r="AC591">
            <v>0</v>
          </cell>
          <cell r="AD591"/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0.5</v>
          </cell>
        </row>
        <row r="592">
          <cell r="A592">
            <v>4048</v>
          </cell>
          <cell r="B592" t="str">
            <v>Sim</v>
          </cell>
          <cell r="C592" t="str">
            <v>Capa Pedal</v>
          </cell>
          <cell r="D592" t="str">
            <v>HOLYMAN</v>
          </cell>
          <cell r="E592">
            <v>5</v>
          </cell>
          <cell r="F592" t="str">
            <v>Capa De Pedal Freio Automatico Civic 2000 Em Diante</v>
          </cell>
          <cell r="G592"/>
          <cell r="H592">
            <v>0</v>
          </cell>
          <cell r="I592">
            <v>0</v>
          </cell>
          <cell r="J592"/>
          <cell r="K592"/>
          <cell r="L592"/>
          <cell r="M592">
            <v>1</v>
          </cell>
          <cell r="N592">
            <v>1</v>
          </cell>
          <cell r="O592" t="str">
            <v/>
          </cell>
          <cell r="P592" t="str">
            <v/>
          </cell>
          <cell r="Q592">
            <v>2</v>
          </cell>
          <cell r="R592">
            <v>2</v>
          </cell>
          <cell r="S592" t="str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 t="str">
            <v/>
          </cell>
          <cell r="Y592" t="str">
            <v/>
          </cell>
          <cell r="Z592" t="str">
            <v/>
          </cell>
          <cell r="AA592">
            <v>0</v>
          </cell>
          <cell r="AB592">
            <v>0</v>
          </cell>
          <cell r="AC592">
            <v>0</v>
          </cell>
          <cell r="AD592"/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0.5</v>
          </cell>
        </row>
        <row r="593">
          <cell r="A593">
            <v>4052</v>
          </cell>
          <cell r="B593"/>
          <cell r="C593" t="str">
            <v>Capa Pedal</v>
          </cell>
          <cell r="D593" t="str">
            <v>HOLYMAN</v>
          </cell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>
            <v>1</v>
          </cell>
          <cell r="W593">
            <v>1</v>
          </cell>
          <cell r="X593" t="str">
            <v/>
          </cell>
          <cell r="Y593" t="str">
            <v/>
          </cell>
          <cell r="Z593" t="str">
            <v/>
          </cell>
          <cell r="AA593">
            <v>0</v>
          </cell>
          <cell r="AB593">
            <v>0</v>
          </cell>
          <cell r="AC593">
            <v>0</v>
          </cell>
          <cell r="AD593"/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0.5</v>
          </cell>
        </row>
        <row r="594">
          <cell r="A594">
            <v>4078</v>
          </cell>
          <cell r="B594"/>
          <cell r="C594" t="str">
            <v>Capa Pedal</v>
          </cell>
          <cell r="D594" t="str">
            <v>HOLYMAN</v>
          </cell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>
            <v>1</v>
          </cell>
          <cell r="W594">
            <v>1</v>
          </cell>
          <cell r="X594" t="str">
            <v/>
          </cell>
          <cell r="Y594" t="str">
            <v/>
          </cell>
          <cell r="Z594" t="str">
            <v/>
          </cell>
          <cell r="AA594">
            <v>0</v>
          </cell>
          <cell r="AB594">
            <v>0</v>
          </cell>
          <cell r="AC594">
            <v>0</v>
          </cell>
          <cell r="AD594"/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0.5</v>
          </cell>
        </row>
        <row r="595">
          <cell r="A595" t="str">
            <v>FTK200116PA</v>
          </cell>
          <cell r="B595"/>
          <cell r="C595" t="str">
            <v>Junta moto</v>
          </cell>
          <cell r="D595" t="str">
            <v>KRATER</v>
          </cell>
          <cell r="E595"/>
          <cell r="F595" t="str">
            <v>Jogo De Juntas Superior Do Cabeçote Nxr160 Bros 2015 Diante</v>
          </cell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>
            <v>1</v>
          </cell>
          <cell r="W595">
            <v>1</v>
          </cell>
          <cell r="X595" t="str">
            <v/>
          </cell>
          <cell r="Y595" t="str">
            <v/>
          </cell>
          <cell r="Z595" t="str">
            <v/>
          </cell>
          <cell r="AA595">
            <v>0</v>
          </cell>
          <cell r="AB595">
            <v>0</v>
          </cell>
          <cell r="AC595">
            <v>0</v>
          </cell>
          <cell r="AD595"/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0.5</v>
          </cell>
        </row>
        <row r="596">
          <cell r="A596" t="str">
            <v>FTK00605</v>
          </cell>
          <cell r="B596"/>
          <cell r="C596" t="str">
            <v>Pivô</v>
          </cell>
          <cell r="D596" t="str">
            <v>SPARE</v>
          </cell>
          <cell r="E596"/>
          <cell r="F596" t="str">
            <v>Pivô Inferior Dianteira Ambos Lados Ecosport 2003 A 2013</v>
          </cell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>
            <v>1</v>
          </cell>
          <cell r="W596">
            <v>1</v>
          </cell>
          <cell r="X596" t="str">
            <v/>
          </cell>
          <cell r="Y596" t="str">
            <v/>
          </cell>
          <cell r="Z596" t="str">
            <v/>
          </cell>
          <cell r="AA596">
            <v>0</v>
          </cell>
          <cell r="AB596">
            <v>0</v>
          </cell>
          <cell r="AC596">
            <v>0</v>
          </cell>
          <cell r="AD596"/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0.5</v>
          </cell>
        </row>
        <row r="597">
          <cell r="A597" t="str">
            <v>FTK-33395</v>
          </cell>
          <cell r="B597"/>
          <cell r="C597" t="str">
            <v>Pivô</v>
          </cell>
          <cell r="D597" t="str">
            <v>SPARE</v>
          </cell>
          <cell r="E597"/>
          <cell r="F597" t="str">
            <v>Pivô Inferior Dianteira Ambos Lados Ecosport 2003 A 2013</v>
          </cell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>
            <v>1</v>
          </cell>
          <cell r="W597">
            <v>1</v>
          </cell>
          <cell r="X597" t="str">
            <v/>
          </cell>
          <cell r="Y597" t="str">
            <v/>
          </cell>
          <cell r="Z597" t="str">
            <v/>
          </cell>
          <cell r="AA597">
            <v>0</v>
          </cell>
          <cell r="AB597">
            <v>0</v>
          </cell>
          <cell r="AC597">
            <v>0</v>
          </cell>
          <cell r="AD597"/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0.5</v>
          </cell>
        </row>
        <row r="598">
          <cell r="A598" t="str">
            <v>FTK222014</v>
          </cell>
          <cell r="B598" t="str">
            <v>Sim</v>
          </cell>
          <cell r="C598" t="str">
            <v>Pivô</v>
          </cell>
          <cell r="D598" t="str">
            <v>SPARE</v>
          </cell>
          <cell r="E598">
            <v>2</v>
          </cell>
          <cell r="F598" t="str">
            <v>Pivô Inferior Ambos Os Lados Ranger 4x2 4x4 1998 A 2012</v>
          </cell>
          <cell r="G598"/>
          <cell r="H598">
            <v>0</v>
          </cell>
          <cell r="I598">
            <v>1</v>
          </cell>
          <cell r="J598">
            <v>0</v>
          </cell>
          <cell r="K598">
            <v>1</v>
          </cell>
          <cell r="L598" t="str">
            <v/>
          </cell>
          <cell r="M598">
            <v>2</v>
          </cell>
          <cell r="N598">
            <v>2</v>
          </cell>
          <cell r="O598">
            <v>0</v>
          </cell>
          <cell r="P598" t="str">
            <v/>
          </cell>
          <cell r="Q598">
            <v>0</v>
          </cell>
          <cell r="R598" t="str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 t="str">
            <v/>
          </cell>
          <cell r="Y598" t="str">
            <v/>
          </cell>
          <cell r="Z598" t="str">
            <v/>
          </cell>
          <cell r="AA598">
            <v>0</v>
          </cell>
          <cell r="AB598">
            <v>0</v>
          </cell>
          <cell r="AC598">
            <v>0</v>
          </cell>
          <cell r="AD598"/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0.5</v>
          </cell>
        </row>
        <row r="599">
          <cell r="A599" t="str">
            <v>PVI2182</v>
          </cell>
          <cell r="B599" t="str">
            <v>Sim</v>
          </cell>
          <cell r="C599" t="str">
            <v>Pivô</v>
          </cell>
          <cell r="D599" t="str">
            <v>SPARE</v>
          </cell>
          <cell r="E599">
            <v>2</v>
          </cell>
          <cell r="F599" t="str">
            <v>Pivô Inferior Da Bandeja Ambos Lados Renault R11 1983 A 1997</v>
          </cell>
          <cell r="G599"/>
          <cell r="H599">
            <v>2</v>
          </cell>
          <cell r="I599">
            <v>0</v>
          </cell>
          <cell r="J599" t="str">
            <v/>
          </cell>
          <cell r="K599" t="str">
            <v/>
          </cell>
          <cell r="L599" t="str">
            <v/>
          </cell>
          <cell r="M599">
            <v>1</v>
          </cell>
          <cell r="N599">
            <v>1</v>
          </cell>
          <cell r="O599" t="str">
            <v/>
          </cell>
          <cell r="P599" t="str">
            <v/>
          </cell>
          <cell r="Q599">
            <v>0</v>
          </cell>
          <cell r="R599" t="str">
            <v>0</v>
          </cell>
          <cell r="S599" t="str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 t="str">
            <v/>
          </cell>
          <cell r="Y599" t="str">
            <v/>
          </cell>
          <cell r="Z599" t="str">
            <v/>
          </cell>
          <cell r="AA599">
            <v>0</v>
          </cell>
          <cell r="AB599">
            <v>0</v>
          </cell>
          <cell r="AC599">
            <v>0</v>
          </cell>
          <cell r="AD599"/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0.5</v>
          </cell>
        </row>
        <row r="600">
          <cell r="A600" t="str">
            <v>FTK18102</v>
          </cell>
          <cell r="B600"/>
          <cell r="C600" t="str">
            <v>Rolamento Roda</v>
          </cell>
          <cell r="D600" t="str">
            <v>IRB</v>
          </cell>
          <cell r="E600">
            <v>12</v>
          </cell>
          <cell r="F600" t="str">
            <v>ROLAMENTO RODA TRASEIRA LAND ROVER DISCOVERY 3 2005 A 2009</v>
          </cell>
          <cell r="G600"/>
          <cell r="H600" t="str">
            <v>-</v>
          </cell>
          <cell r="I600" t="str">
            <v>-</v>
          </cell>
          <cell r="J600"/>
          <cell r="K600"/>
          <cell r="L600"/>
          <cell r="M600">
            <v>2</v>
          </cell>
          <cell r="N600" t="str">
            <v/>
          </cell>
          <cell r="O600">
            <v>2</v>
          </cell>
          <cell r="P600" t="str">
            <v/>
          </cell>
          <cell r="Q600">
            <v>0</v>
          </cell>
          <cell r="R600" t="str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 t="str">
            <v/>
          </cell>
          <cell r="Y600" t="str">
            <v/>
          </cell>
          <cell r="Z600" t="str">
            <v/>
          </cell>
          <cell r="AA600">
            <v>0</v>
          </cell>
          <cell r="AB600">
            <v>0</v>
          </cell>
          <cell r="AC600">
            <v>0</v>
          </cell>
          <cell r="AD600"/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0.5</v>
          </cell>
        </row>
        <row r="601">
          <cell r="A601" t="str">
            <v>FTK18169</v>
          </cell>
          <cell r="B601"/>
          <cell r="C601" t="str">
            <v>Rolamento Roda</v>
          </cell>
          <cell r="D601" t="str">
            <v>IRB</v>
          </cell>
          <cell r="E601">
            <v>12</v>
          </cell>
          <cell r="F601" t="str">
            <v>ROLAMENTO RODA DIANTEIRA JAC MOTORS J2 2012 A 2017</v>
          </cell>
          <cell r="G601"/>
          <cell r="H601" t="str">
            <v>-</v>
          </cell>
          <cell r="I601" t="str">
            <v>-</v>
          </cell>
          <cell r="J601"/>
          <cell r="K601"/>
          <cell r="L601"/>
          <cell r="M601">
            <v>0</v>
          </cell>
          <cell r="N601" t="str">
            <v/>
          </cell>
          <cell r="O601">
            <v>0</v>
          </cell>
          <cell r="P601" t="str">
            <v/>
          </cell>
          <cell r="Q601">
            <v>0</v>
          </cell>
          <cell r="R601" t="str">
            <v>0</v>
          </cell>
          <cell r="S601">
            <v>0</v>
          </cell>
          <cell r="T601">
            <v>0</v>
          </cell>
          <cell r="U601">
            <v>0</v>
          </cell>
          <cell r="V601">
            <v>2</v>
          </cell>
          <cell r="W601">
            <v>0</v>
          </cell>
          <cell r="X601">
            <v>2</v>
          </cell>
          <cell r="Y601" t="str">
            <v/>
          </cell>
          <cell r="Z601" t="str">
            <v/>
          </cell>
          <cell r="AA601">
            <v>0</v>
          </cell>
          <cell r="AB601">
            <v>0</v>
          </cell>
          <cell r="AC601">
            <v>0</v>
          </cell>
          <cell r="AD601"/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0.5</v>
          </cell>
        </row>
        <row r="602">
          <cell r="A602">
            <v>5625</v>
          </cell>
          <cell r="B602"/>
          <cell r="C602" t="str">
            <v>Bieleta</v>
          </cell>
          <cell r="D602" t="str">
            <v>HOLYMAN</v>
          </cell>
          <cell r="E602">
            <v>5</v>
          </cell>
          <cell r="F602" t="str">
            <v>BRAÇO DA SUSPENSÃO TRASEIRA I30 2009 A 2012</v>
          </cell>
          <cell r="G602"/>
          <cell r="H602" t="str">
            <v>-</v>
          </cell>
          <cell r="I602">
            <v>0</v>
          </cell>
          <cell r="J602">
            <v>0</v>
          </cell>
          <cell r="K602" t="str">
            <v/>
          </cell>
          <cell r="L602" t="str">
            <v/>
          </cell>
          <cell r="M602">
            <v>0</v>
          </cell>
          <cell r="N602" t="str">
            <v/>
          </cell>
          <cell r="O602">
            <v>0</v>
          </cell>
          <cell r="P602" t="str">
            <v/>
          </cell>
          <cell r="Q602">
            <v>0</v>
          </cell>
          <cell r="R602" t="str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 t="str">
            <v/>
          </cell>
          <cell r="Y602" t="str">
            <v/>
          </cell>
          <cell r="Z602" t="str">
            <v/>
          </cell>
          <cell r="AA602">
            <v>0</v>
          </cell>
          <cell r="AB602">
            <v>0</v>
          </cell>
          <cell r="AC602">
            <v>0</v>
          </cell>
          <cell r="AD602"/>
          <cell r="AE602">
            <v>0</v>
          </cell>
          <cell r="AF602">
            <v>2</v>
          </cell>
          <cell r="AG602">
            <v>0</v>
          </cell>
          <cell r="AH602">
            <v>2</v>
          </cell>
          <cell r="AI602">
            <v>0</v>
          </cell>
          <cell r="AJ602">
            <v>0</v>
          </cell>
          <cell r="AK602">
            <v>0.4</v>
          </cell>
        </row>
        <row r="603">
          <cell r="A603">
            <v>559130</v>
          </cell>
          <cell r="B603"/>
          <cell r="C603" t="str">
            <v>Bieleta</v>
          </cell>
          <cell r="D603" t="str">
            <v>HOLYMAN</v>
          </cell>
          <cell r="E603">
            <v>5</v>
          </cell>
          <cell r="F603" t="str">
            <v>BIELETA REFORÇADA DIANTEIRA DIREITA L200 TRITON 2007 A 2013</v>
          </cell>
          <cell r="G603"/>
          <cell r="H603" t="str">
            <v>-</v>
          </cell>
          <cell r="I603">
            <v>0</v>
          </cell>
          <cell r="J603">
            <v>0</v>
          </cell>
          <cell r="K603" t="str">
            <v/>
          </cell>
          <cell r="L603" t="str">
            <v/>
          </cell>
          <cell r="M603">
            <v>0</v>
          </cell>
          <cell r="N603" t="str">
            <v/>
          </cell>
          <cell r="O603">
            <v>0</v>
          </cell>
          <cell r="P603" t="str">
            <v/>
          </cell>
          <cell r="Q603">
            <v>1</v>
          </cell>
          <cell r="R603" t="str">
            <v>0</v>
          </cell>
          <cell r="S603">
            <v>1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 t="str">
            <v/>
          </cell>
          <cell r="Y603" t="str">
            <v/>
          </cell>
          <cell r="Z603" t="str">
            <v/>
          </cell>
          <cell r="AA603">
            <v>1</v>
          </cell>
          <cell r="AB603">
            <v>0</v>
          </cell>
          <cell r="AC603">
            <v>1</v>
          </cell>
          <cell r="AD603"/>
          <cell r="AE603">
            <v>0</v>
          </cell>
          <cell r="AF603">
            <v>1</v>
          </cell>
          <cell r="AG603">
            <v>0</v>
          </cell>
          <cell r="AH603">
            <v>1</v>
          </cell>
          <cell r="AI603">
            <v>0</v>
          </cell>
          <cell r="AJ603">
            <v>0</v>
          </cell>
          <cell r="AK603">
            <v>0.4</v>
          </cell>
        </row>
        <row r="604">
          <cell r="A604">
            <v>559140</v>
          </cell>
          <cell r="B604"/>
          <cell r="C604" t="str">
            <v>Bieleta</v>
          </cell>
          <cell r="D604" t="str">
            <v>HOLYMAN</v>
          </cell>
          <cell r="E604">
            <v>5</v>
          </cell>
          <cell r="F604" t="str">
            <v>BIELETA REFORÇADA DIANTEIRA ESQUERDA L200 TRITON 2007 A 2013</v>
          </cell>
          <cell r="G604"/>
          <cell r="H604" t="str">
            <v>-</v>
          </cell>
          <cell r="I604">
            <v>0</v>
          </cell>
          <cell r="J604">
            <v>0</v>
          </cell>
          <cell r="K604" t="str">
            <v/>
          </cell>
          <cell r="L604" t="str">
            <v/>
          </cell>
          <cell r="M604">
            <v>0</v>
          </cell>
          <cell r="N604" t="str">
            <v/>
          </cell>
          <cell r="O604">
            <v>0</v>
          </cell>
          <cell r="P604" t="str">
            <v/>
          </cell>
          <cell r="Q604">
            <v>1</v>
          </cell>
          <cell r="R604" t="str">
            <v>0</v>
          </cell>
          <cell r="S604">
            <v>1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 t="str">
            <v/>
          </cell>
          <cell r="Y604" t="str">
            <v/>
          </cell>
          <cell r="Z604" t="str">
            <v/>
          </cell>
          <cell r="AA604">
            <v>1</v>
          </cell>
          <cell r="AB604">
            <v>0</v>
          </cell>
          <cell r="AC604">
            <v>1</v>
          </cell>
          <cell r="AD604"/>
          <cell r="AE604">
            <v>0</v>
          </cell>
          <cell r="AF604">
            <v>1</v>
          </cell>
          <cell r="AG604">
            <v>0</v>
          </cell>
          <cell r="AH604">
            <v>1</v>
          </cell>
          <cell r="AI604">
            <v>0</v>
          </cell>
          <cell r="AJ604">
            <v>0</v>
          </cell>
          <cell r="AK604">
            <v>0.4</v>
          </cell>
        </row>
        <row r="605">
          <cell r="A605">
            <v>5408</v>
          </cell>
          <cell r="B605"/>
          <cell r="C605" t="str">
            <v>Bieleta</v>
          </cell>
          <cell r="D605" t="str">
            <v>HOLYMAN</v>
          </cell>
          <cell r="E605">
            <v>5</v>
          </cell>
          <cell r="F605" t="str">
            <v>BIELETA DIANTEIRA ESQUERDA ACCORD 1998 A 2002</v>
          </cell>
          <cell r="G605"/>
          <cell r="H605" t="str">
            <v>-</v>
          </cell>
          <cell r="I605">
            <v>0</v>
          </cell>
          <cell r="J605">
            <v>0</v>
          </cell>
          <cell r="K605" t="str">
            <v/>
          </cell>
          <cell r="L605" t="str">
            <v/>
          </cell>
          <cell r="M605">
            <v>1</v>
          </cell>
          <cell r="N605" t="str">
            <v/>
          </cell>
          <cell r="O605">
            <v>1</v>
          </cell>
          <cell r="P605" t="str">
            <v/>
          </cell>
          <cell r="Q605">
            <v>0</v>
          </cell>
          <cell r="R605" t="str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 t="str">
            <v/>
          </cell>
          <cell r="Y605" t="str">
            <v/>
          </cell>
          <cell r="Z605" t="str">
            <v/>
          </cell>
          <cell r="AA605">
            <v>0</v>
          </cell>
          <cell r="AB605">
            <v>0</v>
          </cell>
          <cell r="AC605">
            <v>0</v>
          </cell>
          <cell r="AD605"/>
          <cell r="AE605">
            <v>0</v>
          </cell>
          <cell r="AF605">
            <v>1</v>
          </cell>
          <cell r="AG605">
            <v>0</v>
          </cell>
          <cell r="AH605">
            <v>1</v>
          </cell>
          <cell r="AI605">
            <v>0</v>
          </cell>
          <cell r="AJ605">
            <v>0</v>
          </cell>
          <cell r="AK605">
            <v>0.4</v>
          </cell>
        </row>
        <row r="606">
          <cell r="A606">
            <v>5409</v>
          </cell>
          <cell r="B606"/>
          <cell r="C606" t="str">
            <v>Bieleta</v>
          </cell>
          <cell r="D606" t="str">
            <v>HOLYMAN</v>
          </cell>
          <cell r="E606">
            <v>5</v>
          </cell>
          <cell r="F606" t="str">
            <v>BIELETA DIANTEIRA DIREITA ACCORD 1998 A 2002</v>
          </cell>
          <cell r="G606"/>
          <cell r="H606" t="str">
            <v>-</v>
          </cell>
          <cell r="I606">
            <v>0</v>
          </cell>
          <cell r="J606">
            <v>0</v>
          </cell>
          <cell r="K606" t="str">
            <v/>
          </cell>
          <cell r="L606" t="str">
            <v/>
          </cell>
          <cell r="M606">
            <v>1</v>
          </cell>
          <cell r="N606" t="str">
            <v/>
          </cell>
          <cell r="O606">
            <v>1</v>
          </cell>
          <cell r="P606" t="str">
            <v/>
          </cell>
          <cell r="Q606">
            <v>0</v>
          </cell>
          <cell r="R606" t="str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 t="str">
            <v/>
          </cell>
          <cell r="Y606" t="str">
            <v/>
          </cell>
          <cell r="Z606" t="str">
            <v/>
          </cell>
          <cell r="AA606">
            <v>0</v>
          </cell>
          <cell r="AB606">
            <v>0</v>
          </cell>
          <cell r="AC606">
            <v>0</v>
          </cell>
          <cell r="AD606"/>
          <cell r="AE606">
            <v>0</v>
          </cell>
          <cell r="AF606">
            <v>1</v>
          </cell>
          <cell r="AG606">
            <v>0</v>
          </cell>
          <cell r="AH606">
            <v>1</v>
          </cell>
          <cell r="AI606">
            <v>0</v>
          </cell>
          <cell r="AJ606">
            <v>0</v>
          </cell>
          <cell r="AK606">
            <v>0.4</v>
          </cell>
        </row>
        <row r="607">
          <cell r="A607">
            <v>5100</v>
          </cell>
          <cell r="B607"/>
          <cell r="C607" t="str">
            <v>Bieleta</v>
          </cell>
          <cell r="D607" t="str">
            <v>HOLYMAN</v>
          </cell>
          <cell r="E607">
            <v>5</v>
          </cell>
          <cell r="F607" t="str">
            <v>BIELETA DIANTEIRA AMBOS OS LADOS BRAVA 1999 A 2003</v>
          </cell>
          <cell r="G607"/>
          <cell r="H607" t="str">
            <v>-</v>
          </cell>
          <cell r="I607">
            <v>0</v>
          </cell>
          <cell r="J607">
            <v>0</v>
          </cell>
          <cell r="K607" t="str">
            <v/>
          </cell>
          <cell r="L607" t="str">
            <v/>
          </cell>
          <cell r="M607">
            <v>2</v>
          </cell>
          <cell r="N607" t="str">
            <v/>
          </cell>
          <cell r="O607">
            <v>2</v>
          </cell>
          <cell r="P607" t="str">
            <v/>
          </cell>
          <cell r="Q607">
            <v>0</v>
          </cell>
          <cell r="R607" t="str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 t="str">
            <v/>
          </cell>
          <cell r="Y607" t="str">
            <v/>
          </cell>
          <cell r="Z607" t="str">
            <v/>
          </cell>
          <cell r="AA607">
            <v>2</v>
          </cell>
          <cell r="AB607">
            <v>0</v>
          </cell>
          <cell r="AC607">
            <v>2</v>
          </cell>
          <cell r="AD607"/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0.4</v>
          </cell>
        </row>
        <row r="608">
          <cell r="A608" t="str">
            <v>FTK33006-AMW</v>
          </cell>
          <cell r="B608"/>
          <cell r="C608" t="str">
            <v>Bucha Bandeja</v>
          </cell>
          <cell r="D608" t="str">
            <v/>
          </cell>
          <cell r="E608" t="e">
            <v>#N/A</v>
          </cell>
          <cell r="F608" t="str">
            <v>BUCHA DO BRAÇO SUPERIOR SUSPENSÃO DIANTEIRA EXPLORER 1996 1997 NÃO EXPORTAR</v>
          </cell>
          <cell r="G608"/>
          <cell r="H608" t="str">
            <v>-</v>
          </cell>
          <cell r="I608">
            <v>0</v>
          </cell>
          <cell r="J608">
            <v>0</v>
          </cell>
          <cell r="K608" t="str">
            <v/>
          </cell>
          <cell r="L608" t="str">
            <v/>
          </cell>
          <cell r="M608">
            <v>2</v>
          </cell>
          <cell r="N608" t="str">
            <v/>
          </cell>
          <cell r="O608">
            <v>2</v>
          </cell>
          <cell r="P608" t="str">
            <v/>
          </cell>
          <cell r="Q608">
            <v>0</v>
          </cell>
          <cell r="R608" t="str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 t="str">
            <v/>
          </cell>
          <cell r="Y608" t="str">
            <v/>
          </cell>
          <cell r="Z608" t="str">
            <v/>
          </cell>
          <cell r="AA608">
            <v>2</v>
          </cell>
          <cell r="AB608">
            <v>0</v>
          </cell>
          <cell r="AC608">
            <v>2</v>
          </cell>
          <cell r="AD608"/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0.4</v>
          </cell>
        </row>
        <row r="609">
          <cell r="A609">
            <v>5022</v>
          </cell>
          <cell r="B609"/>
          <cell r="C609" t="str">
            <v>Bieleta</v>
          </cell>
          <cell r="D609" t="str">
            <v>HOLYMAN</v>
          </cell>
          <cell r="E609">
            <v>5</v>
          </cell>
          <cell r="F609" t="str">
            <v>BIELETA TRASEIRA AMBOS OS LADOS FUSION 2006 A 2009</v>
          </cell>
          <cell r="G609"/>
          <cell r="H609" t="str">
            <v>-</v>
          </cell>
          <cell r="I609">
            <v>0</v>
          </cell>
          <cell r="J609">
            <v>0</v>
          </cell>
          <cell r="K609" t="str">
            <v/>
          </cell>
          <cell r="L609" t="str">
            <v/>
          </cell>
          <cell r="M609">
            <v>0</v>
          </cell>
          <cell r="N609" t="str">
            <v/>
          </cell>
          <cell r="O609">
            <v>0</v>
          </cell>
          <cell r="P609" t="str">
            <v/>
          </cell>
          <cell r="Q609">
            <v>0</v>
          </cell>
          <cell r="R609" t="str">
            <v>0</v>
          </cell>
          <cell r="S609">
            <v>0</v>
          </cell>
          <cell r="T609">
            <v>0</v>
          </cell>
          <cell r="U609">
            <v>0</v>
          </cell>
          <cell r="V609">
            <v>2</v>
          </cell>
          <cell r="W609">
            <v>2</v>
          </cell>
          <cell r="X609" t="str">
            <v/>
          </cell>
          <cell r="Y609" t="str">
            <v/>
          </cell>
          <cell r="Z609" t="str">
            <v/>
          </cell>
          <cell r="AA609">
            <v>0</v>
          </cell>
          <cell r="AB609">
            <v>0</v>
          </cell>
          <cell r="AC609">
            <v>0</v>
          </cell>
          <cell r="AD609"/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0.4</v>
          </cell>
        </row>
        <row r="610">
          <cell r="A610">
            <v>5037</v>
          </cell>
          <cell r="B610"/>
          <cell r="C610" t="str">
            <v>Bieleta</v>
          </cell>
          <cell r="D610" t="str">
            <v>HOLYMAN</v>
          </cell>
          <cell r="E610">
            <v>5</v>
          </cell>
          <cell r="F610" t="str">
            <v>BIELETA DIANTEIRA AMBOS OS LADOS FOCUS 2014 EM DIANTE</v>
          </cell>
          <cell r="G610"/>
          <cell r="H610" t="str">
            <v>-</v>
          </cell>
          <cell r="I610">
            <v>0</v>
          </cell>
          <cell r="J610">
            <v>0</v>
          </cell>
          <cell r="K610" t="str">
            <v/>
          </cell>
          <cell r="L610" t="str">
            <v/>
          </cell>
          <cell r="M610">
            <v>0</v>
          </cell>
          <cell r="N610" t="str">
            <v/>
          </cell>
          <cell r="O610">
            <v>0</v>
          </cell>
          <cell r="P610" t="str">
            <v/>
          </cell>
          <cell r="Q610">
            <v>0</v>
          </cell>
          <cell r="R610" t="str">
            <v>0</v>
          </cell>
          <cell r="S610">
            <v>0</v>
          </cell>
          <cell r="T610">
            <v>0</v>
          </cell>
          <cell r="U610">
            <v>0</v>
          </cell>
          <cell r="V610">
            <v>2</v>
          </cell>
          <cell r="W610">
            <v>0</v>
          </cell>
          <cell r="X610">
            <v>2</v>
          </cell>
          <cell r="Y610" t="str">
            <v/>
          </cell>
          <cell r="Z610" t="str">
            <v/>
          </cell>
          <cell r="AA610">
            <v>0</v>
          </cell>
          <cell r="AB610">
            <v>0</v>
          </cell>
          <cell r="AC610">
            <v>0</v>
          </cell>
          <cell r="AD610"/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0.4</v>
          </cell>
        </row>
        <row r="611">
          <cell r="A611">
            <v>5101</v>
          </cell>
          <cell r="B611"/>
          <cell r="C611" t="str">
            <v>Bieleta</v>
          </cell>
          <cell r="D611" t="str">
            <v>HOLYMAN</v>
          </cell>
          <cell r="E611">
            <v>5</v>
          </cell>
          <cell r="F611" t="str">
            <v>BIELETA DIANTEIRA AMBOS OS LADOS COUPE 1995 A 1997 16V</v>
          </cell>
          <cell r="G611"/>
          <cell r="H611" t="str">
            <v>-</v>
          </cell>
          <cell r="I611">
            <v>0</v>
          </cell>
          <cell r="J611">
            <v>0</v>
          </cell>
          <cell r="K611" t="str">
            <v/>
          </cell>
          <cell r="L611" t="str">
            <v/>
          </cell>
          <cell r="M611">
            <v>0</v>
          </cell>
          <cell r="N611" t="str">
            <v/>
          </cell>
          <cell r="O611">
            <v>0</v>
          </cell>
          <cell r="P611" t="str">
            <v/>
          </cell>
          <cell r="Q611">
            <v>0</v>
          </cell>
          <cell r="R611" t="str">
            <v>0</v>
          </cell>
          <cell r="S611">
            <v>0</v>
          </cell>
          <cell r="T611">
            <v>0</v>
          </cell>
          <cell r="U611">
            <v>0</v>
          </cell>
          <cell r="V611">
            <v>2</v>
          </cell>
          <cell r="W611">
            <v>0</v>
          </cell>
          <cell r="X611">
            <v>2</v>
          </cell>
          <cell r="Y611" t="str">
            <v/>
          </cell>
          <cell r="Z611" t="str">
            <v/>
          </cell>
          <cell r="AA611">
            <v>0</v>
          </cell>
          <cell r="AB611">
            <v>0</v>
          </cell>
          <cell r="AC611">
            <v>0</v>
          </cell>
          <cell r="AD611"/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0.4</v>
          </cell>
        </row>
        <row r="612">
          <cell r="A612">
            <v>5108</v>
          </cell>
          <cell r="B612"/>
          <cell r="C612" t="str">
            <v>Bieleta</v>
          </cell>
          <cell r="D612" t="str">
            <v>HOLYMAN</v>
          </cell>
          <cell r="E612">
            <v>5</v>
          </cell>
          <cell r="F612" t="str">
            <v>Bieleta Dianteira Le Idea 2006 Strada 2009 Em Diante</v>
          </cell>
          <cell r="G612"/>
          <cell r="H612">
            <v>0</v>
          </cell>
          <cell r="I612">
            <v>0</v>
          </cell>
          <cell r="J612">
            <v>0</v>
          </cell>
          <cell r="K612" t="str">
            <v/>
          </cell>
          <cell r="L612" t="str">
            <v/>
          </cell>
          <cell r="M612">
            <v>0</v>
          </cell>
          <cell r="N612" t="str">
            <v/>
          </cell>
          <cell r="O612">
            <v>0</v>
          </cell>
          <cell r="P612" t="str">
            <v/>
          </cell>
          <cell r="Q612">
            <v>0</v>
          </cell>
          <cell r="R612" t="str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 t="str">
            <v/>
          </cell>
          <cell r="Y612" t="str">
            <v/>
          </cell>
          <cell r="Z612" t="str">
            <v/>
          </cell>
          <cell r="AA612">
            <v>0</v>
          </cell>
          <cell r="AB612">
            <v>0</v>
          </cell>
          <cell r="AC612">
            <v>0</v>
          </cell>
          <cell r="AD612"/>
          <cell r="AE612">
            <v>0</v>
          </cell>
          <cell r="AF612">
            <v>2</v>
          </cell>
          <cell r="AG612">
            <v>0</v>
          </cell>
          <cell r="AH612">
            <v>0</v>
          </cell>
          <cell r="AI612">
            <v>0</v>
          </cell>
          <cell r="AJ612">
            <v>2</v>
          </cell>
          <cell r="AK612">
            <v>0.33333333333333331</v>
          </cell>
        </row>
        <row r="613">
          <cell r="A613">
            <v>5921</v>
          </cell>
          <cell r="B613"/>
          <cell r="C613" t="str">
            <v>Bieleta</v>
          </cell>
          <cell r="D613" t="str">
            <v>HOLYMAN</v>
          </cell>
          <cell r="E613">
            <v>5</v>
          </cell>
          <cell r="F613" t="str">
            <v>BIELETA TRAS. AIRTREK 03/08</v>
          </cell>
          <cell r="G613"/>
          <cell r="H613">
            <v>0</v>
          </cell>
          <cell r="I613">
            <v>0</v>
          </cell>
          <cell r="J613"/>
          <cell r="K613"/>
          <cell r="L613"/>
          <cell r="M613">
            <v>0</v>
          </cell>
          <cell r="N613" t="str">
            <v/>
          </cell>
          <cell r="O613">
            <v>0</v>
          </cell>
          <cell r="P613" t="str">
            <v/>
          </cell>
          <cell r="Q613">
            <v>0</v>
          </cell>
          <cell r="R613" t="str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 t="str">
            <v/>
          </cell>
          <cell r="Y613" t="str">
            <v/>
          </cell>
          <cell r="Z613" t="str">
            <v/>
          </cell>
          <cell r="AA613">
            <v>0</v>
          </cell>
          <cell r="AB613">
            <v>0</v>
          </cell>
          <cell r="AC613">
            <v>0</v>
          </cell>
          <cell r="AD613"/>
          <cell r="AE613">
            <v>0</v>
          </cell>
          <cell r="AF613">
            <v>2</v>
          </cell>
          <cell r="AG613">
            <v>0</v>
          </cell>
          <cell r="AH613">
            <v>2</v>
          </cell>
          <cell r="AI613">
            <v>0</v>
          </cell>
          <cell r="AJ613">
            <v>0</v>
          </cell>
          <cell r="AK613">
            <v>0.33333333333333331</v>
          </cell>
        </row>
        <row r="614">
          <cell r="A614">
            <v>112031</v>
          </cell>
          <cell r="B614" t="str">
            <v>Sim</v>
          </cell>
          <cell r="C614" t="str">
            <v>Bandeja</v>
          </cell>
          <cell r="D614" t="str">
            <v>SPARE</v>
          </cell>
          <cell r="E614">
            <v>2</v>
          </cell>
          <cell r="F614" t="str">
            <v>Bandeja Inferior Esquerdo Palio 1996 Á 2001 Com Pivô</v>
          </cell>
          <cell r="G614"/>
          <cell r="H614">
            <v>0</v>
          </cell>
          <cell r="I614">
            <v>0</v>
          </cell>
          <cell r="J614">
            <v>0</v>
          </cell>
          <cell r="K614" t="str">
            <v/>
          </cell>
          <cell r="L614" t="str">
            <v/>
          </cell>
          <cell r="M614">
            <v>0</v>
          </cell>
          <cell r="N614" t="str">
            <v/>
          </cell>
          <cell r="O614">
            <v>0</v>
          </cell>
          <cell r="P614" t="str">
            <v/>
          </cell>
          <cell r="Q614">
            <v>0</v>
          </cell>
          <cell r="R614" t="str">
            <v>0</v>
          </cell>
          <cell r="S614">
            <v>0</v>
          </cell>
          <cell r="T614">
            <v>0</v>
          </cell>
          <cell r="U614">
            <v>0</v>
          </cell>
          <cell r="V614">
            <v>1</v>
          </cell>
          <cell r="W614">
            <v>0</v>
          </cell>
          <cell r="X614">
            <v>1</v>
          </cell>
          <cell r="Y614" t="str">
            <v/>
          </cell>
          <cell r="Z614" t="str">
            <v/>
          </cell>
          <cell r="AA614">
            <v>1</v>
          </cell>
          <cell r="AB614">
            <v>1</v>
          </cell>
          <cell r="AC614">
            <v>0</v>
          </cell>
          <cell r="AD614"/>
          <cell r="AE614">
            <v>0</v>
          </cell>
          <cell r="AF614">
            <v>1</v>
          </cell>
          <cell r="AG614">
            <v>0</v>
          </cell>
          <cell r="AH614">
            <v>1</v>
          </cell>
          <cell r="AI614">
            <v>0</v>
          </cell>
          <cell r="AJ614">
            <v>0</v>
          </cell>
          <cell r="AK614">
            <v>0.33333333333333331</v>
          </cell>
        </row>
        <row r="615">
          <cell r="A615">
            <v>772222</v>
          </cell>
          <cell r="B615" t="str">
            <v>Sim</v>
          </cell>
          <cell r="C615" t="str">
            <v>Bandeja</v>
          </cell>
          <cell r="D615" t="str">
            <v>SPARE</v>
          </cell>
          <cell r="E615">
            <v>2</v>
          </cell>
          <cell r="F615" t="str">
            <v>Bandeja Dianteira Esquerda Sem Pivô Lancer 2011 À 2019</v>
          </cell>
          <cell r="G615"/>
          <cell r="H615">
            <v>0</v>
          </cell>
          <cell r="I615">
            <v>0</v>
          </cell>
          <cell r="J615" t="str">
            <v/>
          </cell>
          <cell r="K615" t="str">
            <v/>
          </cell>
          <cell r="L615" t="str">
            <v/>
          </cell>
          <cell r="M615">
            <v>0</v>
          </cell>
          <cell r="N615" t="str">
            <v/>
          </cell>
          <cell r="O615" t="str">
            <v/>
          </cell>
          <cell r="P615" t="str">
            <v/>
          </cell>
          <cell r="Q615">
            <v>0</v>
          </cell>
          <cell r="R615" t="str">
            <v>0</v>
          </cell>
          <cell r="S615" t="str">
            <v>0</v>
          </cell>
          <cell r="T615">
            <v>0</v>
          </cell>
          <cell r="U615">
            <v>0</v>
          </cell>
          <cell r="V615">
            <v>1</v>
          </cell>
          <cell r="W615">
            <v>0</v>
          </cell>
          <cell r="X615">
            <v>1</v>
          </cell>
          <cell r="Y615" t="str">
            <v/>
          </cell>
          <cell r="Z615" t="str">
            <v/>
          </cell>
          <cell r="AA615">
            <v>0</v>
          </cell>
          <cell r="AB615">
            <v>0</v>
          </cell>
          <cell r="AC615">
            <v>0</v>
          </cell>
          <cell r="AD615"/>
          <cell r="AE615">
            <v>0</v>
          </cell>
          <cell r="AF615">
            <v>1</v>
          </cell>
          <cell r="AG615">
            <v>0</v>
          </cell>
          <cell r="AH615">
            <v>1</v>
          </cell>
          <cell r="AI615">
            <v>0</v>
          </cell>
          <cell r="AJ615">
            <v>0</v>
          </cell>
          <cell r="AK615">
            <v>0.33333333333333331</v>
          </cell>
        </row>
        <row r="616">
          <cell r="A616">
            <v>772221</v>
          </cell>
          <cell r="B616" t="str">
            <v>Sim</v>
          </cell>
          <cell r="C616" t="str">
            <v>Bandeja</v>
          </cell>
          <cell r="D616" t="str">
            <v>SPARE</v>
          </cell>
          <cell r="E616">
            <v>2</v>
          </cell>
          <cell r="F616" t="str">
            <v>Bandeja Dianteira Direita Sem Pivô Outlander 2007 À 2013</v>
          </cell>
          <cell r="G616"/>
          <cell r="H616">
            <v>0</v>
          </cell>
          <cell r="I616">
            <v>0</v>
          </cell>
          <cell r="J616" t="str">
            <v/>
          </cell>
          <cell r="K616" t="str">
            <v/>
          </cell>
          <cell r="L616" t="str">
            <v/>
          </cell>
          <cell r="M616">
            <v>0</v>
          </cell>
          <cell r="N616" t="str">
            <v/>
          </cell>
          <cell r="O616" t="str">
            <v/>
          </cell>
          <cell r="P616" t="str">
            <v/>
          </cell>
          <cell r="Q616">
            <v>0</v>
          </cell>
          <cell r="R616" t="str">
            <v>0</v>
          </cell>
          <cell r="S616" t="str">
            <v>0</v>
          </cell>
          <cell r="T616">
            <v>0</v>
          </cell>
          <cell r="U616">
            <v>0</v>
          </cell>
          <cell r="V616">
            <v>1</v>
          </cell>
          <cell r="W616">
            <v>0</v>
          </cell>
          <cell r="X616">
            <v>1</v>
          </cell>
          <cell r="Y616" t="str">
            <v/>
          </cell>
          <cell r="Z616" t="str">
            <v/>
          </cell>
          <cell r="AA616">
            <v>0</v>
          </cell>
          <cell r="AB616">
            <v>0</v>
          </cell>
          <cell r="AC616">
            <v>0</v>
          </cell>
          <cell r="AD616"/>
          <cell r="AE616">
            <v>0</v>
          </cell>
          <cell r="AF616">
            <v>1</v>
          </cell>
          <cell r="AG616">
            <v>0</v>
          </cell>
          <cell r="AH616">
            <v>1</v>
          </cell>
          <cell r="AI616">
            <v>0</v>
          </cell>
          <cell r="AJ616">
            <v>0</v>
          </cell>
          <cell r="AK616">
            <v>0.33333333333333331</v>
          </cell>
        </row>
        <row r="617">
          <cell r="A617">
            <v>332116</v>
          </cell>
          <cell r="B617" t="str">
            <v>Sim</v>
          </cell>
          <cell r="C617" t="str">
            <v>Bandeja</v>
          </cell>
          <cell r="D617" t="str">
            <v>SPARE</v>
          </cell>
          <cell r="E617">
            <v>2</v>
          </cell>
          <cell r="F617" t="str">
            <v>Bandeja Dianteira Inferior Direita Com Pivô Ipanema 89 À 98</v>
          </cell>
          <cell r="G617"/>
          <cell r="H617">
            <v>1</v>
          </cell>
          <cell r="I617">
            <v>0</v>
          </cell>
          <cell r="J617">
            <v>0</v>
          </cell>
          <cell r="K617" t="str">
            <v/>
          </cell>
          <cell r="L617" t="str">
            <v/>
          </cell>
          <cell r="M617">
            <v>0</v>
          </cell>
          <cell r="N617" t="str">
            <v/>
          </cell>
          <cell r="O617">
            <v>0</v>
          </cell>
          <cell r="P617" t="str">
            <v/>
          </cell>
          <cell r="Q617">
            <v>0</v>
          </cell>
          <cell r="R617" t="str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 t="str">
            <v/>
          </cell>
          <cell r="Y617" t="str">
            <v/>
          </cell>
          <cell r="Z617" t="str">
            <v/>
          </cell>
          <cell r="AA617">
            <v>0</v>
          </cell>
          <cell r="AB617">
            <v>0</v>
          </cell>
          <cell r="AC617">
            <v>0</v>
          </cell>
          <cell r="AD617"/>
          <cell r="AE617">
            <v>0</v>
          </cell>
          <cell r="AF617">
            <v>1</v>
          </cell>
          <cell r="AG617">
            <v>0</v>
          </cell>
          <cell r="AH617">
            <v>1</v>
          </cell>
          <cell r="AI617">
            <v>0</v>
          </cell>
          <cell r="AJ617">
            <v>0</v>
          </cell>
          <cell r="AK617">
            <v>0.33333333333333331</v>
          </cell>
        </row>
        <row r="618">
          <cell r="A618">
            <v>4022</v>
          </cell>
          <cell r="B618" t="str">
            <v>Sim</v>
          </cell>
          <cell r="C618" t="str">
            <v>Capa Pedal</v>
          </cell>
          <cell r="D618" t="str">
            <v>HOLYMAN</v>
          </cell>
          <cell r="E618">
            <v>5</v>
          </cell>
          <cell r="F618" t="str">
            <v>Capa De Pedal Freio Embreagem Iveco Daily 1997 A 2012</v>
          </cell>
          <cell r="G618"/>
          <cell r="H618">
            <v>0</v>
          </cell>
          <cell r="I618">
            <v>0</v>
          </cell>
          <cell r="J618"/>
          <cell r="K618"/>
          <cell r="L618"/>
          <cell r="M618">
            <v>1</v>
          </cell>
          <cell r="N618">
            <v>1</v>
          </cell>
          <cell r="O618" t="str">
            <v/>
          </cell>
          <cell r="P618" t="str">
            <v/>
          </cell>
          <cell r="Q618">
            <v>1</v>
          </cell>
          <cell r="R618">
            <v>1</v>
          </cell>
          <cell r="S618" t="str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 t="str">
            <v/>
          </cell>
          <cell r="Y618" t="str">
            <v/>
          </cell>
          <cell r="Z618" t="str">
            <v/>
          </cell>
          <cell r="AA618">
            <v>5</v>
          </cell>
          <cell r="AB618">
            <v>5</v>
          </cell>
          <cell r="AC618">
            <v>0</v>
          </cell>
          <cell r="AD618"/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0.33333333333333331</v>
          </cell>
        </row>
        <row r="619">
          <cell r="A619">
            <v>662022</v>
          </cell>
          <cell r="B619"/>
          <cell r="C619" t="str">
            <v>Bandeja</v>
          </cell>
          <cell r="D619" t="str">
            <v>SPARE</v>
          </cell>
          <cell r="E619">
            <v>2</v>
          </cell>
          <cell r="F619" t="str">
            <v xml:space="preserve">Bandeja LD CLIO II 1.0, 1.6 98/05, KANGOO, SYMBOL 1.6 8/16V 09/ - COM PIVO  </v>
          </cell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>
            <v>1</v>
          </cell>
          <cell r="R619"/>
          <cell r="S619"/>
          <cell r="T619"/>
          <cell r="U619">
            <v>1</v>
          </cell>
          <cell r="V619">
            <v>0</v>
          </cell>
          <cell r="W619">
            <v>0</v>
          </cell>
          <cell r="X619" t="str">
            <v/>
          </cell>
          <cell r="Y619" t="str">
            <v/>
          </cell>
          <cell r="Z619" t="str">
            <v/>
          </cell>
          <cell r="AA619">
            <v>3</v>
          </cell>
          <cell r="AB619">
            <v>0</v>
          </cell>
          <cell r="AC619">
            <v>0</v>
          </cell>
          <cell r="AD619"/>
          <cell r="AE619">
            <v>3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0.33333333333333331</v>
          </cell>
        </row>
        <row r="620">
          <cell r="A620">
            <v>662023</v>
          </cell>
          <cell r="B620"/>
          <cell r="C620" t="str">
            <v>Bandeja</v>
          </cell>
          <cell r="D620" t="str">
            <v>SPARE</v>
          </cell>
          <cell r="E620">
            <v>2</v>
          </cell>
          <cell r="F620" t="str">
            <v xml:space="preserve">Bandeja LE CLIO II 1.0, 1.6 98/05, KANGOO, SYMBOL 1.6 8/16V 09/ - COM PIVO  </v>
          </cell>
          <cell r="G620"/>
          <cell r="H620" t="str">
            <v>-</v>
          </cell>
          <cell r="I620" t="str">
            <v>-</v>
          </cell>
          <cell r="J620"/>
          <cell r="K620"/>
          <cell r="L620"/>
          <cell r="M620" t="str">
            <v>-</v>
          </cell>
          <cell r="N620"/>
          <cell r="O620"/>
          <cell r="P620"/>
          <cell r="Q620">
            <v>1</v>
          </cell>
          <cell r="R620"/>
          <cell r="S620"/>
          <cell r="T620"/>
          <cell r="U620">
            <v>1</v>
          </cell>
          <cell r="V620">
            <v>0</v>
          </cell>
          <cell r="W620">
            <v>0</v>
          </cell>
          <cell r="X620" t="str">
            <v/>
          </cell>
          <cell r="Y620" t="str">
            <v/>
          </cell>
          <cell r="Z620" t="str">
            <v/>
          </cell>
          <cell r="AA620">
            <v>3</v>
          </cell>
          <cell r="AB620">
            <v>0</v>
          </cell>
          <cell r="AC620">
            <v>0</v>
          </cell>
          <cell r="AD620"/>
          <cell r="AE620">
            <v>3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0.33333333333333331</v>
          </cell>
        </row>
        <row r="621">
          <cell r="A621" t="str">
            <v>FTK44002-AMW</v>
          </cell>
          <cell r="B621"/>
          <cell r="C621" t="str">
            <v>Bucha Bandeja</v>
          </cell>
          <cell r="D621" t="str">
            <v>SPARE</v>
          </cell>
          <cell r="E621">
            <v>2</v>
          </cell>
          <cell r="F621" t="str">
            <v>Bucha Ambos Lados Bandeja Dianteira Tipo 1993 A 1997</v>
          </cell>
          <cell r="G621"/>
          <cell r="H621">
            <v>0</v>
          </cell>
          <cell r="I621">
            <v>0</v>
          </cell>
          <cell r="J621">
            <v>0</v>
          </cell>
          <cell r="K621" t="str">
            <v/>
          </cell>
          <cell r="L621" t="str">
            <v/>
          </cell>
          <cell r="M621">
            <v>0</v>
          </cell>
          <cell r="N621" t="str">
            <v/>
          </cell>
          <cell r="O621">
            <v>0</v>
          </cell>
          <cell r="P621" t="str">
            <v/>
          </cell>
          <cell r="Q621">
            <v>0</v>
          </cell>
          <cell r="R621" t="str">
            <v>0</v>
          </cell>
          <cell r="S621">
            <v>0</v>
          </cell>
          <cell r="T621">
            <v>0</v>
          </cell>
          <cell r="U621">
            <v>0</v>
          </cell>
          <cell r="V621">
            <v>2</v>
          </cell>
          <cell r="W621">
            <v>2</v>
          </cell>
          <cell r="X621" t="str">
            <v/>
          </cell>
          <cell r="Y621" t="str">
            <v/>
          </cell>
          <cell r="Z621" t="str">
            <v/>
          </cell>
          <cell r="AA621">
            <v>2</v>
          </cell>
          <cell r="AB621">
            <v>2</v>
          </cell>
          <cell r="AC621">
            <v>0</v>
          </cell>
          <cell r="AD621"/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0.33333333333333331</v>
          </cell>
        </row>
        <row r="622">
          <cell r="A622">
            <v>4064</v>
          </cell>
          <cell r="B622" t="str">
            <v>Sim</v>
          </cell>
          <cell r="C622" t="str">
            <v>Capa Pedal</v>
          </cell>
          <cell r="D622" t="str">
            <v>HOLYMAN</v>
          </cell>
          <cell r="E622">
            <v>5</v>
          </cell>
          <cell r="F622" t="str">
            <v>Capa Pedal Acelerador Freio Embreagem Opala Todos</v>
          </cell>
          <cell r="G622"/>
          <cell r="H622">
            <v>0</v>
          </cell>
          <cell r="I622">
            <v>0</v>
          </cell>
          <cell r="J622" t="str">
            <v/>
          </cell>
          <cell r="K622" t="str">
            <v/>
          </cell>
          <cell r="L622" t="str">
            <v/>
          </cell>
          <cell r="M622">
            <v>1</v>
          </cell>
          <cell r="N622">
            <v>1</v>
          </cell>
          <cell r="O622" t="str">
            <v/>
          </cell>
          <cell r="P622" t="str">
            <v/>
          </cell>
          <cell r="Q622">
            <v>0</v>
          </cell>
          <cell r="R622" t="str">
            <v>0</v>
          </cell>
          <cell r="S622" t="str">
            <v>0</v>
          </cell>
          <cell r="T622">
            <v>0</v>
          </cell>
          <cell r="U622">
            <v>0</v>
          </cell>
          <cell r="V622">
            <v>1</v>
          </cell>
          <cell r="W622">
            <v>1</v>
          </cell>
          <cell r="X622" t="str">
            <v/>
          </cell>
          <cell r="Y622" t="str">
            <v/>
          </cell>
          <cell r="Z622" t="str">
            <v/>
          </cell>
          <cell r="AA622">
            <v>2</v>
          </cell>
          <cell r="AB622">
            <v>2</v>
          </cell>
          <cell r="AC622">
            <v>0</v>
          </cell>
          <cell r="AD622"/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0.33333333333333331</v>
          </cell>
        </row>
        <row r="623">
          <cell r="A623">
            <v>4071</v>
          </cell>
          <cell r="B623"/>
          <cell r="C623" t="str">
            <v>Capa Pedal</v>
          </cell>
          <cell r="D623" t="str">
            <v>HOLYMAN</v>
          </cell>
          <cell r="E623">
            <v>5</v>
          </cell>
          <cell r="F623" t="str">
            <v>Capa De Pedal Freio Embreagem Master 2014 A 2021</v>
          </cell>
          <cell r="G623"/>
          <cell r="H623">
            <v>0</v>
          </cell>
          <cell r="I623">
            <v>0</v>
          </cell>
          <cell r="J623"/>
          <cell r="K623">
            <v>1</v>
          </cell>
          <cell r="L623"/>
          <cell r="M623">
            <v>0</v>
          </cell>
          <cell r="N623" t="str">
            <v/>
          </cell>
          <cell r="O623" t="str">
            <v/>
          </cell>
          <cell r="P623" t="str">
            <v/>
          </cell>
          <cell r="Q623">
            <v>0</v>
          </cell>
          <cell r="R623" t="str">
            <v>0</v>
          </cell>
          <cell r="S623" t="str">
            <v>0</v>
          </cell>
          <cell r="T623">
            <v>0</v>
          </cell>
          <cell r="U623">
            <v>0</v>
          </cell>
          <cell r="V623">
            <v>2</v>
          </cell>
          <cell r="W623">
            <v>2</v>
          </cell>
          <cell r="X623" t="str">
            <v/>
          </cell>
          <cell r="Y623" t="str">
            <v/>
          </cell>
          <cell r="Z623" t="str">
            <v/>
          </cell>
          <cell r="AA623">
            <v>2</v>
          </cell>
          <cell r="AB623">
            <v>2</v>
          </cell>
          <cell r="AC623">
            <v>0</v>
          </cell>
          <cell r="AD623"/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0.33333333333333331</v>
          </cell>
        </row>
        <row r="624">
          <cell r="A624">
            <v>332076</v>
          </cell>
          <cell r="B624"/>
          <cell r="C624" t="str">
            <v>Bandeja</v>
          </cell>
          <cell r="D624" t="str">
            <v>SPARE</v>
          </cell>
          <cell r="E624">
            <v>2</v>
          </cell>
          <cell r="F624" t="str">
            <v>Bandeja INFERIOR DIREITA COM PIVÔ ASTRA 1995 1996</v>
          </cell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>
            <v>0</v>
          </cell>
          <cell r="R624"/>
          <cell r="S624">
            <v>0</v>
          </cell>
          <cell r="T624">
            <v>0</v>
          </cell>
          <cell r="U624">
            <v>0</v>
          </cell>
          <cell r="V624">
            <v>1</v>
          </cell>
          <cell r="W624">
            <v>1</v>
          </cell>
          <cell r="X624" t="str">
            <v/>
          </cell>
          <cell r="Y624" t="str">
            <v/>
          </cell>
          <cell r="Z624" t="str">
            <v/>
          </cell>
          <cell r="AA624">
            <v>2</v>
          </cell>
          <cell r="AB624">
            <v>1</v>
          </cell>
          <cell r="AC624">
            <v>1</v>
          </cell>
          <cell r="AD624"/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0.33333333333333331</v>
          </cell>
        </row>
        <row r="625">
          <cell r="A625">
            <v>6700</v>
          </cell>
          <cell r="B625"/>
          <cell r="C625" t="str">
            <v>Bieleta</v>
          </cell>
          <cell r="D625" t="str">
            <v>HOLYMAN</v>
          </cell>
          <cell r="E625">
            <v>5</v>
          </cell>
          <cell r="F625" t="str">
            <v>BIELETA DIANT. TROLLER</v>
          </cell>
          <cell r="G625"/>
          <cell r="H625">
            <v>0</v>
          </cell>
          <cell r="I625">
            <v>0</v>
          </cell>
          <cell r="J625"/>
          <cell r="K625"/>
          <cell r="L625"/>
          <cell r="M625">
            <v>0</v>
          </cell>
          <cell r="N625" t="str">
            <v/>
          </cell>
          <cell r="O625">
            <v>0</v>
          </cell>
          <cell r="P625" t="str">
            <v/>
          </cell>
          <cell r="Q625">
            <v>0</v>
          </cell>
          <cell r="R625" t="str">
            <v>0</v>
          </cell>
          <cell r="S625">
            <v>0</v>
          </cell>
          <cell r="T625">
            <v>0</v>
          </cell>
          <cell r="U625">
            <v>0</v>
          </cell>
          <cell r="V625">
            <v>2</v>
          </cell>
          <cell r="W625">
            <v>0</v>
          </cell>
          <cell r="X625">
            <v>2</v>
          </cell>
          <cell r="Y625" t="str">
            <v/>
          </cell>
          <cell r="Z625" t="str">
            <v/>
          </cell>
          <cell r="AA625">
            <v>2</v>
          </cell>
          <cell r="AB625">
            <v>0</v>
          </cell>
          <cell r="AC625">
            <v>2</v>
          </cell>
          <cell r="AD625"/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0.33333333333333331</v>
          </cell>
        </row>
        <row r="626">
          <cell r="A626">
            <v>5303</v>
          </cell>
          <cell r="B626"/>
          <cell r="C626" t="str">
            <v>Bieleta</v>
          </cell>
          <cell r="D626" t="str">
            <v>HOLYMAN</v>
          </cell>
          <cell r="E626">
            <v>5</v>
          </cell>
          <cell r="F626" t="str">
            <v>Bieleta Dianteira Ambos Lados Polo Classic 1996 A 2000</v>
          </cell>
          <cell r="G626"/>
          <cell r="H626">
            <v>2</v>
          </cell>
          <cell r="I626">
            <v>0</v>
          </cell>
          <cell r="J626">
            <v>0</v>
          </cell>
          <cell r="K626" t="str">
            <v/>
          </cell>
          <cell r="L626" t="str">
            <v/>
          </cell>
          <cell r="M626">
            <v>0</v>
          </cell>
          <cell r="N626" t="str">
            <v/>
          </cell>
          <cell r="O626">
            <v>0</v>
          </cell>
          <cell r="P626" t="str">
            <v/>
          </cell>
          <cell r="Q626">
            <v>0</v>
          </cell>
          <cell r="R626" t="str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 t="str">
            <v/>
          </cell>
          <cell r="Y626" t="str">
            <v/>
          </cell>
          <cell r="Z626" t="str">
            <v/>
          </cell>
          <cell r="AA626">
            <v>1</v>
          </cell>
          <cell r="AB626">
            <v>1</v>
          </cell>
          <cell r="AC626">
            <v>0</v>
          </cell>
          <cell r="AD626"/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0.33333333333333331</v>
          </cell>
        </row>
        <row r="627">
          <cell r="A627">
            <v>226106</v>
          </cell>
          <cell r="B627"/>
          <cell r="C627" t="str">
            <v>Cabo de Acelerador</v>
          </cell>
          <cell r="D627" t="str">
            <v>Importação</v>
          </cell>
          <cell r="E627">
            <v>1</v>
          </cell>
          <cell r="F627" t="str">
            <v>Cabo De Acelerador Clio I I 1999 Em Diante 1.0 8v</v>
          </cell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>
            <v>1</v>
          </cell>
          <cell r="R627">
            <v>1</v>
          </cell>
          <cell r="S627" t="str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 t="str">
            <v/>
          </cell>
          <cell r="Y627" t="str">
            <v/>
          </cell>
          <cell r="Z627" t="str">
            <v/>
          </cell>
          <cell r="AA627">
            <v>1</v>
          </cell>
          <cell r="AB627">
            <v>1</v>
          </cell>
          <cell r="AC627">
            <v>0</v>
          </cell>
          <cell r="AD627"/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0.33333333333333331</v>
          </cell>
        </row>
        <row r="628">
          <cell r="A628">
            <v>772188</v>
          </cell>
          <cell r="B628"/>
          <cell r="C628" t="str">
            <v>Bandeja</v>
          </cell>
          <cell r="D628" t="str">
            <v>SPARE</v>
          </cell>
          <cell r="E628">
            <v>2</v>
          </cell>
          <cell r="F628" t="str">
            <v>Bandeja DIANTEIRA SUPERIOR  SPORTAGE 1997 á 2004 COM PIVÔ</v>
          </cell>
          <cell r="G628"/>
          <cell r="H628" t="str">
            <v>-</v>
          </cell>
          <cell r="I628" t="str">
            <v>-</v>
          </cell>
          <cell r="J628"/>
          <cell r="K628"/>
          <cell r="L628"/>
          <cell r="M628" t="str">
            <v>-</v>
          </cell>
          <cell r="N628"/>
          <cell r="O628"/>
          <cell r="P628"/>
          <cell r="Q628">
            <v>0</v>
          </cell>
          <cell r="R628"/>
          <cell r="S628">
            <v>0</v>
          </cell>
          <cell r="T628">
            <v>0</v>
          </cell>
          <cell r="U628">
            <v>0</v>
          </cell>
          <cell r="V628">
            <v>1</v>
          </cell>
          <cell r="W628">
            <v>1</v>
          </cell>
          <cell r="X628" t="str">
            <v/>
          </cell>
          <cell r="Y628" t="str">
            <v/>
          </cell>
          <cell r="Z628" t="str">
            <v/>
          </cell>
          <cell r="AA628">
            <v>1</v>
          </cell>
          <cell r="AB628">
            <v>1</v>
          </cell>
          <cell r="AC628">
            <v>0</v>
          </cell>
          <cell r="AD628"/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0.33333333333333331</v>
          </cell>
        </row>
        <row r="629">
          <cell r="A629">
            <v>772233</v>
          </cell>
          <cell r="B629"/>
          <cell r="C629" t="str">
            <v>Bandeja</v>
          </cell>
          <cell r="D629" t="str">
            <v>SPARE</v>
          </cell>
          <cell r="E629">
            <v>2</v>
          </cell>
          <cell r="F629" t="str">
            <v>Bandeja Dianteira Journey 2009 á 2015 Freemont 2011 á 2016 Lado Direito</v>
          </cell>
          <cell r="G629"/>
          <cell r="H629" t="str">
            <v>-</v>
          </cell>
          <cell r="I629" t="str">
            <v>-</v>
          </cell>
          <cell r="J629"/>
          <cell r="K629"/>
          <cell r="L629"/>
          <cell r="M629" t="str">
            <v>-</v>
          </cell>
          <cell r="N629"/>
          <cell r="O629"/>
          <cell r="P629"/>
          <cell r="Q629">
            <v>0</v>
          </cell>
          <cell r="R629"/>
          <cell r="S629">
            <v>0</v>
          </cell>
          <cell r="T629">
            <v>0</v>
          </cell>
          <cell r="U629">
            <v>0</v>
          </cell>
          <cell r="V629">
            <v>1</v>
          </cell>
          <cell r="W629">
            <v>1</v>
          </cell>
          <cell r="X629" t="str">
            <v/>
          </cell>
          <cell r="Y629" t="str">
            <v/>
          </cell>
          <cell r="Z629" t="str">
            <v/>
          </cell>
          <cell r="AA629">
            <v>1</v>
          </cell>
          <cell r="AB629">
            <v>1</v>
          </cell>
          <cell r="AC629">
            <v>0</v>
          </cell>
          <cell r="AD629"/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0.33333333333333331</v>
          </cell>
        </row>
        <row r="630">
          <cell r="A630">
            <v>442147</v>
          </cell>
          <cell r="B630"/>
          <cell r="C630" t="str">
            <v>Bandeja</v>
          </cell>
          <cell r="D630" t="str">
            <v>SPARE</v>
          </cell>
          <cell r="E630">
            <v>2</v>
          </cell>
          <cell r="F630" t="str">
            <v>SUPORTE Bandeja BALANÇA ESQUERDA FOX 2004 A 2014</v>
          </cell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>
            <v>0</v>
          </cell>
          <cell r="R630"/>
          <cell r="S630">
            <v>0</v>
          </cell>
          <cell r="T630">
            <v>0</v>
          </cell>
          <cell r="U630">
            <v>0</v>
          </cell>
          <cell r="V630">
            <v>1</v>
          </cell>
          <cell r="W630">
            <v>0</v>
          </cell>
          <cell r="X630">
            <v>1</v>
          </cell>
          <cell r="Y630" t="str">
            <v/>
          </cell>
          <cell r="Z630" t="str">
            <v/>
          </cell>
          <cell r="AA630">
            <v>1</v>
          </cell>
          <cell r="AB630">
            <v>1</v>
          </cell>
          <cell r="AC630">
            <v>0</v>
          </cell>
          <cell r="AD630"/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0.33333333333333331</v>
          </cell>
        </row>
        <row r="631">
          <cell r="A631">
            <v>552006</v>
          </cell>
          <cell r="B631" t="str">
            <v>Não</v>
          </cell>
          <cell r="C631" t="str">
            <v>Bandeja</v>
          </cell>
          <cell r="D631" t="str">
            <v>SPARE</v>
          </cell>
          <cell r="E631">
            <v>2</v>
          </cell>
          <cell r="F631" t="str">
            <v>Bandeja - AX 96/ - inferior - Direita</v>
          </cell>
          <cell r="G631"/>
          <cell r="H631">
            <v>1</v>
          </cell>
          <cell r="I631">
            <v>0</v>
          </cell>
          <cell r="J631">
            <v>0</v>
          </cell>
          <cell r="K631" t="str">
            <v/>
          </cell>
          <cell r="L631" t="str">
            <v/>
          </cell>
          <cell r="M631">
            <v>0</v>
          </cell>
          <cell r="N631" t="str">
            <v/>
          </cell>
          <cell r="O631">
            <v>0</v>
          </cell>
          <cell r="P631" t="str">
            <v/>
          </cell>
          <cell r="Q631">
            <v>0</v>
          </cell>
          <cell r="R631" t="str">
            <v>0</v>
          </cell>
          <cell r="S631">
            <v>0</v>
          </cell>
          <cell r="T631">
            <v>0</v>
          </cell>
          <cell r="U631">
            <v>0</v>
          </cell>
          <cell r="V631">
            <v>1</v>
          </cell>
          <cell r="W631">
            <v>0</v>
          </cell>
          <cell r="X631">
            <v>1</v>
          </cell>
          <cell r="Y631" t="str">
            <v/>
          </cell>
          <cell r="Z631" t="str">
            <v/>
          </cell>
          <cell r="AA631">
            <v>1</v>
          </cell>
          <cell r="AB631">
            <v>1</v>
          </cell>
          <cell r="AC631">
            <v>0</v>
          </cell>
          <cell r="AD631"/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0.33333333333333331</v>
          </cell>
        </row>
        <row r="632">
          <cell r="A632">
            <v>332150</v>
          </cell>
          <cell r="B632" t="str">
            <v>Sim</v>
          </cell>
          <cell r="C632" t="str">
            <v>Bandeja</v>
          </cell>
          <cell r="D632" t="str">
            <v>SPARE</v>
          </cell>
          <cell r="E632">
            <v>2</v>
          </cell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>
            <v>1</v>
          </cell>
          <cell r="R632">
            <v>1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 t="str">
            <v/>
          </cell>
          <cell r="Y632" t="str">
            <v/>
          </cell>
          <cell r="Z632" t="str">
            <v/>
          </cell>
          <cell r="AA632">
            <v>1</v>
          </cell>
          <cell r="AB632">
            <v>0</v>
          </cell>
          <cell r="AC632">
            <v>1</v>
          </cell>
          <cell r="AD632"/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0.33333333333333331</v>
          </cell>
        </row>
        <row r="633">
          <cell r="A633">
            <v>332149</v>
          </cell>
          <cell r="B633" t="str">
            <v>Sim</v>
          </cell>
          <cell r="C633" t="str">
            <v>Bandeja</v>
          </cell>
          <cell r="D633" t="str">
            <v>SPARE</v>
          </cell>
          <cell r="E633">
            <v>2</v>
          </cell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>
            <v>0</v>
          </cell>
          <cell r="R633" t="str">
            <v>0</v>
          </cell>
          <cell r="S633">
            <v>0</v>
          </cell>
          <cell r="T633">
            <v>0</v>
          </cell>
          <cell r="U633">
            <v>0</v>
          </cell>
          <cell r="V633">
            <v>1</v>
          </cell>
          <cell r="W633">
            <v>1</v>
          </cell>
          <cell r="X633" t="str">
            <v/>
          </cell>
          <cell r="Y633" t="str">
            <v/>
          </cell>
          <cell r="Z633" t="str">
            <v/>
          </cell>
          <cell r="AA633">
            <v>1</v>
          </cell>
          <cell r="AB633">
            <v>0</v>
          </cell>
          <cell r="AC633">
            <v>1</v>
          </cell>
          <cell r="AD633"/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0.33333333333333331</v>
          </cell>
        </row>
        <row r="634">
          <cell r="A634">
            <v>222109</v>
          </cell>
          <cell r="B634" t="str">
            <v>Não</v>
          </cell>
          <cell r="C634" t="str">
            <v>Bandeja</v>
          </cell>
          <cell r="D634" t="str">
            <v>SPARE</v>
          </cell>
          <cell r="E634">
            <v>2</v>
          </cell>
          <cell r="F634"/>
          <cell r="G634"/>
          <cell r="H634" t="str">
            <v>-</v>
          </cell>
          <cell r="I634" t="str">
            <v>-</v>
          </cell>
          <cell r="J634"/>
          <cell r="K634"/>
          <cell r="L634"/>
          <cell r="M634" t="str">
            <v>-</v>
          </cell>
          <cell r="N634"/>
          <cell r="O634"/>
          <cell r="P634"/>
          <cell r="Q634">
            <v>0</v>
          </cell>
          <cell r="R634" t="str">
            <v>0</v>
          </cell>
          <cell r="S634">
            <v>0</v>
          </cell>
          <cell r="T634">
            <v>0</v>
          </cell>
          <cell r="U634">
            <v>0</v>
          </cell>
          <cell r="V634">
            <v>1</v>
          </cell>
          <cell r="W634">
            <v>1</v>
          </cell>
          <cell r="X634" t="str">
            <v/>
          </cell>
          <cell r="Y634" t="str">
            <v/>
          </cell>
          <cell r="Z634" t="str">
            <v/>
          </cell>
          <cell r="AA634">
            <v>1</v>
          </cell>
          <cell r="AB634">
            <v>0</v>
          </cell>
          <cell r="AC634">
            <v>1</v>
          </cell>
          <cell r="AD634"/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0.33333333333333331</v>
          </cell>
        </row>
        <row r="635">
          <cell r="A635">
            <v>772255</v>
          </cell>
          <cell r="B635" t="str">
            <v>Sim</v>
          </cell>
          <cell r="C635" t="str">
            <v>Bandeja</v>
          </cell>
          <cell r="D635" t="str">
            <v>SPARE</v>
          </cell>
          <cell r="E635">
            <v>2</v>
          </cell>
          <cell r="F635" t="str">
            <v>Bandeja Superior Dianteira Esquerda C Pivô Hilux 4x4 06 À 20</v>
          </cell>
          <cell r="G635"/>
          <cell r="H635">
            <v>0</v>
          </cell>
          <cell r="I635">
            <v>1</v>
          </cell>
          <cell r="J635">
            <v>0</v>
          </cell>
          <cell r="K635">
            <v>1</v>
          </cell>
          <cell r="L635" t="str">
            <v/>
          </cell>
          <cell r="M635">
            <v>0</v>
          </cell>
          <cell r="N635" t="str">
            <v/>
          </cell>
          <cell r="O635">
            <v>0</v>
          </cell>
          <cell r="P635" t="str">
            <v/>
          </cell>
          <cell r="Q635">
            <v>1</v>
          </cell>
          <cell r="R635" t="str">
            <v>0</v>
          </cell>
          <cell r="S635">
            <v>1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 t="str">
            <v/>
          </cell>
          <cell r="Y635" t="str">
            <v/>
          </cell>
          <cell r="Z635" t="str">
            <v/>
          </cell>
          <cell r="AA635">
            <v>1</v>
          </cell>
          <cell r="AB635">
            <v>0</v>
          </cell>
          <cell r="AC635">
            <v>1</v>
          </cell>
          <cell r="AD635"/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0.33333333333333331</v>
          </cell>
        </row>
        <row r="636">
          <cell r="A636">
            <v>222102</v>
          </cell>
          <cell r="B636"/>
          <cell r="C636" t="str">
            <v>Bandeja</v>
          </cell>
          <cell r="D636" t="str">
            <v>SPARE</v>
          </cell>
          <cell r="E636">
            <v>2</v>
          </cell>
          <cell r="F636" t="str">
            <v>Bandeja INFERIOR DIREITA COM PIVÔ FOCUS 2009 A 2012</v>
          </cell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>
            <v>1</v>
          </cell>
          <cell r="R636">
            <v>1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 t="str">
            <v/>
          </cell>
          <cell r="Y636" t="str">
            <v/>
          </cell>
          <cell r="Z636" t="str">
            <v/>
          </cell>
          <cell r="AA636">
            <v>0</v>
          </cell>
          <cell r="AB636">
            <v>0</v>
          </cell>
          <cell r="AC636">
            <v>0</v>
          </cell>
          <cell r="AD636"/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0.33333333333333331</v>
          </cell>
        </row>
        <row r="637">
          <cell r="A637">
            <v>332138</v>
          </cell>
          <cell r="B637" t="str">
            <v>Não</v>
          </cell>
          <cell r="C637" t="str">
            <v>Bandeja</v>
          </cell>
          <cell r="D637" t="str">
            <v>SPARE</v>
          </cell>
          <cell r="E637">
            <v>2</v>
          </cell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>
            <v>0</v>
          </cell>
          <cell r="R637" t="str">
            <v>0</v>
          </cell>
          <cell r="S637">
            <v>0</v>
          </cell>
          <cell r="T637">
            <v>0</v>
          </cell>
          <cell r="U637">
            <v>0</v>
          </cell>
          <cell r="V637">
            <v>1</v>
          </cell>
          <cell r="W637">
            <v>0</v>
          </cell>
          <cell r="X637">
            <v>1</v>
          </cell>
          <cell r="Y637" t="str">
            <v/>
          </cell>
          <cell r="Z637" t="str">
            <v/>
          </cell>
          <cell r="AA637">
            <v>0</v>
          </cell>
          <cell r="AB637">
            <v>0</v>
          </cell>
          <cell r="AC637">
            <v>0</v>
          </cell>
          <cell r="AD637"/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0.33333333333333331</v>
          </cell>
        </row>
        <row r="638">
          <cell r="A638">
            <v>772141</v>
          </cell>
          <cell r="B638"/>
          <cell r="C638" t="str">
            <v>Bandeja</v>
          </cell>
          <cell r="D638" t="str">
            <v>SPARE</v>
          </cell>
          <cell r="E638">
            <v>2</v>
          </cell>
          <cell r="F638" t="str">
            <v>Bandeja INFERIOR ESQUERDO COM PIVÔ VELOSTER 2010 A 2014</v>
          </cell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>
            <v>0</v>
          </cell>
          <cell r="R638"/>
          <cell r="S638">
            <v>0</v>
          </cell>
          <cell r="T638">
            <v>0</v>
          </cell>
          <cell r="U638">
            <v>0</v>
          </cell>
          <cell r="V638">
            <v>1</v>
          </cell>
          <cell r="W638">
            <v>1</v>
          </cell>
          <cell r="X638" t="str">
            <v/>
          </cell>
          <cell r="Y638" t="str">
            <v/>
          </cell>
          <cell r="Z638" t="str">
            <v/>
          </cell>
          <cell r="AA638">
            <v>0</v>
          </cell>
          <cell r="AB638">
            <v>0</v>
          </cell>
          <cell r="AC638">
            <v>0</v>
          </cell>
          <cell r="AD638"/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0.33333333333333331</v>
          </cell>
        </row>
        <row r="639">
          <cell r="A639">
            <v>772204</v>
          </cell>
          <cell r="B639"/>
          <cell r="C639" t="str">
            <v>Bandeja</v>
          </cell>
          <cell r="D639" t="str">
            <v>SPARE</v>
          </cell>
          <cell r="E639">
            <v>2</v>
          </cell>
          <cell r="F639" t="str">
            <v>Bandeja SUPERIOR DIREITO JINBEI TOPIC  2008 Á 2017 COMPLETA</v>
          </cell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>
            <v>0</v>
          </cell>
          <cell r="R639"/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1</v>
          </cell>
          <cell r="X639" t="str">
            <v/>
          </cell>
          <cell r="Y639" t="str">
            <v/>
          </cell>
          <cell r="Z639" t="str">
            <v/>
          </cell>
          <cell r="AA639">
            <v>0</v>
          </cell>
          <cell r="AB639">
            <v>0</v>
          </cell>
          <cell r="AC639">
            <v>0</v>
          </cell>
          <cell r="AD639"/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0.33333333333333331</v>
          </cell>
        </row>
        <row r="640">
          <cell r="A640">
            <v>442108</v>
          </cell>
          <cell r="B640" t="str">
            <v>Não</v>
          </cell>
          <cell r="C640" t="str">
            <v>Bandeja</v>
          </cell>
          <cell r="D640" t="str">
            <v>SPARE</v>
          </cell>
          <cell r="E640">
            <v>2</v>
          </cell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>
            <v>0</v>
          </cell>
          <cell r="R640" t="str">
            <v>0</v>
          </cell>
          <cell r="S640" t="str">
            <v>0</v>
          </cell>
          <cell r="T640">
            <v>0</v>
          </cell>
          <cell r="U640">
            <v>0</v>
          </cell>
          <cell r="V640">
            <v>1</v>
          </cell>
          <cell r="W640">
            <v>0</v>
          </cell>
          <cell r="X640" t="str">
            <v/>
          </cell>
          <cell r="Y640" t="str">
            <v/>
          </cell>
          <cell r="Z640">
            <v>1</v>
          </cell>
          <cell r="AA640">
            <v>0</v>
          </cell>
          <cell r="AB640">
            <v>0</v>
          </cell>
          <cell r="AC640">
            <v>0</v>
          </cell>
          <cell r="AD640"/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0.33333333333333331</v>
          </cell>
        </row>
        <row r="641">
          <cell r="A641">
            <v>772075</v>
          </cell>
          <cell r="B641"/>
          <cell r="C641" t="str">
            <v>Bandeja</v>
          </cell>
          <cell r="D641" t="str">
            <v>SPARE</v>
          </cell>
          <cell r="E641">
            <v>2</v>
          </cell>
          <cell r="F641" t="str">
            <v>Bandeja Dianteira Captur 2017 á 2021  Duster 2021 Lado Esquerdo Com Pivô</v>
          </cell>
          <cell r="G641"/>
          <cell r="H641" t="str">
            <v>-</v>
          </cell>
          <cell r="I641" t="str">
            <v>-</v>
          </cell>
          <cell r="J641"/>
          <cell r="K641"/>
          <cell r="L641"/>
          <cell r="M641" t="str">
            <v>-</v>
          </cell>
          <cell r="N641"/>
          <cell r="O641"/>
          <cell r="P641"/>
          <cell r="Q641">
            <v>0</v>
          </cell>
          <cell r="R641"/>
          <cell r="S641">
            <v>0</v>
          </cell>
          <cell r="T641">
            <v>0</v>
          </cell>
          <cell r="U641">
            <v>0</v>
          </cell>
          <cell r="V641">
            <v>1</v>
          </cell>
          <cell r="W641">
            <v>1</v>
          </cell>
          <cell r="X641" t="str">
            <v/>
          </cell>
          <cell r="Y641" t="str">
            <v/>
          </cell>
          <cell r="Z641" t="str">
            <v/>
          </cell>
          <cell r="AA641">
            <v>0</v>
          </cell>
          <cell r="AB641">
            <v>0</v>
          </cell>
          <cell r="AC641">
            <v>0</v>
          </cell>
          <cell r="AD641"/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0.33333333333333331</v>
          </cell>
        </row>
        <row r="642">
          <cell r="A642">
            <v>332139</v>
          </cell>
          <cell r="B642"/>
          <cell r="C642" t="str">
            <v>Bandeja</v>
          </cell>
          <cell r="D642" t="str">
            <v>SPARE</v>
          </cell>
          <cell r="E642">
            <v>2</v>
          </cell>
          <cell r="F642" t="str">
            <v>Bandeja INFERIOR ESQUERDA  OPALA 69/79 CARAVAN 75/79 SEM PIVÔ</v>
          </cell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>
            <v>0</v>
          </cell>
          <cell r="R642"/>
          <cell r="S642">
            <v>0</v>
          </cell>
          <cell r="T642">
            <v>0</v>
          </cell>
          <cell r="U642">
            <v>0</v>
          </cell>
          <cell r="V642">
            <v>1</v>
          </cell>
          <cell r="W642">
            <v>0</v>
          </cell>
          <cell r="X642">
            <v>1</v>
          </cell>
          <cell r="Y642" t="str">
            <v/>
          </cell>
          <cell r="Z642" t="str">
            <v/>
          </cell>
          <cell r="AA642">
            <v>0</v>
          </cell>
          <cell r="AB642">
            <v>0</v>
          </cell>
          <cell r="AC642">
            <v>0</v>
          </cell>
          <cell r="AD642"/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0.33333333333333331</v>
          </cell>
        </row>
        <row r="643">
          <cell r="A643">
            <v>332157</v>
          </cell>
          <cell r="B643"/>
          <cell r="C643" t="str">
            <v>Bandeja</v>
          </cell>
          <cell r="D643" t="str">
            <v>SPARE</v>
          </cell>
          <cell r="E643">
            <v>2</v>
          </cell>
          <cell r="F643" t="str">
            <v>Bandeja INFERIOR DIREITA SEM PIVÔ A10 1984 A 1992</v>
          </cell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>
            <v>1</v>
          </cell>
          <cell r="R643">
            <v>1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 t="str">
            <v/>
          </cell>
          <cell r="Y643" t="str">
            <v/>
          </cell>
          <cell r="Z643" t="str">
            <v/>
          </cell>
          <cell r="AA643">
            <v>0</v>
          </cell>
          <cell r="AB643">
            <v>0</v>
          </cell>
          <cell r="AC643">
            <v>0</v>
          </cell>
          <cell r="AD643"/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0.33333333333333331</v>
          </cell>
        </row>
        <row r="644">
          <cell r="A644">
            <v>332158</v>
          </cell>
          <cell r="B644"/>
          <cell r="C644" t="str">
            <v>Bandeja</v>
          </cell>
          <cell r="D644" t="str">
            <v>SPARE</v>
          </cell>
          <cell r="E644">
            <v>2</v>
          </cell>
          <cell r="F644" t="str">
            <v>Bandeja INFERIOR ESQUERDA SEM PIVÔ A10 1984 A 1992</v>
          </cell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>
            <v>1</v>
          </cell>
          <cell r="R644">
            <v>1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 t="str">
            <v/>
          </cell>
          <cell r="Y644" t="str">
            <v/>
          </cell>
          <cell r="Z644" t="str">
            <v/>
          </cell>
          <cell r="AA644">
            <v>0</v>
          </cell>
          <cell r="AB644">
            <v>0</v>
          </cell>
          <cell r="AC644">
            <v>0</v>
          </cell>
          <cell r="AD644"/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0.33333333333333331</v>
          </cell>
        </row>
        <row r="645">
          <cell r="A645">
            <v>442109</v>
          </cell>
          <cell r="B645" t="str">
            <v>Não</v>
          </cell>
          <cell r="C645" t="str">
            <v>Bandeja</v>
          </cell>
          <cell r="D645" t="str">
            <v>SPARE</v>
          </cell>
          <cell r="E645">
            <v>2</v>
          </cell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>
            <v>0</v>
          </cell>
          <cell r="R645" t="str">
            <v>0</v>
          </cell>
          <cell r="S645" t="str">
            <v>0</v>
          </cell>
          <cell r="T645">
            <v>0</v>
          </cell>
          <cell r="U645">
            <v>0</v>
          </cell>
          <cell r="V645">
            <v>1</v>
          </cell>
          <cell r="W645">
            <v>0</v>
          </cell>
          <cell r="X645" t="str">
            <v/>
          </cell>
          <cell r="Y645" t="str">
            <v/>
          </cell>
          <cell r="Z645">
            <v>1</v>
          </cell>
          <cell r="AA645">
            <v>0</v>
          </cell>
          <cell r="AB645">
            <v>0</v>
          </cell>
          <cell r="AC645">
            <v>0</v>
          </cell>
          <cell r="AD645"/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0.33333333333333331</v>
          </cell>
        </row>
        <row r="646">
          <cell r="A646">
            <v>442127</v>
          </cell>
          <cell r="B646"/>
          <cell r="C646" t="str">
            <v>Bandeja</v>
          </cell>
          <cell r="D646" t="str">
            <v>SPARE</v>
          </cell>
          <cell r="E646">
            <v>2</v>
          </cell>
          <cell r="F646" t="str">
            <v>Bandeja ESQUERDA COM PIVÔ GOLF GERAÇÃO 7 2014 A 2018</v>
          </cell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>
            <v>0</v>
          </cell>
          <cell r="R646"/>
          <cell r="S646">
            <v>0</v>
          </cell>
          <cell r="T646">
            <v>0</v>
          </cell>
          <cell r="U646">
            <v>0</v>
          </cell>
          <cell r="V646">
            <v>1</v>
          </cell>
          <cell r="W646">
            <v>1</v>
          </cell>
          <cell r="X646" t="str">
            <v/>
          </cell>
          <cell r="Y646" t="str">
            <v/>
          </cell>
          <cell r="Z646" t="str">
            <v/>
          </cell>
          <cell r="AA646">
            <v>0</v>
          </cell>
          <cell r="AB646">
            <v>0</v>
          </cell>
          <cell r="AC646">
            <v>0</v>
          </cell>
          <cell r="AD646"/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0.33333333333333331</v>
          </cell>
        </row>
        <row r="647">
          <cell r="A647">
            <v>442146</v>
          </cell>
          <cell r="B647"/>
          <cell r="C647" t="str">
            <v>Bandeja</v>
          </cell>
          <cell r="D647" t="str">
            <v>SPARE</v>
          </cell>
          <cell r="E647">
            <v>2</v>
          </cell>
          <cell r="F647" t="str">
            <v>SUPORTE Bandeja BALANÇA DIREITA FOX 2004 A 2014</v>
          </cell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>
            <v>0</v>
          </cell>
          <cell r="R647"/>
          <cell r="S647">
            <v>0</v>
          </cell>
          <cell r="T647">
            <v>0</v>
          </cell>
          <cell r="U647">
            <v>0</v>
          </cell>
          <cell r="V647">
            <v>1</v>
          </cell>
          <cell r="W647">
            <v>0</v>
          </cell>
          <cell r="X647">
            <v>1</v>
          </cell>
          <cell r="Y647" t="str">
            <v/>
          </cell>
          <cell r="Z647" t="str">
            <v/>
          </cell>
          <cell r="AA647">
            <v>0</v>
          </cell>
          <cell r="AB647">
            <v>0</v>
          </cell>
          <cell r="AC647">
            <v>0</v>
          </cell>
          <cell r="AD647"/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0.33333333333333331</v>
          </cell>
        </row>
        <row r="648">
          <cell r="A648">
            <v>332066</v>
          </cell>
          <cell r="B648" t="str">
            <v>Sim</v>
          </cell>
          <cell r="C648" t="str">
            <v>Bandeja</v>
          </cell>
          <cell r="D648" t="str">
            <v>SPARE</v>
          </cell>
          <cell r="E648">
            <v>2</v>
          </cell>
          <cell r="F648" t="str">
            <v>Bandeja Infeiror Direita Sem Pivô Meriva 2003 A 2012</v>
          </cell>
          <cell r="G648"/>
          <cell r="H648">
            <v>0</v>
          </cell>
          <cell r="I648">
            <v>0</v>
          </cell>
          <cell r="J648" t="str">
            <v/>
          </cell>
          <cell r="K648" t="str">
            <v/>
          </cell>
          <cell r="L648" t="str">
            <v/>
          </cell>
          <cell r="M648">
            <v>1</v>
          </cell>
          <cell r="N648">
            <v>1</v>
          </cell>
          <cell r="O648" t="str">
            <v/>
          </cell>
          <cell r="P648" t="str">
            <v/>
          </cell>
          <cell r="Q648">
            <v>0</v>
          </cell>
          <cell r="R648" t="str">
            <v>0</v>
          </cell>
          <cell r="S648" t="str">
            <v>0</v>
          </cell>
          <cell r="T648">
            <v>0</v>
          </cell>
          <cell r="U648">
            <v>0</v>
          </cell>
          <cell r="V648">
            <v>1</v>
          </cell>
          <cell r="W648">
            <v>0</v>
          </cell>
          <cell r="X648" t="str">
            <v/>
          </cell>
          <cell r="Y648" t="str">
            <v/>
          </cell>
          <cell r="Z648">
            <v>1</v>
          </cell>
          <cell r="AA648">
            <v>0</v>
          </cell>
          <cell r="AB648">
            <v>0</v>
          </cell>
          <cell r="AC648">
            <v>0</v>
          </cell>
          <cell r="AD648"/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0.33333333333333331</v>
          </cell>
        </row>
        <row r="649">
          <cell r="A649">
            <v>332065</v>
          </cell>
          <cell r="B649" t="str">
            <v>Sim</v>
          </cell>
          <cell r="C649" t="str">
            <v>Bandeja</v>
          </cell>
          <cell r="D649" t="str">
            <v>SPARE</v>
          </cell>
          <cell r="E649">
            <v>2</v>
          </cell>
          <cell r="F649" t="str">
            <v>Bandeja Inferior Esquerda Sem Pivô Montana 2003 A 2010</v>
          </cell>
          <cell r="G649"/>
          <cell r="H649">
            <v>0</v>
          </cell>
          <cell r="I649">
            <v>0</v>
          </cell>
          <cell r="J649" t="str">
            <v/>
          </cell>
          <cell r="K649" t="str">
            <v/>
          </cell>
          <cell r="L649" t="str">
            <v/>
          </cell>
          <cell r="M649">
            <v>0</v>
          </cell>
          <cell r="N649" t="str">
            <v/>
          </cell>
          <cell r="O649" t="str">
            <v/>
          </cell>
          <cell r="P649" t="str">
            <v/>
          </cell>
          <cell r="Q649">
            <v>0</v>
          </cell>
          <cell r="R649" t="str">
            <v>0</v>
          </cell>
          <cell r="S649" t="str">
            <v>0</v>
          </cell>
          <cell r="T649">
            <v>0</v>
          </cell>
          <cell r="U649">
            <v>0</v>
          </cell>
          <cell r="V649">
            <v>2</v>
          </cell>
          <cell r="W649">
            <v>0</v>
          </cell>
          <cell r="X649" t="str">
            <v/>
          </cell>
          <cell r="Y649" t="str">
            <v/>
          </cell>
          <cell r="Z649">
            <v>2</v>
          </cell>
          <cell r="AA649">
            <v>0</v>
          </cell>
          <cell r="AB649">
            <v>0</v>
          </cell>
          <cell r="AC649">
            <v>0</v>
          </cell>
          <cell r="AD649"/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0.33333333333333331</v>
          </cell>
        </row>
        <row r="650">
          <cell r="A650">
            <v>222031</v>
          </cell>
          <cell r="B650" t="str">
            <v>Sim</v>
          </cell>
          <cell r="C650" t="str">
            <v>Bandeja</v>
          </cell>
          <cell r="D650" t="str">
            <v>SPARE</v>
          </cell>
          <cell r="E650">
            <v>2</v>
          </cell>
          <cell r="F650" t="str">
            <v>Bandeja Inferior Direito Chapa Simples Courier Sem Pivô</v>
          </cell>
          <cell r="G650"/>
          <cell r="H650">
            <v>0</v>
          </cell>
          <cell r="I650">
            <v>0</v>
          </cell>
          <cell r="J650" t="str">
            <v/>
          </cell>
          <cell r="K650" t="str">
            <v/>
          </cell>
          <cell r="L650" t="str">
            <v/>
          </cell>
          <cell r="M650">
            <v>0</v>
          </cell>
          <cell r="N650" t="str">
            <v/>
          </cell>
          <cell r="O650" t="str">
            <v/>
          </cell>
          <cell r="P650" t="str">
            <v/>
          </cell>
          <cell r="Q650">
            <v>0</v>
          </cell>
          <cell r="R650" t="str">
            <v>0</v>
          </cell>
          <cell r="S650" t="str">
            <v>0</v>
          </cell>
          <cell r="T650">
            <v>0</v>
          </cell>
          <cell r="U650">
            <v>0</v>
          </cell>
          <cell r="V650">
            <v>2</v>
          </cell>
          <cell r="W650">
            <v>0</v>
          </cell>
          <cell r="X650" t="str">
            <v/>
          </cell>
          <cell r="Y650" t="str">
            <v/>
          </cell>
          <cell r="Z650">
            <v>2</v>
          </cell>
          <cell r="AA650">
            <v>0</v>
          </cell>
          <cell r="AB650">
            <v>0</v>
          </cell>
          <cell r="AC650">
            <v>0</v>
          </cell>
          <cell r="AD650"/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0.33333333333333331</v>
          </cell>
        </row>
        <row r="651">
          <cell r="A651">
            <v>772130</v>
          </cell>
          <cell r="B651" t="str">
            <v>Sim</v>
          </cell>
          <cell r="C651" t="str">
            <v>Bandeja</v>
          </cell>
          <cell r="D651" t="str">
            <v>SPARE</v>
          </cell>
          <cell r="E651">
            <v>2</v>
          </cell>
          <cell r="F651" t="str">
            <v>Bandeja INFERIOR DIREITA CRV 2012 Á 2014 SEM PIVÔ</v>
          </cell>
          <cell r="G651"/>
          <cell r="H651">
            <v>0</v>
          </cell>
          <cell r="I651">
            <v>0</v>
          </cell>
          <cell r="J651"/>
          <cell r="K651"/>
          <cell r="L651"/>
          <cell r="M651">
            <v>0</v>
          </cell>
          <cell r="N651" t="str">
            <v/>
          </cell>
          <cell r="O651">
            <v>0</v>
          </cell>
          <cell r="P651" t="str">
            <v/>
          </cell>
          <cell r="Q651">
            <v>1</v>
          </cell>
          <cell r="R651">
            <v>1</v>
          </cell>
          <cell r="S651">
            <v>0</v>
          </cell>
          <cell r="T651">
            <v>0</v>
          </cell>
          <cell r="U651">
            <v>0</v>
          </cell>
          <cell r="V651">
            <v>1</v>
          </cell>
          <cell r="W651">
            <v>1</v>
          </cell>
          <cell r="X651" t="str">
            <v/>
          </cell>
          <cell r="Y651" t="str">
            <v/>
          </cell>
          <cell r="Z651" t="str">
            <v/>
          </cell>
          <cell r="AA651">
            <v>0</v>
          </cell>
          <cell r="AB651">
            <v>0</v>
          </cell>
          <cell r="AC651">
            <v>0</v>
          </cell>
          <cell r="AD651"/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0.33333333333333331</v>
          </cell>
        </row>
        <row r="652">
          <cell r="A652">
            <v>772182</v>
          </cell>
          <cell r="B652" t="str">
            <v>Sim</v>
          </cell>
          <cell r="C652" t="str">
            <v>Bandeja</v>
          </cell>
          <cell r="D652" t="str">
            <v>SPARE</v>
          </cell>
          <cell r="E652">
            <v>2</v>
          </cell>
          <cell r="F652" t="str">
            <v>Bandeja SUPERIOR DIREITA SORENTO 2002 A 2009</v>
          </cell>
          <cell r="G652"/>
          <cell r="H652">
            <v>0</v>
          </cell>
          <cell r="I652">
            <v>0</v>
          </cell>
          <cell r="J652"/>
          <cell r="K652"/>
          <cell r="L652"/>
          <cell r="M652">
            <v>0</v>
          </cell>
          <cell r="N652" t="str">
            <v/>
          </cell>
          <cell r="O652">
            <v>0</v>
          </cell>
          <cell r="P652" t="str">
            <v/>
          </cell>
          <cell r="Q652">
            <v>1</v>
          </cell>
          <cell r="R652">
            <v>1</v>
          </cell>
          <cell r="S652">
            <v>0</v>
          </cell>
          <cell r="T652">
            <v>0</v>
          </cell>
          <cell r="U652">
            <v>0</v>
          </cell>
          <cell r="V652">
            <v>1</v>
          </cell>
          <cell r="W652">
            <v>0</v>
          </cell>
          <cell r="X652">
            <v>1</v>
          </cell>
          <cell r="Y652" t="str">
            <v/>
          </cell>
          <cell r="Z652" t="str">
            <v/>
          </cell>
          <cell r="AA652">
            <v>0</v>
          </cell>
          <cell r="AB652">
            <v>0</v>
          </cell>
          <cell r="AC652">
            <v>0</v>
          </cell>
          <cell r="AD652"/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0.33333333333333331</v>
          </cell>
        </row>
        <row r="653">
          <cell r="A653">
            <v>332023</v>
          </cell>
          <cell r="B653" t="str">
            <v>Sim</v>
          </cell>
          <cell r="C653" t="str">
            <v>Bandeja</v>
          </cell>
          <cell r="D653" t="str">
            <v>SPARE</v>
          </cell>
          <cell r="E653">
            <v>2</v>
          </cell>
          <cell r="F653" t="str">
            <v>Bandeja Dianteira Esquerda Monza 1991 A 1996 Com Pivô</v>
          </cell>
          <cell r="G653"/>
          <cell r="H653">
            <v>0</v>
          </cell>
          <cell r="I653">
            <v>0</v>
          </cell>
          <cell r="J653"/>
          <cell r="K653"/>
          <cell r="L653"/>
          <cell r="M653">
            <v>1</v>
          </cell>
          <cell r="N653">
            <v>1</v>
          </cell>
          <cell r="O653">
            <v>0</v>
          </cell>
          <cell r="P653" t="str">
            <v/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1</v>
          </cell>
          <cell r="W653">
            <v>1</v>
          </cell>
          <cell r="X653" t="str">
            <v/>
          </cell>
          <cell r="Y653" t="str">
            <v/>
          </cell>
          <cell r="Z653" t="str">
            <v/>
          </cell>
          <cell r="AA653">
            <v>0</v>
          </cell>
          <cell r="AB653">
            <v>0</v>
          </cell>
          <cell r="AC653">
            <v>0</v>
          </cell>
          <cell r="AD653"/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0.33333333333333331</v>
          </cell>
        </row>
        <row r="654">
          <cell r="A654">
            <v>112006</v>
          </cell>
          <cell r="B654" t="str">
            <v>Sim</v>
          </cell>
          <cell r="C654" t="str">
            <v>Bandeja</v>
          </cell>
          <cell r="D654" t="str">
            <v>SPARE</v>
          </cell>
          <cell r="E654">
            <v>2</v>
          </cell>
          <cell r="F654" t="str">
            <v>Braço Tensor Direito Com Terminal Uno Mille 1985 A 2004</v>
          </cell>
          <cell r="G654"/>
          <cell r="H654">
            <v>2</v>
          </cell>
          <cell r="I654">
            <v>0</v>
          </cell>
          <cell r="J654">
            <v>0</v>
          </cell>
          <cell r="K654" t="str">
            <v/>
          </cell>
          <cell r="L654" t="str">
            <v/>
          </cell>
          <cell r="M654">
            <v>0</v>
          </cell>
          <cell r="N654" t="str">
            <v/>
          </cell>
          <cell r="O654">
            <v>0</v>
          </cell>
          <cell r="P654" t="str">
            <v/>
          </cell>
          <cell r="Q654">
            <v>0</v>
          </cell>
          <cell r="R654" t="str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 t="str">
            <v/>
          </cell>
          <cell r="Y654" t="str">
            <v/>
          </cell>
          <cell r="Z654" t="str">
            <v/>
          </cell>
          <cell r="AA654">
            <v>0</v>
          </cell>
          <cell r="AB654">
            <v>0</v>
          </cell>
          <cell r="AC654">
            <v>0</v>
          </cell>
          <cell r="AD654"/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0.33333333333333331</v>
          </cell>
        </row>
        <row r="655">
          <cell r="A655">
            <v>442118</v>
          </cell>
          <cell r="B655" t="str">
            <v>Sim</v>
          </cell>
          <cell r="C655" t="str">
            <v>Bandeja</v>
          </cell>
          <cell r="D655" t="str">
            <v>SPARE</v>
          </cell>
          <cell r="E655">
            <v>2</v>
          </cell>
          <cell r="F655" t="str">
            <v>Bandeja Inferior Direita Com Pivô Amarok 2010 A 2020 2.0</v>
          </cell>
          <cell r="G655"/>
          <cell r="H655">
            <v>1</v>
          </cell>
          <cell r="I655">
            <v>0</v>
          </cell>
          <cell r="J655">
            <v>0</v>
          </cell>
          <cell r="K655" t="str">
            <v/>
          </cell>
          <cell r="L655" t="str">
            <v/>
          </cell>
          <cell r="M655">
            <v>0</v>
          </cell>
          <cell r="N655" t="str">
            <v/>
          </cell>
          <cell r="O655">
            <v>0</v>
          </cell>
          <cell r="P655" t="str">
            <v/>
          </cell>
          <cell r="Q655">
            <v>1</v>
          </cell>
          <cell r="R655" t="str">
            <v>0</v>
          </cell>
          <cell r="S655">
            <v>1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 t="str">
            <v/>
          </cell>
          <cell r="Y655" t="str">
            <v/>
          </cell>
          <cell r="Z655" t="str">
            <v/>
          </cell>
          <cell r="AA655">
            <v>0</v>
          </cell>
          <cell r="AB655">
            <v>0</v>
          </cell>
          <cell r="AC655">
            <v>0</v>
          </cell>
          <cell r="AD655"/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0.33333333333333331</v>
          </cell>
        </row>
        <row r="656">
          <cell r="A656">
            <v>552035</v>
          </cell>
          <cell r="B656" t="str">
            <v>Sim</v>
          </cell>
          <cell r="C656" t="str">
            <v>Bandeja</v>
          </cell>
          <cell r="D656" t="str">
            <v>SPARE</v>
          </cell>
          <cell r="E656">
            <v>2</v>
          </cell>
          <cell r="F656" t="str">
            <v>Bandeja Dianteira Esquerda Citroen C5 2001 A 2007 2.0 3.0</v>
          </cell>
          <cell r="G656"/>
          <cell r="H656">
            <v>0</v>
          </cell>
          <cell r="I656">
            <v>0</v>
          </cell>
          <cell r="J656"/>
          <cell r="K656"/>
          <cell r="L656"/>
          <cell r="M656">
            <v>2</v>
          </cell>
          <cell r="N656">
            <v>1</v>
          </cell>
          <cell r="O656">
            <v>1</v>
          </cell>
          <cell r="P656" t="str">
            <v/>
          </cell>
          <cell r="Q656">
            <v>0</v>
          </cell>
          <cell r="R656" t="str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 t="str">
            <v/>
          </cell>
          <cell r="Y656" t="str">
            <v/>
          </cell>
          <cell r="Z656" t="str">
            <v/>
          </cell>
          <cell r="AA656">
            <v>0</v>
          </cell>
          <cell r="AB656">
            <v>0</v>
          </cell>
          <cell r="AC656">
            <v>0</v>
          </cell>
          <cell r="AD656"/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0.33333333333333331</v>
          </cell>
        </row>
        <row r="657">
          <cell r="A657">
            <v>772090</v>
          </cell>
          <cell r="B657" t="str">
            <v>Sim</v>
          </cell>
          <cell r="C657" t="str">
            <v>Bandeja</v>
          </cell>
          <cell r="D657" t="str">
            <v>SPARE</v>
          </cell>
          <cell r="E657">
            <v>2</v>
          </cell>
          <cell r="F657" t="str">
            <v>Bandeja DIANTEIRA DIREITA COM PIVÔ MONDEO 1994 A 2001</v>
          </cell>
          <cell r="G657"/>
          <cell r="H657">
            <v>0</v>
          </cell>
          <cell r="I657">
            <v>0</v>
          </cell>
          <cell r="J657"/>
          <cell r="K657"/>
          <cell r="L657"/>
          <cell r="M657">
            <v>0</v>
          </cell>
          <cell r="N657" t="str">
            <v/>
          </cell>
          <cell r="O657">
            <v>0</v>
          </cell>
          <cell r="P657" t="str">
            <v/>
          </cell>
          <cell r="Q657">
            <v>2</v>
          </cell>
          <cell r="R657">
            <v>1</v>
          </cell>
          <cell r="S657">
            <v>1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 t="str">
            <v/>
          </cell>
          <cell r="Y657" t="str">
            <v/>
          </cell>
          <cell r="Z657" t="str">
            <v/>
          </cell>
          <cell r="AA657">
            <v>0</v>
          </cell>
          <cell r="AB657">
            <v>0</v>
          </cell>
          <cell r="AC657">
            <v>0</v>
          </cell>
          <cell r="AD657"/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0.33333333333333331</v>
          </cell>
        </row>
        <row r="658">
          <cell r="A658">
            <v>993003</v>
          </cell>
          <cell r="B658" t="str">
            <v>Sim</v>
          </cell>
          <cell r="C658" t="str">
            <v>Bandeja</v>
          </cell>
          <cell r="D658" t="str">
            <v>SPARE</v>
          </cell>
          <cell r="E658">
            <v>2</v>
          </cell>
          <cell r="F658" t="str">
            <v>Bandeja Inferior Esquerda Com Pivô Tiggo 2018 A 2021</v>
          </cell>
          <cell r="G658"/>
          <cell r="H658">
            <v>0</v>
          </cell>
          <cell r="I658">
            <v>0</v>
          </cell>
          <cell r="J658"/>
          <cell r="K658">
            <v>1</v>
          </cell>
          <cell r="L658"/>
          <cell r="M658">
            <v>0</v>
          </cell>
          <cell r="N658" t="str">
            <v/>
          </cell>
          <cell r="O658">
            <v>0</v>
          </cell>
          <cell r="P658" t="str">
            <v/>
          </cell>
          <cell r="Q658">
            <v>1</v>
          </cell>
          <cell r="R658">
            <v>1</v>
          </cell>
          <cell r="S658">
            <v>0</v>
          </cell>
          <cell r="T658">
            <v>0</v>
          </cell>
          <cell r="U658">
            <v>0</v>
          </cell>
          <cell r="V658">
            <v>1</v>
          </cell>
          <cell r="W658">
            <v>0</v>
          </cell>
          <cell r="X658" t="str">
            <v/>
          </cell>
          <cell r="Y658" t="str">
            <v/>
          </cell>
          <cell r="Z658">
            <v>1</v>
          </cell>
          <cell r="AA658">
            <v>0</v>
          </cell>
          <cell r="AB658">
            <v>0</v>
          </cell>
          <cell r="AC658">
            <v>0</v>
          </cell>
          <cell r="AD658"/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0.33333333333333331</v>
          </cell>
        </row>
        <row r="659">
          <cell r="A659">
            <v>5010</v>
          </cell>
          <cell r="B659"/>
          <cell r="C659" t="str">
            <v>Bieleta</v>
          </cell>
          <cell r="D659" t="str">
            <v>HOLYMAN</v>
          </cell>
          <cell r="E659">
            <v>5</v>
          </cell>
          <cell r="F659" t="str">
            <v>Bieleta Dianteira Logus 1993 A 1996</v>
          </cell>
          <cell r="G659"/>
          <cell r="H659">
            <v>2</v>
          </cell>
          <cell r="I659">
            <v>0</v>
          </cell>
          <cell r="J659">
            <v>0</v>
          </cell>
          <cell r="K659" t="str">
            <v/>
          </cell>
          <cell r="L659" t="str">
            <v/>
          </cell>
          <cell r="M659">
            <v>0</v>
          </cell>
          <cell r="N659" t="str">
            <v/>
          </cell>
          <cell r="O659">
            <v>0</v>
          </cell>
          <cell r="P659" t="str">
            <v/>
          </cell>
          <cell r="Q659">
            <v>0</v>
          </cell>
          <cell r="R659" t="str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 t="str">
            <v/>
          </cell>
          <cell r="Y659" t="str">
            <v/>
          </cell>
          <cell r="Z659" t="str">
            <v/>
          </cell>
          <cell r="AA659">
            <v>0</v>
          </cell>
          <cell r="AB659">
            <v>0</v>
          </cell>
          <cell r="AC659">
            <v>0</v>
          </cell>
          <cell r="AD659"/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0.33333333333333331</v>
          </cell>
        </row>
        <row r="660">
          <cell r="A660">
            <v>5032</v>
          </cell>
          <cell r="B660"/>
          <cell r="C660" t="str">
            <v>Bieleta</v>
          </cell>
          <cell r="D660" t="str">
            <v>HOLYMAN</v>
          </cell>
          <cell r="E660">
            <v>5</v>
          </cell>
          <cell r="F660" t="str">
            <v>Bieleta Dianteira Esquerda Ranger 2012 Em Diante</v>
          </cell>
          <cell r="G660"/>
          <cell r="H660">
            <v>0</v>
          </cell>
          <cell r="I660">
            <v>1</v>
          </cell>
          <cell r="J660">
            <v>0</v>
          </cell>
          <cell r="K660">
            <v>1</v>
          </cell>
          <cell r="L660" t="str">
            <v/>
          </cell>
          <cell r="M660">
            <v>0</v>
          </cell>
          <cell r="N660" t="str">
            <v/>
          </cell>
          <cell r="O660">
            <v>0</v>
          </cell>
          <cell r="P660" t="str">
            <v/>
          </cell>
          <cell r="Q660">
            <v>0</v>
          </cell>
          <cell r="R660" t="str">
            <v>0</v>
          </cell>
          <cell r="S660">
            <v>0</v>
          </cell>
          <cell r="T660">
            <v>0</v>
          </cell>
          <cell r="U660">
            <v>0</v>
          </cell>
          <cell r="V660">
            <v>1</v>
          </cell>
          <cell r="W660">
            <v>1</v>
          </cell>
          <cell r="X660" t="str">
            <v/>
          </cell>
          <cell r="Y660" t="str">
            <v/>
          </cell>
          <cell r="Z660" t="str">
            <v/>
          </cell>
          <cell r="AA660">
            <v>0</v>
          </cell>
          <cell r="AB660">
            <v>0</v>
          </cell>
          <cell r="AC660">
            <v>0</v>
          </cell>
          <cell r="AD660"/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0.33333333333333331</v>
          </cell>
        </row>
        <row r="661">
          <cell r="A661">
            <v>5302</v>
          </cell>
          <cell r="B661"/>
          <cell r="C661" t="str">
            <v>Bieleta</v>
          </cell>
          <cell r="D661" t="str">
            <v>HOLYMAN</v>
          </cell>
          <cell r="E661">
            <v>5</v>
          </cell>
          <cell r="F661" t="str">
            <v>Bieleta Dianteira Ambos Lados Santana 1985 A 2006</v>
          </cell>
          <cell r="G661"/>
          <cell r="H661">
            <v>2</v>
          </cell>
          <cell r="I661">
            <v>0</v>
          </cell>
          <cell r="J661">
            <v>0</v>
          </cell>
          <cell r="K661" t="str">
            <v/>
          </cell>
          <cell r="L661" t="str">
            <v/>
          </cell>
          <cell r="M661">
            <v>0</v>
          </cell>
          <cell r="N661" t="str">
            <v/>
          </cell>
          <cell r="O661">
            <v>0</v>
          </cell>
          <cell r="P661" t="str">
            <v/>
          </cell>
          <cell r="Q661">
            <v>0</v>
          </cell>
          <cell r="R661" t="str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 t="str">
            <v/>
          </cell>
          <cell r="Y661" t="str">
            <v/>
          </cell>
          <cell r="Z661" t="str">
            <v/>
          </cell>
          <cell r="AA661">
            <v>0</v>
          </cell>
          <cell r="AB661">
            <v>0</v>
          </cell>
          <cell r="AC661">
            <v>0</v>
          </cell>
          <cell r="AD661"/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0.33333333333333331</v>
          </cell>
        </row>
        <row r="662">
          <cell r="A662">
            <v>5520</v>
          </cell>
          <cell r="B662"/>
          <cell r="C662" t="str">
            <v>Bieleta</v>
          </cell>
          <cell r="D662" t="str">
            <v>HOLYMAN</v>
          </cell>
          <cell r="E662">
            <v>5</v>
          </cell>
          <cell r="F662" t="str">
            <v>Bieleta Dianteira Ambos Os Lados Jac J2 2012 A 2016</v>
          </cell>
          <cell r="G662"/>
          <cell r="H662">
            <v>0</v>
          </cell>
          <cell r="I662">
            <v>0</v>
          </cell>
          <cell r="J662">
            <v>0</v>
          </cell>
          <cell r="K662" t="str">
            <v/>
          </cell>
          <cell r="L662" t="str">
            <v/>
          </cell>
          <cell r="M662">
            <v>0</v>
          </cell>
          <cell r="N662" t="str">
            <v/>
          </cell>
          <cell r="O662">
            <v>0</v>
          </cell>
          <cell r="P662" t="str">
            <v/>
          </cell>
          <cell r="Q662">
            <v>2</v>
          </cell>
          <cell r="R662" t="str">
            <v>0</v>
          </cell>
          <cell r="S662">
            <v>2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 t="str">
            <v/>
          </cell>
          <cell r="Y662" t="str">
            <v/>
          </cell>
          <cell r="Z662" t="str">
            <v/>
          </cell>
          <cell r="AA662">
            <v>0</v>
          </cell>
          <cell r="AB662">
            <v>0</v>
          </cell>
          <cell r="AC662">
            <v>0</v>
          </cell>
          <cell r="AD662"/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0.33333333333333331</v>
          </cell>
        </row>
        <row r="663">
          <cell r="A663">
            <v>5613</v>
          </cell>
          <cell r="B663"/>
          <cell r="C663" t="str">
            <v>Bieleta</v>
          </cell>
          <cell r="D663" t="str">
            <v>HOLYMAN</v>
          </cell>
          <cell r="E663">
            <v>5</v>
          </cell>
          <cell r="F663" t="str">
            <v>Bieleta Dianteira Ambos Os Lados Tucson 2005 A 2017</v>
          </cell>
          <cell r="G663"/>
          <cell r="H663">
            <v>0</v>
          </cell>
          <cell r="I663">
            <v>2</v>
          </cell>
          <cell r="J663">
            <v>2</v>
          </cell>
          <cell r="K663" t="str">
            <v/>
          </cell>
          <cell r="L663" t="str">
            <v/>
          </cell>
          <cell r="M663">
            <v>0</v>
          </cell>
          <cell r="N663" t="str">
            <v/>
          </cell>
          <cell r="O663">
            <v>0</v>
          </cell>
          <cell r="P663" t="str">
            <v/>
          </cell>
          <cell r="Q663">
            <v>0</v>
          </cell>
          <cell r="R663" t="str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 t="str">
            <v/>
          </cell>
          <cell r="Y663" t="str">
            <v/>
          </cell>
          <cell r="Z663" t="str">
            <v/>
          </cell>
          <cell r="AA663">
            <v>0</v>
          </cell>
          <cell r="AB663">
            <v>0</v>
          </cell>
          <cell r="AC663">
            <v>0</v>
          </cell>
          <cell r="AD663"/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0.33333333333333331</v>
          </cell>
        </row>
        <row r="664">
          <cell r="A664">
            <v>5700</v>
          </cell>
          <cell r="B664" t="str">
            <v>Sim</v>
          </cell>
          <cell r="C664" t="str">
            <v>Bieleta</v>
          </cell>
          <cell r="D664" t="str">
            <v>HOLYMAN</v>
          </cell>
          <cell r="E664">
            <v>5</v>
          </cell>
          <cell r="F664" t="str">
            <v>Bieleta Dianteira Ambos Lados Partner 1999 Em Diante</v>
          </cell>
          <cell r="G664"/>
          <cell r="H664">
            <v>1</v>
          </cell>
          <cell r="I664">
            <v>0</v>
          </cell>
          <cell r="J664" t="str">
            <v/>
          </cell>
          <cell r="K664" t="str">
            <v/>
          </cell>
          <cell r="L664" t="str">
            <v/>
          </cell>
          <cell r="M664">
            <v>1</v>
          </cell>
          <cell r="N664">
            <v>1</v>
          </cell>
          <cell r="O664">
            <v>0</v>
          </cell>
          <cell r="P664" t="str">
            <v/>
          </cell>
          <cell r="Q664">
            <v>0</v>
          </cell>
          <cell r="R664" t="str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 t="str">
            <v/>
          </cell>
          <cell r="Y664" t="str">
            <v/>
          </cell>
          <cell r="Z664" t="str">
            <v/>
          </cell>
          <cell r="AA664">
            <v>0</v>
          </cell>
          <cell r="AB664">
            <v>0</v>
          </cell>
          <cell r="AC664">
            <v>0</v>
          </cell>
          <cell r="AD664"/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0.33333333333333331</v>
          </cell>
        </row>
        <row r="665">
          <cell r="A665">
            <v>7300</v>
          </cell>
          <cell r="B665"/>
          <cell r="C665" t="str">
            <v>Bieleta</v>
          </cell>
          <cell r="D665" t="str">
            <v>HOLYMAN</v>
          </cell>
          <cell r="E665">
            <v>5</v>
          </cell>
          <cell r="F665" t="str">
            <v>Bieleta Dianteira Ambos Os Lados Outlander 2008 Em Diante</v>
          </cell>
          <cell r="G665"/>
          <cell r="H665">
            <v>1</v>
          </cell>
          <cell r="I665">
            <v>1</v>
          </cell>
          <cell r="J665">
            <v>0</v>
          </cell>
          <cell r="K665">
            <v>1</v>
          </cell>
          <cell r="L665" t="str">
            <v/>
          </cell>
          <cell r="M665">
            <v>0</v>
          </cell>
          <cell r="N665" t="str">
            <v/>
          </cell>
          <cell r="O665">
            <v>0</v>
          </cell>
          <cell r="P665" t="str">
            <v/>
          </cell>
          <cell r="Q665">
            <v>0</v>
          </cell>
          <cell r="R665" t="str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 t="str">
            <v/>
          </cell>
          <cell r="Y665" t="str">
            <v/>
          </cell>
          <cell r="Z665" t="str">
            <v/>
          </cell>
          <cell r="AA665">
            <v>0</v>
          </cell>
          <cell r="AB665">
            <v>0</v>
          </cell>
          <cell r="AC665">
            <v>0</v>
          </cell>
          <cell r="AD665"/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0.33333333333333331</v>
          </cell>
        </row>
        <row r="666">
          <cell r="A666">
            <v>8003</v>
          </cell>
          <cell r="B666"/>
          <cell r="C666" t="str">
            <v>Bieleta</v>
          </cell>
          <cell r="D666" t="str">
            <v>HOLYMAN</v>
          </cell>
          <cell r="E666">
            <v>5</v>
          </cell>
          <cell r="F666" t="str">
            <v>BIELETA TRAS FREELANDER 2 07/16</v>
          </cell>
          <cell r="G666"/>
          <cell r="H666">
            <v>0</v>
          </cell>
          <cell r="I666">
            <v>0</v>
          </cell>
          <cell r="J666"/>
          <cell r="K666"/>
          <cell r="L666"/>
          <cell r="M666">
            <v>2</v>
          </cell>
          <cell r="N666" t="str">
            <v/>
          </cell>
          <cell r="O666">
            <v>2</v>
          </cell>
          <cell r="P666" t="str">
            <v/>
          </cell>
          <cell r="Q666">
            <v>0</v>
          </cell>
          <cell r="R666" t="str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 t="str">
            <v/>
          </cell>
          <cell r="Y666" t="str">
            <v/>
          </cell>
          <cell r="Z666" t="str">
            <v/>
          </cell>
          <cell r="AA666">
            <v>0</v>
          </cell>
          <cell r="AB666">
            <v>0</v>
          </cell>
          <cell r="AC666">
            <v>0</v>
          </cell>
          <cell r="AD666"/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0.33333333333333331</v>
          </cell>
        </row>
        <row r="667">
          <cell r="A667">
            <v>8004</v>
          </cell>
          <cell r="B667"/>
          <cell r="C667" t="str">
            <v>Bieleta</v>
          </cell>
          <cell r="D667" t="str">
            <v>HOLYMAN</v>
          </cell>
          <cell r="E667">
            <v>5</v>
          </cell>
          <cell r="F667" t="str">
            <v>BIELETA DIANT DISCOVERY 3 04/09 DISCOVERY 4 09/11</v>
          </cell>
          <cell r="G667"/>
          <cell r="H667">
            <v>0</v>
          </cell>
          <cell r="I667">
            <v>0</v>
          </cell>
          <cell r="J667"/>
          <cell r="K667"/>
          <cell r="L667"/>
          <cell r="M667">
            <v>0</v>
          </cell>
          <cell r="N667" t="str">
            <v/>
          </cell>
          <cell r="O667">
            <v>0</v>
          </cell>
          <cell r="P667" t="str">
            <v/>
          </cell>
          <cell r="Q667">
            <v>2</v>
          </cell>
          <cell r="R667" t="str">
            <v>0</v>
          </cell>
          <cell r="S667">
            <v>2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 t="str">
            <v/>
          </cell>
          <cell r="Y667" t="str">
            <v/>
          </cell>
          <cell r="Z667" t="str">
            <v/>
          </cell>
          <cell r="AA667">
            <v>0</v>
          </cell>
          <cell r="AB667">
            <v>0</v>
          </cell>
          <cell r="AC667">
            <v>0</v>
          </cell>
          <cell r="AD667"/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0.33333333333333331</v>
          </cell>
        </row>
        <row r="668">
          <cell r="A668">
            <v>8501</v>
          </cell>
          <cell r="B668"/>
          <cell r="C668" t="str">
            <v>Bieleta</v>
          </cell>
          <cell r="D668" t="str">
            <v>HOLYMAN</v>
          </cell>
          <cell r="E668">
            <v>5</v>
          </cell>
          <cell r="F668" t="str">
            <v>BIELETA DIANT .MINI COOPER / COUPE / ONE 01/CLUBMAN/CABRIOLET</v>
          </cell>
          <cell r="G668"/>
          <cell r="H668">
            <v>0</v>
          </cell>
          <cell r="I668">
            <v>0</v>
          </cell>
          <cell r="J668"/>
          <cell r="K668"/>
          <cell r="L668"/>
          <cell r="M668">
            <v>0</v>
          </cell>
          <cell r="N668" t="str">
            <v/>
          </cell>
          <cell r="O668">
            <v>0</v>
          </cell>
          <cell r="P668" t="str">
            <v/>
          </cell>
          <cell r="Q668">
            <v>2</v>
          </cell>
          <cell r="R668" t="str">
            <v>0</v>
          </cell>
          <cell r="S668">
            <v>2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 t="str">
            <v/>
          </cell>
          <cell r="Y668" t="str">
            <v/>
          </cell>
          <cell r="Z668" t="str">
            <v/>
          </cell>
          <cell r="AA668">
            <v>0</v>
          </cell>
          <cell r="AB668">
            <v>0</v>
          </cell>
          <cell r="AC668">
            <v>0</v>
          </cell>
          <cell r="AD668"/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0.33333333333333331</v>
          </cell>
        </row>
        <row r="669">
          <cell r="A669">
            <v>10132</v>
          </cell>
          <cell r="B669" t="str">
            <v>Sim</v>
          </cell>
          <cell r="C669" t="str">
            <v>Bomba Combustível</v>
          </cell>
          <cell r="D669" t="str">
            <v>POLO</v>
          </cell>
          <cell r="E669">
            <v>7</v>
          </cell>
          <cell r="F669" t="str">
            <v>Bomba Combustível Suprema 4.1 Até 1997</v>
          </cell>
          <cell r="G669"/>
          <cell r="H669">
            <v>0</v>
          </cell>
          <cell r="I669">
            <v>0</v>
          </cell>
          <cell r="J669" t="str">
            <v/>
          </cell>
          <cell r="K669" t="str">
            <v/>
          </cell>
          <cell r="L669" t="str">
            <v/>
          </cell>
          <cell r="M669">
            <v>1</v>
          </cell>
          <cell r="N669">
            <v>1</v>
          </cell>
          <cell r="O669" t="str">
            <v/>
          </cell>
          <cell r="P669" t="str">
            <v/>
          </cell>
          <cell r="Q669">
            <v>1</v>
          </cell>
          <cell r="R669">
            <v>1</v>
          </cell>
          <cell r="S669" t="str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 t="str">
            <v/>
          </cell>
          <cell r="Y669" t="str">
            <v/>
          </cell>
          <cell r="Z669" t="str">
            <v/>
          </cell>
          <cell r="AA669">
            <v>0</v>
          </cell>
          <cell r="AB669">
            <v>0</v>
          </cell>
          <cell r="AC669">
            <v>0</v>
          </cell>
          <cell r="AD669"/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0.33333333333333331</v>
          </cell>
        </row>
        <row r="670">
          <cell r="A670" t="str">
            <v>FTK11203A-MB</v>
          </cell>
          <cell r="B670"/>
          <cell r="C670" t="str">
            <v>Bucha Bandeja</v>
          </cell>
          <cell r="D670" t="str">
            <v>MOBENSANI</v>
          </cell>
          <cell r="E670">
            <v>10</v>
          </cell>
          <cell r="F670" t="str">
            <v>Refil Bucha Dianteira Da Bandeja Dianteira Meriva 2002 A 12</v>
          </cell>
          <cell r="G670"/>
          <cell r="H670">
            <v>0</v>
          </cell>
          <cell r="I670">
            <v>2</v>
          </cell>
          <cell r="J670">
            <v>2</v>
          </cell>
          <cell r="K670" t="str">
            <v/>
          </cell>
          <cell r="L670" t="str">
            <v/>
          </cell>
          <cell r="M670">
            <v>0</v>
          </cell>
          <cell r="N670" t="str">
            <v/>
          </cell>
          <cell r="O670">
            <v>0</v>
          </cell>
          <cell r="P670" t="str">
            <v/>
          </cell>
          <cell r="Q670">
            <v>0</v>
          </cell>
          <cell r="R670" t="str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 t="str">
            <v/>
          </cell>
          <cell r="Y670" t="str">
            <v/>
          </cell>
          <cell r="Z670" t="str">
            <v/>
          </cell>
          <cell r="AA670">
            <v>0</v>
          </cell>
          <cell r="AB670">
            <v>0</v>
          </cell>
          <cell r="AC670">
            <v>0</v>
          </cell>
          <cell r="AD670"/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0.33333333333333331</v>
          </cell>
        </row>
        <row r="671">
          <cell r="A671" t="str">
            <v>FTK11204-MB</v>
          </cell>
          <cell r="B671"/>
          <cell r="C671" t="str">
            <v>Bucha Bandeja</v>
          </cell>
          <cell r="D671" t="str">
            <v>MOBENSANI</v>
          </cell>
          <cell r="E671">
            <v>10</v>
          </cell>
          <cell r="F671" t="str">
            <v>Bucha Traseira Da Bandeja Dianteira Corsa 2002 A 2012</v>
          </cell>
          <cell r="G671"/>
          <cell r="H671">
            <v>0</v>
          </cell>
          <cell r="I671">
            <v>2</v>
          </cell>
          <cell r="J671">
            <v>2</v>
          </cell>
          <cell r="K671" t="str">
            <v/>
          </cell>
          <cell r="L671" t="str">
            <v/>
          </cell>
          <cell r="M671">
            <v>0</v>
          </cell>
          <cell r="N671" t="str">
            <v/>
          </cell>
          <cell r="O671">
            <v>0</v>
          </cell>
          <cell r="P671" t="str">
            <v/>
          </cell>
          <cell r="Q671">
            <v>0</v>
          </cell>
          <cell r="R671" t="str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 t="str">
            <v/>
          </cell>
          <cell r="Y671" t="str">
            <v/>
          </cell>
          <cell r="Z671" t="str">
            <v/>
          </cell>
          <cell r="AA671">
            <v>0</v>
          </cell>
          <cell r="AB671">
            <v>0</v>
          </cell>
          <cell r="AC671">
            <v>0</v>
          </cell>
          <cell r="AD671"/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0.33333333333333331</v>
          </cell>
        </row>
        <row r="672">
          <cell r="A672" t="str">
            <v>FTK44008-AMW</v>
          </cell>
          <cell r="B672" t="str">
            <v>Sim</v>
          </cell>
          <cell r="C672" t="str">
            <v>Bucha Bandeja</v>
          </cell>
          <cell r="D672" t="str">
            <v>SPARE</v>
          </cell>
          <cell r="E672">
            <v>2</v>
          </cell>
          <cell r="F672" t="str">
            <v>Bucha Central Bandeja Dianteira Dodge Journey 2007 Em Diante</v>
          </cell>
          <cell r="G672"/>
          <cell r="H672">
            <v>0</v>
          </cell>
          <cell r="I672">
            <v>0</v>
          </cell>
          <cell r="J672" t="str">
            <v/>
          </cell>
          <cell r="K672" t="str">
            <v/>
          </cell>
          <cell r="L672" t="str">
            <v/>
          </cell>
          <cell r="M672">
            <v>2</v>
          </cell>
          <cell r="N672">
            <v>2</v>
          </cell>
          <cell r="O672" t="str">
            <v/>
          </cell>
          <cell r="P672" t="str">
            <v/>
          </cell>
          <cell r="Q672">
            <v>0</v>
          </cell>
          <cell r="R672" t="str">
            <v>0</v>
          </cell>
          <cell r="S672" t="str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 t="str">
            <v/>
          </cell>
          <cell r="Y672" t="str">
            <v/>
          </cell>
          <cell r="Z672" t="str">
            <v/>
          </cell>
          <cell r="AA672">
            <v>0</v>
          </cell>
          <cell r="AB672">
            <v>0</v>
          </cell>
          <cell r="AC672">
            <v>0</v>
          </cell>
          <cell r="AD672"/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0.33333333333333331</v>
          </cell>
        </row>
        <row r="673">
          <cell r="A673">
            <v>55323</v>
          </cell>
          <cell r="B673"/>
          <cell r="C673" t="str">
            <v>Cabo de Capô</v>
          </cell>
          <cell r="D673" t="str">
            <v>MundiFlex</v>
          </cell>
          <cell r="E673">
            <v>6</v>
          </cell>
          <cell r="F673" t="str">
            <v>Cabo De Capô Sem Alavanca Amarok 2010 Em Diante</v>
          </cell>
          <cell r="G673"/>
          <cell r="H673">
            <v>0</v>
          </cell>
          <cell r="I673">
            <v>0</v>
          </cell>
          <cell r="J673">
            <v>0</v>
          </cell>
          <cell r="K673" t="str">
            <v/>
          </cell>
          <cell r="L673" t="str">
            <v/>
          </cell>
          <cell r="M673">
            <v>1</v>
          </cell>
          <cell r="N673" t="str">
            <v/>
          </cell>
          <cell r="O673">
            <v>1</v>
          </cell>
          <cell r="P673" t="str">
            <v/>
          </cell>
          <cell r="Q673">
            <v>1</v>
          </cell>
          <cell r="R673" t="str">
            <v>0</v>
          </cell>
          <cell r="S673">
            <v>1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 t="str">
            <v/>
          </cell>
          <cell r="Y673" t="str">
            <v/>
          </cell>
          <cell r="Z673" t="str">
            <v/>
          </cell>
          <cell r="AA673">
            <v>0</v>
          </cell>
          <cell r="AB673">
            <v>0</v>
          </cell>
          <cell r="AC673">
            <v>0</v>
          </cell>
          <cell r="AD673"/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0.33333333333333331</v>
          </cell>
        </row>
        <row r="674">
          <cell r="A674">
            <v>66419</v>
          </cell>
          <cell r="B674" t="str">
            <v>Sim</v>
          </cell>
          <cell r="C674" t="str">
            <v>Cabo Embreagem</v>
          </cell>
          <cell r="D674" t="str">
            <v>MundiFlex</v>
          </cell>
          <cell r="E674">
            <v>6</v>
          </cell>
          <cell r="F674" t="str">
            <v>Cabo De Embreagem Fiat Palio 2012 Até 2017</v>
          </cell>
          <cell r="G674"/>
          <cell r="H674">
            <v>0</v>
          </cell>
          <cell r="I674">
            <v>0</v>
          </cell>
          <cell r="J674" t="str">
            <v/>
          </cell>
          <cell r="K674" t="str">
            <v/>
          </cell>
          <cell r="L674" t="str">
            <v/>
          </cell>
          <cell r="M674">
            <v>2</v>
          </cell>
          <cell r="N674">
            <v>2</v>
          </cell>
          <cell r="O674" t="str">
            <v/>
          </cell>
          <cell r="P674" t="str">
            <v/>
          </cell>
          <cell r="Q674">
            <v>0</v>
          </cell>
          <cell r="R674" t="str">
            <v>0</v>
          </cell>
          <cell r="S674" t="str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 t="str">
            <v/>
          </cell>
          <cell r="Y674" t="str">
            <v/>
          </cell>
          <cell r="Z674" t="str">
            <v/>
          </cell>
          <cell r="AA674">
            <v>0</v>
          </cell>
          <cell r="AB674">
            <v>0</v>
          </cell>
          <cell r="AC674">
            <v>0</v>
          </cell>
          <cell r="AD674"/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0.33333333333333331</v>
          </cell>
        </row>
        <row r="675">
          <cell r="A675">
            <v>55351</v>
          </cell>
          <cell r="B675"/>
          <cell r="C675" t="str">
            <v>Cabo limitador tampa traseira</v>
          </cell>
          <cell r="D675" t="str">
            <v>MundiFlex</v>
          </cell>
          <cell r="E675">
            <v>6</v>
          </cell>
          <cell r="F675" t="str">
            <v>Cabo Limitador Da Tampa Traseira Saveiro G5 2009 Em Diante</v>
          </cell>
          <cell r="G675"/>
          <cell r="H675">
            <v>0</v>
          </cell>
          <cell r="I675">
            <v>0</v>
          </cell>
          <cell r="J675" t="str">
            <v/>
          </cell>
          <cell r="K675" t="str">
            <v/>
          </cell>
          <cell r="L675" t="str">
            <v/>
          </cell>
          <cell r="M675">
            <v>0</v>
          </cell>
          <cell r="N675" t="str">
            <v/>
          </cell>
          <cell r="O675" t="str">
            <v/>
          </cell>
          <cell r="P675" t="str">
            <v/>
          </cell>
          <cell r="Q675">
            <v>2</v>
          </cell>
          <cell r="R675" t="str">
            <v>0</v>
          </cell>
          <cell r="S675">
            <v>2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 t="str">
            <v/>
          </cell>
          <cell r="Y675" t="str">
            <v/>
          </cell>
          <cell r="Z675" t="str">
            <v/>
          </cell>
          <cell r="AA675">
            <v>0</v>
          </cell>
          <cell r="AB675">
            <v>0</v>
          </cell>
          <cell r="AC675">
            <v>0</v>
          </cell>
          <cell r="AD675"/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0.33333333333333331</v>
          </cell>
        </row>
        <row r="676">
          <cell r="A676" t="str">
            <v>CXD-PG</v>
          </cell>
          <cell r="B676"/>
          <cell r="C676" t="str">
            <v>Caixa Direção</v>
          </cell>
          <cell r="D676" t="str">
            <v>ALENCAR</v>
          </cell>
          <cell r="E676">
            <v>26</v>
          </cell>
          <cell r="F676" t="str">
            <v xml:space="preserve">CAIXA DE DIREÇÃO PEUGEOT  </v>
          </cell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>
            <v>1</v>
          </cell>
          <cell r="R676"/>
          <cell r="S676"/>
          <cell r="T676"/>
          <cell r="U676">
            <v>1</v>
          </cell>
          <cell r="V676">
            <v>0</v>
          </cell>
          <cell r="W676">
            <v>0</v>
          </cell>
          <cell r="X676" t="str">
            <v/>
          </cell>
          <cell r="Y676" t="str">
            <v/>
          </cell>
          <cell r="Z676" t="str">
            <v/>
          </cell>
          <cell r="AA676">
            <v>0</v>
          </cell>
          <cell r="AB676">
            <v>0</v>
          </cell>
          <cell r="AC676">
            <v>0</v>
          </cell>
          <cell r="AD676"/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0.33333333333333331</v>
          </cell>
        </row>
        <row r="677">
          <cell r="A677">
            <v>4027</v>
          </cell>
          <cell r="B677"/>
          <cell r="C677" t="str">
            <v>Capa Pedal</v>
          </cell>
          <cell r="D677" t="str">
            <v>HOLYMAN</v>
          </cell>
          <cell r="E677">
            <v>5</v>
          </cell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>
            <v>1</v>
          </cell>
          <cell r="R677">
            <v>1</v>
          </cell>
          <cell r="S677" t="str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 t="str">
            <v/>
          </cell>
          <cell r="Y677" t="str">
            <v/>
          </cell>
          <cell r="Z677" t="str">
            <v/>
          </cell>
          <cell r="AA677">
            <v>0</v>
          </cell>
          <cell r="AB677">
            <v>0</v>
          </cell>
          <cell r="AC677">
            <v>0</v>
          </cell>
          <cell r="AD677"/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0.33333333333333331</v>
          </cell>
        </row>
        <row r="678">
          <cell r="A678">
            <v>4031</v>
          </cell>
          <cell r="B678"/>
          <cell r="C678" t="str">
            <v>Capa Pedal</v>
          </cell>
          <cell r="D678" t="str">
            <v>HOLYMAN</v>
          </cell>
          <cell r="E678">
            <v>5</v>
          </cell>
          <cell r="F678" t="str">
            <v>Capa De Pedal Freio E Embreagem Meriva</v>
          </cell>
          <cell r="G678"/>
          <cell r="H678">
            <v>0</v>
          </cell>
          <cell r="I678">
            <v>0</v>
          </cell>
          <cell r="J678" t="str">
            <v/>
          </cell>
          <cell r="K678" t="str">
            <v/>
          </cell>
          <cell r="L678" t="str">
            <v/>
          </cell>
          <cell r="M678">
            <v>0</v>
          </cell>
          <cell r="N678" t="str">
            <v/>
          </cell>
          <cell r="O678" t="str">
            <v/>
          </cell>
          <cell r="P678" t="str">
            <v/>
          </cell>
          <cell r="Q678">
            <v>1</v>
          </cell>
          <cell r="R678">
            <v>1</v>
          </cell>
          <cell r="S678" t="str">
            <v>0</v>
          </cell>
          <cell r="T678">
            <v>0</v>
          </cell>
          <cell r="U678">
            <v>0</v>
          </cell>
          <cell r="V678">
            <v>1</v>
          </cell>
          <cell r="W678">
            <v>1</v>
          </cell>
          <cell r="X678" t="str">
            <v/>
          </cell>
          <cell r="Y678" t="str">
            <v/>
          </cell>
          <cell r="Z678" t="str">
            <v/>
          </cell>
          <cell r="AA678">
            <v>0</v>
          </cell>
          <cell r="AB678">
            <v>0</v>
          </cell>
          <cell r="AC678">
            <v>0</v>
          </cell>
          <cell r="AD678"/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0.33333333333333331</v>
          </cell>
        </row>
        <row r="679">
          <cell r="A679">
            <v>4034</v>
          </cell>
          <cell r="B679" t="str">
            <v>Sim</v>
          </cell>
          <cell r="C679" t="str">
            <v>Capa Pedal</v>
          </cell>
          <cell r="D679" t="str">
            <v>HOLYMAN</v>
          </cell>
          <cell r="E679">
            <v>5</v>
          </cell>
          <cell r="F679" t="str">
            <v>Capa De Pedal Freio Embreagem E Acelerador Astra Sport</v>
          </cell>
          <cell r="G679"/>
          <cell r="H679">
            <v>1</v>
          </cell>
          <cell r="I679">
            <v>0</v>
          </cell>
          <cell r="J679" t="str">
            <v/>
          </cell>
          <cell r="K679" t="str">
            <v/>
          </cell>
          <cell r="L679" t="str">
            <v/>
          </cell>
          <cell r="M679">
            <v>1</v>
          </cell>
          <cell r="N679">
            <v>1</v>
          </cell>
          <cell r="O679" t="str">
            <v/>
          </cell>
          <cell r="P679" t="str">
            <v/>
          </cell>
          <cell r="Q679">
            <v>0</v>
          </cell>
          <cell r="R679" t="str">
            <v>0</v>
          </cell>
          <cell r="S679" t="str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 t="str">
            <v/>
          </cell>
          <cell r="Y679" t="str">
            <v/>
          </cell>
          <cell r="Z679" t="str">
            <v/>
          </cell>
          <cell r="AA679">
            <v>0</v>
          </cell>
          <cell r="AB679">
            <v>0</v>
          </cell>
          <cell r="AC679">
            <v>0</v>
          </cell>
          <cell r="AD679"/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0.33333333333333331</v>
          </cell>
        </row>
        <row r="680">
          <cell r="A680">
            <v>4038</v>
          </cell>
          <cell r="B680"/>
          <cell r="C680" t="str">
            <v>Capa Pedal</v>
          </cell>
          <cell r="D680" t="str">
            <v>HOLYMAN</v>
          </cell>
          <cell r="E680">
            <v>5</v>
          </cell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>
            <v>1</v>
          </cell>
          <cell r="R680">
            <v>1</v>
          </cell>
          <cell r="S680" t="str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 t="str">
            <v/>
          </cell>
          <cell r="Y680" t="str">
            <v/>
          </cell>
          <cell r="Z680" t="str">
            <v/>
          </cell>
          <cell r="AA680">
            <v>0</v>
          </cell>
          <cell r="AB680">
            <v>0</v>
          </cell>
          <cell r="AC680">
            <v>0</v>
          </cell>
          <cell r="AD680"/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0.33333333333333331</v>
          </cell>
        </row>
        <row r="681">
          <cell r="A681" t="str">
            <v>LT5576</v>
          </cell>
          <cell r="B681" t="str">
            <v>Sim</v>
          </cell>
          <cell r="C681" t="str">
            <v>Haste Câmbio</v>
          </cell>
          <cell r="D681" t="str">
            <v>LT CORREA</v>
          </cell>
          <cell r="E681">
            <v>3</v>
          </cell>
          <cell r="F681" t="str">
            <v>HASTE DO TRAMBULADOR 105MM - Golf 98/01 - Audi A4 98/01 Motor 1.6</v>
          </cell>
          <cell r="G681"/>
          <cell r="H681" t="str">
            <v>-</v>
          </cell>
          <cell r="I681"/>
          <cell r="J681"/>
          <cell r="K681"/>
          <cell r="L681"/>
          <cell r="M681"/>
          <cell r="N681"/>
          <cell r="O681"/>
          <cell r="P681"/>
          <cell r="Q681">
            <v>0</v>
          </cell>
          <cell r="R681"/>
          <cell r="S681">
            <v>0</v>
          </cell>
          <cell r="T681">
            <v>0</v>
          </cell>
          <cell r="U681">
            <v>0</v>
          </cell>
          <cell r="V681">
            <v>1</v>
          </cell>
          <cell r="W681">
            <v>1</v>
          </cell>
          <cell r="X681" t="str">
            <v/>
          </cell>
          <cell r="Y681" t="str">
            <v/>
          </cell>
          <cell r="Z681" t="str">
            <v/>
          </cell>
          <cell r="AA681">
            <v>0</v>
          </cell>
          <cell r="AB681">
            <v>0</v>
          </cell>
          <cell r="AC681">
            <v>0</v>
          </cell>
          <cell r="AD681"/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0.33333333333333331</v>
          </cell>
        </row>
        <row r="682">
          <cell r="A682">
            <v>11095</v>
          </cell>
          <cell r="B682"/>
          <cell r="C682" t="str">
            <v>Pastilha de Freio</v>
          </cell>
          <cell r="D682" t="str">
            <v>Fabreck</v>
          </cell>
          <cell r="E682">
            <v>16</v>
          </cell>
          <cell r="F682" t="str">
            <v>Pastilha De Freio Dianteira Palio 1.4 2006 A Set 2009</v>
          </cell>
          <cell r="G682"/>
          <cell r="H682">
            <v>1</v>
          </cell>
          <cell r="I682">
            <v>1</v>
          </cell>
          <cell r="J682" t="str">
            <v/>
          </cell>
          <cell r="K682">
            <v>1</v>
          </cell>
          <cell r="L682" t="str">
            <v/>
          </cell>
          <cell r="M682">
            <v>0</v>
          </cell>
          <cell r="N682" t="str">
            <v/>
          </cell>
          <cell r="O682" t="str">
            <v/>
          </cell>
          <cell r="P682" t="str">
            <v/>
          </cell>
          <cell r="Q682">
            <v>0</v>
          </cell>
          <cell r="R682" t="str">
            <v>0</v>
          </cell>
          <cell r="S682" t="str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 t="str">
            <v/>
          </cell>
          <cell r="Y682" t="str">
            <v/>
          </cell>
          <cell r="Z682" t="str">
            <v/>
          </cell>
          <cell r="AA682">
            <v>0</v>
          </cell>
          <cell r="AB682">
            <v>0</v>
          </cell>
          <cell r="AC682">
            <v>0</v>
          </cell>
          <cell r="AD682"/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0.33333333333333331</v>
          </cell>
        </row>
        <row r="683">
          <cell r="A683" t="str">
            <v>FTK77368</v>
          </cell>
          <cell r="B683"/>
          <cell r="C683" t="str">
            <v>Pivô</v>
          </cell>
          <cell r="D683" t="str">
            <v>SPARE</v>
          </cell>
          <cell r="E683">
            <v>2</v>
          </cell>
          <cell r="F683" t="str">
            <v>PIVÔ INFERIOR JETTA LADO DIREITO</v>
          </cell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>
            <v>0</v>
          </cell>
          <cell r="R683"/>
          <cell r="S683">
            <v>0</v>
          </cell>
          <cell r="T683">
            <v>0</v>
          </cell>
          <cell r="U683">
            <v>0</v>
          </cell>
          <cell r="V683">
            <v>1</v>
          </cell>
          <cell r="W683">
            <v>1</v>
          </cell>
          <cell r="X683" t="str">
            <v/>
          </cell>
          <cell r="Y683" t="str">
            <v/>
          </cell>
          <cell r="Z683" t="str">
            <v/>
          </cell>
          <cell r="AA683">
            <v>0</v>
          </cell>
          <cell r="AB683">
            <v>0</v>
          </cell>
          <cell r="AC683">
            <v>0</v>
          </cell>
          <cell r="AD683"/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0.33333333333333331</v>
          </cell>
        </row>
        <row r="684">
          <cell r="A684" t="str">
            <v>FTK33305</v>
          </cell>
          <cell r="B684" t="str">
            <v>Sim</v>
          </cell>
          <cell r="C684" t="str">
            <v>Pivô</v>
          </cell>
          <cell r="D684" t="str">
            <v>SPARE</v>
          </cell>
          <cell r="E684">
            <v>2</v>
          </cell>
          <cell r="F684" t="str">
            <v>Pivô Nissan March 2011 Em Diante</v>
          </cell>
          <cell r="G684"/>
          <cell r="H684">
            <v>0</v>
          </cell>
          <cell r="I684">
            <v>2</v>
          </cell>
          <cell r="J684">
            <v>0</v>
          </cell>
          <cell r="K684">
            <v>2</v>
          </cell>
          <cell r="L684" t="str">
            <v/>
          </cell>
          <cell r="M684">
            <v>0</v>
          </cell>
          <cell r="N684" t="str">
            <v/>
          </cell>
          <cell r="O684">
            <v>0</v>
          </cell>
          <cell r="P684" t="str">
            <v/>
          </cell>
          <cell r="Q684">
            <v>0</v>
          </cell>
          <cell r="R684" t="str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 t="str">
            <v/>
          </cell>
          <cell r="Y684" t="str">
            <v/>
          </cell>
          <cell r="Z684" t="str">
            <v/>
          </cell>
          <cell r="AA684">
            <v>0</v>
          </cell>
          <cell r="AB684">
            <v>0</v>
          </cell>
          <cell r="AC684">
            <v>0</v>
          </cell>
          <cell r="AD684"/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0.33333333333333331</v>
          </cell>
        </row>
        <row r="685">
          <cell r="A685" t="str">
            <v>PVI772102</v>
          </cell>
          <cell r="B685" t="str">
            <v>Sim</v>
          </cell>
          <cell r="C685" t="str">
            <v>Pivô</v>
          </cell>
          <cell r="D685" t="str">
            <v>SPARE</v>
          </cell>
          <cell r="E685">
            <v>2</v>
          </cell>
          <cell r="F685" t="str">
            <v>Pivô Nissan March 2011 Em Diante</v>
          </cell>
          <cell r="G685"/>
          <cell r="H685">
            <v>0</v>
          </cell>
          <cell r="I685">
            <v>0</v>
          </cell>
          <cell r="J685" t="str">
            <v/>
          </cell>
          <cell r="K685" t="str">
            <v/>
          </cell>
          <cell r="L685" t="str">
            <v/>
          </cell>
          <cell r="M685">
            <v>2</v>
          </cell>
          <cell r="N685">
            <v>2</v>
          </cell>
          <cell r="O685" t="str">
            <v/>
          </cell>
          <cell r="P685" t="str">
            <v/>
          </cell>
          <cell r="Q685">
            <v>0</v>
          </cell>
          <cell r="R685" t="str">
            <v>0</v>
          </cell>
          <cell r="S685" t="str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 t="str">
            <v/>
          </cell>
          <cell r="Y685" t="str">
            <v/>
          </cell>
          <cell r="Z685" t="str">
            <v/>
          </cell>
          <cell r="AA685">
            <v>0</v>
          </cell>
          <cell r="AB685">
            <v>0</v>
          </cell>
          <cell r="AC685">
            <v>0</v>
          </cell>
          <cell r="AD685"/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0.33333333333333331</v>
          </cell>
        </row>
        <row r="686">
          <cell r="A686" t="str">
            <v>VKM4837</v>
          </cell>
          <cell r="B686"/>
          <cell r="C686" t="str">
            <v>Polia Alternador</v>
          </cell>
          <cell r="D686" t="str">
            <v>RMP / Presidente</v>
          </cell>
          <cell r="E686">
            <v>25</v>
          </cell>
          <cell r="F686" t="str">
            <v xml:space="preserve">POLIA ALTERNADOR GOL  </v>
          </cell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>
            <v>1</v>
          </cell>
          <cell r="R686"/>
          <cell r="S686"/>
          <cell r="T686"/>
          <cell r="U686">
            <v>1</v>
          </cell>
          <cell r="V686">
            <v>0</v>
          </cell>
          <cell r="W686">
            <v>0</v>
          </cell>
          <cell r="X686" t="str">
            <v/>
          </cell>
          <cell r="Y686" t="str">
            <v/>
          </cell>
          <cell r="Z686" t="str">
            <v/>
          </cell>
          <cell r="AA686">
            <v>0</v>
          </cell>
          <cell r="AB686">
            <v>0</v>
          </cell>
          <cell r="AC686">
            <v>0</v>
          </cell>
          <cell r="AD686"/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0.33333333333333331</v>
          </cell>
        </row>
        <row r="687">
          <cell r="A687" t="str">
            <v>LT2271</v>
          </cell>
          <cell r="B687" t="str">
            <v>Sim</v>
          </cell>
          <cell r="C687" t="str">
            <v>Terminal Cabo Câmbio</v>
          </cell>
          <cell r="D687" t="str">
            <v>LT CORREA</v>
          </cell>
          <cell r="E687">
            <v>3</v>
          </cell>
          <cell r="F687" t="str">
            <v>Terminal Cabo Engate Seleção C3 Picasso 2012 Em Diante</v>
          </cell>
          <cell r="G687"/>
          <cell r="H687" t="str">
            <v>-</v>
          </cell>
          <cell r="I687"/>
          <cell r="J687"/>
          <cell r="K687"/>
          <cell r="L687"/>
          <cell r="M687"/>
          <cell r="N687"/>
          <cell r="O687"/>
          <cell r="P687"/>
          <cell r="Q687">
            <v>1</v>
          </cell>
          <cell r="R687">
            <v>1</v>
          </cell>
          <cell r="S687" t="str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 t="str">
            <v/>
          </cell>
          <cell r="Y687" t="str">
            <v/>
          </cell>
          <cell r="Z687" t="str">
            <v/>
          </cell>
          <cell r="AA687">
            <v>0</v>
          </cell>
          <cell r="AB687">
            <v>0</v>
          </cell>
          <cell r="AC687">
            <v>0</v>
          </cell>
          <cell r="AD687"/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0.33333333333333331</v>
          </cell>
        </row>
        <row r="688">
          <cell r="A688" t="str">
            <v>FTK18599</v>
          </cell>
          <cell r="B688"/>
          <cell r="C688" t="str">
            <v>Rolamento Roda</v>
          </cell>
          <cell r="D688" t="str">
            <v>IRB</v>
          </cell>
          <cell r="E688">
            <v>12</v>
          </cell>
          <cell r="F688" t="str">
            <v>ROLAMENTO RODA TRASEIRA MARCH 2011 EM DIANTE</v>
          </cell>
          <cell r="G688"/>
          <cell r="H688" t="str">
            <v>-</v>
          </cell>
          <cell r="I688" t="str">
            <v>-</v>
          </cell>
          <cell r="J688"/>
          <cell r="K688"/>
          <cell r="L688"/>
          <cell r="M688">
            <v>0</v>
          </cell>
          <cell r="N688" t="str">
            <v/>
          </cell>
          <cell r="O688">
            <v>0</v>
          </cell>
          <cell r="P688" t="str">
            <v/>
          </cell>
          <cell r="Q688">
            <v>0</v>
          </cell>
          <cell r="R688" t="str">
            <v>0</v>
          </cell>
          <cell r="S688">
            <v>0</v>
          </cell>
          <cell r="T688">
            <v>0</v>
          </cell>
          <cell r="U688">
            <v>0</v>
          </cell>
          <cell r="V688">
            <v>1</v>
          </cell>
          <cell r="W688">
            <v>1</v>
          </cell>
          <cell r="X688" t="str">
            <v/>
          </cell>
          <cell r="Y688" t="str">
            <v/>
          </cell>
          <cell r="Z688" t="str">
            <v/>
          </cell>
          <cell r="AA688">
            <v>1</v>
          </cell>
          <cell r="AB688">
            <v>1</v>
          </cell>
          <cell r="AC688">
            <v>0</v>
          </cell>
          <cell r="AD688"/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0.25</v>
          </cell>
        </row>
        <row r="689">
          <cell r="A689" t="str">
            <v>FTK18088</v>
          </cell>
          <cell r="B689"/>
          <cell r="C689" t="str">
            <v>Rolamento Roda</v>
          </cell>
          <cell r="D689" t="str">
            <v>IRB</v>
          </cell>
          <cell r="E689">
            <v>12</v>
          </cell>
          <cell r="F689" t="str">
            <v>ROLAMENTO RODA DIANTEIRA ALFA ROMEO 145 ATÉ 1999</v>
          </cell>
          <cell r="G689"/>
          <cell r="H689" t="str">
            <v>-</v>
          </cell>
          <cell r="I689" t="str">
            <v>-</v>
          </cell>
          <cell r="J689"/>
          <cell r="K689"/>
          <cell r="L689"/>
          <cell r="M689">
            <v>0</v>
          </cell>
          <cell r="N689" t="str">
            <v/>
          </cell>
          <cell r="O689">
            <v>0</v>
          </cell>
          <cell r="P689" t="str">
            <v/>
          </cell>
          <cell r="Q689">
            <v>1</v>
          </cell>
          <cell r="R689">
            <v>1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 t="str">
            <v/>
          </cell>
          <cell r="Y689" t="str">
            <v/>
          </cell>
          <cell r="Z689" t="str">
            <v/>
          </cell>
          <cell r="AA689">
            <v>0</v>
          </cell>
          <cell r="AB689">
            <v>0</v>
          </cell>
          <cell r="AC689">
            <v>0</v>
          </cell>
          <cell r="AD689"/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0.25</v>
          </cell>
        </row>
        <row r="690">
          <cell r="A690">
            <v>5427</v>
          </cell>
          <cell r="B690"/>
          <cell r="C690" t="str">
            <v>Bieleta</v>
          </cell>
          <cell r="D690" t="str">
            <v>HOLYMAN</v>
          </cell>
          <cell r="E690">
            <v>5</v>
          </cell>
          <cell r="F690" t="str">
            <v>BIELETA DIANTEIRA DIREITA WR-V 2017 EM DIANTE</v>
          </cell>
          <cell r="G690"/>
          <cell r="H690" t="str">
            <v>-</v>
          </cell>
          <cell r="I690">
            <v>0</v>
          </cell>
          <cell r="J690">
            <v>0</v>
          </cell>
          <cell r="K690" t="str">
            <v/>
          </cell>
          <cell r="L690" t="str">
            <v/>
          </cell>
          <cell r="M690">
            <v>0</v>
          </cell>
          <cell r="N690" t="str">
            <v/>
          </cell>
          <cell r="O690">
            <v>0</v>
          </cell>
          <cell r="P690" t="str">
            <v/>
          </cell>
          <cell r="Q690">
            <v>0</v>
          </cell>
          <cell r="R690" t="str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 t="str">
            <v/>
          </cell>
          <cell r="Y690" t="str">
            <v/>
          </cell>
          <cell r="Z690" t="str">
            <v/>
          </cell>
          <cell r="AA690">
            <v>0</v>
          </cell>
          <cell r="AB690">
            <v>0</v>
          </cell>
          <cell r="AC690">
            <v>0</v>
          </cell>
          <cell r="AD690"/>
          <cell r="AE690">
            <v>0</v>
          </cell>
          <cell r="AF690">
            <v>1</v>
          </cell>
          <cell r="AG690">
            <v>0</v>
          </cell>
          <cell r="AH690">
            <v>1</v>
          </cell>
          <cell r="AI690">
            <v>0</v>
          </cell>
          <cell r="AJ690">
            <v>0</v>
          </cell>
          <cell r="AK690">
            <v>0.2</v>
          </cell>
        </row>
        <row r="691">
          <cell r="A691">
            <v>5428</v>
          </cell>
          <cell r="B691"/>
          <cell r="C691" t="str">
            <v>Bieleta</v>
          </cell>
          <cell r="D691" t="str">
            <v>HOLYMAN</v>
          </cell>
          <cell r="E691">
            <v>5</v>
          </cell>
          <cell r="F691" t="str">
            <v>BIELETA DIANTEIRA ESQUERDA WR-V 2017 EM DIANTE</v>
          </cell>
          <cell r="G691"/>
          <cell r="H691" t="str">
            <v>-</v>
          </cell>
          <cell r="I691">
            <v>0</v>
          </cell>
          <cell r="J691">
            <v>0</v>
          </cell>
          <cell r="K691" t="str">
            <v/>
          </cell>
          <cell r="L691" t="str">
            <v/>
          </cell>
          <cell r="M691">
            <v>0</v>
          </cell>
          <cell r="N691" t="str">
            <v/>
          </cell>
          <cell r="O691">
            <v>0</v>
          </cell>
          <cell r="P691" t="str">
            <v/>
          </cell>
          <cell r="Q691">
            <v>0</v>
          </cell>
          <cell r="R691" t="str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 t="str">
            <v/>
          </cell>
          <cell r="Y691" t="str">
            <v/>
          </cell>
          <cell r="Z691" t="str">
            <v/>
          </cell>
          <cell r="AA691">
            <v>0</v>
          </cell>
          <cell r="AB691">
            <v>0</v>
          </cell>
          <cell r="AC691">
            <v>0</v>
          </cell>
          <cell r="AD691"/>
          <cell r="AE691">
            <v>0</v>
          </cell>
          <cell r="AF691">
            <v>1</v>
          </cell>
          <cell r="AG691">
            <v>0</v>
          </cell>
          <cell r="AH691">
            <v>1</v>
          </cell>
          <cell r="AI691">
            <v>0</v>
          </cell>
          <cell r="AJ691">
            <v>0</v>
          </cell>
          <cell r="AK691">
            <v>0.2</v>
          </cell>
        </row>
        <row r="692">
          <cell r="A692">
            <v>5412</v>
          </cell>
          <cell r="B692"/>
          <cell r="C692" t="str">
            <v>Bieleta</v>
          </cell>
          <cell r="D692" t="str">
            <v>HOLYMAN</v>
          </cell>
          <cell r="E692">
            <v>5</v>
          </cell>
          <cell r="F692" t="str">
            <v>BIELETA TRASEIRA ESQUERDA CIVIC 2006 A 2011</v>
          </cell>
          <cell r="G692"/>
          <cell r="H692" t="str">
            <v>-</v>
          </cell>
          <cell r="I692">
            <v>0</v>
          </cell>
          <cell r="J692">
            <v>0</v>
          </cell>
          <cell r="K692" t="str">
            <v/>
          </cell>
          <cell r="L692" t="str">
            <v/>
          </cell>
          <cell r="M692">
            <v>0</v>
          </cell>
          <cell r="N692" t="str">
            <v/>
          </cell>
          <cell r="O692">
            <v>0</v>
          </cell>
          <cell r="P692" t="str">
            <v/>
          </cell>
          <cell r="Q692">
            <v>0</v>
          </cell>
          <cell r="R692" t="str">
            <v>0</v>
          </cell>
          <cell r="S692">
            <v>0</v>
          </cell>
          <cell r="T692">
            <v>0</v>
          </cell>
          <cell r="U692">
            <v>0</v>
          </cell>
          <cell r="V692">
            <v>1</v>
          </cell>
          <cell r="W692">
            <v>1</v>
          </cell>
          <cell r="X692" t="str">
            <v/>
          </cell>
          <cell r="Y692" t="str">
            <v/>
          </cell>
          <cell r="Z692" t="str">
            <v/>
          </cell>
          <cell r="AA692">
            <v>0</v>
          </cell>
          <cell r="AB692">
            <v>0</v>
          </cell>
          <cell r="AC692">
            <v>0</v>
          </cell>
          <cell r="AD692"/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0.2</v>
          </cell>
        </row>
        <row r="693">
          <cell r="A693">
            <v>5621</v>
          </cell>
          <cell r="B693"/>
          <cell r="C693" t="str">
            <v>Bieleta</v>
          </cell>
          <cell r="D693" t="str">
            <v>HOLYMAN</v>
          </cell>
          <cell r="E693">
            <v>5</v>
          </cell>
          <cell r="F693" t="str">
            <v>BIELETA DIANTEIRA AMBOS LADOS CRETA 2017 A 2020</v>
          </cell>
          <cell r="G693"/>
          <cell r="H693" t="str">
            <v>-</v>
          </cell>
          <cell r="I693">
            <v>0</v>
          </cell>
          <cell r="J693">
            <v>0</v>
          </cell>
          <cell r="K693" t="str">
            <v/>
          </cell>
          <cell r="L693" t="str">
            <v/>
          </cell>
          <cell r="M693">
            <v>0</v>
          </cell>
          <cell r="N693" t="str">
            <v/>
          </cell>
          <cell r="O693">
            <v>0</v>
          </cell>
          <cell r="P693" t="str">
            <v/>
          </cell>
          <cell r="Q693">
            <v>1</v>
          </cell>
          <cell r="R693">
            <v>1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 t="str">
            <v/>
          </cell>
          <cell r="Y693" t="str">
            <v/>
          </cell>
          <cell r="Z693" t="str">
            <v/>
          </cell>
          <cell r="AA693">
            <v>0</v>
          </cell>
          <cell r="AB693">
            <v>0</v>
          </cell>
          <cell r="AC693">
            <v>0</v>
          </cell>
          <cell r="AD693"/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0.2</v>
          </cell>
        </row>
        <row r="694">
          <cell r="A694" t="str">
            <v>FTK99082-MB</v>
          </cell>
          <cell r="B694"/>
          <cell r="C694" t="str">
            <v>Bucha Bandeja</v>
          </cell>
          <cell r="D694" t="str">
            <v>MOBENSANI</v>
          </cell>
          <cell r="E694">
            <v>10</v>
          </cell>
          <cell r="F694" t="str">
            <v>BUCHA TRASEIRA DA BANDEJA DIANTEIRA MONDEO 1996 A 2001</v>
          </cell>
          <cell r="G694"/>
          <cell r="H694" t="str">
            <v>-</v>
          </cell>
          <cell r="I694">
            <v>0</v>
          </cell>
          <cell r="J694">
            <v>0</v>
          </cell>
          <cell r="K694" t="str">
            <v/>
          </cell>
          <cell r="L694" t="str">
            <v/>
          </cell>
          <cell r="M694">
            <v>0</v>
          </cell>
          <cell r="N694" t="str">
            <v/>
          </cell>
          <cell r="O694">
            <v>0</v>
          </cell>
          <cell r="P694" t="str">
            <v/>
          </cell>
          <cell r="Q694">
            <v>1</v>
          </cell>
          <cell r="R694">
            <v>1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 t="str">
            <v/>
          </cell>
          <cell r="Y694" t="str">
            <v/>
          </cell>
          <cell r="Z694" t="str">
            <v/>
          </cell>
          <cell r="AA694">
            <v>0</v>
          </cell>
          <cell r="AB694">
            <v>0</v>
          </cell>
          <cell r="AC694">
            <v>0</v>
          </cell>
          <cell r="AD694"/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0.2</v>
          </cell>
        </row>
        <row r="695">
          <cell r="A695">
            <v>772172</v>
          </cell>
          <cell r="B695" t="str">
            <v>Sim</v>
          </cell>
          <cell r="C695" t="str">
            <v>Bandeja</v>
          </cell>
          <cell r="D695" t="str">
            <v>SPARE</v>
          </cell>
          <cell r="E695">
            <v>2</v>
          </cell>
          <cell r="F695" t="str">
            <v>Bandeja Inferior Direita Com Pivô Kia Soul 2009 A 2014</v>
          </cell>
          <cell r="G695"/>
          <cell r="H695">
            <v>0</v>
          </cell>
          <cell r="I695">
            <v>0</v>
          </cell>
          <cell r="J695">
            <v>0</v>
          </cell>
          <cell r="K695" t="str">
            <v/>
          </cell>
          <cell r="L695" t="str">
            <v/>
          </cell>
          <cell r="M695">
            <v>0</v>
          </cell>
          <cell r="N695" t="str">
            <v/>
          </cell>
          <cell r="O695">
            <v>0</v>
          </cell>
          <cell r="P695" t="str">
            <v/>
          </cell>
          <cell r="Q695">
            <v>1</v>
          </cell>
          <cell r="R695">
            <v>1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 t="str">
            <v/>
          </cell>
          <cell r="Y695" t="str">
            <v/>
          </cell>
          <cell r="Z695" t="str">
            <v/>
          </cell>
          <cell r="AA695">
            <v>3</v>
          </cell>
          <cell r="AB695">
            <v>3</v>
          </cell>
          <cell r="AC695">
            <v>0</v>
          </cell>
          <cell r="AD695"/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0.16666666666666666</v>
          </cell>
        </row>
        <row r="696">
          <cell r="A696">
            <v>772254</v>
          </cell>
          <cell r="B696" t="str">
            <v>Sim</v>
          </cell>
          <cell r="C696" t="str">
            <v>Bandeja</v>
          </cell>
          <cell r="D696" t="str">
            <v>SPARE</v>
          </cell>
          <cell r="E696">
            <v>2</v>
          </cell>
          <cell r="F696" t="str">
            <v>Bandeja Superior Dianteira Direita C/ Pivô Hilux 4x4 06 À 20</v>
          </cell>
          <cell r="G696"/>
          <cell r="H696">
            <v>0</v>
          </cell>
          <cell r="I696">
            <v>0</v>
          </cell>
          <cell r="J696">
            <v>0</v>
          </cell>
          <cell r="K696" t="str">
            <v/>
          </cell>
          <cell r="L696" t="str">
            <v/>
          </cell>
          <cell r="M696">
            <v>0</v>
          </cell>
          <cell r="N696" t="str">
            <v/>
          </cell>
          <cell r="O696">
            <v>0</v>
          </cell>
          <cell r="P696" t="str">
            <v/>
          </cell>
          <cell r="Q696">
            <v>1</v>
          </cell>
          <cell r="R696" t="str">
            <v>0</v>
          </cell>
          <cell r="S696">
            <v>1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 t="str">
            <v/>
          </cell>
          <cell r="Y696" t="str">
            <v/>
          </cell>
          <cell r="Z696" t="str">
            <v/>
          </cell>
          <cell r="AA696">
            <v>3</v>
          </cell>
          <cell r="AB696">
            <v>2</v>
          </cell>
          <cell r="AC696">
            <v>1</v>
          </cell>
          <cell r="AD696"/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0.16666666666666666</v>
          </cell>
        </row>
        <row r="697">
          <cell r="A697">
            <v>772173</v>
          </cell>
          <cell r="B697" t="str">
            <v>Sim</v>
          </cell>
          <cell r="C697" t="str">
            <v>Bandeja</v>
          </cell>
          <cell r="D697" t="str">
            <v>SPARE</v>
          </cell>
          <cell r="E697">
            <v>2</v>
          </cell>
          <cell r="F697" t="str">
            <v>Bandeja Inferior Esquerda Com Pivô Kia Soul 2009 A 2014</v>
          </cell>
          <cell r="G697"/>
          <cell r="H697">
            <v>1</v>
          </cell>
          <cell r="I697">
            <v>0</v>
          </cell>
          <cell r="J697">
            <v>0</v>
          </cell>
          <cell r="K697" t="str">
            <v/>
          </cell>
          <cell r="L697" t="str">
            <v/>
          </cell>
          <cell r="M697">
            <v>0</v>
          </cell>
          <cell r="N697" t="str">
            <v/>
          </cell>
          <cell r="O697">
            <v>0</v>
          </cell>
          <cell r="P697" t="str">
            <v/>
          </cell>
          <cell r="Q697">
            <v>0</v>
          </cell>
          <cell r="R697" t="str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 t="str">
            <v/>
          </cell>
          <cell r="Y697" t="str">
            <v/>
          </cell>
          <cell r="Z697" t="str">
            <v/>
          </cell>
          <cell r="AA697">
            <v>2</v>
          </cell>
          <cell r="AB697">
            <v>2</v>
          </cell>
          <cell r="AC697">
            <v>0</v>
          </cell>
          <cell r="AD697"/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0.16666666666666666</v>
          </cell>
        </row>
        <row r="698">
          <cell r="A698">
            <v>5924</v>
          </cell>
          <cell r="B698"/>
          <cell r="C698" t="str">
            <v>Bieleta</v>
          </cell>
          <cell r="D698" t="str">
            <v>HOLYMAN</v>
          </cell>
          <cell r="E698">
            <v>5</v>
          </cell>
          <cell r="F698" t="str">
            <v>Bieleta Dianteira Direita L200 Triton Sport 2016 A 2019</v>
          </cell>
          <cell r="G698"/>
          <cell r="H698">
            <v>0</v>
          </cell>
          <cell r="I698">
            <v>0</v>
          </cell>
          <cell r="J698">
            <v>0</v>
          </cell>
          <cell r="K698" t="str">
            <v/>
          </cell>
          <cell r="L698" t="str">
            <v/>
          </cell>
          <cell r="M698">
            <v>0</v>
          </cell>
          <cell r="N698" t="str">
            <v/>
          </cell>
          <cell r="O698">
            <v>0</v>
          </cell>
          <cell r="P698" t="str">
            <v/>
          </cell>
          <cell r="Q698">
            <v>0</v>
          </cell>
          <cell r="R698" t="str">
            <v>0</v>
          </cell>
          <cell r="S698">
            <v>0</v>
          </cell>
          <cell r="T698">
            <v>0</v>
          </cell>
          <cell r="U698">
            <v>0</v>
          </cell>
          <cell r="V698">
            <v>1</v>
          </cell>
          <cell r="W698">
            <v>1</v>
          </cell>
          <cell r="X698" t="str">
            <v/>
          </cell>
          <cell r="Y698" t="str">
            <v/>
          </cell>
          <cell r="Z698" t="str">
            <v/>
          </cell>
          <cell r="AA698">
            <v>1</v>
          </cell>
          <cell r="AB698">
            <v>1</v>
          </cell>
          <cell r="AC698">
            <v>0</v>
          </cell>
          <cell r="AD698"/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0.16666666666666666</v>
          </cell>
        </row>
        <row r="699">
          <cell r="A699">
            <v>6310</v>
          </cell>
          <cell r="B699"/>
          <cell r="C699" t="str">
            <v>Bieleta</v>
          </cell>
          <cell r="D699" t="str">
            <v>HOLYMAN</v>
          </cell>
          <cell r="E699">
            <v>5</v>
          </cell>
          <cell r="F699" t="str">
            <v>Bieleta Dianteira Lado Direito Kia Soul 2009 A 2015</v>
          </cell>
          <cell r="G699"/>
          <cell r="H699">
            <v>1</v>
          </cell>
          <cell r="I699">
            <v>0</v>
          </cell>
          <cell r="J699">
            <v>0</v>
          </cell>
          <cell r="K699" t="str">
            <v/>
          </cell>
          <cell r="L699" t="str">
            <v/>
          </cell>
          <cell r="M699">
            <v>0</v>
          </cell>
          <cell r="N699" t="str">
            <v/>
          </cell>
          <cell r="O699">
            <v>0</v>
          </cell>
          <cell r="P699" t="str">
            <v/>
          </cell>
          <cell r="Q699">
            <v>0</v>
          </cell>
          <cell r="R699" t="str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 t="str">
            <v/>
          </cell>
          <cell r="Y699" t="str">
            <v/>
          </cell>
          <cell r="Z699" t="str">
            <v/>
          </cell>
          <cell r="AA699">
            <v>1</v>
          </cell>
          <cell r="AB699">
            <v>1</v>
          </cell>
          <cell r="AC699">
            <v>0</v>
          </cell>
          <cell r="AD699"/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0.16666666666666666</v>
          </cell>
        </row>
        <row r="700">
          <cell r="A700">
            <v>772025</v>
          </cell>
          <cell r="B700" t="str">
            <v>Sim</v>
          </cell>
          <cell r="C700" t="str">
            <v>Bandeja</v>
          </cell>
          <cell r="D700" t="str">
            <v>SPARE</v>
          </cell>
          <cell r="E700">
            <v>2</v>
          </cell>
          <cell r="F700" t="str">
            <v>Bandeja Inferior Esquerda Sem Pivô New Civic 2007 A 2011</v>
          </cell>
          <cell r="G700"/>
          <cell r="H700">
            <v>0</v>
          </cell>
          <cell r="I700">
            <v>0</v>
          </cell>
          <cell r="J700">
            <v>0</v>
          </cell>
          <cell r="K700" t="str">
            <v/>
          </cell>
          <cell r="L700" t="str">
            <v/>
          </cell>
          <cell r="M700">
            <v>1</v>
          </cell>
          <cell r="N700">
            <v>1</v>
          </cell>
          <cell r="O700">
            <v>0</v>
          </cell>
          <cell r="P700" t="str">
            <v/>
          </cell>
          <cell r="Q700">
            <v>0</v>
          </cell>
          <cell r="R700" t="str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 t="str">
            <v/>
          </cell>
          <cell r="Y700" t="str">
            <v/>
          </cell>
          <cell r="Z700" t="str">
            <v/>
          </cell>
          <cell r="AA700">
            <v>1</v>
          </cell>
          <cell r="AB700">
            <v>1</v>
          </cell>
          <cell r="AC700">
            <v>0</v>
          </cell>
          <cell r="AD700"/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0.16666666666666666</v>
          </cell>
        </row>
        <row r="701">
          <cell r="A701">
            <v>772054</v>
          </cell>
          <cell r="B701" t="str">
            <v>Sim</v>
          </cell>
          <cell r="C701" t="str">
            <v>Bandeja</v>
          </cell>
          <cell r="D701" t="str">
            <v>SPARE</v>
          </cell>
          <cell r="E701">
            <v>2</v>
          </cell>
          <cell r="F701" t="str">
            <v>Bandeja Direita Inferior Sem Pivô Kia Cerato 2009 Em Diante</v>
          </cell>
          <cell r="G701"/>
          <cell r="H701">
            <v>0</v>
          </cell>
          <cell r="I701">
            <v>1</v>
          </cell>
          <cell r="J701" t="str">
            <v/>
          </cell>
          <cell r="K701">
            <v>1</v>
          </cell>
          <cell r="L701" t="str">
            <v/>
          </cell>
          <cell r="M701">
            <v>0</v>
          </cell>
          <cell r="N701" t="str">
            <v/>
          </cell>
          <cell r="O701" t="str">
            <v/>
          </cell>
          <cell r="P701" t="str">
            <v/>
          </cell>
          <cell r="Q701">
            <v>0</v>
          </cell>
          <cell r="R701" t="str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 t="str">
            <v/>
          </cell>
          <cell r="Y701" t="str">
            <v/>
          </cell>
          <cell r="Z701" t="str">
            <v/>
          </cell>
          <cell r="AA701">
            <v>1</v>
          </cell>
          <cell r="AB701">
            <v>1</v>
          </cell>
          <cell r="AC701">
            <v>0</v>
          </cell>
          <cell r="AD701"/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0.16666666666666666</v>
          </cell>
        </row>
        <row r="702">
          <cell r="A702">
            <v>112100</v>
          </cell>
          <cell r="B702" t="str">
            <v>Sim</v>
          </cell>
          <cell r="C702" t="str">
            <v>Bandeja</v>
          </cell>
          <cell r="D702" t="str">
            <v>SPARE</v>
          </cell>
          <cell r="E702">
            <v>2</v>
          </cell>
          <cell r="F702" t="str">
            <v>Bandeja Dianteira Direita Sem Pivô Punto 2006 A 2014</v>
          </cell>
          <cell r="G702"/>
          <cell r="H702">
            <v>0</v>
          </cell>
          <cell r="I702">
            <v>0</v>
          </cell>
          <cell r="J702">
            <v>0</v>
          </cell>
          <cell r="K702" t="str">
            <v/>
          </cell>
          <cell r="L702" t="str">
            <v/>
          </cell>
          <cell r="M702">
            <v>1</v>
          </cell>
          <cell r="N702">
            <v>1</v>
          </cell>
          <cell r="O702">
            <v>0</v>
          </cell>
          <cell r="P702" t="str">
            <v/>
          </cell>
          <cell r="Q702">
            <v>0</v>
          </cell>
          <cell r="R702" t="str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 t="str">
            <v/>
          </cell>
          <cell r="Y702" t="str">
            <v/>
          </cell>
          <cell r="Z702" t="str">
            <v/>
          </cell>
          <cell r="AA702">
            <v>1</v>
          </cell>
          <cell r="AB702">
            <v>1</v>
          </cell>
          <cell r="AC702">
            <v>0</v>
          </cell>
          <cell r="AD702"/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0.16666666666666666</v>
          </cell>
        </row>
        <row r="703">
          <cell r="A703">
            <v>772091</v>
          </cell>
          <cell r="B703" t="str">
            <v>Sim</v>
          </cell>
          <cell r="C703" t="str">
            <v>Bandeja</v>
          </cell>
          <cell r="D703" t="str">
            <v>SPARE</v>
          </cell>
          <cell r="E703">
            <v>2</v>
          </cell>
          <cell r="F703" t="str">
            <v>Bandeja DIANTEIRA ESQUERDA COM PIVÔ MONDEO 1994 A 2001</v>
          </cell>
          <cell r="G703"/>
          <cell r="H703">
            <v>0</v>
          </cell>
          <cell r="I703">
            <v>0</v>
          </cell>
          <cell r="J703"/>
          <cell r="K703"/>
          <cell r="L703"/>
          <cell r="M703">
            <v>0</v>
          </cell>
          <cell r="N703" t="str">
            <v/>
          </cell>
          <cell r="O703">
            <v>0</v>
          </cell>
          <cell r="P703" t="str">
            <v/>
          </cell>
          <cell r="Q703">
            <v>1</v>
          </cell>
          <cell r="R703" t="str">
            <v>0</v>
          </cell>
          <cell r="S703">
            <v>1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 t="str">
            <v/>
          </cell>
          <cell r="Y703" t="str">
            <v/>
          </cell>
          <cell r="Z703" t="str">
            <v/>
          </cell>
          <cell r="AA703">
            <v>1</v>
          </cell>
          <cell r="AB703">
            <v>1</v>
          </cell>
          <cell r="AC703">
            <v>0</v>
          </cell>
          <cell r="AD703"/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0.16666666666666666</v>
          </cell>
        </row>
        <row r="704">
          <cell r="A704">
            <v>442122</v>
          </cell>
          <cell r="B704" t="str">
            <v>Sim</v>
          </cell>
          <cell r="C704" t="str">
            <v>Bandeja</v>
          </cell>
          <cell r="D704" t="str">
            <v>SPARE</v>
          </cell>
          <cell r="E704">
            <v>2</v>
          </cell>
          <cell r="F704" t="str">
            <v>Bandeja Inferior Direita Jetta 2.0 2.5 2005 A 2010 Sem Pivô</v>
          </cell>
          <cell r="G704"/>
          <cell r="H704">
            <v>0</v>
          </cell>
          <cell r="I704">
            <v>0</v>
          </cell>
          <cell r="J704" t="str">
            <v/>
          </cell>
          <cell r="K704" t="str">
            <v/>
          </cell>
          <cell r="L704" t="str">
            <v/>
          </cell>
          <cell r="M704">
            <v>0</v>
          </cell>
          <cell r="N704" t="str">
            <v/>
          </cell>
          <cell r="O704" t="str">
            <v/>
          </cell>
          <cell r="P704" t="str">
            <v/>
          </cell>
          <cell r="Q704">
            <v>0</v>
          </cell>
          <cell r="R704" t="str">
            <v>0</v>
          </cell>
          <cell r="S704" t="str">
            <v>0</v>
          </cell>
          <cell r="T704">
            <v>0</v>
          </cell>
          <cell r="U704">
            <v>0</v>
          </cell>
          <cell r="V704">
            <v>1</v>
          </cell>
          <cell r="W704">
            <v>1</v>
          </cell>
          <cell r="X704" t="str">
            <v/>
          </cell>
          <cell r="Y704" t="str">
            <v/>
          </cell>
          <cell r="Z704" t="str">
            <v/>
          </cell>
          <cell r="AA704">
            <v>1</v>
          </cell>
          <cell r="AB704">
            <v>1</v>
          </cell>
          <cell r="AC704">
            <v>0</v>
          </cell>
          <cell r="AD704"/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0.16666666666666666</v>
          </cell>
        </row>
        <row r="705">
          <cell r="A705">
            <v>442068</v>
          </cell>
          <cell r="B705" t="str">
            <v>Sim</v>
          </cell>
          <cell r="C705" t="str">
            <v>Bandeja</v>
          </cell>
          <cell r="D705" t="str">
            <v>SPARE</v>
          </cell>
          <cell r="E705">
            <v>2</v>
          </cell>
          <cell r="F705" t="str">
            <v>Bandeja Direita Com Pivô Polo Classic 1996 A 2001</v>
          </cell>
          <cell r="G705"/>
          <cell r="H705">
            <v>0</v>
          </cell>
          <cell r="I705">
            <v>0</v>
          </cell>
          <cell r="J705" t="str">
            <v/>
          </cell>
          <cell r="K705" t="str">
            <v/>
          </cell>
          <cell r="L705" t="str">
            <v/>
          </cell>
          <cell r="M705">
            <v>1</v>
          </cell>
          <cell r="N705">
            <v>1</v>
          </cell>
          <cell r="O705" t="str">
            <v/>
          </cell>
          <cell r="P705" t="str">
            <v/>
          </cell>
          <cell r="Q705">
            <v>0</v>
          </cell>
          <cell r="R705">
            <v>0</v>
          </cell>
          <cell r="S705" t="str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 t="str">
            <v/>
          </cell>
          <cell r="Y705" t="str">
            <v/>
          </cell>
          <cell r="Z705" t="str">
            <v/>
          </cell>
          <cell r="AA705">
            <v>1</v>
          </cell>
          <cell r="AB705">
            <v>1</v>
          </cell>
          <cell r="AC705">
            <v>0</v>
          </cell>
          <cell r="AD705"/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0.16666666666666666</v>
          </cell>
        </row>
        <row r="706">
          <cell r="A706">
            <v>772089</v>
          </cell>
          <cell r="B706" t="str">
            <v>Sim</v>
          </cell>
          <cell r="C706" t="str">
            <v>Bandeja</v>
          </cell>
          <cell r="D706" t="str">
            <v>SPARE</v>
          </cell>
          <cell r="E706">
            <v>2</v>
          </cell>
          <cell r="F706" t="str">
            <v>Bandeja DIANTEIRA ESQUERDA SEM PIVÔ MONDEO 1997 A 2000</v>
          </cell>
          <cell r="G706"/>
          <cell r="H706">
            <v>0</v>
          </cell>
          <cell r="I706">
            <v>0</v>
          </cell>
          <cell r="J706"/>
          <cell r="K706"/>
          <cell r="L706"/>
          <cell r="M706">
            <v>1</v>
          </cell>
          <cell r="N706" t="str">
            <v/>
          </cell>
          <cell r="O706">
            <v>1</v>
          </cell>
          <cell r="P706" t="str">
            <v/>
          </cell>
          <cell r="Q706">
            <v>0</v>
          </cell>
          <cell r="R706" t="str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 t="str">
            <v/>
          </cell>
          <cell r="Y706" t="str">
            <v/>
          </cell>
          <cell r="Z706" t="str">
            <v/>
          </cell>
          <cell r="AA706">
            <v>1</v>
          </cell>
          <cell r="AB706">
            <v>1</v>
          </cell>
          <cell r="AC706">
            <v>0</v>
          </cell>
          <cell r="AD706"/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0.16666666666666666</v>
          </cell>
        </row>
        <row r="707">
          <cell r="A707">
            <v>992001</v>
          </cell>
          <cell r="B707" t="str">
            <v>Sim</v>
          </cell>
          <cell r="C707" t="str">
            <v>Bandeja</v>
          </cell>
          <cell r="D707" t="str">
            <v>SPARE</v>
          </cell>
          <cell r="E707">
            <v>2</v>
          </cell>
          <cell r="F707" t="str">
            <v>Bandeja Dianteira Esquerda Alfa 147 1997 Á 2003</v>
          </cell>
          <cell r="G707"/>
          <cell r="H707">
            <v>0</v>
          </cell>
          <cell r="I707">
            <v>0</v>
          </cell>
          <cell r="J707" t="str">
            <v/>
          </cell>
          <cell r="K707" t="str">
            <v/>
          </cell>
          <cell r="L707" t="str">
            <v/>
          </cell>
          <cell r="M707">
            <v>0</v>
          </cell>
          <cell r="N707" t="str">
            <v/>
          </cell>
          <cell r="O707" t="str">
            <v/>
          </cell>
          <cell r="P707" t="str">
            <v/>
          </cell>
          <cell r="Q707">
            <v>0</v>
          </cell>
          <cell r="R707" t="str">
            <v>0</v>
          </cell>
          <cell r="S707" t="str">
            <v>0</v>
          </cell>
          <cell r="T707">
            <v>0</v>
          </cell>
          <cell r="U707">
            <v>0</v>
          </cell>
          <cell r="V707">
            <v>1</v>
          </cell>
          <cell r="W707">
            <v>1</v>
          </cell>
          <cell r="X707" t="str">
            <v/>
          </cell>
          <cell r="Y707" t="str">
            <v/>
          </cell>
          <cell r="Z707" t="str">
            <v/>
          </cell>
          <cell r="AA707">
            <v>1</v>
          </cell>
          <cell r="AB707">
            <v>1</v>
          </cell>
          <cell r="AC707">
            <v>0</v>
          </cell>
          <cell r="AD707"/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0.16666666666666666</v>
          </cell>
        </row>
        <row r="708">
          <cell r="A708" t="str">
            <v>FTK11004</v>
          </cell>
          <cell r="B708" t="str">
            <v>Sim</v>
          </cell>
          <cell r="C708" t="str">
            <v>Pivô</v>
          </cell>
          <cell r="D708" t="str">
            <v>SPARE</v>
          </cell>
          <cell r="E708">
            <v>2</v>
          </cell>
          <cell r="F708" t="str">
            <v>Pivô Inferior Bandeja Dianteira Direito Parati 1983 À 1992</v>
          </cell>
          <cell r="G708"/>
          <cell r="H708">
            <v>0</v>
          </cell>
          <cell r="I708">
            <v>0</v>
          </cell>
          <cell r="J708">
            <v>0</v>
          </cell>
          <cell r="K708" t="str">
            <v/>
          </cell>
          <cell r="L708" t="str">
            <v/>
          </cell>
          <cell r="M708">
            <v>0</v>
          </cell>
          <cell r="N708" t="str">
            <v/>
          </cell>
          <cell r="O708">
            <v>0</v>
          </cell>
          <cell r="P708" t="str">
            <v/>
          </cell>
          <cell r="Q708">
            <v>1</v>
          </cell>
          <cell r="R708" t="str">
            <v>0</v>
          </cell>
          <cell r="S708">
            <v>1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/>
          </cell>
          <cell r="Y708" t="str">
            <v/>
          </cell>
          <cell r="Z708" t="str">
            <v/>
          </cell>
          <cell r="AA708">
            <v>1</v>
          </cell>
          <cell r="AB708">
            <v>0</v>
          </cell>
          <cell r="AC708">
            <v>1</v>
          </cell>
          <cell r="AD708"/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0.16666666666666666</v>
          </cell>
        </row>
        <row r="709">
          <cell r="A709" t="str">
            <v>FTK11005</v>
          </cell>
          <cell r="B709" t="str">
            <v>Sim</v>
          </cell>
          <cell r="C709" t="str">
            <v>Pivô</v>
          </cell>
          <cell r="D709" t="str">
            <v>SPARE</v>
          </cell>
          <cell r="E709">
            <v>2</v>
          </cell>
          <cell r="F709" t="str">
            <v>Pivô Inferior Bandeja Dianteira Esquerdo Voyage 1981 À 1992</v>
          </cell>
          <cell r="G709"/>
          <cell r="H709">
            <v>0</v>
          </cell>
          <cell r="I709">
            <v>0</v>
          </cell>
          <cell r="J709">
            <v>0</v>
          </cell>
          <cell r="K709" t="str">
            <v/>
          </cell>
          <cell r="L709" t="str">
            <v/>
          </cell>
          <cell r="M709">
            <v>0</v>
          </cell>
          <cell r="N709" t="str">
            <v/>
          </cell>
          <cell r="O709">
            <v>0</v>
          </cell>
          <cell r="P709" t="str">
            <v/>
          </cell>
          <cell r="Q709">
            <v>1</v>
          </cell>
          <cell r="R709" t="str">
            <v>0</v>
          </cell>
          <cell r="S709">
            <v>1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 t="str">
            <v/>
          </cell>
          <cell r="Y709" t="str">
            <v/>
          </cell>
          <cell r="Z709" t="str">
            <v/>
          </cell>
          <cell r="AA709">
            <v>1</v>
          </cell>
          <cell r="AB709">
            <v>0</v>
          </cell>
          <cell r="AC709">
            <v>1</v>
          </cell>
          <cell r="AD709"/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0.16666666666666666</v>
          </cell>
        </row>
        <row r="710">
          <cell r="A710">
            <v>222077</v>
          </cell>
          <cell r="B710" t="str">
            <v>Sim</v>
          </cell>
          <cell r="C710" t="str">
            <v>Bandeja</v>
          </cell>
          <cell r="D710" t="str">
            <v>SPARE</v>
          </cell>
          <cell r="E710">
            <v>2</v>
          </cell>
          <cell r="F710" t="str">
            <v>Bandeja Inferior Esquerdo Ecosport Com Pivô</v>
          </cell>
          <cell r="G710"/>
          <cell r="H710">
            <v>0</v>
          </cell>
          <cell r="I710">
            <v>0</v>
          </cell>
          <cell r="J710">
            <v>0</v>
          </cell>
          <cell r="K710" t="str">
            <v/>
          </cell>
          <cell r="L710" t="str">
            <v/>
          </cell>
          <cell r="M710">
            <v>1</v>
          </cell>
          <cell r="N710" t="str">
            <v/>
          </cell>
          <cell r="O710">
            <v>1</v>
          </cell>
          <cell r="P710" t="str">
            <v/>
          </cell>
          <cell r="Q710">
            <v>0</v>
          </cell>
          <cell r="R710" t="str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 t="str">
            <v/>
          </cell>
          <cell r="Y710" t="str">
            <v/>
          </cell>
          <cell r="Z710" t="str">
            <v/>
          </cell>
          <cell r="AA710">
            <v>0</v>
          </cell>
          <cell r="AB710">
            <v>0</v>
          </cell>
          <cell r="AC710">
            <v>0</v>
          </cell>
          <cell r="AD710"/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0.16666666666666666</v>
          </cell>
        </row>
        <row r="711">
          <cell r="A711">
            <v>222076</v>
          </cell>
          <cell r="B711" t="str">
            <v>Sim</v>
          </cell>
          <cell r="C711" t="str">
            <v>Bandeja</v>
          </cell>
          <cell r="D711" t="str">
            <v>SPARE</v>
          </cell>
          <cell r="E711">
            <v>2</v>
          </cell>
          <cell r="F711" t="str">
            <v>Bandeja Inferior Direito Ecosport Com Pivô 2012 Em Diante</v>
          </cell>
          <cell r="G711"/>
          <cell r="H711">
            <v>0</v>
          </cell>
          <cell r="I711">
            <v>0</v>
          </cell>
          <cell r="J711">
            <v>0</v>
          </cell>
          <cell r="K711" t="str">
            <v/>
          </cell>
          <cell r="L711" t="str">
            <v/>
          </cell>
          <cell r="M711">
            <v>1</v>
          </cell>
          <cell r="N711" t="str">
            <v/>
          </cell>
          <cell r="O711">
            <v>1</v>
          </cell>
          <cell r="P711" t="str">
            <v/>
          </cell>
          <cell r="Q711">
            <v>0</v>
          </cell>
          <cell r="R711" t="str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 t="str">
            <v/>
          </cell>
          <cell r="Y711" t="str">
            <v/>
          </cell>
          <cell r="Z711" t="str">
            <v/>
          </cell>
          <cell r="AA711">
            <v>0</v>
          </cell>
          <cell r="AB711">
            <v>0</v>
          </cell>
          <cell r="AC711">
            <v>0</v>
          </cell>
          <cell r="AD711"/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0.16666666666666666</v>
          </cell>
        </row>
        <row r="712">
          <cell r="A712">
            <v>222073</v>
          </cell>
          <cell r="B712" t="str">
            <v>Sim</v>
          </cell>
          <cell r="C712" t="str">
            <v>Bandeja</v>
          </cell>
          <cell r="D712" t="str">
            <v>SPARE</v>
          </cell>
          <cell r="E712">
            <v>2</v>
          </cell>
          <cell r="F712" t="str">
            <v>Bandeja Fiesta 2008 A 2014 Lado Esquerdo Sem Pivô</v>
          </cell>
          <cell r="G712"/>
          <cell r="H712">
            <v>0</v>
          </cell>
          <cell r="I712">
            <v>0</v>
          </cell>
          <cell r="J712">
            <v>0</v>
          </cell>
          <cell r="K712" t="str">
            <v/>
          </cell>
          <cell r="L712" t="str">
            <v/>
          </cell>
          <cell r="M712">
            <v>1</v>
          </cell>
          <cell r="N712">
            <v>1</v>
          </cell>
          <cell r="O712">
            <v>0</v>
          </cell>
          <cell r="P712" t="str">
            <v/>
          </cell>
          <cell r="Q712">
            <v>0</v>
          </cell>
          <cell r="R712" t="str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 t="str">
            <v/>
          </cell>
          <cell r="Y712" t="str">
            <v/>
          </cell>
          <cell r="Z712" t="str">
            <v/>
          </cell>
          <cell r="AA712">
            <v>0</v>
          </cell>
          <cell r="AB712">
            <v>0</v>
          </cell>
          <cell r="AC712">
            <v>0</v>
          </cell>
          <cell r="AD712"/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0.16666666666666666</v>
          </cell>
        </row>
        <row r="713">
          <cell r="A713">
            <v>772059</v>
          </cell>
          <cell r="B713" t="str">
            <v>Sim</v>
          </cell>
          <cell r="C713" t="str">
            <v>Bandeja</v>
          </cell>
          <cell r="D713" t="str">
            <v>SPARE</v>
          </cell>
          <cell r="E713">
            <v>2</v>
          </cell>
          <cell r="F713" t="str">
            <v>Bandeja Dianteira Esquerda Sem Pivô Sportage 2011 A 2022</v>
          </cell>
          <cell r="G713"/>
          <cell r="H713">
            <v>0</v>
          </cell>
          <cell r="I713">
            <v>1</v>
          </cell>
          <cell r="J713">
            <v>0</v>
          </cell>
          <cell r="K713">
            <v>1</v>
          </cell>
          <cell r="L713" t="str">
            <v/>
          </cell>
          <cell r="M713">
            <v>0</v>
          </cell>
          <cell r="N713" t="str">
            <v/>
          </cell>
          <cell r="O713">
            <v>0</v>
          </cell>
          <cell r="P713" t="str">
            <v/>
          </cell>
          <cell r="Q713">
            <v>0</v>
          </cell>
          <cell r="R713" t="str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 t="str">
            <v/>
          </cell>
          <cell r="Y713" t="str">
            <v/>
          </cell>
          <cell r="Z713" t="str">
            <v/>
          </cell>
          <cell r="AA713">
            <v>0</v>
          </cell>
          <cell r="AB713">
            <v>0</v>
          </cell>
          <cell r="AC713">
            <v>0</v>
          </cell>
          <cell r="AD713"/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0.16666666666666666</v>
          </cell>
        </row>
        <row r="714">
          <cell r="A714">
            <v>112074</v>
          </cell>
          <cell r="B714" t="str">
            <v>Sim</v>
          </cell>
          <cell r="C714" t="str">
            <v>Bandeja</v>
          </cell>
          <cell r="D714" t="str">
            <v>SPARE</v>
          </cell>
          <cell r="E714">
            <v>2</v>
          </cell>
          <cell r="F714" t="str">
            <v>Bandeja Direita Com Pivô Palio Weekend Adventure2005 A 2008</v>
          </cell>
          <cell r="G714"/>
          <cell r="H714">
            <v>1</v>
          </cell>
          <cell r="I714">
            <v>0</v>
          </cell>
          <cell r="J714" t="str">
            <v/>
          </cell>
          <cell r="K714" t="str">
            <v/>
          </cell>
          <cell r="L714" t="str">
            <v/>
          </cell>
          <cell r="M714">
            <v>0</v>
          </cell>
          <cell r="N714" t="str">
            <v/>
          </cell>
          <cell r="O714" t="str">
            <v/>
          </cell>
          <cell r="P714" t="str">
            <v/>
          </cell>
          <cell r="Q714">
            <v>0</v>
          </cell>
          <cell r="R714" t="str">
            <v>0</v>
          </cell>
          <cell r="S714" t="str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 t="str">
            <v/>
          </cell>
          <cell r="Y714" t="str">
            <v/>
          </cell>
          <cell r="Z714" t="str">
            <v/>
          </cell>
          <cell r="AA714">
            <v>0</v>
          </cell>
          <cell r="AB714">
            <v>0</v>
          </cell>
          <cell r="AC714">
            <v>0</v>
          </cell>
          <cell r="AD714"/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0.16666666666666666</v>
          </cell>
        </row>
        <row r="715">
          <cell r="A715">
            <v>332008</v>
          </cell>
          <cell r="B715" t="str">
            <v>Sim</v>
          </cell>
          <cell r="C715" t="str">
            <v>Bandeja</v>
          </cell>
          <cell r="D715" t="str">
            <v>SPARE</v>
          </cell>
          <cell r="E715">
            <v>2</v>
          </cell>
          <cell r="F715" t="str">
            <v>Bandeja Esquerda Inferior Sem Pivô Kadett 1989 A 1998</v>
          </cell>
          <cell r="G715"/>
          <cell r="H715">
            <v>0</v>
          </cell>
          <cell r="I715">
            <v>1</v>
          </cell>
          <cell r="J715">
            <v>0</v>
          </cell>
          <cell r="K715">
            <v>1</v>
          </cell>
          <cell r="L715" t="str">
            <v/>
          </cell>
          <cell r="M715">
            <v>0</v>
          </cell>
          <cell r="N715" t="str">
            <v/>
          </cell>
          <cell r="O715">
            <v>0</v>
          </cell>
          <cell r="P715" t="str">
            <v/>
          </cell>
          <cell r="Q715">
            <v>0</v>
          </cell>
          <cell r="R715" t="str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 t="str">
            <v/>
          </cell>
          <cell r="Y715" t="str">
            <v/>
          </cell>
          <cell r="Z715" t="str">
            <v/>
          </cell>
          <cell r="AA715">
            <v>0</v>
          </cell>
          <cell r="AB715">
            <v>0</v>
          </cell>
          <cell r="AC715">
            <v>0</v>
          </cell>
          <cell r="AD715"/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0.16666666666666666</v>
          </cell>
        </row>
        <row r="716">
          <cell r="A716">
            <v>772021</v>
          </cell>
          <cell r="B716" t="str">
            <v>Sim</v>
          </cell>
          <cell r="C716" t="str">
            <v>Bandeja</v>
          </cell>
          <cell r="D716" t="str">
            <v>SPARE</v>
          </cell>
          <cell r="E716">
            <v>2</v>
          </cell>
          <cell r="F716" t="str">
            <v>Bandeja INFERIOR DIREITA SEM PIVÔ CIVIC 2001 A 2006</v>
          </cell>
          <cell r="G716"/>
          <cell r="H716">
            <v>0</v>
          </cell>
          <cell r="I716">
            <v>0</v>
          </cell>
          <cell r="J716"/>
          <cell r="K716"/>
          <cell r="L716"/>
          <cell r="M716">
            <v>0</v>
          </cell>
          <cell r="N716" t="str">
            <v/>
          </cell>
          <cell r="O716">
            <v>0</v>
          </cell>
          <cell r="P716" t="str">
            <v/>
          </cell>
          <cell r="Q716">
            <v>0</v>
          </cell>
          <cell r="R716" t="str">
            <v>0</v>
          </cell>
          <cell r="S716">
            <v>0</v>
          </cell>
          <cell r="T716">
            <v>0</v>
          </cell>
          <cell r="U716">
            <v>0</v>
          </cell>
          <cell r="V716">
            <v>1</v>
          </cell>
          <cell r="W716">
            <v>1</v>
          </cell>
          <cell r="X716" t="str">
            <v/>
          </cell>
          <cell r="Y716" t="str">
            <v/>
          </cell>
          <cell r="Z716" t="str">
            <v/>
          </cell>
          <cell r="AA716">
            <v>0</v>
          </cell>
          <cell r="AB716">
            <v>0</v>
          </cell>
          <cell r="AC716">
            <v>0</v>
          </cell>
          <cell r="AD716"/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0.16666666666666666</v>
          </cell>
        </row>
        <row r="717">
          <cell r="A717">
            <v>112016</v>
          </cell>
          <cell r="B717" t="str">
            <v>Sim</v>
          </cell>
          <cell r="C717" t="str">
            <v>Bandeja</v>
          </cell>
          <cell r="D717" t="str">
            <v>SPARE</v>
          </cell>
          <cell r="E717">
            <v>2</v>
          </cell>
          <cell r="F717" t="str">
            <v>Bandeja DIANTEIRA ESQUERDA TEMPRA 1992 A 1999 SEM PIVÔ</v>
          </cell>
          <cell r="G717"/>
          <cell r="H717">
            <v>0</v>
          </cell>
          <cell r="I717">
            <v>0</v>
          </cell>
          <cell r="J717"/>
          <cell r="K717"/>
          <cell r="L717"/>
          <cell r="M717">
            <v>0</v>
          </cell>
          <cell r="N717" t="str">
            <v/>
          </cell>
          <cell r="O717">
            <v>0</v>
          </cell>
          <cell r="P717" t="str">
            <v/>
          </cell>
          <cell r="Q717">
            <v>1</v>
          </cell>
          <cell r="R717" t="str">
            <v>0</v>
          </cell>
          <cell r="S717">
            <v>1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 t="str">
            <v/>
          </cell>
          <cell r="Y717" t="str">
            <v/>
          </cell>
          <cell r="Z717" t="str">
            <v/>
          </cell>
          <cell r="AA717">
            <v>0</v>
          </cell>
          <cell r="AB717">
            <v>0</v>
          </cell>
          <cell r="AC717">
            <v>0</v>
          </cell>
          <cell r="AD717"/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0.16666666666666666</v>
          </cell>
        </row>
        <row r="718">
          <cell r="A718">
            <v>772145</v>
          </cell>
          <cell r="B718" t="str">
            <v>Sim</v>
          </cell>
          <cell r="C718" t="str">
            <v>Bandeja</v>
          </cell>
          <cell r="D718" t="str">
            <v>SPARE</v>
          </cell>
          <cell r="E718">
            <v>2</v>
          </cell>
          <cell r="F718" t="str">
            <v>Bandeja Lado Esquerdo Hb20 Hatch Automático</v>
          </cell>
          <cell r="G718"/>
          <cell r="H718">
            <v>0</v>
          </cell>
          <cell r="I718">
            <v>0</v>
          </cell>
          <cell r="J718">
            <v>0</v>
          </cell>
          <cell r="K718" t="str">
            <v/>
          </cell>
          <cell r="L718" t="str">
            <v/>
          </cell>
          <cell r="M718">
            <v>1</v>
          </cell>
          <cell r="N718">
            <v>1</v>
          </cell>
          <cell r="O718">
            <v>0</v>
          </cell>
          <cell r="P718" t="str">
            <v/>
          </cell>
          <cell r="Q718">
            <v>0</v>
          </cell>
          <cell r="R718" t="str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 t="str">
            <v/>
          </cell>
          <cell r="Y718" t="str">
            <v/>
          </cell>
          <cell r="Z718" t="str">
            <v/>
          </cell>
          <cell r="AA718">
            <v>0</v>
          </cell>
          <cell r="AB718">
            <v>0</v>
          </cell>
          <cell r="AC718">
            <v>0</v>
          </cell>
          <cell r="AD718"/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0.16666666666666666</v>
          </cell>
        </row>
        <row r="719">
          <cell r="A719">
            <v>222062</v>
          </cell>
          <cell r="B719" t="str">
            <v>Sim</v>
          </cell>
          <cell r="C719" t="str">
            <v>Bandeja</v>
          </cell>
          <cell r="D719" t="str">
            <v>SPARE</v>
          </cell>
          <cell r="E719">
            <v>2</v>
          </cell>
          <cell r="F719" t="str">
            <v>Bandeja Inferior Direito Ka Direção Hidráulica  08 Á 13</v>
          </cell>
          <cell r="G719"/>
          <cell r="H719">
            <v>0</v>
          </cell>
          <cell r="I719">
            <v>1</v>
          </cell>
          <cell r="J719" t="str">
            <v/>
          </cell>
          <cell r="K719">
            <v>1</v>
          </cell>
          <cell r="L719" t="str">
            <v/>
          </cell>
          <cell r="M719">
            <v>0</v>
          </cell>
          <cell r="N719" t="str">
            <v/>
          </cell>
          <cell r="O719" t="str">
            <v/>
          </cell>
          <cell r="P719" t="str">
            <v/>
          </cell>
          <cell r="Q719">
            <v>0</v>
          </cell>
          <cell r="R719" t="str">
            <v>0</v>
          </cell>
          <cell r="S719" t="str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 t="str">
            <v/>
          </cell>
          <cell r="Y719" t="str">
            <v/>
          </cell>
          <cell r="Z719" t="str">
            <v/>
          </cell>
          <cell r="AA719">
            <v>0</v>
          </cell>
          <cell r="AB719">
            <v>0</v>
          </cell>
          <cell r="AC719">
            <v>0</v>
          </cell>
          <cell r="AD719"/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0.16666666666666666</v>
          </cell>
        </row>
        <row r="720">
          <cell r="A720">
            <v>772144</v>
          </cell>
          <cell r="B720" t="str">
            <v>Sim</v>
          </cell>
          <cell r="C720" t="str">
            <v>Bandeja</v>
          </cell>
          <cell r="D720" t="str">
            <v>SPARE</v>
          </cell>
          <cell r="E720">
            <v>2</v>
          </cell>
          <cell r="F720" t="str">
            <v>Bandeja Lado Direito Hb20 Hatch Automático 2012 Á 2019</v>
          </cell>
          <cell r="G720"/>
          <cell r="H720">
            <v>1</v>
          </cell>
          <cell r="I720">
            <v>0</v>
          </cell>
          <cell r="J720">
            <v>0</v>
          </cell>
          <cell r="K720" t="str">
            <v/>
          </cell>
          <cell r="L720" t="str">
            <v/>
          </cell>
          <cell r="M720">
            <v>0</v>
          </cell>
          <cell r="N720" t="str">
            <v/>
          </cell>
          <cell r="O720">
            <v>0</v>
          </cell>
          <cell r="P720" t="str">
            <v/>
          </cell>
          <cell r="Q720">
            <v>0</v>
          </cell>
          <cell r="R720" t="str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 t="str">
            <v/>
          </cell>
          <cell r="Y720" t="str">
            <v/>
          </cell>
          <cell r="Z720" t="str">
            <v/>
          </cell>
          <cell r="AA720">
            <v>0</v>
          </cell>
          <cell r="AB720">
            <v>0</v>
          </cell>
          <cell r="AC720">
            <v>0</v>
          </cell>
          <cell r="AD720"/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0.16666666666666666</v>
          </cell>
        </row>
        <row r="721">
          <cell r="A721">
            <v>332102</v>
          </cell>
          <cell r="B721" t="str">
            <v>Sim</v>
          </cell>
          <cell r="C721" t="str">
            <v>Bandeja</v>
          </cell>
          <cell r="D721" t="str">
            <v>SPARE</v>
          </cell>
          <cell r="E721">
            <v>2</v>
          </cell>
          <cell r="F721" t="str">
            <v>Bandeja DIANTEIRA SUPERIOR ESQUERDA ÔMEGA/SUPREMA</v>
          </cell>
          <cell r="G721"/>
          <cell r="H721">
            <v>0</v>
          </cell>
          <cell r="I721">
            <v>0</v>
          </cell>
          <cell r="J721"/>
          <cell r="K721"/>
          <cell r="L721"/>
          <cell r="M721">
            <v>0</v>
          </cell>
          <cell r="N721" t="str">
            <v/>
          </cell>
          <cell r="O721">
            <v>0</v>
          </cell>
          <cell r="P721" t="str">
            <v/>
          </cell>
          <cell r="Q721">
            <v>1</v>
          </cell>
          <cell r="R721">
            <v>1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 t="str">
            <v/>
          </cell>
          <cell r="Y721" t="str">
            <v/>
          </cell>
          <cell r="Z721" t="str">
            <v/>
          </cell>
          <cell r="AA721">
            <v>0</v>
          </cell>
          <cell r="AB721">
            <v>0</v>
          </cell>
          <cell r="AC721">
            <v>0</v>
          </cell>
          <cell r="AD721"/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0.16666666666666666</v>
          </cell>
        </row>
        <row r="722">
          <cell r="A722">
            <v>332152</v>
          </cell>
          <cell r="B722" t="str">
            <v>Sim</v>
          </cell>
          <cell r="C722" t="str">
            <v>Bandeja</v>
          </cell>
          <cell r="D722" t="str">
            <v>SPARE</v>
          </cell>
          <cell r="E722">
            <v>2</v>
          </cell>
          <cell r="F722" t="str">
            <v>Bandeja DIANTEIRA ESQUERDA S10 2012 A 2016 COM PIVÔ</v>
          </cell>
          <cell r="G722"/>
          <cell r="H722">
            <v>0</v>
          </cell>
          <cell r="I722">
            <v>0</v>
          </cell>
          <cell r="J722"/>
          <cell r="K722"/>
          <cell r="L722"/>
          <cell r="M722">
            <v>1</v>
          </cell>
          <cell r="N722" t="str">
            <v/>
          </cell>
          <cell r="O722">
            <v>1</v>
          </cell>
          <cell r="P722" t="str">
            <v/>
          </cell>
          <cell r="Q722">
            <v>0</v>
          </cell>
          <cell r="R722" t="str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 t="str">
            <v/>
          </cell>
          <cell r="Y722" t="str">
            <v/>
          </cell>
          <cell r="Z722" t="str">
            <v/>
          </cell>
          <cell r="AA722">
            <v>0</v>
          </cell>
          <cell r="AB722">
            <v>0</v>
          </cell>
          <cell r="AC722">
            <v>0</v>
          </cell>
          <cell r="AD722"/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0.16666666666666666</v>
          </cell>
        </row>
        <row r="723">
          <cell r="A723">
            <v>442144</v>
          </cell>
          <cell r="B723" t="str">
            <v>Sim</v>
          </cell>
          <cell r="C723" t="str">
            <v>Bandeja</v>
          </cell>
          <cell r="D723" t="str">
            <v>SPARE</v>
          </cell>
          <cell r="E723">
            <v>2</v>
          </cell>
          <cell r="F723" t="str">
            <v>Bandeja Inferior Esquerda Sem Pivô Polo 2017 Em Diante</v>
          </cell>
          <cell r="G723"/>
          <cell r="H723">
            <v>0</v>
          </cell>
          <cell r="I723">
            <v>0</v>
          </cell>
          <cell r="J723" t="str">
            <v/>
          </cell>
          <cell r="K723" t="str">
            <v/>
          </cell>
          <cell r="L723" t="str">
            <v/>
          </cell>
          <cell r="M723">
            <v>1</v>
          </cell>
          <cell r="N723">
            <v>1</v>
          </cell>
          <cell r="O723" t="str">
            <v/>
          </cell>
          <cell r="P723" t="str">
            <v/>
          </cell>
          <cell r="Q723">
            <v>0</v>
          </cell>
          <cell r="R723" t="str">
            <v>0</v>
          </cell>
          <cell r="S723" t="str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 t="str">
            <v/>
          </cell>
          <cell r="Y723" t="str">
            <v/>
          </cell>
          <cell r="Z723" t="str">
            <v/>
          </cell>
          <cell r="AA723">
            <v>0</v>
          </cell>
          <cell r="AB723">
            <v>0</v>
          </cell>
          <cell r="AC723">
            <v>0</v>
          </cell>
          <cell r="AD723"/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0.16666666666666666</v>
          </cell>
        </row>
        <row r="724">
          <cell r="A724">
            <v>772011</v>
          </cell>
          <cell r="B724" t="str">
            <v>Sim</v>
          </cell>
          <cell r="C724" t="str">
            <v>Bandeja</v>
          </cell>
          <cell r="D724" t="str">
            <v>SPARE</v>
          </cell>
          <cell r="E724">
            <v>2</v>
          </cell>
          <cell r="F724" t="str">
            <v>Bandeja DIANTEIRA DIREITA CITY 2014 A 2021 COM PIVÔ</v>
          </cell>
          <cell r="G724"/>
          <cell r="H724">
            <v>0</v>
          </cell>
          <cell r="I724">
            <v>0</v>
          </cell>
          <cell r="J724"/>
          <cell r="K724"/>
          <cell r="L724"/>
          <cell r="M724">
            <v>0</v>
          </cell>
          <cell r="N724" t="str">
            <v/>
          </cell>
          <cell r="O724">
            <v>0</v>
          </cell>
          <cell r="P724" t="str">
            <v/>
          </cell>
          <cell r="Q724">
            <v>1</v>
          </cell>
          <cell r="R724" t="str">
            <v>0</v>
          </cell>
          <cell r="S724">
            <v>1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 t="str">
            <v/>
          </cell>
          <cell r="Y724" t="str">
            <v/>
          </cell>
          <cell r="Z724" t="str">
            <v/>
          </cell>
          <cell r="AA724">
            <v>0</v>
          </cell>
          <cell r="AB724">
            <v>0</v>
          </cell>
          <cell r="AC724">
            <v>0</v>
          </cell>
          <cell r="AD724"/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0.16666666666666666</v>
          </cell>
        </row>
        <row r="725">
          <cell r="A725">
            <v>772183</v>
          </cell>
          <cell r="B725" t="str">
            <v>Sim</v>
          </cell>
          <cell r="C725" t="str">
            <v>Bandeja</v>
          </cell>
          <cell r="D725" t="str">
            <v>SPARE</v>
          </cell>
          <cell r="E725">
            <v>2</v>
          </cell>
          <cell r="F725" t="str">
            <v>Bandeja SUPERIOR DIANTEIRA ESQUERDA SORENTO 2002 A 2009</v>
          </cell>
          <cell r="G725"/>
          <cell r="H725">
            <v>0</v>
          </cell>
          <cell r="I725">
            <v>0</v>
          </cell>
          <cell r="J725"/>
          <cell r="K725"/>
          <cell r="L725"/>
          <cell r="M725">
            <v>0</v>
          </cell>
          <cell r="N725" t="str">
            <v/>
          </cell>
          <cell r="O725">
            <v>0</v>
          </cell>
          <cell r="P725" t="str">
            <v/>
          </cell>
          <cell r="Q725">
            <v>0</v>
          </cell>
          <cell r="R725" t="str">
            <v>0</v>
          </cell>
          <cell r="S725">
            <v>0</v>
          </cell>
          <cell r="T725">
            <v>0</v>
          </cell>
          <cell r="U725">
            <v>0</v>
          </cell>
          <cell r="V725">
            <v>1</v>
          </cell>
          <cell r="W725">
            <v>0</v>
          </cell>
          <cell r="X725">
            <v>1</v>
          </cell>
          <cell r="Y725" t="str">
            <v/>
          </cell>
          <cell r="Z725" t="str">
            <v/>
          </cell>
          <cell r="AA725">
            <v>0</v>
          </cell>
          <cell r="AB725">
            <v>0</v>
          </cell>
          <cell r="AC725">
            <v>0</v>
          </cell>
          <cell r="AD725"/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0.16666666666666666</v>
          </cell>
        </row>
        <row r="726">
          <cell r="A726">
            <v>332151</v>
          </cell>
          <cell r="B726" t="str">
            <v>Sim</v>
          </cell>
          <cell r="C726" t="str">
            <v>Bandeja</v>
          </cell>
          <cell r="D726" t="str">
            <v>SPARE</v>
          </cell>
          <cell r="E726">
            <v>2</v>
          </cell>
          <cell r="F726" t="str">
            <v>Bandeja DIANTEIRA DIREITA S10 2012 A 2016 COM PIVÔ</v>
          </cell>
          <cell r="G726"/>
          <cell r="H726">
            <v>0</v>
          </cell>
          <cell r="I726">
            <v>0</v>
          </cell>
          <cell r="J726"/>
          <cell r="K726"/>
          <cell r="L726"/>
          <cell r="M726">
            <v>1</v>
          </cell>
          <cell r="N726" t="str">
            <v/>
          </cell>
          <cell r="O726">
            <v>1</v>
          </cell>
          <cell r="P726" t="str">
            <v/>
          </cell>
          <cell r="Q726">
            <v>0</v>
          </cell>
          <cell r="R726" t="str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 t="str">
            <v/>
          </cell>
          <cell r="Y726" t="str">
            <v/>
          </cell>
          <cell r="Z726" t="str">
            <v/>
          </cell>
          <cell r="AA726">
            <v>0</v>
          </cell>
          <cell r="AB726">
            <v>0</v>
          </cell>
          <cell r="AC726">
            <v>0</v>
          </cell>
          <cell r="AD726"/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0.16666666666666666</v>
          </cell>
        </row>
        <row r="727">
          <cell r="A727">
            <v>772012</v>
          </cell>
          <cell r="B727" t="str">
            <v>Sim</v>
          </cell>
          <cell r="C727" t="str">
            <v>Bandeja</v>
          </cell>
          <cell r="D727" t="str">
            <v>SPARE</v>
          </cell>
          <cell r="E727">
            <v>2</v>
          </cell>
          <cell r="F727" t="str">
            <v>Bandeja DIANTEIRA ESQUERDA CITY 2014 A 2021 COM PIVÔ</v>
          </cell>
          <cell r="G727"/>
          <cell r="H727">
            <v>0</v>
          </cell>
          <cell r="I727">
            <v>0</v>
          </cell>
          <cell r="J727"/>
          <cell r="K727"/>
          <cell r="L727"/>
          <cell r="M727">
            <v>0</v>
          </cell>
          <cell r="N727" t="str">
            <v/>
          </cell>
          <cell r="O727">
            <v>0</v>
          </cell>
          <cell r="P727" t="str">
            <v/>
          </cell>
          <cell r="Q727">
            <v>1</v>
          </cell>
          <cell r="R727" t="str">
            <v>0</v>
          </cell>
          <cell r="S727">
            <v>1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 t="str">
            <v/>
          </cell>
          <cell r="Y727" t="str">
            <v/>
          </cell>
          <cell r="Z727" t="str">
            <v/>
          </cell>
          <cell r="AA727">
            <v>0</v>
          </cell>
          <cell r="AB727">
            <v>0</v>
          </cell>
          <cell r="AC727">
            <v>0</v>
          </cell>
          <cell r="AD727"/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0.16666666666666666</v>
          </cell>
        </row>
        <row r="728">
          <cell r="A728">
            <v>772162</v>
          </cell>
          <cell r="B728" t="str">
            <v>Sim</v>
          </cell>
          <cell r="C728" t="str">
            <v>Bandeja</v>
          </cell>
          <cell r="D728" t="str">
            <v>SPARE</v>
          </cell>
          <cell r="E728">
            <v>2</v>
          </cell>
          <cell r="F728" t="str">
            <v>Bandeja DIANTEIRA ESQUERDA SEM PIVÔ GRAND SANTA FÉ 2014 2015</v>
          </cell>
          <cell r="G728"/>
          <cell r="H728">
            <v>0</v>
          </cell>
          <cell r="I728">
            <v>0</v>
          </cell>
          <cell r="J728"/>
          <cell r="K728"/>
          <cell r="L728"/>
          <cell r="M728">
            <v>0</v>
          </cell>
          <cell r="N728" t="str">
            <v/>
          </cell>
          <cell r="O728">
            <v>0</v>
          </cell>
          <cell r="P728" t="str">
            <v/>
          </cell>
          <cell r="Q728">
            <v>0</v>
          </cell>
          <cell r="R728" t="str">
            <v>0</v>
          </cell>
          <cell r="S728">
            <v>0</v>
          </cell>
          <cell r="T728">
            <v>0</v>
          </cell>
          <cell r="U728">
            <v>0</v>
          </cell>
          <cell r="V728">
            <v>1</v>
          </cell>
          <cell r="W728">
            <v>1</v>
          </cell>
          <cell r="X728" t="str">
            <v/>
          </cell>
          <cell r="Y728" t="str">
            <v/>
          </cell>
          <cell r="Z728" t="str">
            <v/>
          </cell>
          <cell r="AA728">
            <v>0</v>
          </cell>
          <cell r="AB728">
            <v>0</v>
          </cell>
          <cell r="AC728">
            <v>0</v>
          </cell>
          <cell r="AD728"/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0.16666666666666666</v>
          </cell>
        </row>
        <row r="729">
          <cell r="A729">
            <v>112008</v>
          </cell>
          <cell r="B729" t="str">
            <v>Sim</v>
          </cell>
          <cell r="C729" t="str">
            <v>Bandeja</v>
          </cell>
          <cell r="D729" t="str">
            <v>SPARE</v>
          </cell>
          <cell r="E729">
            <v>2</v>
          </cell>
          <cell r="F729" t="str">
            <v>Braço Tensor Direita Sem Terminal Uno Fase I 2004 A 2013</v>
          </cell>
          <cell r="G729"/>
          <cell r="H729">
            <v>1</v>
          </cell>
          <cell r="I729">
            <v>0</v>
          </cell>
          <cell r="J729">
            <v>0</v>
          </cell>
          <cell r="K729" t="str">
            <v/>
          </cell>
          <cell r="L729" t="str">
            <v/>
          </cell>
          <cell r="M729">
            <v>0</v>
          </cell>
          <cell r="N729" t="str">
            <v/>
          </cell>
          <cell r="O729">
            <v>0</v>
          </cell>
          <cell r="P729" t="str">
            <v/>
          </cell>
          <cell r="Q729">
            <v>0</v>
          </cell>
          <cell r="R729" t="str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 t="str">
            <v/>
          </cell>
          <cell r="Y729" t="str">
            <v/>
          </cell>
          <cell r="Z729" t="str">
            <v/>
          </cell>
          <cell r="AA729">
            <v>0</v>
          </cell>
          <cell r="AB729">
            <v>0</v>
          </cell>
          <cell r="AC729">
            <v>0</v>
          </cell>
          <cell r="AD729"/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0.16666666666666666</v>
          </cell>
        </row>
        <row r="730">
          <cell r="A730">
            <v>112028</v>
          </cell>
          <cell r="B730" t="str">
            <v>Sim</v>
          </cell>
          <cell r="C730" t="str">
            <v>Bandeja</v>
          </cell>
          <cell r="D730" t="str">
            <v>SPARE</v>
          </cell>
          <cell r="E730">
            <v>2</v>
          </cell>
          <cell r="F730" t="str">
            <v>Bandeja Direita Siena  1997 Á 2001 Sem Pivô</v>
          </cell>
          <cell r="G730"/>
          <cell r="H730">
            <v>0</v>
          </cell>
          <cell r="I730">
            <v>0</v>
          </cell>
          <cell r="J730" t="str">
            <v/>
          </cell>
          <cell r="K730" t="str">
            <v/>
          </cell>
          <cell r="L730" t="str">
            <v/>
          </cell>
          <cell r="M730">
            <v>1</v>
          </cell>
          <cell r="N730">
            <v>1</v>
          </cell>
          <cell r="O730" t="str">
            <v/>
          </cell>
          <cell r="P730" t="str">
            <v/>
          </cell>
          <cell r="Q730">
            <v>0</v>
          </cell>
          <cell r="R730" t="str">
            <v>0</v>
          </cell>
          <cell r="S730" t="str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 t="str">
            <v/>
          </cell>
          <cell r="Y730" t="str">
            <v/>
          </cell>
          <cell r="Z730" t="str">
            <v/>
          </cell>
          <cell r="AA730">
            <v>0</v>
          </cell>
          <cell r="AB730">
            <v>0</v>
          </cell>
          <cell r="AC730">
            <v>0</v>
          </cell>
          <cell r="AD730"/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0.16666666666666666</v>
          </cell>
        </row>
        <row r="731">
          <cell r="A731">
            <v>442125</v>
          </cell>
          <cell r="B731" t="str">
            <v>Sim</v>
          </cell>
          <cell r="C731" t="str">
            <v>Bandeja</v>
          </cell>
          <cell r="D731" t="str">
            <v>SPARE</v>
          </cell>
          <cell r="E731">
            <v>2</v>
          </cell>
          <cell r="F731" t="str">
            <v>Bandeja Inferior Esquerda Jetta 2.0 2.5 2005 A 2010 Com Pivô</v>
          </cell>
          <cell r="G731"/>
          <cell r="H731">
            <v>1</v>
          </cell>
          <cell r="I731">
            <v>0</v>
          </cell>
          <cell r="J731" t="str">
            <v/>
          </cell>
          <cell r="K731" t="str">
            <v/>
          </cell>
          <cell r="L731" t="str">
            <v/>
          </cell>
          <cell r="M731">
            <v>0</v>
          </cell>
          <cell r="N731" t="str">
            <v/>
          </cell>
          <cell r="O731" t="str">
            <v/>
          </cell>
          <cell r="P731" t="str">
            <v/>
          </cell>
          <cell r="Q731">
            <v>0</v>
          </cell>
          <cell r="R731" t="str">
            <v>0</v>
          </cell>
          <cell r="S731" t="str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 t="str">
            <v/>
          </cell>
          <cell r="Y731" t="str">
            <v/>
          </cell>
          <cell r="Z731" t="str">
            <v/>
          </cell>
          <cell r="AA731">
            <v>0</v>
          </cell>
          <cell r="AB731">
            <v>0</v>
          </cell>
          <cell r="AC731">
            <v>0</v>
          </cell>
          <cell r="AD731"/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0.16666666666666666</v>
          </cell>
        </row>
        <row r="732">
          <cell r="A732">
            <v>552034</v>
          </cell>
          <cell r="B732" t="str">
            <v>Sim</v>
          </cell>
          <cell r="C732" t="str">
            <v>Bandeja</v>
          </cell>
          <cell r="D732" t="str">
            <v>SPARE</v>
          </cell>
          <cell r="E732">
            <v>2</v>
          </cell>
          <cell r="F732" t="str">
            <v>Bandeja DIANTEIRA DIREITA CITROEN C5 2001 A 2007 2.0 3.0</v>
          </cell>
          <cell r="G732"/>
          <cell r="H732">
            <v>0</v>
          </cell>
          <cell r="I732">
            <v>0</v>
          </cell>
          <cell r="J732"/>
          <cell r="K732"/>
          <cell r="L732"/>
          <cell r="M732">
            <v>1</v>
          </cell>
          <cell r="N732" t="str">
            <v/>
          </cell>
          <cell r="O732">
            <v>1</v>
          </cell>
          <cell r="P732" t="str">
            <v/>
          </cell>
          <cell r="Q732">
            <v>0</v>
          </cell>
          <cell r="R732" t="str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 t="str">
            <v/>
          </cell>
          <cell r="Y732" t="str">
            <v/>
          </cell>
          <cell r="Z732" t="str">
            <v/>
          </cell>
          <cell r="AA732">
            <v>0</v>
          </cell>
          <cell r="AB732">
            <v>0</v>
          </cell>
          <cell r="AC732">
            <v>0</v>
          </cell>
          <cell r="AD732"/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0.16666666666666666</v>
          </cell>
        </row>
        <row r="733">
          <cell r="A733">
            <v>662051</v>
          </cell>
          <cell r="B733" t="str">
            <v>Sim</v>
          </cell>
          <cell r="C733" t="str">
            <v>Bandeja</v>
          </cell>
          <cell r="D733" t="str">
            <v>SPARE</v>
          </cell>
          <cell r="E733">
            <v>2</v>
          </cell>
          <cell r="F733" t="str">
            <v>Bandeja Dianteira Esquerda Sem Pivô Sandero 2008 A 2014</v>
          </cell>
          <cell r="G733"/>
          <cell r="H733">
            <v>0</v>
          </cell>
          <cell r="I733">
            <v>0</v>
          </cell>
          <cell r="J733">
            <v>0</v>
          </cell>
          <cell r="K733" t="str">
            <v/>
          </cell>
          <cell r="L733" t="str">
            <v/>
          </cell>
          <cell r="M733">
            <v>1</v>
          </cell>
          <cell r="N733">
            <v>1</v>
          </cell>
          <cell r="O733">
            <v>0</v>
          </cell>
          <cell r="P733" t="str">
            <v/>
          </cell>
          <cell r="Q733">
            <v>0</v>
          </cell>
          <cell r="R733" t="str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 t="str">
            <v/>
          </cell>
          <cell r="Y733" t="str">
            <v/>
          </cell>
          <cell r="Z733" t="str">
            <v/>
          </cell>
          <cell r="AA733">
            <v>0</v>
          </cell>
          <cell r="AB733">
            <v>0</v>
          </cell>
          <cell r="AC733">
            <v>0</v>
          </cell>
          <cell r="AD733"/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0.16666666666666666</v>
          </cell>
        </row>
        <row r="734">
          <cell r="A734">
            <v>772028</v>
          </cell>
          <cell r="B734" t="str">
            <v>Sim</v>
          </cell>
          <cell r="C734" t="str">
            <v>Bandeja</v>
          </cell>
          <cell r="D734" t="str">
            <v>SPARE</v>
          </cell>
          <cell r="E734">
            <v>2</v>
          </cell>
          <cell r="F734" t="str">
            <v>Bandeja Inferior Direita Com Pivô Civic 2007 A 2011</v>
          </cell>
          <cell r="G734"/>
          <cell r="H734">
            <v>1</v>
          </cell>
          <cell r="I734">
            <v>0</v>
          </cell>
          <cell r="J734" t="str">
            <v/>
          </cell>
          <cell r="K734" t="str">
            <v/>
          </cell>
          <cell r="L734" t="str">
            <v/>
          </cell>
          <cell r="M734">
            <v>0</v>
          </cell>
          <cell r="N734" t="str">
            <v/>
          </cell>
          <cell r="O734" t="str">
            <v/>
          </cell>
          <cell r="P734" t="str">
            <v/>
          </cell>
          <cell r="Q734">
            <v>0</v>
          </cell>
          <cell r="R734" t="str">
            <v>0</v>
          </cell>
          <cell r="S734" t="str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 t="str">
            <v/>
          </cell>
          <cell r="Y734" t="str">
            <v/>
          </cell>
          <cell r="Z734" t="str">
            <v/>
          </cell>
          <cell r="AA734">
            <v>0</v>
          </cell>
          <cell r="AB734">
            <v>0</v>
          </cell>
          <cell r="AC734">
            <v>0</v>
          </cell>
          <cell r="AD734"/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0.16666666666666666</v>
          </cell>
        </row>
        <row r="735">
          <cell r="A735">
            <v>772088</v>
          </cell>
          <cell r="B735" t="str">
            <v>Sim</v>
          </cell>
          <cell r="C735" t="str">
            <v>Bandeja</v>
          </cell>
          <cell r="D735" t="str">
            <v>SPARE</v>
          </cell>
          <cell r="E735">
            <v>2</v>
          </cell>
          <cell r="F735" t="str">
            <v>Bandeja DIANTEIRA DIREITA SEM PIVÔ MONDEO 1997 A 2000</v>
          </cell>
          <cell r="G735"/>
          <cell r="H735">
            <v>0</v>
          </cell>
          <cell r="I735">
            <v>0</v>
          </cell>
          <cell r="J735"/>
          <cell r="K735"/>
          <cell r="L735"/>
          <cell r="M735">
            <v>1</v>
          </cell>
          <cell r="N735" t="str">
            <v/>
          </cell>
          <cell r="O735">
            <v>1</v>
          </cell>
          <cell r="P735" t="str">
            <v/>
          </cell>
          <cell r="Q735">
            <v>0</v>
          </cell>
          <cell r="R735" t="str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 t="str">
            <v/>
          </cell>
          <cell r="Y735" t="str">
            <v/>
          </cell>
          <cell r="Z735" t="str">
            <v/>
          </cell>
          <cell r="AA735">
            <v>0</v>
          </cell>
          <cell r="AB735">
            <v>0</v>
          </cell>
          <cell r="AC735">
            <v>0</v>
          </cell>
          <cell r="AD735"/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0.16666666666666666</v>
          </cell>
        </row>
        <row r="736">
          <cell r="A736">
            <v>772191</v>
          </cell>
          <cell r="B736" t="str">
            <v>Sim</v>
          </cell>
          <cell r="C736" t="str">
            <v>Bandeja</v>
          </cell>
          <cell r="D736" t="str">
            <v>SPARE</v>
          </cell>
          <cell r="E736">
            <v>2</v>
          </cell>
          <cell r="F736" t="str">
            <v>Bandeja Dianteira Esquerda Topic 1993 A 2022</v>
          </cell>
          <cell r="G736"/>
          <cell r="H736">
            <v>0</v>
          </cell>
          <cell r="I736">
            <v>0</v>
          </cell>
          <cell r="J736"/>
          <cell r="K736"/>
          <cell r="L736"/>
          <cell r="M736">
            <v>1</v>
          </cell>
          <cell r="N736">
            <v>1</v>
          </cell>
          <cell r="O736">
            <v>0</v>
          </cell>
          <cell r="P736" t="str">
            <v/>
          </cell>
          <cell r="Q736">
            <v>0</v>
          </cell>
          <cell r="R736" t="str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 t="str">
            <v/>
          </cell>
          <cell r="Y736" t="str">
            <v/>
          </cell>
          <cell r="Z736" t="str">
            <v/>
          </cell>
          <cell r="AA736">
            <v>0</v>
          </cell>
          <cell r="AB736">
            <v>0</v>
          </cell>
          <cell r="AC736">
            <v>0</v>
          </cell>
          <cell r="AD736"/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0.16666666666666666</v>
          </cell>
        </row>
        <row r="737">
          <cell r="A737">
            <v>993002</v>
          </cell>
          <cell r="B737" t="str">
            <v>Sim</v>
          </cell>
          <cell r="C737" t="str">
            <v>Bandeja</v>
          </cell>
          <cell r="D737" t="str">
            <v>SPARE</v>
          </cell>
          <cell r="E737">
            <v>2</v>
          </cell>
          <cell r="F737" t="str">
            <v>Bandeja INFERIOR DIREITA COM PIVÔ TIGGO 2018 A 2021</v>
          </cell>
          <cell r="G737"/>
          <cell r="H737">
            <v>0</v>
          </cell>
          <cell r="I737">
            <v>0</v>
          </cell>
          <cell r="J737"/>
          <cell r="K737"/>
          <cell r="L737"/>
          <cell r="M737">
            <v>0</v>
          </cell>
          <cell r="N737" t="str">
            <v/>
          </cell>
          <cell r="O737">
            <v>0</v>
          </cell>
          <cell r="P737" t="str">
            <v/>
          </cell>
          <cell r="Q737">
            <v>1</v>
          </cell>
          <cell r="R737">
            <v>1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 t="str">
            <v/>
          </cell>
          <cell r="Y737" t="str">
            <v/>
          </cell>
          <cell r="Z737" t="str">
            <v/>
          </cell>
          <cell r="AA737">
            <v>0</v>
          </cell>
          <cell r="AB737">
            <v>0</v>
          </cell>
          <cell r="AC737">
            <v>0</v>
          </cell>
          <cell r="AD737"/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0.16666666666666666</v>
          </cell>
        </row>
        <row r="738">
          <cell r="A738">
            <v>5426</v>
          </cell>
          <cell r="B738" t="str">
            <v>Sim</v>
          </cell>
          <cell r="C738" t="str">
            <v>Bieleta</v>
          </cell>
          <cell r="D738" t="str">
            <v>HOLYMAN</v>
          </cell>
          <cell r="E738">
            <v>5</v>
          </cell>
          <cell r="F738" t="str">
            <v>Bieleta Dianteira Esquerda Hrv 2016 A 2021</v>
          </cell>
          <cell r="G738"/>
          <cell r="H738">
            <v>0</v>
          </cell>
          <cell r="I738">
            <v>0</v>
          </cell>
          <cell r="J738">
            <v>0</v>
          </cell>
          <cell r="K738" t="str">
            <v/>
          </cell>
          <cell r="L738" t="str">
            <v/>
          </cell>
          <cell r="M738">
            <v>1</v>
          </cell>
          <cell r="N738">
            <v>1</v>
          </cell>
          <cell r="O738">
            <v>0</v>
          </cell>
          <cell r="P738" t="str">
            <v/>
          </cell>
          <cell r="Q738">
            <v>0</v>
          </cell>
          <cell r="R738" t="str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 t="str">
            <v/>
          </cell>
          <cell r="Y738" t="str">
            <v/>
          </cell>
          <cell r="Z738" t="str">
            <v/>
          </cell>
          <cell r="AA738">
            <v>0</v>
          </cell>
          <cell r="AB738">
            <v>0</v>
          </cell>
          <cell r="AC738">
            <v>0</v>
          </cell>
          <cell r="AD738"/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0.16666666666666666</v>
          </cell>
        </row>
        <row r="739">
          <cell r="A739">
            <v>5909</v>
          </cell>
          <cell r="B739"/>
          <cell r="C739" t="str">
            <v>Bieleta</v>
          </cell>
          <cell r="D739" t="str">
            <v>HOLYMAN</v>
          </cell>
          <cell r="E739">
            <v>5</v>
          </cell>
          <cell r="F739" t="str">
            <v>BIELETA DIANT. DIR. PAJERO FULL 98/07</v>
          </cell>
          <cell r="G739"/>
          <cell r="H739">
            <v>0</v>
          </cell>
          <cell r="I739">
            <v>0</v>
          </cell>
          <cell r="J739"/>
          <cell r="K739"/>
          <cell r="L739"/>
          <cell r="M739">
            <v>0</v>
          </cell>
          <cell r="N739" t="str">
            <v/>
          </cell>
          <cell r="O739">
            <v>0</v>
          </cell>
          <cell r="P739" t="str">
            <v/>
          </cell>
          <cell r="Q739">
            <v>0</v>
          </cell>
          <cell r="R739" t="str">
            <v>0</v>
          </cell>
          <cell r="S739">
            <v>0</v>
          </cell>
          <cell r="T739">
            <v>0</v>
          </cell>
          <cell r="U739">
            <v>0</v>
          </cell>
          <cell r="V739">
            <v>1</v>
          </cell>
          <cell r="W739">
            <v>1</v>
          </cell>
          <cell r="X739" t="str">
            <v/>
          </cell>
          <cell r="Y739" t="str">
            <v/>
          </cell>
          <cell r="Z739" t="str">
            <v/>
          </cell>
          <cell r="AA739">
            <v>0</v>
          </cell>
          <cell r="AB739">
            <v>0</v>
          </cell>
          <cell r="AC739">
            <v>0</v>
          </cell>
          <cell r="AD739"/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0.16666666666666666</v>
          </cell>
        </row>
        <row r="740">
          <cell r="A740">
            <v>5914</v>
          </cell>
          <cell r="B740" t="str">
            <v>Sim</v>
          </cell>
          <cell r="C740" t="str">
            <v>Bieleta</v>
          </cell>
          <cell r="D740" t="str">
            <v>HOLYMAN</v>
          </cell>
          <cell r="E740">
            <v>5</v>
          </cell>
          <cell r="F740" t="str">
            <v>Bieleta Dianteira Esquerda L200 Triton 4x4 2007 A 2013</v>
          </cell>
          <cell r="G740"/>
          <cell r="H740">
            <v>0</v>
          </cell>
          <cell r="I740">
            <v>0</v>
          </cell>
          <cell r="J740">
            <v>0</v>
          </cell>
          <cell r="K740" t="str">
            <v/>
          </cell>
          <cell r="L740" t="str">
            <v/>
          </cell>
          <cell r="M740">
            <v>1</v>
          </cell>
          <cell r="N740">
            <v>1</v>
          </cell>
          <cell r="O740">
            <v>0</v>
          </cell>
          <cell r="P740" t="str">
            <v/>
          </cell>
          <cell r="Q740">
            <v>0</v>
          </cell>
          <cell r="R740" t="str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 t="str">
            <v/>
          </cell>
          <cell r="Y740" t="str">
            <v/>
          </cell>
          <cell r="Z740" t="str">
            <v/>
          </cell>
          <cell r="AA740">
            <v>0</v>
          </cell>
          <cell r="AB740">
            <v>0</v>
          </cell>
          <cell r="AC740">
            <v>0</v>
          </cell>
          <cell r="AD740"/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0.16666666666666666</v>
          </cell>
        </row>
        <row r="741">
          <cell r="A741">
            <v>6316</v>
          </cell>
          <cell r="B741" t="str">
            <v>Sim</v>
          </cell>
          <cell r="C741" t="str">
            <v>Bieleta</v>
          </cell>
          <cell r="D741" t="str">
            <v>HOLYMAN</v>
          </cell>
          <cell r="E741">
            <v>5</v>
          </cell>
          <cell r="F741" t="str">
            <v>Bieleta Dianteira Ambos Lados Hb20s 2012 A 2020</v>
          </cell>
          <cell r="G741"/>
          <cell r="H741">
            <v>0</v>
          </cell>
          <cell r="I741">
            <v>0</v>
          </cell>
          <cell r="J741"/>
          <cell r="K741"/>
          <cell r="L741"/>
          <cell r="M741">
            <v>1</v>
          </cell>
          <cell r="N741">
            <v>1</v>
          </cell>
          <cell r="O741">
            <v>0</v>
          </cell>
          <cell r="P741" t="str">
            <v/>
          </cell>
          <cell r="Q741">
            <v>0</v>
          </cell>
          <cell r="R741" t="str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 t="str">
            <v/>
          </cell>
          <cell r="Y741" t="str">
            <v/>
          </cell>
          <cell r="Z741" t="str">
            <v/>
          </cell>
          <cell r="AA741">
            <v>0</v>
          </cell>
          <cell r="AB741">
            <v>0</v>
          </cell>
          <cell r="AC741">
            <v>0</v>
          </cell>
          <cell r="AD741"/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0.16666666666666666</v>
          </cell>
        </row>
        <row r="742">
          <cell r="A742">
            <v>6509</v>
          </cell>
          <cell r="B742"/>
          <cell r="C742" t="str">
            <v>Bieleta</v>
          </cell>
          <cell r="D742" t="str">
            <v>HOLYMAN</v>
          </cell>
          <cell r="E742">
            <v>5</v>
          </cell>
          <cell r="F742" t="str">
            <v>Bieleta Traseira Direita Mercedes E300 2008 A 2014</v>
          </cell>
          <cell r="G742"/>
          <cell r="H742">
            <v>0</v>
          </cell>
          <cell r="I742">
            <v>0</v>
          </cell>
          <cell r="J742">
            <v>0</v>
          </cell>
          <cell r="K742" t="str">
            <v/>
          </cell>
          <cell r="L742" t="str">
            <v/>
          </cell>
          <cell r="M742">
            <v>1</v>
          </cell>
          <cell r="N742" t="str">
            <v/>
          </cell>
          <cell r="O742">
            <v>1</v>
          </cell>
          <cell r="P742" t="str">
            <v/>
          </cell>
          <cell r="Q742">
            <v>0</v>
          </cell>
          <cell r="R742" t="str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 t="str">
            <v/>
          </cell>
          <cell r="Y742" t="str">
            <v/>
          </cell>
          <cell r="Z742" t="str">
            <v/>
          </cell>
          <cell r="AA742">
            <v>0</v>
          </cell>
          <cell r="AB742">
            <v>0</v>
          </cell>
          <cell r="AC742">
            <v>0</v>
          </cell>
          <cell r="AD742"/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0.16666666666666666</v>
          </cell>
        </row>
        <row r="743">
          <cell r="A743">
            <v>6510</v>
          </cell>
          <cell r="B743"/>
          <cell r="C743" t="str">
            <v>Bieleta</v>
          </cell>
          <cell r="D743" t="str">
            <v>HOLYMAN</v>
          </cell>
          <cell r="E743">
            <v>5</v>
          </cell>
          <cell r="F743" t="str">
            <v>Bieleta Traseira Esquerda Mercedes C230 2008 A 2014</v>
          </cell>
          <cell r="G743"/>
          <cell r="H743">
            <v>0</v>
          </cell>
          <cell r="I743">
            <v>0</v>
          </cell>
          <cell r="J743">
            <v>0</v>
          </cell>
          <cell r="K743" t="str">
            <v/>
          </cell>
          <cell r="L743" t="str">
            <v/>
          </cell>
          <cell r="M743">
            <v>1</v>
          </cell>
          <cell r="N743" t="str">
            <v/>
          </cell>
          <cell r="O743">
            <v>1</v>
          </cell>
          <cell r="P743" t="str">
            <v/>
          </cell>
          <cell r="Q743">
            <v>0</v>
          </cell>
          <cell r="R743" t="str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 t="str">
            <v/>
          </cell>
          <cell r="Y743" t="str">
            <v/>
          </cell>
          <cell r="Z743" t="str">
            <v/>
          </cell>
          <cell r="AA743">
            <v>0</v>
          </cell>
          <cell r="AB743">
            <v>0</v>
          </cell>
          <cell r="AC743">
            <v>0</v>
          </cell>
          <cell r="AD743"/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0.16666666666666666</v>
          </cell>
        </row>
        <row r="744">
          <cell r="A744">
            <v>10136</v>
          </cell>
          <cell r="B744" t="str">
            <v>Sim</v>
          </cell>
          <cell r="C744" t="str">
            <v>Bomba Combustível</v>
          </cell>
          <cell r="D744" t="str">
            <v>POLO</v>
          </cell>
          <cell r="E744">
            <v>7</v>
          </cell>
          <cell r="F744" t="str">
            <v>Bomba Combustível Flex Universal Sistema Bosch 12 Bar</v>
          </cell>
          <cell r="G744"/>
          <cell r="H744">
            <v>0</v>
          </cell>
          <cell r="I744">
            <v>0</v>
          </cell>
          <cell r="J744" t="str">
            <v/>
          </cell>
          <cell r="K744" t="str">
            <v/>
          </cell>
          <cell r="L744" t="str">
            <v/>
          </cell>
          <cell r="M744">
            <v>1</v>
          </cell>
          <cell r="N744">
            <v>1</v>
          </cell>
          <cell r="O744" t="str">
            <v/>
          </cell>
          <cell r="P744" t="str">
            <v/>
          </cell>
          <cell r="Q744">
            <v>0</v>
          </cell>
          <cell r="R744" t="str">
            <v>0</v>
          </cell>
          <cell r="S744" t="str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 t="str">
            <v/>
          </cell>
          <cell r="Y744" t="str">
            <v/>
          </cell>
          <cell r="Z744" t="str">
            <v/>
          </cell>
          <cell r="AA744">
            <v>0</v>
          </cell>
          <cell r="AB744">
            <v>0</v>
          </cell>
          <cell r="AC744">
            <v>0</v>
          </cell>
          <cell r="AD744"/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0.16666666666666666</v>
          </cell>
        </row>
        <row r="745">
          <cell r="A745" t="str">
            <v>FTK66000-MB</v>
          </cell>
          <cell r="B745"/>
          <cell r="C745" t="str">
            <v>Bucha Bandeja</v>
          </cell>
          <cell r="D745" t="str">
            <v>MOBENSANI</v>
          </cell>
          <cell r="E745">
            <v>10</v>
          </cell>
          <cell r="F745" t="str">
            <v>Bucha Dianteira Da Bandeja Dianteira Fit 2009 A 2014</v>
          </cell>
          <cell r="G745"/>
          <cell r="H745">
            <v>0</v>
          </cell>
          <cell r="I745">
            <v>1</v>
          </cell>
          <cell r="J745">
            <v>1</v>
          </cell>
          <cell r="K745" t="str">
            <v/>
          </cell>
          <cell r="L745" t="str">
            <v/>
          </cell>
          <cell r="M745">
            <v>0</v>
          </cell>
          <cell r="N745" t="str">
            <v/>
          </cell>
          <cell r="O745">
            <v>0</v>
          </cell>
          <cell r="P745" t="str">
            <v/>
          </cell>
          <cell r="Q745">
            <v>0</v>
          </cell>
          <cell r="R745" t="str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 t="str">
            <v/>
          </cell>
          <cell r="Y745" t="str">
            <v/>
          </cell>
          <cell r="Z745" t="str">
            <v/>
          </cell>
          <cell r="AA745">
            <v>0</v>
          </cell>
          <cell r="AB745">
            <v>0</v>
          </cell>
          <cell r="AC745">
            <v>0</v>
          </cell>
          <cell r="AD745"/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0.16666666666666666</v>
          </cell>
        </row>
        <row r="746">
          <cell r="A746" t="str">
            <v>FTK66001-MB</v>
          </cell>
          <cell r="B746"/>
          <cell r="C746" t="str">
            <v>Bucha Bandeja</v>
          </cell>
          <cell r="D746" t="str">
            <v>MOBENSANI</v>
          </cell>
          <cell r="E746">
            <v>10</v>
          </cell>
          <cell r="F746" t="str">
            <v>Bucha Traseira Da Bandeja Suspensão Dianteira Fit 2009 A 14</v>
          </cell>
          <cell r="G746"/>
          <cell r="H746">
            <v>0</v>
          </cell>
          <cell r="I746">
            <v>1</v>
          </cell>
          <cell r="J746">
            <v>1</v>
          </cell>
          <cell r="K746" t="str">
            <v/>
          </cell>
          <cell r="L746" t="str">
            <v/>
          </cell>
          <cell r="M746">
            <v>0</v>
          </cell>
          <cell r="N746" t="str">
            <v/>
          </cell>
          <cell r="O746">
            <v>0</v>
          </cell>
          <cell r="P746" t="str">
            <v/>
          </cell>
          <cell r="Q746">
            <v>0</v>
          </cell>
          <cell r="R746" t="str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 t="str">
            <v/>
          </cell>
          <cell r="Y746" t="str">
            <v/>
          </cell>
          <cell r="Z746" t="str">
            <v/>
          </cell>
          <cell r="AA746">
            <v>0</v>
          </cell>
          <cell r="AB746">
            <v>0</v>
          </cell>
          <cell r="AC746">
            <v>0</v>
          </cell>
          <cell r="AD746"/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0.16666666666666666</v>
          </cell>
        </row>
        <row r="747">
          <cell r="A747" t="str">
            <v>FTK66029-MB</v>
          </cell>
          <cell r="B747"/>
          <cell r="C747" t="str">
            <v>Bucha Bandeja</v>
          </cell>
          <cell r="D747" t="str">
            <v>MOBENSANI</v>
          </cell>
          <cell r="E747">
            <v>10</v>
          </cell>
          <cell r="F747" t="str">
            <v>Bucha Dianteira Da Bandeja Dianteira Crv 2007 A 2012</v>
          </cell>
          <cell r="G747"/>
          <cell r="H747">
            <v>0</v>
          </cell>
          <cell r="I747">
            <v>0</v>
          </cell>
          <cell r="J747">
            <v>0</v>
          </cell>
          <cell r="K747" t="str">
            <v/>
          </cell>
          <cell r="L747" t="str">
            <v/>
          </cell>
          <cell r="M747">
            <v>0</v>
          </cell>
          <cell r="N747" t="str">
            <v/>
          </cell>
          <cell r="O747">
            <v>0</v>
          </cell>
          <cell r="P747" t="str">
            <v/>
          </cell>
          <cell r="Q747">
            <v>1</v>
          </cell>
          <cell r="R747" t="str">
            <v>0</v>
          </cell>
          <cell r="S747">
            <v>1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 t="str">
            <v/>
          </cell>
          <cell r="Y747" t="str">
            <v/>
          </cell>
          <cell r="Z747" t="str">
            <v/>
          </cell>
          <cell r="AA747">
            <v>0</v>
          </cell>
          <cell r="AB747">
            <v>0</v>
          </cell>
          <cell r="AC747">
            <v>0</v>
          </cell>
          <cell r="AD747"/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0.16666666666666666</v>
          </cell>
        </row>
        <row r="748">
          <cell r="A748" t="str">
            <v>FTK66039-MB</v>
          </cell>
          <cell r="B748"/>
          <cell r="C748" t="str">
            <v>Bucha Bandeja</v>
          </cell>
          <cell r="D748" t="str">
            <v>MOBENSANI</v>
          </cell>
          <cell r="E748">
            <v>10</v>
          </cell>
          <cell r="F748" t="str">
            <v>Bucha Traseira Da Bandeja Dianteira Crv 2007 A 2012</v>
          </cell>
          <cell r="G748"/>
          <cell r="H748">
            <v>0</v>
          </cell>
          <cell r="I748">
            <v>0</v>
          </cell>
          <cell r="J748">
            <v>0</v>
          </cell>
          <cell r="K748" t="str">
            <v/>
          </cell>
          <cell r="L748" t="str">
            <v/>
          </cell>
          <cell r="M748">
            <v>0</v>
          </cell>
          <cell r="N748" t="str">
            <v/>
          </cell>
          <cell r="O748">
            <v>0</v>
          </cell>
          <cell r="P748" t="str">
            <v/>
          </cell>
          <cell r="Q748">
            <v>1</v>
          </cell>
          <cell r="R748" t="str">
            <v>0</v>
          </cell>
          <cell r="S748">
            <v>1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 t="str">
            <v/>
          </cell>
          <cell r="Y748" t="str">
            <v/>
          </cell>
          <cell r="Z748" t="str">
            <v/>
          </cell>
          <cell r="AA748">
            <v>0</v>
          </cell>
          <cell r="AB748">
            <v>0</v>
          </cell>
          <cell r="AC748">
            <v>0</v>
          </cell>
          <cell r="AD748"/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0.16666666666666666</v>
          </cell>
        </row>
        <row r="749">
          <cell r="A749" t="str">
            <v>FTK77014-MB</v>
          </cell>
          <cell r="B749"/>
          <cell r="C749" t="str">
            <v>Bucha Bandeja</v>
          </cell>
          <cell r="D749" t="str">
            <v>MOBENSANI</v>
          </cell>
          <cell r="E749">
            <v>10</v>
          </cell>
          <cell r="F749" t="str">
            <v>Bucha Traseira Da Bandeja Dianteira Sentra 2008 Em Diante</v>
          </cell>
          <cell r="G749"/>
          <cell r="H749">
            <v>1</v>
          </cell>
          <cell r="I749">
            <v>0</v>
          </cell>
          <cell r="J749">
            <v>0</v>
          </cell>
          <cell r="K749" t="str">
            <v/>
          </cell>
          <cell r="L749" t="str">
            <v/>
          </cell>
          <cell r="M749">
            <v>0</v>
          </cell>
          <cell r="N749" t="str">
            <v/>
          </cell>
          <cell r="O749">
            <v>0</v>
          </cell>
          <cell r="P749" t="str">
            <v/>
          </cell>
          <cell r="Q749">
            <v>0</v>
          </cell>
          <cell r="R749" t="str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 t="str">
            <v/>
          </cell>
          <cell r="Y749" t="str">
            <v/>
          </cell>
          <cell r="Z749" t="str">
            <v/>
          </cell>
          <cell r="AA749">
            <v>0</v>
          </cell>
          <cell r="AB749">
            <v>0</v>
          </cell>
          <cell r="AC749">
            <v>0</v>
          </cell>
          <cell r="AD749"/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0.16666666666666666</v>
          </cell>
        </row>
        <row r="750">
          <cell r="A750" t="str">
            <v>FTK7740-MB</v>
          </cell>
          <cell r="B750"/>
          <cell r="C750" t="str">
            <v>Bucha Bandeja</v>
          </cell>
          <cell r="D750" t="str">
            <v>MOBENSANI</v>
          </cell>
          <cell r="E750">
            <v>10</v>
          </cell>
          <cell r="F750" t="str">
            <v>Bucha Central Da Bandeja Dianteira Corolla 1992 A 2002</v>
          </cell>
          <cell r="G750"/>
          <cell r="H750">
            <v>0</v>
          </cell>
          <cell r="I750">
            <v>0</v>
          </cell>
          <cell r="J750">
            <v>0</v>
          </cell>
          <cell r="K750" t="str">
            <v/>
          </cell>
          <cell r="L750" t="str">
            <v/>
          </cell>
          <cell r="M750">
            <v>0</v>
          </cell>
          <cell r="N750" t="str">
            <v/>
          </cell>
          <cell r="O750">
            <v>0</v>
          </cell>
          <cell r="P750" t="str">
            <v/>
          </cell>
          <cell r="Q750">
            <v>1</v>
          </cell>
          <cell r="R750">
            <v>1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 t="str">
            <v/>
          </cell>
          <cell r="Y750" t="str">
            <v/>
          </cell>
          <cell r="Z750" t="str">
            <v/>
          </cell>
          <cell r="AA750">
            <v>0</v>
          </cell>
          <cell r="AB750">
            <v>0</v>
          </cell>
          <cell r="AC750">
            <v>0</v>
          </cell>
          <cell r="AD750"/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0.16666666666666666</v>
          </cell>
        </row>
        <row r="751">
          <cell r="A751">
            <v>771202</v>
          </cell>
          <cell r="B751"/>
          <cell r="C751" t="str">
            <v>Cabo de Capô</v>
          </cell>
          <cell r="D751" t="str">
            <v>MundiFlex</v>
          </cell>
          <cell r="E751">
            <v>6</v>
          </cell>
          <cell r="F751" t="str">
            <v>Cabo Capô Sem Alavanca L200 Glx Outdoor Savana 2015 Diante</v>
          </cell>
          <cell r="G751"/>
          <cell r="H751">
            <v>1</v>
          </cell>
          <cell r="I751">
            <v>0</v>
          </cell>
          <cell r="J751" t="str">
            <v/>
          </cell>
          <cell r="K751" t="str">
            <v/>
          </cell>
          <cell r="L751" t="str">
            <v/>
          </cell>
          <cell r="M751">
            <v>0</v>
          </cell>
          <cell r="N751" t="str">
            <v/>
          </cell>
          <cell r="O751" t="str">
            <v/>
          </cell>
          <cell r="P751" t="str">
            <v/>
          </cell>
          <cell r="Q751">
            <v>0</v>
          </cell>
          <cell r="R751" t="str">
            <v>0</v>
          </cell>
          <cell r="S751" t="str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 t="str">
            <v/>
          </cell>
          <cell r="Y751" t="str">
            <v/>
          </cell>
          <cell r="Z751" t="str">
            <v/>
          </cell>
          <cell r="AA751">
            <v>0</v>
          </cell>
          <cell r="AB751">
            <v>0</v>
          </cell>
          <cell r="AC751">
            <v>0</v>
          </cell>
          <cell r="AD751"/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0.16666666666666666</v>
          </cell>
        </row>
        <row r="752">
          <cell r="A752">
            <v>55006</v>
          </cell>
          <cell r="B752"/>
          <cell r="C752" t="str">
            <v>Cabo Embreagem</v>
          </cell>
          <cell r="D752" t="str">
            <v>MundiFlex</v>
          </cell>
          <cell r="E752">
            <v>6</v>
          </cell>
          <cell r="F752" t="str">
            <v>Cabo De Embreagem Fusca 1300 1500 1600 De 1968 Em Diante</v>
          </cell>
          <cell r="G752"/>
          <cell r="H752">
            <v>0</v>
          </cell>
          <cell r="I752">
            <v>0</v>
          </cell>
          <cell r="J752" t="str">
            <v/>
          </cell>
          <cell r="K752" t="str">
            <v/>
          </cell>
          <cell r="L752" t="str">
            <v/>
          </cell>
          <cell r="M752">
            <v>0</v>
          </cell>
          <cell r="N752" t="str">
            <v/>
          </cell>
          <cell r="O752" t="str">
            <v/>
          </cell>
          <cell r="P752" t="str">
            <v/>
          </cell>
          <cell r="Q752">
            <v>0</v>
          </cell>
          <cell r="R752" t="str">
            <v>0</v>
          </cell>
          <cell r="S752" t="str">
            <v>0</v>
          </cell>
          <cell r="T752">
            <v>0</v>
          </cell>
          <cell r="U752">
            <v>0</v>
          </cell>
          <cell r="V752">
            <v>1</v>
          </cell>
          <cell r="W752">
            <v>1</v>
          </cell>
          <cell r="X752" t="str">
            <v/>
          </cell>
          <cell r="Y752" t="str">
            <v/>
          </cell>
          <cell r="Z752" t="str">
            <v/>
          </cell>
          <cell r="AA752">
            <v>0</v>
          </cell>
          <cell r="AB752">
            <v>0</v>
          </cell>
          <cell r="AC752">
            <v>0</v>
          </cell>
          <cell r="AD752"/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0.16666666666666666</v>
          </cell>
        </row>
        <row r="753">
          <cell r="A753">
            <v>55026</v>
          </cell>
          <cell r="B753"/>
          <cell r="C753" t="str">
            <v>Cabo Embreagem</v>
          </cell>
          <cell r="D753" t="str">
            <v>MundiFlex</v>
          </cell>
          <cell r="E753">
            <v>6</v>
          </cell>
          <cell r="F753" t="str">
            <v>Cabo De Embreagem Kombi Std 1996 A 2005</v>
          </cell>
          <cell r="G753"/>
          <cell r="H753">
            <v>0</v>
          </cell>
          <cell r="I753">
            <v>0</v>
          </cell>
          <cell r="J753" t="str">
            <v/>
          </cell>
          <cell r="K753" t="str">
            <v/>
          </cell>
          <cell r="L753" t="str">
            <v/>
          </cell>
          <cell r="M753">
            <v>0</v>
          </cell>
          <cell r="N753" t="str">
            <v/>
          </cell>
          <cell r="O753" t="str">
            <v/>
          </cell>
          <cell r="P753" t="str">
            <v/>
          </cell>
          <cell r="Q753">
            <v>0</v>
          </cell>
          <cell r="R753" t="str">
            <v>0</v>
          </cell>
          <cell r="S753" t="str">
            <v>0</v>
          </cell>
          <cell r="T753">
            <v>0</v>
          </cell>
          <cell r="U753">
            <v>0</v>
          </cell>
          <cell r="V753">
            <v>1</v>
          </cell>
          <cell r="W753">
            <v>1</v>
          </cell>
          <cell r="X753" t="str">
            <v/>
          </cell>
          <cell r="Y753" t="str">
            <v/>
          </cell>
          <cell r="Z753" t="str">
            <v/>
          </cell>
          <cell r="AA753">
            <v>0</v>
          </cell>
          <cell r="AB753">
            <v>0</v>
          </cell>
          <cell r="AC753">
            <v>0</v>
          </cell>
          <cell r="AD753"/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0.16666666666666666</v>
          </cell>
        </row>
        <row r="754">
          <cell r="A754">
            <v>66516</v>
          </cell>
          <cell r="B754"/>
          <cell r="C754" t="str">
            <v>Cabo limitador tampa traseira</v>
          </cell>
          <cell r="D754" t="str">
            <v>MundiFlex</v>
          </cell>
          <cell r="E754">
            <v>6</v>
          </cell>
          <cell r="F754" t="str">
            <v>Cabo Limitador Da Tampa Traseira Strada Fase 3 2008 A 2012</v>
          </cell>
          <cell r="G754"/>
          <cell r="H754">
            <v>1</v>
          </cell>
          <cell r="I754">
            <v>0</v>
          </cell>
          <cell r="J754">
            <v>0</v>
          </cell>
          <cell r="K754" t="str">
            <v/>
          </cell>
          <cell r="L754" t="str">
            <v/>
          </cell>
          <cell r="M754">
            <v>0</v>
          </cell>
          <cell r="N754" t="str">
            <v/>
          </cell>
          <cell r="O754">
            <v>0</v>
          </cell>
          <cell r="P754" t="str">
            <v/>
          </cell>
          <cell r="Q754">
            <v>0</v>
          </cell>
          <cell r="R754" t="str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 t="str">
            <v/>
          </cell>
          <cell r="Y754" t="str">
            <v/>
          </cell>
          <cell r="Z754" t="str">
            <v/>
          </cell>
          <cell r="AA754">
            <v>0</v>
          </cell>
          <cell r="AB754">
            <v>0</v>
          </cell>
          <cell r="AC754">
            <v>0</v>
          </cell>
          <cell r="AD754"/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0.16666666666666666</v>
          </cell>
        </row>
        <row r="755">
          <cell r="A755">
            <v>4009</v>
          </cell>
          <cell r="B755" t="str">
            <v>Sim</v>
          </cell>
          <cell r="C755" t="str">
            <v>Capa Pedal</v>
          </cell>
          <cell r="D755" t="str">
            <v>HOLYMAN</v>
          </cell>
          <cell r="E755">
            <v>5</v>
          </cell>
          <cell r="F755" t="str">
            <v>Capa De Pedal Freio Embreagem Del Rey</v>
          </cell>
          <cell r="G755"/>
          <cell r="H755">
            <v>0</v>
          </cell>
          <cell r="I755">
            <v>0</v>
          </cell>
          <cell r="J755"/>
          <cell r="K755"/>
          <cell r="L755"/>
          <cell r="M755">
            <v>1</v>
          </cell>
          <cell r="N755">
            <v>1</v>
          </cell>
          <cell r="O755" t="str">
            <v/>
          </cell>
          <cell r="P755" t="str">
            <v/>
          </cell>
          <cell r="Q755">
            <v>0</v>
          </cell>
          <cell r="R755" t="str">
            <v>0</v>
          </cell>
          <cell r="S755" t="str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 t="str">
            <v/>
          </cell>
          <cell r="Y755" t="str">
            <v/>
          </cell>
          <cell r="Z755" t="str">
            <v/>
          </cell>
          <cell r="AA755">
            <v>0</v>
          </cell>
          <cell r="AB755">
            <v>0</v>
          </cell>
          <cell r="AC755">
            <v>0</v>
          </cell>
          <cell r="AD755"/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0.16666666666666666</v>
          </cell>
        </row>
        <row r="756">
          <cell r="A756">
            <v>4018</v>
          </cell>
          <cell r="B756"/>
          <cell r="C756" t="str">
            <v>Capa Pedal</v>
          </cell>
          <cell r="D756" t="str">
            <v>HOLYMAN</v>
          </cell>
          <cell r="E756">
            <v>5</v>
          </cell>
          <cell r="F756" t="str">
            <v>Capa De Pedal Freio Embreagem Acelerador Fusca Até 1975</v>
          </cell>
          <cell r="G756"/>
          <cell r="H756">
            <v>0</v>
          </cell>
          <cell r="I756">
            <v>0</v>
          </cell>
          <cell r="J756"/>
          <cell r="K756">
            <v>1</v>
          </cell>
          <cell r="L756"/>
          <cell r="M756">
            <v>0</v>
          </cell>
          <cell r="N756" t="str">
            <v/>
          </cell>
          <cell r="O756" t="str">
            <v/>
          </cell>
          <cell r="P756" t="str">
            <v/>
          </cell>
          <cell r="Q756">
            <v>0</v>
          </cell>
          <cell r="R756" t="str">
            <v>0</v>
          </cell>
          <cell r="S756" t="str">
            <v>0</v>
          </cell>
          <cell r="T756">
            <v>0</v>
          </cell>
          <cell r="U756">
            <v>0</v>
          </cell>
          <cell r="V756">
            <v>1</v>
          </cell>
          <cell r="W756">
            <v>1</v>
          </cell>
          <cell r="X756" t="str">
            <v/>
          </cell>
          <cell r="Y756" t="str">
            <v/>
          </cell>
          <cell r="Z756" t="str">
            <v/>
          </cell>
          <cell r="AA756">
            <v>0</v>
          </cell>
          <cell r="AB756">
            <v>0</v>
          </cell>
          <cell r="AC756">
            <v>0</v>
          </cell>
          <cell r="AD756"/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0.16666666666666666</v>
          </cell>
        </row>
        <row r="757">
          <cell r="A757">
            <v>4056</v>
          </cell>
          <cell r="B757" t="str">
            <v>Sim</v>
          </cell>
          <cell r="C757" t="str">
            <v>Capa Pedal</v>
          </cell>
          <cell r="D757" t="str">
            <v>HOLYMAN</v>
          </cell>
          <cell r="E757">
            <v>5</v>
          </cell>
          <cell r="F757" t="str">
            <v>Capa De Pedal Freio Embreagem Mercedes 180 D</v>
          </cell>
          <cell r="G757"/>
          <cell r="H757">
            <v>0</v>
          </cell>
          <cell r="I757">
            <v>0</v>
          </cell>
          <cell r="J757"/>
          <cell r="K757"/>
          <cell r="L757"/>
          <cell r="M757">
            <v>1</v>
          </cell>
          <cell r="N757">
            <v>1</v>
          </cell>
          <cell r="O757" t="str">
            <v/>
          </cell>
          <cell r="P757" t="str">
            <v/>
          </cell>
          <cell r="Q757">
            <v>0</v>
          </cell>
          <cell r="R757" t="str">
            <v>0</v>
          </cell>
          <cell r="S757" t="str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 t="str">
            <v/>
          </cell>
          <cell r="Y757" t="str">
            <v/>
          </cell>
          <cell r="Z757" t="str">
            <v/>
          </cell>
          <cell r="AA757">
            <v>0</v>
          </cell>
          <cell r="AB757">
            <v>0</v>
          </cell>
          <cell r="AC757">
            <v>0</v>
          </cell>
          <cell r="AD757"/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0.16666666666666666</v>
          </cell>
        </row>
        <row r="758">
          <cell r="A758" t="str">
            <v>4017C</v>
          </cell>
          <cell r="B758"/>
          <cell r="C758" t="str">
            <v>Capa Pedal</v>
          </cell>
          <cell r="D758" t="str">
            <v>HOLYMAN</v>
          </cell>
          <cell r="E758">
            <v>5</v>
          </cell>
          <cell r="F758" t="str">
            <v>Kit Capa Pedal Acelerador Freio Embregaem Brasília</v>
          </cell>
          <cell r="G758"/>
          <cell r="H758">
            <v>1</v>
          </cell>
          <cell r="I758">
            <v>0</v>
          </cell>
          <cell r="J758" t="str">
            <v/>
          </cell>
          <cell r="K758" t="str">
            <v/>
          </cell>
          <cell r="L758" t="str">
            <v/>
          </cell>
          <cell r="M758">
            <v>0</v>
          </cell>
          <cell r="N758" t="str">
            <v/>
          </cell>
          <cell r="O758" t="str">
            <v/>
          </cell>
          <cell r="P758" t="str">
            <v/>
          </cell>
          <cell r="Q758">
            <v>0</v>
          </cell>
          <cell r="R758" t="str">
            <v>0</v>
          </cell>
          <cell r="S758" t="str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 t="str">
            <v/>
          </cell>
          <cell r="Y758" t="str">
            <v/>
          </cell>
          <cell r="Z758" t="str">
            <v/>
          </cell>
          <cell r="AA758">
            <v>0</v>
          </cell>
          <cell r="AB758">
            <v>0</v>
          </cell>
          <cell r="AC758">
            <v>0</v>
          </cell>
          <cell r="AD758"/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0.16666666666666666</v>
          </cell>
        </row>
        <row r="759">
          <cell r="A759">
            <v>60039</v>
          </cell>
          <cell r="B759" t="str">
            <v>Sim</v>
          </cell>
          <cell r="C759" t="str">
            <v>Coxim Câmbio</v>
          </cell>
          <cell r="D759" t="str">
            <v>LT CORREA</v>
          </cell>
          <cell r="E759">
            <v>3</v>
          </cell>
          <cell r="F759" t="str">
            <v>Suporte Coxim Câmbio Clio 2003 Em Diante</v>
          </cell>
          <cell r="G759"/>
          <cell r="H759">
            <v>1</v>
          </cell>
          <cell r="I759">
            <v>0</v>
          </cell>
          <cell r="J759" t="str">
            <v/>
          </cell>
          <cell r="K759" t="str">
            <v/>
          </cell>
          <cell r="L759" t="str">
            <v/>
          </cell>
          <cell r="M759">
            <v>0</v>
          </cell>
          <cell r="N759" t="str">
            <v/>
          </cell>
          <cell r="O759" t="str">
            <v/>
          </cell>
          <cell r="P759" t="str">
            <v/>
          </cell>
          <cell r="Q759">
            <v>0</v>
          </cell>
          <cell r="R759" t="str">
            <v>0</v>
          </cell>
          <cell r="S759" t="str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 t="str">
            <v/>
          </cell>
          <cell r="Y759" t="str">
            <v/>
          </cell>
          <cell r="Z759" t="str">
            <v/>
          </cell>
          <cell r="AA759">
            <v>0</v>
          </cell>
          <cell r="AB759">
            <v>0</v>
          </cell>
          <cell r="AC759">
            <v>0</v>
          </cell>
          <cell r="AD759"/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0.16666666666666666</v>
          </cell>
        </row>
        <row r="760">
          <cell r="A760">
            <v>22115</v>
          </cell>
          <cell r="B760"/>
          <cell r="C760" t="str">
            <v>Pastilha de Freio</v>
          </cell>
          <cell r="D760" t="str">
            <v>MultiKit</v>
          </cell>
          <cell r="E760">
            <v>4</v>
          </cell>
          <cell r="F760" t="str">
            <v>Pastilha De Freio Dianteira Cobalt 1.4 1.8 2012 A 2016 C Abs</v>
          </cell>
          <cell r="G760"/>
          <cell r="H760">
            <v>0</v>
          </cell>
          <cell r="I760">
            <v>0</v>
          </cell>
          <cell r="J760" t="str">
            <v/>
          </cell>
          <cell r="K760" t="str">
            <v/>
          </cell>
          <cell r="L760" t="str">
            <v/>
          </cell>
          <cell r="M760">
            <v>0</v>
          </cell>
          <cell r="N760" t="str">
            <v/>
          </cell>
          <cell r="O760" t="str">
            <v/>
          </cell>
          <cell r="P760" t="str">
            <v/>
          </cell>
          <cell r="Q760">
            <v>1</v>
          </cell>
          <cell r="R760" t="str">
            <v>0</v>
          </cell>
          <cell r="S760" t="str">
            <v>0</v>
          </cell>
          <cell r="T760">
            <v>0</v>
          </cell>
          <cell r="U760">
            <v>1</v>
          </cell>
          <cell r="V760">
            <v>0</v>
          </cell>
          <cell r="W760">
            <v>0</v>
          </cell>
          <cell r="X760" t="str">
            <v/>
          </cell>
          <cell r="Y760" t="str">
            <v/>
          </cell>
          <cell r="Z760" t="str">
            <v/>
          </cell>
          <cell r="AA760">
            <v>0</v>
          </cell>
          <cell r="AB760">
            <v>0</v>
          </cell>
          <cell r="AC760">
            <v>0</v>
          </cell>
          <cell r="AD760"/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0.16666666666666666</v>
          </cell>
        </row>
        <row r="761">
          <cell r="A761">
            <v>8650</v>
          </cell>
          <cell r="B761" t="str">
            <v>Sim</v>
          </cell>
          <cell r="C761" t="str">
            <v>Terminal Cabo Câmbio</v>
          </cell>
          <cell r="D761" t="str">
            <v>Importação / TALIFAMA</v>
          </cell>
          <cell r="E761" t="e">
            <v>#N/A</v>
          </cell>
          <cell r="F761" t="str">
            <v>Terminal De Cabo De Engate Gol</v>
          </cell>
          <cell r="G761"/>
          <cell r="H761">
            <v>0</v>
          </cell>
          <cell r="I761">
            <v>0</v>
          </cell>
          <cell r="J761" t="str">
            <v/>
          </cell>
          <cell r="K761" t="str">
            <v/>
          </cell>
          <cell r="L761" t="str">
            <v/>
          </cell>
          <cell r="M761">
            <v>1</v>
          </cell>
          <cell r="N761">
            <v>1</v>
          </cell>
          <cell r="O761" t="str">
            <v/>
          </cell>
          <cell r="P761" t="str">
            <v/>
          </cell>
          <cell r="Q761">
            <v>0</v>
          </cell>
          <cell r="R761" t="str">
            <v>0</v>
          </cell>
          <cell r="S761" t="str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 t="str">
            <v/>
          </cell>
          <cell r="Y761" t="str">
            <v/>
          </cell>
          <cell r="Z761" t="str">
            <v/>
          </cell>
          <cell r="AA761">
            <v>0</v>
          </cell>
          <cell r="AB761">
            <v>0</v>
          </cell>
          <cell r="AC761">
            <v>0</v>
          </cell>
          <cell r="AD761"/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0.16666666666666666</v>
          </cell>
        </row>
        <row r="762">
          <cell r="A762" t="str">
            <v>FTK279</v>
          </cell>
          <cell r="B762"/>
          <cell r="C762" t="str">
            <v>Coifa Homocinética</v>
          </cell>
          <cell r="D762" t="str">
            <v>Replabor</v>
          </cell>
          <cell r="E762"/>
          <cell r="F762" t="str">
            <v>COIFA HOMOCINETICA LADO CAMBIO COBALT 1.8 2013 A 2016</v>
          </cell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>
            <v>2</v>
          </cell>
          <cell r="AB762"/>
          <cell r="AC762">
            <v>2</v>
          </cell>
          <cell r="AD762"/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</row>
        <row r="763">
          <cell r="A763" t="str">
            <v>FTK282</v>
          </cell>
          <cell r="B763"/>
          <cell r="C763" t="str">
            <v>Coifa Homocinética</v>
          </cell>
          <cell r="D763" t="str">
            <v>Replabor</v>
          </cell>
          <cell r="E763"/>
          <cell r="F763" t="str">
            <v>COIFA HOMOCINETICA LADO RODA FIAT 147 1976 A 1986</v>
          </cell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>
            <v>2</v>
          </cell>
          <cell r="AB763"/>
          <cell r="AC763">
            <v>2</v>
          </cell>
          <cell r="AD763"/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</row>
        <row r="764">
          <cell r="A764" t="str">
            <v>FTK18072</v>
          </cell>
          <cell r="B764"/>
          <cell r="C764" t="str">
            <v>Rolamento Roda</v>
          </cell>
          <cell r="D764"/>
          <cell r="E764"/>
          <cell r="F764" t="str">
            <v>ROLAMENTO RODA DIANTEIRA C3 1.4 16V 1.6 16V 02 2002 15</v>
          </cell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>
            <v>2</v>
          </cell>
          <cell r="AB764"/>
          <cell r="AC764">
            <v>2</v>
          </cell>
          <cell r="AD764"/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</row>
        <row r="765">
          <cell r="A765" t="str">
            <v>15W40-MAX</v>
          </cell>
          <cell r="B765"/>
          <cell r="C765" t="str">
            <v>Óleo</v>
          </cell>
          <cell r="D765" t="str">
            <v>Maxi Lubrificantes</v>
          </cell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>
            <v>4</v>
          </cell>
          <cell r="AA765">
            <v>4</v>
          </cell>
          <cell r="AB765">
            <v>0</v>
          </cell>
          <cell r="AC765">
            <v>0</v>
          </cell>
          <cell r="AD765"/>
          <cell r="AE765">
            <v>4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</row>
        <row r="766">
          <cell r="A766">
            <v>112116</v>
          </cell>
          <cell r="B766" t="str">
            <v>Sim</v>
          </cell>
          <cell r="C766" t="str">
            <v>Bandeja</v>
          </cell>
          <cell r="D766" t="str">
            <v>SPARE</v>
          </cell>
          <cell r="E766">
            <v>2</v>
          </cell>
          <cell r="F766" t="str">
            <v>Bandeja Inferior Ambos Lados Renegade Sem Pivô 2015 A 2020</v>
          </cell>
          <cell r="G766"/>
          <cell r="H766">
            <v>0</v>
          </cell>
          <cell r="I766">
            <v>0</v>
          </cell>
          <cell r="J766">
            <v>0</v>
          </cell>
          <cell r="K766" t="str">
            <v/>
          </cell>
          <cell r="L766" t="str">
            <v/>
          </cell>
          <cell r="M766">
            <v>0</v>
          </cell>
          <cell r="N766" t="str">
            <v/>
          </cell>
          <cell r="O766">
            <v>0</v>
          </cell>
          <cell r="P766" t="str">
            <v/>
          </cell>
          <cell r="Q766">
            <v>0</v>
          </cell>
          <cell r="R766" t="str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 t="str">
            <v/>
          </cell>
          <cell r="Y766" t="str">
            <v/>
          </cell>
          <cell r="Z766" t="str">
            <v/>
          </cell>
          <cell r="AA766">
            <v>4</v>
          </cell>
          <cell r="AB766">
            <v>0</v>
          </cell>
          <cell r="AC766">
            <v>4</v>
          </cell>
          <cell r="AD766"/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</row>
        <row r="767">
          <cell r="A767" t="str">
            <v>FTK-PDA164</v>
          </cell>
          <cell r="B767"/>
          <cell r="C767" t="str">
            <v>Amortecedor Pota Malas</v>
          </cell>
          <cell r="D767" t="str">
            <v>Pandão</v>
          </cell>
          <cell r="E767">
            <v>22</v>
          </cell>
          <cell r="F767" t="str">
            <v>AMORTECEDOR MOLA A GÁS PORTA MALAS SPACEFOX 2006 A 2012</v>
          </cell>
          <cell r="G767"/>
          <cell r="H767" t="str">
            <v>-</v>
          </cell>
          <cell r="I767"/>
          <cell r="J767"/>
          <cell r="K767"/>
          <cell r="L767"/>
          <cell r="M767"/>
          <cell r="N767"/>
          <cell r="O767"/>
          <cell r="P767"/>
          <cell r="Q767">
            <v>0</v>
          </cell>
          <cell r="R767"/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 t="str">
            <v/>
          </cell>
          <cell r="Y767" t="str">
            <v/>
          </cell>
          <cell r="Z767" t="str">
            <v/>
          </cell>
          <cell r="AA767">
            <v>4</v>
          </cell>
          <cell r="AB767">
            <v>0</v>
          </cell>
          <cell r="AC767">
            <v>4</v>
          </cell>
          <cell r="AD767"/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</row>
        <row r="768">
          <cell r="A768">
            <v>5018</v>
          </cell>
          <cell r="B768"/>
          <cell r="C768" t="str">
            <v>Bieleta</v>
          </cell>
          <cell r="D768" t="str">
            <v>HOLYMAN</v>
          </cell>
          <cell r="E768">
            <v>5</v>
          </cell>
          <cell r="F768" t="str">
            <v>Bieleta Traseira Ou Dianteira Focus 2008 A 2013 2 Geração</v>
          </cell>
          <cell r="G768"/>
          <cell r="H768">
            <v>0</v>
          </cell>
          <cell r="I768">
            <v>0</v>
          </cell>
          <cell r="J768">
            <v>0</v>
          </cell>
          <cell r="K768" t="str">
            <v/>
          </cell>
          <cell r="L768" t="str">
            <v/>
          </cell>
          <cell r="M768">
            <v>0</v>
          </cell>
          <cell r="N768" t="str">
            <v/>
          </cell>
          <cell r="O768">
            <v>0</v>
          </cell>
          <cell r="P768" t="str">
            <v/>
          </cell>
          <cell r="Q768">
            <v>0</v>
          </cell>
          <cell r="R768" t="str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 t="str">
            <v/>
          </cell>
          <cell r="Y768" t="str">
            <v/>
          </cell>
          <cell r="Z768" t="str">
            <v/>
          </cell>
          <cell r="AA768">
            <v>4</v>
          </cell>
          <cell r="AB768">
            <v>0</v>
          </cell>
          <cell r="AC768">
            <v>4</v>
          </cell>
          <cell r="AD768"/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</row>
        <row r="769">
          <cell r="A769" t="str">
            <v>FTK22404</v>
          </cell>
          <cell r="B769" t="str">
            <v>Sim</v>
          </cell>
          <cell r="C769" t="str">
            <v>Pivô</v>
          </cell>
          <cell r="D769" t="str">
            <v>SPARE</v>
          </cell>
          <cell r="E769">
            <v>2</v>
          </cell>
          <cell r="F769" t="str">
            <v>Pivô Bandeja Dianteira Ambos Os Lados Toro 2016 A 2020</v>
          </cell>
          <cell r="G769"/>
          <cell r="H769">
            <v>0</v>
          </cell>
          <cell r="I769">
            <v>0</v>
          </cell>
          <cell r="J769">
            <v>0</v>
          </cell>
          <cell r="K769" t="str">
            <v/>
          </cell>
          <cell r="L769" t="str">
            <v/>
          </cell>
          <cell r="M769">
            <v>0</v>
          </cell>
          <cell r="N769" t="str">
            <v/>
          </cell>
          <cell r="O769">
            <v>0</v>
          </cell>
          <cell r="P769" t="str">
            <v/>
          </cell>
          <cell r="Q769">
            <v>0</v>
          </cell>
          <cell r="R769" t="str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 t="str">
            <v/>
          </cell>
          <cell r="Y769" t="str">
            <v/>
          </cell>
          <cell r="Z769" t="str">
            <v/>
          </cell>
          <cell r="AA769">
            <v>4</v>
          </cell>
          <cell r="AB769">
            <v>0</v>
          </cell>
          <cell r="AC769">
            <v>4</v>
          </cell>
          <cell r="AD769"/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</row>
        <row r="770">
          <cell r="A770">
            <v>5040</v>
          </cell>
          <cell r="B770"/>
          <cell r="C770" t="str">
            <v>Bieleta</v>
          </cell>
          <cell r="D770" t="str">
            <v>HOLYMAN</v>
          </cell>
          <cell r="E770">
            <v>5</v>
          </cell>
          <cell r="F770" t="str">
            <v>BIELETA DIANTEIRA AMBOS OS LADOS FUSION 2013 A 2020</v>
          </cell>
          <cell r="G770"/>
          <cell r="H770" t="str">
            <v>-</v>
          </cell>
          <cell r="I770">
            <v>0</v>
          </cell>
          <cell r="J770">
            <v>0</v>
          </cell>
          <cell r="K770" t="str">
            <v/>
          </cell>
          <cell r="L770" t="str">
            <v/>
          </cell>
          <cell r="M770">
            <v>0</v>
          </cell>
          <cell r="N770" t="str">
            <v/>
          </cell>
          <cell r="O770">
            <v>0</v>
          </cell>
          <cell r="P770" t="str">
            <v/>
          </cell>
          <cell r="Q770">
            <v>0</v>
          </cell>
          <cell r="R770" t="str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 t="str">
            <v/>
          </cell>
          <cell r="Y770" t="str">
            <v/>
          </cell>
          <cell r="Z770" t="str">
            <v/>
          </cell>
          <cell r="AA770">
            <v>2</v>
          </cell>
          <cell r="AB770">
            <v>2</v>
          </cell>
          <cell r="AC770">
            <v>0</v>
          </cell>
          <cell r="AD770"/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</row>
        <row r="771">
          <cell r="A771">
            <v>5433</v>
          </cell>
          <cell r="B771"/>
          <cell r="C771" t="str">
            <v>Bieleta</v>
          </cell>
          <cell r="D771" t="str">
            <v>HOLYMAN</v>
          </cell>
          <cell r="E771">
            <v>5</v>
          </cell>
          <cell r="F771" t="str">
            <v>BIELETA DIANTEIRA AMBOS LADOS CIVIC G10 2017 EM DIANTE</v>
          </cell>
          <cell r="G771"/>
          <cell r="H771" t="str">
            <v>-</v>
          </cell>
          <cell r="I771">
            <v>0</v>
          </cell>
          <cell r="J771">
            <v>0</v>
          </cell>
          <cell r="K771" t="str">
            <v/>
          </cell>
          <cell r="L771" t="str">
            <v/>
          </cell>
          <cell r="M771">
            <v>0</v>
          </cell>
          <cell r="N771" t="str">
            <v/>
          </cell>
          <cell r="O771">
            <v>0</v>
          </cell>
          <cell r="P771" t="str">
            <v/>
          </cell>
          <cell r="Q771">
            <v>0</v>
          </cell>
          <cell r="R771" t="str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 t="str">
            <v/>
          </cell>
          <cell r="Y771" t="str">
            <v/>
          </cell>
          <cell r="Z771" t="str">
            <v/>
          </cell>
          <cell r="AA771">
            <v>2</v>
          </cell>
          <cell r="AB771">
            <v>2</v>
          </cell>
          <cell r="AC771">
            <v>0</v>
          </cell>
          <cell r="AD771"/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</row>
        <row r="772">
          <cell r="A772">
            <v>4007</v>
          </cell>
          <cell r="B772"/>
          <cell r="C772" t="str">
            <v>Capa Pedal</v>
          </cell>
          <cell r="D772" t="str">
            <v>HOLYMAN</v>
          </cell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>
            <v>2</v>
          </cell>
          <cell r="AB772">
            <v>2</v>
          </cell>
          <cell r="AC772">
            <v>0</v>
          </cell>
          <cell r="AD772"/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</row>
        <row r="773">
          <cell r="A773" t="str">
            <v>NZT1206</v>
          </cell>
          <cell r="B773"/>
          <cell r="C773" t="str">
            <v>Rolamento Roda</v>
          </cell>
          <cell r="D773" t="str">
            <v>POLO</v>
          </cell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>
            <v>2</v>
          </cell>
          <cell r="AB773">
            <v>2</v>
          </cell>
          <cell r="AC773">
            <v>0</v>
          </cell>
          <cell r="AD773"/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</row>
        <row r="774">
          <cell r="A774">
            <v>112125</v>
          </cell>
          <cell r="B774"/>
          <cell r="C774" t="str">
            <v>Bandeja</v>
          </cell>
          <cell r="D774" t="str">
            <v>SPARE</v>
          </cell>
          <cell r="E774">
            <v>2</v>
          </cell>
          <cell r="F774" t="str">
            <v>Bandeja DIANTEIRA INFERIOR  ARGO CRONOS STRADA LADO ESQUERDO COM PIVÔ</v>
          </cell>
          <cell r="G774"/>
          <cell r="H774" t="str">
            <v>-</v>
          </cell>
          <cell r="I774"/>
          <cell r="J774"/>
          <cell r="K774"/>
          <cell r="L774"/>
          <cell r="M774"/>
          <cell r="N774"/>
          <cell r="O774"/>
          <cell r="P774"/>
          <cell r="Q774">
            <v>0</v>
          </cell>
          <cell r="R774"/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 t="str">
            <v/>
          </cell>
          <cell r="Y774" t="str">
            <v/>
          </cell>
          <cell r="Z774" t="str">
            <v/>
          </cell>
          <cell r="AA774">
            <v>2</v>
          </cell>
          <cell r="AB774">
            <v>2</v>
          </cell>
          <cell r="AC774">
            <v>0</v>
          </cell>
          <cell r="AD774"/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</row>
        <row r="775">
          <cell r="A775">
            <v>222111</v>
          </cell>
          <cell r="B775" t="str">
            <v>Sim</v>
          </cell>
          <cell r="C775" t="str">
            <v>Bandeja</v>
          </cell>
          <cell r="D775" t="str">
            <v>SPARE</v>
          </cell>
          <cell r="E775">
            <v>2</v>
          </cell>
          <cell r="F775" t="str">
            <v>BRAÇO CURVO TRASEIRO BUMERANGUE FUSION 2006 A 2012</v>
          </cell>
          <cell r="G775"/>
          <cell r="H775">
            <v>0</v>
          </cell>
          <cell r="I775">
            <v>0</v>
          </cell>
          <cell r="J775"/>
          <cell r="K775"/>
          <cell r="L775"/>
          <cell r="M775">
            <v>0</v>
          </cell>
          <cell r="N775" t="str">
            <v/>
          </cell>
          <cell r="O775">
            <v>0</v>
          </cell>
          <cell r="P775" t="str">
            <v/>
          </cell>
          <cell r="Q775">
            <v>0</v>
          </cell>
          <cell r="R775" t="str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 t="str">
            <v/>
          </cell>
          <cell r="Y775" t="str">
            <v/>
          </cell>
          <cell r="Z775" t="str">
            <v/>
          </cell>
          <cell r="AA775">
            <v>2</v>
          </cell>
          <cell r="AB775">
            <v>2</v>
          </cell>
          <cell r="AC775">
            <v>0</v>
          </cell>
          <cell r="AD775"/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</row>
        <row r="776">
          <cell r="A776">
            <v>332120</v>
          </cell>
          <cell r="B776" t="str">
            <v>Sim</v>
          </cell>
          <cell r="C776" t="str">
            <v>Bandeja</v>
          </cell>
          <cell r="D776" t="str">
            <v>SPARE</v>
          </cell>
          <cell r="E776">
            <v>2</v>
          </cell>
          <cell r="F776" t="str">
            <v>Bandeja INFERIOR CRUZE 16/20 - LADO DIREITO</v>
          </cell>
          <cell r="G776"/>
          <cell r="H776">
            <v>0</v>
          </cell>
          <cell r="I776">
            <v>0</v>
          </cell>
          <cell r="J776"/>
          <cell r="K776"/>
          <cell r="L776"/>
          <cell r="M776">
            <v>0</v>
          </cell>
          <cell r="N776" t="str">
            <v/>
          </cell>
          <cell r="O776">
            <v>0</v>
          </cell>
          <cell r="P776" t="str">
            <v/>
          </cell>
          <cell r="Q776">
            <v>0</v>
          </cell>
          <cell r="R776" t="str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 t="str">
            <v/>
          </cell>
          <cell r="Y776" t="str">
            <v/>
          </cell>
          <cell r="Z776" t="str">
            <v/>
          </cell>
          <cell r="AA776">
            <v>2</v>
          </cell>
          <cell r="AB776">
            <v>2</v>
          </cell>
          <cell r="AC776">
            <v>0</v>
          </cell>
          <cell r="AD776"/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</row>
        <row r="777">
          <cell r="A777">
            <v>772053</v>
          </cell>
          <cell r="B777" t="str">
            <v>Sim</v>
          </cell>
          <cell r="C777" t="str">
            <v>Bandeja</v>
          </cell>
          <cell r="D777" t="str">
            <v>SPARE</v>
          </cell>
          <cell r="E777">
            <v>2</v>
          </cell>
          <cell r="F777" t="str">
            <v>Bandeja Esquerda Inferior Sem Pivô Tucson 2005 Em Diante</v>
          </cell>
          <cell r="G777"/>
          <cell r="H777">
            <v>0</v>
          </cell>
          <cell r="I777">
            <v>0</v>
          </cell>
          <cell r="J777">
            <v>0</v>
          </cell>
          <cell r="K777" t="str">
            <v/>
          </cell>
          <cell r="L777" t="str">
            <v/>
          </cell>
          <cell r="M777">
            <v>0</v>
          </cell>
          <cell r="N777" t="str">
            <v/>
          </cell>
          <cell r="O777">
            <v>0</v>
          </cell>
          <cell r="P777" t="str">
            <v/>
          </cell>
          <cell r="Q777">
            <v>0</v>
          </cell>
          <cell r="R777" t="str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 t="str">
            <v/>
          </cell>
          <cell r="Y777" t="str">
            <v/>
          </cell>
          <cell r="Z777" t="str">
            <v/>
          </cell>
          <cell r="AA777">
            <v>2</v>
          </cell>
          <cell r="AB777">
            <v>2</v>
          </cell>
          <cell r="AC777">
            <v>0</v>
          </cell>
          <cell r="AD777"/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</row>
        <row r="778">
          <cell r="A778" t="str">
            <v>FTK18630</v>
          </cell>
          <cell r="B778"/>
          <cell r="C778" t="str">
            <v>Rolamento Roda</v>
          </cell>
          <cell r="D778" t="str">
            <v>IRB</v>
          </cell>
          <cell r="E778">
            <v>12</v>
          </cell>
          <cell r="F778" t="str">
            <v>ROLAMENTO RODA TRASEIRA AMAROK 2010 A 2019 2.0 3.0</v>
          </cell>
          <cell r="G778"/>
          <cell r="H778" t="str">
            <v>-</v>
          </cell>
          <cell r="I778" t="str">
            <v>-</v>
          </cell>
          <cell r="J778"/>
          <cell r="K778"/>
          <cell r="L778"/>
          <cell r="M778">
            <v>0</v>
          </cell>
          <cell r="N778" t="str">
            <v/>
          </cell>
          <cell r="O778">
            <v>0</v>
          </cell>
          <cell r="P778" t="str">
            <v/>
          </cell>
          <cell r="Q778">
            <v>0</v>
          </cell>
          <cell r="R778" t="str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 t="str">
            <v/>
          </cell>
          <cell r="Y778" t="str">
            <v/>
          </cell>
          <cell r="Z778" t="str">
            <v/>
          </cell>
          <cell r="AA778">
            <v>2</v>
          </cell>
          <cell r="AB778">
            <v>0</v>
          </cell>
          <cell r="AC778">
            <v>2</v>
          </cell>
          <cell r="AD778"/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</row>
        <row r="779">
          <cell r="A779">
            <v>5407</v>
          </cell>
          <cell r="B779"/>
          <cell r="C779" t="str">
            <v>Bieleta</v>
          </cell>
          <cell r="D779" t="str">
            <v>HOLYMAN</v>
          </cell>
          <cell r="E779">
            <v>5</v>
          </cell>
          <cell r="F779" t="str">
            <v>BIELETA TRASEIRA ESQUERDA CIVIC 2001 A 2005</v>
          </cell>
          <cell r="G779"/>
          <cell r="H779" t="str">
            <v>-</v>
          </cell>
          <cell r="I779">
            <v>0</v>
          </cell>
          <cell r="J779">
            <v>0</v>
          </cell>
          <cell r="K779" t="str">
            <v/>
          </cell>
          <cell r="L779" t="str">
            <v/>
          </cell>
          <cell r="M779">
            <v>0</v>
          </cell>
          <cell r="N779" t="str">
            <v/>
          </cell>
          <cell r="O779">
            <v>0</v>
          </cell>
          <cell r="P779" t="str">
            <v/>
          </cell>
          <cell r="Q779">
            <v>0</v>
          </cell>
          <cell r="R779" t="str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 t="str">
            <v/>
          </cell>
          <cell r="Y779" t="str">
            <v/>
          </cell>
          <cell r="Z779" t="str">
            <v/>
          </cell>
          <cell r="AA779">
            <v>1</v>
          </cell>
          <cell r="AB779">
            <v>1</v>
          </cell>
          <cell r="AC779">
            <v>0</v>
          </cell>
          <cell r="AD779"/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</row>
        <row r="780">
          <cell r="A780">
            <v>5913</v>
          </cell>
          <cell r="B780"/>
          <cell r="C780" t="str">
            <v>Bieleta</v>
          </cell>
          <cell r="D780" t="str">
            <v>HOLYMAN</v>
          </cell>
          <cell r="E780">
            <v>5</v>
          </cell>
          <cell r="F780" t="str">
            <v>Bieleta Dianteira Direita L200 Triton 4x4 2007 A 2013</v>
          </cell>
          <cell r="G780"/>
          <cell r="H780">
            <v>0</v>
          </cell>
          <cell r="I780">
            <v>0</v>
          </cell>
          <cell r="J780">
            <v>0</v>
          </cell>
          <cell r="K780" t="str">
            <v/>
          </cell>
          <cell r="L780" t="str">
            <v/>
          </cell>
          <cell r="M780">
            <v>0</v>
          </cell>
          <cell r="N780" t="str">
            <v/>
          </cell>
          <cell r="O780">
            <v>0</v>
          </cell>
          <cell r="P780" t="str">
            <v/>
          </cell>
          <cell r="Q780">
            <v>0</v>
          </cell>
          <cell r="R780" t="str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 t="str">
            <v/>
          </cell>
          <cell r="Y780" t="str">
            <v/>
          </cell>
          <cell r="Z780" t="str">
            <v/>
          </cell>
          <cell r="AA780">
            <v>1</v>
          </cell>
          <cell r="AB780">
            <v>1</v>
          </cell>
          <cell r="AC780">
            <v>0</v>
          </cell>
          <cell r="AD780"/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</row>
        <row r="781">
          <cell r="A781">
            <v>4062</v>
          </cell>
          <cell r="B781"/>
          <cell r="C781" t="str">
            <v>Capa Pedal</v>
          </cell>
          <cell r="D781" t="str">
            <v>HOLYMAN</v>
          </cell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>
            <v>1</v>
          </cell>
          <cell r="AB781">
            <v>1</v>
          </cell>
          <cell r="AC781">
            <v>0</v>
          </cell>
          <cell r="AD781"/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</row>
        <row r="782">
          <cell r="A782">
            <v>4066</v>
          </cell>
          <cell r="B782"/>
          <cell r="C782" t="str">
            <v>Capa Pedal</v>
          </cell>
          <cell r="D782" t="str">
            <v>HOLYMAN</v>
          </cell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>
            <v>1</v>
          </cell>
          <cell r="AB782">
            <v>1</v>
          </cell>
          <cell r="AC782">
            <v>0</v>
          </cell>
          <cell r="AD782"/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</row>
        <row r="783">
          <cell r="A783" t="str">
            <v>FTK77369</v>
          </cell>
          <cell r="B783"/>
          <cell r="C783" t="str">
            <v>Pivô</v>
          </cell>
          <cell r="D783" t="str">
            <v>SPARE</v>
          </cell>
          <cell r="E783">
            <v>2</v>
          </cell>
          <cell r="F783" t="str">
            <v>PIVÔ INFERIOR JETTA LADO ESQUERDO</v>
          </cell>
          <cell r="G783"/>
          <cell r="H783"/>
          <cell r="I783"/>
          <cell r="J783"/>
          <cell r="K783"/>
          <cell r="L783"/>
          <cell r="M783"/>
          <cell r="N783"/>
          <cell r="O783"/>
          <cell r="P783"/>
          <cell r="Q783">
            <v>0</v>
          </cell>
          <cell r="R783"/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 t="str">
            <v/>
          </cell>
          <cell r="Y783" t="str">
            <v/>
          </cell>
          <cell r="Z783" t="str">
            <v/>
          </cell>
          <cell r="AA783">
            <v>1</v>
          </cell>
          <cell r="AB783">
            <v>1</v>
          </cell>
          <cell r="AC783">
            <v>0</v>
          </cell>
          <cell r="AD783"/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</row>
        <row r="784">
          <cell r="A784" t="str">
            <v>FTK18193</v>
          </cell>
          <cell r="B784"/>
          <cell r="C784" t="str">
            <v>Rolamento Roda</v>
          </cell>
          <cell r="D784" t="str">
            <v>IRB</v>
          </cell>
          <cell r="E784">
            <v>12</v>
          </cell>
          <cell r="F784" t="str">
            <v>ROLAMENTO RODA DIANTEIRA DAIHATSU CHARADE 1994</v>
          </cell>
          <cell r="G784"/>
          <cell r="H784" t="str">
            <v>-</v>
          </cell>
          <cell r="I784" t="str">
            <v>-</v>
          </cell>
          <cell r="J784"/>
          <cell r="K784"/>
          <cell r="L784"/>
          <cell r="M784">
            <v>0</v>
          </cell>
          <cell r="N784" t="str">
            <v/>
          </cell>
          <cell r="O784">
            <v>0</v>
          </cell>
          <cell r="P784" t="str">
            <v/>
          </cell>
          <cell r="Q784">
            <v>0</v>
          </cell>
          <cell r="R784" t="str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 t="str">
            <v/>
          </cell>
          <cell r="Y784" t="str">
            <v/>
          </cell>
          <cell r="Z784" t="str">
            <v/>
          </cell>
          <cell r="AA784">
            <v>1</v>
          </cell>
          <cell r="AB784">
            <v>1</v>
          </cell>
          <cell r="AC784">
            <v>0</v>
          </cell>
          <cell r="AD784"/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</row>
        <row r="785">
          <cell r="A785">
            <v>222103</v>
          </cell>
          <cell r="B785"/>
          <cell r="C785" t="str">
            <v>Bandeja</v>
          </cell>
          <cell r="D785" t="str">
            <v>SPARE</v>
          </cell>
          <cell r="E785">
            <v>2</v>
          </cell>
          <cell r="F785" t="str">
            <v>Bandeja INFERIOR ESQUERDA COM PIVÔ FOCUS 2009 A 2012</v>
          </cell>
          <cell r="G785"/>
          <cell r="H785" t="str">
            <v>-</v>
          </cell>
          <cell r="I785"/>
          <cell r="J785"/>
          <cell r="K785"/>
          <cell r="L785"/>
          <cell r="M785"/>
          <cell r="N785"/>
          <cell r="O785"/>
          <cell r="P785"/>
          <cell r="Q785">
            <v>0</v>
          </cell>
          <cell r="R785"/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 t="str">
            <v/>
          </cell>
          <cell r="Y785" t="str">
            <v/>
          </cell>
          <cell r="Z785" t="str">
            <v/>
          </cell>
          <cell r="AA785">
            <v>1</v>
          </cell>
          <cell r="AB785">
            <v>1</v>
          </cell>
          <cell r="AC785">
            <v>0</v>
          </cell>
          <cell r="AD785"/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</row>
        <row r="786">
          <cell r="A786">
            <v>332074</v>
          </cell>
          <cell r="B786"/>
          <cell r="C786" t="str">
            <v>Bandeja</v>
          </cell>
          <cell r="D786" t="str">
            <v>SPARE</v>
          </cell>
          <cell r="E786">
            <v>2</v>
          </cell>
          <cell r="F786" t="str">
            <v>Bandeja INFERIOR DIREITA SEM PIVÔ ASTRA 1995 1996</v>
          </cell>
          <cell r="G786"/>
          <cell r="H786" t="str">
            <v>-</v>
          </cell>
          <cell r="I786"/>
          <cell r="J786"/>
          <cell r="K786"/>
          <cell r="L786"/>
          <cell r="M786"/>
          <cell r="N786"/>
          <cell r="O786"/>
          <cell r="P786"/>
          <cell r="Q786">
            <v>0</v>
          </cell>
          <cell r="R786"/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 t="str">
            <v/>
          </cell>
          <cell r="Y786" t="str">
            <v/>
          </cell>
          <cell r="Z786" t="str">
            <v/>
          </cell>
          <cell r="AA786">
            <v>1</v>
          </cell>
          <cell r="AB786">
            <v>1</v>
          </cell>
          <cell r="AC786">
            <v>0</v>
          </cell>
          <cell r="AD786"/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</row>
        <row r="787">
          <cell r="A787">
            <v>332153</v>
          </cell>
          <cell r="B787" t="str">
            <v>Sim</v>
          </cell>
          <cell r="C787" t="str">
            <v>Bandeja</v>
          </cell>
          <cell r="D787" t="str">
            <v>SPARE</v>
          </cell>
          <cell r="E787">
            <v>2</v>
          </cell>
          <cell r="F787" t="str">
            <v>Bandeja SUPERIOR DIREITA SEM PIVÔ TRAILBLAZER 2012 A 2020</v>
          </cell>
          <cell r="G787"/>
          <cell r="H787">
            <v>0</v>
          </cell>
          <cell r="I787">
            <v>0</v>
          </cell>
          <cell r="J787"/>
          <cell r="K787"/>
          <cell r="L787"/>
          <cell r="M787">
            <v>0</v>
          </cell>
          <cell r="N787" t="str">
            <v/>
          </cell>
          <cell r="O787">
            <v>0</v>
          </cell>
          <cell r="P787" t="str">
            <v/>
          </cell>
          <cell r="Q787">
            <v>0</v>
          </cell>
          <cell r="R787" t="str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 t="str">
            <v/>
          </cell>
          <cell r="Y787" t="str">
            <v/>
          </cell>
          <cell r="Z787" t="str">
            <v/>
          </cell>
          <cell r="AA787">
            <v>1</v>
          </cell>
          <cell r="AB787">
            <v>1</v>
          </cell>
          <cell r="AC787">
            <v>0</v>
          </cell>
          <cell r="AD787"/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</row>
        <row r="788">
          <cell r="A788">
            <v>442086</v>
          </cell>
          <cell r="B788" t="str">
            <v>Sim</v>
          </cell>
          <cell r="C788" t="str">
            <v>Bandeja</v>
          </cell>
          <cell r="D788" t="str">
            <v>SPARE</v>
          </cell>
          <cell r="E788">
            <v>2</v>
          </cell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/>
          <cell r="Q788">
            <v>0</v>
          </cell>
          <cell r="R788" t="str">
            <v>0</v>
          </cell>
          <cell r="S788" t="str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 t="str">
            <v/>
          </cell>
          <cell r="Y788" t="str">
            <v/>
          </cell>
          <cell r="Z788" t="str">
            <v/>
          </cell>
          <cell r="AA788">
            <v>1</v>
          </cell>
          <cell r="AB788">
            <v>1</v>
          </cell>
          <cell r="AC788">
            <v>0</v>
          </cell>
          <cell r="AD788"/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</row>
        <row r="789">
          <cell r="A789">
            <v>552017</v>
          </cell>
          <cell r="B789" t="str">
            <v>Sim</v>
          </cell>
          <cell r="C789" t="str">
            <v>Bandeja</v>
          </cell>
          <cell r="D789" t="str">
            <v>SPARE</v>
          </cell>
          <cell r="E789">
            <v>2</v>
          </cell>
          <cell r="F789" t="str">
            <v>Bandeja Inferior Esquerda Sem Pivô Berlingo 1998 A 2007</v>
          </cell>
          <cell r="G789"/>
          <cell r="H789">
            <v>0</v>
          </cell>
          <cell r="I789">
            <v>0</v>
          </cell>
          <cell r="J789">
            <v>0</v>
          </cell>
          <cell r="K789" t="str">
            <v/>
          </cell>
          <cell r="L789" t="str">
            <v/>
          </cell>
          <cell r="M789">
            <v>0</v>
          </cell>
          <cell r="N789" t="str">
            <v/>
          </cell>
          <cell r="O789">
            <v>0</v>
          </cell>
          <cell r="P789" t="str">
            <v/>
          </cell>
          <cell r="Q789">
            <v>0</v>
          </cell>
          <cell r="R789" t="str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 t="str">
            <v/>
          </cell>
          <cell r="Y789" t="str">
            <v/>
          </cell>
          <cell r="Z789" t="str">
            <v/>
          </cell>
          <cell r="AA789">
            <v>1</v>
          </cell>
          <cell r="AB789">
            <v>1</v>
          </cell>
          <cell r="AC789">
            <v>0</v>
          </cell>
          <cell r="AD789"/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</row>
        <row r="790">
          <cell r="A790">
            <v>772004</v>
          </cell>
          <cell r="B790" t="str">
            <v>Sim</v>
          </cell>
          <cell r="C790" t="str">
            <v>Bandeja</v>
          </cell>
          <cell r="D790" t="str">
            <v>SPARE</v>
          </cell>
          <cell r="E790">
            <v>2</v>
          </cell>
          <cell r="F790" t="str">
            <v>Bandeja Inferior Direita Com Pivô Fit 2003 A 2018</v>
          </cell>
          <cell r="G790"/>
          <cell r="H790">
            <v>0</v>
          </cell>
          <cell r="I790">
            <v>0</v>
          </cell>
          <cell r="J790" t="str">
            <v/>
          </cell>
          <cell r="K790" t="str">
            <v/>
          </cell>
          <cell r="L790" t="str">
            <v/>
          </cell>
          <cell r="M790">
            <v>0</v>
          </cell>
          <cell r="N790" t="str">
            <v/>
          </cell>
          <cell r="O790" t="str">
            <v/>
          </cell>
          <cell r="P790" t="str">
            <v/>
          </cell>
          <cell r="Q790">
            <v>0</v>
          </cell>
          <cell r="R790" t="str">
            <v>0</v>
          </cell>
          <cell r="S790" t="str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 t="str">
            <v/>
          </cell>
          <cell r="Y790" t="str">
            <v/>
          </cell>
          <cell r="Z790" t="str">
            <v/>
          </cell>
          <cell r="AA790">
            <v>1</v>
          </cell>
          <cell r="AB790">
            <v>1</v>
          </cell>
          <cell r="AC790">
            <v>0</v>
          </cell>
          <cell r="AD790"/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</row>
        <row r="791">
          <cell r="A791">
            <v>772161</v>
          </cell>
          <cell r="B791" t="str">
            <v>Sim</v>
          </cell>
          <cell r="C791" t="str">
            <v>Bandeja</v>
          </cell>
          <cell r="D791" t="str">
            <v>SPARE</v>
          </cell>
          <cell r="E791">
            <v>2</v>
          </cell>
          <cell r="F791" t="str">
            <v>Bandeja DIANTEIRA DIREITA SEM PIVÔ GRAND SANTA FÉ 2014 2015</v>
          </cell>
          <cell r="G791"/>
          <cell r="H791">
            <v>0</v>
          </cell>
          <cell r="I791">
            <v>0</v>
          </cell>
          <cell r="J791"/>
          <cell r="K791"/>
          <cell r="L791"/>
          <cell r="M791">
            <v>0</v>
          </cell>
          <cell r="N791" t="str">
            <v/>
          </cell>
          <cell r="O791">
            <v>0</v>
          </cell>
          <cell r="P791" t="str">
            <v/>
          </cell>
          <cell r="Q791">
            <v>0</v>
          </cell>
          <cell r="R791" t="str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 t="str">
            <v/>
          </cell>
          <cell r="Y791" t="str">
            <v/>
          </cell>
          <cell r="Z791" t="str">
            <v/>
          </cell>
          <cell r="AA791">
            <v>1</v>
          </cell>
          <cell r="AB791">
            <v>1</v>
          </cell>
          <cell r="AC791">
            <v>0</v>
          </cell>
          <cell r="AD791"/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</row>
        <row r="792">
          <cell r="A792">
            <v>772164</v>
          </cell>
          <cell r="B792"/>
          <cell r="C792" t="str">
            <v>Bandeja</v>
          </cell>
          <cell r="D792" t="str">
            <v>SPARE</v>
          </cell>
          <cell r="E792">
            <v>2</v>
          </cell>
          <cell r="F792" t="str">
            <v>Bandeja INFERIOR ESQUERDA COM PIVÔ CRETA 2017 A 2021</v>
          </cell>
          <cell r="G792"/>
          <cell r="H792" t="str">
            <v>-</v>
          </cell>
          <cell r="I792"/>
          <cell r="J792"/>
          <cell r="K792"/>
          <cell r="L792"/>
          <cell r="M792"/>
          <cell r="N792"/>
          <cell r="O792"/>
          <cell r="P792"/>
          <cell r="Q792">
            <v>0</v>
          </cell>
          <cell r="R792"/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 t="str">
            <v/>
          </cell>
          <cell r="Y792" t="str">
            <v/>
          </cell>
          <cell r="Z792" t="str">
            <v/>
          </cell>
          <cell r="AA792">
            <v>1</v>
          </cell>
          <cell r="AB792">
            <v>1</v>
          </cell>
          <cell r="AC792">
            <v>0</v>
          </cell>
          <cell r="AD792"/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</row>
        <row r="793">
          <cell r="A793">
            <v>772171</v>
          </cell>
          <cell r="B793" t="str">
            <v>Sim</v>
          </cell>
          <cell r="C793" t="str">
            <v>Bandeja</v>
          </cell>
          <cell r="D793" t="str">
            <v>SPARE</v>
          </cell>
          <cell r="E793">
            <v>2</v>
          </cell>
          <cell r="F793" t="str">
            <v>Bandeja DIANTEIRA ESQUERDA PICANTO 2011 EM DIANTE SEM PIVÔ</v>
          </cell>
          <cell r="G793"/>
          <cell r="H793">
            <v>0</v>
          </cell>
          <cell r="I793">
            <v>0</v>
          </cell>
          <cell r="J793"/>
          <cell r="K793"/>
          <cell r="L793"/>
          <cell r="M793">
            <v>0</v>
          </cell>
          <cell r="N793" t="str">
            <v/>
          </cell>
          <cell r="O793">
            <v>0</v>
          </cell>
          <cell r="P793" t="str">
            <v/>
          </cell>
          <cell r="Q793">
            <v>0</v>
          </cell>
          <cell r="R793" t="str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 t="str">
            <v/>
          </cell>
          <cell r="Y793" t="str">
            <v/>
          </cell>
          <cell r="Z793" t="str">
            <v/>
          </cell>
          <cell r="AA793">
            <v>1</v>
          </cell>
          <cell r="AB793">
            <v>1</v>
          </cell>
          <cell r="AC793">
            <v>0</v>
          </cell>
          <cell r="AD793"/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</row>
        <row r="794">
          <cell r="A794">
            <v>772248</v>
          </cell>
          <cell r="B794" t="str">
            <v>Sim</v>
          </cell>
          <cell r="C794" t="str">
            <v>Bandeja</v>
          </cell>
          <cell r="D794" t="str">
            <v>SPARE</v>
          </cell>
          <cell r="E794">
            <v>2</v>
          </cell>
          <cell r="F794" t="str">
            <v>Bandeja Inferior Esquerdo Sem Pivô Rav 4 2006 Á 2017</v>
          </cell>
          <cell r="G794"/>
          <cell r="H794">
            <v>0</v>
          </cell>
          <cell r="I794">
            <v>0</v>
          </cell>
          <cell r="J794" t="str">
            <v/>
          </cell>
          <cell r="K794" t="str">
            <v/>
          </cell>
          <cell r="L794" t="str">
            <v/>
          </cell>
          <cell r="M794">
            <v>0</v>
          </cell>
          <cell r="N794" t="str">
            <v/>
          </cell>
          <cell r="O794" t="str">
            <v/>
          </cell>
          <cell r="P794" t="str">
            <v/>
          </cell>
          <cell r="Q794">
            <v>0</v>
          </cell>
          <cell r="R794" t="str">
            <v>0</v>
          </cell>
          <cell r="S794" t="str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 t="str">
            <v/>
          </cell>
          <cell r="Y794" t="str">
            <v/>
          </cell>
          <cell r="Z794" t="str">
            <v/>
          </cell>
          <cell r="AA794">
            <v>1</v>
          </cell>
          <cell r="AB794">
            <v>1</v>
          </cell>
          <cell r="AC794">
            <v>0</v>
          </cell>
          <cell r="AD794"/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</row>
        <row r="795">
          <cell r="A795">
            <v>112064</v>
          </cell>
          <cell r="B795"/>
          <cell r="C795" t="str">
            <v>Bandeja</v>
          </cell>
          <cell r="D795" t="str">
            <v>SPARE</v>
          </cell>
          <cell r="E795">
            <v>2</v>
          </cell>
          <cell r="F795" t="str">
            <v>Bandeja INFERIOR DIREITA COM PIVÔ STRADA 1998 A 2000</v>
          </cell>
          <cell r="G795"/>
          <cell r="H795" t="str">
            <v>-</v>
          </cell>
          <cell r="I795"/>
          <cell r="J795"/>
          <cell r="K795"/>
          <cell r="L795"/>
          <cell r="M795"/>
          <cell r="N795"/>
          <cell r="O795"/>
          <cell r="P795"/>
          <cell r="Q795">
            <v>0</v>
          </cell>
          <cell r="R795"/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 t="str">
            <v/>
          </cell>
          <cell r="Y795" t="str">
            <v/>
          </cell>
          <cell r="Z795" t="str">
            <v/>
          </cell>
          <cell r="AA795">
            <v>1</v>
          </cell>
          <cell r="AB795">
            <v>0</v>
          </cell>
          <cell r="AC795">
            <v>1</v>
          </cell>
          <cell r="AD795"/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</row>
        <row r="796">
          <cell r="A796">
            <v>112065</v>
          </cell>
          <cell r="B796"/>
          <cell r="C796" t="str">
            <v>Bandeja</v>
          </cell>
          <cell r="D796" t="str">
            <v>SPARE</v>
          </cell>
          <cell r="E796">
            <v>2</v>
          </cell>
          <cell r="F796" t="str">
            <v>Bandeja INFERIOR ESQUERDA COM PIVÔ STRADA 1998 A 2000</v>
          </cell>
          <cell r="G796"/>
          <cell r="H796" t="str">
            <v>-</v>
          </cell>
          <cell r="I796"/>
          <cell r="J796"/>
          <cell r="K796"/>
          <cell r="L796"/>
          <cell r="M796"/>
          <cell r="N796"/>
          <cell r="O796"/>
          <cell r="P796"/>
          <cell r="Q796">
            <v>0</v>
          </cell>
          <cell r="R796"/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 t="str">
            <v/>
          </cell>
          <cell r="Y796" t="str">
            <v/>
          </cell>
          <cell r="Z796" t="str">
            <v/>
          </cell>
          <cell r="AA796">
            <v>1</v>
          </cell>
          <cell r="AB796">
            <v>0</v>
          </cell>
          <cell r="AC796">
            <v>1</v>
          </cell>
          <cell r="AD796"/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</row>
        <row r="797">
          <cell r="A797">
            <v>222312</v>
          </cell>
          <cell r="B797"/>
          <cell r="C797" t="str">
            <v>Bandeja</v>
          </cell>
          <cell r="D797" t="str">
            <v>SPARE</v>
          </cell>
          <cell r="E797">
            <v>2</v>
          </cell>
          <cell r="F797" t="str">
            <v>Bandeja INFERIOR DIREITA COM PIVÔ FOCUS 2013 A 2018</v>
          </cell>
          <cell r="G797"/>
          <cell r="H797" t="str">
            <v>-</v>
          </cell>
          <cell r="I797"/>
          <cell r="J797"/>
          <cell r="K797"/>
          <cell r="L797"/>
          <cell r="M797"/>
          <cell r="N797"/>
          <cell r="O797"/>
          <cell r="P797"/>
          <cell r="Q797">
            <v>0</v>
          </cell>
          <cell r="R797"/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 t="str">
            <v/>
          </cell>
          <cell r="Y797" t="str">
            <v/>
          </cell>
          <cell r="Z797" t="str">
            <v/>
          </cell>
          <cell r="AA797">
            <v>1</v>
          </cell>
          <cell r="AB797">
            <v>0</v>
          </cell>
          <cell r="AC797">
            <v>1</v>
          </cell>
          <cell r="AD797"/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</row>
        <row r="798">
          <cell r="A798">
            <v>222313</v>
          </cell>
          <cell r="B798"/>
          <cell r="C798" t="str">
            <v>Bandeja</v>
          </cell>
          <cell r="D798" t="str">
            <v>SPARE</v>
          </cell>
          <cell r="E798">
            <v>2</v>
          </cell>
          <cell r="F798" t="str">
            <v>Bandeja INFERIOR ESQUERDA COM PIVÔ FOCUS 2013 A 2018</v>
          </cell>
          <cell r="G798"/>
          <cell r="H798" t="str">
            <v>-</v>
          </cell>
          <cell r="I798"/>
          <cell r="J798"/>
          <cell r="K798"/>
          <cell r="L798"/>
          <cell r="M798"/>
          <cell r="N798"/>
          <cell r="O798"/>
          <cell r="P798"/>
          <cell r="Q798">
            <v>0</v>
          </cell>
          <cell r="R798"/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 t="str">
            <v/>
          </cell>
          <cell r="Y798" t="str">
            <v/>
          </cell>
          <cell r="Z798" t="str">
            <v/>
          </cell>
          <cell r="AA798">
            <v>1</v>
          </cell>
          <cell r="AB798">
            <v>0</v>
          </cell>
          <cell r="AC798">
            <v>1</v>
          </cell>
          <cell r="AD798"/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</row>
        <row r="799">
          <cell r="A799">
            <v>332077</v>
          </cell>
          <cell r="B799"/>
          <cell r="C799" t="str">
            <v>Bandeja</v>
          </cell>
          <cell r="D799" t="str">
            <v>SPARE</v>
          </cell>
          <cell r="E799">
            <v>2</v>
          </cell>
          <cell r="F799" t="str">
            <v>Bandeja INFERIOR ESQUERDA COM PIVÔ ASTRA 1995 1996</v>
          </cell>
          <cell r="G799"/>
          <cell r="H799" t="str">
            <v>-</v>
          </cell>
          <cell r="I799"/>
          <cell r="J799"/>
          <cell r="K799"/>
          <cell r="L799"/>
          <cell r="M799"/>
          <cell r="N799"/>
          <cell r="O799"/>
          <cell r="P799"/>
          <cell r="Q799">
            <v>0</v>
          </cell>
          <cell r="R799"/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 t="str">
            <v/>
          </cell>
          <cell r="Y799" t="str">
            <v/>
          </cell>
          <cell r="Z799" t="str">
            <v/>
          </cell>
          <cell r="AA799">
            <v>1</v>
          </cell>
          <cell r="AB799">
            <v>0</v>
          </cell>
          <cell r="AC799">
            <v>1</v>
          </cell>
          <cell r="AD799"/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</row>
        <row r="800">
          <cell r="A800">
            <v>772029</v>
          </cell>
          <cell r="B800" t="str">
            <v>Sim</v>
          </cell>
          <cell r="C800" t="str">
            <v>Bandeja</v>
          </cell>
          <cell r="D800" t="str">
            <v>SPARE</v>
          </cell>
          <cell r="E800">
            <v>2</v>
          </cell>
          <cell r="F800" t="str">
            <v>Bandeja Esquerda Inferior Corolla 1997 A 2002 Sem Pivô</v>
          </cell>
          <cell r="G800"/>
          <cell r="H800">
            <v>0</v>
          </cell>
          <cell r="I800">
            <v>0</v>
          </cell>
          <cell r="J800">
            <v>0</v>
          </cell>
          <cell r="K800" t="str">
            <v/>
          </cell>
          <cell r="L800" t="str">
            <v/>
          </cell>
          <cell r="M800">
            <v>0</v>
          </cell>
          <cell r="N800" t="str">
            <v/>
          </cell>
          <cell r="O800">
            <v>0</v>
          </cell>
          <cell r="P800" t="str">
            <v/>
          </cell>
          <cell r="Q800">
            <v>0</v>
          </cell>
          <cell r="R800" t="str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 t="str">
            <v/>
          </cell>
          <cell r="Y800" t="str">
            <v/>
          </cell>
          <cell r="Z800" t="str">
            <v/>
          </cell>
          <cell r="AA800">
            <v>1</v>
          </cell>
          <cell r="AB800">
            <v>0</v>
          </cell>
          <cell r="AC800">
            <v>1</v>
          </cell>
          <cell r="AD800"/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</row>
        <row r="801">
          <cell r="A801">
            <v>772030</v>
          </cell>
          <cell r="B801" t="str">
            <v>Sim</v>
          </cell>
          <cell r="C801" t="str">
            <v>Bandeja</v>
          </cell>
          <cell r="D801" t="str">
            <v>SPARE</v>
          </cell>
          <cell r="E801">
            <v>2</v>
          </cell>
          <cell r="F801" t="str">
            <v>Bandeja Direita Inferior Corolla 1997 A 2002 Sem Pivô</v>
          </cell>
          <cell r="G801"/>
          <cell r="H801">
            <v>0</v>
          </cell>
          <cell r="I801">
            <v>0</v>
          </cell>
          <cell r="J801">
            <v>0</v>
          </cell>
          <cell r="K801" t="str">
            <v/>
          </cell>
          <cell r="L801" t="str">
            <v/>
          </cell>
          <cell r="M801">
            <v>0</v>
          </cell>
          <cell r="N801" t="str">
            <v/>
          </cell>
          <cell r="O801">
            <v>0</v>
          </cell>
          <cell r="P801" t="str">
            <v/>
          </cell>
          <cell r="Q801">
            <v>0</v>
          </cell>
          <cell r="R801" t="str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 t="str">
            <v/>
          </cell>
          <cell r="Y801" t="str">
            <v/>
          </cell>
          <cell r="Z801" t="str">
            <v/>
          </cell>
          <cell r="AA801">
            <v>1</v>
          </cell>
          <cell r="AB801">
            <v>0</v>
          </cell>
          <cell r="AC801">
            <v>1</v>
          </cell>
          <cell r="AD801"/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</row>
        <row r="802">
          <cell r="A802">
            <v>6615</v>
          </cell>
          <cell r="B802"/>
          <cell r="C802" t="str">
            <v>Bieleta</v>
          </cell>
          <cell r="D802" t="str">
            <v>HOLYMAN</v>
          </cell>
          <cell r="E802">
            <v>5</v>
          </cell>
          <cell r="F802" t="str">
            <v>BIELETA DIANTEIRA DIR SPRINTER 2012...</v>
          </cell>
          <cell r="G802"/>
          <cell r="H802">
            <v>0</v>
          </cell>
          <cell r="I802">
            <v>0</v>
          </cell>
          <cell r="J802"/>
          <cell r="K802"/>
          <cell r="L802"/>
          <cell r="M802">
            <v>0</v>
          </cell>
          <cell r="N802" t="str">
            <v/>
          </cell>
          <cell r="O802">
            <v>0</v>
          </cell>
          <cell r="P802" t="str">
            <v/>
          </cell>
          <cell r="Q802">
            <v>0</v>
          </cell>
          <cell r="R802" t="str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 t="str">
            <v/>
          </cell>
          <cell r="Y802" t="str">
            <v/>
          </cell>
          <cell r="Z802" t="str">
            <v/>
          </cell>
          <cell r="AA802">
            <v>1</v>
          </cell>
          <cell r="AB802">
            <v>0</v>
          </cell>
          <cell r="AC802">
            <v>1</v>
          </cell>
          <cell r="AD802"/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</row>
        <row r="803">
          <cell r="A803">
            <v>13377</v>
          </cell>
          <cell r="B803"/>
          <cell r="C803" t="str">
            <v>Amortecedor</v>
          </cell>
          <cell r="D803" t="str">
            <v>SPARE</v>
          </cell>
          <cell r="E803">
            <v>2</v>
          </cell>
          <cell r="F803" t="str">
            <v>Par Amortecedor Dianteiro Turbogás L200 Triton 2013 A 2016</v>
          </cell>
          <cell r="G803"/>
          <cell r="H803">
            <v>0</v>
          </cell>
          <cell r="I803">
            <v>0</v>
          </cell>
          <cell r="J803" t="str">
            <v/>
          </cell>
          <cell r="K803" t="str">
            <v/>
          </cell>
          <cell r="L803" t="str">
            <v/>
          </cell>
          <cell r="M803">
            <v>0</v>
          </cell>
          <cell r="N803" t="str">
            <v/>
          </cell>
          <cell r="O803" t="str">
            <v/>
          </cell>
          <cell r="P803" t="str">
            <v/>
          </cell>
          <cell r="Q803">
            <v>0</v>
          </cell>
          <cell r="R803" t="str">
            <v>0</v>
          </cell>
          <cell r="S803" t="str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 t="str">
            <v/>
          </cell>
          <cell r="Y803" t="str">
            <v/>
          </cell>
          <cell r="Z803" t="str">
            <v/>
          </cell>
          <cell r="AA803">
            <v>0</v>
          </cell>
          <cell r="AB803">
            <v>0</v>
          </cell>
          <cell r="AC803">
            <v>0</v>
          </cell>
          <cell r="AD803"/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</row>
        <row r="804">
          <cell r="A804">
            <v>330314</v>
          </cell>
          <cell r="B804"/>
          <cell r="C804" t="str">
            <v>Amortecedor</v>
          </cell>
          <cell r="D804" t="str">
            <v>SPARE</v>
          </cell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>
            <v>1</v>
          </cell>
          <cell r="AA804">
            <v>0</v>
          </cell>
          <cell r="AB804">
            <v>0</v>
          </cell>
          <cell r="AC804">
            <v>0</v>
          </cell>
          <cell r="AD804"/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</row>
        <row r="805">
          <cell r="A805" t="str">
            <v>FTK-PDA147</v>
          </cell>
          <cell r="B805"/>
          <cell r="C805" t="str">
            <v>Amortecedor Pota Malas</v>
          </cell>
          <cell r="D805" t="str">
            <v>Pandão</v>
          </cell>
          <cell r="E805">
            <v>22</v>
          </cell>
          <cell r="F805" t="str">
            <v>AMORTECEDOR MOLA A GÁS PORTA MALAS ESCORT XR3 1984 A 1992</v>
          </cell>
          <cell r="G805"/>
          <cell r="H805" t="str">
            <v>-</v>
          </cell>
          <cell r="I805"/>
          <cell r="J805"/>
          <cell r="K805"/>
          <cell r="L805"/>
          <cell r="M805"/>
          <cell r="N805"/>
          <cell r="O805"/>
          <cell r="P805"/>
          <cell r="Q805">
            <v>0</v>
          </cell>
          <cell r="R805"/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 t="str">
            <v/>
          </cell>
          <cell r="Y805" t="str">
            <v/>
          </cell>
          <cell r="Z805" t="str">
            <v/>
          </cell>
          <cell r="AA805">
            <v>0</v>
          </cell>
          <cell r="AB805">
            <v>0</v>
          </cell>
          <cell r="AC805">
            <v>0</v>
          </cell>
          <cell r="AD805"/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</row>
        <row r="806">
          <cell r="A806" t="str">
            <v>FTK-PDA155</v>
          </cell>
          <cell r="B806"/>
          <cell r="C806" t="str">
            <v>Amortecedor Pota Malas</v>
          </cell>
          <cell r="D806" t="str">
            <v>Pandão</v>
          </cell>
          <cell r="E806">
            <v>22</v>
          </cell>
          <cell r="F806" t="str">
            <v>AMORTECEDOR MOLA A GÁS PORTA MALAS CROSSFOX 2005 EM DIANTE</v>
          </cell>
          <cell r="G806"/>
          <cell r="H806" t="str">
            <v>-</v>
          </cell>
          <cell r="I806"/>
          <cell r="J806"/>
          <cell r="K806"/>
          <cell r="L806"/>
          <cell r="M806"/>
          <cell r="N806"/>
          <cell r="O806"/>
          <cell r="P806"/>
          <cell r="Q806">
            <v>0</v>
          </cell>
          <cell r="R806"/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 t="str">
            <v/>
          </cell>
          <cell r="Y806" t="str">
            <v/>
          </cell>
          <cell r="Z806" t="str">
            <v/>
          </cell>
          <cell r="AA806">
            <v>0</v>
          </cell>
          <cell r="AB806">
            <v>0</v>
          </cell>
          <cell r="AC806">
            <v>0</v>
          </cell>
          <cell r="AD806"/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</row>
        <row r="807">
          <cell r="A807" t="str">
            <v>FTK-PDA157</v>
          </cell>
          <cell r="B807"/>
          <cell r="C807" t="str">
            <v>Amortecedor Pota Malas</v>
          </cell>
          <cell r="D807" t="str">
            <v>Pandão</v>
          </cell>
          <cell r="E807">
            <v>22</v>
          </cell>
          <cell r="F807" t="str">
            <v>AMORTECEDOR MOLA A GÁS PORTA MALAS JAC J6 2011 A 2017</v>
          </cell>
          <cell r="G807"/>
          <cell r="H807" t="str">
            <v>-</v>
          </cell>
          <cell r="I807"/>
          <cell r="J807"/>
          <cell r="K807"/>
          <cell r="L807"/>
          <cell r="M807"/>
          <cell r="N807"/>
          <cell r="O807"/>
          <cell r="P807"/>
          <cell r="Q807">
            <v>0</v>
          </cell>
          <cell r="R807"/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 t="str">
            <v/>
          </cell>
          <cell r="Y807" t="str">
            <v/>
          </cell>
          <cell r="Z807" t="str">
            <v/>
          </cell>
          <cell r="AA807">
            <v>0</v>
          </cell>
          <cell r="AB807">
            <v>0</v>
          </cell>
          <cell r="AC807">
            <v>0</v>
          </cell>
          <cell r="AD807"/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</row>
        <row r="808">
          <cell r="A808" t="str">
            <v>FTK-PDA158</v>
          </cell>
          <cell r="B808"/>
          <cell r="C808" t="str">
            <v>Amortecedor Pota Malas</v>
          </cell>
          <cell r="D808" t="str">
            <v>Pandão</v>
          </cell>
          <cell r="E808">
            <v>22</v>
          </cell>
          <cell r="F808" t="str">
            <v>AMORTECEDOR MOLA A GÁS PORTA MALAS PAJERO SPORT 2006 A 2011</v>
          </cell>
          <cell r="G808"/>
          <cell r="H808" t="str">
            <v>-</v>
          </cell>
          <cell r="I808"/>
          <cell r="J808"/>
          <cell r="K808"/>
          <cell r="L808"/>
          <cell r="M808"/>
          <cell r="N808"/>
          <cell r="O808"/>
          <cell r="P808"/>
          <cell r="Q808">
            <v>0</v>
          </cell>
          <cell r="R808"/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 t="str">
            <v/>
          </cell>
          <cell r="Y808" t="str">
            <v/>
          </cell>
          <cell r="Z808" t="str">
            <v/>
          </cell>
          <cell r="AA808">
            <v>0</v>
          </cell>
          <cell r="AB808">
            <v>0</v>
          </cell>
          <cell r="AC808">
            <v>0</v>
          </cell>
          <cell r="AD808"/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</row>
        <row r="809">
          <cell r="A809" t="str">
            <v>FTK-PDA160</v>
          </cell>
          <cell r="B809"/>
          <cell r="C809" t="str">
            <v>Amortecedor Pota Malas</v>
          </cell>
          <cell r="D809" t="str">
            <v>Pandão</v>
          </cell>
          <cell r="E809">
            <v>22</v>
          </cell>
          <cell r="F809" t="str">
            <v>AMORTECEDOR MOLA A GÁS PORTA MALAS NEW KA 2008 A 2013</v>
          </cell>
          <cell r="G809"/>
          <cell r="H809" t="str">
            <v>-</v>
          </cell>
          <cell r="I809"/>
          <cell r="J809"/>
          <cell r="K809"/>
          <cell r="L809"/>
          <cell r="M809"/>
          <cell r="N809"/>
          <cell r="O809"/>
          <cell r="P809"/>
          <cell r="Q809">
            <v>0</v>
          </cell>
          <cell r="R809"/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 t="str">
            <v/>
          </cell>
          <cell r="Y809" t="str">
            <v/>
          </cell>
          <cell r="Z809" t="str">
            <v/>
          </cell>
          <cell r="AA809">
            <v>0</v>
          </cell>
          <cell r="AB809">
            <v>0</v>
          </cell>
          <cell r="AC809">
            <v>0</v>
          </cell>
          <cell r="AD809"/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</row>
        <row r="810">
          <cell r="A810" t="str">
            <v>FTK-PDA50</v>
          </cell>
          <cell r="B810"/>
          <cell r="C810" t="str">
            <v>Amortecedor Pota Malas</v>
          </cell>
          <cell r="D810" t="str">
            <v>Pandão</v>
          </cell>
          <cell r="E810">
            <v>22</v>
          </cell>
          <cell r="F810" t="str">
            <v>AMORTECEDOR MOLA A GÁS PORTA MALAS PEUGEOT 206 1999 A 2009</v>
          </cell>
          <cell r="G810"/>
          <cell r="H810" t="str">
            <v>-</v>
          </cell>
          <cell r="I810"/>
          <cell r="J810"/>
          <cell r="K810"/>
          <cell r="L810"/>
          <cell r="M810"/>
          <cell r="N810"/>
          <cell r="O810"/>
          <cell r="P810"/>
          <cell r="Q810">
            <v>0</v>
          </cell>
          <cell r="R810"/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 t="str">
            <v/>
          </cell>
          <cell r="Y810" t="str">
            <v/>
          </cell>
          <cell r="Z810" t="str">
            <v/>
          </cell>
          <cell r="AA810">
            <v>0</v>
          </cell>
          <cell r="AB810">
            <v>0</v>
          </cell>
          <cell r="AC810">
            <v>0</v>
          </cell>
          <cell r="AD810"/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</row>
        <row r="811">
          <cell r="A811">
            <v>102011</v>
          </cell>
          <cell r="B811" t="str">
            <v>Não</v>
          </cell>
          <cell r="C811" t="str">
            <v>Bandeja</v>
          </cell>
          <cell r="D811" t="str">
            <v>SPARE</v>
          </cell>
          <cell r="E811">
            <v>2</v>
          </cell>
          <cell r="F811" t="str">
            <v>Bandeja Inferior Lado Esquerdo Alfa Romeu 145 1995 A 1999</v>
          </cell>
          <cell r="G811"/>
          <cell r="H811">
            <v>0</v>
          </cell>
          <cell r="I811">
            <v>0</v>
          </cell>
          <cell r="J811" t="str">
            <v/>
          </cell>
          <cell r="K811" t="str">
            <v/>
          </cell>
          <cell r="L811" t="str">
            <v/>
          </cell>
          <cell r="M811">
            <v>0</v>
          </cell>
          <cell r="N811" t="str">
            <v/>
          </cell>
          <cell r="O811" t="str">
            <v/>
          </cell>
          <cell r="P811" t="str">
            <v/>
          </cell>
          <cell r="Q811">
            <v>0</v>
          </cell>
          <cell r="R811" t="str">
            <v>0</v>
          </cell>
          <cell r="S811" t="str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 t="str">
            <v/>
          </cell>
          <cell r="Y811" t="str">
            <v/>
          </cell>
          <cell r="Z811" t="str">
            <v/>
          </cell>
          <cell r="AA811">
            <v>0</v>
          </cell>
          <cell r="AB811">
            <v>0</v>
          </cell>
          <cell r="AC811">
            <v>0</v>
          </cell>
          <cell r="AD811"/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</row>
        <row r="812">
          <cell r="A812">
            <v>112029</v>
          </cell>
          <cell r="B812" t="str">
            <v>Sim</v>
          </cell>
          <cell r="C812" t="str">
            <v>Bandeja</v>
          </cell>
          <cell r="D812" t="str">
            <v>SPARE</v>
          </cell>
          <cell r="E812">
            <v>2</v>
          </cell>
          <cell r="F812" t="str">
            <v>Bandeja Esquerda Palio 1996 Á 2001 Sem Pivô</v>
          </cell>
          <cell r="G812"/>
          <cell r="H812">
            <v>0</v>
          </cell>
          <cell r="I812">
            <v>0</v>
          </cell>
          <cell r="J812" t="str">
            <v/>
          </cell>
          <cell r="K812" t="str">
            <v/>
          </cell>
          <cell r="L812" t="str">
            <v/>
          </cell>
          <cell r="M812">
            <v>0</v>
          </cell>
          <cell r="N812" t="str">
            <v/>
          </cell>
          <cell r="O812" t="str">
            <v/>
          </cell>
          <cell r="P812" t="str">
            <v/>
          </cell>
          <cell r="Q812">
            <v>0</v>
          </cell>
          <cell r="R812" t="str">
            <v>0</v>
          </cell>
          <cell r="S812" t="str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 t="str">
            <v/>
          </cell>
          <cell r="Y812" t="str">
            <v/>
          </cell>
          <cell r="Z812" t="str">
            <v/>
          </cell>
          <cell r="AA812">
            <v>0</v>
          </cell>
          <cell r="AB812">
            <v>0</v>
          </cell>
          <cell r="AC812">
            <v>0</v>
          </cell>
          <cell r="AD812"/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</row>
        <row r="813">
          <cell r="A813">
            <v>112048</v>
          </cell>
          <cell r="B813" t="str">
            <v>Não</v>
          </cell>
          <cell r="C813" t="str">
            <v>Bandeja</v>
          </cell>
          <cell r="D813" t="str">
            <v>SPARE</v>
          </cell>
          <cell r="E813">
            <v>2</v>
          </cell>
          <cell r="F813"/>
          <cell r="G813"/>
          <cell r="H813" t="str">
            <v>-</v>
          </cell>
          <cell r="I813"/>
          <cell r="J813"/>
          <cell r="K813"/>
          <cell r="L813"/>
          <cell r="M813"/>
          <cell r="N813"/>
          <cell r="O813"/>
          <cell r="P813"/>
          <cell r="Q813">
            <v>0</v>
          </cell>
          <cell r="R813" t="str">
            <v>0</v>
          </cell>
          <cell r="S813" t="str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 t="str">
            <v/>
          </cell>
          <cell r="Y813" t="str">
            <v/>
          </cell>
          <cell r="Z813" t="str">
            <v/>
          </cell>
          <cell r="AA813">
            <v>0</v>
          </cell>
          <cell r="AB813">
            <v>0</v>
          </cell>
          <cell r="AC813">
            <v>0</v>
          </cell>
          <cell r="AD813"/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</row>
        <row r="814">
          <cell r="A814">
            <v>112049</v>
          </cell>
          <cell r="B814" t="str">
            <v>Não</v>
          </cell>
          <cell r="C814" t="str">
            <v>Bandeja</v>
          </cell>
          <cell r="D814" t="str">
            <v>SPARE</v>
          </cell>
          <cell r="E814">
            <v>2</v>
          </cell>
          <cell r="F814"/>
          <cell r="G814"/>
          <cell r="H814" t="str">
            <v>-</v>
          </cell>
          <cell r="I814"/>
          <cell r="J814"/>
          <cell r="K814"/>
          <cell r="L814"/>
          <cell r="M814"/>
          <cell r="N814"/>
          <cell r="O814"/>
          <cell r="P814"/>
          <cell r="Q814">
            <v>0</v>
          </cell>
          <cell r="R814" t="str">
            <v>0</v>
          </cell>
          <cell r="S814" t="str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 t="str">
            <v/>
          </cell>
          <cell r="Y814" t="str">
            <v/>
          </cell>
          <cell r="Z814" t="str">
            <v/>
          </cell>
          <cell r="AA814">
            <v>0</v>
          </cell>
          <cell r="AB814">
            <v>0</v>
          </cell>
          <cell r="AC814">
            <v>0</v>
          </cell>
          <cell r="AD814"/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</row>
        <row r="815">
          <cell r="A815">
            <v>112062</v>
          </cell>
          <cell r="B815" t="str">
            <v>Sim</v>
          </cell>
          <cell r="C815" t="str">
            <v>Bandeja</v>
          </cell>
          <cell r="D815" t="str">
            <v>SPARE</v>
          </cell>
          <cell r="E815">
            <v>2</v>
          </cell>
          <cell r="F815" t="str">
            <v>Bandeja Com Pivô Direita Fiorino 2014 Em Diante</v>
          </cell>
          <cell r="G815"/>
          <cell r="H815">
            <v>0</v>
          </cell>
          <cell r="I815">
            <v>0</v>
          </cell>
          <cell r="J815" t="str">
            <v/>
          </cell>
          <cell r="K815" t="str">
            <v/>
          </cell>
          <cell r="L815" t="str">
            <v/>
          </cell>
          <cell r="M815">
            <v>0</v>
          </cell>
          <cell r="N815" t="str">
            <v/>
          </cell>
          <cell r="O815" t="str">
            <v/>
          </cell>
          <cell r="P815" t="str">
            <v/>
          </cell>
          <cell r="Q815">
            <v>0</v>
          </cell>
          <cell r="R815" t="str">
            <v>0</v>
          </cell>
          <cell r="S815" t="str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 t="str">
            <v/>
          </cell>
          <cell r="Y815" t="str">
            <v/>
          </cell>
          <cell r="Z815" t="str">
            <v/>
          </cell>
          <cell r="AA815">
            <v>0</v>
          </cell>
          <cell r="AB815">
            <v>0</v>
          </cell>
          <cell r="AC815">
            <v>0</v>
          </cell>
          <cell r="AD815"/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</row>
        <row r="816">
          <cell r="A816">
            <v>112063</v>
          </cell>
          <cell r="B816" t="str">
            <v>Sim</v>
          </cell>
          <cell r="C816" t="str">
            <v>Bandeja</v>
          </cell>
          <cell r="D816" t="str">
            <v>SPARE</v>
          </cell>
          <cell r="E816">
            <v>2</v>
          </cell>
          <cell r="F816" t="str">
            <v>Bandeja Inferior Esquerda Com Pivô Fiorino 2014 Em Diante</v>
          </cell>
          <cell r="G816"/>
          <cell r="H816">
            <v>0</v>
          </cell>
          <cell r="I816">
            <v>0</v>
          </cell>
          <cell r="J816" t="str">
            <v/>
          </cell>
          <cell r="K816" t="str">
            <v/>
          </cell>
          <cell r="L816" t="str">
            <v/>
          </cell>
          <cell r="M816">
            <v>0</v>
          </cell>
          <cell r="N816" t="str">
            <v/>
          </cell>
          <cell r="O816" t="str">
            <v/>
          </cell>
          <cell r="P816" t="str">
            <v/>
          </cell>
          <cell r="Q816">
            <v>0</v>
          </cell>
          <cell r="R816" t="str">
            <v>0</v>
          </cell>
          <cell r="S816" t="str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 t="str">
            <v/>
          </cell>
          <cell r="Y816" t="str">
            <v/>
          </cell>
          <cell r="Z816" t="str">
            <v/>
          </cell>
          <cell r="AA816">
            <v>0</v>
          </cell>
          <cell r="AB816">
            <v>0</v>
          </cell>
          <cell r="AC816">
            <v>0</v>
          </cell>
          <cell r="AD816"/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</row>
        <row r="817">
          <cell r="A817">
            <v>112075</v>
          </cell>
          <cell r="B817" t="str">
            <v>Sim</v>
          </cell>
          <cell r="C817" t="str">
            <v>Bandeja</v>
          </cell>
          <cell r="D817" t="str">
            <v>SPARE</v>
          </cell>
          <cell r="E817">
            <v>2</v>
          </cell>
          <cell r="F817" t="str">
            <v xml:space="preserve">Bandeja Esquerda Com Pivô Palio Weekend Adventure Locker </v>
          </cell>
          <cell r="G817"/>
          <cell r="H817">
            <v>0</v>
          </cell>
          <cell r="I817">
            <v>0</v>
          </cell>
          <cell r="J817" t="str">
            <v/>
          </cell>
          <cell r="K817" t="str">
            <v/>
          </cell>
          <cell r="L817" t="str">
            <v/>
          </cell>
          <cell r="M817">
            <v>0</v>
          </cell>
          <cell r="N817" t="str">
            <v/>
          </cell>
          <cell r="O817" t="str">
            <v/>
          </cell>
          <cell r="P817" t="str">
            <v/>
          </cell>
          <cell r="Q817">
            <v>0</v>
          </cell>
          <cell r="R817" t="str">
            <v>0</v>
          </cell>
          <cell r="S817" t="str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 t="str">
            <v/>
          </cell>
          <cell r="Y817" t="str">
            <v/>
          </cell>
          <cell r="Z817" t="str">
            <v/>
          </cell>
          <cell r="AA817">
            <v>0</v>
          </cell>
          <cell r="AB817">
            <v>0</v>
          </cell>
          <cell r="AC817">
            <v>0</v>
          </cell>
          <cell r="AD817"/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</row>
        <row r="818">
          <cell r="A818">
            <v>112113</v>
          </cell>
          <cell r="B818" t="str">
            <v>Não</v>
          </cell>
          <cell r="C818" t="str">
            <v>Bandeja</v>
          </cell>
          <cell r="D818" t="str">
            <v>SPARE</v>
          </cell>
          <cell r="E818">
            <v>2</v>
          </cell>
          <cell r="F818"/>
          <cell r="G818"/>
          <cell r="H818" t="str">
            <v>-</v>
          </cell>
          <cell r="I818"/>
          <cell r="J818"/>
          <cell r="K818"/>
          <cell r="L818"/>
          <cell r="M818"/>
          <cell r="N818"/>
          <cell r="O818"/>
          <cell r="P818"/>
          <cell r="Q818">
            <v>0</v>
          </cell>
          <cell r="R818" t="str">
            <v>0</v>
          </cell>
          <cell r="S818" t="str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 t="str">
            <v/>
          </cell>
          <cell r="Y818" t="str">
            <v/>
          </cell>
          <cell r="Z818" t="str">
            <v/>
          </cell>
          <cell r="AA818">
            <v>0</v>
          </cell>
          <cell r="AB818">
            <v>0</v>
          </cell>
          <cell r="AC818">
            <v>0</v>
          </cell>
          <cell r="AD818"/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</row>
        <row r="819">
          <cell r="A819">
            <v>112114</v>
          </cell>
          <cell r="B819" t="str">
            <v>Não</v>
          </cell>
          <cell r="C819" t="str">
            <v>Bandeja</v>
          </cell>
          <cell r="D819" t="str">
            <v>SPARE</v>
          </cell>
          <cell r="E819">
            <v>2</v>
          </cell>
          <cell r="F819"/>
          <cell r="G819"/>
          <cell r="H819" t="str">
            <v>-</v>
          </cell>
          <cell r="I819"/>
          <cell r="J819"/>
          <cell r="K819"/>
          <cell r="L819"/>
          <cell r="M819"/>
          <cell r="N819"/>
          <cell r="O819"/>
          <cell r="P819"/>
          <cell r="Q819">
            <v>0</v>
          </cell>
          <cell r="R819" t="str">
            <v>0</v>
          </cell>
          <cell r="S819" t="str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 t="str">
            <v/>
          </cell>
          <cell r="Y819" t="str">
            <v/>
          </cell>
          <cell r="Z819" t="str">
            <v/>
          </cell>
          <cell r="AA819">
            <v>0</v>
          </cell>
          <cell r="AB819">
            <v>0</v>
          </cell>
          <cell r="AC819">
            <v>0</v>
          </cell>
          <cell r="AD819"/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</row>
        <row r="820">
          <cell r="A820">
            <v>112115</v>
          </cell>
          <cell r="B820" t="str">
            <v>Não</v>
          </cell>
          <cell r="C820" t="str">
            <v>Bandeja</v>
          </cell>
          <cell r="D820" t="str">
            <v>SPARE</v>
          </cell>
          <cell r="E820">
            <v>2</v>
          </cell>
          <cell r="F820" t="str">
            <v>Bandeja Dianteira Sem Pivô Esquerda Toro  2018 À 2020</v>
          </cell>
          <cell r="G820"/>
          <cell r="H820">
            <v>0</v>
          </cell>
          <cell r="I820">
            <v>0</v>
          </cell>
          <cell r="J820" t="str">
            <v/>
          </cell>
          <cell r="K820" t="str">
            <v/>
          </cell>
          <cell r="L820" t="str">
            <v/>
          </cell>
          <cell r="M820">
            <v>0</v>
          </cell>
          <cell r="N820" t="str">
            <v/>
          </cell>
          <cell r="O820" t="str">
            <v/>
          </cell>
          <cell r="P820" t="str">
            <v/>
          </cell>
          <cell r="Q820">
            <v>0</v>
          </cell>
          <cell r="R820" t="str">
            <v>0</v>
          </cell>
          <cell r="S820" t="str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 t="str">
            <v/>
          </cell>
          <cell r="Y820" t="str">
            <v/>
          </cell>
          <cell r="Z820" t="str">
            <v/>
          </cell>
          <cell r="AA820">
            <v>0</v>
          </cell>
          <cell r="AB820">
            <v>0</v>
          </cell>
          <cell r="AC820">
            <v>0</v>
          </cell>
          <cell r="AD820"/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</row>
        <row r="821">
          <cell r="A821">
            <v>112117</v>
          </cell>
          <cell r="B821" t="str">
            <v>Sim</v>
          </cell>
          <cell r="C821" t="str">
            <v>Bandeja</v>
          </cell>
          <cell r="D821" t="str">
            <v>SPARE</v>
          </cell>
          <cell r="E821">
            <v>2</v>
          </cell>
          <cell r="F821" t="str">
            <v>Bandeja Dianteira Direita Com Pivô Compass 4x4 2015 A 2020</v>
          </cell>
          <cell r="G821"/>
          <cell r="H821">
            <v>0</v>
          </cell>
          <cell r="I821">
            <v>0</v>
          </cell>
          <cell r="J821">
            <v>0</v>
          </cell>
          <cell r="K821" t="str">
            <v/>
          </cell>
          <cell r="L821" t="str">
            <v/>
          </cell>
          <cell r="M821">
            <v>0</v>
          </cell>
          <cell r="N821" t="str">
            <v/>
          </cell>
          <cell r="O821">
            <v>0</v>
          </cell>
          <cell r="P821" t="str">
            <v/>
          </cell>
          <cell r="Q821">
            <v>0</v>
          </cell>
          <cell r="R821" t="str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 t="str">
            <v/>
          </cell>
          <cell r="Y821" t="str">
            <v/>
          </cell>
          <cell r="Z821" t="str">
            <v/>
          </cell>
          <cell r="AA821">
            <v>0</v>
          </cell>
          <cell r="AB821">
            <v>0</v>
          </cell>
          <cell r="AC821">
            <v>0</v>
          </cell>
          <cell r="AD821"/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</row>
        <row r="822">
          <cell r="A822">
            <v>112118</v>
          </cell>
          <cell r="B822" t="str">
            <v>Sim</v>
          </cell>
          <cell r="C822" t="str">
            <v>Bandeja</v>
          </cell>
          <cell r="D822" t="str">
            <v>SPARE</v>
          </cell>
          <cell r="E822">
            <v>2</v>
          </cell>
          <cell r="F822" t="str">
            <v>Bandeja Dianteira Esquerda Com Pivô Toro 4x4 2016 A 2020</v>
          </cell>
          <cell r="G822"/>
          <cell r="H822">
            <v>0</v>
          </cell>
          <cell r="I822">
            <v>0</v>
          </cell>
          <cell r="J822">
            <v>0</v>
          </cell>
          <cell r="K822" t="str">
            <v/>
          </cell>
          <cell r="L822" t="str">
            <v/>
          </cell>
          <cell r="M822">
            <v>0</v>
          </cell>
          <cell r="N822" t="str">
            <v/>
          </cell>
          <cell r="O822">
            <v>0</v>
          </cell>
          <cell r="P822" t="str">
            <v/>
          </cell>
          <cell r="Q822">
            <v>0</v>
          </cell>
          <cell r="R822" t="str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 t="str">
            <v/>
          </cell>
          <cell r="Y822" t="str">
            <v/>
          </cell>
          <cell r="Z822" t="str">
            <v/>
          </cell>
          <cell r="AA822">
            <v>0</v>
          </cell>
          <cell r="AB822">
            <v>0</v>
          </cell>
          <cell r="AC822">
            <v>0</v>
          </cell>
          <cell r="AD822"/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</row>
        <row r="823">
          <cell r="A823">
            <v>112120</v>
          </cell>
          <cell r="B823" t="str">
            <v>Não</v>
          </cell>
          <cell r="C823" t="str">
            <v>Bandeja</v>
          </cell>
          <cell r="D823" t="str">
            <v>SPARE</v>
          </cell>
          <cell r="E823">
            <v>2</v>
          </cell>
          <cell r="F823"/>
          <cell r="G823"/>
          <cell r="H823" t="str">
            <v>-</v>
          </cell>
          <cell r="I823"/>
          <cell r="J823"/>
          <cell r="K823"/>
          <cell r="L823"/>
          <cell r="M823"/>
          <cell r="N823"/>
          <cell r="O823"/>
          <cell r="P823"/>
          <cell r="Q823">
            <v>0</v>
          </cell>
          <cell r="R823" t="str">
            <v>0</v>
          </cell>
          <cell r="S823" t="str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 t="str">
            <v/>
          </cell>
          <cell r="Y823" t="str">
            <v/>
          </cell>
          <cell r="Z823" t="str">
            <v/>
          </cell>
          <cell r="AA823">
            <v>0</v>
          </cell>
          <cell r="AB823">
            <v>0</v>
          </cell>
          <cell r="AC823">
            <v>0</v>
          </cell>
          <cell r="AD823"/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</row>
        <row r="824">
          <cell r="A824">
            <v>112121</v>
          </cell>
          <cell r="B824" t="str">
            <v>Não</v>
          </cell>
          <cell r="C824" t="str">
            <v>Bandeja</v>
          </cell>
          <cell r="D824" t="str">
            <v>SPARE</v>
          </cell>
          <cell r="E824">
            <v>2</v>
          </cell>
          <cell r="F824"/>
          <cell r="G824"/>
          <cell r="H824" t="str">
            <v>-</v>
          </cell>
          <cell r="I824"/>
          <cell r="J824"/>
          <cell r="K824"/>
          <cell r="L824"/>
          <cell r="M824"/>
          <cell r="N824"/>
          <cell r="O824"/>
          <cell r="P824"/>
          <cell r="Q824">
            <v>0</v>
          </cell>
          <cell r="R824" t="str">
            <v>0</v>
          </cell>
          <cell r="S824" t="str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 t="str">
            <v/>
          </cell>
          <cell r="Y824" t="str">
            <v/>
          </cell>
          <cell r="Z824" t="str">
            <v/>
          </cell>
          <cell r="AA824">
            <v>0</v>
          </cell>
          <cell r="AB824">
            <v>0</v>
          </cell>
          <cell r="AC824">
            <v>0</v>
          </cell>
          <cell r="AD824"/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</row>
        <row r="825">
          <cell r="A825">
            <v>112124</v>
          </cell>
          <cell r="B825"/>
          <cell r="C825" t="str">
            <v>Bandeja</v>
          </cell>
          <cell r="D825" t="str">
            <v>SPARE</v>
          </cell>
          <cell r="E825">
            <v>2</v>
          </cell>
          <cell r="F825" t="str">
            <v>Bandeja DIANTEIRA INFERIOR  ARGO CRONOS STRADA LADO DIREITO COM PIVÔ</v>
          </cell>
          <cell r="G825"/>
          <cell r="H825" t="str">
            <v>-</v>
          </cell>
          <cell r="I825"/>
          <cell r="J825"/>
          <cell r="K825"/>
          <cell r="L825"/>
          <cell r="M825"/>
          <cell r="N825"/>
          <cell r="O825"/>
          <cell r="P825"/>
          <cell r="Q825">
            <v>0</v>
          </cell>
          <cell r="R825"/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 t="str">
            <v/>
          </cell>
          <cell r="Y825" t="str">
            <v/>
          </cell>
          <cell r="Z825" t="str">
            <v/>
          </cell>
          <cell r="AA825">
            <v>0</v>
          </cell>
          <cell r="AB825">
            <v>0</v>
          </cell>
          <cell r="AC825">
            <v>0</v>
          </cell>
          <cell r="AD825"/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</row>
        <row r="826">
          <cell r="A826">
            <v>222028</v>
          </cell>
          <cell r="B826" t="str">
            <v>Não</v>
          </cell>
          <cell r="C826" t="str">
            <v>Bandeja</v>
          </cell>
          <cell r="D826" t="str">
            <v>SPARE</v>
          </cell>
          <cell r="E826">
            <v>2</v>
          </cell>
          <cell r="F826"/>
          <cell r="G826"/>
          <cell r="H826" t="str">
            <v>-</v>
          </cell>
          <cell r="I826"/>
          <cell r="J826"/>
          <cell r="K826"/>
          <cell r="L826"/>
          <cell r="M826"/>
          <cell r="N826"/>
          <cell r="O826"/>
          <cell r="P826"/>
          <cell r="Q826">
            <v>0</v>
          </cell>
          <cell r="R826" t="str">
            <v>0</v>
          </cell>
          <cell r="S826" t="str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 t="str">
            <v/>
          </cell>
          <cell r="Y826" t="str">
            <v/>
          </cell>
          <cell r="Z826" t="str">
            <v/>
          </cell>
          <cell r="AA826">
            <v>0</v>
          </cell>
          <cell r="AB826">
            <v>0</v>
          </cell>
          <cell r="AC826">
            <v>0</v>
          </cell>
          <cell r="AD826"/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</row>
        <row r="827">
          <cell r="A827">
            <v>222030</v>
          </cell>
          <cell r="B827" t="str">
            <v>Sim</v>
          </cell>
          <cell r="C827" t="str">
            <v>Bandeja</v>
          </cell>
          <cell r="D827" t="str">
            <v>SPARE</v>
          </cell>
          <cell r="E827">
            <v>2</v>
          </cell>
          <cell r="F827" t="str">
            <v>Bandeja Inferior Chapa Simples Direito Fiesta Sem Pivô</v>
          </cell>
          <cell r="G827"/>
          <cell r="H827">
            <v>0</v>
          </cell>
          <cell r="I827">
            <v>0</v>
          </cell>
          <cell r="J827" t="str">
            <v/>
          </cell>
          <cell r="K827" t="str">
            <v/>
          </cell>
          <cell r="L827" t="str">
            <v/>
          </cell>
          <cell r="M827">
            <v>0</v>
          </cell>
          <cell r="N827" t="str">
            <v/>
          </cell>
          <cell r="O827" t="str">
            <v/>
          </cell>
          <cell r="P827" t="str">
            <v/>
          </cell>
          <cell r="Q827">
            <v>0</v>
          </cell>
          <cell r="R827" t="str">
            <v>0</v>
          </cell>
          <cell r="S827" t="str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 t="str">
            <v/>
          </cell>
          <cell r="Y827" t="str">
            <v/>
          </cell>
          <cell r="Z827" t="str">
            <v/>
          </cell>
          <cell r="AA827">
            <v>0</v>
          </cell>
          <cell r="AB827">
            <v>0</v>
          </cell>
          <cell r="AC827">
            <v>0</v>
          </cell>
          <cell r="AD827"/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</row>
        <row r="828">
          <cell r="A828">
            <v>222037</v>
          </cell>
          <cell r="B828" t="str">
            <v>Sim</v>
          </cell>
          <cell r="C828" t="str">
            <v>Bandeja</v>
          </cell>
          <cell r="D828" t="str">
            <v>SPARE</v>
          </cell>
          <cell r="E828">
            <v>2</v>
          </cell>
          <cell r="F828" t="str">
            <v>Bandeja Inferior Ambos Os Lados Chapa. D Fiesta Street</v>
          </cell>
          <cell r="G828"/>
          <cell r="H828">
            <v>0</v>
          </cell>
          <cell r="I828">
            <v>0</v>
          </cell>
          <cell r="J828" t="str">
            <v/>
          </cell>
          <cell r="K828" t="str">
            <v/>
          </cell>
          <cell r="L828" t="str">
            <v/>
          </cell>
          <cell r="M828">
            <v>0</v>
          </cell>
          <cell r="N828" t="str">
            <v/>
          </cell>
          <cell r="O828" t="str">
            <v/>
          </cell>
          <cell r="P828" t="str">
            <v/>
          </cell>
          <cell r="Q828">
            <v>0</v>
          </cell>
          <cell r="R828" t="str">
            <v>0</v>
          </cell>
          <cell r="S828" t="str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 t="str">
            <v/>
          </cell>
          <cell r="Y828" t="str">
            <v/>
          </cell>
          <cell r="Z828" t="str">
            <v/>
          </cell>
          <cell r="AA828">
            <v>0</v>
          </cell>
          <cell r="AB828">
            <v>0</v>
          </cell>
          <cell r="AC828">
            <v>0</v>
          </cell>
          <cell r="AD828"/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</row>
        <row r="829">
          <cell r="A829">
            <v>222061</v>
          </cell>
          <cell r="B829" t="str">
            <v>Sim</v>
          </cell>
          <cell r="C829" t="str">
            <v>Bandeja</v>
          </cell>
          <cell r="D829" t="str">
            <v>SPARE</v>
          </cell>
          <cell r="E829">
            <v>2</v>
          </cell>
          <cell r="F829" t="str">
            <v>Bandeja Inferior Esquerdo Ka Direção Hidráulica 08 Á 13</v>
          </cell>
          <cell r="G829"/>
          <cell r="H829">
            <v>0</v>
          </cell>
          <cell r="I829">
            <v>0</v>
          </cell>
          <cell r="J829" t="str">
            <v/>
          </cell>
          <cell r="K829" t="str">
            <v/>
          </cell>
          <cell r="L829" t="str">
            <v/>
          </cell>
          <cell r="M829">
            <v>0</v>
          </cell>
          <cell r="N829" t="str">
            <v/>
          </cell>
          <cell r="O829" t="str">
            <v/>
          </cell>
          <cell r="P829" t="str">
            <v/>
          </cell>
          <cell r="Q829">
            <v>0</v>
          </cell>
          <cell r="R829" t="str">
            <v>0</v>
          </cell>
          <cell r="S829" t="str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 t="str">
            <v/>
          </cell>
          <cell r="Y829" t="str">
            <v/>
          </cell>
          <cell r="Z829" t="str">
            <v/>
          </cell>
          <cell r="AA829">
            <v>0</v>
          </cell>
          <cell r="AB829">
            <v>0</v>
          </cell>
          <cell r="AC829">
            <v>0</v>
          </cell>
          <cell r="AD829"/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</row>
        <row r="830">
          <cell r="A830">
            <v>222067</v>
          </cell>
          <cell r="B830" t="str">
            <v>Sim</v>
          </cell>
          <cell r="C830" t="str">
            <v>Bandeja</v>
          </cell>
          <cell r="D830" t="str">
            <v>SPARE</v>
          </cell>
          <cell r="E830">
            <v>2</v>
          </cell>
          <cell r="F830" t="str">
            <v>Bandeja INFERIOR DIREITA SEM PIVÔ FOCUS 1999 A 2008</v>
          </cell>
          <cell r="G830"/>
          <cell r="H830">
            <v>0</v>
          </cell>
          <cell r="I830">
            <v>0</v>
          </cell>
          <cell r="J830"/>
          <cell r="K830"/>
          <cell r="L830"/>
          <cell r="M830">
            <v>0</v>
          </cell>
          <cell r="N830" t="str">
            <v/>
          </cell>
          <cell r="O830">
            <v>0</v>
          </cell>
          <cell r="P830" t="str">
            <v/>
          </cell>
          <cell r="Q830">
            <v>0</v>
          </cell>
          <cell r="R830" t="str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 t="str">
            <v/>
          </cell>
          <cell r="Y830" t="str">
            <v/>
          </cell>
          <cell r="Z830" t="str">
            <v/>
          </cell>
          <cell r="AA830">
            <v>0</v>
          </cell>
          <cell r="AB830">
            <v>0</v>
          </cell>
          <cell r="AC830">
            <v>0</v>
          </cell>
          <cell r="AD830"/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</row>
        <row r="831">
          <cell r="A831">
            <v>222068</v>
          </cell>
          <cell r="B831" t="str">
            <v>Sim</v>
          </cell>
          <cell r="C831" t="str">
            <v>Bandeja</v>
          </cell>
          <cell r="D831" t="str">
            <v>SPARE</v>
          </cell>
          <cell r="E831">
            <v>2</v>
          </cell>
          <cell r="F831" t="str">
            <v>Bandeja INFERIOR ESQUERDA SEM PIVÔ FOCUS 1999 A 2008</v>
          </cell>
          <cell r="G831"/>
          <cell r="H831">
            <v>0</v>
          </cell>
          <cell r="I831">
            <v>0</v>
          </cell>
          <cell r="J831"/>
          <cell r="K831"/>
          <cell r="L831"/>
          <cell r="M831">
            <v>0</v>
          </cell>
          <cell r="N831" t="str">
            <v/>
          </cell>
          <cell r="O831">
            <v>0</v>
          </cell>
          <cell r="P831" t="str">
            <v/>
          </cell>
          <cell r="Q831">
            <v>0</v>
          </cell>
          <cell r="R831" t="str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 t="str">
            <v/>
          </cell>
          <cell r="Y831" t="str">
            <v/>
          </cell>
          <cell r="Z831" t="str">
            <v/>
          </cell>
          <cell r="AA831">
            <v>0</v>
          </cell>
          <cell r="AB831">
            <v>0</v>
          </cell>
          <cell r="AC831">
            <v>0</v>
          </cell>
          <cell r="AD831"/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</row>
        <row r="832">
          <cell r="A832">
            <v>222069</v>
          </cell>
          <cell r="B832"/>
          <cell r="C832" t="str">
            <v>Bandeja</v>
          </cell>
          <cell r="D832" t="str">
            <v>SPARE</v>
          </cell>
          <cell r="E832">
            <v>2</v>
          </cell>
          <cell r="F832" t="str">
            <v>Bandeja INFERIOR DIREITA COM PIVÔ FOCUS 1999 A 2008</v>
          </cell>
          <cell r="G832"/>
          <cell r="H832" t="str">
            <v>-</v>
          </cell>
          <cell r="I832"/>
          <cell r="J832"/>
          <cell r="K832"/>
          <cell r="L832"/>
          <cell r="M832"/>
          <cell r="N832"/>
          <cell r="O832"/>
          <cell r="P832"/>
          <cell r="Q832">
            <v>0</v>
          </cell>
          <cell r="R832"/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 t="str">
            <v/>
          </cell>
          <cell r="Y832" t="str">
            <v/>
          </cell>
          <cell r="Z832" t="str">
            <v/>
          </cell>
          <cell r="AA832">
            <v>0</v>
          </cell>
          <cell r="AB832">
            <v>0</v>
          </cell>
          <cell r="AC832">
            <v>0</v>
          </cell>
          <cell r="AD832"/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</row>
        <row r="833">
          <cell r="A833">
            <v>222070</v>
          </cell>
          <cell r="B833"/>
          <cell r="C833" t="str">
            <v>Bandeja</v>
          </cell>
          <cell r="D833" t="str">
            <v>SPARE</v>
          </cell>
          <cell r="E833">
            <v>2</v>
          </cell>
          <cell r="F833" t="str">
            <v>Bandeja INFERIOR ESQUERDA COM PIVÔ FOCUS 1999 A 2008</v>
          </cell>
          <cell r="G833"/>
          <cell r="H833" t="str">
            <v>-</v>
          </cell>
          <cell r="I833"/>
          <cell r="J833"/>
          <cell r="K833"/>
          <cell r="L833"/>
          <cell r="M833"/>
          <cell r="N833"/>
          <cell r="O833"/>
          <cell r="P833"/>
          <cell r="Q833">
            <v>0</v>
          </cell>
          <cell r="R833"/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 t="str">
            <v/>
          </cell>
          <cell r="Y833" t="str">
            <v/>
          </cell>
          <cell r="Z833" t="str">
            <v/>
          </cell>
          <cell r="AA833">
            <v>0</v>
          </cell>
          <cell r="AB833">
            <v>0</v>
          </cell>
          <cell r="AC833">
            <v>0</v>
          </cell>
          <cell r="AD833"/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</row>
        <row r="834">
          <cell r="A834">
            <v>222074</v>
          </cell>
          <cell r="B834" t="str">
            <v>Sim</v>
          </cell>
          <cell r="C834" t="str">
            <v>Bandeja</v>
          </cell>
          <cell r="D834" t="str">
            <v>SPARE</v>
          </cell>
          <cell r="E834">
            <v>2</v>
          </cell>
          <cell r="F834" t="str">
            <v>Bandeja Inferior Esquerdo Ecosport Sem Pivô</v>
          </cell>
          <cell r="G834"/>
          <cell r="H834">
            <v>0</v>
          </cell>
          <cell r="I834">
            <v>0</v>
          </cell>
          <cell r="J834" t="str">
            <v/>
          </cell>
          <cell r="K834" t="str">
            <v/>
          </cell>
          <cell r="L834" t="str">
            <v/>
          </cell>
          <cell r="M834">
            <v>0</v>
          </cell>
          <cell r="N834" t="str">
            <v/>
          </cell>
          <cell r="O834" t="str">
            <v/>
          </cell>
          <cell r="P834" t="str">
            <v/>
          </cell>
          <cell r="Q834">
            <v>0</v>
          </cell>
          <cell r="R834" t="str">
            <v>0</v>
          </cell>
          <cell r="S834" t="str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 t="str">
            <v/>
          </cell>
          <cell r="Y834" t="str">
            <v/>
          </cell>
          <cell r="Z834" t="str">
            <v/>
          </cell>
          <cell r="AA834">
            <v>0</v>
          </cell>
          <cell r="AB834">
            <v>0</v>
          </cell>
          <cell r="AC834">
            <v>0</v>
          </cell>
          <cell r="AD834"/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</row>
        <row r="835">
          <cell r="A835">
            <v>222075</v>
          </cell>
          <cell r="B835" t="str">
            <v>Sim</v>
          </cell>
          <cell r="C835" t="str">
            <v>Bandeja</v>
          </cell>
          <cell r="D835" t="str">
            <v>SPARE</v>
          </cell>
          <cell r="E835">
            <v>2</v>
          </cell>
          <cell r="F835" t="str">
            <v>Bandeja Inferior Direito Ecosport Sem Pivô</v>
          </cell>
          <cell r="G835"/>
          <cell r="H835">
            <v>0</v>
          </cell>
          <cell r="I835">
            <v>0</v>
          </cell>
          <cell r="J835" t="str">
            <v/>
          </cell>
          <cell r="K835" t="str">
            <v/>
          </cell>
          <cell r="L835" t="str">
            <v/>
          </cell>
          <cell r="M835">
            <v>0</v>
          </cell>
          <cell r="N835" t="str">
            <v/>
          </cell>
          <cell r="O835" t="str">
            <v/>
          </cell>
          <cell r="P835" t="str">
            <v/>
          </cell>
          <cell r="Q835">
            <v>0</v>
          </cell>
          <cell r="R835" t="str">
            <v>0</v>
          </cell>
          <cell r="S835" t="str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 t="str">
            <v/>
          </cell>
          <cell r="Y835" t="str">
            <v/>
          </cell>
          <cell r="Z835" t="str">
            <v/>
          </cell>
          <cell r="AA835">
            <v>0</v>
          </cell>
          <cell r="AB835">
            <v>0</v>
          </cell>
          <cell r="AC835">
            <v>0</v>
          </cell>
          <cell r="AD835"/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</row>
        <row r="836">
          <cell r="A836">
            <v>222080</v>
          </cell>
          <cell r="B836" t="str">
            <v>Não</v>
          </cell>
          <cell r="C836" t="str">
            <v>Bandeja</v>
          </cell>
          <cell r="D836" t="str">
            <v>SPARE</v>
          </cell>
          <cell r="E836">
            <v>2</v>
          </cell>
          <cell r="F836"/>
          <cell r="G836"/>
          <cell r="H836" t="str">
            <v>-</v>
          </cell>
          <cell r="I836"/>
          <cell r="J836"/>
          <cell r="K836"/>
          <cell r="L836"/>
          <cell r="M836"/>
          <cell r="N836"/>
          <cell r="O836"/>
          <cell r="P836"/>
          <cell r="Q836">
            <v>0</v>
          </cell>
          <cell r="R836" t="str">
            <v>0</v>
          </cell>
          <cell r="S836" t="str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 t="str">
            <v/>
          </cell>
          <cell r="Y836" t="str">
            <v/>
          </cell>
          <cell r="Z836" t="str">
            <v/>
          </cell>
          <cell r="AA836">
            <v>0</v>
          </cell>
          <cell r="AB836">
            <v>0</v>
          </cell>
          <cell r="AC836">
            <v>0</v>
          </cell>
          <cell r="AD836"/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</row>
        <row r="837">
          <cell r="A837">
            <v>222081</v>
          </cell>
          <cell r="B837" t="str">
            <v>Não</v>
          </cell>
          <cell r="C837" t="str">
            <v>Bandeja</v>
          </cell>
          <cell r="D837" t="str">
            <v>SPARE</v>
          </cell>
          <cell r="E837">
            <v>2</v>
          </cell>
          <cell r="F837"/>
          <cell r="G837"/>
          <cell r="H837" t="str">
            <v>-</v>
          </cell>
          <cell r="I837"/>
          <cell r="J837"/>
          <cell r="K837"/>
          <cell r="L837"/>
          <cell r="M837"/>
          <cell r="N837"/>
          <cell r="O837"/>
          <cell r="P837"/>
          <cell r="Q837">
            <v>0</v>
          </cell>
          <cell r="R837" t="str">
            <v>0</v>
          </cell>
          <cell r="S837" t="str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 t="str">
            <v/>
          </cell>
          <cell r="Y837" t="str">
            <v/>
          </cell>
          <cell r="Z837" t="str">
            <v/>
          </cell>
          <cell r="AA837">
            <v>0</v>
          </cell>
          <cell r="AB837">
            <v>0</v>
          </cell>
          <cell r="AC837">
            <v>0</v>
          </cell>
          <cell r="AD837"/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</row>
        <row r="838">
          <cell r="A838">
            <v>222090</v>
          </cell>
          <cell r="B838" t="str">
            <v>Não</v>
          </cell>
          <cell r="C838" t="str">
            <v>Bandeja</v>
          </cell>
          <cell r="D838" t="str">
            <v>SPARE</v>
          </cell>
          <cell r="E838">
            <v>2</v>
          </cell>
          <cell r="F838"/>
          <cell r="G838"/>
          <cell r="H838" t="str">
            <v>-</v>
          </cell>
          <cell r="I838"/>
          <cell r="J838"/>
          <cell r="K838"/>
          <cell r="L838"/>
          <cell r="M838"/>
          <cell r="N838"/>
          <cell r="O838"/>
          <cell r="P838"/>
          <cell r="Q838">
            <v>0</v>
          </cell>
          <cell r="R838" t="str">
            <v>0</v>
          </cell>
          <cell r="S838" t="str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 t="str">
            <v/>
          </cell>
          <cell r="Y838" t="str">
            <v/>
          </cell>
          <cell r="Z838" t="str">
            <v/>
          </cell>
          <cell r="AA838">
            <v>0</v>
          </cell>
          <cell r="AB838">
            <v>0</v>
          </cell>
          <cell r="AC838">
            <v>0</v>
          </cell>
          <cell r="AD838"/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</row>
        <row r="839">
          <cell r="A839">
            <v>222091</v>
          </cell>
          <cell r="B839" t="str">
            <v>Não</v>
          </cell>
          <cell r="C839" t="str">
            <v>Bandeja</v>
          </cell>
          <cell r="D839" t="str">
            <v>SPARE</v>
          </cell>
          <cell r="E839">
            <v>2</v>
          </cell>
          <cell r="F839"/>
          <cell r="G839"/>
          <cell r="H839" t="str">
            <v>-</v>
          </cell>
          <cell r="I839"/>
          <cell r="J839"/>
          <cell r="K839"/>
          <cell r="L839"/>
          <cell r="M839"/>
          <cell r="N839"/>
          <cell r="O839"/>
          <cell r="P839"/>
          <cell r="Q839">
            <v>0</v>
          </cell>
          <cell r="R839" t="str">
            <v>0</v>
          </cell>
          <cell r="S839" t="str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 t="str">
            <v/>
          </cell>
          <cell r="Y839" t="str">
            <v/>
          </cell>
          <cell r="Z839" t="str">
            <v/>
          </cell>
          <cell r="AA839">
            <v>0</v>
          </cell>
          <cell r="AB839">
            <v>0</v>
          </cell>
          <cell r="AC839">
            <v>0</v>
          </cell>
          <cell r="AD839"/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</row>
        <row r="840">
          <cell r="A840">
            <v>222092</v>
          </cell>
          <cell r="B840" t="str">
            <v>Não</v>
          </cell>
          <cell r="C840" t="str">
            <v>Bandeja</v>
          </cell>
          <cell r="D840" t="str">
            <v>SPARE</v>
          </cell>
          <cell r="E840">
            <v>2</v>
          </cell>
          <cell r="F840"/>
          <cell r="G840"/>
          <cell r="H840" t="str">
            <v>-</v>
          </cell>
          <cell r="I840"/>
          <cell r="J840"/>
          <cell r="K840"/>
          <cell r="L840"/>
          <cell r="M840"/>
          <cell r="N840"/>
          <cell r="O840"/>
          <cell r="P840"/>
          <cell r="Q840">
            <v>0</v>
          </cell>
          <cell r="R840" t="str">
            <v>0</v>
          </cell>
          <cell r="S840" t="str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 t="str">
            <v/>
          </cell>
          <cell r="Y840" t="str">
            <v/>
          </cell>
          <cell r="Z840" t="str">
            <v/>
          </cell>
          <cell r="AA840">
            <v>0</v>
          </cell>
          <cell r="AB840">
            <v>0</v>
          </cell>
          <cell r="AC840">
            <v>0</v>
          </cell>
          <cell r="AD840"/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</row>
        <row r="841">
          <cell r="A841">
            <v>222093</v>
          </cell>
          <cell r="B841" t="str">
            <v>Não</v>
          </cell>
          <cell r="C841" t="str">
            <v>Bandeja</v>
          </cell>
          <cell r="D841" t="str">
            <v>SPARE</v>
          </cell>
          <cell r="E841">
            <v>2</v>
          </cell>
          <cell r="F841"/>
          <cell r="G841"/>
          <cell r="H841" t="str">
            <v>-</v>
          </cell>
          <cell r="I841"/>
          <cell r="J841"/>
          <cell r="K841"/>
          <cell r="L841"/>
          <cell r="M841"/>
          <cell r="N841"/>
          <cell r="O841"/>
          <cell r="P841"/>
          <cell r="Q841">
            <v>0</v>
          </cell>
          <cell r="R841" t="str">
            <v>0</v>
          </cell>
          <cell r="S841" t="str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 t="str">
            <v/>
          </cell>
          <cell r="Y841" t="str">
            <v/>
          </cell>
          <cell r="Z841" t="str">
            <v/>
          </cell>
          <cell r="AA841">
            <v>0</v>
          </cell>
          <cell r="AB841">
            <v>0</v>
          </cell>
          <cell r="AC841">
            <v>0</v>
          </cell>
          <cell r="AD841"/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</row>
        <row r="842">
          <cell r="A842">
            <v>222094</v>
          </cell>
          <cell r="B842" t="str">
            <v>Sim</v>
          </cell>
          <cell r="C842" t="str">
            <v>Bandeja</v>
          </cell>
          <cell r="D842" t="str">
            <v>SPARE</v>
          </cell>
          <cell r="E842">
            <v>2</v>
          </cell>
          <cell r="F842" t="str">
            <v>Bandeja Traseira Direita Fusion 2006 A 2009</v>
          </cell>
          <cell r="G842"/>
          <cell r="H842">
            <v>0</v>
          </cell>
          <cell r="I842">
            <v>0</v>
          </cell>
          <cell r="J842" t="str">
            <v/>
          </cell>
          <cell r="K842" t="str">
            <v/>
          </cell>
          <cell r="L842" t="str">
            <v/>
          </cell>
          <cell r="M842">
            <v>0</v>
          </cell>
          <cell r="N842" t="str">
            <v/>
          </cell>
          <cell r="O842" t="str">
            <v/>
          </cell>
          <cell r="P842" t="str">
            <v/>
          </cell>
          <cell r="Q842">
            <v>0</v>
          </cell>
          <cell r="R842" t="str">
            <v>0</v>
          </cell>
          <cell r="S842" t="str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 t="str">
            <v/>
          </cell>
          <cell r="Y842" t="str">
            <v/>
          </cell>
          <cell r="Z842" t="str">
            <v/>
          </cell>
          <cell r="AA842">
            <v>0</v>
          </cell>
          <cell r="AB842">
            <v>0</v>
          </cell>
          <cell r="AC842">
            <v>0</v>
          </cell>
          <cell r="AD842"/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</row>
        <row r="843">
          <cell r="A843">
            <v>222096</v>
          </cell>
          <cell r="B843" t="str">
            <v>Não</v>
          </cell>
          <cell r="C843" t="str">
            <v>Bandeja</v>
          </cell>
          <cell r="D843" t="str">
            <v>SPARE</v>
          </cell>
          <cell r="E843">
            <v>2</v>
          </cell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/>
          <cell r="Q843">
            <v>0</v>
          </cell>
          <cell r="R843" t="str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 t="str">
            <v/>
          </cell>
          <cell r="Y843" t="str">
            <v/>
          </cell>
          <cell r="Z843" t="str">
            <v/>
          </cell>
          <cell r="AA843">
            <v>0</v>
          </cell>
          <cell r="AB843">
            <v>0</v>
          </cell>
          <cell r="AC843">
            <v>0</v>
          </cell>
          <cell r="AD843"/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</row>
        <row r="844">
          <cell r="A844">
            <v>222097</v>
          </cell>
          <cell r="B844" t="str">
            <v>Não</v>
          </cell>
          <cell r="C844" t="str">
            <v>Bandeja</v>
          </cell>
          <cell r="D844" t="str">
            <v>SPARE</v>
          </cell>
          <cell r="E844">
            <v>2</v>
          </cell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/>
          <cell r="Q844">
            <v>0</v>
          </cell>
          <cell r="R844" t="str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 t="str">
            <v/>
          </cell>
          <cell r="Y844" t="str">
            <v/>
          </cell>
          <cell r="Z844" t="str">
            <v/>
          </cell>
          <cell r="AA844">
            <v>0</v>
          </cell>
          <cell r="AB844">
            <v>0</v>
          </cell>
          <cell r="AC844">
            <v>0</v>
          </cell>
          <cell r="AD844"/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</row>
        <row r="845">
          <cell r="A845">
            <v>222098</v>
          </cell>
          <cell r="B845" t="str">
            <v>Não</v>
          </cell>
          <cell r="C845" t="str">
            <v>Bandeja</v>
          </cell>
          <cell r="D845" t="str">
            <v>SPARE</v>
          </cell>
          <cell r="E845">
            <v>2</v>
          </cell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/>
          <cell r="Q845">
            <v>0</v>
          </cell>
          <cell r="R845" t="str">
            <v>0</v>
          </cell>
          <cell r="S845" t="str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 t="str">
            <v/>
          </cell>
          <cell r="Y845" t="str">
            <v/>
          </cell>
          <cell r="Z845" t="str">
            <v/>
          </cell>
          <cell r="AA845">
            <v>0</v>
          </cell>
          <cell r="AB845">
            <v>0</v>
          </cell>
          <cell r="AC845">
            <v>0</v>
          </cell>
          <cell r="AD845"/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</row>
        <row r="846">
          <cell r="A846">
            <v>222308</v>
          </cell>
          <cell r="B846" t="str">
            <v>Sim</v>
          </cell>
          <cell r="C846" t="str">
            <v>Bandeja</v>
          </cell>
          <cell r="D846" t="str">
            <v>SPARE</v>
          </cell>
          <cell r="E846">
            <v>2</v>
          </cell>
          <cell r="F846" t="str">
            <v>Bandeja Inferior Direita Com Pivô Edge 2008 A 2015</v>
          </cell>
          <cell r="G846"/>
          <cell r="H846">
            <v>0</v>
          </cell>
          <cell r="I846">
            <v>0</v>
          </cell>
          <cell r="J846">
            <v>0</v>
          </cell>
          <cell r="K846" t="str">
            <v/>
          </cell>
          <cell r="L846" t="str">
            <v/>
          </cell>
          <cell r="M846">
            <v>0</v>
          </cell>
          <cell r="N846" t="str">
            <v/>
          </cell>
          <cell r="O846">
            <v>0</v>
          </cell>
          <cell r="P846" t="str">
            <v/>
          </cell>
          <cell r="Q846">
            <v>0</v>
          </cell>
          <cell r="R846" t="str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 t="str">
            <v/>
          </cell>
          <cell r="Y846" t="str">
            <v/>
          </cell>
          <cell r="Z846" t="str">
            <v/>
          </cell>
          <cell r="AA846">
            <v>0</v>
          </cell>
          <cell r="AB846">
            <v>0</v>
          </cell>
          <cell r="AC846">
            <v>0</v>
          </cell>
          <cell r="AD846"/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</row>
        <row r="847">
          <cell r="A847">
            <v>222309</v>
          </cell>
          <cell r="B847" t="str">
            <v>Sim</v>
          </cell>
          <cell r="C847" t="str">
            <v>Bandeja</v>
          </cell>
          <cell r="D847" t="str">
            <v>SPARE</v>
          </cell>
          <cell r="E847">
            <v>2</v>
          </cell>
          <cell r="F847" t="str">
            <v>Bandeja Inferior Esquerda Com Pivô Edge 2008 A 2015</v>
          </cell>
          <cell r="G847"/>
          <cell r="H847">
            <v>0</v>
          </cell>
          <cell r="I847">
            <v>0</v>
          </cell>
          <cell r="J847">
            <v>0</v>
          </cell>
          <cell r="K847" t="str">
            <v/>
          </cell>
          <cell r="L847" t="str">
            <v/>
          </cell>
          <cell r="M847">
            <v>0</v>
          </cell>
          <cell r="N847" t="str">
            <v/>
          </cell>
          <cell r="O847">
            <v>0</v>
          </cell>
          <cell r="P847" t="str">
            <v/>
          </cell>
          <cell r="Q847">
            <v>0</v>
          </cell>
          <cell r="R847" t="str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 t="str">
            <v/>
          </cell>
          <cell r="Y847" t="str">
            <v/>
          </cell>
          <cell r="Z847" t="str">
            <v/>
          </cell>
          <cell r="AA847">
            <v>0</v>
          </cell>
          <cell r="AB847">
            <v>0</v>
          </cell>
          <cell r="AC847">
            <v>0</v>
          </cell>
          <cell r="AD847"/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</row>
        <row r="848">
          <cell r="A848">
            <v>222310</v>
          </cell>
          <cell r="B848"/>
          <cell r="C848" t="str">
            <v>Bandeja</v>
          </cell>
          <cell r="D848" t="str">
            <v>SPARE</v>
          </cell>
          <cell r="E848">
            <v>2</v>
          </cell>
          <cell r="F848" t="str">
            <v>Bandeja INFERIOR ESQUERDA SEM PIVÔ FOCUS 2009 A 2012</v>
          </cell>
          <cell r="G848"/>
          <cell r="H848" t="str">
            <v>-</v>
          </cell>
          <cell r="I848"/>
          <cell r="J848"/>
          <cell r="K848"/>
          <cell r="L848"/>
          <cell r="M848"/>
          <cell r="N848"/>
          <cell r="O848"/>
          <cell r="P848"/>
          <cell r="Q848">
            <v>0</v>
          </cell>
          <cell r="R848"/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 t="str">
            <v/>
          </cell>
          <cell r="Y848" t="str">
            <v/>
          </cell>
          <cell r="Z848" t="str">
            <v/>
          </cell>
          <cell r="AA848">
            <v>0</v>
          </cell>
          <cell r="AB848">
            <v>0</v>
          </cell>
          <cell r="AC848">
            <v>0</v>
          </cell>
          <cell r="AD848"/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</row>
        <row r="849">
          <cell r="A849">
            <v>222311</v>
          </cell>
          <cell r="B849"/>
          <cell r="C849" t="str">
            <v>Bandeja</v>
          </cell>
          <cell r="D849" t="str">
            <v>SPARE</v>
          </cell>
          <cell r="E849">
            <v>2</v>
          </cell>
          <cell r="F849" t="str">
            <v>Bandeja INFERIOR DIREITA SEM PIVÔ FOCUS 2009 A 2012</v>
          </cell>
          <cell r="G849"/>
          <cell r="H849" t="str">
            <v>-</v>
          </cell>
          <cell r="I849"/>
          <cell r="J849"/>
          <cell r="K849"/>
          <cell r="L849"/>
          <cell r="M849"/>
          <cell r="N849"/>
          <cell r="O849"/>
          <cell r="P849"/>
          <cell r="Q849">
            <v>0</v>
          </cell>
          <cell r="R849"/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 t="str">
            <v/>
          </cell>
          <cell r="Y849" t="str">
            <v/>
          </cell>
          <cell r="Z849" t="str">
            <v/>
          </cell>
          <cell r="AA849">
            <v>0</v>
          </cell>
          <cell r="AB849">
            <v>0</v>
          </cell>
          <cell r="AC849">
            <v>0</v>
          </cell>
          <cell r="AD849"/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</row>
        <row r="850">
          <cell r="A850">
            <v>222314</v>
          </cell>
          <cell r="B850"/>
          <cell r="C850" t="str">
            <v>Bandeja</v>
          </cell>
          <cell r="D850" t="str">
            <v>SPARE</v>
          </cell>
          <cell r="E850">
            <v>2</v>
          </cell>
          <cell r="F850" t="str">
            <v>Bandeja INFERIOR DIREITA SEM PIVÔ FOCUS 2013 A 2018</v>
          </cell>
          <cell r="G850"/>
          <cell r="H850" t="str">
            <v>-</v>
          </cell>
          <cell r="I850"/>
          <cell r="J850"/>
          <cell r="K850"/>
          <cell r="L850"/>
          <cell r="M850"/>
          <cell r="N850"/>
          <cell r="O850"/>
          <cell r="P850"/>
          <cell r="Q850">
            <v>0</v>
          </cell>
          <cell r="R850"/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 t="str">
            <v/>
          </cell>
          <cell r="Y850" t="str">
            <v/>
          </cell>
          <cell r="Z850" t="str">
            <v/>
          </cell>
          <cell r="AA850">
            <v>0</v>
          </cell>
          <cell r="AB850">
            <v>0</v>
          </cell>
          <cell r="AC850">
            <v>0</v>
          </cell>
          <cell r="AD850"/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</row>
        <row r="851">
          <cell r="A851">
            <v>222315</v>
          </cell>
          <cell r="B851"/>
          <cell r="C851" t="str">
            <v>Bandeja</v>
          </cell>
          <cell r="D851" t="str">
            <v>SPARE</v>
          </cell>
          <cell r="E851">
            <v>2</v>
          </cell>
          <cell r="F851" t="str">
            <v>Bandeja INFERIOR ESQUERDA SEM PIVÔ FOCUS 2013 A 2018</v>
          </cell>
          <cell r="G851"/>
          <cell r="H851" t="str">
            <v>-</v>
          </cell>
          <cell r="I851"/>
          <cell r="J851"/>
          <cell r="K851"/>
          <cell r="L851"/>
          <cell r="M851"/>
          <cell r="N851"/>
          <cell r="O851"/>
          <cell r="P851"/>
          <cell r="Q851">
            <v>0</v>
          </cell>
          <cell r="R851"/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 t="str">
            <v/>
          </cell>
          <cell r="Y851" t="str">
            <v/>
          </cell>
          <cell r="Z851" t="str">
            <v/>
          </cell>
          <cell r="AA851">
            <v>0</v>
          </cell>
          <cell r="AB851">
            <v>0</v>
          </cell>
          <cell r="AC851">
            <v>0</v>
          </cell>
          <cell r="AD851"/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</row>
        <row r="852">
          <cell r="A852">
            <v>302011</v>
          </cell>
          <cell r="B852" t="str">
            <v>Sim</v>
          </cell>
          <cell r="C852" t="str">
            <v>Bandeja</v>
          </cell>
          <cell r="D852" t="str">
            <v>SPARE</v>
          </cell>
          <cell r="E852">
            <v>2</v>
          </cell>
          <cell r="F852" t="str">
            <v>Braço Da Suspensão Esquerdo Corsa Classic Sem Pivô</v>
          </cell>
          <cell r="G852"/>
          <cell r="H852">
            <v>0</v>
          </cell>
          <cell r="I852">
            <v>0</v>
          </cell>
          <cell r="J852" t="str">
            <v/>
          </cell>
          <cell r="K852" t="str">
            <v/>
          </cell>
          <cell r="L852" t="str">
            <v/>
          </cell>
          <cell r="M852">
            <v>0</v>
          </cell>
          <cell r="N852" t="str">
            <v/>
          </cell>
          <cell r="O852" t="str">
            <v/>
          </cell>
          <cell r="P852" t="str">
            <v/>
          </cell>
          <cell r="Q852">
            <v>0</v>
          </cell>
          <cell r="R852" t="str">
            <v>0</v>
          </cell>
          <cell r="S852" t="str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 t="str">
            <v/>
          </cell>
          <cell r="Y852" t="str">
            <v/>
          </cell>
          <cell r="Z852" t="str">
            <v/>
          </cell>
          <cell r="AA852">
            <v>0</v>
          </cell>
          <cell r="AB852">
            <v>0</v>
          </cell>
          <cell r="AC852">
            <v>0</v>
          </cell>
          <cell r="AD852"/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</row>
        <row r="853">
          <cell r="A853">
            <v>332005</v>
          </cell>
          <cell r="B853" t="str">
            <v>Não</v>
          </cell>
          <cell r="C853" t="str">
            <v>Bandeja</v>
          </cell>
          <cell r="D853" t="str">
            <v>SPARE</v>
          </cell>
          <cell r="E853">
            <v>2</v>
          </cell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  <cell r="P853"/>
          <cell r="Q853">
            <v>0</v>
          </cell>
          <cell r="R853" t="str">
            <v>0</v>
          </cell>
          <cell r="S853" t="str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 t="str">
            <v/>
          </cell>
          <cell r="Y853" t="str">
            <v/>
          </cell>
          <cell r="Z853" t="str">
            <v/>
          </cell>
          <cell r="AA853">
            <v>0</v>
          </cell>
          <cell r="AB853">
            <v>0</v>
          </cell>
          <cell r="AC853">
            <v>0</v>
          </cell>
          <cell r="AD853"/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</row>
        <row r="854">
          <cell r="A854">
            <v>332006</v>
          </cell>
          <cell r="B854" t="str">
            <v>Não</v>
          </cell>
          <cell r="C854" t="str">
            <v>Bandeja</v>
          </cell>
          <cell r="D854" t="str">
            <v>SPARE</v>
          </cell>
          <cell r="E854">
            <v>2</v>
          </cell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  <cell r="P854"/>
          <cell r="Q854">
            <v>0</v>
          </cell>
          <cell r="R854" t="str">
            <v>0</v>
          </cell>
          <cell r="S854" t="str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 t="str">
            <v/>
          </cell>
          <cell r="Y854" t="str">
            <v/>
          </cell>
          <cell r="Z854" t="str">
            <v/>
          </cell>
          <cell r="AA854">
            <v>0</v>
          </cell>
          <cell r="AB854">
            <v>0</v>
          </cell>
          <cell r="AC854">
            <v>0</v>
          </cell>
          <cell r="AD854"/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</row>
        <row r="855">
          <cell r="A855">
            <v>332075</v>
          </cell>
          <cell r="B855"/>
          <cell r="C855" t="str">
            <v>Bandeja</v>
          </cell>
          <cell r="D855" t="str">
            <v>SPARE</v>
          </cell>
          <cell r="E855">
            <v>2</v>
          </cell>
          <cell r="F855" t="str">
            <v>Bandeja INFERIOR ESQUERDA SEM PIVÔ ASTRA 1995 1996</v>
          </cell>
          <cell r="G855"/>
          <cell r="H855" t="str">
            <v>-</v>
          </cell>
          <cell r="I855"/>
          <cell r="J855"/>
          <cell r="K855"/>
          <cell r="L855"/>
          <cell r="M855"/>
          <cell r="N855"/>
          <cell r="O855"/>
          <cell r="P855"/>
          <cell r="Q855">
            <v>0</v>
          </cell>
          <cell r="R855"/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 t="str">
            <v/>
          </cell>
          <cell r="Y855" t="str">
            <v/>
          </cell>
          <cell r="Z855" t="str">
            <v/>
          </cell>
          <cell r="AA855">
            <v>0</v>
          </cell>
          <cell r="AB855">
            <v>0</v>
          </cell>
          <cell r="AC855">
            <v>0</v>
          </cell>
          <cell r="AD855"/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</row>
        <row r="856">
          <cell r="A856">
            <v>332103</v>
          </cell>
          <cell r="B856" t="str">
            <v>Não</v>
          </cell>
          <cell r="C856" t="str">
            <v>Bandeja</v>
          </cell>
          <cell r="D856" t="str">
            <v>SPARE</v>
          </cell>
          <cell r="E856">
            <v>2</v>
          </cell>
          <cell r="F856" t="str">
            <v>Bandeja DIANTEIRA SUPERIOR DIREITA ÔMEGA/SUPREMA NÃO EXPORTAR/SEM ESTOQUE</v>
          </cell>
          <cell r="G856"/>
          <cell r="H856">
            <v>0</v>
          </cell>
          <cell r="I856">
            <v>0</v>
          </cell>
          <cell r="J856"/>
          <cell r="K856"/>
          <cell r="L856"/>
          <cell r="M856">
            <v>0</v>
          </cell>
          <cell r="N856" t="str">
            <v/>
          </cell>
          <cell r="O856">
            <v>0</v>
          </cell>
          <cell r="P856" t="str">
            <v/>
          </cell>
          <cell r="Q856">
            <v>0</v>
          </cell>
          <cell r="R856" t="str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 t="str">
            <v/>
          </cell>
          <cell r="Y856" t="str">
            <v/>
          </cell>
          <cell r="Z856" t="str">
            <v/>
          </cell>
          <cell r="AA856">
            <v>0</v>
          </cell>
          <cell r="AB856">
            <v>0</v>
          </cell>
          <cell r="AC856">
            <v>0</v>
          </cell>
          <cell r="AD856"/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</row>
        <row r="857">
          <cell r="A857">
            <v>332108</v>
          </cell>
          <cell r="B857" t="str">
            <v>Sim</v>
          </cell>
          <cell r="C857" t="str">
            <v>Bandeja</v>
          </cell>
          <cell r="D857" t="str">
            <v>SPARE</v>
          </cell>
          <cell r="E857">
            <v>2</v>
          </cell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  <cell r="P857"/>
          <cell r="Q857">
            <v>0</v>
          </cell>
          <cell r="R857" t="str">
            <v>0</v>
          </cell>
          <cell r="S857" t="str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 t="str">
            <v/>
          </cell>
          <cell r="Y857" t="str">
            <v/>
          </cell>
          <cell r="Z857" t="str">
            <v/>
          </cell>
          <cell r="AA857">
            <v>0</v>
          </cell>
          <cell r="AB857">
            <v>0</v>
          </cell>
          <cell r="AC857">
            <v>0</v>
          </cell>
          <cell r="AD857"/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</row>
        <row r="858">
          <cell r="A858">
            <v>332109</v>
          </cell>
          <cell r="B858" t="str">
            <v>Sim</v>
          </cell>
          <cell r="C858" t="str">
            <v>Bandeja</v>
          </cell>
          <cell r="D858" t="str">
            <v>SPARE</v>
          </cell>
          <cell r="E858">
            <v>2</v>
          </cell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  <cell r="P858"/>
          <cell r="Q858">
            <v>0</v>
          </cell>
          <cell r="R858" t="str">
            <v>0</v>
          </cell>
          <cell r="S858" t="str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 t="str">
            <v/>
          </cell>
          <cell r="Y858" t="str">
            <v/>
          </cell>
          <cell r="Z858" t="str">
            <v/>
          </cell>
          <cell r="AA858">
            <v>0</v>
          </cell>
          <cell r="AB858">
            <v>0</v>
          </cell>
          <cell r="AC858">
            <v>0</v>
          </cell>
          <cell r="AD858"/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</row>
        <row r="859">
          <cell r="A859">
            <v>332118</v>
          </cell>
          <cell r="B859" t="str">
            <v>Sim</v>
          </cell>
          <cell r="C859" t="str">
            <v>Bandeja</v>
          </cell>
          <cell r="D859" t="str">
            <v>SPARE</v>
          </cell>
          <cell r="E859">
            <v>2</v>
          </cell>
          <cell r="F859" t="str">
            <v>Bandeja INFERIOR DIREITA COM PIVÔ CRUZE 2017 A 2021</v>
          </cell>
          <cell r="G859"/>
          <cell r="H859">
            <v>0</v>
          </cell>
          <cell r="I859">
            <v>0</v>
          </cell>
          <cell r="J859"/>
          <cell r="K859"/>
          <cell r="L859"/>
          <cell r="M859">
            <v>0</v>
          </cell>
          <cell r="N859" t="str">
            <v/>
          </cell>
          <cell r="O859">
            <v>0</v>
          </cell>
          <cell r="P859" t="str">
            <v/>
          </cell>
          <cell r="Q859">
            <v>0</v>
          </cell>
          <cell r="R859" t="str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 t="str">
            <v/>
          </cell>
          <cell r="Y859" t="str">
            <v/>
          </cell>
          <cell r="Z859" t="str">
            <v/>
          </cell>
          <cell r="AA859">
            <v>0</v>
          </cell>
          <cell r="AB859">
            <v>0</v>
          </cell>
          <cell r="AC859">
            <v>0</v>
          </cell>
          <cell r="AD859"/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</row>
        <row r="860">
          <cell r="A860">
            <v>332119</v>
          </cell>
          <cell r="B860" t="str">
            <v>Sim</v>
          </cell>
          <cell r="C860" t="str">
            <v>Bandeja</v>
          </cell>
          <cell r="D860" t="str">
            <v>SPARE</v>
          </cell>
          <cell r="E860">
            <v>2</v>
          </cell>
          <cell r="F860" t="str">
            <v>Bandeja INFERIOR ESQUERDA COM PIVÔ CRUZE 2017 A 2021</v>
          </cell>
          <cell r="G860"/>
          <cell r="H860">
            <v>0</v>
          </cell>
          <cell r="I860">
            <v>0</v>
          </cell>
          <cell r="J860"/>
          <cell r="K860"/>
          <cell r="L860"/>
          <cell r="M860">
            <v>0</v>
          </cell>
          <cell r="N860" t="str">
            <v/>
          </cell>
          <cell r="O860">
            <v>0</v>
          </cell>
          <cell r="P860" t="str">
            <v/>
          </cell>
          <cell r="Q860">
            <v>0</v>
          </cell>
          <cell r="R860" t="str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 t="str">
            <v/>
          </cell>
          <cell r="Y860" t="str">
            <v/>
          </cell>
          <cell r="Z860" t="str">
            <v/>
          </cell>
          <cell r="AA860">
            <v>0</v>
          </cell>
          <cell r="AB860">
            <v>0</v>
          </cell>
          <cell r="AC860">
            <v>0</v>
          </cell>
          <cell r="AD860"/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</row>
        <row r="861">
          <cell r="A861">
            <v>332126</v>
          </cell>
          <cell r="B861" t="str">
            <v>Sim</v>
          </cell>
          <cell r="C861" t="str">
            <v>Bandeja</v>
          </cell>
          <cell r="D861" t="str">
            <v>SPARE</v>
          </cell>
          <cell r="E861">
            <v>2</v>
          </cell>
          <cell r="F861" t="str">
            <v>Bandeja Inferior Esquerda Com Pivô S10 4x4 1996 A 2000</v>
          </cell>
          <cell r="G861"/>
          <cell r="H861">
            <v>0</v>
          </cell>
          <cell r="I861">
            <v>0</v>
          </cell>
          <cell r="J861" t="str">
            <v/>
          </cell>
          <cell r="K861" t="str">
            <v/>
          </cell>
          <cell r="L861" t="str">
            <v/>
          </cell>
          <cell r="M861">
            <v>0</v>
          </cell>
          <cell r="N861" t="str">
            <v/>
          </cell>
          <cell r="O861" t="str">
            <v/>
          </cell>
          <cell r="P861" t="str">
            <v/>
          </cell>
          <cell r="Q861">
            <v>0</v>
          </cell>
          <cell r="R861" t="str">
            <v>0</v>
          </cell>
          <cell r="S861" t="str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 t="str">
            <v/>
          </cell>
          <cell r="Y861" t="str">
            <v/>
          </cell>
          <cell r="Z861" t="str">
            <v/>
          </cell>
          <cell r="AA861">
            <v>0</v>
          </cell>
          <cell r="AB861">
            <v>0</v>
          </cell>
          <cell r="AC861">
            <v>0</v>
          </cell>
          <cell r="AD861"/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</row>
        <row r="862">
          <cell r="A862">
            <v>332142</v>
          </cell>
          <cell r="B862" t="str">
            <v>Não</v>
          </cell>
          <cell r="C862" t="str">
            <v>Bandeja</v>
          </cell>
          <cell r="D862" t="str">
            <v>SPARE</v>
          </cell>
          <cell r="E862">
            <v>2</v>
          </cell>
          <cell r="F862"/>
          <cell r="G862"/>
          <cell r="H862"/>
          <cell r="I862"/>
          <cell r="J862"/>
          <cell r="K862"/>
          <cell r="L862"/>
          <cell r="M862"/>
          <cell r="N862"/>
          <cell r="O862"/>
          <cell r="P862"/>
          <cell r="Q862">
            <v>0</v>
          </cell>
          <cell r="R862" t="str">
            <v>0</v>
          </cell>
          <cell r="S862" t="str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 t="str">
            <v/>
          </cell>
          <cell r="Y862" t="str">
            <v/>
          </cell>
          <cell r="Z862" t="str">
            <v/>
          </cell>
          <cell r="AA862">
            <v>0</v>
          </cell>
          <cell r="AB862">
            <v>0</v>
          </cell>
          <cell r="AC862">
            <v>0</v>
          </cell>
          <cell r="AD862"/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</row>
        <row r="863">
          <cell r="A863">
            <v>332143</v>
          </cell>
          <cell r="B863" t="str">
            <v>Não</v>
          </cell>
          <cell r="C863" t="str">
            <v>Bandeja</v>
          </cell>
          <cell r="D863" t="str">
            <v>SPARE</v>
          </cell>
          <cell r="E863">
            <v>2</v>
          </cell>
          <cell r="F863"/>
          <cell r="G863"/>
          <cell r="H863"/>
          <cell r="I863"/>
          <cell r="J863"/>
          <cell r="K863"/>
          <cell r="L863"/>
          <cell r="M863"/>
          <cell r="N863"/>
          <cell r="O863"/>
          <cell r="P863"/>
          <cell r="Q863">
            <v>0</v>
          </cell>
          <cell r="R863" t="str">
            <v>0</v>
          </cell>
          <cell r="S863" t="str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 t="str">
            <v/>
          </cell>
          <cell r="Y863" t="str">
            <v/>
          </cell>
          <cell r="Z863" t="str">
            <v/>
          </cell>
          <cell r="AA863">
            <v>0</v>
          </cell>
          <cell r="AB863">
            <v>0</v>
          </cell>
          <cell r="AC863">
            <v>0</v>
          </cell>
          <cell r="AD863"/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</row>
        <row r="864">
          <cell r="A864">
            <v>332154</v>
          </cell>
          <cell r="B864" t="str">
            <v>Sim</v>
          </cell>
          <cell r="C864" t="str">
            <v>Bandeja</v>
          </cell>
          <cell r="D864" t="str">
            <v>SPARE</v>
          </cell>
          <cell r="E864">
            <v>2</v>
          </cell>
          <cell r="F864" t="str">
            <v>Bandeja SUPERIOR ESQUERDA SEM PIVÔ TRAILBLAZER 2012 A 2020</v>
          </cell>
          <cell r="G864"/>
          <cell r="H864">
            <v>0</v>
          </cell>
          <cell r="I864">
            <v>0</v>
          </cell>
          <cell r="J864"/>
          <cell r="K864"/>
          <cell r="L864"/>
          <cell r="M864">
            <v>0</v>
          </cell>
          <cell r="N864" t="str">
            <v/>
          </cell>
          <cell r="O864">
            <v>0</v>
          </cell>
          <cell r="P864" t="str">
            <v/>
          </cell>
          <cell r="Q864">
            <v>0</v>
          </cell>
          <cell r="R864" t="str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 t="str">
            <v/>
          </cell>
          <cell r="Y864" t="str">
            <v/>
          </cell>
          <cell r="Z864" t="str">
            <v/>
          </cell>
          <cell r="AA864">
            <v>0</v>
          </cell>
          <cell r="AB864">
            <v>0</v>
          </cell>
          <cell r="AC864">
            <v>0</v>
          </cell>
          <cell r="AD864"/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</row>
        <row r="865">
          <cell r="A865">
            <v>332156</v>
          </cell>
          <cell r="B865"/>
          <cell r="C865" t="str">
            <v>Bandeja</v>
          </cell>
          <cell r="D865" t="str">
            <v>SPARE</v>
          </cell>
          <cell r="E865">
            <v>2</v>
          </cell>
          <cell r="F865" t="str">
            <v>Bandeja SUPERIOR ESQUERDA COM PIVÔ A10 1993 A 1996</v>
          </cell>
          <cell r="G865"/>
          <cell r="H865" t="str">
            <v>-</v>
          </cell>
          <cell r="I865"/>
          <cell r="J865"/>
          <cell r="K865"/>
          <cell r="L865"/>
          <cell r="M865"/>
          <cell r="N865"/>
          <cell r="O865"/>
          <cell r="P865"/>
          <cell r="Q865">
            <v>0</v>
          </cell>
          <cell r="R865"/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 t="str">
            <v/>
          </cell>
          <cell r="Y865" t="str">
            <v/>
          </cell>
          <cell r="Z865" t="str">
            <v/>
          </cell>
          <cell r="AA865">
            <v>0</v>
          </cell>
          <cell r="AB865">
            <v>0</v>
          </cell>
          <cell r="AC865">
            <v>0</v>
          </cell>
          <cell r="AD865"/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</row>
        <row r="866">
          <cell r="A866">
            <v>332636</v>
          </cell>
          <cell r="B866" t="str">
            <v>Não</v>
          </cell>
          <cell r="C866" t="str">
            <v>Bandeja</v>
          </cell>
          <cell r="D866" t="str">
            <v>SPARE</v>
          </cell>
          <cell r="E866">
            <v>2</v>
          </cell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  <cell r="P866"/>
          <cell r="Q866">
            <v>0</v>
          </cell>
          <cell r="R866" t="str">
            <v>0</v>
          </cell>
          <cell r="S866" t="str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 t="str">
            <v/>
          </cell>
          <cell r="Y866" t="str">
            <v/>
          </cell>
          <cell r="Z866" t="str">
            <v/>
          </cell>
          <cell r="AA866">
            <v>0</v>
          </cell>
          <cell r="AB866">
            <v>0</v>
          </cell>
          <cell r="AC866">
            <v>0</v>
          </cell>
          <cell r="AD866"/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</row>
        <row r="867">
          <cell r="A867">
            <v>442025</v>
          </cell>
          <cell r="B867" t="str">
            <v>Não</v>
          </cell>
          <cell r="C867" t="str">
            <v>Bandeja</v>
          </cell>
          <cell r="D867" t="str">
            <v>SPARE</v>
          </cell>
          <cell r="E867">
            <v>2</v>
          </cell>
          <cell r="F867" t="str">
            <v>Bandeja Dianteira Ambos Lados Sem Pivô Variant 1970 A 1977</v>
          </cell>
          <cell r="G867"/>
          <cell r="H867">
            <v>0</v>
          </cell>
          <cell r="I867">
            <v>0</v>
          </cell>
          <cell r="J867" t="str">
            <v/>
          </cell>
          <cell r="K867" t="str">
            <v/>
          </cell>
          <cell r="L867" t="str">
            <v/>
          </cell>
          <cell r="M867">
            <v>0</v>
          </cell>
          <cell r="N867" t="str">
            <v/>
          </cell>
          <cell r="O867" t="str">
            <v/>
          </cell>
          <cell r="P867" t="str">
            <v/>
          </cell>
          <cell r="Q867">
            <v>0</v>
          </cell>
          <cell r="R867" t="str">
            <v>0</v>
          </cell>
          <cell r="S867" t="str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 t="str">
            <v/>
          </cell>
          <cell r="Y867" t="str">
            <v/>
          </cell>
          <cell r="Z867" t="str">
            <v/>
          </cell>
          <cell r="AA867">
            <v>0</v>
          </cell>
          <cell r="AB867">
            <v>0</v>
          </cell>
          <cell r="AC867">
            <v>0</v>
          </cell>
          <cell r="AD867"/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</row>
        <row r="868">
          <cell r="A868">
            <v>442070</v>
          </cell>
          <cell r="B868" t="str">
            <v>Sim</v>
          </cell>
          <cell r="C868" t="str">
            <v>Bandeja</v>
          </cell>
          <cell r="D868" t="str">
            <v>SPARE</v>
          </cell>
          <cell r="E868">
            <v>2</v>
          </cell>
          <cell r="F868" t="str">
            <v>Bandeja Inferior Direita Sem Pivô Ranger 2012 A 2019</v>
          </cell>
          <cell r="G868"/>
          <cell r="H868">
            <v>0</v>
          </cell>
          <cell r="I868">
            <v>0</v>
          </cell>
          <cell r="J868">
            <v>0</v>
          </cell>
          <cell r="K868" t="str">
            <v/>
          </cell>
          <cell r="L868" t="str">
            <v/>
          </cell>
          <cell r="M868">
            <v>0</v>
          </cell>
          <cell r="N868" t="str">
            <v/>
          </cell>
          <cell r="O868">
            <v>0</v>
          </cell>
          <cell r="P868" t="str">
            <v/>
          </cell>
          <cell r="Q868">
            <v>0</v>
          </cell>
          <cell r="R868" t="str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 t="str">
            <v/>
          </cell>
          <cell r="Y868" t="str">
            <v/>
          </cell>
          <cell r="Z868" t="str">
            <v/>
          </cell>
          <cell r="AA868">
            <v>0</v>
          </cell>
          <cell r="AB868">
            <v>0</v>
          </cell>
          <cell r="AC868">
            <v>0</v>
          </cell>
          <cell r="AD868"/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</row>
        <row r="869">
          <cell r="A869">
            <v>442071</v>
          </cell>
          <cell r="B869" t="str">
            <v>Sim</v>
          </cell>
          <cell r="C869" t="str">
            <v>Bandeja</v>
          </cell>
          <cell r="D869" t="str">
            <v>SPARE</v>
          </cell>
          <cell r="E869">
            <v>2</v>
          </cell>
          <cell r="F869" t="str">
            <v>Bandeja Inferior Esquerda Sem Pivô Ranger 2012 A 2019</v>
          </cell>
          <cell r="G869"/>
          <cell r="H869">
            <v>0</v>
          </cell>
          <cell r="I869">
            <v>0</v>
          </cell>
          <cell r="J869">
            <v>0</v>
          </cell>
          <cell r="K869" t="str">
            <v/>
          </cell>
          <cell r="L869" t="str">
            <v/>
          </cell>
          <cell r="M869">
            <v>0</v>
          </cell>
          <cell r="N869" t="str">
            <v/>
          </cell>
          <cell r="O869">
            <v>0</v>
          </cell>
          <cell r="P869" t="str">
            <v/>
          </cell>
          <cell r="Q869">
            <v>0</v>
          </cell>
          <cell r="R869" t="str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 t="str">
            <v/>
          </cell>
          <cell r="Y869" t="str">
            <v/>
          </cell>
          <cell r="Z869" t="str">
            <v/>
          </cell>
          <cell r="AA869">
            <v>0</v>
          </cell>
          <cell r="AB869">
            <v>0</v>
          </cell>
          <cell r="AC869">
            <v>0</v>
          </cell>
          <cell r="AD869"/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</row>
        <row r="870">
          <cell r="A870">
            <v>442100</v>
          </cell>
          <cell r="B870"/>
          <cell r="C870" t="str">
            <v>Bandeja</v>
          </cell>
          <cell r="D870" t="str">
            <v>SPARE</v>
          </cell>
          <cell r="E870">
            <v>2</v>
          </cell>
          <cell r="F870" t="str">
            <v>Bandeja INFERIOR DIREITA SEM PIVÔ AUDI A3 2013 A 2018</v>
          </cell>
          <cell r="G870"/>
          <cell r="H870" t="str">
            <v>-</v>
          </cell>
          <cell r="I870"/>
          <cell r="J870"/>
          <cell r="K870"/>
          <cell r="L870"/>
          <cell r="M870"/>
          <cell r="N870"/>
          <cell r="O870"/>
          <cell r="P870"/>
          <cell r="Q870">
            <v>0</v>
          </cell>
          <cell r="R870"/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 t="str">
            <v/>
          </cell>
          <cell r="Y870" t="str">
            <v/>
          </cell>
          <cell r="Z870" t="str">
            <v/>
          </cell>
          <cell r="AA870">
            <v>0</v>
          </cell>
          <cell r="AB870">
            <v>0</v>
          </cell>
          <cell r="AC870">
            <v>0</v>
          </cell>
          <cell r="AD870"/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</row>
        <row r="871">
          <cell r="A871">
            <v>442101</v>
          </cell>
          <cell r="B871"/>
          <cell r="C871" t="str">
            <v>Bandeja</v>
          </cell>
          <cell r="D871" t="str">
            <v>SPARE</v>
          </cell>
          <cell r="E871">
            <v>2</v>
          </cell>
          <cell r="F871" t="str">
            <v>Bandeja INFERIOR ESQUERDA SEM PIVÔ AUDI A3 2013 A 2018</v>
          </cell>
          <cell r="G871"/>
          <cell r="H871" t="str">
            <v>-</v>
          </cell>
          <cell r="I871"/>
          <cell r="J871"/>
          <cell r="K871"/>
          <cell r="L871"/>
          <cell r="M871"/>
          <cell r="N871"/>
          <cell r="O871"/>
          <cell r="P871"/>
          <cell r="Q871">
            <v>0</v>
          </cell>
          <cell r="R871"/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 t="str">
            <v/>
          </cell>
          <cell r="Y871" t="str">
            <v/>
          </cell>
          <cell r="Z871" t="str">
            <v/>
          </cell>
          <cell r="AA871">
            <v>0</v>
          </cell>
          <cell r="AB871">
            <v>0</v>
          </cell>
          <cell r="AC871">
            <v>0</v>
          </cell>
          <cell r="AD871"/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</row>
        <row r="872">
          <cell r="A872">
            <v>442104</v>
          </cell>
          <cell r="B872" t="str">
            <v>Sim</v>
          </cell>
          <cell r="C872" t="str">
            <v>Bandeja</v>
          </cell>
          <cell r="D872" t="str">
            <v>SPARE</v>
          </cell>
          <cell r="E872">
            <v>2</v>
          </cell>
          <cell r="F872" t="str">
            <v>Bandeja Inferior Direito Sem Pivô Passat 2012 A 2015</v>
          </cell>
          <cell r="G872"/>
          <cell r="H872">
            <v>0</v>
          </cell>
          <cell r="I872">
            <v>0</v>
          </cell>
          <cell r="J872">
            <v>0</v>
          </cell>
          <cell r="K872" t="str">
            <v/>
          </cell>
          <cell r="L872" t="str">
            <v/>
          </cell>
          <cell r="M872">
            <v>0</v>
          </cell>
          <cell r="N872" t="str">
            <v/>
          </cell>
          <cell r="O872">
            <v>0</v>
          </cell>
          <cell r="P872" t="str">
            <v/>
          </cell>
          <cell r="Q872">
            <v>0</v>
          </cell>
          <cell r="R872" t="str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 t="str">
            <v/>
          </cell>
          <cell r="Y872" t="str">
            <v/>
          </cell>
          <cell r="Z872" t="str">
            <v/>
          </cell>
          <cell r="AA872">
            <v>0</v>
          </cell>
          <cell r="AB872">
            <v>0</v>
          </cell>
          <cell r="AC872">
            <v>0</v>
          </cell>
          <cell r="AD872"/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</row>
        <row r="873">
          <cell r="A873">
            <v>442105</v>
          </cell>
          <cell r="B873" t="str">
            <v>Sim</v>
          </cell>
          <cell r="C873" t="str">
            <v>Bandeja</v>
          </cell>
          <cell r="D873" t="str">
            <v>SPARE</v>
          </cell>
          <cell r="E873">
            <v>2</v>
          </cell>
          <cell r="F873" t="str">
            <v>Bandeja Inferior Esquerdo Sem Pivô Volkswagen Cc 2010 A 2017</v>
          </cell>
          <cell r="G873"/>
          <cell r="H873">
            <v>0</v>
          </cell>
          <cell r="I873">
            <v>0</v>
          </cell>
          <cell r="J873">
            <v>0</v>
          </cell>
          <cell r="K873" t="str">
            <v/>
          </cell>
          <cell r="L873" t="str">
            <v/>
          </cell>
          <cell r="M873">
            <v>0</v>
          </cell>
          <cell r="N873" t="str">
            <v/>
          </cell>
          <cell r="O873">
            <v>0</v>
          </cell>
          <cell r="P873" t="str">
            <v/>
          </cell>
          <cell r="Q873">
            <v>0</v>
          </cell>
          <cell r="R873" t="str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 t="str">
            <v/>
          </cell>
          <cell r="Y873" t="str">
            <v/>
          </cell>
          <cell r="Z873" t="str">
            <v/>
          </cell>
          <cell r="AA873">
            <v>0</v>
          </cell>
          <cell r="AB873">
            <v>0</v>
          </cell>
          <cell r="AC873">
            <v>0</v>
          </cell>
          <cell r="AD873"/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</row>
        <row r="874">
          <cell r="A874">
            <v>442107</v>
          </cell>
          <cell r="B874" t="str">
            <v>Sim</v>
          </cell>
          <cell r="C874" t="str">
            <v>Bandeja</v>
          </cell>
          <cell r="D874" t="str">
            <v>SPARE</v>
          </cell>
          <cell r="E874">
            <v>2</v>
          </cell>
          <cell r="F874" t="str">
            <v>Bandeja Inferior Esquerda Com Pivô Tiguan 2010 A 2017</v>
          </cell>
          <cell r="G874"/>
          <cell r="H874">
            <v>0</v>
          </cell>
          <cell r="I874">
            <v>0</v>
          </cell>
          <cell r="J874">
            <v>0</v>
          </cell>
          <cell r="K874" t="str">
            <v/>
          </cell>
          <cell r="L874" t="str">
            <v/>
          </cell>
          <cell r="M874">
            <v>0</v>
          </cell>
          <cell r="N874" t="str">
            <v/>
          </cell>
          <cell r="O874">
            <v>0</v>
          </cell>
          <cell r="P874" t="str">
            <v/>
          </cell>
          <cell r="Q874">
            <v>0</v>
          </cell>
          <cell r="R874" t="str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 t="str">
            <v/>
          </cell>
          <cell r="Y874" t="str">
            <v/>
          </cell>
          <cell r="Z874" t="str">
            <v/>
          </cell>
          <cell r="AA874">
            <v>0</v>
          </cell>
          <cell r="AB874">
            <v>0</v>
          </cell>
          <cell r="AC874">
            <v>0</v>
          </cell>
          <cell r="AD874"/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</row>
        <row r="875">
          <cell r="A875">
            <v>442110</v>
          </cell>
          <cell r="B875" t="str">
            <v>Sim</v>
          </cell>
          <cell r="C875" t="str">
            <v>Bandeja</v>
          </cell>
          <cell r="D875" t="str">
            <v>SPARE</v>
          </cell>
          <cell r="E875">
            <v>2</v>
          </cell>
          <cell r="F875" t="str">
            <v>Bandeja DIANTEIRA DIREITA SEM Pivô NEW BEETLE 1999 A 2002</v>
          </cell>
          <cell r="G875"/>
          <cell r="H875">
            <v>0</v>
          </cell>
          <cell r="I875">
            <v>0</v>
          </cell>
          <cell r="J875"/>
          <cell r="K875"/>
          <cell r="L875"/>
          <cell r="M875">
            <v>0</v>
          </cell>
          <cell r="N875" t="str">
            <v/>
          </cell>
          <cell r="O875">
            <v>0</v>
          </cell>
          <cell r="P875" t="str">
            <v/>
          </cell>
          <cell r="Q875">
            <v>0</v>
          </cell>
          <cell r="R875" t="str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 t="str">
            <v/>
          </cell>
          <cell r="Y875" t="str">
            <v/>
          </cell>
          <cell r="Z875" t="str">
            <v/>
          </cell>
          <cell r="AA875">
            <v>0</v>
          </cell>
          <cell r="AB875">
            <v>0</v>
          </cell>
          <cell r="AC875">
            <v>0</v>
          </cell>
          <cell r="AD875"/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</row>
        <row r="876">
          <cell r="A876">
            <v>442111</v>
          </cell>
          <cell r="B876" t="str">
            <v>Sim</v>
          </cell>
          <cell r="C876" t="str">
            <v>Bandeja</v>
          </cell>
          <cell r="D876" t="str">
            <v>SPARE</v>
          </cell>
          <cell r="E876">
            <v>2</v>
          </cell>
          <cell r="F876" t="str">
            <v>Bandeja DIANTEIRA ESQUERDA SEM Pivô NEW BEETLE 1999 A 2002</v>
          </cell>
          <cell r="G876"/>
          <cell r="H876">
            <v>0</v>
          </cell>
          <cell r="I876">
            <v>0</v>
          </cell>
          <cell r="J876"/>
          <cell r="K876"/>
          <cell r="L876"/>
          <cell r="M876">
            <v>0</v>
          </cell>
          <cell r="N876" t="str">
            <v/>
          </cell>
          <cell r="O876">
            <v>0</v>
          </cell>
          <cell r="P876" t="str">
            <v/>
          </cell>
          <cell r="Q876">
            <v>0</v>
          </cell>
          <cell r="R876" t="str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 t="str">
            <v/>
          </cell>
          <cell r="Y876" t="str">
            <v/>
          </cell>
          <cell r="Z876" t="str">
            <v/>
          </cell>
          <cell r="AA876">
            <v>0</v>
          </cell>
          <cell r="AB876">
            <v>0</v>
          </cell>
          <cell r="AC876">
            <v>0</v>
          </cell>
          <cell r="AD876"/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</row>
        <row r="877">
          <cell r="A877">
            <v>442112</v>
          </cell>
          <cell r="B877" t="str">
            <v>Sim</v>
          </cell>
          <cell r="C877" t="str">
            <v>Bandeja</v>
          </cell>
          <cell r="D877" t="str">
            <v>SPARE</v>
          </cell>
          <cell r="E877">
            <v>2</v>
          </cell>
          <cell r="F877" t="str">
            <v>Bandeja Up Dianteira direita 2014 Em Diante Sem Pivô</v>
          </cell>
          <cell r="G877"/>
          <cell r="H877">
            <v>0</v>
          </cell>
          <cell r="I877">
            <v>0</v>
          </cell>
          <cell r="J877">
            <v>0</v>
          </cell>
          <cell r="K877" t="str">
            <v/>
          </cell>
          <cell r="L877" t="str">
            <v/>
          </cell>
          <cell r="M877">
            <v>0</v>
          </cell>
          <cell r="N877" t="str">
            <v/>
          </cell>
          <cell r="O877">
            <v>0</v>
          </cell>
          <cell r="P877" t="str">
            <v/>
          </cell>
          <cell r="Q877">
            <v>0</v>
          </cell>
          <cell r="R877" t="str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 t="str">
            <v/>
          </cell>
          <cell r="Y877" t="str">
            <v/>
          </cell>
          <cell r="Z877" t="str">
            <v/>
          </cell>
          <cell r="AA877">
            <v>0</v>
          </cell>
          <cell r="AB877">
            <v>0</v>
          </cell>
          <cell r="AC877">
            <v>0</v>
          </cell>
          <cell r="AD877"/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</row>
        <row r="878">
          <cell r="A878">
            <v>442113</v>
          </cell>
          <cell r="B878" t="str">
            <v>Sim</v>
          </cell>
          <cell r="C878" t="str">
            <v>Bandeja</v>
          </cell>
          <cell r="D878" t="str">
            <v>SPARE</v>
          </cell>
          <cell r="E878">
            <v>2</v>
          </cell>
          <cell r="F878" t="str">
            <v>Bandeja Up Dianteira Esquerda 2014 Em Diante Sem Pivô</v>
          </cell>
          <cell r="G878"/>
          <cell r="H878">
            <v>0</v>
          </cell>
          <cell r="I878">
            <v>0</v>
          </cell>
          <cell r="J878">
            <v>0</v>
          </cell>
          <cell r="K878" t="str">
            <v/>
          </cell>
          <cell r="L878" t="str">
            <v/>
          </cell>
          <cell r="M878">
            <v>0</v>
          </cell>
          <cell r="N878" t="str">
            <v/>
          </cell>
          <cell r="O878">
            <v>0</v>
          </cell>
          <cell r="P878" t="str">
            <v/>
          </cell>
          <cell r="Q878">
            <v>0</v>
          </cell>
          <cell r="R878" t="str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 t="str">
            <v/>
          </cell>
          <cell r="Y878" t="str">
            <v/>
          </cell>
          <cell r="Z878" t="str">
            <v/>
          </cell>
          <cell r="AA878">
            <v>0</v>
          </cell>
          <cell r="AB878">
            <v>0</v>
          </cell>
          <cell r="AC878">
            <v>0</v>
          </cell>
          <cell r="AD878"/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</row>
        <row r="879">
          <cell r="A879">
            <v>442114</v>
          </cell>
          <cell r="B879"/>
          <cell r="C879" t="str">
            <v>Bandeja</v>
          </cell>
          <cell r="D879" t="str">
            <v>SPARE</v>
          </cell>
          <cell r="E879">
            <v>2</v>
          </cell>
          <cell r="F879" t="str">
            <v>Bandeja INFERIOR ESQUERDA SEM PIVÔ UP 2014 A 2020</v>
          </cell>
          <cell r="G879"/>
          <cell r="H879" t="str">
            <v>-</v>
          </cell>
          <cell r="I879"/>
          <cell r="J879"/>
          <cell r="K879"/>
          <cell r="L879"/>
          <cell r="M879"/>
          <cell r="N879"/>
          <cell r="O879"/>
          <cell r="P879"/>
          <cell r="Q879">
            <v>0</v>
          </cell>
          <cell r="R879"/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 t="str">
            <v/>
          </cell>
          <cell r="Y879" t="str">
            <v/>
          </cell>
          <cell r="Z879" t="str">
            <v/>
          </cell>
          <cell r="AA879">
            <v>0</v>
          </cell>
          <cell r="AB879">
            <v>0</v>
          </cell>
          <cell r="AC879">
            <v>0</v>
          </cell>
          <cell r="AD879"/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</row>
        <row r="880">
          <cell r="A880">
            <v>442123</v>
          </cell>
          <cell r="B880" t="str">
            <v>Sim</v>
          </cell>
          <cell r="C880" t="str">
            <v>Bandeja</v>
          </cell>
          <cell r="D880" t="str">
            <v>SPARE</v>
          </cell>
          <cell r="E880">
            <v>2</v>
          </cell>
          <cell r="F880" t="str">
            <v>Bandeja Inferior Esquerda Jetta 2.0 2.5 2005 A 2010 Sem Pivô</v>
          </cell>
          <cell r="G880"/>
          <cell r="H880">
            <v>0</v>
          </cell>
          <cell r="I880">
            <v>0</v>
          </cell>
          <cell r="J880" t="str">
            <v/>
          </cell>
          <cell r="K880" t="str">
            <v/>
          </cell>
          <cell r="L880" t="str">
            <v/>
          </cell>
          <cell r="M880">
            <v>0</v>
          </cell>
          <cell r="N880" t="str">
            <v/>
          </cell>
          <cell r="O880" t="str">
            <v/>
          </cell>
          <cell r="P880" t="str">
            <v/>
          </cell>
          <cell r="Q880">
            <v>0</v>
          </cell>
          <cell r="R880" t="str">
            <v>0</v>
          </cell>
          <cell r="S880" t="str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 t="str">
            <v/>
          </cell>
          <cell r="Y880" t="str">
            <v/>
          </cell>
          <cell r="Z880" t="str">
            <v/>
          </cell>
          <cell r="AA880">
            <v>0</v>
          </cell>
          <cell r="AB880">
            <v>0</v>
          </cell>
          <cell r="AC880">
            <v>0</v>
          </cell>
          <cell r="AD880"/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</row>
        <row r="881">
          <cell r="A881">
            <v>442126</v>
          </cell>
          <cell r="B881"/>
          <cell r="C881" t="str">
            <v>Bandeja</v>
          </cell>
          <cell r="D881" t="str">
            <v>SPARE</v>
          </cell>
          <cell r="E881">
            <v>2</v>
          </cell>
          <cell r="F881" t="str">
            <v>Bandeja INFERIOR DIREITA COM PIVÔ GOLF GERAÇÃO 7 2014 A 2018</v>
          </cell>
          <cell r="G881"/>
          <cell r="H881" t="str">
            <v>-</v>
          </cell>
          <cell r="I881"/>
          <cell r="J881"/>
          <cell r="K881"/>
          <cell r="L881"/>
          <cell r="M881"/>
          <cell r="N881"/>
          <cell r="O881"/>
          <cell r="P881"/>
          <cell r="Q881">
            <v>0</v>
          </cell>
          <cell r="R881"/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 t="str">
            <v/>
          </cell>
          <cell r="Y881" t="str">
            <v/>
          </cell>
          <cell r="Z881" t="str">
            <v/>
          </cell>
          <cell r="AA881">
            <v>0</v>
          </cell>
          <cell r="AB881">
            <v>0</v>
          </cell>
          <cell r="AC881">
            <v>0</v>
          </cell>
          <cell r="AD881"/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</row>
        <row r="882">
          <cell r="A882">
            <v>442128</v>
          </cell>
          <cell r="B882" t="str">
            <v>Sim</v>
          </cell>
          <cell r="C882" t="str">
            <v>Bandeja</v>
          </cell>
          <cell r="D882" t="str">
            <v>SPARE</v>
          </cell>
          <cell r="E882">
            <v>2</v>
          </cell>
          <cell r="F882" t="str">
            <v>Bandeja Up Dianteira direita 2014 Em Diante Com Pivô</v>
          </cell>
          <cell r="G882"/>
          <cell r="H882">
            <v>0</v>
          </cell>
          <cell r="I882">
            <v>0</v>
          </cell>
          <cell r="J882">
            <v>0</v>
          </cell>
          <cell r="K882" t="str">
            <v/>
          </cell>
          <cell r="L882" t="str">
            <v/>
          </cell>
          <cell r="M882">
            <v>0</v>
          </cell>
          <cell r="N882" t="str">
            <v/>
          </cell>
          <cell r="O882">
            <v>0</v>
          </cell>
          <cell r="P882" t="str">
            <v/>
          </cell>
          <cell r="Q882">
            <v>0</v>
          </cell>
          <cell r="R882" t="str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 t="str">
            <v/>
          </cell>
          <cell r="Y882" t="str">
            <v/>
          </cell>
          <cell r="Z882" t="str">
            <v/>
          </cell>
          <cell r="AA882">
            <v>0</v>
          </cell>
          <cell r="AB882">
            <v>0</v>
          </cell>
          <cell r="AC882">
            <v>0</v>
          </cell>
          <cell r="AD882"/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</row>
        <row r="883">
          <cell r="A883">
            <v>442129</v>
          </cell>
          <cell r="B883" t="str">
            <v>Sim</v>
          </cell>
          <cell r="C883" t="str">
            <v>Bandeja</v>
          </cell>
          <cell r="D883" t="str">
            <v>SPARE</v>
          </cell>
          <cell r="E883">
            <v>2</v>
          </cell>
          <cell r="F883" t="str">
            <v>Bandeja Up Dianteira Esquerda 2014 Em Diante Com Pivô</v>
          </cell>
          <cell r="G883"/>
          <cell r="H883">
            <v>0</v>
          </cell>
          <cell r="I883">
            <v>0</v>
          </cell>
          <cell r="J883">
            <v>0</v>
          </cell>
          <cell r="K883" t="str">
            <v/>
          </cell>
          <cell r="L883" t="str">
            <v/>
          </cell>
          <cell r="M883">
            <v>0</v>
          </cell>
          <cell r="N883" t="str">
            <v/>
          </cell>
          <cell r="O883">
            <v>0</v>
          </cell>
          <cell r="P883" t="str">
            <v/>
          </cell>
          <cell r="Q883">
            <v>0</v>
          </cell>
          <cell r="R883" t="str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 t="str">
            <v/>
          </cell>
          <cell r="Y883" t="str">
            <v/>
          </cell>
          <cell r="Z883" t="str">
            <v/>
          </cell>
          <cell r="AA883">
            <v>0</v>
          </cell>
          <cell r="AB883">
            <v>0</v>
          </cell>
          <cell r="AC883">
            <v>0</v>
          </cell>
          <cell r="AD883"/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</row>
        <row r="884">
          <cell r="A884">
            <v>442145</v>
          </cell>
          <cell r="B884" t="str">
            <v>Sim</v>
          </cell>
          <cell r="C884" t="str">
            <v>Bandeja</v>
          </cell>
          <cell r="D884" t="str">
            <v>SPARE</v>
          </cell>
          <cell r="E884">
            <v>2</v>
          </cell>
          <cell r="F884" t="str">
            <v>Bandeja Inferior Direita Sem Pivô Polo 2017 Em Diante</v>
          </cell>
          <cell r="G884"/>
          <cell r="H884">
            <v>0</v>
          </cell>
          <cell r="I884">
            <v>0</v>
          </cell>
          <cell r="J884" t="str">
            <v/>
          </cell>
          <cell r="K884" t="str">
            <v/>
          </cell>
          <cell r="L884" t="str">
            <v/>
          </cell>
          <cell r="M884">
            <v>0</v>
          </cell>
          <cell r="N884" t="str">
            <v/>
          </cell>
          <cell r="O884" t="str">
            <v/>
          </cell>
          <cell r="P884" t="str">
            <v/>
          </cell>
          <cell r="Q884">
            <v>0</v>
          </cell>
          <cell r="R884" t="str">
            <v>0</v>
          </cell>
          <cell r="S884" t="str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 t="str">
            <v/>
          </cell>
          <cell r="Y884" t="str">
            <v/>
          </cell>
          <cell r="Z884" t="str">
            <v/>
          </cell>
          <cell r="AA884">
            <v>0</v>
          </cell>
          <cell r="AB884">
            <v>0</v>
          </cell>
          <cell r="AC884">
            <v>0</v>
          </cell>
          <cell r="AD884"/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</row>
        <row r="885">
          <cell r="A885">
            <v>552004</v>
          </cell>
          <cell r="B885" t="str">
            <v>Não</v>
          </cell>
          <cell r="C885" t="str">
            <v>Bandeja</v>
          </cell>
          <cell r="D885" t="str">
            <v>SPARE</v>
          </cell>
          <cell r="E885">
            <v>2</v>
          </cell>
          <cell r="F885" t="str">
            <v>Bandeja Superior 106 Lado Direito Sem Pivô 1992 Á 2001</v>
          </cell>
          <cell r="G885"/>
          <cell r="H885">
            <v>0</v>
          </cell>
          <cell r="I885">
            <v>0</v>
          </cell>
          <cell r="J885">
            <v>0</v>
          </cell>
          <cell r="K885" t="str">
            <v/>
          </cell>
          <cell r="L885" t="str">
            <v/>
          </cell>
          <cell r="M885">
            <v>0</v>
          </cell>
          <cell r="N885" t="str">
            <v/>
          </cell>
          <cell r="O885">
            <v>0</v>
          </cell>
          <cell r="P885" t="str">
            <v/>
          </cell>
          <cell r="Q885">
            <v>0</v>
          </cell>
          <cell r="R885" t="str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 t="str">
            <v/>
          </cell>
          <cell r="Y885" t="str">
            <v/>
          </cell>
          <cell r="Z885" t="str">
            <v/>
          </cell>
          <cell r="AA885">
            <v>0</v>
          </cell>
          <cell r="AB885">
            <v>0</v>
          </cell>
          <cell r="AC885">
            <v>0</v>
          </cell>
          <cell r="AD885"/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</row>
        <row r="886">
          <cell r="A886">
            <v>552005</v>
          </cell>
          <cell r="B886" t="str">
            <v>Não</v>
          </cell>
          <cell r="C886" t="str">
            <v>Bandeja</v>
          </cell>
          <cell r="D886" t="str">
            <v>SPARE</v>
          </cell>
          <cell r="E886">
            <v>2</v>
          </cell>
          <cell r="F886" t="str">
            <v>Bandeja Superior 106 Lado Esquerdo Sem Pivô 1992 Á 2001</v>
          </cell>
          <cell r="G886"/>
          <cell r="H886">
            <v>0</v>
          </cell>
          <cell r="I886">
            <v>0</v>
          </cell>
          <cell r="J886">
            <v>0</v>
          </cell>
          <cell r="K886" t="str">
            <v/>
          </cell>
          <cell r="L886" t="str">
            <v/>
          </cell>
          <cell r="M886">
            <v>0</v>
          </cell>
          <cell r="N886" t="str">
            <v/>
          </cell>
          <cell r="O886">
            <v>0</v>
          </cell>
          <cell r="P886" t="str">
            <v/>
          </cell>
          <cell r="Q886">
            <v>0</v>
          </cell>
          <cell r="R886" t="str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 t="str">
            <v/>
          </cell>
          <cell r="Y886" t="str">
            <v/>
          </cell>
          <cell r="Z886" t="str">
            <v/>
          </cell>
          <cell r="AA886">
            <v>0</v>
          </cell>
          <cell r="AB886">
            <v>0</v>
          </cell>
          <cell r="AC886">
            <v>0</v>
          </cell>
          <cell r="AD886"/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</row>
        <row r="887">
          <cell r="A887">
            <v>552012</v>
          </cell>
          <cell r="B887" t="str">
            <v>Sim</v>
          </cell>
          <cell r="C887" t="str">
            <v>Bandeja</v>
          </cell>
          <cell r="D887" t="str">
            <v>SPARE</v>
          </cell>
          <cell r="E887">
            <v>2</v>
          </cell>
          <cell r="F887" t="str">
            <v>Bandeja Inferior C3 Lado Direito Com Pivô</v>
          </cell>
          <cell r="G887"/>
          <cell r="H887">
            <v>0</v>
          </cell>
          <cell r="I887">
            <v>0</v>
          </cell>
          <cell r="J887" t="str">
            <v/>
          </cell>
          <cell r="K887" t="str">
            <v/>
          </cell>
          <cell r="L887" t="str">
            <v/>
          </cell>
          <cell r="M887">
            <v>0</v>
          </cell>
          <cell r="N887" t="str">
            <v/>
          </cell>
          <cell r="O887" t="str">
            <v/>
          </cell>
          <cell r="P887" t="str">
            <v/>
          </cell>
          <cell r="Q887">
            <v>0</v>
          </cell>
          <cell r="R887" t="str">
            <v>0</v>
          </cell>
          <cell r="S887" t="str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 t="str">
            <v/>
          </cell>
          <cell r="Y887" t="str">
            <v/>
          </cell>
          <cell r="Z887" t="str">
            <v/>
          </cell>
          <cell r="AA887">
            <v>0</v>
          </cell>
          <cell r="AB887">
            <v>0</v>
          </cell>
          <cell r="AC887">
            <v>0</v>
          </cell>
          <cell r="AD887"/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</row>
        <row r="888">
          <cell r="A888">
            <v>552018</v>
          </cell>
          <cell r="B888" t="str">
            <v>Sim</v>
          </cell>
          <cell r="C888" t="str">
            <v>Bandeja</v>
          </cell>
          <cell r="D888" t="str">
            <v>SPARE</v>
          </cell>
          <cell r="E888">
            <v>2</v>
          </cell>
          <cell r="F888" t="str">
            <v>Bandeja Inferior Direita Sem Pivô 306 1994 A 2001</v>
          </cell>
          <cell r="G888"/>
          <cell r="H888">
            <v>0</v>
          </cell>
          <cell r="I888">
            <v>0</v>
          </cell>
          <cell r="J888">
            <v>0</v>
          </cell>
          <cell r="K888" t="str">
            <v/>
          </cell>
          <cell r="L888" t="str">
            <v/>
          </cell>
          <cell r="M888">
            <v>0</v>
          </cell>
          <cell r="N888" t="str">
            <v/>
          </cell>
          <cell r="O888">
            <v>0</v>
          </cell>
          <cell r="P888" t="str">
            <v/>
          </cell>
          <cell r="Q888">
            <v>0</v>
          </cell>
          <cell r="R888" t="str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 t="str">
            <v/>
          </cell>
          <cell r="Y888" t="str">
            <v/>
          </cell>
          <cell r="Z888" t="str">
            <v/>
          </cell>
          <cell r="AA888">
            <v>0</v>
          </cell>
          <cell r="AB888">
            <v>0</v>
          </cell>
          <cell r="AC888">
            <v>0</v>
          </cell>
          <cell r="AD888"/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</row>
        <row r="889">
          <cell r="A889">
            <v>662010</v>
          </cell>
          <cell r="B889" t="str">
            <v>Sim</v>
          </cell>
          <cell r="C889" t="str">
            <v>Bandeja</v>
          </cell>
          <cell r="D889" t="str">
            <v>SPARE</v>
          </cell>
          <cell r="E889">
            <v>2</v>
          </cell>
          <cell r="F889" t="str">
            <v>Bandeja Inferior Direita Sem Pivô Kwid 2017 Em Diante</v>
          </cell>
          <cell r="G889"/>
          <cell r="H889">
            <v>0</v>
          </cell>
          <cell r="I889">
            <v>0</v>
          </cell>
          <cell r="J889">
            <v>0</v>
          </cell>
          <cell r="K889" t="str">
            <v/>
          </cell>
          <cell r="L889" t="str">
            <v/>
          </cell>
          <cell r="M889">
            <v>0</v>
          </cell>
          <cell r="N889" t="str">
            <v/>
          </cell>
          <cell r="O889">
            <v>0</v>
          </cell>
          <cell r="P889" t="str">
            <v/>
          </cell>
          <cell r="Q889">
            <v>0</v>
          </cell>
          <cell r="R889" t="str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 t="str">
            <v/>
          </cell>
          <cell r="Y889" t="str">
            <v/>
          </cell>
          <cell r="Z889" t="str">
            <v/>
          </cell>
          <cell r="AA889">
            <v>0</v>
          </cell>
          <cell r="AB889">
            <v>0</v>
          </cell>
          <cell r="AC889">
            <v>0</v>
          </cell>
          <cell r="AD889"/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</row>
        <row r="890">
          <cell r="A890">
            <v>662011</v>
          </cell>
          <cell r="B890" t="str">
            <v>Sim</v>
          </cell>
          <cell r="C890" t="str">
            <v>Bandeja</v>
          </cell>
          <cell r="D890" t="str">
            <v>SPARE</v>
          </cell>
          <cell r="E890">
            <v>2</v>
          </cell>
          <cell r="F890" t="str">
            <v>Bandeja Inferior Esquerda Sem Pivô Kwid 2017 Em Diante</v>
          </cell>
          <cell r="G890"/>
          <cell r="H890">
            <v>0</v>
          </cell>
          <cell r="I890">
            <v>0</v>
          </cell>
          <cell r="J890">
            <v>0</v>
          </cell>
          <cell r="K890" t="str">
            <v/>
          </cell>
          <cell r="L890" t="str">
            <v/>
          </cell>
          <cell r="M890">
            <v>0</v>
          </cell>
          <cell r="N890" t="str">
            <v/>
          </cell>
          <cell r="O890">
            <v>0</v>
          </cell>
          <cell r="P890" t="str">
            <v/>
          </cell>
          <cell r="Q890">
            <v>0</v>
          </cell>
          <cell r="R890" t="str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 t="str">
            <v/>
          </cell>
          <cell r="Y890" t="str">
            <v/>
          </cell>
          <cell r="Z890" t="str">
            <v/>
          </cell>
          <cell r="AA890">
            <v>0</v>
          </cell>
          <cell r="AB890">
            <v>0</v>
          </cell>
          <cell r="AC890">
            <v>0</v>
          </cell>
          <cell r="AD890"/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</row>
        <row r="891">
          <cell r="A891">
            <v>662020</v>
          </cell>
          <cell r="B891" t="str">
            <v>Não</v>
          </cell>
          <cell r="C891" t="str">
            <v>Bandeja</v>
          </cell>
          <cell r="D891" t="str">
            <v>SPARE</v>
          </cell>
          <cell r="E891">
            <v>2</v>
          </cell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  <cell r="P891"/>
          <cell r="Q891">
            <v>0</v>
          </cell>
          <cell r="R891" t="str">
            <v>0</v>
          </cell>
          <cell r="S891" t="str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 t="str">
            <v/>
          </cell>
          <cell r="Y891" t="str">
            <v/>
          </cell>
          <cell r="Z891" t="str">
            <v/>
          </cell>
          <cell r="AA891">
            <v>0</v>
          </cell>
          <cell r="AB891">
            <v>0</v>
          </cell>
          <cell r="AC891">
            <v>0</v>
          </cell>
          <cell r="AD891"/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</row>
        <row r="892">
          <cell r="A892">
            <v>662021</v>
          </cell>
          <cell r="B892" t="str">
            <v>Não</v>
          </cell>
          <cell r="C892" t="str">
            <v>Bandeja</v>
          </cell>
          <cell r="D892" t="str">
            <v>SPARE</v>
          </cell>
          <cell r="E892">
            <v>2</v>
          </cell>
          <cell r="F892"/>
          <cell r="G892"/>
          <cell r="H892"/>
          <cell r="I892"/>
          <cell r="J892"/>
          <cell r="K892"/>
          <cell r="L892"/>
          <cell r="M892"/>
          <cell r="N892"/>
          <cell r="O892"/>
          <cell r="P892"/>
          <cell r="Q892">
            <v>0</v>
          </cell>
          <cell r="R892" t="str">
            <v>0</v>
          </cell>
          <cell r="S892" t="str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 t="str">
            <v/>
          </cell>
          <cell r="Y892" t="str">
            <v/>
          </cell>
          <cell r="Z892" t="str">
            <v/>
          </cell>
          <cell r="AA892">
            <v>0</v>
          </cell>
          <cell r="AB892">
            <v>0</v>
          </cell>
          <cell r="AC892">
            <v>0</v>
          </cell>
          <cell r="AD892"/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</row>
        <row r="893">
          <cell r="A893">
            <v>662028</v>
          </cell>
          <cell r="B893" t="str">
            <v>Não</v>
          </cell>
          <cell r="C893" t="str">
            <v>Bandeja</v>
          </cell>
          <cell r="D893" t="str">
            <v>SPARE</v>
          </cell>
          <cell r="E893">
            <v>2</v>
          </cell>
          <cell r="F893" t="str">
            <v>Bandeja Direita Sem Pivô Megane Grand Tour 2006 A 2012</v>
          </cell>
          <cell r="G893"/>
          <cell r="H893">
            <v>0</v>
          </cell>
          <cell r="I893">
            <v>0</v>
          </cell>
          <cell r="J893" t="str">
            <v/>
          </cell>
          <cell r="K893" t="str">
            <v/>
          </cell>
          <cell r="L893" t="str">
            <v/>
          </cell>
          <cell r="M893">
            <v>0</v>
          </cell>
          <cell r="N893" t="str">
            <v/>
          </cell>
          <cell r="O893" t="str">
            <v/>
          </cell>
          <cell r="P893" t="str">
            <v/>
          </cell>
          <cell r="Q893">
            <v>0</v>
          </cell>
          <cell r="R893" t="str">
            <v>0</v>
          </cell>
          <cell r="S893" t="str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 t="str">
            <v/>
          </cell>
          <cell r="Y893" t="str">
            <v/>
          </cell>
          <cell r="Z893" t="str">
            <v/>
          </cell>
          <cell r="AA893">
            <v>0</v>
          </cell>
          <cell r="AB893">
            <v>0</v>
          </cell>
          <cell r="AC893">
            <v>0</v>
          </cell>
          <cell r="AD893"/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</row>
        <row r="894">
          <cell r="A894">
            <v>662029</v>
          </cell>
          <cell r="B894" t="str">
            <v>Não</v>
          </cell>
          <cell r="C894" t="str">
            <v>Bandeja</v>
          </cell>
          <cell r="D894" t="str">
            <v>SPARE</v>
          </cell>
          <cell r="E894">
            <v>2</v>
          </cell>
          <cell r="F894" t="str">
            <v>Bandeja Esquerda Sem Pivô New Megane 2007 Em Diante</v>
          </cell>
          <cell r="G894"/>
          <cell r="H894">
            <v>0</v>
          </cell>
          <cell r="I894">
            <v>0</v>
          </cell>
          <cell r="J894" t="str">
            <v/>
          </cell>
          <cell r="K894" t="str">
            <v/>
          </cell>
          <cell r="L894" t="str">
            <v/>
          </cell>
          <cell r="M894">
            <v>0</v>
          </cell>
          <cell r="N894" t="str">
            <v/>
          </cell>
          <cell r="O894" t="str">
            <v/>
          </cell>
          <cell r="P894" t="str">
            <v/>
          </cell>
          <cell r="Q894">
            <v>0</v>
          </cell>
          <cell r="R894" t="str">
            <v>0</v>
          </cell>
          <cell r="S894" t="str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 t="str">
            <v/>
          </cell>
          <cell r="Y894" t="str">
            <v/>
          </cell>
          <cell r="Z894" t="str">
            <v/>
          </cell>
          <cell r="AA894">
            <v>0</v>
          </cell>
          <cell r="AB894">
            <v>0</v>
          </cell>
          <cell r="AC894">
            <v>0</v>
          </cell>
          <cell r="AD894"/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</row>
        <row r="895">
          <cell r="A895">
            <v>662048</v>
          </cell>
          <cell r="B895" t="str">
            <v>Sim</v>
          </cell>
          <cell r="C895" t="str">
            <v>Bandeja</v>
          </cell>
          <cell r="D895" t="str">
            <v>SPARE</v>
          </cell>
          <cell r="E895">
            <v>2</v>
          </cell>
          <cell r="F895" t="str">
            <v>Bandeja Dianteira Direita Sem Pivô Logan 2014 A 2019</v>
          </cell>
          <cell r="G895"/>
          <cell r="H895">
            <v>0</v>
          </cell>
          <cell r="I895">
            <v>0</v>
          </cell>
          <cell r="J895">
            <v>0</v>
          </cell>
          <cell r="K895" t="str">
            <v/>
          </cell>
          <cell r="L895" t="str">
            <v/>
          </cell>
          <cell r="M895">
            <v>0</v>
          </cell>
          <cell r="N895" t="str">
            <v/>
          </cell>
          <cell r="O895">
            <v>0</v>
          </cell>
          <cell r="P895" t="str">
            <v/>
          </cell>
          <cell r="Q895">
            <v>0</v>
          </cell>
          <cell r="R895" t="str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 t="str">
            <v/>
          </cell>
          <cell r="Y895" t="str">
            <v/>
          </cell>
          <cell r="Z895" t="str">
            <v/>
          </cell>
          <cell r="AA895">
            <v>0</v>
          </cell>
          <cell r="AB895">
            <v>0</v>
          </cell>
          <cell r="AC895">
            <v>0</v>
          </cell>
          <cell r="AD895"/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</row>
        <row r="896">
          <cell r="A896">
            <v>662090</v>
          </cell>
          <cell r="B896" t="str">
            <v>Não</v>
          </cell>
          <cell r="C896" t="str">
            <v>Bandeja</v>
          </cell>
          <cell r="D896" t="str">
            <v>SPARE</v>
          </cell>
          <cell r="E896">
            <v>2</v>
          </cell>
          <cell r="F896"/>
          <cell r="G896"/>
          <cell r="H896"/>
          <cell r="I896"/>
          <cell r="J896"/>
          <cell r="K896"/>
          <cell r="L896"/>
          <cell r="M896"/>
          <cell r="N896"/>
          <cell r="O896"/>
          <cell r="P896"/>
          <cell r="Q896">
            <v>0</v>
          </cell>
          <cell r="R896" t="str">
            <v>0</v>
          </cell>
          <cell r="S896" t="str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 t="str">
            <v/>
          </cell>
          <cell r="Y896" t="str">
            <v/>
          </cell>
          <cell r="Z896" t="str">
            <v/>
          </cell>
          <cell r="AA896">
            <v>0</v>
          </cell>
          <cell r="AB896">
            <v>0</v>
          </cell>
          <cell r="AC896">
            <v>0</v>
          </cell>
          <cell r="AD896"/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</row>
        <row r="897">
          <cell r="A897">
            <v>772001</v>
          </cell>
          <cell r="B897" t="str">
            <v>Não</v>
          </cell>
          <cell r="C897" t="str">
            <v>Bandeja</v>
          </cell>
          <cell r="D897" t="str">
            <v>SPARE</v>
          </cell>
          <cell r="E897">
            <v>2</v>
          </cell>
          <cell r="F897" t="str">
            <v>Bandeja Fit Inferior Direito 2003 Á 2008 Sem Pivô</v>
          </cell>
          <cell r="G897"/>
          <cell r="H897">
            <v>0</v>
          </cell>
          <cell r="I897">
            <v>0</v>
          </cell>
          <cell r="J897">
            <v>0</v>
          </cell>
          <cell r="K897" t="str">
            <v/>
          </cell>
          <cell r="L897" t="str">
            <v/>
          </cell>
          <cell r="M897">
            <v>0</v>
          </cell>
          <cell r="N897" t="str">
            <v/>
          </cell>
          <cell r="O897">
            <v>0</v>
          </cell>
          <cell r="P897" t="str">
            <v/>
          </cell>
          <cell r="Q897">
            <v>0</v>
          </cell>
          <cell r="R897" t="str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 t="str">
            <v/>
          </cell>
          <cell r="Y897" t="str">
            <v/>
          </cell>
          <cell r="Z897" t="str">
            <v/>
          </cell>
          <cell r="AA897">
            <v>0</v>
          </cell>
          <cell r="AB897">
            <v>0</v>
          </cell>
          <cell r="AC897">
            <v>0</v>
          </cell>
          <cell r="AD897"/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</row>
        <row r="898">
          <cell r="A898">
            <v>772002</v>
          </cell>
          <cell r="B898" t="str">
            <v>Não</v>
          </cell>
          <cell r="C898" t="str">
            <v>Bandeja</v>
          </cell>
          <cell r="D898" t="str">
            <v>SPARE</v>
          </cell>
          <cell r="E898">
            <v>2</v>
          </cell>
          <cell r="F898" t="str">
            <v>Bandeja Fit Inferior Esquerdo 2003 Á 2008 Sem Pivô</v>
          </cell>
          <cell r="G898"/>
          <cell r="H898">
            <v>0</v>
          </cell>
          <cell r="I898">
            <v>0</v>
          </cell>
          <cell r="J898">
            <v>0</v>
          </cell>
          <cell r="K898" t="str">
            <v/>
          </cell>
          <cell r="L898" t="str">
            <v/>
          </cell>
          <cell r="M898">
            <v>0</v>
          </cell>
          <cell r="N898" t="str">
            <v/>
          </cell>
          <cell r="O898">
            <v>0</v>
          </cell>
          <cell r="P898" t="str">
            <v/>
          </cell>
          <cell r="Q898">
            <v>0</v>
          </cell>
          <cell r="R898" t="str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 t="str">
            <v/>
          </cell>
          <cell r="Y898" t="str">
            <v/>
          </cell>
          <cell r="Z898" t="str">
            <v/>
          </cell>
          <cell r="AA898">
            <v>0</v>
          </cell>
          <cell r="AB898">
            <v>0</v>
          </cell>
          <cell r="AC898">
            <v>0</v>
          </cell>
          <cell r="AD898"/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</row>
        <row r="899">
          <cell r="A899">
            <v>772003</v>
          </cell>
          <cell r="B899" t="str">
            <v>Sim</v>
          </cell>
          <cell r="C899" t="str">
            <v>Bandeja</v>
          </cell>
          <cell r="D899" t="str">
            <v>SPARE</v>
          </cell>
          <cell r="E899">
            <v>2</v>
          </cell>
          <cell r="F899" t="str">
            <v>Bandeja Inferior Esquerda Com Pivô Fit 2003 A 2018</v>
          </cell>
          <cell r="G899"/>
          <cell r="H899">
            <v>0</v>
          </cell>
          <cell r="I899">
            <v>0</v>
          </cell>
          <cell r="J899" t="str">
            <v/>
          </cell>
          <cell r="K899" t="str">
            <v/>
          </cell>
          <cell r="L899" t="str">
            <v/>
          </cell>
          <cell r="M899">
            <v>0</v>
          </cell>
          <cell r="N899" t="str">
            <v/>
          </cell>
          <cell r="O899" t="str">
            <v/>
          </cell>
          <cell r="P899" t="str">
            <v/>
          </cell>
          <cell r="Q899">
            <v>0</v>
          </cell>
          <cell r="R899" t="str">
            <v>0</v>
          </cell>
          <cell r="S899" t="str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 t="str">
            <v/>
          </cell>
          <cell r="Y899" t="str">
            <v/>
          </cell>
          <cell r="Z899" t="str">
            <v/>
          </cell>
          <cell r="AA899">
            <v>0</v>
          </cell>
          <cell r="AB899">
            <v>0</v>
          </cell>
          <cell r="AC899">
            <v>0</v>
          </cell>
          <cell r="AD899"/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</row>
        <row r="900">
          <cell r="A900">
            <v>772040</v>
          </cell>
          <cell r="B900" t="str">
            <v>Sim</v>
          </cell>
          <cell r="C900" t="str">
            <v>Bandeja</v>
          </cell>
          <cell r="D900" t="str">
            <v>SPARE</v>
          </cell>
          <cell r="E900">
            <v>2</v>
          </cell>
          <cell r="F900" t="str">
            <v>Bandeja Dianteira Direita Hilux 2005 A 2015 Com Pivô</v>
          </cell>
          <cell r="G900"/>
          <cell r="H900">
            <v>0</v>
          </cell>
          <cell r="I900">
            <v>0</v>
          </cell>
          <cell r="J900">
            <v>0</v>
          </cell>
          <cell r="K900" t="str">
            <v/>
          </cell>
          <cell r="L900" t="str">
            <v/>
          </cell>
          <cell r="M900">
            <v>0</v>
          </cell>
          <cell r="N900" t="str">
            <v/>
          </cell>
          <cell r="O900">
            <v>0</v>
          </cell>
          <cell r="P900" t="str">
            <v/>
          </cell>
          <cell r="Q900">
            <v>0</v>
          </cell>
          <cell r="R900" t="str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 t="str">
            <v/>
          </cell>
          <cell r="Y900" t="str">
            <v/>
          </cell>
          <cell r="Z900" t="str">
            <v/>
          </cell>
          <cell r="AA900">
            <v>0</v>
          </cell>
          <cell r="AB900">
            <v>0</v>
          </cell>
          <cell r="AC900">
            <v>0</v>
          </cell>
          <cell r="AD900"/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</row>
        <row r="901">
          <cell r="A901">
            <v>772041</v>
          </cell>
          <cell r="B901" t="str">
            <v>Sim</v>
          </cell>
          <cell r="C901" t="str">
            <v>Bandeja</v>
          </cell>
          <cell r="D901" t="str">
            <v>SPARE</v>
          </cell>
          <cell r="E901">
            <v>2</v>
          </cell>
          <cell r="F901" t="str">
            <v>Bandeja Dianteira Esquerda Hilux 2005 A 2015 Com Pivô</v>
          </cell>
          <cell r="G901"/>
          <cell r="H901">
            <v>0</v>
          </cell>
          <cell r="I901">
            <v>0</v>
          </cell>
          <cell r="J901">
            <v>0</v>
          </cell>
          <cell r="K901" t="str">
            <v/>
          </cell>
          <cell r="L901" t="str">
            <v/>
          </cell>
          <cell r="M901">
            <v>0</v>
          </cell>
          <cell r="N901" t="str">
            <v/>
          </cell>
          <cell r="O901">
            <v>0</v>
          </cell>
          <cell r="P901" t="str">
            <v/>
          </cell>
          <cell r="Q901">
            <v>0</v>
          </cell>
          <cell r="R901" t="str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 t="str">
            <v/>
          </cell>
          <cell r="Y901" t="str">
            <v/>
          </cell>
          <cell r="Z901" t="str">
            <v/>
          </cell>
          <cell r="AA901">
            <v>0</v>
          </cell>
          <cell r="AB901">
            <v>0</v>
          </cell>
          <cell r="AC901">
            <v>0</v>
          </cell>
          <cell r="AD901"/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</row>
        <row r="902">
          <cell r="A902">
            <v>772042</v>
          </cell>
          <cell r="B902" t="str">
            <v>Sim</v>
          </cell>
          <cell r="C902" t="str">
            <v>Bandeja</v>
          </cell>
          <cell r="D902" t="str">
            <v>SPARE</v>
          </cell>
          <cell r="E902">
            <v>2</v>
          </cell>
          <cell r="F902" t="str">
            <v>Bandeja DIANTEIRA DIREITA HILUX PICK UP 2005 A 2015 SEM PIVÔ</v>
          </cell>
          <cell r="G902"/>
          <cell r="H902">
            <v>0</v>
          </cell>
          <cell r="I902">
            <v>0</v>
          </cell>
          <cell r="J902"/>
          <cell r="K902"/>
          <cell r="L902"/>
          <cell r="M902">
            <v>0</v>
          </cell>
          <cell r="N902" t="str">
            <v/>
          </cell>
          <cell r="O902">
            <v>0</v>
          </cell>
          <cell r="P902" t="str">
            <v/>
          </cell>
          <cell r="Q902">
            <v>0</v>
          </cell>
          <cell r="R902" t="str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 t="str">
            <v/>
          </cell>
          <cell r="Y902" t="str">
            <v/>
          </cell>
          <cell r="Z902" t="str">
            <v/>
          </cell>
          <cell r="AA902">
            <v>0</v>
          </cell>
          <cell r="AB902">
            <v>0</v>
          </cell>
          <cell r="AC902">
            <v>0</v>
          </cell>
          <cell r="AD902"/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</row>
        <row r="903">
          <cell r="A903">
            <v>772043</v>
          </cell>
          <cell r="B903" t="str">
            <v>Sim</v>
          </cell>
          <cell r="C903" t="str">
            <v>Bandeja</v>
          </cell>
          <cell r="D903" t="str">
            <v>SPARE</v>
          </cell>
          <cell r="E903">
            <v>2</v>
          </cell>
          <cell r="F903" t="str">
            <v>Bandeja DIANTEIRA ESQUERDA HILUX PICK UP 2005 A 15 SEM PIVÔ</v>
          </cell>
          <cell r="G903"/>
          <cell r="H903">
            <v>0</v>
          </cell>
          <cell r="I903">
            <v>0</v>
          </cell>
          <cell r="J903"/>
          <cell r="K903"/>
          <cell r="L903"/>
          <cell r="M903">
            <v>0</v>
          </cell>
          <cell r="N903" t="str">
            <v/>
          </cell>
          <cell r="O903">
            <v>0</v>
          </cell>
          <cell r="P903" t="str">
            <v/>
          </cell>
          <cell r="Q903">
            <v>0</v>
          </cell>
          <cell r="R903" t="str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 t="str">
            <v/>
          </cell>
          <cell r="Y903" t="str">
            <v/>
          </cell>
          <cell r="Z903" t="str">
            <v/>
          </cell>
          <cell r="AA903">
            <v>0</v>
          </cell>
          <cell r="AB903">
            <v>0</v>
          </cell>
          <cell r="AC903">
            <v>0</v>
          </cell>
          <cell r="AD903"/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</row>
        <row r="904">
          <cell r="A904">
            <v>772055</v>
          </cell>
          <cell r="B904" t="str">
            <v>Sim</v>
          </cell>
          <cell r="C904" t="str">
            <v>Bandeja</v>
          </cell>
          <cell r="D904" t="str">
            <v>SPARE</v>
          </cell>
          <cell r="E904">
            <v>2</v>
          </cell>
          <cell r="F904" t="str">
            <v>Bandeja Esquerda Inferior Sem Pivô I30 2008 A 2012</v>
          </cell>
          <cell r="G904"/>
          <cell r="H904">
            <v>0</v>
          </cell>
          <cell r="I904">
            <v>0</v>
          </cell>
          <cell r="J904" t="str">
            <v/>
          </cell>
          <cell r="K904" t="str">
            <v/>
          </cell>
          <cell r="L904" t="str">
            <v/>
          </cell>
          <cell r="M904">
            <v>0</v>
          </cell>
          <cell r="N904" t="str">
            <v/>
          </cell>
          <cell r="O904" t="str">
            <v/>
          </cell>
          <cell r="P904" t="str">
            <v/>
          </cell>
          <cell r="Q904">
            <v>0</v>
          </cell>
          <cell r="R904" t="str">
            <v>0</v>
          </cell>
          <cell r="S904" t="str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 t="str">
            <v/>
          </cell>
          <cell r="Y904" t="str">
            <v/>
          </cell>
          <cell r="Z904" t="str">
            <v/>
          </cell>
          <cell r="AA904">
            <v>0</v>
          </cell>
          <cell r="AB904">
            <v>0</v>
          </cell>
          <cell r="AC904">
            <v>0</v>
          </cell>
          <cell r="AD904"/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</row>
        <row r="905">
          <cell r="A905">
            <v>772060</v>
          </cell>
          <cell r="B905" t="str">
            <v>Não</v>
          </cell>
          <cell r="C905" t="str">
            <v>Bandeja</v>
          </cell>
          <cell r="D905" t="str">
            <v>SPARE</v>
          </cell>
          <cell r="E905">
            <v>2</v>
          </cell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  <cell r="P905"/>
          <cell r="Q905">
            <v>0</v>
          </cell>
          <cell r="R905" t="str">
            <v>0</v>
          </cell>
          <cell r="S905" t="str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 t="str">
            <v/>
          </cell>
          <cell r="Y905" t="str">
            <v/>
          </cell>
          <cell r="Z905" t="str">
            <v/>
          </cell>
          <cell r="AA905">
            <v>0</v>
          </cell>
          <cell r="AB905">
            <v>0</v>
          </cell>
          <cell r="AC905">
            <v>0</v>
          </cell>
          <cell r="AD905"/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</row>
        <row r="906">
          <cell r="A906">
            <v>772061</v>
          </cell>
          <cell r="B906" t="str">
            <v>Não</v>
          </cell>
          <cell r="C906" t="str">
            <v>Bandeja</v>
          </cell>
          <cell r="D906" t="str">
            <v>SPARE</v>
          </cell>
          <cell r="E906">
            <v>2</v>
          </cell>
          <cell r="F906"/>
          <cell r="G906"/>
          <cell r="H906"/>
          <cell r="I906"/>
          <cell r="J906"/>
          <cell r="K906"/>
          <cell r="L906"/>
          <cell r="M906"/>
          <cell r="N906"/>
          <cell r="O906"/>
          <cell r="P906"/>
          <cell r="Q906">
            <v>0</v>
          </cell>
          <cell r="R906" t="str">
            <v>0</v>
          </cell>
          <cell r="S906" t="str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 t="str">
            <v/>
          </cell>
          <cell r="Y906" t="str">
            <v/>
          </cell>
          <cell r="Z906" t="str">
            <v/>
          </cell>
          <cell r="AA906">
            <v>0</v>
          </cell>
          <cell r="AB906">
            <v>0</v>
          </cell>
          <cell r="AC906">
            <v>0</v>
          </cell>
          <cell r="AD906"/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</row>
        <row r="907">
          <cell r="A907">
            <v>772062</v>
          </cell>
          <cell r="B907"/>
          <cell r="C907" t="str">
            <v>Bandeja</v>
          </cell>
          <cell r="D907" t="str">
            <v>SPARE</v>
          </cell>
          <cell r="E907">
            <v>2</v>
          </cell>
          <cell r="F907" t="str">
            <v>Bandeja DIANTEIRA DIREITA COM PIVÔ L200 TRITON 2007 A 2016</v>
          </cell>
          <cell r="G907"/>
          <cell r="H907" t="str">
            <v>-</v>
          </cell>
          <cell r="I907"/>
          <cell r="J907"/>
          <cell r="K907"/>
          <cell r="L907"/>
          <cell r="M907"/>
          <cell r="N907"/>
          <cell r="O907"/>
          <cell r="P907"/>
          <cell r="Q907">
            <v>0</v>
          </cell>
          <cell r="R907"/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 t="str">
            <v/>
          </cell>
          <cell r="Y907" t="str">
            <v/>
          </cell>
          <cell r="Z907" t="str">
            <v/>
          </cell>
          <cell r="AA907">
            <v>0</v>
          </cell>
          <cell r="AB907">
            <v>0</v>
          </cell>
          <cell r="AC907">
            <v>0</v>
          </cell>
          <cell r="AD907"/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</row>
        <row r="908">
          <cell r="A908">
            <v>772063</v>
          </cell>
          <cell r="B908"/>
          <cell r="C908" t="str">
            <v>Bandeja</v>
          </cell>
          <cell r="D908" t="str">
            <v>SPARE</v>
          </cell>
          <cell r="E908">
            <v>2</v>
          </cell>
          <cell r="F908" t="str">
            <v>Bandeja DIANTEIRA ESQUERDA COM PIVÔ L200 TRITON 2007 A 2016</v>
          </cell>
          <cell r="G908"/>
          <cell r="H908" t="str">
            <v>-</v>
          </cell>
          <cell r="I908"/>
          <cell r="J908"/>
          <cell r="K908"/>
          <cell r="L908"/>
          <cell r="M908"/>
          <cell r="N908"/>
          <cell r="O908"/>
          <cell r="P908"/>
          <cell r="Q908">
            <v>0</v>
          </cell>
          <cell r="R908"/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 t="str">
            <v/>
          </cell>
          <cell r="Y908" t="str">
            <v/>
          </cell>
          <cell r="Z908" t="str">
            <v/>
          </cell>
          <cell r="AA908">
            <v>0</v>
          </cell>
          <cell r="AB908">
            <v>0</v>
          </cell>
          <cell r="AC908">
            <v>0</v>
          </cell>
          <cell r="AD908"/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</row>
        <row r="909">
          <cell r="A909">
            <v>772074</v>
          </cell>
          <cell r="B909"/>
          <cell r="C909" t="str">
            <v>Bandeja</v>
          </cell>
          <cell r="D909" t="str">
            <v>SPARE</v>
          </cell>
          <cell r="E909">
            <v>2</v>
          </cell>
          <cell r="F909" t="str">
            <v>Bandeja Dianteira Captur 2017 á 2021  Duster 2021 Lado Direito COM PIVÔ</v>
          </cell>
          <cell r="G909"/>
          <cell r="H909" t="str">
            <v>-</v>
          </cell>
          <cell r="I909"/>
          <cell r="J909"/>
          <cell r="K909"/>
          <cell r="L909"/>
          <cell r="M909"/>
          <cell r="N909"/>
          <cell r="O909"/>
          <cell r="P909"/>
          <cell r="Q909">
            <v>0</v>
          </cell>
          <cell r="R909"/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 t="str">
            <v/>
          </cell>
          <cell r="Y909" t="str">
            <v/>
          </cell>
          <cell r="Z909" t="str">
            <v/>
          </cell>
          <cell r="AA909">
            <v>0</v>
          </cell>
          <cell r="AB909">
            <v>0</v>
          </cell>
          <cell r="AC909">
            <v>0</v>
          </cell>
          <cell r="AD909"/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</row>
        <row r="910">
          <cell r="A910">
            <v>772100</v>
          </cell>
          <cell r="B910" t="str">
            <v>Sim</v>
          </cell>
          <cell r="C910" t="str">
            <v>Bandeja</v>
          </cell>
          <cell r="D910" t="str">
            <v>SPARE</v>
          </cell>
          <cell r="E910">
            <v>2</v>
          </cell>
          <cell r="F910" t="str">
            <v>Bandeja Lado Esquerdo March 2011 Em Diante Sem Pivô</v>
          </cell>
          <cell r="G910"/>
          <cell r="H910">
            <v>0</v>
          </cell>
          <cell r="I910">
            <v>0</v>
          </cell>
          <cell r="J910" t="str">
            <v/>
          </cell>
          <cell r="K910" t="str">
            <v/>
          </cell>
          <cell r="L910" t="str">
            <v/>
          </cell>
          <cell r="M910">
            <v>0</v>
          </cell>
          <cell r="N910" t="str">
            <v/>
          </cell>
          <cell r="O910" t="str">
            <v/>
          </cell>
          <cell r="P910" t="str">
            <v/>
          </cell>
          <cell r="Q910">
            <v>0</v>
          </cell>
          <cell r="R910" t="str">
            <v>0</v>
          </cell>
          <cell r="S910" t="str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 t="str">
            <v/>
          </cell>
          <cell r="Y910" t="str">
            <v/>
          </cell>
          <cell r="Z910" t="str">
            <v/>
          </cell>
          <cell r="AA910">
            <v>0</v>
          </cell>
          <cell r="AB910">
            <v>0</v>
          </cell>
          <cell r="AC910">
            <v>0</v>
          </cell>
          <cell r="AD910"/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</row>
        <row r="911">
          <cell r="A911">
            <v>772101</v>
          </cell>
          <cell r="B911" t="str">
            <v>Sim</v>
          </cell>
          <cell r="C911" t="str">
            <v>Bandeja</v>
          </cell>
          <cell r="D911" t="str">
            <v>SPARE</v>
          </cell>
          <cell r="E911">
            <v>2</v>
          </cell>
          <cell r="F911" t="str">
            <v>Bandeja Lado Direito Versa 2011 Em Diante Sem Pivô</v>
          </cell>
          <cell r="G911"/>
          <cell r="H911">
            <v>0</v>
          </cell>
          <cell r="I911">
            <v>0</v>
          </cell>
          <cell r="J911" t="str">
            <v/>
          </cell>
          <cell r="K911" t="str">
            <v/>
          </cell>
          <cell r="L911" t="str">
            <v/>
          </cell>
          <cell r="M911">
            <v>0</v>
          </cell>
          <cell r="N911" t="str">
            <v/>
          </cell>
          <cell r="O911" t="str">
            <v/>
          </cell>
          <cell r="P911" t="str">
            <v/>
          </cell>
          <cell r="Q911">
            <v>0</v>
          </cell>
          <cell r="R911" t="str">
            <v>0</v>
          </cell>
          <cell r="S911" t="str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 t="str">
            <v/>
          </cell>
          <cell r="Y911" t="str">
            <v/>
          </cell>
          <cell r="Z911" t="str">
            <v/>
          </cell>
          <cell r="AA911">
            <v>0</v>
          </cell>
          <cell r="AB911">
            <v>0</v>
          </cell>
          <cell r="AC911">
            <v>0</v>
          </cell>
          <cell r="AD911"/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</row>
        <row r="912">
          <cell r="A912">
            <v>772104</v>
          </cell>
          <cell r="B912" t="str">
            <v>Sim</v>
          </cell>
          <cell r="C912" t="str">
            <v>Bandeja</v>
          </cell>
          <cell r="D912" t="str">
            <v>SPARE</v>
          </cell>
          <cell r="E912">
            <v>2</v>
          </cell>
          <cell r="F912" t="str">
            <v>Bandeja Inferior Direito Livina 2010 Á 2014</v>
          </cell>
          <cell r="G912"/>
          <cell r="H912">
            <v>0</v>
          </cell>
          <cell r="I912">
            <v>0</v>
          </cell>
          <cell r="J912" t="str">
            <v/>
          </cell>
          <cell r="K912" t="str">
            <v/>
          </cell>
          <cell r="L912" t="str">
            <v/>
          </cell>
          <cell r="M912">
            <v>0</v>
          </cell>
          <cell r="N912" t="str">
            <v/>
          </cell>
          <cell r="O912" t="str">
            <v/>
          </cell>
          <cell r="P912" t="str">
            <v/>
          </cell>
          <cell r="Q912">
            <v>0</v>
          </cell>
          <cell r="R912" t="str">
            <v>0</v>
          </cell>
          <cell r="S912" t="str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 t="str">
            <v/>
          </cell>
          <cell r="Y912" t="str">
            <v/>
          </cell>
          <cell r="Z912" t="str">
            <v/>
          </cell>
          <cell r="AA912">
            <v>0</v>
          </cell>
          <cell r="AB912">
            <v>0</v>
          </cell>
          <cell r="AC912">
            <v>0</v>
          </cell>
          <cell r="AD912"/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</row>
        <row r="913">
          <cell r="A913">
            <v>772105</v>
          </cell>
          <cell r="B913" t="str">
            <v>Sim</v>
          </cell>
          <cell r="C913" t="str">
            <v>Bandeja</v>
          </cell>
          <cell r="D913" t="str">
            <v>SPARE</v>
          </cell>
          <cell r="E913">
            <v>2</v>
          </cell>
          <cell r="F913" t="str">
            <v>Bandeja  Inferior Esquerdo Sem Pivô Livina 2010 Á 2014</v>
          </cell>
          <cell r="G913"/>
          <cell r="H913">
            <v>0</v>
          </cell>
          <cell r="I913">
            <v>0</v>
          </cell>
          <cell r="J913" t="str">
            <v/>
          </cell>
          <cell r="K913" t="str">
            <v/>
          </cell>
          <cell r="L913" t="str">
            <v/>
          </cell>
          <cell r="M913">
            <v>0</v>
          </cell>
          <cell r="N913" t="str">
            <v/>
          </cell>
          <cell r="O913" t="str">
            <v/>
          </cell>
          <cell r="P913" t="str">
            <v/>
          </cell>
          <cell r="Q913">
            <v>0</v>
          </cell>
          <cell r="R913" t="str">
            <v>0</v>
          </cell>
          <cell r="S913" t="str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 t="str">
            <v/>
          </cell>
          <cell r="Y913" t="str">
            <v/>
          </cell>
          <cell r="Z913" t="str">
            <v/>
          </cell>
          <cell r="AA913">
            <v>0</v>
          </cell>
          <cell r="AB913">
            <v>0</v>
          </cell>
          <cell r="AC913">
            <v>0</v>
          </cell>
          <cell r="AD913"/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</row>
        <row r="914">
          <cell r="A914">
            <v>772108</v>
          </cell>
          <cell r="B914" t="str">
            <v>Não</v>
          </cell>
          <cell r="C914" t="str">
            <v>Bandeja</v>
          </cell>
          <cell r="D914" t="str">
            <v>SPARE</v>
          </cell>
          <cell r="E914">
            <v>2</v>
          </cell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  <cell r="P914"/>
          <cell r="Q914">
            <v>0</v>
          </cell>
          <cell r="R914" t="str">
            <v>0</v>
          </cell>
          <cell r="S914" t="str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 t="str">
            <v/>
          </cell>
          <cell r="Y914" t="str">
            <v/>
          </cell>
          <cell r="Z914" t="str">
            <v/>
          </cell>
          <cell r="AA914">
            <v>0</v>
          </cell>
          <cell r="AB914">
            <v>0</v>
          </cell>
          <cell r="AC914">
            <v>0</v>
          </cell>
          <cell r="AD914"/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</row>
        <row r="915">
          <cell r="A915">
            <v>772109</v>
          </cell>
          <cell r="B915" t="str">
            <v>Não</v>
          </cell>
          <cell r="C915" t="str">
            <v>Bandeja</v>
          </cell>
          <cell r="D915" t="str">
            <v>SPARE</v>
          </cell>
          <cell r="E915">
            <v>2</v>
          </cell>
          <cell r="F915"/>
          <cell r="G915"/>
          <cell r="H915"/>
          <cell r="I915"/>
          <cell r="J915"/>
          <cell r="K915"/>
          <cell r="L915"/>
          <cell r="M915"/>
          <cell r="N915"/>
          <cell r="O915"/>
          <cell r="P915"/>
          <cell r="Q915">
            <v>0</v>
          </cell>
          <cell r="R915" t="str">
            <v>0</v>
          </cell>
          <cell r="S915" t="str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 t="str">
            <v/>
          </cell>
          <cell r="Y915" t="str">
            <v/>
          </cell>
          <cell r="Z915" t="str">
            <v/>
          </cell>
          <cell r="AA915">
            <v>0</v>
          </cell>
          <cell r="AB915">
            <v>0</v>
          </cell>
          <cell r="AC915">
            <v>0</v>
          </cell>
          <cell r="AD915"/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</row>
        <row r="916">
          <cell r="A916">
            <v>772112</v>
          </cell>
          <cell r="B916" t="str">
            <v>Sim</v>
          </cell>
          <cell r="C916" t="str">
            <v>Bandeja</v>
          </cell>
          <cell r="D916" t="str">
            <v>SPARE</v>
          </cell>
          <cell r="E916">
            <v>2</v>
          </cell>
          <cell r="F916" t="str">
            <v>Bandeja Inferior Direito Sem Pivô Nissan Sentra 2013 À 2020</v>
          </cell>
          <cell r="G916"/>
          <cell r="H916">
            <v>0</v>
          </cell>
          <cell r="I916">
            <v>0</v>
          </cell>
          <cell r="J916" t="str">
            <v/>
          </cell>
          <cell r="K916" t="str">
            <v/>
          </cell>
          <cell r="L916" t="str">
            <v/>
          </cell>
          <cell r="M916">
            <v>0</v>
          </cell>
          <cell r="N916" t="str">
            <v/>
          </cell>
          <cell r="O916" t="str">
            <v/>
          </cell>
          <cell r="P916" t="str">
            <v/>
          </cell>
          <cell r="Q916">
            <v>0</v>
          </cell>
          <cell r="R916" t="str">
            <v>0</v>
          </cell>
          <cell r="S916" t="str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 t="str">
            <v/>
          </cell>
          <cell r="Y916" t="str">
            <v/>
          </cell>
          <cell r="Z916" t="str">
            <v/>
          </cell>
          <cell r="AA916">
            <v>0</v>
          </cell>
          <cell r="AB916">
            <v>0</v>
          </cell>
          <cell r="AC916">
            <v>0</v>
          </cell>
          <cell r="AD916"/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</row>
        <row r="917">
          <cell r="A917">
            <v>772113</v>
          </cell>
          <cell r="B917" t="str">
            <v>Sim</v>
          </cell>
          <cell r="C917" t="str">
            <v>Bandeja</v>
          </cell>
          <cell r="D917" t="str">
            <v>SPARE</v>
          </cell>
          <cell r="E917">
            <v>2</v>
          </cell>
          <cell r="F917" t="str">
            <v>Bandeja Inferior Esquerdo Sem Pivô Nissan Sentra 2013 À 2020</v>
          </cell>
          <cell r="G917"/>
          <cell r="H917">
            <v>0</v>
          </cell>
          <cell r="I917">
            <v>0</v>
          </cell>
          <cell r="J917" t="str">
            <v/>
          </cell>
          <cell r="K917" t="str">
            <v/>
          </cell>
          <cell r="L917" t="str">
            <v/>
          </cell>
          <cell r="M917">
            <v>0</v>
          </cell>
          <cell r="N917" t="str">
            <v/>
          </cell>
          <cell r="O917" t="str">
            <v/>
          </cell>
          <cell r="P917" t="str">
            <v/>
          </cell>
          <cell r="Q917">
            <v>0</v>
          </cell>
          <cell r="R917" t="str">
            <v>0</v>
          </cell>
          <cell r="S917" t="str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 t="str">
            <v/>
          </cell>
          <cell r="Y917" t="str">
            <v/>
          </cell>
          <cell r="Z917" t="str">
            <v/>
          </cell>
          <cell r="AA917">
            <v>0</v>
          </cell>
          <cell r="AB917">
            <v>0</v>
          </cell>
          <cell r="AC917">
            <v>0</v>
          </cell>
          <cell r="AD917"/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</row>
        <row r="918">
          <cell r="A918">
            <v>772129</v>
          </cell>
          <cell r="B918" t="str">
            <v>Sim</v>
          </cell>
          <cell r="C918" t="str">
            <v>Bandeja</v>
          </cell>
          <cell r="D918" t="str">
            <v>SPARE</v>
          </cell>
          <cell r="E918">
            <v>2</v>
          </cell>
          <cell r="F918" t="str">
            <v>Braço Traseiro Curvo New Civic 2006 A 2011</v>
          </cell>
          <cell r="G918"/>
          <cell r="H918">
            <v>0</v>
          </cell>
          <cell r="I918">
            <v>0</v>
          </cell>
          <cell r="J918" t="str">
            <v/>
          </cell>
          <cell r="K918" t="str">
            <v/>
          </cell>
          <cell r="L918" t="str">
            <v/>
          </cell>
          <cell r="M918">
            <v>0</v>
          </cell>
          <cell r="N918" t="str">
            <v/>
          </cell>
          <cell r="O918" t="str">
            <v/>
          </cell>
          <cell r="P918" t="str">
            <v/>
          </cell>
          <cell r="Q918">
            <v>0</v>
          </cell>
          <cell r="R918" t="str">
            <v>0</v>
          </cell>
          <cell r="S918" t="str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 t="str">
            <v/>
          </cell>
          <cell r="Y918" t="str">
            <v/>
          </cell>
          <cell r="Z918" t="str">
            <v/>
          </cell>
          <cell r="AA918">
            <v>0</v>
          </cell>
          <cell r="AB918">
            <v>0</v>
          </cell>
          <cell r="AC918">
            <v>0</v>
          </cell>
          <cell r="AD918"/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</row>
        <row r="919">
          <cell r="A919">
            <v>772131</v>
          </cell>
          <cell r="B919" t="str">
            <v>Sim</v>
          </cell>
          <cell r="C919" t="str">
            <v>Bandeja</v>
          </cell>
          <cell r="D919" t="str">
            <v>SPARE</v>
          </cell>
          <cell r="E919">
            <v>2</v>
          </cell>
          <cell r="F919" t="str">
            <v>Bandeja INFERIOR ESQUERDA CRV 2012 Á 2014 SEM PIVÔ</v>
          </cell>
          <cell r="G919"/>
          <cell r="H919">
            <v>0</v>
          </cell>
          <cell r="I919">
            <v>0</v>
          </cell>
          <cell r="J919"/>
          <cell r="K919"/>
          <cell r="L919"/>
          <cell r="M919">
            <v>0</v>
          </cell>
          <cell r="N919" t="str">
            <v/>
          </cell>
          <cell r="O919">
            <v>0</v>
          </cell>
          <cell r="P919" t="str">
            <v/>
          </cell>
          <cell r="Q919">
            <v>0</v>
          </cell>
          <cell r="R919" t="str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 t="str">
            <v/>
          </cell>
          <cell r="Y919" t="str">
            <v/>
          </cell>
          <cell r="Z919" t="str">
            <v/>
          </cell>
          <cell r="AA919">
            <v>0</v>
          </cell>
          <cell r="AB919">
            <v>0</v>
          </cell>
          <cell r="AC919">
            <v>0</v>
          </cell>
          <cell r="AD919"/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</row>
        <row r="920">
          <cell r="A920">
            <v>772134</v>
          </cell>
          <cell r="B920" t="str">
            <v>Sim</v>
          </cell>
          <cell r="C920" t="str">
            <v>Bandeja</v>
          </cell>
          <cell r="D920" t="str">
            <v>SPARE</v>
          </cell>
          <cell r="E920">
            <v>2</v>
          </cell>
          <cell r="F920" t="str">
            <v>Bandeja Superior Direita Civic 1996 A 2001 Com Pivô</v>
          </cell>
          <cell r="G920"/>
          <cell r="H920">
            <v>0</v>
          </cell>
          <cell r="I920">
            <v>0</v>
          </cell>
          <cell r="J920">
            <v>0</v>
          </cell>
          <cell r="K920" t="str">
            <v/>
          </cell>
          <cell r="L920" t="str">
            <v/>
          </cell>
          <cell r="M920">
            <v>0</v>
          </cell>
          <cell r="N920" t="str">
            <v/>
          </cell>
          <cell r="O920">
            <v>0</v>
          </cell>
          <cell r="P920" t="str">
            <v/>
          </cell>
          <cell r="Q920">
            <v>0</v>
          </cell>
          <cell r="R920" t="str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 t="str">
            <v/>
          </cell>
          <cell r="Y920" t="str">
            <v/>
          </cell>
          <cell r="Z920" t="str">
            <v/>
          </cell>
          <cell r="AA920">
            <v>0</v>
          </cell>
          <cell r="AB920">
            <v>0</v>
          </cell>
          <cell r="AC920">
            <v>0</v>
          </cell>
          <cell r="AD920"/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</row>
        <row r="921">
          <cell r="A921">
            <v>772135</v>
          </cell>
          <cell r="B921" t="str">
            <v>Sim</v>
          </cell>
          <cell r="C921" t="str">
            <v>Bandeja</v>
          </cell>
          <cell r="D921" t="str">
            <v>SPARE</v>
          </cell>
          <cell r="E921">
            <v>2</v>
          </cell>
          <cell r="F921" t="str">
            <v>Bandeja Superior Esquerda Civic 1996 A 2001 Com Pivô</v>
          </cell>
          <cell r="G921"/>
          <cell r="H921">
            <v>0</v>
          </cell>
          <cell r="I921">
            <v>0</v>
          </cell>
          <cell r="J921">
            <v>0</v>
          </cell>
          <cell r="K921" t="str">
            <v/>
          </cell>
          <cell r="L921" t="str">
            <v/>
          </cell>
          <cell r="M921">
            <v>0</v>
          </cell>
          <cell r="N921" t="str">
            <v/>
          </cell>
          <cell r="O921">
            <v>0</v>
          </cell>
          <cell r="P921" t="str">
            <v/>
          </cell>
          <cell r="Q921">
            <v>0</v>
          </cell>
          <cell r="R921" t="str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 t="str">
            <v/>
          </cell>
          <cell r="Y921" t="str">
            <v/>
          </cell>
          <cell r="Z921" t="str">
            <v/>
          </cell>
          <cell r="AA921">
            <v>0</v>
          </cell>
          <cell r="AB921">
            <v>0</v>
          </cell>
          <cell r="AC921">
            <v>0</v>
          </cell>
          <cell r="AD921"/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</row>
        <row r="922">
          <cell r="A922">
            <v>772136</v>
          </cell>
          <cell r="B922" t="str">
            <v>Não</v>
          </cell>
          <cell r="C922" t="str">
            <v>Bandeja</v>
          </cell>
          <cell r="D922" t="str">
            <v>SPARE</v>
          </cell>
          <cell r="E922">
            <v>2</v>
          </cell>
          <cell r="F922"/>
          <cell r="G922"/>
          <cell r="H922"/>
          <cell r="I922"/>
          <cell r="J922"/>
          <cell r="K922"/>
          <cell r="L922"/>
          <cell r="M922"/>
          <cell r="N922"/>
          <cell r="O922"/>
          <cell r="P922"/>
          <cell r="Q922">
            <v>0</v>
          </cell>
          <cell r="R922" t="str">
            <v>0</v>
          </cell>
          <cell r="S922" t="str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 t="str">
            <v/>
          </cell>
          <cell r="Y922" t="str">
            <v/>
          </cell>
          <cell r="Z922" t="str">
            <v/>
          </cell>
          <cell r="AA922">
            <v>0</v>
          </cell>
          <cell r="AB922">
            <v>0</v>
          </cell>
          <cell r="AC922">
            <v>0</v>
          </cell>
          <cell r="AD922"/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</row>
        <row r="923">
          <cell r="A923">
            <v>772137</v>
          </cell>
          <cell r="B923" t="str">
            <v>Não</v>
          </cell>
          <cell r="C923" t="str">
            <v>Bandeja</v>
          </cell>
          <cell r="D923" t="str">
            <v>SPARE</v>
          </cell>
          <cell r="E923">
            <v>2</v>
          </cell>
          <cell r="F923"/>
          <cell r="G923"/>
          <cell r="H923"/>
          <cell r="I923"/>
          <cell r="J923"/>
          <cell r="K923"/>
          <cell r="L923"/>
          <cell r="M923"/>
          <cell r="N923"/>
          <cell r="O923"/>
          <cell r="P923"/>
          <cell r="Q923">
            <v>0</v>
          </cell>
          <cell r="R923" t="str">
            <v>0</v>
          </cell>
          <cell r="S923" t="str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 t="str">
            <v/>
          </cell>
          <cell r="Y923" t="str">
            <v/>
          </cell>
          <cell r="Z923" t="str">
            <v/>
          </cell>
          <cell r="AA923">
            <v>0</v>
          </cell>
          <cell r="AB923">
            <v>0</v>
          </cell>
          <cell r="AC923">
            <v>0</v>
          </cell>
          <cell r="AD923"/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</row>
        <row r="924">
          <cell r="A924">
            <v>772140</v>
          </cell>
          <cell r="B924"/>
          <cell r="C924" t="str">
            <v>Bandeja</v>
          </cell>
          <cell r="D924" t="str">
            <v>SPARE</v>
          </cell>
          <cell r="E924">
            <v>2</v>
          </cell>
          <cell r="F924" t="str">
            <v>Bandeja INFERIOR DIREITA COM PIVÔ VELOSTER 2010 A 2014</v>
          </cell>
          <cell r="G924"/>
          <cell r="H924" t="str">
            <v>-</v>
          </cell>
          <cell r="I924"/>
          <cell r="J924"/>
          <cell r="K924"/>
          <cell r="L924"/>
          <cell r="M924"/>
          <cell r="N924"/>
          <cell r="O924"/>
          <cell r="P924"/>
          <cell r="Q924">
            <v>0</v>
          </cell>
          <cell r="R924"/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 t="str">
            <v/>
          </cell>
          <cell r="Y924" t="str">
            <v/>
          </cell>
          <cell r="Z924" t="str">
            <v/>
          </cell>
          <cell r="AA924">
            <v>0</v>
          </cell>
          <cell r="AB924">
            <v>0</v>
          </cell>
          <cell r="AC924">
            <v>0</v>
          </cell>
          <cell r="AD924"/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</row>
        <row r="925">
          <cell r="A925">
            <v>772142</v>
          </cell>
          <cell r="B925" t="str">
            <v>Não</v>
          </cell>
          <cell r="C925" t="str">
            <v>Bandeja</v>
          </cell>
          <cell r="D925" t="str">
            <v>SPARE</v>
          </cell>
          <cell r="E925">
            <v>2</v>
          </cell>
          <cell r="F925"/>
          <cell r="G925"/>
          <cell r="H925"/>
          <cell r="I925"/>
          <cell r="J925"/>
          <cell r="K925"/>
          <cell r="L925"/>
          <cell r="M925"/>
          <cell r="N925"/>
          <cell r="O925"/>
          <cell r="P925"/>
          <cell r="Q925">
            <v>0</v>
          </cell>
          <cell r="R925" t="str">
            <v>0</v>
          </cell>
          <cell r="S925" t="str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 t="str">
            <v/>
          </cell>
          <cell r="Y925" t="str">
            <v/>
          </cell>
          <cell r="Z925" t="str">
            <v/>
          </cell>
          <cell r="AA925">
            <v>0</v>
          </cell>
          <cell r="AB925">
            <v>0</v>
          </cell>
          <cell r="AC925">
            <v>0</v>
          </cell>
          <cell r="AD925"/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</row>
        <row r="926">
          <cell r="A926">
            <v>772143</v>
          </cell>
          <cell r="B926" t="str">
            <v>Não</v>
          </cell>
          <cell r="C926" t="str">
            <v>Bandeja</v>
          </cell>
          <cell r="D926" t="str">
            <v>SPARE</v>
          </cell>
          <cell r="E926">
            <v>2</v>
          </cell>
          <cell r="F926"/>
          <cell r="G926"/>
          <cell r="H926"/>
          <cell r="I926"/>
          <cell r="J926"/>
          <cell r="K926"/>
          <cell r="L926"/>
          <cell r="M926"/>
          <cell r="N926"/>
          <cell r="O926"/>
          <cell r="P926"/>
          <cell r="Q926">
            <v>0</v>
          </cell>
          <cell r="R926" t="str">
            <v>0</v>
          </cell>
          <cell r="S926" t="str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 t="str">
            <v/>
          </cell>
          <cell r="Y926" t="str">
            <v/>
          </cell>
          <cell r="Z926" t="str">
            <v/>
          </cell>
          <cell r="AA926">
            <v>0</v>
          </cell>
          <cell r="AB926">
            <v>0</v>
          </cell>
          <cell r="AC926">
            <v>0</v>
          </cell>
          <cell r="AD926"/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</row>
        <row r="927">
          <cell r="A927">
            <v>772150</v>
          </cell>
          <cell r="B927" t="str">
            <v>Sim</v>
          </cell>
          <cell r="C927" t="str">
            <v>Bandeja</v>
          </cell>
          <cell r="D927" t="str">
            <v>SPARE</v>
          </cell>
          <cell r="E927">
            <v>2</v>
          </cell>
          <cell r="F927" t="str">
            <v>Bandeja Inferior Esquerdo Sem Pivô Vera Cruz 2007 À 2012</v>
          </cell>
          <cell r="G927"/>
          <cell r="H927">
            <v>0</v>
          </cell>
          <cell r="I927">
            <v>0</v>
          </cell>
          <cell r="J927" t="str">
            <v/>
          </cell>
          <cell r="K927" t="str">
            <v/>
          </cell>
          <cell r="L927" t="str">
            <v/>
          </cell>
          <cell r="M927">
            <v>0</v>
          </cell>
          <cell r="N927" t="str">
            <v/>
          </cell>
          <cell r="O927" t="str">
            <v/>
          </cell>
          <cell r="P927" t="str">
            <v/>
          </cell>
          <cell r="Q927">
            <v>0</v>
          </cell>
          <cell r="R927" t="str">
            <v>0</v>
          </cell>
          <cell r="S927" t="str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 t="str">
            <v/>
          </cell>
          <cell r="Y927" t="str">
            <v/>
          </cell>
          <cell r="Z927" t="str">
            <v/>
          </cell>
          <cell r="AA927">
            <v>0</v>
          </cell>
          <cell r="AB927">
            <v>0</v>
          </cell>
          <cell r="AC927">
            <v>0</v>
          </cell>
          <cell r="AD927"/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</row>
        <row r="928">
          <cell r="A928">
            <v>772151</v>
          </cell>
          <cell r="B928" t="str">
            <v>Sim</v>
          </cell>
          <cell r="C928" t="str">
            <v>Bandeja</v>
          </cell>
          <cell r="D928" t="str">
            <v>SPARE</v>
          </cell>
          <cell r="E928">
            <v>2</v>
          </cell>
          <cell r="F928" t="str">
            <v>Bandeja Inferior Direito Sem Pivô Vera Cruz 2007 À 2012</v>
          </cell>
          <cell r="G928"/>
          <cell r="H928">
            <v>0</v>
          </cell>
          <cell r="I928">
            <v>0</v>
          </cell>
          <cell r="J928" t="str">
            <v/>
          </cell>
          <cell r="K928" t="str">
            <v/>
          </cell>
          <cell r="L928" t="str">
            <v/>
          </cell>
          <cell r="M928">
            <v>0</v>
          </cell>
          <cell r="N928" t="str">
            <v/>
          </cell>
          <cell r="O928" t="str">
            <v/>
          </cell>
          <cell r="P928" t="str">
            <v/>
          </cell>
          <cell r="Q928">
            <v>0</v>
          </cell>
          <cell r="R928" t="str">
            <v>0</v>
          </cell>
          <cell r="S928" t="str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 t="str">
            <v/>
          </cell>
          <cell r="Y928" t="str">
            <v/>
          </cell>
          <cell r="Z928" t="str">
            <v/>
          </cell>
          <cell r="AA928">
            <v>0</v>
          </cell>
          <cell r="AB928">
            <v>0</v>
          </cell>
          <cell r="AC928">
            <v>0</v>
          </cell>
          <cell r="AD928"/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</row>
        <row r="929">
          <cell r="A929">
            <v>772154</v>
          </cell>
          <cell r="B929" t="str">
            <v>Não</v>
          </cell>
          <cell r="C929" t="str">
            <v>Bandeja</v>
          </cell>
          <cell r="D929" t="str">
            <v>SPARE</v>
          </cell>
          <cell r="E929">
            <v>2</v>
          </cell>
          <cell r="F929"/>
          <cell r="G929"/>
          <cell r="H929"/>
          <cell r="I929"/>
          <cell r="J929"/>
          <cell r="K929"/>
          <cell r="L929"/>
          <cell r="M929"/>
          <cell r="N929"/>
          <cell r="O929"/>
          <cell r="P929"/>
          <cell r="Q929">
            <v>0</v>
          </cell>
          <cell r="R929" t="str">
            <v>0</v>
          </cell>
          <cell r="S929" t="str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 t="str">
            <v/>
          </cell>
          <cell r="Y929" t="str">
            <v/>
          </cell>
          <cell r="Z929" t="str">
            <v/>
          </cell>
          <cell r="AA929">
            <v>0</v>
          </cell>
          <cell r="AB929">
            <v>0</v>
          </cell>
          <cell r="AC929">
            <v>0</v>
          </cell>
          <cell r="AD929"/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</row>
        <row r="930">
          <cell r="A930">
            <v>772155</v>
          </cell>
          <cell r="B930" t="str">
            <v>Não</v>
          </cell>
          <cell r="C930" t="str">
            <v>Bandeja</v>
          </cell>
          <cell r="D930" t="str">
            <v>SPARE</v>
          </cell>
          <cell r="E930">
            <v>2</v>
          </cell>
          <cell r="F930"/>
          <cell r="G930"/>
          <cell r="H930"/>
          <cell r="I930"/>
          <cell r="J930"/>
          <cell r="K930"/>
          <cell r="L930"/>
          <cell r="M930"/>
          <cell r="N930"/>
          <cell r="O930"/>
          <cell r="P930"/>
          <cell r="Q930">
            <v>0</v>
          </cell>
          <cell r="R930" t="str">
            <v>0</v>
          </cell>
          <cell r="S930" t="str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 t="str">
            <v/>
          </cell>
          <cell r="Y930" t="str">
            <v/>
          </cell>
          <cell r="Z930" t="str">
            <v/>
          </cell>
          <cell r="AA930">
            <v>0</v>
          </cell>
          <cell r="AB930">
            <v>0</v>
          </cell>
          <cell r="AC930">
            <v>0</v>
          </cell>
          <cell r="AD930"/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</row>
        <row r="931">
          <cell r="A931">
            <v>772156</v>
          </cell>
          <cell r="B931" t="str">
            <v>Sim</v>
          </cell>
          <cell r="C931" t="str">
            <v>Bandeja</v>
          </cell>
          <cell r="D931" t="str">
            <v>SPARE</v>
          </cell>
          <cell r="E931">
            <v>2</v>
          </cell>
          <cell r="F931" t="str">
            <v>Bandeja Dianteira Direita Hr 2005 Em Diante</v>
          </cell>
          <cell r="G931"/>
          <cell r="H931">
            <v>0</v>
          </cell>
          <cell r="I931">
            <v>0</v>
          </cell>
          <cell r="J931" t="str">
            <v/>
          </cell>
          <cell r="K931" t="str">
            <v/>
          </cell>
          <cell r="L931" t="str">
            <v/>
          </cell>
          <cell r="M931">
            <v>0</v>
          </cell>
          <cell r="N931" t="str">
            <v/>
          </cell>
          <cell r="O931" t="str">
            <v/>
          </cell>
          <cell r="P931" t="str">
            <v/>
          </cell>
          <cell r="Q931">
            <v>0</v>
          </cell>
          <cell r="R931" t="str">
            <v>0</v>
          </cell>
          <cell r="S931" t="str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 t="str">
            <v/>
          </cell>
          <cell r="Y931" t="str">
            <v/>
          </cell>
          <cell r="Z931" t="str">
            <v/>
          </cell>
          <cell r="AA931">
            <v>0</v>
          </cell>
          <cell r="AB931">
            <v>0</v>
          </cell>
          <cell r="AC931">
            <v>0</v>
          </cell>
          <cell r="AD931"/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</row>
        <row r="932">
          <cell r="A932">
            <v>772157</v>
          </cell>
          <cell r="B932" t="str">
            <v>Sim</v>
          </cell>
          <cell r="C932" t="str">
            <v>Bandeja</v>
          </cell>
          <cell r="D932" t="str">
            <v>SPARE</v>
          </cell>
          <cell r="E932">
            <v>2</v>
          </cell>
          <cell r="F932" t="str">
            <v>Bandeja Dianteira Esquerda Hr 2005 Em Diante</v>
          </cell>
          <cell r="G932"/>
          <cell r="H932">
            <v>0</v>
          </cell>
          <cell r="I932">
            <v>0</v>
          </cell>
          <cell r="J932" t="str">
            <v/>
          </cell>
          <cell r="K932" t="str">
            <v/>
          </cell>
          <cell r="L932" t="str">
            <v/>
          </cell>
          <cell r="M932">
            <v>0</v>
          </cell>
          <cell r="N932" t="str">
            <v/>
          </cell>
          <cell r="O932" t="str">
            <v/>
          </cell>
          <cell r="P932" t="str">
            <v/>
          </cell>
          <cell r="Q932">
            <v>0</v>
          </cell>
          <cell r="R932" t="str">
            <v>0</v>
          </cell>
          <cell r="S932" t="str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 t="str">
            <v/>
          </cell>
          <cell r="Y932" t="str">
            <v/>
          </cell>
          <cell r="Z932" t="str">
            <v/>
          </cell>
          <cell r="AA932">
            <v>0</v>
          </cell>
          <cell r="AB932">
            <v>0</v>
          </cell>
          <cell r="AC932">
            <v>0</v>
          </cell>
          <cell r="AD932"/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</row>
        <row r="933">
          <cell r="A933">
            <v>772163</v>
          </cell>
          <cell r="B933"/>
          <cell r="C933" t="str">
            <v>Bandeja</v>
          </cell>
          <cell r="D933" t="str">
            <v>SPARE</v>
          </cell>
          <cell r="E933">
            <v>2</v>
          </cell>
          <cell r="F933" t="str">
            <v>Bandeja INFERIOR DIREITA COM PIVÔ CRETA 2017 A 2021</v>
          </cell>
          <cell r="G933"/>
          <cell r="H933" t="str">
            <v>-</v>
          </cell>
          <cell r="I933"/>
          <cell r="J933"/>
          <cell r="K933"/>
          <cell r="L933"/>
          <cell r="M933"/>
          <cell r="N933"/>
          <cell r="O933"/>
          <cell r="P933"/>
          <cell r="Q933">
            <v>0</v>
          </cell>
          <cell r="R933"/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 t="str">
            <v/>
          </cell>
          <cell r="Y933" t="str">
            <v/>
          </cell>
          <cell r="Z933" t="str">
            <v/>
          </cell>
          <cell r="AA933">
            <v>0</v>
          </cell>
          <cell r="AB933">
            <v>0</v>
          </cell>
          <cell r="AC933">
            <v>0</v>
          </cell>
          <cell r="AD933"/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</row>
        <row r="934">
          <cell r="A934">
            <v>772170</v>
          </cell>
          <cell r="B934" t="str">
            <v>Sim</v>
          </cell>
          <cell r="C934" t="str">
            <v>Bandeja</v>
          </cell>
          <cell r="D934" t="str">
            <v>SPARE</v>
          </cell>
          <cell r="E934">
            <v>2</v>
          </cell>
          <cell r="F934" t="str">
            <v>Bandeja DIANTEIRA DIREITA PICANTO 2011 EM DIANTE SEM PIVÔ</v>
          </cell>
          <cell r="G934"/>
          <cell r="H934">
            <v>0</v>
          </cell>
          <cell r="I934">
            <v>0</v>
          </cell>
          <cell r="J934"/>
          <cell r="K934"/>
          <cell r="L934"/>
          <cell r="M934">
            <v>0</v>
          </cell>
          <cell r="N934" t="str">
            <v/>
          </cell>
          <cell r="O934">
            <v>0</v>
          </cell>
          <cell r="P934" t="str">
            <v/>
          </cell>
          <cell r="Q934">
            <v>0</v>
          </cell>
          <cell r="R934" t="str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 t="str">
            <v/>
          </cell>
          <cell r="Y934" t="str">
            <v/>
          </cell>
          <cell r="Z934" t="str">
            <v/>
          </cell>
          <cell r="AA934">
            <v>0</v>
          </cell>
          <cell r="AB934">
            <v>0</v>
          </cell>
          <cell r="AC934">
            <v>0</v>
          </cell>
          <cell r="AD934"/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</row>
        <row r="935">
          <cell r="A935">
            <v>772190</v>
          </cell>
          <cell r="B935" t="str">
            <v>Sim</v>
          </cell>
          <cell r="C935" t="str">
            <v>Bandeja</v>
          </cell>
          <cell r="D935" t="str">
            <v>SPARE</v>
          </cell>
          <cell r="E935">
            <v>2</v>
          </cell>
          <cell r="F935" t="str">
            <v>Bandeja DIANTEIRA DIREITA BESTA 1990 A 1997</v>
          </cell>
          <cell r="G935"/>
          <cell r="H935">
            <v>0</v>
          </cell>
          <cell r="I935">
            <v>0</v>
          </cell>
          <cell r="J935"/>
          <cell r="K935"/>
          <cell r="L935"/>
          <cell r="M935">
            <v>0</v>
          </cell>
          <cell r="N935" t="str">
            <v/>
          </cell>
          <cell r="O935">
            <v>0</v>
          </cell>
          <cell r="P935" t="str">
            <v/>
          </cell>
          <cell r="Q935">
            <v>0</v>
          </cell>
          <cell r="R935" t="str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 t="str">
            <v/>
          </cell>
          <cell r="Y935" t="str">
            <v/>
          </cell>
          <cell r="Z935" t="str">
            <v/>
          </cell>
          <cell r="AA935">
            <v>0</v>
          </cell>
          <cell r="AB935">
            <v>0</v>
          </cell>
          <cell r="AC935">
            <v>0</v>
          </cell>
          <cell r="AD935"/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</row>
        <row r="936">
          <cell r="A936">
            <v>772192</v>
          </cell>
          <cell r="B936" t="str">
            <v>Não</v>
          </cell>
          <cell r="C936" t="str">
            <v>Bandeja</v>
          </cell>
          <cell r="D936" t="str">
            <v>SPARE</v>
          </cell>
          <cell r="E936">
            <v>2</v>
          </cell>
          <cell r="F936"/>
          <cell r="G936"/>
          <cell r="H936"/>
          <cell r="I936"/>
          <cell r="J936"/>
          <cell r="K936"/>
          <cell r="L936"/>
          <cell r="M936"/>
          <cell r="N936"/>
          <cell r="O936"/>
          <cell r="P936"/>
          <cell r="Q936">
            <v>0</v>
          </cell>
          <cell r="R936" t="str">
            <v>0</v>
          </cell>
          <cell r="S936" t="str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 t="str">
            <v/>
          </cell>
          <cell r="Y936" t="str">
            <v/>
          </cell>
          <cell r="Z936" t="str">
            <v/>
          </cell>
          <cell r="AA936">
            <v>0</v>
          </cell>
          <cell r="AB936">
            <v>0</v>
          </cell>
          <cell r="AC936">
            <v>0</v>
          </cell>
          <cell r="AD936"/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</row>
        <row r="937">
          <cell r="A937">
            <v>772193</v>
          </cell>
          <cell r="B937" t="str">
            <v>Não</v>
          </cell>
          <cell r="C937" t="str">
            <v>Bandeja</v>
          </cell>
          <cell r="D937" t="str">
            <v>SPARE</v>
          </cell>
          <cell r="E937">
            <v>2</v>
          </cell>
          <cell r="F937"/>
          <cell r="G937"/>
          <cell r="H937"/>
          <cell r="I937"/>
          <cell r="J937"/>
          <cell r="K937"/>
          <cell r="L937"/>
          <cell r="M937"/>
          <cell r="N937"/>
          <cell r="O937"/>
          <cell r="P937"/>
          <cell r="Q937">
            <v>0</v>
          </cell>
          <cell r="R937" t="str">
            <v>0</v>
          </cell>
          <cell r="S937" t="str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 t="str">
            <v/>
          </cell>
          <cell r="Y937" t="str">
            <v/>
          </cell>
          <cell r="Z937" t="str">
            <v/>
          </cell>
          <cell r="AA937">
            <v>0</v>
          </cell>
          <cell r="AB937">
            <v>0</v>
          </cell>
          <cell r="AC937">
            <v>0</v>
          </cell>
          <cell r="AD937"/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</row>
        <row r="938">
          <cell r="A938">
            <v>772195</v>
          </cell>
          <cell r="B938" t="str">
            <v>Não</v>
          </cell>
          <cell r="C938" t="str">
            <v>Bandeja</v>
          </cell>
          <cell r="D938" t="str">
            <v>SPARE</v>
          </cell>
          <cell r="E938">
            <v>2</v>
          </cell>
          <cell r="F938"/>
          <cell r="G938"/>
          <cell r="H938"/>
          <cell r="I938"/>
          <cell r="J938"/>
          <cell r="K938"/>
          <cell r="L938"/>
          <cell r="M938"/>
          <cell r="N938"/>
          <cell r="O938"/>
          <cell r="P938"/>
          <cell r="Q938">
            <v>0</v>
          </cell>
          <cell r="R938" t="str">
            <v>0</v>
          </cell>
          <cell r="S938" t="str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 t="str">
            <v/>
          </cell>
          <cell r="Y938" t="str">
            <v/>
          </cell>
          <cell r="Z938" t="str">
            <v/>
          </cell>
          <cell r="AA938">
            <v>0</v>
          </cell>
          <cell r="AB938">
            <v>0</v>
          </cell>
          <cell r="AC938">
            <v>0</v>
          </cell>
          <cell r="AD938"/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</row>
        <row r="939">
          <cell r="A939">
            <v>772196</v>
          </cell>
          <cell r="B939" t="str">
            <v>Não</v>
          </cell>
          <cell r="C939" t="str">
            <v>Bandeja</v>
          </cell>
          <cell r="D939" t="str">
            <v>SPARE</v>
          </cell>
          <cell r="E939">
            <v>2</v>
          </cell>
          <cell r="F939"/>
          <cell r="G939"/>
          <cell r="H939"/>
          <cell r="I939"/>
          <cell r="J939"/>
          <cell r="K939"/>
          <cell r="L939"/>
          <cell r="M939"/>
          <cell r="N939"/>
          <cell r="O939"/>
          <cell r="P939"/>
          <cell r="Q939">
            <v>0</v>
          </cell>
          <cell r="R939" t="str">
            <v>0</v>
          </cell>
          <cell r="S939" t="str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 t="str">
            <v/>
          </cell>
          <cell r="Y939" t="str">
            <v/>
          </cell>
          <cell r="Z939" t="str">
            <v/>
          </cell>
          <cell r="AA939">
            <v>0</v>
          </cell>
          <cell r="AB939">
            <v>0</v>
          </cell>
          <cell r="AC939">
            <v>0</v>
          </cell>
          <cell r="AD939"/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</row>
        <row r="940">
          <cell r="A940">
            <v>772202</v>
          </cell>
          <cell r="B940" t="str">
            <v>Não</v>
          </cell>
          <cell r="C940" t="str">
            <v>Bandeja</v>
          </cell>
          <cell r="D940" t="str">
            <v>SPARE</v>
          </cell>
          <cell r="E940">
            <v>2</v>
          </cell>
          <cell r="F940"/>
          <cell r="G940"/>
          <cell r="H940"/>
          <cell r="I940"/>
          <cell r="J940"/>
          <cell r="K940"/>
          <cell r="L940"/>
          <cell r="M940"/>
          <cell r="N940"/>
          <cell r="O940"/>
          <cell r="P940"/>
          <cell r="Q940">
            <v>0</v>
          </cell>
          <cell r="R940" t="str">
            <v>0</v>
          </cell>
          <cell r="S940" t="str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 t="str">
            <v/>
          </cell>
          <cell r="Y940" t="str">
            <v/>
          </cell>
          <cell r="Z940" t="str">
            <v/>
          </cell>
          <cell r="AA940">
            <v>0</v>
          </cell>
          <cell r="AB940">
            <v>0</v>
          </cell>
          <cell r="AC940">
            <v>0</v>
          </cell>
          <cell r="AD940"/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</row>
        <row r="941">
          <cell r="A941">
            <v>772203</v>
          </cell>
          <cell r="B941" t="str">
            <v>Não</v>
          </cell>
          <cell r="C941" t="str">
            <v>Bandeja</v>
          </cell>
          <cell r="D941" t="str">
            <v>SPARE</v>
          </cell>
          <cell r="E941">
            <v>2</v>
          </cell>
          <cell r="F941"/>
          <cell r="G941"/>
          <cell r="H941"/>
          <cell r="I941"/>
          <cell r="J941"/>
          <cell r="K941"/>
          <cell r="L941"/>
          <cell r="M941"/>
          <cell r="N941"/>
          <cell r="O941"/>
          <cell r="P941"/>
          <cell r="Q941">
            <v>0</v>
          </cell>
          <cell r="R941" t="str">
            <v>0</v>
          </cell>
          <cell r="S941" t="str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 t="str">
            <v/>
          </cell>
          <cell r="Y941" t="str">
            <v/>
          </cell>
          <cell r="Z941" t="str">
            <v/>
          </cell>
          <cell r="AA941">
            <v>0</v>
          </cell>
          <cell r="AB941">
            <v>0</v>
          </cell>
          <cell r="AC941">
            <v>0</v>
          </cell>
          <cell r="AD941"/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</row>
        <row r="942">
          <cell r="A942">
            <v>772205</v>
          </cell>
          <cell r="B942"/>
          <cell r="C942" t="str">
            <v>Bandeja</v>
          </cell>
          <cell r="D942" t="str">
            <v>SPARE</v>
          </cell>
          <cell r="E942">
            <v>2</v>
          </cell>
          <cell r="F942" t="str">
            <v>Bandeja SUPERIOR ESQUERDA JINBEI TOPIC 2008 Á 2017 COMPLETA</v>
          </cell>
          <cell r="G942"/>
          <cell r="H942" t="str">
            <v>-</v>
          </cell>
          <cell r="I942"/>
          <cell r="J942"/>
          <cell r="K942"/>
          <cell r="L942"/>
          <cell r="M942"/>
          <cell r="N942"/>
          <cell r="O942"/>
          <cell r="P942"/>
          <cell r="Q942">
            <v>0</v>
          </cell>
          <cell r="R942"/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 t="str">
            <v/>
          </cell>
          <cell r="Y942" t="str">
            <v/>
          </cell>
          <cell r="Z942" t="str">
            <v/>
          </cell>
          <cell r="AA942">
            <v>0</v>
          </cell>
          <cell r="AB942">
            <v>0</v>
          </cell>
          <cell r="AC942">
            <v>0</v>
          </cell>
          <cell r="AD942"/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</row>
        <row r="943">
          <cell r="A943">
            <v>772208</v>
          </cell>
          <cell r="B943" t="str">
            <v>Não</v>
          </cell>
          <cell r="C943" t="str">
            <v>Bandeja</v>
          </cell>
          <cell r="D943" t="str">
            <v>SPARE</v>
          </cell>
          <cell r="E943">
            <v>2</v>
          </cell>
          <cell r="F943"/>
          <cell r="G943"/>
          <cell r="H943"/>
          <cell r="I943"/>
          <cell r="J943"/>
          <cell r="K943"/>
          <cell r="L943"/>
          <cell r="M943"/>
          <cell r="N943"/>
          <cell r="O943"/>
          <cell r="P943"/>
          <cell r="Q943">
            <v>0</v>
          </cell>
          <cell r="R943" t="str">
            <v>0</v>
          </cell>
          <cell r="S943" t="str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 t="str">
            <v/>
          </cell>
          <cell r="Y943" t="str">
            <v/>
          </cell>
          <cell r="Z943" t="str">
            <v/>
          </cell>
          <cell r="AA943">
            <v>0</v>
          </cell>
          <cell r="AB943">
            <v>0</v>
          </cell>
          <cell r="AC943">
            <v>0</v>
          </cell>
          <cell r="AD943"/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</row>
        <row r="944">
          <cell r="A944">
            <v>772209</v>
          </cell>
          <cell r="B944" t="str">
            <v>Não</v>
          </cell>
          <cell r="C944" t="str">
            <v>Bandeja</v>
          </cell>
          <cell r="D944" t="str">
            <v>SPARE</v>
          </cell>
          <cell r="E944">
            <v>2</v>
          </cell>
          <cell r="F944"/>
          <cell r="G944"/>
          <cell r="H944"/>
          <cell r="I944"/>
          <cell r="J944"/>
          <cell r="K944"/>
          <cell r="L944"/>
          <cell r="M944"/>
          <cell r="N944"/>
          <cell r="O944"/>
          <cell r="P944"/>
          <cell r="Q944">
            <v>0</v>
          </cell>
          <cell r="R944" t="str">
            <v>0</v>
          </cell>
          <cell r="S944" t="str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 t="str">
            <v/>
          </cell>
          <cell r="Y944" t="str">
            <v/>
          </cell>
          <cell r="Z944" t="str">
            <v/>
          </cell>
          <cell r="AA944">
            <v>0</v>
          </cell>
          <cell r="AB944">
            <v>0</v>
          </cell>
          <cell r="AC944">
            <v>0</v>
          </cell>
          <cell r="AD944"/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</row>
        <row r="945">
          <cell r="A945">
            <v>772214</v>
          </cell>
          <cell r="B945" t="str">
            <v>Sim</v>
          </cell>
          <cell r="C945" t="str">
            <v>Bandeja</v>
          </cell>
          <cell r="D945" t="str">
            <v>SPARE</v>
          </cell>
          <cell r="E945">
            <v>2</v>
          </cell>
          <cell r="F945" t="str">
            <v>Bandeja Inferior Direito Pajero Tr4 Sem Pivô 2000 Á 2014</v>
          </cell>
          <cell r="G945"/>
          <cell r="H945">
            <v>0</v>
          </cell>
          <cell r="I945">
            <v>0</v>
          </cell>
          <cell r="J945" t="str">
            <v/>
          </cell>
          <cell r="K945" t="str">
            <v/>
          </cell>
          <cell r="L945" t="str">
            <v/>
          </cell>
          <cell r="M945">
            <v>0</v>
          </cell>
          <cell r="N945" t="str">
            <v/>
          </cell>
          <cell r="O945" t="str">
            <v/>
          </cell>
          <cell r="P945" t="str">
            <v/>
          </cell>
          <cell r="Q945">
            <v>0</v>
          </cell>
          <cell r="R945" t="str">
            <v>0</v>
          </cell>
          <cell r="S945" t="str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 t="str">
            <v/>
          </cell>
          <cell r="Y945" t="str">
            <v/>
          </cell>
          <cell r="Z945" t="str">
            <v/>
          </cell>
          <cell r="AA945">
            <v>0</v>
          </cell>
          <cell r="AB945">
            <v>0</v>
          </cell>
          <cell r="AC945">
            <v>0</v>
          </cell>
          <cell r="AD945"/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</row>
        <row r="946">
          <cell r="A946">
            <v>772215</v>
          </cell>
          <cell r="B946" t="str">
            <v>Sim</v>
          </cell>
          <cell r="C946" t="str">
            <v>Bandeja</v>
          </cell>
          <cell r="D946" t="str">
            <v>SPARE</v>
          </cell>
          <cell r="E946">
            <v>2</v>
          </cell>
          <cell r="F946" t="str">
            <v>Bandeja Inferior Esquerda Pajero Tr4 Sem Pivô 2000 Á 2014</v>
          </cell>
          <cell r="G946"/>
          <cell r="H946">
            <v>0</v>
          </cell>
          <cell r="I946">
            <v>0</v>
          </cell>
          <cell r="J946" t="str">
            <v/>
          </cell>
          <cell r="K946" t="str">
            <v/>
          </cell>
          <cell r="L946" t="str">
            <v/>
          </cell>
          <cell r="M946">
            <v>0</v>
          </cell>
          <cell r="N946" t="str">
            <v/>
          </cell>
          <cell r="O946" t="str">
            <v/>
          </cell>
          <cell r="P946" t="str">
            <v/>
          </cell>
          <cell r="Q946">
            <v>0</v>
          </cell>
          <cell r="R946" t="str">
            <v>0</v>
          </cell>
          <cell r="S946" t="str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 t="str">
            <v/>
          </cell>
          <cell r="Y946" t="str">
            <v/>
          </cell>
          <cell r="Z946" t="str">
            <v/>
          </cell>
          <cell r="AA946">
            <v>0</v>
          </cell>
          <cell r="AB946">
            <v>0</v>
          </cell>
          <cell r="AC946">
            <v>0</v>
          </cell>
          <cell r="AD946"/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</row>
        <row r="947">
          <cell r="A947">
            <v>772218</v>
          </cell>
          <cell r="B947" t="str">
            <v>Não</v>
          </cell>
          <cell r="C947" t="str">
            <v>Bandeja</v>
          </cell>
          <cell r="D947" t="str">
            <v>SPARE</v>
          </cell>
          <cell r="E947">
            <v>2</v>
          </cell>
          <cell r="F947"/>
          <cell r="G947"/>
          <cell r="H947"/>
          <cell r="I947"/>
          <cell r="J947"/>
          <cell r="K947"/>
          <cell r="L947"/>
          <cell r="M947"/>
          <cell r="N947"/>
          <cell r="O947"/>
          <cell r="P947"/>
          <cell r="Q947">
            <v>0</v>
          </cell>
          <cell r="R947" t="str">
            <v>0</v>
          </cell>
          <cell r="S947" t="str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 t="str">
            <v/>
          </cell>
          <cell r="Y947" t="str">
            <v/>
          </cell>
          <cell r="Z947" t="str">
            <v/>
          </cell>
          <cell r="AA947">
            <v>0</v>
          </cell>
          <cell r="AB947">
            <v>0</v>
          </cell>
          <cell r="AC947">
            <v>0</v>
          </cell>
          <cell r="AD947"/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</row>
        <row r="948">
          <cell r="A948">
            <v>772219</v>
          </cell>
          <cell r="B948" t="str">
            <v>Não</v>
          </cell>
          <cell r="C948" t="str">
            <v>Bandeja</v>
          </cell>
          <cell r="D948" t="str">
            <v>SPARE</v>
          </cell>
          <cell r="E948">
            <v>2</v>
          </cell>
          <cell r="F948"/>
          <cell r="G948"/>
          <cell r="H948"/>
          <cell r="I948"/>
          <cell r="J948"/>
          <cell r="K948"/>
          <cell r="L948"/>
          <cell r="M948"/>
          <cell r="N948"/>
          <cell r="O948"/>
          <cell r="P948"/>
          <cell r="Q948">
            <v>0</v>
          </cell>
          <cell r="R948" t="str">
            <v>0</v>
          </cell>
          <cell r="S948" t="str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 t="str">
            <v/>
          </cell>
          <cell r="Y948" t="str">
            <v/>
          </cell>
          <cell r="Z948" t="str">
            <v/>
          </cell>
          <cell r="AA948">
            <v>0</v>
          </cell>
          <cell r="AB948">
            <v>0</v>
          </cell>
          <cell r="AC948">
            <v>0</v>
          </cell>
          <cell r="AD948"/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</row>
        <row r="949">
          <cell r="A949">
            <v>772220</v>
          </cell>
          <cell r="B949" t="str">
            <v>Não</v>
          </cell>
          <cell r="C949" t="str">
            <v>Bandeja</v>
          </cell>
          <cell r="D949" t="str">
            <v>SPARE</v>
          </cell>
          <cell r="E949">
            <v>2</v>
          </cell>
          <cell r="F949"/>
          <cell r="G949"/>
          <cell r="H949"/>
          <cell r="I949"/>
          <cell r="J949"/>
          <cell r="K949"/>
          <cell r="L949"/>
          <cell r="M949"/>
          <cell r="N949"/>
          <cell r="O949"/>
          <cell r="P949"/>
          <cell r="Q949">
            <v>0</v>
          </cell>
          <cell r="R949" t="str">
            <v>0</v>
          </cell>
          <cell r="S949" t="str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 t="str">
            <v/>
          </cell>
          <cell r="Y949" t="str">
            <v/>
          </cell>
          <cell r="Z949" t="str">
            <v/>
          </cell>
          <cell r="AA949">
            <v>0</v>
          </cell>
          <cell r="AB949">
            <v>0</v>
          </cell>
          <cell r="AC949">
            <v>0</v>
          </cell>
          <cell r="AD949"/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</row>
        <row r="950">
          <cell r="A950">
            <v>772226</v>
          </cell>
          <cell r="B950" t="str">
            <v>Não</v>
          </cell>
          <cell r="C950" t="str">
            <v>Bandeja</v>
          </cell>
          <cell r="D950" t="str">
            <v>SPARE</v>
          </cell>
          <cell r="E950">
            <v>2</v>
          </cell>
          <cell r="F950"/>
          <cell r="G950"/>
          <cell r="H950"/>
          <cell r="I950"/>
          <cell r="J950"/>
          <cell r="K950"/>
          <cell r="L950"/>
          <cell r="M950"/>
          <cell r="N950"/>
          <cell r="O950"/>
          <cell r="P950"/>
          <cell r="Q950">
            <v>0</v>
          </cell>
          <cell r="R950" t="str">
            <v>0</v>
          </cell>
          <cell r="S950" t="str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 t="str">
            <v/>
          </cell>
          <cell r="Y950" t="str">
            <v/>
          </cell>
          <cell r="Z950" t="str">
            <v/>
          </cell>
          <cell r="AA950">
            <v>0</v>
          </cell>
          <cell r="AB950">
            <v>0</v>
          </cell>
          <cell r="AC950">
            <v>0</v>
          </cell>
          <cell r="AD950"/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</row>
        <row r="951">
          <cell r="A951">
            <v>772227</v>
          </cell>
          <cell r="B951" t="str">
            <v>Não</v>
          </cell>
          <cell r="C951" t="str">
            <v>Bandeja</v>
          </cell>
          <cell r="D951" t="str">
            <v>SPARE</v>
          </cell>
          <cell r="E951">
            <v>2</v>
          </cell>
          <cell r="F951"/>
          <cell r="G951"/>
          <cell r="H951"/>
          <cell r="I951"/>
          <cell r="J951"/>
          <cell r="K951"/>
          <cell r="L951"/>
          <cell r="M951"/>
          <cell r="N951"/>
          <cell r="O951"/>
          <cell r="P951"/>
          <cell r="Q951">
            <v>0</v>
          </cell>
          <cell r="R951" t="str">
            <v>0</v>
          </cell>
          <cell r="S951" t="str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 t="str">
            <v/>
          </cell>
          <cell r="Y951" t="str">
            <v/>
          </cell>
          <cell r="Z951" t="str">
            <v/>
          </cell>
          <cell r="AA951">
            <v>0</v>
          </cell>
          <cell r="AB951">
            <v>0</v>
          </cell>
          <cell r="AC951">
            <v>0</v>
          </cell>
          <cell r="AD951"/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</row>
        <row r="952">
          <cell r="A952">
            <v>772230</v>
          </cell>
          <cell r="B952" t="str">
            <v>Sim</v>
          </cell>
          <cell r="C952" t="str">
            <v>Bandeja</v>
          </cell>
          <cell r="D952" t="str">
            <v>SPARE</v>
          </cell>
          <cell r="E952">
            <v>2</v>
          </cell>
          <cell r="F952" t="str">
            <v>Bandeja INFERIOR DIREITA COM PIVÔ KICKS 2016 A 2020</v>
          </cell>
          <cell r="G952"/>
          <cell r="H952">
            <v>0</v>
          </cell>
          <cell r="I952">
            <v>0</v>
          </cell>
          <cell r="J952"/>
          <cell r="K952"/>
          <cell r="L952"/>
          <cell r="M952">
            <v>0</v>
          </cell>
          <cell r="N952" t="str">
            <v/>
          </cell>
          <cell r="O952">
            <v>0</v>
          </cell>
          <cell r="P952" t="str">
            <v/>
          </cell>
          <cell r="Q952">
            <v>0</v>
          </cell>
          <cell r="R952" t="str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 t="str">
            <v/>
          </cell>
          <cell r="Y952" t="str">
            <v/>
          </cell>
          <cell r="Z952" t="str">
            <v/>
          </cell>
          <cell r="AA952">
            <v>0</v>
          </cell>
          <cell r="AB952">
            <v>0</v>
          </cell>
          <cell r="AC952">
            <v>0</v>
          </cell>
          <cell r="AD952"/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</row>
        <row r="953">
          <cell r="A953">
            <v>772231</v>
          </cell>
          <cell r="B953" t="str">
            <v>Sim</v>
          </cell>
          <cell r="C953" t="str">
            <v>Bandeja</v>
          </cell>
          <cell r="D953" t="str">
            <v>SPARE</v>
          </cell>
          <cell r="E953">
            <v>2</v>
          </cell>
          <cell r="F953" t="str">
            <v>Bandeja INFERIOR ESQUERDA COM PIVÔ KICKS 2016 A 2020</v>
          </cell>
          <cell r="G953"/>
          <cell r="H953">
            <v>0</v>
          </cell>
          <cell r="I953">
            <v>0</v>
          </cell>
          <cell r="J953"/>
          <cell r="K953"/>
          <cell r="L953"/>
          <cell r="M953">
            <v>0</v>
          </cell>
          <cell r="N953" t="str">
            <v/>
          </cell>
          <cell r="O953">
            <v>0</v>
          </cell>
          <cell r="P953" t="str">
            <v/>
          </cell>
          <cell r="Q953">
            <v>0</v>
          </cell>
          <cell r="R953" t="str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 t="str">
            <v/>
          </cell>
          <cell r="Y953" t="str">
            <v/>
          </cell>
          <cell r="Z953" t="str">
            <v/>
          </cell>
          <cell r="AA953">
            <v>0</v>
          </cell>
          <cell r="AB953">
            <v>0</v>
          </cell>
          <cell r="AC953">
            <v>0</v>
          </cell>
          <cell r="AD953"/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</row>
        <row r="954">
          <cell r="A954">
            <v>772234</v>
          </cell>
          <cell r="B954"/>
          <cell r="C954" t="str">
            <v>Bandeja</v>
          </cell>
          <cell r="D954" t="str">
            <v>SPARE</v>
          </cell>
          <cell r="E954">
            <v>2</v>
          </cell>
          <cell r="F954" t="str">
            <v>Bandeja Dianteira Journey 2009 á 2015 Freemont 2011 á 2016 Lado Esquerdo</v>
          </cell>
          <cell r="G954"/>
          <cell r="H954" t="str">
            <v>-</v>
          </cell>
          <cell r="I954"/>
          <cell r="J954"/>
          <cell r="K954"/>
          <cell r="L954"/>
          <cell r="M954"/>
          <cell r="N954"/>
          <cell r="O954"/>
          <cell r="P954"/>
          <cell r="Q954">
            <v>0</v>
          </cell>
          <cell r="R954"/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 t="str">
            <v/>
          </cell>
          <cell r="Y954" t="str">
            <v/>
          </cell>
          <cell r="Z954" t="str">
            <v/>
          </cell>
          <cell r="AA954">
            <v>0</v>
          </cell>
          <cell r="AB954">
            <v>0</v>
          </cell>
          <cell r="AC954">
            <v>0</v>
          </cell>
          <cell r="AD954"/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</row>
        <row r="955">
          <cell r="A955">
            <v>772249</v>
          </cell>
          <cell r="B955" t="str">
            <v>Sim</v>
          </cell>
          <cell r="C955" t="str">
            <v>Bandeja</v>
          </cell>
          <cell r="D955" t="str">
            <v>SPARE</v>
          </cell>
          <cell r="E955">
            <v>2</v>
          </cell>
          <cell r="F955" t="str">
            <v>Bandeja Inferior Direito Sem Pivô Rav 4 2006 Á 2017</v>
          </cell>
          <cell r="G955"/>
          <cell r="H955">
            <v>0</v>
          </cell>
          <cell r="I955">
            <v>0</v>
          </cell>
          <cell r="J955" t="str">
            <v/>
          </cell>
          <cell r="K955" t="str">
            <v/>
          </cell>
          <cell r="L955" t="str">
            <v/>
          </cell>
          <cell r="M955">
            <v>0</v>
          </cell>
          <cell r="N955" t="str">
            <v/>
          </cell>
          <cell r="O955" t="str">
            <v/>
          </cell>
          <cell r="P955" t="str">
            <v/>
          </cell>
          <cell r="Q955">
            <v>0</v>
          </cell>
          <cell r="R955" t="str">
            <v>0</v>
          </cell>
          <cell r="S955" t="str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 t="str">
            <v/>
          </cell>
          <cell r="Y955" t="str">
            <v/>
          </cell>
          <cell r="Z955" t="str">
            <v/>
          </cell>
          <cell r="AA955">
            <v>0</v>
          </cell>
          <cell r="AB955">
            <v>0</v>
          </cell>
          <cell r="AC955">
            <v>0</v>
          </cell>
          <cell r="AD955"/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</row>
        <row r="956">
          <cell r="A956">
            <v>772256</v>
          </cell>
          <cell r="B956" t="str">
            <v>Não</v>
          </cell>
          <cell r="C956" t="str">
            <v>Bandeja</v>
          </cell>
          <cell r="D956" t="str">
            <v>SPARE</v>
          </cell>
          <cell r="E956">
            <v>2</v>
          </cell>
          <cell r="F956" t="str">
            <v>Bandeja Inferior Direita Sem Pivô Etios 2012 A 2018</v>
          </cell>
          <cell r="G956"/>
          <cell r="H956">
            <v>0</v>
          </cell>
          <cell r="I956">
            <v>0</v>
          </cell>
          <cell r="J956">
            <v>0</v>
          </cell>
          <cell r="K956" t="str">
            <v/>
          </cell>
          <cell r="L956" t="str">
            <v/>
          </cell>
          <cell r="M956">
            <v>0</v>
          </cell>
          <cell r="N956" t="str">
            <v/>
          </cell>
          <cell r="O956">
            <v>0</v>
          </cell>
          <cell r="P956" t="str">
            <v/>
          </cell>
          <cell r="Q956">
            <v>0</v>
          </cell>
          <cell r="R956" t="str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 t="str">
            <v/>
          </cell>
          <cell r="Y956" t="str">
            <v/>
          </cell>
          <cell r="Z956" t="str">
            <v/>
          </cell>
          <cell r="AA956">
            <v>0</v>
          </cell>
          <cell r="AB956">
            <v>0</v>
          </cell>
          <cell r="AC956">
            <v>0</v>
          </cell>
          <cell r="AD956"/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</row>
        <row r="957">
          <cell r="A957">
            <v>772257</v>
          </cell>
          <cell r="B957" t="str">
            <v>Não</v>
          </cell>
          <cell r="C957" t="str">
            <v>Bandeja</v>
          </cell>
          <cell r="D957" t="str">
            <v>SPARE</v>
          </cell>
          <cell r="E957">
            <v>2</v>
          </cell>
          <cell r="F957" t="str">
            <v>Bandeja Inferior Esquerda Sem Pivô Etios 2012 A 2018</v>
          </cell>
          <cell r="G957"/>
          <cell r="H957">
            <v>0</v>
          </cell>
          <cell r="I957">
            <v>0</v>
          </cell>
          <cell r="J957">
            <v>0</v>
          </cell>
          <cell r="K957" t="str">
            <v/>
          </cell>
          <cell r="L957" t="str">
            <v/>
          </cell>
          <cell r="M957">
            <v>0</v>
          </cell>
          <cell r="N957" t="str">
            <v/>
          </cell>
          <cell r="O957">
            <v>0</v>
          </cell>
          <cell r="P957" t="str">
            <v/>
          </cell>
          <cell r="Q957">
            <v>0</v>
          </cell>
          <cell r="R957" t="str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 t="str">
            <v/>
          </cell>
          <cell r="Y957" t="str">
            <v/>
          </cell>
          <cell r="Z957" t="str">
            <v/>
          </cell>
          <cell r="AA957">
            <v>0</v>
          </cell>
          <cell r="AB957">
            <v>0</v>
          </cell>
          <cell r="AC957">
            <v>0</v>
          </cell>
          <cell r="AD957"/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</row>
        <row r="958">
          <cell r="A958">
            <v>882000</v>
          </cell>
          <cell r="B958" t="str">
            <v>Não</v>
          </cell>
          <cell r="C958" t="str">
            <v>Bandeja</v>
          </cell>
          <cell r="D958" t="str">
            <v>SPARE</v>
          </cell>
          <cell r="E958">
            <v>2</v>
          </cell>
          <cell r="F958" t="str">
            <v>Bandeja Dianteira Direita Sem Pivô J3 2011 À 2015</v>
          </cell>
          <cell r="G958"/>
          <cell r="H958">
            <v>0</v>
          </cell>
          <cell r="I958">
            <v>0</v>
          </cell>
          <cell r="J958" t="str">
            <v/>
          </cell>
          <cell r="K958" t="str">
            <v/>
          </cell>
          <cell r="L958" t="str">
            <v/>
          </cell>
          <cell r="M958">
            <v>0</v>
          </cell>
          <cell r="N958" t="str">
            <v/>
          </cell>
          <cell r="O958" t="str">
            <v/>
          </cell>
          <cell r="P958" t="str">
            <v/>
          </cell>
          <cell r="Q958">
            <v>0</v>
          </cell>
          <cell r="R958" t="str">
            <v>0</v>
          </cell>
          <cell r="S958" t="str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 t="str">
            <v/>
          </cell>
          <cell r="Y958" t="str">
            <v/>
          </cell>
          <cell r="Z958" t="str">
            <v/>
          </cell>
          <cell r="AA958">
            <v>0</v>
          </cell>
          <cell r="AB958">
            <v>0</v>
          </cell>
          <cell r="AC958">
            <v>0</v>
          </cell>
          <cell r="AD958"/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</row>
        <row r="959">
          <cell r="A959">
            <v>882001</v>
          </cell>
          <cell r="B959" t="str">
            <v>Não</v>
          </cell>
          <cell r="C959" t="str">
            <v>Bandeja</v>
          </cell>
          <cell r="D959" t="str">
            <v>SPARE</v>
          </cell>
          <cell r="E959">
            <v>2</v>
          </cell>
          <cell r="F959" t="str">
            <v>Bandeja Dianteira Esquerda Sem Pivô J3 2011 À 2015</v>
          </cell>
          <cell r="G959"/>
          <cell r="H959">
            <v>0</v>
          </cell>
          <cell r="I959">
            <v>0</v>
          </cell>
          <cell r="J959" t="str">
            <v/>
          </cell>
          <cell r="K959" t="str">
            <v/>
          </cell>
          <cell r="L959" t="str">
            <v/>
          </cell>
          <cell r="M959">
            <v>0</v>
          </cell>
          <cell r="N959" t="str">
            <v/>
          </cell>
          <cell r="O959" t="str">
            <v/>
          </cell>
          <cell r="P959" t="str">
            <v/>
          </cell>
          <cell r="Q959">
            <v>0</v>
          </cell>
          <cell r="R959" t="str">
            <v>0</v>
          </cell>
          <cell r="S959" t="str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 t="str">
            <v/>
          </cell>
          <cell r="Y959" t="str">
            <v/>
          </cell>
          <cell r="Z959" t="str">
            <v/>
          </cell>
          <cell r="AA959">
            <v>0</v>
          </cell>
          <cell r="AB959">
            <v>0</v>
          </cell>
          <cell r="AC959">
            <v>0</v>
          </cell>
          <cell r="AD959"/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</row>
        <row r="960">
          <cell r="A960">
            <v>992025</v>
          </cell>
          <cell r="B960" t="str">
            <v>Não</v>
          </cell>
          <cell r="C960" t="str">
            <v>Bandeja</v>
          </cell>
          <cell r="D960" t="str">
            <v>SPARE</v>
          </cell>
          <cell r="E960">
            <v>2</v>
          </cell>
          <cell r="F960"/>
          <cell r="G960"/>
          <cell r="H960"/>
          <cell r="I960"/>
          <cell r="J960"/>
          <cell r="K960"/>
          <cell r="L960"/>
          <cell r="M960"/>
          <cell r="N960"/>
          <cell r="O960"/>
          <cell r="P960"/>
          <cell r="Q960">
            <v>0</v>
          </cell>
          <cell r="R960" t="str">
            <v>0</v>
          </cell>
          <cell r="S960" t="str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 t="str">
            <v/>
          </cell>
          <cell r="Y960" t="str">
            <v/>
          </cell>
          <cell r="Z960" t="str">
            <v/>
          </cell>
          <cell r="AA960">
            <v>0</v>
          </cell>
          <cell r="AB960">
            <v>0</v>
          </cell>
          <cell r="AC960">
            <v>0</v>
          </cell>
          <cell r="AD960"/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</row>
        <row r="961">
          <cell r="A961">
            <v>993005</v>
          </cell>
          <cell r="B961"/>
          <cell r="C961" t="str">
            <v>Bandeja</v>
          </cell>
          <cell r="D961" t="str">
            <v>SPARE</v>
          </cell>
          <cell r="E961">
            <v>2</v>
          </cell>
          <cell r="F961" t="str">
            <v>Bandeja INFERIOR DIREITA COM PIVÔ MINI COOPER 2013 A 2017</v>
          </cell>
          <cell r="G961"/>
          <cell r="H961" t="str">
            <v>-</v>
          </cell>
          <cell r="I961"/>
          <cell r="J961"/>
          <cell r="K961"/>
          <cell r="L961"/>
          <cell r="M961"/>
          <cell r="N961"/>
          <cell r="O961"/>
          <cell r="P961"/>
          <cell r="Q961">
            <v>0</v>
          </cell>
          <cell r="R961"/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 t="str">
            <v/>
          </cell>
          <cell r="Y961" t="str">
            <v/>
          </cell>
          <cell r="Z961" t="str">
            <v/>
          </cell>
          <cell r="AA961">
            <v>0</v>
          </cell>
          <cell r="AB961">
            <v>0</v>
          </cell>
          <cell r="AC961">
            <v>0</v>
          </cell>
          <cell r="AD961"/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</row>
        <row r="962">
          <cell r="A962">
            <v>993006</v>
          </cell>
          <cell r="B962"/>
          <cell r="C962" t="str">
            <v>Bandeja</v>
          </cell>
          <cell r="D962" t="str">
            <v>SPARE</v>
          </cell>
          <cell r="E962">
            <v>2</v>
          </cell>
          <cell r="F962" t="str">
            <v>Bandeja INFERIOR ESQUERDA COM PIVÔ MINI COOPER 2013 A 2017</v>
          </cell>
          <cell r="G962"/>
          <cell r="H962" t="str">
            <v>-</v>
          </cell>
          <cell r="I962"/>
          <cell r="J962"/>
          <cell r="K962"/>
          <cell r="L962"/>
          <cell r="M962"/>
          <cell r="N962"/>
          <cell r="O962"/>
          <cell r="P962"/>
          <cell r="Q962">
            <v>0</v>
          </cell>
          <cell r="R962"/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 t="str">
            <v/>
          </cell>
          <cell r="Y962" t="str">
            <v/>
          </cell>
          <cell r="Z962" t="str">
            <v/>
          </cell>
          <cell r="AA962">
            <v>0</v>
          </cell>
          <cell r="AB962">
            <v>0</v>
          </cell>
          <cell r="AC962">
            <v>0</v>
          </cell>
          <cell r="AD962"/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</row>
        <row r="963">
          <cell r="A963" t="str">
            <v>112028p</v>
          </cell>
          <cell r="B963"/>
          <cell r="C963" t="str">
            <v>Bandeja</v>
          </cell>
          <cell r="D963" t="str">
            <v>SPARE</v>
          </cell>
          <cell r="E963">
            <v>2</v>
          </cell>
          <cell r="F963" t="str">
            <v>Bandeja Direita sem Pivô Fiorino 2014 em diante modelo novo</v>
          </cell>
          <cell r="G963"/>
          <cell r="H963" t="str">
            <v>-</v>
          </cell>
          <cell r="I963"/>
          <cell r="J963"/>
          <cell r="K963"/>
          <cell r="L963"/>
          <cell r="M963"/>
          <cell r="N963"/>
          <cell r="O963"/>
          <cell r="P963"/>
          <cell r="Q963">
            <v>0</v>
          </cell>
          <cell r="R963"/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 t="str">
            <v/>
          </cell>
          <cell r="Y963" t="str">
            <v/>
          </cell>
          <cell r="Z963" t="str">
            <v/>
          </cell>
          <cell r="AA963">
            <v>0</v>
          </cell>
          <cell r="AB963">
            <v>0</v>
          </cell>
          <cell r="AC963">
            <v>0</v>
          </cell>
          <cell r="AD963"/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</row>
        <row r="964">
          <cell r="A964" t="str">
            <v>112029p</v>
          </cell>
          <cell r="B964"/>
          <cell r="C964" t="str">
            <v>Bandeja</v>
          </cell>
          <cell r="D964" t="str">
            <v>SPARE</v>
          </cell>
          <cell r="E964">
            <v>2</v>
          </cell>
          <cell r="F964" t="str">
            <v>Bandeja Esquerda sem Pivô Fiorino 2014 em diante modelo novo</v>
          </cell>
          <cell r="G964"/>
          <cell r="H964" t="str">
            <v>-</v>
          </cell>
          <cell r="I964"/>
          <cell r="J964"/>
          <cell r="K964"/>
          <cell r="L964"/>
          <cell r="M964"/>
          <cell r="N964"/>
          <cell r="O964"/>
          <cell r="P964"/>
          <cell r="Q964">
            <v>0</v>
          </cell>
          <cell r="R964"/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 t="str">
            <v/>
          </cell>
          <cell r="Y964" t="str">
            <v/>
          </cell>
          <cell r="Z964" t="str">
            <v/>
          </cell>
          <cell r="AA964">
            <v>0</v>
          </cell>
          <cell r="AB964">
            <v>0</v>
          </cell>
          <cell r="AC964">
            <v>0</v>
          </cell>
          <cell r="AD964"/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</row>
        <row r="965">
          <cell r="A965" t="str">
            <v>222011b</v>
          </cell>
          <cell r="B965" t="str">
            <v>Sim</v>
          </cell>
          <cell r="C965" t="str">
            <v>Bandeja</v>
          </cell>
          <cell r="D965" t="str">
            <v>SPARE</v>
          </cell>
          <cell r="E965">
            <v>2</v>
          </cell>
          <cell r="F965" t="str">
            <v>Braço Oscilante Esquerdo Com Bucha Apollo 1990 A 1992</v>
          </cell>
          <cell r="G965"/>
          <cell r="H965">
            <v>0</v>
          </cell>
          <cell r="I965">
            <v>0</v>
          </cell>
          <cell r="J965" t="str">
            <v/>
          </cell>
          <cell r="K965" t="str">
            <v/>
          </cell>
          <cell r="L965" t="str">
            <v/>
          </cell>
          <cell r="M965">
            <v>0</v>
          </cell>
          <cell r="N965" t="str">
            <v/>
          </cell>
          <cell r="O965" t="str">
            <v/>
          </cell>
          <cell r="P965" t="str">
            <v/>
          </cell>
          <cell r="Q965">
            <v>0</v>
          </cell>
          <cell r="R965" t="str">
            <v>0</v>
          </cell>
          <cell r="S965" t="str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 t="str">
            <v/>
          </cell>
          <cell r="Y965" t="str">
            <v/>
          </cell>
          <cell r="Z965" t="str">
            <v/>
          </cell>
          <cell r="AA965">
            <v>0</v>
          </cell>
          <cell r="AB965">
            <v>0</v>
          </cell>
          <cell r="AC965">
            <v>0</v>
          </cell>
          <cell r="AD965"/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</row>
        <row r="966">
          <cell r="A966" t="str">
            <v>442105P</v>
          </cell>
          <cell r="B966" t="str">
            <v>Sim</v>
          </cell>
          <cell r="C966" t="str">
            <v>Bandeja</v>
          </cell>
          <cell r="D966" t="str">
            <v>SPARE</v>
          </cell>
          <cell r="E966">
            <v>2</v>
          </cell>
          <cell r="F966" t="str">
            <v>Bandeja Inferior Esquerda Com Pivô Passat Cc 2009 2010</v>
          </cell>
          <cell r="G966"/>
          <cell r="H966">
            <v>0</v>
          </cell>
          <cell r="I966">
            <v>0</v>
          </cell>
          <cell r="J966" t="str">
            <v/>
          </cell>
          <cell r="K966" t="str">
            <v/>
          </cell>
          <cell r="L966" t="str">
            <v/>
          </cell>
          <cell r="M966">
            <v>0</v>
          </cell>
          <cell r="N966" t="str">
            <v/>
          </cell>
          <cell r="O966" t="str">
            <v/>
          </cell>
          <cell r="P966" t="str">
            <v/>
          </cell>
          <cell r="Q966">
            <v>0</v>
          </cell>
          <cell r="R966" t="str">
            <v>0</v>
          </cell>
          <cell r="S966" t="str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 t="str">
            <v/>
          </cell>
          <cell r="Y966" t="str">
            <v/>
          </cell>
          <cell r="Z966" t="str">
            <v/>
          </cell>
          <cell r="AA966">
            <v>0</v>
          </cell>
          <cell r="AB966">
            <v>0</v>
          </cell>
          <cell r="AC966">
            <v>0</v>
          </cell>
          <cell r="AD966"/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</row>
        <row r="967">
          <cell r="A967" t="str">
            <v>442122P</v>
          </cell>
          <cell r="B967" t="str">
            <v>Não</v>
          </cell>
          <cell r="C967" t="str">
            <v>Bandeja</v>
          </cell>
          <cell r="D967" t="str">
            <v>SPARE</v>
          </cell>
          <cell r="E967">
            <v>2</v>
          </cell>
          <cell r="F967" t="str">
            <v>Bandeja Inferior Direita Jetta 2.0 2.5 2005 A 2010 Com Pivô</v>
          </cell>
          <cell r="G967"/>
          <cell r="H967">
            <v>0</v>
          </cell>
          <cell r="I967">
            <v>0</v>
          </cell>
          <cell r="J967" t="str">
            <v/>
          </cell>
          <cell r="K967" t="str">
            <v/>
          </cell>
          <cell r="L967" t="str">
            <v/>
          </cell>
          <cell r="M967">
            <v>0</v>
          </cell>
          <cell r="N967" t="str">
            <v/>
          </cell>
          <cell r="O967" t="str">
            <v/>
          </cell>
          <cell r="P967" t="str">
            <v/>
          </cell>
          <cell r="Q967">
            <v>0</v>
          </cell>
          <cell r="R967" t="str">
            <v>0</v>
          </cell>
          <cell r="S967" t="str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 t="str">
            <v/>
          </cell>
          <cell r="Y967" t="str">
            <v/>
          </cell>
          <cell r="Z967" t="str">
            <v/>
          </cell>
          <cell r="AA967">
            <v>0</v>
          </cell>
          <cell r="AB967">
            <v>0</v>
          </cell>
          <cell r="AC967">
            <v>0</v>
          </cell>
          <cell r="AD967"/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</row>
        <row r="968">
          <cell r="A968" t="str">
            <v>442123P</v>
          </cell>
          <cell r="B968" t="str">
            <v>Não</v>
          </cell>
          <cell r="C968" t="str">
            <v>Bandeja</v>
          </cell>
          <cell r="D968" t="str">
            <v>SPARE</v>
          </cell>
          <cell r="E968">
            <v>2</v>
          </cell>
          <cell r="F968" t="str">
            <v>Bandeja Inferior Esquerda Jetta 2.0 2.5 2005 A 2010 Com Pivô</v>
          </cell>
          <cell r="G968"/>
          <cell r="H968">
            <v>0</v>
          </cell>
          <cell r="I968">
            <v>0</v>
          </cell>
          <cell r="J968" t="str">
            <v/>
          </cell>
          <cell r="K968" t="str">
            <v/>
          </cell>
          <cell r="L968" t="str">
            <v/>
          </cell>
          <cell r="M968">
            <v>0</v>
          </cell>
          <cell r="N968" t="str">
            <v/>
          </cell>
          <cell r="O968" t="str">
            <v/>
          </cell>
          <cell r="P968" t="str">
            <v/>
          </cell>
          <cell r="Q968">
            <v>0</v>
          </cell>
          <cell r="R968" t="str">
            <v>0</v>
          </cell>
          <cell r="S968" t="str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 t="str">
            <v/>
          </cell>
          <cell r="Y968" t="str">
            <v/>
          </cell>
          <cell r="Z968" t="str">
            <v/>
          </cell>
          <cell r="AA968">
            <v>0</v>
          </cell>
          <cell r="AB968">
            <v>0</v>
          </cell>
          <cell r="AC968">
            <v>0</v>
          </cell>
          <cell r="AD968"/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</row>
        <row r="969">
          <cell r="A969" t="str">
            <v>772144P</v>
          </cell>
          <cell r="B969" t="str">
            <v>Não</v>
          </cell>
          <cell r="C969" t="str">
            <v>Bandeja</v>
          </cell>
          <cell r="D969" t="str">
            <v>SPARE</v>
          </cell>
          <cell r="E969">
            <v>2</v>
          </cell>
          <cell r="F969" t="str">
            <v>Bandeja LADO DIREITO</v>
          </cell>
          <cell r="G969"/>
          <cell r="H969">
            <v>0</v>
          </cell>
          <cell r="I969">
            <v>0</v>
          </cell>
          <cell r="J969">
            <v>0</v>
          </cell>
          <cell r="K969" t="str">
            <v/>
          </cell>
          <cell r="L969" t="str">
            <v/>
          </cell>
          <cell r="M969">
            <v>0</v>
          </cell>
          <cell r="N969" t="str">
            <v/>
          </cell>
          <cell r="O969">
            <v>0</v>
          </cell>
          <cell r="P969" t="str">
            <v/>
          </cell>
          <cell r="Q969">
            <v>0</v>
          </cell>
          <cell r="R969" t="str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 t="str">
            <v/>
          </cell>
          <cell r="Y969" t="str">
            <v/>
          </cell>
          <cell r="Z969" t="str">
            <v/>
          </cell>
          <cell r="AA969">
            <v>0</v>
          </cell>
          <cell r="AB969">
            <v>0</v>
          </cell>
          <cell r="AC969">
            <v>0</v>
          </cell>
          <cell r="AD969"/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</row>
        <row r="970">
          <cell r="A970" t="str">
            <v>772145P</v>
          </cell>
          <cell r="B970" t="str">
            <v>Não</v>
          </cell>
          <cell r="C970" t="str">
            <v>Bandeja</v>
          </cell>
          <cell r="D970" t="str">
            <v>SPARE</v>
          </cell>
          <cell r="E970">
            <v>2</v>
          </cell>
          <cell r="F970" t="str">
            <v>Bandeja LADO ESQUERDO HB20 HATCH 2012 A 2019</v>
          </cell>
          <cell r="G970"/>
          <cell r="H970">
            <v>0</v>
          </cell>
          <cell r="I970">
            <v>0</v>
          </cell>
          <cell r="J970">
            <v>0</v>
          </cell>
          <cell r="K970" t="str">
            <v/>
          </cell>
          <cell r="L970" t="str">
            <v/>
          </cell>
          <cell r="M970">
            <v>0</v>
          </cell>
          <cell r="N970" t="str">
            <v/>
          </cell>
          <cell r="O970">
            <v>0</v>
          </cell>
          <cell r="P970" t="str">
            <v/>
          </cell>
          <cell r="Q970">
            <v>0</v>
          </cell>
          <cell r="R970" t="str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 t="str">
            <v/>
          </cell>
          <cell r="Y970" t="str">
            <v/>
          </cell>
          <cell r="Z970" t="str">
            <v/>
          </cell>
          <cell r="AA970">
            <v>0</v>
          </cell>
          <cell r="AB970">
            <v>0</v>
          </cell>
          <cell r="AC970">
            <v>0</v>
          </cell>
          <cell r="AD970"/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</row>
        <row r="971">
          <cell r="A971">
            <v>5005</v>
          </cell>
          <cell r="B971"/>
          <cell r="C971" t="str">
            <v>Bieleta</v>
          </cell>
          <cell r="D971" t="str">
            <v>HOLYMAN</v>
          </cell>
          <cell r="E971">
            <v>5</v>
          </cell>
          <cell r="F971" t="str">
            <v>BIELETA DIANTEIRA AMBOS OS LADOS F-250</v>
          </cell>
          <cell r="G971"/>
          <cell r="H971" t="str">
            <v>-</v>
          </cell>
          <cell r="I971">
            <v>0</v>
          </cell>
          <cell r="J971">
            <v>0</v>
          </cell>
          <cell r="K971" t="str">
            <v/>
          </cell>
          <cell r="L971" t="str">
            <v/>
          </cell>
          <cell r="M971">
            <v>0</v>
          </cell>
          <cell r="N971" t="str">
            <v/>
          </cell>
          <cell r="O971">
            <v>0</v>
          </cell>
          <cell r="P971" t="str">
            <v/>
          </cell>
          <cell r="Q971">
            <v>0</v>
          </cell>
          <cell r="R971" t="str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 t="str">
            <v/>
          </cell>
          <cell r="Y971" t="str">
            <v/>
          </cell>
          <cell r="Z971" t="str">
            <v/>
          </cell>
          <cell r="AA971">
            <v>0</v>
          </cell>
          <cell r="AB971">
            <v>0</v>
          </cell>
          <cell r="AC971">
            <v>0</v>
          </cell>
          <cell r="AD971"/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</row>
        <row r="972">
          <cell r="A972">
            <v>5015</v>
          </cell>
          <cell r="B972"/>
          <cell r="C972" t="str">
            <v>Bieleta</v>
          </cell>
          <cell r="D972" t="str">
            <v>HOLYMAN</v>
          </cell>
          <cell r="E972">
            <v>5</v>
          </cell>
          <cell r="F972" t="str">
            <v>BIELETA TRASEIRA AMBOS OS LADOS ECOSPORT 4X4 2004 EM DIANTE</v>
          </cell>
          <cell r="G972"/>
          <cell r="H972" t="str">
            <v>-</v>
          </cell>
          <cell r="I972">
            <v>0</v>
          </cell>
          <cell r="J972">
            <v>0</v>
          </cell>
          <cell r="K972" t="str">
            <v/>
          </cell>
          <cell r="L972" t="str">
            <v/>
          </cell>
          <cell r="M972">
            <v>0</v>
          </cell>
          <cell r="N972" t="str">
            <v/>
          </cell>
          <cell r="O972">
            <v>0</v>
          </cell>
          <cell r="P972" t="str">
            <v/>
          </cell>
          <cell r="Q972">
            <v>0</v>
          </cell>
          <cell r="R972" t="str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 t="str">
            <v/>
          </cell>
          <cell r="Y972" t="str">
            <v/>
          </cell>
          <cell r="Z972" t="str">
            <v/>
          </cell>
          <cell r="AA972">
            <v>0</v>
          </cell>
          <cell r="AB972">
            <v>0</v>
          </cell>
          <cell r="AC972">
            <v>0</v>
          </cell>
          <cell r="AD972"/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</row>
        <row r="973">
          <cell r="A973">
            <v>5020</v>
          </cell>
          <cell r="B973"/>
          <cell r="C973" t="str">
            <v>Bieleta</v>
          </cell>
          <cell r="D973" t="str">
            <v>HOLYMAN</v>
          </cell>
          <cell r="E973">
            <v>5</v>
          </cell>
          <cell r="F973" t="str">
            <v>Bieleta Dianteira Lado Direito Fusion 2006 A 2009</v>
          </cell>
          <cell r="G973"/>
          <cell r="H973">
            <v>0</v>
          </cell>
          <cell r="I973">
            <v>0</v>
          </cell>
          <cell r="J973">
            <v>0</v>
          </cell>
          <cell r="K973" t="str">
            <v/>
          </cell>
          <cell r="L973" t="str">
            <v/>
          </cell>
          <cell r="M973">
            <v>0</v>
          </cell>
          <cell r="N973" t="str">
            <v/>
          </cell>
          <cell r="O973">
            <v>0</v>
          </cell>
          <cell r="P973" t="str">
            <v/>
          </cell>
          <cell r="Q973">
            <v>0</v>
          </cell>
          <cell r="R973" t="str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 t="str">
            <v/>
          </cell>
          <cell r="Y973" t="str">
            <v/>
          </cell>
          <cell r="Z973" t="str">
            <v/>
          </cell>
          <cell r="AA973">
            <v>0</v>
          </cell>
          <cell r="AB973">
            <v>0</v>
          </cell>
          <cell r="AC973">
            <v>0</v>
          </cell>
          <cell r="AD973"/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</row>
        <row r="974">
          <cell r="A974">
            <v>5021</v>
          </cell>
          <cell r="B974"/>
          <cell r="C974" t="str">
            <v>Bieleta</v>
          </cell>
          <cell r="D974" t="str">
            <v>HOLYMAN</v>
          </cell>
          <cell r="E974">
            <v>5</v>
          </cell>
          <cell r="F974" t="str">
            <v>Bieleta Dianteira Le Fusion 2006 A 2009</v>
          </cell>
          <cell r="G974"/>
          <cell r="H974">
            <v>0</v>
          </cell>
          <cell r="I974">
            <v>0</v>
          </cell>
          <cell r="J974">
            <v>0</v>
          </cell>
          <cell r="K974" t="str">
            <v/>
          </cell>
          <cell r="L974" t="str">
            <v/>
          </cell>
          <cell r="M974">
            <v>0</v>
          </cell>
          <cell r="N974" t="str">
            <v/>
          </cell>
          <cell r="O974">
            <v>0</v>
          </cell>
          <cell r="P974" t="str">
            <v/>
          </cell>
          <cell r="Q974">
            <v>0</v>
          </cell>
          <cell r="R974" t="str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 t="str">
            <v/>
          </cell>
          <cell r="Y974" t="str">
            <v/>
          </cell>
          <cell r="Z974" t="str">
            <v/>
          </cell>
          <cell r="AA974">
            <v>0</v>
          </cell>
          <cell r="AB974">
            <v>0</v>
          </cell>
          <cell r="AC974">
            <v>0</v>
          </cell>
          <cell r="AD974"/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</row>
        <row r="975">
          <cell r="A975">
            <v>5024</v>
          </cell>
          <cell r="B975"/>
          <cell r="C975" t="str">
            <v>Bieleta</v>
          </cell>
          <cell r="D975" t="str">
            <v>HOLYMAN</v>
          </cell>
          <cell r="E975">
            <v>5</v>
          </cell>
          <cell r="F975" t="str">
            <v>Bieleta Dianteira Fusion 2009 A 2012</v>
          </cell>
          <cell r="G975"/>
          <cell r="H975">
            <v>0</v>
          </cell>
          <cell r="I975">
            <v>0</v>
          </cell>
          <cell r="J975">
            <v>0</v>
          </cell>
          <cell r="K975" t="str">
            <v/>
          </cell>
          <cell r="L975" t="str">
            <v/>
          </cell>
          <cell r="M975">
            <v>0</v>
          </cell>
          <cell r="N975" t="str">
            <v/>
          </cell>
          <cell r="O975">
            <v>0</v>
          </cell>
          <cell r="P975" t="str">
            <v/>
          </cell>
          <cell r="Q975">
            <v>0</v>
          </cell>
          <cell r="R975" t="str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 t="str">
            <v/>
          </cell>
          <cell r="Y975" t="str">
            <v/>
          </cell>
          <cell r="Z975" t="str">
            <v/>
          </cell>
          <cell r="AA975">
            <v>0</v>
          </cell>
          <cell r="AB975">
            <v>0</v>
          </cell>
          <cell r="AC975">
            <v>0</v>
          </cell>
          <cell r="AD975"/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</row>
        <row r="976">
          <cell r="A976">
            <v>5031</v>
          </cell>
          <cell r="B976"/>
          <cell r="C976" t="str">
            <v>Bieleta</v>
          </cell>
          <cell r="D976" t="str">
            <v>HOLYMAN</v>
          </cell>
          <cell r="E976">
            <v>5</v>
          </cell>
          <cell r="F976" t="str">
            <v>BIELETA DIANTEIRA DIREITA RANGER 2012 EM DIANTE</v>
          </cell>
          <cell r="G976"/>
          <cell r="H976" t="str">
            <v>-</v>
          </cell>
          <cell r="I976">
            <v>0</v>
          </cell>
          <cell r="J976">
            <v>0</v>
          </cell>
          <cell r="K976" t="str">
            <v/>
          </cell>
          <cell r="L976" t="str">
            <v/>
          </cell>
          <cell r="M976">
            <v>0</v>
          </cell>
          <cell r="N976" t="str">
            <v/>
          </cell>
          <cell r="O976">
            <v>0</v>
          </cell>
          <cell r="P976" t="str">
            <v/>
          </cell>
          <cell r="Q976">
            <v>0</v>
          </cell>
          <cell r="R976" t="str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 t="str">
            <v/>
          </cell>
          <cell r="Y976" t="str">
            <v/>
          </cell>
          <cell r="Z976" t="str">
            <v/>
          </cell>
          <cell r="AA976">
            <v>0</v>
          </cell>
          <cell r="AB976">
            <v>0</v>
          </cell>
          <cell r="AC976">
            <v>0</v>
          </cell>
          <cell r="AD976"/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</row>
        <row r="977">
          <cell r="A977">
            <v>5036</v>
          </cell>
          <cell r="B977"/>
          <cell r="C977" t="str">
            <v>Bieleta</v>
          </cell>
          <cell r="D977" t="str">
            <v>HOLYMAN</v>
          </cell>
          <cell r="E977">
            <v>5</v>
          </cell>
          <cell r="F977" t="str">
            <v>BIELETA DIANTEIRA AMBOS OS LADOS CORCEL</v>
          </cell>
          <cell r="G977"/>
          <cell r="H977" t="str">
            <v>-</v>
          </cell>
          <cell r="I977">
            <v>0</v>
          </cell>
          <cell r="J977">
            <v>0</v>
          </cell>
          <cell r="K977" t="str">
            <v/>
          </cell>
          <cell r="L977" t="str">
            <v/>
          </cell>
          <cell r="M977">
            <v>0</v>
          </cell>
          <cell r="N977" t="str">
            <v/>
          </cell>
          <cell r="O977">
            <v>0</v>
          </cell>
          <cell r="P977" t="str">
            <v/>
          </cell>
          <cell r="Q977">
            <v>0</v>
          </cell>
          <cell r="R977" t="str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 t="str">
            <v/>
          </cell>
          <cell r="Y977" t="str">
            <v/>
          </cell>
          <cell r="Z977" t="str">
            <v/>
          </cell>
          <cell r="AA977">
            <v>0</v>
          </cell>
          <cell r="AB977">
            <v>0</v>
          </cell>
          <cell r="AC977">
            <v>0</v>
          </cell>
          <cell r="AD977"/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</row>
        <row r="978">
          <cell r="A978">
            <v>5039</v>
          </cell>
          <cell r="B978"/>
          <cell r="C978" t="str">
            <v>Bieleta</v>
          </cell>
          <cell r="D978" t="str">
            <v>HOLYMAN</v>
          </cell>
          <cell r="E978">
            <v>5</v>
          </cell>
          <cell r="F978" t="str">
            <v>BIELETA DIANTEIRA AMBOS OS LADOS EDGE 2008 A 2014</v>
          </cell>
          <cell r="G978"/>
          <cell r="H978" t="str">
            <v>-</v>
          </cell>
          <cell r="I978">
            <v>0</v>
          </cell>
          <cell r="J978">
            <v>0</v>
          </cell>
          <cell r="K978" t="str">
            <v/>
          </cell>
          <cell r="L978" t="str">
            <v/>
          </cell>
          <cell r="M978">
            <v>0</v>
          </cell>
          <cell r="N978" t="str">
            <v/>
          </cell>
          <cell r="O978">
            <v>0</v>
          </cell>
          <cell r="P978" t="str">
            <v/>
          </cell>
          <cell r="Q978">
            <v>0</v>
          </cell>
          <cell r="R978" t="str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 t="str">
            <v/>
          </cell>
          <cell r="Y978" t="str">
            <v/>
          </cell>
          <cell r="Z978" t="str">
            <v/>
          </cell>
          <cell r="AA978">
            <v>0</v>
          </cell>
          <cell r="AB978">
            <v>0</v>
          </cell>
          <cell r="AC978">
            <v>0</v>
          </cell>
          <cell r="AD978"/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</row>
        <row r="979">
          <cell r="A979">
            <v>5102</v>
          </cell>
          <cell r="B979"/>
          <cell r="C979" t="str">
            <v>Bieleta</v>
          </cell>
          <cell r="D979" t="str">
            <v>HOLYMAN</v>
          </cell>
          <cell r="E979">
            <v>5</v>
          </cell>
          <cell r="F979" t="str">
            <v>BIELETA DIANTEIRA PALIO WEEKEND</v>
          </cell>
          <cell r="G979"/>
          <cell r="H979" t="str">
            <v>-</v>
          </cell>
          <cell r="I979">
            <v>0</v>
          </cell>
          <cell r="J979">
            <v>0</v>
          </cell>
          <cell r="K979" t="str">
            <v/>
          </cell>
          <cell r="L979" t="str">
            <v/>
          </cell>
          <cell r="M979">
            <v>0</v>
          </cell>
          <cell r="N979" t="str">
            <v/>
          </cell>
          <cell r="O979">
            <v>0</v>
          </cell>
          <cell r="P979" t="str">
            <v/>
          </cell>
          <cell r="Q979">
            <v>0</v>
          </cell>
          <cell r="R979" t="str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 t="str">
            <v/>
          </cell>
          <cell r="Y979" t="str">
            <v/>
          </cell>
          <cell r="Z979" t="str">
            <v/>
          </cell>
          <cell r="AA979">
            <v>0</v>
          </cell>
          <cell r="AB979">
            <v>0</v>
          </cell>
          <cell r="AC979">
            <v>0</v>
          </cell>
          <cell r="AD979"/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</row>
        <row r="980">
          <cell r="A980">
            <v>5107</v>
          </cell>
          <cell r="B980"/>
          <cell r="C980" t="str">
            <v>Bieleta</v>
          </cell>
          <cell r="D980" t="str">
            <v>HOLYMAN</v>
          </cell>
          <cell r="E980">
            <v>5</v>
          </cell>
          <cell r="F980" t="str">
            <v>BIELETA TRASEIRA AMBOS LADOS DOBLO TODAS EXCETO CARGO</v>
          </cell>
          <cell r="G980"/>
          <cell r="H980" t="str">
            <v>-</v>
          </cell>
          <cell r="I980">
            <v>0</v>
          </cell>
          <cell r="J980">
            <v>0</v>
          </cell>
          <cell r="K980" t="str">
            <v/>
          </cell>
          <cell r="L980" t="str">
            <v/>
          </cell>
          <cell r="M980">
            <v>0</v>
          </cell>
          <cell r="N980" t="str">
            <v/>
          </cell>
          <cell r="O980">
            <v>0</v>
          </cell>
          <cell r="P980" t="str">
            <v/>
          </cell>
          <cell r="Q980">
            <v>0</v>
          </cell>
          <cell r="R980" t="str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 t="str">
            <v/>
          </cell>
          <cell r="Y980" t="str">
            <v/>
          </cell>
          <cell r="Z980" t="str">
            <v/>
          </cell>
          <cell r="AA980">
            <v>0</v>
          </cell>
          <cell r="AB980">
            <v>0</v>
          </cell>
          <cell r="AC980">
            <v>0</v>
          </cell>
          <cell r="AD980"/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</row>
        <row r="981">
          <cell r="A981">
            <v>5109</v>
          </cell>
          <cell r="B981"/>
          <cell r="C981" t="str">
            <v>Bieleta</v>
          </cell>
          <cell r="D981" t="str">
            <v>HOLYMAN</v>
          </cell>
          <cell r="E981">
            <v>5</v>
          </cell>
          <cell r="F981" t="str">
            <v>Bieleta Dianteir Ld Idea Adventure 2005 A 2016</v>
          </cell>
          <cell r="G981"/>
          <cell r="H981">
            <v>0</v>
          </cell>
          <cell r="I981">
            <v>0</v>
          </cell>
          <cell r="J981">
            <v>0</v>
          </cell>
          <cell r="K981" t="str">
            <v/>
          </cell>
          <cell r="L981" t="str">
            <v/>
          </cell>
          <cell r="M981">
            <v>0</v>
          </cell>
          <cell r="N981" t="str">
            <v/>
          </cell>
          <cell r="O981">
            <v>0</v>
          </cell>
          <cell r="P981" t="str">
            <v/>
          </cell>
          <cell r="Q981">
            <v>0</v>
          </cell>
          <cell r="R981" t="str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 t="str">
            <v/>
          </cell>
          <cell r="Y981" t="str">
            <v/>
          </cell>
          <cell r="Z981" t="str">
            <v/>
          </cell>
          <cell r="AA981">
            <v>0</v>
          </cell>
          <cell r="AB981">
            <v>0</v>
          </cell>
          <cell r="AC981">
            <v>0</v>
          </cell>
          <cell r="AD981"/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</row>
        <row r="982">
          <cell r="A982">
            <v>5126</v>
          </cell>
          <cell r="B982"/>
          <cell r="C982" t="str">
            <v>Bieleta</v>
          </cell>
          <cell r="D982" t="str">
            <v>HOLYMAN</v>
          </cell>
          <cell r="E982">
            <v>5</v>
          </cell>
          <cell r="F982" t="str">
            <v>BIELETA TRASEIRA AMBOS OS LADOS JOURNEY 2012 A 2019</v>
          </cell>
          <cell r="G982"/>
          <cell r="H982" t="str">
            <v>-</v>
          </cell>
          <cell r="I982">
            <v>0</v>
          </cell>
          <cell r="J982">
            <v>0</v>
          </cell>
          <cell r="K982" t="str">
            <v/>
          </cell>
          <cell r="L982" t="str">
            <v/>
          </cell>
          <cell r="M982">
            <v>0</v>
          </cell>
          <cell r="N982" t="str">
            <v/>
          </cell>
          <cell r="O982">
            <v>0</v>
          </cell>
          <cell r="P982" t="str">
            <v/>
          </cell>
          <cell r="Q982">
            <v>0</v>
          </cell>
          <cell r="R982" t="str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 t="str">
            <v/>
          </cell>
          <cell r="Y982" t="str">
            <v/>
          </cell>
          <cell r="Z982" t="str">
            <v/>
          </cell>
          <cell r="AA982">
            <v>0</v>
          </cell>
          <cell r="AB982">
            <v>0</v>
          </cell>
          <cell r="AC982">
            <v>0</v>
          </cell>
          <cell r="AD982"/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</row>
        <row r="983">
          <cell r="A983">
            <v>5201</v>
          </cell>
          <cell r="B983"/>
          <cell r="C983" t="str">
            <v>Bieleta</v>
          </cell>
          <cell r="D983" t="str">
            <v>HOLYMAN</v>
          </cell>
          <cell r="E983">
            <v>5</v>
          </cell>
          <cell r="F983" t="str">
            <v>Bieleta Dianteira Montana 2004 A 2010</v>
          </cell>
          <cell r="G983"/>
          <cell r="H983">
            <v>0</v>
          </cell>
          <cell r="I983">
            <v>0</v>
          </cell>
          <cell r="J983">
            <v>0</v>
          </cell>
          <cell r="K983" t="str">
            <v/>
          </cell>
          <cell r="L983" t="str">
            <v/>
          </cell>
          <cell r="M983">
            <v>0</v>
          </cell>
          <cell r="N983" t="str">
            <v/>
          </cell>
          <cell r="O983">
            <v>0</v>
          </cell>
          <cell r="P983" t="str">
            <v/>
          </cell>
          <cell r="Q983">
            <v>0</v>
          </cell>
          <cell r="R983" t="str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 t="str">
            <v/>
          </cell>
          <cell r="Y983" t="str">
            <v/>
          </cell>
          <cell r="Z983" t="str">
            <v/>
          </cell>
          <cell r="AA983">
            <v>0</v>
          </cell>
          <cell r="AB983">
            <v>0</v>
          </cell>
          <cell r="AC983">
            <v>0</v>
          </cell>
          <cell r="AD983"/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</row>
        <row r="984">
          <cell r="A984">
            <v>5202</v>
          </cell>
          <cell r="B984"/>
          <cell r="C984" t="str">
            <v>Bieleta</v>
          </cell>
          <cell r="D984" t="str">
            <v>HOLYMAN</v>
          </cell>
          <cell r="E984">
            <v>5</v>
          </cell>
          <cell r="F984" t="str">
            <v>BIELETA DIANTEIRA AMBOS LADOS ASTRA 1995 1996</v>
          </cell>
          <cell r="G984"/>
          <cell r="H984" t="str">
            <v>-</v>
          </cell>
          <cell r="I984">
            <v>0</v>
          </cell>
          <cell r="J984">
            <v>0</v>
          </cell>
          <cell r="K984" t="str">
            <v/>
          </cell>
          <cell r="L984" t="str">
            <v/>
          </cell>
          <cell r="M984">
            <v>0</v>
          </cell>
          <cell r="N984" t="str">
            <v/>
          </cell>
          <cell r="O984">
            <v>0</v>
          </cell>
          <cell r="P984" t="str">
            <v/>
          </cell>
          <cell r="Q984">
            <v>0</v>
          </cell>
          <cell r="R984" t="str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 t="str">
            <v/>
          </cell>
          <cell r="Y984" t="str">
            <v/>
          </cell>
          <cell r="Z984" t="str">
            <v/>
          </cell>
          <cell r="AA984">
            <v>0</v>
          </cell>
          <cell r="AB984">
            <v>0</v>
          </cell>
          <cell r="AC984">
            <v>0</v>
          </cell>
          <cell r="AD984"/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</row>
        <row r="985">
          <cell r="A985">
            <v>5204</v>
          </cell>
          <cell r="B985"/>
          <cell r="C985" t="str">
            <v>Bieleta</v>
          </cell>
          <cell r="D985" t="str">
            <v>HOLYMAN</v>
          </cell>
          <cell r="E985">
            <v>5</v>
          </cell>
          <cell r="F985" t="str">
            <v>BIELETA DIANTEIRA AMBOS LADOS CHEVETTE 1973 A 1993</v>
          </cell>
          <cell r="G985"/>
          <cell r="H985" t="str">
            <v>-</v>
          </cell>
          <cell r="I985">
            <v>0</v>
          </cell>
          <cell r="J985">
            <v>0</v>
          </cell>
          <cell r="K985" t="str">
            <v/>
          </cell>
          <cell r="L985" t="str">
            <v/>
          </cell>
          <cell r="M985">
            <v>0</v>
          </cell>
          <cell r="N985" t="str">
            <v/>
          </cell>
          <cell r="O985">
            <v>0</v>
          </cell>
          <cell r="P985" t="str">
            <v/>
          </cell>
          <cell r="Q985">
            <v>0</v>
          </cell>
          <cell r="R985" t="str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 t="str">
            <v/>
          </cell>
          <cell r="Y985" t="str">
            <v/>
          </cell>
          <cell r="Z985" t="str">
            <v/>
          </cell>
          <cell r="AA985">
            <v>0</v>
          </cell>
          <cell r="AB985">
            <v>0</v>
          </cell>
          <cell r="AC985">
            <v>0</v>
          </cell>
          <cell r="AD985"/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</row>
        <row r="986">
          <cell r="A986">
            <v>5206</v>
          </cell>
          <cell r="B986"/>
          <cell r="C986" t="str">
            <v>Bieleta</v>
          </cell>
          <cell r="D986" t="str">
            <v>HOLYMAN</v>
          </cell>
          <cell r="E986">
            <v>5</v>
          </cell>
          <cell r="F986" t="str">
            <v>BIELETA DIANTEIRA AMBOS LADOS OPALA 1988 a 1992</v>
          </cell>
          <cell r="G986"/>
          <cell r="H986" t="str">
            <v>-</v>
          </cell>
          <cell r="I986">
            <v>0</v>
          </cell>
          <cell r="J986">
            <v>0</v>
          </cell>
          <cell r="K986" t="str">
            <v/>
          </cell>
          <cell r="L986" t="str">
            <v/>
          </cell>
          <cell r="M986">
            <v>0</v>
          </cell>
          <cell r="N986" t="str">
            <v/>
          </cell>
          <cell r="O986">
            <v>0</v>
          </cell>
          <cell r="P986" t="str">
            <v/>
          </cell>
          <cell r="Q986">
            <v>0</v>
          </cell>
          <cell r="R986" t="str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 t="str">
            <v/>
          </cell>
          <cell r="Y986" t="str">
            <v/>
          </cell>
          <cell r="Z986" t="str">
            <v/>
          </cell>
          <cell r="AA986">
            <v>0</v>
          </cell>
          <cell r="AB986">
            <v>0</v>
          </cell>
          <cell r="AC986">
            <v>0</v>
          </cell>
          <cell r="AD986"/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</row>
        <row r="987">
          <cell r="A987">
            <v>5207</v>
          </cell>
          <cell r="B987"/>
          <cell r="C987" t="str">
            <v>Bieleta</v>
          </cell>
          <cell r="D987" t="str">
            <v>HOLYMAN</v>
          </cell>
          <cell r="E987">
            <v>5</v>
          </cell>
          <cell r="F987" t="str">
            <v>BIELETA DIANTEIRA AMBOS LADOS MONZA 1982 A 1990</v>
          </cell>
          <cell r="G987"/>
          <cell r="H987" t="str">
            <v>-</v>
          </cell>
          <cell r="I987">
            <v>0</v>
          </cell>
          <cell r="J987">
            <v>0</v>
          </cell>
          <cell r="K987" t="str">
            <v/>
          </cell>
          <cell r="L987" t="str">
            <v/>
          </cell>
          <cell r="M987">
            <v>0</v>
          </cell>
          <cell r="N987" t="str">
            <v/>
          </cell>
          <cell r="O987">
            <v>0</v>
          </cell>
          <cell r="P987" t="str">
            <v/>
          </cell>
          <cell r="Q987">
            <v>0</v>
          </cell>
          <cell r="R987" t="str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 t="str">
            <v/>
          </cell>
          <cell r="Y987" t="str">
            <v/>
          </cell>
          <cell r="Z987" t="str">
            <v/>
          </cell>
          <cell r="AA987">
            <v>0</v>
          </cell>
          <cell r="AB987">
            <v>0</v>
          </cell>
          <cell r="AC987">
            <v>0</v>
          </cell>
          <cell r="AD987"/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</row>
        <row r="988">
          <cell r="A988">
            <v>5209</v>
          </cell>
          <cell r="B988"/>
          <cell r="C988" t="str">
            <v>Bieleta</v>
          </cell>
          <cell r="D988" t="str">
            <v>HOLYMAN</v>
          </cell>
          <cell r="E988">
            <v>5</v>
          </cell>
          <cell r="F988" t="str">
            <v>BIELETA DIANTEIRA AMBOS LADOS IPANEMA 1989 1990</v>
          </cell>
          <cell r="G988"/>
          <cell r="H988" t="str">
            <v>-</v>
          </cell>
          <cell r="I988">
            <v>0</v>
          </cell>
          <cell r="J988">
            <v>0</v>
          </cell>
          <cell r="K988" t="str">
            <v/>
          </cell>
          <cell r="L988" t="str">
            <v/>
          </cell>
          <cell r="M988">
            <v>0</v>
          </cell>
          <cell r="N988" t="str">
            <v/>
          </cell>
          <cell r="O988">
            <v>0</v>
          </cell>
          <cell r="P988" t="str">
            <v/>
          </cell>
          <cell r="Q988">
            <v>0</v>
          </cell>
          <cell r="R988" t="str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 t="str">
            <v/>
          </cell>
          <cell r="Y988" t="str">
            <v/>
          </cell>
          <cell r="Z988" t="str">
            <v/>
          </cell>
          <cell r="AA988">
            <v>0</v>
          </cell>
          <cell r="AB988">
            <v>0</v>
          </cell>
          <cell r="AC988">
            <v>0</v>
          </cell>
          <cell r="AD988"/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</row>
        <row r="989">
          <cell r="A989">
            <v>5210</v>
          </cell>
          <cell r="B989"/>
          <cell r="C989" t="str">
            <v>Bieleta</v>
          </cell>
          <cell r="D989" t="str">
            <v>HOLYMAN</v>
          </cell>
          <cell r="E989">
            <v>5</v>
          </cell>
          <cell r="F989" t="str">
            <v>BIELETA DIANTEIRA AMBOS LADOS IPANEMA 1989 A 1998</v>
          </cell>
          <cell r="G989"/>
          <cell r="H989" t="str">
            <v>-</v>
          </cell>
          <cell r="I989">
            <v>0</v>
          </cell>
          <cell r="J989">
            <v>0</v>
          </cell>
          <cell r="K989" t="str">
            <v/>
          </cell>
          <cell r="L989" t="str">
            <v/>
          </cell>
          <cell r="M989">
            <v>0</v>
          </cell>
          <cell r="N989" t="str">
            <v/>
          </cell>
          <cell r="O989">
            <v>0</v>
          </cell>
          <cell r="P989" t="str">
            <v/>
          </cell>
          <cell r="Q989">
            <v>0</v>
          </cell>
          <cell r="R989" t="str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 t="str">
            <v/>
          </cell>
          <cell r="Y989" t="str">
            <v/>
          </cell>
          <cell r="Z989" t="str">
            <v/>
          </cell>
          <cell r="AA989">
            <v>0</v>
          </cell>
          <cell r="AB989">
            <v>0</v>
          </cell>
          <cell r="AC989">
            <v>0</v>
          </cell>
          <cell r="AD989"/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</row>
        <row r="990">
          <cell r="A990">
            <v>5211</v>
          </cell>
          <cell r="B990"/>
          <cell r="C990" t="str">
            <v>Bieleta</v>
          </cell>
          <cell r="D990" t="str">
            <v>HOLYMAN</v>
          </cell>
          <cell r="E990">
            <v>5</v>
          </cell>
          <cell r="F990" t="str">
            <v>Bieleta Dianteira Ambos Lados Blazer 1997 A 2011</v>
          </cell>
          <cell r="G990"/>
          <cell r="H990">
            <v>0</v>
          </cell>
          <cell r="I990">
            <v>0</v>
          </cell>
          <cell r="J990">
            <v>0</v>
          </cell>
          <cell r="K990" t="str">
            <v/>
          </cell>
          <cell r="L990" t="str">
            <v/>
          </cell>
          <cell r="M990">
            <v>0</v>
          </cell>
          <cell r="N990" t="str">
            <v/>
          </cell>
          <cell r="O990">
            <v>0</v>
          </cell>
          <cell r="P990" t="str">
            <v/>
          </cell>
          <cell r="Q990">
            <v>0</v>
          </cell>
          <cell r="R990" t="str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 t="str">
            <v/>
          </cell>
          <cell r="Y990" t="str">
            <v/>
          </cell>
          <cell r="Z990" t="str">
            <v/>
          </cell>
          <cell r="AA990">
            <v>0</v>
          </cell>
          <cell r="AB990">
            <v>0</v>
          </cell>
          <cell r="AC990">
            <v>0</v>
          </cell>
          <cell r="AD990"/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</row>
        <row r="991">
          <cell r="A991">
            <v>5214</v>
          </cell>
          <cell r="B991"/>
          <cell r="C991" t="str">
            <v>Bieleta</v>
          </cell>
          <cell r="D991" t="str">
            <v>HOLYMAN</v>
          </cell>
          <cell r="E991">
            <v>5</v>
          </cell>
          <cell r="F991" t="str">
            <v>BIELETA TRASEIRA AMBOS LADOS CAPTIVA 2008 EM DIANTE</v>
          </cell>
          <cell r="G991"/>
          <cell r="H991" t="str">
            <v>-</v>
          </cell>
          <cell r="I991">
            <v>0</v>
          </cell>
          <cell r="J991">
            <v>0</v>
          </cell>
          <cell r="K991" t="str">
            <v/>
          </cell>
          <cell r="L991" t="str">
            <v/>
          </cell>
          <cell r="M991">
            <v>0</v>
          </cell>
          <cell r="N991" t="str">
            <v/>
          </cell>
          <cell r="O991">
            <v>0</v>
          </cell>
          <cell r="P991" t="str">
            <v/>
          </cell>
          <cell r="Q991">
            <v>0</v>
          </cell>
          <cell r="R991" t="str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 t="str">
            <v/>
          </cell>
          <cell r="Y991" t="str">
            <v/>
          </cell>
          <cell r="Z991" t="str">
            <v/>
          </cell>
          <cell r="AA991">
            <v>0</v>
          </cell>
          <cell r="AB991">
            <v>0</v>
          </cell>
          <cell r="AC991">
            <v>0</v>
          </cell>
          <cell r="AD991"/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</row>
        <row r="992">
          <cell r="A992">
            <v>5216</v>
          </cell>
          <cell r="B992"/>
          <cell r="C992" t="str">
            <v>Bieleta</v>
          </cell>
          <cell r="D992" t="str">
            <v>HOLYMAN</v>
          </cell>
          <cell r="E992">
            <v>5</v>
          </cell>
          <cell r="F992" t="str">
            <v>Bieleta Dianteira Ambos Os Lados S10 1995 A 2011</v>
          </cell>
          <cell r="G992"/>
          <cell r="H992">
            <v>0</v>
          </cell>
          <cell r="I992">
            <v>0</v>
          </cell>
          <cell r="J992">
            <v>0</v>
          </cell>
          <cell r="K992" t="str">
            <v/>
          </cell>
          <cell r="L992" t="str">
            <v/>
          </cell>
          <cell r="M992">
            <v>0</v>
          </cell>
          <cell r="N992" t="str">
            <v/>
          </cell>
          <cell r="O992">
            <v>0</v>
          </cell>
          <cell r="P992" t="str">
            <v/>
          </cell>
          <cell r="Q992">
            <v>0</v>
          </cell>
          <cell r="R992" t="str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 t="str">
            <v/>
          </cell>
          <cell r="Y992" t="str">
            <v/>
          </cell>
          <cell r="Z992" t="str">
            <v/>
          </cell>
          <cell r="AA992">
            <v>0</v>
          </cell>
          <cell r="AB992">
            <v>0</v>
          </cell>
          <cell r="AC992">
            <v>0</v>
          </cell>
          <cell r="AD992"/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</row>
        <row r="993">
          <cell r="A993">
            <v>5217</v>
          </cell>
          <cell r="B993"/>
          <cell r="C993" t="str">
            <v>Bieleta</v>
          </cell>
          <cell r="D993" t="str">
            <v>HOLYMAN</v>
          </cell>
          <cell r="E993">
            <v>5</v>
          </cell>
          <cell r="F993" t="str">
            <v>BIELETA DIANTEIRA AMBOS LADOS TRACKER 2001 A 2008</v>
          </cell>
          <cell r="G993"/>
          <cell r="H993" t="str">
            <v>-</v>
          </cell>
          <cell r="I993">
            <v>0</v>
          </cell>
          <cell r="J993">
            <v>0</v>
          </cell>
          <cell r="K993" t="str">
            <v/>
          </cell>
          <cell r="L993" t="str">
            <v/>
          </cell>
          <cell r="M993">
            <v>0</v>
          </cell>
          <cell r="N993" t="str">
            <v/>
          </cell>
          <cell r="O993">
            <v>0</v>
          </cell>
          <cell r="P993" t="str">
            <v/>
          </cell>
          <cell r="Q993">
            <v>0</v>
          </cell>
          <cell r="R993" t="str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 t="str">
            <v/>
          </cell>
          <cell r="Y993" t="str">
            <v/>
          </cell>
          <cell r="Z993" t="str">
            <v/>
          </cell>
          <cell r="AA993">
            <v>0</v>
          </cell>
          <cell r="AB993">
            <v>0</v>
          </cell>
          <cell r="AC993">
            <v>0</v>
          </cell>
          <cell r="AD993"/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</row>
        <row r="994">
          <cell r="A994">
            <v>5237</v>
          </cell>
          <cell r="B994"/>
          <cell r="C994" t="str">
            <v>Bieleta</v>
          </cell>
          <cell r="D994" t="str">
            <v>HOLYMAN</v>
          </cell>
          <cell r="E994">
            <v>5</v>
          </cell>
          <cell r="F994" t="str">
            <v>BIELETA DIANTEIRA LADO ESQUERDO CRUZE 2016 A 2020</v>
          </cell>
          <cell r="G994"/>
          <cell r="H994" t="str">
            <v>-</v>
          </cell>
          <cell r="I994">
            <v>0</v>
          </cell>
          <cell r="J994">
            <v>0</v>
          </cell>
          <cell r="K994" t="str">
            <v/>
          </cell>
          <cell r="L994" t="str">
            <v/>
          </cell>
          <cell r="M994">
            <v>0</v>
          </cell>
          <cell r="N994" t="str">
            <v/>
          </cell>
          <cell r="O994">
            <v>0</v>
          </cell>
          <cell r="P994" t="str">
            <v/>
          </cell>
          <cell r="Q994">
            <v>0</v>
          </cell>
          <cell r="R994" t="str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 t="str">
            <v/>
          </cell>
          <cell r="Y994" t="str">
            <v/>
          </cell>
          <cell r="Z994" t="str">
            <v/>
          </cell>
          <cell r="AA994">
            <v>0</v>
          </cell>
          <cell r="AB994">
            <v>0</v>
          </cell>
          <cell r="AC994">
            <v>0</v>
          </cell>
          <cell r="AD994"/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</row>
        <row r="995">
          <cell r="A995">
            <v>5238</v>
          </cell>
          <cell r="B995"/>
          <cell r="C995" t="str">
            <v>Bieleta</v>
          </cell>
          <cell r="D995" t="str">
            <v>HOLYMAN</v>
          </cell>
          <cell r="E995">
            <v>5</v>
          </cell>
          <cell r="F995" t="str">
            <v>BIELETA DIANTEIRA DIREITA CRUZE 2016 A 2020</v>
          </cell>
          <cell r="G995"/>
          <cell r="H995" t="str">
            <v>-</v>
          </cell>
          <cell r="I995">
            <v>0</v>
          </cell>
          <cell r="J995">
            <v>0</v>
          </cell>
          <cell r="K995" t="str">
            <v/>
          </cell>
          <cell r="L995" t="str">
            <v/>
          </cell>
          <cell r="M995">
            <v>0</v>
          </cell>
          <cell r="N995" t="str">
            <v/>
          </cell>
          <cell r="O995">
            <v>0</v>
          </cell>
          <cell r="P995" t="str">
            <v/>
          </cell>
          <cell r="Q995">
            <v>0</v>
          </cell>
          <cell r="R995" t="str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 t="str">
            <v/>
          </cell>
          <cell r="Y995" t="str">
            <v/>
          </cell>
          <cell r="Z995" t="str">
            <v/>
          </cell>
          <cell r="AA995">
            <v>0</v>
          </cell>
          <cell r="AB995">
            <v>0</v>
          </cell>
          <cell r="AC995">
            <v>0</v>
          </cell>
          <cell r="AD995"/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</row>
        <row r="996">
          <cell r="A996">
            <v>5304</v>
          </cell>
          <cell r="B996"/>
          <cell r="C996" t="str">
            <v>Bieleta</v>
          </cell>
          <cell r="D996" t="str">
            <v>HOLYMAN</v>
          </cell>
          <cell r="E996">
            <v>5</v>
          </cell>
          <cell r="F996" t="str">
            <v>BIELETA DIANTEIRA AMBOS LADOS GOLF GL GLX 1995 A 1998</v>
          </cell>
          <cell r="G996"/>
          <cell r="H996" t="str">
            <v>-</v>
          </cell>
          <cell r="I996">
            <v>0</v>
          </cell>
          <cell r="J996">
            <v>0</v>
          </cell>
          <cell r="K996" t="str">
            <v/>
          </cell>
          <cell r="L996" t="str">
            <v/>
          </cell>
          <cell r="M996">
            <v>0</v>
          </cell>
          <cell r="N996" t="str">
            <v/>
          </cell>
          <cell r="O996">
            <v>0</v>
          </cell>
          <cell r="P996" t="str">
            <v/>
          </cell>
          <cell r="Q996">
            <v>0</v>
          </cell>
          <cell r="R996" t="str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 t="str">
            <v/>
          </cell>
          <cell r="Y996" t="str">
            <v/>
          </cell>
          <cell r="Z996" t="str">
            <v/>
          </cell>
          <cell r="AA996">
            <v>0</v>
          </cell>
          <cell r="AB996">
            <v>0</v>
          </cell>
          <cell r="AC996">
            <v>0</v>
          </cell>
          <cell r="AD996"/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</row>
        <row r="997">
          <cell r="A997">
            <v>5318</v>
          </cell>
          <cell r="B997"/>
          <cell r="C997" t="str">
            <v>Bieleta</v>
          </cell>
          <cell r="D997" t="str">
            <v>HOLYMAN</v>
          </cell>
          <cell r="E997">
            <v>5</v>
          </cell>
          <cell r="F997" t="str">
            <v>BIELETA DIANTEIRA AMBOS LADOS AMAROK 2010 A 2022</v>
          </cell>
          <cell r="G997"/>
          <cell r="H997" t="str">
            <v>-</v>
          </cell>
          <cell r="I997">
            <v>0</v>
          </cell>
          <cell r="J997">
            <v>0</v>
          </cell>
          <cell r="K997" t="str">
            <v/>
          </cell>
          <cell r="L997" t="str">
            <v/>
          </cell>
          <cell r="M997">
            <v>0</v>
          </cell>
          <cell r="N997" t="str">
            <v/>
          </cell>
          <cell r="O997">
            <v>0</v>
          </cell>
          <cell r="P997" t="str">
            <v/>
          </cell>
          <cell r="Q997">
            <v>0</v>
          </cell>
          <cell r="R997" t="str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 t="str">
            <v/>
          </cell>
          <cell r="Y997" t="str">
            <v/>
          </cell>
          <cell r="Z997" t="str">
            <v/>
          </cell>
          <cell r="AA997">
            <v>0</v>
          </cell>
          <cell r="AB997">
            <v>0</v>
          </cell>
          <cell r="AC997">
            <v>0</v>
          </cell>
          <cell r="AD997"/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</row>
        <row r="998">
          <cell r="A998">
            <v>5400</v>
          </cell>
          <cell r="B998"/>
          <cell r="C998" t="str">
            <v>Bieleta</v>
          </cell>
          <cell r="D998" t="str">
            <v>HOLYMAN</v>
          </cell>
          <cell r="E998">
            <v>5</v>
          </cell>
          <cell r="F998" t="str">
            <v>BIELETA DIANTEIRA AMBOS LADOS CIVIC 1998 A 2000</v>
          </cell>
          <cell r="G998"/>
          <cell r="H998" t="str">
            <v>-</v>
          </cell>
          <cell r="I998">
            <v>0</v>
          </cell>
          <cell r="J998">
            <v>0</v>
          </cell>
          <cell r="K998" t="str">
            <v/>
          </cell>
          <cell r="L998" t="str">
            <v/>
          </cell>
          <cell r="M998">
            <v>0</v>
          </cell>
          <cell r="N998" t="str">
            <v/>
          </cell>
          <cell r="O998">
            <v>0</v>
          </cell>
          <cell r="P998" t="str">
            <v/>
          </cell>
          <cell r="Q998">
            <v>0</v>
          </cell>
          <cell r="R998" t="str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 t="str">
            <v/>
          </cell>
          <cell r="Y998" t="str">
            <v/>
          </cell>
          <cell r="Z998" t="str">
            <v/>
          </cell>
          <cell r="AA998">
            <v>0</v>
          </cell>
          <cell r="AB998">
            <v>0</v>
          </cell>
          <cell r="AC998">
            <v>0</v>
          </cell>
          <cell r="AD998"/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</row>
        <row r="999">
          <cell r="A999">
            <v>5406</v>
          </cell>
          <cell r="B999"/>
          <cell r="C999" t="str">
            <v>Bieleta</v>
          </cell>
          <cell r="D999" t="str">
            <v>HOLYMAN</v>
          </cell>
          <cell r="E999">
            <v>5</v>
          </cell>
          <cell r="F999" t="str">
            <v>BIELETA TRASEIRA DIREITA CIVIC 2001 A 2005</v>
          </cell>
          <cell r="G999"/>
          <cell r="H999" t="str">
            <v>-</v>
          </cell>
          <cell r="I999">
            <v>0</v>
          </cell>
          <cell r="J999">
            <v>0</v>
          </cell>
          <cell r="K999" t="str">
            <v/>
          </cell>
          <cell r="L999" t="str">
            <v/>
          </cell>
          <cell r="M999">
            <v>0</v>
          </cell>
          <cell r="N999" t="str">
            <v/>
          </cell>
          <cell r="O999">
            <v>0</v>
          </cell>
          <cell r="P999" t="str">
            <v/>
          </cell>
          <cell r="Q999">
            <v>0</v>
          </cell>
          <cell r="R999" t="str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 t="str">
            <v/>
          </cell>
          <cell r="Y999" t="str">
            <v/>
          </cell>
          <cell r="Z999" t="str">
            <v/>
          </cell>
          <cell r="AA999">
            <v>0</v>
          </cell>
          <cell r="AB999">
            <v>0</v>
          </cell>
          <cell r="AC999">
            <v>0</v>
          </cell>
          <cell r="AD999"/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</row>
        <row r="1000">
          <cell r="A1000">
            <v>5410</v>
          </cell>
          <cell r="B1000"/>
          <cell r="C1000" t="str">
            <v>Bieleta</v>
          </cell>
          <cell r="D1000" t="str">
            <v>HOLYMAN</v>
          </cell>
          <cell r="E1000">
            <v>5</v>
          </cell>
          <cell r="F1000" t="str">
            <v>Bieleta Dianteira New Civic 2011 Esquerdo</v>
          </cell>
          <cell r="G1000"/>
          <cell r="H1000">
            <v>0</v>
          </cell>
          <cell r="I1000">
            <v>0</v>
          </cell>
          <cell r="J1000">
            <v>0</v>
          </cell>
          <cell r="K1000" t="str">
            <v/>
          </cell>
          <cell r="L1000" t="str">
            <v/>
          </cell>
          <cell r="M1000">
            <v>0</v>
          </cell>
          <cell r="N1000" t="str">
            <v/>
          </cell>
          <cell r="O1000">
            <v>0</v>
          </cell>
          <cell r="P1000" t="str">
            <v/>
          </cell>
          <cell r="Q1000">
            <v>0</v>
          </cell>
          <cell r="R1000" t="str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 t="str">
            <v/>
          </cell>
          <cell r="Y1000" t="str">
            <v/>
          </cell>
          <cell r="Z1000" t="str">
            <v/>
          </cell>
          <cell r="AA1000">
            <v>0</v>
          </cell>
          <cell r="AB1000">
            <v>0</v>
          </cell>
          <cell r="AC1000">
            <v>0</v>
          </cell>
          <cell r="AD1000"/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</row>
        <row r="1001">
          <cell r="A1001">
            <v>5411</v>
          </cell>
          <cell r="B1001"/>
          <cell r="C1001" t="str">
            <v>Bieleta</v>
          </cell>
          <cell r="D1001" t="str">
            <v>HOLYMAN</v>
          </cell>
          <cell r="E1001">
            <v>5</v>
          </cell>
          <cell r="F1001" t="str">
            <v>Bieleta Dianteira Direita New Civic 2011 Direito</v>
          </cell>
          <cell r="G1001"/>
          <cell r="H1001">
            <v>0</v>
          </cell>
          <cell r="I1001">
            <v>0</v>
          </cell>
          <cell r="J1001">
            <v>0</v>
          </cell>
          <cell r="K1001" t="str">
            <v/>
          </cell>
          <cell r="L1001" t="str">
            <v/>
          </cell>
          <cell r="M1001">
            <v>0</v>
          </cell>
          <cell r="N1001" t="str">
            <v/>
          </cell>
          <cell r="O1001">
            <v>0</v>
          </cell>
          <cell r="P1001" t="str">
            <v/>
          </cell>
          <cell r="Q1001">
            <v>0</v>
          </cell>
          <cell r="R1001" t="str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 t="str">
            <v/>
          </cell>
          <cell r="Y1001" t="str">
            <v/>
          </cell>
          <cell r="Z1001" t="str">
            <v/>
          </cell>
          <cell r="AA1001">
            <v>0</v>
          </cell>
          <cell r="AB1001">
            <v>0</v>
          </cell>
          <cell r="AC1001">
            <v>0</v>
          </cell>
          <cell r="AD1001"/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</row>
        <row r="1002">
          <cell r="A1002">
            <v>5413</v>
          </cell>
          <cell r="B1002"/>
          <cell r="C1002" t="str">
            <v>Bieleta</v>
          </cell>
          <cell r="D1002" t="str">
            <v>HOLYMAN</v>
          </cell>
          <cell r="E1002">
            <v>5</v>
          </cell>
          <cell r="F1002" t="str">
            <v>BIELETA TRASEIRA DIREITA CIVIC 2006 A 2011</v>
          </cell>
          <cell r="G1002"/>
          <cell r="H1002" t="str">
            <v>-</v>
          </cell>
          <cell r="I1002">
            <v>0</v>
          </cell>
          <cell r="J1002">
            <v>0</v>
          </cell>
          <cell r="K1002" t="str">
            <v/>
          </cell>
          <cell r="L1002" t="str">
            <v/>
          </cell>
          <cell r="M1002">
            <v>0</v>
          </cell>
          <cell r="N1002" t="str">
            <v/>
          </cell>
          <cell r="O1002">
            <v>0</v>
          </cell>
          <cell r="P1002" t="str">
            <v/>
          </cell>
          <cell r="Q1002">
            <v>0</v>
          </cell>
          <cell r="R1002" t="str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 t="str">
            <v/>
          </cell>
          <cell r="Y1002" t="str">
            <v/>
          </cell>
          <cell r="Z1002" t="str">
            <v/>
          </cell>
          <cell r="AA1002">
            <v>0</v>
          </cell>
          <cell r="AB1002">
            <v>0</v>
          </cell>
          <cell r="AC1002">
            <v>0</v>
          </cell>
          <cell r="AD1002"/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</row>
        <row r="1003">
          <cell r="A1003">
            <v>5414</v>
          </cell>
          <cell r="B1003"/>
          <cell r="C1003" t="str">
            <v>Bieleta</v>
          </cell>
          <cell r="D1003" t="str">
            <v>HOLYMAN</v>
          </cell>
          <cell r="E1003">
            <v>5</v>
          </cell>
          <cell r="F1003" t="str">
            <v>BIELETA DIANTEIRA ESQUERDA FIT 2003 A 2008 COFAP MONROE</v>
          </cell>
          <cell r="G1003"/>
          <cell r="H1003" t="str">
            <v>-</v>
          </cell>
          <cell r="I1003">
            <v>0</v>
          </cell>
          <cell r="J1003">
            <v>0</v>
          </cell>
          <cell r="K1003" t="str">
            <v/>
          </cell>
          <cell r="L1003" t="str">
            <v/>
          </cell>
          <cell r="M1003">
            <v>0</v>
          </cell>
          <cell r="N1003" t="str">
            <v/>
          </cell>
          <cell r="O1003">
            <v>0</v>
          </cell>
          <cell r="P1003" t="str">
            <v/>
          </cell>
          <cell r="Q1003">
            <v>0</v>
          </cell>
          <cell r="R1003" t="str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 t="str">
            <v/>
          </cell>
          <cell r="Y1003" t="str">
            <v/>
          </cell>
          <cell r="Z1003" t="str">
            <v/>
          </cell>
          <cell r="AA1003">
            <v>0</v>
          </cell>
          <cell r="AB1003">
            <v>0</v>
          </cell>
          <cell r="AC1003">
            <v>0</v>
          </cell>
          <cell r="AD1003"/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</row>
        <row r="1004">
          <cell r="A1004">
            <v>5415</v>
          </cell>
          <cell r="B1004"/>
          <cell r="C1004" t="str">
            <v>Bieleta</v>
          </cell>
          <cell r="D1004" t="str">
            <v>HOLYMAN</v>
          </cell>
          <cell r="E1004">
            <v>5</v>
          </cell>
          <cell r="F1004" t="str">
            <v>BIELETA DIANTEIRA DIREITA FIT 2003 A 2008 COFAP MONROE</v>
          </cell>
          <cell r="G1004"/>
          <cell r="H1004" t="str">
            <v>-</v>
          </cell>
          <cell r="I1004">
            <v>0</v>
          </cell>
          <cell r="J1004">
            <v>0</v>
          </cell>
          <cell r="K1004" t="str">
            <v/>
          </cell>
          <cell r="L1004" t="str">
            <v/>
          </cell>
          <cell r="M1004">
            <v>0</v>
          </cell>
          <cell r="N1004" t="str">
            <v/>
          </cell>
          <cell r="O1004">
            <v>0</v>
          </cell>
          <cell r="P1004" t="str">
            <v/>
          </cell>
          <cell r="Q1004">
            <v>0</v>
          </cell>
          <cell r="R1004" t="str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 t="str">
            <v/>
          </cell>
          <cell r="Y1004" t="str">
            <v/>
          </cell>
          <cell r="Z1004" t="str">
            <v/>
          </cell>
          <cell r="AA1004">
            <v>0</v>
          </cell>
          <cell r="AB1004">
            <v>0</v>
          </cell>
          <cell r="AC1004">
            <v>0</v>
          </cell>
          <cell r="AD1004"/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</row>
        <row r="1005">
          <cell r="A1005">
            <v>5417</v>
          </cell>
          <cell r="B1005"/>
          <cell r="C1005" t="str">
            <v>Bieleta</v>
          </cell>
          <cell r="D1005" t="str">
            <v>HOLYMAN</v>
          </cell>
          <cell r="E1005">
            <v>5</v>
          </cell>
          <cell r="F1005" t="str">
            <v>Bieleta Dianteira Ambos Os Lados  Cr-v 2006 A 2011</v>
          </cell>
          <cell r="G1005"/>
          <cell r="H1005">
            <v>0</v>
          </cell>
          <cell r="I1005">
            <v>0</v>
          </cell>
          <cell r="J1005">
            <v>0</v>
          </cell>
          <cell r="K1005" t="str">
            <v/>
          </cell>
          <cell r="L1005" t="str">
            <v/>
          </cell>
          <cell r="M1005">
            <v>0</v>
          </cell>
          <cell r="N1005" t="str">
            <v/>
          </cell>
          <cell r="O1005">
            <v>0</v>
          </cell>
          <cell r="P1005" t="str">
            <v/>
          </cell>
          <cell r="Q1005">
            <v>0</v>
          </cell>
          <cell r="R1005" t="str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 t="str">
            <v/>
          </cell>
          <cell r="Y1005" t="str">
            <v/>
          </cell>
          <cell r="Z1005" t="str">
            <v/>
          </cell>
          <cell r="AA1005">
            <v>0</v>
          </cell>
          <cell r="AB1005">
            <v>0</v>
          </cell>
          <cell r="AC1005">
            <v>0</v>
          </cell>
          <cell r="AD1005"/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</row>
        <row r="1006">
          <cell r="A1006">
            <v>5418</v>
          </cell>
          <cell r="B1006"/>
          <cell r="C1006" t="str">
            <v>Bieleta</v>
          </cell>
          <cell r="D1006" t="str">
            <v>HOLYMAN</v>
          </cell>
          <cell r="E1006">
            <v>5</v>
          </cell>
          <cell r="F1006" t="str">
            <v>BIELETA TRASEIRA DIREITA CRV 2007 EM DIANTE</v>
          </cell>
          <cell r="G1006"/>
          <cell r="H1006" t="str">
            <v>-</v>
          </cell>
          <cell r="I1006">
            <v>0</v>
          </cell>
          <cell r="J1006">
            <v>0</v>
          </cell>
          <cell r="K1006" t="str">
            <v/>
          </cell>
          <cell r="L1006" t="str">
            <v/>
          </cell>
          <cell r="M1006">
            <v>0</v>
          </cell>
          <cell r="N1006" t="str">
            <v/>
          </cell>
          <cell r="O1006">
            <v>0</v>
          </cell>
          <cell r="P1006" t="str">
            <v/>
          </cell>
          <cell r="Q1006">
            <v>0</v>
          </cell>
          <cell r="R1006" t="str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 t="str">
            <v/>
          </cell>
          <cell r="Y1006" t="str">
            <v/>
          </cell>
          <cell r="Z1006" t="str">
            <v/>
          </cell>
          <cell r="AA1006">
            <v>0</v>
          </cell>
          <cell r="AB1006">
            <v>0</v>
          </cell>
          <cell r="AC1006">
            <v>0</v>
          </cell>
          <cell r="AD1006"/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</row>
        <row r="1007">
          <cell r="A1007">
            <v>5419</v>
          </cell>
          <cell r="B1007"/>
          <cell r="C1007" t="str">
            <v>Bieleta</v>
          </cell>
          <cell r="D1007" t="str">
            <v>HOLYMAN</v>
          </cell>
          <cell r="E1007">
            <v>5</v>
          </cell>
          <cell r="F1007" t="str">
            <v>BIELETA TRASEIRA ESQUERDA CRV 2007 EM DIANTE</v>
          </cell>
          <cell r="G1007"/>
          <cell r="H1007" t="str">
            <v>-</v>
          </cell>
          <cell r="I1007">
            <v>0</v>
          </cell>
          <cell r="J1007">
            <v>0</v>
          </cell>
          <cell r="K1007" t="str">
            <v/>
          </cell>
          <cell r="L1007" t="str">
            <v/>
          </cell>
          <cell r="M1007">
            <v>0</v>
          </cell>
          <cell r="N1007" t="str">
            <v/>
          </cell>
          <cell r="O1007">
            <v>0</v>
          </cell>
          <cell r="P1007" t="str">
            <v/>
          </cell>
          <cell r="Q1007">
            <v>0</v>
          </cell>
          <cell r="R1007" t="str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 t="str">
            <v/>
          </cell>
          <cell r="Y1007" t="str">
            <v/>
          </cell>
          <cell r="Z1007" t="str">
            <v/>
          </cell>
          <cell r="AA1007">
            <v>0</v>
          </cell>
          <cell r="AB1007">
            <v>0</v>
          </cell>
          <cell r="AC1007">
            <v>0</v>
          </cell>
          <cell r="AD1007"/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</row>
        <row r="1008">
          <cell r="A1008">
            <v>5425</v>
          </cell>
          <cell r="B1008"/>
          <cell r="C1008" t="str">
            <v>Bieleta</v>
          </cell>
          <cell r="D1008" t="str">
            <v>HOLYMAN</v>
          </cell>
          <cell r="E1008">
            <v>5</v>
          </cell>
          <cell r="F1008" t="str">
            <v>BIELETA DIANTEIRA DIREITA HRV 2016 A 2021</v>
          </cell>
          <cell r="G1008"/>
          <cell r="H1008" t="str">
            <v>-</v>
          </cell>
          <cell r="I1008">
            <v>0</v>
          </cell>
          <cell r="J1008">
            <v>0</v>
          </cell>
          <cell r="K1008" t="str">
            <v/>
          </cell>
          <cell r="L1008" t="str">
            <v/>
          </cell>
          <cell r="M1008">
            <v>0</v>
          </cell>
          <cell r="N1008" t="str">
            <v/>
          </cell>
          <cell r="O1008">
            <v>0</v>
          </cell>
          <cell r="P1008" t="str">
            <v/>
          </cell>
          <cell r="Q1008">
            <v>0</v>
          </cell>
          <cell r="R1008" t="str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 t="str">
            <v/>
          </cell>
          <cell r="Y1008" t="str">
            <v/>
          </cell>
          <cell r="Z1008" t="str">
            <v/>
          </cell>
          <cell r="AA1008">
            <v>0</v>
          </cell>
          <cell r="AB1008">
            <v>0</v>
          </cell>
          <cell r="AC1008">
            <v>0</v>
          </cell>
          <cell r="AD1008"/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</row>
        <row r="1009">
          <cell r="A1009">
            <v>5500</v>
          </cell>
          <cell r="B1009"/>
          <cell r="C1009" t="str">
            <v>Bieleta</v>
          </cell>
          <cell r="D1009" t="str">
            <v>HOLYMAN</v>
          </cell>
          <cell r="E1009">
            <v>5</v>
          </cell>
          <cell r="F1009" t="str">
            <v>BIELETA DIANTEIRA AMBOS LADOS COROLLA 1993 A 2003</v>
          </cell>
          <cell r="G1009"/>
          <cell r="H1009" t="str">
            <v>-</v>
          </cell>
          <cell r="I1009">
            <v>0</v>
          </cell>
          <cell r="J1009">
            <v>0</v>
          </cell>
          <cell r="K1009" t="str">
            <v/>
          </cell>
          <cell r="L1009" t="str">
            <v/>
          </cell>
          <cell r="M1009">
            <v>0</v>
          </cell>
          <cell r="N1009" t="str">
            <v/>
          </cell>
          <cell r="O1009">
            <v>0</v>
          </cell>
          <cell r="P1009" t="str">
            <v/>
          </cell>
          <cell r="Q1009">
            <v>0</v>
          </cell>
          <cell r="R1009" t="str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 t="str">
            <v/>
          </cell>
          <cell r="Y1009" t="str">
            <v/>
          </cell>
          <cell r="Z1009" t="str">
            <v/>
          </cell>
          <cell r="AA1009">
            <v>0</v>
          </cell>
          <cell r="AB1009">
            <v>0</v>
          </cell>
          <cell r="AC1009">
            <v>0</v>
          </cell>
          <cell r="AD1009"/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</row>
        <row r="1010">
          <cell r="A1010">
            <v>5501</v>
          </cell>
          <cell r="B1010"/>
          <cell r="C1010" t="str">
            <v>Bieleta</v>
          </cell>
          <cell r="D1010" t="str">
            <v>HOLYMAN</v>
          </cell>
          <cell r="E1010">
            <v>5</v>
          </cell>
          <cell r="F1010" t="str">
            <v>Bieleta Dianteira Ambos Os Lados Soul 2015 Em Diante</v>
          </cell>
          <cell r="G1010"/>
          <cell r="H1010">
            <v>0</v>
          </cell>
          <cell r="I1010">
            <v>0</v>
          </cell>
          <cell r="J1010">
            <v>0</v>
          </cell>
          <cell r="K1010" t="str">
            <v/>
          </cell>
          <cell r="L1010" t="str">
            <v/>
          </cell>
          <cell r="M1010">
            <v>0</v>
          </cell>
          <cell r="N1010" t="str">
            <v/>
          </cell>
          <cell r="O1010">
            <v>0</v>
          </cell>
          <cell r="P1010" t="str">
            <v/>
          </cell>
          <cell r="Q1010">
            <v>0</v>
          </cell>
          <cell r="R1010" t="str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 t="str">
            <v/>
          </cell>
          <cell r="Y1010" t="str">
            <v/>
          </cell>
          <cell r="Z1010" t="str">
            <v/>
          </cell>
          <cell r="AA1010">
            <v>0</v>
          </cell>
          <cell r="AB1010">
            <v>0</v>
          </cell>
          <cell r="AC1010">
            <v>0</v>
          </cell>
          <cell r="AD1010"/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</row>
        <row r="1011">
          <cell r="A1011">
            <v>5507</v>
          </cell>
          <cell r="B1011"/>
          <cell r="C1011" t="str">
            <v>Bieleta</v>
          </cell>
          <cell r="D1011" t="str">
            <v>HOLYMAN</v>
          </cell>
          <cell r="E1011">
            <v>5</v>
          </cell>
          <cell r="F1011" t="str">
            <v>BIELETA DIANTEIRA DIREITA HILUX PICK UP 2004 EM DIANTE</v>
          </cell>
          <cell r="G1011"/>
          <cell r="H1011" t="str">
            <v>-</v>
          </cell>
          <cell r="I1011">
            <v>0</v>
          </cell>
          <cell r="J1011">
            <v>0</v>
          </cell>
          <cell r="K1011" t="str">
            <v/>
          </cell>
          <cell r="L1011" t="str">
            <v/>
          </cell>
          <cell r="M1011">
            <v>0</v>
          </cell>
          <cell r="N1011" t="str">
            <v/>
          </cell>
          <cell r="O1011">
            <v>0</v>
          </cell>
          <cell r="P1011" t="str">
            <v/>
          </cell>
          <cell r="Q1011">
            <v>0</v>
          </cell>
          <cell r="R1011" t="str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 t="str">
            <v/>
          </cell>
          <cell r="Y1011" t="str">
            <v/>
          </cell>
          <cell r="Z1011" t="str">
            <v/>
          </cell>
          <cell r="AA1011">
            <v>0</v>
          </cell>
          <cell r="AB1011">
            <v>0</v>
          </cell>
          <cell r="AC1011">
            <v>0</v>
          </cell>
          <cell r="AD1011"/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</row>
        <row r="1012">
          <cell r="A1012">
            <v>5508</v>
          </cell>
          <cell r="B1012"/>
          <cell r="C1012" t="str">
            <v>Bieleta</v>
          </cell>
          <cell r="D1012" t="str">
            <v>HOLYMAN</v>
          </cell>
          <cell r="E1012">
            <v>5</v>
          </cell>
          <cell r="F1012" t="str">
            <v>BIELETA DIANTEIRA ESQUERDA HILUX PICK UP 2004 EM DIANTE</v>
          </cell>
          <cell r="G1012"/>
          <cell r="H1012" t="str">
            <v>-</v>
          </cell>
          <cell r="I1012">
            <v>0</v>
          </cell>
          <cell r="J1012">
            <v>0</v>
          </cell>
          <cell r="K1012" t="str">
            <v/>
          </cell>
          <cell r="L1012" t="str">
            <v/>
          </cell>
          <cell r="M1012">
            <v>0</v>
          </cell>
          <cell r="N1012" t="str">
            <v/>
          </cell>
          <cell r="O1012">
            <v>0</v>
          </cell>
          <cell r="P1012" t="str">
            <v/>
          </cell>
          <cell r="Q1012">
            <v>0</v>
          </cell>
          <cell r="R1012" t="str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 t="str">
            <v/>
          </cell>
          <cell r="Y1012" t="str">
            <v/>
          </cell>
          <cell r="Z1012" t="str">
            <v/>
          </cell>
          <cell r="AA1012">
            <v>0</v>
          </cell>
          <cell r="AB1012">
            <v>0</v>
          </cell>
          <cell r="AC1012">
            <v>0</v>
          </cell>
          <cell r="AD1012"/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</row>
        <row r="1013">
          <cell r="A1013">
            <v>5510</v>
          </cell>
          <cell r="B1013"/>
          <cell r="C1013" t="str">
            <v>Bieleta</v>
          </cell>
          <cell r="D1013" t="str">
            <v>HOLYMAN</v>
          </cell>
          <cell r="E1013">
            <v>5</v>
          </cell>
          <cell r="F1013" t="str">
            <v>BIELETA TRASEIRA AMBOS LADOS HILUX SW4 MOTOR 2.8</v>
          </cell>
          <cell r="G1013"/>
          <cell r="H1013" t="str">
            <v>-</v>
          </cell>
          <cell r="I1013">
            <v>0</v>
          </cell>
          <cell r="J1013">
            <v>0</v>
          </cell>
          <cell r="K1013" t="str">
            <v/>
          </cell>
          <cell r="L1013" t="str">
            <v/>
          </cell>
          <cell r="M1013">
            <v>0</v>
          </cell>
          <cell r="N1013" t="str">
            <v/>
          </cell>
          <cell r="O1013">
            <v>0</v>
          </cell>
          <cell r="P1013" t="str">
            <v/>
          </cell>
          <cell r="Q1013">
            <v>0</v>
          </cell>
          <cell r="R1013" t="str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 t="str">
            <v/>
          </cell>
          <cell r="Y1013" t="str">
            <v/>
          </cell>
          <cell r="Z1013" t="str">
            <v/>
          </cell>
          <cell r="AA1013">
            <v>0</v>
          </cell>
          <cell r="AB1013">
            <v>0</v>
          </cell>
          <cell r="AC1013">
            <v>0</v>
          </cell>
          <cell r="AD1013"/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</row>
        <row r="1014">
          <cell r="A1014">
            <v>5611</v>
          </cell>
          <cell r="B1014"/>
          <cell r="C1014" t="str">
            <v>Bieleta</v>
          </cell>
          <cell r="D1014" t="str">
            <v>HOLYMAN</v>
          </cell>
          <cell r="E1014">
            <v>5</v>
          </cell>
          <cell r="F1014" t="str">
            <v>BIELETA TRASEIRA AMBOS LADOS SANTA FÉ 2007 A 2012</v>
          </cell>
          <cell r="G1014"/>
          <cell r="H1014" t="str">
            <v>-</v>
          </cell>
          <cell r="I1014">
            <v>0</v>
          </cell>
          <cell r="J1014">
            <v>0</v>
          </cell>
          <cell r="K1014" t="str">
            <v/>
          </cell>
          <cell r="L1014" t="str">
            <v/>
          </cell>
          <cell r="M1014">
            <v>0</v>
          </cell>
          <cell r="N1014" t="str">
            <v/>
          </cell>
          <cell r="O1014">
            <v>0</v>
          </cell>
          <cell r="P1014" t="str">
            <v/>
          </cell>
          <cell r="Q1014">
            <v>0</v>
          </cell>
          <cell r="R1014" t="str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 t="str">
            <v/>
          </cell>
          <cell r="Y1014" t="str">
            <v/>
          </cell>
          <cell r="Z1014" t="str">
            <v/>
          </cell>
          <cell r="AA1014">
            <v>0</v>
          </cell>
          <cell r="AB1014">
            <v>0</v>
          </cell>
          <cell r="AC1014">
            <v>0</v>
          </cell>
          <cell r="AD1014"/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</row>
        <row r="1015">
          <cell r="A1015">
            <v>5612</v>
          </cell>
          <cell r="B1015"/>
          <cell r="C1015" t="str">
            <v>Bieleta</v>
          </cell>
          <cell r="D1015" t="str">
            <v>HOLYMAN</v>
          </cell>
          <cell r="E1015">
            <v>5</v>
          </cell>
          <cell r="F1015" t="str">
            <v>BIELETA DIANTEIRA AMBOS LADOS H100 1994 EM DIANTE</v>
          </cell>
          <cell r="G1015"/>
          <cell r="H1015" t="str">
            <v>-</v>
          </cell>
          <cell r="I1015">
            <v>0</v>
          </cell>
          <cell r="J1015">
            <v>0</v>
          </cell>
          <cell r="K1015" t="str">
            <v/>
          </cell>
          <cell r="L1015" t="str">
            <v/>
          </cell>
          <cell r="M1015">
            <v>0</v>
          </cell>
          <cell r="N1015" t="str">
            <v/>
          </cell>
          <cell r="O1015">
            <v>0</v>
          </cell>
          <cell r="P1015" t="str">
            <v/>
          </cell>
          <cell r="Q1015">
            <v>0</v>
          </cell>
          <cell r="R1015" t="str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 t="str">
            <v/>
          </cell>
          <cell r="Y1015" t="str">
            <v/>
          </cell>
          <cell r="Z1015" t="str">
            <v/>
          </cell>
          <cell r="AA1015">
            <v>0</v>
          </cell>
          <cell r="AB1015">
            <v>0</v>
          </cell>
          <cell r="AC1015">
            <v>0</v>
          </cell>
          <cell r="AD1015"/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</row>
        <row r="1016">
          <cell r="A1016">
            <v>5614</v>
          </cell>
          <cell r="B1016"/>
          <cell r="C1016" t="str">
            <v>Bieleta</v>
          </cell>
          <cell r="D1016" t="str">
            <v>HOLYMAN</v>
          </cell>
          <cell r="E1016">
            <v>5</v>
          </cell>
          <cell r="F1016" t="str">
            <v>Bieleta Dianteira Ambos Lados Azera 2007 A 2011 Motor 3.3</v>
          </cell>
          <cell r="G1016"/>
          <cell r="H1016">
            <v>0</v>
          </cell>
          <cell r="I1016">
            <v>0</v>
          </cell>
          <cell r="J1016">
            <v>0</v>
          </cell>
          <cell r="K1016" t="str">
            <v/>
          </cell>
          <cell r="L1016" t="str">
            <v/>
          </cell>
          <cell r="M1016">
            <v>0</v>
          </cell>
          <cell r="N1016" t="str">
            <v/>
          </cell>
          <cell r="O1016">
            <v>0</v>
          </cell>
          <cell r="P1016" t="str">
            <v/>
          </cell>
          <cell r="Q1016">
            <v>0</v>
          </cell>
          <cell r="R1016" t="str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 t="str">
            <v/>
          </cell>
          <cell r="Y1016" t="str">
            <v/>
          </cell>
          <cell r="Z1016" t="str">
            <v/>
          </cell>
          <cell r="AA1016">
            <v>0</v>
          </cell>
          <cell r="AB1016">
            <v>0</v>
          </cell>
          <cell r="AC1016">
            <v>0</v>
          </cell>
          <cell r="AD1016"/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</row>
        <row r="1017">
          <cell r="A1017">
            <v>5617</v>
          </cell>
          <cell r="B1017"/>
          <cell r="C1017" t="str">
            <v>Bieleta</v>
          </cell>
          <cell r="D1017" t="str">
            <v>HOLYMAN</v>
          </cell>
          <cell r="E1017">
            <v>5</v>
          </cell>
          <cell r="F1017" t="str">
            <v>BIELETA DIANTEIRA DIREITA AZERA 2011 A 2015</v>
          </cell>
          <cell r="G1017"/>
          <cell r="H1017" t="str">
            <v>-</v>
          </cell>
          <cell r="I1017">
            <v>0</v>
          </cell>
          <cell r="J1017">
            <v>0</v>
          </cell>
          <cell r="K1017" t="str">
            <v/>
          </cell>
          <cell r="L1017" t="str">
            <v/>
          </cell>
          <cell r="M1017">
            <v>0</v>
          </cell>
          <cell r="N1017" t="str">
            <v/>
          </cell>
          <cell r="O1017">
            <v>0</v>
          </cell>
          <cell r="P1017" t="str">
            <v/>
          </cell>
          <cell r="Q1017">
            <v>0</v>
          </cell>
          <cell r="R1017" t="str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 t="str">
            <v/>
          </cell>
          <cell r="Y1017" t="str">
            <v/>
          </cell>
          <cell r="Z1017" t="str">
            <v/>
          </cell>
          <cell r="AA1017">
            <v>0</v>
          </cell>
          <cell r="AB1017">
            <v>0</v>
          </cell>
          <cell r="AC1017">
            <v>0</v>
          </cell>
          <cell r="AD1017"/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</row>
        <row r="1018">
          <cell r="A1018">
            <v>5618</v>
          </cell>
          <cell r="B1018"/>
          <cell r="C1018" t="str">
            <v>Bieleta</v>
          </cell>
          <cell r="D1018" t="str">
            <v>HOLYMAN</v>
          </cell>
          <cell r="E1018">
            <v>5</v>
          </cell>
          <cell r="F1018" t="str">
            <v>BIELETA DIANTEIRA ESQUERDA AZERA 2011 A 2015</v>
          </cell>
          <cell r="G1018"/>
          <cell r="H1018" t="str">
            <v>-</v>
          </cell>
          <cell r="I1018">
            <v>0</v>
          </cell>
          <cell r="J1018">
            <v>0</v>
          </cell>
          <cell r="K1018" t="str">
            <v/>
          </cell>
          <cell r="L1018" t="str">
            <v/>
          </cell>
          <cell r="M1018">
            <v>0</v>
          </cell>
          <cell r="N1018" t="str">
            <v/>
          </cell>
          <cell r="O1018">
            <v>0</v>
          </cell>
          <cell r="P1018" t="str">
            <v/>
          </cell>
          <cell r="Q1018">
            <v>0</v>
          </cell>
          <cell r="R1018" t="str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 t="str">
            <v/>
          </cell>
          <cell r="Y1018" t="str">
            <v/>
          </cell>
          <cell r="Z1018" t="str">
            <v/>
          </cell>
          <cell r="AA1018">
            <v>0</v>
          </cell>
          <cell r="AB1018">
            <v>0</v>
          </cell>
          <cell r="AC1018">
            <v>0</v>
          </cell>
          <cell r="AD1018"/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</row>
        <row r="1019">
          <cell r="A1019">
            <v>5619</v>
          </cell>
          <cell r="B1019"/>
          <cell r="C1019" t="str">
            <v>Bieleta</v>
          </cell>
          <cell r="D1019" t="str">
            <v>HOLYMAN</v>
          </cell>
          <cell r="E1019">
            <v>5</v>
          </cell>
          <cell r="F1019" t="str">
            <v>Bieleta Dianteira Ambos Os Lados I30 2006 A 2010</v>
          </cell>
          <cell r="G1019"/>
          <cell r="H1019">
            <v>0</v>
          </cell>
          <cell r="I1019">
            <v>0</v>
          </cell>
          <cell r="J1019">
            <v>0</v>
          </cell>
          <cell r="K1019" t="str">
            <v/>
          </cell>
          <cell r="L1019" t="str">
            <v/>
          </cell>
          <cell r="M1019">
            <v>0</v>
          </cell>
          <cell r="N1019" t="str">
            <v/>
          </cell>
          <cell r="O1019">
            <v>0</v>
          </cell>
          <cell r="P1019" t="str">
            <v/>
          </cell>
          <cell r="Q1019">
            <v>0</v>
          </cell>
          <cell r="R1019" t="str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 t="str">
            <v/>
          </cell>
          <cell r="Y1019" t="str">
            <v/>
          </cell>
          <cell r="Z1019" t="str">
            <v/>
          </cell>
          <cell r="AA1019">
            <v>0</v>
          </cell>
          <cell r="AB1019">
            <v>0</v>
          </cell>
          <cell r="AC1019">
            <v>0</v>
          </cell>
          <cell r="AD1019"/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</row>
        <row r="1020">
          <cell r="A1020">
            <v>5623</v>
          </cell>
          <cell r="B1020"/>
          <cell r="C1020" t="str">
            <v>Bieleta</v>
          </cell>
          <cell r="D1020" t="str">
            <v>HOLYMAN</v>
          </cell>
          <cell r="E1020">
            <v>5</v>
          </cell>
          <cell r="F1020" t="str">
            <v>Bieleta Traseira Ambos Lados Azera 2007 A 2009</v>
          </cell>
          <cell r="G1020"/>
          <cell r="H1020">
            <v>0</v>
          </cell>
          <cell r="I1020">
            <v>0</v>
          </cell>
          <cell r="J1020">
            <v>0</v>
          </cell>
          <cell r="K1020" t="str">
            <v/>
          </cell>
          <cell r="L1020" t="str">
            <v/>
          </cell>
          <cell r="M1020">
            <v>0</v>
          </cell>
          <cell r="N1020" t="str">
            <v/>
          </cell>
          <cell r="O1020">
            <v>0</v>
          </cell>
          <cell r="P1020" t="str">
            <v/>
          </cell>
          <cell r="Q1020">
            <v>0</v>
          </cell>
          <cell r="R1020" t="str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 t="str">
            <v/>
          </cell>
          <cell r="Y1020" t="str">
            <v/>
          </cell>
          <cell r="Z1020" t="str">
            <v/>
          </cell>
          <cell r="AA1020">
            <v>0</v>
          </cell>
          <cell r="AB1020">
            <v>0</v>
          </cell>
          <cell r="AC1020">
            <v>0</v>
          </cell>
          <cell r="AD1020"/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</row>
        <row r="1021">
          <cell r="A1021">
            <v>5716</v>
          </cell>
          <cell r="B1021"/>
          <cell r="C1021" t="str">
            <v>Bieleta</v>
          </cell>
          <cell r="D1021" t="str">
            <v>HOLYMAN</v>
          </cell>
          <cell r="E1021">
            <v>5</v>
          </cell>
          <cell r="F1021" t="str">
            <v>Bieleta Dianteira 206 1.0 16v Todos</v>
          </cell>
          <cell r="G1021"/>
          <cell r="H1021">
            <v>0</v>
          </cell>
          <cell r="I1021">
            <v>0</v>
          </cell>
          <cell r="J1021">
            <v>0</v>
          </cell>
          <cell r="K1021" t="str">
            <v/>
          </cell>
          <cell r="L1021" t="str">
            <v/>
          </cell>
          <cell r="M1021">
            <v>0</v>
          </cell>
          <cell r="N1021" t="str">
            <v/>
          </cell>
          <cell r="O1021">
            <v>0</v>
          </cell>
          <cell r="P1021" t="str">
            <v/>
          </cell>
          <cell r="Q1021">
            <v>0</v>
          </cell>
          <cell r="R1021" t="str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 t="str">
            <v/>
          </cell>
          <cell r="Y1021" t="str">
            <v/>
          </cell>
          <cell r="Z1021" t="str">
            <v/>
          </cell>
          <cell r="AA1021">
            <v>0</v>
          </cell>
          <cell r="AB1021">
            <v>0</v>
          </cell>
          <cell r="AC1021">
            <v>0</v>
          </cell>
          <cell r="AD1021"/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</row>
        <row r="1022">
          <cell r="A1022">
            <v>5900</v>
          </cell>
          <cell r="B1022"/>
          <cell r="C1022" t="str">
            <v>Bieleta</v>
          </cell>
          <cell r="D1022" t="str">
            <v>HOLYMAN</v>
          </cell>
          <cell r="E1022">
            <v>5</v>
          </cell>
          <cell r="F1022" t="str">
            <v>BIELETA DIANT. L200 / L300</v>
          </cell>
          <cell r="G1022"/>
          <cell r="H1022">
            <v>0</v>
          </cell>
          <cell r="I1022">
            <v>0</v>
          </cell>
          <cell r="J1022"/>
          <cell r="K1022"/>
          <cell r="L1022"/>
          <cell r="M1022">
            <v>0</v>
          </cell>
          <cell r="N1022" t="str">
            <v/>
          </cell>
          <cell r="O1022">
            <v>0</v>
          </cell>
          <cell r="P1022" t="str">
            <v/>
          </cell>
          <cell r="Q1022">
            <v>0</v>
          </cell>
          <cell r="R1022" t="str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 t="str">
            <v/>
          </cell>
          <cell r="Y1022" t="str">
            <v/>
          </cell>
          <cell r="Z1022" t="str">
            <v/>
          </cell>
          <cell r="AA1022">
            <v>0</v>
          </cell>
          <cell r="AB1022">
            <v>0</v>
          </cell>
          <cell r="AC1022">
            <v>0</v>
          </cell>
          <cell r="AD1022"/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</row>
        <row r="1023">
          <cell r="A1023">
            <v>5902</v>
          </cell>
          <cell r="B1023"/>
          <cell r="C1023" t="str">
            <v>Bieleta</v>
          </cell>
          <cell r="D1023" t="str">
            <v>HOLYMAN</v>
          </cell>
          <cell r="E1023">
            <v>5</v>
          </cell>
          <cell r="F1023" t="str">
            <v>BIELETA DIANT. DIR. PAJERO SPORT TODOS</v>
          </cell>
          <cell r="G1023"/>
          <cell r="H1023">
            <v>0</v>
          </cell>
          <cell r="I1023">
            <v>0</v>
          </cell>
          <cell r="J1023"/>
          <cell r="K1023"/>
          <cell r="L1023"/>
          <cell r="M1023">
            <v>0</v>
          </cell>
          <cell r="N1023" t="str">
            <v/>
          </cell>
          <cell r="O1023">
            <v>0</v>
          </cell>
          <cell r="P1023" t="str">
            <v/>
          </cell>
          <cell r="Q1023">
            <v>0</v>
          </cell>
          <cell r="R1023" t="str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 t="str">
            <v/>
          </cell>
          <cell r="Y1023" t="str">
            <v/>
          </cell>
          <cell r="Z1023" t="str">
            <v/>
          </cell>
          <cell r="AA1023">
            <v>0</v>
          </cell>
          <cell r="AB1023">
            <v>0</v>
          </cell>
          <cell r="AC1023">
            <v>0</v>
          </cell>
          <cell r="AD1023"/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</row>
        <row r="1024">
          <cell r="A1024">
            <v>5903</v>
          </cell>
          <cell r="B1024"/>
          <cell r="C1024" t="str">
            <v>Bieleta</v>
          </cell>
          <cell r="D1024" t="str">
            <v>HOLYMAN</v>
          </cell>
          <cell r="E1024">
            <v>5</v>
          </cell>
          <cell r="F1024" t="str">
            <v>BIELETA DIANT. ESQ. PAJERO SPORT TODOS</v>
          </cell>
          <cell r="G1024"/>
          <cell r="H1024">
            <v>0</v>
          </cell>
          <cell r="I1024">
            <v>0</v>
          </cell>
          <cell r="J1024"/>
          <cell r="K1024"/>
          <cell r="L1024"/>
          <cell r="M1024">
            <v>0</v>
          </cell>
          <cell r="N1024" t="str">
            <v/>
          </cell>
          <cell r="O1024">
            <v>0</v>
          </cell>
          <cell r="P1024" t="str">
            <v/>
          </cell>
          <cell r="Q1024">
            <v>0</v>
          </cell>
          <cell r="R1024" t="str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 t="str">
            <v/>
          </cell>
          <cell r="Y1024" t="str">
            <v/>
          </cell>
          <cell r="Z1024" t="str">
            <v/>
          </cell>
          <cell r="AA1024">
            <v>0</v>
          </cell>
          <cell r="AB1024">
            <v>0</v>
          </cell>
          <cell r="AC1024">
            <v>0</v>
          </cell>
          <cell r="AD1024"/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</row>
        <row r="1025">
          <cell r="A1025">
            <v>5904</v>
          </cell>
          <cell r="B1025"/>
          <cell r="C1025" t="str">
            <v>Bieleta</v>
          </cell>
          <cell r="D1025" t="str">
            <v>HOLYMAN</v>
          </cell>
          <cell r="E1025">
            <v>5</v>
          </cell>
          <cell r="F1025" t="str">
            <v>BIELETA TRAS. PAJERO TR4 4X4</v>
          </cell>
          <cell r="G1025"/>
          <cell r="H1025">
            <v>0</v>
          </cell>
          <cell r="I1025">
            <v>0</v>
          </cell>
          <cell r="J1025"/>
          <cell r="K1025"/>
          <cell r="L1025"/>
          <cell r="M1025">
            <v>0</v>
          </cell>
          <cell r="N1025" t="str">
            <v/>
          </cell>
          <cell r="O1025">
            <v>0</v>
          </cell>
          <cell r="P1025" t="str">
            <v/>
          </cell>
          <cell r="Q1025">
            <v>0</v>
          </cell>
          <cell r="R1025" t="str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 t="str">
            <v/>
          </cell>
          <cell r="Y1025" t="str">
            <v/>
          </cell>
          <cell r="Z1025" t="str">
            <v/>
          </cell>
          <cell r="AA1025">
            <v>0</v>
          </cell>
          <cell r="AB1025">
            <v>0</v>
          </cell>
          <cell r="AC1025">
            <v>0</v>
          </cell>
          <cell r="AD1025"/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</row>
        <row r="1026">
          <cell r="A1026">
            <v>5905</v>
          </cell>
          <cell r="B1026"/>
          <cell r="C1026" t="str">
            <v>Bieleta</v>
          </cell>
          <cell r="D1026" t="str">
            <v>HOLYMAN</v>
          </cell>
          <cell r="E1026">
            <v>5</v>
          </cell>
          <cell r="F1026" t="str">
            <v>BIELETA DIANT. PAJERO TR4 4X4</v>
          </cell>
          <cell r="G1026"/>
          <cell r="H1026">
            <v>0</v>
          </cell>
          <cell r="I1026">
            <v>0</v>
          </cell>
          <cell r="J1026"/>
          <cell r="K1026"/>
          <cell r="L1026"/>
          <cell r="M1026">
            <v>0</v>
          </cell>
          <cell r="N1026" t="str">
            <v/>
          </cell>
          <cell r="O1026">
            <v>0</v>
          </cell>
          <cell r="P1026" t="str">
            <v/>
          </cell>
          <cell r="Q1026">
            <v>0</v>
          </cell>
          <cell r="R1026" t="str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 t="str">
            <v/>
          </cell>
          <cell r="Y1026" t="str">
            <v/>
          </cell>
          <cell r="Z1026" t="str">
            <v/>
          </cell>
          <cell r="AA1026">
            <v>0</v>
          </cell>
          <cell r="AB1026">
            <v>0</v>
          </cell>
          <cell r="AC1026">
            <v>0</v>
          </cell>
          <cell r="AD1026"/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</row>
        <row r="1027">
          <cell r="A1027">
            <v>5906</v>
          </cell>
          <cell r="B1027"/>
          <cell r="C1027" t="str">
            <v>Bieleta</v>
          </cell>
          <cell r="D1027" t="str">
            <v>HOLYMAN</v>
          </cell>
          <cell r="E1027">
            <v>5</v>
          </cell>
          <cell r="F1027" t="str">
            <v>BIELETA TRAS. PAJERO SPORT TODOS</v>
          </cell>
          <cell r="G1027"/>
          <cell r="H1027">
            <v>0</v>
          </cell>
          <cell r="I1027">
            <v>0</v>
          </cell>
          <cell r="J1027"/>
          <cell r="K1027"/>
          <cell r="L1027"/>
          <cell r="M1027">
            <v>0</v>
          </cell>
          <cell r="N1027" t="str">
            <v/>
          </cell>
          <cell r="O1027">
            <v>0</v>
          </cell>
          <cell r="P1027" t="str">
            <v/>
          </cell>
          <cell r="Q1027">
            <v>0</v>
          </cell>
          <cell r="R1027" t="str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 t="str">
            <v/>
          </cell>
          <cell r="Y1027" t="str">
            <v/>
          </cell>
          <cell r="Z1027" t="str">
            <v/>
          </cell>
          <cell r="AA1027">
            <v>0</v>
          </cell>
          <cell r="AB1027">
            <v>0</v>
          </cell>
          <cell r="AC1027">
            <v>0</v>
          </cell>
          <cell r="AD1027"/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</row>
        <row r="1028">
          <cell r="A1028">
            <v>5907</v>
          </cell>
          <cell r="B1028"/>
          <cell r="C1028" t="str">
            <v>Bieleta</v>
          </cell>
          <cell r="D1028" t="str">
            <v>HOLYMAN</v>
          </cell>
          <cell r="E1028">
            <v>5</v>
          </cell>
          <cell r="F1028" t="str">
            <v>Bieleta Traseira Esquerda Pajero Full 2001 A 2009</v>
          </cell>
          <cell r="G1028"/>
          <cell r="H1028">
            <v>0</v>
          </cell>
          <cell r="I1028">
            <v>0</v>
          </cell>
          <cell r="J1028"/>
          <cell r="K1028">
            <v>1</v>
          </cell>
          <cell r="L1028"/>
          <cell r="M1028">
            <v>0</v>
          </cell>
          <cell r="N1028" t="str">
            <v/>
          </cell>
          <cell r="O1028">
            <v>0</v>
          </cell>
          <cell r="P1028" t="str">
            <v/>
          </cell>
          <cell r="Q1028">
            <v>0</v>
          </cell>
          <cell r="R1028" t="str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 t="str">
            <v/>
          </cell>
          <cell r="Y1028" t="str">
            <v/>
          </cell>
          <cell r="Z1028" t="str">
            <v/>
          </cell>
          <cell r="AA1028">
            <v>0</v>
          </cell>
          <cell r="AB1028">
            <v>0</v>
          </cell>
          <cell r="AC1028">
            <v>0</v>
          </cell>
          <cell r="AD1028"/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</row>
        <row r="1029">
          <cell r="A1029">
            <v>5908</v>
          </cell>
          <cell r="B1029"/>
          <cell r="C1029" t="str">
            <v>Bieleta</v>
          </cell>
          <cell r="D1029" t="str">
            <v>HOLYMAN</v>
          </cell>
          <cell r="E1029">
            <v>5</v>
          </cell>
          <cell r="F1029" t="str">
            <v>Bieleta Traseira Direita Pajero Full 2001 A 2009</v>
          </cell>
          <cell r="G1029"/>
          <cell r="H1029">
            <v>0</v>
          </cell>
          <cell r="I1029">
            <v>0</v>
          </cell>
          <cell r="J1029"/>
          <cell r="K1029">
            <v>1</v>
          </cell>
          <cell r="L1029"/>
          <cell r="M1029">
            <v>0</v>
          </cell>
          <cell r="N1029" t="str">
            <v/>
          </cell>
          <cell r="O1029">
            <v>0</v>
          </cell>
          <cell r="P1029" t="str">
            <v/>
          </cell>
          <cell r="Q1029">
            <v>0</v>
          </cell>
          <cell r="R1029" t="str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 t="str">
            <v/>
          </cell>
          <cell r="Y1029" t="str">
            <v/>
          </cell>
          <cell r="Z1029" t="str">
            <v/>
          </cell>
          <cell r="AA1029">
            <v>0</v>
          </cell>
          <cell r="AB1029">
            <v>0</v>
          </cell>
          <cell r="AC1029">
            <v>0</v>
          </cell>
          <cell r="AD1029"/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</row>
        <row r="1030">
          <cell r="A1030">
            <v>5910</v>
          </cell>
          <cell r="B1030"/>
          <cell r="C1030" t="str">
            <v>Bieleta</v>
          </cell>
          <cell r="D1030" t="str">
            <v>HOLYMAN</v>
          </cell>
          <cell r="E1030">
            <v>5</v>
          </cell>
          <cell r="F1030" t="str">
            <v>BIELETA DIANT. ESQ. PAJERO FULL 98/08</v>
          </cell>
          <cell r="G1030"/>
          <cell r="H1030">
            <v>0</v>
          </cell>
          <cell r="I1030">
            <v>0</v>
          </cell>
          <cell r="J1030"/>
          <cell r="K1030"/>
          <cell r="L1030"/>
          <cell r="M1030">
            <v>0</v>
          </cell>
          <cell r="N1030" t="str">
            <v/>
          </cell>
          <cell r="O1030">
            <v>0</v>
          </cell>
          <cell r="P1030" t="str">
            <v/>
          </cell>
          <cell r="Q1030">
            <v>0</v>
          </cell>
          <cell r="R1030" t="str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 t="str">
            <v/>
          </cell>
          <cell r="Y1030" t="str">
            <v/>
          </cell>
          <cell r="Z1030" t="str">
            <v/>
          </cell>
          <cell r="AA1030">
            <v>0</v>
          </cell>
          <cell r="AB1030">
            <v>0</v>
          </cell>
          <cell r="AC1030">
            <v>0</v>
          </cell>
          <cell r="AD1030"/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</row>
        <row r="1031">
          <cell r="A1031">
            <v>5911</v>
          </cell>
          <cell r="B1031"/>
          <cell r="C1031" t="str">
            <v>Bieleta</v>
          </cell>
          <cell r="D1031" t="str">
            <v>HOLYMAN</v>
          </cell>
          <cell r="E1031">
            <v>5</v>
          </cell>
          <cell r="F1031" t="str">
            <v>BIELETA DIANT. L200 GLS 82/02 CENTRAL</v>
          </cell>
          <cell r="G1031"/>
          <cell r="H1031">
            <v>0</v>
          </cell>
          <cell r="I1031">
            <v>0</v>
          </cell>
          <cell r="J1031"/>
          <cell r="K1031"/>
          <cell r="L1031"/>
          <cell r="M1031">
            <v>0</v>
          </cell>
          <cell r="N1031" t="str">
            <v/>
          </cell>
          <cell r="O1031">
            <v>0</v>
          </cell>
          <cell r="P1031" t="str">
            <v/>
          </cell>
          <cell r="Q1031">
            <v>0</v>
          </cell>
          <cell r="R1031" t="str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 t="str">
            <v/>
          </cell>
          <cell r="Y1031" t="str">
            <v/>
          </cell>
          <cell r="Z1031" t="str">
            <v/>
          </cell>
          <cell r="AA1031">
            <v>0</v>
          </cell>
          <cell r="AB1031">
            <v>0</v>
          </cell>
          <cell r="AC1031">
            <v>0</v>
          </cell>
          <cell r="AD1031"/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</row>
        <row r="1032">
          <cell r="A1032">
            <v>5915</v>
          </cell>
          <cell r="B1032"/>
          <cell r="C1032" t="str">
            <v>Bieleta</v>
          </cell>
          <cell r="D1032" t="str">
            <v>HOLYMAN</v>
          </cell>
          <cell r="E1032">
            <v>5</v>
          </cell>
          <cell r="F1032" t="str">
            <v>BIELETA DIANT. AIRTREK 03/10</v>
          </cell>
          <cell r="G1032"/>
          <cell r="H1032">
            <v>0</v>
          </cell>
          <cell r="I1032">
            <v>0</v>
          </cell>
          <cell r="J1032"/>
          <cell r="K1032"/>
          <cell r="L1032"/>
          <cell r="M1032">
            <v>0</v>
          </cell>
          <cell r="N1032" t="str">
            <v/>
          </cell>
          <cell r="O1032">
            <v>0</v>
          </cell>
          <cell r="P1032" t="str">
            <v/>
          </cell>
          <cell r="Q1032">
            <v>0</v>
          </cell>
          <cell r="R1032" t="str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 t="str">
            <v/>
          </cell>
          <cell r="Y1032" t="str">
            <v/>
          </cell>
          <cell r="Z1032" t="str">
            <v/>
          </cell>
          <cell r="AA1032">
            <v>0</v>
          </cell>
          <cell r="AB1032">
            <v>0</v>
          </cell>
          <cell r="AC1032">
            <v>0</v>
          </cell>
          <cell r="AD1032"/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</row>
        <row r="1033">
          <cell r="A1033">
            <v>5917</v>
          </cell>
          <cell r="B1033"/>
          <cell r="C1033" t="str">
            <v>Bieleta</v>
          </cell>
          <cell r="D1033" t="str">
            <v>HOLYMAN</v>
          </cell>
          <cell r="E1033">
            <v>5</v>
          </cell>
          <cell r="F1033" t="str">
            <v>BIELETA TRAS. DIR. OUTLANDER 08/...</v>
          </cell>
          <cell r="G1033"/>
          <cell r="H1033">
            <v>0</v>
          </cell>
          <cell r="I1033">
            <v>0</v>
          </cell>
          <cell r="J1033"/>
          <cell r="K1033"/>
          <cell r="L1033"/>
          <cell r="M1033">
            <v>0</v>
          </cell>
          <cell r="N1033" t="str">
            <v/>
          </cell>
          <cell r="O1033">
            <v>0</v>
          </cell>
          <cell r="P1033" t="str">
            <v/>
          </cell>
          <cell r="Q1033">
            <v>0</v>
          </cell>
          <cell r="R1033" t="str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 t="str">
            <v/>
          </cell>
          <cell r="Y1033" t="str">
            <v/>
          </cell>
          <cell r="Z1033" t="str">
            <v/>
          </cell>
          <cell r="AA1033">
            <v>0</v>
          </cell>
          <cell r="AB1033">
            <v>0</v>
          </cell>
          <cell r="AC1033">
            <v>0</v>
          </cell>
          <cell r="AD1033"/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</row>
        <row r="1034">
          <cell r="A1034">
            <v>5918</v>
          </cell>
          <cell r="B1034"/>
          <cell r="C1034" t="str">
            <v>Bieleta</v>
          </cell>
          <cell r="D1034" t="str">
            <v>HOLYMAN</v>
          </cell>
          <cell r="E1034">
            <v>5</v>
          </cell>
          <cell r="F1034" t="str">
            <v>BIELETA TRAS. ESQ. OUTLANDER 08/...</v>
          </cell>
          <cell r="G1034"/>
          <cell r="H1034">
            <v>0</v>
          </cell>
          <cell r="I1034">
            <v>0</v>
          </cell>
          <cell r="J1034"/>
          <cell r="K1034"/>
          <cell r="L1034"/>
          <cell r="M1034">
            <v>0</v>
          </cell>
          <cell r="N1034" t="str">
            <v/>
          </cell>
          <cell r="O1034">
            <v>0</v>
          </cell>
          <cell r="P1034" t="str">
            <v/>
          </cell>
          <cell r="Q1034">
            <v>0</v>
          </cell>
          <cell r="R1034" t="str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 t="str">
            <v/>
          </cell>
          <cell r="Y1034" t="str">
            <v/>
          </cell>
          <cell r="Z1034" t="str">
            <v/>
          </cell>
          <cell r="AA1034">
            <v>0</v>
          </cell>
          <cell r="AB1034">
            <v>0</v>
          </cell>
          <cell r="AC1034">
            <v>0</v>
          </cell>
          <cell r="AD1034"/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</row>
        <row r="1035">
          <cell r="A1035">
            <v>5922</v>
          </cell>
          <cell r="B1035"/>
          <cell r="C1035" t="str">
            <v>Bieleta</v>
          </cell>
          <cell r="D1035" t="str">
            <v>HOLYMAN</v>
          </cell>
          <cell r="E1035">
            <v>5</v>
          </cell>
          <cell r="F1035" t="str">
            <v>BIELETA TRAS. ESQ. ASX 11/...</v>
          </cell>
          <cell r="G1035"/>
          <cell r="H1035">
            <v>0</v>
          </cell>
          <cell r="I1035">
            <v>0</v>
          </cell>
          <cell r="J1035"/>
          <cell r="K1035"/>
          <cell r="L1035"/>
          <cell r="M1035">
            <v>0</v>
          </cell>
          <cell r="N1035" t="str">
            <v/>
          </cell>
          <cell r="O1035">
            <v>0</v>
          </cell>
          <cell r="P1035" t="str">
            <v/>
          </cell>
          <cell r="Q1035">
            <v>0</v>
          </cell>
          <cell r="R1035" t="str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 t="str">
            <v/>
          </cell>
          <cell r="Y1035" t="str">
            <v/>
          </cell>
          <cell r="Z1035" t="str">
            <v/>
          </cell>
          <cell r="AA1035">
            <v>0</v>
          </cell>
          <cell r="AB1035">
            <v>0</v>
          </cell>
          <cell r="AC1035">
            <v>0</v>
          </cell>
          <cell r="AD1035"/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</row>
        <row r="1036">
          <cell r="A1036">
            <v>5925</v>
          </cell>
          <cell r="B1036"/>
          <cell r="C1036" t="str">
            <v>Bieleta</v>
          </cell>
          <cell r="D1036" t="str">
            <v>HOLYMAN</v>
          </cell>
          <cell r="E1036">
            <v>5</v>
          </cell>
          <cell r="F1036" t="str">
            <v>BIELETA DIANTEIRA ESQUERDA L200 TRITON SPORT 2016 A 201</v>
          </cell>
          <cell r="G1036"/>
          <cell r="H1036" t="str">
            <v>-</v>
          </cell>
          <cell r="I1036">
            <v>0</v>
          </cell>
          <cell r="J1036">
            <v>0</v>
          </cell>
          <cell r="K1036" t="str">
            <v/>
          </cell>
          <cell r="L1036" t="str">
            <v/>
          </cell>
          <cell r="M1036">
            <v>0</v>
          </cell>
          <cell r="N1036" t="str">
            <v/>
          </cell>
          <cell r="O1036">
            <v>0</v>
          </cell>
          <cell r="P1036" t="str">
            <v/>
          </cell>
          <cell r="Q1036">
            <v>0</v>
          </cell>
          <cell r="R1036" t="str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 t="str">
            <v/>
          </cell>
          <cell r="Y1036" t="str">
            <v/>
          </cell>
          <cell r="Z1036" t="str">
            <v/>
          </cell>
          <cell r="AA1036">
            <v>0</v>
          </cell>
          <cell r="AB1036">
            <v>0</v>
          </cell>
          <cell r="AC1036">
            <v>0</v>
          </cell>
          <cell r="AD1036"/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</row>
        <row r="1037">
          <cell r="A1037">
            <v>6002</v>
          </cell>
          <cell r="B1037"/>
          <cell r="C1037" t="str">
            <v>Bieleta</v>
          </cell>
          <cell r="D1037" t="str">
            <v>HOLYMAN</v>
          </cell>
          <cell r="E1037">
            <v>5</v>
          </cell>
          <cell r="F1037" t="str">
            <v>BIELETA DIANT. ESQ. MASTER 03/...</v>
          </cell>
          <cell r="G1037"/>
          <cell r="H1037">
            <v>0</v>
          </cell>
          <cell r="I1037">
            <v>0</v>
          </cell>
          <cell r="J1037"/>
          <cell r="K1037"/>
          <cell r="L1037"/>
          <cell r="M1037">
            <v>0</v>
          </cell>
          <cell r="N1037" t="str">
            <v/>
          </cell>
          <cell r="O1037">
            <v>0</v>
          </cell>
          <cell r="P1037" t="str">
            <v/>
          </cell>
          <cell r="Q1037">
            <v>0</v>
          </cell>
          <cell r="R1037" t="str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 t="str">
            <v/>
          </cell>
          <cell r="Y1037" t="str">
            <v/>
          </cell>
          <cell r="Z1037" t="str">
            <v/>
          </cell>
          <cell r="AA1037">
            <v>0</v>
          </cell>
          <cell r="AB1037">
            <v>0</v>
          </cell>
          <cell r="AC1037">
            <v>0</v>
          </cell>
          <cell r="AD1037"/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</row>
        <row r="1038">
          <cell r="A1038">
            <v>6003</v>
          </cell>
          <cell r="B1038"/>
          <cell r="C1038" t="str">
            <v>Bieleta</v>
          </cell>
          <cell r="D1038" t="str">
            <v>HOLYMAN</v>
          </cell>
          <cell r="E1038">
            <v>5</v>
          </cell>
          <cell r="F1038" t="str">
            <v>BIELETA DIANT. DIR. MASTER 03/...</v>
          </cell>
          <cell r="G1038"/>
          <cell r="H1038">
            <v>0</v>
          </cell>
          <cell r="I1038">
            <v>0</v>
          </cell>
          <cell r="J1038"/>
          <cell r="K1038"/>
          <cell r="L1038"/>
          <cell r="M1038">
            <v>0</v>
          </cell>
          <cell r="N1038" t="str">
            <v/>
          </cell>
          <cell r="O1038">
            <v>0</v>
          </cell>
          <cell r="P1038" t="str">
            <v/>
          </cell>
          <cell r="Q1038">
            <v>0</v>
          </cell>
          <cell r="R1038" t="str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 t="str">
            <v/>
          </cell>
          <cell r="Y1038" t="str">
            <v/>
          </cell>
          <cell r="Z1038" t="str">
            <v/>
          </cell>
          <cell r="AA1038">
            <v>0</v>
          </cell>
          <cell r="AB1038">
            <v>0</v>
          </cell>
          <cell r="AC1038">
            <v>0</v>
          </cell>
          <cell r="AD1038"/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</row>
        <row r="1039">
          <cell r="A1039">
            <v>6012</v>
          </cell>
          <cell r="B1039"/>
          <cell r="C1039" t="str">
            <v>Bieleta</v>
          </cell>
          <cell r="D1039" t="str">
            <v>HOLYMAN</v>
          </cell>
          <cell r="E1039">
            <v>5</v>
          </cell>
          <cell r="F1039" t="str">
            <v>BIELETA DIANT. CAPTUR 17/...</v>
          </cell>
          <cell r="G1039"/>
          <cell r="H1039">
            <v>0</v>
          </cell>
          <cell r="I1039">
            <v>0</v>
          </cell>
          <cell r="J1039"/>
          <cell r="K1039"/>
          <cell r="L1039"/>
          <cell r="M1039">
            <v>0</v>
          </cell>
          <cell r="N1039" t="str">
            <v/>
          </cell>
          <cell r="O1039">
            <v>0</v>
          </cell>
          <cell r="P1039" t="str">
            <v/>
          </cell>
          <cell r="Q1039">
            <v>0</v>
          </cell>
          <cell r="R1039" t="str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 t="str">
            <v/>
          </cell>
          <cell r="Y1039" t="str">
            <v/>
          </cell>
          <cell r="Z1039" t="str">
            <v/>
          </cell>
          <cell r="AA1039">
            <v>0</v>
          </cell>
          <cell r="AB1039">
            <v>0</v>
          </cell>
          <cell r="AC1039">
            <v>0</v>
          </cell>
          <cell r="AD1039"/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</row>
        <row r="1040">
          <cell r="A1040">
            <v>6201</v>
          </cell>
          <cell r="B1040"/>
          <cell r="C1040" t="str">
            <v>Bieleta</v>
          </cell>
          <cell r="D1040" t="str">
            <v>HOLYMAN</v>
          </cell>
          <cell r="E1040">
            <v>5</v>
          </cell>
          <cell r="F1040" t="str">
            <v>BIELETA DIANT. FRONTIER 4X4</v>
          </cell>
          <cell r="G1040"/>
          <cell r="H1040">
            <v>0</v>
          </cell>
          <cell r="I1040">
            <v>0</v>
          </cell>
          <cell r="J1040"/>
          <cell r="K1040"/>
          <cell r="L1040"/>
          <cell r="M1040">
            <v>0</v>
          </cell>
          <cell r="N1040" t="str">
            <v/>
          </cell>
          <cell r="O1040">
            <v>0</v>
          </cell>
          <cell r="P1040" t="str">
            <v/>
          </cell>
          <cell r="Q1040">
            <v>0</v>
          </cell>
          <cell r="R1040" t="str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 t="str">
            <v/>
          </cell>
          <cell r="Y1040" t="str">
            <v/>
          </cell>
          <cell r="Z1040" t="str">
            <v/>
          </cell>
          <cell r="AA1040">
            <v>0</v>
          </cell>
          <cell r="AB1040">
            <v>0</v>
          </cell>
          <cell r="AC1040">
            <v>0</v>
          </cell>
          <cell r="AD1040"/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</row>
        <row r="1041">
          <cell r="A1041">
            <v>6204</v>
          </cell>
          <cell r="B1041"/>
          <cell r="C1041" t="str">
            <v>Bieleta</v>
          </cell>
          <cell r="D1041" t="str">
            <v>HOLYMAN</v>
          </cell>
          <cell r="E1041">
            <v>5</v>
          </cell>
          <cell r="F1041" t="str">
            <v>BIELETA TRAS. FRONTIER 4X2 03/07</v>
          </cell>
          <cell r="G1041"/>
          <cell r="H1041">
            <v>0</v>
          </cell>
          <cell r="I1041">
            <v>0</v>
          </cell>
          <cell r="J1041"/>
          <cell r="K1041"/>
          <cell r="L1041"/>
          <cell r="M1041">
            <v>0</v>
          </cell>
          <cell r="N1041" t="str">
            <v/>
          </cell>
          <cell r="O1041">
            <v>0</v>
          </cell>
          <cell r="P1041" t="str">
            <v/>
          </cell>
          <cell r="Q1041">
            <v>0</v>
          </cell>
          <cell r="R1041" t="str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 t="str">
            <v/>
          </cell>
          <cell r="Y1041" t="str">
            <v/>
          </cell>
          <cell r="Z1041" t="str">
            <v/>
          </cell>
          <cell r="AA1041">
            <v>0</v>
          </cell>
          <cell r="AB1041">
            <v>0</v>
          </cell>
          <cell r="AC1041">
            <v>0</v>
          </cell>
          <cell r="AD1041"/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</row>
        <row r="1042">
          <cell r="A1042">
            <v>6205</v>
          </cell>
          <cell r="B1042"/>
          <cell r="C1042" t="str">
            <v>Bieleta</v>
          </cell>
          <cell r="D1042" t="str">
            <v>HOLYMAN</v>
          </cell>
          <cell r="E1042">
            <v>5</v>
          </cell>
          <cell r="F1042" t="str">
            <v>BIELETA DIANT. SENTRA 2007/...</v>
          </cell>
          <cell r="G1042"/>
          <cell r="H1042">
            <v>0</v>
          </cell>
          <cell r="I1042">
            <v>0</v>
          </cell>
          <cell r="J1042"/>
          <cell r="K1042"/>
          <cell r="L1042"/>
          <cell r="M1042">
            <v>0</v>
          </cell>
          <cell r="N1042" t="str">
            <v/>
          </cell>
          <cell r="O1042">
            <v>0</v>
          </cell>
          <cell r="P1042" t="str">
            <v/>
          </cell>
          <cell r="Q1042">
            <v>0</v>
          </cell>
          <cell r="R1042" t="str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 t="str">
            <v/>
          </cell>
          <cell r="Y1042" t="str">
            <v/>
          </cell>
          <cell r="Z1042" t="str">
            <v/>
          </cell>
          <cell r="AA1042">
            <v>0</v>
          </cell>
          <cell r="AB1042">
            <v>0</v>
          </cell>
          <cell r="AC1042">
            <v>0</v>
          </cell>
          <cell r="AD1042"/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</row>
        <row r="1043">
          <cell r="A1043">
            <v>6206</v>
          </cell>
          <cell r="B1043"/>
          <cell r="C1043" t="str">
            <v>Bieleta</v>
          </cell>
          <cell r="D1043" t="str">
            <v>HOLYMAN</v>
          </cell>
          <cell r="E1043">
            <v>5</v>
          </cell>
          <cell r="F1043" t="str">
            <v>BIELETA DIANT. LIVINA 06/... / MARCH T / TIIDA 07/13 / VERSA 11/13</v>
          </cell>
          <cell r="G1043"/>
          <cell r="H1043">
            <v>0</v>
          </cell>
          <cell r="I1043">
            <v>0</v>
          </cell>
          <cell r="J1043"/>
          <cell r="K1043"/>
          <cell r="L1043"/>
          <cell r="M1043">
            <v>0</v>
          </cell>
          <cell r="N1043" t="str">
            <v/>
          </cell>
          <cell r="O1043">
            <v>0</v>
          </cell>
          <cell r="P1043" t="str">
            <v/>
          </cell>
          <cell r="Q1043">
            <v>0</v>
          </cell>
          <cell r="R1043" t="str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 t="str">
            <v/>
          </cell>
          <cell r="Y1043" t="str">
            <v/>
          </cell>
          <cell r="Z1043" t="str">
            <v/>
          </cell>
          <cell r="AA1043">
            <v>0</v>
          </cell>
          <cell r="AB1043">
            <v>0</v>
          </cell>
          <cell r="AC1043">
            <v>0</v>
          </cell>
          <cell r="AD1043"/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</row>
        <row r="1044">
          <cell r="A1044">
            <v>6311</v>
          </cell>
          <cell r="B1044"/>
          <cell r="C1044" t="str">
            <v>Bieleta</v>
          </cell>
          <cell r="D1044" t="str">
            <v>HOLYMAN</v>
          </cell>
          <cell r="E1044">
            <v>5</v>
          </cell>
          <cell r="F1044" t="str">
            <v>Bieleta Dianteira Lado Esquerdo Kia Soul 2009 A 2015</v>
          </cell>
          <cell r="G1044"/>
          <cell r="H1044">
            <v>0</v>
          </cell>
          <cell r="I1044">
            <v>0</v>
          </cell>
          <cell r="J1044">
            <v>0</v>
          </cell>
          <cell r="K1044" t="str">
            <v/>
          </cell>
          <cell r="L1044" t="str">
            <v/>
          </cell>
          <cell r="M1044">
            <v>0</v>
          </cell>
          <cell r="N1044" t="str">
            <v/>
          </cell>
          <cell r="O1044">
            <v>0</v>
          </cell>
          <cell r="P1044" t="str">
            <v/>
          </cell>
          <cell r="Q1044">
            <v>0</v>
          </cell>
          <cell r="R1044" t="str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 t="str">
            <v/>
          </cell>
          <cell r="Y1044" t="str">
            <v/>
          </cell>
          <cell r="Z1044" t="str">
            <v/>
          </cell>
          <cell r="AA1044">
            <v>0</v>
          </cell>
          <cell r="AB1044">
            <v>0</v>
          </cell>
          <cell r="AC1044">
            <v>0</v>
          </cell>
          <cell r="AD1044"/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</row>
        <row r="1045">
          <cell r="A1045">
            <v>6408</v>
          </cell>
          <cell r="B1045"/>
          <cell r="C1045" t="str">
            <v>Bieleta</v>
          </cell>
          <cell r="D1045" t="str">
            <v>HOLYMAN</v>
          </cell>
          <cell r="E1045">
            <v>5</v>
          </cell>
          <cell r="F1045" t="str">
            <v>Bieleta Dianteira Citroen C3 Aircross</v>
          </cell>
          <cell r="G1045"/>
          <cell r="H1045">
            <v>0</v>
          </cell>
          <cell r="I1045">
            <v>0</v>
          </cell>
          <cell r="J1045">
            <v>0</v>
          </cell>
          <cell r="K1045" t="str">
            <v/>
          </cell>
          <cell r="L1045" t="str">
            <v/>
          </cell>
          <cell r="M1045">
            <v>0</v>
          </cell>
          <cell r="N1045" t="str">
            <v/>
          </cell>
          <cell r="O1045">
            <v>0</v>
          </cell>
          <cell r="P1045" t="str">
            <v/>
          </cell>
          <cell r="Q1045">
            <v>0</v>
          </cell>
          <cell r="R1045" t="str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 t="str">
            <v/>
          </cell>
          <cell r="Y1045" t="str">
            <v/>
          </cell>
          <cell r="Z1045" t="str">
            <v/>
          </cell>
          <cell r="AA1045">
            <v>0</v>
          </cell>
          <cell r="AB1045">
            <v>0</v>
          </cell>
          <cell r="AC1045">
            <v>0</v>
          </cell>
          <cell r="AD1045"/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</row>
        <row r="1046">
          <cell r="A1046">
            <v>6502</v>
          </cell>
          <cell r="B1046"/>
          <cell r="C1046" t="str">
            <v>Bieleta</v>
          </cell>
          <cell r="D1046" t="str">
            <v>HOLYMAN</v>
          </cell>
          <cell r="E1046">
            <v>5</v>
          </cell>
          <cell r="F1046" t="str">
            <v>BIELETA DIANT. DIR. SPRINTER 97/12</v>
          </cell>
          <cell r="G1046"/>
          <cell r="H1046">
            <v>0</v>
          </cell>
          <cell r="I1046">
            <v>0</v>
          </cell>
          <cell r="J1046"/>
          <cell r="K1046"/>
          <cell r="L1046"/>
          <cell r="M1046">
            <v>0</v>
          </cell>
          <cell r="N1046" t="str">
            <v/>
          </cell>
          <cell r="O1046">
            <v>0</v>
          </cell>
          <cell r="P1046" t="str">
            <v/>
          </cell>
          <cell r="Q1046">
            <v>0</v>
          </cell>
          <cell r="R1046" t="str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 t="str">
            <v/>
          </cell>
          <cell r="Y1046" t="str">
            <v/>
          </cell>
          <cell r="Z1046" t="str">
            <v/>
          </cell>
          <cell r="AA1046">
            <v>0</v>
          </cell>
          <cell r="AB1046">
            <v>0</v>
          </cell>
          <cell r="AC1046">
            <v>0</v>
          </cell>
          <cell r="AD1046"/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</row>
        <row r="1047">
          <cell r="A1047">
            <v>6503</v>
          </cell>
          <cell r="B1047"/>
          <cell r="C1047" t="str">
            <v>Bieleta</v>
          </cell>
          <cell r="D1047" t="str">
            <v>HOLYMAN</v>
          </cell>
          <cell r="E1047">
            <v>5</v>
          </cell>
          <cell r="F1047" t="str">
            <v>BIELETA DIANT. ESQ. SPRINTER 97/12</v>
          </cell>
          <cell r="G1047"/>
          <cell r="H1047">
            <v>0</v>
          </cell>
          <cell r="I1047">
            <v>0</v>
          </cell>
          <cell r="J1047"/>
          <cell r="K1047"/>
          <cell r="L1047"/>
          <cell r="M1047">
            <v>0</v>
          </cell>
          <cell r="N1047" t="str">
            <v/>
          </cell>
          <cell r="O1047">
            <v>0</v>
          </cell>
          <cell r="P1047" t="str">
            <v/>
          </cell>
          <cell r="Q1047">
            <v>0</v>
          </cell>
          <cell r="R1047" t="str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 t="str">
            <v/>
          </cell>
          <cell r="Y1047" t="str">
            <v/>
          </cell>
          <cell r="Z1047" t="str">
            <v/>
          </cell>
          <cell r="AA1047">
            <v>0</v>
          </cell>
          <cell r="AB1047">
            <v>0</v>
          </cell>
          <cell r="AC1047">
            <v>0</v>
          </cell>
          <cell r="AD1047"/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</row>
        <row r="1048">
          <cell r="A1048">
            <v>6515</v>
          </cell>
          <cell r="B1048"/>
          <cell r="C1048" t="str">
            <v>Bieleta</v>
          </cell>
          <cell r="D1048" t="str">
            <v>HOLYMAN</v>
          </cell>
          <cell r="E1048">
            <v>5</v>
          </cell>
          <cell r="F1048" t="str">
            <v>BIELETA DIANTEIRA DIR SPRINTER 2012...</v>
          </cell>
          <cell r="G1048"/>
          <cell r="H1048">
            <v>0</v>
          </cell>
          <cell r="I1048">
            <v>0</v>
          </cell>
          <cell r="J1048"/>
          <cell r="K1048"/>
          <cell r="L1048"/>
          <cell r="M1048">
            <v>0</v>
          </cell>
          <cell r="N1048" t="str">
            <v/>
          </cell>
          <cell r="O1048">
            <v>0</v>
          </cell>
          <cell r="P1048" t="str">
            <v/>
          </cell>
          <cell r="Q1048">
            <v>0</v>
          </cell>
          <cell r="R1048" t="str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 t="str">
            <v/>
          </cell>
          <cell r="Y1048" t="str">
            <v/>
          </cell>
          <cell r="Z1048" t="str">
            <v/>
          </cell>
          <cell r="AA1048">
            <v>0</v>
          </cell>
          <cell r="AB1048">
            <v>0</v>
          </cell>
          <cell r="AC1048">
            <v>0</v>
          </cell>
          <cell r="AD1048"/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</row>
        <row r="1049">
          <cell r="A1049">
            <v>6516</v>
          </cell>
          <cell r="B1049"/>
          <cell r="C1049" t="str">
            <v>Bieleta</v>
          </cell>
          <cell r="D1049" t="str">
            <v>HOLYMAN</v>
          </cell>
          <cell r="E1049">
            <v>5</v>
          </cell>
          <cell r="F1049" t="str">
            <v>BIELETA DIANTEIRA ESQ SPRINTER 2012...</v>
          </cell>
          <cell r="G1049"/>
          <cell r="H1049">
            <v>0</v>
          </cell>
          <cell r="I1049">
            <v>0</v>
          </cell>
          <cell r="J1049"/>
          <cell r="K1049"/>
          <cell r="L1049"/>
          <cell r="M1049">
            <v>0</v>
          </cell>
          <cell r="N1049" t="str">
            <v/>
          </cell>
          <cell r="O1049">
            <v>0</v>
          </cell>
          <cell r="P1049" t="str">
            <v/>
          </cell>
          <cell r="Q1049">
            <v>0</v>
          </cell>
          <cell r="R1049" t="str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 t="str">
            <v/>
          </cell>
          <cell r="Y1049" t="str">
            <v/>
          </cell>
          <cell r="Z1049" t="str">
            <v/>
          </cell>
          <cell r="AA1049">
            <v>0</v>
          </cell>
          <cell r="AB1049">
            <v>0</v>
          </cell>
          <cell r="AC1049">
            <v>0</v>
          </cell>
          <cell r="AD1049"/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</row>
        <row r="1050">
          <cell r="A1050">
            <v>7800</v>
          </cell>
          <cell r="B1050"/>
          <cell r="C1050" t="str">
            <v>Bieleta</v>
          </cell>
          <cell r="D1050" t="str">
            <v>HOLYMAN</v>
          </cell>
          <cell r="E1050">
            <v>5</v>
          </cell>
          <cell r="F1050" t="str">
            <v>Bieleta Traseira Compass 4x4 2015 Em Diante Ld Ou Le</v>
          </cell>
          <cell r="G1050"/>
          <cell r="H1050">
            <v>0</v>
          </cell>
          <cell r="I1050">
            <v>0</v>
          </cell>
          <cell r="J1050">
            <v>0</v>
          </cell>
          <cell r="K1050" t="str">
            <v/>
          </cell>
          <cell r="L1050" t="str">
            <v/>
          </cell>
          <cell r="M1050">
            <v>0</v>
          </cell>
          <cell r="N1050" t="str">
            <v/>
          </cell>
          <cell r="O1050">
            <v>0</v>
          </cell>
          <cell r="P1050" t="str">
            <v/>
          </cell>
          <cell r="Q1050">
            <v>0</v>
          </cell>
          <cell r="R1050" t="str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 t="str">
            <v/>
          </cell>
          <cell r="Y1050" t="str">
            <v/>
          </cell>
          <cell r="Z1050" t="str">
            <v/>
          </cell>
          <cell r="AA1050">
            <v>0</v>
          </cell>
          <cell r="AB1050">
            <v>0</v>
          </cell>
          <cell r="AC1050">
            <v>0</v>
          </cell>
          <cell r="AD1050"/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</row>
        <row r="1051">
          <cell r="A1051">
            <v>7801</v>
          </cell>
          <cell r="B1051"/>
          <cell r="C1051" t="str">
            <v>Bieleta</v>
          </cell>
          <cell r="D1051" t="str">
            <v>HOLYMAN</v>
          </cell>
          <cell r="E1051">
            <v>5</v>
          </cell>
          <cell r="F1051" t="str">
            <v>Bieleta Dianteira Toro 4x4 4x2 2016 Em Diante</v>
          </cell>
          <cell r="G1051"/>
          <cell r="H1051">
            <v>0</v>
          </cell>
          <cell r="I1051">
            <v>0</v>
          </cell>
          <cell r="J1051">
            <v>0</v>
          </cell>
          <cell r="K1051" t="str">
            <v/>
          </cell>
          <cell r="L1051" t="str">
            <v/>
          </cell>
          <cell r="M1051">
            <v>0</v>
          </cell>
          <cell r="N1051" t="str">
            <v/>
          </cell>
          <cell r="O1051">
            <v>0</v>
          </cell>
          <cell r="P1051" t="str">
            <v/>
          </cell>
          <cell r="Q1051">
            <v>0</v>
          </cell>
          <cell r="R1051" t="str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 t="str">
            <v/>
          </cell>
          <cell r="Y1051" t="str">
            <v/>
          </cell>
          <cell r="Z1051" t="str">
            <v/>
          </cell>
          <cell r="AA1051">
            <v>0</v>
          </cell>
          <cell r="AB1051">
            <v>0</v>
          </cell>
          <cell r="AC1051">
            <v>0</v>
          </cell>
          <cell r="AD1051"/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</row>
        <row r="1052">
          <cell r="A1052">
            <v>7802</v>
          </cell>
          <cell r="B1052"/>
          <cell r="C1052" t="str">
            <v>Bieleta</v>
          </cell>
          <cell r="D1052" t="str">
            <v>HOLYMAN</v>
          </cell>
          <cell r="E1052">
            <v>5</v>
          </cell>
          <cell r="F1052" t="str">
            <v>Bieleta Dianteira Compass 2007 A 2015</v>
          </cell>
          <cell r="G1052"/>
          <cell r="H1052">
            <v>0</v>
          </cell>
          <cell r="I1052">
            <v>0</v>
          </cell>
          <cell r="J1052">
            <v>0</v>
          </cell>
          <cell r="K1052" t="str">
            <v/>
          </cell>
          <cell r="L1052" t="str">
            <v/>
          </cell>
          <cell r="M1052">
            <v>0</v>
          </cell>
          <cell r="N1052" t="str">
            <v/>
          </cell>
          <cell r="O1052">
            <v>0</v>
          </cell>
          <cell r="P1052" t="str">
            <v/>
          </cell>
          <cell r="Q1052">
            <v>0</v>
          </cell>
          <cell r="R1052" t="str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 t="str">
            <v/>
          </cell>
          <cell r="Y1052" t="str">
            <v/>
          </cell>
          <cell r="Z1052" t="str">
            <v/>
          </cell>
          <cell r="AA1052">
            <v>0</v>
          </cell>
          <cell r="AB1052">
            <v>0</v>
          </cell>
          <cell r="AC1052">
            <v>0</v>
          </cell>
          <cell r="AD1052"/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</row>
        <row r="1053">
          <cell r="A1053">
            <v>8000</v>
          </cell>
          <cell r="B1053"/>
          <cell r="C1053" t="str">
            <v>Bieleta</v>
          </cell>
          <cell r="D1053" t="str">
            <v>HOLYMAN</v>
          </cell>
          <cell r="E1053">
            <v>5</v>
          </cell>
          <cell r="F1053" t="str">
            <v>Bieleta Dianteira Land Rover Evoque 2011 Em Diante</v>
          </cell>
          <cell r="G1053"/>
          <cell r="H1053">
            <v>0</v>
          </cell>
          <cell r="I1053">
            <v>0</v>
          </cell>
          <cell r="J1053">
            <v>0</v>
          </cell>
          <cell r="K1053" t="str">
            <v/>
          </cell>
          <cell r="L1053" t="str">
            <v/>
          </cell>
          <cell r="M1053">
            <v>0</v>
          </cell>
          <cell r="N1053" t="str">
            <v/>
          </cell>
          <cell r="O1053">
            <v>0</v>
          </cell>
          <cell r="P1053" t="str">
            <v/>
          </cell>
          <cell r="Q1053">
            <v>0</v>
          </cell>
          <cell r="R1053" t="str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 t="str">
            <v/>
          </cell>
          <cell r="Y1053" t="str">
            <v/>
          </cell>
          <cell r="Z1053" t="str">
            <v/>
          </cell>
          <cell r="AA1053">
            <v>0</v>
          </cell>
          <cell r="AB1053">
            <v>0</v>
          </cell>
          <cell r="AC1053">
            <v>0</v>
          </cell>
          <cell r="AD1053"/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</row>
        <row r="1054">
          <cell r="A1054">
            <v>8002</v>
          </cell>
          <cell r="B1054"/>
          <cell r="C1054" t="str">
            <v>Bieleta</v>
          </cell>
          <cell r="D1054" t="str">
            <v>HOLYMAN</v>
          </cell>
          <cell r="E1054">
            <v>5</v>
          </cell>
          <cell r="F1054" t="str">
            <v>BIELETA DIANT FREELANDER 97/...</v>
          </cell>
          <cell r="G1054"/>
          <cell r="H1054">
            <v>0</v>
          </cell>
          <cell r="I1054">
            <v>0</v>
          </cell>
          <cell r="J1054"/>
          <cell r="K1054"/>
          <cell r="L1054"/>
          <cell r="M1054">
            <v>0</v>
          </cell>
          <cell r="N1054" t="str">
            <v/>
          </cell>
          <cell r="O1054">
            <v>0</v>
          </cell>
          <cell r="P1054" t="str">
            <v/>
          </cell>
          <cell r="Q1054">
            <v>0</v>
          </cell>
          <cell r="R1054" t="str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 t="str">
            <v/>
          </cell>
          <cell r="Y1054" t="str">
            <v/>
          </cell>
          <cell r="Z1054" t="str">
            <v/>
          </cell>
          <cell r="AA1054">
            <v>0</v>
          </cell>
          <cell r="AB1054">
            <v>0</v>
          </cell>
          <cell r="AC1054">
            <v>0</v>
          </cell>
          <cell r="AD1054"/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</row>
        <row r="1055">
          <cell r="A1055">
            <v>8005</v>
          </cell>
          <cell r="B1055"/>
          <cell r="C1055" t="str">
            <v>Bieleta</v>
          </cell>
          <cell r="D1055" t="str">
            <v>HOLYMAN</v>
          </cell>
          <cell r="E1055">
            <v>5</v>
          </cell>
          <cell r="F1055" t="str">
            <v>BIELETA DIANT FREELANDER 2 06/14</v>
          </cell>
          <cell r="G1055"/>
          <cell r="H1055">
            <v>0</v>
          </cell>
          <cell r="I1055">
            <v>0</v>
          </cell>
          <cell r="J1055"/>
          <cell r="K1055"/>
          <cell r="L1055"/>
          <cell r="M1055">
            <v>0</v>
          </cell>
          <cell r="N1055" t="str">
            <v/>
          </cell>
          <cell r="O1055">
            <v>0</v>
          </cell>
          <cell r="P1055" t="str">
            <v/>
          </cell>
          <cell r="Q1055">
            <v>0</v>
          </cell>
          <cell r="R1055" t="str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 t="str">
            <v/>
          </cell>
          <cell r="Y1055" t="str">
            <v/>
          </cell>
          <cell r="Z1055" t="str">
            <v/>
          </cell>
          <cell r="AA1055">
            <v>0</v>
          </cell>
          <cell r="AB1055">
            <v>0</v>
          </cell>
          <cell r="AC1055">
            <v>0</v>
          </cell>
          <cell r="AD1055"/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</row>
        <row r="1056">
          <cell r="A1056">
            <v>8402</v>
          </cell>
          <cell r="B1056"/>
          <cell r="C1056" t="str">
            <v>Bieleta</v>
          </cell>
          <cell r="D1056" t="str">
            <v>HOLYMAN</v>
          </cell>
          <cell r="E1056">
            <v>5</v>
          </cell>
          <cell r="F1056" t="str">
            <v>BIELETA DIAN. ESQUERDA / DIREITA AUDI A4 07...16 /A5 07...15 /A6 11....18 / A8</v>
          </cell>
          <cell r="G1056"/>
          <cell r="H1056">
            <v>0</v>
          </cell>
          <cell r="I1056">
            <v>0</v>
          </cell>
          <cell r="J1056"/>
          <cell r="K1056"/>
          <cell r="L1056"/>
          <cell r="M1056">
            <v>0</v>
          </cell>
          <cell r="N1056" t="str">
            <v/>
          </cell>
          <cell r="O1056">
            <v>0</v>
          </cell>
          <cell r="P1056" t="str">
            <v/>
          </cell>
          <cell r="Q1056">
            <v>0</v>
          </cell>
          <cell r="R1056" t="str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 t="str">
            <v/>
          </cell>
          <cell r="Y1056" t="str">
            <v/>
          </cell>
          <cell r="Z1056" t="str">
            <v/>
          </cell>
          <cell r="AA1056">
            <v>0</v>
          </cell>
          <cell r="AB1056">
            <v>0</v>
          </cell>
          <cell r="AC1056">
            <v>0</v>
          </cell>
          <cell r="AD1056"/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</row>
        <row r="1057">
          <cell r="A1057">
            <v>8502</v>
          </cell>
          <cell r="B1057"/>
          <cell r="C1057" t="str">
            <v>Bieleta</v>
          </cell>
          <cell r="D1057" t="str">
            <v>HOLYMAN</v>
          </cell>
          <cell r="E1057">
            <v>5</v>
          </cell>
          <cell r="F1057" t="str">
            <v>Bieleta Traseira Ambos Lados Mini Cooper Hacth 2001 Diante</v>
          </cell>
          <cell r="G1057"/>
          <cell r="H1057">
            <v>0</v>
          </cell>
          <cell r="I1057">
            <v>0</v>
          </cell>
          <cell r="J1057">
            <v>0</v>
          </cell>
          <cell r="K1057" t="str">
            <v/>
          </cell>
          <cell r="L1057" t="str">
            <v/>
          </cell>
          <cell r="M1057">
            <v>0</v>
          </cell>
          <cell r="N1057" t="str">
            <v/>
          </cell>
          <cell r="O1057">
            <v>0</v>
          </cell>
          <cell r="P1057" t="str">
            <v/>
          </cell>
          <cell r="Q1057">
            <v>0</v>
          </cell>
          <cell r="R1057" t="str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 t="str">
            <v/>
          </cell>
          <cell r="Y1057" t="str">
            <v/>
          </cell>
          <cell r="Z1057" t="str">
            <v/>
          </cell>
          <cell r="AA1057">
            <v>0</v>
          </cell>
          <cell r="AB1057">
            <v>0</v>
          </cell>
          <cell r="AC1057">
            <v>0</v>
          </cell>
          <cell r="AD1057"/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</row>
        <row r="1058">
          <cell r="A1058">
            <v>8503</v>
          </cell>
          <cell r="B1058"/>
          <cell r="C1058" t="str">
            <v>Bieleta</v>
          </cell>
          <cell r="D1058" t="str">
            <v>HOLYMAN</v>
          </cell>
          <cell r="E1058">
            <v>5</v>
          </cell>
          <cell r="F1058" t="str">
            <v>Bieleta Dianteira Mini Cooper R50 R53 2001 A 2006</v>
          </cell>
          <cell r="G1058"/>
          <cell r="H1058">
            <v>0</v>
          </cell>
          <cell r="I1058">
            <v>0</v>
          </cell>
          <cell r="J1058">
            <v>0</v>
          </cell>
          <cell r="K1058" t="str">
            <v/>
          </cell>
          <cell r="L1058" t="str">
            <v/>
          </cell>
          <cell r="M1058">
            <v>0</v>
          </cell>
          <cell r="N1058" t="str">
            <v/>
          </cell>
          <cell r="O1058">
            <v>0</v>
          </cell>
          <cell r="P1058" t="str">
            <v/>
          </cell>
          <cell r="Q1058">
            <v>0</v>
          </cell>
          <cell r="R1058" t="str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 t="str">
            <v/>
          </cell>
          <cell r="Y1058" t="str">
            <v/>
          </cell>
          <cell r="Z1058" t="str">
            <v/>
          </cell>
          <cell r="AA1058">
            <v>0</v>
          </cell>
          <cell r="AB1058">
            <v>0</v>
          </cell>
          <cell r="AC1058">
            <v>0</v>
          </cell>
          <cell r="AD1058"/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</row>
        <row r="1059">
          <cell r="A1059">
            <v>550230</v>
          </cell>
          <cell r="B1059"/>
          <cell r="C1059" t="str">
            <v>Bieleta</v>
          </cell>
          <cell r="D1059" t="str">
            <v>HOLYMAN</v>
          </cell>
          <cell r="E1059">
            <v>5</v>
          </cell>
          <cell r="F1059" t="str">
            <v>BIELETA REFORÇADA DIANTEIRA AMBOS LADOS EXPLORER 1992 A 1994</v>
          </cell>
          <cell r="G1059"/>
          <cell r="H1059" t="str">
            <v>-</v>
          </cell>
          <cell r="I1059">
            <v>0</v>
          </cell>
          <cell r="J1059">
            <v>0</v>
          </cell>
          <cell r="K1059" t="str">
            <v/>
          </cell>
          <cell r="L1059" t="str">
            <v/>
          </cell>
          <cell r="M1059">
            <v>0</v>
          </cell>
          <cell r="N1059" t="str">
            <v/>
          </cell>
          <cell r="O1059">
            <v>0</v>
          </cell>
          <cell r="P1059" t="str">
            <v/>
          </cell>
          <cell r="Q1059">
            <v>0</v>
          </cell>
          <cell r="R1059" t="str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 t="str">
            <v/>
          </cell>
          <cell r="Y1059" t="str">
            <v/>
          </cell>
          <cell r="Z1059" t="str">
            <v/>
          </cell>
          <cell r="AA1059">
            <v>0</v>
          </cell>
          <cell r="AB1059">
            <v>0</v>
          </cell>
          <cell r="AC1059">
            <v>0</v>
          </cell>
          <cell r="AD1059"/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</row>
        <row r="1060">
          <cell r="A1060">
            <v>10135</v>
          </cell>
          <cell r="B1060" t="str">
            <v>Sim</v>
          </cell>
          <cell r="C1060" t="str">
            <v>Bomba Combustível</v>
          </cell>
          <cell r="D1060" t="str">
            <v>POLO</v>
          </cell>
          <cell r="E1060">
            <v>7</v>
          </cell>
          <cell r="F1060" t="str">
            <v>Bomba Combustível Monza 2.0 Efi 1991 A 1996</v>
          </cell>
          <cell r="G1060"/>
          <cell r="H1060">
            <v>0</v>
          </cell>
          <cell r="I1060">
            <v>0</v>
          </cell>
          <cell r="J1060" t="str">
            <v/>
          </cell>
          <cell r="K1060" t="str">
            <v/>
          </cell>
          <cell r="L1060" t="str">
            <v/>
          </cell>
          <cell r="M1060">
            <v>0</v>
          </cell>
          <cell r="N1060" t="str">
            <v/>
          </cell>
          <cell r="O1060" t="str">
            <v/>
          </cell>
          <cell r="P1060" t="str">
            <v/>
          </cell>
          <cell r="Q1060">
            <v>0</v>
          </cell>
          <cell r="R1060" t="str">
            <v>0</v>
          </cell>
          <cell r="S1060" t="str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 t="str">
            <v/>
          </cell>
          <cell r="Y1060" t="str">
            <v/>
          </cell>
          <cell r="Z1060" t="str">
            <v/>
          </cell>
          <cell r="AA1060">
            <v>0</v>
          </cell>
          <cell r="AB1060">
            <v>0</v>
          </cell>
          <cell r="AC1060">
            <v>0</v>
          </cell>
          <cell r="AD1060"/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</row>
        <row r="1061">
          <cell r="A1061" t="str">
            <v>FTK99282-MB</v>
          </cell>
          <cell r="B1061"/>
          <cell r="C1061" t="str">
            <v>Bucha</v>
          </cell>
          <cell r="D1061" t="str">
            <v>MOBENSANI</v>
          </cell>
          <cell r="E1061">
            <v>10</v>
          </cell>
          <cell r="F1061" t="str">
            <v>Bucha Traseira Da Bandeja Dianteira Vera Cruz 2006 Em Diante</v>
          </cell>
          <cell r="G1061"/>
          <cell r="H1061" t="str">
            <v>-</v>
          </cell>
          <cell r="I1061">
            <v>0</v>
          </cell>
          <cell r="J1061">
            <v>0</v>
          </cell>
          <cell r="K1061">
            <v>0</v>
          </cell>
          <cell r="L1061" t="str">
            <v/>
          </cell>
          <cell r="M1061">
            <v>0</v>
          </cell>
          <cell r="N1061" t="str">
            <v/>
          </cell>
          <cell r="O1061">
            <v>0</v>
          </cell>
          <cell r="P1061" t="str">
            <v/>
          </cell>
          <cell r="Q1061">
            <v>0</v>
          </cell>
          <cell r="R1061" t="str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 t="str">
            <v/>
          </cell>
          <cell r="Y1061" t="str">
            <v/>
          </cell>
          <cell r="Z1061" t="str">
            <v/>
          </cell>
          <cell r="AA1061">
            <v>0</v>
          </cell>
          <cell r="AB1061">
            <v>0</v>
          </cell>
          <cell r="AC1061">
            <v>0</v>
          </cell>
          <cell r="AD1061"/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</row>
        <row r="1062">
          <cell r="A1062" t="str">
            <v>FTK11001-MB</v>
          </cell>
          <cell r="B1062"/>
          <cell r="C1062" t="str">
            <v>Bucha Bandeja</v>
          </cell>
          <cell r="D1062" t="str">
            <v>MOBENSANI</v>
          </cell>
          <cell r="E1062">
            <v>10</v>
          </cell>
          <cell r="F1062" t="str">
            <v>Bucha Traseira Da Bandeja Dianteira L200 4x4 1995 A 2006</v>
          </cell>
          <cell r="G1062"/>
          <cell r="H1062">
            <v>0</v>
          </cell>
          <cell r="I1062">
            <v>0</v>
          </cell>
          <cell r="J1062">
            <v>0</v>
          </cell>
          <cell r="K1062" t="str">
            <v/>
          </cell>
          <cell r="L1062" t="str">
            <v/>
          </cell>
          <cell r="M1062">
            <v>0</v>
          </cell>
          <cell r="N1062" t="str">
            <v/>
          </cell>
          <cell r="O1062">
            <v>0</v>
          </cell>
          <cell r="P1062" t="str">
            <v/>
          </cell>
          <cell r="Q1062">
            <v>0</v>
          </cell>
          <cell r="R1062" t="str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 t="str">
            <v/>
          </cell>
          <cell r="Y1062" t="str">
            <v/>
          </cell>
          <cell r="Z1062" t="str">
            <v/>
          </cell>
          <cell r="AA1062">
            <v>0</v>
          </cell>
          <cell r="AB1062">
            <v>0</v>
          </cell>
          <cell r="AC1062">
            <v>0</v>
          </cell>
          <cell r="AD1062"/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</row>
        <row r="1063">
          <cell r="A1063" t="str">
            <v>FTK11004-AMW</v>
          </cell>
          <cell r="B1063"/>
          <cell r="C1063" t="str">
            <v>Bucha Bandeja</v>
          </cell>
          <cell r="D1063" t="str">
            <v>SPARE</v>
          </cell>
          <cell r="E1063">
            <v>2</v>
          </cell>
          <cell r="F1063" t="str">
            <v>Bucha Dianteira Da Bandeja Dianteira Nivus 2020 Em Diante</v>
          </cell>
          <cell r="G1063"/>
          <cell r="H1063">
            <v>0</v>
          </cell>
          <cell r="I1063">
            <v>0</v>
          </cell>
          <cell r="J1063">
            <v>0</v>
          </cell>
          <cell r="K1063" t="str">
            <v/>
          </cell>
          <cell r="L1063" t="str">
            <v/>
          </cell>
          <cell r="M1063">
            <v>0</v>
          </cell>
          <cell r="N1063" t="str">
            <v/>
          </cell>
          <cell r="O1063">
            <v>0</v>
          </cell>
          <cell r="P1063" t="str">
            <v/>
          </cell>
          <cell r="Q1063">
            <v>0</v>
          </cell>
          <cell r="R1063" t="str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 t="str">
            <v/>
          </cell>
          <cell r="Y1063" t="str">
            <v/>
          </cell>
          <cell r="Z1063" t="str">
            <v/>
          </cell>
          <cell r="AA1063">
            <v>0</v>
          </cell>
          <cell r="AB1063">
            <v>0</v>
          </cell>
          <cell r="AC1063">
            <v>0</v>
          </cell>
          <cell r="AD1063"/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</row>
        <row r="1064">
          <cell r="A1064" t="str">
            <v>FTK11018-MB</v>
          </cell>
          <cell r="B1064"/>
          <cell r="C1064" t="str">
            <v>Bucha Bandeja</v>
          </cell>
          <cell r="D1064" t="str">
            <v>MOBENSANI</v>
          </cell>
          <cell r="E1064">
            <v>10</v>
          </cell>
          <cell r="F1064" t="str">
            <v>Bucha Dianteira Da Bandeja Dianteira Pajero Sport 03 Diante</v>
          </cell>
          <cell r="G1064"/>
          <cell r="H1064">
            <v>0</v>
          </cell>
          <cell r="I1064">
            <v>0</v>
          </cell>
          <cell r="J1064">
            <v>0</v>
          </cell>
          <cell r="K1064" t="str">
            <v/>
          </cell>
          <cell r="L1064" t="str">
            <v/>
          </cell>
          <cell r="M1064">
            <v>0</v>
          </cell>
          <cell r="N1064" t="str">
            <v/>
          </cell>
          <cell r="O1064">
            <v>0</v>
          </cell>
          <cell r="P1064" t="str">
            <v/>
          </cell>
          <cell r="Q1064">
            <v>0</v>
          </cell>
          <cell r="R1064" t="str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 t="str">
            <v/>
          </cell>
          <cell r="Y1064" t="str">
            <v/>
          </cell>
          <cell r="Z1064" t="str">
            <v/>
          </cell>
          <cell r="AA1064">
            <v>0</v>
          </cell>
          <cell r="AB1064">
            <v>0</v>
          </cell>
          <cell r="AC1064">
            <v>0</v>
          </cell>
          <cell r="AD1064"/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</row>
        <row r="1065">
          <cell r="A1065" t="str">
            <v>FTK11019-MB</v>
          </cell>
          <cell r="B1065"/>
          <cell r="C1065" t="str">
            <v>Bucha Bandeja</v>
          </cell>
          <cell r="D1065" t="str">
            <v>MOBENSANI</v>
          </cell>
          <cell r="E1065">
            <v>10</v>
          </cell>
          <cell r="F1065" t="str">
            <v>Bucha Da Bandeja Dianteira Pajero Sport 2001 Em Diante</v>
          </cell>
          <cell r="G1065"/>
          <cell r="H1065">
            <v>0</v>
          </cell>
          <cell r="I1065">
            <v>0</v>
          </cell>
          <cell r="J1065">
            <v>0</v>
          </cell>
          <cell r="K1065" t="str">
            <v/>
          </cell>
          <cell r="L1065" t="str">
            <v/>
          </cell>
          <cell r="M1065">
            <v>0</v>
          </cell>
          <cell r="N1065" t="str">
            <v/>
          </cell>
          <cell r="O1065">
            <v>0</v>
          </cell>
          <cell r="P1065" t="str">
            <v/>
          </cell>
          <cell r="Q1065">
            <v>0</v>
          </cell>
          <cell r="R1065" t="str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 t="str">
            <v/>
          </cell>
          <cell r="Y1065" t="str">
            <v/>
          </cell>
          <cell r="Z1065" t="str">
            <v/>
          </cell>
          <cell r="AA1065">
            <v>0</v>
          </cell>
          <cell r="AB1065">
            <v>0</v>
          </cell>
          <cell r="AC1065">
            <v>0</v>
          </cell>
          <cell r="AD1065"/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</row>
        <row r="1066">
          <cell r="A1066" t="str">
            <v>ftk11028-mb</v>
          </cell>
          <cell r="B1066"/>
          <cell r="C1066" t="str">
            <v>Bucha Bandeja</v>
          </cell>
          <cell r="D1066" t="str">
            <v>MOBENSANI</v>
          </cell>
          <cell r="E1066">
            <v>10</v>
          </cell>
          <cell r="F1066" t="str">
            <v>Bucha Da Bandeja Inferior Dianteira Pajero Tr4 2002 Diante</v>
          </cell>
          <cell r="G1066"/>
          <cell r="H1066">
            <v>0</v>
          </cell>
          <cell r="I1066">
            <v>0</v>
          </cell>
          <cell r="J1066">
            <v>0</v>
          </cell>
          <cell r="K1066" t="str">
            <v/>
          </cell>
          <cell r="L1066" t="str">
            <v/>
          </cell>
          <cell r="M1066">
            <v>0</v>
          </cell>
          <cell r="N1066" t="str">
            <v/>
          </cell>
          <cell r="O1066">
            <v>0</v>
          </cell>
          <cell r="P1066" t="str">
            <v/>
          </cell>
          <cell r="Q1066">
            <v>0</v>
          </cell>
          <cell r="R1066" t="str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 t="str">
            <v/>
          </cell>
          <cell r="Y1066" t="str">
            <v/>
          </cell>
          <cell r="Z1066" t="str">
            <v/>
          </cell>
          <cell r="AA1066">
            <v>0</v>
          </cell>
          <cell r="AB1066">
            <v>0</v>
          </cell>
          <cell r="AC1066">
            <v>0</v>
          </cell>
          <cell r="AD1066"/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</row>
        <row r="1067">
          <cell r="A1067" t="str">
            <v>FTK11140-MB</v>
          </cell>
          <cell r="B1067"/>
          <cell r="C1067" t="str">
            <v>Bucha Bandeja</v>
          </cell>
          <cell r="D1067" t="str">
            <v>MOBENSANI</v>
          </cell>
          <cell r="E1067">
            <v>10</v>
          </cell>
          <cell r="F1067" t="str">
            <v>Bucha Da Bandeja Superior Suspensão Dianteira Blazer 96 A 11</v>
          </cell>
          <cell r="G1067"/>
          <cell r="H1067">
            <v>0</v>
          </cell>
          <cell r="I1067">
            <v>0</v>
          </cell>
          <cell r="J1067">
            <v>0</v>
          </cell>
          <cell r="K1067" t="str">
            <v/>
          </cell>
          <cell r="L1067" t="str">
            <v/>
          </cell>
          <cell r="M1067">
            <v>0</v>
          </cell>
          <cell r="N1067" t="str">
            <v/>
          </cell>
          <cell r="O1067">
            <v>0</v>
          </cell>
          <cell r="P1067" t="str">
            <v/>
          </cell>
          <cell r="Q1067">
            <v>0</v>
          </cell>
          <cell r="R1067" t="str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 t="str">
            <v/>
          </cell>
          <cell r="Y1067" t="str">
            <v/>
          </cell>
          <cell r="Z1067" t="str">
            <v/>
          </cell>
          <cell r="AA1067">
            <v>0</v>
          </cell>
          <cell r="AB1067">
            <v>0</v>
          </cell>
          <cell r="AC1067">
            <v>0</v>
          </cell>
          <cell r="AD1067"/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</row>
        <row r="1068">
          <cell r="A1068" t="str">
            <v>FTK11170-MB</v>
          </cell>
          <cell r="B1068"/>
          <cell r="C1068" t="str">
            <v>Bucha Bandeja</v>
          </cell>
          <cell r="D1068" t="str">
            <v>MOBENSANI</v>
          </cell>
          <cell r="E1068">
            <v>10</v>
          </cell>
          <cell r="F1068" t="str">
            <v>BUCHA TRASEIRA DA BANDEJA DIANTEIRA OMEGA SUPREMA 93 A 98</v>
          </cell>
          <cell r="G1068"/>
          <cell r="H1068" t="str">
            <v>-</v>
          </cell>
          <cell r="I1068">
            <v>0</v>
          </cell>
          <cell r="J1068">
            <v>0</v>
          </cell>
          <cell r="K1068" t="str">
            <v/>
          </cell>
          <cell r="L1068" t="str">
            <v/>
          </cell>
          <cell r="M1068">
            <v>0</v>
          </cell>
          <cell r="N1068" t="str">
            <v/>
          </cell>
          <cell r="O1068">
            <v>0</v>
          </cell>
          <cell r="P1068" t="str">
            <v/>
          </cell>
          <cell r="Q1068">
            <v>0</v>
          </cell>
          <cell r="R1068" t="str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 t="str">
            <v/>
          </cell>
          <cell r="Y1068" t="str">
            <v/>
          </cell>
          <cell r="Z1068" t="str">
            <v/>
          </cell>
          <cell r="AA1068">
            <v>0</v>
          </cell>
          <cell r="AB1068">
            <v>0</v>
          </cell>
          <cell r="AC1068">
            <v>0</v>
          </cell>
          <cell r="AD1068"/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</row>
        <row r="1069">
          <cell r="A1069" t="str">
            <v>FTK11171-MB</v>
          </cell>
          <cell r="B1069"/>
          <cell r="C1069" t="str">
            <v>Bucha Bandeja</v>
          </cell>
          <cell r="D1069" t="str">
            <v>MOBENSANI</v>
          </cell>
          <cell r="E1069">
            <v>10</v>
          </cell>
          <cell r="F1069" t="str">
            <v>BUCHA DIANTEIRA DA BANDEJA DIANTEIRA OMEGA SUPREMA 93 A 98</v>
          </cell>
          <cell r="G1069"/>
          <cell r="H1069" t="str">
            <v>-</v>
          </cell>
          <cell r="I1069">
            <v>0</v>
          </cell>
          <cell r="J1069">
            <v>0</v>
          </cell>
          <cell r="K1069" t="str">
            <v/>
          </cell>
          <cell r="L1069" t="str">
            <v/>
          </cell>
          <cell r="M1069">
            <v>0</v>
          </cell>
          <cell r="N1069" t="str">
            <v/>
          </cell>
          <cell r="O1069">
            <v>0</v>
          </cell>
          <cell r="P1069" t="str">
            <v/>
          </cell>
          <cell r="Q1069">
            <v>0</v>
          </cell>
          <cell r="R1069" t="str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 t="str">
            <v/>
          </cell>
          <cell r="Y1069" t="str">
            <v/>
          </cell>
          <cell r="Z1069" t="str">
            <v/>
          </cell>
          <cell r="AA1069">
            <v>0</v>
          </cell>
          <cell r="AB1069">
            <v>0</v>
          </cell>
          <cell r="AC1069">
            <v>0</v>
          </cell>
          <cell r="AD1069"/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</row>
        <row r="1070">
          <cell r="A1070" t="str">
            <v>FTK11203-MB</v>
          </cell>
          <cell r="B1070"/>
          <cell r="C1070" t="str">
            <v>Bucha Bandeja</v>
          </cell>
          <cell r="D1070" t="str">
            <v>MOBENSANI</v>
          </cell>
          <cell r="E1070">
            <v>10</v>
          </cell>
          <cell r="F1070" t="str">
            <v>Suporte Dianteiro Da Bandeja Dianteira Meriva 2002 A 2014</v>
          </cell>
          <cell r="G1070"/>
          <cell r="H1070">
            <v>0</v>
          </cell>
          <cell r="I1070">
            <v>0</v>
          </cell>
          <cell r="J1070">
            <v>0</v>
          </cell>
          <cell r="K1070" t="str">
            <v/>
          </cell>
          <cell r="L1070" t="str">
            <v/>
          </cell>
          <cell r="M1070">
            <v>0</v>
          </cell>
          <cell r="N1070" t="str">
            <v/>
          </cell>
          <cell r="O1070">
            <v>0</v>
          </cell>
          <cell r="P1070" t="str">
            <v/>
          </cell>
          <cell r="Q1070">
            <v>0</v>
          </cell>
          <cell r="R1070" t="str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 t="str">
            <v/>
          </cell>
          <cell r="Y1070" t="str">
            <v/>
          </cell>
          <cell r="Z1070" t="str">
            <v/>
          </cell>
          <cell r="AA1070">
            <v>0</v>
          </cell>
          <cell r="AB1070">
            <v>0</v>
          </cell>
          <cell r="AC1070">
            <v>0</v>
          </cell>
          <cell r="AD1070"/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</row>
        <row r="1071">
          <cell r="A1071" t="str">
            <v>FTK11224-MB</v>
          </cell>
          <cell r="B1071"/>
          <cell r="C1071" t="str">
            <v>Bucha Bandeja</v>
          </cell>
          <cell r="D1071" t="str">
            <v>MOBENSANI</v>
          </cell>
          <cell r="E1071">
            <v>10</v>
          </cell>
          <cell r="F1071" t="str">
            <v>Bucha Dianteira Da Bandeja Dianteira Cobalt 2011 Em Diante</v>
          </cell>
          <cell r="G1071"/>
          <cell r="H1071">
            <v>0</v>
          </cell>
          <cell r="I1071">
            <v>0</v>
          </cell>
          <cell r="J1071">
            <v>0</v>
          </cell>
          <cell r="K1071" t="str">
            <v/>
          </cell>
          <cell r="L1071" t="str">
            <v/>
          </cell>
          <cell r="M1071">
            <v>0</v>
          </cell>
          <cell r="N1071" t="str">
            <v/>
          </cell>
          <cell r="O1071">
            <v>0</v>
          </cell>
          <cell r="P1071" t="str">
            <v/>
          </cell>
          <cell r="Q1071">
            <v>0</v>
          </cell>
          <cell r="R1071" t="str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 t="str">
            <v/>
          </cell>
          <cell r="Y1071" t="str">
            <v/>
          </cell>
          <cell r="Z1071" t="str">
            <v/>
          </cell>
          <cell r="AA1071">
            <v>0</v>
          </cell>
          <cell r="AB1071">
            <v>0</v>
          </cell>
          <cell r="AC1071">
            <v>0</v>
          </cell>
          <cell r="AD1071"/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</row>
        <row r="1072">
          <cell r="A1072" t="str">
            <v>FTK11225-MB</v>
          </cell>
          <cell r="B1072"/>
          <cell r="C1072" t="str">
            <v>Bucha Bandeja</v>
          </cell>
          <cell r="D1072" t="str">
            <v>MOBENSANI</v>
          </cell>
          <cell r="E1072">
            <v>10</v>
          </cell>
          <cell r="F1072" t="str">
            <v>Bucha Traseira Da Bandeja Dianteira Prisma 2013 Em Diante</v>
          </cell>
          <cell r="G1072"/>
          <cell r="H1072">
            <v>0</v>
          </cell>
          <cell r="I1072">
            <v>0</v>
          </cell>
          <cell r="J1072">
            <v>0</v>
          </cell>
          <cell r="K1072" t="str">
            <v/>
          </cell>
          <cell r="L1072" t="str">
            <v/>
          </cell>
          <cell r="M1072">
            <v>0</v>
          </cell>
          <cell r="N1072" t="str">
            <v/>
          </cell>
          <cell r="O1072">
            <v>0</v>
          </cell>
          <cell r="P1072" t="str">
            <v/>
          </cell>
          <cell r="Q1072">
            <v>0</v>
          </cell>
          <cell r="R1072" t="str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 t="str">
            <v/>
          </cell>
          <cell r="Y1072" t="str">
            <v/>
          </cell>
          <cell r="Z1072" t="str">
            <v/>
          </cell>
          <cell r="AA1072">
            <v>0</v>
          </cell>
          <cell r="AB1072">
            <v>0</v>
          </cell>
          <cell r="AC1072">
            <v>0</v>
          </cell>
          <cell r="AD1072"/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</row>
        <row r="1073">
          <cell r="A1073" t="str">
            <v>FTK1191-MB</v>
          </cell>
          <cell r="B1073"/>
          <cell r="C1073" t="str">
            <v>Bucha Bandeja</v>
          </cell>
          <cell r="D1073" t="str">
            <v>MOBENSANI</v>
          </cell>
          <cell r="E1073">
            <v>10</v>
          </cell>
          <cell r="F1073" t="str">
            <v>Bucha Da Bandeja Suspensão Dianteira C14 C15 1982 A 1984</v>
          </cell>
          <cell r="G1073"/>
          <cell r="H1073">
            <v>0</v>
          </cell>
          <cell r="I1073">
            <v>0</v>
          </cell>
          <cell r="J1073">
            <v>0</v>
          </cell>
          <cell r="K1073" t="str">
            <v/>
          </cell>
          <cell r="L1073" t="str">
            <v/>
          </cell>
          <cell r="M1073">
            <v>0</v>
          </cell>
          <cell r="N1073" t="str">
            <v/>
          </cell>
          <cell r="O1073">
            <v>0</v>
          </cell>
          <cell r="P1073" t="str">
            <v/>
          </cell>
          <cell r="Q1073">
            <v>0</v>
          </cell>
          <cell r="R1073" t="str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 t="str">
            <v/>
          </cell>
          <cell r="Y1073" t="str">
            <v/>
          </cell>
          <cell r="Z1073" t="str">
            <v/>
          </cell>
          <cell r="AA1073">
            <v>0</v>
          </cell>
          <cell r="AB1073">
            <v>0</v>
          </cell>
          <cell r="AC1073">
            <v>0</v>
          </cell>
          <cell r="AD1073"/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</row>
        <row r="1074">
          <cell r="A1074" t="str">
            <v>FTK22204-MB</v>
          </cell>
          <cell r="B1074"/>
          <cell r="C1074" t="str">
            <v>Bucha Bandeja</v>
          </cell>
          <cell r="D1074" t="str">
            <v>MOBENSANI</v>
          </cell>
          <cell r="E1074">
            <v>10</v>
          </cell>
          <cell r="F1074" t="str">
            <v>Bucha Dianteira Da Bandeja Dianteira Focus 2000 A 2009</v>
          </cell>
          <cell r="G1074"/>
          <cell r="H1074">
            <v>0</v>
          </cell>
          <cell r="I1074">
            <v>0</v>
          </cell>
          <cell r="J1074" t="str">
            <v/>
          </cell>
          <cell r="K1074" t="str">
            <v/>
          </cell>
          <cell r="L1074" t="str">
            <v/>
          </cell>
          <cell r="M1074">
            <v>0</v>
          </cell>
          <cell r="N1074" t="str">
            <v/>
          </cell>
          <cell r="O1074" t="str">
            <v/>
          </cell>
          <cell r="P1074" t="str">
            <v/>
          </cell>
          <cell r="Q1074">
            <v>0</v>
          </cell>
          <cell r="R1074" t="str">
            <v>0</v>
          </cell>
          <cell r="S1074" t="str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 t="str">
            <v/>
          </cell>
          <cell r="Y1074" t="str">
            <v/>
          </cell>
          <cell r="Z1074" t="str">
            <v/>
          </cell>
          <cell r="AA1074">
            <v>0</v>
          </cell>
          <cell r="AB1074">
            <v>0</v>
          </cell>
          <cell r="AC1074">
            <v>0</v>
          </cell>
          <cell r="AD1074"/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</row>
        <row r="1075">
          <cell r="A1075" t="str">
            <v>FTK22208-MB</v>
          </cell>
          <cell r="B1075"/>
          <cell r="C1075" t="str">
            <v>Bucha Bandeja</v>
          </cell>
          <cell r="D1075" t="str">
            <v>MOBENSANI</v>
          </cell>
          <cell r="E1075">
            <v>10</v>
          </cell>
          <cell r="F1075" t="str">
            <v>Bucha Traseira Da Bandeja Dianteira Courier 1996 A 2013</v>
          </cell>
          <cell r="G1075"/>
          <cell r="H1075">
            <v>0</v>
          </cell>
          <cell r="I1075">
            <v>0</v>
          </cell>
          <cell r="J1075">
            <v>0</v>
          </cell>
          <cell r="K1075" t="str">
            <v/>
          </cell>
          <cell r="L1075" t="str">
            <v/>
          </cell>
          <cell r="M1075">
            <v>0</v>
          </cell>
          <cell r="N1075" t="str">
            <v/>
          </cell>
          <cell r="O1075">
            <v>0</v>
          </cell>
          <cell r="P1075" t="str">
            <v/>
          </cell>
          <cell r="Q1075">
            <v>0</v>
          </cell>
          <cell r="R1075" t="str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 t="str">
            <v/>
          </cell>
          <cell r="Y1075" t="str">
            <v/>
          </cell>
          <cell r="Z1075" t="str">
            <v/>
          </cell>
          <cell r="AA1075">
            <v>0</v>
          </cell>
          <cell r="AB1075">
            <v>0</v>
          </cell>
          <cell r="AC1075">
            <v>0</v>
          </cell>
          <cell r="AD1075"/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</row>
        <row r="1076">
          <cell r="A1076" t="str">
            <v>FTK22220-MB</v>
          </cell>
          <cell r="B1076"/>
          <cell r="C1076" t="str">
            <v>Bucha Bandeja</v>
          </cell>
          <cell r="D1076" t="str">
            <v/>
          </cell>
          <cell r="E1076" t="e">
            <v>#N/A</v>
          </cell>
          <cell r="F1076" t="str">
            <v>BUCHA TRASEIRA DA BANDEJA DIANTEIRA ECOSPORT 2003 A 2012</v>
          </cell>
          <cell r="G1076"/>
          <cell r="H1076" t="str">
            <v>-</v>
          </cell>
          <cell r="I1076">
            <v>0</v>
          </cell>
          <cell r="J1076">
            <v>0</v>
          </cell>
          <cell r="K1076" t="str">
            <v/>
          </cell>
          <cell r="L1076" t="str">
            <v/>
          </cell>
          <cell r="M1076">
            <v>0</v>
          </cell>
          <cell r="N1076" t="str">
            <v/>
          </cell>
          <cell r="O1076">
            <v>0</v>
          </cell>
          <cell r="P1076" t="str">
            <v/>
          </cell>
          <cell r="Q1076">
            <v>0</v>
          </cell>
          <cell r="R1076" t="str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 t="str">
            <v/>
          </cell>
          <cell r="Y1076" t="str">
            <v/>
          </cell>
          <cell r="Z1076" t="str">
            <v/>
          </cell>
          <cell r="AA1076">
            <v>0</v>
          </cell>
          <cell r="AB1076">
            <v>0</v>
          </cell>
          <cell r="AC1076">
            <v>0</v>
          </cell>
          <cell r="AD1076"/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</row>
        <row r="1077">
          <cell r="A1077" t="str">
            <v>FTK22222-MB</v>
          </cell>
          <cell r="B1077"/>
          <cell r="C1077" t="str">
            <v>Bucha Bandeja</v>
          </cell>
          <cell r="D1077" t="str">
            <v/>
          </cell>
          <cell r="E1077" t="e">
            <v>#N/A</v>
          </cell>
          <cell r="F1077" t="str">
            <v>BUCHA DIANTEIRA DA BANDEJA DIANTEIRA ECOSPORT 2003 A 2012</v>
          </cell>
          <cell r="G1077"/>
          <cell r="H1077" t="str">
            <v>-</v>
          </cell>
          <cell r="I1077">
            <v>0</v>
          </cell>
          <cell r="J1077">
            <v>0</v>
          </cell>
          <cell r="K1077" t="str">
            <v/>
          </cell>
          <cell r="L1077" t="str">
            <v/>
          </cell>
          <cell r="M1077">
            <v>0</v>
          </cell>
          <cell r="N1077" t="str">
            <v/>
          </cell>
          <cell r="O1077">
            <v>0</v>
          </cell>
          <cell r="P1077" t="str">
            <v/>
          </cell>
          <cell r="Q1077">
            <v>0</v>
          </cell>
          <cell r="R1077" t="str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 t="str">
            <v/>
          </cell>
          <cell r="Y1077" t="str">
            <v/>
          </cell>
          <cell r="Z1077" t="str">
            <v/>
          </cell>
          <cell r="AA1077">
            <v>0</v>
          </cell>
          <cell r="AB1077">
            <v>0</v>
          </cell>
          <cell r="AC1077">
            <v>0</v>
          </cell>
          <cell r="AD1077"/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</row>
        <row r="1078">
          <cell r="A1078" t="str">
            <v>FTK22286-GP</v>
          </cell>
          <cell r="B1078"/>
          <cell r="C1078" t="str">
            <v>Bucha Bandeja</v>
          </cell>
          <cell r="D1078" t="str">
            <v>GUARU BORRACHAS</v>
          </cell>
          <cell r="E1078">
            <v>17</v>
          </cell>
          <cell r="F1078" t="str">
            <v>Bucha Da Bandeja Superior Dianteira Ranger 2012 Em Diante</v>
          </cell>
          <cell r="G1078"/>
          <cell r="H1078">
            <v>0</v>
          </cell>
          <cell r="I1078">
            <v>0</v>
          </cell>
          <cell r="J1078">
            <v>0</v>
          </cell>
          <cell r="K1078" t="str">
            <v/>
          </cell>
          <cell r="L1078" t="str">
            <v/>
          </cell>
          <cell r="M1078">
            <v>0</v>
          </cell>
          <cell r="N1078" t="str">
            <v/>
          </cell>
          <cell r="O1078">
            <v>0</v>
          </cell>
          <cell r="P1078" t="str">
            <v/>
          </cell>
          <cell r="Q1078">
            <v>0</v>
          </cell>
          <cell r="R1078" t="str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 t="str">
            <v/>
          </cell>
          <cell r="Y1078" t="str">
            <v/>
          </cell>
          <cell r="Z1078" t="str">
            <v/>
          </cell>
          <cell r="AA1078">
            <v>0</v>
          </cell>
          <cell r="AB1078">
            <v>0</v>
          </cell>
          <cell r="AC1078">
            <v>0</v>
          </cell>
          <cell r="AD1078"/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</row>
        <row r="1079">
          <cell r="A1079" t="str">
            <v>FTK2263-MB</v>
          </cell>
          <cell r="B1079"/>
          <cell r="C1079" t="str">
            <v>Bucha Bandeja</v>
          </cell>
          <cell r="D1079" t="str">
            <v>MOBENSANI</v>
          </cell>
          <cell r="E1079">
            <v>10</v>
          </cell>
          <cell r="F1079" t="str">
            <v>Bucha Dianteira Da Bandeja Dianteira Fiesta 1996 A 2002</v>
          </cell>
          <cell r="G1079"/>
          <cell r="H1079">
            <v>0</v>
          </cell>
          <cell r="I1079">
            <v>0</v>
          </cell>
          <cell r="J1079">
            <v>0</v>
          </cell>
          <cell r="K1079" t="str">
            <v/>
          </cell>
          <cell r="L1079" t="str">
            <v/>
          </cell>
          <cell r="M1079">
            <v>0</v>
          </cell>
          <cell r="N1079" t="str">
            <v/>
          </cell>
          <cell r="O1079">
            <v>0</v>
          </cell>
          <cell r="P1079" t="str">
            <v/>
          </cell>
          <cell r="Q1079">
            <v>0</v>
          </cell>
          <cell r="R1079" t="str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 t="str">
            <v/>
          </cell>
          <cell r="Y1079" t="str">
            <v/>
          </cell>
          <cell r="Z1079" t="str">
            <v/>
          </cell>
          <cell r="AA1079">
            <v>0</v>
          </cell>
          <cell r="AB1079">
            <v>0</v>
          </cell>
          <cell r="AC1079">
            <v>0</v>
          </cell>
          <cell r="AD1079"/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</row>
        <row r="1080">
          <cell r="A1080" t="str">
            <v>FTK33028-MB</v>
          </cell>
          <cell r="B1080"/>
          <cell r="C1080" t="str">
            <v>Bucha Bandeja</v>
          </cell>
          <cell r="D1080" t="str">
            <v>MOBENSANI</v>
          </cell>
          <cell r="E1080">
            <v>10</v>
          </cell>
          <cell r="F1080" t="str">
            <v>Bucha Central Da Bandeja Inferior Amarok 2010 Em Diante</v>
          </cell>
          <cell r="G1080"/>
          <cell r="H1080">
            <v>0</v>
          </cell>
          <cell r="I1080">
            <v>0</v>
          </cell>
          <cell r="J1080">
            <v>0</v>
          </cell>
          <cell r="K1080" t="str">
            <v/>
          </cell>
          <cell r="L1080" t="str">
            <v/>
          </cell>
          <cell r="M1080">
            <v>0</v>
          </cell>
          <cell r="N1080" t="str">
            <v/>
          </cell>
          <cell r="O1080">
            <v>0</v>
          </cell>
          <cell r="P1080" t="str">
            <v/>
          </cell>
          <cell r="Q1080">
            <v>0</v>
          </cell>
          <cell r="R1080" t="str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 t="str">
            <v/>
          </cell>
          <cell r="Y1080" t="str">
            <v/>
          </cell>
          <cell r="Z1080" t="str">
            <v/>
          </cell>
          <cell r="AA1080">
            <v>0</v>
          </cell>
          <cell r="AB1080">
            <v>0</v>
          </cell>
          <cell r="AC1080">
            <v>0</v>
          </cell>
          <cell r="AD1080"/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</row>
        <row r="1081">
          <cell r="A1081" t="str">
            <v>FTK33029-MB</v>
          </cell>
          <cell r="B1081"/>
          <cell r="C1081" t="str">
            <v>Bucha Bandeja</v>
          </cell>
          <cell r="D1081" t="str">
            <v>MOBENSANI</v>
          </cell>
          <cell r="E1081">
            <v>10</v>
          </cell>
          <cell r="F1081" t="str">
            <v>Bucha Da Bandeja Superior Dianteira Amarok 2010 Em Diante</v>
          </cell>
          <cell r="G1081"/>
          <cell r="H1081">
            <v>0</v>
          </cell>
          <cell r="I1081">
            <v>0</v>
          </cell>
          <cell r="J1081">
            <v>0</v>
          </cell>
          <cell r="K1081" t="str">
            <v/>
          </cell>
          <cell r="L1081" t="str">
            <v/>
          </cell>
          <cell r="M1081">
            <v>0</v>
          </cell>
          <cell r="N1081" t="str">
            <v/>
          </cell>
          <cell r="O1081">
            <v>0</v>
          </cell>
          <cell r="P1081" t="str">
            <v/>
          </cell>
          <cell r="Q1081">
            <v>0</v>
          </cell>
          <cell r="R1081" t="str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 t="str">
            <v/>
          </cell>
          <cell r="Y1081" t="str">
            <v/>
          </cell>
          <cell r="Z1081" t="str">
            <v/>
          </cell>
          <cell r="AA1081">
            <v>0</v>
          </cell>
          <cell r="AB1081">
            <v>0</v>
          </cell>
          <cell r="AC1081">
            <v>0</v>
          </cell>
          <cell r="AD1081"/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</row>
        <row r="1082">
          <cell r="A1082" t="str">
            <v>FTK3395-MB</v>
          </cell>
          <cell r="B1082"/>
          <cell r="C1082" t="str">
            <v>Bucha Bandeja</v>
          </cell>
          <cell r="D1082" t="str">
            <v>MOBENSANI</v>
          </cell>
          <cell r="E1082">
            <v>10</v>
          </cell>
          <cell r="F1082" t="str">
            <v>Bucha Dianteira Da Bandeja Dianteira New Fiesta 2010 Diante</v>
          </cell>
          <cell r="G1082"/>
          <cell r="H1082">
            <v>0</v>
          </cell>
          <cell r="I1082">
            <v>0</v>
          </cell>
          <cell r="J1082" t="str">
            <v/>
          </cell>
          <cell r="K1082" t="str">
            <v/>
          </cell>
          <cell r="L1082" t="str">
            <v/>
          </cell>
          <cell r="M1082">
            <v>0</v>
          </cell>
          <cell r="N1082" t="str">
            <v/>
          </cell>
          <cell r="O1082" t="str">
            <v/>
          </cell>
          <cell r="P1082" t="str">
            <v/>
          </cell>
          <cell r="Q1082">
            <v>0</v>
          </cell>
          <cell r="R1082" t="str">
            <v>0</v>
          </cell>
          <cell r="S1082" t="str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 t="str">
            <v/>
          </cell>
          <cell r="Y1082" t="str">
            <v/>
          </cell>
          <cell r="Z1082" t="str">
            <v/>
          </cell>
          <cell r="AA1082">
            <v>0</v>
          </cell>
          <cell r="AB1082">
            <v>0</v>
          </cell>
          <cell r="AC1082">
            <v>0</v>
          </cell>
          <cell r="AD1082"/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</row>
        <row r="1083">
          <cell r="A1083" t="str">
            <v>FTK44003-AMW</v>
          </cell>
          <cell r="B1083"/>
          <cell r="C1083" t="str">
            <v>Bucha Bandeja</v>
          </cell>
          <cell r="D1083" t="str">
            <v>SPARE</v>
          </cell>
          <cell r="E1083">
            <v>2</v>
          </cell>
          <cell r="F1083" t="str">
            <v>Bucha Esquerda Traseira Bandeja Dianteira Tipo 1993 A 1997</v>
          </cell>
          <cell r="G1083"/>
          <cell r="H1083">
            <v>0</v>
          </cell>
          <cell r="I1083">
            <v>0</v>
          </cell>
          <cell r="J1083">
            <v>0</v>
          </cell>
          <cell r="K1083" t="str">
            <v/>
          </cell>
          <cell r="L1083" t="str">
            <v/>
          </cell>
          <cell r="M1083">
            <v>0</v>
          </cell>
          <cell r="N1083" t="str">
            <v/>
          </cell>
          <cell r="O1083">
            <v>0</v>
          </cell>
          <cell r="P1083" t="str">
            <v/>
          </cell>
          <cell r="Q1083">
            <v>0</v>
          </cell>
          <cell r="R1083" t="str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 t="str">
            <v/>
          </cell>
          <cell r="Y1083" t="str">
            <v/>
          </cell>
          <cell r="Z1083" t="str">
            <v/>
          </cell>
          <cell r="AA1083">
            <v>0</v>
          </cell>
          <cell r="AB1083">
            <v>0</v>
          </cell>
          <cell r="AC1083">
            <v>0</v>
          </cell>
          <cell r="AD1083"/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</row>
        <row r="1084">
          <cell r="A1084" t="str">
            <v>FTK44006-AMW</v>
          </cell>
          <cell r="B1084"/>
          <cell r="C1084" t="str">
            <v>Bucha Bandeja</v>
          </cell>
          <cell r="D1084" t="str">
            <v>SPARE</v>
          </cell>
          <cell r="E1084">
            <v>2</v>
          </cell>
          <cell r="F1084" t="str">
            <v>Bucha Direita Traseira Bandeja Dianteira Tipo 93 A 97</v>
          </cell>
          <cell r="G1084"/>
          <cell r="H1084">
            <v>0</v>
          </cell>
          <cell r="I1084">
            <v>0</v>
          </cell>
          <cell r="J1084">
            <v>0</v>
          </cell>
          <cell r="K1084" t="str">
            <v/>
          </cell>
          <cell r="L1084" t="str">
            <v/>
          </cell>
          <cell r="M1084">
            <v>0</v>
          </cell>
          <cell r="N1084" t="str">
            <v/>
          </cell>
          <cell r="O1084">
            <v>0</v>
          </cell>
          <cell r="P1084" t="str">
            <v/>
          </cell>
          <cell r="Q1084">
            <v>0</v>
          </cell>
          <cell r="R1084" t="str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 t="str">
            <v/>
          </cell>
          <cell r="Y1084" t="str">
            <v/>
          </cell>
          <cell r="Z1084" t="str">
            <v/>
          </cell>
          <cell r="AA1084">
            <v>0</v>
          </cell>
          <cell r="AB1084">
            <v>0</v>
          </cell>
          <cell r="AC1084">
            <v>0</v>
          </cell>
          <cell r="AD1084"/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</row>
        <row r="1085">
          <cell r="A1085" t="str">
            <v>FTK44406-MB</v>
          </cell>
          <cell r="B1085"/>
          <cell r="C1085" t="str">
            <v>Bucha Bandeja</v>
          </cell>
          <cell r="D1085" t="str">
            <v>MOBENSANI</v>
          </cell>
          <cell r="E1085">
            <v>10</v>
          </cell>
          <cell r="F1085" t="str">
            <v>Bucha Traseira Da Bandeja Dianteira Punto 2008 A 2018</v>
          </cell>
          <cell r="G1085"/>
          <cell r="H1085">
            <v>0</v>
          </cell>
          <cell r="I1085">
            <v>0</v>
          </cell>
          <cell r="J1085">
            <v>0</v>
          </cell>
          <cell r="K1085" t="str">
            <v/>
          </cell>
          <cell r="L1085" t="str">
            <v/>
          </cell>
          <cell r="M1085">
            <v>0</v>
          </cell>
          <cell r="N1085" t="str">
            <v/>
          </cell>
          <cell r="O1085">
            <v>0</v>
          </cell>
          <cell r="P1085" t="str">
            <v/>
          </cell>
          <cell r="Q1085">
            <v>0</v>
          </cell>
          <cell r="R1085" t="str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 t="str">
            <v/>
          </cell>
          <cell r="Y1085" t="str">
            <v/>
          </cell>
          <cell r="Z1085" t="str">
            <v/>
          </cell>
          <cell r="AA1085">
            <v>0</v>
          </cell>
          <cell r="AB1085">
            <v>0</v>
          </cell>
          <cell r="AC1085">
            <v>0</v>
          </cell>
          <cell r="AD1085"/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</row>
        <row r="1086">
          <cell r="A1086" t="str">
            <v>FTK4476-MB</v>
          </cell>
          <cell r="B1086"/>
          <cell r="C1086" t="str">
            <v>Bucha Bandeja</v>
          </cell>
          <cell r="D1086" t="str">
            <v>MOBENSANI</v>
          </cell>
          <cell r="E1086">
            <v>10</v>
          </cell>
          <cell r="F1086" t="str">
            <v>Bucha Dianteira Da Bandeja Dianteira Stilo 2002 A 2010</v>
          </cell>
          <cell r="G1086"/>
          <cell r="H1086">
            <v>0</v>
          </cell>
          <cell r="I1086">
            <v>0</v>
          </cell>
          <cell r="J1086">
            <v>0</v>
          </cell>
          <cell r="K1086" t="str">
            <v/>
          </cell>
          <cell r="L1086" t="str">
            <v/>
          </cell>
          <cell r="M1086">
            <v>0</v>
          </cell>
          <cell r="N1086" t="str">
            <v/>
          </cell>
          <cell r="O1086">
            <v>0</v>
          </cell>
          <cell r="P1086" t="str">
            <v/>
          </cell>
          <cell r="Q1086">
            <v>0</v>
          </cell>
          <cell r="R1086" t="str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 t="str">
            <v/>
          </cell>
          <cell r="Y1086" t="str">
            <v/>
          </cell>
          <cell r="Z1086" t="str">
            <v/>
          </cell>
          <cell r="AA1086">
            <v>0</v>
          </cell>
          <cell r="AB1086">
            <v>0</v>
          </cell>
          <cell r="AC1086">
            <v>0</v>
          </cell>
          <cell r="AD1086"/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</row>
        <row r="1087">
          <cell r="A1087" t="str">
            <v>FTK4477-MB</v>
          </cell>
          <cell r="B1087"/>
          <cell r="C1087" t="str">
            <v>Bucha Bandeja</v>
          </cell>
          <cell r="D1087" t="str">
            <v>MOBENSANI</v>
          </cell>
          <cell r="E1087">
            <v>10</v>
          </cell>
          <cell r="F1087" t="str">
            <v>Bucha Traseira Da Bandeja Dianteira Stilo 2002 A 2010</v>
          </cell>
          <cell r="G1087"/>
          <cell r="H1087">
            <v>0</v>
          </cell>
          <cell r="I1087">
            <v>0</v>
          </cell>
          <cell r="J1087">
            <v>0</v>
          </cell>
          <cell r="K1087" t="str">
            <v/>
          </cell>
          <cell r="L1087" t="str">
            <v/>
          </cell>
          <cell r="M1087">
            <v>0</v>
          </cell>
          <cell r="N1087" t="str">
            <v/>
          </cell>
          <cell r="O1087">
            <v>0</v>
          </cell>
          <cell r="P1087" t="str">
            <v/>
          </cell>
          <cell r="Q1087">
            <v>0</v>
          </cell>
          <cell r="R1087" t="str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 t="str">
            <v/>
          </cell>
          <cell r="Y1087" t="str">
            <v/>
          </cell>
          <cell r="Z1087" t="str">
            <v/>
          </cell>
          <cell r="AA1087">
            <v>0</v>
          </cell>
          <cell r="AB1087">
            <v>0</v>
          </cell>
          <cell r="AC1087">
            <v>0</v>
          </cell>
          <cell r="AD1087"/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</row>
        <row r="1088">
          <cell r="A1088" t="str">
            <v>FTK66075-MB</v>
          </cell>
          <cell r="B1088"/>
          <cell r="C1088" t="str">
            <v>Bucha Bandeja</v>
          </cell>
          <cell r="D1088" t="str">
            <v/>
          </cell>
          <cell r="E1088" t="e">
            <v>#N/A</v>
          </cell>
          <cell r="F1088" t="str">
            <v>BUCHA DIANTEIRA DA BANDEJA DIANTEIRA CIVIC 2012 A 2016</v>
          </cell>
          <cell r="G1088"/>
          <cell r="H1088" t="str">
            <v>-</v>
          </cell>
          <cell r="I1088">
            <v>0</v>
          </cell>
          <cell r="J1088">
            <v>0</v>
          </cell>
          <cell r="K1088" t="str">
            <v/>
          </cell>
          <cell r="L1088" t="str">
            <v/>
          </cell>
          <cell r="M1088">
            <v>0</v>
          </cell>
          <cell r="N1088" t="str">
            <v/>
          </cell>
          <cell r="O1088">
            <v>0</v>
          </cell>
          <cell r="P1088" t="str">
            <v/>
          </cell>
          <cell r="Q1088">
            <v>0</v>
          </cell>
          <cell r="R1088" t="str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 t="str">
            <v/>
          </cell>
          <cell r="Y1088" t="str">
            <v/>
          </cell>
          <cell r="Z1088" t="str">
            <v/>
          </cell>
          <cell r="AA1088">
            <v>0</v>
          </cell>
          <cell r="AB1088">
            <v>0</v>
          </cell>
          <cell r="AC1088">
            <v>0</v>
          </cell>
          <cell r="AD1088"/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</row>
        <row r="1089">
          <cell r="A1089" t="str">
            <v>FTK77002-AMW</v>
          </cell>
          <cell r="B1089"/>
          <cell r="C1089" t="str">
            <v>Bucha Bandeja</v>
          </cell>
          <cell r="D1089" t="str">
            <v>SPARE</v>
          </cell>
          <cell r="E1089">
            <v>2</v>
          </cell>
          <cell r="F1089" t="str">
            <v>Bucha Traseira Da Bandeja Dianteira Xsara 1998 A 2004</v>
          </cell>
          <cell r="G1089"/>
          <cell r="H1089">
            <v>0</v>
          </cell>
          <cell r="I1089">
            <v>0</v>
          </cell>
          <cell r="J1089">
            <v>0</v>
          </cell>
          <cell r="K1089" t="str">
            <v/>
          </cell>
          <cell r="L1089" t="str">
            <v/>
          </cell>
          <cell r="M1089">
            <v>0</v>
          </cell>
          <cell r="N1089" t="str">
            <v/>
          </cell>
          <cell r="O1089">
            <v>0</v>
          </cell>
          <cell r="P1089" t="str">
            <v/>
          </cell>
          <cell r="Q1089">
            <v>0</v>
          </cell>
          <cell r="R1089" t="str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 t="str">
            <v/>
          </cell>
          <cell r="Y1089" t="str">
            <v/>
          </cell>
          <cell r="Z1089" t="str">
            <v/>
          </cell>
          <cell r="AA1089">
            <v>0</v>
          </cell>
          <cell r="AB1089">
            <v>0</v>
          </cell>
          <cell r="AC1089">
            <v>0</v>
          </cell>
          <cell r="AD1089"/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</row>
        <row r="1090">
          <cell r="A1090" t="str">
            <v>FTK77015-MB</v>
          </cell>
          <cell r="B1090"/>
          <cell r="C1090" t="str">
            <v>Bucha Bandeja</v>
          </cell>
          <cell r="D1090" t="str">
            <v>MOBENSANI</v>
          </cell>
          <cell r="E1090">
            <v>10</v>
          </cell>
          <cell r="F1090" t="str">
            <v>Bucha Dianteira Da Bandeja Dianteira Sentra 2014 Em Diante</v>
          </cell>
          <cell r="G1090"/>
          <cell r="H1090">
            <v>0</v>
          </cell>
          <cell r="I1090">
            <v>0</v>
          </cell>
          <cell r="J1090">
            <v>0</v>
          </cell>
          <cell r="K1090" t="str">
            <v/>
          </cell>
          <cell r="L1090" t="str">
            <v/>
          </cell>
          <cell r="M1090">
            <v>0</v>
          </cell>
          <cell r="N1090" t="str">
            <v/>
          </cell>
          <cell r="O1090">
            <v>0</v>
          </cell>
          <cell r="P1090" t="str">
            <v/>
          </cell>
          <cell r="Q1090">
            <v>0</v>
          </cell>
          <cell r="R1090" t="str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 t="str">
            <v/>
          </cell>
          <cell r="Y1090" t="str">
            <v/>
          </cell>
          <cell r="Z1090" t="str">
            <v/>
          </cell>
          <cell r="AA1090">
            <v>0</v>
          </cell>
          <cell r="AB1090">
            <v>0</v>
          </cell>
          <cell r="AC1090">
            <v>0</v>
          </cell>
          <cell r="AD1090"/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</row>
        <row r="1091">
          <cell r="A1091" t="str">
            <v>FTK7739-MB</v>
          </cell>
          <cell r="B1091"/>
          <cell r="C1091" t="str">
            <v>Bucha Bandeja</v>
          </cell>
          <cell r="D1091" t="str">
            <v>MOBENSANI</v>
          </cell>
          <cell r="E1091">
            <v>10</v>
          </cell>
          <cell r="F1091" t="str">
            <v>Bucha Traseira Da Bandeja Dianteira Corolla 1997 A 2002</v>
          </cell>
          <cell r="G1091"/>
          <cell r="H1091">
            <v>0</v>
          </cell>
          <cell r="I1091">
            <v>0</v>
          </cell>
          <cell r="J1091">
            <v>0</v>
          </cell>
          <cell r="K1091" t="str">
            <v/>
          </cell>
          <cell r="L1091" t="str">
            <v/>
          </cell>
          <cell r="M1091">
            <v>0</v>
          </cell>
          <cell r="N1091" t="str">
            <v/>
          </cell>
          <cell r="O1091">
            <v>0</v>
          </cell>
          <cell r="P1091" t="str">
            <v/>
          </cell>
          <cell r="Q1091">
            <v>0</v>
          </cell>
          <cell r="R1091" t="str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 t="str">
            <v/>
          </cell>
          <cell r="Y1091" t="str">
            <v/>
          </cell>
          <cell r="Z1091" t="str">
            <v/>
          </cell>
          <cell r="AA1091">
            <v>0</v>
          </cell>
          <cell r="AB1091">
            <v>0</v>
          </cell>
          <cell r="AC1091">
            <v>0</v>
          </cell>
          <cell r="AD1091"/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</row>
        <row r="1092">
          <cell r="A1092" t="str">
            <v>FTK7741-MB</v>
          </cell>
          <cell r="B1092"/>
          <cell r="C1092" t="str">
            <v>Bucha Bandeja</v>
          </cell>
          <cell r="D1092" t="str">
            <v>MOBENSANI</v>
          </cell>
          <cell r="E1092">
            <v>10</v>
          </cell>
          <cell r="F1092" t="str">
            <v>Bucha Traseira Da Bandeja Dianteira Corolla 2003 Em Diante</v>
          </cell>
          <cell r="G1092"/>
          <cell r="H1092">
            <v>0</v>
          </cell>
          <cell r="I1092">
            <v>0</v>
          </cell>
          <cell r="J1092">
            <v>0</v>
          </cell>
          <cell r="K1092" t="str">
            <v/>
          </cell>
          <cell r="L1092" t="str">
            <v/>
          </cell>
          <cell r="M1092">
            <v>0</v>
          </cell>
          <cell r="N1092" t="str">
            <v/>
          </cell>
          <cell r="O1092">
            <v>0</v>
          </cell>
          <cell r="P1092" t="str">
            <v/>
          </cell>
          <cell r="Q1092">
            <v>0</v>
          </cell>
          <cell r="R1092" t="str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 t="str">
            <v/>
          </cell>
          <cell r="Y1092" t="str">
            <v/>
          </cell>
          <cell r="Z1092" t="str">
            <v/>
          </cell>
          <cell r="AA1092">
            <v>0</v>
          </cell>
          <cell r="AB1092">
            <v>0</v>
          </cell>
          <cell r="AC1092">
            <v>0</v>
          </cell>
          <cell r="AD1092"/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</row>
        <row r="1093">
          <cell r="A1093" t="str">
            <v>FTK7742-MB</v>
          </cell>
          <cell r="B1093"/>
          <cell r="C1093" t="str">
            <v>Bucha Bandeja</v>
          </cell>
          <cell r="D1093" t="str">
            <v>MOBENSANI</v>
          </cell>
          <cell r="E1093">
            <v>10</v>
          </cell>
          <cell r="F1093" t="str">
            <v>Bucha Central Da Bandeja Dianteira Corolla 2003 Em Diante</v>
          </cell>
          <cell r="G1093"/>
          <cell r="H1093">
            <v>0</v>
          </cell>
          <cell r="I1093">
            <v>0</v>
          </cell>
          <cell r="J1093">
            <v>0</v>
          </cell>
          <cell r="K1093" t="str">
            <v/>
          </cell>
          <cell r="L1093" t="str">
            <v/>
          </cell>
          <cell r="M1093">
            <v>0</v>
          </cell>
          <cell r="N1093" t="str">
            <v/>
          </cell>
          <cell r="O1093">
            <v>0</v>
          </cell>
          <cell r="P1093" t="str">
            <v/>
          </cell>
          <cell r="Q1093">
            <v>0</v>
          </cell>
          <cell r="R1093" t="str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 t="str">
            <v/>
          </cell>
          <cell r="Y1093" t="str">
            <v/>
          </cell>
          <cell r="Z1093" t="str">
            <v/>
          </cell>
          <cell r="AA1093">
            <v>0</v>
          </cell>
          <cell r="AB1093">
            <v>0</v>
          </cell>
          <cell r="AC1093">
            <v>0</v>
          </cell>
          <cell r="AD1093"/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</row>
        <row r="1094">
          <cell r="A1094" t="str">
            <v>FTK88001-AMW</v>
          </cell>
          <cell r="B1094"/>
          <cell r="C1094" t="str">
            <v>Bucha Bandeja</v>
          </cell>
          <cell r="D1094" t="str">
            <v>AMW</v>
          </cell>
          <cell r="E1094">
            <v>9</v>
          </cell>
          <cell r="F1094" t="str">
            <v>BUCHA DIANTEIRA DA BANDEJA DIANTEIRA 206 1998 A 2010</v>
          </cell>
          <cell r="G1094"/>
          <cell r="H1094" t="str">
            <v>-</v>
          </cell>
          <cell r="I1094">
            <v>0</v>
          </cell>
          <cell r="J1094">
            <v>0</v>
          </cell>
          <cell r="K1094" t="str">
            <v/>
          </cell>
          <cell r="L1094" t="str">
            <v/>
          </cell>
          <cell r="M1094">
            <v>0</v>
          </cell>
          <cell r="N1094" t="str">
            <v/>
          </cell>
          <cell r="O1094">
            <v>0</v>
          </cell>
          <cell r="P1094" t="str">
            <v/>
          </cell>
          <cell r="Q1094">
            <v>0</v>
          </cell>
          <cell r="R1094" t="str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 t="str">
            <v/>
          </cell>
          <cell r="Y1094" t="str">
            <v/>
          </cell>
          <cell r="Z1094" t="str">
            <v/>
          </cell>
          <cell r="AA1094">
            <v>0</v>
          </cell>
          <cell r="AB1094">
            <v>0</v>
          </cell>
          <cell r="AC1094">
            <v>0</v>
          </cell>
          <cell r="AD1094"/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</row>
        <row r="1095">
          <cell r="A1095" t="str">
            <v>FTK88002-AMW</v>
          </cell>
          <cell r="B1095"/>
          <cell r="C1095" t="str">
            <v>Bucha Bandeja</v>
          </cell>
          <cell r="D1095" t="str">
            <v>SPARE</v>
          </cell>
          <cell r="E1095">
            <v>2</v>
          </cell>
          <cell r="F1095" t="str">
            <v>Bucha Traseira Da Bandeja Dianteira C4 2007 A 2019</v>
          </cell>
          <cell r="G1095"/>
          <cell r="H1095">
            <v>0</v>
          </cell>
          <cell r="I1095">
            <v>0</v>
          </cell>
          <cell r="J1095">
            <v>0</v>
          </cell>
          <cell r="K1095" t="str">
            <v/>
          </cell>
          <cell r="L1095" t="str">
            <v/>
          </cell>
          <cell r="M1095">
            <v>0</v>
          </cell>
          <cell r="N1095" t="str">
            <v/>
          </cell>
          <cell r="O1095">
            <v>0</v>
          </cell>
          <cell r="P1095" t="str">
            <v/>
          </cell>
          <cell r="Q1095">
            <v>0</v>
          </cell>
          <cell r="R1095" t="str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 t="str">
            <v/>
          </cell>
          <cell r="Y1095" t="str">
            <v/>
          </cell>
          <cell r="Z1095" t="str">
            <v/>
          </cell>
          <cell r="AA1095">
            <v>0</v>
          </cell>
          <cell r="AB1095">
            <v>0</v>
          </cell>
          <cell r="AC1095">
            <v>0</v>
          </cell>
          <cell r="AD1095"/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</row>
        <row r="1096">
          <cell r="A1096" t="str">
            <v>FTK99103-MB</v>
          </cell>
          <cell r="B1096"/>
          <cell r="C1096" t="str">
            <v>Bucha Bandeja</v>
          </cell>
          <cell r="D1096" t="str">
            <v>MOBENSANI</v>
          </cell>
          <cell r="E1096">
            <v>10</v>
          </cell>
          <cell r="F1096" t="str">
            <v>Bucha Traseira Da Bandeja Dianteira Scenic 2007 Em Diante</v>
          </cell>
          <cell r="G1096"/>
          <cell r="H1096">
            <v>0</v>
          </cell>
          <cell r="I1096">
            <v>0</v>
          </cell>
          <cell r="J1096">
            <v>0</v>
          </cell>
          <cell r="K1096" t="str">
            <v/>
          </cell>
          <cell r="L1096" t="str">
            <v/>
          </cell>
          <cell r="M1096">
            <v>0</v>
          </cell>
          <cell r="N1096" t="str">
            <v/>
          </cell>
          <cell r="O1096">
            <v>0</v>
          </cell>
          <cell r="P1096" t="str">
            <v/>
          </cell>
          <cell r="Q1096">
            <v>0</v>
          </cell>
          <cell r="R1096" t="str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 t="str">
            <v/>
          </cell>
          <cell r="Y1096" t="str">
            <v/>
          </cell>
          <cell r="Z1096" t="str">
            <v/>
          </cell>
          <cell r="AA1096">
            <v>0</v>
          </cell>
          <cell r="AB1096">
            <v>0</v>
          </cell>
          <cell r="AC1096">
            <v>0</v>
          </cell>
          <cell r="AD1096"/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</row>
        <row r="1097">
          <cell r="A1097" t="str">
            <v>FTK99104-MB</v>
          </cell>
          <cell r="B1097"/>
          <cell r="C1097" t="str">
            <v>Bucha Bandeja</v>
          </cell>
          <cell r="D1097" t="str">
            <v>MOBENSANI</v>
          </cell>
          <cell r="E1097">
            <v>10</v>
          </cell>
          <cell r="F1097" t="str">
            <v>Bucha Dianteira Da Bandeja Dianteira Megane 2007 Em Diante</v>
          </cell>
          <cell r="G1097"/>
          <cell r="H1097">
            <v>0</v>
          </cell>
          <cell r="I1097">
            <v>0</v>
          </cell>
          <cell r="J1097">
            <v>0</v>
          </cell>
          <cell r="K1097" t="str">
            <v/>
          </cell>
          <cell r="L1097" t="str">
            <v/>
          </cell>
          <cell r="M1097">
            <v>0</v>
          </cell>
          <cell r="N1097" t="str">
            <v/>
          </cell>
          <cell r="O1097">
            <v>0</v>
          </cell>
          <cell r="P1097" t="str">
            <v/>
          </cell>
          <cell r="Q1097">
            <v>0</v>
          </cell>
          <cell r="R1097" t="str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 t="str">
            <v/>
          </cell>
          <cell r="Y1097" t="str">
            <v/>
          </cell>
          <cell r="Z1097" t="str">
            <v/>
          </cell>
          <cell r="AA1097">
            <v>0</v>
          </cell>
          <cell r="AB1097">
            <v>0</v>
          </cell>
          <cell r="AC1097">
            <v>0</v>
          </cell>
          <cell r="AD1097"/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</row>
        <row r="1098">
          <cell r="A1098" t="str">
            <v>FTK99128-MB</v>
          </cell>
          <cell r="B1098"/>
          <cell r="C1098" t="str">
            <v>Bucha Bandeja</v>
          </cell>
          <cell r="D1098" t="str">
            <v>MOBENSANI</v>
          </cell>
          <cell r="E1098">
            <v>10</v>
          </cell>
          <cell r="F1098" t="str">
            <v>Bucha Dianteira Da Bandeja Dianteira Fluence 2010 Em Diante</v>
          </cell>
          <cell r="G1098"/>
          <cell r="H1098">
            <v>0</v>
          </cell>
          <cell r="I1098">
            <v>0</v>
          </cell>
          <cell r="J1098">
            <v>0</v>
          </cell>
          <cell r="K1098" t="str">
            <v/>
          </cell>
          <cell r="L1098" t="str">
            <v/>
          </cell>
          <cell r="M1098">
            <v>0</v>
          </cell>
          <cell r="N1098" t="str">
            <v/>
          </cell>
          <cell r="O1098">
            <v>0</v>
          </cell>
          <cell r="P1098" t="str">
            <v/>
          </cell>
          <cell r="Q1098">
            <v>0</v>
          </cell>
          <cell r="R1098" t="str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 t="str">
            <v/>
          </cell>
          <cell r="Y1098" t="str">
            <v/>
          </cell>
          <cell r="Z1098" t="str">
            <v/>
          </cell>
          <cell r="AA1098">
            <v>0</v>
          </cell>
          <cell r="AB1098">
            <v>0</v>
          </cell>
          <cell r="AC1098">
            <v>0</v>
          </cell>
          <cell r="AD1098"/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</row>
        <row r="1099">
          <cell r="A1099" t="str">
            <v>FTK99129-MB</v>
          </cell>
          <cell r="B1099"/>
          <cell r="C1099" t="str">
            <v>Bucha Bandeja</v>
          </cell>
          <cell r="D1099" t="str">
            <v>MOBENSANI</v>
          </cell>
          <cell r="E1099">
            <v>10</v>
          </cell>
          <cell r="F1099" t="str">
            <v>Bucha Traseira Da Bandeja Dianteira Fluence 2010 Em Diante</v>
          </cell>
          <cell r="G1099"/>
          <cell r="H1099">
            <v>0</v>
          </cell>
          <cell r="I1099">
            <v>0</v>
          </cell>
          <cell r="J1099">
            <v>0</v>
          </cell>
          <cell r="K1099" t="str">
            <v/>
          </cell>
          <cell r="L1099" t="str">
            <v/>
          </cell>
          <cell r="M1099">
            <v>0</v>
          </cell>
          <cell r="N1099" t="str">
            <v/>
          </cell>
          <cell r="O1099">
            <v>0</v>
          </cell>
          <cell r="P1099" t="str">
            <v/>
          </cell>
          <cell r="Q1099">
            <v>0</v>
          </cell>
          <cell r="R1099" t="str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 t="str">
            <v/>
          </cell>
          <cell r="Y1099" t="str">
            <v/>
          </cell>
          <cell r="Z1099" t="str">
            <v/>
          </cell>
          <cell r="AA1099">
            <v>0</v>
          </cell>
          <cell r="AB1099">
            <v>0</v>
          </cell>
          <cell r="AC1099">
            <v>0</v>
          </cell>
          <cell r="AD1099"/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</row>
        <row r="1100">
          <cell r="A1100" t="str">
            <v>FTK99134-MB</v>
          </cell>
          <cell r="B1100"/>
          <cell r="C1100" t="str">
            <v>Bucha Bandeja</v>
          </cell>
          <cell r="D1100" t="str">
            <v>MOBENSANI</v>
          </cell>
          <cell r="E1100">
            <v>10</v>
          </cell>
          <cell r="F1100" t="str">
            <v>BUCHA TRASEIRA DA BANDEJA DIANTEIRA CIVIC 2007 A 2016</v>
          </cell>
          <cell r="G1100"/>
          <cell r="H1100" t="str">
            <v>-</v>
          </cell>
          <cell r="I1100">
            <v>0</v>
          </cell>
          <cell r="J1100">
            <v>0</v>
          </cell>
          <cell r="K1100" t="str">
            <v/>
          </cell>
          <cell r="L1100" t="str">
            <v/>
          </cell>
          <cell r="M1100">
            <v>0</v>
          </cell>
          <cell r="N1100" t="str">
            <v/>
          </cell>
          <cell r="O1100">
            <v>0</v>
          </cell>
          <cell r="P1100" t="str">
            <v/>
          </cell>
          <cell r="Q1100">
            <v>0</v>
          </cell>
          <cell r="R1100" t="str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 t="str">
            <v/>
          </cell>
          <cell r="Y1100" t="str">
            <v/>
          </cell>
          <cell r="Z1100" t="str">
            <v/>
          </cell>
          <cell r="AA1100">
            <v>0</v>
          </cell>
          <cell r="AB1100">
            <v>0</v>
          </cell>
          <cell r="AC1100">
            <v>0</v>
          </cell>
          <cell r="AD1100"/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</row>
        <row r="1101">
          <cell r="A1101" t="str">
            <v>FTK99140-MB</v>
          </cell>
          <cell r="B1101"/>
          <cell r="C1101" t="str">
            <v>Bucha Bandeja</v>
          </cell>
          <cell r="D1101" t="str">
            <v>MOBENSANI</v>
          </cell>
          <cell r="E1101">
            <v>10</v>
          </cell>
          <cell r="F1101" t="str">
            <v>Bucha Da Bandeja Superior Dianteira Civic 1996 A 2000</v>
          </cell>
          <cell r="G1101"/>
          <cell r="H1101">
            <v>0</v>
          </cell>
          <cell r="I1101">
            <v>0</v>
          </cell>
          <cell r="J1101">
            <v>0</v>
          </cell>
          <cell r="K1101" t="str">
            <v/>
          </cell>
          <cell r="L1101" t="str">
            <v/>
          </cell>
          <cell r="M1101">
            <v>0</v>
          </cell>
          <cell r="N1101" t="str">
            <v/>
          </cell>
          <cell r="O1101">
            <v>0</v>
          </cell>
          <cell r="P1101" t="str">
            <v/>
          </cell>
          <cell r="Q1101">
            <v>0</v>
          </cell>
          <cell r="R1101" t="str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 t="str">
            <v/>
          </cell>
          <cell r="Y1101" t="str">
            <v/>
          </cell>
          <cell r="Z1101" t="str">
            <v/>
          </cell>
          <cell r="AA1101">
            <v>0</v>
          </cell>
          <cell r="AB1101">
            <v>0</v>
          </cell>
          <cell r="AC1101">
            <v>0</v>
          </cell>
          <cell r="AD1101"/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</row>
        <row r="1102">
          <cell r="A1102" t="str">
            <v>FTK99166-MB</v>
          </cell>
          <cell r="B1102"/>
          <cell r="C1102" t="str">
            <v>Bucha Bandeja</v>
          </cell>
          <cell r="D1102" t="str">
            <v>MOBENSANI</v>
          </cell>
          <cell r="E1102">
            <v>10</v>
          </cell>
          <cell r="F1102" t="str">
            <v>BUCHA DA BANDEJA SUSPENSÃO DIANTEIRA MEGANE 1995 EM DIANTE</v>
          </cell>
          <cell r="G1102"/>
          <cell r="H1102" t="str">
            <v>-</v>
          </cell>
          <cell r="I1102">
            <v>0</v>
          </cell>
          <cell r="J1102">
            <v>0</v>
          </cell>
          <cell r="K1102" t="str">
            <v/>
          </cell>
          <cell r="L1102" t="str">
            <v/>
          </cell>
          <cell r="M1102">
            <v>0</v>
          </cell>
          <cell r="N1102" t="str">
            <v/>
          </cell>
          <cell r="O1102">
            <v>0</v>
          </cell>
          <cell r="P1102" t="str">
            <v/>
          </cell>
          <cell r="Q1102">
            <v>0</v>
          </cell>
          <cell r="R1102" t="str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 t="str">
            <v/>
          </cell>
          <cell r="Y1102" t="str">
            <v/>
          </cell>
          <cell r="Z1102" t="str">
            <v/>
          </cell>
          <cell r="AA1102">
            <v>0</v>
          </cell>
          <cell r="AB1102">
            <v>0</v>
          </cell>
          <cell r="AC1102">
            <v>0</v>
          </cell>
          <cell r="AD1102"/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</row>
        <row r="1103">
          <cell r="A1103" t="str">
            <v>FTK99171-MB</v>
          </cell>
          <cell r="B1103"/>
          <cell r="C1103" t="str">
            <v>Bucha Bandeja</v>
          </cell>
          <cell r="D1103" t="str">
            <v>MOBENSANI</v>
          </cell>
          <cell r="E1103">
            <v>10</v>
          </cell>
          <cell r="F1103" t="str">
            <v>Bucha Da Bandeja Superior Dianteira Civic 1992 A 1995</v>
          </cell>
          <cell r="G1103"/>
          <cell r="H1103">
            <v>0</v>
          </cell>
          <cell r="I1103">
            <v>0</v>
          </cell>
          <cell r="J1103">
            <v>0</v>
          </cell>
          <cell r="K1103" t="str">
            <v/>
          </cell>
          <cell r="L1103" t="str">
            <v/>
          </cell>
          <cell r="M1103">
            <v>0</v>
          </cell>
          <cell r="N1103" t="str">
            <v/>
          </cell>
          <cell r="O1103">
            <v>0</v>
          </cell>
          <cell r="P1103" t="str">
            <v/>
          </cell>
          <cell r="Q1103">
            <v>0</v>
          </cell>
          <cell r="R1103" t="str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 t="str">
            <v/>
          </cell>
          <cell r="Y1103" t="str">
            <v/>
          </cell>
          <cell r="Z1103" t="str">
            <v/>
          </cell>
          <cell r="AA1103">
            <v>0</v>
          </cell>
          <cell r="AB1103">
            <v>0</v>
          </cell>
          <cell r="AC1103">
            <v>0</v>
          </cell>
          <cell r="AD1103"/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</row>
        <row r="1104">
          <cell r="A1104" t="str">
            <v>FTK99283-MB</v>
          </cell>
          <cell r="B1104"/>
          <cell r="C1104" t="str">
            <v>Bucha Bandeja</v>
          </cell>
          <cell r="D1104" t="str">
            <v>MOBENSANI</v>
          </cell>
          <cell r="E1104">
            <v>10</v>
          </cell>
          <cell r="F1104" t="str">
            <v>BUCHA DIANTEIRA DA BANDEJA DIANTEIRA TUCSON 2005 EM DIANTE</v>
          </cell>
          <cell r="G1104"/>
          <cell r="H1104" t="str">
            <v>-</v>
          </cell>
          <cell r="I1104">
            <v>0</v>
          </cell>
          <cell r="J1104">
            <v>0</v>
          </cell>
          <cell r="K1104" t="str">
            <v/>
          </cell>
          <cell r="L1104" t="str">
            <v/>
          </cell>
          <cell r="M1104">
            <v>0</v>
          </cell>
          <cell r="N1104" t="str">
            <v/>
          </cell>
          <cell r="O1104">
            <v>0</v>
          </cell>
          <cell r="P1104" t="str">
            <v/>
          </cell>
          <cell r="Q1104">
            <v>0</v>
          </cell>
          <cell r="R1104" t="str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 t="str">
            <v/>
          </cell>
          <cell r="Y1104" t="str">
            <v/>
          </cell>
          <cell r="Z1104" t="str">
            <v/>
          </cell>
          <cell r="AA1104">
            <v>0</v>
          </cell>
          <cell r="AB1104">
            <v>0</v>
          </cell>
          <cell r="AC1104">
            <v>0</v>
          </cell>
          <cell r="AD1104"/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</row>
        <row r="1105">
          <cell r="A1105" t="str">
            <v>FTK99325-MB</v>
          </cell>
          <cell r="B1105"/>
          <cell r="C1105" t="str">
            <v>Bucha Bandeja</v>
          </cell>
          <cell r="D1105" t="str">
            <v>MOBENSANI</v>
          </cell>
          <cell r="E1105">
            <v>10</v>
          </cell>
          <cell r="F1105" t="str">
            <v>Bucha Da Bandeja Suspensão Dianteira Logan 2007 Em Diante</v>
          </cell>
          <cell r="G1105"/>
          <cell r="H1105">
            <v>0</v>
          </cell>
          <cell r="I1105">
            <v>0</v>
          </cell>
          <cell r="J1105">
            <v>0</v>
          </cell>
          <cell r="K1105" t="str">
            <v/>
          </cell>
          <cell r="L1105" t="str">
            <v/>
          </cell>
          <cell r="M1105">
            <v>0</v>
          </cell>
          <cell r="N1105" t="str">
            <v/>
          </cell>
          <cell r="O1105">
            <v>0</v>
          </cell>
          <cell r="P1105" t="str">
            <v/>
          </cell>
          <cell r="Q1105">
            <v>0</v>
          </cell>
          <cell r="R1105" t="str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 t="str">
            <v/>
          </cell>
          <cell r="Y1105" t="str">
            <v/>
          </cell>
          <cell r="Z1105" t="str">
            <v/>
          </cell>
          <cell r="AA1105">
            <v>0</v>
          </cell>
          <cell r="AB1105">
            <v>0</v>
          </cell>
          <cell r="AC1105">
            <v>0</v>
          </cell>
          <cell r="AD1105"/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</row>
        <row r="1106">
          <cell r="A1106" t="str">
            <v>FTK99347-MB</v>
          </cell>
          <cell r="B1106"/>
          <cell r="C1106" t="str">
            <v>Bucha Bandeja</v>
          </cell>
          <cell r="D1106" t="str">
            <v>MOBENSANI</v>
          </cell>
          <cell r="E1106">
            <v>10</v>
          </cell>
          <cell r="F1106" t="str">
            <v>Bucha Traseira Da Bandeja Dianteira Sportage 2011 Em Diante</v>
          </cell>
          <cell r="G1106"/>
          <cell r="H1106">
            <v>0</v>
          </cell>
          <cell r="I1106">
            <v>0</v>
          </cell>
          <cell r="J1106" t="str">
            <v/>
          </cell>
          <cell r="K1106" t="str">
            <v/>
          </cell>
          <cell r="L1106" t="str">
            <v/>
          </cell>
          <cell r="M1106">
            <v>0</v>
          </cell>
          <cell r="N1106" t="str">
            <v/>
          </cell>
          <cell r="O1106" t="str">
            <v/>
          </cell>
          <cell r="P1106" t="str">
            <v/>
          </cell>
          <cell r="Q1106">
            <v>0</v>
          </cell>
          <cell r="R1106" t="str">
            <v>0</v>
          </cell>
          <cell r="S1106" t="str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 t="str">
            <v/>
          </cell>
          <cell r="Y1106" t="str">
            <v/>
          </cell>
          <cell r="Z1106" t="str">
            <v/>
          </cell>
          <cell r="AA1106">
            <v>0</v>
          </cell>
          <cell r="AB1106">
            <v>0</v>
          </cell>
          <cell r="AC1106">
            <v>0</v>
          </cell>
          <cell r="AD1106"/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</row>
        <row r="1107">
          <cell r="A1107" t="str">
            <v>FTK99355-MB</v>
          </cell>
          <cell r="B1107"/>
          <cell r="C1107" t="str">
            <v>Bucha Bandeja</v>
          </cell>
          <cell r="D1107" t="str">
            <v>MOBENSANI</v>
          </cell>
          <cell r="E1107">
            <v>10</v>
          </cell>
          <cell r="F1107" t="str">
            <v>BUCHA DA BANDEJA SUSPENSÃO DIANTEIRA DUSTER 2012 EM DIANTE</v>
          </cell>
          <cell r="G1107"/>
          <cell r="H1107" t="str">
            <v>-</v>
          </cell>
          <cell r="I1107">
            <v>0</v>
          </cell>
          <cell r="J1107">
            <v>0</v>
          </cell>
          <cell r="K1107" t="str">
            <v/>
          </cell>
          <cell r="L1107" t="str">
            <v/>
          </cell>
          <cell r="M1107">
            <v>0</v>
          </cell>
          <cell r="N1107" t="str">
            <v/>
          </cell>
          <cell r="O1107">
            <v>0</v>
          </cell>
          <cell r="P1107" t="str">
            <v/>
          </cell>
          <cell r="Q1107">
            <v>0</v>
          </cell>
          <cell r="R1107" t="str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 t="str">
            <v/>
          </cell>
          <cell r="Y1107" t="str">
            <v/>
          </cell>
          <cell r="Z1107" t="str">
            <v/>
          </cell>
          <cell r="AA1107">
            <v>0</v>
          </cell>
          <cell r="AB1107">
            <v>0</v>
          </cell>
          <cell r="AC1107">
            <v>0</v>
          </cell>
          <cell r="AD1107"/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</row>
        <row r="1108">
          <cell r="A1108" t="str">
            <v>FTK99370-MB</v>
          </cell>
          <cell r="B1108"/>
          <cell r="C1108" t="str">
            <v>Bucha Bandeja</v>
          </cell>
          <cell r="D1108" t="str">
            <v>MOBENSANI</v>
          </cell>
          <cell r="E1108">
            <v>10</v>
          </cell>
          <cell r="F1108" t="str">
            <v>Bucha Dianteira Da Bandeja Dianteira Kwid 2017 Em Diante</v>
          </cell>
          <cell r="G1108"/>
          <cell r="H1108">
            <v>0</v>
          </cell>
          <cell r="I1108">
            <v>0</v>
          </cell>
          <cell r="J1108">
            <v>0</v>
          </cell>
          <cell r="K1108" t="str">
            <v/>
          </cell>
          <cell r="L1108" t="str">
            <v/>
          </cell>
          <cell r="M1108">
            <v>0</v>
          </cell>
          <cell r="N1108" t="str">
            <v/>
          </cell>
          <cell r="O1108">
            <v>0</v>
          </cell>
          <cell r="P1108" t="str">
            <v/>
          </cell>
          <cell r="Q1108">
            <v>0</v>
          </cell>
          <cell r="R1108" t="str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 t="str">
            <v/>
          </cell>
          <cell r="Y1108" t="str">
            <v/>
          </cell>
          <cell r="Z1108" t="str">
            <v/>
          </cell>
          <cell r="AA1108">
            <v>0</v>
          </cell>
          <cell r="AB1108">
            <v>0</v>
          </cell>
          <cell r="AC1108">
            <v>0</v>
          </cell>
          <cell r="AD1108"/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</row>
        <row r="1109">
          <cell r="A1109" t="str">
            <v>FTK99371-MB</v>
          </cell>
          <cell r="B1109"/>
          <cell r="C1109" t="str">
            <v>Bucha Bandeja</v>
          </cell>
          <cell r="D1109" t="str">
            <v>MOBENSANI</v>
          </cell>
          <cell r="E1109">
            <v>10</v>
          </cell>
          <cell r="F1109" t="str">
            <v>Bucha Traseira Da Bandeja Dianteira Kwid 2017 Em Diante</v>
          </cell>
          <cell r="G1109"/>
          <cell r="H1109">
            <v>0</v>
          </cell>
          <cell r="I1109">
            <v>0</v>
          </cell>
          <cell r="J1109">
            <v>0</v>
          </cell>
          <cell r="K1109" t="str">
            <v/>
          </cell>
          <cell r="L1109" t="str">
            <v/>
          </cell>
          <cell r="M1109">
            <v>0</v>
          </cell>
          <cell r="N1109" t="str">
            <v/>
          </cell>
          <cell r="O1109">
            <v>0</v>
          </cell>
          <cell r="P1109" t="str">
            <v/>
          </cell>
          <cell r="Q1109">
            <v>0</v>
          </cell>
          <cell r="R1109" t="str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 t="str">
            <v/>
          </cell>
          <cell r="Y1109" t="str">
            <v/>
          </cell>
          <cell r="Z1109" t="str">
            <v/>
          </cell>
          <cell r="AA1109">
            <v>0</v>
          </cell>
          <cell r="AB1109">
            <v>0</v>
          </cell>
          <cell r="AC1109">
            <v>0</v>
          </cell>
          <cell r="AD1109"/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</row>
        <row r="1110">
          <cell r="A1110" t="str">
            <v>FTK00321</v>
          </cell>
          <cell r="B1110"/>
          <cell r="C1110" t="str">
            <v>Bucha Barra estabilizadora</v>
          </cell>
          <cell r="D1110" t="str">
            <v/>
          </cell>
          <cell r="E1110" t="e">
            <v>#N/A</v>
          </cell>
          <cell r="F1110" t="str">
            <v>BUCHA DA SUSPENSÃO DIANTEIRA ASTRA 1999 EM DIANTE</v>
          </cell>
          <cell r="G1110"/>
          <cell r="H1110" t="str">
            <v>-</v>
          </cell>
          <cell r="I1110" t="str">
            <v>-</v>
          </cell>
          <cell r="J1110"/>
          <cell r="K1110"/>
          <cell r="L1110"/>
          <cell r="M1110">
            <v>0</v>
          </cell>
          <cell r="N1110" t="str">
            <v/>
          </cell>
          <cell r="O1110">
            <v>0</v>
          </cell>
          <cell r="P1110" t="str">
            <v/>
          </cell>
          <cell r="Q1110">
            <v>0</v>
          </cell>
          <cell r="R1110" t="str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 t="str">
            <v/>
          </cell>
          <cell r="Y1110" t="str">
            <v/>
          </cell>
          <cell r="Z1110" t="str">
            <v/>
          </cell>
          <cell r="AA1110">
            <v>0</v>
          </cell>
          <cell r="AB1110">
            <v>0</v>
          </cell>
          <cell r="AC1110">
            <v>0</v>
          </cell>
          <cell r="AD1110"/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</row>
        <row r="1111">
          <cell r="A1111" t="str">
            <v>FTK00353</v>
          </cell>
          <cell r="B1111"/>
          <cell r="C1111" t="str">
            <v>Bucha Barra estabilizadora</v>
          </cell>
          <cell r="D1111" t="str">
            <v/>
          </cell>
          <cell r="E1111" t="e">
            <v>#N/A</v>
          </cell>
          <cell r="F1111" t="str">
            <v>BUCHA DA SUSPENSÃO DIANTEIRA STILO 2012 A 2016</v>
          </cell>
          <cell r="G1111"/>
          <cell r="H1111" t="str">
            <v>-</v>
          </cell>
          <cell r="I1111" t="str">
            <v>-</v>
          </cell>
          <cell r="J1111"/>
          <cell r="K1111"/>
          <cell r="L1111"/>
          <cell r="M1111">
            <v>0</v>
          </cell>
          <cell r="N1111" t="str">
            <v/>
          </cell>
          <cell r="O1111">
            <v>0</v>
          </cell>
          <cell r="P1111" t="str">
            <v/>
          </cell>
          <cell r="Q1111">
            <v>0</v>
          </cell>
          <cell r="R1111" t="str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 t="str">
            <v/>
          </cell>
          <cell r="Y1111" t="str">
            <v/>
          </cell>
          <cell r="Z1111" t="str">
            <v/>
          </cell>
          <cell r="AA1111">
            <v>0</v>
          </cell>
          <cell r="AB1111">
            <v>0</v>
          </cell>
          <cell r="AC1111">
            <v>0</v>
          </cell>
          <cell r="AD1111"/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</row>
        <row r="1112">
          <cell r="A1112" t="str">
            <v>FTK3385</v>
          </cell>
          <cell r="B1112"/>
          <cell r="C1112" t="str">
            <v>Bucha Barra estabilizadora</v>
          </cell>
          <cell r="D1112" t="str">
            <v/>
          </cell>
          <cell r="E1112" t="e">
            <v>#N/A</v>
          </cell>
          <cell r="F1112" t="str">
            <v>BUCHA DA SUSPENSÃO TRASEIRA PAJERO DAKAR SPORT 2009 A 2016</v>
          </cell>
          <cell r="G1112"/>
          <cell r="H1112" t="str">
            <v>-</v>
          </cell>
          <cell r="I1112" t="str">
            <v>-</v>
          </cell>
          <cell r="J1112"/>
          <cell r="K1112"/>
          <cell r="L1112"/>
          <cell r="M1112">
            <v>0</v>
          </cell>
          <cell r="N1112" t="str">
            <v/>
          </cell>
          <cell r="O1112">
            <v>0</v>
          </cell>
          <cell r="P1112" t="str">
            <v/>
          </cell>
          <cell r="Q1112">
            <v>0</v>
          </cell>
          <cell r="R1112" t="str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 t="str">
            <v/>
          </cell>
          <cell r="Y1112" t="str">
            <v/>
          </cell>
          <cell r="Z1112" t="str">
            <v/>
          </cell>
          <cell r="AA1112">
            <v>0</v>
          </cell>
          <cell r="AB1112">
            <v>0</v>
          </cell>
          <cell r="AC1112">
            <v>0</v>
          </cell>
          <cell r="AD1112"/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</row>
        <row r="1113">
          <cell r="A1113">
            <v>225052</v>
          </cell>
          <cell r="B1113"/>
          <cell r="C1113" t="str">
            <v>Cabo Câmbio</v>
          </cell>
          <cell r="D1113" t="str">
            <v>Importação</v>
          </cell>
          <cell r="E1113">
            <v>1</v>
          </cell>
          <cell r="F1113" t="str">
            <v>Cabo De Marcha Engate E Seleção Hyundai Hr 2013 Em Diante</v>
          </cell>
          <cell r="G1113"/>
          <cell r="H1113">
            <v>0</v>
          </cell>
          <cell r="I1113">
            <v>0</v>
          </cell>
          <cell r="J1113" t="str">
            <v/>
          </cell>
          <cell r="K1113" t="str">
            <v/>
          </cell>
          <cell r="L1113" t="str">
            <v/>
          </cell>
          <cell r="M1113">
            <v>0</v>
          </cell>
          <cell r="N1113" t="str">
            <v/>
          </cell>
          <cell r="O1113" t="str">
            <v/>
          </cell>
          <cell r="P1113" t="str">
            <v/>
          </cell>
          <cell r="Q1113">
            <v>0</v>
          </cell>
          <cell r="R1113" t="str">
            <v>0</v>
          </cell>
          <cell r="S1113" t="str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 t="str">
            <v/>
          </cell>
          <cell r="Y1113" t="str">
            <v/>
          </cell>
          <cell r="Z1113" t="str">
            <v/>
          </cell>
          <cell r="AA1113">
            <v>0</v>
          </cell>
          <cell r="AB1113">
            <v>0</v>
          </cell>
          <cell r="AC1113">
            <v>0</v>
          </cell>
          <cell r="AD1113"/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</row>
        <row r="1114">
          <cell r="A1114" t="str">
            <v>44911/12</v>
          </cell>
          <cell r="B1114"/>
          <cell r="C1114" t="str">
            <v>Cabo Câmbio</v>
          </cell>
          <cell r="D1114" t="str">
            <v>Importação</v>
          </cell>
          <cell r="E1114">
            <v>1</v>
          </cell>
          <cell r="F1114" t="str">
            <v>Cabo De Marcha Gm Astra Zafira 2008</v>
          </cell>
          <cell r="G1114"/>
          <cell r="H1114">
            <v>0</v>
          </cell>
          <cell r="I1114">
            <v>0</v>
          </cell>
          <cell r="J1114" t="str">
            <v/>
          </cell>
          <cell r="K1114" t="str">
            <v/>
          </cell>
          <cell r="L1114" t="str">
            <v/>
          </cell>
          <cell r="M1114">
            <v>0</v>
          </cell>
          <cell r="N1114" t="str">
            <v/>
          </cell>
          <cell r="O1114" t="str">
            <v/>
          </cell>
          <cell r="P1114" t="str">
            <v/>
          </cell>
          <cell r="Q1114">
            <v>0</v>
          </cell>
          <cell r="R1114" t="str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 t="str">
            <v/>
          </cell>
          <cell r="Y1114" t="str">
            <v/>
          </cell>
          <cell r="Z1114" t="str">
            <v/>
          </cell>
          <cell r="AA1114">
            <v>0</v>
          </cell>
          <cell r="AB1114">
            <v>0</v>
          </cell>
          <cell r="AC1114">
            <v>0</v>
          </cell>
          <cell r="AD1114"/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</row>
        <row r="1115">
          <cell r="A1115">
            <v>66084</v>
          </cell>
          <cell r="B1115"/>
          <cell r="C1115" t="str">
            <v>Cabo de Capô</v>
          </cell>
          <cell r="D1115" t="str">
            <v>Importação</v>
          </cell>
          <cell r="E1115">
            <v>1</v>
          </cell>
          <cell r="F1115" t="str">
            <v>Cabo De Capô 1580mm Sem Alavanca Fiorino 2015 Em Diante</v>
          </cell>
          <cell r="G1115"/>
          <cell r="H1115">
            <v>0</v>
          </cell>
          <cell r="I1115">
            <v>0</v>
          </cell>
          <cell r="J1115" t="str">
            <v/>
          </cell>
          <cell r="K1115" t="str">
            <v/>
          </cell>
          <cell r="L1115" t="str">
            <v/>
          </cell>
          <cell r="M1115">
            <v>0</v>
          </cell>
          <cell r="N1115" t="str">
            <v/>
          </cell>
          <cell r="O1115" t="str">
            <v/>
          </cell>
          <cell r="P1115" t="str">
            <v/>
          </cell>
          <cell r="Q1115">
            <v>0</v>
          </cell>
          <cell r="R1115" t="str">
            <v>0</v>
          </cell>
          <cell r="S1115" t="str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 t="str">
            <v/>
          </cell>
          <cell r="Y1115" t="str">
            <v/>
          </cell>
          <cell r="Z1115" t="str">
            <v/>
          </cell>
          <cell r="AA1115">
            <v>0</v>
          </cell>
          <cell r="AB1115">
            <v>0</v>
          </cell>
          <cell r="AC1115">
            <v>0</v>
          </cell>
          <cell r="AD1115"/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</row>
        <row r="1116">
          <cell r="A1116">
            <v>77169</v>
          </cell>
          <cell r="B1116"/>
          <cell r="C1116" t="str">
            <v>Cabo de Capô</v>
          </cell>
          <cell r="D1116" t="str">
            <v>MundiFlex</v>
          </cell>
          <cell r="E1116">
            <v>6</v>
          </cell>
          <cell r="F1116" t="str">
            <v>Cabo De Capô Com Alavanca 2037mm S10 1995 Em Diante</v>
          </cell>
          <cell r="G1116"/>
          <cell r="H1116">
            <v>0</v>
          </cell>
          <cell r="I1116">
            <v>0</v>
          </cell>
          <cell r="J1116" t="str">
            <v/>
          </cell>
          <cell r="K1116" t="str">
            <v/>
          </cell>
          <cell r="L1116" t="str">
            <v/>
          </cell>
          <cell r="M1116">
            <v>0</v>
          </cell>
          <cell r="N1116" t="str">
            <v/>
          </cell>
          <cell r="O1116" t="str">
            <v/>
          </cell>
          <cell r="P1116" t="str">
            <v/>
          </cell>
          <cell r="Q1116">
            <v>0</v>
          </cell>
          <cell r="R1116" t="str">
            <v>0</v>
          </cell>
          <cell r="S1116" t="str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 t="str">
            <v/>
          </cell>
          <cell r="Y1116" t="str">
            <v/>
          </cell>
          <cell r="Z1116" t="str">
            <v/>
          </cell>
          <cell r="AA1116">
            <v>0</v>
          </cell>
          <cell r="AB1116">
            <v>0</v>
          </cell>
          <cell r="AC1116">
            <v>0</v>
          </cell>
          <cell r="AD1116"/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</row>
        <row r="1117">
          <cell r="A1117">
            <v>66031</v>
          </cell>
          <cell r="B1117"/>
          <cell r="C1117" t="str">
            <v>Cabo de Freio</v>
          </cell>
          <cell r="D1117" t="str">
            <v>MundiFlex</v>
          </cell>
          <cell r="E1117">
            <v>6</v>
          </cell>
          <cell r="F1117" t="str">
            <v>Cabo De Freio Elba Cs Csl Weekend 1.6 Spi Traseiro Até 1991</v>
          </cell>
          <cell r="G1117"/>
          <cell r="H1117">
            <v>0</v>
          </cell>
          <cell r="I1117">
            <v>0</v>
          </cell>
          <cell r="J1117" t="str">
            <v/>
          </cell>
          <cell r="K1117" t="str">
            <v/>
          </cell>
          <cell r="L1117" t="str">
            <v/>
          </cell>
          <cell r="M1117">
            <v>0</v>
          </cell>
          <cell r="N1117" t="str">
            <v/>
          </cell>
          <cell r="O1117" t="str">
            <v/>
          </cell>
          <cell r="P1117" t="str">
            <v/>
          </cell>
          <cell r="Q1117">
            <v>0</v>
          </cell>
          <cell r="R1117" t="str">
            <v>0</v>
          </cell>
          <cell r="S1117" t="str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 t="str">
            <v/>
          </cell>
          <cell r="Y1117" t="str">
            <v/>
          </cell>
          <cell r="Z1117" t="str">
            <v/>
          </cell>
          <cell r="AA1117">
            <v>0</v>
          </cell>
          <cell r="AB1117">
            <v>0</v>
          </cell>
          <cell r="AC1117">
            <v>0</v>
          </cell>
          <cell r="AD1117"/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</row>
        <row r="1118">
          <cell r="A1118">
            <v>229012</v>
          </cell>
          <cell r="B1118"/>
          <cell r="C1118" t="str">
            <v>Cabo de Velocímetro</v>
          </cell>
          <cell r="D1118" t="str">
            <v>Importação</v>
          </cell>
          <cell r="E1118">
            <v>1</v>
          </cell>
          <cell r="F1118" t="str">
            <v>Cabo De Velocímetro Mitsubishi L200 Sport 2003 Em Diante</v>
          </cell>
          <cell r="G1118"/>
          <cell r="H1118">
            <v>0</v>
          </cell>
          <cell r="I1118">
            <v>0</v>
          </cell>
          <cell r="J1118" t="str">
            <v/>
          </cell>
          <cell r="K1118" t="str">
            <v/>
          </cell>
          <cell r="L1118" t="str">
            <v/>
          </cell>
          <cell r="M1118">
            <v>0</v>
          </cell>
          <cell r="N1118" t="str">
            <v/>
          </cell>
          <cell r="O1118" t="str">
            <v/>
          </cell>
          <cell r="P1118" t="str">
            <v/>
          </cell>
          <cell r="Q1118">
            <v>0</v>
          </cell>
          <cell r="R1118" t="str">
            <v>0</v>
          </cell>
          <cell r="S1118" t="str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 t="str">
            <v/>
          </cell>
          <cell r="Y1118" t="str">
            <v/>
          </cell>
          <cell r="Z1118" t="str">
            <v/>
          </cell>
          <cell r="AA1118">
            <v>0</v>
          </cell>
          <cell r="AB1118">
            <v>0</v>
          </cell>
          <cell r="AC1118">
            <v>0</v>
          </cell>
          <cell r="AD1118"/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</row>
        <row r="1119">
          <cell r="A1119">
            <v>55013</v>
          </cell>
          <cell r="B1119"/>
          <cell r="C1119" t="str">
            <v>Cabo Embreagem</v>
          </cell>
          <cell r="D1119" t="str">
            <v>MundiFlex</v>
          </cell>
          <cell r="E1119">
            <v>6</v>
          </cell>
          <cell r="F1119" t="str">
            <v>Cabo De Embreagem Saveiro 1982 A 1987 Motor 1.5 1.6</v>
          </cell>
          <cell r="G1119"/>
          <cell r="H1119">
            <v>0</v>
          </cell>
          <cell r="I1119">
            <v>0</v>
          </cell>
          <cell r="J1119" t="str">
            <v/>
          </cell>
          <cell r="K1119" t="str">
            <v/>
          </cell>
          <cell r="L1119" t="str">
            <v/>
          </cell>
          <cell r="M1119">
            <v>0</v>
          </cell>
          <cell r="N1119" t="str">
            <v/>
          </cell>
          <cell r="O1119" t="str">
            <v/>
          </cell>
          <cell r="P1119" t="str">
            <v/>
          </cell>
          <cell r="Q1119">
            <v>0</v>
          </cell>
          <cell r="R1119" t="str">
            <v>0</v>
          </cell>
          <cell r="S1119" t="str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 t="str">
            <v/>
          </cell>
          <cell r="Y1119" t="str">
            <v/>
          </cell>
          <cell r="Z1119" t="str">
            <v/>
          </cell>
          <cell r="AA1119">
            <v>0</v>
          </cell>
          <cell r="AB1119">
            <v>0</v>
          </cell>
          <cell r="AC1119">
            <v>0</v>
          </cell>
          <cell r="AD1119"/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</row>
        <row r="1120">
          <cell r="A1120">
            <v>55028</v>
          </cell>
          <cell r="B1120"/>
          <cell r="C1120" t="str">
            <v>Cabo Embreagem</v>
          </cell>
          <cell r="D1120" t="str">
            <v>MundiFlex</v>
          </cell>
          <cell r="E1120">
            <v>6</v>
          </cell>
          <cell r="F1120" t="str">
            <v>Cabo De Embreagem Kombi T2 1996 Em Diante</v>
          </cell>
          <cell r="G1120"/>
          <cell r="H1120">
            <v>0</v>
          </cell>
          <cell r="I1120">
            <v>0</v>
          </cell>
          <cell r="J1120" t="str">
            <v/>
          </cell>
          <cell r="K1120" t="str">
            <v/>
          </cell>
          <cell r="L1120" t="str">
            <v/>
          </cell>
          <cell r="M1120">
            <v>0</v>
          </cell>
          <cell r="N1120" t="str">
            <v/>
          </cell>
          <cell r="O1120" t="str">
            <v/>
          </cell>
          <cell r="P1120" t="str">
            <v/>
          </cell>
          <cell r="Q1120">
            <v>0</v>
          </cell>
          <cell r="R1120" t="str">
            <v>0</v>
          </cell>
          <cell r="S1120" t="str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 t="str">
            <v/>
          </cell>
          <cell r="Y1120" t="str">
            <v/>
          </cell>
          <cell r="Z1120" t="str">
            <v/>
          </cell>
          <cell r="AA1120">
            <v>0</v>
          </cell>
          <cell r="AB1120">
            <v>0</v>
          </cell>
          <cell r="AC1120">
            <v>0</v>
          </cell>
          <cell r="AD1120"/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</row>
        <row r="1121">
          <cell r="A1121">
            <v>66003</v>
          </cell>
          <cell r="B1121"/>
          <cell r="C1121" t="str">
            <v>Cabo Embreagem</v>
          </cell>
          <cell r="D1121" t="str">
            <v>Importação</v>
          </cell>
          <cell r="E1121">
            <v>1</v>
          </cell>
          <cell r="F1121" t="str">
            <v>Cabo De Embreagem Fiorino</v>
          </cell>
          <cell r="G1121"/>
          <cell r="H1121">
            <v>0</v>
          </cell>
          <cell r="I1121">
            <v>0</v>
          </cell>
          <cell r="J1121" t="str">
            <v/>
          </cell>
          <cell r="K1121" t="str">
            <v/>
          </cell>
          <cell r="L1121" t="str">
            <v/>
          </cell>
          <cell r="M1121">
            <v>0</v>
          </cell>
          <cell r="N1121" t="str">
            <v/>
          </cell>
          <cell r="O1121" t="str">
            <v/>
          </cell>
          <cell r="P1121" t="str">
            <v/>
          </cell>
          <cell r="Q1121">
            <v>0</v>
          </cell>
          <cell r="R1121" t="str">
            <v>0</v>
          </cell>
          <cell r="S1121" t="str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 t="str">
            <v/>
          </cell>
          <cell r="Y1121" t="str">
            <v/>
          </cell>
          <cell r="Z1121" t="str">
            <v/>
          </cell>
          <cell r="AA1121">
            <v>0</v>
          </cell>
          <cell r="AB1121">
            <v>0</v>
          </cell>
          <cell r="AC1121">
            <v>0</v>
          </cell>
          <cell r="AD1121"/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</row>
        <row r="1122">
          <cell r="A1122">
            <v>66425</v>
          </cell>
          <cell r="B1122"/>
          <cell r="C1122" t="str">
            <v>Cabo Embreagem</v>
          </cell>
          <cell r="D1122" t="str">
            <v>MundiFlex</v>
          </cell>
          <cell r="E1122">
            <v>6</v>
          </cell>
          <cell r="F1122" t="str">
            <v>Cabo De Embreagem Novo Uno Fase 2 2016 Até 2021</v>
          </cell>
          <cell r="G1122"/>
          <cell r="H1122">
            <v>0</v>
          </cell>
          <cell r="I1122">
            <v>0</v>
          </cell>
          <cell r="J1122" t="str">
            <v/>
          </cell>
          <cell r="K1122" t="str">
            <v/>
          </cell>
          <cell r="L1122" t="str">
            <v/>
          </cell>
          <cell r="M1122">
            <v>0</v>
          </cell>
          <cell r="N1122" t="str">
            <v/>
          </cell>
          <cell r="O1122" t="str">
            <v/>
          </cell>
          <cell r="P1122" t="str">
            <v/>
          </cell>
          <cell r="Q1122">
            <v>0</v>
          </cell>
          <cell r="R1122" t="str">
            <v>0</v>
          </cell>
          <cell r="S1122" t="str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 t="str">
            <v/>
          </cell>
          <cell r="Y1122" t="str">
            <v/>
          </cell>
          <cell r="Z1122" t="str">
            <v/>
          </cell>
          <cell r="AA1122">
            <v>0</v>
          </cell>
          <cell r="AB1122">
            <v>0</v>
          </cell>
          <cell r="AC1122">
            <v>0</v>
          </cell>
          <cell r="AD1122"/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</row>
        <row r="1123">
          <cell r="A1123">
            <v>77003</v>
          </cell>
          <cell r="B1123"/>
          <cell r="C1123" t="str">
            <v>Cabo Embreagem</v>
          </cell>
          <cell r="D1123" t="str">
            <v>MundiFlex</v>
          </cell>
          <cell r="E1123">
            <v>6</v>
          </cell>
          <cell r="F1123" t="str">
            <v>Cabo Embreagem 805mm Monza Todos</v>
          </cell>
          <cell r="G1123"/>
          <cell r="H1123">
            <v>0</v>
          </cell>
          <cell r="I1123">
            <v>0</v>
          </cell>
          <cell r="J1123" t="str">
            <v/>
          </cell>
          <cell r="K1123" t="str">
            <v/>
          </cell>
          <cell r="L1123" t="str">
            <v/>
          </cell>
          <cell r="M1123">
            <v>0</v>
          </cell>
          <cell r="N1123" t="str">
            <v/>
          </cell>
          <cell r="O1123" t="str">
            <v/>
          </cell>
          <cell r="P1123" t="str">
            <v/>
          </cell>
          <cell r="Q1123">
            <v>0</v>
          </cell>
          <cell r="R1123" t="str">
            <v>0</v>
          </cell>
          <cell r="S1123" t="str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 t="str">
            <v/>
          </cell>
          <cell r="Y1123" t="str">
            <v/>
          </cell>
          <cell r="Z1123" t="str">
            <v/>
          </cell>
          <cell r="AA1123">
            <v>0</v>
          </cell>
          <cell r="AB1123">
            <v>0</v>
          </cell>
          <cell r="AC1123">
            <v>0</v>
          </cell>
          <cell r="AD1123"/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</row>
        <row r="1124">
          <cell r="A1124" t="str">
            <v>CCE0043</v>
          </cell>
          <cell r="B1124"/>
          <cell r="C1124" t="str">
            <v>Cabo Embreagem moto</v>
          </cell>
          <cell r="D1124" t="str">
            <v>POLO</v>
          </cell>
          <cell r="E1124"/>
          <cell r="F1124"/>
          <cell r="G1124"/>
          <cell r="H1124"/>
          <cell r="I1124"/>
          <cell r="J1124"/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>
            <v>2</v>
          </cell>
          <cell r="AA1124">
            <v>0</v>
          </cell>
          <cell r="AB1124">
            <v>0</v>
          </cell>
          <cell r="AC1124">
            <v>0</v>
          </cell>
          <cell r="AD1124"/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</row>
        <row r="1125">
          <cell r="A1125">
            <v>77171</v>
          </cell>
          <cell r="B1125"/>
          <cell r="C1125" t="str">
            <v>Cabo limitador tampa traseira</v>
          </cell>
          <cell r="D1125" t="str">
            <v>MundiFlex</v>
          </cell>
          <cell r="E1125">
            <v>6</v>
          </cell>
          <cell r="F1125" t="str">
            <v>Cabo Limitador Da Tampa Traseira S10 Lado Direito 95 A 2001</v>
          </cell>
          <cell r="G1125"/>
          <cell r="H1125">
            <v>0</v>
          </cell>
          <cell r="I1125">
            <v>0</v>
          </cell>
          <cell r="J1125" t="str">
            <v/>
          </cell>
          <cell r="K1125" t="str">
            <v/>
          </cell>
          <cell r="L1125" t="str">
            <v/>
          </cell>
          <cell r="M1125">
            <v>0</v>
          </cell>
          <cell r="N1125" t="str">
            <v/>
          </cell>
          <cell r="O1125" t="str">
            <v/>
          </cell>
          <cell r="P1125" t="str">
            <v/>
          </cell>
          <cell r="Q1125">
            <v>0</v>
          </cell>
          <cell r="R1125" t="str">
            <v>0</v>
          </cell>
          <cell r="S1125" t="str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 t="str">
            <v/>
          </cell>
          <cell r="Y1125" t="str">
            <v/>
          </cell>
          <cell r="Z1125" t="str">
            <v/>
          </cell>
          <cell r="AA1125">
            <v>0</v>
          </cell>
          <cell r="AB1125">
            <v>0</v>
          </cell>
          <cell r="AC1125">
            <v>0</v>
          </cell>
          <cell r="AD1125"/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</row>
        <row r="1126">
          <cell r="A1126">
            <v>4006</v>
          </cell>
          <cell r="B1126"/>
          <cell r="C1126" t="str">
            <v>Capa Pedal</v>
          </cell>
          <cell r="D1126" t="str">
            <v>HOLYMAN</v>
          </cell>
          <cell r="E1126">
            <v>5</v>
          </cell>
          <cell r="F1126" t="str">
            <v>Kit Capa Pedal Freio Embreagem Kombi 1976 Em Diante</v>
          </cell>
          <cell r="G1126"/>
          <cell r="H1126">
            <v>0</v>
          </cell>
          <cell r="I1126">
            <v>0</v>
          </cell>
          <cell r="J1126" t="str">
            <v/>
          </cell>
          <cell r="K1126" t="str">
            <v/>
          </cell>
          <cell r="L1126" t="str">
            <v/>
          </cell>
          <cell r="M1126">
            <v>0</v>
          </cell>
          <cell r="N1126" t="str">
            <v/>
          </cell>
          <cell r="O1126" t="str">
            <v/>
          </cell>
          <cell r="P1126" t="str">
            <v/>
          </cell>
          <cell r="Q1126">
            <v>0</v>
          </cell>
          <cell r="R1126" t="str">
            <v>0</v>
          </cell>
          <cell r="S1126" t="str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 t="str">
            <v/>
          </cell>
          <cell r="Y1126" t="str">
            <v/>
          </cell>
          <cell r="Z1126" t="str">
            <v/>
          </cell>
          <cell r="AA1126">
            <v>0</v>
          </cell>
          <cell r="AB1126">
            <v>0</v>
          </cell>
          <cell r="AC1126">
            <v>0</v>
          </cell>
          <cell r="AD1126"/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</row>
        <row r="1127">
          <cell r="A1127">
            <v>4010</v>
          </cell>
          <cell r="B1127"/>
          <cell r="C1127" t="str">
            <v>Capa Pedal</v>
          </cell>
          <cell r="D1127" t="str">
            <v>HOLYMAN</v>
          </cell>
          <cell r="E1127"/>
          <cell r="F1127"/>
          <cell r="G1127"/>
          <cell r="H1127"/>
          <cell r="I1127"/>
          <cell r="J1127"/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>
            <v>0</v>
          </cell>
          <cell r="AB1127">
            <v>0</v>
          </cell>
          <cell r="AC1127">
            <v>0</v>
          </cell>
          <cell r="AD1127"/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</row>
        <row r="1128">
          <cell r="A1128">
            <v>4011</v>
          </cell>
          <cell r="B1128"/>
          <cell r="C1128" t="str">
            <v>Capa Pedal</v>
          </cell>
          <cell r="D1128" t="str">
            <v>HOLYMAN</v>
          </cell>
          <cell r="E1128"/>
          <cell r="F1128"/>
          <cell r="G1128"/>
          <cell r="H1128"/>
          <cell r="I1128"/>
          <cell r="J1128"/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>
            <v>0</v>
          </cell>
          <cell r="AB1128">
            <v>0</v>
          </cell>
          <cell r="AC1128">
            <v>0</v>
          </cell>
          <cell r="AD1128"/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</row>
        <row r="1129">
          <cell r="A1129">
            <v>4012</v>
          </cell>
          <cell r="B1129"/>
          <cell r="C1129" t="str">
            <v>Capa Pedal</v>
          </cell>
          <cell r="D1129" t="str">
            <v>HOLYMAN</v>
          </cell>
          <cell r="E1129"/>
          <cell r="F1129"/>
          <cell r="G1129"/>
          <cell r="H1129"/>
          <cell r="I1129"/>
          <cell r="J1129"/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>
            <v>0</v>
          </cell>
          <cell r="AB1129">
            <v>0</v>
          </cell>
          <cell r="AC1129">
            <v>0</v>
          </cell>
          <cell r="AD1129"/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</row>
        <row r="1130">
          <cell r="A1130">
            <v>4014</v>
          </cell>
          <cell r="B1130"/>
          <cell r="C1130" t="str">
            <v>Capa Pedal</v>
          </cell>
          <cell r="D1130" t="str">
            <v>HOLYMAN</v>
          </cell>
          <cell r="E1130"/>
          <cell r="F1130"/>
          <cell r="G1130"/>
          <cell r="H1130"/>
          <cell r="I1130"/>
          <cell r="J1130"/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>
            <v>0</v>
          </cell>
          <cell r="AB1130">
            <v>0</v>
          </cell>
          <cell r="AC1130">
            <v>0</v>
          </cell>
          <cell r="AD1130"/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</row>
        <row r="1131">
          <cell r="A1131">
            <v>4015</v>
          </cell>
          <cell r="B1131"/>
          <cell r="C1131" t="str">
            <v>Capa Pedal</v>
          </cell>
          <cell r="D1131" t="str">
            <v>HOLYMAN</v>
          </cell>
          <cell r="E1131">
            <v>5</v>
          </cell>
          <cell r="F1131" t="str">
            <v>Capa De Pedal Freio E Embreagem C10 C20 C40</v>
          </cell>
          <cell r="G1131"/>
          <cell r="H1131">
            <v>0</v>
          </cell>
          <cell r="I1131">
            <v>0</v>
          </cell>
          <cell r="J1131" t="str">
            <v/>
          </cell>
          <cell r="K1131" t="str">
            <v/>
          </cell>
          <cell r="L1131" t="str">
            <v/>
          </cell>
          <cell r="M1131">
            <v>0</v>
          </cell>
          <cell r="N1131" t="str">
            <v/>
          </cell>
          <cell r="O1131" t="str">
            <v/>
          </cell>
          <cell r="P1131" t="str">
            <v/>
          </cell>
          <cell r="Q1131">
            <v>0</v>
          </cell>
          <cell r="R1131" t="str">
            <v>0</v>
          </cell>
          <cell r="S1131" t="str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 t="str">
            <v/>
          </cell>
          <cell r="Y1131" t="str">
            <v/>
          </cell>
          <cell r="Z1131" t="str">
            <v/>
          </cell>
          <cell r="AA1131">
            <v>0</v>
          </cell>
          <cell r="AB1131">
            <v>0</v>
          </cell>
          <cell r="AC1131">
            <v>0</v>
          </cell>
          <cell r="AD1131"/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</row>
        <row r="1132">
          <cell r="A1132">
            <v>4017</v>
          </cell>
          <cell r="B1132"/>
          <cell r="C1132" t="str">
            <v>Capa Pedal</v>
          </cell>
          <cell r="D1132" t="str">
            <v>HOLYMAN</v>
          </cell>
          <cell r="E1132">
            <v>5</v>
          </cell>
          <cell r="F1132" t="str">
            <v>Capa Pedal Acelerador Freio Embregaem Fusca Variant Brasilia</v>
          </cell>
          <cell r="G1132"/>
          <cell r="H1132">
            <v>0</v>
          </cell>
          <cell r="I1132">
            <v>0</v>
          </cell>
          <cell r="J1132" t="str">
            <v/>
          </cell>
          <cell r="K1132" t="str">
            <v/>
          </cell>
          <cell r="L1132" t="str">
            <v/>
          </cell>
          <cell r="M1132">
            <v>0</v>
          </cell>
          <cell r="N1132" t="str">
            <v/>
          </cell>
          <cell r="O1132" t="str">
            <v/>
          </cell>
          <cell r="P1132" t="str">
            <v/>
          </cell>
          <cell r="Q1132">
            <v>0</v>
          </cell>
          <cell r="R1132" t="str">
            <v>0</v>
          </cell>
          <cell r="S1132" t="str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 t="str">
            <v/>
          </cell>
          <cell r="Y1132" t="str">
            <v/>
          </cell>
          <cell r="Z1132" t="str">
            <v/>
          </cell>
          <cell r="AA1132">
            <v>0</v>
          </cell>
          <cell r="AB1132">
            <v>0</v>
          </cell>
          <cell r="AC1132">
            <v>0</v>
          </cell>
          <cell r="AD1132"/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</row>
        <row r="1133">
          <cell r="A1133">
            <v>4019</v>
          </cell>
          <cell r="B1133"/>
          <cell r="C1133" t="str">
            <v>Capa Pedal</v>
          </cell>
          <cell r="D1133" t="str">
            <v>HOLYMAN</v>
          </cell>
          <cell r="E1133"/>
          <cell r="F1133"/>
          <cell r="G1133"/>
          <cell r="H1133"/>
          <cell r="I1133"/>
          <cell r="J1133"/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>
            <v>0</v>
          </cell>
          <cell r="AB1133">
            <v>0</v>
          </cell>
          <cell r="AC1133">
            <v>0</v>
          </cell>
          <cell r="AD1133"/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</row>
        <row r="1134">
          <cell r="A1134">
            <v>4021</v>
          </cell>
          <cell r="B1134"/>
          <cell r="C1134" t="str">
            <v>Capa Pedal</v>
          </cell>
          <cell r="D1134" t="str">
            <v>HOLYMAN</v>
          </cell>
          <cell r="E1134"/>
          <cell r="F1134"/>
          <cell r="G1134"/>
          <cell r="H1134"/>
          <cell r="I1134"/>
          <cell r="J1134"/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>
            <v>0</v>
          </cell>
          <cell r="AB1134">
            <v>0</v>
          </cell>
          <cell r="AC1134">
            <v>0</v>
          </cell>
          <cell r="AD1134"/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</row>
        <row r="1135">
          <cell r="A1135">
            <v>4026</v>
          </cell>
          <cell r="B1135"/>
          <cell r="C1135" t="str">
            <v>Capa Pedal</v>
          </cell>
          <cell r="D1135" t="str">
            <v>HOLYMAN</v>
          </cell>
          <cell r="E1135"/>
          <cell r="F1135"/>
          <cell r="G1135"/>
          <cell r="H1135"/>
          <cell r="I1135"/>
          <cell r="J1135"/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>
            <v>0</v>
          </cell>
          <cell r="AB1135">
            <v>0</v>
          </cell>
          <cell r="AC1135">
            <v>0</v>
          </cell>
          <cell r="AD1135"/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</row>
        <row r="1136">
          <cell r="A1136">
            <v>4028</v>
          </cell>
          <cell r="B1136"/>
          <cell r="C1136" t="str">
            <v>Capa Pedal</v>
          </cell>
          <cell r="D1136" t="str">
            <v>HOLYMAN</v>
          </cell>
          <cell r="E1136"/>
          <cell r="F1136"/>
          <cell r="G1136"/>
          <cell r="H1136"/>
          <cell r="I1136"/>
          <cell r="J1136"/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>
            <v>0</v>
          </cell>
          <cell r="AB1136">
            <v>0</v>
          </cell>
          <cell r="AC1136">
            <v>0</v>
          </cell>
          <cell r="AD1136"/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</row>
        <row r="1137">
          <cell r="A1137">
            <v>4029</v>
          </cell>
          <cell r="B1137"/>
          <cell r="C1137" t="str">
            <v>Capa Pedal</v>
          </cell>
          <cell r="D1137" t="str">
            <v>HOLYMAN</v>
          </cell>
          <cell r="E1137"/>
          <cell r="F1137"/>
          <cell r="G1137"/>
          <cell r="H1137"/>
          <cell r="I1137"/>
          <cell r="J1137"/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>
            <v>0</v>
          </cell>
          <cell r="AB1137">
            <v>0</v>
          </cell>
          <cell r="AC1137">
            <v>0</v>
          </cell>
          <cell r="AD1137"/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</row>
        <row r="1138">
          <cell r="A1138">
            <v>4030</v>
          </cell>
          <cell r="B1138"/>
          <cell r="C1138" t="str">
            <v>Capa Pedal</v>
          </cell>
          <cell r="D1138" t="str">
            <v>HOLYMAN</v>
          </cell>
          <cell r="E1138"/>
          <cell r="F1138"/>
          <cell r="G1138"/>
          <cell r="H1138"/>
          <cell r="I1138"/>
          <cell r="J1138"/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>
            <v>0</v>
          </cell>
          <cell r="AB1138">
            <v>0</v>
          </cell>
          <cell r="AC1138">
            <v>0</v>
          </cell>
          <cell r="AD1138"/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</row>
        <row r="1139">
          <cell r="A1139">
            <v>4033</v>
          </cell>
          <cell r="B1139"/>
          <cell r="C1139" t="str">
            <v>Capa Pedal</v>
          </cell>
          <cell r="D1139" t="str">
            <v>HOLYMAN</v>
          </cell>
          <cell r="E1139"/>
          <cell r="F1139"/>
          <cell r="G1139"/>
          <cell r="H1139"/>
          <cell r="I1139"/>
          <cell r="J1139"/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>
            <v>0</v>
          </cell>
          <cell r="AB1139">
            <v>0</v>
          </cell>
          <cell r="AC1139">
            <v>0</v>
          </cell>
          <cell r="AD1139"/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</row>
        <row r="1140">
          <cell r="A1140">
            <v>4035</v>
          </cell>
          <cell r="B1140"/>
          <cell r="C1140" t="str">
            <v>Capa Pedal</v>
          </cell>
          <cell r="D1140" t="str">
            <v>HOLYMAN</v>
          </cell>
          <cell r="E1140"/>
          <cell r="F1140"/>
          <cell r="G1140"/>
          <cell r="H1140"/>
          <cell r="I1140"/>
          <cell r="J1140"/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>
            <v>0</v>
          </cell>
          <cell r="AB1140">
            <v>0</v>
          </cell>
          <cell r="AC1140">
            <v>0</v>
          </cell>
          <cell r="AD1140"/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</row>
        <row r="1141">
          <cell r="A1141">
            <v>4036</v>
          </cell>
          <cell r="B1141"/>
          <cell r="C1141" t="str">
            <v>Capa Pedal</v>
          </cell>
          <cell r="D1141" t="str">
            <v>HOLYMAN</v>
          </cell>
          <cell r="E1141"/>
          <cell r="F1141"/>
          <cell r="G1141"/>
          <cell r="H1141"/>
          <cell r="I1141"/>
          <cell r="J1141"/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>
            <v>0</v>
          </cell>
          <cell r="AB1141">
            <v>0</v>
          </cell>
          <cell r="AC1141">
            <v>0</v>
          </cell>
          <cell r="AD1141"/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</row>
        <row r="1142">
          <cell r="A1142">
            <v>4037</v>
          </cell>
          <cell r="B1142"/>
          <cell r="C1142" t="str">
            <v>Capa Pedal</v>
          </cell>
          <cell r="D1142" t="str">
            <v>HOLYMAN</v>
          </cell>
          <cell r="E1142"/>
          <cell r="F1142"/>
          <cell r="G1142"/>
          <cell r="H1142"/>
          <cell r="I1142"/>
          <cell r="J1142"/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>
            <v>0</v>
          </cell>
          <cell r="AB1142">
            <v>0</v>
          </cell>
          <cell r="AC1142">
            <v>0</v>
          </cell>
          <cell r="AD1142"/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</row>
        <row r="1143">
          <cell r="A1143">
            <v>4039</v>
          </cell>
          <cell r="B1143"/>
          <cell r="C1143" t="str">
            <v>Capa Pedal</v>
          </cell>
          <cell r="D1143" t="str">
            <v>HOLYMAN</v>
          </cell>
          <cell r="E1143"/>
          <cell r="F1143"/>
          <cell r="G1143"/>
          <cell r="H1143"/>
          <cell r="I1143"/>
          <cell r="J1143"/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>
            <v>0</v>
          </cell>
          <cell r="AB1143">
            <v>0</v>
          </cell>
          <cell r="AC1143">
            <v>0</v>
          </cell>
          <cell r="AD1143"/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</row>
        <row r="1144">
          <cell r="A1144">
            <v>4040</v>
          </cell>
          <cell r="B1144"/>
          <cell r="C1144" t="str">
            <v>Capa Pedal</v>
          </cell>
          <cell r="D1144" t="str">
            <v>HOLYMAN</v>
          </cell>
          <cell r="E1144"/>
          <cell r="F1144"/>
          <cell r="G1144"/>
          <cell r="H1144"/>
          <cell r="I1144"/>
          <cell r="J1144"/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>
            <v>0</v>
          </cell>
          <cell r="AB1144">
            <v>0</v>
          </cell>
          <cell r="AC1144">
            <v>0</v>
          </cell>
          <cell r="AD1144"/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</row>
        <row r="1145">
          <cell r="A1145">
            <v>4046</v>
          </cell>
          <cell r="B1145"/>
          <cell r="C1145" t="str">
            <v>Capa Pedal</v>
          </cell>
          <cell r="D1145" t="str">
            <v>HOLYMAN</v>
          </cell>
          <cell r="E1145"/>
          <cell r="F1145"/>
          <cell r="G1145"/>
          <cell r="H1145"/>
          <cell r="I1145"/>
          <cell r="J1145"/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>
            <v>0</v>
          </cell>
          <cell r="AB1145">
            <v>0</v>
          </cell>
          <cell r="AC1145">
            <v>0</v>
          </cell>
          <cell r="AD1145"/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</row>
        <row r="1146">
          <cell r="A1146">
            <v>4049</v>
          </cell>
          <cell r="B1146"/>
          <cell r="C1146" t="str">
            <v>Capa Pedal</v>
          </cell>
          <cell r="D1146" t="str">
            <v>HOLYMAN</v>
          </cell>
          <cell r="E1146"/>
          <cell r="F1146"/>
          <cell r="G1146"/>
          <cell r="H1146"/>
          <cell r="I1146"/>
          <cell r="J1146"/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>
            <v>0</v>
          </cell>
          <cell r="AB1146">
            <v>0</v>
          </cell>
          <cell r="AC1146">
            <v>0</v>
          </cell>
          <cell r="AD1146"/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</row>
        <row r="1147">
          <cell r="A1147">
            <v>4057</v>
          </cell>
          <cell r="B1147"/>
          <cell r="C1147" t="str">
            <v>Capa Pedal</v>
          </cell>
          <cell r="D1147" t="str">
            <v>HOLYMAN</v>
          </cell>
          <cell r="E1147"/>
          <cell r="F1147"/>
          <cell r="G1147"/>
          <cell r="H1147"/>
          <cell r="I1147"/>
          <cell r="J1147"/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>
            <v>0</v>
          </cell>
          <cell r="AB1147">
            <v>0</v>
          </cell>
          <cell r="AC1147">
            <v>0</v>
          </cell>
          <cell r="AD1147"/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</row>
        <row r="1148">
          <cell r="A1148">
            <v>4059</v>
          </cell>
          <cell r="B1148"/>
          <cell r="C1148" t="str">
            <v>Capa Pedal</v>
          </cell>
          <cell r="D1148" t="str">
            <v>HOLYMAN</v>
          </cell>
          <cell r="E1148"/>
          <cell r="F1148"/>
          <cell r="G1148"/>
          <cell r="H1148"/>
          <cell r="I1148"/>
          <cell r="J1148"/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>
            <v>0</v>
          </cell>
          <cell r="AB1148">
            <v>0</v>
          </cell>
          <cell r="AC1148">
            <v>0</v>
          </cell>
          <cell r="AD1148"/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</row>
        <row r="1149">
          <cell r="A1149">
            <v>4060</v>
          </cell>
          <cell r="B1149"/>
          <cell r="C1149" t="str">
            <v>Capa Pedal</v>
          </cell>
          <cell r="D1149" t="str">
            <v>HOLYMAN</v>
          </cell>
          <cell r="E1149"/>
          <cell r="F1149"/>
          <cell r="G1149"/>
          <cell r="H1149"/>
          <cell r="I1149"/>
          <cell r="J1149"/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>
            <v>0</v>
          </cell>
          <cell r="AB1149">
            <v>0</v>
          </cell>
          <cell r="AC1149">
            <v>0</v>
          </cell>
          <cell r="AD1149"/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</row>
        <row r="1150">
          <cell r="A1150">
            <v>4061</v>
          </cell>
          <cell r="B1150"/>
          <cell r="C1150" t="str">
            <v>Capa Pedal</v>
          </cell>
          <cell r="D1150" t="str">
            <v>HOLYMAN</v>
          </cell>
          <cell r="E1150"/>
          <cell r="F1150"/>
          <cell r="G1150"/>
          <cell r="H1150"/>
          <cell r="I1150"/>
          <cell r="J1150"/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>
            <v>0</v>
          </cell>
          <cell r="AB1150">
            <v>0</v>
          </cell>
          <cell r="AC1150">
            <v>0</v>
          </cell>
          <cell r="AD1150"/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</row>
        <row r="1151">
          <cell r="A1151">
            <v>4065</v>
          </cell>
          <cell r="B1151"/>
          <cell r="C1151" t="str">
            <v>Capa Pedal</v>
          </cell>
          <cell r="D1151" t="str">
            <v>HOLYMAN</v>
          </cell>
          <cell r="E1151"/>
          <cell r="F1151"/>
          <cell r="G1151"/>
          <cell r="H1151"/>
          <cell r="I1151"/>
          <cell r="J1151"/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>
            <v>0</v>
          </cell>
          <cell r="AB1151">
            <v>0</v>
          </cell>
          <cell r="AC1151">
            <v>0</v>
          </cell>
          <cell r="AD1151"/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</row>
        <row r="1152">
          <cell r="A1152">
            <v>4067</v>
          </cell>
          <cell r="B1152"/>
          <cell r="C1152" t="str">
            <v>Capa Pedal</v>
          </cell>
          <cell r="D1152" t="str">
            <v>HOLYMAN</v>
          </cell>
          <cell r="E1152"/>
          <cell r="F1152"/>
          <cell r="G1152"/>
          <cell r="H1152"/>
          <cell r="I1152"/>
          <cell r="J1152"/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>
            <v>0</v>
          </cell>
          <cell r="AB1152">
            <v>0</v>
          </cell>
          <cell r="AC1152">
            <v>0</v>
          </cell>
          <cell r="AD1152"/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</row>
        <row r="1153">
          <cell r="A1153">
            <v>4068</v>
          </cell>
          <cell r="B1153"/>
          <cell r="C1153" t="str">
            <v>Capa Pedal</v>
          </cell>
          <cell r="D1153" t="str">
            <v>HOLYMAN</v>
          </cell>
          <cell r="E1153"/>
          <cell r="F1153"/>
          <cell r="G1153"/>
          <cell r="H1153"/>
          <cell r="I1153"/>
          <cell r="J1153"/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>
            <v>0</v>
          </cell>
          <cell r="AB1153">
            <v>0</v>
          </cell>
          <cell r="AC1153">
            <v>0</v>
          </cell>
          <cell r="AD1153"/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</row>
        <row r="1154">
          <cell r="A1154">
            <v>4069</v>
          </cell>
          <cell r="B1154"/>
          <cell r="C1154" t="str">
            <v>Capa Pedal</v>
          </cell>
          <cell r="D1154" t="str">
            <v>HOLYMAN</v>
          </cell>
          <cell r="E1154"/>
          <cell r="F1154"/>
          <cell r="G1154"/>
          <cell r="H1154"/>
          <cell r="I1154"/>
          <cell r="J1154"/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>
            <v>0</v>
          </cell>
          <cell r="AB1154">
            <v>0</v>
          </cell>
          <cell r="AC1154">
            <v>0</v>
          </cell>
          <cell r="AD1154"/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</row>
        <row r="1155">
          <cell r="A1155">
            <v>4070</v>
          </cell>
          <cell r="B1155"/>
          <cell r="C1155" t="str">
            <v>Capa Pedal</v>
          </cell>
          <cell r="D1155" t="str">
            <v>HOLYMAN</v>
          </cell>
          <cell r="E1155"/>
          <cell r="F1155"/>
          <cell r="G1155"/>
          <cell r="H1155"/>
          <cell r="I1155"/>
          <cell r="J1155"/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>
            <v>0</v>
          </cell>
          <cell r="AB1155">
            <v>0</v>
          </cell>
          <cell r="AC1155">
            <v>0</v>
          </cell>
          <cell r="AD1155"/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</row>
        <row r="1156">
          <cell r="A1156">
            <v>4072</v>
          </cell>
          <cell r="B1156"/>
          <cell r="C1156" t="str">
            <v>Capa Pedal</v>
          </cell>
          <cell r="D1156" t="str">
            <v>HOLYMAN</v>
          </cell>
          <cell r="E1156"/>
          <cell r="F1156"/>
          <cell r="G1156"/>
          <cell r="H1156"/>
          <cell r="I1156"/>
          <cell r="J1156"/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>
            <v>0</v>
          </cell>
          <cell r="AB1156">
            <v>0</v>
          </cell>
          <cell r="AC1156">
            <v>0</v>
          </cell>
          <cell r="AD1156"/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</row>
        <row r="1157">
          <cell r="A1157">
            <v>4074</v>
          </cell>
          <cell r="B1157"/>
          <cell r="C1157" t="str">
            <v>Capa Pedal</v>
          </cell>
          <cell r="D1157" t="str">
            <v>HOLYMAN</v>
          </cell>
          <cell r="E1157"/>
          <cell r="F1157"/>
          <cell r="G1157"/>
          <cell r="H1157"/>
          <cell r="I1157"/>
          <cell r="J1157"/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>
            <v>0</v>
          </cell>
          <cell r="AB1157">
            <v>0</v>
          </cell>
          <cell r="AC1157">
            <v>0</v>
          </cell>
          <cell r="AD1157"/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</row>
        <row r="1158">
          <cell r="A1158">
            <v>4075</v>
          </cell>
          <cell r="B1158"/>
          <cell r="C1158" t="str">
            <v>Capa Pedal</v>
          </cell>
          <cell r="D1158" t="str">
            <v>HOLYMAN</v>
          </cell>
          <cell r="E1158"/>
          <cell r="F1158"/>
          <cell r="G1158"/>
          <cell r="H1158"/>
          <cell r="I1158"/>
          <cell r="J1158"/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>
            <v>0</v>
          </cell>
          <cell r="AB1158">
            <v>0</v>
          </cell>
          <cell r="AC1158">
            <v>0</v>
          </cell>
          <cell r="AD1158"/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</row>
        <row r="1159">
          <cell r="A1159">
            <v>4085</v>
          </cell>
          <cell r="B1159"/>
          <cell r="C1159" t="str">
            <v>Capa Pedal</v>
          </cell>
          <cell r="D1159" t="str">
            <v>HOLYMAN</v>
          </cell>
          <cell r="E1159"/>
          <cell r="F1159"/>
          <cell r="G1159"/>
          <cell r="H1159"/>
          <cell r="I1159"/>
          <cell r="J1159"/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>
            <v>0</v>
          </cell>
          <cell r="AB1159">
            <v>0</v>
          </cell>
          <cell r="AC1159">
            <v>0</v>
          </cell>
          <cell r="AD1159"/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</row>
        <row r="1160">
          <cell r="A1160" t="str">
            <v>FTK1510</v>
          </cell>
          <cell r="B1160"/>
          <cell r="C1160" t="str">
            <v>Coifa Homocinética</v>
          </cell>
          <cell r="D1160" t="str">
            <v>Replabor</v>
          </cell>
          <cell r="E1160">
            <v>11</v>
          </cell>
          <cell r="F1160" t="str">
            <v>COIFA HOMOCINETICA LADO RODA HB20 1.0 1.6 2012 EM DIANTE</v>
          </cell>
          <cell r="G1160"/>
          <cell r="H1160" t="str">
            <v>-</v>
          </cell>
          <cell r="I1160"/>
          <cell r="J1160"/>
          <cell r="K1160"/>
          <cell r="L1160"/>
          <cell r="M1160"/>
          <cell r="N1160"/>
          <cell r="O1160"/>
          <cell r="P1160"/>
          <cell r="Q1160">
            <v>0</v>
          </cell>
          <cell r="R1160"/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 t="str">
            <v/>
          </cell>
          <cell r="Y1160" t="str">
            <v/>
          </cell>
          <cell r="Z1160" t="str">
            <v/>
          </cell>
          <cell r="AA1160">
            <v>0</v>
          </cell>
          <cell r="AB1160">
            <v>0</v>
          </cell>
          <cell r="AC1160">
            <v>0</v>
          </cell>
          <cell r="AD1160"/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</row>
        <row r="1161">
          <cell r="A1161" t="str">
            <v>FTK1511</v>
          </cell>
          <cell r="B1161"/>
          <cell r="C1161" t="str">
            <v>Coifa Homocinética</v>
          </cell>
          <cell r="D1161" t="str">
            <v>Replabor</v>
          </cell>
          <cell r="E1161">
            <v>11</v>
          </cell>
          <cell r="F1161" t="str">
            <v>COIFA HOMOCINETICA LADO CÂMBIO HB20 1.6 2012 EM DIANTE</v>
          </cell>
          <cell r="G1161"/>
          <cell r="H1161" t="str">
            <v>-</v>
          </cell>
          <cell r="I1161"/>
          <cell r="J1161"/>
          <cell r="K1161"/>
          <cell r="L1161"/>
          <cell r="M1161"/>
          <cell r="N1161"/>
          <cell r="O1161"/>
          <cell r="P1161"/>
          <cell r="Q1161">
            <v>0</v>
          </cell>
          <cell r="R1161"/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 t="str">
            <v/>
          </cell>
          <cell r="Y1161" t="str">
            <v/>
          </cell>
          <cell r="Z1161" t="str">
            <v/>
          </cell>
          <cell r="AA1161">
            <v>0</v>
          </cell>
          <cell r="AB1161">
            <v>0</v>
          </cell>
          <cell r="AC1161">
            <v>0</v>
          </cell>
          <cell r="AD1161"/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</row>
        <row r="1162">
          <cell r="A1162" t="str">
            <v>FTK-1512</v>
          </cell>
          <cell r="B1162"/>
          <cell r="C1162" t="str">
            <v>Coifa Homocinética</v>
          </cell>
          <cell r="D1162" t="str">
            <v>Replabor</v>
          </cell>
          <cell r="E1162">
            <v>11</v>
          </cell>
          <cell r="F1162" t="str">
            <v>COIFA HOMOCINETICA LADO CÂMBIO HB20 1.0 2012 EM DIANTE</v>
          </cell>
          <cell r="G1162"/>
          <cell r="H1162" t="str">
            <v>-</v>
          </cell>
          <cell r="I1162"/>
          <cell r="J1162"/>
          <cell r="K1162"/>
          <cell r="L1162"/>
          <cell r="M1162"/>
          <cell r="N1162"/>
          <cell r="O1162"/>
          <cell r="P1162"/>
          <cell r="Q1162">
            <v>0</v>
          </cell>
          <cell r="R1162"/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 t="str">
            <v/>
          </cell>
          <cell r="Y1162" t="str">
            <v/>
          </cell>
          <cell r="Z1162" t="str">
            <v/>
          </cell>
          <cell r="AA1162">
            <v>0</v>
          </cell>
          <cell r="AB1162">
            <v>0</v>
          </cell>
          <cell r="AC1162">
            <v>0</v>
          </cell>
          <cell r="AD1162"/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</row>
        <row r="1163">
          <cell r="A1163" t="str">
            <v>FTK232</v>
          </cell>
          <cell r="B1163"/>
          <cell r="C1163" t="str">
            <v>Coifa Homocinética</v>
          </cell>
          <cell r="D1163" t="str">
            <v>Replabor</v>
          </cell>
          <cell r="E1163">
            <v>11</v>
          </cell>
          <cell r="F1163" t="str">
            <v>COIFA HOMOCINETICA LADO CÂMBIO ASTRA 1995 1996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  <cell r="P1163"/>
          <cell r="Q1163">
            <v>0</v>
          </cell>
          <cell r="R1163"/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 t="str">
            <v/>
          </cell>
          <cell r="Y1163" t="str">
            <v/>
          </cell>
          <cell r="Z1163" t="str">
            <v/>
          </cell>
          <cell r="AA1163">
            <v>0</v>
          </cell>
          <cell r="AB1163">
            <v>0</v>
          </cell>
          <cell r="AC1163">
            <v>0</v>
          </cell>
          <cell r="AD1163"/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</row>
        <row r="1164">
          <cell r="A1164" t="str">
            <v>FTK233</v>
          </cell>
          <cell r="B1164"/>
          <cell r="C1164" t="str">
            <v>Coifa Homocinética</v>
          </cell>
          <cell r="D1164" t="str">
            <v>Replabor</v>
          </cell>
          <cell r="E1164">
            <v>11</v>
          </cell>
          <cell r="F1164" t="str">
            <v>COIFA HOMOCINETICA LADO CÂMBIO AGILE LS LT LTZ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  <cell r="P1164"/>
          <cell r="Q1164">
            <v>0</v>
          </cell>
          <cell r="R1164"/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 t="str">
            <v/>
          </cell>
          <cell r="Y1164" t="str">
            <v/>
          </cell>
          <cell r="Z1164" t="str">
            <v/>
          </cell>
          <cell r="AA1164">
            <v>0</v>
          </cell>
          <cell r="AB1164">
            <v>0</v>
          </cell>
          <cell r="AC1164">
            <v>0</v>
          </cell>
          <cell r="AD1164"/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</row>
        <row r="1165">
          <cell r="A1165" t="str">
            <v>FTK234</v>
          </cell>
          <cell r="B1165"/>
          <cell r="C1165" t="str">
            <v>Coifa Homocinética</v>
          </cell>
          <cell r="D1165" t="str">
            <v>Replabor</v>
          </cell>
          <cell r="E1165">
            <v>11</v>
          </cell>
          <cell r="F1165" t="str">
            <v>COIFA HOMOCINETICA LADO RODA CELTA 2001 EM DIANTE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  <cell r="P1165"/>
          <cell r="Q1165">
            <v>0</v>
          </cell>
          <cell r="R1165"/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 t="str">
            <v/>
          </cell>
          <cell r="Y1165" t="str">
            <v/>
          </cell>
          <cell r="Z1165" t="str">
            <v/>
          </cell>
          <cell r="AA1165">
            <v>0</v>
          </cell>
          <cell r="AB1165">
            <v>0</v>
          </cell>
          <cell r="AC1165">
            <v>0</v>
          </cell>
          <cell r="AD1165"/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</row>
        <row r="1166">
          <cell r="A1166" t="str">
            <v>LT2273</v>
          </cell>
          <cell r="B1166" t="str">
            <v>Sim</v>
          </cell>
          <cell r="C1166" t="str">
            <v>Copo Filtro Óleo</v>
          </cell>
          <cell r="D1166" t="str">
            <v>LT CORREA</v>
          </cell>
          <cell r="E1166" t="e">
            <v>#N/A</v>
          </cell>
          <cell r="F1166" t="str">
            <v>Copo Tampa Filtro De Óleo Citroen C3 1.4  8v 2006  Á 2012</v>
          </cell>
          <cell r="G1166"/>
          <cell r="H1166" t="str">
            <v>-</v>
          </cell>
          <cell r="I1166"/>
          <cell r="J1166"/>
          <cell r="K1166"/>
          <cell r="L1166"/>
          <cell r="M1166"/>
          <cell r="N1166"/>
          <cell r="O1166"/>
          <cell r="P1166"/>
          <cell r="Q1166">
            <v>0</v>
          </cell>
          <cell r="R1166">
            <v>0</v>
          </cell>
          <cell r="S1166" t="str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 t="str">
            <v/>
          </cell>
          <cell r="Y1166" t="str">
            <v/>
          </cell>
          <cell r="Z1166" t="str">
            <v/>
          </cell>
          <cell r="AA1166">
            <v>0</v>
          </cell>
          <cell r="AB1166">
            <v>0</v>
          </cell>
          <cell r="AC1166">
            <v>0</v>
          </cell>
          <cell r="AD1166"/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</row>
        <row r="1167">
          <cell r="A1167" t="str">
            <v>WO120</v>
          </cell>
          <cell r="B1167"/>
          <cell r="C1167" t="str">
            <v>Filtro de óleo</v>
          </cell>
          <cell r="D1167"/>
          <cell r="E1167"/>
          <cell r="F1167" t="str">
            <v xml:space="preserve">FILTRO DE OLEO WO 120 WEGA  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>
            <v>1</v>
          </cell>
          <cell r="AA1167">
            <v>0</v>
          </cell>
          <cell r="AB1167">
            <v>0</v>
          </cell>
          <cell r="AC1167">
            <v>0</v>
          </cell>
          <cell r="AD1167"/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</row>
        <row r="1168">
          <cell r="A1168" t="str">
            <v>FP270</v>
          </cell>
          <cell r="B1168"/>
          <cell r="C1168" t="str">
            <v>Pastilha de Freio</v>
          </cell>
          <cell r="D1168" t="str">
            <v>WILL TEC</v>
          </cell>
          <cell r="E1168">
            <v>24</v>
          </cell>
          <cell r="F1168" t="str">
            <v>Pastilha De Freio De Cerâmica Cruze 2017 Em Diante</v>
          </cell>
          <cell r="G1168"/>
          <cell r="H1168">
            <v>0</v>
          </cell>
          <cell r="I1168">
            <v>0</v>
          </cell>
          <cell r="J1168" t="str">
            <v/>
          </cell>
          <cell r="K1168" t="str">
            <v/>
          </cell>
          <cell r="L1168" t="str">
            <v/>
          </cell>
          <cell r="M1168">
            <v>0</v>
          </cell>
          <cell r="N1168" t="str">
            <v/>
          </cell>
          <cell r="O1168" t="str">
            <v/>
          </cell>
          <cell r="P1168" t="str">
            <v/>
          </cell>
          <cell r="Q1168">
            <v>0</v>
          </cell>
          <cell r="R1168" t="str">
            <v>0</v>
          </cell>
          <cell r="S1168" t="str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 t="str">
            <v/>
          </cell>
          <cell r="Y1168" t="str">
            <v/>
          </cell>
          <cell r="Z1168" t="str">
            <v/>
          </cell>
          <cell r="AA1168">
            <v>0</v>
          </cell>
          <cell r="AB1168">
            <v>0</v>
          </cell>
          <cell r="AC1168">
            <v>0</v>
          </cell>
          <cell r="AD1168"/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</row>
        <row r="1169">
          <cell r="A1169" t="str">
            <v>fp963</v>
          </cell>
          <cell r="B1169"/>
          <cell r="C1169" t="str">
            <v>Pastilha de Freio</v>
          </cell>
          <cell r="D1169" t="str">
            <v>WILL TEC</v>
          </cell>
          <cell r="E1169">
            <v>24</v>
          </cell>
          <cell r="F1169" t="str">
            <v>Pastilha De Freio Diant Cerâmica Trailblazer 2013 Em Diante</v>
          </cell>
          <cell r="G1169"/>
          <cell r="H1169">
            <v>0</v>
          </cell>
          <cell r="I1169">
            <v>0</v>
          </cell>
          <cell r="J1169" t="str">
            <v/>
          </cell>
          <cell r="K1169" t="str">
            <v/>
          </cell>
          <cell r="L1169" t="str">
            <v/>
          </cell>
          <cell r="M1169">
            <v>0</v>
          </cell>
          <cell r="N1169" t="str">
            <v/>
          </cell>
          <cell r="O1169" t="str">
            <v/>
          </cell>
          <cell r="P1169" t="str">
            <v/>
          </cell>
          <cell r="Q1169">
            <v>0</v>
          </cell>
          <cell r="R1169" t="str">
            <v>0</v>
          </cell>
          <cell r="S1169" t="str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 t="str">
            <v/>
          </cell>
          <cell r="Y1169" t="str">
            <v/>
          </cell>
          <cell r="Z1169" t="str">
            <v/>
          </cell>
          <cell r="AA1169">
            <v>0</v>
          </cell>
          <cell r="AB1169">
            <v>0</v>
          </cell>
          <cell r="AC1169">
            <v>0</v>
          </cell>
          <cell r="AD1169"/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</row>
        <row r="1170">
          <cell r="A1170" t="str">
            <v>fp991</v>
          </cell>
          <cell r="B1170"/>
          <cell r="C1170" t="str">
            <v>Pastilha de Freio</v>
          </cell>
          <cell r="D1170" t="str">
            <v>WILL TEC</v>
          </cell>
          <cell r="E1170">
            <v>24</v>
          </cell>
          <cell r="F1170" t="str">
            <v>Pastilha Freio Diant Cerâmica Amarok 3.0 Tdi 2018 Em Diante</v>
          </cell>
          <cell r="G1170"/>
          <cell r="H1170">
            <v>0</v>
          </cell>
          <cell r="I1170">
            <v>0</v>
          </cell>
          <cell r="J1170" t="str">
            <v/>
          </cell>
          <cell r="K1170" t="str">
            <v/>
          </cell>
          <cell r="L1170" t="str">
            <v/>
          </cell>
          <cell r="M1170">
            <v>0</v>
          </cell>
          <cell r="N1170" t="str">
            <v/>
          </cell>
          <cell r="O1170" t="str">
            <v/>
          </cell>
          <cell r="P1170" t="str">
            <v/>
          </cell>
          <cell r="Q1170">
            <v>0</v>
          </cell>
          <cell r="R1170" t="str">
            <v>0</v>
          </cell>
          <cell r="S1170" t="str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 t="str">
            <v/>
          </cell>
          <cell r="Y1170" t="str">
            <v/>
          </cell>
          <cell r="Z1170" t="str">
            <v/>
          </cell>
          <cell r="AA1170">
            <v>0</v>
          </cell>
          <cell r="AB1170">
            <v>0</v>
          </cell>
          <cell r="AC1170">
            <v>0</v>
          </cell>
          <cell r="AD1170"/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</row>
        <row r="1171">
          <cell r="A1171" t="str">
            <v>fpi023</v>
          </cell>
          <cell r="B1171"/>
          <cell r="C1171" t="str">
            <v>Pastilha de Freio</v>
          </cell>
          <cell r="D1171" t="str">
            <v>WILL TEC</v>
          </cell>
          <cell r="E1171">
            <v>24</v>
          </cell>
          <cell r="F1171" t="str">
            <v>Pastilha De Freio Diant Cerâmica Citroen Jumpy Expert 2018</v>
          </cell>
          <cell r="G1171"/>
          <cell r="H1171">
            <v>0</v>
          </cell>
          <cell r="I1171">
            <v>0</v>
          </cell>
          <cell r="J1171" t="str">
            <v/>
          </cell>
          <cell r="K1171" t="str">
            <v/>
          </cell>
          <cell r="L1171" t="str">
            <v/>
          </cell>
          <cell r="M1171">
            <v>0</v>
          </cell>
          <cell r="N1171" t="str">
            <v/>
          </cell>
          <cell r="O1171" t="str">
            <v/>
          </cell>
          <cell r="P1171" t="str">
            <v/>
          </cell>
          <cell r="Q1171">
            <v>0</v>
          </cell>
          <cell r="R1171" t="str">
            <v>0</v>
          </cell>
          <cell r="S1171" t="str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 t="str">
            <v/>
          </cell>
          <cell r="Y1171" t="str">
            <v/>
          </cell>
          <cell r="Z1171" t="str">
            <v/>
          </cell>
          <cell r="AA1171">
            <v>0</v>
          </cell>
          <cell r="AB1171">
            <v>0</v>
          </cell>
          <cell r="AC1171">
            <v>0</v>
          </cell>
          <cell r="AD1171"/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</row>
        <row r="1172">
          <cell r="A1172">
            <v>23100</v>
          </cell>
          <cell r="B1172"/>
          <cell r="C1172" t="str">
            <v>Pino de Freio</v>
          </cell>
          <cell r="D1172" t="str">
            <v>MultiKit</v>
          </cell>
          <cell r="E1172">
            <v>4</v>
          </cell>
          <cell r="F1172" t="str">
            <v>Pino Da Pinça De Freio Chevrolet S10 4x4</v>
          </cell>
          <cell r="G1172"/>
          <cell r="H1172">
            <v>0</v>
          </cell>
          <cell r="I1172">
            <v>0</v>
          </cell>
          <cell r="J1172">
            <v>0</v>
          </cell>
          <cell r="K1172" t="str">
            <v/>
          </cell>
          <cell r="L1172" t="str">
            <v/>
          </cell>
          <cell r="M1172">
            <v>0</v>
          </cell>
          <cell r="N1172" t="str">
            <v/>
          </cell>
          <cell r="O1172">
            <v>0</v>
          </cell>
          <cell r="P1172" t="str">
            <v/>
          </cell>
          <cell r="Q1172">
            <v>0</v>
          </cell>
          <cell r="R1172" t="str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 t="str">
            <v/>
          </cell>
          <cell r="Y1172" t="str">
            <v/>
          </cell>
          <cell r="Z1172" t="str">
            <v/>
          </cell>
          <cell r="AA1172">
            <v>0</v>
          </cell>
          <cell r="AB1172">
            <v>0</v>
          </cell>
          <cell r="AC1172">
            <v>0</v>
          </cell>
          <cell r="AD1172"/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</row>
        <row r="1173">
          <cell r="A1173">
            <v>29037</v>
          </cell>
          <cell r="B1173"/>
          <cell r="C1173" t="str">
            <v>Pino de Freio</v>
          </cell>
          <cell r="D1173" t="str">
            <v>MultiKit</v>
          </cell>
          <cell r="E1173">
            <v>4</v>
          </cell>
          <cell r="F1173" t="str">
            <v>Kit Pino Da Pinça De Freio Hyundai Hr 2005 A 2018</v>
          </cell>
          <cell r="G1173"/>
          <cell r="H1173">
            <v>0</v>
          </cell>
          <cell r="I1173">
            <v>0</v>
          </cell>
          <cell r="J1173">
            <v>0</v>
          </cell>
          <cell r="K1173" t="str">
            <v/>
          </cell>
          <cell r="L1173" t="str">
            <v/>
          </cell>
          <cell r="M1173">
            <v>0</v>
          </cell>
          <cell r="N1173" t="str">
            <v/>
          </cell>
          <cell r="O1173">
            <v>0</v>
          </cell>
          <cell r="P1173" t="str">
            <v/>
          </cell>
          <cell r="Q1173">
            <v>0</v>
          </cell>
          <cell r="R1173" t="str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 t="str">
            <v/>
          </cell>
          <cell r="Y1173" t="str">
            <v/>
          </cell>
          <cell r="Z1173" t="str">
            <v/>
          </cell>
          <cell r="AA1173">
            <v>0</v>
          </cell>
          <cell r="AB1173">
            <v>0</v>
          </cell>
          <cell r="AC1173">
            <v>0</v>
          </cell>
          <cell r="AD1173"/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</row>
        <row r="1174">
          <cell r="A1174" t="str">
            <v>FTK00122</v>
          </cell>
          <cell r="B1174" t="str">
            <v>Não</v>
          </cell>
          <cell r="C1174" t="str">
            <v>Pivô</v>
          </cell>
          <cell r="D1174" t="str">
            <v>SPARE</v>
          </cell>
          <cell r="E1174">
            <v>2</v>
          </cell>
          <cell r="F1174" t="str">
            <v>PIVÔ INFERIOR BANDEJA AMBOS LADOS BRAVO 2011 A 2015</v>
          </cell>
          <cell r="G1174"/>
          <cell r="H1174">
            <v>0</v>
          </cell>
          <cell r="I1174">
            <v>0</v>
          </cell>
          <cell r="J1174"/>
          <cell r="K1174"/>
          <cell r="L1174"/>
          <cell r="M1174">
            <v>0</v>
          </cell>
          <cell r="N1174" t="str">
            <v/>
          </cell>
          <cell r="O1174">
            <v>0</v>
          </cell>
          <cell r="P1174" t="str">
            <v/>
          </cell>
          <cell r="Q1174">
            <v>0</v>
          </cell>
          <cell r="R1174" t="str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 t="str">
            <v/>
          </cell>
          <cell r="Y1174" t="str">
            <v/>
          </cell>
          <cell r="Z1174" t="str">
            <v/>
          </cell>
          <cell r="AA1174">
            <v>0</v>
          </cell>
          <cell r="AB1174">
            <v>0</v>
          </cell>
          <cell r="AC1174">
            <v>0</v>
          </cell>
          <cell r="AD1174"/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</row>
        <row r="1175">
          <cell r="A1175" t="str">
            <v>FTK00131</v>
          </cell>
          <cell r="B1175" t="str">
            <v>Sim</v>
          </cell>
          <cell r="C1175" t="str">
            <v>Pivô</v>
          </cell>
          <cell r="D1175" t="str">
            <v>SPARE</v>
          </cell>
          <cell r="E1175">
            <v>2</v>
          </cell>
          <cell r="F1175" t="str">
            <v>PIVÔ INFERIOR ESQUERDO ARGO DRIVE 1.0 1.3 GSR 2018 A 2021</v>
          </cell>
          <cell r="G1175"/>
          <cell r="H1175">
            <v>0</v>
          </cell>
          <cell r="I1175">
            <v>0</v>
          </cell>
          <cell r="J1175"/>
          <cell r="K1175"/>
          <cell r="L1175"/>
          <cell r="M1175">
            <v>0</v>
          </cell>
          <cell r="N1175" t="str">
            <v/>
          </cell>
          <cell r="O1175">
            <v>0</v>
          </cell>
          <cell r="P1175" t="str">
            <v/>
          </cell>
          <cell r="Q1175">
            <v>0</v>
          </cell>
          <cell r="R1175" t="str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 t="str">
            <v/>
          </cell>
          <cell r="Y1175" t="str">
            <v/>
          </cell>
          <cell r="Z1175" t="str">
            <v/>
          </cell>
          <cell r="AA1175">
            <v>0</v>
          </cell>
          <cell r="AB1175">
            <v>0</v>
          </cell>
          <cell r="AC1175">
            <v>0</v>
          </cell>
          <cell r="AD1175"/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</row>
        <row r="1176">
          <cell r="A1176" t="str">
            <v>FTK00132</v>
          </cell>
          <cell r="B1176" t="str">
            <v>Sim</v>
          </cell>
          <cell r="C1176" t="str">
            <v>Pivô</v>
          </cell>
          <cell r="D1176" t="str">
            <v>SPARE</v>
          </cell>
          <cell r="E1176">
            <v>2</v>
          </cell>
          <cell r="F1176" t="str">
            <v>PIVÔ INFERIOR DIREITA ARGO DRIVE 1.0 1.3 GSR 2018 A 2021</v>
          </cell>
          <cell r="G1176"/>
          <cell r="H1176">
            <v>0</v>
          </cell>
          <cell r="I1176">
            <v>0</v>
          </cell>
          <cell r="J1176"/>
          <cell r="K1176"/>
          <cell r="L1176"/>
          <cell r="M1176">
            <v>0</v>
          </cell>
          <cell r="N1176" t="str">
            <v/>
          </cell>
          <cell r="O1176">
            <v>0</v>
          </cell>
          <cell r="P1176" t="str">
            <v/>
          </cell>
          <cell r="Q1176">
            <v>0</v>
          </cell>
          <cell r="R1176" t="str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 t="str">
            <v/>
          </cell>
          <cell r="Y1176" t="str">
            <v/>
          </cell>
          <cell r="Z1176" t="str">
            <v/>
          </cell>
          <cell r="AA1176">
            <v>0</v>
          </cell>
          <cell r="AB1176">
            <v>0</v>
          </cell>
          <cell r="AC1176">
            <v>0</v>
          </cell>
          <cell r="AD1176"/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</row>
        <row r="1177">
          <cell r="A1177" t="str">
            <v>FTK00206</v>
          </cell>
          <cell r="B1177"/>
          <cell r="C1177" t="str">
            <v>Pivô</v>
          </cell>
          <cell r="D1177" t="str">
            <v>SPARE</v>
          </cell>
          <cell r="E1177">
            <v>2</v>
          </cell>
          <cell r="F1177" t="str">
            <v>PIVÔ SUPERIOR AMBOS LADOS FUSION 2006 A 2012</v>
          </cell>
          <cell r="G1177"/>
          <cell r="H1177" t="str">
            <v>-</v>
          </cell>
          <cell r="I1177"/>
          <cell r="J1177"/>
          <cell r="K1177"/>
          <cell r="L1177"/>
          <cell r="M1177"/>
          <cell r="N1177"/>
          <cell r="O1177"/>
          <cell r="P1177"/>
          <cell r="Q1177">
            <v>0</v>
          </cell>
          <cell r="R1177"/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 t="str">
            <v/>
          </cell>
          <cell r="Y1177" t="str">
            <v/>
          </cell>
          <cell r="Z1177" t="str">
            <v/>
          </cell>
          <cell r="AA1177">
            <v>0</v>
          </cell>
          <cell r="AB1177">
            <v>0</v>
          </cell>
          <cell r="AC1177">
            <v>0</v>
          </cell>
          <cell r="AD1177"/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</row>
        <row r="1178">
          <cell r="A1178" t="str">
            <v>FTK00208</v>
          </cell>
          <cell r="B1178"/>
          <cell r="C1178" t="str">
            <v>Pivô</v>
          </cell>
          <cell r="D1178" t="str">
            <v>SPARE</v>
          </cell>
          <cell r="E1178">
            <v>2</v>
          </cell>
          <cell r="F1178" t="str">
            <v>PIVÔ INFERIOR DIREITO CR-V 2008 A 2011</v>
          </cell>
          <cell r="G1178"/>
          <cell r="H1178" t="str">
            <v>-</v>
          </cell>
          <cell r="I1178"/>
          <cell r="J1178"/>
          <cell r="K1178"/>
          <cell r="L1178"/>
          <cell r="M1178"/>
          <cell r="N1178"/>
          <cell r="O1178"/>
          <cell r="P1178"/>
          <cell r="Q1178">
            <v>0</v>
          </cell>
          <cell r="R1178"/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 t="str">
            <v/>
          </cell>
          <cell r="Y1178" t="str">
            <v/>
          </cell>
          <cell r="Z1178" t="str">
            <v/>
          </cell>
          <cell r="AA1178">
            <v>0</v>
          </cell>
          <cell r="AB1178">
            <v>0</v>
          </cell>
          <cell r="AC1178">
            <v>0</v>
          </cell>
          <cell r="AD1178"/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</row>
        <row r="1179">
          <cell r="A1179" t="str">
            <v>FTK00212</v>
          </cell>
          <cell r="B1179"/>
          <cell r="C1179" t="str">
            <v>Pivô</v>
          </cell>
          <cell r="D1179" t="str">
            <v>SPARE</v>
          </cell>
          <cell r="E1179">
            <v>2</v>
          </cell>
          <cell r="F1179" t="str">
            <v>PIVÔ INFERIOR AMBOS LADOS RANGER 2013 A 2017</v>
          </cell>
          <cell r="G1179"/>
          <cell r="H1179" t="str">
            <v>-</v>
          </cell>
          <cell r="I1179"/>
          <cell r="J1179"/>
          <cell r="K1179"/>
          <cell r="L1179"/>
          <cell r="M1179"/>
          <cell r="N1179"/>
          <cell r="O1179"/>
          <cell r="P1179"/>
          <cell r="Q1179">
            <v>0</v>
          </cell>
          <cell r="R1179"/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 t="str">
            <v/>
          </cell>
          <cell r="Y1179" t="str">
            <v/>
          </cell>
          <cell r="Z1179" t="str">
            <v/>
          </cell>
          <cell r="AA1179">
            <v>0</v>
          </cell>
          <cell r="AB1179">
            <v>0</v>
          </cell>
          <cell r="AC1179">
            <v>0</v>
          </cell>
          <cell r="AD1179"/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</row>
        <row r="1180">
          <cell r="A1180" t="str">
            <v>FTK00213</v>
          </cell>
          <cell r="B1180"/>
          <cell r="C1180" t="str">
            <v>Pivô</v>
          </cell>
          <cell r="D1180" t="str">
            <v>SPARE</v>
          </cell>
          <cell r="E1180">
            <v>2</v>
          </cell>
          <cell r="F1180" t="str">
            <v>PIVÔ SUPERIOR AMBOS LADOS RANGER 2013 A 2016</v>
          </cell>
          <cell r="G1180"/>
          <cell r="H1180" t="str">
            <v>-</v>
          </cell>
          <cell r="I1180"/>
          <cell r="J1180"/>
          <cell r="K1180"/>
          <cell r="L1180"/>
          <cell r="M1180"/>
          <cell r="N1180"/>
          <cell r="O1180"/>
          <cell r="P1180"/>
          <cell r="Q1180">
            <v>0</v>
          </cell>
          <cell r="R1180"/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 t="str">
            <v/>
          </cell>
          <cell r="Y1180" t="str">
            <v/>
          </cell>
          <cell r="Z1180" t="str">
            <v/>
          </cell>
          <cell r="AA1180">
            <v>0</v>
          </cell>
          <cell r="AB1180">
            <v>0</v>
          </cell>
          <cell r="AC1180">
            <v>0</v>
          </cell>
          <cell r="AD1180"/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</row>
        <row r="1181">
          <cell r="A1181" t="str">
            <v>FTK00223</v>
          </cell>
          <cell r="B1181"/>
          <cell r="C1181" t="str">
            <v>Pivô</v>
          </cell>
          <cell r="D1181" t="str">
            <v>SPARE</v>
          </cell>
          <cell r="E1181">
            <v>2</v>
          </cell>
          <cell r="F1181" t="str">
            <v>PIVÔ INFERIOR AMBOS LADOS S10 2.4 2012 A 2016</v>
          </cell>
          <cell r="G1181"/>
          <cell r="H1181" t="str">
            <v>-</v>
          </cell>
          <cell r="I1181"/>
          <cell r="J1181"/>
          <cell r="K1181"/>
          <cell r="L1181"/>
          <cell r="M1181"/>
          <cell r="N1181"/>
          <cell r="O1181"/>
          <cell r="P1181"/>
          <cell r="Q1181">
            <v>0</v>
          </cell>
          <cell r="R1181"/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 t="str">
            <v/>
          </cell>
          <cell r="Y1181" t="str">
            <v/>
          </cell>
          <cell r="Z1181" t="str">
            <v/>
          </cell>
          <cell r="AA1181">
            <v>0</v>
          </cell>
          <cell r="AB1181">
            <v>0</v>
          </cell>
          <cell r="AC1181">
            <v>0</v>
          </cell>
          <cell r="AD1181"/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</row>
        <row r="1182">
          <cell r="A1182" t="str">
            <v>FTK11023</v>
          </cell>
          <cell r="B1182" t="str">
            <v>Sim</v>
          </cell>
          <cell r="C1182" t="str">
            <v>Pivô</v>
          </cell>
          <cell r="D1182" t="str">
            <v>SPARE</v>
          </cell>
          <cell r="E1182">
            <v>2</v>
          </cell>
          <cell r="F1182" t="str">
            <v>PIVÔ INFERIOR CHEVETTE CHEVY MARAJÓ</v>
          </cell>
          <cell r="G1182"/>
          <cell r="H1182">
            <v>0</v>
          </cell>
          <cell r="I1182">
            <v>0</v>
          </cell>
          <cell r="J1182"/>
          <cell r="K1182"/>
          <cell r="L1182"/>
          <cell r="M1182">
            <v>0</v>
          </cell>
          <cell r="N1182" t="str">
            <v/>
          </cell>
          <cell r="O1182">
            <v>0</v>
          </cell>
          <cell r="P1182" t="str">
            <v/>
          </cell>
          <cell r="Q1182">
            <v>0</v>
          </cell>
          <cell r="R1182" t="str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 t="str">
            <v/>
          </cell>
          <cell r="Y1182" t="str">
            <v/>
          </cell>
          <cell r="Z1182" t="str">
            <v/>
          </cell>
          <cell r="AA1182">
            <v>0</v>
          </cell>
          <cell r="AB1182">
            <v>0</v>
          </cell>
          <cell r="AC1182">
            <v>0</v>
          </cell>
          <cell r="AD1182"/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</row>
        <row r="1183">
          <cell r="A1183" t="str">
            <v>FTK11024</v>
          </cell>
          <cell r="B1183"/>
          <cell r="C1183" t="str">
            <v>Pivô</v>
          </cell>
          <cell r="D1183" t="str">
            <v>SPARE</v>
          </cell>
          <cell r="E1183">
            <v>2</v>
          </cell>
          <cell r="F1183" t="str">
            <v>Pivô Inferior Bandeja Dianteira Ambos Os Lados Corsa 1994 até 1998</v>
          </cell>
          <cell r="G1183"/>
          <cell r="H1183" t="str">
            <v>-</v>
          </cell>
          <cell r="I1183"/>
          <cell r="J1183"/>
          <cell r="K1183"/>
          <cell r="L1183"/>
          <cell r="M1183"/>
          <cell r="N1183"/>
          <cell r="O1183"/>
          <cell r="P1183"/>
          <cell r="Q1183">
            <v>0</v>
          </cell>
          <cell r="R1183"/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 t="str">
            <v/>
          </cell>
          <cell r="Y1183" t="str">
            <v/>
          </cell>
          <cell r="Z1183" t="str">
            <v/>
          </cell>
          <cell r="AA1183">
            <v>0</v>
          </cell>
          <cell r="AB1183">
            <v>0</v>
          </cell>
          <cell r="AC1183">
            <v>0</v>
          </cell>
          <cell r="AD1183"/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</row>
        <row r="1184">
          <cell r="A1184" t="str">
            <v>FTK11049</v>
          </cell>
          <cell r="B1184" t="str">
            <v>Não</v>
          </cell>
          <cell r="C1184" t="str">
            <v>Pivô</v>
          </cell>
          <cell r="D1184" t="str">
            <v>SPARE</v>
          </cell>
          <cell r="E1184">
            <v>2</v>
          </cell>
          <cell r="F1184" t="str">
            <v>Pivô Bandeja Inferior Dianteira Esquerda Doblô 2003 À 2017</v>
          </cell>
          <cell r="G1184"/>
          <cell r="H1184">
            <v>0</v>
          </cell>
          <cell r="I1184">
            <v>0</v>
          </cell>
          <cell r="J1184" t="str">
            <v/>
          </cell>
          <cell r="K1184" t="str">
            <v/>
          </cell>
          <cell r="L1184" t="str">
            <v/>
          </cell>
          <cell r="M1184">
            <v>0</v>
          </cell>
          <cell r="N1184" t="str">
            <v/>
          </cell>
          <cell r="O1184" t="str">
            <v/>
          </cell>
          <cell r="P1184" t="str">
            <v/>
          </cell>
          <cell r="Q1184">
            <v>0</v>
          </cell>
          <cell r="R1184" t="str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 t="str">
            <v/>
          </cell>
          <cell r="Y1184" t="str">
            <v/>
          </cell>
          <cell r="Z1184" t="str">
            <v/>
          </cell>
          <cell r="AA1184">
            <v>0</v>
          </cell>
          <cell r="AB1184">
            <v>0</v>
          </cell>
          <cell r="AC1184">
            <v>0</v>
          </cell>
          <cell r="AD1184"/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</row>
        <row r="1185">
          <cell r="A1185" t="str">
            <v>FTK-11049</v>
          </cell>
          <cell r="B1185" t="str">
            <v>Sim</v>
          </cell>
          <cell r="C1185" t="str">
            <v>Pivô</v>
          </cell>
          <cell r="D1185" t="str">
            <v>SPARE</v>
          </cell>
          <cell r="E1185">
            <v>2</v>
          </cell>
          <cell r="F1185" t="str">
            <v>Pivô Bandeja Inferior Dianteira Esquerda Doblô 2003 À 2017</v>
          </cell>
          <cell r="G1185"/>
          <cell r="H1185">
            <v>0</v>
          </cell>
          <cell r="I1185">
            <v>0</v>
          </cell>
          <cell r="J1185">
            <v>0</v>
          </cell>
          <cell r="K1185" t="str">
            <v/>
          </cell>
          <cell r="L1185" t="str">
            <v/>
          </cell>
          <cell r="M1185">
            <v>0</v>
          </cell>
          <cell r="N1185" t="str">
            <v/>
          </cell>
          <cell r="O1185">
            <v>0</v>
          </cell>
          <cell r="P1185" t="str">
            <v/>
          </cell>
          <cell r="Q1185">
            <v>0</v>
          </cell>
          <cell r="R1185" t="str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 t="str">
            <v/>
          </cell>
          <cell r="Y1185" t="str">
            <v/>
          </cell>
          <cell r="Z1185" t="str">
            <v/>
          </cell>
          <cell r="AA1185">
            <v>0</v>
          </cell>
          <cell r="AB1185">
            <v>0</v>
          </cell>
          <cell r="AC1185">
            <v>0</v>
          </cell>
          <cell r="AD1185"/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</row>
        <row r="1186">
          <cell r="A1186" t="str">
            <v>FTK11050</v>
          </cell>
          <cell r="B1186" t="str">
            <v>Não</v>
          </cell>
          <cell r="C1186" t="str">
            <v>Pivô</v>
          </cell>
          <cell r="D1186" t="str">
            <v>SPARE</v>
          </cell>
          <cell r="E1186">
            <v>2</v>
          </cell>
          <cell r="F1186" t="str">
            <v>Pivô Bandeja Inferior Dianteira Direita Doblô 2003 À 2017</v>
          </cell>
          <cell r="G1186"/>
          <cell r="H1186">
            <v>0</v>
          </cell>
          <cell r="I1186">
            <v>0</v>
          </cell>
          <cell r="J1186" t="str">
            <v/>
          </cell>
          <cell r="K1186" t="str">
            <v/>
          </cell>
          <cell r="L1186" t="str">
            <v/>
          </cell>
          <cell r="M1186">
            <v>0</v>
          </cell>
          <cell r="N1186" t="str">
            <v/>
          </cell>
          <cell r="O1186" t="str">
            <v/>
          </cell>
          <cell r="P1186" t="str">
            <v/>
          </cell>
          <cell r="Q1186">
            <v>0</v>
          </cell>
          <cell r="R1186" t="str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 t="str">
            <v/>
          </cell>
          <cell r="Y1186" t="str">
            <v/>
          </cell>
          <cell r="Z1186" t="str">
            <v/>
          </cell>
          <cell r="AA1186">
            <v>0</v>
          </cell>
          <cell r="AB1186">
            <v>0</v>
          </cell>
          <cell r="AC1186">
            <v>0</v>
          </cell>
          <cell r="AD1186"/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</row>
        <row r="1187">
          <cell r="A1187" t="str">
            <v>FTK-11050</v>
          </cell>
          <cell r="B1187" t="str">
            <v>Sim</v>
          </cell>
          <cell r="C1187" t="str">
            <v>Pivô</v>
          </cell>
          <cell r="D1187" t="str">
            <v>SPARE</v>
          </cell>
          <cell r="E1187">
            <v>2</v>
          </cell>
          <cell r="F1187" t="str">
            <v>Pivô Bandeja Inferior Dianteira Direita Doblô 2003 À 2017</v>
          </cell>
          <cell r="G1187"/>
          <cell r="H1187">
            <v>0</v>
          </cell>
          <cell r="I1187">
            <v>0</v>
          </cell>
          <cell r="J1187">
            <v>0</v>
          </cell>
          <cell r="K1187" t="str">
            <v/>
          </cell>
          <cell r="L1187" t="str">
            <v/>
          </cell>
          <cell r="M1187">
            <v>0</v>
          </cell>
          <cell r="N1187" t="str">
            <v/>
          </cell>
          <cell r="O1187">
            <v>0</v>
          </cell>
          <cell r="P1187" t="str">
            <v/>
          </cell>
          <cell r="Q1187">
            <v>0</v>
          </cell>
          <cell r="R1187" t="str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 t="str">
            <v/>
          </cell>
          <cell r="Y1187" t="str">
            <v/>
          </cell>
          <cell r="Z1187" t="str">
            <v/>
          </cell>
          <cell r="AA1187">
            <v>0</v>
          </cell>
          <cell r="AB1187">
            <v>0</v>
          </cell>
          <cell r="AC1187">
            <v>0</v>
          </cell>
          <cell r="AD1187"/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</row>
        <row r="1188">
          <cell r="A1188" t="str">
            <v>FTK11060</v>
          </cell>
          <cell r="B1188" t="str">
            <v>Sim</v>
          </cell>
          <cell r="C1188" t="str">
            <v>Pivô</v>
          </cell>
          <cell r="D1188" t="str">
            <v>SPARE</v>
          </cell>
          <cell r="E1188">
            <v>2</v>
          </cell>
          <cell r="F1188" t="str">
            <v>Pivô Da Bandeja Inferior Ambos Lados Aircross 2011 A 2021</v>
          </cell>
          <cell r="G1188"/>
          <cell r="H1188">
            <v>0</v>
          </cell>
          <cell r="I1188">
            <v>0</v>
          </cell>
          <cell r="J1188" t="str">
            <v/>
          </cell>
          <cell r="K1188" t="str">
            <v/>
          </cell>
          <cell r="L1188" t="str">
            <v/>
          </cell>
          <cell r="M1188">
            <v>0</v>
          </cell>
          <cell r="N1188" t="str">
            <v/>
          </cell>
          <cell r="O1188" t="str">
            <v/>
          </cell>
          <cell r="P1188" t="str">
            <v/>
          </cell>
          <cell r="Q1188">
            <v>0</v>
          </cell>
          <cell r="R1188" t="str">
            <v>0</v>
          </cell>
          <cell r="S1188" t="str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 t="str">
            <v/>
          </cell>
          <cell r="Y1188" t="str">
            <v/>
          </cell>
          <cell r="Z1188" t="str">
            <v/>
          </cell>
          <cell r="AA1188">
            <v>0</v>
          </cell>
          <cell r="AB1188">
            <v>0</v>
          </cell>
          <cell r="AC1188">
            <v>0</v>
          </cell>
          <cell r="AD1188"/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</row>
        <row r="1189">
          <cell r="A1189" t="str">
            <v>FTK33396</v>
          </cell>
          <cell r="B1189"/>
          <cell r="C1189" t="str">
            <v>Pivô</v>
          </cell>
          <cell r="D1189" t="str">
            <v>SPARE</v>
          </cell>
          <cell r="E1189">
            <v>2</v>
          </cell>
          <cell r="F1189" t="str">
            <v>PIVÔ INFERIOR AMBOS LADOS FOCUS 1998 A 2008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  <cell r="P1189"/>
          <cell r="Q1189">
            <v>0</v>
          </cell>
          <cell r="R1189"/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 t="str">
            <v/>
          </cell>
          <cell r="Y1189" t="str">
            <v/>
          </cell>
          <cell r="Z1189" t="str">
            <v/>
          </cell>
          <cell r="AA1189">
            <v>0</v>
          </cell>
          <cell r="AB1189">
            <v>0</v>
          </cell>
          <cell r="AC1189">
            <v>0</v>
          </cell>
          <cell r="AD1189"/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</row>
        <row r="1190">
          <cell r="A1190" t="str">
            <v>FTK77365</v>
          </cell>
          <cell r="B1190"/>
          <cell r="C1190" t="str">
            <v>Pivô</v>
          </cell>
          <cell r="D1190" t="str">
            <v>SPARE</v>
          </cell>
          <cell r="E1190">
            <v>2</v>
          </cell>
          <cell r="F1190" t="str">
            <v>PIVÔ INFERIOR ESQUERDO AUDI A3 1999 A 2006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  <cell r="P1190"/>
          <cell r="Q1190">
            <v>0</v>
          </cell>
          <cell r="R1190"/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 t="str">
            <v/>
          </cell>
          <cell r="Y1190" t="str">
            <v/>
          </cell>
          <cell r="Z1190" t="str">
            <v/>
          </cell>
          <cell r="AA1190">
            <v>0</v>
          </cell>
          <cell r="AB1190">
            <v>0</v>
          </cell>
          <cell r="AC1190">
            <v>0</v>
          </cell>
          <cell r="AD1190"/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</row>
        <row r="1191">
          <cell r="A1191" t="str">
            <v>FTK77366</v>
          </cell>
          <cell r="B1191"/>
          <cell r="C1191" t="str">
            <v>Pivô</v>
          </cell>
          <cell r="D1191" t="str">
            <v>SPARE</v>
          </cell>
          <cell r="E1191">
            <v>2</v>
          </cell>
          <cell r="F1191" t="str">
            <v>PIVÔ INFERIOR DIREITO AUDI A3 1999 A 2006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  <cell r="P1191"/>
          <cell r="Q1191">
            <v>0</v>
          </cell>
          <cell r="R1191"/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 t="str">
            <v/>
          </cell>
          <cell r="Y1191" t="str">
            <v/>
          </cell>
          <cell r="Z1191" t="str">
            <v/>
          </cell>
          <cell r="AA1191">
            <v>0</v>
          </cell>
          <cell r="AB1191">
            <v>0</v>
          </cell>
          <cell r="AC1191">
            <v>0</v>
          </cell>
          <cell r="AD1191"/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</row>
        <row r="1192">
          <cell r="A1192" t="str">
            <v>PVI0605</v>
          </cell>
          <cell r="B1192" t="str">
            <v>Não</v>
          </cell>
          <cell r="C1192" t="str">
            <v>Pivô</v>
          </cell>
          <cell r="D1192" t="str">
            <v>SPARE</v>
          </cell>
          <cell r="E1192">
            <v>2</v>
          </cell>
          <cell r="F1192" t="str">
            <v>Pivô Da Bandeja Dianteira Ambos Lados Oroch 2016 A 2019</v>
          </cell>
          <cell r="G1192"/>
          <cell r="H1192">
            <v>0</v>
          </cell>
          <cell r="I1192">
            <v>0</v>
          </cell>
          <cell r="J1192" t="str">
            <v/>
          </cell>
          <cell r="K1192" t="str">
            <v/>
          </cell>
          <cell r="L1192" t="str">
            <v/>
          </cell>
          <cell r="M1192">
            <v>0</v>
          </cell>
          <cell r="N1192" t="str">
            <v/>
          </cell>
          <cell r="O1192" t="str">
            <v/>
          </cell>
          <cell r="P1192" t="str">
            <v/>
          </cell>
          <cell r="Q1192">
            <v>0</v>
          </cell>
          <cell r="R1192" t="str">
            <v>0</v>
          </cell>
          <cell r="S1192" t="str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 t="str">
            <v/>
          </cell>
          <cell r="Y1192" t="str">
            <v/>
          </cell>
          <cell r="Z1192" t="str">
            <v/>
          </cell>
          <cell r="AA1192">
            <v>0</v>
          </cell>
          <cell r="AB1192">
            <v>0</v>
          </cell>
          <cell r="AC1192">
            <v>0</v>
          </cell>
          <cell r="AD1192"/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</row>
        <row r="1193">
          <cell r="A1193" t="str">
            <v>PVI1003</v>
          </cell>
          <cell r="B1193" t="str">
            <v>Sim</v>
          </cell>
          <cell r="C1193" t="str">
            <v>Pivô</v>
          </cell>
          <cell r="D1193" t="str">
            <v>SPARE</v>
          </cell>
          <cell r="E1193">
            <v>2</v>
          </cell>
          <cell r="F1193" t="str">
            <v>Pivô Da Bandeja Inferior Ambos Os Lados Parati 1992 À 1997</v>
          </cell>
          <cell r="G1193"/>
          <cell r="H1193">
            <v>0</v>
          </cell>
          <cell r="I1193">
            <v>0</v>
          </cell>
          <cell r="J1193" t="str">
            <v/>
          </cell>
          <cell r="K1193" t="str">
            <v/>
          </cell>
          <cell r="L1193" t="str">
            <v/>
          </cell>
          <cell r="M1193">
            <v>0</v>
          </cell>
          <cell r="N1193" t="str">
            <v/>
          </cell>
          <cell r="O1193" t="str">
            <v/>
          </cell>
          <cell r="P1193" t="str">
            <v/>
          </cell>
          <cell r="Q1193">
            <v>0</v>
          </cell>
          <cell r="R1193" t="str">
            <v>0</v>
          </cell>
          <cell r="S1193" t="str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 t="str">
            <v/>
          </cell>
          <cell r="Y1193" t="str">
            <v/>
          </cell>
          <cell r="Z1193" t="str">
            <v/>
          </cell>
          <cell r="AA1193">
            <v>0</v>
          </cell>
          <cell r="AB1193">
            <v>0</v>
          </cell>
          <cell r="AC1193">
            <v>0</v>
          </cell>
          <cell r="AD1193"/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</row>
        <row r="1194">
          <cell r="A1194" t="str">
            <v>PVI1022</v>
          </cell>
          <cell r="B1194" t="str">
            <v>Não</v>
          </cell>
          <cell r="C1194" t="str">
            <v>Pivô</v>
          </cell>
          <cell r="D1194" t="str">
            <v>SPARE</v>
          </cell>
          <cell r="E1194">
            <v>2</v>
          </cell>
          <cell r="F1194" t="str">
            <v>Pivô Bandeja Inferior Ambos Lados Escort 1993 A 1996</v>
          </cell>
          <cell r="G1194"/>
          <cell r="H1194">
            <v>0</v>
          </cell>
          <cell r="I1194">
            <v>0</v>
          </cell>
          <cell r="J1194" t="str">
            <v/>
          </cell>
          <cell r="K1194" t="str">
            <v/>
          </cell>
          <cell r="L1194" t="str">
            <v/>
          </cell>
          <cell r="M1194">
            <v>0</v>
          </cell>
          <cell r="N1194" t="str">
            <v/>
          </cell>
          <cell r="O1194" t="str">
            <v/>
          </cell>
          <cell r="P1194" t="str">
            <v/>
          </cell>
          <cell r="Q1194">
            <v>0</v>
          </cell>
          <cell r="R1194" t="str">
            <v>0</v>
          </cell>
          <cell r="S1194" t="str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 t="str">
            <v/>
          </cell>
          <cell r="Y1194" t="str">
            <v/>
          </cell>
          <cell r="Z1194" t="str">
            <v/>
          </cell>
          <cell r="AA1194">
            <v>0</v>
          </cell>
          <cell r="AB1194">
            <v>0</v>
          </cell>
          <cell r="AC1194">
            <v>0</v>
          </cell>
          <cell r="AD1194"/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</row>
        <row r="1195">
          <cell r="A1195" t="str">
            <v>PVI1026</v>
          </cell>
          <cell r="B1195" t="str">
            <v>Sim</v>
          </cell>
          <cell r="C1195" t="str">
            <v>Pivô</v>
          </cell>
          <cell r="D1195" t="str">
            <v>SPARE</v>
          </cell>
          <cell r="E1195">
            <v>2</v>
          </cell>
          <cell r="F1195" t="str">
            <v>Pivô Inferior Bandeja Dianteira Ambos Lados Classic 02 À 09</v>
          </cell>
          <cell r="G1195"/>
          <cell r="H1195">
            <v>0</v>
          </cell>
          <cell r="I1195">
            <v>0</v>
          </cell>
          <cell r="J1195" t="str">
            <v/>
          </cell>
          <cell r="K1195" t="str">
            <v/>
          </cell>
          <cell r="L1195" t="str">
            <v/>
          </cell>
          <cell r="M1195">
            <v>0</v>
          </cell>
          <cell r="N1195" t="str">
            <v/>
          </cell>
          <cell r="O1195" t="str">
            <v/>
          </cell>
          <cell r="P1195" t="str">
            <v/>
          </cell>
          <cell r="Q1195">
            <v>0</v>
          </cell>
          <cell r="R1195" t="str">
            <v>0</v>
          </cell>
          <cell r="S1195" t="str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 t="str">
            <v/>
          </cell>
          <cell r="Y1195" t="str">
            <v/>
          </cell>
          <cell r="Z1195" t="str">
            <v/>
          </cell>
          <cell r="AA1195">
            <v>0</v>
          </cell>
          <cell r="AB1195">
            <v>0</v>
          </cell>
          <cell r="AC1195">
            <v>0</v>
          </cell>
          <cell r="AD1195"/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</row>
        <row r="1196">
          <cell r="A1196" t="str">
            <v>PVI1047</v>
          </cell>
          <cell r="B1196" t="str">
            <v>Sim</v>
          </cell>
          <cell r="C1196" t="str">
            <v>Pivô</v>
          </cell>
          <cell r="D1196" t="str">
            <v>SPARE</v>
          </cell>
          <cell r="E1196">
            <v>2</v>
          </cell>
          <cell r="F1196" t="str">
            <v>Pivô Da Bandeja Dianteira Ambos Lados Montana 2004 A 2010</v>
          </cell>
          <cell r="G1196"/>
          <cell r="H1196">
            <v>0</v>
          </cell>
          <cell r="I1196">
            <v>0</v>
          </cell>
          <cell r="J1196" t="str">
            <v/>
          </cell>
          <cell r="K1196" t="str">
            <v/>
          </cell>
          <cell r="L1196" t="str">
            <v/>
          </cell>
          <cell r="M1196">
            <v>0</v>
          </cell>
          <cell r="N1196" t="str">
            <v/>
          </cell>
          <cell r="O1196" t="str">
            <v/>
          </cell>
          <cell r="P1196" t="str">
            <v/>
          </cell>
          <cell r="Q1196">
            <v>0</v>
          </cell>
          <cell r="R1196" t="str">
            <v>0</v>
          </cell>
          <cell r="S1196" t="str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 t="str">
            <v/>
          </cell>
          <cell r="Y1196" t="str">
            <v/>
          </cell>
          <cell r="Z1196" t="str">
            <v/>
          </cell>
          <cell r="AA1196">
            <v>0</v>
          </cell>
          <cell r="AB1196">
            <v>0</v>
          </cell>
          <cell r="AC1196">
            <v>0</v>
          </cell>
          <cell r="AD1196"/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</row>
        <row r="1197">
          <cell r="A1197" t="str">
            <v>PVI1048</v>
          </cell>
          <cell r="B1197" t="str">
            <v>Sim</v>
          </cell>
          <cell r="C1197" t="str">
            <v>Pivô</v>
          </cell>
          <cell r="D1197" t="str">
            <v>SPARE</v>
          </cell>
          <cell r="E1197">
            <v>2</v>
          </cell>
          <cell r="F1197" t="str">
            <v>Pivô Da Bandeja Inferior C3 2002 À 2013</v>
          </cell>
          <cell r="G1197"/>
          <cell r="H1197">
            <v>0</v>
          </cell>
          <cell r="I1197">
            <v>0</v>
          </cell>
          <cell r="J1197" t="str">
            <v/>
          </cell>
          <cell r="K1197" t="str">
            <v/>
          </cell>
          <cell r="L1197" t="str">
            <v/>
          </cell>
          <cell r="M1197">
            <v>0</v>
          </cell>
          <cell r="N1197" t="str">
            <v/>
          </cell>
          <cell r="O1197" t="str">
            <v/>
          </cell>
          <cell r="P1197" t="str">
            <v/>
          </cell>
          <cell r="Q1197">
            <v>0</v>
          </cell>
          <cell r="R1197" t="str">
            <v>0</v>
          </cell>
          <cell r="S1197" t="str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 t="str">
            <v/>
          </cell>
          <cell r="Y1197" t="str">
            <v/>
          </cell>
          <cell r="Z1197" t="str">
            <v/>
          </cell>
          <cell r="AA1197">
            <v>0</v>
          </cell>
          <cell r="AB1197">
            <v>0</v>
          </cell>
          <cell r="AC1197">
            <v>0</v>
          </cell>
          <cell r="AD1197"/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</row>
        <row r="1198">
          <cell r="A1198" t="str">
            <v>PVI1058</v>
          </cell>
          <cell r="B1198" t="str">
            <v>Sim</v>
          </cell>
          <cell r="C1198" t="str">
            <v>Pivô</v>
          </cell>
          <cell r="D1198" t="str">
            <v>SPARE</v>
          </cell>
          <cell r="E1198">
            <v>2</v>
          </cell>
          <cell r="F1198" t="str">
            <v>Pivô Inferior Bandeja Dianteira Idea Ambos Lados 2006 À 2017</v>
          </cell>
          <cell r="G1198"/>
          <cell r="H1198">
            <v>0</v>
          </cell>
          <cell r="I1198">
            <v>0</v>
          </cell>
          <cell r="J1198" t="str">
            <v/>
          </cell>
          <cell r="K1198" t="str">
            <v/>
          </cell>
          <cell r="L1198" t="str">
            <v/>
          </cell>
          <cell r="M1198">
            <v>0</v>
          </cell>
          <cell r="N1198" t="str">
            <v/>
          </cell>
          <cell r="O1198" t="str">
            <v/>
          </cell>
          <cell r="P1198" t="str">
            <v/>
          </cell>
          <cell r="Q1198">
            <v>0</v>
          </cell>
          <cell r="R1198" t="str">
            <v>0</v>
          </cell>
          <cell r="S1198" t="str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 t="str">
            <v/>
          </cell>
          <cell r="Y1198" t="str">
            <v/>
          </cell>
          <cell r="Z1198" t="str">
            <v/>
          </cell>
          <cell r="AA1198">
            <v>0</v>
          </cell>
          <cell r="AB1198">
            <v>0</v>
          </cell>
          <cell r="AC1198">
            <v>0</v>
          </cell>
          <cell r="AD1198"/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</row>
        <row r="1199">
          <cell r="A1199" t="str">
            <v>PVI2004</v>
          </cell>
          <cell r="B1199" t="str">
            <v>Sim</v>
          </cell>
          <cell r="C1199" t="str">
            <v>Pivô</v>
          </cell>
          <cell r="D1199" t="str">
            <v>SPARE</v>
          </cell>
          <cell r="E1199">
            <v>2</v>
          </cell>
          <cell r="F1199" t="str">
            <v>Pivô Bandeja Inferior Ambos Lados City 2009 A 2013</v>
          </cell>
          <cell r="G1199"/>
          <cell r="H1199">
            <v>0</v>
          </cell>
          <cell r="I1199">
            <v>0</v>
          </cell>
          <cell r="J1199" t="str">
            <v/>
          </cell>
          <cell r="K1199" t="str">
            <v/>
          </cell>
          <cell r="L1199" t="str">
            <v/>
          </cell>
          <cell r="M1199">
            <v>0</v>
          </cell>
          <cell r="N1199" t="str">
            <v/>
          </cell>
          <cell r="O1199" t="str">
            <v/>
          </cell>
          <cell r="P1199" t="str">
            <v/>
          </cell>
          <cell r="Q1199">
            <v>0</v>
          </cell>
          <cell r="R1199" t="str">
            <v>0</v>
          </cell>
          <cell r="S1199" t="str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 t="str">
            <v/>
          </cell>
          <cell r="Y1199" t="str">
            <v/>
          </cell>
          <cell r="Z1199" t="str">
            <v/>
          </cell>
          <cell r="AA1199">
            <v>0</v>
          </cell>
          <cell r="AB1199">
            <v>0</v>
          </cell>
          <cell r="AC1199">
            <v>0</v>
          </cell>
          <cell r="AD1199"/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</row>
        <row r="1200">
          <cell r="A1200" t="str">
            <v>PVI3395</v>
          </cell>
          <cell r="B1200" t="str">
            <v>Sim</v>
          </cell>
          <cell r="C1200" t="str">
            <v>Pivô</v>
          </cell>
          <cell r="D1200" t="str">
            <v>SPARE</v>
          </cell>
          <cell r="E1200">
            <v>2</v>
          </cell>
          <cell r="F1200" t="str">
            <v>Pivô Inferior Dianteira Ambos Lados Ecosport 2003 A 2013</v>
          </cell>
          <cell r="G1200"/>
          <cell r="H1200">
            <v>0</v>
          </cell>
          <cell r="I1200">
            <v>0</v>
          </cell>
          <cell r="J1200" t="str">
            <v/>
          </cell>
          <cell r="K1200" t="str">
            <v/>
          </cell>
          <cell r="L1200" t="str">
            <v/>
          </cell>
          <cell r="M1200">
            <v>0</v>
          </cell>
          <cell r="N1200" t="str">
            <v/>
          </cell>
          <cell r="O1200" t="str">
            <v/>
          </cell>
          <cell r="P1200" t="str">
            <v/>
          </cell>
          <cell r="Q1200">
            <v>0</v>
          </cell>
          <cell r="R1200" t="str">
            <v>0</v>
          </cell>
          <cell r="S1200" t="str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 t="str">
            <v/>
          </cell>
          <cell r="Y1200" t="str">
            <v/>
          </cell>
          <cell r="Z1200" t="str">
            <v/>
          </cell>
          <cell r="AA1200">
            <v>0</v>
          </cell>
          <cell r="AB1200">
            <v>0</v>
          </cell>
          <cell r="AC1200">
            <v>0</v>
          </cell>
          <cell r="AD1200"/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</row>
        <row r="1201">
          <cell r="A1201" t="str">
            <v>Pvi552012</v>
          </cell>
          <cell r="B1201" t="str">
            <v>Não</v>
          </cell>
          <cell r="C1201" t="str">
            <v>Pivô</v>
          </cell>
          <cell r="D1201" t="str">
            <v>SPARE</v>
          </cell>
          <cell r="E1201">
            <v>2</v>
          </cell>
          <cell r="F1201" t="str">
            <v>Pivô DA BANDEJA INFERIOR C3 2002 À 2013</v>
          </cell>
          <cell r="G1201"/>
          <cell r="H1201">
            <v>0</v>
          </cell>
          <cell r="I1201">
            <v>0</v>
          </cell>
          <cell r="J1201">
            <v>0</v>
          </cell>
          <cell r="K1201" t="str">
            <v/>
          </cell>
          <cell r="L1201" t="str">
            <v/>
          </cell>
          <cell r="M1201">
            <v>0</v>
          </cell>
          <cell r="N1201" t="str">
            <v/>
          </cell>
          <cell r="O1201">
            <v>0</v>
          </cell>
          <cell r="P1201" t="str">
            <v/>
          </cell>
          <cell r="Q1201">
            <v>0</v>
          </cell>
          <cell r="R1201" t="str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 t="str">
            <v/>
          </cell>
          <cell r="Y1201" t="str">
            <v/>
          </cell>
          <cell r="Z1201" t="str">
            <v/>
          </cell>
          <cell r="AA1201">
            <v>0</v>
          </cell>
          <cell r="AB1201">
            <v>0</v>
          </cell>
          <cell r="AC1201">
            <v>0</v>
          </cell>
          <cell r="AD1201"/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</row>
        <row r="1202">
          <cell r="A1202">
            <v>100293</v>
          </cell>
          <cell r="B1202" t="str">
            <v>Sim</v>
          </cell>
          <cell r="C1202" t="str">
            <v>Reparo alavanta Câmbio</v>
          </cell>
          <cell r="D1202" t="str">
            <v>LT CORREA</v>
          </cell>
          <cell r="E1202">
            <v>3</v>
          </cell>
          <cell r="F1202" t="str">
            <v>Kit Articulador Alavanca Câmbio Up Polo Golf</v>
          </cell>
          <cell r="G1202"/>
          <cell r="H1202">
            <v>0</v>
          </cell>
          <cell r="I1202">
            <v>0</v>
          </cell>
          <cell r="J1202" t="str">
            <v/>
          </cell>
          <cell r="K1202" t="str">
            <v/>
          </cell>
          <cell r="L1202" t="str">
            <v/>
          </cell>
          <cell r="M1202">
            <v>0</v>
          </cell>
          <cell r="N1202" t="str">
            <v/>
          </cell>
          <cell r="O1202" t="str">
            <v/>
          </cell>
          <cell r="P1202" t="str">
            <v/>
          </cell>
          <cell r="Q1202">
            <v>0</v>
          </cell>
          <cell r="R1202" t="str">
            <v>0</v>
          </cell>
          <cell r="S1202" t="str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 t="str">
            <v/>
          </cell>
          <cell r="Y1202" t="str">
            <v/>
          </cell>
          <cell r="Z1202" t="str">
            <v/>
          </cell>
          <cell r="AA1202">
            <v>0</v>
          </cell>
          <cell r="AB1202">
            <v>0</v>
          </cell>
          <cell r="AC1202">
            <v>0</v>
          </cell>
          <cell r="AD1202"/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</row>
        <row r="1203">
          <cell r="A1203" t="str">
            <v>R6202</v>
          </cell>
          <cell r="B1203"/>
          <cell r="C1203" t="str">
            <v>Rolamento 6000</v>
          </cell>
          <cell r="D1203"/>
          <cell r="E1203"/>
          <cell r="F1203" t="str">
            <v>Rolamento 6202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>
            <v>100</v>
          </cell>
          <cell r="Z1203" t="str">
            <v/>
          </cell>
          <cell r="AA1203">
            <v>0</v>
          </cell>
          <cell r="AB1203">
            <v>0</v>
          </cell>
          <cell r="AC1203">
            <v>0</v>
          </cell>
          <cell r="AD1203"/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</row>
        <row r="1204">
          <cell r="A1204" t="str">
            <v>FTK10212</v>
          </cell>
          <cell r="B1204"/>
          <cell r="C1204" t="str">
            <v>Rolamento Roda</v>
          </cell>
          <cell r="D1204" t="str">
            <v>IRB</v>
          </cell>
          <cell r="E1204">
            <v>12</v>
          </cell>
          <cell r="F1204" t="str">
            <v>ROLAMENTO RODA DIANTEIRA AUDI S3 2001 A 2003</v>
          </cell>
          <cell r="G1204"/>
          <cell r="H1204" t="str">
            <v>-</v>
          </cell>
          <cell r="I1204" t="str">
            <v>-</v>
          </cell>
          <cell r="J1204"/>
          <cell r="K1204"/>
          <cell r="L1204"/>
          <cell r="M1204">
            <v>0</v>
          </cell>
          <cell r="N1204" t="str">
            <v/>
          </cell>
          <cell r="O1204">
            <v>0</v>
          </cell>
          <cell r="P1204" t="str">
            <v/>
          </cell>
          <cell r="Q1204">
            <v>0</v>
          </cell>
          <cell r="R1204" t="str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 t="str">
            <v/>
          </cell>
          <cell r="Y1204" t="str">
            <v/>
          </cell>
          <cell r="Z1204" t="str">
            <v/>
          </cell>
          <cell r="AA1204">
            <v>0</v>
          </cell>
          <cell r="AB1204">
            <v>0</v>
          </cell>
          <cell r="AC1204">
            <v>0</v>
          </cell>
          <cell r="AD1204"/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</row>
        <row r="1205">
          <cell r="A1205" t="str">
            <v>FTK18012</v>
          </cell>
          <cell r="B1205"/>
          <cell r="C1205" t="str">
            <v>Rolamento Roda</v>
          </cell>
          <cell r="D1205" t="str">
            <v>IRB</v>
          </cell>
          <cell r="E1205">
            <v>12</v>
          </cell>
          <cell r="F1205" t="str">
            <v>ROLAMENTO RODA DIANTEIRA JUMPY 1.6 2017 A 2021</v>
          </cell>
          <cell r="G1205"/>
          <cell r="H1205" t="str">
            <v>-</v>
          </cell>
          <cell r="I1205" t="str">
            <v>-</v>
          </cell>
          <cell r="J1205"/>
          <cell r="K1205"/>
          <cell r="L1205"/>
          <cell r="M1205">
            <v>0</v>
          </cell>
          <cell r="N1205" t="str">
            <v/>
          </cell>
          <cell r="O1205">
            <v>0</v>
          </cell>
          <cell r="P1205" t="str">
            <v/>
          </cell>
          <cell r="Q1205">
            <v>0</v>
          </cell>
          <cell r="R1205" t="str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 t="str">
            <v/>
          </cell>
          <cell r="Y1205" t="str">
            <v/>
          </cell>
          <cell r="Z1205" t="str">
            <v/>
          </cell>
          <cell r="AA1205">
            <v>0</v>
          </cell>
          <cell r="AB1205">
            <v>0</v>
          </cell>
          <cell r="AC1205">
            <v>0</v>
          </cell>
          <cell r="AD1205"/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</row>
        <row r="1206">
          <cell r="A1206" t="str">
            <v>FTK18241</v>
          </cell>
          <cell r="B1206"/>
          <cell r="C1206" t="str">
            <v>Rolamento Roda</v>
          </cell>
          <cell r="D1206" t="str">
            <v>IRB</v>
          </cell>
          <cell r="E1206">
            <v>12</v>
          </cell>
          <cell r="F1206" t="str">
            <v>ROLAMENTO RODA TRASEIRA HILUX 2016 A 2020</v>
          </cell>
          <cell r="G1206"/>
          <cell r="H1206" t="str">
            <v>-</v>
          </cell>
          <cell r="I1206" t="str">
            <v>-</v>
          </cell>
          <cell r="J1206"/>
          <cell r="K1206"/>
          <cell r="L1206"/>
          <cell r="M1206">
            <v>0</v>
          </cell>
          <cell r="N1206" t="str">
            <v/>
          </cell>
          <cell r="O1206">
            <v>0</v>
          </cell>
          <cell r="P1206" t="str">
            <v/>
          </cell>
          <cell r="Q1206">
            <v>0</v>
          </cell>
          <cell r="R1206" t="str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 t="str">
            <v/>
          </cell>
          <cell r="Y1206" t="str">
            <v/>
          </cell>
          <cell r="Z1206" t="str">
            <v/>
          </cell>
          <cell r="AA1206">
            <v>0</v>
          </cell>
          <cell r="AB1206">
            <v>0</v>
          </cell>
          <cell r="AC1206">
            <v>0</v>
          </cell>
          <cell r="AD1206"/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</row>
        <row r="1207">
          <cell r="A1207" t="str">
            <v>FTK18458R</v>
          </cell>
          <cell r="B1207"/>
          <cell r="C1207" t="str">
            <v>Rolamento Roda</v>
          </cell>
          <cell r="D1207" t="str">
            <v>IRB</v>
          </cell>
          <cell r="E1207">
            <v>12</v>
          </cell>
          <cell r="F1207" t="str">
            <v>ROLAMENTO RODA TRASEIRA H1 STAREK 2007 A 2013</v>
          </cell>
          <cell r="G1207"/>
          <cell r="H1207" t="str">
            <v>-</v>
          </cell>
          <cell r="I1207" t="str">
            <v>-</v>
          </cell>
          <cell r="J1207"/>
          <cell r="K1207"/>
          <cell r="L1207"/>
          <cell r="M1207">
            <v>0</v>
          </cell>
          <cell r="N1207" t="str">
            <v/>
          </cell>
          <cell r="O1207">
            <v>0</v>
          </cell>
          <cell r="P1207" t="str">
            <v/>
          </cell>
          <cell r="Q1207">
            <v>0</v>
          </cell>
          <cell r="R1207" t="str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 t="str">
            <v/>
          </cell>
          <cell r="Y1207" t="str">
            <v/>
          </cell>
          <cell r="Z1207" t="str">
            <v/>
          </cell>
          <cell r="AA1207">
            <v>0</v>
          </cell>
          <cell r="AB1207">
            <v>0</v>
          </cell>
          <cell r="AC1207">
            <v>0</v>
          </cell>
          <cell r="AD1207"/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</row>
        <row r="1208">
          <cell r="A1208" t="str">
            <v>FTK18736</v>
          </cell>
          <cell r="B1208"/>
          <cell r="C1208" t="str">
            <v>Rolamento Roda</v>
          </cell>
          <cell r="D1208" t="str">
            <v>IRB</v>
          </cell>
          <cell r="E1208">
            <v>12</v>
          </cell>
          <cell r="F1208" t="str">
            <v>ROLAMENTO RODA DIANTEIRA KWID 2018 EM DIANTE</v>
          </cell>
          <cell r="G1208"/>
          <cell r="H1208" t="str">
            <v>-</v>
          </cell>
          <cell r="I1208" t="str">
            <v>-</v>
          </cell>
          <cell r="J1208"/>
          <cell r="K1208"/>
          <cell r="L1208"/>
          <cell r="M1208">
            <v>0</v>
          </cell>
          <cell r="N1208" t="str">
            <v/>
          </cell>
          <cell r="O1208">
            <v>0</v>
          </cell>
          <cell r="P1208" t="str">
            <v/>
          </cell>
          <cell r="Q1208">
            <v>0</v>
          </cell>
          <cell r="R1208" t="str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 t="str">
            <v/>
          </cell>
          <cell r="Y1208" t="str">
            <v/>
          </cell>
          <cell r="Z1208" t="str">
            <v/>
          </cell>
          <cell r="AA1208">
            <v>0</v>
          </cell>
          <cell r="AB1208">
            <v>0</v>
          </cell>
          <cell r="AC1208">
            <v>0</v>
          </cell>
          <cell r="AD1208"/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</row>
        <row r="1209">
          <cell r="A1209" t="str">
            <v>NZT311315</v>
          </cell>
          <cell r="B1209"/>
          <cell r="C1209" t="str">
            <v>Rolamento Roda</v>
          </cell>
          <cell r="D1209" t="str">
            <v>POLO</v>
          </cell>
          <cell r="E1209">
            <v>7</v>
          </cell>
          <cell r="F1209" t="str">
            <v>Rolamento Da Roda Dianteira Sem Abs Passat Gol Até 1994</v>
          </cell>
          <cell r="G1209"/>
          <cell r="H1209">
            <v>0</v>
          </cell>
          <cell r="I1209">
            <v>0</v>
          </cell>
          <cell r="J1209">
            <v>0</v>
          </cell>
          <cell r="K1209" t="str">
            <v/>
          </cell>
          <cell r="L1209" t="str">
            <v/>
          </cell>
          <cell r="M1209">
            <v>0</v>
          </cell>
          <cell r="N1209" t="str">
            <v/>
          </cell>
          <cell r="O1209">
            <v>0</v>
          </cell>
          <cell r="P1209" t="str">
            <v/>
          </cell>
          <cell r="Q1209">
            <v>0</v>
          </cell>
          <cell r="R1209" t="str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 t="str">
            <v/>
          </cell>
          <cell r="Y1209" t="str">
            <v/>
          </cell>
          <cell r="Z1209" t="str">
            <v/>
          </cell>
          <cell r="AA1209">
            <v>0</v>
          </cell>
          <cell r="AB1209">
            <v>0</v>
          </cell>
          <cell r="AC1209">
            <v>0</v>
          </cell>
          <cell r="AD1209"/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</row>
        <row r="1210">
          <cell r="A1210" t="str">
            <v>NZT636096</v>
          </cell>
          <cell r="B1210"/>
          <cell r="C1210" t="str">
            <v>Rolamento Roda</v>
          </cell>
          <cell r="D1210" t="str">
            <v>POLO</v>
          </cell>
          <cell r="E1210"/>
          <cell r="F1210"/>
          <cell r="G1210"/>
          <cell r="H1210"/>
          <cell r="I1210"/>
          <cell r="J1210"/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>
            <v>0</v>
          </cell>
          <cell r="AB1210">
            <v>0</v>
          </cell>
          <cell r="AC1210">
            <v>0</v>
          </cell>
          <cell r="AD1210"/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</row>
        <row r="1211">
          <cell r="A1211" t="str">
            <v>FTK110165</v>
          </cell>
          <cell r="B1211"/>
          <cell r="C1211" t="str">
            <v>Rolamento semi Eixo</v>
          </cell>
          <cell r="D1211" t="str">
            <v>Roletan</v>
          </cell>
          <cell r="E1211">
            <v>14</v>
          </cell>
          <cell r="F1211" t="str">
            <v>Rolamento Coifa Palio G1 1.0 1996 A 2000</v>
          </cell>
          <cell r="G1211"/>
          <cell r="H1211">
            <v>0</v>
          </cell>
          <cell r="I1211">
            <v>0</v>
          </cell>
          <cell r="J1211" t="str">
            <v/>
          </cell>
          <cell r="K1211" t="str">
            <v/>
          </cell>
          <cell r="L1211" t="str">
            <v/>
          </cell>
          <cell r="M1211">
            <v>0</v>
          </cell>
          <cell r="N1211" t="str">
            <v/>
          </cell>
          <cell r="O1211" t="str">
            <v/>
          </cell>
          <cell r="P1211" t="str">
            <v/>
          </cell>
          <cell r="Q1211">
            <v>0</v>
          </cell>
          <cell r="R1211" t="str">
            <v>0</v>
          </cell>
          <cell r="S1211" t="str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 t="str">
            <v/>
          </cell>
          <cell r="Y1211" t="str">
            <v/>
          </cell>
          <cell r="Z1211" t="str">
            <v/>
          </cell>
          <cell r="AA1211">
            <v>0</v>
          </cell>
          <cell r="AB1211">
            <v>0</v>
          </cell>
          <cell r="AC1211">
            <v>0</v>
          </cell>
          <cell r="AD1211"/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</row>
        <row r="1212">
          <cell r="A1212" t="str">
            <v>FTK889628</v>
          </cell>
          <cell r="B1212"/>
          <cell r="C1212" t="str">
            <v>Rolamento semi Eixo</v>
          </cell>
          <cell r="D1212" t="str">
            <v>POLO</v>
          </cell>
          <cell r="E1212">
            <v>7</v>
          </cell>
          <cell r="F1212" t="str">
            <v>Rolamento Semi Eixo Renault Laguna 1994 Até 2012</v>
          </cell>
          <cell r="G1212"/>
          <cell r="H1212">
            <v>0</v>
          </cell>
          <cell r="I1212">
            <v>0</v>
          </cell>
          <cell r="J1212" t="str">
            <v/>
          </cell>
          <cell r="K1212" t="str">
            <v/>
          </cell>
          <cell r="L1212" t="str">
            <v/>
          </cell>
          <cell r="M1212">
            <v>0</v>
          </cell>
          <cell r="N1212" t="str">
            <v/>
          </cell>
          <cell r="O1212" t="str">
            <v/>
          </cell>
          <cell r="P1212" t="str">
            <v/>
          </cell>
          <cell r="Q1212">
            <v>0</v>
          </cell>
          <cell r="R1212" t="str">
            <v>0</v>
          </cell>
          <cell r="S1212" t="str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 t="str">
            <v/>
          </cell>
          <cell r="Y1212" t="str">
            <v/>
          </cell>
          <cell r="Z1212" t="str">
            <v/>
          </cell>
          <cell r="AA1212">
            <v>0</v>
          </cell>
          <cell r="AB1212">
            <v>0</v>
          </cell>
          <cell r="AC1212">
            <v>0</v>
          </cell>
          <cell r="AD1212"/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</row>
        <row r="1213">
          <cell r="A1213">
            <v>91009</v>
          </cell>
          <cell r="B1213"/>
          <cell r="C1213"/>
          <cell r="D1213"/>
          <cell r="E1213"/>
          <cell r="F1213"/>
          <cell r="G1213"/>
          <cell r="H1213"/>
          <cell r="I1213"/>
          <cell r="J1213"/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>
            <v>0</v>
          </cell>
          <cell r="AB1213"/>
          <cell r="AC1213"/>
          <cell r="AD1213"/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</row>
        <row r="1214">
          <cell r="A1214" t="str">
            <v>CCV0027</v>
          </cell>
          <cell r="B1214"/>
          <cell r="C1214"/>
          <cell r="D1214" t="str">
            <v>POLO</v>
          </cell>
          <cell r="E1214"/>
          <cell r="F1214"/>
          <cell r="G1214"/>
          <cell r="H1214"/>
          <cell r="I1214"/>
          <cell r="J1214"/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>
            <v>20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</row>
        <row r="1215">
          <cell r="A1215" t="str">
            <v>CCA0002</v>
          </cell>
          <cell r="B1215"/>
          <cell r="C1215"/>
          <cell r="D1215" t="str">
            <v>POLO</v>
          </cell>
          <cell r="E1215"/>
          <cell r="F1215"/>
          <cell r="G1215"/>
          <cell r="H1215"/>
          <cell r="I1215"/>
          <cell r="J1215"/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>
            <v>20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</row>
        <row r="1216">
          <cell r="A1216" t="str">
            <v>10W40</v>
          </cell>
          <cell r="B1216"/>
          <cell r="C1216" t="str">
            <v>Óleo Motor</v>
          </cell>
          <cell r="D1216"/>
          <cell r="E1216"/>
          <cell r="F1216"/>
          <cell r="G1216"/>
          <cell r="H1216"/>
          <cell r="I1216"/>
          <cell r="J1216"/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>
            <v>12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</row>
        <row r="1217">
          <cell r="A1217" t="str">
            <v>CCA0035</v>
          </cell>
          <cell r="B1217"/>
          <cell r="C1217"/>
          <cell r="D1217" t="str">
            <v>POLO</v>
          </cell>
          <cell r="E1217"/>
          <cell r="F1217"/>
          <cell r="G1217"/>
          <cell r="H1217"/>
          <cell r="I1217"/>
          <cell r="J1217"/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>
            <v>10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</row>
        <row r="1218">
          <cell r="A1218" t="str">
            <v>CCA0040</v>
          </cell>
          <cell r="B1218"/>
          <cell r="C1218"/>
          <cell r="D1218" t="str">
            <v>POLO</v>
          </cell>
          <cell r="E1218"/>
          <cell r="F1218"/>
          <cell r="G1218"/>
          <cell r="H1218"/>
          <cell r="I1218"/>
          <cell r="J1218"/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>
            <v>10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</row>
        <row r="1219">
          <cell r="A1219" t="str">
            <v>CCA0009</v>
          </cell>
          <cell r="B1219"/>
          <cell r="C1219"/>
          <cell r="D1219" t="str">
            <v>POLO</v>
          </cell>
          <cell r="E1219"/>
          <cell r="F1219"/>
          <cell r="G1219"/>
          <cell r="H1219"/>
          <cell r="I1219"/>
          <cell r="J1219"/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>
            <v>10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</row>
        <row r="1220">
          <cell r="A1220" t="str">
            <v>CCE0015</v>
          </cell>
          <cell r="B1220"/>
          <cell r="C1220"/>
          <cell r="D1220" t="str">
            <v>POLO</v>
          </cell>
          <cell r="E1220"/>
          <cell r="F1220"/>
          <cell r="G1220"/>
          <cell r="H1220"/>
          <cell r="I1220"/>
          <cell r="J1220"/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>
            <v>10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</row>
        <row r="1221">
          <cell r="A1221" t="str">
            <v>CCE0012</v>
          </cell>
          <cell r="B1221"/>
          <cell r="C1221"/>
          <cell r="D1221" t="str">
            <v>POLO</v>
          </cell>
          <cell r="E1221"/>
          <cell r="F1221"/>
          <cell r="G1221"/>
          <cell r="H1221"/>
          <cell r="I1221"/>
          <cell r="J1221"/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>
            <v>10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</row>
        <row r="1222">
          <cell r="A1222" t="str">
            <v>CCV0029</v>
          </cell>
          <cell r="B1222"/>
          <cell r="C1222"/>
          <cell r="D1222" t="str">
            <v>POLO</v>
          </cell>
          <cell r="E1222"/>
          <cell r="F1222"/>
          <cell r="G1222"/>
          <cell r="H1222"/>
          <cell r="I1222"/>
          <cell r="J1222"/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>
            <v>5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</row>
        <row r="1223">
          <cell r="A1223" t="str">
            <v>CCF0021</v>
          </cell>
          <cell r="B1223"/>
          <cell r="C1223"/>
          <cell r="D1223" t="str">
            <v>POLO</v>
          </cell>
          <cell r="E1223"/>
          <cell r="F1223"/>
          <cell r="G1223"/>
          <cell r="H1223"/>
          <cell r="I1223"/>
          <cell r="J1223"/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>
            <v>5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</row>
        <row r="1224">
          <cell r="A1224" t="str">
            <v>CCA0006</v>
          </cell>
          <cell r="B1224"/>
          <cell r="C1224"/>
          <cell r="D1224" t="str">
            <v>POLO</v>
          </cell>
          <cell r="E1224"/>
          <cell r="F1224"/>
          <cell r="G1224"/>
          <cell r="H1224"/>
          <cell r="I1224"/>
          <cell r="J1224"/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>
            <v>5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</row>
        <row r="1225">
          <cell r="A1225" t="str">
            <v>CCA0041</v>
          </cell>
          <cell r="B1225"/>
          <cell r="C1225"/>
          <cell r="D1225" t="str">
            <v>POLO</v>
          </cell>
          <cell r="E1225"/>
          <cell r="F1225"/>
          <cell r="G1225"/>
          <cell r="H1225"/>
          <cell r="I1225"/>
          <cell r="J1225"/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>
            <v>5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</row>
        <row r="1226">
          <cell r="A1226" t="str">
            <v>CCE0010</v>
          </cell>
          <cell r="B1226"/>
          <cell r="C1226"/>
          <cell r="D1226" t="str">
            <v>POLO</v>
          </cell>
          <cell r="E1226"/>
          <cell r="F1226"/>
          <cell r="G1226"/>
          <cell r="H1226"/>
          <cell r="I1226"/>
          <cell r="J1226"/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>
            <v>5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</row>
        <row r="1227">
          <cell r="A1227" t="str">
            <v>FTK421</v>
          </cell>
          <cell r="B1227"/>
          <cell r="C1227"/>
          <cell r="D1227"/>
          <cell r="E1227"/>
          <cell r="F1227"/>
          <cell r="G1227"/>
          <cell r="H1227"/>
          <cell r="I1227"/>
          <cell r="J1227"/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>
            <v>4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</row>
        <row r="1228">
          <cell r="A1228" t="str">
            <v>20W50-M</v>
          </cell>
          <cell r="B1228"/>
          <cell r="C1228" t="str">
            <v>Óleo Motor</v>
          </cell>
          <cell r="D1228"/>
          <cell r="E1228"/>
          <cell r="F1228"/>
          <cell r="G1228"/>
          <cell r="H1228"/>
          <cell r="I1228"/>
          <cell r="J1228"/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>
            <v>4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</row>
        <row r="1229">
          <cell r="A1229" t="str">
            <v>OC522</v>
          </cell>
          <cell r="B1229"/>
          <cell r="C1229" t="str">
            <v>Filtro de Óleo</v>
          </cell>
          <cell r="D1229"/>
          <cell r="E1229"/>
          <cell r="F1229"/>
          <cell r="G1229"/>
          <cell r="H1229"/>
          <cell r="I1229"/>
          <cell r="J1229"/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>
            <v>3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</row>
        <row r="1230">
          <cell r="A1230">
            <v>772223</v>
          </cell>
          <cell r="B1230"/>
          <cell r="C1230" t="str">
            <v>Bandeja</v>
          </cell>
          <cell r="D1230" t="str">
            <v>SPARE</v>
          </cell>
          <cell r="E1230"/>
          <cell r="F1230" t="str">
            <v>Bandeja Dianteira Direita com pivô Lancer 2011 À 2019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>
            <v>1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</row>
        <row r="1231">
          <cell r="A1231">
            <v>772224</v>
          </cell>
          <cell r="B1231"/>
          <cell r="C1231" t="str">
            <v>Bandeja</v>
          </cell>
          <cell r="D1231" t="str">
            <v>SPARE</v>
          </cell>
          <cell r="E1231"/>
          <cell r="F1231" t="str">
            <v>Bandeja Dianteira Esquerda comPivô Lancer 2011 À 2019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>
            <v>1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</row>
        <row r="1232">
          <cell r="A1232">
            <v>880309</v>
          </cell>
          <cell r="B1232"/>
          <cell r="C1232"/>
          <cell r="D1232"/>
          <cell r="E1232"/>
          <cell r="F1232"/>
          <cell r="G1232"/>
          <cell r="H1232"/>
          <cell r="I1232"/>
          <cell r="J1232"/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>
            <v>3</v>
          </cell>
          <cell r="AC1232">
            <v>0</v>
          </cell>
          <cell r="AD1232"/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</row>
        <row r="1233">
          <cell r="A1233">
            <v>11104</v>
          </cell>
          <cell r="B1233"/>
          <cell r="C1233"/>
          <cell r="D1233"/>
          <cell r="E1233"/>
          <cell r="F1233"/>
          <cell r="G1233"/>
          <cell r="H1233"/>
          <cell r="I1233"/>
          <cell r="J1233"/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>
            <v>2</v>
          </cell>
          <cell r="AC1233">
            <v>0</v>
          </cell>
          <cell r="AD1233"/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</row>
        <row r="1234">
          <cell r="A1234">
            <v>22187</v>
          </cell>
          <cell r="B1234"/>
          <cell r="C1234"/>
          <cell r="D1234"/>
          <cell r="E1234"/>
          <cell r="F1234"/>
          <cell r="G1234"/>
          <cell r="H1234"/>
          <cell r="I1234"/>
          <cell r="J1234"/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>
            <v>2</v>
          </cell>
          <cell r="AC1234">
            <v>0</v>
          </cell>
          <cell r="AD1234"/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</row>
        <row r="1235">
          <cell r="A1235">
            <v>222022</v>
          </cell>
          <cell r="B1235"/>
          <cell r="C1235"/>
          <cell r="D1235"/>
          <cell r="E1235"/>
          <cell r="F1235"/>
          <cell r="G1235"/>
          <cell r="H1235"/>
          <cell r="I1235"/>
          <cell r="J1235"/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>
            <v>1</v>
          </cell>
          <cell r="AC1235">
            <v>0</v>
          </cell>
          <cell r="AD1235"/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</row>
        <row r="1236">
          <cell r="A1236">
            <v>88652</v>
          </cell>
          <cell r="B1236"/>
          <cell r="C1236"/>
          <cell r="D1236"/>
          <cell r="E1236"/>
          <cell r="F1236"/>
          <cell r="G1236"/>
          <cell r="H1236"/>
          <cell r="I1236"/>
          <cell r="J1236"/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>
            <v>1</v>
          </cell>
          <cell r="AC1236">
            <v>0</v>
          </cell>
          <cell r="AD1236"/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</row>
        <row r="1237">
          <cell r="A1237">
            <v>551311</v>
          </cell>
          <cell r="B1237"/>
          <cell r="C1237"/>
          <cell r="D1237"/>
          <cell r="E1237"/>
          <cell r="F1237"/>
          <cell r="G1237"/>
          <cell r="H1237"/>
          <cell r="I1237"/>
          <cell r="J1237"/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>
            <v>1</v>
          </cell>
          <cell r="AC1237">
            <v>0</v>
          </cell>
          <cell r="AD1237"/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</row>
        <row r="1238">
          <cell r="A1238">
            <v>993012</v>
          </cell>
          <cell r="B1238"/>
          <cell r="C1238"/>
          <cell r="D1238"/>
          <cell r="E1238"/>
          <cell r="F1238"/>
          <cell r="G1238"/>
          <cell r="H1238"/>
          <cell r="I1238"/>
          <cell r="J1238"/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>
            <v>1</v>
          </cell>
          <cell r="AC1238">
            <v>0</v>
          </cell>
          <cell r="AD1238"/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</row>
        <row r="1239">
          <cell r="A1239" t="str">
            <v>FTK200121A</v>
          </cell>
          <cell r="B1239"/>
          <cell r="C1239"/>
          <cell r="D1239"/>
          <cell r="E1239"/>
          <cell r="F1239"/>
          <cell r="G1239"/>
          <cell r="H1239"/>
          <cell r="I1239"/>
          <cell r="J1239"/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>
            <v>1</v>
          </cell>
          <cell r="AC1239">
            <v>0</v>
          </cell>
          <cell r="AD1239"/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</row>
        <row r="1240">
          <cell r="A1240" t="str">
            <v>FTK411</v>
          </cell>
          <cell r="B1240"/>
          <cell r="C1240"/>
          <cell r="D1240"/>
          <cell r="E1240"/>
          <cell r="F1240"/>
          <cell r="G1240"/>
          <cell r="H1240"/>
          <cell r="I1240"/>
          <cell r="J1240"/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>
            <v>1</v>
          </cell>
          <cell r="AC1240">
            <v>0</v>
          </cell>
          <cell r="AD1240"/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</row>
        <row r="1241">
          <cell r="A1241" t="str">
            <v>FTK728</v>
          </cell>
          <cell r="B1241"/>
          <cell r="C1241"/>
          <cell r="D1241"/>
          <cell r="E1241"/>
          <cell r="F1241"/>
          <cell r="G1241"/>
          <cell r="H1241"/>
          <cell r="I1241"/>
          <cell r="J1241"/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>
            <v>1</v>
          </cell>
          <cell r="AC1241">
            <v>0</v>
          </cell>
          <cell r="AD1241"/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</row>
        <row r="1242">
          <cell r="A1242" t="str">
            <v>FTK-CCA0038</v>
          </cell>
          <cell r="B1242"/>
          <cell r="C1242"/>
          <cell r="D1242"/>
          <cell r="E1242"/>
          <cell r="F1242"/>
          <cell r="G1242"/>
          <cell r="H1242"/>
          <cell r="I1242"/>
          <cell r="J1242"/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>
            <v>1</v>
          </cell>
          <cell r="AC1242">
            <v>0</v>
          </cell>
          <cell r="AD1242"/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</row>
        <row r="1243">
          <cell r="A1243" t="str">
            <v>FTK-CCA0041</v>
          </cell>
          <cell r="B1243"/>
          <cell r="C1243"/>
          <cell r="D1243"/>
          <cell r="E1243"/>
          <cell r="F1243"/>
          <cell r="G1243"/>
          <cell r="H1243"/>
          <cell r="I1243"/>
          <cell r="J1243"/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>
            <v>1</v>
          </cell>
          <cell r="AC1243">
            <v>0</v>
          </cell>
          <cell r="AD1243"/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</row>
        <row r="1244">
          <cell r="A1244" t="str">
            <v>FTK-CCV0061</v>
          </cell>
          <cell r="B1244"/>
          <cell r="C1244"/>
          <cell r="D1244"/>
          <cell r="E1244"/>
          <cell r="F1244"/>
          <cell r="G1244"/>
          <cell r="H1244"/>
          <cell r="I1244"/>
          <cell r="J1244"/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>
            <v>1</v>
          </cell>
          <cell r="AC1244">
            <v>0</v>
          </cell>
          <cell r="AD1244"/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</row>
        <row r="1245">
          <cell r="A1245" t="str">
            <v>LT5544</v>
          </cell>
          <cell r="B1245"/>
          <cell r="C1245"/>
          <cell r="D1245" t="str">
            <v>LT CORREA</v>
          </cell>
          <cell r="E1245"/>
          <cell r="F1245"/>
          <cell r="G1245"/>
          <cell r="H1245"/>
          <cell r="I1245"/>
          <cell r="J1245"/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>
            <v>1</v>
          </cell>
          <cell r="AC1245">
            <v>0</v>
          </cell>
          <cell r="AD1245"/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</row>
        <row r="1246">
          <cell r="A1246" t="str">
            <v>FTK347F</v>
          </cell>
          <cell r="B1246"/>
          <cell r="C1246" t="str">
            <v>Coifa Homocinética</v>
          </cell>
          <cell r="D1246" t="str">
            <v>Replabor</v>
          </cell>
          <cell r="E1246"/>
          <cell r="F1246" t="str">
            <v>Coifa Homocinetica Cambio Com Flange Palio 1.8 2001 A 2017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</row>
        <row r="1247">
          <cell r="A1247">
            <v>55064</v>
          </cell>
          <cell r="B1247"/>
          <cell r="C1247" t="str">
            <v>Cabo de Acelerador</v>
          </cell>
          <cell r="D1247" t="str">
            <v>MundiFlex</v>
          </cell>
          <cell r="E1247"/>
          <cell r="F1247" t="str">
            <v>Cabo De Acelerador Fusca 1300 1500 Carburação Simples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</row>
        <row r="1248">
          <cell r="A1248">
            <v>110601</v>
          </cell>
          <cell r="B1248"/>
          <cell r="C1248"/>
          <cell r="D1248"/>
          <cell r="E1248"/>
          <cell r="F1248"/>
          <cell r="G1248"/>
          <cell r="H1248"/>
          <cell r="I1248"/>
          <cell r="J1248"/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>
            <v>0</v>
          </cell>
          <cell r="AG1248">
            <v>0</v>
          </cell>
          <cell r="AH1248"/>
          <cell r="AI1248">
            <v>0</v>
          </cell>
          <cell r="AJ1248"/>
          <cell r="AK1248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>
      <selection activeCell="A23" sqref="A23"/>
    </sheetView>
  </sheetViews>
  <sheetFormatPr defaultRowHeight="12.75" x14ac:dyDescent="0.2"/>
  <cols>
    <col min="1" max="1" width="26" bestFit="1" customWidth="1"/>
  </cols>
  <sheetData>
    <row r="1" spans="1:2" x14ac:dyDescent="0.2">
      <c r="A1" s="4" t="s">
        <v>1246</v>
      </c>
      <c r="B1" s="4" t="s">
        <v>1247</v>
      </c>
    </row>
    <row r="2" spans="1:2" x14ac:dyDescent="0.2">
      <c r="A2" t="s">
        <v>727</v>
      </c>
      <c r="B2" s="3">
        <v>1</v>
      </c>
    </row>
    <row r="3" spans="1:2" x14ac:dyDescent="0.2">
      <c r="A3" t="s">
        <v>780</v>
      </c>
      <c r="B3" s="3">
        <v>2</v>
      </c>
    </row>
    <row r="4" spans="1:2" x14ac:dyDescent="0.2">
      <c r="A4" t="s">
        <v>730</v>
      </c>
      <c r="B4" s="3">
        <v>3</v>
      </c>
    </row>
    <row r="5" spans="1:2" x14ac:dyDescent="0.2">
      <c r="A5" t="s">
        <v>750</v>
      </c>
      <c r="B5" s="3">
        <v>4</v>
      </c>
    </row>
    <row r="6" spans="1:2" x14ac:dyDescent="0.2">
      <c r="A6" t="s">
        <v>736</v>
      </c>
      <c r="B6" s="3">
        <v>5</v>
      </c>
    </row>
    <row r="7" spans="1:2" x14ac:dyDescent="0.2">
      <c r="A7" t="s">
        <v>732</v>
      </c>
      <c r="B7" s="3">
        <v>6</v>
      </c>
    </row>
    <row r="8" spans="1:2" x14ac:dyDescent="0.2">
      <c r="A8" t="s">
        <v>741</v>
      </c>
      <c r="B8" s="3">
        <v>7</v>
      </c>
    </row>
    <row r="9" spans="1:2" x14ac:dyDescent="0.2">
      <c r="A9" t="s">
        <v>738</v>
      </c>
      <c r="B9" s="3">
        <v>8</v>
      </c>
    </row>
    <row r="10" spans="1:2" x14ac:dyDescent="0.2">
      <c r="A10" t="s">
        <v>1181</v>
      </c>
      <c r="B10" s="3">
        <v>9</v>
      </c>
    </row>
    <row r="11" spans="1:2" x14ac:dyDescent="0.2">
      <c r="A11" t="s">
        <v>764</v>
      </c>
      <c r="B11" s="3">
        <v>10</v>
      </c>
    </row>
    <row r="12" spans="1:2" x14ac:dyDescent="0.2">
      <c r="A12" t="s">
        <v>746</v>
      </c>
      <c r="B12" s="3">
        <v>11</v>
      </c>
    </row>
    <row r="13" spans="1:2" x14ac:dyDescent="0.2">
      <c r="A13" t="s">
        <v>923</v>
      </c>
      <c r="B13" s="3">
        <v>12</v>
      </c>
    </row>
    <row r="14" spans="1:2" x14ac:dyDescent="0.2">
      <c r="A14" t="s">
        <v>919</v>
      </c>
      <c r="B14" s="3">
        <v>13</v>
      </c>
    </row>
    <row r="15" spans="1:2" x14ac:dyDescent="0.2">
      <c r="A15" t="s">
        <v>743</v>
      </c>
      <c r="B15" s="3">
        <v>14</v>
      </c>
    </row>
    <row r="16" spans="1:2" x14ac:dyDescent="0.2">
      <c r="A16" t="s">
        <v>1232</v>
      </c>
      <c r="B16" s="3">
        <v>15</v>
      </c>
    </row>
    <row r="17" spans="1:2" x14ac:dyDescent="0.2">
      <c r="A17" t="s">
        <v>758</v>
      </c>
      <c r="B17" s="3">
        <v>16</v>
      </c>
    </row>
    <row r="18" spans="1:2" x14ac:dyDescent="0.2">
      <c r="A18" t="s">
        <v>770</v>
      </c>
      <c r="B18" s="3">
        <v>17</v>
      </c>
    </row>
    <row r="19" spans="1:2" x14ac:dyDescent="0.2">
      <c r="A19" t="s">
        <v>753</v>
      </c>
      <c r="B19" s="3">
        <v>18</v>
      </c>
    </row>
    <row r="20" spans="1:2" x14ac:dyDescent="0.2">
      <c r="A20" t="s">
        <v>1245</v>
      </c>
      <c r="B20" s="3">
        <v>19</v>
      </c>
    </row>
    <row r="21" spans="1:2" x14ac:dyDescent="0.2">
      <c r="A21" t="s">
        <v>1227</v>
      </c>
      <c r="B21" s="3">
        <v>20</v>
      </c>
    </row>
    <row r="22" spans="1:2" x14ac:dyDescent="0.2">
      <c r="A22" t="s">
        <v>779</v>
      </c>
      <c r="B22" s="3">
        <v>21</v>
      </c>
    </row>
    <row r="23" spans="1:2" x14ac:dyDescent="0.2">
      <c r="A23" t="s">
        <v>1221</v>
      </c>
      <c r="B23" s="3">
        <v>22</v>
      </c>
    </row>
    <row r="24" spans="1:2" x14ac:dyDescent="0.2">
      <c r="A24" t="s">
        <v>769</v>
      </c>
      <c r="B24" s="3">
        <v>23</v>
      </c>
    </row>
    <row r="25" spans="1:2" x14ac:dyDescent="0.2">
      <c r="A25" t="s">
        <v>748</v>
      </c>
      <c r="B25" s="3">
        <v>24</v>
      </c>
    </row>
    <row r="26" spans="1:2" x14ac:dyDescent="0.2">
      <c r="A26" t="s">
        <v>1224</v>
      </c>
      <c r="B26" s="3">
        <v>25</v>
      </c>
    </row>
    <row r="27" spans="1:2" x14ac:dyDescent="0.2">
      <c r="A27" t="s">
        <v>1222</v>
      </c>
      <c r="B27" s="3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1045538"/>
  <sheetViews>
    <sheetView showGridLines="0" tabSelected="1" zoomScaleNormal="100" workbookViewId="0">
      <pane xSplit="2" ySplit="2" topLeftCell="AS3" activePane="bottomRight" state="frozen"/>
      <selection pane="topRight" activeCell="C1" sqref="C1"/>
      <selection pane="bottomLeft" activeCell="A3" sqref="A3"/>
      <selection pane="bottomRight" activeCell="BK2" sqref="BK2"/>
    </sheetView>
  </sheetViews>
  <sheetFormatPr defaultColWidth="9.140625" defaultRowHeight="12.75" x14ac:dyDescent="0.2"/>
  <cols>
    <col min="1" max="1" width="11.28515625" style="26" customWidth="1"/>
    <col min="2" max="2" width="11.140625" style="26" hidden="1" customWidth="1"/>
    <col min="3" max="3" width="15" style="26" hidden="1" customWidth="1"/>
    <col min="4" max="4" width="13.5703125" style="38" customWidth="1"/>
    <col min="5" max="5" width="11.85546875" style="38" customWidth="1"/>
    <col min="6" max="6" width="43.5703125" style="78" hidden="1" customWidth="1"/>
    <col min="7" max="7" width="53.140625" style="15" customWidth="1"/>
    <col min="8" max="8" width="7.42578125" style="2" hidden="1" customWidth="1"/>
    <col min="9" max="9" width="6.140625" style="2" bestFit="1" customWidth="1"/>
    <col min="10" max="10" width="9" style="2" hidden="1" customWidth="1"/>
    <col min="11" max="11" width="7.5703125" style="2" hidden="1" customWidth="1"/>
    <col min="12" max="12" width="14.85546875" style="2" hidden="1" customWidth="1"/>
    <col min="13" max="13" width="9" style="2" hidden="1" customWidth="1"/>
    <col min="14" max="14" width="7.7109375" style="2" bestFit="1" customWidth="1"/>
    <col min="15" max="15" width="9" style="2" hidden="1" customWidth="1"/>
    <col min="16" max="16" width="7.5703125" style="2" hidden="1" customWidth="1"/>
    <col min="17" max="17" width="14.85546875" style="2" hidden="1" customWidth="1"/>
    <col min="18" max="18" width="10" style="2" bestFit="1" customWidth="1"/>
    <col min="19" max="19" width="13.5703125" style="2" hidden="1" customWidth="1"/>
    <col min="20" max="20" width="12.140625" style="2" hidden="1" customWidth="1"/>
    <col min="21" max="21" width="19.42578125" style="2" hidden="1" customWidth="1"/>
    <col min="22" max="22" width="8.85546875" style="2" bestFit="1" customWidth="1"/>
    <col min="23" max="23" width="9" style="2" hidden="1" customWidth="1"/>
    <col min="24" max="24" width="7.5703125" style="2" hidden="1" customWidth="1"/>
    <col min="25" max="25" width="14.85546875" style="2" hidden="1" customWidth="1"/>
    <col min="26" max="26" width="6" style="2" bestFit="1" customWidth="1"/>
    <col min="27" max="27" width="9" style="2" hidden="1" customWidth="1"/>
    <col min="28" max="28" width="7.5703125" style="2" hidden="1" customWidth="1"/>
    <col min="29" max="29" width="14.85546875" style="2" hidden="1" customWidth="1"/>
    <col min="30" max="30" width="6" style="2" bestFit="1" customWidth="1"/>
    <col min="31" max="31" width="9" style="2" hidden="1" customWidth="1"/>
    <col min="32" max="32" width="7.5703125" style="2" hidden="1" customWidth="1"/>
    <col min="33" max="33" width="14.85546875" style="2" hidden="1" customWidth="1"/>
    <col min="34" max="34" width="6" style="2" bestFit="1" customWidth="1"/>
    <col min="35" max="35" width="9" style="2" hidden="1" customWidth="1"/>
    <col min="36" max="36" width="7.5703125" style="2" hidden="1" customWidth="1"/>
    <col min="37" max="37" width="14.85546875" style="2" hidden="1" customWidth="1"/>
    <col min="38" max="38" width="10.42578125" style="2" bestFit="1" customWidth="1"/>
    <col min="39" max="39" width="13.5703125" style="2" hidden="1" customWidth="1"/>
    <col min="40" max="40" width="12.140625" style="2" hidden="1" customWidth="1"/>
    <col min="41" max="41" width="19.42578125" style="18" hidden="1" customWidth="1"/>
    <col min="42" max="42" width="12.42578125" style="2" bestFit="1" customWidth="1"/>
    <col min="43" max="43" width="13.5703125" style="2" hidden="1" customWidth="1"/>
    <col min="44" max="44" width="12.140625" style="2" hidden="1" customWidth="1"/>
    <col min="45" max="45" width="11.28515625" style="2" customWidth="1"/>
    <col min="46" max="46" width="11.140625" style="2" hidden="1" customWidth="1"/>
    <col min="47" max="48" width="11.28515625" style="2" hidden="1" customWidth="1"/>
    <col min="49" max="49" width="13" style="2" customWidth="1"/>
    <col min="50" max="50" width="12.85546875" style="2" customWidth="1"/>
    <col min="51" max="51" width="11.5703125" style="2" bestFit="1" customWidth="1"/>
    <col min="52" max="52" width="19.5703125" style="2" hidden="1" customWidth="1"/>
    <col min="53" max="53" width="9.5703125" style="2" customWidth="1"/>
    <col min="54" max="54" width="15.42578125" style="2" hidden="1" customWidth="1"/>
    <col min="55" max="55" width="15" style="2" hidden="1" customWidth="1"/>
    <col min="56" max="56" width="19.28515625" style="2" hidden="1" customWidth="1"/>
    <col min="57" max="57" width="16.28515625" style="2" hidden="1" customWidth="1"/>
    <col min="58" max="58" width="14" style="2" hidden="1" customWidth="1"/>
    <col min="59" max="59" width="15" style="2" hidden="1" customWidth="1"/>
    <col min="60" max="60" width="15.85546875" style="2" hidden="1" customWidth="1"/>
    <col min="61" max="61" width="12.42578125" style="2" customWidth="1"/>
    <col min="62" max="62" width="9.42578125" style="2" customWidth="1"/>
    <col min="63" max="63" width="10.42578125" style="2" customWidth="1"/>
    <col min="64" max="65" width="11.28515625" style="2" customWidth="1"/>
    <col min="66" max="66" width="10.42578125" style="2" customWidth="1"/>
    <col min="67" max="69" width="11.28515625" style="2" customWidth="1"/>
    <col min="70" max="70" width="10.42578125" style="2" customWidth="1"/>
    <col min="71" max="73" width="11.28515625" style="2" customWidth="1"/>
    <col min="74" max="74" width="10.42578125" style="2" customWidth="1"/>
    <col min="75" max="84" width="11.28515625" style="2" customWidth="1"/>
    <col min="85" max="16384" width="9.140625" style="2"/>
  </cols>
  <sheetData>
    <row r="1" spans="1:60" x14ac:dyDescent="0.2">
      <c r="H1" s="19"/>
      <c r="I1" s="18">
        <f>SUBTOTAL(9,I3:I3281)</f>
        <v>12380</v>
      </c>
      <c r="J1" s="18">
        <f>SUBTOTAL(9,J3:J1310)</f>
        <v>1611</v>
      </c>
      <c r="K1" s="18">
        <f>SUBTOTAL(9,K3:K1310)</f>
        <v>3994</v>
      </c>
      <c r="L1" s="18">
        <f>SUBTOTAL(9,L3:L1310)</f>
        <v>5904</v>
      </c>
      <c r="M1" s="18">
        <f>SUBTOTAL(9,M3:M1310)</f>
        <v>738</v>
      </c>
      <c r="N1" s="18">
        <f>SUBTOTAL(9,N3:N3281)</f>
        <v>9146</v>
      </c>
      <c r="O1" s="18">
        <v>1303</v>
      </c>
      <c r="P1" s="18">
        <f>SUBTOTAL(9,P3:P1310)</f>
        <v>3262</v>
      </c>
      <c r="Q1" s="18">
        <f>SUBTOTAL(9,Q3:Q3228)</f>
        <v>4575</v>
      </c>
      <c r="R1" s="18">
        <f t="shared" ref="R1:AB1" si="0">SUBTOTAL(9,R3:R3281)</f>
        <v>6913</v>
      </c>
      <c r="S1" s="18">
        <f t="shared" si="0"/>
        <v>1363</v>
      </c>
      <c r="T1" s="18">
        <f t="shared" si="0"/>
        <v>3635</v>
      </c>
      <c r="U1" s="18">
        <f t="shared" si="0"/>
        <v>1857</v>
      </c>
      <c r="V1" s="18">
        <f t="shared" si="0"/>
        <v>12550</v>
      </c>
      <c r="W1" s="18">
        <f t="shared" si="0"/>
        <v>1664</v>
      </c>
      <c r="X1" s="18">
        <f t="shared" si="0"/>
        <v>4410</v>
      </c>
      <c r="Y1" s="18">
        <f t="shared" si="0"/>
        <v>6444</v>
      </c>
      <c r="Z1" s="18">
        <f t="shared" si="0"/>
        <v>10983</v>
      </c>
      <c r="AA1" s="18">
        <f t="shared" si="0"/>
        <v>1186</v>
      </c>
      <c r="AB1" s="18">
        <f t="shared" si="0"/>
        <v>4441</v>
      </c>
      <c r="AC1" s="18">
        <v>5348</v>
      </c>
      <c r="AD1" s="18">
        <f t="shared" ref="AD1:BA1" si="1">SUBTOTAL(9,AD3:AD3281)</f>
        <v>14307</v>
      </c>
      <c r="AE1" s="18">
        <f t="shared" si="1"/>
        <v>1425</v>
      </c>
      <c r="AF1" s="18">
        <f t="shared" si="1"/>
        <v>4740</v>
      </c>
      <c r="AG1" s="18">
        <f t="shared" si="1"/>
        <v>8137</v>
      </c>
      <c r="AH1" s="18">
        <f t="shared" si="1"/>
        <v>14423</v>
      </c>
      <c r="AI1" s="18">
        <f t="shared" si="1"/>
        <v>1332</v>
      </c>
      <c r="AJ1" s="18">
        <f t="shared" si="1"/>
        <v>4923</v>
      </c>
      <c r="AK1" s="18">
        <f t="shared" si="1"/>
        <v>8168</v>
      </c>
      <c r="AL1" s="18">
        <f t="shared" si="1"/>
        <v>11895</v>
      </c>
      <c r="AM1" s="18">
        <f t="shared" si="1"/>
        <v>1509</v>
      </c>
      <c r="AN1" s="18">
        <f t="shared" si="1"/>
        <v>4916</v>
      </c>
      <c r="AO1" s="18">
        <f t="shared" si="1"/>
        <v>5470</v>
      </c>
      <c r="AP1" s="18">
        <f t="shared" si="1"/>
        <v>9144</v>
      </c>
      <c r="AQ1" s="18">
        <f t="shared" si="1"/>
        <v>4821</v>
      </c>
      <c r="AR1" s="18">
        <f t="shared" si="1"/>
        <v>4323</v>
      </c>
      <c r="AS1" s="18">
        <f t="shared" si="1"/>
        <v>7345</v>
      </c>
      <c r="AT1" s="18">
        <f t="shared" si="1"/>
        <v>1447</v>
      </c>
      <c r="AU1" s="18">
        <f t="shared" si="1"/>
        <v>4009</v>
      </c>
      <c r="AV1" s="18">
        <f t="shared" si="1"/>
        <v>1889</v>
      </c>
      <c r="AW1" s="18">
        <f t="shared" si="1"/>
        <v>0</v>
      </c>
      <c r="AX1" s="18">
        <f t="shared" si="1"/>
        <v>0</v>
      </c>
      <c r="AY1" s="18">
        <f t="shared" si="1"/>
        <v>10924.422222222311</v>
      </c>
      <c r="AZ1" s="18">
        <f t="shared" si="1"/>
        <v>0</v>
      </c>
      <c r="BA1" s="18">
        <f t="shared" si="1"/>
        <v>8901</v>
      </c>
      <c r="BB1" s="30">
        <f t="shared" ref="BB1" si="2">IFERROR(AY1/BA1-1,"")</f>
        <v>0.22732526932056074</v>
      </c>
      <c r="BC1" s="18">
        <f>SUBTOTAL(9,BC3:BC3281)</f>
        <v>0</v>
      </c>
      <c r="BD1" s="18">
        <f>SUBTOTAL(9,BD3:BD3281)</f>
        <v>0</v>
      </c>
      <c r="BE1" s="18">
        <f>SUBTOTAL(9,BE3:BE3281)</f>
        <v>0</v>
      </c>
      <c r="BF1" s="18">
        <f>SUBTOTAL(9,BF3:BF3281)</f>
        <v>0</v>
      </c>
      <c r="BG1" s="18"/>
      <c r="BH1" s="18">
        <f>SUBTOTAL(9,BH3:BH3281)</f>
        <v>10940.683333333376</v>
      </c>
    </row>
    <row r="2" spans="1:60" s="1" customFormat="1" ht="60" customHeight="1" x14ac:dyDescent="0.2">
      <c r="A2" s="42" t="s">
        <v>2</v>
      </c>
      <c r="B2" s="43" t="s">
        <v>1076</v>
      </c>
      <c r="C2" s="44" t="s">
        <v>1787</v>
      </c>
      <c r="D2" s="44" t="s">
        <v>725</v>
      </c>
      <c r="E2" s="79" t="s">
        <v>1246</v>
      </c>
      <c r="F2" s="80" t="s">
        <v>1248</v>
      </c>
      <c r="G2" s="42" t="s">
        <v>724</v>
      </c>
      <c r="H2" s="45" t="s">
        <v>781</v>
      </c>
      <c r="I2" s="46" t="s">
        <v>1481</v>
      </c>
      <c r="J2" s="47" t="s">
        <v>1087</v>
      </c>
      <c r="K2" s="47" t="s">
        <v>1088</v>
      </c>
      <c r="L2" s="47" t="s">
        <v>821</v>
      </c>
      <c r="M2" s="47" t="s">
        <v>1482</v>
      </c>
      <c r="N2" s="46" t="s">
        <v>1483</v>
      </c>
      <c r="O2" s="47" t="s">
        <v>1620</v>
      </c>
      <c r="P2" s="47" t="s">
        <v>1621</v>
      </c>
      <c r="Q2" s="47" t="s">
        <v>821</v>
      </c>
      <c r="R2" s="46" t="s">
        <v>1484</v>
      </c>
      <c r="S2" s="47" t="s">
        <v>1620</v>
      </c>
      <c r="T2" s="47" t="s">
        <v>1621</v>
      </c>
      <c r="U2" s="47" t="s">
        <v>821</v>
      </c>
      <c r="V2" s="46" t="s">
        <v>1485</v>
      </c>
      <c r="W2" s="47" t="s">
        <v>1620</v>
      </c>
      <c r="X2" s="47" t="s">
        <v>1621</v>
      </c>
      <c r="Y2" s="47" t="s">
        <v>821</v>
      </c>
      <c r="Z2" s="46" t="s">
        <v>1486</v>
      </c>
      <c r="AA2" s="47" t="s">
        <v>1620</v>
      </c>
      <c r="AB2" s="47" t="s">
        <v>1621</v>
      </c>
      <c r="AC2" s="47" t="s">
        <v>821</v>
      </c>
      <c r="AD2" s="46" t="s">
        <v>1969</v>
      </c>
      <c r="AE2" s="47" t="s">
        <v>1620</v>
      </c>
      <c r="AF2" s="47" t="s">
        <v>1621</v>
      </c>
      <c r="AG2" s="47" t="s">
        <v>821</v>
      </c>
      <c r="AH2" s="46" t="s">
        <v>1487</v>
      </c>
      <c r="AI2" s="47" t="s">
        <v>1620</v>
      </c>
      <c r="AJ2" s="47" t="s">
        <v>1621</v>
      </c>
      <c r="AK2" s="47" t="s">
        <v>821</v>
      </c>
      <c r="AL2" s="46" t="s">
        <v>1488</v>
      </c>
      <c r="AM2" s="47" t="s">
        <v>1620</v>
      </c>
      <c r="AN2" s="47" t="s">
        <v>1621</v>
      </c>
      <c r="AO2" s="89" t="s">
        <v>821</v>
      </c>
      <c r="AP2" s="46" t="s">
        <v>1489</v>
      </c>
      <c r="AQ2" s="47" t="s">
        <v>1087</v>
      </c>
      <c r="AR2" s="47" t="s">
        <v>1088</v>
      </c>
      <c r="AS2" s="46" t="s">
        <v>1490</v>
      </c>
      <c r="AT2" s="47" t="s">
        <v>1087</v>
      </c>
      <c r="AU2" s="47" t="s">
        <v>1088</v>
      </c>
      <c r="AV2" s="47" t="s">
        <v>2222</v>
      </c>
      <c r="AW2" s="46" t="s">
        <v>1491</v>
      </c>
      <c r="AX2" s="46" t="s">
        <v>1492</v>
      </c>
      <c r="AY2" s="48" t="s">
        <v>1558</v>
      </c>
      <c r="AZ2" s="48" t="s">
        <v>1562</v>
      </c>
      <c r="BA2" s="49" t="s">
        <v>1480</v>
      </c>
      <c r="BB2" s="39" t="s">
        <v>1638</v>
      </c>
      <c r="BC2" s="22" t="s">
        <v>774</v>
      </c>
      <c r="BD2" s="34" t="s">
        <v>1285</v>
      </c>
      <c r="BE2" s="22" t="s">
        <v>1286</v>
      </c>
      <c r="BF2" s="22" t="s">
        <v>1384</v>
      </c>
      <c r="BG2" s="23" t="s">
        <v>775</v>
      </c>
      <c r="BH2" s="23" t="s">
        <v>1244</v>
      </c>
    </row>
    <row r="3" spans="1:60" s="21" customFormat="1" ht="12.75" customHeight="1" x14ac:dyDescent="0.2">
      <c r="A3" s="51" t="s">
        <v>690</v>
      </c>
      <c r="B3" s="51" t="s">
        <v>1077</v>
      </c>
      <c r="C3" s="66" t="s">
        <v>1803</v>
      </c>
      <c r="D3" s="65" t="s">
        <v>744</v>
      </c>
      <c r="E3" s="67" t="s">
        <v>1380</v>
      </c>
      <c r="F3" s="53" t="str">
        <f>IFERROR(VLOOKUP(E3,Fornecedores!$A$2:$B$2700,2,FALSE),"")</f>
        <v/>
      </c>
      <c r="G3" s="52" t="s">
        <v>691</v>
      </c>
      <c r="H3" s="57"/>
      <c r="I3" s="55">
        <f t="shared" ref="I3:I15" si="3">SUM(J3:M3)</f>
        <v>2803</v>
      </c>
      <c r="J3" s="55">
        <v>27</v>
      </c>
      <c r="K3" s="55">
        <v>1366</v>
      </c>
      <c r="L3" s="55">
        <v>1400</v>
      </c>
      <c r="M3" s="55">
        <v>10</v>
      </c>
      <c r="N3" s="55">
        <f t="shared" ref="N3:N15" si="4">SUM(O3:Q3)</f>
        <v>2368</v>
      </c>
      <c r="O3" s="55">
        <v>32</v>
      </c>
      <c r="P3" s="55">
        <v>1096</v>
      </c>
      <c r="Q3" s="55">
        <v>1240</v>
      </c>
      <c r="R3" s="55">
        <f t="shared" ref="R3:R15" si="5">SUM(S3:U3)</f>
        <v>1583</v>
      </c>
      <c r="S3" s="55">
        <v>18</v>
      </c>
      <c r="T3" s="55">
        <v>1495</v>
      </c>
      <c r="U3" s="55">
        <v>70</v>
      </c>
      <c r="V3" s="55">
        <v>2804</v>
      </c>
      <c r="W3" s="53">
        <v>3</v>
      </c>
      <c r="X3" s="53">
        <v>1671</v>
      </c>
      <c r="Y3" s="55">
        <v>1130</v>
      </c>
      <c r="Z3" s="55">
        <v>2797</v>
      </c>
      <c r="AA3" s="53">
        <v>1</v>
      </c>
      <c r="AB3" s="53">
        <v>1696</v>
      </c>
      <c r="AC3" s="55">
        <v>1100</v>
      </c>
      <c r="AD3" s="55">
        <f t="shared" ref="AD3:AD23" si="6">SUM(AE3:AG3)</f>
        <v>3112</v>
      </c>
      <c r="AE3" s="53">
        <v>10</v>
      </c>
      <c r="AF3" s="55">
        <v>1802</v>
      </c>
      <c r="AG3" s="55">
        <v>1300</v>
      </c>
      <c r="AH3" s="55">
        <f t="shared" ref="AH3:AH27" si="7">SUM(AI3:AK3)</f>
        <v>5563</v>
      </c>
      <c r="AI3" s="55">
        <v>1</v>
      </c>
      <c r="AJ3" s="55">
        <v>2112</v>
      </c>
      <c r="AK3" s="55">
        <v>3450</v>
      </c>
      <c r="AL3" s="55">
        <f t="shared" ref="AL3:AL34" si="8">SUM(AM3:AO3)</f>
        <v>2499</v>
      </c>
      <c r="AM3" s="55">
        <v>1</v>
      </c>
      <c r="AN3" s="55">
        <v>2196</v>
      </c>
      <c r="AO3" s="55">
        <v>302</v>
      </c>
      <c r="AP3" s="55">
        <f t="shared" ref="AP3:AP66" si="9">SUM(AQ3:AR3)</f>
        <v>2028</v>
      </c>
      <c r="AQ3" s="55">
        <f>IFERROR(VLOOKUP(A3,[1]SIIMPLES!$A$2:$F$418,6,FALSE),0)</f>
        <v>0</v>
      </c>
      <c r="AR3" s="55">
        <v>2028</v>
      </c>
      <c r="AS3" s="55">
        <v>1558</v>
      </c>
      <c r="AT3" s="55">
        <v>0</v>
      </c>
      <c r="AU3" s="55">
        <v>1537</v>
      </c>
      <c r="AV3" s="55">
        <v>21</v>
      </c>
      <c r="AW3" s="55"/>
      <c r="AX3" s="55"/>
      <c r="AY3" s="56">
        <f t="shared" ref="AY3:AY27" si="10">IFERROR(AVERAGE(I3,N3,R3,V3,Z3,AD3,AH3,AL3,AP3,AS3,AW3,AX3),"-")</f>
        <v>2711.5</v>
      </c>
      <c r="AZ3" s="55"/>
      <c r="BA3" s="56">
        <v>2495.3333333333335</v>
      </c>
      <c r="BB3" s="40"/>
      <c r="BC3" s="33"/>
      <c r="BD3" s="35"/>
      <c r="BE3" s="13"/>
      <c r="BF3" s="16"/>
      <c r="BG3" s="17"/>
      <c r="BH3" s="16"/>
    </row>
    <row r="4" spans="1:60" s="21" customFormat="1" ht="12.75" customHeight="1" x14ac:dyDescent="0.2">
      <c r="A4" s="51">
        <v>332052</v>
      </c>
      <c r="B4" s="51" t="s">
        <v>1077</v>
      </c>
      <c r="C4" s="66" t="s">
        <v>1803</v>
      </c>
      <c r="D4" s="52" t="s">
        <v>728</v>
      </c>
      <c r="E4" s="65" t="s">
        <v>780</v>
      </c>
      <c r="F4" s="53">
        <f>IFERROR(VLOOKUP(E4,Fornecedores!$A$2:$B$2700,2,FALSE),"")</f>
        <v>2</v>
      </c>
      <c r="G4" s="52" t="s">
        <v>679</v>
      </c>
      <c r="H4" s="57"/>
      <c r="I4" s="55">
        <f t="shared" si="3"/>
        <v>1015</v>
      </c>
      <c r="J4" s="55">
        <v>5</v>
      </c>
      <c r="K4" s="55">
        <v>218</v>
      </c>
      <c r="L4" s="55">
        <v>620</v>
      </c>
      <c r="M4" s="55">
        <v>172</v>
      </c>
      <c r="N4" s="55">
        <f t="shared" si="4"/>
        <v>1081</v>
      </c>
      <c r="O4" s="55">
        <v>12</v>
      </c>
      <c r="P4" s="55">
        <v>259</v>
      </c>
      <c r="Q4" s="55">
        <v>810</v>
      </c>
      <c r="R4" s="55">
        <f t="shared" si="5"/>
        <v>723</v>
      </c>
      <c r="S4" s="55">
        <v>6</v>
      </c>
      <c r="T4" s="55">
        <v>241</v>
      </c>
      <c r="U4" s="55">
        <v>476</v>
      </c>
      <c r="V4" s="55">
        <v>2261</v>
      </c>
      <c r="W4" s="53">
        <v>3</v>
      </c>
      <c r="X4" s="53">
        <v>255</v>
      </c>
      <c r="Y4" s="55">
        <v>2003</v>
      </c>
      <c r="Z4" s="55">
        <v>1943</v>
      </c>
      <c r="AA4" s="53">
        <v>4</v>
      </c>
      <c r="AB4" s="53">
        <v>283</v>
      </c>
      <c r="AC4" s="55">
        <v>1656</v>
      </c>
      <c r="AD4" s="55">
        <f t="shared" si="6"/>
        <v>2978</v>
      </c>
      <c r="AE4" s="53">
        <v>2</v>
      </c>
      <c r="AF4" s="55">
        <v>255</v>
      </c>
      <c r="AG4" s="55">
        <v>2721</v>
      </c>
      <c r="AH4" s="55">
        <f t="shared" si="7"/>
        <v>1008</v>
      </c>
      <c r="AI4" s="55">
        <v>1</v>
      </c>
      <c r="AJ4" s="55">
        <v>297</v>
      </c>
      <c r="AK4" s="55">
        <v>710</v>
      </c>
      <c r="AL4" s="55">
        <f t="shared" si="8"/>
        <v>1091</v>
      </c>
      <c r="AM4" s="55">
        <v>1</v>
      </c>
      <c r="AN4" s="55">
        <v>260</v>
      </c>
      <c r="AO4" s="55">
        <v>830</v>
      </c>
      <c r="AP4" s="55">
        <f t="shared" si="9"/>
        <v>840</v>
      </c>
      <c r="AQ4" s="55">
        <f>IFERROR(VLOOKUP(A4,[1]SIIMPLES!$A$2:$F$418,6,FALSE),0)</f>
        <v>628</v>
      </c>
      <c r="AR4" s="55">
        <v>212</v>
      </c>
      <c r="AS4" s="55">
        <v>622</v>
      </c>
      <c r="AT4" s="55">
        <v>2</v>
      </c>
      <c r="AU4" s="55">
        <v>170</v>
      </c>
      <c r="AV4" s="55">
        <v>450</v>
      </c>
      <c r="AW4" s="55"/>
      <c r="AX4" s="55"/>
      <c r="AY4" s="56">
        <f t="shared" si="10"/>
        <v>1356.2</v>
      </c>
      <c r="AZ4" s="55"/>
      <c r="BA4" s="56">
        <v>334.66666666666669</v>
      </c>
      <c r="BB4" s="40">
        <f t="shared" ref="BB4:BB15" si="11">IFERROR(AY4/BA4-1,"")</f>
        <v>3.052390438247012</v>
      </c>
      <c r="BC4" s="33"/>
      <c r="BD4" s="35"/>
      <c r="BE4" s="13"/>
      <c r="BF4" s="16"/>
      <c r="BG4" s="17">
        <f t="shared" ref="BG4:BG22" si="12">IFERROR(BC4/AY4,"0")</f>
        <v>0</v>
      </c>
      <c r="BH4" s="16">
        <f t="shared" ref="BH4:BH11" si="13">IFERROR(IF(F4=1,IF(BC4&lt;AY4*3,AY4*3-BC4,0),IF(BC4&lt;AY4,AY4-BC4,0)),"")</f>
        <v>1356.2</v>
      </c>
    </row>
    <row r="5" spans="1:60" s="21" customFormat="1" ht="12.75" customHeight="1" x14ac:dyDescent="0.2">
      <c r="A5" s="51">
        <v>332053</v>
      </c>
      <c r="B5" s="51" t="s">
        <v>1077</v>
      </c>
      <c r="C5" s="66" t="s">
        <v>1803</v>
      </c>
      <c r="D5" s="52" t="s">
        <v>728</v>
      </c>
      <c r="E5" s="65" t="s">
        <v>780</v>
      </c>
      <c r="F5" s="53">
        <f>IFERROR(VLOOKUP(E5,Fornecedores!$A$2:$B$2700,2,FALSE),"")</f>
        <v>2</v>
      </c>
      <c r="G5" s="52" t="s">
        <v>324</v>
      </c>
      <c r="H5" s="57"/>
      <c r="I5" s="55">
        <f t="shared" si="3"/>
        <v>1013</v>
      </c>
      <c r="J5" s="55">
        <v>4</v>
      </c>
      <c r="K5" s="55">
        <v>218</v>
      </c>
      <c r="L5" s="55">
        <v>620</v>
      </c>
      <c r="M5" s="55">
        <v>171</v>
      </c>
      <c r="N5" s="55">
        <f t="shared" si="4"/>
        <v>972</v>
      </c>
      <c r="O5" s="55">
        <v>3</v>
      </c>
      <c r="P5" s="55">
        <v>259</v>
      </c>
      <c r="Q5" s="55">
        <v>710</v>
      </c>
      <c r="R5" s="55">
        <f t="shared" si="5"/>
        <v>710</v>
      </c>
      <c r="S5" s="55">
        <v>3</v>
      </c>
      <c r="T5" s="55">
        <v>241</v>
      </c>
      <c r="U5" s="55">
        <v>466</v>
      </c>
      <c r="V5" s="55">
        <v>2261</v>
      </c>
      <c r="W5" s="53">
        <v>3</v>
      </c>
      <c r="X5" s="53">
        <v>255</v>
      </c>
      <c r="Y5" s="55">
        <v>2003</v>
      </c>
      <c r="Z5" s="55">
        <v>1941</v>
      </c>
      <c r="AA5" s="53">
        <v>2</v>
      </c>
      <c r="AB5" s="53">
        <v>283</v>
      </c>
      <c r="AC5" s="55">
        <v>1656</v>
      </c>
      <c r="AD5" s="55">
        <f t="shared" si="6"/>
        <v>2987</v>
      </c>
      <c r="AE5" s="53">
        <v>1</v>
      </c>
      <c r="AF5" s="55">
        <v>255</v>
      </c>
      <c r="AG5" s="55">
        <v>2731</v>
      </c>
      <c r="AH5" s="55">
        <f t="shared" si="7"/>
        <v>1014</v>
      </c>
      <c r="AI5" s="55">
        <v>6</v>
      </c>
      <c r="AJ5" s="55">
        <v>297</v>
      </c>
      <c r="AK5" s="55">
        <v>711</v>
      </c>
      <c r="AL5" s="55">
        <f t="shared" si="8"/>
        <v>1091</v>
      </c>
      <c r="AM5" s="55">
        <v>1</v>
      </c>
      <c r="AN5" s="55">
        <v>260</v>
      </c>
      <c r="AO5" s="55">
        <v>830</v>
      </c>
      <c r="AP5" s="55">
        <f t="shared" si="9"/>
        <v>749</v>
      </c>
      <c r="AQ5" s="55">
        <f>IFERROR(VLOOKUP(A5,[1]SIIMPLES!$A$2:$F$418,6,FALSE),0)</f>
        <v>537</v>
      </c>
      <c r="AR5" s="55">
        <v>212</v>
      </c>
      <c r="AS5" s="55">
        <v>419</v>
      </c>
      <c r="AT5" s="55">
        <v>2</v>
      </c>
      <c r="AU5" s="55">
        <v>170</v>
      </c>
      <c r="AV5" s="55">
        <v>247</v>
      </c>
      <c r="AW5" s="55"/>
      <c r="AX5" s="55"/>
      <c r="AY5" s="56">
        <f t="shared" si="10"/>
        <v>1315.7</v>
      </c>
      <c r="AZ5" s="55"/>
      <c r="BA5" s="56">
        <v>330.5</v>
      </c>
      <c r="BB5" s="40">
        <f t="shared" si="11"/>
        <v>2.9809379727685328</v>
      </c>
      <c r="BC5" s="33"/>
      <c r="BD5" s="35"/>
      <c r="BE5" s="13"/>
      <c r="BF5" s="16"/>
      <c r="BG5" s="17">
        <f t="shared" si="12"/>
        <v>0</v>
      </c>
      <c r="BH5" s="16">
        <f t="shared" si="13"/>
        <v>1315.7</v>
      </c>
    </row>
    <row r="6" spans="1:60" s="21" customFormat="1" ht="12.75" customHeight="1" x14ac:dyDescent="0.2">
      <c r="A6" s="51" t="s">
        <v>22</v>
      </c>
      <c r="B6" s="51" t="s">
        <v>1077</v>
      </c>
      <c r="C6" s="66" t="s">
        <v>1803</v>
      </c>
      <c r="D6" s="65" t="s">
        <v>744</v>
      </c>
      <c r="E6" s="67" t="s">
        <v>727</v>
      </c>
      <c r="F6" s="53">
        <f>IFERROR(VLOOKUP(E6,Fornecedores!$A$2:$B$2700,2,FALSE),"")</f>
        <v>1</v>
      </c>
      <c r="G6" s="52" t="s">
        <v>357</v>
      </c>
      <c r="H6" s="54"/>
      <c r="I6" s="55">
        <f t="shared" si="3"/>
        <v>322</v>
      </c>
      <c r="J6" s="55">
        <v>2</v>
      </c>
      <c r="K6" s="55">
        <v>20</v>
      </c>
      <c r="L6" s="55">
        <v>300</v>
      </c>
      <c r="M6" s="55">
        <v>0</v>
      </c>
      <c r="N6" s="55">
        <f t="shared" si="4"/>
        <v>94</v>
      </c>
      <c r="O6" s="55">
        <v>2</v>
      </c>
      <c r="P6" s="55">
        <v>32</v>
      </c>
      <c r="Q6" s="55">
        <v>60</v>
      </c>
      <c r="R6" s="55">
        <f t="shared" si="5"/>
        <v>101</v>
      </c>
      <c r="S6" s="55">
        <v>3</v>
      </c>
      <c r="T6" s="55">
        <v>48</v>
      </c>
      <c r="U6" s="55">
        <v>50</v>
      </c>
      <c r="V6" s="55">
        <v>549</v>
      </c>
      <c r="W6" s="53">
        <v>11</v>
      </c>
      <c r="X6" s="53">
        <v>68</v>
      </c>
      <c r="Y6" s="55">
        <v>470</v>
      </c>
      <c r="Z6" s="55">
        <v>355</v>
      </c>
      <c r="AA6" s="53">
        <v>3</v>
      </c>
      <c r="AB6" s="53">
        <v>52</v>
      </c>
      <c r="AC6" s="55">
        <v>300</v>
      </c>
      <c r="AD6" s="55">
        <f t="shared" si="6"/>
        <v>196</v>
      </c>
      <c r="AE6" s="53">
        <v>4</v>
      </c>
      <c r="AF6" s="55">
        <v>92</v>
      </c>
      <c r="AG6" s="55">
        <v>100</v>
      </c>
      <c r="AH6" s="55">
        <f t="shared" si="7"/>
        <v>127</v>
      </c>
      <c r="AI6" s="55">
        <v>9</v>
      </c>
      <c r="AJ6" s="55">
        <v>78</v>
      </c>
      <c r="AK6" s="55">
        <v>40</v>
      </c>
      <c r="AL6" s="55">
        <f t="shared" si="8"/>
        <v>32</v>
      </c>
      <c r="AM6" s="55" t="s">
        <v>1912</v>
      </c>
      <c r="AN6" s="55">
        <v>32</v>
      </c>
      <c r="AO6" s="55">
        <v>0</v>
      </c>
      <c r="AP6" s="55">
        <f t="shared" si="9"/>
        <v>628</v>
      </c>
      <c r="AQ6" s="55">
        <f>IFERROR(VLOOKUP(A6,[1]SIIMPLES!$A$2:$F$418,6,FALSE),0)</f>
        <v>602</v>
      </c>
      <c r="AR6" s="55">
        <v>26</v>
      </c>
      <c r="AS6" s="55">
        <v>182</v>
      </c>
      <c r="AT6" s="55">
        <v>112</v>
      </c>
      <c r="AU6" s="55">
        <v>66</v>
      </c>
      <c r="AV6" s="55">
        <v>4</v>
      </c>
      <c r="AW6" s="55"/>
      <c r="AX6" s="55"/>
      <c r="AY6" s="56">
        <f t="shared" si="10"/>
        <v>258.60000000000002</v>
      </c>
      <c r="AZ6" s="55"/>
      <c r="BA6" s="56">
        <v>107.66666666666667</v>
      </c>
      <c r="BB6" s="40">
        <f t="shared" si="11"/>
        <v>1.4018575851393189</v>
      </c>
      <c r="BC6" s="33"/>
      <c r="BD6" s="35"/>
      <c r="BE6" s="13"/>
      <c r="BF6" s="16"/>
      <c r="BG6" s="17">
        <f t="shared" si="12"/>
        <v>0</v>
      </c>
      <c r="BH6" s="16">
        <f t="shared" si="13"/>
        <v>775.80000000000007</v>
      </c>
    </row>
    <row r="7" spans="1:60" s="21" customFormat="1" ht="12.75" customHeight="1" x14ac:dyDescent="0.2">
      <c r="A7" s="51">
        <v>77350</v>
      </c>
      <c r="B7" s="51" t="s">
        <v>1077</v>
      </c>
      <c r="C7" s="66" t="s">
        <v>1803</v>
      </c>
      <c r="D7" s="65" t="s">
        <v>737</v>
      </c>
      <c r="E7" s="67" t="s">
        <v>727</v>
      </c>
      <c r="F7" s="53">
        <f>IFERROR(VLOOKUP(E7,Fornecedores!$A$2:$B$2700,2,FALSE),"")</f>
        <v>1</v>
      </c>
      <c r="G7" s="52" t="s">
        <v>554</v>
      </c>
      <c r="H7" s="54"/>
      <c r="I7" s="55">
        <f t="shared" si="3"/>
        <v>459</v>
      </c>
      <c r="J7" s="55">
        <v>137</v>
      </c>
      <c r="K7" s="55">
        <v>42</v>
      </c>
      <c r="L7" s="55">
        <v>280</v>
      </c>
      <c r="M7" s="55">
        <v>0</v>
      </c>
      <c r="N7" s="55">
        <f t="shared" si="4"/>
        <v>664</v>
      </c>
      <c r="O7" s="55">
        <v>114</v>
      </c>
      <c r="P7" s="55">
        <v>40</v>
      </c>
      <c r="Q7" s="55">
        <v>510</v>
      </c>
      <c r="R7" s="55">
        <f t="shared" si="5"/>
        <v>301</v>
      </c>
      <c r="S7" s="55">
        <v>112</v>
      </c>
      <c r="T7" s="55">
        <v>39</v>
      </c>
      <c r="U7" s="55">
        <v>150</v>
      </c>
      <c r="V7" s="55">
        <v>104</v>
      </c>
      <c r="W7" s="53">
        <v>32</v>
      </c>
      <c r="X7" s="53">
        <v>27</v>
      </c>
      <c r="Y7" s="55">
        <v>45</v>
      </c>
      <c r="Z7" s="55">
        <v>20</v>
      </c>
      <c r="AA7" s="53">
        <v>19</v>
      </c>
      <c r="AB7" s="53">
        <v>1</v>
      </c>
      <c r="AC7" s="55">
        <v>0</v>
      </c>
      <c r="AD7" s="55">
        <f t="shared" si="6"/>
        <v>19</v>
      </c>
      <c r="AE7" s="53">
        <v>18</v>
      </c>
      <c r="AF7" s="55">
        <v>1</v>
      </c>
      <c r="AG7" s="55">
        <v>0</v>
      </c>
      <c r="AH7" s="55">
        <f t="shared" si="7"/>
        <v>406</v>
      </c>
      <c r="AI7" s="55">
        <v>6</v>
      </c>
      <c r="AJ7" s="55">
        <v>0</v>
      </c>
      <c r="AK7" s="55">
        <v>400</v>
      </c>
      <c r="AL7" s="55">
        <f t="shared" si="8"/>
        <v>398</v>
      </c>
      <c r="AM7" s="55">
        <v>87</v>
      </c>
      <c r="AN7" s="55">
        <v>30</v>
      </c>
      <c r="AO7" s="55">
        <v>281</v>
      </c>
      <c r="AP7" s="55">
        <f t="shared" si="9"/>
        <v>322</v>
      </c>
      <c r="AQ7" s="55">
        <f>IFERROR(VLOOKUP(A7,[1]SIIMPLES!$A$2:$F$418,6,FALSE),0)</f>
        <v>285</v>
      </c>
      <c r="AR7" s="55">
        <v>37</v>
      </c>
      <c r="AS7" s="55">
        <v>76</v>
      </c>
      <c r="AT7" s="55">
        <v>0</v>
      </c>
      <c r="AU7" s="55">
        <v>46</v>
      </c>
      <c r="AV7" s="55">
        <v>30</v>
      </c>
      <c r="AW7" s="55"/>
      <c r="AX7" s="55"/>
      <c r="AY7" s="56">
        <f t="shared" si="10"/>
        <v>276.89999999999998</v>
      </c>
      <c r="AZ7" s="55"/>
      <c r="BA7" s="56">
        <v>466.33333333333331</v>
      </c>
      <c r="BB7" s="41">
        <f t="shared" si="11"/>
        <v>-0.40621872766261613</v>
      </c>
      <c r="BC7" s="7"/>
      <c r="BD7" s="35"/>
      <c r="BE7" s="13"/>
      <c r="BF7" s="16"/>
      <c r="BG7" s="17">
        <f t="shared" si="12"/>
        <v>0</v>
      </c>
      <c r="BH7" s="16">
        <f t="shared" si="13"/>
        <v>830.69999999999993</v>
      </c>
    </row>
    <row r="8" spans="1:60" s="21" customFormat="1" ht="12.75" customHeight="1" x14ac:dyDescent="0.2">
      <c r="A8" s="51">
        <v>332042</v>
      </c>
      <c r="B8" s="51" t="s">
        <v>1077</v>
      </c>
      <c r="C8" s="66" t="s">
        <v>1803</v>
      </c>
      <c r="D8" s="52" t="s">
        <v>728</v>
      </c>
      <c r="E8" s="65" t="s">
        <v>780</v>
      </c>
      <c r="F8" s="53">
        <f>IFERROR(VLOOKUP(E8,Fornecedores!$A$2:$B$2700,2,FALSE),"")</f>
        <v>2</v>
      </c>
      <c r="G8" s="52" t="s">
        <v>255</v>
      </c>
      <c r="H8" s="57"/>
      <c r="I8" s="55">
        <f t="shared" si="3"/>
        <v>22</v>
      </c>
      <c r="J8" s="55">
        <v>0</v>
      </c>
      <c r="K8" s="55">
        <v>11</v>
      </c>
      <c r="L8" s="55">
        <v>0</v>
      </c>
      <c r="M8" s="55">
        <v>11</v>
      </c>
      <c r="N8" s="55">
        <f t="shared" si="4"/>
        <v>57</v>
      </c>
      <c r="O8" s="55">
        <v>0</v>
      </c>
      <c r="P8" s="55">
        <v>7</v>
      </c>
      <c r="Q8" s="55">
        <v>50</v>
      </c>
      <c r="R8" s="55">
        <f t="shared" si="5"/>
        <v>10</v>
      </c>
      <c r="S8" s="55">
        <v>0</v>
      </c>
      <c r="T8" s="55">
        <v>10</v>
      </c>
      <c r="U8" s="55">
        <v>0</v>
      </c>
      <c r="V8" s="55">
        <v>5</v>
      </c>
      <c r="W8" s="53">
        <v>0</v>
      </c>
      <c r="X8" s="53">
        <v>5</v>
      </c>
      <c r="Y8" s="55">
        <v>0</v>
      </c>
      <c r="Z8" s="55">
        <v>2</v>
      </c>
      <c r="AA8" s="53">
        <v>0</v>
      </c>
      <c r="AB8" s="53">
        <v>2</v>
      </c>
      <c r="AC8" s="55">
        <v>0</v>
      </c>
      <c r="AD8" s="55">
        <f t="shared" si="6"/>
        <v>4</v>
      </c>
      <c r="AE8" s="53">
        <v>0</v>
      </c>
      <c r="AF8" s="55">
        <v>1</v>
      </c>
      <c r="AG8" s="55">
        <v>3</v>
      </c>
      <c r="AH8" s="55">
        <f t="shared" si="7"/>
        <v>34</v>
      </c>
      <c r="AI8" s="55">
        <v>0</v>
      </c>
      <c r="AJ8" s="55">
        <v>2</v>
      </c>
      <c r="AK8" s="55">
        <v>32</v>
      </c>
      <c r="AL8" s="55">
        <f t="shared" si="8"/>
        <v>0</v>
      </c>
      <c r="AM8" s="55" t="s">
        <v>1912</v>
      </c>
      <c r="AN8" s="55">
        <v>0</v>
      </c>
      <c r="AO8" s="55">
        <v>0</v>
      </c>
      <c r="AP8" s="55">
        <f t="shared" si="9"/>
        <v>169</v>
      </c>
      <c r="AQ8" s="55">
        <f>IFERROR(VLOOKUP(A8,[1]SIIMPLES!$A$2:$F$418,6,FALSE),0)</f>
        <v>169</v>
      </c>
      <c r="AR8" s="55">
        <v>0</v>
      </c>
      <c r="AS8" s="55">
        <v>1</v>
      </c>
      <c r="AT8" s="55">
        <v>0</v>
      </c>
      <c r="AU8" s="55">
        <v>1</v>
      </c>
      <c r="AV8" s="55">
        <v>0</v>
      </c>
      <c r="AW8" s="55"/>
      <c r="AX8" s="55"/>
      <c r="AY8" s="56">
        <f t="shared" si="10"/>
        <v>30.4</v>
      </c>
      <c r="AZ8" s="55"/>
      <c r="BA8" s="56">
        <v>10</v>
      </c>
      <c r="BB8" s="41">
        <f t="shared" si="11"/>
        <v>2.04</v>
      </c>
      <c r="BC8" s="7"/>
      <c r="BD8" s="35"/>
      <c r="BE8" s="13"/>
      <c r="BF8" s="16"/>
      <c r="BG8" s="17">
        <f t="shared" si="12"/>
        <v>0</v>
      </c>
      <c r="BH8" s="16">
        <f t="shared" si="13"/>
        <v>30.4</v>
      </c>
    </row>
    <row r="9" spans="1:60" s="21" customFormat="1" ht="12.75" customHeight="1" x14ac:dyDescent="0.2">
      <c r="A9" s="68" t="s">
        <v>1424</v>
      </c>
      <c r="B9" s="51"/>
      <c r="C9" s="66" t="s">
        <v>1803</v>
      </c>
      <c r="D9" s="52" t="s">
        <v>1226</v>
      </c>
      <c r="E9" s="52">
        <f>VLOOKUP(A9,[2]CMV!$A$1:$E$2043,5,FALSE)</f>
        <v>0</v>
      </c>
      <c r="F9" s="53" t="str">
        <f>IFERROR(VLOOKUP(E9,Fornecedores!$A$2:$B$2700,2,FALSE),"")</f>
        <v/>
      </c>
      <c r="G9" s="52">
        <f>VLOOKUP(A9,[2]CMV!$A$1:$F$2043,6,FALSE)</f>
        <v>0</v>
      </c>
      <c r="H9" s="57"/>
      <c r="I9" s="55">
        <f t="shared" si="3"/>
        <v>0</v>
      </c>
      <c r="J9" s="55">
        <v>0</v>
      </c>
      <c r="K9" s="55">
        <v>0</v>
      </c>
      <c r="L9" s="55">
        <v>0</v>
      </c>
      <c r="M9" s="55">
        <v>0</v>
      </c>
      <c r="N9" s="55">
        <f t="shared" si="4"/>
        <v>0</v>
      </c>
      <c r="O9" s="55">
        <v>0</v>
      </c>
      <c r="P9" s="55">
        <v>0</v>
      </c>
      <c r="Q9" s="55">
        <v>0</v>
      </c>
      <c r="R9" s="55">
        <f t="shared" si="5"/>
        <v>0</v>
      </c>
      <c r="S9" s="55">
        <v>0</v>
      </c>
      <c r="T9" s="55">
        <v>0</v>
      </c>
      <c r="U9" s="55">
        <v>0</v>
      </c>
      <c r="V9" s="55">
        <v>78</v>
      </c>
      <c r="W9" s="53">
        <v>0</v>
      </c>
      <c r="X9" s="53">
        <v>0</v>
      </c>
      <c r="Y9" s="55">
        <v>78</v>
      </c>
      <c r="Z9" s="55">
        <v>35</v>
      </c>
      <c r="AA9" s="53">
        <v>0</v>
      </c>
      <c r="AB9" s="53">
        <v>0</v>
      </c>
      <c r="AC9" s="55">
        <v>35</v>
      </c>
      <c r="AD9" s="55">
        <f t="shared" si="6"/>
        <v>96</v>
      </c>
      <c r="AE9" s="53">
        <v>0</v>
      </c>
      <c r="AF9" s="55">
        <v>0</v>
      </c>
      <c r="AG9" s="55">
        <v>96</v>
      </c>
      <c r="AH9" s="55">
        <f t="shared" si="7"/>
        <v>56</v>
      </c>
      <c r="AI9" s="55">
        <v>0</v>
      </c>
      <c r="AJ9" s="55">
        <v>0</v>
      </c>
      <c r="AK9" s="55">
        <v>56</v>
      </c>
      <c r="AL9" s="55">
        <f t="shared" si="8"/>
        <v>73</v>
      </c>
      <c r="AM9" s="55" t="s">
        <v>1912</v>
      </c>
      <c r="AN9" s="55">
        <v>0</v>
      </c>
      <c r="AO9" s="55">
        <v>73</v>
      </c>
      <c r="AP9" s="55">
        <f t="shared" si="9"/>
        <v>168</v>
      </c>
      <c r="AQ9" s="55">
        <f>IFERROR(VLOOKUP(A9,[1]SIIMPLES!$A$2:$F$418,6,FALSE),0)</f>
        <v>168</v>
      </c>
      <c r="AR9" s="55">
        <v>0</v>
      </c>
      <c r="AS9" s="55">
        <v>0</v>
      </c>
      <c r="AT9" s="55">
        <v>0</v>
      </c>
      <c r="AU9" s="55">
        <v>0</v>
      </c>
      <c r="AV9" s="55">
        <v>0</v>
      </c>
      <c r="AW9" s="57"/>
      <c r="AX9" s="55"/>
      <c r="AY9" s="56">
        <f t="shared" si="10"/>
        <v>50.6</v>
      </c>
      <c r="AZ9" s="55"/>
      <c r="BA9" s="56">
        <v>0</v>
      </c>
      <c r="BB9" s="41" t="str">
        <f t="shared" si="11"/>
        <v/>
      </c>
      <c r="BC9" s="13"/>
      <c r="BD9" s="35"/>
      <c r="BE9" s="13"/>
      <c r="BF9" s="16">
        <f>SUM(BC9:BE9)</f>
        <v>0</v>
      </c>
      <c r="BG9" s="17">
        <f t="shared" si="12"/>
        <v>0</v>
      </c>
      <c r="BH9" s="16">
        <f t="shared" si="13"/>
        <v>50.6</v>
      </c>
    </row>
    <row r="10" spans="1:60" s="21" customFormat="1" ht="12.75" customHeight="1" x14ac:dyDescent="0.2">
      <c r="A10" s="51">
        <v>332043</v>
      </c>
      <c r="B10" s="51" t="s">
        <v>1077</v>
      </c>
      <c r="C10" s="66" t="s">
        <v>1803</v>
      </c>
      <c r="D10" s="52" t="s">
        <v>728</v>
      </c>
      <c r="E10" s="65" t="s">
        <v>780</v>
      </c>
      <c r="F10" s="53">
        <f>IFERROR(VLOOKUP(E10,Fornecedores!$A$2:$B$2700,2,FALSE),"")</f>
        <v>2</v>
      </c>
      <c r="G10" s="52" t="s">
        <v>350</v>
      </c>
      <c r="H10" s="57"/>
      <c r="I10" s="55">
        <f t="shared" si="3"/>
        <v>22</v>
      </c>
      <c r="J10" s="55">
        <v>0</v>
      </c>
      <c r="K10" s="55">
        <v>11</v>
      </c>
      <c r="L10" s="55">
        <v>0</v>
      </c>
      <c r="M10" s="55">
        <v>11</v>
      </c>
      <c r="N10" s="55">
        <f t="shared" si="4"/>
        <v>57</v>
      </c>
      <c r="O10" s="55">
        <v>0</v>
      </c>
      <c r="P10" s="55">
        <v>7</v>
      </c>
      <c r="Q10" s="55">
        <v>50</v>
      </c>
      <c r="R10" s="55">
        <f t="shared" si="5"/>
        <v>10</v>
      </c>
      <c r="S10" s="55">
        <v>0</v>
      </c>
      <c r="T10" s="55">
        <v>10</v>
      </c>
      <c r="U10" s="55">
        <v>0</v>
      </c>
      <c r="V10" s="55">
        <v>5</v>
      </c>
      <c r="W10" s="53">
        <v>0</v>
      </c>
      <c r="X10" s="53">
        <v>5</v>
      </c>
      <c r="Y10" s="55">
        <v>0</v>
      </c>
      <c r="Z10" s="55">
        <v>2</v>
      </c>
      <c r="AA10" s="53">
        <v>0</v>
      </c>
      <c r="AB10" s="53">
        <v>2</v>
      </c>
      <c r="AC10" s="55">
        <v>0</v>
      </c>
      <c r="AD10" s="55">
        <f t="shared" si="6"/>
        <v>4</v>
      </c>
      <c r="AE10" s="53">
        <v>0</v>
      </c>
      <c r="AF10" s="55">
        <v>1</v>
      </c>
      <c r="AG10" s="55">
        <v>3</v>
      </c>
      <c r="AH10" s="55">
        <f t="shared" si="7"/>
        <v>8</v>
      </c>
      <c r="AI10" s="55">
        <v>0</v>
      </c>
      <c r="AJ10" s="55">
        <v>2</v>
      </c>
      <c r="AK10" s="55">
        <v>6</v>
      </c>
      <c r="AL10" s="55">
        <f t="shared" si="8"/>
        <v>0</v>
      </c>
      <c r="AM10" s="55" t="s">
        <v>1912</v>
      </c>
      <c r="AN10" s="55">
        <v>0</v>
      </c>
      <c r="AO10" s="55">
        <v>0</v>
      </c>
      <c r="AP10" s="55">
        <f t="shared" si="9"/>
        <v>149</v>
      </c>
      <c r="AQ10" s="55">
        <f>IFERROR(VLOOKUP(A10,[1]SIIMPLES!$A$2:$F$418,6,FALSE),0)</f>
        <v>149</v>
      </c>
      <c r="AR10" s="55">
        <v>0</v>
      </c>
      <c r="AS10" s="55">
        <v>26</v>
      </c>
      <c r="AT10" s="55">
        <v>25</v>
      </c>
      <c r="AU10" s="55">
        <v>1</v>
      </c>
      <c r="AV10" s="55">
        <v>0</v>
      </c>
      <c r="AW10" s="55"/>
      <c r="AX10" s="55"/>
      <c r="AY10" s="56">
        <f t="shared" si="10"/>
        <v>28.3</v>
      </c>
      <c r="AZ10" s="55"/>
      <c r="BA10" s="56">
        <v>10</v>
      </c>
      <c r="BB10" s="41">
        <f t="shared" si="11"/>
        <v>1.83</v>
      </c>
      <c r="BC10" s="7"/>
      <c r="BD10" s="35"/>
      <c r="BE10" s="13"/>
      <c r="BF10" s="16">
        <f>SUM(BC10:BE10)</f>
        <v>0</v>
      </c>
      <c r="BG10" s="17">
        <f t="shared" si="12"/>
        <v>0</v>
      </c>
      <c r="BH10" s="16">
        <f t="shared" si="13"/>
        <v>28.3</v>
      </c>
    </row>
    <row r="11" spans="1:60" s="21" customFormat="1" ht="12.75" customHeight="1" x14ac:dyDescent="0.2">
      <c r="A11" s="51" t="s">
        <v>289</v>
      </c>
      <c r="B11" s="51" t="s">
        <v>1077</v>
      </c>
      <c r="C11" s="66" t="s">
        <v>1803</v>
      </c>
      <c r="D11" s="65" t="s">
        <v>744</v>
      </c>
      <c r="E11" s="67" t="s">
        <v>727</v>
      </c>
      <c r="F11" s="53">
        <f>IFERROR(VLOOKUP(E11,Fornecedores!$A$2:$B$2700,2,FALSE),"")</f>
        <v>1</v>
      </c>
      <c r="G11" s="52" t="s">
        <v>290</v>
      </c>
      <c r="H11" s="54"/>
      <c r="I11" s="55">
        <f t="shared" si="3"/>
        <v>209</v>
      </c>
      <c r="J11" s="55">
        <v>29</v>
      </c>
      <c r="K11" s="55">
        <v>166</v>
      </c>
      <c r="L11" s="55">
        <v>0</v>
      </c>
      <c r="M11" s="55">
        <v>14</v>
      </c>
      <c r="N11" s="55">
        <f t="shared" si="4"/>
        <v>187</v>
      </c>
      <c r="O11" s="55">
        <v>11</v>
      </c>
      <c r="P11" s="55">
        <v>166</v>
      </c>
      <c r="Q11" s="55">
        <v>10</v>
      </c>
      <c r="R11" s="55">
        <f t="shared" si="5"/>
        <v>293</v>
      </c>
      <c r="S11" s="55">
        <v>23</v>
      </c>
      <c r="T11" s="55">
        <v>242</v>
      </c>
      <c r="U11" s="55">
        <v>28</v>
      </c>
      <c r="V11" s="55">
        <v>312</v>
      </c>
      <c r="W11" s="53">
        <v>50</v>
      </c>
      <c r="X11" s="53">
        <v>232</v>
      </c>
      <c r="Y11" s="55">
        <v>30</v>
      </c>
      <c r="Z11" s="55">
        <v>347</v>
      </c>
      <c r="AA11" s="53">
        <v>25</v>
      </c>
      <c r="AB11" s="53">
        <v>292</v>
      </c>
      <c r="AC11" s="55">
        <v>30</v>
      </c>
      <c r="AD11" s="55">
        <f t="shared" si="6"/>
        <v>286</v>
      </c>
      <c r="AE11" s="53">
        <v>24</v>
      </c>
      <c r="AF11" s="55">
        <v>248</v>
      </c>
      <c r="AG11" s="55">
        <v>14</v>
      </c>
      <c r="AH11" s="55">
        <f t="shared" si="7"/>
        <v>291</v>
      </c>
      <c r="AI11" s="55">
        <v>44</v>
      </c>
      <c r="AJ11" s="55">
        <v>230</v>
      </c>
      <c r="AK11" s="55">
        <v>17</v>
      </c>
      <c r="AL11" s="55">
        <f t="shared" si="8"/>
        <v>256</v>
      </c>
      <c r="AM11" s="55">
        <v>30</v>
      </c>
      <c r="AN11" s="55">
        <v>188</v>
      </c>
      <c r="AO11" s="55">
        <v>38</v>
      </c>
      <c r="AP11" s="55">
        <f t="shared" si="9"/>
        <v>148</v>
      </c>
      <c r="AQ11" s="55">
        <f>IFERROR(VLOOKUP(A11,[1]SIIMPLES!$A$2:$F$418,6,FALSE),0)</f>
        <v>22</v>
      </c>
      <c r="AR11" s="55">
        <v>126</v>
      </c>
      <c r="AS11" s="55">
        <v>186</v>
      </c>
      <c r="AT11" s="55">
        <v>6</v>
      </c>
      <c r="AU11" s="55">
        <v>160</v>
      </c>
      <c r="AV11" s="55">
        <v>20</v>
      </c>
      <c r="AW11" s="55"/>
      <c r="AX11" s="55"/>
      <c r="AY11" s="56">
        <f t="shared" si="10"/>
        <v>251.5</v>
      </c>
      <c r="AZ11" s="55"/>
      <c r="BA11" s="56">
        <v>236</v>
      </c>
      <c r="BB11" s="41">
        <f t="shared" si="11"/>
        <v>6.5677966101694851E-2</v>
      </c>
      <c r="BC11" s="7"/>
      <c r="BD11" s="35"/>
      <c r="BE11" s="13"/>
      <c r="BF11" s="16"/>
      <c r="BG11" s="17">
        <f t="shared" si="12"/>
        <v>0</v>
      </c>
      <c r="BH11" s="16">
        <f t="shared" si="13"/>
        <v>754.5</v>
      </c>
    </row>
    <row r="12" spans="1:60" s="21" customFormat="1" ht="12.75" customHeight="1" x14ac:dyDescent="0.2">
      <c r="A12" s="51">
        <v>112005</v>
      </c>
      <c r="B12" s="51" t="s">
        <v>1077</v>
      </c>
      <c r="C12" s="66" t="s">
        <v>1803</v>
      </c>
      <c r="D12" s="52" t="s">
        <v>728</v>
      </c>
      <c r="E12" s="65" t="s">
        <v>780</v>
      </c>
      <c r="F12" s="53">
        <f>IFERROR(VLOOKUP(E12,Fornecedores!$A$2:$B$2700,2,FALSE),"")</f>
        <v>2</v>
      </c>
      <c r="G12" s="52" t="s">
        <v>850</v>
      </c>
      <c r="H12" s="57"/>
      <c r="I12" s="55">
        <f t="shared" si="3"/>
        <v>116</v>
      </c>
      <c r="J12" s="55">
        <v>16</v>
      </c>
      <c r="K12" s="55">
        <v>48</v>
      </c>
      <c r="L12" s="55">
        <v>0</v>
      </c>
      <c r="M12" s="55">
        <v>52</v>
      </c>
      <c r="N12" s="55">
        <f t="shared" si="4"/>
        <v>532</v>
      </c>
      <c r="O12" s="55">
        <v>6</v>
      </c>
      <c r="P12" s="55">
        <v>44</v>
      </c>
      <c r="Q12" s="55">
        <v>482</v>
      </c>
      <c r="R12" s="55">
        <f t="shared" si="5"/>
        <v>43</v>
      </c>
      <c r="S12" s="55">
        <v>1</v>
      </c>
      <c r="T12" s="55">
        <v>32</v>
      </c>
      <c r="U12" s="55">
        <v>10</v>
      </c>
      <c r="V12" s="55">
        <v>91</v>
      </c>
      <c r="W12" s="53">
        <v>5</v>
      </c>
      <c r="X12" s="53">
        <v>16</v>
      </c>
      <c r="Y12" s="55">
        <v>70</v>
      </c>
      <c r="Z12" s="55">
        <v>97</v>
      </c>
      <c r="AA12" s="53">
        <v>1</v>
      </c>
      <c r="AB12" s="53">
        <v>26</v>
      </c>
      <c r="AC12" s="55">
        <v>70</v>
      </c>
      <c r="AD12" s="55">
        <f t="shared" si="6"/>
        <v>156</v>
      </c>
      <c r="AE12" s="53">
        <v>11</v>
      </c>
      <c r="AF12" s="55">
        <v>45</v>
      </c>
      <c r="AG12" s="55">
        <v>100</v>
      </c>
      <c r="AH12" s="55">
        <f t="shared" si="7"/>
        <v>507</v>
      </c>
      <c r="AI12" s="55">
        <v>1</v>
      </c>
      <c r="AJ12" s="55">
        <v>48</v>
      </c>
      <c r="AK12" s="55">
        <v>458</v>
      </c>
      <c r="AL12" s="55">
        <f t="shared" si="8"/>
        <v>89</v>
      </c>
      <c r="AM12" s="55">
        <v>7</v>
      </c>
      <c r="AN12" s="55">
        <v>32</v>
      </c>
      <c r="AO12" s="55">
        <v>50</v>
      </c>
      <c r="AP12" s="55">
        <f t="shared" si="9"/>
        <v>118</v>
      </c>
      <c r="AQ12" s="55">
        <f>IFERROR(VLOOKUP(A12,[1]SIIMPLES!$A$2:$F$418,6,FALSE),0)</f>
        <v>82</v>
      </c>
      <c r="AR12" s="55">
        <v>36</v>
      </c>
      <c r="AS12" s="55">
        <v>257</v>
      </c>
      <c r="AT12" s="55">
        <v>30</v>
      </c>
      <c r="AU12" s="55">
        <v>18</v>
      </c>
      <c r="AV12" s="55">
        <v>209</v>
      </c>
      <c r="AW12" s="55"/>
      <c r="AX12" s="55"/>
      <c r="AY12" s="56">
        <f t="shared" si="10"/>
        <v>200.6</v>
      </c>
      <c r="AZ12" s="55"/>
      <c r="BA12" s="56">
        <v>86</v>
      </c>
      <c r="BB12" s="41">
        <f t="shared" si="11"/>
        <v>1.3325581395348838</v>
      </c>
      <c r="BC12" s="7"/>
      <c r="BD12" s="35"/>
      <c r="BE12" s="13"/>
      <c r="BF12" s="16">
        <f>SUM(BC12:BE12)</f>
        <v>0</v>
      </c>
      <c r="BG12" s="17">
        <f t="shared" si="12"/>
        <v>0</v>
      </c>
      <c r="BH12" s="16">
        <f>ROUND(IFERROR(IF(F12=1,IF(BC12&lt;AY12*3,AY12*3-BC12,0),IF(BC12&lt;AY12,AY12*0.6-BC12,0)),""),0)</f>
        <v>120</v>
      </c>
    </row>
    <row r="13" spans="1:60" s="21" customFormat="1" ht="12.75" customHeight="1" x14ac:dyDescent="0.2">
      <c r="A13" s="51">
        <v>14104</v>
      </c>
      <c r="B13" s="51" t="s">
        <v>1077</v>
      </c>
      <c r="C13" s="66" t="s">
        <v>1803</v>
      </c>
      <c r="D13" s="52" t="s">
        <v>749</v>
      </c>
      <c r="E13" s="52" t="s">
        <v>750</v>
      </c>
      <c r="F13" s="53">
        <f>IFERROR(VLOOKUP(E13,Fornecedores!$A$2:$B$2700,2,FALSE),"")</f>
        <v>4</v>
      </c>
      <c r="G13" s="52" t="s">
        <v>572</v>
      </c>
      <c r="H13" s="54"/>
      <c r="I13" s="55">
        <f t="shared" si="3"/>
        <v>121</v>
      </c>
      <c r="J13" s="55">
        <v>13</v>
      </c>
      <c r="K13" s="55">
        <v>108</v>
      </c>
      <c r="L13" s="55">
        <v>0</v>
      </c>
      <c r="M13" s="55">
        <v>0</v>
      </c>
      <c r="N13" s="55">
        <f t="shared" si="4"/>
        <v>90</v>
      </c>
      <c r="O13" s="55">
        <v>20</v>
      </c>
      <c r="P13" s="55">
        <v>70</v>
      </c>
      <c r="Q13" s="55">
        <v>0</v>
      </c>
      <c r="R13" s="55">
        <f t="shared" si="5"/>
        <v>61</v>
      </c>
      <c r="S13" s="55">
        <v>19</v>
      </c>
      <c r="T13" s="55">
        <v>36</v>
      </c>
      <c r="U13" s="55">
        <v>6</v>
      </c>
      <c r="V13" s="55">
        <v>129</v>
      </c>
      <c r="W13" s="53">
        <v>45</v>
      </c>
      <c r="X13" s="53">
        <v>84</v>
      </c>
      <c r="Y13" s="55">
        <v>0</v>
      </c>
      <c r="Z13" s="55">
        <v>87</v>
      </c>
      <c r="AA13" s="53">
        <v>15</v>
      </c>
      <c r="AB13" s="53">
        <v>72</v>
      </c>
      <c r="AC13" s="55">
        <v>0</v>
      </c>
      <c r="AD13" s="55">
        <f t="shared" si="6"/>
        <v>79</v>
      </c>
      <c r="AE13" s="53">
        <v>27</v>
      </c>
      <c r="AF13" s="55">
        <v>52</v>
      </c>
      <c r="AG13" s="55">
        <v>0</v>
      </c>
      <c r="AH13" s="55">
        <f t="shared" si="7"/>
        <v>45</v>
      </c>
      <c r="AI13" s="55">
        <v>9</v>
      </c>
      <c r="AJ13" s="55">
        <v>26</v>
      </c>
      <c r="AK13" s="55">
        <v>10</v>
      </c>
      <c r="AL13" s="55">
        <f t="shared" si="8"/>
        <v>102</v>
      </c>
      <c r="AM13" s="55">
        <v>30</v>
      </c>
      <c r="AN13" s="55">
        <v>72</v>
      </c>
      <c r="AO13" s="55">
        <v>0</v>
      </c>
      <c r="AP13" s="55">
        <f t="shared" si="9"/>
        <v>95</v>
      </c>
      <c r="AQ13" s="55">
        <f>IFERROR(VLOOKUP(A13,[1]SIIMPLES!$A$2:$F$418,6,FALSE),0)</f>
        <v>41</v>
      </c>
      <c r="AR13" s="55">
        <v>54</v>
      </c>
      <c r="AS13" s="55">
        <v>136</v>
      </c>
      <c r="AT13" s="55">
        <v>66</v>
      </c>
      <c r="AU13" s="55">
        <v>70</v>
      </c>
      <c r="AV13" s="55">
        <v>0</v>
      </c>
      <c r="AW13" s="55"/>
      <c r="AX13" s="55"/>
      <c r="AY13" s="56">
        <f t="shared" si="10"/>
        <v>94.5</v>
      </c>
      <c r="AZ13" s="55"/>
      <c r="BA13" s="56">
        <v>132.66666666666666</v>
      </c>
      <c r="BB13" s="41">
        <f t="shared" si="11"/>
        <v>-0.28768844221105527</v>
      </c>
      <c r="BC13" s="7"/>
      <c r="BD13" s="35"/>
      <c r="BE13" s="13"/>
      <c r="BF13" s="16"/>
      <c r="BG13" s="17">
        <f t="shared" si="12"/>
        <v>0</v>
      </c>
      <c r="BH13" s="16">
        <f t="shared" ref="BH13:BH18" si="14">IFERROR(IF(F13=1,IF(BC13&lt;AY13*3,AY13*3-BC13,0),IF(BC13&lt;AY13,AY13-BC13,0)),"")</f>
        <v>94.5</v>
      </c>
    </row>
    <row r="14" spans="1:60" s="21" customFormat="1" ht="12.75" customHeight="1" x14ac:dyDescent="0.2">
      <c r="A14" s="51">
        <v>77354</v>
      </c>
      <c r="B14" s="51"/>
      <c r="C14" s="66" t="s">
        <v>1803</v>
      </c>
      <c r="D14" s="65" t="s">
        <v>737</v>
      </c>
      <c r="E14" s="67" t="s">
        <v>727</v>
      </c>
      <c r="F14" s="53">
        <f>IFERROR(VLOOKUP(E14,Fornecedores!$A$2:$B$2700,2,FALSE),"")</f>
        <v>1</v>
      </c>
      <c r="G14" s="52" t="s">
        <v>453</v>
      </c>
      <c r="H14" s="54"/>
      <c r="I14" s="55">
        <f t="shared" si="3"/>
        <v>92</v>
      </c>
      <c r="J14" s="55">
        <v>40</v>
      </c>
      <c r="K14" s="55">
        <v>2</v>
      </c>
      <c r="L14" s="55">
        <v>50</v>
      </c>
      <c r="M14" s="55">
        <v>0</v>
      </c>
      <c r="N14" s="55">
        <f t="shared" si="4"/>
        <v>67</v>
      </c>
      <c r="O14" s="55">
        <v>41</v>
      </c>
      <c r="P14" s="55">
        <v>1</v>
      </c>
      <c r="Q14" s="55">
        <v>25</v>
      </c>
      <c r="R14" s="55">
        <f t="shared" si="5"/>
        <v>100</v>
      </c>
      <c r="S14" s="55">
        <v>75</v>
      </c>
      <c r="T14" s="55">
        <v>4</v>
      </c>
      <c r="U14" s="55">
        <v>21</v>
      </c>
      <c r="V14" s="55">
        <v>119</v>
      </c>
      <c r="W14" s="53">
        <v>87</v>
      </c>
      <c r="X14" s="53">
        <v>2</v>
      </c>
      <c r="Y14" s="55">
        <v>30</v>
      </c>
      <c r="Z14" s="55">
        <v>35</v>
      </c>
      <c r="AA14" s="53">
        <v>35</v>
      </c>
      <c r="AB14" s="53">
        <v>0</v>
      </c>
      <c r="AC14" s="55">
        <v>0</v>
      </c>
      <c r="AD14" s="55">
        <f t="shared" si="6"/>
        <v>37</v>
      </c>
      <c r="AE14" s="53">
        <v>37</v>
      </c>
      <c r="AF14" s="55">
        <v>0</v>
      </c>
      <c r="AG14" s="55">
        <v>0</v>
      </c>
      <c r="AH14" s="55">
        <f t="shared" si="7"/>
        <v>11</v>
      </c>
      <c r="AI14" s="55">
        <v>11</v>
      </c>
      <c r="AJ14" s="55">
        <v>0</v>
      </c>
      <c r="AK14" s="55">
        <v>0</v>
      </c>
      <c r="AL14" s="55">
        <f t="shared" si="8"/>
        <v>59</v>
      </c>
      <c r="AM14" s="55">
        <v>42</v>
      </c>
      <c r="AN14" s="55">
        <v>3</v>
      </c>
      <c r="AO14" s="55">
        <v>14</v>
      </c>
      <c r="AP14" s="55">
        <f t="shared" si="9"/>
        <v>83</v>
      </c>
      <c r="AQ14" s="55">
        <f>IFERROR(VLOOKUP(A14,[1]SIIMPLES!$A$2:$F$418,6,FALSE),0)</f>
        <v>73</v>
      </c>
      <c r="AR14" s="55">
        <v>10</v>
      </c>
      <c r="AS14" s="55">
        <v>75</v>
      </c>
      <c r="AT14" s="55">
        <v>61</v>
      </c>
      <c r="AU14" s="55">
        <v>14</v>
      </c>
      <c r="AV14" s="55">
        <v>0</v>
      </c>
      <c r="AW14" s="55"/>
      <c r="AX14" s="55"/>
      <c r="AY14" s="56">
        <f t="shared" si="10"/>
        <v>67.8</v>
      </c>
      <c r="AZ14" s="55"/>
      <c r="BA14" s="56">
        <v>5</v>
      </c>
      <c r="BB14" s="41">
        <f t="shared" si="11"/>
        <v>12.559999999999999</v>
      </c>
      <c r="BC14" s="7"/>
      <c r="BD14" s="35"/>
      <c r="BE14" s="13"/>
      <c r="BF14" s="16"/>
      <c r="BG14" s="17">
        <f t="shared" si="12"/>
        <v>0</v>
      </c>
      <c r="BH14" s="16">
        <f t="shared" si="14"/>
        <v>203.39999999999998</v>
      </c>
    </row>
    <row r="15" spans="1:60" s="21" customFormat="1" ht="12.75" customHeight="1" x14ac:dyDescent="0.2">
      <c r="A15" s="51">
        <v>10107</v>
      </c>
      <c r="B15" s="51" t="s">
        <v>1077</v>
      </c>
      <c r="C15" s="66" t="s">
        <v>1803</v>
      </c>
      <c r="D15" s="52" t="s">
        <v>754</v>
      </c>
      <c r="E15" s="52" t="s">
        <v>741</v>
      </c>
      <c r="F15" s="53">
        <f>IFERROR(VLOOKUP(E15,Fornecedores!$A$2:$B$2700,2,FALSE),"")</f>
        <v>7</v>
      </c>
      <c r="G15" s="52" t="s">
        <v>587</v>
      </c>
      <c r="H15" s="54"/>
      <c r="I15" s="55">
        <f t="shared" si="3"/>
        <v>65</v>
      </c>
      <c r="J15" s="55">
        <v>65</v>
      </c>
      <c r="K15" s="55">
        <v>0</v>
      </c>
      <c r="L15" s="55">
        <v>0</v>
      </c>
      <c r="M15" s="55">
        <v>0</v>
      </c>
      <c r="N15" s="55">
        <f t="shared" si="4"/>
        <v>77</v>
      </c>
      <c r="O15" s="55">
        <v>77</v>
      </c>
      <c r="P15" s="55">
        <v>0</v>
      </c>
      <c r="Q15" s="55">
        <v>0</v>
      </c>
      <c r="R15" s="55">
        <f t="shared" si="5"/>
        <v>67</v>
      </c>
      <c r="S15" s="55">
        <v>67</v>
      </c>
      <c r="T15" s="55">
        <v>0</v>
      </c>
      <c r="U15" s="55">
        <v>0</v>
      </c>
      <c r="V15" s="55">
        <v>89</v>
      </c>
      <c r="W15" s="53">
        <v>89</v>
      </c>
      <c r="X15" s="53">
        <v>0</v>
      </c>
      <c r="Y15" s="55">
        <v>0</v>
      </c>
      <c r="Z15" s="55">
        <v>72</v>
      </c>
      <c r="AA15" s="53">
        <v>72</v>
      </c>
      <c r="AB15" s="53">
        <v>0</v>
      </c>
      <c r="AC15" s="55">
        <v>0</v>
      </c>
      <c r="AD15" s="55">
        <f t="shared" si="6"/>
        <v>49</v>
      </c>
      <c r="AE15" s="53">
        <v>49</v>
      </c>
      <c r="AF15" s="55">
        <v>0</v>
      </c>
      <c r="AG15" s="55">
        <v>0</v>
      </c>
      <c r="AH15" s="55">
        <f t="shared" si="7"/>
        <v>53</v>
      </c>
      <c r="AI15" s="55">
        <v>53</v>
      </c>
      <c r="AJ15" s="55">
        <v>0</v>
      </c>
      <c r="AK15" s="55">
        <v>0</v>
      </c>
      <c r="AL15" s="55">
        <f t="shared" si="8"/>
        <v>40</v>
      </c>
      <c r="AM15" s="55">
        <v>40</v>
      </c>
      <c r="AN15" s="55">
        <v>0</v>
      </c>
      <c r="AO15" s="55">
        <v>0</v>
      </c>
      <c r="AP15" s="55">
        <f t="shared" si="9"/>
        <v>77</v>
      </c>
      <c r="AQ15" s="55">
        <f>IFERROR(VLOOKUP(A15,[1]SIIMPLES!$A$2:$F$418,6,FALSE),0)</f>
        <v>77</v>
      </c>
      <c r="AR15" s="55">
        <v>0</v>
      </c>
      <c r="AS15" s="55">
        <v>0</v>
      </c>
      <c r="AT15" s="55">
        <v>0</v>
      </c>
      <c r="AU15" s="55">
        <v>0</v>
      </c>
      <c r="AV15" s="55">
        <v>0</v>
      </c>
      <c r="AW15" s="55"/>
      <c r="AX15" s="55"/>
      <c r="AY15" s="56">
        <f t="shared" si="10"/>
        <v>58.9</v>
      </c>
      <c r="AZ15" s="55"/>
      <c r="BA15" s="56">
        <v>94.333333333333329</v>
      </c>
      <c r="BB15" s="41">
        <f t="shared" si="11"/>
        <v>-0.37561837455830382</v>
      </c>
      <c r="BC15" s="7"/>
      <c r="BD15" s="35"/>
      <c r="BE15" s="13"/>
      <c r="BF15" s="16"/>
      <c r="BG15" s="17">
        <f t="shared" si="12"/>
        <v>0</v>
      </c>
      <c r="BH15" s="16">
        <f t="shared" si="14"/>
        <v>58.9</v>
      </c>
    </row>
    <row r="16" spans="1:60" s="21" customFormat="1" ht="12.75" customHeight="1" x14ac:dyDescent="0.2">
      <c r="A16" s="68">
        <v>300621</v>
      </c>
      <c r="B16" s="51"/>
      <c r="C16" s="66" t="str">
        <f>VLOOKUP(A16,[2]CMV!$A$1:$B$2115,2,FALSE)</f>
        <v>MOTO PEÇAS</v>
      </c>
      <c r="D16" s="52" t="str">
        <f>VLOOKUP(A16,[2]CMV!$A$1:$C$2115,3,FALSE)</f>
        <v>ÓLEO MOTOR</v>
      </c>
      <c r="E16" s="52" t="str">
        <f>VLOOKUP(A16,[2]CMV!$A$1:$E$2115,5,FALSE)</f>
        <v>SAKAMOTO</v>
      </c>
      <c r="F16" s="53"/>
      <c r="G16" s="67" t="str">
        <f>VLOOKUP(A16,[2]CMV!$A$1:$F$2115,6,FALSE)</f>
        <v>OLEO DE MOBIL 10W30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5">
        <f t="shared" si="6"/>
        <v>24</v>
      </c>
      <c r="AE16" s="57"/>
      <c r="AF16" s="57"/>
      <c r="AG16" s="55">
        <v>24</v>
      </c>
      <c r="AH16" s="55">
        <f t="shared" si="7"/>
        <v>39</v>
      </c>
      <c r="AI16" s="55">
        <v>0</v>
      </c>
      <c r="AJ16" s="55">
        <v>0</v>
      </c>
      <c r="AK16" s="55">
        <v>39</v>
      </c>
      <c r="AL16" s="55">
        <f t="shared" si="8"/>
        <v>50</v>
      </c>
      <c r="AM16" s="55" t="s">
        <v>1912</v>
      </c>
      <c r="AN16" s="55">
        <v>0</v>
      </c>
      <c r="AO16" s="55">
        <v>50</v>
      </c>
      <c r="AP16" s="55">
        <f t="shared" si="9"/>
        <v>75</v>
      </c>
      <c r="AQ16" s="55">
        <f>IFERROR(VLOOKUP(A16,[1]SIIMPLES!$A$2:$F$418,6,FALSE),0)</f>
        <v>75</v>
      </c>
      <c r="AR16" s="55">
        <v>0</v>
      </c>
      <c r="AS16" s="55">
        <v>61</v>
      </c>
      <c r="AT16" s="55">
        <v>0</v>
      </c>
      <c r="AU16" s="55">
        <v>0</v>
      </c>
      <c r="AV16" s="55">
        <v>61</v>
      </c>
      <c r="AW16" s="57"/>
      <c r="AX16" s="57"/>
      <c r="AY16" s="56">
        <f t="shared" si="10"/>
        <v>49.8</v>
      </c>
      <c r="AZ16" s="57"/>
      <c r="BA16" s="57"/>
      <c r="BB16" s="41">
        <f>1-BA16/AY16</f>
        <v>1</v>
      </c>
      <c r="BC16" s="13"/>
      <c r="BD16" s="35"/>
      <c r="BE16" s="13"/>
      <c r="BF16" s="16"/>
      <c r="BG16" s="17">
        <f t="shared" si="12"/>
        <v>0</v>
      </c>
      <c r="BH16" s="16">
        <f t="shared" si="14"/>
        <v>49.8</v>
      </c>
    </row>
    <row r="17" spans="1:60" s="21" customFormat="1" ht="12.75" customHeight="1" x14ac:dyDescent="0.2">
      <c r="A17" s="68">
        <v>300620</v>
      </c>
      <c r="B17" s="51"/>
      <c r="C17" s="66" t="str">
        <f>VLOOKUP(A17,[2]CMV!$A$1:$B$2115,2,FALSE)</f>
        <v>MOTO PEÇAS</v>
      </c>
      <c r="D17" s="52" t="str">
        <f>VLOOKUP(A17,[2]CMV!$A$1:$C$2115,3,FALSE)</f>
        <v>ÓLEO MOTOR</v>
      </c>
      <c r="E17" s="52" t="str">
        <f>VLOOKUP(A17,[2]CMV!$A$1:$E$2115,5,FALSE)</f>
        <v>SAKAMOTO</v>
      </c>
      <c r="F17" s="53"/>
      <c r="G17" s="67" t="str">
        <f>VLOOKUP(A17,[2]CMV!$A$1:$F$2115,6,FALSE)</f>
        <v>OLEO DE MOBIL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5">
        <f t="shared" si="6"/>
        <v>37</v>
      </c>
      <c r="AE17" s="57"/>
      <c r="AF17" s="57"/>
      <c r="AG17" s="55">
        <v>37</v>
      </c>
      <c r="AH17" s="55">
        <f t="shared" si="7"/>
        <v>67</v>
      </c>
      <c r="AI17" s="55">
        <v>0</v>
      </c>
      <c r="AJ17" s="55">
        <v>0</v>
      </c>
      <c r="AK17" s="55">
        <v>67</v>
      </c>
      <c r="AL17" s="55">
        <f t="shared" si="8"/>
        <v>37</v>
      </c>
      <c r="AM17" s="55" t="s">
        <v>1912</v>
      </c>
      <c r="AN17" s="55">
        <v>0</v>
      </c>
      <c r="AO17" s="55">
        <v>37</v>
      </c>
      <c r="AP17" s="55">
        <f t="shared" si="9"/>
        <v>74</v>
      </c>
      <c r="AQ17" s="55">
        <f>IFERROR(VLOOKUP(A17,[1]SIIMPLES!$A$2:$F$418,6,FALSE),0)</f>
        <v>74</v>
      </c>
      <c r="AR17" s="55">
        <v>0</v>
      </c>
      <c r="AS17" s="55">
        <v>51</v>
      </c>
      <c r="AT17" s="55">
        <v>0</v>
      </c>
      <c r="AU17" s="55">
        <v>0</v>
      </c>
      <c r="AV17" s="55">
        <v>51</v>
      </c>
      <c r="AW17" s="57"/>
      <c r="AX17" s="57"/>
      <c r="AY17" s="56">
        <f t="shared" si="10"/>
        <v>53.2</v>
      </c>
      <c r="AZ17" s="57"/>
      <c r="BA17" s="57"/>
      <c r="BB17" s="41">
        <f>1-BA17/AY17</f>
        <v>1</v>
      </c>
      <c r="BC17" s="13"/>
      <c r="BD17" s="35"/>
      <c r="BE17" s="13"/>
      <c r="BF17" s="16"/>
      <c r="BG17" s="17">
        <f t="shared" si="12"/>
        <v>0</v>
      </c>
      <c r="BH17" s="16">
        <f t="shared" si="14"/>
        <v>53.2</v>
      </c>
    </row>
    <row r="18" spans="1:60" s="21" customFormat="1" ht="12.75" customHeight="1" x14ac:dyDescent="0.2">
      <c r="A18" s="51">
        <v>2278</v>
      </c>
      <c r="B18" s="51" t="s">
        <v>1077</v>
      </c>
      <c r="C18" s="66" t="s">
        <v>1803</v>
      </c>
      <c r="D18" s="52" t="s">
        <v>767</v>
      </c>
      <c r="E18" s="52" t="s">
        <v>730</v>
      </c>
      <c r="F18" s="53">
        <f>IFERROR(VLOOKUP(E18,Fornecedores!$A$2:$B$2700,2,FALSE),"")</f>
        <v>3</v>
      </c>
      <c r="G18" s="52" t="s">
        <v>470</v>
      </c>
      <c r="H18" s="54"/>
      <c r="I18" s="55">
        <f t="shared" ref="I18:I23" si="15">SUM(J18:M18)</f>
        <v>53</v>
      </c>
      <c r="J18" s="55">
        <v>3</v>
      </c>
      <c r="K18" s="55">
        <v>50</v>
      </c>
      <c r="L18" s="55">
        <v>0</v>
      </c>
      <c r="M18" s="55">
        <v>0</v>
      </c>
      <c r="N18" s="55">
        <f t="shared" ref="N18:N23" si="16">SUM(O18:Q18)</f>
        <v>28</v>
      </c>
      <c r="O18" s="55">
        <v>0</v>
      </c>
      <c r="P18" s="55">
        <v>28</v>
      </c>
      <c r="Q18" s="55">
        <v>0</v>
      </c>
      <c r="R18" s="55">
        <f t="shared" ref="R18:R23" si="17">SUM(S18:U18)</f>
        <v>56</v>
      </c>
      <c r="S18" s="55">
        <v>0</v>
      </c>
      <c r="T18" s="55">
        <v>56</v>
      </c>
      <c r="U18" s="55">
        <v>0</v>
      </c>
      <c r="V18" s="55">
        <v>90</v>
      </c>
      <c r="W18" s="53">
        <v>0</v>
      </c>
      <c r="X18" s="53">
        <v>90</v>
      </c>
      <c r="Y18" s="55">
        <v>0</v>
      </c>
      <c r="Z18" s="55">
        <v>136</v>
      </c>
      <c r="AA18" s="53">
        <v>0</v>
      </c>
      <c r="AB18" s="53">
        <v>136</v>
      </c>
      <c r="AC18" s="55">
        <v>0</v>
      </c>
      <c r="AD18" s="55">
        <f t="shared" si="6"/>
        <v>105</v>
      </c>
      <c r="AE18" s="53">
        <v>1</v>
      </c>
      <c r="AF18" s="55">
        <v>104</v>
      </c>
      <c r="AG18" s="55">
        <v>0</v>
      </c>
      <c r="AH18" s="55">
        <f t="shared" si="7"/>
        <v>104</v>
      </c>
      <c r="AI18" s="55">
        <v>0</v>
      </c>
      <c r="AJ18" s="55">
        <v>104</v>
      </c>
      <c r="AK18" s="55">
        <v>0</v>
      </c>
      <c r="AL18" s="55">
        <f t="shared" si="8"/>
        <v>94</v>
      </c>
      <c r="AM18" s="55" t="s">
        <v>1912</v>
      </c>
      <c r="AN18" s="55">
        <v>94</v>
      </c>
      <c r="AO18" s="55">
        <v>0</v>
      </c>
      <c r="AP18" s="55">
        <f t="shared" si="9"/>
        <v>70</v>
      </c>
      <c r="AQ18" s="55">
        <f>IFERROR(VLOOKUP(A18,[1]SIIMPLES!$A$2:$F$418,6,FALSE),0)</f>
        <v>0</v>
      </c>
      <c r="AR18" s="55">
        <v>70</v>
      </c>
      <c r="AS18" s="55">
        <v>74</v>
      </c>
      <c r="AT18" s="55">
        <v>0</v>
      </c>
      <c r="AU18" s="55">
        <v>74</v>
      </c>
      <c r="AV18" s="55">
        <v>0</v>
      </c>
      <c r="AW18" s="55"/>
      <c r="AX18" s="55"/>
      <c r="AY18" s="56">
        <f t="shared" si="10"/>
        <v>81</v>
      </c>
      <c r="AZ18" s="55"/>
      <c r="BA18" s="56">
        <v>82</v>
      </c>
      <c r="BB18" s="41">
        <f>1-BA18/AY18</f>
        <v>-1.2345679012345734E-2</v>
      </c>
      <c r="BC18" s="13"/>
      <c r="BD18" s="35"/>
      <c r="BE18" s="13"/>
      <c r="BF18" s="16"/>
      <c r="BG18" s="17">
        <f t="shared" si="12"/>
        <v>0</v>
      </c>
      <c r="BH18" s="16">
        <f t="shared" si="14"/>
        <v>81</v>
      </c>
    </row>
    <row r="19" spans="1:60" s="21" customFormat="1" ht="12.75" customHeight="1" x14ac:dyDescent="0.2">
      <c r="A19" s="51">
        <v>332057</v>
      </c>
      <c r="B19" s="51" t="s">
        <v>1077</v>
      </c>
      <c r="C19" s="66" t="s">
        <v>1803</v>
      </c>
      <c r="D19" s="52" t="s">
        <v>728</v>
      </c>
      <c r="E19" s="65" t="s">
        <v>780</v>
      </c>
      <c r="F19" s="53">
        <f>IFERROR(VLOOKUP(E19,Fornecedores!$A$2:$B$2700,2,FALSE),"")</f>
        <v>2</v>
      </c>
      <c r="G19" s="52" t="s">
        <v>312</v>
      </c>
      <c r="H19" s="57"/>
      <c r="I19" s="55">
        <f t="shared" si="15"/>
        <v>24</v>
      </c>
      <c r="J19" s="55">
        <v>0</v>
      </c>
      <c r="K19" s="55">
        <v>24</v>
      </c>
      <c r="L19" s="55">
        <v>0</v>
      </c>
      <c r="M19" s="55">
        <v>0</v>
      </c>
      <c r="N19" s="55">
        <f t="shared" si="16"/>
        <v>58</v>
      </c>
      <c r="O19" s="55">
        <v>0</v>
      </c>
      <c r="P19" s="55">
        <v>8</v>
      </c>
      <c r="Q19" s="55">
        <v>50</v>
      </c>
      <c r="R19" s="55">
        <f t="shared" si="17"/>
        <v>22</v>
      </c>
      <c r="S19" s="55">
        <v>0</v>
      </c>
      <c r="T19" s="55">
        <v>12</v>
      </c>
      <c r="U19" s="55">
        <v>10</v>
      </c>
      <c r="V19" s="55">
        <v>59</v>
      </c>
      <c r="W19" s="53">
        <v>0</v>
      </c>
      <c r="X19" s="53">
        <v>19</v>
      </c>
      <c r="Y19" s="55">
        <v>40</v>
      </c>
      <c r="Z19" s="55">
        <v>116</v>
      </c>
      <c r="AA19" s="53">
        <v>0</v>
      </c>
      <c r="AB19" s="53">
        <v>26</v>
      </c>
      <c r="AC19" s="55">
        <v>90</v>
      </c>
      <c r="AD19" s="55">
        <f t="shared" si="6"/>
        <v>26</v>
      </c>
      <c r="AE19" s="53">
        <v>0</v>
      </c>
      <c r="AF19" s="55">
        <v>26</v>
      </c>
      <c r="AG19" s="55">
        <v>0</v>
      </c>
      <c r="AH19" s="55">
        <f t="shared" si="7"/>
        <v>77</v>
      </c>
      <c r="AI19" s="55">
        <v>0</v>
      </c>
      <c r="AJ19" s="55">
        <v>17</v>
      </c>
      <c r="AK19" s="55">
        <v>60</v>
      </c>
      <c r="AL19" s="55">
        <f t="shared" si="8"/>
        <v>137</v>
      </c>
      <c r="AM19" s="55" t="s">
        <v>1912</v>
      </c>
      <c r="AN19" s="55">
        <v>5</v>
      </c>
      <c r="AO19" s="55">
        <v>132</v>
      </c>
      <c r="AP19" s="55">
        <f t="shared" si="9"/>
        <v>60</v>
      </c>
      <c r="AQ19" s="55">
        <f>IFERROR(VLOOKUP(A19,[1]SIIMPLES!$A$2:$F$418,6,FALSE),0)</f>
        <v>51</v>
      </c>
      <c r="AR19" s="55">
        <v>9</v>
      </c>
      <c r="AS19" s="55">
        <v>53</v>
      </c>
      <c r="AT19" s="55">
        <v>0</v>
      </c>
      <c r="AU19" s="55">
        <v>3</v>
      </c>
      <c r="AV19" s="55">
        <v>50</v>
      </c>
      <c r="AW19" s="55"/>
      <c r="AX19" s="55"/>
      <c r="AY19" s="56">
        <f t="shared" si="10"/>
        <v>63.2</v>
      </c>
      <c r="AZ19" s="55"/>
      <c r="BA19" s="56">
        <v>21.333333333333332</v>
      </c>
      <c r="BB19" s="41">
        <f>1-BA19/AY19</f>
        <v>0.66244725738396626</v>
      </c>
      <c r="BC19" s="13"/>
      <c r="BD19" s="35"/>
      <c r="BE19" s="13"/>
      <c r="BF19" s="16"/>
      <c r="BG19" s="17">
        <f t="shared" si="12"/>
        <v>0</v>
      </c>
      <c r="BH19" s="16">
        <f>ROUND(IFERROR(IF(F19=1,IF(BC19&lt;AY19*3,AY19*3-BC19,0),IF(BC19&lt;AY19,AY19*0.6-BC19,0)),""),0)</f>
        <v>38</v>
      </c>
    </row>
    <row r="20" spans="1:60" s="21" customFormat="1" ht="12.75" customHeight="1" x14ac:dyDescent="0.2">
      <c r="A20" s="51">
        <v>332056</v>
      </c>
      <c r="B20" s="51" t="s">
        <v>1077</v>
      </c>
      <c r="C20" s="66" t="s">
        <v>1803</v>
      </c>
      <c r="D20" s="52" t="s">
        <v>728</v>
      </c>
      <c r="E20" s="65" t="s">
        <v>780</v>
      </c>
      <c r="F20" s="53">
        <f>IFERROR(VLOOKUP(E20,Fornecedores!$A$2:$B$2700,2,FALSE),"")</f>
        <v>2</v>
      </c>
      <c r="G20" s="52" t="s">
        <v>506</v>
      </c>
      <c r="H20" s="57"/>
      <c r="I20" s="55">
        <f t="shared" si="15"/>
        <v>24</v>
      </c>
      <c r="J20" s="55">
        <v>0</v>
      </c>
      <c r="K20" s="55">
        <v>24</v>
      </c>
      <c r="L20" s="55">
        <v>0</v>
      </c>
      <c r="M20" s="55">
        <v>0</v>
      </c>
      <c r="N20" s="55">
        <f t="shared" si="16"/>
        <v>58</v>
      </c>
      <c r="O20" s="55">
        <v>0</v>
      </c>
      <c r="P20" s="55">
        <v>8</v>
      </c>
      <c r="Q20" s="55">
        <v>50</v>
      </c>
      <c r="R20" s="55">
        <f t="shared" si="17"/>
        <v>22</v>
      </c>
      <c r="S20" s="55">
        <v>0</v>
      </c>
      <c r="T20" s="55">
        <v>12</v>
      </c>
      <c r="U20" s="55">
        <v>10</v>
      </c>
      <c r="V20" s="55">
        <v>59</v>
      </c>
      <c r="W20" s="53">
        <v>0</v>
      </c>
      <c r="X20" s="53">
        <v>19</v>
      </c>
      <c r="Y20" s="55">
        <v>40</v>
      </c>
      <c r="Z20" s="55">
        <v>116</v>
      </c>
      <c r="AA20" s="53">
        <v>0</v>
      </c>
      <c r="AB20" s="53">
        <v>26</v>
      </c>
      <c r="AC20" s="55">
        <v>90</v>
      </c>
      <c r="AD20" s="55">
        <f t="shared" si="6"/>
        <v>26</v>
      </c>
      <c r="AE20" s="53">
        <v>0</v>
      </c>
      <c r="AF20" s="55">
        <v>26</v>
      </c>
      <c r="AG20" s="55">
        <v>0</v>
      </c>
      <c r="AH20" s="55">
        <f t="shared" si="7"/>
        <v>76</v>
      </c>
      <c r="AI20" s="55">
        <v>0</v>
      </c>
      <c r="AJ20" s="55">
        <v>17</v>
      </c>
      <c r="AK20" s="55">
        <v>59</v>
      </c>
      <c r="AL20" s="55">
        <f t="shared" si="8"/>
        <v>137</v>
      </c>
      <c r="AM20" s="55" t="s">
        <v>1912</v>
      </c>
      <c r="AN20" s="55">
        <v>5</v>
      </c>
      <c r="AO20" s="55">
        <v>132</v>
      </c>
      <c r="AP20" s="55">
        <f t="shared" si="9"/>
        <v>60</v>
      </c>
      <c r="AQ20" s="55">
        <f>IFERROR(VLOOKUP(A20,[1]SIIMPLES!$A$2:$F$418,6,FALSE),0)</f>
        <v>51</v>
      </c>
      <c r="AR20" s="55">
        <v>9</v>
      </c>
      <c r="AS20" s="55">
        <v>159</v>
      </c>
      <c r="AT20" s="55">
        <v>36</v>
      </c>
      <c r="AU20" s="55">
        <v>3</v>
      </c>
      <c r="AV20" s="55">
        <v>120</v>
      </c>
      <c r="AW20" s="55"/>
      <c r="AX20" s="55"/>
      <c r="AY20" s="56">
        <f t="shared" si="10"/>
        <v>73.7</v>
      </c>
      <c r="AZ20" s="55"/>
      <c r="BA20" s="56">
        <v>21.5</v>
      </c>
      <c r="BB20" s="41">
        <f>IFERROR(AY20/BA20-1,"")</f>
        <v>2.4279069767441861</v>
      </c>
      <c r="BC20" s="13"/>
      <c r="BD20" s="35"/>
      <c r="BE20" s="13"/>
      <c r="BF20" s="16"/>
      <c r="BG20" s="17">
        <f t="shared" si="12"/>
        <v>0</v>
      </c>
      <c r="BH20" s="16">
        <f>IFERROR(IF(F20=1,IF(BC20&lt;AY20*3,AY20*3-BC20,0),IF(BC20&lt;AY20,AY20-BC20,0)),"")</f>
        <v>73.7</v>
      </c>
    </row>
    <row r="21" spans="1:60" s="21" customFormat="1" ht="12.75" customHeight="1" x14ac:dyDescent="0.2">
      <c r="A21" s="51">
        <v>552001</v>
      </c>
      <c r="B21" s="51" t="s">
        <v>1077</v>
      </c>
      <c r="C21" s="66" t="s">
        <v>1803</v>
      </c>
      <c r="D21" s="52" t="s">
        <v>728</v>
      </c>
      <c r="E21" s="65" t="s">
        <v>780</v>
      </c>
      <c r="F21" s="53">
        <f>IFERROR(VLOOKUP(E21,Fornecedores!$A$2:$B$2700,2,FALSE),"")</f>
        <v>2</v>
      </c>
      <c r="G21" s="52" t="s">
        <v>548</v>
      </c>
      <c r="H21" s="57"/>
      <c r="I21" s="55">
        <f t="shared" si="15"/>
        <v>42</v>
      </c>
      <c r="J21" s="55">
        <v>15</v>
      </c>
      <c r="K21" s="55">
        <v>16</v>
      </c>
      <c r="L21" s="55">
        <v>0</v>
      </c>
      <c r="M21" s="55">
        <v>11</v>
      </c>
      <c r="N21" s="55">
        <f t="shared" si="16"/>
        <v>26</v>
      </c>
      <c r="O21" s="55">
        <v>17</v>
      </c>
      <c r="P21" s="55">
        <v>9</v>
      </c>
      <c r="Q21" s="55">
        <v>0</v>
      </c>
      <c r="R21" s="55">
        <f t="shared" si="17"/>
        <v>35</v>
      </c>
      <c r="S21" s="55">
        <v>12</v>
      </c>
      <c r="T21" s="55">
        <v>16</v>
      </c>
      <c r="U21" s="55">
        <v>7</v>
      </c>
      <c r="V21" s="55">
        <v>58</v>
      </c>
      <c r="W21" s="53">
        <v>22</v>
      </c>
      <c r="X21" s="53">
        <v>28</v>
      </c>
      <c r="Y21" s="55">
        <v>8</v>
      </c>
      <c r="Z21" s="55">
        <v>49</v>
      </c>
      <c r="AA21" s="53">
        <v>17</v>
      </c>
      <c r="AB21" s="53">
        <v>17</v>
      </c>
      <c r="AC21" s="55">
        <v>15</v>
      </c>
      <c r="AD21" s="55">
        <f t="shared" si="6"/>
        <v>52</v>
      </c>
      <c r="AE21" s="53">
        <v>28</v>
      </c>
      <c r="AF21" s="55">
        <v>19</v>
      </c>
      <c r="AG21" s="55">
        <v>5</v>
      </c>
      <c r="AH21" s="55">
        <f t="shared" si="7"/>
        <v>66</v>
      </c>
      <c r="AI21" s="55">
        <v>34</v>
      </c>
      <c r="AJ21" s="55">
        <v>7</v>
      </c>
      <c r="AK21" s="55">
        <v>25</v>
      </c>
      <c r="AL21" s="55">
        <f t="shared" si="8"/>
        <v>51</v>
      </c>
      <c r="AM21" s="55">
        <v>32</v>
      </c>
      <c r="AN21" s="55">
        <v>17</v>
      </c>
      <c r="AO21" s="55">
        <v>2</v>
      </c>
      <c r="AP21" s="55">
        <f t="shared" si="9"/>
        <v>59</v>
      </c>
      <c r="AQ21" s="55">
        <f>IFERROR(VLOOKUP(A21,[1]SIIMPLES!$A$2:$F$418,6,FALSE),0)</f>
        <v>43</v>
      </c>
      <c r="AR21" s="55">
        <v>16</v>
      </c>
      <c r="AS21" s="55">
        <v>12</v>
      </c>
      <c r="AT21" s="55">
        <v>7</v>
      </c>
      <c r="AU21" s="55">
        <v>3</v>
      </c>
      <c r="AV21" s="55">
        <v>2</v>
      </c>
      <c r="AW21" s="55"/>
      <c r="AX21" s="55"/>
      <c r="AY21" s="56">
        <f t="shared" si="10"/>
        <v>45</v>
      </c>
      <c r="AZ21" s="55"/>
      <c r="BA21" s="56">
        <v>96.166666666666671</v>
      </c>
      <c r="BB21" s="41">
        <f>1-BA21/AY21</f>
        <v>-1.1370370370370373</v>
      </c>
      <c r="BC21" s="13"/>
      <c r="BD21" s="35"/>
      <c r="BE21" s="13"/>
      <c r="BF21" s="16"/>
      <c r="BG21" s="17">
        <f t="shared" si="12"/>
        <v>0</v>
      </c>
      <c r="BH21" s="16">
        <f>IFERROR(IF(F21=1,IF(BC21&lt;AY21*3,AY21*3-BC21,0),IF(BC21&lt;AY21,AY21-BC21,0)),"")</f>
        <v>45</v>
      </c>
    </row>
    <row r="22" spans="1:60" s="21" customFormat="1" ht="12.75" customHeight="1" x14ac:dyDescent="0.2">
      <c r="A22" s="51">
        <v>442055</v>
      </c>
      <c r="B22" s="51" t="s">
        <v>1077</v>
      </c>
      <c r="C22" s="66" t="s">
        <v>1803</v>
      </c>
      <c r="D22" s="52" t="s">
        <v>728</v>
      </c>
      <c r="E22" s="65" t="s">
        <v>780</v>
      </c>
      <c r="F22" s="53">
        <f>IFERROR(VLOOKUP(E22,Fornecedores!$A$2:$B$2700,2,FALSE),"")</f>
        <v>2</v>
      </c>
      <c r="G22" s="52" t="s">
        <v>277</v>
      </c>
      <c r="H22" s="57"/>
      <c r="I22" s="55">
        <f t="shared" si="15"/>
        <v>43</v>
      </c>
      <c r="J22" s="55">
        <v>11</v>
      </c>
      <c r="K22" s="55">
        <v>32</v>
      </c>
      <c r="L22" s="55">
        <v>0</v>
      </c>
      <c r="M22" s="55">
        <v>0</v>
      </c>
      <c r="N22" s="55">
        <f t="shared" si="16"/>
        <v>22</v>
      </c>
      <c r="O22" s="55">
        <v>0</v>
      </c>
      <c r="P22" s="55">
        <v>22</v>
      </c>
      <c r="Q22" s="55">
        <v>0</v>
      </c>
      <c r="R22" s="55">
        <f t="shared" si="17"/>
        <v>18</v>
      </c>
      <c r="S22" s="55">
        <v>8</v>
      </c>
      <c r="T22" s="55">
        <v>10</v>
      </c>
      <c r="U22" s="55">
        <v>0</v>
      </c>
      <c r="V22" s="55">
        <v>48</v>
      </c>
      <c r="W22" s="53">
        <v>22</v>
      </c>
      <c r="X22" s="53">
        <v>22</v>
      </c>
      <c r="Y22" s="55">
        <v>4</v>
      </c>
      <c r="Z22" s="55">
        <v>29</v>
      </c>
      <c r="AA22" s="53">
        <v>15</v>
      </c>
      <c r="AB22" s="53">
        <v>14</v>
      </c>
      <c r="AC22" s="55">
        <v>0</v>
      </c>
      <c r="AD22" s="55">
        <f t="shared" si="6"/>
        <v>41</v>
      </c>
      <c r="AE22" s="53">
        <v>11</v>
      </c>
      <c r="AF22" s="55">
        <v>10</v>
      </c>
      <c r="AG22" s="55">
        <v>20</v>
      </c>
      <c r="AH22" s="55">
        <f t="shared" si="7"/>
        <v>18</v>
      </c>
      <c r="AI22" s="55">
        <v>15</v>
      </c>
      <c r="AJ22" s="55">
        <v>0</v>
      </c>
      <c r="AK22" s="55">
        <v>3</v>
      </c>
      <c r="AL22" s="55">
        <f t="shared" si="8"/>
        <v>24</v>
      </c>
      <c r="AM22" s="55">
        <v>22</v>
      </c>
      <c r="AN22" s="55">
        <v>0</v>
      </c>
      <c r="AO22" s="55">
        <v>2</v>
      </c>
      <c r="AP22" s="55">
        <f t="shared" si="9"/>
        <v>58</v>
      </c>
      <c r="AQ22" s="55">
        <f>IFERROR(VLOOKUP(A22,[1]SIIMPLES!$A$2:$F$418,6,FALSE),0)</f>
        <v>58</v>
      </c>
      <c r="AR22" s="55">
        <v>0</v>
      </c>
      <c r="AS22" s="55">
        <v>58</v>
      </c>
      <c r="AT22" s="55">
        <v>41</v>
      </c>
      <c r="AU22" s="55">
        <v>2</v>
      </c>
      <c r="AV22" s="55">
        <v>15</v>
      </c>
      <c r="AW22" s="55"/>
      <c r="AX22" s="55"/>
      <c r="AY22" s="56">
        <f t="shared" si="10"/>
        <v>35.9</v>
      </c>
      <c r="AZ22" s="55"/>
      <c r="BA22" s="56">
        <v>33</v>
      </c>
      <c r="BB22" s="41">
        <f>1-BA22/AY22</f>
        <v>8.0779944289693595E-2</v>
      </c>
      <c r="BC22" s="13"/>
      <c r="BD22" s="35"/>
      <c r="BE22" s="13"/>
      <c r="BF22" s="16">
        <f>SUM(BC22:BE22)</f>
        <v>0</v>
      </c>
      <c r="BG22" s="17">
        <f t="shared" si="12"/>
        <v>0</v>
      </c>
      <c r="BH22" s="16">
        <f>IFERROR(IF(F22=1,IF(BC22&lt;AY22*3,AY22*3-BC22,0),IF(BC22&lt;AY22,AY22-BC22,0)),"")</f>
        <v>35.9</v>
      </c>
    </row>
    <row r="23" spans="1:60" s="21" customFormat="1" ht="12.75" customHeight="1" x14ac:dyDescent="0.2">
      <c r="A23" s="51">
        <v>552002</v>
      </c>
      <c r="B23" s="51" t="s">
        <v>1077</v>
      </c>
      <c r="C23" s="66" t="s">
        <v>1803</v>
      </c>
      <c r="D23" s="52" t="s">
        <v>728</v>
      </c>
      <c r="E23" s="65" t="s">
        <v>780</v>
      </c>
      <c r="F23" s="53">
        <f>IFERROR(VLOOKUP(E23,Fornecedores!$A$2:$B$2700,2,FALSE),"")</f>
        <v>2</v>
      </c>
      <c r="G23" s="52" t="s">
        <v>555</v>
      </c>
      <c r="H23" s="57"/>
      <c r="I23" s="55">
        <f t="shared" si="15"/>
        <v>56</v>
      </c>
      <c r="J23" s="55">
        <v>29</v>
      </c>
      <c r="K23" s="55">
        <v>16</v>
      </c>
      <c r="L23" s="55">
        <v>0</v>
      </c>
      <c r="M23" s="55">
        <v>11</v>
      </c>
      <c r="N23" s="55">
        <f t="shared" si="16"/>
        <v>32</v>
      </c>
      <c r="O23" s="55">
        <v>24</v>
      </c>
      <c r="P23" s="55">
        <v>8</v>
      </c>
      <c r="Q23" s="55">
        <v>0</v>
      </c>
      <c r="R23" s="55">
        <f t="shared" si="17"/>
        <v>57</v>
      </c>
      <c r="S23" s="55">
        <v>32</v>
      </c>
      <c r="T23" s="55">
        <v>14</v>
      </c>
      <c r="U23" s="55">
        <v>11</v>
      </c>
      <c r="V23" s="55">
        <v>62</v>
      </c>
      <c r="W23" s="53">
        <v>28</v>
      </c>
      <c r="X23" s="53">
        <v>26</v>
      </c>
      <c r="Y23" s="55">
        <v>8</v>
      </c>
      <c r="Z23" s="55">
        <v>57</v>
      </c>
      <c r="AA23" s="53">
        <v>24</v>
      </c>
      <c r="AB23" s="53">
        <v>18</v>
      </c>
      <c r="AC23" s="55">
        <v>15</v>
      </c>
      <c r="AD23" s="55">
        <f t="shared" si="6"/>
        <v>44</v>
      </c>
      <c r="AE23" s="53">
        <v>20</v>
      </c>
      <c r="AF23" s="55">
        <v>19</v>
      </c>
      <c r="AG23" s="55">
        <v>5</v>
      </c>
      <c r="AH23" s="55">
        <f t="shared" si="7"/>
        <v>58</v>
      </c>
      <c r="AI23" s="55">
        <v>26</v>
      </c>
      <c r="AJ23" s="55">
        <v>7</v>
      </c>
      <c r="AK23" s="55">
        <v>25</v>
      </c>
      <c r="AL23" s="55">
        <f t="shared" si="8"/>
        <v>46</v>
      </c>
      <c r="AM23" s="55">
        <v>23</v>
      </c>
      <c r="AN23" s="55">
        <v>17</v>
      </c>
      <c r="AO23" s="55">
        <v>6</v>
      </c>
      <c r="AP23" s="55">
        <f t="shared" si="9"/>
        <v>56</v>
      </c>
      <c r="AQ23" s="55">
        <f>IFERROR(VLOOKUP(A23,[1]SIIMPLES!$A$2:$F$418,6,FALSE),0)</f>
        <v>40</v>
      </c>
      <c r="AR23" s="55">
        <v>16</v>
      </c>
      <c r="AS23" s="55">
        <v>8</v>
      </c>
      <c r="AT23" s="55">
        <v>2</v>
      </c>
      <c r="AU23" s="55">
        <v>3</v>
      </c>
      <c r="AV23" s="55">
        <v>3</v>
      </c>
      <c r="AW23" s="55"/>
      <c r="AX23" s="55"/>
      <c r="AY23" s="56">
        <f t="shared" si="10"/>
        <v>47.6</v>
      </c>
      <c r="AZ23" s="55"/>
      <c r="BA23" s="56">
        <v>87.166666666666671</v>
      </c>
      <c r="BB23" s="41">
        <f>1-BA23/AY23</f>
        <v>-0.83123249299719904</v>
      </c>
      <c r="BC23" s="13"/>
      <c r="BD23" s="36"/>
      <c r="BE23" s="7"/>
      <c r="BF23" s="7"/>
      <c r="BG23" s="7"/>
      <c r="BH23" s="7"/>
    </row>
    <row r="24" spans="1:60" s="21" customFormat="1" ht="12.75" customHeight="1" x14ac:dyDescent="0.2">
      <c r="A24" s="51" t="s">
        <v>1382</v>
      </c>
      <c r="B24" s="51"/>
      <c r="C24" s="66" t="s">
        <v>1803</v>
      </c>
      <c r="D24" s="65" t="s">
        <v>739</v>
      </c>
      <c r="E24" s="65" t="s">
        <v>1381</v>
      </c>
      <c r="F24" s="53">
        <f>IFERROR(VLOOKUP(E24,Fornecedores!$A$2:$B$2700,2,FALSE),"")</f>
        <v>18</v>
      </c>
      <c r="G24" s="52" t="s">
        <v>1639</v>
      </c>
      <c r="H24" s="54"/>
      <c r="I24" s="55">
        <v>71</v>
      </c>
      <c r="J24" s="55"/>
      <c r="K24" s="55"/>
      <c r="L24" s="55"/>
      <c r="M24" s="55"/>
      <c r="N24" s="55">
        <v>52</v>
      </c>
      <c r="O24" s="55"/>
      <c r="P24" s="55"/>
      <c r="Q24" s="55"/>
      <c r="R24" s="55">
        <v>58</v>
      </c>
      <c r="S24" s="55"/>
      <c r="T24" s="55"/>
      <c r="U24" s="55"/>
      <c r="V24" s="55">
        <v>32</v>
      </c>
      <c r="W24" s="53"/>
      <c r="X24" s="53"/>
      <c r="Y24" s="55"/>
      <c r="Z24" s="55">
        <v>8</v>
      </c>
      <c r="AA24" s="53"/>
      <c r="AB24" s="53"/>
      <c r="AC24" s="55"/>
      <c r="AD24" s="55">
        <v>5</v>
      </c>
      <c r="AE24" s="53"/>
      <c r="AF24" s="55"/>
      <c r="AG24" s="55"/>
      <c r="AH24" s="55">
        <f t="shared" si="7"/>
        <v>27</v>
      </c>
      <c r="AI24" s="55">
        <v>7</v>
      </c>
      <c r="AJ24" s="55">
        <v>0</v>
      </c>
      <c r="AK24" s="55">
        <v>20</v>
      </c>
      <c r="AL24" s="55">
        <f t="shared" si="8"/>
        <v>34</v>
      </c>
      <c r="AM24" s="55">
        <v>1</v>
      </c>
      <c r="AN24" s="55">
        <v>33</v>
      </c>
      <c r="AO24" s="55">
        <v>0</v>
      </c>
      <c r="AP24" s="55">
        <f t="shared" si="9"/>
        <v>55</v>
      </c>
      <c r="AQ24" s="55">
        <f>IFERROR(VLOOKUP(A24,[1]SIIMPLES!$A$2:$F$418,6,FALSE),0)</f>
        <v>9</v>
      </c>
      <c r="AR24" s="55">
        <v>46</v>
      </c>
      <c r="AS24" s="55">
        <v>67</v>
      </c>
      <c r="AT24" s="55">
        <v>8</v>
      </c>
      <c r="AU24" s="55">
        <v>59</v>
      </c>
      <c r="AV24" s="55">
        <v>0</v>
      </c>
      <c r="AW24" s="55"/>
      <c r="AX24" s="55"/>
      <c r="AY24" s="56">
        <f t="shared" si="10"/>
        <v>40.9</v>
      </c>
      <c r="AZ24" s="55"/>
      <c r="BA24" s="55">
        <v>55.25</v>
      </c>
      <c r="BB24" s="41">
        <f>IFERROR(AY24/BA24-1,"")</f>
        <v>-0.25972850678733039</v>
      </c>
      <c r="BC24" s="13"/>
      <c r="BD24" s="35"/>
      <c r="BE24" s="13"/>
      <c r="BF24" s="16"/>
      <c r="BG24" s="17">
        <f>IFERROR(BC24/AY24,"0")</f>
        <v>0</v>
      </c>
      <c r="BH24" s="16">
        <f>IFERROR(IF(F24=1,IF(BC24&lt;AY24*3,AY24*3-BC24,0),IF(BC24&lt;AY24,AY24-BC24,0)),"")</f>
        <v>40.9</v>
      </c>
    </row>
    <row r="25" spans="1:60" s="21" customFormat="1" ht="12.75" customHeight="1" x14ac:dyDescent="0.2">
      <c r="A25" s="51">
        <v>2316</v>
      </c>
      <c r="B25" s="51" t="s">
        <v>1077</v>
      </c>
      <c r="C25" s="66" t="s">
        <v>1803</v>
      </c>
      <c r="D25" s="65" t="s">
        <v>731</v>
      </c>
      <c r="E25" s="52" t="s">
        <v>730</v>
      </c>
      <c r="F25" s="53">
        <f>IFERROR(VLOOKUP(E25,Fornecedores!$A$2:$B$2700,2,FALSE),"")</f>
        <v>3</v>
      </c>
      <c r="G25" s="52" t="s">
        <v>589</v>
      </c>
      <c r="H25" s="54"/>
      <c r="I25" s="55">
        <f>SUM(J25:M25)</f>
        <v>75</v>
      </c>
      <c r="J25" s="55">
        <v>57</v>
      </c>
      <c r="K25" s="55">
        <v>18</v>
      </c>
      <c r="L25" s="55">
        <v>0</v>
      </c>
      <c r="M25" s="55">
        <v>0</v>
      </c>
      <c r="N25" s="55">
        <f>SUM(O25:Q25)</f>
        <v>41</v>
      </c>
      <c r="O25" s="55">
        <v>40</v>
      </c>
      <c r="P25" s="55">
        <v>1</v>
      </c>
      <c r="Q25" s="55">
        <v>0</v>
      </c>
      <c r="R25" s="55">
        <f>SUM(S25:U25)</f>
        <v>31</v>
      </c>
      <c r="S25" s="55">
        <v>25</v>
      </c>
      <c r="T25" s="55">
        <v>6</v>
      </c>
      <c r="U25" s="55">
        <v>0</v>
      </c>
      <c r="V25" s="55">
        <v>33</v>
      </c>
      <c r="W25" s="53">
        <v>33</v>
      </c>
      <c r="X25" s="53">
        <v>0</v>
      </c>
      <c r="Y25" s="55">
        <v>0</v>
      </c>
      <c r="Z25" s="55">
        <v>32</v>
      </c>
      <c r="AA25" s="53">
        <v>32</v>
      </c>
      <c r="AB25" s="53">
        <v>0</v>
      </c>
      <c r="AC25" s="55">
        <v>0</v>
      </c>
      <c r="AD25" s="55">
        <f>SUM(AE25:AG25)</f>
        <v>33</v>
      </c>
      <c r="AE25" s="53">
        <v>33</v>
      </c>
      <c r="AF25" s="55">
        <v>0</v>
      </c>
      <c r="AG25" s="55">
        <v>0</v>
      </c>
      <c r="AH25" s="55">
        <f t="shared" si="7"/>
        <v>7</v>
      </c>
      <c r="AI25" s="55">
        <v>7</v>
      </c>
      <c r="AJ25" s="55">
        <v>0</v>
      </c>
      <c r="AK25" s="55">
        <v>0</v>
      </c>
      <c r="AL25" s="55">
        <f t="shared" si="8"/>
        <v>28</v>
      </c>
      <c r="AM25" s="55">
        <v>26</v>
      </c>
      <c r="AN25" s="55">
        <v>2</v>
      </c>
      <c r="AO25" s="55">
        <v>0</v>
      </c>
      <c r="AP25" s="55">
        <f t="shared" si="9"/>
        <v>50</v>
      </c>
      <c r="AQ25" s="55">
        <f>IFERROR(VLOOKUP(A25,[1]SIIMPLES!$A$2:$F$418,6,FALSE),0)</f>
        <v>39</v>
      </c>
      <c r="AR25" s="55">
        <v>11</v>
      </c>
      <c r="AS25" s="55">
        <v>4</v>
      </c>
      <c r="AT25" s="55">
        <v>1</v>
      </c>
      <c r="AU25" s="55">
        <v>3</v>
      </c>
      <c r="AV25" s="55">
        <v>0</v>
      </c>
      <c r="AW25" s="55"/>
      <c r="AX25" s="55"/>
      <c r="AY25" s="56">
        <f t="shared" si="10"/>
        <v>33.4</v>
      </c>
      <c r="AZ25" s="55"/>
      <c r="BA25" s="56">
        <v>83.166666666666671</v>
      </c>
      <c r="BB25" s="41">
        <f>1-BA25/AY25</f>
        <v>-1.4900199600798407</v>
      </c>
      <c r="BC25" s="13"/>
      <c r="BD25" s="35"/>
      <c r="BE25" s="13"/>
      <c r="BF25" s="16"/>
      <c r="BG25" s="17">
        <f>IFERROR(BC25/AY25,"0")</f>
        <v>0</v>
      </c>
      <c r="BH25" s="16">
        <f>IFERROR(IF(F25=1,IF(BC25&lt;AY25*3,AY25*3-BC25,0),IF(BC25&lt;AY25,AY25-BC25,0)),"")</f>
        <v>33.4</v>
      </c>
    </row>
    <row r="26" spans="1:60" s="21" customFormat="1" ht="12.75" customHeight="1" x14ac:dyDescent="0.2">
      <c r="A26" s="51" t="s">
        <v>330</v>
      </c>
      <c r="B26" s="51" t="s">
        <v>1077</v>
      </c>
      <c r="C26" s="66" t="s">
        <v>1803</v>
      </c>
      <c r="D26" s="65" t="s">
        <v>740</v>
      </c>
      <c r="E26" s="67" t="s">
        <v>1380</v>
      </c>
      <c r="F26" s="53" t="str">
        <f>IFERROR(VLOOKUP(E26,Fornecedores!$A$2:$B$2700,2,FALSE),"")</f>
        <v/>
      </c>
      <c r="G26" s="52" t="s">
        <v>331</v>
      </c>
      <c r="H26" s="54"/>
      <c r="I26" s="55">
        <f>SUM(J26:M26)</f>
        <v>358</v>
      </c>
      <c r="J26" s="55">
        <v>0</v>
      </c>
      <c r="K26" s="55">
        <v>58</v>
      </c>
      <c r="L26" s="55">
        <v>300</v>
      </c>
      <c r="M26" s="55">
        <v>0</v>
      </c>
      <c r="N26" s="55">
        <f>SUM(O26:Q26)</f>
        <v>141</v>
      </c>
      <c r="O26" s="55">
        <v>3</v>
      </c>
      <c r="P26" s="55">
        <v>38</v>
      </c>
      <c r="Q26" s="55">
        <v>100</v>
      </c>
      <c r="R26" s="55">
        <f>SUM(S26:U26)</f>
        <v>162</v>
      </c>
      <c r="S26" s="55">
        <v>4</v>
      </c>
      <c r="T26" s="55">
        <v>58</v>
      </c>
      <c r="U26" s="55">
        <v>100</v>
      </c>
      <c r="V26" s="55">
        <v>193</v>
      </c>
      <c r="W26" s="53">
        <v>7</v>
      </c>
      <c r="X26" s="53">
        <v>86</v>
      </c>
      <c r="Y26" s="55">
        <v>100</v>
      </c>
      <c r="Z26" s="55">
        <v>104</v>
      </c>
      <c r="AA26" s="53">
        <v>4</v>
      </c>
      <c r="AB26" s="53">
        <v>100</v>
      </c>
      <c r="AC26" s="55">
        <v>0</v>
      </c>
      <c r="AD26" s="55">
        <f>SUM(AE26:AG26)</f>
        <v>409</v>
      </c>
      <c r="AE26" s="53">
        <v>1</v>
      </c>
      <c r="AF26" s="55">
        <v>108</v>
      </c>
      <c r="AG26" s="55">
        <v>300</v>
      </c>
      <c r="AH26" s="55">
        <f t="shared" si="7"/>
        <v>60</v>
      </c>
      <c r="AI26" s="55">
        <v>0</v>
      </c>
      <c r="AJ26" s="55">
        <v>60</v>
      </c>
      <c r="AK26" s="55">
        <v>0</v>
      </c>
      <c r="AL26" s="55">
        <f t="shared" si="8"/>
        <v>59</v>
      </c>
      <c r="AM26" s="55">
        <v>3</v>
      </c>
      <c r="AN26" s="55">
        <v>56</v>
      </c>
      <c r="AO26" s="55">
        <v>0</v>
      </c>
      <c r="AP26" s="55">
        <f t="shared" si="9"/>
        <v>50</v>
      </c>
      <c r="AQ26" s="55">
        <f>IFERROR(VLOOKUP(A26,[1]SIIMPLES!$A$2:$F$418,6,FALSE),0)</f>
        <v>0</v>
      </c>
      <c r="AR26" s="55">
        <v>50</v>
      </c>
      <c r="AS26" s="55">
        <v>20</v>
      </c>
      <c r="AT26" s="55">
        <v>0</v>
      </c>
      <c r="AU26" s="55">
        <v>20</v>
      </c>
      <c r="AV26" s="55">
        <v>0</v>
      </c>
      <c r="AW26" s="55"/>
      <c r="AX26" s="55"/>
      <c r="AY26" s="56">
        <f t="shared" si="10"/>
        <v>155.6</v>
      </c>
      <c r="AZ26" s="55"/>
      <c r="BA26" s="56">
        <v>105.33333333333333</v>
      </c>
      <c r="BB26" s="41">
        <f>1-BA26/AY26</f>
        <v>0.32305055698371898</v>
      </c>
      <c r="BC26" s="13"/>
      <c r="BD26" s="35"/>
      <c r="BE26" s="13"/>
      <c r="BF26" s="16"/>
      <c r="BG26" s="17">
        <f>IFERROR(BC26/AY26,"0")</f>
        <v>0</v>
      </c>
      <c r="BH26" s="16">
        <f>ROUND(IFERROR(IF(F26=1,IF(BC26&lt;AY26*3,AY26*3-BC26,0),IF(BC26&lt;AY26,AY26*0.6-BC26,0)),""),0)</f>
        <v>93</v>
      </c>
    </row>
    <row r="27" spans="1:60" s="21" customFormat="1" ht="12.75" customHeight="1" x14ac:dyDescent="0.2">
      <c r="A27" s="51" t="s">
        <v>496</v>
      </c>
      <c r="B27" s="51" t="s">
        <v>1077</v>
      </c>
      <c r="C27" s="66" t="s">
        <v>1803</v>
      </c>
      <c r="D27" s="52" t="s">
        <v>745</v>
      </c>
      <c r="E27" s="52" t="s">
        <v>780</v>
      </c>
      <c r="F27" s="53">
        <f>IFERROR(VLOOKUP(E27,Fornecedores!$A$2:$B$2700,2,FALSE),"")</f>
        <v>2</v>
      </c>
      <c r="G27" s="52" t="s">
        <v>497</v>
      </c>
      <c r="H27" s="54"/>
      <c r="I27" s="55">
        <f>SUM(J27:M27)</f>
        <v>7</v>
      </c>
      <c r="J27" s="55">
        <v>2</v>
      </c>
      <c r="K27" s="55">
        <v>5</v>
      </c>
      <c r="L27" s="55">
        <v>0</v>
      </c>
      <c r="M27" s="55">
        <v>0</v>
      </c>
      <c r="N27" s="55">
        <f>SUM(O27:Q27)</f>
        <v>11</v>
      </c>
      <c r="O27" s="55">
        <v>2</v>
      </c>
      <c r="P27" s="55">
        <v>9</v>
      </c>
      <c r="Q27" s="55">
        <v>0</v>
      </c>
      <c r="R27" s="55">
        <f>SUM(S27:U27)</f>
        <v>15</v>
      </c>
      <c r="S27" s="55">
        <v>2</v>
      </c>
      <c r="T27" s="55">
        <v>13</v>
      </c>
      <c r="U27" s="55">
        <v>0</v>
      </c>
      <c r="V27" s="55">
        <v>17</v>
      </c>
      <c r="W27" s="53">
        <v>1</v>
      </c>
      <c r="X27" s="53">
        <v>16</v>
      </c>
      <c r="Y27" s="55">
        <v>0</v>
      </c>
      <c r="Z27" s="55">
        <v>2</v>
      </c>
      <c r="AA27" s="53">
        <v>1</v>
      </c>
      <c r="AB27" s="53">
        <v>1</v>
      </c>
      <c r="AC27" s="55">
        <v>0</v>
      </c>
      <c r="AD27" s="55">
        <f>SUM(AE27:AG27)</f>
        <v>33</v>
      </c>
      <c r="AE27" s="53">
        <v>3</v>
      </c>
      <c r="AF27" s="55">
        <v>30</v>
      </c>
      <c r="AG27" s="55">
        <v>0</v>
      </c>
      <c r="AH27" s="55">
        <f t="shared" si="7"/>
        <v>35</v>
      </c>
      <c r="AI27" s="55">
        <v>4</v>
      </c>
      <c r="AJ27" s="55">
        <v>31</v>
      </c>
      <c r="AK27" s="55">
        <v>0</v>
      </c>
      <c r="AL27" s="55">
        <f t="shared" si="8"/>
        <v>36</v>
      </c>
      <c r="AM27" s="55" t="s">
        <v>1912</v>
      </c>
      <c r="AN27" s="55">
        <v>36</v>
      </c>
      <c r="AO27" s="55">
        <v>0</v>
      </c>
      <c r="AP27" s="55">
        <f t="shared" si="9"/>
        <v>48</v>
      </c>
      <c r="AQ27" s="55">
        <f>IFERROR(VLOOKUP(A27,[1]SIIMPLES!$A$2:$F$418,6,FALSE),0)</f>
        <v>3</v>
      </c>
      <c r="AR27" s="55">
        <v>45</v>
      </c>
      <c r="AS27" s="55">
        <v>50</v>
      </c>
      <c r="AT27" s="55">
        <v>0</v>
      </c>
      <c r="AU27" s="55">
        <v>50</v>
      </c>
      <c r="AV27" s="55">
        <v>0</v>
      </c>
      <c r="AW27" s="55"/>
      <c r="AX27" s="55"/>
      <c r="AY27" s="56">
        <f t="shared" si="10"/>
        <v>25.4</v>
      </c>
      <c r="AZ27" s="55"/>
      <c r="BA27" s="56">
        <v>4.833333333333333</v>
      </c>
      <c r="BB27" s="41">
        <f>IFERROR(AY27/BA27-1,"")</f>
        <v>4.2551724137931037</v>
      </c>
      <c r="BC27" s="13"/>
      <c r="BD27" s="36"/>
      <c r="BE27" s="7"/>
      <c r="BF27" s="7"/>
      <c r="BG27" s="7"/>
      <c r="BH27" s="7"/>
    </row>
    <row r="28" spans="1:60" s="21" customFormat="1" ht="12.75" customHeight="1" x14ac:dyDescent="0.2">
      <c r="A28" s="28">
        <v>142401</v>
      </c>
      <c r="B28" s="28"/>
      <c r="C28" s="28" t="s">
        <v>1851</v>
      </c>
      <c r="D28" s="83" t="s">
        <v>2012</v>
      </c>
      <c r="E28" s="83" t="s">
        <v>2106</v>
      </c>
      <c r="F28" s="84"/>
      <c r="G28" s="85" t="s">
        <v>2107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55">
        <f t="shared" si="8"/>
        <v>76</v>
      </c>
      <c r="AM28" s="7"/>
      <c r="AN28" s="7"/>
      <c r="AO28" s="55">
        <v>76</v>
      </c>
      <c r="AP28" s="55">
        <f t="shared" si="9"/>
        <v>48</v>
      </c>
      <c r="AQ28" s="55">
        <f>IFERROR(VLOOKUP(A28,[1]SIIMPLES!$A$2:$F$418,6,FALSE),0)</f>
        <v>48</v>
      </c>
      <c r="AR28" s="55">
        <v>0</v>
      </c>
      <c r="AS28" s="55">
        <v>0</v>
      </c>
      <c r="AT28" s="55">
        <v>0</v>
      </c>
      <c r="AU28" s="55">
        <v>0</v>
      </c>
      <c r="AV28" s="55">
        <v>0</v>
      </c>
      <c r="AW28" s="7"/>
      <c r="AX28" s="7"/>
      <c r="AY28" s="7"/>
      <c r="AZ28" s="7"/>
      <c r="BA28" s="7"/>
      <c r="BB28" s="41" t="str">
        <f>IFERROR(AY28/BA28-1,"")</f>
        <v/>
      </c>
      <c r="BC28" s="7"/>
      <c r="BD28" s="35"/>
      <c r="BE28" s="13"/>
      <c r="BF28" s="16"/>
      <c r="BG28" s="17" t="str">
        <f t="shared" ref="BG28:BG33" si="18">IFERROR(BC28/AY28,"0")</f>
        <v>0</v>
      </c>
      <c r="BH28" s="16">
        <f>IFERROR(IF(F28=1,IF(BC28&lt;AY28*3,AY28*3-BC28,0),IF(BC28&lt;AY28,AY28-BC28,0)),"")</f>
        <v>0</v>
      </c>
    </row>
    <row r="29" spans="1:60" s="21" customFormat="1" ht="12.75" customHeight="1" x14ac:dyDescent="0.2">
      <c r="A29" s="51">
        <v>23079</v>
      </c>
      <c r="B29" s="51" t="s">
        <v>1077</v>
      </c>
      <c r="C29" s="66" t="s">
        <v>1803</v>
      </c>
      <c r="D29" s="52" t="s">
        <v>756</v>
      </c>
      <c r="E29" s="52" t="s">
        <v>750</v>
      </c>
      <c r="F29" s="53">
        <f>IFERROR(VLOOKUP(E29,Fornecedores!$A$2:$B$2700,2,FALSE),"")</f>
        <v>4</v>
      </c>
      <c r="G29" s="52" t="s">
        <v>586</v>
      </c>
      <c r="H29" s="54"/>
      <c r="I29" s="55">
        <f t="shared" ref="I29:I41" si="19">SUM(J29:M29)</f>
        <v>38</v>
      </c>
      <c r="J29" s="55">
        <v>8</v>
      </c>
      <c r="K29" s="55">
        <v>30</v>
      </c>
      <c r="L29" s="55">
        <v>0</v>
      </c>
      <c r="M29" s="55">
        <v>0</v>
      </c>
      <c r="N29" s="55">
        <f t="shared" ref="N29:N41" si="20">SUM(O29:Q29)</f>
        <v>82</v>
      </c>
      <c r="O29" s="55">
        <v>6</v>
      </c>
      <c r="P29" s="55">
        <v>76</v>
      </c>
      <c r="Q29" s="55">
        <v>0</v>
      </c>
      <c r="R29" s="55">
        <f t="shared" ref="R29:R41" si="21">SUM(S29:U29)</f>
        <v>50</v>
      </c>
      <c r="S29" s="55">
        <v>0</v>
      </c>
      <c r="T29" s="55">
        <v>50</v>
      </c>
      <c r="U29" s="55">
        <v>0</v>
      </c>
      <c r="V29" s="55">
        <v>66</v>
      </c>
      <c r="W29" s="53">
        <v>0</v>
      </c>
      <c r="X29" s="53">
        <v>66</v>
      </c>
      <c r="Y29" s="55">
        <v>0</v>
      </c>
      <c r="Z29" s="55">
        <v>73</v>
      </c>
      <c r="AA29" s="53">
        <v>1</v>
      </c>
      <c r="AB29" s="53">
        <v>72</v>
      </c>
      <c r="AC29" s="55">
        <v>0</v>
      </c>
      <c r="AD29" s="55">
        <f t="shared" ref="AD29:AD41" si="22">SUM(AE29:AG29)</f>
        <v>114</v>
      </c>
      <c r="AE29" s="53">
        <v>0</v>
      </c>
      <c r="AF29" s="55">
        <v>114</v>
      </c>
      <c r="AG29" s="55">
        <v>0</v>
      </c>
      <c r="AH29" s="55">
        <f t="shared" ref="AH29:AH60" si="23">SUM(AI29:AK29)</f>
        <v>95</v>
      </c>
      <c r="AI29" s="55">
        <v>1</v>
      </c>
      <c r="AJ29" s="55">
        <v>94</v>
      </c>
      <c r="AK29" s="55">
        <v>0</v>
      </c>
      <c r="AL29" s="55">
        <f t="shared" si="8"/>
        <v>66</v>
      </c>
      <c r="AM29" s="55" t="s">
        <v>1912</v>
      </c>
      <c r="AN29" s="55">
        <v>66</v>
      </c>
      <c r="AO29" s="55">
        <v>0</v>
      </c>
      <c r="AP29" s="55">
        <f t="shared" si="9"/>
        <v>46</v>
      </c>
      <c r="AQ29" s="55">
        <f>IFERROR(VLOOKUP(A29,[1]SIIMPLES!$A$2:$F$418,6,FALSE),0)</f>
        <v>0</v>
      </c>
      <c r="AR29" s="55">
        <v>46</v>
      </c>
      <c r="AS29" s="55">
        <v>36</v>
      </c>
      <c r="AT29" s="55">
        <v>0</v>
      </c>
      <c r="AU29" s="55">
        <v>36</v>
      </c>
      <c r="AV29" s="55">
        <v>0</v>
      </c>
      <c r="AW29" s="55"/>
      <c r="AX29" s="55"/>
      <c r="AY29" s="56">
        <f t="shared" ref="AY29:AY41" si="24">IFERROR(AVERAGE(I29,N29,R29,V29,Z29,AD29,AH29,AL29,AP29,AS29,AW29,AX29),"-")</f>
        <v>66.599999999999994</v>
      </c>
      <c r="AZ29" s="55"/>
      <c r="BA29" s="56">
        <v>89.5</v>
      </c>
      <c r="BB29" s="41">
        <f>IFERROR(AY29/BA29-1,"")</f>
        <v>-0.25586592178770962</v>
      </c>
      <c r="BC29" s="13"/>
      <c r="BD29" s="35"/>
      <c r="BE29" s="13"/>
      <c r="BF29" s="16"/>
      <c r="BG29" s="17">
        <f t="shared" si="18"/>
        <v>0</v>
      </c>
      <c r="BH29" s="16">
        <f>ROUND(IFERROR(IF(F29=1,IF(BC29&lt;AY29*3,AY29*3-BC29,0),IF(BC29&lt;AY29,AY29*0.6-BC29,0)),""),0)</f>
        <v>40</v>
      </c>
    </row>
    <row r="30" spans="1:60" s="21" customFormat="1" ht="12.75" customHeight="1" x14ac:dyDescent="0.2">
      <c r="A30" s="51" t="s">
        <v>501</v>
      </c>
      <c r="B30" s="51" t="s">
        <v>1077</v>
      </c>
      <c r="C30" s="66" t="s">
        <v>1803</v>
      </c>
      <c r="D30" s="52" t="s">
        <v>745</v>
      </c>
      <c r="E30" s="52" t="s">
        <v>780</v>
      </c>
      <c r="F30" s="53">
        <f>IFERROR(VLOOKUP(E30,Fornecedores!$A$2:$B$2700,2,FALSE),"")</f>
        <v>2</v>
      </c>
      <c r="G30" s="52" t="s">
        <v>502</v>
      </c>
      <c r="H30" s="54"/>
      <c r="I30" s="55">
        <f t="shared" si="19"/>
        <v>5</v>
      </c>
      <c r="J30" s="55">
        <v>0</v>
      </c>
      <c r="K30" s="55">
        <v>5</v>
      </c>
      <c r="L30" s="55">
        <v>0</v>
      </c>
      <c r="M30" s="55">
        <v>0</v>
      </c>
      <c r="N30" s="55">
        <f t="shared" si="20"/>
        <v>11</v>
      </c>
      <c r="O30" s="55">
        <v>2</v>
      </c>
      <c r="P30" s="55">
        <v>9</v>
      </c>
      <c r="Q30" s="55">
        <v>0</v>
      </c>
      <c r="R30" s="55">
        <f t="shared" si="21"/>
        <v>14</v>
      </c>
      <c r="S30" s="55">
        <v>1</v>
      </c>
      <c r="T30" s="55">
        <v>13</v>
      </c>
      <c r="U30" s="55">
        <v>0</v>
      </c>
      <c r="V30" s="55">
        <v>18</v>
      </c>
      <c r="W30" s="53">
        <v>2</v>
      </c>
      <c r="X30" s="53">
        <v>16</v>
      </c>
      <c r="Y30" s="55">
        <v>0</v>
      </c>
      <c r="Z30" s="55">
        <v>2</v>
      </c>
      <c r="AA30" s="53">
        <v>1</v>
      </c>
      <c r="AB30" s="53">
        <v>1</v>
      </c>
      <c r="AC30" s="55">
        <v>0</v>
      </c>
      <c r="AD30" s="55">
        <f t="shared" si="22"/>
        <v>30</v>
      </c>
      <c r="AE30" s="53">
        <v>0</v>
      </c>
      <c r="AF30" s="55">
        <v>30</v>
      </c>
      <c r="AG30" s="55">
        <v>0</v>
      </c>
      <c r="AH30" s="55">
        <f t="shared" si="23"/>
        <v>31</v>
      </c>
      <c r="AI30" s="55">
        <v>0</v>
      </c>
      <c r="AJ30" s="55">
        <v>31</v>
      </c>
      <c r="AK30" s="55">
        <v>0</v>
      </c>
      <c r="AL30" s="55">
        <f t="shared" si="8"/>
        <v>36</v>
      </c>
      <c r="AM30" s="55" t="s">
        <v>1912</v>
      </c>
      <c r="AN30" s="55">
        <v>36</v>
      </c>
      <c r="AO30" s="55">
        <v>0</v>
      </c>
      <c r="AP30" s="55">
        <f t="shared" si="9"/>
        <v>45</v>
      </c>
      <c r="AQ30" s="55">
        <f>IFERROR(VLOOKUP(A30,[1]SIIMPLES!$A$2:$F$418,6,FALSE),0)</f>
        <v>0</v>
      </c>
      <c r="AR30" s="55">
        <v>45</v>
      </c>
      <c r="AS30" s="55">
        <v>55</v>
      </c>
      <c r="AT30" s="55">
        <v>5</v>
      </c>
      <c r="AU30" s="55">
        <v>50</v>
      </c>
      <c r="AV30" s="55">
        <v>0</v>
      </c>
      <c r="AW30" s="55"/>
      <c r="AX30" s="55"/>
      <c r="AY30" s="56">
        <f t="shared" si="24"/>
        <v>24.7</v>
      </c>
      <c r="AZ30" s="55"/>
      <c r="BA30" s="56">
        <v>6.166666666666667</v>
      </c>
      <c r="BB30" s="41">
        <f>1-BA30/AY30</f>
        <v>0.75033738191632926</v>
      </c>
      <c r="BC30" s="13"/>
      <c r="BD30" s="35"/>
      <c r="BE30" s="13"/>
      <c r="BF30" s="16"/>
      <c r="BG30" s="17">
        <f t="shared" si="18"/>
        <v>0</v>
      </c>
      <c r="BH30" s="16">
        <f>ROUND(IFERROR(IF(F30=1,IF(BC30&lt;AY30*3,AY30*3-BC30,0),IF(BC30&lt;AY30,AY30*0.6-BC30,0)),""),0)</f>
        <v>15</v>
      </c>
    </row>
    <row r="31" spans="1:60" s="21" customFormat="1" ht="12.75" customHeight="1" x14ac:dyDescent="0.2">
      <c r="A31" s="51" t="s">
        <v>648</v>
      </c>
      <c r="B31" s="51" t="s">
        <v>1077</v>
      </c>
      <c r="C31" s="66" t="s">
        <v>1803</v>
      </c>
      <c r="D31" s="65" t="s">
        <v>744</v>
      </c>
      <c r="E31" s="67" t="s">
        <v>727</v>
      </c>
      <c r="F31" s="53">
        <f>IFERROR(VLOOKUP(E31,Fornecedores!$A$2:$B$2700,2,FALSE),"")</f>
        <v>1</v>
      </c>
      <c r="G31" s="52" t="s">
        <v>649</v>
      </c>
      <c r="H31" s="54"/>
      <c r="I31" s="55">
        <f t="shared" si="19"/>
        <v>60</v>
      </c>
      <c r="J31" s="55">
        <v>0</v>
      </c>
      <c r="K31" s="55">
        <v>60</v>
      </c>
      <c r="L31" s="55">
        <v>0</v>
      </c>
      <c r="M31" s="55">
        <v>0</v>
      </c>
      <c r="N31" s="55">
        <f t="shared" si="20"/>
        <v>36</v>
      </c>
      <c r="O31" s="55">
        <v>2</v>
      </c>
      <c r="P31" s="55">
        <v>34</v>
      </c>
      <c r="Q31" s="55">
        <v>0</v>
      </c>
      <c r="R31" s="55">
        <f t="shared" si="21"/>
        <v>48</v>
      </c>
      <c r="S31" s="55">
        <v>0</v>
      </c>
      <c r="T31" s="55">
        <v>42</v>
      </c>
      <c r="U31" s="55">
        <v>6</v>
      </c>
      <c r="V31" s="55">
        <v>84</v>
      </c>
      <c r="W31" s="53">
        <v>8</v>
      </c>
      <c r="X31" s="53">
        <v>56</v>
      </c>
      <c r="Y31" s="55">
        <v>20</v>
      </c>
      <c r="Z31" s="55">
        <v>76</v>
      </c>
      <c r="AA31" s="53">
        <v>0</v>
      </c>
      <c r="AB31" s="53">
        <v>72</v>
      </c>
      <c r="AC31" s="55">
        <v>4</v>
      </c>
      <c r="AD31" s="55">
        <f t="shared" si="22"/>
        <v>76</v>
      </c>
      <c r="AE31" s="53">
        <v>0</v>
      </c>
      <c r="AF31" s="55">
        <v>72</v>
      </c>
      <c r="AG31" s="55">
        <v>4</v>
      </c>
      <c r="AH31" s="55">
        <f t="shared" si="23"/>
        <v>54</v>
      </c>
      <c r="AI31" s="55">
        <v>4</v>
      </c>
      <c r="AJ31" s="55">
        <v>50</v>
      </c>
      <c r="AK31" s="55">
        <v>0</v>
      </c>
      <c r="AL31" s="55">
        <f t="shared" si="8"/>
        <v>63</v>
      </c>
      <c r="AM31" s="55">
        <v>3</v>
      </c>
      <c r="AN31" s="55">
        <v>58</v>
      </c>
      <c r="AO31" s="55">
        <v>2</v>
      </c>
      <c r="AP31" s="55">
        <f t="shared" si="9"/>
        <v>42</v>
      </c>
      <c r="AQ31" s="55">
        <f>IFERROR(VLOOKUP(A31,[1]SIIMPLES!$A$2:$F$418,6,FALSE),0)</f>
        <v>2</v>
      </c>
      <c r="AR31" s="55">
        <v>40</v>
      </c>
      <c r="AS31" s="55">
        <v>42</v>
      </c>
      <c r="AT31" s="55">
        <v>0</v>
      </c>
      <c r="AU31" s="55">
        <v>42</v>
      </c>
      <c r="AV31" s="55">
        <v>0</v>
      </c>
      <c r="AW31" s="55"/>
      <c r="AX31" s="55"/>
      <c r="AY31" s="56">
        <f t="shared" si="24"/>
        <v>58.1</v>
      </c>
      <c r="AZ31" s="55"/>
      <c r="BA31" s="56">
        <v>77.166666666666671</v>
      </c>
      <c r="BB31" s="41">
        <f t="shared" ref="BB31:BB36" si="25">IFERROR(AY31/BA31-1,"")</f>
        <v>-0.2470842332613391</v>
      </c>
      <c r="BC31" s="13"/>
      <c r="BD31" s="35"/>
      <c r="BE31" s="13"/>
      <c r="BF31" s="16"/>
      <c r="BG31" s="17">
        <f t="shared" si="18"/>
        <v>0</v>
      </c>
      <c r="BH31" s="16">
        <f>ROUND(IFERROR(IF(F31=1,IF(BC31&lt;AY31*3,AY31*3-BC31,0),IF(BC31&lt;AY31,AY31*0.6-BC31,0)),""),0)</f>
        <v>174</v>
      </c>
    </row>
    <row r="32" spans="1:60" s="21" customFormat="1" ht="12.75" customHeight="1" x14ac:dyDescent="0.2">
      <c r="A32" s="51">
        <v>442090</v>
      </c>
      <c r="B32" s="51" t="s">
        <v>1077</v>
      </c>
      <c r="C32" s="66" t="s">
        <v>1803</v>
      </c>
      <c r="D32" s="52" t="s">
        <v>728</v>
      </c>
      <c r="E32" s="65" t="s">
        <v>780</v>
      </c>
      <c r="F32" s="53">
        <f>IFERROR(VLOOKUP(E32,Fornecedores!$A$2:$B$2700,2,FALSE),"")</f>
        <v>2</v>
      </c>
      <c r="G32" s="52" t="s">
        <v>672</v>
      </c>
      <c r="H32" s="57"/>
      <c r="I32" s="55">
        <f t="shared" si="19"/>
        <v>10</v>
      </c>
      <c r="J32" s="55">
        <v>5</v>
      </c>
      <c r="K32" s="55">
        <v>5</v>
      </c>
      <c r="L32" s="55">
        <v>0</v>
      </c>
      <c r="M32" s="55">
        <v>0</v>
      </c>
      <c r="N32" s="55">
        <f t="shared" si="20"/>
        <v>10</v>
      </c>
      <c r="O32" s="55">
        <v>1</v>
      </c>
      <c r="P32" s="55">
        <v>9</v>
      </c>
      <c r="Q32" s="55">
        <v>0</v>
      </c>
      <c r="R32" s="55">
        <f t="shared" si="21"/>
        <v>10</v>
      </c>
      <c r="S32" s="55">
        <v>0</v>
      </c>
      <c r="T32" s="55">
        <v>10</v>
      </c>
      <c r="U32" s="55">
        <v>0</v>
      </c>
      <c r="V32" s="55">
        <v>20</v>
      </c>
      <c r="W32" s="53">
        <v>0</v>
      </c>
      <c r="X32" s="53">
        <v>15</v>
      </c>
      <c r="Y32" s="55">
        <v>5</v>
      </c>
      <c r="Z32" s="55">
        <v>5</v>
      </c>
      <c r="AA32" s="53">
        <v>2</v>
      </c>
      <c r="AB32" s="53">
        <v>3</v>
      </c>
      <c r="AC32" s="55">
        <v>0</v>
      </c>
      <c r="AD32" s="55">
        <f t="shared" si="22"/>
        <v>59</v>
      </c>
      <c r="AE32" s="53">
        <v>0</v>
      </c>
      <c r="AF32" s="55">
        <v>29</v>
      </c>
      <c r="AG32" s="55">
        <v>30</v>
      </c>
      <c r="AH32" s="55">
        <f t="shared" si="23"/>
        <v>20</v>
      </c>
      <c r="AI32" s="55">
        <v>0</v>
      </c>
      <c r="AJ32" s="55">
        <v>20</v>
      </c>
      <c r="AK32" s="55">
        <v>0</v>
      </c>
      <c r="AL32" s="55">
        <f t="shared" si="8"/>
        <v>36</v>
      </c>
      <c r="AM32" s="55" t="s">
        <v>1912</v>
      </c>
      <c r="AN32" s="55">
        <v>30</v>
      </c>
      <c r="AO32" s="55">
        <v>6</v>
      </c>
      <c r="AP32" s="55">
        <f t="shared" si="9"/>
        <v>40</v>
      </c>
      <c r="AQ32" s="55">
        <f>IFERROR(VLOOKUP(A32,[1]SIIMPLES!$A$2:$F$418,6,FALSE),0)</f>
        <v>0</v>
      </c>
      <c r="AR32" s="55">
        <v>40</v>
      </c>
      <c r="AS32" s="55">
        <v>48</v>
      </c>
      <c r="AT32" s="55">
        <v>0</v>
      </c>
      <c r="AU32" s="55">
        <v>48</v>
      </c>
      <c r="AV32" s="55">
        <v>0</v>
      </c>
      <c r="AW32" s="55"/>
      <c r="AX32" s="55"/>
      <c r="AY32" s="56">
        <f t="shared" si="24"/>
        <v>25.8</v>
      </c>
      <c r="AZ32" s="55"/>
      <c r="BA32" s="56">
        <v>5.5</v>
      </c>
      <c r="BB32" s="41">
        <f t="shared" si="25"/>
        <v>3.6909090909090914</v>
      </c>
      <c r="BC32" s="13"/>
      <c r="BD32" s="35"/>
      <c r="BE32" s="13"/>
      <c r="BF32" s="16"/>
      <c r="BG32" s="17">
        <f t="shared" si="18"/>
        <v>0</v>
      </c>
      <c r="BH32" s="16">
        <f>ROUND(IFERROR(IF(F32=1,IF(BC32&lt;AY32*3,AY32*3-BC32,0),IF(BC32&lt;AY32,AY32*0.6-BC32,0)),""),0)</f>
        <v>15</v>
      </c>
    </row>
    <row r="33" spans="1:60" s="21" customFormat="1" ht="12.75" customHeight="1" x14ac:dyDescent="0.2">
      <c r="A33" s="51">
        <v>442091</v>
      </c>
      <c r="B33" s="51" t="s">
        <v>1077</v>
      </c>
      <c r="C33" s="66" t="s">
        <v>1803</v>
      </c>
      <c r="D33" s="52" t="s">
        <v>728</v>
      </c>
      <c r="E33" s="65" t="s">
        <v>780</v>
      </c>
      <c r="F33" s="53">
        <f>IFERROR(VLOOKUP(E33,Fornecedores!$A$2:$B$2700,2,FALSE),"")</f>
        <v>2</v>
      </c>
      <c r="G33" s="52" t="s">
        <v>265</v>
      </c>
      <c r="H33" s="57"/>
      <c r="I33" s="55">
        <f t="shared" si="19"/>
        <v>7</v>
      </c>
      <c r="J33" s="55">
        <v>0</v>
      </c>
      <c r="K33" s="55">
        <v>7</v>
      </c>
      <c r="L33" s="55">
        <v>0</v>
      </c>
      <c r="M33" s="55">
        <v>0</v>
      </c>
      <c r="N33" s="55">
        <f t="shared" si="20"/>
        <v>11</v>
      </c>
      <c r="O33" s="55">
        <v>0</v>
      </c>
      <c r="P33" s="55">
        <v>11</v>
      </c>
      <c r="Q33" s="55">
        <v>0</v>
      </c>
      <c r="R33" s="55">
        <f t="shared" si="21"/>
        <v>10</v>
      </c>
      <c r="S33" s="55">
        <v>0</v>
      </c>
      <c r="T33" s="55">
        <v>10</v>
      </c>
      <c r="U33" s="55">
        <v>0</v>
      </c>
      <c r="V33" s="55">
        <v>20</v>
      </c>
      <c r="W33" s="53">
        <v>0</v>
      </c>
      <c r="X33" s="53">
        <v>15</v>
      </c>
      <c r="Y33" s="55">
        <v>5</v>
      </c>
      <c r="Z33" s="55">
        <v>5</v>
      </c>
      <c r="AA33" s="53">
        <v>2</v>
      </c>
      <c r="AB33" s="53">
        <v>3</v>
      </c>
      <c r="AC33" s="55">
        <v>0</v>
      </c>
      <c r="AD33" s="55">
        <f t="shared" si="22"/>
        <v>59</v>
      </c>
      <c r="AE33" s="53">
        <v>0</v>
      </c>
      <c r="AF33" s="55">
        <v>29</v>
      </c>
      <c r="AG33" s="55">
        <v>30</v>
      </c>
      <c r="AH33" s="55">
        <f t="shared" si="23"/>
        <v>20</v>
      </c>
      <c r="AI33" s="55">
        <v>0</v>
      </c>
      <c r="AJ33" s="55">
        <v>20</v>
      </c>
      <c r="AK33" s="55">
        <v>0</v>
      </c>
      <c r="AL33" s="55">
        <f t="shared" si="8"/>
        <v>36</v>
      </c>
      <c r="AM33" s="55" t="s">
        <v>1912</v>
      </c>
      <c r="AN33" s="55">
        <v>30</v>
      </c>
      <c r="AO33" s="55">
        <v>6</v>
      </c>
      <c r="AP33" s="55">
        <f t="shared" si="9"/>
        <v>40</v>
      </c>
      <c r="AQ33" s="55">
        <f>IFERROR(VLOOKUP(A33,[1]SIIMPLES!$A$2:$F$418,6,FALSE),0)</f>
        <v>0</v>
      </c>
      <c r="AR33" s="55">
        <v>40</v>
      </c>
      <c r="AS33" s="55">
        <v>50</v>
      </c>
      <c r="AT33" s="55">
        <v>2</v>
      </c>
      <c r="AU33" s="55">
        <v>48</v>
      </c>
      <c r="AV33" s="55">
        <v>0</v>
      </c>
      <c r="AW33" s="55"/>
      <c r="AX33" s="55"/>
      <c r="AY33" s="56">
        <f t="shared" si="24"/>
        <v>25.8</v>
      </c>
      <c r="AZ33" s="55"/>
      <c r="BA33" s="56">
        <v>5.666666666666667</v>
      </c>
      <c r="BB33" s="41">
        <f t="shared" si="25"/>
        <v>3.552941176470588</v>
      </c>
      <c r="BC33" s="13"/>
      <c r="BD33" s="35"/>
      <c r="BE33" s="13"/>
      <c r="BF33" s="16"/>
      <c r="BG33" s="17">
        <f t="shared" si="18"/>
        <v>0</v>
      </c>
      <c r="BH33" s="16">
        <f>IFERROR(IF(F33=1,IF(BC33&lt;AY33*3,AY33*3-BC33,0),IF(BC33&lt;AY33,AY33-BC33,0)),"")</f>
        <v>25.8</v>
      </c>
    </row>
    <row r="34" spans="1:60" s="21" customFormat="1" ht="12.75" customHeight="1" x14ac:dyDescent="0.2">
      <c r="A34" s="51">
        <v>28006</v>
      </c>
      <c r="B34" s="51" t="s">
        <v>1077</v>
      </c>
      <c r="C34" s="66" t="s">
        <v>1803</v>
      </c>
      <c r="D34" s="52" t="s">
        <v>749</v>
      </c>
      <c r="E34" s="52" t="s">
        <v>750</v>
      </c>
      <c r="F34" s="53">
        <f>IFERROR(VLOOKUP(E34,Fornecedores!$A$2:$B$2700,2,FALSE),"")</f>
        <v>4</v>
      </c>
      <c r="G34" s="52" t="s">
        <v>395</v>
      </c>
      <c r="H34" s="54"/>
      <c r="I34" s="55">
        <f t="shared" si="19"/>
        <v>26</v>
      </c>
      <c r="J34" s="55">
        <v>0</v>
      </c>
      <c r="K34" s="55">
        <v>26</v>
      </c>
      <c r="L34" s="55">
        <v>0</v>
      </c>
      <c r="M34" s="55">
        <v>0</v>
      </c>
      <c r="N34" s="55">
        <f t="shared" si="20"/>
        <v>36</v>
      </c>
      <c r="O34" s="55">
        <v>6</v>
      </c>
      <c r="P34" s="55">
        <v>30</v>
      </c>
      <c r="Q34" s="55">
        <v>0</v>
      </c>
      <c r="R34" s="55">
        <f t="shared" si="21"/>
        <v>9</v>
      </c>
      <c r="S34" s="55">
        <v>1</v>
      </c>
      <c r="T34" s="55">
        <v>6</v>
      </c>
      <c r="U34" s="55">
        <v>2</v>
      </c>
      <c r="V34" s="55">
        <v>29</v>
      </c>
      <c r="W34" s="53">
        <v>9</v>
      </c>
      <c r="X34" s="53">
        <v>20</v>
      </c>
      <c r="Y34" s="55">
        <v>0</v>
      </c>
      <c r="Z34" s="55">
        <v>34</v>
      </c>
      <c r="AA34" s="53">
        <v>2</v>
      </c>
      <c r="AB34" s="53">
        <v>32</v>
      </c>
      <c r="AC34" s="55">
        <v>0</v>
      </c>
      <c r="AD34" s="55">
        <f t="shared" si="22"/>
        <v>43</v>
      </c>
      <c r="AE34" s="53">
        <v>3</v>
      </c>
      <c r="AF34" s="55">
        <v>40</v>
      </c>
      <c r="AG34" s="55">
        <v>0</v>
      </c>
      <c r="AH34" s="55">
        <f t="shared" si="23"/>
        <v>27</v>
      </c>
      <c r="AI34" s="55">
        <v>1</v>
      </c>
      <c r="AJ34" s="55">
        <v>26</v>
      </c>
      <c r="AK34" s="55">
        <v>0</v>
      </c>
      <c r="AL34" s="55">
        <f t="shared" si="8"/>
        <v>12</v>
      </c>
      <c r="AM34" s="55">
        <v>2</v>
      </c>
      <c r="AN34" s="55">
        <v>10</v>
      </c>
      <c r="AO34" s="55">
        <v>0</v>
      </c>
      <c r="AP34" s="55">
        <f t="shared" si="9"/>
        <v>39</v>
      </c>
      <c r="AQ34" s="55">
        <f>IFERROR(VLOOKUP(A34,[1]SIIMPLES!$A$2:$F$418,6,FALSE),0)</f>
        <v>9</v>
      </c>
      <c r="AR34" s="55">
        <v>30</v>
      </c>
      <c r="AS34" s="55">
        <v>45</v>
      </c>
      <c r="AT34" s="55">
        <v>1</v>
      </c>
      <c r="AU34" s="55">
        <v>44</v>
      </c>
      <c r="AV34" s="55">
        <v>0</v>
      </c>
      <c r="AW34" s="55"/>
      <c r="AX34" s="55"/>
      <c r="AY34" s="56">
        <f t="shared" si="24"/>
        <v>30</v>
      </c>
      <c r="AZ34" s="55"/>
      <c r="BA34" s="56">
        <v>53.666666666666664</v>
      </c>
      <c r="BB34" s="41">
        <f t="shared" si="25"/>
        <v>-0.44099378881987572</v>
      </c>
      <c r="BC34" s="13"/>
      <c r="BD34" s="36"/>
      <c r="BE34" s="7"/>
      <c r="BF34" s="7"/>
      <c r="BG34" s="7"/>
      <c r="BH34" s="7"/>
    </row>
    <row r="35" spans="1:60" s="21" customFormat="1" ht="12.75" customHeight="1" x14ac:dyDescent="0.2">
      <c r="A35" s="51">
        <v>112001</v>
      </c>
      <c r="B35" s="51" t="s">
        <v>1077</v>
      </c>
      <c r="C35" s="66" t="s">
        <v>1803</v>
      </c>
      <c r="D35" s="52" t="s">
        <v>728</v>
      </c>
      <c r="E35" s="65" t="s">
        <v>780</v>
      </c>
      <c r="F35" s="53">
        <f>IFERROR(VLOOKUP(E35,Fornecedores!$A$2:$B$2700,2,FALSE),"")</f>
        <v>2</v>
      </c>
      <c r="G35" s="52" t="s">
        <v>405</v>
      </c>
      <c r="H35" s="57"/>
      <c r="I35" s="55">
        <f t="shared" si="19"/>
        <v>10</v>
      </c>
      <c r="J35" s="55">
        <v>2</v>
      </c>
      <c r="K35" s="55">
        <v>8</v>
      </c>
      <c r="L35" s="55">
        <v>0</v>
      </c>
      <c r="M35" s="55">
        <v>0</v>
      </c>
      <c r="N35" s="55">
        <f t="shared" si="20"/>
        <v>6</v>
      </c>
      <c r="O35" s="55">
        <v>0</v>
      </c>
      <c r="P35" s="55">
        <v>6</v>
      </c>
      <c r="Q35" s="55">
        <v>0</v>
      </c>
      <c r="R35" s="55">
        <f t="shared" si="21"/>
        <v>11</v>
      </c>
      <c r="S35" s="55">
        <v>3</v>
      </c>
      <c r="T35" s="55">
        <v>4</v>
      </c>
      <c r="U35" s="55">
        <v>4</v>
      </c>
      <c r="V35" s="55">
        <v>19</v>
      </c>
      <c r="W35" s="53">
        <v>3</v>
      </c>
      <c r="X35" s="53">
        <v>16</v>
      </c>
      <c r="Y35" s="55">
        <v>0</v>
      </c>
      <c r="Z35" s="55">
        <v>33</v>
      </c>
      <c r="AA35" s="53">
        <v>1</v>
      </c>
      <c r="AB35" s="53">
        <v>22</v>
      </c>
      <c r="AC35" s="55">
        <v>10</v>
      </c>
      <c r="AD35" s="55">
        <f t="shared" si="22"/>
        <v>28</v>
      </c>
      <c r="AE35" s="53">
        <v>0</v>
      </c>
      <c r="AF35" s="55">
        <v>28</v>
      </c>
      <c r="AG35" s="55">
        <v>0</v>
      </c>
      <c r="AH35" s="55">
        <f t="shared" si="23"/>
        <v>25</v>
      </c>
      <c r="AI35" s="55">
        <v>5</v>
      </c>
      <c r="AJ35" s="55">
        <v>20</v>
      </c>
      <c r="AK35" s="55">
        <v>0</v>
      </c>
      <c r="AL35" s="55">
        <f t="shared" ref="AL35:AL66" si="26">SUM(AM35:AO35)</f>
        <v>37</v>
      </c>
      <c r="AM35" s="55">
        <v>5</v>
      </c>
      <c r="AN35" s="55">
        <v>32</v>
      </c>
      <c r="AO35" s="55">
        <v>0</v>
      </c>
      <c r="AP35" s="55">
        <f t="shared" si="9"/>
        <v>39</v>
      </c>
      <c r="AQ35" s="55">
        <f>IFERROR(VLOOKUP(A35,[1]SIIMPLES!$A$2:$F$418,6,FALSE),0)</f>
        <v>3</v>
      </c>
      <c r="AR35" s="55">
        <v>36</v>
      </c>
      <c r="AS35" s="55">
        <v>64</v>
      </c>
      <c r="AT35" s="55">
        <v>20</v>
      </c>
      <c r="AU35" s="55">
        <v>42</v>
      </c>
      <c r="AV35" s="55">
        <v>2</v>
      </c>
      <c r="AW35" s="55"/>
      <c r="AX35" s="55"/>
      <c r="AY35" s="56">
        <f t="shared" si="24"/>
        <v>27.2</v>
      </c>
      <c r="AZ35" s="55"/>
      <c r="BA35" s="56">
        <v>14.333333333333334</v>
      </c>
      <c r="BB35" s="41">
        <f t="shared" si="25"/>
        <v>0.89767441860465103</v>
      </c>
      <c r="BC35" s="13"/>
      <c r="BD35" s="35"/>
      <c r="BE35" s="13"/>
      <c r="BF35" s="16">
        <f>SUM(BC35:BE35)</f>
        <v>0</v>
      </c>
      <c r="BG35" s="17">
        <f t="shared" ref="BG35:BG56" si="27">IFERROR(BC35/AY35,"0")</f>
        <v>0</v>
      </c>
      <c r="BH35" s="16">
        <f t="shared" ref="BH35:BH46" si="28">IFERROR(IF(F35=1,IF(BC35&lt;AY35*3,AY35*3-BC35,0),IF(BC35&lt;AY35,AY35-BC35,0)),"")</f>
        <v>27.2</v>
      </c>
    </row>
    <row r="36" spans="1:60" s="21" customFormat="1" ht="12.75" customHeight="1" x14ac:dyDescent="0.2">
      <c r="A36" s="51" t="s">
        <v>351</v>
      </c>
      <c r="B36" s="51" t="s">
        <v>1077</v>
      </c>
      <c r="C36" s="66" t="s">
        <v>1803</v>
      </c>
      <c r="D36" s="65" t="s">
        <v>740</v>
      </c>
      <c r="E36" s="67" t="s">
        <v>727</v>
      </c>
      <c r="F36" s="53">
        <f>IFERROR(VLOOKUP(E36,Fornecedores!$A$2:$B$2700,2,FALSE),"")</f>
        <v>1</v>
      </c>
      <c r="G36" s="52" t="s">
        <v>352</v>
      </c>
      <c r="H36" s="54"/>
      <c r="I36" s="55">
        <f t="shared" si="19"/>
        <v>85</v>
      </c>
      <c r="J36" s="55">
        <v>37</v>
      </c>
      <c r="K36" s="55">
        <v>48</v>
      </c>
      <c r="L36" s="55">
        <v>0</v>
      </c>
      <c r="M36" s="55">
        <v>0</v>
      </c>
      <c r="N36" s="55">
        <f t="shared" si="20"/>
        <v>173</v>
      </c>
      <c r="O36" s="55">
        <v>35</v>
      </c>
      <c r="P36" s="55">
        <v>38</v>
      </c>
      <c r="Q36" s="55">
        <v>100</v>
      </c>
      <c r="R36" s="55">
        <f t="shared" si="21"/>
        <v>56</v>
      </c>
      <c r="S36" s="55">
        <v>26</v>
      </c>
      <c r="T36" s="55">
        <v>30</v>
      </c>
      <c r="U36" s="55">
        <v>0</v>
      </c>
      <c r="V36" s="55">
        <v>106</v>
      </c>
      <c r="W36" s="53">
        <v>40</v>
      </c>
      <c r="X36" s="53">
        <v>66</v>
      </c>
      <c r="Y36" s="55">
        <v>0</v>
      </c>
      <c r="Z36" s="55">
        <v>52</v>
      </c>
      <c r="AA36" s="53">
        <v>14</v>
      </c>
      <c r="AB36" s="53">
        <v>38</v>
      </c>
      <c r="AC36" s="55">
        <v>0</v>
      </c>
      <c r="AD36" s="55">
        <f t="shared" si="22"/>
        <v>81</v>
      </c>
      <c r="AE36" s="53">
        <v>21</v>
      </c>
      <c r="AF36" s="55">
        <v>50</v>
      </c>
      <c r="AG36" s="55">
        <v>10</v>
      </c>
      <c r="AH36" s="55">
        <f t="shared" si="23"/>
        <v>60</v>
      </c>
      <c r="AI36" s="55">
        <v>22</v>
      </c>
      <c r="AJ36" s="55">
        <v>38</v>
      </c>
      <c r="AK36" s="55">
        <v>0</v>
      </c>
      <c r="AL36" s="55">
        <f t="shared" si="26"/>
        <v>123</v>
      </c>
      <c r="AM36" s="55">
        <v>41</v>
      </c>
      <c r="AN36" s="55">
        <v>32</v>
      </c>
      <c r="AO36" s="55">
        <v>50</v>
      </c>
      <c r="AP36" s="55">
        <f t="shared" si="9"/>
        <v>39</v>
      </c>
      <c r="AQ36" s="55">
        <f>IFERROR(VLOOKUP(A36,[1]SIIMPLES!$A$2:$F$418,6,FALSE),0)</f>
        <v>13</v>
      </c>
      <c r="AR36" s="55">
        <v>26</v>
      </c>
      <c r="AS36" s="55">
        <v>39</v>
      </c>
      <c r="AT36" s="55">
        <v>11</v>
      </c>
      <c r="AU36" s="55">
        <v>28</v>
      </c>
      <c r="AV36" s="55">
        <v>0</v>
      </c>
      <c r="AW36" s="55"/>
      <c r="AX36" s="55"/>
      <c r="AY36" s="56">
        <f t="shared" si="24"/>
        <v>81.400000000000006</v>
      </c>
      <c r="AZ36" s="55"/>
      <c r="BA36" s="56">
        <v>151.16666666666666</v>
      </c>
      <c r="BB36" s="41">
        <f t="shared" si="25"/>
        <v>-0.461521499448732</v>
      </c>
      <c r="BC36" s="13"/>
      <c r="BD36" s="35"/>
      <c r="BE36" s="13"/>
      <c r="BF36" s="16"/>
      <c r="BG36" s="17">
        <f t="shared" si="27"/>
        <v>0</v>
      </c>
      <c r="BH36" s="16">
        <f t="shared" si="28"/>
        <v>244.20000000000002</v>
      </c>
    </row>
    <row r="37" spans="1:60" s="21" customFormat="1" ht="12.75" customHeight="1" x14ac:dyDescent="0.2">
      <c r="A37" s="51">
        <v>13125</v>
      </c>
      <c r="B37" s="51" t="s">
        <v>1077</v>
      </c>
      <c r="C37" s="66" t="s">
        <v>1803</v>
      </c>
      <c r="D37" s="52" t="s">
        <v>749</v>
      </c>
      <c r="E37" s="52" t="s">
        <v>750</v>
      </c>
      <c r="F37" s="53">
        <f>IFERROR(VLOOKUP(E37,Fornecedores!$A$2:$B$2700,2,FALSE),"")</f>
        <v>4</v>
      </c>
      <c r="G37" s="52" t="s">
        <v>387</v>
      </c>
      <c r="H37" s="54"/>
      <c r="I37" s="55">
        <f t="shared" si="19"/>
        <v>61</v>
      </c>
      <c r="J37" s="55">
        <v>25</v>
      </c>
      <c r="K37" s="55">
        <v>36</v>
      </c>
      <c r="L37" s="55">
        <v>0</v>
      </c>
      <c r="M37" s="55">
        <v>0</v>
      </c>
      <c r="N37" s="55">
        <f t="shared" si="20"/>
        <v>54</v>
      </c>
      <c r="O37" s="55">
        <v>16</v>
      </c>
      <c r="P37" s="55">
        <v>38</v>
      </c>
      <c r="Q37" s="55">
        <v>0</v>
      </c>
      <c r="R37" s="55">
        <f t="shared" si="21"/>
        <v>39</v>
      </c>
      <c r="S37" s="55">
        <v>19</v>
      </c>
      <c r="T37" s="55">
        <v>20</v>
      </c>
      <c r="U37" s="55">
        <v>0</v>
      </c>
      <c r="V37" s="55">
        <v>69</v>
      </c>
      <c r="W37" s="53">
        <v>31</v>
      </c>
      <c r="X37" s="53">
        <v>38</v>
      </c>
      <c r="Y37" s="55">
        <v>0</v>
      </c>
      <c r="Z37" s="55">
        <v>43</v>
      </c>
      <c r="AA37" s="53">
        <v>15</v>
      </c>
      <c r="AB37" s="53">
        <v>28</v>
      </c>
      <c r="AC37" s="55">
        <v>0</v>
      </c>
      <c r="AD37" s="55">
        <f t="shared" si="22"/>
        <v>41</v>
      </c>
      <c r="AE37" s="53">
        <v>15</v>
      </c>
      <c r="AF37" s="55">
        <v>26</v>
      </c>
      <c r="AG37" s="55">
        <v>0</v>
      </c>
      <c r="AH37" s="55">
        <f t="shared" si="23"/>
        <v>25</v>
      </c>
      <c r="AI37" s="55">
        <v>17</v>
      </c>
      <c r="AJ37" s="55">
        <v>8</v>
      </c>
      <c r="AK37" s="55">
        <v>0</v>
      </c>
      <c r="AL37" s="55">
        <f t="shared" si="26"/>
        <v>32</v>
      </c>
      <c r="AM37" s="55">
        <v>4</v>
      </c>
      <c r="AN37" s="55">
        <v>28</v>
      </c>
      <c r="AO37" s="55">
        <v>0</v>
      </c>
      <c r="AP37" s="55">
        <f t="shared" si="9"/>
        <v>37</v>
      </c>
      <c r="AQ37" s="55">
        <f>IFERROR(VLOOKUP(A37,[1]SIIMPLES!$A$2:$F$418,6,FALSE),0)</f>
        <v>11</v>
      </c>
      <c r="AR37" s="55">
        <v>26</v>
      </c>
      <c r="AS37" s="55">
        <v>84</v>
      </c>
      <c r="AT37" s="55">
        <v>34</v>
      </c>
      <c r="AU37" s="55">
        <v>50</v>
      </c>
      <c r="AV37" s="55">
        <v>0</v>
      </c>
      <c r="AW37" s="55"/>
      <c r="AX37" s="55"/>
      <c r="AY37" s="56">
        <f t="shared" si="24"/>
        <v>48.5</v>
      </c>
      <c r="AZ37" s="55"/>
      <c r="BA37" s="56">
        <v>63</v>
      </c>
      <c r="BB37" s="41">
        <f>1-BA37/AY37</f>
        <v>-0.2989690721649485</v>
      </c>
      <c r="BC37" s="13"/>
      <c r="BD37" s="35"/>
      <c r="BE37" s="13"/>
      <c r="BF37" s="16"/>
      <c r="BG37" s="17">
        <f t="shared" si="27"/>
        <v>0</v>
      </c>
      <c r="BH37" s="16">
        <f t="shared" si="28"/>
        <v>48.5</v>
      </c>
    </row>
    <row r="38" spans="1:60" s="21" customFormat="1" ht="12.75" customHeight="1" x14ac:dyDescent="0.2">
      <c r="A38" s="51" t="s">
        <v>460</v>
      </c>
      <c r="B38" s="51" t="s">
        <v>1077</v>
      </c>
      <c r="C38" s="66" t="s">
        <v>1803</v>
      </c>
      <c r="D38" s="52" t="s">
        <v>731</v>
      </c>
      <c r="E38" s="52" t="s">
        <v>730</v>
      </c>
      <c r="F38" s="53">
        <f>IFERROR(VLOOKUP(E38,Fornecedores!$A$2:$B$2700,2,FALSE),"")</f>
        <v>3</v>
      </c>
      <c r="G38" s="52" t="s">
        <v>461</v>
      </c>
      <c r="H38" s="54"/>
      <c r="I38" s="55">
        <f t="shared" si="19"/>
        <v>34</v>
      </c>
      <c r="J38" s="55">
        <v>33</v>
      </c>
      <c r="K38" s="55">
        <v>0</v>
      </c>
      <c r="L38" s="55">
        <v>0</v>
      </c>
      <c r="M38" s="55">
        <v>1</v>
      </c>
      <c r="N38" s="55">
        <f t="shared" si="20"/>
        <v>35</v>
      </c>
      <c r="O38" s="55">
        <v>35</v>
      </c>
      <c r="P38" s="55">
        <v>0</v>
      </c>
      <c r="Q38" s="55">
        <v>0</v>
      </c>
      <c r="R38" s="55">
        <f t="shared" si="21"/>
        <v>51</v>
      </c>
      <c r="S38" s="55">
        <v>47</v>
      </c>
      <c r="T38" s="55">
        <v>0</v>
      </c>
      <c r="U38" s="55">
        <v>4</v>
      </c>
      <c r="V38" s="55">
        <v>48</v>
      </c>
      <c r="W38" s="53">
        <v>47</v>
      </c>
      <c r="X38" s="53">
        <v>0</v>
      </c>
      <c r="Y38" s="55">
        <v>1</v>
      </c>
      <c r="Z38" s="55">
        <v>42</v>
      </c>
      <c r="AA38" s="53">
        <v>42</v>
      </c>
      <c r="AB38" s="53">
        <v>0</v>
      </c>
      <c r="AC38" s="55">
        <v>0</v>
      </c>
      <c r="AD38" s="55">
        <f t="shared" si="22"/>
        <v>31</v>
      </c>
      <c r="AE38" s="53">
        <v>31</v>
      </c>
      <c r="AF38" s="55">
        <v>0</v>
      </c>
      <c r="AG38" s="55">
        <v>0</v>
      </c>
      <c r="AH38" s="55">
        <f t="shared" si="23"/>
        <v>25</v>
      </c>
      <c r="AI38" s="55">
        <v>25</v>
      </c>
      <c r="AJ38" s="55">
        <v>0</v>
      </c>
      <c r="AK38" s="55">
        <v>0</v>
      </c>
      <c r="AL38" s="55">
        <f t="shared" si="26"/>
        <v>58</v>
      </c>
      <c r="AM38" s="55">
        <v>58</v>
      </c>
      <c r="AN38" s="55">
        <v>0</v>
      </c>
      <c r="AO38" s="55">
        <v>0</v>
      </c>
      <c r="AP38" s="55">
        <f t="shared" si="9"/>
        <v>37</v>
      </c>
      <c r="AQ38" s="55">
        <f>IFERROR(VLOOKUP(A38,[1]SIIMPLES!$A$2:$F$418,6,FALSE),0)</f>
        <v>37</v>
      </c>
      <c r="AR38" s="55">
        <v>0</v>
      </c>
      <c r="AS38" s="55">
        <v>25</v>
      </c>
      <c r="AT38" s="55">
        <v>25</v>
      </c>
      <c r="AU38" s="55">
        <v>0</v>
      </c>
      <c r="AV38" s="55">
        <v>0</v>
      </c>
      <c r="AW38" s="55"/>
      <c r="AX38" s="55"/>
      <c r="AY38" s="56">
        <f t="shared" si="24"/>
        <v>38.6</v>
      </c>
      <c r="AZ38" s="55"/>
      <c r="BA38" s="56">
        <v>77.833333333333329</v>
      </c>
      <c r="BB38" s="41">
        <f>IFERROR(AY38/BA38-1,"")</f>
        <v>-0.50406852248394007</v>
      </c>
      <c r="BC38" s="13"/>
      <c r="BD38" s="35"/>
      <c r="BE38" s="13"/>
      <c r="BF38" s="16"/>
      <c r="BG38" s="17">
        <f t="shared" si="27"/>
        <v>0</v>
      </c>
      <c r="BH38" s="16">
        <f t="shared" si="28"/>
        <v>38.6</v>
      </c>
    </row>
    <row r="39" spans="1:60" s="21" customFormat="1" ht="12.75" customHeight="1" x14ac:dyDescent="0.2">
      <c r="A39" s="69">
        <v>2374</v>
      </c>
      <c r="B39" s="51"/>
      <c r="C39" s="66" t="s">
        <v>1803</v>
      </c>
      <c r="D39" s="65" t="s">
        <v>733</v>
      </c>
      <c r="E39" s="52" t="s">
        <v>730</v>
      </c>
      <c r="F39" s="53">
        <f>IFERROR(VLOOKUP(E39,Fornecedores!$A$2:$B$2700,2,FALSE),"")</f>
        <v>3</v>
      </c>
      <c r="G39" s="52" t="s">
        <v>1700</v>
      </c>
      <c r="H39" s="57"/>
      <c r="I39" s="55">
        <f t="shared" si="19"/>
        <v>0</v>
      </c>
      <c r="J39" s="57"/>
      <c r="K39" s="57"/>
      <c r="L39" s="57"/>
      <c r="M39" s="57"/>
      <c r="N39" s="55">
        <f t="shared" si="20"/>
        <v>0</v>
      </c>
      <c r="O39" s="57"/>
      <c r="P39" s="57"/>
      <c r="Q39" s="57"/>
      <c r="R39" s="55">
        <f t="shared" si="21"/>
        <v>5</v>
      </c>
      <c r="S39" s="55">
        <v>5</v>
      </c>
      <c r="T39" s="55">
        <v>0</v>
      </c>
      <c r="U39" s="57"/>
      <c r="V39" s="55">
        <v>19</v>
      </c>
      <c r="W39" s="53">
        <v>19</v>
      </c>
      <c r="X39" s="53">
        <v>0</v>
      </c>
      <c r="Y39" s="55">
        <v>0</v>
      </c>
      <c r="Z39" s="55">
        <v>20</v>
      </c>
      <c r="AA39" s="53">
        <v>20</v>
      </c>
      <c r="AB39" s="53">
        <v>0</v>
      </c>
      <c r="AC39" s="55">
        <v>0</v>
      </c>
      <c r="AD39" s="55">
        <f t="shared" si="22"/>
        <v>34</v>
      </c>
      <c r="AE39" s="53">
        <v>34</v>
      </c>
      <c r="AF39" s="55">
        <v>0</v>
      </c>
      <c r="AG39" s="55">
        <v>0</v>
      </c>
      <c r="AH39" s="55">
        <f t="shared" si="23"/>
        <v>32</v>
      </c>
      <c r="AI39" s="55">
        <v>32</v>
      </c>
      <c r="AJ39" s="55">
        <v>0</v>
      </c>
      <c r="AK39" s="55">
        <v>0</v>
      </c>
      <c r="AL39" s="55">
        <f t="shared" si="26"/>
        <v>36</v>
      </c>
      <c r="AM39" s="55">
        <v>36</v>
      </c>
      <c r="AN39" s="55">
        <v>0</v>
      </c>
      <c r="AO39" s="55">
        <v>0</v>
      </c>
      <c r="AP39" s="55">
        <f t="shared" si="9"/>
        <v>36</v>
      </c>
      <c r="AQ39" s="55">
        <f>IFERROR(VLOOKUP(A39,[1]SIIMPLES!$A$2:$F$418,6,FALSE),0)</f>
        <v>36</v>
      </c>
      <c r="AR39" s="55">
        <v>0</v>
      </c>
      <c r="AS39" s="55">
        <v>43</v>
      </c>
      <c r="AT39" s="55">
        <v>43</v>
      </c>
      <c r="AU39" s="55">
        <v>0</v>
      </c>
      <c r="AV39" s="55">
        <v>0</v>
      </c>
      <c r="AW39" s="57"/>
      <c r="AX39" s="57"/>
      <c r="AY39" s="56">
        <f t="shared" si="24"/>
        <v>22.5</v>
      </c>
      <c r="AZ39" s="57"/>
      <c r="BA39" s="56" t="s">
        <v>1912</v>
      </c>
      <c r="BB39" s="41" t="e">
        <f>1-BA39/AY39</f>
        <v>#VALUE!</v>
      </c>
      <c r="BC39" s="13"/>
      <c r="BD39" s="35"/>
      <c r="BE39" s="13"/>
      <c r="BF39" s="16"/>
      <c r="BG39" s="17">
        <f t="shared" si="27"/>
        <v>0</v>
      </c>
      <c r="BH39" s="16">
        <f t="shared" si="28"/>
        <v>22.5</v>
      </c>
    </row>
    <row r="40" spans="1:60" s="21" customFormat="1" ht="12.75" customHeight="1" x14ac:dyDescent="0.2">
      <c r="A40" s="51">
        <v>5554</v>
      </c>
      <c r="B40" s="51" t="s">
        <v>1077</v>
      </c>
      <c r="C40" s="66" t="s">
        <v>1803</v>
      </c>
      <c r="D40" s="65" t="s">
        <v>739</v>
      </c>
      <c r="E40" s="52" t="s">
        <v>730</v>
      </c>
      <c r="F40" s="53">
        <f>IFERROR(VLOOKUP(E40,Fornecedores!$A$2:$B$2700,2,FALSE),"")</f>
        <v>3</v>
      </c>
      <c r="G40" s="52" t="s">
        <v>363</v>
      </c>
      <c r="H40" s="54"/>
      <c r="I40" s="55">
        <f t="shared" si="19"/>
        <v>47</v>
      </c>
      <c r="J40" s="55">
        <v>47</v>
      </c>
      <c r="K40" s="55">
        <v>0</v>
      </c>
      <c r="L40" s="55">
        <v>0</v>
      </c>
      <c r="M40" s="55">
        <v>0</v>
      </c>
      <c r="N40" s="55">
        <f t="shared" si="20"/>
        <v>23</v>
      </c>
      <c r="O40" s="55">
        <v>23</v>
      </c>
      <c r="P40" s="55">
        <v>0</v>
      </c>
      <c r="Q40" s="55">
        <v>0</v>
      </c>
      <c r="R40" s="55">
        <f t="shared" si="21"/>
        <v>35</v>
      </c>
      <c r="S40" s="55">
        <v>35</v>
      </c>
      <c r="T40" s="55">
        <v>0</v>
      </c>
      <c r="U40" s="55">
        <v>0</v>
      </c>
      <c r="V40" s="55">
        <v>33</v>
      </c>
      <c r="W40" s="53">
        <v>33</v>
      </c>
      <c r="X40" s="53">
        <v>0</v>
      </c>
      <c r="Y40" s="55">
        <v>0</v>
      </c>
      <c r="Z40" s="55">
        <v>19</v>
      </c>
      <c r="AA40" s="53">
        <v>19</v>
      </c>
      <c r="AB40" s="53">
        <v>0</v>
      </c>
      <c r="AC40" s="55">
        <v>0</v>
      </c>
      <c r="AD40" s="55">
        <f t="shared" si="22"/>
        <v>47</v>
      </c>
      <c r="AE40" s="53">
        <v>47</v>
      </c>
      <c r="AF40" s="55">
        <v>0</v>
      </c>
      <c r="AG40" s="55">
        <v>0</v>
      </c>
      <c r="AH40" s="55">
        <f t="shared" si="23"/>
        <v>32</v>
      </c>
      <c r="AI40" s="55">
        <v>32</v>
      </c>
      <c r="AJ40" s="55">
        <v>0</v>
      </c>
      <c r="AK40" s="55">
        <v>0</v>
      </c>
      <c r="AL40" s="55">
        <f t="shared" si="26"/>
        <v>43</v>
      </c>
      <c r="AM40" s="55">
        <v>43</v>
      </c>
      <c r="AN40" s="55">
        <v>0</v>
      </c>
      <c r="AO40" s="55">
        <v>0</v>
      </c>
      <c r="AP40" s="55">
        <f t="shared" si="9"/>
        <v>35</v>
      </c>
      <c r="AQ40" s="55">
        <f>IFERROR(VLOOKUP(A40,[1]SIIMPLES!$A$2:$F$418,6,FALSE),0)</f>
        <v>35</v>
      </c>
      <c r="AR40" s="55">
        <v>0</v>
      </c>
      <c r="AS40" s="55">
        <v>0</v>
      </c>
      <c r="AT40" s="55">
        <v>0</v>
      </c>
      <c r="AU40" s="55">
        <v>0</v>
      </c>
      <c r="AV40" s="55">
        <v>0</v>
      </c>
      <c r="AW40" s="55"/>
      <c r="AX40" s="55"/>
      <c r="AY40" s="56">
        <f t="shared" si="24"/>
        <v>31.4</v>
      </c>
      <c r="AZ40" s="55"/>
      <c r="BA40" s="56">
        <v>51.333333333333336</v>
      </c>
      <c r="BB40" s="41">
        <f t="shared" ref="BB40:BB47" si="29">IFERROR(AY40/BA40-1,"")</f>
        <v>-0.38831168831168839</v>
      </c>
      <c r="BC40" s="13"/>
      <c r="BD40" s="35"/>
      <c r="BE40" s="7"/>
      <c r="BF40" s="16"/>
      <c r="BG40" s="17">
        <f t="shared" si="27"/>
        <v>0</v>
      </c>
      <c r="BH40" s="16">
        <f t="shared" si="28"/>
        <v>31.4</v>
      </c>
    </row>
    <row r="41" spans="1:60" s="21" customFormat="1" ht="12.75" customHeight="1" x14ac:dyDescent="0.2">
      <c r="A41" s="51">
        <v>14097</v>
      </c>
      <c r="B41" s="51"/>
      <c r="C41" s="66" t="s">
        <v>1803</v>
      </c>
      <c r="D41" s="52" t="s">
        <v>749</v>
      </c>
      <c r="E41" s="52" t="s">
        <v>750</v>
      </c>
      <c r="F41" s="53">
        <f>IFERROR(VLOOKUP(E41,Fornecedores!$A$2:$B$2700,2,FALSE),"")</f>
        <v>4</v>
      </c>
      <c r="G41" s="52" t="s">
        <v>576</v>
      </c>
      <c r="H41" s="54"/>
      <c r="I41" s="55">
        <f t="shared" si="19"/>
        <v>69</v>
      </c>
      <c r="J41" s="55">
        <v>0</v>
      </c>
      <c r="K41" s="55">
        <v>69</v>
      </c>
      <c r="L41" s="55">
        <v>0</v>
      </c>
      <c r="M41" s="55">
        <v>0</v>
      </c>
      <c r="N41" s="55">
        <f t="shared" si="20"/>
        <v>52</v>
      </c>
      <c r="O41" s="55">
        <v>2</v>
      </c>
      <c r="P41" s="55">
        <v>50</v>
      </c>
      <c r="Q41" s="55">
        <v>0</v>
      </c>
      <c r="R41" s="55">
        <f t="shared" si="21"/>
        <v>7</v>
      </c>
      <c r="S41" s="55">
        <v>0</v>
      </c>
      <c r="T41" s="55">
        <v>3</v>
      </c>
      <c r="U41" s="55">
        <v>4</v>
      </c>
      <c r="V41" s="55">
        <v>26</v>
      </c>
      <c r="W41" s="53">
        <v>0</v>
      </c>
      <c r="X41" s="53">
        <v>26</v>
      </c>
      <c r="Y41" s="55">
        <v>0</v>
      </c>
      <c r="Z41" s="55">
        <v>26</v>
      </c>
      <c r="AA41" s="53">
        <v>0</v>
      </c>
      <c r="AB41" s="53">
        <v>26</v>
      </c>
      <c r="AC41" s="55">
        <v>0</v>
      </c>
      <c r="AD41" s="55">
        <f t="shared" si="22"/>
        <v>34</v>
      </c>
      <c r="AE41" s="53">
        <v>0</v>
      </c>
      <c r="AF41" s="55">
        <v>34</v>
      </c>
      <c r="AG41" s="55">
        <v>0</v>
      </c>
      <c r="AH41" s="55">
        <f t="shared" si="23"/>
        <v>39</v>
      </c>
      <c r="AI41" s="55">
        <v>1</v>
      </c>
      <c r="AJ41" s="55">
        <v>38</v>
      </c>
      <c r="AK41" s="55">
        <v>0</v>
      </c>
      <c r="AL41" s="55">
        <f t="shared" si="26"/>
        <v>16</v>
      </c>
      <c r="AM41" s="55" t="s">
        <v>1912</v>
      </c>
      <c r="AN41" s="55">
        <v>16</v>
      </c>
      <c r="AO41" s="55">
        <v>0</v>
      </c>
      <c r="AP41" s="55">
        <f t="shared" si="9"/>
        <v>33</v>
      </c>
      <c r="AQ41" s="55">
        <f>IFERROR(VLOOKUP(A41,[1]SIIMPLES!$A$2:$F$418,6,FALSE),0)</f>
        <v>0</v>
      </c>
      <c r="AR41" s="55">
        <v>33</v>
      </c>
      <c r="AS41" s="55">
        <v>60</v>
      </c>
      <c r="AT41" s="55">
        <v>0</v>
      </c>
      <c r="AU41" s="55">
        <v>60</v>
      </c>
      <c r="AV41" s="55">
        <v>0</v>
      </c>
      <c r="AW41" s="55"/>
      <c r="AX41" s="55"/>
      <c r="AY41" s="56">
        <f t="shared" si="24"/>
        <v>36.200000000000003</v>
      </c>
      <c r="AZ41" s="55"/>
      <c r="BA41" s="56">
        <v>21.166666666666668</v>
      </c>
      <c r="BB41" s="41">
        <f t="shared" si="29"/>
        <v>0.71023622047244106</v>
      </c>
      <c r="BC41" s="13"/>
      <c r="BD41" s="35"/>
      <c r="BE41" s="13"/>
      <c r="BF41" s="16"/>
      <c r="BG41" s="17">
        <f t="shared" si="27"/>
        <v>0</v>
      </c>
      <c r="BH41" s="16">
        <f t="shared" si="28"/>
        <v>36.200000000000003</v>
      </c>
    </row>
    <row r="42" spans="1:60" s="21" customFormat="1" ht="12.75" customHeight="1" x14ac:dyDescent="0.2">
      <c r="A42" s="82" t="s">
        <v>2004</v>
      </c>
      <c r="B42" s="28"/>
      <c r="C42" s="28" t="s">
        <v>1851</v>
      </c>
      <c r="D42" s="83" t="s">
        <v>1761</v>
      </c>
      <c r="E42" s="83" t="s">
        <v>2025</v>
      </c>
      <c r="F42" s="84"/>
      <c r="G42" s="85" t="s">
        <v>2060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3">
        <f t="shared" si="23"/>
        <v>4</v>
      </c>
      <c r="AI42" s="7"/>
      <c r="AJ42" s="7"/>
      <c r="AK42" s="55">
        <v>4</v>
      </c>
      <c r="AL42" s="55">
        <f t="shared" si="26"/>
        <v>0</v>
      </c>
      <c r="AM42" s="55" t="s">
        <v>1912</v>
      </c>
      <c r="AN42" s="55">
        <v>0</v>
      </c>
      <c r="AO42" s="55">
        <v>0</v>
      </c>
      <c r="AP42" s="55">
        <f t="shared" si="9"/>
        <v>32</v>
      </c>
      <c r="AQ42" s="55">
        <f>IFERROR(VLOOKUP(A42,[1]SIIMPLES!$A$2:$F$418,6,FALSE),0)</f>
        <v>32</v>
      </c>
      <c r="AR42" s="55">
        <v>0</v>
      </c>
      <c r="AS42" s="55">
        <v>5</v>
      </c>
      <c r="AT42" s="55">
        <v>5</v>
      </c>
      <c r="AU42" s="55">
        <v>0</v>
      </c>
      <c r="AV42" s="55">
        <v>0</v>
      </c>
      <c r="AW42" s="7"/>
      <c r="AX42" s="7"/>
      <c r="AY42" s="7"/>
      <c r="AZ42" s="7"/>
      <c r="BA42" s="7"/>
      <c r="BB42" s="41" t="str">
        <f t="shared" si="29"/>
        <v/>
      </c>
      <c r="BC42" s="13"/>
      <c r="BD42" s="35"/>
      <c r="BE42" s="13"/>
      <c r="BF42" s="16"/>
      <c r="BG42" s="17" t="str">
        <f t="shared" si="27"/>
        <v>0</v>
      </c>
      <c r="BH42" s="16">
        <f t="shared" si="28"/>
        <v>0</v>
      </c>
    </row>
    <row r="43" spans="1:60" s="21" customFormat="1" ht="12.75" customHeight="1" x14ac:dyDescent="0.2">
      <c r="A43" s="51">
        <v>552032</v>
      </c>
      <c r="B43" s="51" t="s">
        <v>1077</v>
      </c>
      <c r="C43" s="66" t="s">
        <v>1803</v>
      </c>
      <c r="D43" s="52" t="s">
        <v>728</v>
      </c>
      <c r="E43" s="65" t="s">
        <v>780</v>
      </c>
      <c r="F43" s="53">
        <f>IFERROR(VLOOKUP(E43,Fornecedores!$A$2:$B$2700,2,FALSE),"")</f>
        <v>2</v>
      </c>
      <c r="G43" s="52" t="s">
        <v>859</v>
      </c>
      <c r="H43" s="57"/>
      <c r="I43" s="55">
        <f t="shared" ref="I43:I74" si="30">SUM(J43:M43)</f>
        <v>6</v>
      </c>
      <c r="J43" s="55">
        <v>1</v>
      </c>
      <c r="K43" s="55">
        <v>5</v>
      </c>
      <c r="L43" s="55">
        <v>0</v>
      </c>
      <c r="M43" s="55">
        <v>0</v>
      </c>
      <c r="N43" s="55">
        <f t="shared" ref="N43:N74" si="31">SUM(O43:Q43)</f>
        <v>5</v>
      </c>
      <c r="O43" s="55">
        <v>2</v>
      </c>
      <c r="P43" s="55">
        <v>3</v>
      </c>
      <c r="Q43" s="55">
        <v>0</v>
      </c>
      <c r="R43" s="55">
        <f t="shared" ref="R43:R74" si="32">SUM(S43:U43)</f>
        <v>7</v>
      </c>
      <c r="S43" s="55">
        <v>1</v>
      </c>
      <c r="T43" s="55">
        <v>6</v>
      </c>
      <c r="U43" s="55">
        <v>0</v>
      </c>
      <c r="V43" s="55">
        <v>8</v>
      </c>
      <c r="W43" s="53">
        <v>0</v>
      </c>
      <c r="X43" s="53">
        <v>8</v>
      </c>
      <c r="Y43" s="55">
        <v>0</v>
      </c>
      <c r="Z43" s="55">
        <v>4</v>
      </c>
      <c r="AA43" s="53">
        <v>0</v>
      </c>
      <c r="AB43" s="53">
        <v>4</v>
      </c>
      <c r="AC43" s="55">
        <v>0</v>
      </c>
      <c r="AD43" s="55">
        <f t="shared" ref="AD43:AD74" si="33">SUM(AE43:AG43)</f>
        <v>15</v>
      </c>
      <c r="AE43" s="53">
        <v>3</v>
      </c>
      <c r="AF43" s="55">
        <v>12</v>
      </c>
      <c r="AG43" s="55">
        <v>0</v>
      </c>
      <c r="AH43" s="55">
        <f t="shared" si="23"/>
        <v>17</v>
      </c>
      <c r="AI43" s="55">
        <v>5</v>
      </c>
      <c r="AJ43" s="55">
        <v>11</v>
      </c>
      <c r="AK43" s="55">
        <v>1</v>
      </c>
      <c r="AL43" s="55">
        <f t="shared" si="26"/>
        <v>26</v>
      </c>
      <c r="AM43" s="55">
        <v>2</v>
      </c>
      <c r="AN43" s="55">
        <v>24</v>
      </c>
      <c r="AO43" s="55">
        <v>0</v>
      </c>
      <c r="AP43" s="55">
        <f t="shared" si="9"/>
        <v>30</v>
      </c>
      <c r="AQ43" s="55">
        <f>IFERROR(VLOOKUP(A43,[1]SIIMPLES!$A$2:$F$418,6,FALSE),0)</f>
        <v>9</v>
      </c>
      <c r="AR43" s="55">
        <v>21</v>
      </c>
      <c r="AS43" s="55">
        <v>21</v>
      </c>
      <c r="AT43" s="55">
        <v>0</v>
      </c>
      <c r="AU43" s="55">
        <v>21</v>
      </c>
      <c r="AV43" s="55">
        <v>0</v>
      </c>
      <c r="AW43" s="55"/>
      <c r="AX43" s="55"/>
      <c r="AY43" s="56">
        <f t="shared" ref="AY43:AY74" si="34">IFERROR(AVERAGE(I43,N43,R43,V43,Z43,AD43,AH43,AL43,AP43,AS43,AW43,AX43),"-")</f>
        <v>13.9</v>
      </c>
      <c r="AZ43" s="55"/>
      <c r="BA43" s="56">
        <v>2.3333333333333335</v>
      </c>
      <c r="BB43" s="41">
        <f t="shared" si="29"/>
        <v>4.9571428571428573</v>
      </c>
      <c r="BC43" s="13"/>
      <c r="BD43" s="35"/>
      <c r="BE43" s="13"/>
      <c r="BF43" s="16"/>
      <c r="BG43" s="17">
        <f t="shared" si="27"/>
        <v>0</v>
      </c>
      <c r="BH43" s="16">
        <f t="shared" si="28"/>
        <v>13.9</v>
      </c>
    </row>
    <row r="44" spans="1:60" s="21" customFormat="1" ht="12.75" customHeight="1" x14ac:dyDescent="0.2">
      <c r="A44" s="51">
        <v>5307</v>
      </c>
      <c r="B44" s="51" t="s">
        <v>1077</v>
      </c>
      <c r="C44" s="66" t="s">
        <v>1803</v>
      </c>
      <c r="D44" s="52" t="s">
        <v>735</v>
      </c>
      <c r="E44" s="52" t="s">
        <v>736</v>
      </c>
      <c r="F44" s="53">
        <f>IFERROR(VLOOKUP(E44,Fornecedores!$A$2:$B$2700,2,FALSE),"")</f>
        <v>5</v>
      </c>
      <c r="G44" s="52" t="s">
        <v>346</v>
      </c>
      <c r="H44" s="54"/>
      <c r="I44" s="55">
        <f t="shared" si="30"/>
        <v>9</v>
      </c>
      <c r="J44" s="55">
        <v>1</v>
      </c>
      <c r="K44" s="55">
        <v>8</v>
      </c>
      <c r="L44" s="55">
        <v>0</v>
      </c>
      <c r="M44" s="55">
        <v>0</v>
      </c>
      <c r="N44" s="55">
        <f t="shared" si="31"/>
        <v>12</v>
      </c>
      <c r="O44" s="55">
        <v>0</v>
      </c>
      <c r="P44" s="55">
        <v>12</v>
      </c>
      <c r="Q44" s="55">
        <v>0</v>
      </c>
      <c r="R44" s="55">
        <f t="shared" si="32"/>
        <v>6</v>
      </c>
      <c r="S44" s="55">
        <v>0</v>
      </c>
      <c r="T44" s="55">
        <v>6</v>
      </c>
      <c r="U44" s="55">
        <v>0</v>
      </c>
      <c r="V44" s="55">
        <v>4</v>
      </c>
      <c r="W44" s="53">
        <v>0</v>
      </c>
      <c r="X44" s="53">
        <v>4</v>
      </c>
      <c r="Y44" s="55">
        <v>0</v>
      </c>
      <c r="Z44" s="55">
        <v>15</v>
      </c>
      <c r="AA44" s="53">
        <v>0</v>
      </c>
      <c r="AB44" s="53">
        <v>15</v>
      </c>
      <c r="AC44" s="55">
        <v>0</v>
      </c>
      <c r="AD44" s="55">
        <f t="shared" si="33"/>
        <v>34</v>
      </c>
      <c r="AE44" s="53">
        <v>0</v>
      </c>
      <c r="AF44" s="55">
        <v>34</v>
      </c>
      <c r="AG44" s="55">
        <v>0</v>
      </c>
      <c r="AH44" s="55">
        <f t="shared" si="23"/>
        <v>16</v>
      </c>
      <c r="AI44" s="55">
        <v>0</v>
      </c>
      <c r="AJ44" s="55">
        <v>16</v>
      </c>
      <c r="AK44" s="55">
        <v>0</v>
      </c>
      <c r="AL44" s="55">
        <f t="shared" si="26"/>
        <v>8</v>
      </c>
      <c r="AM44" s="55" t="s">
        <v>1912</v>
      </c>
      <c r="AN44" s="55">
        <v>6</v>
      </c>
      <c r="AO44" s="55">
        <v>2</v>
      </c>
      <c r="AP44" s="55">
        <f t="shared" si="9"/>
        <v>28</v>
      </c>
      <c r="AQ44" s="55">
        <f>IFERROR(VLOOKUP(A44,[1]SIIMPLES!$A$2:$F$418,6,FALSE),0)</f>
        <v>0</v>
      </c>
      <c r="AR44" s="55">
        <v>28</v>
      </c>
      <c r="AS44" s="55">
        <v>56</v>
      </c>
      <c r="AT44" s="55">
        <v>0</v>
      </c>
      <c r="AU44" s="55">
        <v>46</v>
      </c>
      <c r="AV44" s="55">
        <v>10</v>
      </c>
      <c r="AW44" s="55"/>
      <c r="AX44" s="55"/>
      <c r="AY44" s="56">
        <f t="shared" si="34"/>
        <v>18.8</v>
      </c>
      <c r="AZ44" s="55"/>
      <c r="BA44" s="56">
        <v>24.333333333333332</v>
      </c>
      <c r="BB44" s="41">
        <f t="shared" si="29"/>
        <v>-0.22739726027397256</v>
      </c>
      <c r="BC44" s="13"/>
      <c r="BD44" s="35"/>
      <c r="BE44" s="13"/>
      <c r="BF44" s="16">
        <f>SUM(BC44:BE44)</f>
        <v>0</v>
      </c>
      <c r="BG44" s="17">
        <f t="shared" si="27"/>
        <v>0</v>
      </c>
      <c r="BH44" s="16">
        <f t="shared" si="28"/>
        <v>18.8</v>
      </c>
    </row>
    <row r="45" spans="1:60" s="21" customFormat="1" ht="12.75" customHeight="1" x14ac:dyDescent="0.2">
      <c r="A45" s="51">
        <v>5701</v>
      </c>
      <c r="B45" s="51" t="s">
        <v>1077</v>
      </c>
      <c r="C45" s="66" t="s">
        <v>1803</v>
      </c>
      <c r="D45" s="52" t="s">
        <v>735</v>
      </c>
      <c r="E45" s="52" t="s">
        <v>736</v>
      </c>
      <c r="F45" s="53">
        <f>IFERROR(VLOOKUP(E45,Fornecedores!$A$2:$B$2700,2,FALSE),"")</f>
        <v>5</v>
      </c>
      <c r="G45" s="52" t="s">
        <v>701</v>
      </c>
      <c r="H45" s="54"/>
      <c r="I45" s="55">
        <f t="shared" si="30"/>
        <v>88</v>
      </c>
      <c r="J45" s="55">
        <v>0</v>
      </c>
      <c r="K45" s="55">
        <v>88</v>
      </c>
      <c r="L45" s="55">
        <v>0</v>
      </c>
      <c r="M45" s="55">
        <v>0</v>
      </c>
      <c r="N45" s="55">
        <f t="shared" si="31"/>
        <v>77</v>
      </c>
      <c r="O45" s="55">
        <v>0</v>
      </c>
      <c r="P45" s="55">
        <v>77</v>
      </c>
      <c r="Q45" s="55">
        <v>0</v>
      </c>
      <c r="R45" s="55">
        <f t="shared" si="32"/>
        <v>77</v>
      </c>
      <c r="S45" s="55">
        <v>3</v>
      </c>
      <c r="T45" s="55">
        <v>74</v>
      </c>
      <c r="U45" s="55">
        <v>0</v>
      </c>
      <c r="V45" s="55">
        <v>58</v>
      </c>
      <c r="W45" s="53">
        <v>0</v>
      </c>
      <c r="X45" s="53">
        <v>58</v>
      </c>
      <c r="Y45" s="55">
        <v>0</v>
      </c>
      <c r="Z45" s="55">
        <v>35</v>
      </c>
      <c r="AA45" s="53">
        <v>0</v>
      </c>
      <c r="AB45" s="53">
        <v>35</v>
      </c>
      <c r="AC45" s="55">
        <v>0</v>
      </c>
      <c r="AD45" s="55">
        <f t="shared" si="33"/>
        <v>34</v>
      </c>
      <c r="AE45" s="53">
        <v>0</v>
      </c>
      <c r="AF45" s="55">
        <v>34</v>
      </c>
      <c r="AG45" s="55">
        <v>0</v>
      </c>
      <c r="AH45" s="55">
        <f t="shared" si="23"/>
        <v>15</v>
      </c>
      <c r="AI45" s="55">
        <v>1</v>
      </c>
      <c r="AJ45" s="55">
        <v>14</v>
      </c>
      <c r="AK45" s="55">
        <v>0</v>
      </c>
      <c r="AL45" s="55">
        <f t="shared" si="26"/>
        <v>36</v>
      </c>
      <c r="AM45" s="55" t="s">
        <v>1912</v>
      </c>
      <c r="AN45" s="55">
        <v>36</v>
      </c>
      <c r="AO45" s="55">
        <v>0</v>
      </c>
      <c r="AP45" s="55">
        <f t="shared" si="9"/>
        <v>28</v>
      </c>
      <c r="AQ45" s="55">
        <f>IFERROR(VLOOKUP(A45,[1]SIIMPLES!$A$2:$F$418,6,FALSE),0)</f>
        <v>0</v>
      </c>
      <c r="AR45" s="55">
        <v>28</v>
      </c>
      <c r="AS45" s="55">
        <v>16</v>
      </c>
      <c r="AT45" s="55">
        <v>10</v>
      </c>
      <c r="AU45" s="55">
        <v>6</v>
      </c>
      <c r="AV45" s="55">
        <v>0</v>
      </c>
      <c r="AW45" s="55"/>
      <c r="AX45" s="55"/>
      <c r="AY45" s="56">
        <f t="shared" si="34"/>
        <v>46.4</v>
      </c>
      <c r="AZ45" s="55"/>
      <c r="BA45" s="56">
        <v>96.5</v>
      </c>
      <c r="BB45" s="41">
        <f t="shared" si="29"/>
        <v>-0.51917098445595855</v>
      </c>
      <c r="BC45" s="13"/>
      <c r="BD45" s="35"/>
      <c r="BE45" s="13"/>
      <c r="BF45" s="16"/>
      <c r="BG45" s="17">
        <f t="shared" si="27"/>
        <v>0</v>
      </c>
      <c r="BH45" s="16">
        <f t="shared" si="28"/>
        <v>46.4</v>
      </c>
    </row>
    <row r="46" spans="1:60" s="21" customFormat="1" ht="12.75" customHeight="1" x14ac:dyDescent="0.2">
      <c r="A46" s="51">
        <v>552033</v>
      </c>
      <c r="B46" s="51" t="s">
        <v>1077</v>
      </c>
      <c r="C46" s="66" t="s">
        <v>1803</v>
      </c>
      <c r="D46" s="52" t="s">
        <v>728</v>
      </c>
      <c r="E46" s="65" t="s">
        <v>780</v>
      </c>
      <c r="F46" s="53">
        <f>IFERROR(VLOOKUP(E46,Fornecedores!$A$2:$B$2700,2,FALSE),"")</f>
        <v>2</v>
      </c>
      <c r="G46" s="52" t="s">
        <v>1073</v>
      </c>
      <c r="H46" s="57"/>
      <c r="I46" s="55">
        <f t="shared" si="30"/>
        <v>5</v>
      </c>
      <c r="J46" s="55">
        <v>0</v>
      </c>
      <c r="K46" s="55">
        <v>5</v>
      </c>
      <c r="L46" s="55">
        <v>0</v>
      </c>
      <c r="M46" s="55">
        <v>0</v>
      </c>
      <c r="N46" s="55">
        <f t="shared" si="31"/>
        <v>5</v>
      </c>
      <c r="O46" s="55">
        <v>2</v>
      </c>
      <c r="P46" s="55">
        <v>3</v>
      </c>
      <c r="Q46" s="55">
        <v>0</v>
      </c>
      <c r="R46" s="55">
        <f t="shared" si="32"/>
        <v>9</v>
      </c>
      <c r="S46" s="55">
        <v>3</v>
      </c>
      <c r="T46" s="55">
        <v>6</v>
      </c>
      <c r="U46" s="55">
        <v>0</v>
      </c>
      <c r="V46" s="55">
        <v>8</v>
      </c>
      <c r="W46" s="53">
        <v>0</v>
      </c>
      <c r="X46" s="53">
        <v>8</v>
      </c>
      <c r="Y46" s="55">
        <v>0</v>
      </c>
      <c r="Z46" s="55">
        <v>4</v>
      </c>
      <c r="AA46" s="53">
        <v>0</v>
      </c>
      <c r="AB46" s="53">
        <v>4</v>
      </c>
      <c r="AC46" s="55">
        <v>0</v>
      </c>
      <c r="AD46" s="55">
        <f t="shared" si="33"/>
        <v>18</v>
      </c>
      <c r="AE46" s="53">
        <v>6</v>
      </c>
      <c r="AF46" s="55">
        <v>12</v>
      </c>
      <c r="AG46" s="55">
        <v>0</v>
      </c>
      <c r="AH46" s="55">
        <f t="shared" si="23"/>
        <v>19</v>
      </c>
      <c r="AI46" s="55">
        <v>7</v>
      </c>
      <c r="AJ46" s="55">
        <v>11</v>
      </c>
      <c r="AK46" s="55">
        <v>1</v>
      </c>
      <c r="AL46" s="55">
        <f t="shared" si="26"/>
        <v>28</v>
      </c>
      <c r="AM46" s="55">
        <v>4</v>
      </c>
      <c r="AN46" s="55">
        <v>24</v>
      </c>
      <c r="AO46" s="55">
        <v>0</v>
      </c>
      <c r="AP46" s="55">
        <f t="shared" si="9"/>
        <v>27</v>
      </c>
      <c r="AQ46" s="55">
        <f>IFERROR(VLOOKUP(A46,[1]SIIMPLES!$A$2:$F$418,6,FALSE),0)</f>
        <v>6</v>
      </c>
      <c r="AR46" s="55">
        <v>21</v>
      </c>
      <c r="AS46" s="55">
        <v>29</v>
      </c>
      <c r="AT46" s="55">
        <v>7</v>
      </c>
      <c r="AU46" s="55">
        <v>21</v>
      </c>
      <c r="AV46" s="55">
        <v>1</v>
      </c>
      <c r="AW46" s="55"/>
      <c r="AX46" s="55"/>
      <c r="AY46" s="56">
        <f t="shared" si="34"/>
        <v>15.2</v>
      </c>
      <c r="AZ46" s="55"/>
      <c r="BA46" s="56">
        <v>2.8333333333333335</v>
      </c>
      <c r="BB46" s="41">
        <f t="shared" si="29"/>
        <v>4.3647058823529408</v>
      </c>
      <c r="BC46" s="13"/>
      <c r="BD46" s="35"/>
      <c r="BE46" s="13"/>
      <c r="BF46" s="16"/>
      <c r="BG46" s="17">
        <f t="shared" si="27"/>
        <v>0</v>
      </c>
      <c r="BH46" s="16">
        <f t="shared" si="28"/>
        <v>15.2</v>
      </c>
    </row>
    <row r="47" spans="1:60" s="21" customFormat="1" ht="12.75" customHeight="1" x14ac:dyDescent="0.2">
      <c r="A47" s="51">
        <v>662046</v>
      </c>
      <c r="B47" s="51" t="s">
        <v>1077</v>
      </c>
      <c r="C47" s="66" t="s">
        <v>1803</v>
      </c>
      <c r="D47" s="52" t="s">
        <v>728</v>
      </c>
      <c r="E47" s="65" t="s">
        <v>780</v>
      </c>
      <c r="F47" s="53">
        <f>IFERROR(VLOOKUP(E47,Fornecedores!$A$2:$B$2700,2,FALSE),"")</f>
        <v>2</v>
      </c>
      <c r="G47" s="52" t="s">
        <v>48</v>
      </c>
      <c r="H47" s="57"/>
      <c r="I47" s="55">
        <f t="shared" si="30"/>
        <v>23</v>
      </c>
      <c r="J47" s="55">
        <v>15</v>
      </c>
      <c r="K47" s="55">
        <v>8</v>
      </c>
      <c r="L47" s="55">
        <v>0</v>
      </c>
      <c r="M47" s="55">
        <v>0</v>
      </c>
      <c r="N47" s="55">
        <f t="shared" si="31"/>
        <v>7</v>
      </c>
      <c r="O47" s="55">
        <v>6</v>
      </c>
      <c r="P47" s="55">
        <v>1</v>
      </c>
      <c r="Q47" s="55">
        <v>0</v>
      </c>
      <c r="R47" s="55">
        <f t="shared" si="32"/>
        <v>3</v>
      </c>
      <c r="S47" s="55">
        <v>2</v>
      </c>
      <c r="T47" s="55">
        <v>1</v>
      </c>
      <c r="U47" s="55">
        <v>0</v>
      </c>
      <c r="V47" s="55">
        <v>14</v>
      </c>
      <c r="W47" s="53">
        <v>8</v>
      </c>
      <c r="X47" s="53">
        <v>4</v>
      </c>
      <c r="Y47" s="55">
        <v>2</v>
      </c>
      <c r="Z47" s="55">
        <v>4</v>
      </c>
      <c r="AA47" s="53">
        <v>4</v>
      </c>
      <c r="AB47" s="53">
        <v>0</v>
      </c>
      <c r="AC47" s="55">
        <v>0</v>
      </c>
      <c r="AD47" s="55">
        <f t="shared" si="33"/>
        <v>15</v>
      </c>
      <c r="AE47" s="53">
        <v>13</v>
      </c>
      <c r="AF47" s="55">
        <v>2</v>
      </c>
      <c r="AG47" s="55">
        <v>0</v>
      </c>
      <c r="AH47" s="55">
        <f t="shared" si="23"/>
        <v>15</v>
      </c>
      <c r="AI47" s="55">
        <v>9</v>
      </c>
      <c r="AJ47" s="55">
        <v>5</v>
      </c>
      <c r="AK47" s="55">
        <v>1</v>
      </c>
      <c r="AL47" s="55">
        <f t="shared" si="26"/>
        <v>18</v>
      </c>
      <c r="AM47" s="55">
        <v>9</v>
      </c>
      <c r="AN47" s="55">
        <v>9</v>
      </c>
      <c r="AO47" s="55">
        <v>0</v>
      </c>
      <c r="AP47" s="55">
        <f t="shared" si="9"/>
        <v>27</v>
      </c>
      <c r="AQ47" s="55">
        <f>IFERROR(VLOOKUP(A47,[1]SIIMPLES!$A$2:$F$418,6,FALSE),0)</f>
        <v>9</v>
      </c>
      <c r="AR47" s="55">
        <v>18</v>
      </c>
      <c r="AS47" s="55">
        <v>14</v>
      </c>
      <c r="AT47" s="55">
        <v>1</v>
      </c>
      <c r="AU47" s="55">
        <v>13</v>
      </c>
      <c r="AV47" s="55">
        <v>0</v>
      </c>
      <c r="AW47" s="55"/>
      <c r="AX47" s="55"/>
      <c r="AY47" s="56">
        <f t="shared" si="34"/>
        <v>14</v>
      </c>
      <c r="AZ47" s="55"/>
      <c r="BA47" s="56">
        <v>8.6666666666666661</v>
      </c>
      <c r="BB47" s="41">
        <f t="shared" si="29"/>
        <v>0.61538461538461542</v>
      </c>
      <c r="BC47" s="13"/>
      <c r="BD47" s="36"/>
      <c r="BE47" s="7"/>
      <c r="BF47" s="7"/>
      <c r="BG47" s="17">
        <f t="shared" si="27"/>
        <v>0</v>
      </c>
      <c r="BH47" s="7"/>
    </row>
    <row r="48" spans="1:60" s="21" customFormat="1" ht="12.75" customHeight="1" x14ac:dyDescent="0.2">
      <c r="A48" s="51">
        <v>552010</v>
      </c>
      <c r="B48" s="51" t="s">
        <v>1077</v>
      </c>
      <c r="C48" s="66" t="s">
        <v>1803</v>
      </c>
      <c r="D48" s="52" t="s">
        <v>728</v>
      </c>
      <c r="E48" s="65" t="s">
        <v>780</v>
      </c>
      <c r="F48" s="53">
        <f>IFERROR(VLOOKUP(E48,Fornecedores!$A$2:$B$2700,2,FALSE),"")</f>
        <v>2</v>
      </c>
      <c r="G48" s="52" t="s">
        <v>282</v>
      </c>
      <c r="H48" s="57"/>
      <c r="I48" s="55">
        <f t="shared" si="30"/>
        <v>19</v>
      </c>
      <c r="J48" s="55">
        <v>5</v>
      </c>
      <c r="K48" s="55">
        <v>14</v>
      </c>
      <c r="L48" s="55">
        <v>0</v>
      </c>
      <c r="M48" s="55">
        <v>0</v>
      </c>
      <c r="N48" s="55">
        <f t="shared" si="31"/>
        <v>14</v>
      </c>
      <c r="O48" s="55">
        <v>11</v>
      </c>
      <c r="P48" s="55">
        <v>3</v>
      </c>
      <c r="Q48" s="55">
        <v>0</v>
      </c>
      <c r="R48" s="55">
        <f t="shared" si="32"/>
        <v>7</v>
      </c>
      <c r="S48" s="55">
        <v>4</v>
      </c>
      <c r="T48" s="55">
        <v>3</v>
      </c>
      <c r="U48" s="55">
        <v>0</v>
      </c>
      <c r="V48" s="55">
        <v>13</v>
      </c>
      <c r="W48" s="53">
        <v>5</v>
      </c>
      <c r="X48" s="53">
        <v>8</v>
      </c>
      <c r="Y48" s="55">
        <v>0</v>
      </c>
      <c r="Z48" s="55">
        <v>13</v>
      </c>
      <c r="AA48" s="53">
        <v>2</v>
      </c>
      <c r="AB48" s="53">
        <v>11</v>
      </c>
      <c r="AC48" s="55">
        <v>0</v>
      </c>
      <c r="AD48" s="55">
        <f t="shared" si="33"/>
        <v>7</v>
      </c>
      <c r="AE48" s="53">
        <v>1</v>
      </c>
      <c r="AF48" s="55">
        <v>6</v>
      </c>
      <c r="AG48" s="55">
        <v>0</v>
      </c>
      <c r="AH48" s="55">
        <f t="shared" si="23"/>
        <v>8</v>
      </c>
      <c r="AI48" s="55">
        <v>2</v>
      </c>
      <c r="AJ48" s="55">
        <v>6</v>
      </c>
      <c r="AK48" s="55">
        <v>0</v>
      </c>
      <c r="AL48" s="55">
        <f t="shared" si="26"/>
        <v>25</v>
      </c>
      <c r="AM48" s="55">
        <v>2</v>
      </c>
      <c r="AN48" s="55">
        <v>13</v>
      </c>
      <c r="AO48" s="55">
        <v>10</v>
      </c>
      <c r="AP48" s="55">
        <f t="shared" si="9"/>
        <v>26</v>
      </c>
      <c r="AQ48" s="55">
        <f>IFERROR(VLOOKUP(A48,[1]SIIMPLES!$A$2:$F$418,6,FALSE),0)</f>
        <v>4</v>
      </c>
      <c r="AR48" s="55">
        <v>22</v>
      </c>
      <c r="AS48" s="55">
        <v>14</v>
      </c>
      <c r="AT48" s="55">
        <v>5</v>
      </c>
      <c r="AU48" s="55">
        <v>9</v>
      </c>
      <c r="AV48" s="55">
        <v>0</v>
      </c>
      <c r="AW48" s="55"/>
      <c r="AX48" s="55"/>
      <c r="AY48" s="56">
        <f t="shared" si="34"/>
        <v>14.6</v>
      </c>
      <c r="AZ48" s="55"/>
      <c r="BA48" s="56">
        <v>9.5</v>
      </c>
      <c r="BB48" s="41">
        <f>1-BA48/AY48</f>
        <v>0.34931506849315064</v>
      </c>
      <c r="BC48" s="13"/>
      <c r="BD48" s="35"/>
      <c r="BE48" s="13"/>
      <c r="BF48" s="16">
        <f>SUM(BC48:BE48)</f>
        <v>0</v>
      </c>
      <c r="BG48" s="17">
        <f t="shared" si="27"/>
        <v>0</v>
      </c>
      <c r="BH48" s="16">
        <f t="shared" ref="BH48:BH55" si="35">IFERROR(IF(F48=1,IF(BC48&lt;AY48*3,AY48*3-BC48,0),IF(BC48&lt;AY48,AY48-BC48,0)),"")</f>
        <v>14.6</v>
      </c>
    </row>
    <row r="49" spans="1:60" s="21" customFormat="1" ht="12.75" customHeight="1" x14ac:dyDescent="0.2">
      <c r="A49" s="51">
        <v>14098</v>
      </c>
      <c r="B49" s="51" t="s">
        <v>1077</v>
      </c>
      <c r="C49" s="66" t="s">
        <v>1803</v>
      </c>
      <c r="D49" s="52" t="s">
        <v>756</v>
      </c>
      <c r="E49" s="52" t="s">
        <v>750</v>
      </c>
      <c r="F49" s="53">
        <f>IFERROR(VLOOKUP(E49,Fornecedores!$A$2:$B$2700,2,FALSE),"")</f>
        <v>4</v>
      </c>
      <c r="G49" s="52" t="s">
        <v>921</v>
      </c>
      <c r="H49" s="57"/>
      <c r="I49" s="55">
        <f t="shared" si="30"/>
        <v>40</v>
      </c>
      <c r="J49" s="55">
        <v>10</v>
      </c>
      <c r="K49" s="55">
        <v>30</v>
      </c>
      <c r="L49" s="55">
        <v>0</v>
      </c>
      <c r="M49" s="55">
        <v>0</v>
      </c>
      <c r="N49" s="55">
        <f t="shared" si="31"/>
        <v>17</v>
      </c>
      <c r="O49" s="55">
        <v>7</v>
      </c>
      <c r="P49" s="55">
        <v>10</v>
      </c>
      <c r="Q49" s="55">
        <v>0</v>
      </c>
      <c r="R49" s="55">
        <f t="shared" si="32"/>
        <v>26</v>
      </c>
      <c r="S49" s="55">
        <v>10</v>
      </c>
      <c r="T49" s="55">
        <v>16</v>
      </c>
      <c r="U49" s="55">
        <v>0</v>
      </c>
      <c r="V49" s="55">
        <v>22</v>
      </c>
      <c r="W49" s="53">
        <v>8</v>
      </c>
      <c r="X49" s="53">
        <v>14</v>
      </c>
      <c r="Y49" s="55">
        <v>0</v>
      </c>
      <c r="Z49" s="55">
        <v>42</v>
      </c>
      <c r="AA49" s="53">
        <v>10</v>
      </c>
      <c r="AB49" s="53">
        <v>32</v>
      </c>
      <c r="AC49" s="55">
        <v>0</v>
      </c>
      <c r="AD49" s="55">
        <f t="shared" si="33"/>
        <v>47</v>
      </c>
      <c r="AE49" s="53">
        <v>7</v>
      </c>
      <c r="AF49" s="55">
        <v>40</v>
      </c>
      <c r="AG49" s="55">
        <v>0</v>
      </c>
      <c r="AH49" s="55">
        <f t="shared" si="23"/>
        <v>51</v>
      </c>
      <c r="AI49" s="55">
        <v>5</v>
      </c>
      <c r="AJ49" s="55">
        <v>46</v>
      </c>
      <c r="AK49" s="55">
        <v>0</v>
      </c>
      <c r="AL49" s="55">
        <f t="shared" si="26"/>
        <v>40</v>
      </c>
      <c r="AM49" s="55">
        <v>6</v>
      </c>
      <c r="AN49" s="55">
        <v>34</v>
      </c>
      <c r="AO49" s="55">
        <v>0</v>
      </c>
      <c r="AP49" s="55">
        <f t="shared" si="9"/>
        <v>24</v>
      </c>
      <c r="AQ49" s="55">
        <f>IFERROR(VLOOKUP(A49,[1]SIIMPLES!$A$2:$F$418,6,FALSE),0)</f>
        <v>6</v>
      </c>
      <c r="AR49" s="55">
        <v>18</v>
      </c>
      <c r="AS49" s="55">
        <v>47</v>
      </c>
      <c r="AT49" s="55">
        <v>5</v>
      </c>
      <c r="AU49" s="55">
        <v>42</v>
      </c>
      <c r="AV49" s="55">
        <v>0</v>
      </c>
      <c r="AW49" s="55"/>
      <c r="AX49" s="55"/>
      <c r="AY49" s="56">
        <f t="shared" si="34"/>
        <v>35.6</v>
      </c>
      <c r="AZ49" s="55"/>
      <c r="BA49" s="56">
        <v>18.833333333333332</v>
      </c>
      <c r="BB49" s="41">
        <f t="shared" ref="BB49:BB80" si="36">IFERROR(AY49/BA49-1,"")</f>
        <v>0.89026548672566386</v>
      </c>
      <c r="BC49" s="13"/>
      <c r="BD49" s="35"/>
      <c r="BE49" s="13"/>
      <c r="BF49" s="16"/>
      <c r="BG49" s="17">
        <f t="shared" si="27"/>
        <v>0</v>
      </c>
      <c r="BH49" s="16">
        <f t="shared" si="35"/>
        <v>35.6</v>
      </c>
    </row>
    <row r="50" spans="1:60" s="21" customFormat="1" ht="12.75" customHeight="1" x14ac:dyDescent="0.2">
      <c r="A50" s="51">
        <v>772102</v>
      </c>
      <c r="B50" s="51" t="s">
        <v>1077</v>
      </c>
      <c r="C50" s="66" t="s">
        <v>1803</v>
      </c>
      <c r="D50" s="52" t="s">
        <v>728</v>
      </c>
      <c r="E50" s="65" t="s">
        <v>780</v>
      </c>
      <c r="F50" s="53">
        <f>IFERROR(VLOOKUP(E50,Fornecedores!$A$2:$B$2700,2,FALSE),"")</f>
        <v>2</v>
      </c>
      <c r="G50" s="52" t="s">
        <v>660</v>
      </c>
      <c r="H50" s="57"/>
      <c r="I50" s="55">
        <f t="shared" si="30"/>
        <v>0</v>
      </c>
      <c r="J50" s="55">
        <v>0</v>
      </c>
      <c r="K50" s="55">
        <v>0</v>
      </c>
      <c r="L50" s="55">
        <v>0</v>
      </c>
      <c r="M50" s="55">
        <v>0</v>
      </c>
      <c r="N50" s="55">
        <f t="shared" si="31"/>
        <v>0</v>
      </c>
      <c r="O50" s="55">
        <v>0</v>
      </c>
      <c r="P50" s="55">
        <v>0</v>
      </c>
      <c r="Q50" s="55">
        <v>0</v>
      </c>
      <c r="R50" s="55">
        <f t="shared" si="32"/>
        <v>3</v>
      </c>
      <c r="S50" s="55">
        <v>1</v>
      </c>
      <c r="T50" s="55">
        <v>0</v>
      </c>
      <c r="U50" s="55">
        <v>2</v>
      </c>
      <c r="V50" s="55">
        <v>4</v>
      </c>
      <c r="W50" s="53">
        <v>1</v>
      </c>
      <c r="X50" s="53">
        <v>3</v>
      </c>
      <c r="Y50" s="55">
        <v>0</v>
      </c>
      <c r="Z50" s="55">
        <v>6</v>
      </c>
      <c r="AA50" s="53">
        <v>0</v>
      </c>
      <c r="AB50" s="53">
        <v>6</v>
      </c>
      <c r="AC50" s="55">
        <v>0</v>
      </c>
      <c r="AD50" s="55">
        <f t="shared" si="33"/>
        <v>20</v>
      </c>
      <c r="AE50" s="53">
        <v>3</v>
      </c>
      <c r="AF50" s="55">
        <v>17</v>
      </c>
      <c r="AG50" s="55">
        <v>0</v>
      </c>
      <c r="AH50" s="55">
        <f t="shared" si="23"/>
        <v>44</v>
      </c>
      <c r="AI50" s="55">
        <v>3</v>
      </c>
      <c r="AJ50" s="55">
        <v>40</v>
      </c>
      <c r="AK50" s="55">
        <v>1</v>
      </c>
      <c r="AL50" s="55">
        <f t="shared" si="26"/>
        <v>51</v>
      </c>
      <c r="AM50" s="55">
        <v>7</v>
      </c>
      <c r="AN50" s="55">
        <v>40</v>
      </c>
      <c r="AO50" s="55">
        <v>4</v>
      </c>
      <c r="AP50" s="55">
        <f t="shared" si="9"/>
        <v>24</v>
      </c>
      <c r="AQ50" s="55">
        <f>IFERROR(VLOOKUP(A50,[1]SIIMPLES!$A$2:$F$418,6,FALSE),0)</f>
        <v>8</v>
      </c>
      <c r="AR50" s="55">
        <v>16</v>
      </c>
      <c r="AS50" s="55">
        <v>5</v>
      </c>
      <c r="AT50" s="55">
        <v>0</v>
      </c>
      <c r="AU50" s="55">
        <v>3</v>
      </c>
      <c r="AV50" s="55">
        <v>2</v>
      </c>
      <c r="AW50" s="55"/>
      <c r="AX50" s="55"/>
      <c r="AY50" s="56">
        <f t="shared" si="34"/>
        <v>15.7</v>
      </c>
      <c r="AZ50" s="55"/>
      <c r="BA50" s="56">
        <v>4.666666666666667</v>
      </c>
      <c r="BB50" s="41">
        <f t="shared" si="36"/>
        <v>2.3642857142857139</v>
      </c>
      <c r="BC50" s="13"/>
      <c r="BD50" s="35"/>
      <c r="BE50" s="11"/>
      <c r="BF50" s="16">
        <f>SUM(BC50:BE50)</f>
        <v>0</v>
      </c>
      <c r="BG50" s="17">
        <f t="shared" si="27"/>
        <v>0</v>
      </c>
      <c r="BH50" s="16">
        <f t="shared" si="35"/>
        <v>15.7</v>
      </c>
    </row>
    <row r="51" spans="1:60" s="21" customFormat="1" ht="12.75" customHeight="1" x14ac:dyDescent="0.2">
      <c r="A51" s="51" t="s">
        <v>814</v>
      </c>
      <c r="B51" s="51" t="s">
        <v>1086</v>
      </c>
      <c r="C51" s="66" t="s">
        <v>1803</v>
      </c>
      <c r="D51" s="52" t="s">
        <v>745</v>
      </c>
      <c r="E51" s="52" t="s">
        <v>780</v>
      </c>
      <c r="F51" s="53">
        <f>IFERROR(VLOOKUP(E51,Fornecedores!$A$2:$B$2700,2,FALSE),"")</f>
        <v>2</v>
      </c>
      <c r="G51" s="52" t="s">
        <v>930</v>
      </c>
      <c r="H51" s="54"/>
      <c r="I51" s="55">
        <f t="shared" si="30"/>
        <v>10</v>
      </c>
      <c r="J51" s="55">
        <v>0</v>
      </c>
      <c r="K51" s="55">
        <v>10</v>
      </c>
      <c r="L51" s="55">
        <v>0</v>
      </c>
      <c r="M51" s="55">
        <v>0</v>
      </c>
      <c r="N51" s="55">
        <f t="shared" si="31"/>
        <v>6</v>
      </c>
      <c r="O51" s="55">
        <v>0</v>
      </c>
      <c r="P51" s="55">
        <v>6</v>
      </c>
      <c r="Q51" s="55">
        <v>0</v>
      </c>
      <c r="R51" s="55">
        <f t="shared" si="32"/>
        <v>10</v>
      </c>
      <c r="S51" s="55">
        <v>0</v>
      </c>
      <c r="T51" s="55">
        <v>10</v>
      </c>
      <c r="U51" s="55">
        <v>0</v>
      </c>
      <c r="V51" s="55">
        <v>6</v>
      </c>
      <c r="W51" s="53">
        <v>0</v>
      </c>
      <c r="X51" s="53">
        <v>6</v>
      </c>
      <c r="Y51" s="55">
        <v>0</v>
      </c>
      <c r="Z51" s="55">
        <v>6</v>
      </c>
      <c r="AA51" s="53">
        <v>0</v>
      </c>
      <c r="AB51" s="53">
        <v>6</v>
      </c>
      <c r="AC51" s="55">
        <v>0</v>
      </c>
      <c r="AD51" s="55">
        <f t="shared" si="33"/>
        <v>8</v>
      </c>
      <c r="AE51" s="53">
        <v>0</v>
      </c>
      <c r="AF51" s="55">
        <v>8</v>
      </c>
      <c r="AG51" s="55">
        <v>0</v>
      </c>
      <c r="AH51" s="55">
        <f t="shared" si="23"/>
        <v>4</v>
      </c>
      <c r="AI51" s="55">
        <v>0</v>
      </c>
      <c r="AJ51" s="55">
        <v>4</v>
      </c>
      <c r="AK51" s="55">
        <v>0</v>
      </c>
      <c r="AL51" s="55">
        <f t="shared" si="26"/>
        <v>12</v>
      </c>
      <c r="AM51" s="55" t="s">
        <v>1912</v>
      </c>
      <c r="AN51" s="55">
        <v>12</v>
      </c>
      <c r="AO51" s="55">
        <v>0</v>
      </c>
      <c r="AP51" s="55">
        <f t="shared" si="9"/>
        <v>24</v>
      </c>
      <c r="AQ51" s="55">
        <f>IFERROR(VLOOKUP(A51,[1]SIIMPLES!$A$2:$F$418,6,FALSE),0)</f>
        <v>0</v>
      </c>
      <c r="AR51" s="55">
        <v>24</v>
      </c>
      <c r="AS51" s="55">
        <v>4</v>
      </c>
      <c r="AT51" s="55">
        <v>0</v>
      </c>
      <c r="AU51" s="55">
        <v>4</v>
      </c>
      <c r="AV51" s="55">
        <v>0</v>
      </c>
      <c r="AW51" s="55"/>
      <c r="AX51" s="55"/>
      <c r="AY51" s="56">
        <f t="shared" si="34"/>
        <v>9</v>
      </c>
      <c r="AZ51" s="55"/>
      <c r="BA51" s="56">
        <v>12.333333333333334</v>
      </c>
      <c r="BB51" s="41">
        <f t="shared" si="36"/>
        <v>-0.27027027027027029</v>
      </c>
      <c r="BC51" s="13"/>
      <c r="BD51" s="35"/>
      <c r="BE51" s="13"/>
      <c r="BF51" s="16"/>
      <c r="BG51" s="17">
        <f t="shared" si="27"/>
        <v>0</v>
      </c>
      <c r="BH51" s="16">
        <f t="shared" si="35"/>
        <v>9</v>
      </c>
    </row>
    <row r="52" spans="1:60" s="21" customFormat="1" ht="12.75" customHeight="1" x14ac:dyDescent="0.2">
      <c r="A52" s="51">
        <v>552011</v>
      </c>
      <c r="B52" s="51" t="s">
        <v>1077</v>
      </c>
      <c r="C52" s="66" t="s">
        <v>1803</v>
      </c>
      <c r="D52" s="52" t="s">
        <v>728</v>
      </c>
      <c r="E52" s="65" t="s">
        <v>780</v>
      </c>
      <c r="F52" s="53">
        <f>IFERROR(VLOOKUP(E52,Fornecedores!$A$2:$B$2700,2,FALSE),"")</f>
        <v>2</v>
      </c>
      <c r="G52" s="52" t="s">
        <v>677</v>
      </c>
      <c r="H52" s="57"/>
      <c r="I52" s="55">
        <f t="shared" si="30"/>
        <v>18</v>
      </c>
      <c r="J52" s="55">
        <v>4</v>
      </c>
      <c r="K52" s="55">
        <v>14</v>
      </c>
      <c r="L52" s="55">
        <v>0</v>
      </c>
      <c r="M52" s="55">
        <v>0</v>
      </c>
      <c r="N52" s="55">
        <f t="shared" si="31"/>
        <v>5</v>
      </c>
      <c r="O52" s="55">
        <v>2</v>
      </c>
      <c r="P52" s="55">
        <v>3</v>
      </c>
      <c r="Q52" s="55">
        <v>0</v>
      </c>
      <c r="R52" s="55">
        <f t="shared" si="32"/>
        <v>5</v>
      </c>
      <c r="S52" s="55">
        <v>2</v>
      </c>
      <c r="T52" s="55">
        <v>3</v>
      </c>
      <c r="U52" s="55">
        <v>0</v>
      </c>
      <c r="V52" s="55">
        <v>10</v>
      </c>
      <c r="W52" s="53">
        <v>2</v>
      </c>
      <c r="X52" s="53">
        <v>8</v>
      </c>
      <c r="Y52" s="55">
        <v>0</v>
      </c>
      <c r="Z52" s="55">
        <v>11</v>
      </c>
      <c r="AA52" s="53">
        <v>0</v>
      </c>
      <c r="AB52" s="53">
        <v>11</v>
      </c>
      <c r="AC52" s="55">
        <v>0</v>
      </c>
      <c r="AD52" s="55">
        <f t="shared" si="33"/>
        <v>7</v>
      </c>
      <c r="AE52" s="53">
        <v>1</v>
      </c>
      <c r="AF52" s="55">
        <v>6</v>
      </c>
      <c r="AG52" s="55">
        <v>0</v>
      </c>
      <c r="AH52" s="55">
        <f t="shared" si="23"/>
        <v>8</v>
      </c>
      <c r="AI52" s="55">
        <v>2</v>
      </c>
      <c r="AJ52" s="55">
        <v>6</v>
      </c>
      <c r="AK52" s="55">
        <v>0</v>
      </c>
      <c r="AL52" s="55">
        <f t="shared" si="26"/>
        <v>23</v>
      </c>
      <c r="AM52" s="55" t="s">
        <v>1912</v>
      </c>
      <c r="AN52" s="55">
        <v>13</v>
      </c>
      <c r="AO52" s="55">
        <v>10</v>
      </c>
      <c r="AP52" s="55">
        <f t="shared" si="9"/>
        <v>23</v>
      </c>
      <c r="AQ52" s="55">
        <f>IFERROR(VLOOKUP(A52,[1]SIIMPLES!$A$2:$F$418,6,FALSE),0)</f>
        <v>1</v>
      </c>
      <c r="AR52" s="55">
        <v>22</v>
      </c>
      <c r="AS52" s="55">
        <v>9</v>
      </c>
      <c r="AT52" s="55">
        <v>0</v>
      </c>
      <c r="AU52" s="55">
        <v>9</v>
      </c>
      <c r="AV52" s="55">
        <v>0</v>
      </c>
      <c r="AW52" s="55"/>
      <c r="AX52" s="55"/>
      <c r="AY52" s="56">
        <f t="shared" si="34"/>
        <v>11.9</v>
      </c>
      <c r="AZ52" s="55"/>
      <c r="BA52" s="56">
        <v>8.3333333333333339</v>
      </c>
      <c r="BB52" s="41">
        <f t="shared" si="36"/>
        <v>0.42799999999999994</v>
      </c>
      <c r="BC52" s="13"/>
      <c r="BD52" s="35"/>
      <c r="BE52" s="13"/>
      <c r="BF52" s="16">
        <f>SUM(BC52:BE52)</f>
        <v>0</v>
      </c>
      <c r="BG52" s="17">
        <f t="shared" si="27"/>
        <v>0</v>
      </c>
      <c r="BH52" s="16">
        <f t="shared" si="35"/>
        <v>11.9</v>
      </c>
    </row>
    <row r="53" spans="1:60" s="21" customFormat="1" ht="12.75" customHeight="1" x14ac:dyDescent="0.2">
      <c r="A53" s="51">
        <v>2280</v>
      </c>
      <c r="B53" s="51" t="s">
        <v>1077</v>
      </c>
      <c r="C53" s="66" t="s">
        <v>1803</v>
      </c>
      <c r="D53" s="52" t="s">
        <v>767</v>
      </c>
      <c r="E53" s="52" t="s">
        <v>730</v>
      </c>
      <c r="F53" s="53">
        <f>IFERROR(VLOOKUP(E53,Fornecedores!$A$2:$B$2700,2,FALSE),"")</f>
        <v>3</v>
      </c>
      <c r="G53" s="52" t="s">
        <v>508</v>
      </c>
      <c r="H53" s="54"/>
      <c r="I53" s="55">
        <f t="shared" si="30"/>
        <v>42</v>
      </c>
      <c r="J53" s="55">
        <v>0</v>
      </c>
      <c r="K53" s="55">
        <v>42</v>
      </c>
      <c r="L53" s="55">
        <v>0</v>
      </c>
      <c r="M53" s="55">
        <v>0</v>
      </c>
      <c r="N53" s="55">
        <f t="shared" si="31"/>
        <v>18</v>
      </c>
      <c r="O53" s="55">
        <v>0</v>
      </c>
      <c r="P53" s="55">
        <v>18</v>
      </c>
      <c r="Q53" s="55">
        <v>0</v>
      </c>
      <c r="R53" s="55">
        <f t="shared" si="32"/>
        <v>20</v>
      </c>
      <c r="S53" s="55">
        <v>0</v>
      </c>
      <c r="T53" s="55">
        <v>20</v>
      </c>
      <c r="U53" s="55">
        <v>0</v>
      </c>
      <c r="V53" s="55">
        <v>34</v>
      </c>
      <c r="W53" s="53">
        <v>0</v>
      </c>
      <c r="X53" s="53">
        <v>34</v>
      </c>
      <c r="Y53" s="55">
        <v>0</v>
      </c>
      <c r="Z53" s="55">
        <v>50</v>
      </c>
      <c r="AA53" s="53">
        <v>2</v>
      </c>
      <c r="AB53" s="53">
        <v>48</v>
      </c>
      <c r="AC53" s="55">
        <v>0</v>
      </c>
      <c r="AD53" s="55">
        <f t="shared" si="33"/>
        <v>38</v>
      </c>
      <c r="AE53" s="53">
        <v>0</v>
      </c>
      <c r="AF53" s="55">
        <v>38</v>
      </c>
      <c r="AG53" s="55">
        <v>0</v>
      </c>
      <c r="AH53" s="55">
        <f t="shared" si="23"/>
        <v>40</v>
      </c>
      <c r="AI53" s="55">
        <v>0</v>
      </c>
      <c r="AJ53" s="55">
        <v>40</v>
      </c>
      <c r="AK53" s="55">
        <v>0</v>
      </c>
      <c r="AL53" s="55">
        <f t="shared" si="26"/>
        <v>44</v>
      </c>
      <c r="AM53" s="55" t="s">
        <v>1912</v>
      </c>
      <c r="AN53" s="55">
        <v>44</v>
      </c>
      <c r="AO53" s="55">
        <v>0</v>
      </c>
      <c r="AP53" s="55">
        <f t="shared" si="9"/>
        <v>22</v>
      </c>
      <c r="AQ53" s="55">
        <f>IFERROR(VLOOKUP(A53,[1]SIIMPLES!$A$2:$F$418,6,FALSE),0)</f>
        <v>0</v>
      </c>
      <c r="AR53" s="55">
        <v>22</v>
      </c>
      <c r="AS53" s="55">
        <v>26</v>
      </c>
      <c r="AT53" s="55">
        <v>0</v>
      </c>
      <c r="AU53" s="55">
        <v>26</v>
      </c>
      <c r="AV53" s="55">
        <v>0</v>
      </c>
      <c r="AW53" s="55"/>
      <c r="AX53" s="55"/>
      <c r="AY53" s="56">
        <f t="shared" si="34"/>
        <v>33.4</v>
      </c>
      <c r="AZ53" s="55"/>
      <c r="BA53" s="56">
        <v>26.333333333333332</v>
      </c>
      <c r="BB53" s="41">
        <f t="shared" si="36"/>
        <v>0.26835443037974693</v>
      </c>
      <c r="BC53" s="13"/>
      <c r="BD53" s="35"/>
      <c r="BE53" s="13"/>
      <c r="BF53" s="16"/>
      <c r="BG53" s="17">
        <f t="shared" si="27"/>
        <v>0</v>
      </c>
      <c r="BH53" s="16">
        <f t="shared" si="35"/>
        <v>33.4</v>
      </c>
    </row>
    <row r="54" spans="1:60" s="21" customFormat="1" ht="12.75" customHeight="1" x14ac:dyDescent="0.2">
      <c r="A54" s="51" t="s">
        <v>1629</v>
      </c>
      <c r="B54" s="51"/>
      <c r="C54" s="66" t="s">
        <v>1851</v>
      </c>
      <c r="D54" s="52" t="s">
        <v>1444</v>
      </c>
      <c r="E54" s="52" t="s">
        <v>741</v>
      </c>
      <c r="F54" s="53">
        <f>IFERROR(VLOOKUP(E54,Fornecedores!$A$2:$B$2700,2,FALSE),"")</f>
        <v>7</v>
      </c>
      <c r="G54" s="52" t="s">
        <v>1754</v>
      </c>
      <c r="H54" s="57"/>
      <c r="I54" s="55">
        <f t="shared" si="30"/>
        <v>0</v>
      </c>
      <c r="J54" s="57"/>
      <c r="K54" s="57"/>
      <c r="L54" s="57"/>
      <c r="M54" s="57"/>
      <c r="N54" s="55">
        <f t="shared" si="31"/>
        <v>0</v>
      </c>
      <c r="O54" s="57"/>
      <c r="P54" s="57"/>
      <c r="Q54" s="57"/>
      <c r="R54" s="55">
        <f t="shared" si="32"/>
        <v>30</v>
      </c>
      <c r="S54" s="55">
        <v>0</v>
      </c>
      <c r="T54" s="55">
        <v>0</v>
      </c>
      <c r="U54" s="55">
        <v>30</v>
      </c>
      <c r="V54" s="55">
        <v>14</v>
      </c>
      <c r="W54" s="53">
        <v>0</v>
      </c>
      <c r="X54" s="53">
        <v>0</v>
      </c>
      <c r="Y54" s="55">
        <v>14</v>
      </c>
      <c r="Z54" s="55">
        <v>2</v>
      </c>
      <c r="AA54" s="53">
        <v>0</v>
      </c>
      <c r="AB54" s="53">
        <v>0</v>
      </c>
      <c r="AC54" s="55">
        <v>2</v>
      </c>
      <c r="AD54" s="55">
        <f t="shared" si="33"/>
        <v>44</v>
      </c>
      <c r="AE54" s="53">
        <v>0</v>
      </c>
      <c r="AF54" s="55">
        <v>0</v>
      </c>
      <c r="AG54" s="55">
        <v>44</v>
      </c>
      <c r="AH54" s="55">
        <f t="shared" si="23"/>
        <v>8</v>
      </c>
      <c r="AI54" s="55">
        <v>0</v>
      </c>
      <c r="AJ54" s="55">
        <v>0</v>
      </c>
      <c r="AK54" s="55">
        <v>8</v>
      </c>
      <c r="AL54" s="55">
        <f t="shared" si="26"/>
        <v>3</v>
      </c>
      <c r="AM54" s="55" t="s">
        <v>1912</v>
      </c>
      <c r="AN54" s="55">
        <v>0</v>
      </c>
      <c r="AO54" s="55">
        <v>3</v>
      </c>
      <c r="AP54" s="55">
        <f t="shared" si="9"/>
        <v>21</v>
      </c>
      <c r="AQ54" s="55">
        <f>IFERROR(VLOOKUP(A54,[1]SIIMPLES!$A$2:$F$418,6,FALSE),0)</f>
        <v>21</v>
      </c>
      <c r="AR54" s="55">
        <v>0</v>
      </c>
      <c r="AS54" s="55">
        <v>9</v>
      </c>
      <c r="AT54" s="55">
        <v>4</v>
      </c>
      <c r="AU54" s="55">
        <v>0</v>
      </c>
      <c r="AV54" s="55">
        <v>5</v>
      </c>
      <c r="AW54" s="57"/>
      <c r="AX54" s="57"/>
      <c r="AY54" s="56">
        <f t="shared" si="34"/>
        <v>13.1</v>
      </c>
      <c r="AZ54" s="57"/>
      <c r="BA54" s="56" t="s">
        <v>1912</v>
      </c>
      <c r="BB54" s="41" t="str">
        <f t="shared" si="36"/>
        <v/>
      </c>
      <c r="BC54" s="13"/>
      <c r="BD54" s="35"/>
      <c r="BE54" s="13"/>
      <c r="BF54" s="16"/>
      <c r="BG54" s="17">
        <f t="shared" si="27"/>
        <v>0</v>
      </c>
      <c r="BH54" s="16">
        <f t="shared" si="35"/>
        <v>13.1</v>
      </c>
    </row>
    <row r="55" spans="1:60" s="21" customFormat="1" ht="12.75" customHeight="1" x14ac:dyDescent="0.2">
      <c r="A55" s="51">
        <v>662047</v>
      </c>
      <c r="B55" s="51" t="s">
        <v>1077</v>
      </c>
      <c r="C55" s="66" t="s">
        <v>1803</v>
      </c>
      <c r="D55" s="52" t="s">
        <v>728</v>
      </c>
      <c r="E55" s="65" t="s">
        <v>780</v>
      </c>
      <c r="F55" s="53">
        <f>IFERROR(VLOOKUP(E55,Fornecedores!$A$2:$B$2700,2,FALSE),"")</f>
        <v>2</v>
      </c>
      <c r="G55" s="52" t="s">
        <v>47</v>
      </c>
      <c r="H55" s="57"/>
      <c r="I55" s="55">
        <f t="shared" si="30"/>
        <v>12</v>
      </c>
      <c r="J55" s="55">
        <v>4</v>
      </c>
      <c r="K55" s="55">
        <v>8</v>
      </c>
      <c r="L55" s="55">
        <v>0</v>
      </c>
      <c r="M55" s="55">
        <v>0</v>
      </c>
      <c r="N55" s="55">
        <f t="shared" si="31"/>
        <v>10</v>
      </c>
      <c r="O55" s="55">
        <v>9</v>
      </c>
      <c r="P55" s="55">
        <v>1</v>
      </c>
      <c r="Q55" s="55">
        <v>0</v>
      </c>
      <c r="R55" s="55">
        <f t="shared" si="32"/>
        <v>2</v>
      </c>
      <c r="S55" s="55">
        <v>1</v>
      </c>
      <c r="T55" s="55">
        <v>1</v>
      </c>
      <c r="U55" s="55">
        <v>0</v>
      </c>
      <c r="V55" s="55">
        <v>14</v>
      </c>
      <c r="W55" s="53">
        <v>8</v>
      </c>
      <c r="X55" s="53">
        <v>4</v>
      </c>
      <c r="Y55" s="55">
        <v>2</v>
      </c>
      <c r="Z55" s="55">
        <v>1</v>
      </c>
      <c r="AA55" s="53">
        <v>1</v>
      </c>
      <c r="AB55" s="53">
        <v>0</v>
      </c>
      <c r="AC55" s="55">
        <v>0</v>
      </c>
      <c r="AD55" s="55">
        <f t="shared" si="33"/>
        <v>12</v>
      </c>
      <c r="AE55" s="53">
        <v>10</v>
      </c>
      <c r="AF55" s="55">
        <v>2</v>
      </c>
      <c r="AG55" s="55">
        <v>0</v>
      </c>
      <c r="AH55" s="55">
        <f t="shared" si="23"/>
        <v>15</v>
      </c>
      <c r="AI55" s="55">
        <v>9</v>
      </c>
      <c r="AJ55" s="55">
        <v>5</v>
      </c>
      <c r="AK55" s="55">
        <v>1</v>
      </c>
      <c r="AL55" s="55">
        <f t="shared" si="26"/>
        <v>10</v>
      </c>
      <c r="AM55" s="55">
        <v>1</v>
      </c>
      <c r="AN55" s="55">
        <v>9</v>
      </c>
      <c r="AO55" s="55">
        <v>0</v>
      </c>
      <c r="AP55" s="55">
        <f t="shared" si="9"/>
        <v>20</v>
      </c>
      <c r="AQ55" s="55">
        <f>IFERROR(VLOOKUP(A55,[1]SIIMPLES!$A$2:$F$418,6,FALSE),0)</f>
        <v>2</v>
      </c>
      <c r="AR55" s="55">
        <v>18</v>
      </c>
      <c r="AS55" s="55">
        <v>20</v>
      </c>
      <c r="AT55" s="55">
        <v>7</v>
      </c>
      <c r="AU55" s="55">
        <v>13</v>
      </c>
      <c r="AV55" s="55">
        <v>0</v>
      </c>
      <c r="AW55" s="55"/>
      <c r="AX55" s="55"/>
      <c r="AY55" s="56">
        <f t="shared" si="34"/>
        <v>11.6</v>
      </c>
      <c r="AZ55" s="55"/>
      <c r="BA55" s="56">
        <v>7.333333333333333</v>
      </c>
      <c r="BB55" s="41">
        <f t="shared" si="36"/>
        <v>0.58181818181818179</v>
      </c>
      <c r="BC55" s="13"/>
      <c r="BD55" s="35"/>
      <c r="BE55" s="13"/>
      <c r="BF55" s="16"/>
      <c r="BG55" s="17">
        <f t="shared" si="27"/>
        <v>0</v>
      </c>
      <c r="BH55" s="16">
        <f t="shared" si="35"/>
        <v>11.6</v>
      </c>
    </row>
    <row r="56" spans="1:60" s="21" customFormat="1" ht="12.75" customHeight="1" x14ac:dyDescent="0.2">
      <c r="A56" s="51" t="s">
        <v>1256</v>
      </c>
      <c r="B56" s="51"/>
      <c r="C56" s="66" t="s">
        <v>1803</v>
      </c>
      <c r="D56" s="65" t="s">
        <v>731</v>
      </c>
      <c r="E56" s="52" t="s">
        <v>730</v>
      </c>
      <c r="F56" s="53">
        <f>IFERROR(VLOOKUP(E56,Fornecedores!$A$2:$B$2700,2,FALSE),"")</f>
        <v>3</v>
      </c>
      <c r="G56" s="52" t="s">
        <v>1568</v>
      </c>
      <c r="H56" s="57" t="s">
        <v>1075</v>
      </c>
      <c r="I56" s="55">
        <f t="shared" si="30"/>
        <v>7</v>
      </c>
      <c r="J56" s="55">
        <v>7</v>
      </c>
      <c r="K56" s="55">
        <v>0</v>
      </c>
      <c r="L56" s="55">
        <v>0</v>
      </c>
      <c r="M56" s="55">
        <v>0</v>
      </c>
      <c r="N56" s="55">
        <f t="shared" si="31"/>
        <v>3</v>
      </c>
      <c r="O56" s="55">
        <v>3</v>
      </c>
      <c r="P56" s="55">
        <v>0</v>
      </c>
      <c r="Q56" s="55">
        <v>0</v>
      </c>
      <c r="R56" s="55">
        <f t="shared" si="32"/>
        <v>4</v>
      </c>
      <c r="S56" s="55">
        <v>4</v>
      </c>
      <c r="T56" s="55">
        <v>0</v>
      </c>
      <c r="U56" s="55">
        <v>0</v>
      </c>
      <c r="V56" s="55">
        <v>12</v>
      </c>
      <c r="W56" s="53">
        <v>12</v>
      </c>
      <c r="X56" s="53">
        <v>0</v>
      </c>
      <c r="Y56" s="55">
        <v>0</v>
      </c>
      <c r="Z56" s="55">
        <v>17</v>
      </c>
      <c r="AA56" s="53">
        <v>17</v>
      </c>
      <c r="AB56" s="53">
        <v>0</v>
      </c>
      <c r="AC56" s="55">
        <v>0</v>
      </c>
      <c r="AD56" s="55">
        <f t="shared" si="33"/>
        <v>25</v>
      </c>
      <c r="AE56" s="53">
        <v>25</v>
      </c>
      <c r="AF56" s="55">
        <v>0</v>
      </c>
      <c r="AG56" s="55">
        <v>0</v>
      </c>
      <c r="AH56" s="55">
        <f t="shared" si="23"/>
        <v>22</v>
      </c>
      <c r="AI56" s="55">
        <v>22</v>
      </c>
      <c r="AJ56" s="55">
        <v>0</v>
      </c>
      <c r="AK56" s="55">
        <v>0</v>
      </c>
      <c r="AL56" s="55">
        <f t="shared" si="26"/>
        <v>39</v>
      </c>
      <c r="AM56" s="55">
        <v>39</v>
      </c>
      <c r="AN56" s="55">
        <v>0</v>
      </c>
      <c r="AO56" s="55">
        <v>0</v>
      </c>
      <c r="AP56" s="55">
        <f t="shared" si="9"/>
        <v>20</v>
      </c>
      <c r="AQ56" s="55">
        <f>IFERROR(VLOOKUP(A56,[1]SIIMPLES!$A$2:$F$418,6,FALSE),0)</f>
        <v>20</v>
      </c>
      <c r="AR56" s="55">
        <v>0</v>
      </c>
      <c r="AS56" s="55">
        <v>11</v>
      </c>
      <c r="AT56" s="55">
        <v>11</v>
      </c>
      <c r="AU56" s="55">
        <v>0</v>
      </c>
      <c r="AV56" s="55">
        <v>0</v>
      </c>
      <c r="AW56" s="55"/>
      <c r="AX56" s="55"/>
      <c r="AY56" s="56">
        <f t="shared" si="34"/>
        <v>16</v>
      </c>
      <c r="AZ56" s="55"/>
      <c r="BA56" s="56">
        <v>2.5</v>
      </c>
      <c r="BB56" s="41">
        <f t="shared" si="36"/>
        <v>5.4</v>
      </c>
      <c r="BC56" s="13"/>
      <c r="BD56" s="35"/>
      <c r="BE56" s="13"/>
      <c r="BF56" s="16"/>
      <c r="BG56" s="17">
        <f t="shared" si="27"/>
        <v>0</v>
      </c>
      <c r="BH56" s="16">
        <f>ROUND(IFERROR(IF(F56=1,IF(BC56&lt;AY56*3,AY56*3-BC56,0),IF(BC56&lt;AY56,AY56*0.6-BC56,0)),""),0)</f>
        <v>10</v>
      </c>
    </row>
    <row r="57" spans="1:60" s="21" customFormat="1" ht="12.75" customHeight="1" x14ac:dyDescent="0.2">
      <c r="A57" s="51">
        <v>2327</v>
      </c>
      <c r="B57" s="51" t="s">
        <v>1077</v>
      </c>
      <c r="C57" s="66" t="s">
        <v>1803</v>
      </c>
      <c r="D57" s="65" t="s">
        <v>731</v>
      </c>
      <c r="E57" s="52" t="s">
        <v>730</v>
      </c>
      <c r="F57" s="53">
        <f>IFERROR(VLOOKUP(E57,Fornecedores!$A$2:$B$2700,2,FALSE),"")</f>
        <v>3</v>
      </c>
      <c r="G57" s="52" t="s">
        <v>709</v>
      </c>
      <c r="H57" s="54"/>
      <c r="I57" s="55">
        <f t="shared" si="30"/>
        <v>76</v>
      </c>
      <c r="J57" s="55">
        <v>76</v>
      </c>
      <c r="K57" s="55">
        <v>0</v>
      </c>
      <c r="L57" s="55">
        <v>0</v>
      </c>
      <c r="M57" s="55">
        <v>0</v>
      </c>
      <c r="N57" s="55">
        <f t="shared" si="31"/>
        <v>30</v>
      </c>
      <c r="O57" s="55">
        <v>30</v>
      </c>
      <c r="P57" s="55">
        <v>0</v>
      </c>
      <c r="Q57" s="55">
        <v>0</v>
      </c>
      <c r="R57" s="55">
        <f t="shared" si="32"/>
        <v>27</v>
      </c>
      <c r="S57" s="55">
        <v>27</v>
      </c>
      <c r="T57" s="55">
        <v>0</v>
      </c>
      <c r="U57" s="55">
        <v>0</v>
      </c>
      <c r="V57" s="55">
        <v>24</v>
      </c>
      <c r="W57" s="53">
        <v>24</v>
      </c>
      <c r="X57" s="53">
        <v>0</v>
      </c>
      <c r="Y57" s="55">
        <v>0</v>
      </c>
      <c r="Z57" s="55">
        <v>28</v>
      </c>
      <c r="AA57" s="53">
        <v>28</v>
      </c>
      <c r="AB57" s="53">
        <v>0</v>
      </c>
      <c r="AC57" s="55">
        <v>0</v>
      </c>
      <c r="AD57" s="55">
        <f t="shared" si="33"/>
        <v>19</v>
      </c>
      <c r="AE57" s="53">
        <v>19</v>
      </c>
      <c r="AF57" s="55">
        <v>0</v>
      </c>
      <c r="AG57" s="55">
        <v>0</v>
      </c>
      <c r="AH57" s="55">
        <f t="shared" si="23"/>
        <v>30</v>
      </c>
      <c r="AI57" s="55">
        <v>30</v>
      </c>
      <c r="AJ57" s="55">
        <v>0</v>
      </c>
      <c r="AK57" s="55">
        <v>0</v>
      </c>
      <c r="AL57" s="55">
        <f t="shared" si="26"/>
        <v>26</v>
      </c>
      <c r="AM57" s="55">
        <v>26</v>
      </c>
      <c r="AN57" s="55">
        <v>0</v>
      </c>
      <c r="AO57" s="55">
        <v>0</v>
      </c>
      <c r="AP57" s="55">
        <f t="shared" si="9"/>
        <v>19</v>
      </c>
      <c r="AQ57" s="55">
        <f>IFERROR(VLOOKUP(A57,[1]SIIMPLES!$A$2:$F$418,6,FALSE),0)</f>
        <v>19</v>
      </c>
      <c r="AR57" s="55">
        <v>0</v>
      </c>
      <c r="AS57" s="55">
        <v>18</v>
      </c>
      <c r="AT57" s="55">
        <v>18</v>
      </c>
      <c r="AU57" s="55">
        <v>0</v>
      </c>
      <c r="AV57" s="55">
        <v>0</v>
      </c>
      <c r="AW57" s="55"/>
      <c r="AX57" s="55"/>
      <c r="AY57" s="56">
        <f t="shared" si="34"/>
        <v>29.7</v>
      </c>
      <c r="AZ57" s="55"/>
      <c r="BA57" s="56">
        <v>81</v>
      </c>
      <c r="BB57" s="41">
        <f t="shared" si="36"/>
        <v>-0.6333333333333333</v>
      </c>
      <c r="BC57" s="13"/>
      <c r="BD57" s="36"/>
      <c r="BE57" s="7"/>
      <c r="BF57" s="7"/>
      <c r="BG57" s="7"/>
      <c r="BH57" s="7"/>
    </row>
    <row r="58" spans="1:60" s="21" customFormat="1" ht="12.75" customHeight="1" x14ac:dyDescent="0.2">
      <c r="A58" s="51">
        <v>22051</v>
      </c>
      <c r="B58" s="51"/>
      <c r="C58" s="66" t="s">
        <v>1803</v>
      </c>
      <c r="D58" s="65" t="s">
        <v>1778</v>
      </c>
      <c r="E58" s="67" t="s">
        <v>1758</v>
      </c>
      <c r="F58" s="53">
        <f>IFERROR(VLOOKUP(E58,Fornecedores!$A$2:$B$2700,2,FALSE),"")</f>
        <v>1</v>
      </c>
      <c r="G58" s="52" t="s">
        <v>1567</v>
      </c>
      <c r="H58" s="57"/>
      <c r="I58" s="55">
        <f t="shared" si="30"/>
        <v>12</v>
      </c>
      <c r="J58" s="55">
        <v>12</v>
      </c>
      <c r="K58" s="55">
        <v>0</v>
      </c>
      <c r="L58" s="55">
        <v>0</v>
      </c>
      <c r="M58" s="55">
        <v>0</v>
      </c>
      <c r="N58" s="55">
        <f t="shared" si="31"/>
        <v>8</v>
      </c>
      <c r="O58" s="55">
        <v>8</v>
      </c>
      <c r="P58" s="55">
        <v>0</v>
      </c>
      <c r="Q58" s="55">
        <v>0</v>
      </c>
      <c r="R58" s="55">
        <f t="shared" si="32"/>
        <v>8</v>
      </c>
      <c r="S58" s="55">
        <v>8</v>
      </c>
      <c r="T58" s="55">
        <v>0</v>
      </c>
      <c r="U58" s="55">
        <v>0</v>
      </c>
      <c r="V58" s="55">
        <v>13</v>
      </c>
      <c r="W58" s="53">
        <v>13</v>
      </c>
      <c r="X58" s="53">
        <v>0</v>
      </c>
      <c r="Y58" s="55">
        <v>0</v>
      </c>
      <c r="Z58" s="55">
        <v>19</v>
      </c>
      <c r="AA58" s="53">
        <v>19</v>
      </c>
      <c r="AB58" s="53">
        <v>0</v>
      </c>
      <c r="AC58" s="55">
        <v>0</v>
      </c>
      <c r="AD58" s="55">
        <f t="shared" si="33"/>
        <v>16</v>
      </c>
      <c r="AE58" s="53">
        <v>16</v>
      </c>
      <c r="AF58" s="55">
        <v>0</v>
      </c>
      <c r="AG58" s="55">
        <v>0</v>
      </c>
      <c r="AH58" s="55">
        <f t="shared" si="23"/>
        <v>21</v>
      </c>
      <c r="AI58" s="55">
        <v>21</v>
      </c>
      <c r="AJ58" s="55">
        <v>0</v>
      </c>
      <c r="AK58" s="55">
        <v>0</v>
      </c>
      <c r="AL58" s="55">
        <f t="shared" si="26"/>
        <v>18</v>
      </c>
      <c r="AM58" s="55">
        <v>18</v>
      </c>
      <c r="AN58" s="55">
        <v>0</v>
      </c>
      <c r="AO58" s="55">
        <v>0</v>
      </c>
      <c r="AP58" s="55">
        <f t="shared" si="9"/>
        <v>19</v>
      </c>
      <c r="AQ58" s="55">
        <f>IFERROR(VLOOKUP(A58,[1]SIIMPLES!$A$2:$F$418,6,FALSE),0)</f>
        <v>19</v>
      </c>
      <c r="AR58" s="55">
        <v>0</v>
      </c>
      <c r="AS58" s="55">
        <v>3</v>
      </c>
      <c r="AT58" s="55">
        <v>3</v>
      </c>
      <c r="AU58" s="55">
        <v>0</v>
      </c>
      <c r="AV58" s="55">
        <v>0</v>
      </c>
      <c r="AW58" s="55"/>
      <c r="AX58" s="55"/>
      <c r="AY58" s="56">
        <f t="shared" si="34"/>
        <v>13.7</v>
      </c>
      <c r="AZ58" s="55"/>
      <c r="BA58" s="56">
        <v>5</v>
      </c>
      <c r="BB58" s="41">
        <f t="shared" si="36"/>
        <v>1.7399999999999998</v>
      </c>
      <c r="BC58" s="13"/>
      <c r="BD58" s="35"/>
      <c r="BE58" s="13"/>
      <c r="BF58" s="16"/>
      <c r="BG58" s="17">
        <f>IFERROR(BC58/AY58,"0")</f>
        <v>0</v>
      </c>
      <c r="BH58" s="16">
        <f>ROUND(IFERROR(IF(F58=1,IF(BC58&lt;AY58*3,AY58*3-BC58,0),IF(BC58&lt;AY58,AY58*0.6-BC58,0)),""),0)</f>
        <v>41</v>
      </c>
    </row>
    <row r="59" spans="1:60" s="21" customFormat="1" ht="12.75" customHeight="1" x14ac:dyDescent="0.2">
      <c r="A59" s="51">
        <v>112074</v>
      </c>
      <c r="B59" s="51" t="s">
        <v>1077</v>
      </c>
      <c r="C59" s="66" t="s">
        <v>1803</v>
      </c>
      <c r="D59" s="52" t="s">
        <v>728</v>
      </c>
      <c r="E59" s="65" t="s">
        <v>780</v>
      </c>
      <c r="F59" s="53">
        <f>IFERROR(VLOOKUP(E59,Fornecedores!$A$2:$B$2700,2,FALSE),"")</f>
        <v>2</v>
      </c>
      <c r="G59" s="52" t="s">
        <v>723</v>
      </c>
      <c r="H59" s="57"/>
      <c r="I59" s="55">
        <f t="shared" si="30"/>
        <v>5</v>
      </c>
      <c r="J59" s="55">
        <v>0</v>
      </c>
      <c r="K59" s="55">
        <v>5</v>
      </c>
      <c r="L59" s="55">
        <v>0</v>
      </c>
      <c r="M59" s="55">
        <v>0</v>
      </c>
      <c r="N59" s="55">
        <f t="shared" si="31"/>
        <v>6</v>
      </c>
      <c r="O59" s="55">
        <v>0</v>
      </c>
      <c r="P59" s="55">
        <v>6</v>
      </c>
      <c r="Q59" s="55">
        <v>0</v>
      </c>
      <c r="R59" s="55">
        <f t="shared" si="32"/>
        <v>3</v>
      </c>
      <c r="S59" s="55">
        <v>0</v>
      </c>
      <c r="T59" s="55">
        <v>3</v>
      </c>
      <c r="U59" s="55">
        <v>0</v>
      </c>
      <c r="V59" s="55">
        <v>12</v>
      </c>
      <c r="W59" s="53">
        <v>0</v>
      </c>
      <c r="X59" s="53">
        <v>12</v>
      </c>
      <c r="Y59" s="55">
        <v>0</v>
      </c>
      <c r="Z59" s="55">
        <v>5</v>
      </c>
      <c r="AA59" s="53">
        <v>0</v>
      </c>
      <c r="AB59" s="53">
        <v>5</v>
      </c>
      <c r="AC59" s="55">
        <v>0</v>
      </c>
      <c r="AD59" s="55">
        <f t="shared" si="33"/>
        <v>10</v>
      </c>
      <c r="AE59" s="53">
        <v>0</v>
      </c>
      <c r="AF59" s="55">
        <v>10</v>
      </c>
      <c r="AG59" s="55">
        <v>0</v>
      </c>
      <c r="AH59" s="55">
        <f t="shared" si="23"/>
        <v>17</v>
      </c>
      <c r="AI59" s="55">
        <v>5</v>
      </c>
      <c r="AJ59" s="55">
        <v>12</v>
      </c>
      <c r="AK59" s="55">
        <v>0</v>
      </c>
      <c r="AL59" s="55">
        <f t="shared" si="26"/>
        <v>25</v>
      </c>
      <c r="AM59" s="55">
        <v>3</v>
      </c>
      <c r="AN59" s="55">
        <v>22</v>
      </c>
      <c r="AO59" s="55">
        <v>0</v>
      </c>
      <c r="AP59" s="55">
        <f t="shared" si="9"/>
        <v>19</v>
      </c>
      <c r="AQ59" s="55">
        <f>IFERROR(VLOOKUP(A59,[1]SIIMPLES!$A$2:$F$418,6,FALSE),0)</f>
        <v>2</v>
      </c>
      <c r="AR59" s="55">
        <v>17</v>
      </c>
      <c r="AS59" s="55">
        <v>14</v>
      </c>
      <c r="AT59" s="55">
        <v>2</v>
      </c>
      <c r="AU59" s="55">
        <v>11</v>
      </c>
      <c r="AV59" s="55">
        <v>1</v>
      </c>
      <c r="AW59" s="55"/>
      <c r="AX59" s="55"/>
      <c r="AY59" s="56">
        <f t="shared" si="34"/>
        <v>11.6</v>
      </c>
      <c r="AZ59" s="55"/>
      <c r="BA59" s="56">
        <v>0.16666666666666666</v>
      </c>
      <c r="BB59" s="41">
        <f t="shared" si="36"/>
        <v>68.600000000000009</v>
      </c>
      <c r="BC59" s="13"/>
      <c r="BD59" s="35"/>
      <c r="BE59" s="13"/>
      <c r="BF59" s="16"/>
      <c r="BG59" s="17">
        <f>IFERROR(BC59/AY59,"0")</f>
        <v>0</v>
      </c>
      <c r="BH59" s="16">
        <f>ROUND(IFERROR(IF(F59=1,IF(BC59&lt;AY59*3,AY59*3-BC59,0),IF(BC59&lt;AY59,AY59*0.6-BC59,0)),""),0)</f>
        <v>7</v>
      </c>
    </row>
    <row r="60" spans="1:60" s="21" customFormat="1" ht="12.75" customHeight="1" x14ac:dyDescent="0.2">
      <c r="A60" s="51">
        <v>29014</v>
      </c>
      <c r="B60" s="51" t="s">
        <v>1077</v>
      </c>
      <c r="C60" s="66" t="s">
        <v>1803</v>
      </c>
      <c r="D60" s="52" t="s">
        <v>749</v>
      </c>
      <c r="E60" s="52" t="s">
        <v>750</v>
      </c>
      <c r="F60" s="53">
        <f>IFERROR(VLOOKUP(E60,Fornecedores!$A$2:$B$2700,2,FALSE),"")</f>
        <v>4</v>
      </c>
      <c r="G60" s="52" t="s">
        <v>773</v>
      </c>
      <c r="H60" s="54"/>
      <c r="I60" s="55">
        <f t="shared" si="30"/>
        <v>25</v>
      </c>
      <c r="J60" s="55">
        <v>16</v>
      </c>
      <c r="K60" s="55">
        <v>8</v>
      </c>
      <c r="L60" s="55">
        <v>0</v>
      </c>
      <c r="M60" s="55">
        <v>1</v>
      </c>
      <c r="N60" s="55">
        <f t="shared" si="31"/>
        <v>22</v>
      </c>
      <c r="O60" s="55">
        <v>8</v>
      </c>
      <c r="P60" s="55">
        <v>14</v>
      </c>
      <c r="Q60" s="55">
        <v>0</v>
      </c>
      <c r="R60" s="55">
        <f t="shared" si="32"/>
        <v>19</v>
      </c>
      <c r="S60" s="55">
        <v>4</v>
      </c>
      <c r="T60" s="55">
        <v>12</v>
      </c>
      <c r="U60" s="55">
        <v>3</v>
      </c>
      <c r="V60" s="55">
        <v>15</v>
      </c>
      <c r="W60" s="53">
        <v>7</v>
      </c>
      <c r="X60" s="53">
        <v>8</v>
      </c>
      <c r="Y60" s="55">
        <v>0</v>
      </c>
      <c r="Z60" s="55">
        <v>35</v>
      </c>
      <c r="AA60" s="53">
        <v>11</v>
      </c>
      <c r="AB60" s="53">
        <v>24</v>
      </c>
      <c r="AC60" s="55">
        <v>0</v>
      </c>
      <c r="AD60" s="55">
        <f t="shared" si="33"/>
        <v>19</v>
      </c>
      <c r="AE60" s="53">
        <v>1</v>
      </c>
      <c r="AF60" s="55">
        <v>18</v>
      </c>
      <c r="AG60" s="55">
        <v>0</v>
      </c>
      <c r="AH60" s="55">
        <f t="shared" si="23"/>
        <v>24</v>
      </c>
      <c r="AI60" s="55">
        <v>8</v>
      </c>
      <c r="AJ60" s="55">
        <v>16</v>
      </c>
      <c r="AK60" s="55">
        <v>0</v>
      </c>
      <c r="AL60" s="55">
        <f t="shared" si="26"/>
        <v>14</v>
      </c>
      <c r="AM60" s="55">
        <v>4</v>
      </c>
      <c r="AN60" s="55">
        <v>10</v>
      </c>
      <c r="AO60" s="55">
        <v>0</v>
      </c>
      <c r="AP60" s="55">
        <f t="shared" si="9"/>
        <v>18</v>
      </c>
      <c r="AQ60" s="55">
        <f>IFERROR(VLOOKUP(A60,[1]SIIMPLES!$A$2:$F$418,6,FALSE),0)</f>
        <v>6</v>
      </c>
      <c r="AR60" s="55">
        <v>12</v>
      </c>
      <c r="AS60" s="55">
        <v>23</v>
      </c>
      <c r="AT60" s="55">
        <v>7</v>
      </c>
      <c r="AU60" s="55">
        <v>16</v>
      </c>
      <c r="AV60" s="55">
        <v>0</v>
      </c>
      <c r="AW60" s="55"/>
      <c r="AX60" s="55"/>
      <c r="AY60" s="56">
        <f t="shared" si="34"/>
        <v>21.4</v>
      </c>
      <c r="AZ60" s="55"/>
      <c r="BA60" s="56">
        <v>25.833333333333332</v>
      </c>
      <c r="BB60" s="41">
        <f t="shared" si="36"/>
        <v>-0.17161290322580647</v>
      </c>
      <c r="BC60" s="13"/>
      <c r="BD60" s="36"/>
      <c r="BE60" s="7"/>
      <c r="BF60" s="7"/>
      <c r="BG60" s="17">
        <f>IFERROR(BC60/AY60,"0")</f>
        <v>0</v>
      </c>
      <c r="BH60" s="7"/>
    </row>
    <row r="61" spans="1:60" s="21" customFormat="1" ht="12.75" customHeight="1" x14ac:dyDescent="0.2">
      <c r="A61" s="51">
        <v>772103</v>
      </c>
      <c r="B61" s="51" t="s">
        <v>1077</v>
      </c>
      <c r="C61" s="66" t="s">
        <v>1803</v>
      </c>
      <c r="D61" s="52" t="s">
        <v>728</v>
      </c>
      <c r="E61" s="65" t="s">
        <v>780</v>
      </c>
      <c r="F61" s="53">
        <f>IFERROR(VLOOKUP(E61,Fornecedores!$A$2:$B$2700,2,FALSE),"")</f>
        <v>2</v>
      </c>
      <c r="G61" s="52" t="s">
        <v>633</v>
      </c>
      <c r="H61" s="57"/>
      <c r="I61" s="55">
        <f t="shared" si="30"/>
        <v>1</v>
      </c>
      <c r="J61" s="55">
        <v>1</v>
      </c>
      <c r="K61" s="55">
        <v>0</v>
      </c>
      <c r="L61" s="55">
        <v>0</v>
      </c>
      <c r="M61" s="55">
        <v>0</v>
      </c>
      <c r="N61" s="55">
        <f t="shared" si="31"/>
        <v>1</v>
      </c>
      <c r="O61" s="55">
        <v>1</v>
      </c>
      <c r="P61" s="55">
        <v>0</v>
      </c>
      <c r="Q61" s="55">
        <v>0</v>
      </c>
      <c r="R61" s="55">
        <f t="shared" si="32"/>
        <v>3</v>
      </c>
      <c r="S61" s="55">
        <v>1</v>
      </c>
      <c r="T61" s="55">
        <v>0</v>
      </c>
      <c r="U61" s="55">
        <v>2</v>
      </c>
      <c r="V61" s="55">
        <v>4</v>
      </c>
      <c r="W61" s="53">
        <v>1</v>
      </c>
      <c r="X61" s="53">
        <v>3</v>
      </c>
      <c r="Y61" s="55">
        <v>0</v>
      </c>
      <c r="Z61" s="55">
        <v>6</v>
      </c>
      <c r="AA61" s="53">
        <v>0</v>
      </c>
      <c r="AB61" s="53">
        <v>6</v>
      </c>
      <c r="AC61" s="55">
        <v>0</v>
      </c>
      <c r="AD61" s="55">
        <f t="shared" si="33"/>
        <v>18</v>
      </c>
      <c r="AE61" s="53">
        <v>1</v>
      </c>
      <c r="AF61" s="55">
        <v>17</v>
      </c>
      <c r="AG61" s="55">
        <v>0</v>
      </c>
      <c r="AH61" s="55">
        <f t="shared" ref="AH61:AH92" si="37">SUM(AI61:AK61)</f>
        <v>45</v>
      </c>
      <c r="AI61" s="55">
        <v>4</v>
      </c>
      <c r="AJ61" s="55">
        <v>40</v>
      </c>
      <c r="AK61" s="55">
        <v>1</v>
      </c>
      <c r="AL61" s="55">
        <f t="shared" si="26"/>
        <v>53</v>
      </c>
      <c r="AM61" s="55">
        <v>9</v>
      </c>
      <c r="AN61" s="55">
        <v>40</v>
      </c>
      <c r="AO61" s="55">
        <v>4</v>
      </c>
      <c r="AP61" s="55">
        <f t="shared" si="9"/>
        <v>18</v>
      </c>
      <c r="AQ61" s="55">
        <f>IFERROR(VLOOKUP(A61,[1]SIIMPLES!$A$2:$F$418,6,FALSE),0)</f>
        <v>2</v>
      </c>
      <c r="AR61" s="55">
        <v>16</v>
      </c>
      <c r="AS61" s="55">
        <v>10</v>
      </c>
      <c r="AT61" s="55">
        <v>4</v>
      </c>
      <c r="AU61" s="55">
        <v>3</v>
      </c>
      <c r="AV61" s="55">
        <v>3</v>
      </c>
      <c r="AW61" s="55"/>
      <c r="AX61" s="55"/>
      <c r="AY61" s="56">
        <f t="shared" si="34"/>
        <v>15.9</v>
      </c>
      <c r="AZ61" s="55"/>
      <c r="BA61" s="56">
        <v>4.5</v>
      </c>
      <c r="BB61" s="41">
        <f t="shared" si="36"/>
        <v>2.5333333333333332</v>
      </c>
      <c r="BC61" s="13"/>
      <c r="BD61" s="36"/>
      <c r="BE61" s="7"/>
      <c r="BF61" s="7"/>
      <c r="BG61" s="7"/>
      <c r="BH61" s="7"/>
    </row>
    <row r="62" spans="1:60" s="21" customFormat="1" ht="12.75" customHeight="1" x14ac:dyDescent="0.2">
      <c r="A62" s="51">
        <v>112075</v>
      </c>
      <c r="B62" s="51" t="s">
        <v>1077</v>
      </c>
      <c r="C62" s="66" t="s">
        <v>1803</v>
      </c>
      <c r="D62" s="52" t="s">
        <v>728</v>
      </c>
      <c r="E62" s="65" t="s">
        <v>780</v>
      </c>
      <c r="F62" s="53">
        <f>IFERROR(VLOOKUP(E62,Fornecedores!$A$2:$B$2700,2,FALSE),"")</f>
        <v>2</v>
      </c>
      <c r="G62" s="52" t="s">
        <v>710</v>
      </c>
      <c r="H62" s="57"/>
      <c r="I62" s="55">
        <f t="shared" si="30"/>
        <v>5</v>
      </c>
      <c r="J62" s="55">
        <v>0</v>
      </c>
      <c r="K62" s="55">
        <v>5</v>
      </c>
      <c r="L62" s="55">
        <v>0</v>
      </c>
      <c r="M62" s="55">
        <v>0</v>
      </c>
      <c r="N62" s="55">
        <f t="shared" si="31"/>
        <v>6</v>
      </c>
      <c r="O62" s="55">
        <v>0</v>
      </c>
      <c r="P62" s="55">
        <v>6</v>
      </c>
      <c r="Q62" s="55">
        <v>0</v>
      </c>
      <c r="R62" s="55">
        <f t="shared" si="32"/>
        <v>3</v>
      </c>
      <c r="S62" s="55">
        <v>0</v>
      </c>
      <c r="T62" s="55">
        <v>3</v>
      </c>
      <c r="U62" s="55">
        <v>0</v>
      </c>
      <c r="V62" s="55">
        <v>12</v>
      </c>
      <c r="W62" s="53">
        <v>0</v>
      </c>
      <c r="X62" s="53">
        <v>12</v>
      </c>
      <c r="Y62" s="55">
        <v>0</v>
      </c>
      <c r="Z62" s="55">
        <v>5</v>
      </c>
      <c r="AA62" s="53">
        <v>0</v>
      </c>
      <c r="AB62" s="53">
        <v>5</v>
      </c>
      <c r="AC62" s="55">
        <v>0</v>
      </c>
      <c r="AD62" s="55">
        <f t="shared" si="33"/>
        <v>10</v>
      </c>
      <c r="AE62" s="53">
        <v>0</v>
      </c>
      <c r="AF62" s="55">
        <v>10</v>
      </c>
      <c r="AG62" s="55">
        <v>0</v>
      </c>
      <c r="AH62" s="55">
        <f t="shared" si="37"/>
        <v>13</v>
      </c>
      <c r="AI62" s="55">
        <v>1</v>
      </c>
      <c r="AJ62" s="55">
        <v>12</v>
      </c>
      <c r="AK62" s="55">
        <v>0</v>
      </c>
      <c r="AL62" s="55">
        <f t="shared" si="26"/>
        <v>22</v>
      </c>
      <c r="AM62" s="55" t="s">
        <v>1912</v>
      </c>
      <c r="AN62" s="55">
        <v>22</v>
      </c>
      <c r="AO62" s="55">
        <v>0</v>
      </c>
      <c r="AP62" s="55">
        <f t="shared" si="9"/>
        <v>17</v>
      </c>
      <c r="AQ62" s="55">
        <f>IFERROR(VLOOKUP(A62,[1]SIIMPLES!$A$2:$F$418,6,FALSE),0)</f>
        <v>0</v>
      </c>
      <c r="AR62" s="55">
        <v>17</v>
      </c>
      <c r="AS62" s="55">
        <v>12</v>
      </c>
      <c r="AT62" s="55">
        <v>1</v>
      </c>
      <c r="AU62" s="55">
        <v>11</v>
      </c>
      <c r="AV62" s="55">
        <v>0</v>
      </c>
      <c r="AW62" s="55"/>
      <c r="AX62" s="55"/>
      <c r="AY62" s="56">
        <f t="shared" si="34"/>
        <v>10.5</v>
      </c>
      <c r="AZ62" s="55"/>
      <c r="BA62" s="56">
        <v>0</v>
      </c>
      <c r="BB62" s="41" t="str">
        <f t="shared" si="36"/>
        <v/>
      </c>
      <c r="BC62" s="13"/>
      <c r="BD62" s="35"/>
      <c r="BE62" s="13"/>
      <c r="BF62" s="16">
        <f>SUM(BC62:BE62)</f>
        <v>0</v>
      </c>
      <c r="BG62" s="17">
        <f t="shared" ref="BG62:BG93" si="38">IFERROR(BC62/AY62,"0")</f>
        <v>0</v>
      </c>
      <c r="BH62" s="16">
        <f>IFERROR(IF(F62=1,IF(BC62&lt;AY62*3,AY62*3-BC62,0),IF(BC62&lt;AY62,AY62-BC62,0)),"")</f>
        <v>10.5</v>
      </c>
    </row>
    <row r="63" spans="1:60" s="21" customFormat="1" ht="12.75" customHeight="1" x14ac:dyDescent="0.2">
      <c r="A63" s="51">
        <v>552031</v>
      </c>
      <c r="B63" s="51" t="s">
        <v>1077</v>
      </c>
      <c r="C63" s="66" t="s">
        <v>1803</v>
      </c>
      <c r="D63" s="52" t="s">
        <v>728</v>
      </c>
      <c r="E63" s="65" t="s">
        <v>780</v>
      </c>
      <c r="F63" s="53">
        <f>IFERROR(VLOOKUP(E63,Fornecedores!$A$2:$B$2700,2,FALSE),"")</f>
        <v>2</v>
      </c>
      <c r="G63" s="52" t="s">
        <v>452</v>
      </c>
      <c r="H63" s="57"/>
      <c r="I63" s="55">
        <f t="shared" si="30"/>
        <v>15</v>
      </c>
      <c r="J63" s="55">
        <v>4</v>
      </c>
      <c r="K63" s="55">
        <v>11</v>
      </c>
      <c r="L63" s="55">
        <v>0</v>
      </c>
      <c r="M63" s="55">
        <v>0</v>
      </c>
      <c r="N63" s="55">
        <f t="shared" si="31"/>
        <v>5</v>
      </c>
      <c r="O63" s="55">
        <v>2</v>
      </c>
      <c r="P63" s="55">
        <v>3</v>
      </c>
      <c r="Q63" s="55">
        <v>0</v>
      </c>
      <c r="R63" s="55">
        <f t="shared" si="32"/>
        <v>4</v>
      </c>
      <c r="S63" s="55">
        <v>1</v>
      </c>
      <c r="T63" s="55">
        <v>3</v>
      </c>
      <c r="U63" s="55">
        <v>0</v>
      </c>
      <c r="V63" s="55">
        <v>6</v>
      </c>
      <c r="W63" s="53">
        <v>1</v>
      </c>
      <c r="X63" s="53">
        <v>5</v>
      </c>
      <c r="Y63" s="55">
        <v>0</v>
      </c>
      <c r="Z63" s="55">
        <v>7</v>
      </c>
      <c r="AA63" s="53">
        <v>2</v>
      </c>
      <c r="AB63" s="53">
        <v>5</v>
      </c>
      <c r="AC63" s="55">
        <v>0</v>
      </c>
      <c r="AD63" s="55">
        <f t="shared" si="33"/>
        <v>7</v>
      </c>
      <c r="AE63" s="53">
        <v>3</v>
      </c>
      <c r="AF63" s="55">
        <v>3</v>
      </c>
      <c r="AG63" s="55">
        <v>1</v>
      </c>
      <c r="AH63" s="55">
        <f t="shared" si="37"/>
        <v>9</v>
      </c>
      <c r="AI63" s="55">
        <v>3</v>
      </c>
      <c r="AJ63" s="55">
        <v>6</v>
      </c>
      <c r="AK63" s="55">
        <v>0</v>
      </c>
      <c r="AL63" s="55">
        <f t="shared" si="26"/>
        <v>6</v>
      </c>
      <c r="AM63" s="55">
        <v>1</v>
      </c>
      <c r="AN63" s="55">
        <v>5</v>
      </c>
      <c r="AO63" s="55">
        <v>0</v>
      </c>
      <c r="AP63" s="55">
        <f t="shared" si="9"/>
        <v>17</v>
      </c>
      <c r="AQ63" s="55">
        <f>IFERROR(VLOOKUP(A63,[1]SIIMPLES!$A$2:$F$418,6,FALSE),0)</f>
        <v>6</v>
      </c>
      <c r="AR63" s="55">
        <v>11</v>
      </c>
      <c r="AS63" s="55">
        <v>22</v>
      </c>
      <c r="AT63" s="55">
        <v>22</v>
      </c>
      <c r="AU63" s="55">
        <v>0</v>
      </c>
      <c r="AV63" s="55">
        <v>0</v>
      </c>
      <c r="AW63" s="55"/>
      <c r="AX63" s="55"/>
      <c r="AY63" s="56">
        <f t="shared" si="34"/>
        <v>9.8000000000000007</v>
      </c>
      <c r="AZ63" s="55"/>
      <c r="BA63" s="56">
        <v>21.333333333333332</v>
      </c>
      <c r="BB63" s="41">
        <f t="shared" si="36"/>
        <v>-0.54062499999999991</v>
      </c>
      <c r="BC63" s="13"/>
      <c r="BD63" s="35"/>
      <c r="BE63" s="13"/>
      <c r="BF63" s="16"/>
      <c r="BG63" s="17">
        <f t="shared" si="38"/>
        <v>0</v>
      </c>
      <c r="BH63" s="16">
        <f>IFERROR(IF(F63=1,IF(BC63&lt;AY63*3,AY63*3-BC63,0),IF(BC63&lt;AY63,AY63-BC63,0)),"")</f>
        <v>9.8000000000000007</v>
      </c>
    </row>
    <row r="64" spans="1:60" s="21" customFormat="1" ht="12.75" customHeight="1" x14ac:dyDescent="0.2">
      <c r="A64" s="51">
        <v>225051</v>
      </c>
      <c r="B64" s="51" t="s">
        <v>1077</v>
      </c>
      <c r="C64" s="66" t="s">
        <v>1803</v>
      </c>
      <c r="D64" s="65" t="s">
        <v>737</v>
      </c>
      <c r="E64" s="67" t="s">
        <v>727</v>
      </c>
      <c r="F64" s="53">
        <f>IFERROR(VLOOKUP(E64,Fornecedores!$A$2:$B$2700,2,FALSE),"")</f>
        <v>1</v>
      </c>
      <c r="G64" s="52" t="s">
        <v>327</v>
      </c>
      <c r="H64" s="54"/>
      <c r="I64" s="55">
        <f t="shared" si="30"/>
        <v>19</v>
      </c>
      <c r="J64" s="55">
        <v>19</v>
      </c>
      <c r="K64" s="55">
        <v>0</v>
      </c>
      <c r="L64" s="55">
        <v>0</v>
      </c>
      <c r="M64" s="55">
        <v>0</v>
      </c>
      <c r="N64" s="55">
        <f t="shared" si="31"/>
        <v>12</v>
      </c>
      <c r="O64" s="55">
        <v>12</v>
      </c>
      <c r="P64" s="55">
        <v>0</v>
      </c>
      <c r="Q64" s="55">
        <v>0</v>
      </c>
      <c r="R64" s="55">
        <f t="shared" si="32"/>
        <v>16</v>
      </c>
      <c r="S64" s="55">
        <v>16</v>
      </c>
      <c r="T64" s="55">
        <v>0</v>
      </c>
      <c r="U64" s="55">
        <v>0</v>
      </c>
      <c r="V64" s="55">
        <v>17</v>
      </c>
      <c r="W64" s="53">
        <v>17</v>
      </c>
      <c r="X64" s="53">
        <v>0</v>
      </c>
      <c r="Y64" s="55">
        <v>0</v>
      </c>
      <c r="Z64" s="55">
        <v>2</v>
      </c>
      <c r="AA64" s="53">
        <v>2</v>
      </c>
      <c r="AB64" s="53">
        <v>0</v>
      </c>
      <c r="AC64" s="55">
        <v>0</v>
      </c>
      <c r="AD64" s="55">
        <f t="shared" si="33"/>
        <v>11</v>
      </c>
      <c r="AE64" s="53">
        <v>11</v>
      </c>
      <c r="AF64" s="55">
        <v>0</v>
      </c>
      <c r="AG64" s="55">
        <v>0</v>
      </c>
      <c r="AH64" s="55">
        <f t="shared" si="37"/>
        <v>16</v>
      </c>
      <c r="AI64" s="55">
        <v>16</v>
      </c>
      <c r="AJ64" s="55">
        <v>0</v>
      </c>
      <c r="AK64" s="55">
        <v>0</v>
      </c>
      <c r="AL64" s="55">
        <f t="shared" si="26"/>
        <v>25</v>
      </c>
      <c r="AM64" s="55">
        <v>25</v>
      </c>
      <c r="AN64" s="55">
        <v>0</v>
      </c>
      <c r="AO64" s="55">
        <v>0</v>
      </c>
      <c r="AP64" s="55">
        <f t="shared" si="9"/>
        <v>17</v>
      </c>
      <c r="AQ64" s="55">
        <f>IFERROR(VLOOKUP(A64,[1]SIIMPLES!$A$2:$F$418,6,FALSE),0)</f>
        <v>17</v>
      </c>
      <c r="AR64" s="55">
        <v>0</v>
      </c>
      <c r="AS64" s="55">
        <v>1</v>
      </c>
      <c r="AT64" s="55">
        <v>1</v>
      </c>
      <c r="AU64" s="55">
        <v>0</v>
      </c>
      <c r="AV64" s="55">
        <v>0</v>
      </c>
      <c r="AW64" s="55"/>
      <c r="AX64" s="55"/>
      <c r="AY64" s="56">
        <f t="shared" si="34"/>
        <v>13.6</v>
      </c>
      <c r="AZ64" s="55"/>
      <c r="BA64" s="56">
        <v>25.333333333333332</v>
      </c>
      <c r="BB64" s="41">
        <f t="shared" si="36"/>
        <v>-0.4631578947368421</v>
      </c>
      <c r="BC64" s="7"/>
      <c r="BD64" s="35"/>
      <c r="BE64" s="13"/>
      <c r="BF64" s="16"/>
      <c r="BG64" s="17">
        <f t="shared" si="38"/>
        <v>0</v>
      </c>
      <c r="BH64" s="16">
        <f>ROUND(IFERROR(IF(F64=1,IF(BC64&lt;AY64*3,AY64*3-BC64,0),IF(BC64&lt;AY64,AY64*0.6-BC64,0)),""),0)</f>
        <v>41</v>
      </c>
    </row>
    <row r="65" spans="1:60" s="21" customFormat="1" ht="12.75" customHeight="1" x14ac:dyDescent="0.2">
      <c r="A65" s="51">
        <v>2210</v>
      </c>
      <c r="B65" s="51" t="s">
        <v>1077</v>
      </c>
      <c r="C65" s="66" t="s">
        <v>1803</v>
      </c>
      <c r="D65" s="52" t="s">
        <v>729</v>
      </c>
      <c r="E65" s="52" t="s">
        <v>730</v>
      </c>
      <c r="F65" s="53">
        <f>IFERROR(VLOOKUP(E65,Fornecedores!$A$2:$B$2700,2,FALSE),"")</f>
        <v>3</v>
      </c>
      <c r="G65" s="52" t="s">
        <v>176</v>
      </c>
      <c r="H65" s="54"/>
      <c r="I65" s="55">
        <f t="shared" si="30"/>
        <v>44</v>
      </c>
      <c r="J65" s="55">
        <v>10</v>
      </c>
      <c r="K65" s="55">
        <v>34</v>
      </c>
      <c r="L65" s="55">
        <v>0</v>
      </c>
      <c r="M65" s="55">
        <v>0</v>
      </c>
      <c r="N65" s="55">
        <f t="shared" si="31"/>
        <v>22</v>
      </c>
      <c r="O65" s="55">
        <v>0</v>
      </c>
      <c r="P65" s="55">
        <v>22</v>
      </c>
      <c r="Q65" s="55">
        <v>0</v>
      </c>
      <c r="R65" s="55">
        <f t="shared" si="32"/>
        <v>24</v>
      </c>
      <c r="S65" s="55">
        <v>0</v>
      </c>
      <c r="T65" s="55">
        <v>24</v>
      </c>
      <c r="U65" s="55">
        <v>0</v>
      </c>
      <c r="V65" s="55">
        <v>18</v>
      </c>
      <c r="W65" s="53">
        <v>0</v>
      </c>
      <c r="X65" s="53">
        <v>18</v>
      </c>
      <c r="Y65" s="55">
        <v>0</v>
      </c>
      <c r="Z65" s="55">
        <v>46</v>
      </c>
      <c r="AA65" s="53">
        <v>0</v>
      </c>
      <c r="AB65" s="53">
        <v>46</v>
      </c>
      <c r="AC65" s="55">
        <v>0</v>
      </c>
      <c r="AD65" s="55">
        <f t="shared" si="33"/>
        <v>36</v>
      </c>
      <c r="AE65" s="53">
        <v>0</v>
      </c>
      <c r="AF65" s="55">
        <v>36</v>
      </c>
      <c r="AG65" s="55">
        <v>0</v>
      </c>
      <c r="AH65" s="55">
        <f t="shared" si="37"/>
        <v>50</v>
      </c>
      <c r="AI65" s="55">
        <v>0</v>
      </c>
      <c r="AJ65" s="55">
        <v>50</v>
      </c>
      <c r="AK65" s="55">
        <v>0</v>
      </c>
      <c r="AL65" s="55">
        <f t="shared" si="26"/>
        <v>46</v>
      </c>
      <c r="AM65" s="55" t="s">
        <v>1912</v>
      </c>
      <c r="AN65" s="55">
        <v>46</v>
      </c>
      <c r="AO65" s="55">
        <v>0</v>
      </c>
      <c r="AP65" s="55">
        <f t="shared" si="9"/>
        <v>16</v>
      </c>
      <c r="AQ65" s="55">
        <f>IFERROR(VLOOKUP(A65,[1]SIIMPLES!$A$2:$F$418,6,FALSE),0)</f>
        <v>2</v>
      </c>
      <c r="AR65" s="55">
        <v>14</v>
      </c>
      <c r="AS65" s="55">
        <v>20</v>
      </c>
      <c r="AT65" s="55">
        <v>0</v>
      </c>
      <c r="AU65" s="55">
        <v>20</v>
      </c>
      <c r="AV65" s="55">
        <v>0</v>
      </c>
      <c r="AW65" s="55"/>
      <c r="AX65" s="55"/>
      <c r="AY65" s="56">
        <f t="shared" si="34"/>
        <v>32.200000000000003</v>
      </c>
      <c r="AZ65" s="55"/>
      <c r="BA65" s="56">
        <v>96</v>
      </c>
      <c r="BB65" s="41">
        <f t="shared" si="36"/>
        <v>-0.6645833333333333</v>
      </c>
      <c r="BC65" s="7"/>
      <c r="BD65" s="35"/>
      <c r="BE65" s="13"/>
      <c r="BF65" s="16"/>
      <c r="BG65" s="17">
        <f t="shared" si="38"/>
        <v>0</v>
      </c>
      <c r="BH65" s="16">
        <f>IFERROR(IF(F65=1,IF(BC65&lt;AY65*3,AY65*3-BC65,0),IF(BC65&lt;AY65,AY65-BC65,0)),"")</f>
        <v>32.200000000000003</v>
      </c>
    </row>
    <row r="66" spans="1:60" s="21" customFormat="1" ht="12.75" customHeight="1" x14ac:dyDescent="0.2">
      <c r="A66" s="51">
        <v>27020</v>
      </c>
      <c r="B66" s="51" t="s">
        <v>1077</v>
      </c>
      <c r="C66" s="66" t="s">
        <v>1803</v>
      </c>
      <c r="D66" s="52" t="s">
        <v>749</v>
      </c>
      <c r="E66" s="52" t="s">
        <v>750</v>
      </c>
      <c r="F66" s="53">
        <f>IFERROR(VLOOKUP(E66,Fornecedores!$A$2:$B$2700,2,FALSE),"")</f>
        <v>4</v>
      </c>
      <c r="G66" s="52" t="s">
        <v>623</v>
      </c>
      <c r="H66" s="54"/>
      <c r="I66" s="55">
        <f t="shared" si="30"/>
        <v>30</v>
      </c>
      <c r="J66" s="55">
        <v>6</v>
      </c>
      <c r="K66" s="55">
        <v>24</v>
      </c>
      <c r="L66" s="55">
        <v>0</v>
      </c>
      <c r="M66" s="55">
        <v>0</v>
      </c>
      <c r="N66" s="55">
        <f t="shared" si="31"/>
        <v>22</v>
      </c>
      <c r="O66" s="55">
        <v>0</v>
      </c>
      <c r="P66" s="55">
        <v>22</v>
      </c>
      <c r="Q66" s="55">
        <v>0</v>
      </c>
      <c r="R66" s="55">
        <f t="shared" si="32"/>
        <v>3</v>
      </c>
      <c r="S66" s="55">
        <v>1</v>
      </c>
      <c r="T66" s="55">
        <v>2</v>
      </c>
      <c r="U66" s="55">
        <v>0</v>
      </c>
      <c r="V66" s="55">
        <v>10</v>
      </c>
      <c r="W66" s="53">
        <v>0</v>
      </c>
      <c r="X66" s="53">
        <v>10</v>
      </c>
      <c r="Y66" s="55">
        <v>0</v>
      </c>
      <c r="Z66" s="55">
        <v>11</v>
      </c>
      <c r="AA66" s="53">
        <v>3</v>
      </c>
      <c r="AB66" s="53">
        <v>8</v>
      </c>
      <c r="AC66" s="55">
        <v>0</v>
      </c>
      <c r="AD66" s="55">
        <f t="shared" si="33"/>
        <v>2</v>
      </c>
      <c r="AE66" s="53">
        <v>0</v>
      </c>
      <c r="AF66" s="55">
        <v>2</v>
      </c>
      <c r="AG66" s="55">
        <v>0</v>
      </c>
      <c r="AH66" s="55">
        <f t="shared" si="37"/>
        <v>10</v>
      </c>
      <c r="AI66" s="55">
        <v>0</v>
      </c>
      <c r="AJ66" s="55">
        <v>10</v>
      </c>
      <c r="AK66" s="55">
        <v>0</v>
      </c>
      <c r="AL66" s="55">
        <f t="shared" si="26"/>
        <v>6</v>
      </c>
      <c r="AM66" s="55" t="s">
        <v>1912</v>
      </c>
      <c r="AN66" s="55">
        <v>6</v>
      </c>
      <c r="AO66" s="55">
        <v>0</v>
      </c>
      <c r="AP66" s="55">
        <f t="shared" si="9"/>
        <v>16</v>
      </c>
      <c r="AQ66" s="55">
        <f>IFERROR(VLOOKUP(A66,[1]SIIMPLES!$A$2:$F$418,6,FALSE),0)</f>
        <v>0</v>
      </c>
      <c r="AR66" s="55">
        <v>16</v>
      </c>
      <c r="AS66" s="55">
        <v>20</v>
      </c>
      <c r="AT66" s="55">
        <v>0</v>
      </c>
      <c r="AU66" s="55">
        <v>20</v>
      </c>
      <c r="AV66" s="55">
        <v>0</v>
      </c>
      <c r="AW66" s="55"/>
      <c r="AX66" s="55"/>
      <c r="AY66" s="56">
        <f t="shared" si="34"/>
        <v>13</v>
      </c>
      <c r="AZ66" s="55"/>
      <c r="BA66" s="56">
        <v>44.833333333333336</v>
      </c>
      <c r="BB66" s="41">
        <f t="shared" si="36"/>
        <v>-0.71003717472118955</v>
      </c>
      <c r="BC66" s="13"/>
      <c r="BD66" s="35"/>
      <c r="BE66" s="13"/>
      <c r="BF66" s="16">
        <f>SUM(BC66:BE66)</f>
        <v>0</v>
      </c>
      <c r="BG66" s="17">
        <f t="shared" si="38"/>
        <v>0</v>
      </c>
      <c r="BH66" s="16">
        <f>IFERROR(IF(F66=1,IF(BC66&lt;AY66*3,AY66*3-BC66,0),IF(BC66&lt;AY66,AY66-BC66,0)),"")</f>
        <v>13</v>
      </c>
    </row>
    <row r="67" spans="1:60" s="21" customFormat="1" ht="12.75" customHeight="1" x14ac:dyDescent="0.2">
      <c r="A67" s="51">
        <v>66611</v>
      </c>
      <c r="B67" s="51"/>
      <c r="C67" s="66" t="s">
        <v>1803</v>
      </c>
      <c r="D67" s="65" t="s">
        <v>737</v>
      </c>
      <c r="E67" s="67" t="s">
        <v>727</v>
      </c>
      <c r="F67" s="53">
        <f>IFERROR(VLOOKUP(E67,Fornecedores!$A$2:$B$2700,2,FALSE),"")</f>
        <v>1</v>
      </c>
      <c r="G67" s="52" t="s">
        <v>81</v>
      </c>
      <c r="H67" s="54"/>
      <c r="I67" s="55">
        <f t="shared" si="30"/>
        <v>3</v>
      </c>
      <c r="J67" s="55">
        <v>1</v>
      </c>
      <c r="K67" s="55">
        <v>2</v>
      </c>
      <c r="L67" s="55">
        <v>0</v>
      </c>
      <c r="M67" s="55">
        <v>0</v>
      </c>
      <c r="N67" s="55">
        <f t="shared" si="31"/>
        <v>7</v>
      </c>
      <c r="O67" s="55">
        <v>0</v>
      </c>
      <c r="P67" s="55">
        <v>7</v>
      </c>
      <c r="Q67" s="55">
        <v>0</v>
      </c>
      <c r="R67" s="55">
        <f t="shared" si="32"/>
        <v>14</v>
      </c>
      <c r="S67" s="55">
        <v>0</v>
      </c>
      <c r="T67" s="55">
        <v>14</v>
      </c>
      <c r="U67" s="55">
        <v>0</v>
      </c>
      <c r="V67" s="55">
        <v>30</v>
      </c>
      <c r="W67" s="53">
        <v>1</v>
      </c>
      <c r="X67" s="53">
        <v>29</v>
      </c>
      <c r="Y67" s="55">
        <v>0</v>
      </c>
      <c r="Z67" s="55">
        <v>11</v>
      </c>
      <c r="AA67" s="53">
        <v>1</v>
      </c>
      <c r="AB67" s="53">
        <v>10</v>
      </c>
      <c r="AC67" s="55">
        <v>0</v>
      </c>
      <c r="AD67" s="55">
        <f t="shared" si="33"/>
        <v>2</v>
      </c>
      <c r="AE67" s="53">
        <v>0</v>
      </c>
      <c r="AF67" s="55">
        <v>2</v>
      </c>
      <c r="AG67" s="55">
        <v>0</v>
      </c>
      <c r="AH67" s="55">
        <f t="shared" si="37"/>
        <v>3</v>
      </c>
      <c r="AI67" s="55">
        <v>0</v>
      </c>
      <c r="AJ67" s="55">
        <v>3</v>
      </c>
      <c r="AK67" s="55">
        <v>0</v>
      </c>
      <c r="AL67" s="55">
        <f t="shared" ref="AL67:AL98" si="39">SUM(AM67:AO67)</f>
        <v>13</v>
      </c>
      <c r="AM67" s="55" t="s">
        <v>1912</v>
      </c>
      <c r="AN67" s="55">
        <v>13</v>
      </c>
      <c r="AO67" s="55">
        <v>0</v>
      </c>
      <c r="AP67" s="55">
        <f t="shared" ref="AP67:AP130" si="40">SUM(AQ67:AR67)</f>
        <v>16</v>
      </c>
      <c r="AQ67" s="55">
        <f>IFERROR(VLOOKUP(A67,[1]SIIMPLES!$A$2:$F$418,6,FALSE),0)</f>
        <v>5</v>
      </c>
      <c r="AR67" s="55">
        <v>11</v>
      </c>
      <c r="AS67" s="55">
        <v>25</v>
      </c>
      <c r="AT67" s="55">
        <v>14</v>
      </c>
      <c r="AU67" s="55">
        <v>11</v>
      </c>
      <c r="AV67" s="55">
        <v>0</v>
      </c>
      <c r="AW67" s="55"/>
      <c r="AX67" s="55"/>
      <c r="AY67" s="56">
        <f t="shared" si="34"/>
        <v>12.4</v>
      </c>
      <c r="AZ67" s="55"/>
      <c r="BA67" s="56">
        <v>5.666666666666667</v>
      </c>
      <c r="BB67" s="41">
        <f t="shared" si="36"/>
        <v>1.1882352941176468</v>
      </c>
      <c r="BC67" s="13"/>
      <c r="BD67" s="35"/>
      <c r="BE67" s="13"/>
      <c r="BF67" s="16"/>
      <c r="BG67" s="17">
        <f t="shared" si="38"/>
        <v>0</v>
      </c>
      <c r="BH67" s="16">
        <f>IFERROR(IF(F67=1,IF(BC67&lt;AY67*3,AY67*3-BC67,0),IF(BC67&lt;AY67,AY67-BC67,0)),"")</f>
        <v>37.200000000000003</v>
      </c>
    </row>
    <row r="68" spans="1:60" s="21" customFormat="1" ht="12.75" customHeight="1" x14ac:dyDescent="0.2">
      <c r="A68" s="51">
        <v>662052</v>
      </c>
      <c r="B68" s="51" t="s">
        <v>1077</v>
      </c>
      <c r="C68" s="66" t="s">
        <v>1803</v>
      </c>
      <c r="D68" s="52" t="s">
        <v>728</v>
      </c>
      <c r="E68" s="65" t="s">
        <v>780</v>
      </c>
      <c r="F68" s="53">
        <f>IFERROR(VLOOKUP(E68,Fornecedores!$A$2:$B$2700,2,FALSE),"")</f>
        <v>2</v>
      </c>
      <c r="G68" s="52" t="s">
        <v>50</v>
      </c>
      <c r="H68" s="57"/>
      <c r="I68" s="55">
        <f t="shared" si="30"/>
        <v>18</v>
      </c>
      <c r="J68" s="55">
        <v>12</v>
      </c>
      <c r="K68" s="55">
        <v>6</v>
      </c>
      <c r="L68" s="55">
        <v>0</v>
      </c>
      <c r="M68" s="55">
        <v>0</v>
      </c>
      <c r="N68" s="55">
        <f t="shared" si="31"/>
        <v>24</v>
      </c>
      <c r="O68" s="55">
        <v>13</v>
      </c>
      <c r="P68" s="55">
        <v>11</v>
      </c>
      <c r="Q68" s="55">
        <v>0</v>
      </c>
      <c r="R68" s="55">
        <f t="shared" si="32"/>
        <v>41</v>
      </c>
      <c r="S68" s="55">
        <v>18</v>
      </c>
      <c r="T68" s="55">
        <v>21</v>
      </c>
      <c r="U68" s="55">
        <v>2</v>
      </c>
      <c r="V68" s="55">
        <v>35</v>
      </c>
      <c r="W68" s="53">
        <v>23</v>
      </c>
      <c r="X68" s="53">
        <v>12</v>
      </c>
      <c r="Y68" s="55">
        <v>0</v>
      </c>
      <c r="Z68" s="55">
        <v>12</v>
      </c>
      <c r="AA68" s="53">
        <v>8</v>
      </c>
      <c r="AB68" s="53">
        <v>4</v>
      </c>
      <c r="AC68" s="55">
        <v>0</v>
      </c>
      <c r="AD68" s="55">
        <f t="shared" si="33"/>
        <v>26</v>
      </c>
      <c r="AE68" s="53">
        <v>17</v>
      </c>
      <c r="AF68" s="55">
        <v>9</v>
      </c>
      <c r="AG68" s="55">
        <v>0</v>
      </c>
      <c r="AH68" s="55">
        <f t="shared" si="37"/>
        <v>23</v>
      </c>
      <c r="AI68" s="55">
        <v>15</v>
      </c>
      <c r="AJ68" s="55">
        <v>8</v>
      </c>
      <c r="AK68" s="55">
        <v>0</v>
      </c>
      <c r="AL68" s="55">
        <f t="shared" si="39"/>
        <v>22</v>
      </c>
      <c r="AM68" s="55">
        <v>17</v>
      </c>
      <c r="AN68" s="55">
        <v>5</v>
      </c>
      <c r="AO68" s="55">
        <v>0</v>
      </c>
      <c r="AP68" s="55">
        <f t="shared" si="40"/>
        <v>16</v>
      </c>
      <c r="AQ68" s="55">
        <f>IFERROR(VLOOKUP(A68,[1]SIIMPLES!$A$2:$F$418,6,FALSE),0)</f>
        <v>13</v>
      </c>
      <c r="AR68" s="55">
        <v>3</v>
      </c>
      <c r="AS68" s="55">
        <v>11</v>
      </c>
      <c r="AT68" s="55">
        <v>0</v>
      </c>
      <c r="AU68" s="55">
        <v>6</v>
      </c>
      <c r="AV68" s="55">
        <v>5</v>
      </c>
      <c r="AW68" s="55"/>
      <c r="AX68" s="55"/>
      <c r="AY68" s="56">
        <f t="shared" si="34"/>
        <v>22.8</v>
      </c>
      <c r="AZ68" s="55"/>
      <c r="BA68" s="56">
        <v>24.833333333333332</v>
      </c>
      <c r="BB68" s="41">
        <f t="shared" si="36"/>
        <v>-8.1879194630872454E-2</v>
      </c>
      <c r="BC68" s="13"/>
      <c r="BD68" s="35"/>
      <c r="BE68" s="13"/>
      <c r="BF68" s="16">
        <f>SUM(BC68:BE68)</f>
        <v>0</v>
      </c>
      <c r="BG68" s="17">
        <f t="shared" si="38"/>
        <v>0</v>
      </c>
      <c r="BH68" s="16">
        <f>ROUND(IFERROR(IF(F68=1,IF(BC68&lt;AY68*3,AY68*3-BC68,0),IF(BC68&lt;AY68,AY68*0.6-BC68,0)),""),0)</f>
        <v>14</v>
      </c>
    </row>
    <row r="69" spans="1:60" s="21" customFormat="1" ht="12.75" customHeight="1" x14ac:dyDescent="0.2">
      <c r="A69" s="51">
        <v>112058</v>
      </c>
      <c r="B69" s="51"/>
      <c r="C69" s="66" t="s">
        <v>1803</v>
      </c>
      <c r="D69" s="52" t="s">
        <v>728</v>
      </c>
      <c r="E69" s="65" t="s">
        <v>780</v>
      </c>
      <c r="F69" s="53">
        <f>IFERROR(VLOOKUP(E69,Fornecedores!$A$2:$B$2700,2,FALSE),"")</f>
        <v>2</v>
      </c>
      <c r="G69" s="52" t="s">
        <v>67</v>
      </c>
      <c r="H69" s="57"/>
      <c r="I69" s="55">
        <f t="shared" si="30"/>
        <v>12</v>
      </c>
      <c r="J69" s="55">
        <v>1</v>
      </c>
      <c r="K69" s="55">
        <v>7</v>
      </c>
      <c r="L69" s="55">
        <v>0</v>
      </c>
      <c r="M69" s="55">
        <v>4</v>
      </c>
      <c r="N69" s="55">
        <f t="shared" si="31"/>
        <v>7</v>
      </c>
      <c r="O69" s="55">
        <v>0</v>
      </c>
      <c r="P69" s="55">
        <v>7</v>
      </c>
      <c r="Q69" s="55">
        <v>0</v>
      </c>
      <c r="R69" s="55">
        <f t="shared" si="32"/>
        <v>7</v>
      </c>
      <c r="S69" s="55">
        <v>0</v>
      </c>
      <c r="T69" s="55">
        <v>6</v>
      </c>
      <c r="U69" s="55">
        <v>1</v>
      </c>
      <c r="V69" s="55">
        <v>13</v>
      </c>
      <c r="W69" s="53">
        <v>1</v>
      </c>
      <c r="X69" s="53">
        <v>12</v>
      </c>
      <c r="Y69" s="55">
        <v>0</v>
      </c>
      <c r="Z69" s="55">
        <v>0</v>
      </c>
      <c r="AA69" s="53">
        <v>0</v>
      </c>
      <c r="AB69" s="53">
        <v>0</v>
      </c>
      <c r="AC69" s="55">
        <v>0</v>
      </c>
      <c r="AD69" s="55">
        <f t="shared" si="33"/>
        <v>1</v>
      </c>
      <c r="AE69" s="53">
        <v>0</v>
      </c>
      <c r="AF69" s="55">
        <v>1</v>
      </c>
      <c r="AG69" s="55">
        <v>0</v>
      </c>
      <c r="AH69" s="55">
        <f t="shared" si="37"/>
        <v>4</v>
      </c>
      <c r="AI69" s="55">
        <v>0</v>
      </c>
      <c r="AJ69" s="55">
        <v>4</v>
      </c>
      <c r="AK69" s="55">
        <v>0</v>
      </c>
      <c r="AL69" s="55">
        <f t="shared" si="39"/>
        <v>11</v>
      </c>
      <c r="AM69" s="55" t="s">
        <v>1912</v>
      </c>
      <c r="AN69" s="55">
        <v>11</v>
      </c>
      <c r="AO69" s="55">
        <v>0</v>
      </c>
      <c r="AP69" s="55">
        <f t="shared" si="40"/>
        <v>16</v>
      </c>
      <c r="AQ69" s="55">
        <f>IFERROR(VLOOKUP(A69,[1]SIIMPLES!$A$2:$F$418,6,FALSE),0)</f>
        <v>8</v>
      </c>
      <c r="AR69" s="55">
        <v>8</v>
      </c>
      <c r="AS69" s="55">
        <v>6</v>
      </c>
      <c r="AT69" s="55">
        <v>0</v>
      </c>
      <c r="AU69" s="55">
        <v>3</v>
      </c>
      <c r="AV69" s="55">
        <v>3</v>
      </c>
      <c r="AW69" s="57"/>
      <c r="AX69" s="55"/>
      <c r="AY69" s="56">
        <f t="shared" si="34"/>
        <v>7.7</v>
      </c>
      <c r="AZ69" s="55"/>
      <c r="BA69" s="56">
        <v>1</v>
      </c>
      <c r="BB69" s="41">
        <f t="shared" si="36"/>
        <v>6.7</v>
      </c>
      <c r="BC69" s="13"/>
      <c r="BD69" s="35"/>
      <c r="BE69" s="13"/>
      <c r="BF69" s="16"/>
      <c r="BG69" s="17">
        <f t="shared" si="38"/>
        <v>0</v>
      </c>
      <c r="BH69" s="16">
        <f t="shared" ref="BH69:BH81" si="41">IFERROR(IF(F69=1,IF(BC69&lt;AY69*3,AY69*3-BC69,0),IF(BC69&lt;AY69,AY69-BC69,0)),"")</f>
        <v>7.7</v>
      </c>
    </row>
    <row r="70" spans="1:60" s="21" customFormat="1" ht="12.75" customHeight="1" x14ac:dyDescent="0.2">
      <c r="A70" s="68">
        <v>112059</v>
      </c>
      <c r="B70" s="51"/>
      <c r="C70" s="66" t="s">
        <v>1803</v>
      </c>
      <c r="D70" s="52" t="s">
        <v>728</v>
      </c>
      <c r="E70" s="65" t="s">
        <v>780</v>
      </c>
      <c r="F70" s="53">
        <f>IFERROR(VLOOKUP(E70,Fornecedores!$A$2:$B$2700,2,FALSE),"")</f>
        <v>2</v>
      </c>
      <c r="G70" s="52" t="s">
        <v>1565</v>
      </c>
      <c r="H70" s="57"/>
      <c r="I70" s="55">
        <f t="shared" si="30"/>
        <v>11</v>
      </c>
      <c r="J70" s="55">
        <v>0</v>
      </c>
      <c r="K70" s="55">
        <v>7</v>
      </c>
      <c r="L70" s="55">
        <v>0</v>
      </c>
      <c r="M70" s="55">
        <v>4</v>
      </c>
      <c r="N70" s="55">
        <f t="shared" si="31"/>
        <v>7</v>
      </c>
      <c r="O70" s="55">
        <v>0</v>
      </c>
      <c r="P70" s="55">
        <v>7</v>
      </c>
      <c r="Q70" s="55">
        <v>0</v>
      </c>
      <c r="R70" s="55">
        <f t="shared" si="32"/>
        <v>6</v>
      </c>
      <c r="S70" s="55">
        <v>0</v>
      </c>
      <c r="T70" s="55">
        <v>6</v>
      </c>
      <c r="U70" s="55">
        <v>0</v>
      </c>
      <c r="V70" s="55">
        <v>12</v>
      </c>
      <c r="W70" s="53">
        <v>0</v>
      </c>
      <c r="X70" s="53">
        <v>12</v>
      </c>
      <c r="Y70" s="55">
        <v>0</v>
      </c>
      <c r="Z70" s="55">
        <v>0</v>
      </c>
      <c r="AA70" s="53">
        <v>0</v>
      </c>
      <c r="AB70" s="53">
        <v>0</v>
      </c>
      <c r="AC70" s="55">
        <v>0</v>
      </c>
      <c r="AD70" s="55">
        <f t="shared" si="33"/>
        <v>1</v>
      </c>
      <c r="AE70" s="53">
        <v>0</v>
      </c>
      <c r="AF70" s="55">
        <v>1</v>
      </c>
      <c r="AG70" s="55">
        <v>0</v>
      </c>
      <c r="AH70" s="55">
        <f t="shared" si="37"/>
        <v>4</v>
      </c>
      <c r="AI70" s="55">
        <v>0</v>
      </c>
      <c r="AJ70" s="55">
        <v>4</v>
      </c>
      <c r="AK70" s="55">
        <v>0</v>
      </c>
      <c r="AL70" s="55">
        <f t="shared" si="39"/>
        <v>11</v>
      </c>
      <c r="AM70" s="55" t="s">
        <v>1912</v>
      </c>
      <c r="AN70" s="55">
        <v>11</v>
      </c>
      <c r="AO70" s="55">
        <v>0</v>
      </c>
      <c r="AP70" s="55">
        <f t="shared" si="40"/>
        <v>16</v>
      </c>
      <c r="AQ70" s="55">
        <f>IFERROR(VLOOKUP(A70,[1]SIIMPLES!$A$2:$F$418,6,FALSE),0)</f>
        <v>8</v>
      </c>
      <c r="AR70" s="55">
        <v>8</v>
      </c>
      <c r="AS70" s="55">
        <v>6</v>
      </c>
      <c r="AT70" s="55">
        <v>0</v>
      </c>
      <c r="AU70" s="55">
        <v>3</v>
      </c>
      <c r="AV70" s="55">
        <v>3</v>
      </c>
      <c r="AW70" s="57"/>
      <c r="AX70" s="55"/>
      <c r="AY70" s="56">
        <f t="shared" si="34"/>
        <v>7.4</v>
      </c>
      <c r="AZ70" s="55"/>
      <c r="BA70" s="56">
        <v>1</v>
      </c>
      <c r="BB70" s="41">
        <f t="shared" si="36"/>
        <v>6.4</v>
      </c>
      <c r="BC70" s="13"/>
      <c r="BD70" s="35"/>
      <c r="BE70" s="13"/>
      <c r="BF70" s="16">
        <f>SUM(BC70:BE70)</f>
        <v>0</v>
      </c>
      <c r="BG70" s="17">
        <f t="shared" si="38"/>
        <v>0</v>
      </c>
      <c r="BH70" s="16">
        <f t="shared" si="41"/>
        <v>7.4</v>
      </c>
    </row>
    <row r="71" spans="1:60" s="21" customFormat="1" ht="12.75" customHeight="1" x14ac:dyDescent="0.2">
      <c r="A71" s="51" t="s">
        <v>798</v>
      </c>
      <c r="B71" s="51"/>
      <c r="C71" s="66" t="s">
        <v>1803</v>
      </c>
      <c r="D71" s="52" t="s">
        <v>763</v>
      </c>
      <c r="E71" s="52" t="s">
        <v>1181</v>
      </c>
      <c r="F71" s="53">
        <f>IFERROR(VLOOKUP(E71,Fornecedores!$A$2:$B$2700,2,FALSE),"")</f>
        <v>9</v>
      </c>
      <c r="G71" s="52" t="s">
        <v>927</v>
      </c>
      <c r="H71" s="54"/>
      <c r="I71" s="55">
        <f t="shared" si="30"/>
        <v>16</v>
      </c>
      <c r="J71" s="55">
        <v>0</v>
      </c>
      <c r="K71" s="55">
        <v>16</v>
      </c>
      <c r="L71" s="55">
        <v>0</v>
      </c>
      <c r="M71" s="55">
        <v>0</v>
      </c>
      <c r="N71" s="55">
        <f t="shared" si="31"/>
        <v>8</v>
      </c>
      <c r="O71" s="55">
        <v>0</v>
      </c>
      <c r="P71" s="55">
        <v>8</v>
      </c>
      <c r="Q71" s="55">
        <v>0</v>
      </c>
      <c r="R71" s="55">
        <f t="shared" si="32"/>
        <v>40</v>
      </c>
      <c r="S71" s="55">
        <v>0</v>
      </c>
      <c r="T71" s="55">
        <v>40</v>
      </c>
      <c r="U71" s="55">
        <v>0</v>
      </c>
      <c r="V71" s="55">
        <v>8</v>
      </c>
      <c r="W71" s="53">
        <v>0</v>
      </c>
      <c r="X71" s="53">
        <v>8</v>
      </c>
      <c r="Y71" s="55">
        <v>0</v>
      </c>
      <c r="Z71" s="55">
        <v>0</v>
      </c>
      <c r="AA71" s="53">
        <v>0</v>
      </c>
      <c r="AB71" s="53">
        <v>0</v>
      </c>
      <c r="AC71" s="55">
        <v>0</v>
      </c>
      <c r="AD71" s="55">
        <f t="shared" si="33"/>
        <v>40</v>
      </c>
      <c r="AE71" s="53">
        <v>0</v>
      </c>
      <c r="AF71" s="55">
        <v>40</v>
      </c>
      <c r="AG71" s="55">
        <v>0</v>
      </c>
      <c r="AH71" s="55">
        <f t="shared" si="37"/>
        <v>40</v>
      </c>
      <c r="AI71" s="55">
        <v>0</v>
      </c>
      <c r="AJ71" s="55">
        <v>40</v>
      </c>
      <c r="AK71" s="55">
        <v>0</v>
      </c>
      <c r="AL71" s="55">
        <f t="shared" si="39"/>
        <v>64</v>
      </c>
      <c r="AM71" s="55" t="s">
        <v>1912</v>
      </c>
      <c r="AN71" s="55">
        <v>64</v>
      </c>
      <c r="AO71" s="55">
        <v>0</v>
      </c>
      <c r="AP71" s="55">
        <f t="shared" si="40"/>
        <v>16</v>
      </c>
      <c r="AQ71" s="55">
        <f>IFERROR(VLOOKUP(A71,[1]SIIMPLES!$A$2:$F$418,6,FALSE),0)</f>
        <v>0</v>
      </c>
      <c r="AR71" s="55">
        <v>16</v>
      </c>
      <c r="AS71" s="55">
        <v>60</v>
      </c>
      <c r="AT71" s="55">
        <v>4</v>
      </c>
      <c r="AU71" s="55">
        <v>56</v>
      </c>
      <c r="AV71" s="55">
        <v>0</v>
      </c>
      <c r="AW71" s="55"/>
      <c r="AX71" s="55"/>
      <c r="AY71" s="56">
        <f t="shared" si="34"/>
        <v>29.2</v>
      </c>
      <c r="AZ71" s="55"/>
      <c r="BA71" s="56">
        <v>6.4</v>
      </c>
      <c r="BB71" s="41">
        <f t="shared" si="36"/>
        <v>3.5625</v>
      </c>
      <c r="BC71" s="13"/>
      <c r="BD71" s="35"/>
      <c r="BE71" s="11"/>
      <c r="BF71" s="16">
        <f>SUM(BC71:BE71)</f>
        <v>0</v>
      </c>
      <c r="BG71" s="17">
        <f t="shared" si="38"/>
        <v>0</v>
      </c>
      <c r="BH71" s="16">
        <f t="shared" si="41"/>
        <v>29.2</v>
      </c>
    </row>
    <row r="72" spans="1:60" s="21" customFormat="1" ht="12.75" customHeight="1" x14ac:dyDescent="0.2">
      <c r="A72" s="51">
        <v>66610</v>
      </c>
      <c r="B72" s="51" t="s">
        <v>1077</v>
      </c>
      <c r="C72" s="66" t="s">
        <v>1803</v>
      </c>
      <c r="D72" s="65" t="s">
        <v>737</v>
      </c>
      <c r="E72" s="67" t="s">
        <v>727</v>
      </c>
      <c r="F72" s="53">
        <f>IFERROR(VLOOKUP(E72,Fornecedores!$A$2:$B$2700,2,FALSE),"")</f>
        <v>1</v>
      </c>
      <c r="G72" s="52" t="s">
        <v>69</v>
      </c>
      <c r="H72" s="54"/>
      <c r="I72" s="55">
        <f t="shared" si="30"/>
        <v>13</v>
      </c>
      <c r="J72" s="55">
        <v>6</v>
      </c>
      <c r="K72" s="55">
        <v>2</v>
      </c>
      <c r="L72" s="55">
        <v>5</v>
      </c>
      <c r="M72" s="55">
        <v>0</v>
      </c>
      <c r="N72" s="55">
        <f t="shared" si="31"/>
        <v>7</v>
      </c>
      <c r="O72" s="55">
        <v>0</v>
      </c>
      <c r="P72" s="55">
        <v>7</v>
      </c>
      <c r="Q72" s="55">
        <v>0</v>
      </c>
      <c r="R72" s="55">
        <f t="shared" si="32"/>
        <v>20</v>
      </c>
      <c r="S72" s="55">
        <v>6</v>
      </c>
      <c r="T72" s="55">
        <v>14</v>
      </c>
      <c r="U72" s="55">
        <v>0</v>
      </c>
      <c r="V72" s="55">
        <v>33</v>
      </c>
      <c r="W72" s="53">
        <v>4</v>
      </c>
      <c r="X72" s="53">
        <v>29</v>
      </c>
      <c r="Y72" s="55">
        <v>0</v>
      </c>
      <c r="Z72" s="55">
        <v>10</v>
      </c>
      <c r="AA72" s="53">
        <v>0</v>
      </c>
      <c r="AB72" s="53">
        <v>10</v>
      </c>
      <c r="AC72" s="55">
        <v>0</v>
      </c>
      <c r="AD72" s="55">
        <f t="shared" si="33"/>
        <v>2</v>
      </c>
      <c r="AE72" s="53">
        <v>0</v>
      </c>
      <c r="AF72" s="55">
        <v>2</v>
      </c>
      <c r="AG72" s="55">
        <v>0</v>
      </c>
      <c r="AH72" s="55">
        <f t="shared" si="37"/>
        <v>11</v>
      </c>
      <c r="AI72" s="55">
        <v>2</v>
      </c>
      <c r="AJ72" s="55">
        <v>3</v>
      </c>
      <c r="AK72" s="55">
        <v>6</v>
      </c>
      <c r="AL72" s="55">
        <f t="shared" si="39"/>
        <v>15</v>
      </c>
      <c r="AM72" s="55">
        <v>2</v>
      </c>
      <c r="AN72" s="55">
        <v>13</v>
      </c>
      <c r="AO72" s="55">
        <v>0</v>
      </c>
      <c r="AP72" s="55">
        <f t="shared" si="40"/>
        <v>14</v>
      </c>
      <c r="AQ72" s="55">
        <f>IFERROR(VLOOKUP(A72,[1]SIIMPLES!$A$2:$F$418,6,FALSE),0)</f>
        <v>3</v>
      </c>
      <c r="AR72" s="55">
        <v>11</v>
      </c>
      <c r="AS72" s="55">
        <v>21</v>
      </c>
      <c r="AT72" s="55">
        <v>10</v>
      </c>
      <c r="AU72" s="55">
        <v>11</v>
      </c>
      <c r="AV72" s="55">
        <v>0</v>
      </c>
      <c r="AW72" s="55"/>
      <c r="AX72" s="55"/>
      <c r="AY72" s="56">
        <f t="shared" si="34"/>
        <v>14.6</v>
      </c>
      <c r="AZ72" s="55"/>
      <c r="BA72" s="56">
        <v>9.1666666666666661</v>
      </c>
      <c r="BB72" s="41">
        <f t="shared" si="36"/>
        <v>0.59272727272727277</v>
      </c>
      <c r="BC72" s="13"/>
      <c r="BD72" s="35"/>
      <c r="BE72" s="13"/>
      <c r="BF72" s="16"/>
      <c r="BG72" s="17">
        <f t="shared" si="38"/>
        <v>0</v>
      </c>
      <c r="BH72" s="16">
        <f t="shared" si="41"/>
        <v>43.8</v>
      </c>
    </row>
    <row r="73" spans="1:60" s="21" customFormat="1" ht="12.75" customHeight="1" x14ac:dyDescent="0.2">
      <c r="A73" s="51">
        <v>70541</v>
      </c>
      <c r="B73" s="51" t="s">
        <v>1077</v>
      </c>
      <c r="C73" s="66" t="s">
        <v>1803</v>
      </c>
      <c r="D73" s="52" t="s">
        <v>731</v>
      </c>
      <c r="E73" s="52" t="s">
        <v>738</v>
      </c>
      <c r="F73" s="53">
        <f>IFERROR(VLOOKUP(E73,Fornecedores!$A$2:$B$2700,2,FALSE),"")</f>
        <v>8</v>
      </c>
      <c r="G73" s="52" t="s">
        <v>183</v>
      </c>
      <c r="H73" s="54"/>
      <c r="I73" s="55">
        <f t="shared" si="30"/>
        <v>22</v>
      </c>
      <c r="J73" s="55">
        <v>4</v>
      </c>
      <c r="K73" s="55">
        <v>17</v>
      </c>
      <c r="L73" s="55">
        <v>0</v>
      </c>
      <c r="M73" s="55">
        <v>1</v>
      </c>
      <c r="N73" s="55">
        <f t="shared" si="31"/>
        <v>13</v>
      </c>
      <c r="O73" s="55">
        <v>3</v>
      </c>
      <c r="P73" s="55">
        <v>10</v>
      </c>
      <c r="Q73" s="55">
        <v>0</v>
      </c>
      <c r="R73" s="55">
        <f t="shared" si="32"/>
        <v>9</v>
      </c>
      <c r="S73" s="55">
        <v>4</v>
      </c>
      <c r="T73" s="55">
        <v>5</v>
      </c>
      <c r="U73" s="55">
        <v>0</v>
      </c>
      <c r="V73" s="55">
        <v>16</v>
      </c>
      <c r="W73" s="53">
        <v>2</v>
      </c>
      <c r="X73" s="53">
        <v>14</v>
      </c>
      <c r="Y73" s="55">
        <v>0</v>
      </c>
      <c r="Z73" s="55">
        <v>14</v>
      </c>
      <c r="AA73" s="53">
        <v>4</v>
      </c>
      <c r="AB73" s="53">
        <v>10</v>
      </c>
      <c r="AC73" s="55">
        <v>0</v>
      </c>
      <c r="AD73" s="55">
        <f t="shared" si="33"/>
        <v>29</v>
      </c>
      <c r="AE73" s="53">
        <v>6</v>
      </c>
      <c r="AF73" s="55">
        <v>23</v>
      </c>
      <c r="AG73" s="55">
        <v>0</v>
      </c>
      <c r="AH73" s="55">
        <f t="shared" si="37"/>
        <v>28</v>
      </c>
      <c r="AI73" s="55">
        <v>3</v>
      </c>
      <c r="AJ73" s="55">
        <v>25</v>
      </c>
      <c r="AK73" s="55">
        <v>0</v>
      </c>
      <c r="AL73" s="55">
        <f t="shared" si="39"/>
        <v>26</v>
      </c>
      <c r="AM73" s="55">
        <v>6</v>
      </c>
      <c r="AN73" s="55">
        <v>20</v>
      </c>
      <c r="AO73" s="55">
        <v>0</v>
      </c>
      <c r="AP73" s="55">
        <f t="shared" si="40"/>
        <v>14</v>
      </c>
      <c r="AQ73" s="55">
        <f>IFERROR(VLOOKUP(A73,[1]SIIMPLES!$A$2:$F$418,6,FALSE),0)</f>
        <v>2</v>
      </c>
      <c r="AR73" s="55">
        <v>12</v>
      </c>
      <c r="AS73" s="55">
        <v>42</v>
      </c>
      <c r="AT73" s="55">
        <v>11</v>
      </c>
      <c r="AU73" s="55">
        <v>31</v>
      </c>
      <c r="AV73" s="55">
        <v>0</v>
      </c>
      <c r="AW73" s="55"/>
      <c r="AX73" s="55"/>
      <c r="AY73" s="56">
        <f t="shared" si="34"/>
        <v>21.3</v>
      </c>
      <c r="AZ73" s="55"/>
      <c r="BA73" s="56">
        <v>19.5</v>
      </c>
      <c r="BB73" s="41">
        <f t="shared" si="36"/>
        <v>9.2307692307692424E-2</v>
      </c>
      <c r="BC73" s="13"/>
      <c r="BD73" s="35"/>
      <c r="BE73" s="13"/>
      <c r="BF73" s="16"/>
      <c r="BG73" s="17">
        <f t="shared" si="38"/>
        <v>0</v>
      </c>
      <c r="BH73" s="16">
        <f t="shared" si="41"/>
        <v>21.3</v>
      </c>
    </row>
    <row r="74" spans="1:60" s="21" customFormat="1" ht="12.75" customHeight="1" x14ac:dyDescent="0.2">
      <c r="A74" s="51">
        <v>4023</v>
      </c>
      <c r="B74" s="51"/>
      <c r="C74" s="66" t="s">
        <v>1803</v>
      </c>
      <c r="D74" s="52" t="s">
        <v>760</v>
      </c>
      <c r="E74" s="52" t="s">
        <v>736</v>
      </c>
      <c r="F74" s="53">
        <f>IFERROR(VLOOKUP(E74,Fornecedores!$A$2:$B$2700,2,FALSE),"")</f>
        <v>5</v>
      </c>
      <c r="G74" s="52" t="s">
        <v>900</v>
      </c>
      <c r="H74" s="57"/>
      <c r="I74" s="55">
        <f t="shared" si="30"/>
        <v>2</v>
      </c>
      <c r="J74" s="55">
        <v>2</v>
      </c>
      <c r="K74" s="55">
        <v>0</v>
      </c>
      <c r="L74" s="55">
        <v>0</v>
      </c>
      <c r="M74" s="55">
        <v>0</v>
      </c>
      <c r="N74" s="55">
        <f t="shared" si="31"/>
        <v>2</v>
      </c>
      <c r="O74" s="55">
        <v>2</v>
      </c>
      <c r="P74" s="55">
        <v>0</v>
      </c>
      <c r="Q74" s="55">
        <v>0</v>
      </c>
      <c r="R74" s="55">
        <f t="shared" si="32"/>
        <v>10</v>
      </c>
      <c r="S74" s="55">
        <v>10</v>
      </c>
      <c r="T74" s="55">
        <v>0</v>
      </c>
      <c r="U74" s="55">
        <v>0</v>
      </c>
      <c r="V74" s="55">
        <v>2</v>
      </c>
      <c r="W74" s="53">
        <v>2</v>
      </c>
      <c r="X74" s="53">
        <v>0</v>
      </c>
      <c r="Y74" s="55">
        <v>0</v>
      </c>
      <c r="Z74" s="55">
        <v>7</v>
      </c>
      <c r="AA74" s="53">
        <v>7</v>
      </c>
      <c r="AB74" s="53">
        <v>0</v>
      </c>
      <c r="AC74" s="55">
        <v>0</v>
      </c>
      <c r="AD74" s="55">
        <f t="shared" si="33"/>
        <v>16</v>
      </c>
      <c r="AE74" s="53">
        <v>16</v>
      </c>
      <c r="AF74" s="55">
        <v>0</v>
      </c>
      <c r="AG74" s="55">
        <v>0</v>
      </c>
      <c r="AH74" s="55">
        <f t="shared" si="37"/>
        <v>13</v>
      </c>
      <c r="AI74" s="55">
        <v>13</v>
      </c>
      <c r="AJ74" s="55">
        <v>0</v>
      </c>
      <c r="AK74" s="55">
        <v>0</v>
      </c>
      <c r="AL74" s="55">
        <f t="shared" si="39"/>
        <v>20</v>
      </c>
      <c r="AM74" s="55">
        <v>20</v>
      </c>
      <c r="AN74" s="55">
        <v>0</v>
      </c>
      <c r="AO74" s="55">
        <v>0</v>
      </c>
      <c r="AP74" s="55">
        <f t="shared" si="40"/>
        <v>13</v>
      </c>
      <c r="AQ74" s="55">
        <f>IFERROR(VLOOKUP(A74,[1]SIIMPLES!$A$2:$F$418,6,FALSE),0)</f>
        <v>13</v>
      </c>
      <c r="AR74" s="55">
        <v>0</v>
      </c>
      <c r="AS74" s="55">
        <v>1</v>
      </c>
      <c r="AT74" s="55">
        <v>1</v>
      </c>
      <c r="AU74" s="55">
        <v>0</v>
      </c>
      <c r="AV74" s="55">
        <v>0</v>
      </c>
      <c r="AW74" s="55"/>
      <c r="AX74" s="55"/>
      <c r="AY74" s="56">
        <f t="shared" si="34"/>
        <v>8.6</v>
      </c>
      <c r="AZ74" s="55"/>
      <c r="BA74" s="56">
        <v>0.66666666666666663</v>
      </c>
      <c r="BB74" s="41">
        <f t="shared" si="36"/>
        <v>11.9</v>
      </c>
      <c r="BC74" s="13"/>
      <c r="BD74" s="35"/>
      <c r="BE74" s="13"/>
      <c r="BF74" s="16"/>
      <c r="BG74" s="17">
        <f t="shared" si="38"/>
        <v>0</v>
      </c>
      <c r="BH74" s="16">
        <f t="shared" si="41"/>
        <v>8.6</v>
      </c>
    </row>
    <row r="75" spans="1:60" s="21" customFormat="1" ht="12.75" customHeight="1" x14ac:dyDescent="0.2">
      <c r="A75" s="51">
        <v>26056</v>
      </c>
      <c r="B75" s="51" t="s">
        <v>1077</v>
      </c>
      <c r="C75" s="66" t="s">
        <v>1803</v>
      </c>
      <c r="D75" s="52" t="s">
        <v>749</v>
      </c>
      <c r="E75" s="52" t="s">
        <v>750</v>
      </c>
      <c r="F75" s="53">
        <f>IFERROR(VLOOKUP(E75,Fornecedores!$A$2:$B$2700,2,FALSE),"")</f>
        <v>4</v>
      </c>
      <c r="G75" s="52" t="s">
        <v>94</v>
      </c>
      <c r="H75" s="54"/>
      <c r="I75" s="55">
        <f t="shared" ref="I75:I97" si="42">SUM(J75:M75)</f>
        <v>13</v>
      </c>
      <c r="J75" s="55">
        <v>7</v>
      </c>
      <c r="K75" s="55">
        <v>6</v>
      </c>
      <c r="L75" s="55">
        <v>0</v>
      </c>
      <c r="M75" s="55">
        <v>0</v>
      </c>
      <c r="N75" s="55">
        <f t="shared" ref="N75:N97" si="43">SUM(O75:Q75)</f>
        <v>10</v>
      </c>
      <c r="O75" s="55">
        <v>6</v>
      </c>
      <c r="P75" s="55">
        <v>4</v>
      </c>
      <c r="Q75" s="55">
        <v>0</v>
      </c>
      <c r="R75" s="55">
        <f t="shared" ref="R75:R97" si="44">SUM(S75:U75)</f>
        <v>13</v>
      </c>
      <c r="S75" s="55">
        <v>1</v>
      </c>
      <c r="T75" s="55">
        <v>12</v>
      </c>
      <c r="U75" s="55">
        <v>0</v>
      </c>
      <c r="V75" s="55">
        <v>17</v>
      </c>
      <c r="W75" s="53">
        <v>9</v>
      </c>
      <c r="X75" s="53">
        <v>8</v>
      </c>
      <c r="Y75" s="55">
        <v>0</v>
      </c>
      <c r="Z75" s="55">
        <v>16</v>
      </c>
      <c r="AA75" s="53">
        <v>0</v>
      </c>
      <c r="AB75" s="53">
        <v>16</v>
      </c>
      <c r="AC75" s="55">
        <v>0</v>
      </c>
      <c r="AD75" s="55">
        <f t="shared" ref="AD75:AD106" si="45">SUM(AE75:AG75)</f>
        <v>11</v>
      </c>
      <c r="AE75" s="53">
        <v>3</v>
      </c>
      <c r="AF75" s="55">
        <v>8</v>
      </c>
      <c r="AG75" s="55">
        <v>0</v>
      </c>
      <c r="AH75" s="55">
        <f t="shared" si="37"/>
        <v>21</v>
      </c>
      <c r="AI75" s="55">
        <v>1</v>
      </c>
      <c r="AJ75" s="55">
        <v>20</v>
      </c>
      <c r="AK75" s="55">
        <v>0</v>
      </c>
      <c r="AL75" s="55">
        <f t="shared" si="39"/>
        <v>11</v>
      </c>
      <c r="AM75" s="55">
        <v>1</v>
      </c>
      <c r="AN75" s="55">
        <v>10</v>
      </c>
      <c r="AO75" s="55">
        <v>0</v>
      </c>
      <c r="AP75" s="55">
        <f t="shared" si="40"/>
        <v>13</v>
      </c>
      <c r="AQ75" s="55">
        <f>IFERROR(VLOOKUP(A75,[1]SIIMPLES!$A$2:$F$418,6,FALSE),0)</f>
        <v>1</v>
      </c>
      <c r="AR75" s="55">
        <v>12</v>
      </c>
      <c r="AS75" s="55">
        <v>18</v>
      </c>
      <c r="AT75" s="55">
        <v>12</v>
      </c>
      <c r="AU75" s="55">
        <v>6</v>
      </c>
      <c r="AV75" s="55">
        <v>0</v>
      </c>
      <c r="AW75" s="55"/>
      <c r="AX75" s="55"/>
      <c r="AY75" s="56">
        <f t="shared" ref="AY75:AY106" si="46">IFERROR(AVERAGE(I75,N75,R75,V75,Z75,AD75,AH75,AL75,AP75,AS75,AW75,AX75),"-")</f>
        <v>14.3</v>
      </c>
      <c r="AZ75" s="55"/>
      <c r="BA75" s="56">
        <v>11.5</v>
      </c>
      <c r="BB75" s="41">
        <f t="shared" si="36"/>
        <v>0.24347826086956537</v>
      </c>
      <c r="BC75" s="13"/>
      <c r="BD75" s="35"/>
      <c r="BE75" s="13"/>
      <c r="BF75" s="16"/>
      <c r="BG75" s="17">
        <f t="shared" si="38"/>
        <v>0</v>
      </c>
      <c r="BH75" s="16">
        <f t="shared" si="41"/>
        <v>14.3</v>
      </c>
    </row>
    <row r="76" spans="1:60" s="21" customFormat="1" ht="12.75" customHeight="1" x14ac:dyDescent="0.2">
      <c r="A76" s="51">
        <v>77365</v>
      </c>
      <c r="B76" s="51"/>
      <c r="C76" s="66" t="s">
        <v>1803</v>
      </c>
      <c r="D76" s="65" t="s">
        <v>737</v>
      </c>
      <c r="E76" s="67" t="s">
        <v>727</v>
      </c>
      <c r="F76" s="53">
        <f>IFERROR(VLOOKUP(E76,Fornecedores!$A$2:$B$2700,2,FALSE),"")</f>
        <v>1</v>
      </c>
      <c r="G76" s="52" t="s">
        <v>329</v>
      </c>
      <c r="H76" s="54"/>
      <c r="I76" s="55">
        <f t="shared" si="42"/>
        <v>61</v>
      </c>
      <c r="J76" s="55">
        <v>1</v>
      </c>
      <c r="K76" s="55">
        <v>0</v>
      </c>
      <c r="L76" s="55">
        <v>60</v>
      </c>
      <c r="M76" s="55">
        <v>0</v>
      </c>
      <c r="N76" s="55">
        <f t="shared" si="43"/>
        <v>10</v>
      </c>
      <c r="O76" s="55">
        <v>0</v>
      </c>
      <c r="P76" s="55">
        <v>0</v>
      </c>
      <c r="Q76" s="55">
        <v>10</v>
      </c>
      <c r="R76" s="55">
        <f t="shared" si="44"/>
        <v>55</v>
      </c>
      <c r="S76" s="55">
        <v>2</v>
      </c>
      <c r="T76" s="55">
        <v>0</v>
      </c>
      <c r="U76" s="55">
        <v>53</v>
      </c>
      <c r="V76" s="55">
        <v>18</v>
      </c>
      <c r="W76" s="53">
        <v>3</v>
      </c>
      <c r="X76" s="53">
        <v>0</v>
      </c>
      <c r="Y76" s="55">
        <v>15</v>
      </c>
      <c r="Z76" s="55">
        <v>1</v>
      </c>
      <c r="AA76" s="53">
        <v>1</v>
      </c>
      <c r="AB76" s="53">
        <v>0</v>
      </c>
      <c r="AC76" s="55">
        <v>0</v>
      </c>
      <c r="AD76" s="55">
        <f t="shared" si="45"/>
        <v>0</v>
      </c>
      <c r="AE76" s="53">
        <v>0</v>
      </c>
      <c r="AF76" s="55">
        <v>0</v>
      </c>
      <c r="AG76" s="55">
        <v>0</v>
      </c>
      <c r="AH76" s="55">
        <f t="shared" si="37"/>
        <v>1</v>
      </c>
      <c r="AI76" s="55">
        <v>1</v>
      </c>
      <c r="AJ76" s="55">
        <v>0</v>
      </c>
      <c r="AK76" s="55">
        <v>0</v>
      </c>
      <c r="AL76" s="55">
        <f t="shared" si="39"/>
        <v>15</v>
      </c>
      <c r="AM76" s="55">
        <v>3</v>
      </c>
      <c r="AN76" s="55">
        <v>0</v>
      </c>
      <c r="AO76" s="55">
        <v>12</v>
      </c>
      <c r="AP76" s="55">
        <f t="shared" si="40"/>
        <v>13</v>
      </c>
      <c r="AQ76" s="55">
        <f>IFERROR(VLOOKUP(A76,[1]SIIMPLES!$A$2:$F$418,6,FALSE),0)</f>
        <v>13</v>
      </c>
      <c r="AR76" s="55">
        <v>0</v>
      </c>
      <c r="AS76" s="55">
        <v>2</v>
      </c>
      <c r="AT76" s="55">
        <v>2</v>
      </c>
      <c r="AU76" s="55">
        <v>0</v>
      </c>
      <c r="AV76" s="55">
        <v>0</v>
      </c>
      <c r="AW76" s="55"/>
      <c r="AX76" s="55"/>
      <c r="AY76" s="56">
        <f t="shared" si="46"/>
        <v>17.600000000000001</v>
      </c>
      <c r="AZ76" s="55"/>
      <c r="BA76" s="56">
        <v>6.333333333333333</v>
      </c>
      <c r="BB76" s="41">
        <f t="shared" si="36"/>
        <v>1.7789473684210528</v>
      </c>
      <c r="BC76" s="13"/>
      <c r="BD76" s="37"/>
      <c r="BE76" s="13"/>
      <c r="BF76" s="16">
        <f>SUM(BC76:BE76)</f>
        <v>0</v>
      </c>
      <c r="BG76" s="17">
        <f t="shared" si="38"/>
        <v>0</v>
      </c>
      <c r="BH76" s="16">
        <f t="shared" si="41"/>
        <v>52.800000000000004</v>
      </c>
    </row>
    <row r="77" spans="1:60" s="21" customFormat="1" ht="12.75" customHeight="1" x14ac:dyDescent="0.2">
      <c r="A77" s="51">
        <v>110907</v>
      </c>
      <c r="B77" s="51" t="s">
        <v>1077</v>
      </c>
      <c r="C77" s="66" t="s">
        <v>1803</v>
      </c>
      <c r="D77" s="65" t="s">
        <v>1777</v>
      </c>
      <c r="E77" s="67" t="s">
        <v>727</v>
      </c>
      <c r="F77" s="53">
        <f>IFERROR(VLOOKUP(E77,Fornecedores!$A$2:$B$2700,2,FALSE),"")</f>
        <v>1</v>
      </c>
      <c r="G77" s="52" t="s">
        <v>892</v>
      </c>
      <c r="H77" s="57"/>
      <c r="I77" s="55">
        <f t="shared" si="42"/>
        <v>38</v>
      </c>
      <c r="J77" s="55">
        <v>3</v>
      </c>
      <c r="K77" s="55">
        <v>0</v>
      </c>
      <c r="L77" s="55">
        <v>35</v>
      </c>
      <c r="M77" s="55">
        <v>0</v>
      </c>
      <c r="N77" s="55">
        <f t="shared" si="43"/>
        <v>13</v>
      </c>
      <c r="O77" s="55">
        <v>6</v>
      </c>
      <c r="P77" s="55">
        <v>0</v>
      </c>
      <c r="Q77" s="55">
        <v>7</v>
      </c>
      <c r="R77" s="55">
        <f t="shared" si="44"/>
        <v>7</v>
      </c>
      <c r="S77" s="55">
        <v>7</v>
      </c>
      <c r="T77" s="55">
        <v>0</v>
      </c>
      <c r="U77" s="55">
        <v>0</v>
      </c>
      <c r="V77" s="55">
        <v>4</v>
      </c>
      <c r="W77" s="53">
        <v>4</v>
      </c>
      <c r="X77" s="53">
        <v>0</v>
      </c>
      <c r="Y77" s="55">
        <v>0</v>
      </c>
      <c r="Z77" s="55">
        <v>2</v>
      </c>
      <c r="AA77" s="53">
        <v>2</v>
      </c>
      <c r="AB77" s="53">
        <v>0</v>
      </c>
      <c r="AC77" s="55">
        <v>0</v>
      </c>
      <c r="AD77" s="55">
        <f t="shared" si="45"/>
        <v>15</v>
      </c>
      <c r="AE77" s="53">
        <v>3</v>
      </c>
      <c r="AF77" s="55">
        <v>0</v>
      </c>
      <c r="AG77" s="55">
        <v>12</v>
      </c>
      <c r="AH77" s="55">
        <f t="shared" si="37"/>
        <v>31</v>
      </c>
      <c r="AI77" s="55">
        <v>1</v>
      </c>
      <c r="AJ77" s="55">
        <v>0</v>
      </c>
      <c r="AK77" s="55">
        <v>30</v>
      </c>
      <c r="AL77" s="55">
        <f t="shared" si="39"/>
        <v>15</v>
      </c>
      <c r="AM77" s="55">
        <v>2</v>
      </c>
      <c r="AN77" s="55">
        <v>0</v>
      </c>
      <c r="AO77" s="55">
        <v>13</v>
      </c>
      <c r="AP77" s="55">
        <f t="shared" si="40"/>
        <v>13</v>
      </c>
      <c r="AQ77" s="55">
        <f>IFERROR(VLOOKUP(A77,[1]SIIMPLES!$A$2:$F$418,6,FALSE),0)</f>
        <v>13</v>
      </c>
      <c r="AR77" s="55">
        <v>0</v>
      </c>
      <c r="AS77" s="55">
        <v>10</v>
      </c>
      <c r="AT77" s="55">
        <v>0</v>
      </c>
      <c r="AU77" s="55">
        <v>0</v>
      </c>
      <c r="AV77" s="55">
        <v>10</v>
      </c>
      <c r="AW77" s="55"/>
      <c r="AX77" s="55"/>
      <c r="AY77" s="56">
        <f t="shared" si="46"/>
        <v>14.8</v>
      </c>
      <c r="AZ77" s="55"/>
      <c r="BA77" s="56">
        <v>8.5</v>
      </c>
      <c r="BB77" s="41">
        <f t="shared" si="36"/>
        <v>0.74117647058823533</v>
      </c>
      <c r="BC77" s="13"/>
      <c r="BD77" s="35"/>
      <c r="BE77" s="13"/>
      <c r="BF77" s="16"/>
      <c r="BG77" s="17">
        <f t="shared" si="38"/>
        <v>0</v>
      </c>
      <c r="BH77" s="16">
        <f t="shared" si="41"/>
        <v>44.400000000000006</v>
      </c>
    </row>
    <row r="78" spans="1:60" s="21" customFormat="1" ht="12.75" customHeight="1" x14ac:dyDescent="0.2">
      <c r="A78" s="51">
        <v>112052</v>
      </c>
      <c r="B78" s="51" t="s">
        <v>1077</v>
      </c>
      <c r="C78" s="66" t="s">
        <v>1803</v>
      </c>
      <c r="D78" s="52" t="s">
        <v>728</v>
      </c>
      <c r="E78" s="65" t="s">
        <v>780</v>
      </c>
      <c r="F78" s="53">
        <f>IFERROR(VLOOKUP(E78,Fornecedores!$A$2:$B$2700,2,FALSE),"")</f>
        <v>2</v>
      </c>
      <c r="G78" s="52" t="s">
        <v>35</v>
      </c>
      <c r="H78" s="57"/>
      <c r="I78" s="55">
        <f t="shared" si="42"/>
        <v>0</v>
      </c>
      <c r="J78" s="55">
        <v>0</v>
      </c>
      <c r="K78" s="55">
        <v>0</v>
      </c>
      <c r="L78" s="55">
        <v>0</v>
      </c>
      <c r="M78" s="55">
        <v>0</v>
      </c>
      <c r="N78" s="55">
        <f t="shared" si="43"/>
        <v>1</v>
      </c>
      <c r="O78" s="55">
        <v>0</v>
      </c>
      <c r="P78" s="55">
        <v>1</v>
      </c>
      <c r="Q78" s="55">
        <v>0</v>
      </c>
      <c r="R78" s="55">
        <f t="shared" si="44"/>
        <v>3</v>
      </c>
      <c r="S78" s="55">
        <v>0</v>
      </c>
      <c r="T78" s="55">
        <v>0</v>
      </c>
      <c r="U78" s="55">
        <v>3</v>
      </c>
      <c r="V78" s="55">
        <v>3</v>
      </c>
      <c r="W78" s="53">
        <v>1</v>
      </c>
      <c r="X78" s="53">
        <v>0</v>
      </c>
      <c r="Y78" s="55">
        <v>2</v>
      </c>
      <c r="Z78" s="55">
        <v>0</v>
      </c>
      <c r="AA78" s="53">
        <v>0</v>
      </c>
      <c r="AB78" s="53">
        <v>0</v>
      </c>
      <c r="AC78" s="55">
        <v>0</v>
      </c>
      <c r="AD78" s="55">
        <f t="shared" si="45"/>
        <v>1</v>
      </c>
      <c r="AE78" s="53">
        <v>0</v>
      </c>
      <c r="AF78" s="55">
        <v>0</v>
      </c>
      <c r="AG78" s="55">
        <v>1</v>
      </c>
      <c r="AH78" s="55">
        <f t="shared" si="37"/>
        <v>3</v>
      </c>
      <c r="AI78" s="55">
        <v>1</v>
      </c>
      <c r="AJ78" s="55">
        <v>2</v>
      </c>
      <c r="AK78" s="55">
        <v>0</v>
      </c>
      <c r="AL78" s="55">
        <f t="shared" si="39"/>
        <v>6</v>
      </c>
      <c r="AM78" s="55" t="s">
        <v>1912</v>
      </c>
      <c r="AN78" s="55">
        <v>0</v>
      </c>
      <c r="AO78" s="55">
        <v>6</v>
      </c>
      <c r="AP78" s="55">
        <f t="shared" si="40"/>
        <v>13</v>
      </c>
      <c r="AQ78" s="55">
        <f>IFERROR(VLOOKUP(A78,[1]SIIMPLES!$A$2:$F$418,6,FALSE),0)</f>
        <v>13</v>
      </c>
      <c r="AR78" s="55">
        <v>0</v>
      </c>
      <c r="AS78" s="55">
        <v>4</v>
      </c>
      <c r="AT78" s="55">
        <v>0</v>
      </c>
      <c r="AU78" s="55">
        <v>0</v>
      </c>
      <c r="AV78" s="55">
        <v>4</v>
      </c>
      <c r="AW78" s="55"/>
      <c r="AX78" s="55"/>
      <c r="AY78" s="56">
        <f t="shared" si="46"/>
        <v>3.4</v>
      </c>
      <c r="AZ78" s="55"/>
      <c r="BA78" s="56">
        <v>1.6666666666666667</v>
      </c>
      <c r="BB78" s="41">
        <f t="shared" si="36"/>
        <v>1.04</v>
      </c>
      <c r="BC78" s="13"/>
      <c r="BD78" s="35"/>
      <c r="BE78" s="13"/>
      <c r="BF78" s="16"/>
      <c r="BG78" s="17">
        <f t="shared" si="38"/>
        <v>0</v>
      </c>
      <c r="BH78" s="16">
        <f t="shared" si="41"/>
        <v>3.4</v>
      </c>
    </row>
    <row r="79" spans="1:60" s="21" customFormat="1" ht="12.75" customHeight="1" x14ac:dyDescent="0.2">
      <c r="A79" s="51">
        <v>12152</v>
      </c>
      <c r="B79" s="51" t="s">
        <v>1077</v>
      </c>
      <c r="C79" s="66" t="s">
        <v>1803</v>
      </c>
      <c r="D79" s="52" t="s">
        <v>756</v>
      </c>
      <c r="E79" s="52" t="s">
        <v>750</v>
      </c>
      <c r="F79" s="53">
        <f>IFERROR(VLOOKUP(E79,Fornecedores!$A$2:$B$2700,2,FALSE),"")</f>
        <v>4</v>
      </c>
      <c r="G79" s="52" t="s">
        <v>419</v>
      </c>
      <c r="H79" s="54"/>
      <c r="I79" s="55">
        <f t="shared" si="42"/>
        <v>34</v>
      </c>
      <c r="J79" s="55">
        <v>0</v>
      </c>
      <c r="K79" s="55">
        <v>34</v>
      </c>
      <c r="L79" s="55">
        <v>0</v>
      </c>
      <c r="M79" s="55">
        <v>0</v>
      </c>
      <c r="N79" s="55">
        <f t="shared" si="43"/>
        <v>20</v>
      </c>
      <c r="O79" s="55">
        <v>2</v>
      </c>
      <c r="P79" s="55">
        <v>18</v>
      </c>
      <c r="Q79" s="55">
        <v>0</v>
      </c>
      <c r="R79" s="55">
        <f t="shared" si="44"/>
        <v>18</v>
      </c>
      <c r="S79" s="55">
        <v>10</v>
      </c>
      <c r="T79" s="55">
        <v>8</v>
      </c>
      <c r="U79" s="55">
        <v>0</v>
      </c>
      <c r="V79" s="55">
        <v>27</v>
      </c>
      <c r="W79" s="53">
        <v>5</v>
      </c>
      <c r="X79" s="53">
        <v>22</v>
      </c>
      <c r="Y79" s="55">
        <v>0</v>
      </c>
      <c r="Z79" s="55">
        <v>36</v>
      </c>
      <c r="AA79" s="53">
        <v>0</v>
      </c>
      <c r="AB79" s="53">
        <v>36</v>
      </c>
      <c r="AC79" s="55">
        <v>0</v>
      </c>
      <c r="AD79" s="55">
        <f t="shared" si="45"/>
        <v>26</v>
      </c>
      <c r="AE79" s="53">
        <v>0</v>
      </c>
      <c r="AF79" s="55">
        <v>26</v>
      </c>
      <c r="AG79" s="55">
        <v>0</v>
      </c>
      <c r="AH79" s="55">
        <f t="shared" si="37"/>
        <v>36</v>
      </c>
      <c r="AI79" s="55">
        <v>6</v>
      </c>
      <c r="AJ79" s="55">
        <v>30</v>
      </c>
      <c r="AK79" s="55">
        <v>0</v>
      </c>
      <c r="AL79" s="55">
        <f t="shared" si="39"/>
        <v>4</v>
      </c>
      <c r="AM79" s="55" t="s">
        <v>1912</v>
      </c>
      <c r="AN79" s="55">
        <v>4</v>
      </c>
      <c r="AO79" s="55">
        <v>0</v>
      </c>
      <c r="AP79" s="55">
        <f t="shared" si="40"/>
        <v>12</v>
      </c>
      <c r="AQ79" s="55">
        <f>IFERROR(VLOOKUP(A79,[1]SIIMPLES!$A$2:$F$418,6,FALSE),0)</f>
        <v>0</v>
      </c>
      <c r="AR79" s="55">
        <v>12</v>
      </c>
      <c r="AS79" s="55">
        <v>51</v>
      </c>
      <c r="AT79" s="55">
        <v>23</v>
      </c>
      <c r="AU79" s="55">
        <v>28</v>
      </c>
      <c r="AV79" s="55">
        <v>0</v>
      </c>
      <c r="AW79" s="55"/>
      <c r="AX79" s="55"/>
      <c r="AY79" s="56">
        <f t="shared" si="46"/>
        <v>26.4</v>
      </c>
      <c r="AZ79" s="55"/>
      <c r="BA79" s="56">
        <v>58.333333333333336</v>
      </c>
      <c r="BB79" s="41">
        <f t="shared" si="36"/>
        <v>-0.54742857142857149</v>
      </c>
      <c r="BC79" s="7"/>
      <c r="BD79" s="35"/>
      <c r="BE79" s="13"/>
      <c r="BF79" s="16"/>
      <c r="BG79" s="17">
        <f t="shared" si="38"/>
        <v>0</v>
      </c>
      <c r="BH79" s="16">
        <f t="shared" si="41"/>
        <v>26.4</v>
      </c>
    </row>
    <row r="80" spans="1:60" s="21" customFormat="1" ht="12.75" customHeight="1" x14ac:dyDescent="0.2">
      <c r="A80" s="51">
        <v>55142</v>
      </c>
      <c r="B80" s="51" t="s">
        <v>1077</v>
      </c>
      <c r="C80" s="66" t="s">
        <v>1803</v>
      </c>
      <c r="D80" s="65" t="s">
        <v>1779</v>
      </c>
      <c r="E80" s="52" t="s">
        <v>732</v>
      </c>
      <c r="F80" s="53">
        <f>IFERROR(VLOOKUP(E80,Fornecedores!$A$2:$B$2700,2,FALSE),"")</f>
        <v>6</v>
      </c>
      <c r="G80" s="52" t="s">
        <v>580</v>
      </c>
      <c r="H80" s="54"/>
      <c r="I80" s="55">
        <f t="shared" si="42"/>
        <v>47</v>
      </c>
      <c r="J80" s="55">
        <v>47</v>
      </c>
      <c r="K80" s="55">
        <v>0</v>
      </c>
      <c r="L80" s="55">
        <v>0</v>
      </c>
      <c r="M80" s="55">
        <v>0</v>
      </c>
      <c r="N80" s="55">
        <f t="shared" si="43"/>
        <v>23</v>
      </c>
      <c r="O80" s="55">
        <v>23</v>
      </c>
      <c r="P80" s="55">
        <v>0</v>
      </c>
      <c r="Q80" s="55">
        <v>0</v>
      </c>
      <c r="R80" s="55">
        <f t="shared" si="44"/>
        <v>19</v>
      </c>
      <c r="S80" s="55">
        <v>19</v>
      </c>
      <c r="T80" s="55">
        <v>0</v>
      </c>
      <c r="U80" s="55">
        <v>0</v>
      </c>
      <c r="V80" s="55">
        <v>43</v>
      </c>
      <c r="W80" s="53">
        <v>43</v>
      </c>
      <c r="X80" s="53">
        <v>0</v>
      </c>
      <c r="Y80" s="55">
        <v>0</v>
      </c>
      <c r="Z80" s="55">
        <v>24</v>
      </c>
      <c r="AA80" s="53">
        <v>24</v>
      </c>
      <c r="AB80" s="53">
        <v>0</v>
      </c>
      <c r="AC80" s="55">
        <v>0</v>
      </c>
      <c r="AD80" s="55">
        <f t="shared" si="45"/>
        <v>51</v>
      </c>
      <c r="AE80" s="53">
        <v>51</v>
      </c>
      <c r="AF80" s="55">
        <v>0</v>
      </c>
      <c r="AG80" s="55">
        <v>0</v>
      </c>
      <c r="AH80" s="55">
        <f t="shared" si="37"/>
        <v>59</v>
      </c>
      <c r="AI80" s="55">
        <v>59</v>
      </c>
      <c r="AJ80" s="55">
        <v>0</v>
      </c>
      <c r="AK80" s="55">
        <v>0</v>
      </c>
      <c r="AL80" s="55">
        <f t="shared" si="39"/>
        <v>31</v>
      </c>
      <c r="AM80" s="55">
        <v>31</v>
      </c>
      <c r="AN80" s="55">
        <v>0</v>
      </c>
      <c r="AO80" s="55">
        <v>0</v>
      </c>
      <c r="AP80" s="55">
        <f t="shared" si="40"/>
        <v>12</v>
      </c>
      <c r="AQ80" s="55">
        <f>IFERROR(VLOOKUP(A80,[1]SIIMPLES!$A$2:$F$418,6,FALSE),0)</f>
        <v>12</v>
      </c>
      <c r="AR80" s="55">
        <v>0</v>
      </c>
      <c r="AS80" s="55">
        <v>2</v>
      </c>
      <c r="AT80" s="55">
        <v>2</v>
      </c>
      <c r="AU80" s="55">
        <v>0</v>
      </c>
      <c r="AV80" s="55">
        <v>0</v>
      </c>
      <c r="AW80" s="55"/>
      <c r="AX80" s="55"/>
      <c r="AY80" s="56">
        <f t="shared" si="46"/>
        <v>31.1</v>
      </c>
      <c r="AZ80" s="55"/>
      <c r="BA80" s="56">
        <v>55.5</v>
      </c>
      <c r="BB80" s="41">
        <f t="shared" si="36"/>
        <v>-0.43963963963963959</v>
      </c>
      <c r="BC80" s="13"/>
      <c r="BD80" s="35"/>
      <c r="BE80" s="13"/>
      <c r="BF80" s="16">
        <f>SUM(BC80:BE80)</f>
        <v>0</v>
      </c>
      <c r="BG80" s="17">
        <f t="shared" si="38"/>
        <v>0</v>
      </c>
      <c r="BH80" s="16">
        <f t="shared" si="41"/>
        <v>31.1</v>
      </c>
    </row>
    <row r="81" spans="1:60" s="21" customFormat="1" ht="12.75" customHeight="1" x14ac:dyDescent="0.2">
      <c r="A81" s="51">
        <v>70526</v>
      </c>
      <c r="B81" s="51"/>
      <c r="C81" s="66" t="s">
        <v>1803</v>
      </c>
      <c r="D81" s="52" t="s">
        <v>731</v>
      </c>
      <c r="E81" s="52" t="s">
        <v>738</v>
      </c>
      <c r="F81" s="53">
        <f>IFERROR(VLOOKUP(E81,Fornecedores!$A$2:$B$2700,2,FALSE),"")</f>
        <v>8</v>
      </c>
      <c r="G81" s="52" t="s">
        <v>157</v>
      </c>
      <c r="H81" s="54"/>
      <c r="I81" s="55">
        <f t="shared" si="42"/>
        <v>18</v>
      </c>
      <c r="J81" s="55">
        <v>1</v>
      </c>
      <c r="K81" s="55">
        <v>17</v>
      </c>
      <c r="L81" s="55">
        <v>0</v>
      </c>
      <c r="M81" s="55">
        <v>0</v>
      </c>
      <c r="N81" s="55">
        <f t="shared" si="43"/>
        <v>12</v>
      </c>
      <c r="O81" s="55">
        <v>2</v>
      </c>
      <c r="P81" s="55">
        <v>10</v>
      </c>
      <c r="Q81" s="55">
        <v>0</v>
      </c>
      <c r="R81" s="55">
        <f t="shared" si="44"/>
        <v>8</v>
      </c>
      <c r="S81" s="55">
        <v>3</v>
      </c>
      <c r="T81" s="55">
        <v>5</v>
      </c>
      <c r="U81" s="55">
        <v>0</v>
      </c>
      <c r="V81" s="55">
        <v>16</v>
      </c>
      <c r="W81" s="53">
        <v>2</v>
      </c>
      <c r="X81" s="53">
        <v>14</v>
      </c>
      <c r="Y81" s="55">
        <v>0</v>
      </c>
      <c r="Z81" s="55">
        <v>15</v>
      </c>
      <c r="AA81" s="53">
        <v>5</v>
      </c>
      <c r="AB81" s="53">
        <v>10</v>
      </c>
      <c r="AC81" s="55">
        <v>0</v>
      </c>
      <c r="AD81" s="55">
        <f t="shared" si="45"/>
        <v>28</v>
      </c>
      <c r="AE81" s="53">
        <v>5</v>
      </c>
      <c r="AF81" s="55">
        <v>23</v>
      </c>
      <c r="AG81" s="55">
        <v>0</v>
      </c>
      <c r="AH81" s="55">
        <f t="shared" si="37"/>
        <v>27</v>
      </c>
      <c r="AI81" s="55">
        <v>2</v>
      </c>
      <c r="AJ81" s="55">
        <v>25</v>
      </c>
      <c r="AK81" s="55">
        <v>0</v>
      </c>
      <c r="AL81" s="55">
        <f t="shared" si="39"/>
        <v>22</v>
      </c>
      <c r="AM81" s="55">
        <v>2</v>
      </c>
      <c r="AN81" s="55">
        <v>20</v>
      </c>
      <c r="AO81" s="55">
        <v>0</v>
      </c>
      <c r="AP81" s="55">
        <f t="shared" si="40"/>
        <v>12</v>
      </c>
      <c r="AQ81" s="55">
        <f>IFERROR(VLOOKUP(A81,[1]SIIMPLES!$A$2:$F$418,6,FALSE),0)</f>
        <v>0</v>
      </c>
      <c r="AR81" s="55">
        <v>12</v>
      </c>
      <c r="AS81" s="55">
        <v>34</v>
      </c>
      <c r="AT81" s="55">
        <v>3</v>
      </c>
      <c r="AU81" s="55">
        <v>31</v>
      </c>
      <c r="AV81" s="55">
        <v>0</v>
      </c>
      <c r="AW81" s="55"/>
      <c r="AX81" s="55"/>
      <c r="AY81" s="56">
        <f t="shared" si="46"/>
        <v>19.2</v>
      </c>
      <c r="AZ81" s="55"/>
      <c r="BA81" s="56">
        <v>18.333333333333332</v>
      </c>
      <c r="BB81" s="41">
        <f t="shared" ref="BB81:BB90" si="47">IFERROR(AY81/BA81-1,"")</f>
        <v>4.7272727272727355E-2</v>
      </c>
      <c r="BC81" s="13"/>
      <c r="BD81" s="35"/>
      <c r="BE81" s="13"/>
      <c r="BF81" s="16">
        <f>SUM(BC81:BE81)</f>
        <v>0</v>
      </c>
      <c r="BG81" s="17">
        <f t="shared" si="38"/>
        <v>0</v>
      </c>
      <c r="BH81" s="16">
        <f t="shared" si="41"/>
        <v>19.2</v>
      </c>
    </row>
    <row r="82" spans="1:60" s="21" customFormat="1" ht="12.75" customHeight="1" x14ac:dyDescent="0.2">
      <c r="A82" s="51">
        <v>662053</v>
      </c>
      <c r="B82" s="51" t="s">
        <v>1077</v>
      </c>
      <c r="C82" s="66" t="s">
        <v>1803</v>
      </c>
      <c r="D82" s="52" t="s">
        <v>728</v>
      </c>
      <c r="E82" s="65" t="s">
        <v>780</v>
      </c>
      <c r="F82" s="53">
        <f>IFERROR(VLOOKUP(E82,Fornecedores!$A$2:$B$2700,2,FALSE),"")</f>
        <v>2</v>
      </c>
      <c r="G82" s="52" t="s">
        <v>676</v>
      </c>
      <c r="H82" s="57"/>
      <c r="I82" s="55">
        <f t="shared" si="42"/>
        <v>20</v>
      </c>
      <c r="J82" s="55">
        <v>14</v>
      </c>
      <c r="K82" s="55">
        <v>6</v>
      </c>
      <c r="L82" s="55">
        <v>0</v>
      </c>
      <c r="M82" s="55">
        <v>0</v>
      </c>
      <c r="N82" s="55">
        <f t="shared" si="43"/>
        <v>22</v>
      </c>
      <c r="O82" s="55">
        <v>11</v>
      </c>
      <c r="P82" s="55">
        <v>11</v>
      </c>
      <c r="Q82" s="55">
        <v>0</v>
      </c>
      <c r="R82" s="55">
        <f t="shared" si="44"/>
        <v>34</v>
      </c>
      <c r="S82" s="55">
        <v>11</v>
      </c>
      <c r="T82" s="55">
        <v>21</v>
      </c>
      <c r="U82" s="55">
        <v>2</v>
      </c>
      <c r="V82" s="55">
        <v>25</v>
      </c>
      <c r="W82" s="53">
        <v>13</v>
      </c>
      <c r="X82" s="53">
        <v>12</v>
      </c>
      <c r="Y82" s="55">
        <v>0</v>
      </c>
      <c r="Z82" s="55">
        <v>12</v>
      </c>
      <c r="AA82" s="53">
        <v>8</v>
      </c>
      <c r="AB82" s="53">
        <v>4</v>
      </c>
      <c r="AC82" s="55">
        <v>0</v>
      </c>
      <c r="AD82" s="55">
        <f t="shared" si="45"/>
        <v>12</v>
      </c>
      <c r="AE82" s="53">
        <v>3</v>
      </c>
      <c r="AF82" s="55">
        <v>9</v>
      </c>
      <c r="AG82" s="55">
        <v>0</v>
      </c>
      <c r="AH82" s="55">
        <f t="shared" si="37"/>
        <v>11</v>
      </c>
      <c r="AI82" s="55">
        <v>3</v>
      </c>
      <c r="AJ82" s="55">
        <v>8</v>
      </c>
      <c r="AK82" s="55">
        <v>0</v>
      </c>
      <c r="AL82" s="55">
        <f t="shared" si="39"/>
        <v>7</v>
      </c>
      <c r="AM82" s="55">
        <v>2</v>
      </c>
      <c r="AN82" s="55">
        <v>5</v>
      </c>
      <c r="AO82" s="55">
        <v>0</v>
      </c>
      <c r="AP82" s="55">
        <f t="shared" si="40"/>
        <v>12</v>
      </c>
      <c r="AQ82" s="55">
        <f>IFERROR(VLOOKUP(A82,[1]SIIMPLES!$A$2:$F$418,6,FALSE),0)</f>
        <v>9</v>
      </c>
      <c r="AR82" s="55">
        <v>3</v>
      </c>
      <c r="AS82" s="55">
        <v>13</v>
      </c>
      <c r="AT82" s="55">
        <v>2</v>
      </c>
      <c r="AU82" s="55">
        <v>6</v>
      </c>
      <c r="AV82" s="55">
        <v>5</v>
      </c>
      <c r="AW82" s="55"/>
      <c r="AX82" s="55"/>
      <c r="AY82" s="56">
        <f t="shared" si="46"/>
        <v>16.8</v>
      </c>
      <c r="AZ82" s="55"/>
      <c r="BA82" s="56">
        <v>33.833333333333336</v>
      </c>
      <c r="BB82" s="41">
        <f t="shared" si="47"/>
        <v>-0.50344827586206897</v>
      </c>
      <c r="BC82" s="13"/>
      <c r="BD82" s="35"/>
      <c r="BE82" s="13"/>
      <c r="BF82" s="16"/>
      <c r="BG82" s="17">
        <f t="shared" si="38"/>
        <v>0</v>
      </c>
      <c r="BH82" s="16">
        <f>ROUND(IFERROR(IF(F82=1,IF(BC82&lt;AY82*3,AY82*3-BC82,0),IF(BC82&lt;AY82,AY82*0.6-BC82,0)),""),0)</f>
        <v>10</v>
      </c>
    </row>
    <row r="83" spans="1:60" s="21" customFormat="1" ht="12.75" customHeight="1" x14ac:dyDescent="0.2">
      <c r="A83" s="51">
        <v>552030</v>
      </c>
      <c r="B83" s="51" t="s">
        <v>1077</v>
      </c>
      <c r="C83" s="66" t="s">
        <v>1803</v>
      </c>
      <c r="D83" s="52" t="s">
        <v>728</v>
      </c>
      <c r="E83" s="65" t="s">
        <v>780</v>
      </c>
      <c r="F83" s="53">
        <f>IFERROR(VLOOKUP(E83,Fornecedores!$A$2:$B$2700,2,FALSE),"")</f>
        <v>2</v>
      </c>
      <c r="G83" s="52" t="s">
        <v>549</v>
      </c>
      <c r="H83" s="57"/>
      <c r="I83" s="55">
        <f t="shared" si="42"/>
        <v>16</v>
      </c>
      <c r="J83" s="55">
        <v>5</v>
      </c>
      <c r="K83" s="55">
        <v>11</v>
      </c>
      <c r="L83" s="55">
        <v>0</v>
      </c>
      <c r="M83" s="55">
        <v>0</v>
      </c>
      <c r="N83" s="55">
        <f t="shared" si="43"/>
        <v>5</v>
      </c>
      <c r="O83" s="55">
        <v>2</v>
      </c>
      <c r="P83" s="55">
        <v>3</v>
      </c>
      <c r="Q83" s="55">
        <v>0</v>
      </c>
      <c r="R83" s="55">
        <f t="shared" si="44"/>
        <v>6</v>
      </c>
      <c r="S83" s="55">
        <v>3</v>
      </c>
      <c r="T83" s="55">
        <v>3</v>
      </c>
      <c r="U83" s="55">
        <v>0</v>
      </c>
      <c r="V83" s="55">
        <v>11</v>
      </c>
      <c r="W83" s="53">
        <v>6</v>
      </c>
      <c r="X83" s="53">
        <v>5</v>
      </c>
      <c r="Y83" s="55">
        <v>0</v>
      </c>
      <c r="Z83" s="55">
        <v>11</v>
      </c>
      <c r="AA83" s="53">
        <v>6</v>
      </c>
      <c r="AB83" s="53">
        <v>5</v>
      </c>
      <c r="AC83" s="55">
        <v>0</v>
      </c>
      <c r="AD83" s="55">
        <f t="shared" si="45"/>
        <v>5</v>
      </c>
      <c r="AE83" s="53">
        <v>1</v>
      </c>
      <c r="AF83" s="55">
        <v>3</v>
      </c>
      <c r="AG83" s="55">
        <v>1</v>
      </c>
      <c r="AH83" s="55">
        <f t="shared" si="37"/>
        <v>7</v>
      </c>
      <c r="AI83" s="55">
        <v>1</v>
      </c>
      <c r="AJ83" s="55">
        <v>6</v>
      </c>
      <c r="AK83" s="55">
        <v>0</v>
      </c>
      <c r="AL83" s="55">
        <f t="shared" si="39"/>
        <v>5</v>
      </c>
      <c r="AM83" s="55" t="s">
        <v>1912</v>
      </c>
      <c r="AN83" s="55">
        <v>5</v>
      </c>
      <c r="AO83" s="55">
        <v>0</v>
      </c>
      <c r="AP83" s="55">
        <f t="shared" si="40"/>
        <v>12</v>
      </c>
      <c r="AQ83" s="55">
        <f>IFERROR(VLOOKUP(A83,[1]SIIMPLES!$A$2:$F$418,6,FALSE),0)</f>
        <v>1</v>
      </c>
      <c r="AR83" s="55">
        <v>11</v>
      </c>
      <c r="AS83" s="55">
        <v>0</v>
      </c>
      <c r="AT83" s="55">
        <v>0</v>
      </c>
      <c r="AU83" s="55">
        <v>0</v>
      </c>
      <c r="AV83" s="55">
        <v>0</v>
      </c>
      <c r="AW83" s="55"/>
      <c r="AX83" s="55"/>
      <c r="AY83" s="56">
        <f t="shared" si="46"/>
        <v>7.8</v>
      </c>
      <c r="AZ83" s="55"/>
      <c r="BA83" s="56">
        <v>20.5</v>
      </c>
      <c r="BB83" s="41">
        <f t="shared" si="47"/>
        <v>-0.61951219512195121</v>
      </c>
      <c r="BC83" s="13"/>
      <c r="BD83" s="35"/>
      <c r="BE83" s="13"/>
      <c r="BF83" s="16">
        <f>SUM(BC83:BE83)</f>
        <v>0</v>
      </c>
      <c r="BG83" s="17">
        <f t="shared" si="38"/>
        <v>0</v>
      </c>
      <c r="BH83" s="16">
        <f>IFERROR(IF(F83=1,IF(BC83&lt;AY83*3,AY83*3-BC83,0),IF(BC83&lt;AY83,AY83-BC83,0)),"")</f>
        <v>7.8</v>
      </c>
    </row>
    <row r="84" spans="1:60" s="21" customFormat="1" ht="12.75" customHeight="1" x14ac:dyDescent="0.2">
      <c r="A84" s="51">
        <v>112053</v>
      </c>
      <c r="B84" s="51" t="s">
        <v>1077</v>
      </c>
      <c r="C84" s="66" t="s">
        <v>1803</v>
      </c>
      <c r="D84" s="52" t="s">
        <v>728</v>
      </c>
      <c r="E84" s="65" t="s">
        <v>780</v>
      </c>
      <c r="F84" s="53">
        <f>IFERROR(VLOOKUP(E84,Fornecedores!$A$2:$B$2700,2,FALSE),"")</f>
        <v>2</v>
      </c>
      <c r="G84" s="52" t="s">
        <v>670</v>
      </c>
      <c r="H84" s="57"/>
      <c r="I84" s="55">
        <f t="shared" si="42"/>
        <v>0</v>
      </c>
      <c r="J84" s="55">
        <v>0</v>
      </c>
      <c r="K84" s="55">
        <v>0</v>
      </c>
      <c r="L84" s="55">
        <v>0</v>
      </c>
      <c r="M84" s="55">
        <v>0</v>
      </c>
      <c r="N84" s="55">
        <f t="shared" si="43"/>
        <v>1</v>
      </c>
      <c r="O84" s="55">
        <v>0</v>
      </c>
      <c r="P84" s="55">
        <v>1</v>
      </c>
      <c r="Q84" s="55">
        <v>0</v>
      </c>
      <c r="R84" s="55">
        <f t="shared" si="44"/>
        <v>3</v>
      </c>
      <c r="S84" s="55">
        <v>0</v>
      </c>
      <c r="T84" s="55">
        <v>0</v>
      </c>
      <c r="U84" s="55">
        <v>3</v>
      </c>
      <c r="V84" s="55">
        <v>3</v>
      </c>
      <c r="W84" s="53">
        <v>1</v>
      </c>
      <c r="X84" s="53">
        <v>0</v>
      </c>
      <c r="Y84" s="55">
        <v>2</v>
      </c>
      <c r="Z84" s="55">
        <v>1</v>
      </c>
      <c r="AA84" s="53">
        <v>1</v>
      </c>
      <c r="AB84" s="53">
        <v>0</v>
      </c>
      <c r="AC84" s="55">
        <v>0</v>
      </c>
      <c r="AD84" s="55">
        <f t="shared" si="45"/>
        <v>1</v>
      </c>
      <c r="AE84" s="53">
        <v>0</v>
      </c>
      <c r="AF84" s="55">
        <v>0</v>
      </c>
      <c r="AG84" s="55">
        <v>1</v>
      </c>
      <c r="AH84" s="55">
        <f t="shared" si="37"/>
        <v>2</v>
      </c>
      <c r="AI84" s="55">
        <v>0</v>
      </c>
      <c r="AJ84" s="55">
        <v>2</v>
      </c>
      <c r="AK84" s="55">
        <v>0</v>
      </c>
      <c r="AL84" s="55">
        <f t="shared" si="39"/>
        <v>6</v>
      </c>
      <c r="AM84" s="55" t="s">
        <v>1912</v>
      </c>
      <c r="AN84" s="55">
        <v>0</v>
      </c>
      <c r="AO84" s="55">
        <v>6</v>
      </c>
      <c r="AP84" s="55">
        <f t="shared" si="40"/>
        <v>12</v>
      </c>
      <c r="AQ84" s="55">
        <f>IFERROR(VLOOKUP(A84,[1]SIIMPLES!$A$2:$F$418,6,FALSE),0)</f>
        <v>12</v>
      </c>
      <c r="AR84" s="55">
        <v>0</v>
      </c>
      <c r="AS84" s="55">
        <v>4</v>
      </c>
      <c r="AT84" s="55">
        <v>0</v>
      </c>
      <c r="AU84" s="55">
        <v>0</v>
      </c>
      <c r="AV84" s="55">
        <v>4</v>
      </c>
      <c r="AW84" s="55"/>
      <c r="AX84" s="55"/>
      <c r="AY84" s="56">
        <f t="shared" si="46"/>
        <v>3.3</v>
      </c>
      <c r="AZ84" s="55"/>
      <c r="BA84" s="56">
        <v>1.6666666666666667</v>
      </c>
      <c r="BB84" s="41">
        <f t="shared" si="47"/>
        <v>0.97999999999999976</v>
      </c>
      <c r="BC84" s="13"/>
      <c r="BD84" s="35"/>
      <c r="BE84" s="13"/>
      <c r="BF84" s="16"/>
      <c r="BG84" s="17">
        <f t="shared" si="38"/>
        <v>0</v>
      </c>
      <c r="BH84" s="16">
        <f>IFERROR(IF(F84=1,IF(BC84&lt;AY84*3,AY84*3-BC84,0),IF(BC84&lt;AY84,AY84-BC84,0)),"")</f>
        <v>3.3</v>
      </c>
    </row>
    <row r="85" spans="1:60" s="21" customFormat="1" ht="12.75" customHeight="1" x14ac:dyDescent="0.2">
      <c r="A85" s="51">
        <v>442025</v>
      </c>
      <c r="B85" s="51" t="s">
        <v>1086</v>
      </c>
      <c r="C85" s="66" t="s">
        <v>1803</v>
      </c>
      <c r="D85" s="52" t="s">
        <v>728</v>
      </c>
      <c r="E85" s="65" t="s">
        <v>780</v>
      </c>
      <c r="F85" s="53">
        <f>IFERROR(VLOOKUP(E85,Fornecedores!$A$2:$B$2700,2,FALSE),"")</f>
        <v>2</v>
      </c>
      <c r="G85" s="52" t="s">
        <v>43</v>
      </c>
      <c r="H85" s="57"/>
      <c r="I85" s="55">
        <f t="shared" si="42"/>
        <v>0</v>
      </c>
      <c r="J85" s="55">
        <v>0</v>
      </c>
      <c r="K85" s="55">
        <v>0</v>
      </c>
      <c r="L85" s="55">
        <v>0</v>
      </c>
      <c r="M85" s="55">
        <v>0</v>
      </c>
      <c r="N85" s="55">
        <f t="shared" si="43"/>
        <v>0</v>
      </c>
      <c r="O85" s="55">
        <v>0</v>
      </c>
      <c r="P85" s="55">
        <v>0</v>
      </c>
      <c r="Q85" s="55">
        <v>0</v>
      </c>
      <c r="R85" s="55">
        <f t="shared" si="44"/>
        <v>0</v>
      </c>
      <c r="S85" s="55">
        <v>0</v>
      </c>
      <c r="T85" s="55">
        <v>0</v>
      </c>
      <c r="U85" s="55">
        <v>0</v>
      </c>
      <c r="V85" s="55">
        <v>0</v>
      </c>
      <c r="W85" s="53">
        <v>0</v>
      </c>
      <c r="X85" s="53">
        <v>0</v>
      </c>
      <c r="Y85" s="55">
        <v>0</v>
      </c>
      <c r="Z85" s="55">
        <v>0</v>
      </c>
      <c r="AA85" s="53">
        <v>0</v>
      </c>
      <c r="AB85" s="53">
        <v>0</v>
      </c>
      <c r="AC85" s="55">
        <v>0</v>
      </c>
      <c r="AD85" s="55">
        <f t="shared" si="45"/>
        <v>0</v>
      </c>
      <c r="AE85" s="53">
        <v>0</v>
      </c>
      <c r="AF85" s="55">
        <v>0</v>
      </c>
      <c r="AG85" s="55">
        <v>0</v>
      </c>
      <c r="AH85" s="55">
        <f t="shared" si="37"/>
        <v>0</v>
      </c>
      <c r="AI85" s="55">
        <v>0</v>
      </c>
      <c r="AJ85" s="55">
        <v>0</v>
      </c>
      <c r="AK85" s="55">
        <v>0</v>
      </c>
      <c r="AL85" s="55">
        <f t="shared" si="39"/>
        <v>0</v>
      </c>
      <c r="AM85" s="55" t="s">
        <v>1912</v>
      </c>
      <c r="AN85" s="55">
        <v>0</v>
      </c>
      <c r="AO85" s="55">
        <v>0</v>
      </c>
      <c r="AP85" s="55">
        <f t="shared" si="40"/>
        <v>12</v>
      </c>
      <c r="AQ85" s="55">
        <f>IFERROR(VLOOKUP(A85,[1]SIIMPLES!$A$2:$F$418,6,FALSE),0)</f>
        <v>12</v>
      </c>
      <c r="AR85" s="55">
        <v>0</v>
      </c>
      <c r="AS85" s="55">
        <v>0</v>
      </c>
      <c r="AT85" s="55">
        <v>0</v>
      </c>
      <c r="AU85" s="55">
        <v>0</v>
      </c>
      <c r="AV85" s="55">
        <v>0</v>
      </c>
      <c r="AW85" s="55"/>
      <c r="AX85" s="55"/>
      <c r="AY85" s="56">
        <f t="shared" si="46"/>
        <v>1.2</v>
      </c>
      <c r="AZ85" s="55"/>
      <c r="BA85" s="56">
        <v>0</v>
      </c>
      <c r="BB85" s="41" t="str">
        <f t="shared" si="47"/>
        <v/>
      </c>
      <c r="BC85" s="13"/>
      <c r="BD85" s="35"/>
      <c r="BE85" s="13"/>
      <c r="BF85" s="16"/>
      <c r="BG85" s="17">
        <f t="shared" si="38"/>
        <v>0</v>
      </c>
      <c r="BH85" s="16">
        <f>ROUND(IFERROR(IF(F85=1,IF(BC85&lt;AY85*3,AY85*3-BC85,0),IF(BC85&lt;AY85,AY85*0.6-BC85,0)),""),0)</f>
        <v>1</v>
      </c>
    </row>
    <row r="86" spans="1:60" s="21" customFormat="1" ht="12.75" customHeight="1" x14ac:dyDescent="0.2">
      <c r="A86" s="51" t="s">
        <v>1110</v>
      </c>
      <c r="B86" s="51"/>
      <c r="C86" s="66" t="s">
        <v>1803</v>
      </c>
      <c r="D86" s="52" t="s">
        <v>745</v>
      </c>
      <c r="E86" s="52" t="s">
        <v>780</v>
      </c>
      <c r="F86" s="53">
        <f>IFERROR(VLOOKUP(E86,Fornecedores!$A$2:$B$2700,2,FALSE),"")</f>
        <v>2</v>
      </c>
      <c r="G86" s="52" t="s">
        <v>1153</v>
      </c>
      <c r="H86" s="54"/>
      <c r="I86" s="55">
        <f t="shared" si="42"/>
        <v>18</v>
      </c>
      <c r="J86" s="55">
        <v>0</v>
      </c>
      <c r="K86" s="55">
        <v>18</v>
      </c>
      <c r="L86" s="55">
        <v>0</v>
      </c>
      <c r="M86" s="55">
        <v>0</v>
      </c>
      <c r="N86" s="55">
        <f t="shared" si="43"/>
        <v>28</v>
      </c>
      <c r="O86" s="55">
        <v>0</v>
      </c>
      <c r="P86" s="55">
        <v>28</v>
      </c>
      <c r="Q86" s="55">
        <v>0</v>
      </c>
      <c r="R86" s="55">
        <f t="shared" si="44"/>
        <v>14</v>
      </c>
      <c r="S86" s="55">
        <v>0</v>
      </c>
      <c r="T86" s="55">
        <v>14</v>
      </c>
      <c r="U86" s="55">
        <v>0</v>
      </c>
      <c r="V86" s="55">
        <v>4</v>
      </c>
      <c r="W86" s="53">
        <v>0</v>
      </c>
      <c r="X86" s="53">
        <v>4</v>
      </c>
      <c r="Y86" s="55">
        <v>0</v>
      </c>
      <c r="Z86" s="55">
        <v>0</v>
      </c>
      <c r="AA86" s="53">
        <v>0</v>
      </c>
      <c r="AB86" s="53">
        <v>0</v>
      </c>
      <c r="AC86" s="55">
        <v>0</v>
      </c>
      <c r="AD86" s="55">
        <f t="shared" si="45"/>
        <v>8</v>
      </c>
      <c r="AE86" s="53">
        <v>0</v>
      </c>
      <c r="AF86" s="55">
        <v>8</v>
      </c>
      <c r="AG86" s="55">
        <v>0</v>
      </c>
      <c r="AH86" s="55">
        <f t="shared" si="37"/>
        <v>42</v>
      </c>
      <c r="AI86" s="55">
        <v>0</v>
      </c>
      <c r="AJ86" s="55">
        <v>42</v>
      </c>
      <c r="AK86" s="55">
        <v>0</v>
      </c>
      <c r="AL86" s="55">
        <f t="shared" si="39"/>
        <v>8</v>
      </c>
      <c r="AM86" s="55" t="s">
        <v>1912</v>
      </c>
      <c r="AN86" s="55">
        <v>8</v>
      </c>
      <c r="AO86" s="55">
        <v>0</v>
      </c>
      <c r="AP86" s="55">
        <f t="shared" si="40"/>
        <v>12</v>
      </c>
      <c r="AQ86" s="55">
        <f>IFERROR(VLOOKUP(A86,[1]SIIMPLES!$A$2:$F$418,6,FALSE),0)</f>
        <v>0</v>
      </c>
      <c r="AR86" s="55">
        <v>12</v>
      </c>
      <c r="AS86" s="55">
        <v>36</v>
      </c>
      <c r="AT86" s="55">
        <v>12</v>
      </c>
      <c r="AU86" s="55">
        <v>24</v>
      </c>
      <c r="AV86" s="55">
        <v>0</v>
      </c>
      <c r="AW86" s="55"/>
      <c r="AX86" s="55"/>
      <c r="AY86" s="56">
        <f t="shared" si="46"/>
        <v>17</v>
      </c>
      <c r="AZ86" s="55"/>
      <c r="BA86" s="56">
        <v>12</v>
      </c>
      <c r="BB86" s="41">
        <f t="shared" si="47"/>
        <v>0.41666666666666674</v>
      </c>
      <c r="BC86" s="13"/>
      <c r="BD86" s="35"/>
      <c r="BE86" s="13"/>
      <c r="BF86" s="16"/>
      <c r="BG86" s="17">
        <f t="shared" si="38"/>
        <v>0</v>
      </c>
      <c r="BH86" s="16">
        <f>IFERROR(IF(F86=1,IF(BC86&lt;AY86*3,AY86*3-BC86,0),IF(BC86&lt;AY86,AY86-BC86,0)),"")</f>
        <v>17</v>
      </c>
    </row>
    <row r="87" spans="1:60" s="21" customFormat="1" ht="12.75" customHeight="1" x14ac:dyDescent="0.2">
      <c r="A87" s="51">
        <v>4077</v>
      </c>
      <c r="B87" s="51"/>
      <c r="C87" s="66" t="s">
        <v>1803</v>
      </c>
      <c r="D87" s="52" t="s">
        <v>760</v>
      </c>
      <c r="E87" s="52" t="s">
        <v>736</v>
      </c>
      <c r="F87" s="53">
        <f>IFERROR(VLOOKUP(E87,Fornecedores!$A$2:$B$2700,2,FALSE),"")</f>
        <v>5</v>
      </c>
      <c r="G87" s="52" t="s">
        <v>1580</v>
      </c>
      <c r="H87" s="57"/>
      <c r="I87" s="55">
        <f t="shared" si="42"/>
        <v>2</v>
      </c>
      <c r="J87" s="55">
        <v>2</v>
      </c>
      <c r="K87" s="55">
        <v>0</v>
      </c>
      <c r="L87" s="55">
        <v>0</v>
      </c>
      <c r="M87" s="55">
        <v>0</v>
      </c>
      <c r="N87" s="55">
        <f t="shared" si="43"/>
        <v>2</v>
      </c>
      <c r="O87" s="55">
        <v>2</v>
      </c>
      <c r="P87" s="55">
        <v>0</v>
      </c>
      <c r="Q87" s="55">
        <v>0</v>
      </c>
      <c r="R87" s="55">
        <f t="shared" si="44"/>
        <v>0</v>
      </c>
      <c r="S87" s="55">
        <v>0</v>
      </c>
      <c r="T87" s="55">
        <v>0</v>
      </c>
      <c r="U87" s="55">
        <v>0</v>
      </c>
      <c r="V87" s="55">
        <v>4</v>
      </c>
      <c r="W87" s="53">
        <v>4</v>
      </c>
      <c r="X87" s="53">
        <v>0</v>
      </c>
      <c r="Y87" s="55">
        <v>0</v>
      </c>
      <c r="Z87" s="55">
        <v>6</v>
      </c>
      <c r="AA87" s="53">
        <v>6</v>
      </c>
      <c r="AB87" s="53">
        <v>0</v>
      </c>
      <c r="AC87" s="55">
        <v>0</v>
      </c>
      <c r="AD87" s="55">
        <f t="shared" si="45"/>
        <v>8</v>
      </c>
      <c r="AE87" s="53">
        <v>8</v>
      </c>
      <c r="AF87" s="55">
        <v>0</v>
      </c>
      <c r="AG87" s="55">
        <v>0</v>
      </c>
      <c r="AH87" s="55">
        <f t="shared" si="37"/>
        <v>10</v>
      </c>
      <c r="AI87" s="55">
        <v>10</v>
      </c>
      <c r="AJ87" s="55">
        <v>0</v>
      </c>
      <c r="AK87" s="55">
        <v>0</v>
      </c>
      <c r="AL87" s="55">
        <f t="shared" si="39"/>
        <v>15</v>
      </c>
      <c r="AM87" s="55">
        <v>15</v>
      </c>
      <c r="AN87" s="55">
        <v>0</v>
      </c>
      <c r="AO87" s="55">
        <v>0</v>
      </c>
      <c r="AP87" s="55">
        <f t="shared" si="40"/>
        <v>11</v>
      </c>
      <c r="AQ87" s="55">
        <f>IFERROR(VLOOKUP(A87,[1]SIIMPLES!$A$2:$F$418,6,FALSE),0)</f>
        <v>11</v>
      </c>
      <c r="AR87" s="55">
        <v>0</v>
      </c>
      <c r="AS87" s="55">
        <v>0</v>
      </c>
      <c r="AT87" s="55">
        <v>0</v>
      </c>
      <c r="AU87" s="55">
        <v>0</v>
      </c>
      <c r="AV87" s="55">
        <v>0</v>
      </c>
      <c r="AW87" s="55"/>
      <c r="AX87" s="55"/>
      <c r="AY87" s="56">
        <f t="shared" si="46"/>
        <v>5.8</v>
      </c>
      <c r="AZ87" s="55"/>
      <c r="BA87" s="56">
        <v>3</v>
      </c>
      <c r="BB87" s="41">
        <f t="shared" si="47"/>
        <v>0.93333333333333335</v>
      </c>
      <c r="BC87" s="13"/>
      <c r="BD87" s="35"/>
      <c r="BE87" s="13"/>
      <c r="BF87" s="16"/>
      <c r="BG87" s="17">
        <f t="shared" si="38"/>
        <v>0</v>
      </c>
      <c r="BH87" s="16">
        <f>IFERROR(IF(F87=1,IF(BC87&lt;AY87*3,AY87*3-BC87,0),IF(BC87&lt;AY87,AY87-BC87,0)),"")</f>
        <v>5.8</v>
      </c>
    </row>
    <row r="88" spans="1:60" s="21" customFormat="1" ht="12.75" customHeight="1" x14ac:dyDescent="0.2">
      <c r="A88" s="51">
        <v>332015</v>
      </c>
      <c r="B88" s="51" t="s">
        <v>1077</v>
      </c>
      <c r="C88" s="66" t="s">
        <v>1803</v>
      </c>
      <c r="D88" s="52" t="s">
        <v>728</v>
      </c>
      <c r="E88" s="65" t="s">
        <v>780</v>
      </c>
      <c r="F88" s="53">
        <f>IFERROR(VLOOKUP(E88,Fornecedores!$A$2:$B$2700,2,FALSE),"")</f>
        <v>2</v>
      </c>
      <c r="G88" s="52" t="s">
        <v>315</v>
      </c>
      <c r="H88" s="57"/>
      <c r="I88" s="55">
        <f t="shared" si="42"/>
        <v>4</v>
      </c>
      <c r="J88" s="55">
        <v>0</v>
      </c>
      <c r="K88" s="55">
        <v>4</v>
      </c>
      <c r="L88" s="55">
        <v>0</v>
      </c>
      <c r="M88" s="55">
        <v>0</v>
      </c>
      <c r="N88" s="55">
        <f t="shared" si="43"/>
        <v>2</v>
      </c>
      <c r="O88" s="55">
        <v>0</v>
      </c>
      <c r="P88" s="55">
        <v>2</v>
      </c>
      <c r="Q88" s="55">
        <v>0</v>
      </c>
      <c r="R88" s="55">
        <f t="shared" si="44"/>
        <v>6</v>
      </c>
      <c r="S88" s="55">
        <v>0</v>
      </c>
      <c r="T88" s="55">
        <v>3</v>
      </c>
      <c r="U88" s="55">
        <v>3</v>
      </c>
      <c r="V88" s="55">
        <v>3</v>
      </c>
      <c r="W88" s="53">
        <v>0</v>
      </c>
      <c r="X88" s="53">
        <v>3</v>
      </c>
      <c r="Y88" s="55">
        <v>0</v>
      </c>
      <c r="Z88" s="55">
        <v>14</v>
      </c>
      <c r="AA88" s="53">
        <v>0</v>
      </c>
      <c r="AB88" s="53">
        <v>8</v>
      </c>
      <c r="AC88" s="55">
        <v>6</v>
      </c>
      <c r="AD88" s="55">
        <f t="shared" si="45"/>
        <v>7</v>
      </c>
      <c r="AE88" s="53">
        <v>0</v>
      </c>
      <c r="AF88" s="55">
        <v>4</v>
      </c>
      <c r="AG88" s="55">
        <v>3</v>
      </c>
      <c r="AH88" s="55">
        <f t="shared" si="37"/>
        <v>9</v>
      </c>
      <c r="AI88" s="55">
        <v>0</v>
      </c>
      <c r="AJ88" s="55">
        <v>3</v>
      </c>
      <c r="AK88" s="55">
        <v>6</v>
      </c>
      <c r="AL88" s="55">
        <f t="shared" si="39"/>
        <v>20</v>
      </c>
      <c r="AM88" s="55" t="s">
        <v>1912</v>
      </c>
      <c r="AN88" s="55">
        <v>6</v>
      </c>
      <c r="AO88" s="55">
        <v>14</v>
      </c>
      <c r="AP88" s="55">
        <f t="shared" si="40"/>
        <v>11</v>
      </c>
      <c r="AQ88" s="55">
        <f>IFERROR(VLOOKUP(A88,[1]SIIMPLES!$A$2:$F$418,6,FALSE),0)</f>
        <v>9</v>
      </c>
      <c r="AR88" s="55">
        <v>2</v>
      </c>
      <c r="AS88" s="55">
        <v>3</v>
      </c>
      <c r="AT88" s="55">
        <v>1</v>
      </c>
      <c r="AU88" s="55">
        <v>2</v>
      </c>
      <c r="AV88" s="55">
        <v>0</v>
      </c>
      <c r="AW88" s="55"/>
      <c r="AX88" s="55"/>
      <c r="AY88" s="56">
        <f t="shared" si="46"/>
        <v>7.9</v>
      </c>
      <c r="AZ88" s="55"/>
      <c r="BA88" s="56">
        <v>3.5</v>
      </c>
      <c r="BB88" s="41">
        <f t="shared" si="47"/>
        <v>1.2571428571428571</v>
      </c>
      <c r="BC88" s="13"/>
      <c r="BD88" s="35"/>
      <c r="BE88" s="13"/>
      <c r="BF88" s="16"/>
      <c r="BG88" s="17">
        <f t="shared" si="38"/>
        <v>0</v>
      </c>
      <c r="BH88" s="16">
        <f>IFERROR(IF(F88=1,IF(BC88&lt;AY88*3,AY88*3-BC88,0),IF(BC88&lt;AY88,AY88-BC88,0)),"")</f>
        <v>7.9</v>
      </c>
    </row>
    <row r="89" spans="1:60" s="21" customFormat="1" ht="12.75" customHeight="1" x14ac:dyDescent="0.2">
      <c r="A89" s="51">
        <v>227203</v>
      </c>
      <c r="B89" s="51" t="s">
        <v>1077</v>
      </c>
      <c r="C89" s="66" t="s">
        <v>1803</v>
      </c>
      <c r="D89" s="65" t="s">
        <v>726</v>
      </c>
      <c r="E89" s="67" t="s">
        <v>727</v>
      </c>
      <c r="F89" s="53">
        <f>IFERROR(VLOOKUP(E89,Fornecedores!$A$2:$B$2700,2,FALSE),"")</f>
        <v>1</v>
      </c>
      <c r="G89" s="52" t="s">
        <v>455</v>
      </c>
      <c r="H89" s="54"/>
      <c r="I89" s="55">
        <f t="shared" si="42"/>
        <v>3</v>
      </c>
      <c r="J89" s="55">
        <v>3</v>
      </c>
      <c r="K89" s="55">
        <v>0</v>
      </c>
      <c r="L89" s="55">
        <v>0</v>
      </c>
      <c r="M89" s="55">
        <v>0</v>
      </c>
      <c r="N89" s="55">
        <f t="shared" si="43"/>
        <v>5</v>
      </c>
      <c r="O89" s="55">
        <v>5</v>
      </c>
      <c r="P89" s="55">
        <v>0</v>
      </c>
      <c r="Q89" s="55">
        <v>0</v>
      </c>
      <c r="R89" s="55">
        <f t="shared" si="44"/>
        <v>0</v>
      </c>
      <c r="S89" s="55">
        <v>0</v>
      </c>
      <c r="T89" s="55">
        <v>0</v>
      </c>
      <c r="U89" s="55">
        <v>0</v>
      </c>
      <c r="V89" s="55">
        <v>4</v>
      </c>
      <c r="W89" s="53">
        <v>4</v>
      </c>
      <c r="X89" s="53">
        <v>0</v>
      </c>
      <c r="Y89" s="55">
        <v>0</v>
      </c>
      <c r="Z89" s="55">
        <v>3</v>
      </c>
      <c r="AA89" s="53">
        <v>3</v>
      </c>
      <c r="AB89" s="53">
        <v>0</v>
      </c>
      <c r="AC89" s="55">
        <v>0</v>
      </c>
      <c r="AD89" s="55">
        <f t="shared" si="45"/>
        <v>2</v>
      </c>
      <c r="AE89" s="53">
        <v>2</v>
      </c>
      <c r="AF89" s="55">
        <v>0</v>
      </c>
      <c r="AG89" s="55">
        <v>0</v>
      </c>
      <c r="AH89" s="55">
        <f t="shared" si="37"/>
        <v>0</v>
      </c>
      <c r="AI89" s="55">
        <v>0</v>
      </c>
      <c r="AJ89" s="55">
        <v>0</v>
      </c>
      <c r="AK89" s="55">
        <v>0</v>
      </c>
      <c r="AL89" s="55">
        <f t="shared" si="39"/>
        <v>6</v>
      </c>
      <c r="AM89" s="55">
        <v>6</v>
      </c>
      <c r="AN89" s="55">
        <v>0</v>
      </c>
      <c r="AO89" s="55">
        <v>0</v>
      </c>
      <c r="AP89" s="55">
        <f t="shared" si="40"/>
        <v>11</v>
      </c>
      <c r="AQ89" s="55">
        <f>IFERROR(VLOOKUP(A89,[1]SIIMPLES!$A$2:$F$418,6,FALSE),0)</f>
        <v>11</v>
      </c>
      <c r="AR89" s="55">
        <v>0</v>
      </c>
      <c r="AS89" s="55">
        <v>0</v>
      </c>
      <c r="AT89" s="55">
        <v>0</v>
      </c>
      <c r="AU89" s="55">
        <v>0</v>
      </c>
      <c r="AV89" s="55">
        <v>0</v>
      </c>
      <c r="AW89" s="55"/>
      <c r="AX89" s="55"/>
      <c r="AY89" s="56">
        <f t="shared" si="46"/>
        <v>3.4</v>
      </c>
      <c r="AZ89" s="55"/>
      <c r="BA89" s="56">
        <v>4.666666666666667</v>
      </c>
      <c r="BB89" s="41">
        <f t="shared" si="47"/>
        <v>-0.27142857142857146</v>
      </c>
      <c r="BC89" s="13"/>
      <c r="BD89" s="35"/>
      <c r="BE89" s="13"/>
      <c r="BF89" s="16"/>
      <c r="BG89" s="17">
        <f t="shared" si="38"/>
        <v>0</v>
      </c>
      <c r="BH89" s="16">
        <f>IFERROR(IF(F89=1,IF(BC89&lt;AY89*3,AY89*3-BC89,0),IF(BC89&lt;AY89,AY89-BC89,0)),"")</f>
        <v>10.199999999999999</v>
      </c>
    </row>
    <row r="90" spans="1:60" s="21" customFormat="1" ht="12.75" customHeight="1" x14ac:dyDescent="0.2">
      <c r="A90" s="51" t="s">
        <v>462</v>
      </c>
      <c r="B90" s="51" t="s">
        <v>1077</v>
      </c>
      <c r="C90" s="66" t="s">
        <v>1803</v>
      </c>
      <c r="D90" s="52" t="s">
        <v>745</v>
      </c>
      <c r="E90" s="52" t="s">
        <v>780</v>
      </c>
      <c r="F90" s="53">
        <f>IFERROR(VLOOKUP(E90,Fornecedores!$A$2:$B$2700,2,FALSE),"")</f>
        <v>2</v>
      </c>
      <c r="G90" s="52" t="s">
        <v>463</v>
      </c>
      <c r="H90" s="54"/>
      <c r="I90" s="55">
        <f t="shared" si="42"/>
        <v>3</v>
      </c>
      <c r="J90" s="55">
        <v>0</v>
      </c>
      <c r="K90" s="55">
        <v>3</v>
      </c>
      <c r="L90" s="55">
        <v>0</v>
      </c>
      <c r="M90" s="55">
        <v>0</v>
      </c>
      <c r="N90" s="55">
        <f t="shared" si="43"/>
        <v>1</v>
      </c>
      <c r="O90" s="55">
        <v>0</v>
      </c>
      <c r="P90" s="55">
        <v>1</v>
      </c>
      <c r="Q90" s="55">
        <v>0</v>
      </c>
      <c r="R90" s="55">
        <f t="shared" si="44"/>
        <v>2</v>
      </c>
      <c r="S90" s="55">
        <v>0</v>
      </c>
      <c r="T90" s="55">
        <v>2</v>
      </c>
      <c r="U90" s="55">
        <v>0</v>
      </c>
      <c r="V90" s="55">
        <v>7</v>
      </c>
      <c r="W90" s="53">
        <v>0</v>
      </c>
      <c r="X90" s="53">
        <v>7</v>
      </c>
      <c r="Y90" s="55">
        <v>0</v>
      </c>
      <c r="Z90" s="55">
        <v>1</v>
      </c>
      <c r="AA90" s="53">
        <v>0</v>
      </c>
      <c r="AB90" s="53">
        <v>1</v>
      </c>
      <c r="AC90" s="55">
        <v>0</v>
      </c>
      <c r="AD90" s="55">
        <f t="shared" si="45"/>
        <v>4</v>
      </c>
      <c r="AE90" s="53">
        <v>0</v>
      </c>
      <c r="AF90" s="55">
        <v>4</v>
      </c>
      <c r="AG90" s="55">
        <v>0</v>
      </c>
      <c r="AH90" s="55">
        <f t="shared" si="37"/>
        <v>5</v>
      </c>
      <c r="AI90" s="55">
        <v>0</v>
      </c>
      <c r="AJ90" s="55">
        <v>5</v>
      </c>
      <c r="AK90" s="55">
        <v>0</v>
      </c>
      <c r="AL90" s="55">
        <f t="shared" si="39"/>
        <v>17</v>
      </c>
      <c r="AM90" s="55">
        <v>1</v>
      </c>
      <c r="AN90" s="55">
        <v>16</v>
      </c>
      <c r="AO90" s="55">
        <v>0</v>
      </c>
      <c r="AP90" s="55">
        <f t="shared" si="40"/>
        <v>11</v>
      </c>
      <c r="AQ90" s="55">
        <f>IFERROR(VLOOKUP(A90,[1]SIIMPLES!$A$2:$F$418,6,FALSE),0)</f>
        <v>0</v>
      </c>
      <c r="AR90" s="55">
        <v>11</v>
      </c>
      <c r="AS90" s="55">
        <v>13</v>
      </c>
      <c r="AT90" s="55">
        <v>0</v>
      </c>
      <c r="AU90" s="55">
        <v>13</v>
      </c>
      <c r="AV90" s="55">
        <v>0</v>
      </c>
      <c r="AW90" s="55"/>
      <c r="AX90" s="55"/>
      <c r="AY90" s="56">
        <f t="shared" si="46"/>
        <v>6.4</v>
      </c>
      <c r="AZ90" s="55"/>
      <c r="BA90" s="56">
        <v>7.666666666666667</v>
      </c>
      <c r="BB90" s="41">
        <f t="shared" si="47"/>
        <v>-0.16521739130434776</v>
      </c>
      <c r="BC90" s="13"/>
      <c r="BD90" s="35"/>
      <c r="BE90" s="13"/>
      <c r="BF90" s="16"/>
      <c r="BG90" s="17">
        <f t="shared" si="38"/>
        <v>0</v>
      </c>
      <c r="BH90" s="16">
        <f>IFERROR(IF(F90=1,IF(BC90&lt;AY90*3,AY90*3-BC90,0),IF(BC90&lt;AY90,AY90-BC90,0)),"")</f>
        <v>6.4</v>
      </c>
    </row>
    <row r="91" spans="1:60" s="21" customFormat="1" ht="12.75" customHeight="1" x14ac:dyDescent="0.2">
      <c r="A91" s="51" t="s">
        <v>313</v>
      </c>
      <c r="B91" s="51" t="s">
        <v>1077</v>
      </c>
      <c r="C91" s="66" t="s">
        <v>1803</v>
      </c>
      <c r="D91" s="52" t="s">
        <v>745</v>
      </c>
      <c r="E91" s="52" t="s">
        <v>780</v>
      </c>
      <c r="F91" s="53">
        <f>IFERROR(VLOOKUP(E91,Fornecedores!$A$2:$B$2700,2,FALSE),"")</f>
        <v>2</v>
      </c>
      <c r="G91" s="52" t="s">
        <v>314</v>
      </c>
      <c r="H91" s="54"/>
      <c r="I91" s="55">
        <f t="shared" si="42"/>
        <v>3</v>
      </c>
      <c r="J91" s="55">
        <v>0</v>
      </c>
      <c r="K91" s="55">
        <v>3</v>
      </c>
      <c r="L91" s="55">
        <v>0</v>
      </c>
      <c r="M91" s="55">
        <v>0</v>
      </c>
      <c r="N91" s="55">
        <f t="shared" si="43"/>
        <v>1</v>
      </c>
      <c r="O91" s="55">
        <v>0</v>
      </c>
      <c r="P91" s="55">
        <v>1</v>
      </c>
      <c r="Q91" s="55">
        <v>0</v>
      </c>
      <c r="R91" s="55">
        <f t="shared" si="44"/>
        <v>2</v>
      </c>
      <c r="S91" s="55">
        <v>0</v>
      </c>
      <c r="T91" s="55">
        <v>2</v>
      </c>
      <c r="U91" s="55">
        <v>0</v>
      </c>
      <c r="V91" s="55">
        <v>7</v>
      </c>
      <c r="W91" s="53">
        <v>0</v>
      </c>
      <c r="X91" s="53">
        <v>7</v>
      </c>
      <c r="Y91" s="55">
        <v>0</v>
      </c>
      <c r="Z91" s="55">
        <v>1</v>
      </c>
      <c r="AA91" s="53">
        <v>0</v>
      </c>
      <c r="AB91" s="53">
        <v>1</v>
      </c>
      <c r="AC91" s="55">
        <v>0</v>
      </c>
      <c r="AD91" s="55">
        <f t="shared" si="45"/>
        <v>4</v>
      </c>
      <c r="AE91" s="53">
        <v>0</v>
      </c>
      <c r="AF91" s="55">
        <v>4</v>
      </c>
      <c r="AG91" s="55">
        <v>0</v>
      </c>
      <c r="AH91" s="55">
        <f t="shared" si="37"/>
        <v>5</v>
      </c>
      <c r="AI91" s="55">
        <v>0</v>
      </c>
      <c r="AJ91" s="55">
        <v>5</v>
      </c>
      <c r="AK91" s="55">
        <v>0</v>
      </c>
      <c r="AL91" s="55">
        <f t="shared" si="39"/>
        <v>17</v>
      </c>
      <c r="AM91" s="55">
        <v>1</v>
      </c>
      <c r="AN91" s="55">
        <v>16</v>
      </c>
      <c r="AO91" s="55">
        <v>0</v>
      </c>
      <c r="AP91" s="55">
        <f t="shared" si="40"/>
        <v>11</v>
      </c>
      <c r="AQ91" s="55">
        <f>IFERROR(VLOOKUP(A91,[1]SIIMPLES!$A$2:$F$418,6,FALSE),0)</f>
        <v>0</v>
      </c>
      <c r="AR91" s="55">
        <v>11</v>
      </c>
      <c r="AS91" s="55">
        <v>13</v>
      </c>
      <c r="AT91" s="55">
        <v>0</v>
      </c>
      <c r="AU91" s="55">
        <v>13</v>
      </c>
      <c r="AV91" s="55">
        <v>0</v>
      </c>
      <c r="AW91" s="55"/>
      <c r="AX91" s="55"/>
      <c r="AY91" s="56">
        <f t="shared" si="46"/>
        <v>6.4</v>
      </c>
      <c r="AZ91" s="55"/>
      <c r="BA91" s="56">
        <v>8</v>
      </c>
      <c r="BB91" s="41">
        <f t="shared" ref="BB91:BB137" si="48">IFERROR(AY91/BA91-1,"")</f>
        <v>-0.19999999999999996</v>
      </c>
      <c r="BC91" s="13"/>
      <c r="BD91" s="35"/>
      <c r="BE91" s="13"/>
      <c r="BF91" s="16"/>
      <c r="BG91" s="17">
        <f t="shared" si="38"/>
        <v>0</v>
      </c>
      <c r="BH91" s="16">
        <f>ROUND(IFERROR(IF(F91=1,IF(BC91&lt;AY91*3,AY91*3-BC91,0),IF(BC91&lt;AY91,AY91*0.6-BC91,0)),""),0)</f>
        <v>4</v>
      </c>
    </row>
    <row r="92" spans="1:60" s="21" customFormat="1" ht="12.75" customHeight="1" x14ac:dyDescent="0.2">
      <c r="A92" s="51">
        <v>772007</v>
      </c>
      <c r="B92" s="51"/>
      <c r="C92" s="66" t="s">
        <v>1803</v>
      </c>
      <c r="D92" s="52" t="s">
        <v>728</v>
      </c>
      <c r="E92" s="65" t="s">
        <v>780</v>
      </c>
      <c r="F92" s="53">
        <f>IFERROR(VLOOKUP(E92,Fornecedores!$A$2:$B$2700,2,FALSE),"")</f>
        <v>2</v>
      </c>
      <c r="G92" s="52" t="s">
        <v>1566</v>
      </c>
      <c r="H92" s="57"/>
      <c r="I92" s="55">
        <f t="shared" si="42"/>
        <v>9</v>
      </c>
      <c r="J92" s="55">
        <v>1</v>
      </c>
      <c r="K92" s="55">
        <v>8</v>
      </c>
      <c r="L92" s="55">
        <v>0</v>
      </c>
      <c r="M92" s="55">
        <v>0</v>
      </c>
      <c r="N92" s="55">
        <f t="shared" si="43"/>
        <v>4</v>
      </c>
      <c r="O92" s="55">
        <v>1</v>
      </c>
      <c r="P92" s="55">
        <v>3</v>
      </c>
      <c r="Q92" s="55">
        <v>0</v>
      </c>
      <c r="R92" s="55">
        <f t="shared" si="44"/>
        <v>12</v>
      </c>
      <c r="S92" s="55">
        <v>2</v>
      </c>
      <c r="T92" s="55">
        <v>10</v>
      </c>
      <c r="U92" s="55">
        <v>0</v>
      </c>
      <c r="V92" s="55">
        <v>7</v>
      </c>
      <c r="W92" s="53">
        <v>1</v>
      </c>
      <c r="X92" s="53">
        <v>6</v>
      </c>
      <c r="Y92" s="55">
        <v>0</v>
      </c>
      <c r="Z92" s="55">
        <v>5</v>
      </c>
      <c r="AA92" s="53">
        <v>0</v>
      </c>
      <c r="AB92" s="53">
        <v>5</v>
      </c>
      <c r="AC92" s="55">
        <v>0</v>
      </c>
      <c r="AD92" s="55">
        <f t="shared" si="45"/>
        <v>8</v>
      </c>
      <c r="AE92" s="53">
        <v>1</v>
      </c>
      <c r="AF92" s="55">
        <v>7</v>
      </c>
      <c r="AG92" s="55">
        <v>0</v>
      </c>
      <c r="AH92" s="55">
        <f t="shared" si="37"/>
        <v>5</v>
      </c>
      <c r="AI92" s="55">
        <v>0</v>
      </c>
      <c r="AJ92" s="55">
        <v>5</v>
      </c>
      <c r="AK92" s="55">
        <v>0</v>
      </c>
      <c r="AL92" s="55">
        <f t="shared" si="39"/>
        <v>7</v>
      </c>
      <c r="AM92" s="55">
        <v>3</v>
      </c>
      <c r="AN92" s="55">
        <v>4</v>
      </c>
      <c r="AO92" s="55">
        <v>0</v>
      </c>
      <c r="AP92" s="55">
        <f t="shared" si="40"/>
        <v>10</v>
      </c>
      <c r="AQ92" s="55">
        <f>IFERROR(VLOOKUP(A92,[1]SIIMPLES!$A$2:$F$418,6,FALSE),0)</f>
        <v>1</v>
      </c>
      <c r="AR92" s="55">
        <v>9</v>
      </c>
      <c r="AS92" s="55">
        <v>8</v>
      </c>
      <c r="AT92" s="55">
        <v>1</v>
      </c>
      <c r="AU92" s="55">
        <v>5</v>
      </c>
      <c r="AV92" s="55">
        <v>2</v>
      </c>
      <c r="AW92" s="57"/>
      <c r="AX92" s="55"/>
      <c r="AY92" s="56">
        <f t="shared" si="46"/>
        <v>7.5</v>
      </c>
      <c r="AZ92" s="55"/>
      <c r="BA92" s="56">
        <v>18</v>
      </c>
      <c r="BB92" s="41">
        <f t="shared" si="48"/>
        <v>-0.58333333333333326</v>
      </c>
      <c r="BC92" s="13"/>
      <c r="BD92" s="35"/>
      <c r="BE92" s="13"/>
      <c r="BF92" s="16">
        <f>SUM(BC92:BE92)</f>
        <v>0</v>
      </c>
      <c r="BG92" s="17">
        <f t="shared" si="38"/>
        <v>0</v>
      </c>
      <c r="BH92" s="16">
        <f t="shared" ref="BH92:BH98" si="49">IFERROR(IF(F92=1,IF(BC92&lt;AY92*3,AY92*3-BC92,0),IF(BC92&lt;AY92,AY92-BC92,0)),"")</f>
        <v>7.5</v>
      </c>
    </row>
    <row r="93" spans="1:60" s="21" customFormat="1" ht="12.75" customHeight="1" x14ac:dyDescent="0.2">
      <c r="A93" s="51">
        <v>772008</v>
      </c>
      <c r="B93" s="51"/>
      <c r="C93" s="66" t="s">
        <v>1803</v>
      </c>
      <c r="D93" s="52" t="s">
        <v>728</v>
      </c>
      <c r="E93" s="65" t="s">
        <v>780</v>
      </c>
      <c r="F93" s="53">
        <f>IFERROR(VLOOKUP(E93,Fornecedores!$A$2:$B$2700,2,FALSE),"")</f>
        <v>2</v>
      </c>
      <c r="G93" s="52" t="s">
        <v>1563</v>
      </c>
      <c r="H93" s="57"/>
      <c r="I93" s="55">
        <f t="shared" si="42"/>
        <v>14</v>
      </c>
      <c r="J93" s="55">
        <v>6</v>
      </c>
      <c r="K93" s="55">
        <v>8</v>
      </c>
      <c r="L93" s="55">
        <v>0</v>
      </c>
      <c r="M93" s="55">
        <v>0</v>
      </c>
      <c r="N93" s="55">
        <f t="shared" si="43"/>
        <v>6</v>
      </c>
      <c r="O93" s="55">
        <v>3</v>
      </c>
      <c r="P93" s="55">
        <v>3</v>
      </c>
      <c r="Q93" s="55">
        <v>0</v>
      </c>
      <c r="R93" s="55">
        <f t="shared" si="44"/>
        <v>20</v>
      </c>
      <c r="S93" s="55">
        <v>10</v>
      </c>
      <c r="T93" s="55">
        <v>10</v>
      </c>
      <c r="U93" s="55">
        <v>0</v>
      </c>
      <c r="V93" s="55">
        <v>9</v>
      </c>
      <c r="W93" s="53">
        <v>3</v>
      </c>
      <c r="X93" s="53">
        <v>6</v>
      </c>
      <c r="Y93" s="55">
        <v>0</v>
      </c>
      <c r="Z93" s="55">
        <v>5</v>
      </c>
      <c r="AA93" s="53">
        <v>0</v>
      </c>
      <c r="AB93" s="53">
        <v>5</v>
      </c>
      <c r="AC93" s="55">
        <v>0</v>
      </c>
      <c r="AD93" s="55">
        <f t="shared" si="45"/>
        <v>8</v>
      </c>
      <c r="AE93" s="53">
        <v>1</v>
      </c>
      <c r="AF93" s="55">
        <v>7</v>
      </c>
      <c r="AG93" s="55">
        <v>0</v>
      </c>
      <c r="AH93" s="55">
        <f t="shared" ref="AH93:AH109" si="50">SUM(AI93:AK93)</f>
        <v>5</v>
      </c>
      <c r="AI93" s="55">
        <v>0</v>
      </c>
      <c r="AJ93" s="55">
        <v>5</v>
      </c>
      <c r="AK93" s="55">
        <v>0</v>
      </c>
      <c r="AL93" s="55">
        <f t="shared" si="39"/>
        <v>4</v>
      </c>
      <c r="AM93" s="55" t="s">
        <v>1912</v>
      </c>
      <c r="AN93" s="55">
        <v>4</v>
      </c>
      <c r="AO93" s="55">
        <v>0</v>
      </c>
      <c r="AP93" s="55">
        <f t="shared" si="40"/>
        <v>10</v>
      </c>
      <c r="AQ93" s="55">
        <f>IFERROR(VLOOKUP(A93,[1]SIIMPLES!$A$2:$F$418,6,FALSE),0)</f>
        <v>1</v>
      </c>
      <c r="AR93" s="55">
        <v>9</v>
      </c>
      <c r="AS93" s="55">
        <v>7</v>
      </c>
      <c r="AT93" s="55">
        <v>0</v>
      </c>
      <c r="AU93" s="55">
        <v>5</v>
      </c>
      <c r="AV93" s="55">
        <v>2</v>
      </c>
      <c r="AW93" s="57"/>
      <c r="AX93" s="55"/>
      <c r="AY93" s="56">
        <f t="shared" si="46"/>
        <v>8.8000000000000007</v>
      </c>
      <c r="AZ93" s="55"/>
      <c r="BA93" s="56">
        <v>17</v>
      </c>
      <c r="BB93" s="41">
        <f t="shared" si="48"/>
        <v>-0.48235294117647054</v>
      </c>
      <c r="BC93" s="13"/>
      <c r="BD93" s="35"/>
      <c r="BE93" s="13"/>
      <c r="BF93" s="16"/>
      <c r="BG93" s="17">
        <f t="shared" si="38"/>
        <v>0</v>
      </c>
      <c r="BH93" s="16">
        <f t="shared" si="49"/>
        <v>8.8000000000000007</v>
      </c>
    </row>
    <row r="94" spans="1:60" s="21" customFormat="1" ht="12.75" customHeight="1" x14ac:dyDescent="0.2">
      <c r="A94" s="51">
        <v>112056</v>
      </c>
      <c r="B94" s="51" t="s">
        <v>1077</v>
      </c>
      <c r="C94" s="66" t="s">
        <v>1803</v>
      </c>
      <c r="D94" s="52" t="s">
        <v>728</v>
      </c>
      <c r="E94" s="65" t="s">
        <v>780</v>
      </c>
      <c r="F94" s="53">
        <f>IFERROR(VLOOKUP(E94,Fornecedores!$A$2:$B$2700,2,FALSE),"")</f>
        <v>2</v>
      </c>
      <c r="G94" s="52" t="s">
        <v>560</v>
      </c>
      <c r="H94" s="57"/>
      <c r="I94" s="55">
        <f t="shared" si="42"/>
        <v>1</v>
      </c>
      <c r="J94" s="55">
        <v>0</v>
      </c>
      <c r="K94" s="55">
        <v>1</v>
      </c>
      <c r="L94" s="55">
        <v>0</v>
      </c>
      <c r="M94" s="55">
        <v>0</v>
      </c>
      <c r="N94" s="55">
        <f t="shared" si="43"/>
        <v>1</v>
      </c>
      <c r="O94" s="55">
        <v>0</v>
      </c>
      <c r="P94" s="55">
        <v>1</v>
      </c>
      <c r="Q94" s="55">
        <v>0</v>
      </c>
      <c r="R94" s="55">
        <f t="shared" si="44"/>
        <v>6</v>
      </c>
      <c r="S94" s="55">
        <v>0</v>
      </c>
      <c r="T94" s="55">
        <v>1</v>
      </c>
      <c r="U94" s="55">
        <v>5</v>
      </c>
      <c r="V94" s="55">
        <v>13</v>
      </c>
      <c r="W94" s="53">
        <v>0</v>
      </c>
      <c r="X94" s="53">
        <v>1</v>
      </c>
      <c r="Y94" s="55">
        <v>12</v>
      </c>
      <c r="Z94" s="55">
        <v>1</v>
      </c>
      <c r="AA94" s="53">
        <v>0</v>
      </c>
      <c r="AB94" s="53">
        <v>1</v>
      </c>
      <c r="AC94" s="55">
        <v>0</v>
      </c>
      <c r="AD94" s="55">
        <f t="shared" si="45"/>
        <v>8</v>
      </c>
      <c r="AE94" s="53">
        <v>1</v>
      </c>
      <c r="AF94" s="55">
        <v>1</v>
      </c>
      <c r="AG94" s="55">
        <v>6</v>
      </c>
      <c r="AH94" s="55">
        <f t="shared" si="50"/>
        <v>2</v>
      </c>
      <c r="AI94" s="55">
        <v>1</v>
      </c>
      <c r="AJ94" s="55">
        <v>1</v>
      </c>
      <c r="AK94" s="55">
        <v>0</v>
      </c>
      <c r="AL94" s="55">
        <f t="shared" si="39"/>
        <v>6</v>
      </c>
      <c r="AM94" s="55" t="s">
        <v>1912</v>
      </c>
      <c r="AN94" s="55">
        <v>0</v>
      </c>
      <c r="AO94" s="55">
        <v>6</v>
      </c>
      <c r="AP94" s="55">
        <f t="shared" si="40"/>
        <v>10</v>
      </c>
      <c r="AQ94" s="55">
        <f>IFERROR(VLOOKUP(A94,[1]SIIMPLES!$A$2:$F$418,6,FALSE),0)</f>
        <v>10</v>
      </c>
      <c r="AR94" s="55">
        <v>0</v>
      </c>
      <c r="AS94" s="55">
        <v>34</v>
      </c>
      <c r="AT94" s="55">
        <v>18</v>
      </c>
      <c r="AU94" s="55">
        <v>0</v>
      </c>
      <c r="AV94" s="55">
        <v>16</v>
      </c>
      <c r="AW94" s="55"/>
      <c r="AX94" s="55"/>
      <c r="AY94" s="56">
        <f t="shared" si="46"/>
        <v>8.1999999999999993</v>
      </c>
      <c r="AZ94" s="55"/>
      <c r="BA94" s="56">
        <v>19.833333333333332</v>
      </c>
      <c r="BB94" s="41">
        <f t="shared" si="48"/>
        <v>-0.58655462184873952</v>
      </c>
      <c r="BC94" s="13"/>
      <c r="BD94" s="35"/>
      <c r="BE94" s="13"/>
      <c r="BF94" s="16"/>
      <c r="BG94" s="17">
        <f t="shared" ref="BG94:BG126" si="51">IFERROR(BC94/AY94,"0")</f>
        <v>0</v>
      </c>
      <c r="BH94" s="16">
        <f t="shared" si="49"/>
        <v>8.1999999999999993</v>
      </c>
    </row>
    <row r="95" spans="1:60" s="21" customFormat="1" ht="12.75" customHeight="1" x14ac:dyDescent="0.2">
      <c r="A95" s="51">
        <v>226103</v>
      </c>
      <c r="B95" s="51" t="s">
        <v>1077</v>
      </c>
      <c r="C95" s="66" t="s">
        <v>1803</v>
      </c>
      <c r="D95" s="65" t="s">
        <v>1478</v>
      </c>
      <c r="E95" s="67" t="s">
        <v>727</v>
      </c>
      <c r="F95" s="53">
        <f>IFERROR(VLOOKUP(E95,Fornecedores!$A$2:$B$2700,2,FALSE),"")</f>
        <v>1</v>
      </c>
      <c r="G95" s="52" t="s">
        <v>1769</v>
      </c>
      <c r="H95" s="57"/>
      <c r="I95" s="55">
        <f t="shared" si="42"/>
        <v>11</v>
      </c>
      <c r="J95" s="55">
        <v>11</v>
      </c>
      <c r="K95" s="55">
        <v>0</v>
      </c>
      <c r="L95" s="55">
        <v>0</v>
      </c>
      <c r="M95" s="55">
        <v>0</v>
      </c>
      <c r="N95" s="55">
        <f t="shared" si="43"/>
        <v>11</v>
      </c>
      <c r="O95" s="55">
        <v>11</v>
      </c>
      <c r="P95" s="55">
        <v>0</v>
      </c>
      <c r="Q95" s="55">
        <v>0</v>
      </c>
      <c r="R95" s="55">
        <f t="shared" si="44"/>
        <v>7</v>
      </c>
      <c r="S95" s="55">
        <v>7</v>
      </c>
      <c r="T95" s="55">
        <v>0</v>
      </c>
      <c r="U95" s="55">
        <v>0</v>
      </c>
      <c r="V95" s="55">
        <v>15</v>
      </c>
      <c r="W95" s="53">
        <v>15</v>
      </c>
      <c r="X95" s="53">
        <v>0</v>
      </c>
      <c r="Y95" s="55">
        <v>0</v>
      </c>
      <c r="Z95" s="55">
        <v>9</v>
      </c>
      <c r="AA95" s="53">
        <v>9</v>
      </c>
      <c r="AB95" s="53">
        <v>0</v>
      </c>
      <c r="AC95" s="55">
        <v>0</v>
      </c>
      <c r="AD95" s="55">
        <f t="shared" si="45"/>
        <v>16</v>
      </c>
      <c r="AE95" s="53">
        <v>16</v>
      </c>
      <c r="AF95" s="55">
        <v>0</v>
      </c>
      <c r="AG95" s="55">
        <v>0</v>
      </c>
      <c r="AH95" s="55">
        <f t="shared" si="50"/>
        <v>18</v>
      </c>
      <c r="AI95" s="55">
        <v>18</v>
      </c>
      <c r="AJ95" s="55">
        <v>0</v>
      </c>
      <c r="AK95" s="55">
        <v>0</v>
      </c>
      <c r="AL95" s="55">
        <f t="shared" si="39"/>
        <v>15</v>
      </c>
      <c r="AM95" s="55">
        <v>15</v>
      </c>
      <c r="AN95" s="55">
        <v>0</v>
      </c>
      <c r="AO95" s="55">
        <v>0</v>
      </c>
      <c r="AP95" s="55">
        <f t="shared" si="40"/>
        <v>10</v>
      </c>
      <c r="AQ95" s="55">
        <f>IFERROR(VLOOKUP(A95,[1]SIIMPLES!$A$2:$F$418,6,FALSE),0)</f>
        <v>10</v>
      </c>
      <c r="AR95" s="55">
        <v>0</v>
      </c>
      <c r="AS95" s="55">
        <v>0</v>
      </c>
      <c r="AT95" s="55">
        <v>0</v>
      </c>
      <c r="AU95" s="55">
        <v>0</v>
      </c>
      <c r="AV95" s="55">
        <v>0</v>
      </c>
      <c r="AW95" s="55"/>
      <c r="AX95" s="55"/>
      <c r="AY95" s="56">
        <f t="shared" si="46"/>
        <v>11.2</v>
      </c>
      <c r="AZ95" s="55"/>
      <c r="BA95" s="56">
        <v>8.75</v>
      </c>
      <c r="BB95" s="41">
        <f t="shared" si="48"/>
        <v>0.28000000000000003</v>
      </c>
      <c r="BC95" s="13"/>
      <c r="BD95" s="35"/>
      <c r="BE95" s="13"/>
      <c r="BF95" s="16">
        <f>SUM(BC95:BE95)</f>
        <v>0</v>
      </c>
      <c r="BG95" s="17">
        <f t="shared" si="51"/>
        <v>0</v>
      </c>
      <c r="BH95" s="16">
        <f t="shared" si="49"/>
        <v>33.599999999999994</v>
      </c>
    </row>
    <row r="96" spans="1:60" s="21" customFormat="1" ht="12.75" customHeight="1" x14ac:dyDescent="0.2">
      <c r="A96" s="51" t="s">
        <v>809</v>
      </c>
      <c r="B96" s="51" t="s">
        <v>1077</v>
      </c>
      <c r="C96" s="66" t="s">
        <v>1803</v>
      </c>
      <c r="D96" s="52" t="s">
        <v>745</v>
      </c>
      <c r="E96" s="52" t="s">
        <v>780</v>
      </c>
      <c r="F96" s="53">
        <f>IFERROR(VLOOKUP(E96,Fornecedores!$A$2:$B$2700,2,FALSE),"")</f>
        <v>2</v>
      </c>
      <c r="G96" s="52" t="s">
        <v>169</v>
      </c>
      <c r="H96" s="54"/>
      <c r="I96" s="55">
        <f t="shared" si="42"/>
        <v>2</v>
      </c>
      <c r="J96" s="55">
        <v>0</v>
      </c>
      <c r="K96" s="55">
        <v>2</v>
      </c>
      <c r="L96" s="55">
        <v>0</v>
      </c>
      <c r="M96" s="55">
        <v>0</v>
      </c>
      <c r="N96" s="55">
        <f t="shared" si="43"/>
        <v>0</v>
      </c>
      <c r="O96" s="55">
        <v>0</v>
      </c>
      <c r="P96" s="55">
        <v>0</v>
      </c>
      <c r="Q96" s="55">
        <v>0</v>
      </c>
      <c r="R96" s="55">
        <f t="shared" si="44"/>
        <v>2</v>
      </c>
      <c r="S96" s="55">
        <v>0</v>
      </c>
      <c r="T96" s="55">
        <v>2</v>
      </c>
      <c r="U96" s="55">
        <v>0</v>
      </c>
      <c r="V96" s="55">
        <v>8</v>
      </c>
      <c r="W96" s="53">
        <v>0</v>
      </c>
      <c r="X96" s="53">
        <v>8</v>
      </c>
      <c r="Y96" s="55">
        <v>0</v>
      </c>
      <c r="Z96" s="55">
        <v>6</v>
      </c>
      <c r="AA96" s="53">
        <v>0</v>
      </c>
      <c r="AB96" s="53">
        <v>6</v>
      </c>
      <c r="AC96" s="55">
        <v>0</v>
      </c>
      <c r="AD96" s="55">
        <f t="shared" si="45"/>
        <v>4</v>
      </c>
      <c r="AE96" s="53">
        <v>0</v>
      </c>
      <c r="AF96" s="55">
        <v>4</v>
      </c>
      <c r="AG96" s="55">
        <v>0</v>
      </c>
      <c r="AH96" s="55">
        <f t="shared" si="50"/>
        <v>9</v>
      </c>
      <c r="AI96" s="55">
        <v>0</v>
      </c>
      <c r="AJ96" s="55">
        <v>9</v>
      </c>
      <c r="AK96" s="55">
        <v>0</v>
      </c>
      <c r="AL96" s="55">
        <f t="shared" si="39"/>
        <v>0</v>
      </c>
      <c r="AM96" s="55" t="s">
        <v>1912</v>
      </c>
      <c r="AN96" s="55">
        <v>0</v>
      </c>
      <c r="AO96" s="55">
        <v>0</v>
      </c>
      <c r="AP96" s="55">
        <f t="shared" si="40"/>
        <v>10</v>
      </c>
      <c r="AQ96" s="55">
        <f>IFERROR(VLOOKUP(A96,[1]SIIMPLES!$A$2:$F$418,6,FALSE),0)</f>
        <v>0</v>
      </c>
      <c r="AR96" s="55">
        <v>10</v>
      </c>
      <c r="AS96" s="55">
        <v>22</v>
      </c>
      <c r="AT96" s="55">
        <v>11</v>
      </c>
      <c r="AU96" s="55">
        <v>11</v>
      </c>
      <c r="AV96" s="55">
        <v>0</v>
      </c>
      <c r="AW96" s="55"/>
      <c r="AX96" s="55"/>
      <c r="AY96" s="56">
        <f t="shared" si="46"/>
        <v>6.3</v>
      </c>
      <c r="AZ96" s="55"/>
      <c r="BA96" s="56">
        <v>4.333333333333333</v>
      </c>
      <c r="BB96" s="41">
        <f t="shared" si="48"/>
        <v>0.45384615384615401</v>
      </c>
      <c r="BC96" s="13"/>
      <c r="BD96" s="35"/>
      <c r="BE96" s="13"/>
      <c r="BF96" s="16"/>
      <c r="BG96" s="17">
        <f t="shared" si="51"/>
        <v>0</v>
      </c>
      <c r="BH96" s="16">
        <f t="shared" si="49"/>
        <v>6.3</v>
      </c>
    </row>
    <row r="97" spans="1:60" s="21" customFormat="1" ht="12.75" customHeight="1" x14ac:dyDescent="0.2">
      <c r="A97" s="68" t="s">
        <v>1417</v>
      </c>
      <c r="B97" s="51"/>
      <c r="C97" s="66" t="s">
        <v>1851</v>
      </c>
      <c r="D97" s="52" t="s">
        <v>1764</v>
      </c>
      <c r="E97" s="52" t="s">
        <v>741</v>
      </c>
      <c r="F97" s="53">
        <f>IFERROR(VLOOKUP(E97,Fornecedores!$A$2:$B$2700,2,FALSE),"")</f>
        <v>7</v>
      </c>
      <c r="G97" s="52" t="s">
        <v>1651</v>
      </c>
      <c r="H97" s="57"/>
      <c r="I97" s="55">
        <f t="shared" si="42"/>
        <v>0</v>
      </c>
      <c r="J97" s="55">
        <v>0</v>
      </c>
      <c r="K97" s="55">
        <v>0</v>
      </c>
      <c r="L97" s="55">
        <v>0</v>
      </c>
      <c r="M97" s="55">
        <v>0</v>
      </c>
      <c r="N97" s="55">
        <f t="shared" si="43"/>
        <v>0</v>
      </c>
      <c r="O97" s="55">
        <v>0</v>
      </c>
      <c r="P97" s="55">
        <v>0</v>
      </c>
      <c r="Q97" s="55">
        <v>0</v>
      </c>
      <c r="R97" s="55">
        <f t="shared" si="44"/>
        <v>1</v>
      </c>
      <c r="S97" s="55">
        <v>1</v>
      </c>
      <c r="T97" s="55">
        <v>0</v>
      </c>
      <c r="U97" s="55">
        <v>0</v>
      </c>
      <c r="V97" s="55">
        <v>17</v>
      </c>
      <c r="W97" s="53">
        <v>6</v>
      </c>
      <c r="X97" s="53">
        <v>0</v>
      </c>
      <c r="Y97" s="55">
        <v>11</v>
      </c>
      <c r="Z97" s="55">
        <v>2</v>
      </c>
      <c r="AA97" s="53">
        <v>0</v>
      </c>
      <c r="AB97" s="53">
        <v>0</v>
      </c>
      <c r="AC97" s="55">
        <v>2</v>
      </c>
      <c r="AD97" s="55">
        <f t="shared" si="45"/>
        <v>17</v>
      </c>
      <c r="AE97" s="53">
        <v>17</v>
      </c>
      <c r="AF97" s="55">
        <v>0</v>
      </c>
      <c r="AG97" s="55">
        <v>0</v>
      </c>
      <c r="AH97" s="55">
        <f t="shared" si="50"/>
        <v>7</v>
      </c>
      <c r="AI97" s="55">
        <v>7</v>
      </c>
      <c r="AJ97" s="55">
        <v>0</v>
      </c>
      <c r="AK97" s="55">
        <v>0</v>
      </c>
      <c r="AL97" s="55">
        <f t="shared" si="39"/>
        <v>16</v>
      </c>
      <c r="AM97" s="55">
        <v>16</v>
      </c>
      <c r="AN97" s="55">
        <v>0</v>
      </c>
      <c r="AO97" s="55">
        <v>0</v>
      </c>
      <c r="AP97" s="55">
        <f t="shared" si="40"/>
        <v>10</v>
      </c>
      <c r="AQ97" s="55">
        <f>IFERROR(VLOOKUP(A97,[1]SIIMPLES!$A$2:$F$418,6,FALSE),0)</f>
        <v>10</v>
      </c>
      <c r="AR97" s="55">
        <v>0</v>
      </c>
      <c r="AS97" s="55">
        <v>0</v>
      </c>
      <c r="AT97" s="55">
        <v>0</v>
      </c>
      <c r="AU97" s="55">
        <v>0</v>
      </c>
      <c r="AV97" s="55">
        <v>0</v>
      </c>
      <c r="AW97" s="57"/>
      <c r="AX97" s="55"/>
      <c r="AY97" s="56">
        <f t="shared" si="46"/>
        <v>7</v>
      </c>
      <c r="AZ97" s="55"/>
      <c r="BA97" s="56">
        <v>0</v>
      </c>
      <c r="BB97" s="41" t="str">
        <f t="shared" si="48"/>
        <v/>
      </c>
      <c r="BC97" s="13"/>
      <c r="BD97" s="35"/>
      <c r="BE97" s="13"/>
      <c r="BF97" s="16">
        <f>SUM(BC97:BE97)</f>
        <v>0</v>
      </c>
      <c r="BG97" s="17">
        <f t="shared" si="51"/>
        <v>0</v>
      </c>
      <c r="BH97" s="16">
        <f t="shared" si="49"/>
        <v>7</v>
      </c>
    </row>
    <row r="98" spans="1:60" s="21" customFormat="1" ht="12.75" customHeight="1" x14ac:dyDescent="0.2">
      <c r="A98" s="68" t="s">
        <v>1936</v>
      </c>
      <c r="B98" s="51"/>
      <c r="C98" s="66" t="str">
        <f>VLOOKUP(A98,[2]CMV!$A$1:$B$2115,2,FALSE)</f>
        <v>MOTO PEÇAS</v>
      </c>
      <c r="D98" s="52" t="str">
        <f>VLOOKUP(A98,[2]CMV!$A$1:$C$2115,3,FALSE)</f>
        <v>LONA DE FREIO MOTO</v>
      </c>
      <c r="E98" s="52" t="str">
        <f>VLOOKUP(A98,[2]CMV!$A$1:$E$2115,5,FALSE)</f>
        <v>FABRECK</v>
      </c>
      <c r="F98" s="53"/>
      <c r="G98" s="67" t="str">
        <f>VLOOKUP(A98,[2]CMV!$A$1:$F$2115,6,FALSE)</f>
        <v>LONA DE FREIO DIANTEIRO CG TITAN BIZ BROSS 125 TWISTER WEB</v>
      </c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5">
        <f t="shared" si="45"/>
        <v>5</v>
      </c>
      <c r="AE98" s="57"/>
      <c r="AF98" s="57"/>
      <c r="AG98" s="55">
        <v>5</v>
      </c>
      <c r="AH98" s="55">
        <f t="shared" si="50"/>
        <v>0</v>
      </c>
      <c r="AI98" s="55">
        <v>0</v>
      </c>
      <c r="AJ98" s="55">
        <v>0</v>
      </c>
      <c r="AK98" s="55">
        <v>0</v>
      </c>
      <c r="AL98" s="55">
        <f t="shared" si="39"/>
        <v>0</v>
      </c>
      <c r="AM98" s="55" t="s">
        <v>1912</v>
      </c>
      <c r="AN98" s="55">
        <v>0</v>
      </c>
      <c r="AO98" s="55">
        <v>0</v>
      </c>
      <c r="AP98" s="55">
        <f t="shared" si="40"/>
        <v>10</v>
      </c>
      <c r="AQ98" s="55">
        <f>IFERROR(VLOOKUP(A98,[1]SIIMPLES!$A$2:$F$418,6,FALSE),0)</f>
        <v>10</v>
      </c>
      <c r="AR98" s="55">
        <v>0</v>
      </c>
      <c r="AS98" s="55">
        <v>5</v>
      </c>
      <c r="AT98" s="55">
        <v>5</v>
      </c>
      <c r="AU98" s="55">
        <v>0</v>
      </c>
      <c r="AV98" s="55">
        <v>0</v>
      </c>
      <c r="AW98" s="57"/>
      <c r="AX98" s="57"/>
      <c r="AY98" s="56">
        <f t="shared" si="46"/>
        <v>4</v>
      </c>
      <c r="AZ98" s="57"/>
      <c r="BA98" s="57"/>
      <c r="BB98" s="41" t="str">
        <f t="shared" si="48"/>
        <v/>
      </c>
      <c r="BC98" s="13"/>
      <c r="BD98" s="35"/>
      <c r="BE98" s="13"/>
      <c r="BF98" s="16"/>
      <c r="BG98" s="17">
        <f t="shared" si="51"/>
        <v>0</v>
      </c>
      <c r="BH98" s="16">
        <f t="shared" si="49"/>
        <v>4</v>
      </c>
    </row>
    <row r="99" spans="1:60" s="21" customFormat="1" ht="12.75" customHeight="1" x14ac:dyDescent="0.2">
      <c r="A99" s="69">
        <v>2375</v>
      </c>
      <c r="B99" s="51"/>
      <c r="C99" s="66" t="s">
        <v>1803</v>
      </c>
      <c r="D99" s="65" t="s">
        <v>733</v>
      </c>
      <c r="E99" s="52" t="s">
        <v>730</v>
      </c>
      <c r="F99" s="53">
        <f>IFERROR(VLOOKUP(E99,Fornecedores!$A$2:$B$2700,2,FALSE),"")</f>
        <v>3</v>
      </c>
      <c r="G99" s="52" t="s">
        <v>1756</v>
      </c>
      <c r="H99" s="57"/>
      <c r="I99" s="55">
        <f t="shared" ref="I99:I109" si="52">SUM(J99:M99)</f>
        <v>0</v>
      </c>
      <c r="J99" s="57"/>
      <c r="K99" s="57"/>
      <c r="L99" s="57"/>
      <c r="M99" s="57"/>
      <c r="N99" s="55">
        <f t="shared" ref="N99:N109" si="53">SUM(O99:Q99)</f>
        <v>0</v>
      </c>
      <c r="O99" s="57"/>
      <c r="P99" s="57"/>
      <c r="Q99" s="57"/>
      <c r="R99" s="55">
        <f t="shared" ref="R99:R109" si="54">SUM(S99:U99)</f>
        <v>1</v>
      </c>
      <c r="S99" s="55">
        <v>1</v>
      </c>
      <c r="T99" s="55">
        <v>0</v>
      </c>
      <c r="U99" s="57"/>
      <c r="V99" s="55">
        <v>3</v>
      </c>
      <c r="W99" s="53">
        <v>3</v>
      </c>
      <c r="X99" s="53">
        <v>0</v>
      </c>
      <c r="Y99" s="55">
        <v>0</v>
      </c>
      <c r="Z99" s="55">
        <v>2</v>
      </c>
      <c r="AA99" s="53">
        <v>2</v>
      </c>
      <c r="AB99" s="53">
        <v>0</v>
      </c>
      <c r="AC99" s="55">
        <v>0</v>
      </c>
      <c r="AD99" s="55">
        <f t="shared" si="45"/>
        <v>17</v>
      </c>
      <c r="AE99" s="53">
        <v>17</v>
      </c>
      <c r="AF99" s="55">
        <v>0</v>
      </c>
      <c r="AG99" s="55">
        <v>0</v>
      </c>
      <c r="AH99" s="55">
        <f t="shared" si="50"/>
        <v>8</v>
      </c>
      <c r="AI99" s="55">
        <v>8</v>
      </c>
      <c r="AJ99" s="55">
        <v>0</v>
      </c>
      <c r="AK99" s="55">
        <v>0</v>
      </c>
      <c r="AL99" s="55">
        <f t="shared" ref="AL99:AL112" si="55">SUM(AM99:AO99)</f>
        <v>13</v>
      </c>
      <c r="AM99" s="55">
        <v>13</v>
      </c>
      <c r="AN99" s="55">
        <v>0</v>
      </c>
      <c r="AO99" s="55">
        <v>0</v>
      </c>
      <c r="AP99" s="55">
        <f t="shared" si="40"/>
        <v>9</v>
      </c>
      <c r="AQ99" s="55">
        <f>IFERROR(VLOOKUP(A99,[1]SIIMPLES!$A$2:$F$418,6,FALSE),0)</f>
        <v>9</v>
      </c>
      <c r="AR99" s="55">
        <v>0</v>
      </c>
      <c r="AS99" s="55">
        <v>0</v>
      </c>
      <c r="AT99" s="55">
        <v>0</v>
      </c>
      <c r="AU99" s="55">
        <v>0</v>
      </c>
      <c r="AV99" s="55">
        <v>0</v>
      </c>
      <c r="AW99" s="57"/>
      <c r="AX99" s="57"/>
      <c r="AY99" s="56">
        <f t="shared" si="46"/>
        <v>5.3</v>
      </c>
      <c r="AZ99" s="57"/>
      <c r="BA99" s="56" t="s">
        <v>1912</v>
      </c>
      <c r="BB99" s="41" t="str">
        <f t="shared" si="48"/>
        <v/>
      </c>
      <c r="BC99" s="13"/>
      <c r="BD99" s="35"/>
      <c r="BE99" s="13"/>
      <c r="BF99" s="16">
        <f>SUM(BC99:BE99)</f>
        <v>0</v>
      </c>
      <c r="BG99" s="17">
        <f t="shared" si="51"/>
        <v>0</v>
      </c>
      <c r="BH99" s="16">
        <f>ROUND(IFERROR(IF(F99=1,IF(BC99&lt;AY99*3,AY99*3-BC99,0),IF(BC99&lt;AY99,AY99*0.6-BC99,0)),""),0)</f>
        <v>3</v>
      </c>
    </row>
    <row r="100" spans="1:60" s="21" customFormat="1" ht="12.75" customHeight="1" x14ac:dyDescent="0.2">
      <c r="A100" s="51">
        <v>14099</v>
      </c>
      <c r="B100" s="51" t="s">
        <v>1077</v>
      </c>
      <c r="C100" s="66" t="s">
        <v>1803</v>
      </c>
      <c r="D100" s="52" t="s">
        <v>756</v>
      </c>
      <c r="E100" s="52" t="s">
        <v>750</v>
      </c>
      <c r="F100" s="53">
        <f>IFERROR(VLOOKUP(E100,Fornecedores!$A$2:$B$2700,2,FALSE),"")</f>
        <v>4</v>
      </c>
      <c r="G100" s="52" t="s">
        <v>574</v>
      </c>
      <c r="H100" s="54"/>
      <c r="I100" s="55">
        <f t="shared" si="52"/>
        <v>13</v>
      </c>
      <c r="J100" s="55">
        <v>0</v>
      </c>
      <c r="K100" s="55">
        <v>13</v>
      </c>
      <c r="L100" s="55">
        <v>0</v>
      </c>
      <c r="M100" s="55">
        <v>0</v>
      </c>
      <c r="N100" s="55">
        <f t="shared" si="53"/>
        <v>10</v>
      </c>
      <c r="O100" s="55">
        <v>0</v>
      </c>
      <c r="P100" s="55">
        <v>10</v>
      </c>
      <c r="Q100" s="55">
        <v>0</v>
      </c>
      <c r="R100" s="55">
        <f t="shared" si="54"/>
        <v>3</v>
      </c>
      <c r="S100" s="55">
        <v>0</v>
      </c>
      <c r="T100" s="55">
        <v>3</v>
      </c>
      <c r="U100" s="55">
        <v>0</v>
      </c>
      <c r="V100" s="55">
        <v>4</v>
      </c>
      <c r="W100" s="53">
        <v>2</v>
      </c>
      <c r="X100" s="53">
        <v>2</v>
      </c>
      <c r="Y100" s="55">
        <v>0</v>
      </c>
      <c r="Z100" s="55">
        <v>2</v>
      </c>
      <c r="AA100" s="53">
        <v>0</v>
      </c>
      <c r="AB100" s="53">
        <v>2</v>
      </c>
      <c r="AC100" s="55">
        <v>0</v>
      </c>
      <c r="AD100" s="55">
        <f t="shared" si="45"/>
        <v>10</v>
      </c>
      <c r="AE100" s="53">
        <v>0</v>
      </c>
      <c r="AF100" s="55">
        <v>10</v>
      </c>
      <c r="AG100" s="55">
        <v>0</v>
      </c>
      <c r="AH100" s="55">
        <f t="shared" si="50"/>
        <v>6</v>
      </c>
      <c r="AI100" s="55">
        <v>0</v>
      </c>
      <c r="AJ100" s="55">
        <v>6</v>
      </c>
      <c r="AK100" s="55">
        <v>0</v>
      </c>
      <c r="AL100" s="55">
        <f t="shared" si="55"/>
        <v>8</v>
      </c>
      <c r="AM100" s="55" t="s">
        <v>1912</v>
      </c>
      <c r="AN100" s="55">
        <v>8</v>
      </c>
      <c r="AO100" s="55">
        <v>0</v>
      </c>
      <c r="AP100" s="55">
        <f t="shared" si="40"/>
        <v>9</v>
      </c>
      <c r="AQ100" s="55">
        <f>IFERROR(VLOOKUP(A100,[1]SIIMPLES!$A$2:$F$418,6,FALSE),0)</f>
        <v>0</v>
      </c>
      <c r="AR100" s="55">
        <v>9</v>
      </c>
      <c r="AS100" s="55">
        <v>11</v>
      </c>
      <c r="AT100" s="55">
        <v>7</v>
      </c>
      <c r="AU100" s="55">
        <v>4</v>
      </c>
      <c r="AV100" s="55">
        <v>0</v>
      </c>
      <c r="AW100" s="55"/>
      <c r="AX100" s="55"/>
      <c r="AY100" s="56">
        <f t="shared" si="46"/>
        <v>7.6</v>
      </c>
      <c r="AZ100" s="55"/>
      <c r="BA100" s="56">
        <v>21.833333333333332</v>
      </c>
      <c r="BB100" s="41">
        <f t="shared" si="48"/>
        <v>-0.65190839694656488</v>
      </c>
      <c r="BC100" s="13"/>
      <c r="BD100" s="35"/>
      <c r="BE100" s="13"/>
      <c r="BF100" s="16"/>
      <c r="BG100" s="17">
        <f t="shared" si="51"/>
        <v>0</v>
      </c>
      <c r="BH100" s="16">
        <f>IFERROR(IF(F100=1,IF(BC100&lt;AY100*3,AY100*3-BC100,0),IF(BC100&lt;AY100,AY100-BC100,0)),"")</f>
        <v>7.6</v>
      </c>
    </row>
    <row r="101" spans="1:60" s="21" customFormat="1" ht="12.75" customHeight="1" x14ac:dyDescent="0.2">
      <c r="A101" s="51">
        <v>66636</v>
      </c>
      <c r="B101" s="51" t="s">
        <v>1077</v>
      </c>
      <c r="C101" s="66" t="s">
        <v>1803</v>
      </c>
      <c r="D101" s="65" t="s">
        <v>737</v>
      </c>
      <c r="E101" s="67" t="s">
        <v>727</v>
      </c>
      <c r="F101" s="53">
        <f>IFERROR(VLOOKUP(E101,Fornecedores!$A$2:$B$2700,2,FALSE),"")</f>
        <v>1</v>
      </c>
      <c r="G101" s="52" t="s">
        <v>450</v>
      </c>
      <c r="H101" s="54"/>
      <c r="I101" s="55">
        <f t="shared" si="52"/>
        <v>10</v>
      </c>
      <c r="J101" s="55">
        <v>10</v>
      </c>
      <c r="K101" s="55">
        <v>0</v>
      </c>
      <c r="L101" s="55">
        <v>0</v>
      </c>
      <c r="M101" s="55">
        <v>0</v>
      </c>
      <c r="N101" s="55">
        <f t="shared" si="53"/>
        <v>6</v>
      </c>
      <c r="O101" s="55">
        <v>6</v>
      </c>
      <c r="P101" s="55">
        <v>0</v>
      </c>
      <c r="Q101" s="55">
        <v>0</v>
      </c>
      <c r="R101" s="55">
        <f t="shared" si="54"/>
        <v>10</v>
      </c>
      <c r="S101" s="55">
        <v>10</v>
      </c>
      <c r="T101" s="55">
        <v>0</v>
      </c>
      <c r="U101" s="55">
        <v>0</v>
      </c>
      <c r="V101" s="55">
        <v>12</v>
      </c>
      <c r="W101" s="53">
        <v>12</v>
      </c>
      <c r="X101" s="53">
        <v>0</v>
      </c>
      <c r="Y101" s="55">
        <v>0</v>
      </c>
      <c r="Z101" s="55">
        <v>10</v>
      </c>
      <c r="AA101" s="53">
        <v>10</v>
      </c>
      <c r="AB101" s="53">
        <v>0</v>
      </c>
      <c r="AC101" s="55">
        <v>0</v>
      </c>
      <c r="AD101" s="55">
        <f t="shared" si="45"/>
        <v>12</v>
      </c>
      <c r="AE101" s="53">
        <v>12</v>
      </c>
      <c r="AF101" s="55">
        <v>0</v>
      </c>
      <c r="AG101" s="55">
        <v>0</v>
      </c>
      <c r="AH101" s="55">
        <f t="shared" si="50"/>
        <v>4</v>
      </c>
      <c r="AI101" s="55">
        <v>4</v>
      </c>
      <c r="AJ101" s="55">
        <v>0</v>
      </c>
      <c r="AK101" s="55">
        <v>0</v>
      </c>
      <c r="AL101" s="55">
        <f t="shared" si="55"/>
        <v>6</v>
      </c>
      <c r="AM101" s="55">
        <v>6</v>
      </c>
      <c r="AN101" s="55">
        <v>0</v>
      </c>
      <c r="AO101" s="55">
        <v>0</v>
      </c>
      <c r="AP101" s="55">
        <f t="shared" si="40"/>
        <v>9</v>
      </c>
      <c r="AQ101" s="55">
        <f>IFERROR(VLOOKUP(A101,[1]SIIMPLES!$A$2:$F$418,6,FALSE),0)</f>
        <v>9</v>
      </c>
      <c r="AR101" s="55">
        <v>0</v>
      </c>
      <c r="AS101" s="55">
        <v>1</v>
      </c>
      <c r="AT101" s="55">
        <v>1</v>
      </c>
      <c r="AU101" s="55">
        <v>0</v>
      </c>
      <c r="AV101" s="55">
        <v>0</v>
      </c>
      <c r="AW101" s="55"/>
      <c r="AX101" s="55"/>
      <c r="AY101" s="56">
        <f t="shared" si="46"/>
        <v>8</v>
      </c>
      <c r="AZ101" s="55"/>
      <c r="BA101" s="56">
        <v>18.5</v>
      </c>
      <c r="BB101" s="41">
        <f t="shared" si="48"/>
        <v>-0.56756756756756754</v>
      </c>
      <c r="BC101" s="13"/>
      <c r="BD101" s="35"/>
      <c r="BE101" s="13"/>
      <c r="BF101" s="16"/>
      <c r="BG101" s="17">
        <f t="shared" si="51"/>
        <v>0</v>
      </c>
      <c r="BH101" s="16">
        <f>IFERROR(IF(F101=1,IF(BC101&lt;AY101*3,AY101*3-BC101,0),IF(BC101&lt;AY101,AY101-BC101,0)),"")</f>
        <v>24</v>
      </c>
    </row>
    <row r="102" spans="1:60" s="21" customFormat="1" ht="12.75" customHeight="1" x14ac:dyDescent="0.2">
      <c r="A102" s="51">
        <v>77173</v>
      </c>
      <c r="B102" s="51" t="s">
        <v>1077</v>
      </c>
      <c r="C102" s="66" t="s">
        <v>1803</v>
      </c>
      <c r="D102" s="65" t="s">
        <v>1778</v>
      </c>
      <c r="E102" s="67" t="s">
        <v>727</v>
      </c>
      <c r="F102" s="53">
        <f>IFERROR(VLOOKUP(E102,Fornecedores!$A$2:$B$2700,2,FALSE),"")</f>
        <v>1</v>
      </c>
      <c r="G102" s="52" t="s">
        <v>604</v>
      </c>
      <c r="H102" s="54"/>
      <c r="I102" s="55">
        <f t="shared" si="52"/>
        <v>7</v>
      </c>
      <c r="J102" s="55">
        <v>7</v>
      </c>
      <c r="K102" s="55">
        <v>0</v>
      </c>
      <c r="L102" s="55">
        <v>0</v>
      </c>
      <c r="M102" s="55">
        <v>0</v>
      </c>
      <c r="N102" s="55">
        <f t="shared" si="53"/>
        <v>7</v>
      </c>
      <c r="O102" s="55">
        <v>7</v>
      </c>
      <c r="P102" s="55">
        <v>0</v>
      </c>
      <c r="Q102" s="55">
        <v>0</v>
      </c>
      <c r="R102" s="55">
        <f t="shared" si="54"/>
        <v>1</v>
      </c>
      <c r="S102" s="55">
        <v>1</v>
      </c>
      <c r="T102" s="55">
        <v>0</v>
      </c>
      <c r="U102" s="55">
        <v>0</v>
      </c>
      <c r="V102" s="55">
        <v>4</v>
      </c>
      <c r="W102" s="53">
        <v>4</v>
      </c>
      <c r="X102" s="53">
        <v>0</v>
      </c>
      <c r="Y102" s="55">
        <v>0</v>
      </c>
      <c r="Z102" s="55">
        <v>4</v>
      </c>
      <c r="AA102" s="53">
        <v>4</v>
      </c>
      <c r="AB102" s="53">
        <v>0</v>
      </c>
      <c r="AC102" s="55">
        <v>0</v>
      </c>
      <c r="AD102" s="55">
        <f t="shared" si="45"/>
        <v>1</v>
      </c>
      <c r="AE102" s="53">
        <v>1</v>
      </c>
      <c r="AF102" s="55">
        <v>0</v>
      </c>
      <c r="AG102" s="55">
        <v>0</v>
      </c>
      <c r="AH102" s="55">
        <f t="shared" si="50"/>
        <v>1</v>
      </c>
      <c r="AI102" s="55">
        <v>1</v>
      </c>
      <c r="AJ102" s="55">
        <v>0</v>
      </c>
      <c r="AK102" s="55">
        <v>0</v>
      </c>
      <c r="AL102" s="55">
        <f t="shared" si="55"/>
        <v>3</v>
      </c>
      <c r="AM102" s="55">
        <v>3</v>
      </c>
      <c r="AN102" s="55">
        <v>0</v>
      </c>
      <c r="AO102" s="55">
        <v>0</v>
      </c>
      <c r="AP102" s="55">
        <f t="shared" si="40"/>
        <v>9</v>
      </c>
      <c r="AQ102" s="55">
        <f>IFERROR(VLOOKUP(A102,[1]SIIMPLES!$A$2:$F$418,6,FALSE),0)</f>
        <v>9</v>
      </c>
      <c r="AR102" s="55">
        <v>0</v>
      </c>
      <c r="AS102" s="55">
        <v>0</v>
      </c>
      <c r="AT102" s="55">
        <v>0</v>
      </c>
      <c r="AU102" s="55">
        <v>0</v>
      </c>
      <c r="AV102" s="55">
        <v>0</v>
      </c>
      <c r="AW102" s="55"/>
      <c r="AX102" s="55"/>
      <c r="AY102" s="56">
        <f t="shared" si="46"/>
        <v>3.7</v>
      </c>
      <c r="AZ102" s="55"/>
      <c r="BA102" s="56">
        <v>6.333333333333333</v>
      </c>
      <c r="BB102" s="41">
        <f t="shared" si="48"/>
        <v>-0.41578947368421049</v>
      </c>
      <c r="BC102" s="13"/>
      <c r="BD102" s="35"/>
      <c r="BE102" s="13"/>
      <c r="BF102" s="16"/>
      <c r="BG102" s="17">
        <f t="shared" si="51"/>
        <v>0</v>
      </c>
      <c r="BH102" s="16">
        <f>IFERROR(IF(F102=1,IF(BC102&lt;AY102*3,AY102*3-BC102,0),IF(BC102&lt;AY102,AY102-BC102,0)),"")</f>
        <v>11.100000000000001</v>
      </c>
    </row>
    <row r="103" spans="1:60" s="21" customFormat="1" ht="12.75" customHeight="1" x14ac:dyDescent="0.2">
      <c r="A103" s="51">
        <v>332014</v>
      </c>
      <c r="B103" s="51" t="s">
        <v>1077</v>
      </c>
      <c r="C103" s="66" t="s">
        <v>1803</v>
      </c>
      <c r="D103" s="52" t="s">
        <v>728</v>
      </c>
      <c r="E103" s="65" t="s">
        <v>780</v>
      </c>
      <c r="F103" s="53">
        <f>IFERROR(VLOOKUP(E103,Fornecedores!$A$2:$B$2700,2,FALSE),"")</f>
        <v>2</v>
      </c>
      <c r="G103" s="52" t="s">
        <v>464</v>
      </c>
      <c r="H103" s="57"/>
      <c r="I103" s="55">
        <f t="shared" si="52"/>
        <v>4</v>
      </c>
      <c r="J103" s="55">
        <v>0</v>
      </c>
      <c r="K103" s="55">
        <v>4</v>
      </c>
      <c r="L103" s="55">
        <v>0</v>
      </c>
      <c r="M103" s="55">
        <v>0</v>
      </c>
      <c r="N103" s="55">
        <f t="shared" si="53"/>
        <v>3</v>
      </c>
      <c r="O103" s="55">
        <v>1</v>
      </c>
      <c r="P103" s="55">
        <v>2</v>
      </c>
      <c r="Q103" s="55">
        <v>0</v>
      </c>
      <c r="R103" s="55">
        <f t="shared" si="54"/>
        <v>6</v>
      </c>
      <c r="S103" s="55">
        <v>0</v>
      </c>
      <c r="T103" s="55">
        <v>3</v>
      </c>
      <c r="U103" s="55">
        <v>3</v>
      </c>
      <c r="V103" s="55">
        <v>3</v>
      </c>
      <c r="W103" s="53">
        <v>0</v>
      </c>
      <c r="X103" s="53">
        <v>3</v>
      </c>
      <c r="Y103" s="55">
        <v>0</v>
      </c>
      <c r="Z103" s="55">
        <v>14</v>
      </c>
      <c r="AA103" s="53">
        <v>0</v>
      </c>
      <c r="AB103" s="53">
        <v>8</v>
      </c>
      <c r="AC103" s="55">
        <v>6</v>
      </c>
      <c r="AD103" s="55">
        <f t="shared" si="45"/>
        <v>7</v>
      </c>
      <c r="AE103" s="53">
        <v>0</v>
      </c>
      <c r="AF103" s="55">
        <v>4</v>
      </c>
      <c r="AG103" s="55">
        <v>3</v>
      </c>
      <c r="AH103" s="55">
        <f t="shared" si="50"/>
        <v>9</v>
      </c>
      <c r="AI103" s="55">
        <v>0</v>
      </c>
      <c r="AJ103" s="55">
        <v>3</v>
      </c>
      <c r="AK103" s="55">
        <v>6</v>
      </c>
      <c r="AL103" s="55">
        <f t="shared" si="55"/>
        <v>20</v>
      </c>
      <c r="AM103" s="55" t="s">
        <v>1912</v>
      </c>
      <c r="AN103" s="55">
        <v>6</v>
      </c>
      <c r="AO103" s="55">
        <v>14</v>
      </c>
      <c r="AP103" s="55">
        <f t="shared" si="40"/>
        <v>9</v>
      </c>
      <c r="AQ103" s="55">
        <f>IFERROR(VLOOKUP(A103,[1]SIIMPLES!$A$2:$F$418,6,FALSE),0)</f>
        <v>7</v>
      </c>
      <c r="AR103" s="55">
        <v>2</v>
      </c>
      <c r="AS103" s="55">
        <v>3</v>
      </c>
      <c r="AT103" s="55">
        <v>0</v>
      </c>
      <c r="AU103" s="55">
        <v>2</v>
      </c>
      <c r="AV103" s="55">
        <v>1</v>
      </c>
      <c r="AW103" s="55"/>
      <c r="AX103" s="55"/>
      <c r="AY103" s="56">
        <f t="shared" si="46"/>
        <v>7.8</v>
      </c>
      <c r="AZ103" s="55"/>
      <c r="BA103" s="56">
        <v>3.5</v>
      </c>
      <c r="BB103" s="41">
        <f t="shared" si="48"/>
        <v>1.2285714285714286</v>
      </c>
      <c r="BC103" s="13"/>
      <c r="BD103" s="35"/>
      <c r="BE103" s="13"/>
      <c r="BF103" s="16"/>
      <c r="BG103" s="17">
        <f t="shared" si="51"/>
        <v>0</v>
      </c>
      <c r="BH103" s="16">
        <f>IFERROR(IF(F103=1,IF(BC103&lt;AY103*3,AY103*3-BC103,0),IF(BC103&lt;AY103,AY103-BC103,0)),"")</f>
        <v>7.8</v>
      </c>
    </row>
    <row r="104" spans="1:60" s="21" customFormat="1" ht="12.75" customHeight="1" x14ac:dyDescent="0.2">
      <c r="A104" s="51">
        <v>222011</v>
      </c>
      <c r="B104" s="51" t="s">
        <v>1077</v>
      </c>
      <c r="C104" s="66" t="s">
        <v>1803</v>
      </c>
      <c r="D104" s="52" t="s">
        <v>728</v>
      </c>
      <c r="E104" s="65" t="s">
        <v>780</v>
      </c>
      <c r="F104" s="53">
        <f>IFERROR(VLOOKUP(E104,Fornecedores!$A$2:$B$2700,2,FALSE),"")</f>
        <v>2</v>
      </c>
      <c r="G104" s="52" t="s">
        <v>610</v>
      </c>
      <c r="H104" s="57"/>
      <c r="I104" s="55">
        <f t="shared" si="52"/>
        <v>5</v>
      </c>
      <c r="J104" s="55">
        <v>0</v>
      </c>
      <c r="K104" s="55">
        <v>5</v>
      </c>
      <c r="L104" s="55">
        <v>0</v>
      </c>
      <c r="M104" s="55">
        <v>0</v>
      </c>
      <c r="N104" s="55">
        <f t="shared" si="53"/>
        <v>5</v>
      </c>
      <c r="O104" s="55">
        <v>0</v>
      </c>
      <c r="P104" s="55">
        <v>5</v>
      </c>
      <c r="Q104" s="55">
        <v>0</v>
      </c>
      <c r="R104" s="55">
        <f t="shared" si="54"/>
        <v>4</v>
      </c>
      <c r="S104" s="55">
        <v>0</v>
      </c>
      <c r="T104" s="55">
        <v>4</v>
      </c>
      <c r="U104" s="55">
        <v>0</v>
      </c>
      <c r="V104" s="55">
        <v>8</v>
      </c>
      <c r="W104" s="53">
        <v>0</v>
      </c>
      <c r="X104" s="53">
        <v>8</v>
      </c>
      <c r="Y104" s="55">
        <v>0</v>
      </c>
      <c r="Z104" s="55">
        <v>7</v>
      </c>
      <c r="AA104" s="53">
        <v>0</v>
      </c>
      <c r="AB104" s="53">
        <v>7</v>
      </c>
      <c r="AC104" s="55">
        <v>0</v>
      </c>
      <c r="AD104" s="55">
        <f t="shared" si="45"/>
        <v>11</v>
      </c>
      <c r="AE104" s="53">
        <v>0</v>
      </c>
      <c r="AF104" s="55">
        <v>9</v>
      </c>
      <c r="AG104" s="55">
        <v>2</v>
      </c>
      <c r="AH104" s="55">
        <f t="shared" si="50"/>
        <v>8</v>
      </c>
      <c r="AI104" s="55">
        <v>0</v>
      </c>
      <c r="AJ104" s="55">
        <v>8</v>
      </c>
      <c r="AK104" s="55">
        <v>0</v>
      </c>
      <c r="AL104" s="55">
        <f t="shared" si="55"/>
        <v>8</v>
      </c>
      <c r="AM104" s="55" t="s">
        <v>1912</v>
      </c>
      <c r="AN104" s="55">
        <v>8</v>
      </c>
      <c r="AO104" s="55">
        <v>0</v>
      </c>
      <c r="AP104" s="55">
        <f t="shared" si="40"/>
        <v>9</v>
      </c>
      <c r="AQ104" s="55">
        <f>IFERROR(VLOOKUP(A104,[1]SIIMPLES!$A$2:$F$418,6,FALSE),0)</f>
        <v>8</v>
      </c>
      <c r="AR104" s="55">
        <v>1</v>
      </c>
      <c r="AS104" s="55">
        <v>19</v>
      </c>
      <c r="AT104" s="55">
        <v>1</v>
      </c>
      <c r="AU104" s="55">
        <v>6</v>
      </c>
      <c r="AV104" s="55">
        <v>12</v>
      </c>
      <c r="AW104" s="55"/>
      <c r="AX104" s="55"/>
      <c r="AY104" s="56">
        <f t="shared" si="46"/>
        <v>8.4</v>
      </c>
      <c r="AZ104" s="55"/>
      <c r="BA104" s="56">
        <v>8.3333333333333339</v>
      </c>
      <c r="BB104" s="41">
        <f t="shared" si="48"/>
        <v>8.0000000000000071E-3</v>
      </c>
      <c r="BC104" s="13"/>
      <c r="BD104" s="35"/>
      <c r="BE104" s="13"/>
      <c r="BF104" s="16"/>
      <c r="BG104" s="17">
        <f t="shared" si="51"/>
        <v>0</v>
      </c>
      <c r="BH104" s="16">
        <f>IFERROR(IF(F104=1,IF(BC104&lt;AY104*3,AY104*3-BC104,0),IF(BC104&lt;AY104,AY104-BC104,0)),"")</f>
        <v>8.4</v>
      </c>
    </row>
    <row r="105" spans="1:60" s="21" customFormat="1" ht="12.75" customHeight="1" x14ac:dyDescent="0.2">
      <c r="A105" s="51">
        <v>222014</v>
      </c>
      <c r="B105" s="51" t="s">
        <v>1077</v>
      </c>
      <c r="C105" s="66" t="s">
        <v>1803</v>
      </c>
      <c r="D105" s="52" t="s">
        <v>728</v>
      </c>
      <c r="E105" s="65" t="s">
        <v>780</v>
      </c>
      <c r="F105" s="53">
        <f>IFERROR(VLOOKUP(E105,Fornecedores!$A$2:$B$2700,2,FALSE),"")</f>
        <v>2</v>
      </c>
      <c r="G105" s="52" t="s">
        <v>358</v>
      </c>
      <c r="H105" s="57"/>
      <c r="I105" s="55">
        <f t="shared" si="52"/>
        <v>5</v>
      </c>
      <c r="J105" s="55">
        <v>3</v>
      </c>
      <c r="K105" s="55">
        <v>2</v>
      </c>
      <c r="L105" s="55">
        <v>0</v>
      </c>
      <c r="M105" s="55">
        <v>0</v>
      </c>
      <c r="N105" s="55">
        <f t="shared" si="53"/>
        <v>5</v>
      </c>
      <c r="O105" s="55">
        <v>2</v>
      </c>
      <c r="P105" s="55">
        <v>3</v>
      </c>
      <c r="Q105" s="55">
        <v>0</v>
      </c>
      <c r="R105" s="55">
        <f t="shared" si="54"/>
        <v>0</v>
      </c>
      <c r="S105" s="55">
        <v>0</v>
      </c>
      <c r="T105" s="55">
        <v>0</v>
      </c>
      <c r="U105" s="55">
        <v>0</v>
      </c>
      <c r="V105" s="55">
        <v>7</v>
      </c>
      <c r="W105" s="53">
        <v>3</v>
      </c>
      <c r="X105" s="53">
        <v>4</v>
      </c>
      <c r="Y105" s="55">
        <v>0</v>
      </c>
      <c r="Z105" s="55">
        <v>7</v>
      </c>
      <c r="AA105" s="53">
        <v>2</v>
      </c>
      <c r="AB105" s="53">
        <v>5</v>
      </c>
      <c r="AC105" s="55">
        <v>0</v>
      </c>
      <c r="AD105" s="55">
        <f t="shared" si="45"/>
        <v>12</v>
      </c>
      <c r="AE105" s="53">
        <v>5</v>
      </c>
      <c r="AF105" s="55">
        <v>7</v>
      </c>
      <c r="AG105" s="55">
        <v>0</v>
      </c>
      <c r="AH105" s="55">
        <f t="shared" si="50"/>
        <v>5</v>
      </c>
      <c r="AI105" s="55">
        <v>4</v>
      </c>
      <c r="AJ105" s="55">
        <v>1</v>
      </c>
      <c r="AK105" s="55">
        <v>0</v>
      </c>
      <c r="AL105" s="55">
        <f t="shared" si="55"/>
        <v>12</v>
      </c>
      <c r="AM105" s="55">
        <v>9</v>
      </c>
      <c r="AN105" s="55">
        <v>3</v>
      </c>
      <c r="AO105" s="55">
        <v>0</v>
      </c>
      <c r="AP105" s="55">
        <f t="shared" si="40"/>
        <v>9</v>
      </c>
      <c r="AQ105" s="55">
        <f>IFERROR(VLOOKUP(A105,[1]SIIMPLES!$A$2:$F$418,6,FALSE),0)</f>
        <v>3</v>
      </c>
      <c r="AR105" s="55">
        <v>6</v>
      </c>
      <c r="AS105" s="55">
        <v>6</v>
      </c>
      <c r="AT105" s="55">
        <v>0</v>
      </c>
      <c r="AU105" s="55">
        <v>6</v>
      </c>
      <c r="AV105" s="55">
        <v>0</v>
      </c>
      <c r="AW105" s="55"/>
      <c r="AX105" s="55"/>
      <c r="AY105" s="56">
        <f t="shared" si="46"/>
        <v>6.8</v>
      </c>
      <c r="AZ105" s="55"/>
      <c r="BA105" s="56">
        <v>13.5</v>
      </c>
      <c r="BB105" s="41">
        <f t="shared" si="48"/>
        <v>-0.49629629629629635</v>
      </c>
      <c r="BC105" s="13"/>
      <c r="BD105" s="35"/>
      <c r="BE105" s="13"/>
      <c r="BF105" s="16">
        <f>SUM(BC105:BE105)</f>
        <v>0</v>
      </c>
      <c r="BG105" s="17">
        <f t="shared" si="51"/>
        <v>0</v>
      </c>
      <c r="BH105" s="16">
        <f>ROUND(IFERROR(IF(F105=1,IF(BC105&lt;AY105*3,AY105*3-BC105,0),IF(BC105&lt;AY105,AY105*0.6-BC105,0)),""),0)</f>
        <v>4</v>
      </c>
    </row>
    <row r="106" spans="1:60" s="21" customFormat="1" ht="12.75" customHeight="1" x14ac:dyDescent="0.2">
      <c r="A106" s="51">
        <v>442095</v>
      </c>
      <c r="B106" s="51" t="s">
        <v>1077</v>
      </c>
      <c r="C106" s="66" t="s">
        <v>1803</v>
      </c>
      <c r="D106" s="52" t="s">
        <v>728</v>
      </c>
      <c r="E106" s="65" t="s">
        <v>780</v>
      </c>
      <c r="F106" s="53">
        <f>IFERROR(VLOOKUP(E106,Fornecedores!$A$2:$B$2700,2,FALSE),"")</f>
        <v>2</v>
      </c>
      <c r="G106" s="52" t="s">
        <v>657</v>
      </c>
      <c r="H106" s="57"/>
      <c r="I106" s="55">
        <f t="shared" si="52"/>
        <v>1</v>
      </c>
      <c r="J106" s="55">
        <v>1</v>
      </c>
      <c r="K106" s="55">
        <v>0</v>
      </c>
      <c r="L106" s="55">
        <v>0</v>
      </c>
      <c r="M106" s="55">
        <v>0</v>
      </c>
      <c r="N106" s="55">
        <f t="shared" si="53"/>
        <v>2</v>
      </c>
      <c r="O106" s="55">
        <v>0</v>
      </c>
      <c r="P106" s="55">
        <v>2</v>
      </c>
      <c r="Q106" s="55">
        <v>0</v>
      </c>
      <c r="R106" s="55">
        <f t="shared" si="54"/>
        <v>0</v>
      </c>
      <c r="S106" s="55">
        <v>0</v>
      </c>
      <c r="T106" s="55">
        <v>0</v>
      </c>
      <c r="U106" s="55">
        <v>0</v>
      </c>
      <c r="V106" s="55">
        <v>0</v>
      </c>
      <c r="W106" s="53">
        <v>0</v>
      </c>
      <c r="X106" s="53">
        <v>0</v>
      </c>
      <c r="Y106" s="55">
        <v>0</v>
      </c>
      <c r="Z106" s="55">
        <v>0</v>
      </c>
      <c r="AA106" s="53">
        <v>0</v>
      </c>
      <c r="AB106" s="53">
        <v>0</v>
      </c>
      <c r="AC106" s="55">
        <v>0</v>
      </c>
      <c r="AD106" s="55">
        <f t="shared" si="45"/>
        <v>4</v>
      </c>
      <c r="AE106" s="53">
        <v>0</v>
      </c>
      <c r="AF106" s="55">
        <v>4</v>
      </c>
      <c r="AG106" s="55">
        <v>0</v>
      </c>
      <c r="AH106" s="55">
        <f t="shared" si="50"/>
        <v>4</v>
      </c>
      <c r="AI106" s="55">
        <v>0</v>
      </c>
      <c r="AJ106" s="55">
        <v>0</v>
      </c>
      <c r="AK106" s="55">
        <v>4</v>
      </c>
      <c r="AL106" s="55">
        <f t="shared" si="55"/>
        <v>12</v>
      </c>
      <c r="AM106" s="55" t="s">
        <v>1912</v>
      </c>
      <c r="AN106" s="55">
        <v>2</v>
      </c>
      <c r="AO106" s="55">
        <v>10</v>
      </c>
      <c r="AP106" s="55">
        <f t="shared" si="40"/>
        <v>9</v>
      </c>
      <c r="AQ106" s="55">
        <f>IFERROR(VLOOKUP(A106,[1]SIIMPLES!$A$2:$F$418,6,FALSE),0)</f>
        <v>7</v>
      </c>
      <c r="AR106" s="55">
        <v>2</v>
      </c>
      <c r="AS106" s="55">
        <v>2</v>
      </c>
      <c r="AT106" s="55">
        <v>0</v>
      </c>
      <c r="AU106" s="55">
        <v>2</v>
      </c>
      <c r="AV106" s="55">
        <v>0</v>
      </c>
      <c r="AW106" s="55"/>
      <c r="AX106" s="55"/>
      <c r="AY106" s="56">
        <f t="shared" si="46"/>
        <v>3.4</v>
      </c>
      <c r="AZ106" s="55"/>
      <c r="BA106" s="56">
        <v>4.166666666666667</v>
      </c>
      <c r="BB106" s="41">
        <f t="shared" si="48"/>
        <v>-0.18400000000000005</v>
      </c>
      <c r="BC106" s="13"/>
      <c r="BD106" s="35"/>
      <c r="BE106" s="7"/>
      <c r="BF106" s="16"/>
      <c r="BG106" s="17">
        <f t="shared" si="51"/>
        <v>0</v>
      </c>
      <c r="BH106" s="16">
        <f>ROUND(IFERROR(IF(F106=1,IF(BC106&lt;AY106*3,AY106*3-BC106,0),IF(BC106&lt;AY106,AY106*0.6-BC106,0)),""),0)</f>
        <v>2</v>
      </c>
    </row>
    <row r="107" spans="1:60" s="21" customFormat="1" ht="12.75" customHeight="1" x14ac:dyDescent="0.2">
      <c r="A107" s="51">
        <v>112031</v>
      </c>
      <c r="B107" s="51" t="s">
        <v>1077</v>
      </c>
      <c r="C107" s="66" t="s">
        <v>1803</v>
      </c>
      <c r="D107" s="52" t="s">
        <v>728</v>
      </c>
      <c r="E107" s="65" t="s">
        <v>780</v>
      </c>
      <c r="F107" s="53">
        <f>IFERROR(VLOOKUP(E107,Fornecedores!$A$2:$B$2700,2,FALSE),"")</f>
        <v>2</v>
      </c>
      <c r="G107" s="52" t="s">
        <v>536</v>
      </c>
      <c r="H107" s="57"/>
      <c r="I107" s="55">
        <f t="shared" si="52"/>
        <v>0</v>
      </c>
      <c r="J107" s="55">
        <v>0</v>
      </c>
      <c r="K107" s="55">
        <v>0</v>
      </c>
      <c r="L107" s="55">
        <v>0</v>
      </c>
      <c r="M107" s="55">
        <v>0</v>
      </c>
      <c r="N107" s="55">
        <f t="shared" si="53"/>
        <v>1</v>
      </c>
      <c r="O107" s="55">
        <v>0</v>
      </c>
      <c r="P107" s="55">
        <v>1</v>
      </c>
      <c r="Q107" s="55">
        <v>0</v>
      </c>
      <c r="R107" s="55">
        <f t="shared" si="54"/>
        <v>1</v>
      </c>
      <c r="S107" s="55">
        <v>1</v>
      </c>
      <c r="T107" s="55">
        <v>0</v>
      </c>
      <c r="U107" s="55">
        <v>0</v>
      </c>
      <c r="V107" s="55">
        <v>3</v>
      </c>
      <c r="W107" s="53">
        <v>1</v>
      </c>
      <c r="X107" s="53">
        <v>0</v>
      </c>
      <c r="Y107" s="55">
        <v>2</v>
      </c>
      <c r="Z107" s="55">
        <v>0</v>
      </c>
      <c r="AA107" s="53">
        <v>0</v>
      </c>
      <c r="AB107" s="53">
        <v>0</v>
      </c>
      <c r="AC107" s="55">
        <v>0</v>
      </c>
      <c r="AD107" s="55">
        <f t="shared" ref="AD107:AD109" si="56">SUM(AE107:AG107)</f>
        <v>1</v>
      </c>
      <c r="AE107" s="53">
        <v>0</v>
      </c>
      <c r="AF107" s="55">
        <v>1</v>
      </c>
      <c r="AG107" s="55">
        <v>0</v>
      </c>
      <c r="AH107" s="55">
        <f t="shared" si="50"/>
        <v>2</v>
      </c>
      <c r="AI107" s="55">
        <v>1</v>
      </c>
      <c r="AJ107" s="55">
        <v>1</v>
      </c>
      <c r="AK107" s="55">
        <v>0</v>
      </c>
      <c r="AL107" s="55">
        <f t="shared" si="55"/>
        <v>3</v>
      </c>
      <c r="AM107" s="55" t="s">
        <v>1912</v>
      </c>
      <c r="AN107" s="55">
        <v>3</v>
      </c>
      <c r="AO107" s="55">
        <v>0</v>
      </c>
      <c r="AP107" s="55">
        <f t="shared" si="40"/>
        <v>9</v>
      </c>
      <c r="AQ107" s="55">
        <f>IFERROR(VLOOKUP(A107,[1]SIIMPLES!$A$2:$F$418,6,FALSE),0)</f>
        <v>0</v>
      </c>
      <c r="AR107" s="55">
        <v>9</v>
      </c>
      <c r="AS107" s="55">
        <v>4</v>
      </c>
      <c r="AT107" s="55">
        <v>0</v>
      </c>
      <c r="AU107" s="55">
        <v>2</v>
      </c>
      <c r="AV107" s="55">
        <v>2</v>
      </c>
      <c r="AW107" s="55"/>
      <c r="AX107" s="55"/>
      <c r="AY107" s="56">
        <f t="shared" ref="AY107:AY109" si="57">IFERROR(AVERAGE(I107,N107,R107,V107,Z107,AD107,AH107,AL107,AP107,AS107,AW107,AX107),"-")</f>
        <v>2.4</v>
      </c>
      <c r="AZ107" s="55"/>
      <c r="BA107" s="56">
        <v>0.33333333333333331</v>
      </c>
      <c r="BB107" s="41">
        <f t="shared" si="48"/>
        <v>6.2</v>
      </c>
      <c r="BC107" s="13"/>
      <c r="BD107" s="35"/>
      <c r="BE107" s="13"/>
      <c r="BF107" s="16">
        <f>SUM(BC107:BE107)</f>
        <v>0</v>
      </c>
      <c r="BG107" s="17">
        <f t="shared" si="51"/>
        <v>0</v>
      </c>
      <c r="BH107" s="16">
        <f>IFERROR(IF(F107=1,IF(BC107&lt;AY107*3,AY107*3-BC107,0),IF(BC107&lt;AY107,AY107-BC107,0)),"")</f>
        <v>2.4</v>
      </c>
    </row>
    <row r="108" spans="1:60" s="21" customFormat="1" ht="12.75" customHeight="1" x14ac:dyDescent="0.2">
      <c r="A108" s="51">
        <v>112022</v>
      </c>
      <c r="B108" s="51" t="s">
        <v>1077</v>
      </c>
      <c r="C108" s="66" t="s">
        <v>1803</v>
      </c>
      <c r="D108" s="52" t="s">
        <v>728</v>
      </c>
      <c r="E108" s="65" t="s">
        <v>780</v>
      </c>
      <c r="F108" s="53">
        <f>IFERROR(VLOOKUP(E108,Fornecedores!$A$2:$B$2700,2,FALSE),"")</f>
        <v>2</v>
      </c>
      <c r="G108" s="52" t="s">
        <v>535</v>
      </c>
      <c r="H108" s="57"/>
      <c r="I108" s="55">
        <f t="shared" si="52"/>
        <v>1</v>
      </c>
      <c r="J108" s="55">
        <v>0</v>
      </c>
      <c r="K108" s="55">
        <v>1</v>
      </c>
      <c r="L108" s="55">
        <v>0</v>
      </c>
      <c r="M108" s="55">
        <v>0</v>
      </c>
      <c r="N108" s="55">
        <f t="shared" si="53"/>
        <v>3</v>
      </c>
      <c r="O108" s="55">
        <v>0</v>
      </c>
      <c r="P108" s="55">
        <v>3</v>
      </c>
      <c r="Q108" s="55">
        <v>0</v>
      </c>
      <c r="R108" s="55">
        <f t="shared" si="54"/>
        <v>3</v>
      </c>
      <c r="S108" s="55">
        <v>0</v>
      </c>
      <c r="T108" s="55">
        <v>1</v>
      </c>
      <c r="U108" s="55">
        <v>2</v>
      </c>
      <c r="V108" s="55">
        <v>11</v>
      </c>
      <c r="W108" s="53">
        <v>0</v>
      </c>
      <c r="X108" s="53">
        <v>5</v>
      </c>
      <c r="Y108" s="55">
        <v>6</v>
      </c>
      <c r="Z108" s="55">
        <v>0</v>
      </c>
      <c r="AA108" s="53">
        <v>0</v>
      </c>
      <c r="AB108" s="53">
        <v>0</v>
      </c>
      <c r="AC108" s="55">
        <v>0</v>
      </c>
      <c r="AD108" s="55">
        <f t="shared" si="56"/>
        <v>5</v>
      </c>
      <c r="AE108" s="53">
        <v>0</v>
      </c>
      <c r="AF108" s="55">
        <v>2</v>
      </c>
      <c r="AG108" s="55">
        <v>3</v>
      </c>
      <c r="AH108" s="55">
        <f t="shared" si="50"/>
        <v>1</v>
      </c>
      <c r="AI108" s="55">
        <v>0</v>
      </c>
      <c r="AJ108" s="55">
        <v>1</v>
      </c>
      <c r="AK108" s="55">
        <v>0</v>
      </c>
      <c r="AL108" s="55">
        <f t="shared" si="55"/>
        <v>2</v>
      </c>
      <c r="AM108" s="55" t="s">
        <v>1912</v>
      </c>
      <c r="AN108" s="55">
        <v>0</v>
      </c>
      <c r="AO108" s="55">
        <v>2</v>
      </c>
      <c r="AP108" s="55">
        <f t="shared" si="40"/>
        <v>9</v>
      </c>
      <c r="AQ108" s="55">
        <f>IFERROR(VLOOKUP(A108,[1]SIIMPLES!$A$2:$F$418,6,FALSE),0)</f>
        <v>8</v>
      </c>
      <c r="AR108" s="55">
        <v>1</v>
      </c>
      <c r="AS108" s="55">
        <v>0</v>
      </c>
      <c r="AT108" s="55">
        <v>0</v>
      </c>
      <c r="AU108" s="55">
        <v>0</v>
      </c>
      <c r="AV108" s="55">
        <v>0</v>
      </c>
      <c r="AW108" s="55"/>
      <c r="AX108" s="55"/>
      <c r="AY108" s="56">
        <f t="shared" si="57"/>
        <v>3.5</v>
      </c>
      <c r="AZ108" s="55"/>
      <c r="BA108" s="56">
        <v>1.8333333333333333</v>
      </c>
      <c r="BB108" s="41">
        <f t="shared" si="48"/>
        <v>0.90909090909090917</v>
      </c>
      <c r="BC108" s="13"/>
      <c r="BD108" s="35"/>
      <c r="BE108" s="13"/>
      <c r="BF108" s="16"/>
      <c r="BG108" s="17">
        <f t="shared" si="51"/>
        <v>0</v>
      </c>
      <c r="BH108" s="16">
        <f>IFERROR(IF(F108=1,IF(BC108&lt;AY108*3,AY108*3-BC108,0),IF(BC108&lt;AY108,AY108-BC108,0)),"")</f>
        <v>3.5</v>
      </c>
    </row>
    <row r="109" spans="1:60" s="21" customFormat="1" ht="12.75" customHeight="1" x14ac:dyDescent="0.2">
      <c r="A109" s="51">
        <v>112030</v>
      </c>
      <c r="B109" s="51" t="s">
        <v>1077</v>
      </c>
      <c r="C109" s="66" t="s">
        <v>1803</v>
      </c>
      <c r="D109" s="52" t="s">
        <v>728</v>
      </c>
      <c r="E109" s="65" t="s">
        <v>780</v>
      </c>
      <c r="F109" s="53">
        <f>IFERROR(VLOOKUP(E109,Fornecedores!$A$2:$B$2700,2,FALSE),"")</f>
        <v>2</v>
      </c>
      <c r="G109" s="52" t="s">
        <v>529</v>
      </c>
      <c r="H109" s="57"/>
      <c r="I109" s="55">
        <f t="shared" si="52"/>
        <v>0</v>
      </c>
      <c r="J109" s="55">
        <v>0</v>
      </c>
      <c r="K109" s="55">
        <v>0</v>
      </c>
      <c r="L109" s="55">
        <v>0</v>
      </c>
      <c r="M109" s="55">
        <v>0</v>
      </c>
      <c r="N109" s="55">
        <f t="shared" si="53"/>
        <v>1</v>
      </c>
      <c r="O109" s="55">
        <v>0</v>
      </c>
      <c r="P109" s="55">
        <v>1</v>
      </c>
      <c r="Q109" s="55">
        <v>0</v>
      </c>
      <c r="R109" s="55">
        <f t="shared" si="54"/>
        <v>0</v>
      </c>
      <c r="S109" s="55">
        <v>0</v>
      </c>
      <c r="T109" s="55">
        <v>0</v>
      </c>
      <c r="U109" s="55">
        <v>0</v>
      </c>
      <c r="V109" s="55">
        <v>3</v>
      </c>
      <c r="W109" s="53">
        <v>1</v>
      </c>
      <c r="X109" s="53">
        <v>0</v>
      </c>
      <c r="Y109" s="55">
        <v>2</v>
      </c>
      <c r="Z109" s="55">
        <v>0</v>
      </c>
      <c r="AA109" s="53">
        <v>0</v>
      </c>
      <c r="AB109" s="53">
        <v>0</v>
      </c>
      <c r="AC109" s="55">
        <v>0</v>
      </c>
      <c r="AD109" s="55">
        <f t="shared" si="56"/>
        <v>1</v>
      </c>
      <c r="AE109" s="53">
        <v>0</v>
      </c>
      <c r="AF109" s="55">
        <v>1</v>
      </c>
      <c r="AG109" s="55">
        <v>0</v>
      </c>
      <c r="AH109" s="55">
        <f t="shared" si="50"/>
        <v>1</v>
      </c>
      <c r="AI109" s="55">
        <v>0</v>
      </c>
      <c r="AJ109" s="55">
        <v>1</v>
      </c>
      <c r="AK109" s="55">
        <v>0</v>
      </c>
      <c r="AL109" s="55">
        <f t="shared" si="55"/>
        <v>3</v>
      </c>
      <c r="AM109" s="55" t="s">
        <v>1912</v>
      </c>
      <c r="AN109" s="55">
        <v>3</v>
      </c>
      <c r="AO109" s="55">
        <v>0</v>
      </c>
      <c r="AP109" s="55">
        <f t="shared" si="40"/>
        <v>9</v>
      </c>
      <c r="AQ109" s="55">
        <f>IFERROR(VLOOKUP(A109,[1]SIIMPLES!$A$2:$F$418,6,FALSE),0)</f>
        <v>0</v>
      </c>
      <c r="AR109" s="55">
        <v>9</v>
      </c>
      <c r="AS109" s="55">
        <v>14</v>
      </c>
      <c r="AT109" s="55">
        <v>10</v>
      </c>
      <c r="AU109" s="55">
        <v>2</v>
      </c>
      <c r="AV109" s="55">
        <v>2</v>
      </c>
      <c r="AW109" s="55"/>
      <c r="AX109" s="55"/>
      <c r="AY109" s="56">
        <f t="shared" si="57"/>
        <v>3.2</v>
      </c>
      <c r="AZ109" s="55"/>
      <c r="BA109" s="56">
        <v>0.66666666666666663</v>
      </c>
      <c r="BB109" s="41">
        <f t="shared" si="48"/>
        <v>3.8000000000000007</v>
      </c>
      <c r="BC109" s="13"/>
      <c r="BD109" s="35"/>
      <c r="BE109" s="13"/>
      <c r="BF109" s="16"/>
      <c r="BG109" s="17">
        <f t="shared" si="51"/>
        <v>0</v>
      </c>
      <c r="BH109" s="16">
        <f>IFERROR(IF(F109=1,IF(BC109&lt;AY109*3,AY109*3-BC109,0),IF(BC109&lt;AY109,AY109-BC109,0)),"")</f>
        <v>3.2</v>
      </c>
    </row>
    <row r="110" spans="1:60" s="21" customFormat="1" ht="12.75" customHeight="1" x14ac:dyDescent="0.2">
      <c r="A110" s="82" t="s">
        <v>2066</v>
      </c>
      <c r="B110" s="28"/>
      <c r="C110" s="28" t="s">
        <v>1803</v>
      </c>
      <c r="D110" s="83" t="s">
        <v>731</v>
      </c>
      <c r="E110" s="83" t="s">
        <v>730</v>
      </c>
      <c r="F110" s="84"/>
      <c r="G110" s="85" t="s">
        <v>2076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55">
        <f t="shared" si="55"/>
        <v>10</v>
      </c>
      <c r="AM110" s="55">
        <v>10</v>
      </c>
      <c r="AN110" s="55">
        <v>0</v>
      </c>
      <c r="AO110" s="55">
        <v>0</v>
      </c>
      <c r="AP110" s="55">
        <f t="shared" si="40"/>
        <v>9</v>
      </c>
      <c r="AQ110" s="55">
        <f>IFERROR(VLOOKUP(A110,[1]SIIMPLES!$A$2:$F$418,6,FALSE),0)</f>
        <v>9</v>
      </c>
      <c r="AR110" s="55">
        <v>0</v>
      </c>
      <c r="AS110" s="55">
        <v>4</v>
      </c>
      <c r="AT110" s="55">
        <v>4</v>
      </c>
      <c r="AU110" s="55">
        <v>0</v>
      </c>
      <c r="AV110" s="55">
        <v>0</v>
      </c>
      <c r="AW110" s="7"/>
      <c r="AX110" s="7"/>
      <c r="AY110" s="7"/>
      <c r="AZ110" s="7"/>
      <c r="BA110" s="7"/>
      <c r="BB110" s="41" t="str">
        <f t="shared" si="48"/>
        <v/>
      </c>
      <c r="BC110" s="13"/>
      <c r="BD110" s="35"/>
      <c r="BE110" s="13"/>
      <c r="BF110" s="16"/>
      <c r="BG110" s="17" t="str">
        <f t="shared" si="51"/>
        <v>0</v>
      </c>
      <c r="BH110" s="16">
        <f>IFERROR(IF(F110=1,IF(BC110&lt;AY110*3,AY110*3-BC110,0),IF(BC110&lt;AY110,AY110-BC110,0)),"")</f>
        <v>0</v>
      </c>
    </row>
    <row r="111" spans="1:60" s="21" customFormat="1" ht="12.75" customHeight="1" x14ac:dyDescent="0.2">
      <c r="A111" s="51" t="s">
        <v>1257</v>
      </c>
      <c r="B111" s="51"/>
      <c r="C111" s="66" t="s">
        <v>1803</v>
      </c>
      <c r="D111" s="65" t="s">
        <v>731</v>
      </c>
      <c r="E111" s="52" t="s">
        <v>730</v>
      </c>
      <c r="F111" s="53">
        <f>IFERROR(VLOOKUP(E111,Fornecedores!$A$2:$B$2700,2,FALSE),"")</f>
        <v>3</v>
      </c>
      <c r="G111" s="52" t="s">
        <v>1605</v>
      </c>
      <c r="H111" s="57"/>
      <c r="I111" s="55">
        <f>SUM(J111:M111)</f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f>SUM(O111:Q111)</f>
        <v>7</v>
      </c>
      <c r="O111" s="55">
        <v>7</v>
      </c>
      <c r="P111" s="55">
        <v>0</v>
      </c>
      <c r="Q111" s="55">
        <v>0</v>
      </c>
      <c r="R111" s="55">
        <f>SUM(S111:U111)</f>
        <v>3</v>
      </c>
      <c r="S111" s="55">
        <v>3</v>
      </c>
      <c r="T111" s="55">
        <v>0</v>
      </c>
      <c r="U111" s="55">
        <v>0</v>
      </c>
      <c r="V111" s="55">
        <v>10</v>
      </c>
      <c r="W111" s="53">
        <v>10</v>
      </c>
      <c r="X111" s="53">
        <v>0</v>
      </c>
      <c r="Y111" s="55">
        <v>0</v>
      </c>
      <c r="Z111" s="55">
        <v>5</v>
      </c>
      <c r="AA111" s="53">
        <v>5</v>
      </c>
      <c r="AB111" s="53">
        <v>0</v>
      </c>
      <c r="AC111" s="55">
        <v>0</v>
      </c>
      <c r="AD111" s="55">
        <f>SUM(AE111:AG111)</f>
        <v>7</v>
      </c>
      <c r="AE111" s="53">
        <v>7</v>
      </c>
      <c r="AF111" s="55">
        <v>0</v>
      </c>
      <c r="AG111" s="55">
        <v>0</v>
      </c>
      <c r="AH111" s="55">
        <f>SUM(AI111:AK111)</f>
        <v>3</v>
      </c>
      <c r="AI111" s="55">
        <v>3</v>
      </c>
      <c r="AJ111" s="55">
        <v>0</v>
      </c>
      <c r="AK111" s="55">
        <v>0</v>
      </c>
      <c r="AL111" s="55">
        <f t="shared" si="55"/>
        <v>5</v>
      </c>
      <c r="AM111" s="55">
        <v>5</v>
      </c>
      <c r="AN111" s="55">
        <v>0</v>
      </c>
      <c r="AO111" s="55">
        <v>0</v>
      </c>
      <c r="AP111" s="55">
        <f t="shared" si="40"/>
        <v>9</v>
      </c>
      <c r="AQ111" s="55">
        <f>IFERROR(VLOOKUP(A111,[1]SIIMPLES!$A$2:$F$418,6,FALSE),0)</f>
        <v>9</v>
      </c>
      <c r="AR111" s="55">
        <v>0</v>
      </c>
      <c r="AS111" s="55">
        <v>0</v>
      </c>
      <c r="AT111" s="55">
        <v>0</v>
      </c>
      <c r="AU111" s="55">
        <v>0</v>
      </c>
      <c r="AV111" s="55">
        <v>0</v>
      </c>
      <c r="AW111" s="55"/>
      <c r="AX111" s="55"/>
      <c r="AY111" s="56">
        <f>IFERROR(AVERAGE(I111,N111,R111,V111,Z111,AD111,AH111,AL111,AP111,AS111,AW111,AX111),"-")</f>
        <v>4.9000000000000004</v>
      </c>
      <c r="AZ111" s="55"/>
      <c r="BA111" s="56">
        <v>1</v>
      </c>
      <c r="BB111" s="41">
        <f t="shared" si="48"/>
        <v>3.9000000000000004</v>
      </c>
      <c r="BC111" s="13"/>
      <c r="BD111" s="36"/>
      <c r="BE111" s="7"/>
      <c r="BF111" s="7"/>
      <c r="BG111" s="17">
        <f t="shared" si="51"/>
        <v>0</v>
      </c>
      <c r="BH111" s="7"/>
    </row>
    <row r="112" spans="1:60" s="21" customFormat="1" ht="12.75" customHeight="1" x14ac:dyDescent="0.2">
      <c r="A112" s="82" t="s">
        <v>2006</v>
      </c>
      <c r="B112" s="28"/>
      <c r="C112" s="28" t="s">
        <v>1851</v>
      </c>
      <c r="D112" s="83" t="s">
        <v>1761</v>
      </c>
      <c r="E112" s="83" t="s">
        <v>2025</v>
      </c>
      <c r="F112" s="84"/>
      <c r="G112" s="85" t="s">
        <v>2062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3">
        <f>SUM(AI112:AK112)</f>
        <v>1</v>
      </c>
      <c r="AI112" s="7"/>
      <c r="AJ112" s="7"/>
      <c r="AK112" s="55">
        <v>1</v>
      </c>
      <c r="AL112" s="55">
        <f t="shared" si="55"/>
        <v>0</v>
      </c>
      <c r="AM112" s="55" t="s">
        <v>1912</v>
      </c>
      <c r="AN112" s="55">
        <v>0</v>
      </c>
      <c r="AO112" s="55">
        <v>0</v>
      </c>
      <c r="AP112" s="55">
        <f t="shared" si="40"/>
        <v>9</v>
      </c>
      <c r="AQ112" s="55">
        <f>IFERROR(VLOOKUP(A112,[1]SIIMPLES!$A$2:$F$418,6,FALSE),0)</f>
        <v>9</v>
      </c>
      <c r="AR112" s="55">
        <v>0</v>
      </c>
      <c r="AS112" s="55">
        <v>2</v>
      </c>
      <c r="AT112" s="55">
        <v>0</v>
      </c>
      <c r="AU112" s="55">
        <v>0</v>
      </c>
      <c r="AV112" s="55">
        <v>2</v>
      </c>
      <c r="AW112" s="7"/>
      <c r="AX112" s="7"/>
      <c r="AY112" s="7"/>
      <c r="AZ112" s="7"/>
      <c r="BA112" s="7"/>
      <c r="BB112" s="41" t="str">
        <f t="shared" si="48"/>
        <v/>
      </c>
      <c r="BC112" s="13"/>
      <c r="BD112" s="35"/>
      <c r="BE112" s="13"/>
      <c r="BF112" s="16">
        <f>SUM(BC112:BE112)</f>
        <v>0</v>
      </c>
      <c r="BG112" s="17" t="str">
        <f t="shared" si="51"/>
        <v>0</v>
      </c>
      <c r="BH112" s="16">
        <f t="shared" ref="BH112:BH126" si="58">IFERROR(IF(F112=1,IF(BC112&lt;AY112*3,AY112*3-BC112,0),IF(BC112&lt;AY112,AY112-BC112,0)),"")</f>
        <v>0</v>
      </c>
    </row>
    <row r="113" spans="1:60" s="21" customFormat="1" ht="12.75" customHeight="1" x14ac:dyDescent="0.2">
      <c r="A113" s="28" t="s">
        <v>2146</v>
      </c>
      <c r="B113" s="28"/>
      <c r="C113" s="28" t="s">
        <v>1851</v>
      </c>
      <c r="D113" s="83" t="s">
        <v>2190</v>
      </c>
      <c r="E113" s="83" t="s">
        <v>2017</v>
      </c>
      <c r="F113" s="84"/>
      <c r="G113" s="85" t="s">
        <v>2191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101"/>
      <c r="AP113" s="55">
        <f t="shared" si="40"/>
        <v>9</v>
      </c>
      <c r="AQ113" s="55">
        <f>IFERROR(VLOOKUP(A113,[1]SIIMPLES!$A$2:$F$418,6,FALSE),0)</f>
        <v>9</v>
      </c>
      <c r="AR113" s="55">
        <v>0</v>
      </c>
      <c r="AS113" s="55">
        <v>4</v>
      </c>
      <c r="AT113" s="55">
        <v>4</v>
      </c>
      <c r="AU113" s="55">
        <v>0</v>
      </c>
      <c r="AV113" s="55">
        <v>0</v>
      </c>
      <c r="AW113" s="7"/>
      <c r="AX113" s="7"/>
      <c r="AY113" s="7"/>
      <c r="AZ113" s="7"/>
      <c r="BA113" s="7"/>
      <c r="BB113" s="41" t="str">
        <f t="shared" si="48"/>
        <v/>
      </c>
      <c r="BC113" s="13"/>
      <c r="BD113" s="35"/>
      <c r="BE113" s="13"/>
      <c r="BF113" s="16">
        <f>SUM(BC113:BE113)</f>
        <v>0</v>
      </c>
      <c r="BG113" s="17" t="str">
        <f t="shared" si="51"/>
        <v>0</v>
      </c>
      <c r="BH113" s="16">
        <f t="shared" si="58"/>
        <v>0</v>
      </c>
    </row>
    <row r="114" spans="1:60" s="21" customFormat="1" ht="12.75" customHeight="1" x14ac:dyDescent="0.2">
      <c r="A114" s="51">
        <v>4059</v>
      </c>
      <c r="B114" s="51"/>
      <c r="C114" s="66" t="s">
        <v>1803</v>
      </c>
      <c r="D114" s="52" t="s">
        <v>760</v>
      </c>
      <c r="E114" s="52" t="s">
        <v>736</v>
      </c>
      <c r="F114" s="53">
        <f>IFERROR(VLOOKUP(E114,Fornecedores!$A$2:$B$2700,2,FALSE),"")</f>
        <v>5</v>
      </c>
      <c r="G114" s="52" t="s">
        <v>1675</v>
      </c>
      <c r="H114" s="54"/>
      <c r="I114" s="55">
        <f t="shared" ref="I114:I124" si="59">SUM(J114:M114)</f>
        <v>0</v>
      </c>
      <c r="J114" s="55">
        <v>0</v>
      </c>
      <c r="K114" s="55">
        <v>0</v>
      </c>
      <c r="L114" s="55">
        <v>0</v>
      </c>
      <c r="M114" s="55">
        <v>0</v>
      </c>
      <c r="N114" s="55">
        <f t="shared" ref="N114:N124" si="60">SUM(O114:Q114)</f>
        <v>0</v>
      </c>
      <c r="O114" s="55">
        <v>0</v>
      </c>
      <c r="P114" s="55">
        <v>0</v>
      </c>
      <c r="Q114" s="55">
        <v>0</v>
      </c>
      <c r="R114" s="55">
        <f t="shared" ref="R114:R124" si="61">SUM(S114:U114)</f>
        <v>0</v>
      </c>
      <c r="S114" s="55">
        <v>0</v>
      </c>
      <c r="T114" s="55">
        <v>0</v>
      </c>
      <c r="U114" s="55">
        <v>0</v>
      </c>
      <c r="V114" s="55">
        <v>1</v>
      </c>
      <c r="W114" s="53">
        <v>1</v>
      </c>
      <c r="X114" s="53">
        <v>0</v>
      </c>
      <c r="Y114" s="55">
        <v>0</v>
      </c>
      <c r="Z114" s="55">
        <v>2</v>
      </c>
      <c r="AA114" s="53">
        <v>2</v>
      </c>
      <c r="AB114" s="53">
        <v>0</v>
      </c>
      <c r="AC114" s="55">
        <v>0</v>
      </c>
      <c r="AD114" s="55">
        <f t="shared" ref="AD114:AD124" si="62">SUM(AE114:AG114)</f>
        <v>6</v>
      </c>
      <c r="AE114" s="53">
        <v>6</v>
      </c>
      <c r="AF114" s="55">
        <v>0</v>
      </c>
      <c r="AG114" s="55">
        <v>0</v>
      </c>
      <c r="AH114" s="55">
        <f t="shared" ref="AH114:AH124" si="63">SUM(AI114:AK114)</f>
        <v>1</v>
      </c>
      <c r="AI114" s="55">
        <v>1</v>
      </c>
      <c r="AJ114" s="55">
        <v>0</v>
      </c>
      <c r="AK114" s="55">
        <v>0</v>
      </c>
      <c r="AL114" s="55">
        <f t="shared" ref="AL114:AL125" si="64">SUM(AM114:AO114)</f>
        <v>2</v>
      </c>
      <c r="AM114" s="55">
        <v>2</v>
      </c>
      <c r="AN114" s="55">
        <v>0</v>
      </c>
      <c r="AO114" s="55">
        <v>0</v>
      </c>
      <c r="AP114" s="55">
        <f t="shared" si="40"/>
        <v>8</v>
      </c>
      <c r="AQ114" s="55">
        <f>IFERROR(VLOOKUP(A114,[1]SIIMPLES!$A$2:$F$418,6,FALSE),0)</f>
        <v>8</v>
      </c>
      <c r="AR114" s="55">
        <v>0</v>
      </c>
      <c r="AS114" s="55">
        <v>1</v>
      </c>
      <c r="AT114" s="55">
        <v>1</v>
      </c>
      <c r="AU114" s="55">
        <v>0</v>
      </c>
      <c r="AV114" s="55">
        <v>0</v>
      </c>
      <c r="AW114" s="55"/>
      <c r="AX114" s="55"/>
      <c r="AY114" s="56">
        <f t="shared" ref="AY114:AY124" si="65">IFERROR(AVERAGE(I114,N114,R114,V114,Z114,AD114,AH114,AL114,AP114,AS114,AW114,AX114),"-")</f>
        <v>2.1</v>
      </c>
      <c r="AZ114" s="55"/>
      <c r="BA114" s="56">
        <v>0</v>
      </c>
      <c r="BB114" s="41" t="str">
        <f t="shared" si="48"/>
        <v/>
      </c>
      <c r="BC114" s="13"/>
      <c r="BD114" s="35"/>
      <c r="BE114" s="13"/>
      <c r="BF114" s="16"/>
      <c r="BG114" s="17">
        <f t="shared" si="51"/>
        <v>0</v>
      </c>
      <c r="BH114" s="16">
        <f t="shared" si="58"/>
        <v>2.1</v>
      </c>
    </row>
    <row r="115" spans="1:60" s="21" customFormat="1" ht="12.75" customHeight="1" x14ac:dyDescent="0.2">
      <c r="A115" s="51">
        <v>112127</v>
      </c>
      <c r="B115" s="51" t="s">
        <v>1077</v>
      </c>
      <c r="C115" s="66" t="s">
        <v>1803</v>
      </c>
      <c r="D115" s="52" t="s">
        <v>728</v>
      </c>
      <c r="E115" s="65" t="s">
        <v>780</v>
      </c>
      <c r="F115" s="53">
        <f>IFERROR(VLOOKUP(E115,Fornecedores!$A$2:$B$2700,2,FALSE),"")</f>
        <v>2</v>
      </c>
      <c r="G115" s="52" t="s">
        <v>79</v>
      </c>
      <c r="H115" s="57"/>
      <c r="I115" s="55">
        <f t="shared" si="59"/>
        <v>8</v>
      </c>
      <c r="J115" s="55">
        <v>1</v>
      </c>
      <c r="K115" s="55">
        <v>7</v>
      </c>
      <c r="L115" s="55">
        <v>0</v>
      </c>
      <c r="M115" s="55">
        <v>0</v>
      </c>
      <c r="N115" s="55">
        <f t="shared" si="60"/>
        <v>8</v>
      </c>
      <c r="O115" s="55">
        <v>2</v>
      </c>
      <c r="P115" s="55">
        <v>6</v>
      </c>
      <c r="Q115" s="55">
        <v>0</v>
      </c>
      <c r="R115" s="55">
        <f t="shared" si="61"/>
        <v>4</v>
      </c>
      <c r="S115" s="55">
        <v>0</v>
      </c>
      <c r="T115" s="55">
        <v>4</v>
      </c>
      <c r="U115" s="55">
        <v>0</v>
      </c>
      <c r="V115" s="55">
        <v>6</v>
      </c>
      <c r="W115" s="53">
        <v>0</v>
      </c>
      <c r="X115" s="53">
        <v>6</v>
      </c>
      <c r="Y115" s="55">
        <v>0</v>
      </c>
      <c r="Z115" s="55">
        <v>2</v>
      </c>
      <c r="AA115" s="53">
        <v>1</v>
      </c>
      <c r="AB115" s="53">
        <v>1</v>
      </c>
      <c r="AC115" s="55">
        <v>0</v>
      </c>
      <c r="AD115" s="55">
        <f t="shared" si="62"/>
        <v>3</v>
      </c>
      <c r="AE115" s="53">
        <v>0</v>
      </c>
      <c r="AF115" s="55">
        <v>3</v>
      </c>
      <c r="AG115" s="55">
        <v>0</v>
      </c>
      <c r="AH115" s="55">
        <f t="shared" si="63"/>
        <v>6</v>
      </c>
      <c r="AI115" s="55">
        <v>0</v>
      </c>
      <c r="AJ115" s="55">
        <v>6</v>
      </c>
      <c r="AK115" s="55">
        <v>0</v>
      </c>
      <c r="AL115" s="55">
        <f t="shared" si="64"/>
        <v>9</v>
      </c>
      <c r="AM115" s="55" t="s">
        <v>1912</v>
      </c>
      <c r="AN115" s="55">
        <v>9</v>
      </c>
      <c r="AO115" s="55">
        <v>0</v>
      </c>
      <c r="AP115" s="55">
        <f t="shared" si="40"/>
        <v>8</v>
      </c>
      <c r="AQ115" s="55">
        <f>IFERROR(VLOOKUP(A115,[1]SIIMPLES!$A$2:$F$418,6,FALSE),0)</f>
        <v>2</v>
      </c>
      <c r="AR115" s="55">
        <v>6</v>
      </c>
      <c r="AS115" s="55">
        <v>13</v>
      </c>
      <c r="AT115" s="55">
        <v>0</v>
      </c>
      <c r="AU115" s="55">
        <v>13</v>
      </c>
      <c r="AV115" s="55">
        <v>0</v>
      </c>
      <c r="AW115" s="55"/>
      <c r="AX115" s="55"/>
      <c r="AY115" s="56">
        <f t="shared" si="65"/>
        <v>6.7</v>
      </c>
      <c r="AZ115" s="55"/>
      <c r="BA115" s="56">
        <v>0.5</v>
      </c>
      <c r="BB115" s="41">
        <f t="shared" si="48"/>
        <v>12.4</v>
      </c>
      <c r="BC115" s="13"/>
      <c r="BD115" s="35"/>
      <c r="BE115" s="13"/>
      <c r="BF115" s="16"/>
      <c r="BG115" s="17">
        <f t="shared" si="51"/>
        <v>0</v>
      </c>
      <c r="BH115" s="16">
        <f t="shared" si="58"/>
        <v>6.7</v>
      </c>
    </row>
    <row r="116" spans="1:60" s="21" customFormat="1" ht="12.75" customHeight="1" x14ac:dyDescent="0.2">
      <c r="A116" s="51">
        <v>772106</v>
      </c>
      <c r="B116" s="51" t="s">
        <v>1077</v>
      </c>
      <c r="C116" s="66" t="s">
        <v>1803</v>
      </c>
      <c r="D116" s="52" t="s">
        <v>728</v>
      </c>
      <c r="E116" s="65" t="s">
        <v>780</v>
      </c>
      <c r="F116" s="53">
        <f>IFERROR(VLOOKUP(E116,Fornecedores!$A$2:$B$2700,2,FALSE),"")</f>
        <v>2</v>
      </c>
      <c r="G116" s="52" t="s">
        <v>613</v>
      </c>
      <c r="H116" s="57"/>
      <c r="I116" s="55">
        <f t="shared" si="59"/>
        <v>4</v>
      </c>
      <c r="J116" s="55">
        <v>0</v>
      </c>
      <c r="K116" s="55">
        <v>4</v>
      </c>
      <c r="L116" s="55">
        <v>0</v>
      </c>
      <c r="M116" s="55">
        <v>0</v>
      </c>
      <c r="N116" s="55">
        <f t="shared" si="60"/>
        <v>4</v>
      </c>
      <c r="O116" s="55">
        <v>0</v>
      </c>
      <c r="P116" s="55">
        <v>4</v>
      </c>
      <c r="Q116" s="55">
        <v>0</v>
      </c>
      <c r="R116" s="55">
        <f t="shared" si="61"/>
        <v>3</v>
      </c>
      <c r="S116" s="55">
        <v>0</v>
      </c>
      <c r="T116" s="55">
        <v>3</v>
      </c>
      <c r="U116" s="55">
        <v>0</v>
      </c>
      <c r="V116" s="55">
        <v>6</v>
      </c>
      <c r="W116" s="53">
        <v>1</v>
      </c>
      <c r="X116" s="53">
        <v>5</v>
      </c>
      <c r="Y116" s="55">
        <v>0</v>
      </c>
      <c r="Z116" s="55">
        <v>1</v>
      </c>
      <c r="AA116" s="53">
        <v>0</v>
      </c>
      <c r="AB116" s="53">
        <v>1</v>
      </c>
      <c r="AC116" s="55">
        <v>0</v>
      </c>
      <c r="AD116" s="55">
        <f t="shared" si="62"/>
        <v>1</v>
      </c>
      <c r="AE116" s="53">
        <v>0</v>
      </c>
      <c r="AF116" s="55">
        <v>1</v>
      </c>
      <c r="AG116" s="55">
        <v>0</v>
      </c>
      <c r="AH116" s="55">
        <f t="shared" si="63"/>
        <v>5</v>
      </c>
      <c r="AI116" s="55">
        <v>0</v>
      </c>
      <c r="AJ116" s="55">
        <v>5</v>
      </c>
      <c r="AK116" s="55">
        <v>0</v>
      </c>
      <c r="AL116" s="55">
        <f t="shared" si="64"/>
        <v>4</v>
      </c>
      <c r="AM116" s="55" t="s">
        <v>1912</v>
      </c>
      <c r="AN116" s="55">
        <v>4</v>
      </c>
      <c r="AO116" s="55">
        <v>0</v>
      </c>
      <c r="AP116" s="55">
        <f t="shared" si="40"/>
        <v>8</v>
      </c>
      <c r="AQ116" s="55">
        <f>IFERROR(VLOOKUP(A116,[1]SIIMPLES!$A$2:$F$418,6,FALSE),0)</f>
        <v>0</v>
      </c>
      <c r="AR116" s="55">
        <v>8</v>
      </c>
      <c r="AS116" s="55">
        <v>2</v>
      </c>
      <c r="AT116" s="55">
        <v>0</v>
      </c>
      <c r="AU116" s="55">
        <v>2</v>
      </c>
      <c r="AV116" s="55">
        <v>0</v>
      </c>
      <c r="AW116" s="55"/>
      <c r="AX116" s="55"/>
      <c r="AY116" s="56">
        <f t="shared" si="65"/>
        <v>3.8</v>
      </c>
      <c r="AZ116" s="55"/>
      <c r="BA116" s="56">
        <v>1</v>
      </c>
      <c r="BB116" s="41">
        <f t="shared" si="48"/>
        <v>2.8</v>
      </c>
      <c r="BC116" s="13"/>
      <c r="BD116" s="35"/>
      <c r="BE116" s="13"/>
      <c r="BF116" s="16"/>
      <c r="BG116" s="17">
        <f t="shared" si="51"/>
        <v>0</v>
      </c>
      <c r="BH116" s="16">
        <f t="shared" si="58"/>
        <v>3.8</v>
      </c>
    </row>
    <row r="117" spans="1:60" s="21" customFormat="1" ht="12.75" customHeight="1" x14ac:dyDescent="0.2">
      <c r="A117" s="51">
        <v>772107</v>
      </c>
      <c r="B117" s="51" t="s">
        <v>1077</v>
      </c>
      <c r="C117" s="66" t="s">
        <v>1803</v>
      </c>
      <c r="D117" s="52" t="s">
        <v>728</v>
      </c>
      <c r="E117" s="65" t="s">
        <v>780</v>
      </c>
      <c r="F117" s="53">
        <f>IFERROR(VLOOKUP(E117,Fornecedores!$A$2:$B$2700,2,FALSE),"")</f>
        <v>2</v>
      </c>
      <c r="G117" s="52" t="s">
        <v>656</v>
      </c>
      <c r="H117" s="57"/>
      <c r="I117" s="55">
        <f t="shared" si="59"/>
        <v>4</v>
      </c>
      <c r="J117" s="55">
        <v>0</v>
      </c>
      <c r="K117" s="55">
        <v>4</v>
      </c>
      <c r="L117" s="55">
        <v>0</v>
      </c>
      <c r="M117" s="55">
        <v>0</v>
      </c>
      <c r="N117" s="55">
        <f t="shared" si="60"/>
        <v>4</v>
      </c>
      <c r="O117" s="55">
        <v>0</v>
      </c>
      <c r="P117" s="55">
        <v>4</v>
      </c>
      <c r="Q117" s="55">
        <v>0</v>
      </c>
      <c r="R117" s="55">
        <f t="shared" si="61"/>
        <v>3</v>
      </c>
      <c r="S117" s="55">
        <v>0</v>
      </c>
      <c r="T117" s="55">
        <v>3</v>
      </c>
      <c r="U117" s="55">
        <v>0</v>
      </c>
      <c r="V117" s="55">
        <v>6</v>
      </c>
      <c r="W117" s="53">
        <v>1</v>
      </c>
      <c r="X117" s="53">
        <v>5</v>
      </c>
      <c r="Y117" s="55">
        <v>0</v>
      </c>
      <c r="Z117" s="55">
        <v>1</v>
      </c>
      <c r="AA117" s="53">
        <v>0</v>
      </c>
      <c r="AB117" s="53">
        <v>1</v>
      </c>
      <c r="AC117" s="55">
        <v>0</v>
      </c>
      <c r="AD117" s="55">
        <f t="shared" si="62"/>
        <v>2</v>
      </c>
      <c r="AE117" s="53">
        <v>1</v>
      </c>
      <c r="AF117" s="55">
        <v>1</v>
      </c>
      <c r="AG117" s="55">
        <v>0</v>
      </c>
      <c r="AH117" s="55">
        <f t="shared" si="63"/>
        <v>5</v>
      </c>
      <c r="AI117" s="55">
        <v>0</v>
      </c>
      <c r="AJ117" s="55">
        <v>5</v>
      </c>
      <c r="AK117" s="55">
        <v>0</v>
      </c>
      <c r="AL117" s="55">
        <f t="shared" si="64"/>
        <v>4</v>
      </c>
      <c r="AM117" s="55" t="s">
        <v>1912</v>
      </c>
      <c r="AN117" s="55">
        <v>4</v>
      </c>
      <c r="AO117" s="55">
        <v>0</v>
      </c>
      <c r="AP117" s="55">
        <f t="shared" si="40"/>
        <v>8</v>
      </c>
      <c r="AQ117" s="55">
        <f>IFERROR(VLOOKUP(A117,[1]SIIMPLES!$A$2:$F$418,6,FALSE),0)</f>
        <v>0</v>
      </c>
      <c r="AR117" s="55">
        <v>8</v>
      </c>
      <c r="AS117" s="55">
        <v>6</v>
      </c>
      <c r="AT117" s="55">
        <v>4</v>
      </c>
      <c r="AU117" s="55">
        <v>2</v>
      </c>
      <c r="AV117" s="55">
        <v>0</v>
      </c>
      <c r="AW117" s="55"/>
      <c r="AX117" s="55"/>
      <c r="AY117" s="56">
        <f t="shared" si="65"/>
        <v>4.3</v>
      </c>
      <c r="AZ117" s="55"/>
      <c r="BA117" s="56">
        <v>1</v>
      </c>
      <c r="BB117" s="41">
        <f t="shared" si="48"/>
        <v>3.3</v>
      </c>
      <c r="BC117" s="13"/>
      <c r="BD117" s="35"/>
      <c r="BE117" s="13"/>
      <c r="BF117" s="16"/>
      <c r="BG117" s="17">
        <f t="shared" si="51"/>
        <v>0</v>
      </c>
      <c r="BH117" s="16">
        <f t="shared" si="58"/>
        <v>4.3</v>
      </c>
    </row>
    <row r="118" spans="1:60" s="21" customFormat="1" ht="12.75" customHeight="1" x14ac:dyDescent="0.2">
      <c r="A118" s="51">
        <v>442092</v>
      </c>
      <c r="B118" s="51" t="s">
        <v>1077</v>
      </c>
      <c r="C118" s="66" t="s">
        <v>1803</v>
      </c>
      <c r="D118" s="52" t="s">
        <v>728</v>
      </c>
      <c r="E118" s="65" t="s">
        <v>780</v>
      </c>
      <c r="F118" s="53">
        <f>IFERROR(VLOOKUP(E118,Fornecedores!$A$2:$B$2700,2,FALSE),"")</f>
        <v>2</v>
      </c>
      <c r="G118" s="52" t="s">
        <v>341</v>
      </c>
      <c r="H118" s="57"/>
      <c r="I118" s="55">
        <f t="shared" si="59"/>
        <v>9</v>
      </c>
      <c r="J118" s="55">
        <v>9</v>
      </c>
      <c r="K118" s="55">
        <v>0</v>
      </c>
      <c r="L118" s="55">
        <v>0</v>
      </c>
      <c r="M118" s="55">
        <v>0</v>
      </c>
      <c r="N118" s="55">
        <f t="shared" si="60"/>
        <v>6</v>
      </c>
      <c r="O118" s="55">
        <v>6</v>
      </c>
      <c r="P118" s="55">
        <v>0</v>
      </c>
      <c r="Q118" s="55">
        <v>0</v>
      </c>
      <c r="R118" s="55">
        <f t="shared" si="61"/>
        <v>12</v>
      </c>
      <c r="S118" s="55">
        <v>12</v>
      </c>
      <c r="T118" s="55">
        <v>0</v>
      </c>
      <c r="U118" s="55">
        <v>0</v>
      </c>
      <c r="V118" s="55">
        <v>7</v>
      </c>
      <c r="W118" s="53">
        <v>5</v>
      </c>
      <c r="X118" s="53">
        <v>0</v>
      </c>
      <c r="Y118" s="55">
        <v>2</v>
      </c>
      <c r="Z118" s="55">
        <v>0</v>
      </c>
      <c r="AA118" s="53">
        <v>0</v>
      </c>
      <c r="AB118" s="53">
        <v>0</v>
      </c>
      <c r="AC118" s="55">
        <v>0</v>
      </c>
      <c r="AD118" s="55">
        <f t="shared" si="62"/>
        <v>2</v>
      </c>
      <c r="AE118" s="53">
        <v>2</v>
      </c>
      <c r="AF118" s="55">
        <v>0</v>
      </c>
      <c r="AG118" s="55">
        <v>0</v>
      </c>
      <c r="AH118" s="55">
        <f t="shared" si="63"/>
        <v>4</v>
      </c>
      <c r="AI118" s="55">
        <v>4</v>
      </c>
      <c r="AJ118" s="55">
        <v>0</v>
      </c>
      <c r="AK118" s="55">
        <v>0</v>
      </c>
      <c r="AL118" s="55">
        <f t="shared" si="64"/>
        <v>9</v>
      </c>
      <c r="AM118" s="55">
        <v>6</v>
      </c>
      <c r="AN118" s="55">
        <v>0</v>
      </c>
      <c r="AO118" s="55">
        <v>3</v>
      </c>
      <c r="AP118" s="55">
        <f t="shared" si="40"/>
        <v>8</v>
      </c>
      <c r="AQ118" s="55">
        <f>IFERROR(VLOOKUP(A118,[1]SIIMPLES!$A$2:$F$418,6,FALSE),0)</f>
        <v>8</v>
      </c>
      <c r="AR118" s="55">
        <v>0</v>
      </c>
      <c r="AS118" s="55">
        <v>5</v>
      </c>
      <c r="AT118" s="55">
        <v>4</v>
      </c>
      <c r="AU118" s="55">
        <v>0</v>
      </c>
      <c r="AV118" s="55">
        <v>1</v>
      </c>
      <c r="AW118" s="55"/>
      <c r="AX118" s="55"/>
      <c r="AY118" s="56">
        <f t="shared" si="65"/>
        <v>6.2</v>
      </c>
      <c r="AZ118" s="55"/>
      <c r="BA118" s="56">
        <v>3.6666666666666665</v>
      </c>
      <c r="BB118" s="41">
        <f t="shared" si="48"/>
        <v>0.69090909090909092</v>
      </c>
      <c r="BC118" s="7"/>
      <c r="BD118" s="35"/>
      <c r="BE118" s="13"/>
      <c r="BF118" s="16">
        <f>SUM(BC118:BE118)</f>
        <v>0</v>
      </c>
      <c r="BG118" s="17">
        <f t="shared" si="51"/>
        <v>0</v>
      </c>
      <c r="BH118" s="16">
        <f t="shared" si="58"/>
        <v>6.2</v>
      </c>
    </row>
    <row r="119" spans="1:60" s="21" customFormat="1" ht="12.75" customHeight="1" x14ac:dyDescent="0.2">
      <c r="A119" s="51">
        <v>442093</v>
      </c>
      <c r="B119" s="51" t="s">
        <v>1077</v>
      </c>
      <c r="C119" s="66" t="s">
        <v>1803</v>
      </c>
      <c r="D119" s="52" t="s">
        <v>728</v>
      </c>
      <c r="E119" s="65" t="s">
        <v>780</v>
      </c>
      <c r="F119" s="53">
        <f>IFERROR(VLOOKUP(E119,Fornecedores!$A$2:$B$2700,2,FALSE),"")</f>
        <v>2</v>
      </c>
      <c r="G119" s="52" t="s">
        <v>340</v>
      </c>
      <c r="H119" s="57"/>
      <c r="I119" s="55">
        <f t="shared" si="59"/>
        <v>6</v>
      </c>
      <c r="J119" s="55">
        <v>6</v>
      </c>
      <c r="K119" s="55">
        <v>0</v>
      </c>
      <c r="L119" s="55">
        <v>0</v>
      </c>
      <c r="M119" s="55">
        <v>0</v>
      </c>
      <c r="N119" s="55">
        <f t="shared" si="60"/>
        <v>4</v>
      </c>
      <c r="O119" s="55">
        <v>4</v>
      </c>
      <c r="P119" s="55">
        <v>0</v>
      </c>
      <c r="Q119" s="55">
        <v>0</v>
      </c>
      <c r="R119" s="55">
        <f t="shared" si="61"/>
        <v>9</v>
      </c>
      <c r="S119" s="55">
        <v>9</v>
      </c>
      <c r="T119" s="55">
        <v>0</v>
      </c>
      <c r="U119" s="55">
        <v>0</v>
      </c>
      <c r="V119" s="55">
        <v>6</v>
      </c>
      <c r="W119" s="53">
        <v>4</v>
      </c>
      <c r="X119" s="53">
        <v>0</v>
      </c>
      <c r="Y119" s="55">
        <v>2</v>
      </c>
      <c r="Z119" s="55">
        <v>1</v>
      </c>
      <c r="AA119" s="53">
        <v>1</v>
      </c>
      <c r="AB119" s="53">
        <v>0</v>
      </c>
      <c r="AC119" s="55">
        <v>0</v>
      </c>
      <c r="AD119" s="55">
        <f t="shared" si="62"/>
        <v>0</v>
      </c>
      <c r="AE119" s="53">
        <v>0</v>
      </c>
      <c r="AF119" s="55">
        <v>0</v>
      </c>
      <c r="AG119" s="55">
        <v>0</v>
      </c>
      <c r="AH119" s="55">
        <f t="shared" si="63"/>
        <v>4</v>
      </c>
      <c r="AI119" s="55">
        <v>4</v>
      </c>
      <c r="AJ119" s="55">
        <v>0</v>
      </c>
      <c r="AK119" s="55">
        <v>0</v>
      </c>
      <c r="AL119" s="55">
        <f t="shared" si="64"/>
        <v>4</v>
      </c>
      <c r="AM119" s="55">
        <v>3</v>
      </c>
      <c r="AN119" s="55">
        <v>0</v>
      </c>
      <c r="AO119" s="55">
        <v>1</v>
      </c>
      <c r="AP119" s="55">
        <f t="shared" si="40"/>
        <v>8</v>
      </c>
      <c r="AQ119" s="55">
        <f>IFERROR(VLOOKUP(A119,[1]SIIMPLES!$A$2:$F$418,6,FALSE),0)</f>
        <v>8</v>
      </c>
      <c r="AR119" s="55">
        <v>0</v>
      </c>
      <c r="AS119" s="55">
        <v>4</v>
      </c>
      <c r="AT119" s="55">
        <v>3</v>
      </c>
      <c r="AU119" s="55">
        <v>0</v>
      </c>
      <c r="AV119" s="55">
        <v>1</v>
      </c>
      <c r="AW119" s="55"/>
      <c r="AX119" s="55"/>
      <c r="AY119" s="56">
        <f t="shared" si="65"/>
        <v>4.5999999999999996</v>
      </c>
      <c r="AZ119" s="55"/>
      <c r="BA119" s="56">
        <v>1.8333333333333333</v>
      </c>
      <c r="BB119" s="41">
        <f t="shared" si="48"/>
        <v>1.5090909090909088</v>
      </c>
      <c r="BC119" s="13"/>
      <c r="BD119" s="35"/>
      <c r="BE119" s="13"/>
      <c r="BF119" s="16"/>
      <c r="BG119" s="17">
        <f t="shared" si="51"/>
        <v>0</v>
      </c>
      <c r="BH119" s="16">
        <f t="shared" si="58"/>
        <v>4.5999999999999996</v>
      </c>
    </row>
    <row r="120" spans="1:60" s="21" customFormat="1" ht="12.75" customHeight="1" x14ac:dyDescent="0.2">
      <c r="A120" s="51">
        <v>222104</v>
      </c>
      <c r="B120" s="51" t="s">
        <v>1077</v>
      </c>
      <c r="C120" s="66" t="s">
        <v>1803</v>
      </c>
      <c r="D120" s="52" t="s">
        <v>728</v>
      </c>
      <c r="E120" s="65" t="s">
        <v>780</v>
      </c>
      <c r="F120" s="53">
        <f>IFERROR(VLOOKUP(E120,Fornecedores!$A$2:$B$2700,2,FALSE),"")</f>
        <v>2</v>
      </c>
      <c r="G120" s="52" t="s">
        <v>1083</v>
      </c>
      <c r="H120" s="57"/>
      <c r="I120" s="55">
        <f t="shared" si="59"/>
        <v>7</v>
      </c>
      <c r="J120" s="55">
        <v>7</v>
      </c>
      <c r="K120" s="55">
        <v>0</v>
      </c>
      <c r="L120" s="55">
        <v>0</v>
      </c>
      <c r="M120" s="55">
        <v>0</v>
      </c>
      <c r="N120" s="55">
        <f t="shared" si="60"/>
        <v>3</v>
      </c>
      <c r="O120" s="55">
        <v>3</v>
      </c>
      <c r="P120" s="55">
        <v>0</v>
      </c>
      <c r="Q120" s="55">
        <v>0</v>
      </c>
      <c r="R120" s="55">
        <f t="shared" si="61"/>
        <v>3</v>
      </c>
      <c r="S120" s="55">
        <v>3</v>
      </c>
      <c r="T120" s="55">
        <v>0</v>
      </c>
      <c r="U120" s="55">
        <v>0</v>
      </c>
      <c r="V120" s="55">
        <v>9</v>
      </c>
      <c r="W120" s="53">
        <v>9</v>
      </c>
      <c r="X120" s="53">
        <v>0</v>
      </c>
      <c r="Y120" s="55">
        <v>0</v>
      </c>
      <c r="Z120" s="55">
        <v>3</v>
      </c>
      <c r="AA120" s="53">
        <v>3</v>
      </c>
      <c r="AB120" s="53">
        <v>0</v>
      </c>
      <c r="AC120" s="55">
        <v>0</v>
      </c>
      <c r="AD120" s="55">
        <f t="shared" si="62"/>
        <v>3</v>
      </c>
      <c r="AE120" s="53">
        <v>3</v>
      </c>
      <c r="AF120" s="55">
        <v>0</v>
      </c>
      <c r="AG120" s="55">
        <v>0</v>
      </c>
      <c r="AH120" s="55">
        <f t="shared" si="63"/>
        <v>3</v>
      </c>
      <c r="AI120" s="55">
        <v>3</v>
      </c>
      <c r="AJ120" s="55">
        <v>0</v>
      </c>
      <c r="AK120" s="55">
        <v>0</v>
      </c>
      <c r="AL120" s="55">
        <f t="shared" si="64"/>
        <v>3</v>
      </c>
      <c r="AM120" s="55">
        <v>3</v>
      </c>
      <c r="AN120" s="55">
        <v>0</v>
      </c>
      <c r="AO120" s="55">
        <v>0</v>
      </c>
      <c r="AP120" s="55">
        <f t="shared" si="40"/>
        <v>8</v>
      </c>
      <c r="AQ120" s="55">
        <f>IFERROR(VLOOKUP(A120,[1]SIIMPLES!$A$2:$F$418,6,FALSE),0)</f>
        <v>8</v>
      </c>
      <c r="AR120" s="55">
        <v>0</v>
      </c>
      <c r="AS120" s="55">
        <v>7</v>
      </c>
      <c r="AT120" s="55">
        <v>7</v>
      </c>
      <c r="AU120" s="55">
        <v>0</v>
      </c>
      <c r="AV120" s="55">
        <v>0</v>
      </c>
      <c r="AW120" s="55"/>
      <c r="AX120" s="55"/>
      <c r="AY120" s="56">
        <f t="shared" si="65"/>
        <v>4.9000000000000004</v>
      </c>
      <c r="AZ120" s="55"/>
      <c r="BA120" s="56">
        <v>5.5</v>
      </c>
      <c r="BB120" s="41">
        <f t="shared" si="48"/>
        <v>-0.10909090909090902</v>
      </c>
      <c r="BC120" s="13"/>
      <c r="BD120" s="35"/>
      <c r="BE120" s="13"/>
      <c r="BF120" s="16"/>
      <c r="BG120" s="17">
        <f t="shared" si="51"/>
        <v>0</v>
      </c>
      <c r="BH120" s="16">
        <f t="shared" si="58"/>
        <v>4.9000000000000004</v>
      </c>
    </row>
    <row r="121" spans="1:60" s="21" customFormat="1" ht="12.75" customHeight="1" x14ac:dyDescent="0.2">
      <c r="A121" s="51">
        <v>222015</v>
      </c>
      <c r="B121" s="51" t="s">
        <v>1077</v>
      </c>
      <c r="C121" s="66" t="s">
        <v>1803</v>
      </c>
      <c r="D121" s="52" t="s">
        <v>728</v>
      </c>
      <c r="E121" s="65" t="s">
        <v>780</v>
      </c>
      <c r="F121" s="53">
        <f>IFERROR(VLOOKUP(E121,Fornecedores!$A$2:$B$2700,2,FALSE),"")</f>
        <v>2</v>
      </c>
      <c r="G121" s="52" t="s">
        <v>702</v>
      </c>
      <c r="H121" s="57"/>
      <c r="I121" s="55">
        <f t="shared" si="59"/>
        <v>11</v>
      </c>
      <c r="J121" s="55">
        <v>9</v>
      </c>
      <c r="K121" s="55">
        <v>2</v>
      </c>
      <c r="L121" s="55">
        <v>0</v>
      </c>
      <c r="M121" s="55">
        <v>0</v>
      </c>
      <c r="N121" s="55">
        <f t="shared" si="60"/>
        <v>6</v>
      </c>
      <c r="O121" s="55">
        <v>3</v>
      </c>
      <c r="P121" s="55">
        <v>3</v>
      </c>
      <c r="Q121" s="55">
        <v>0</v>
      </c>
      <c r="R121" s="55">
        <f t="shared" si="61"/>
        <v>0</v>
      </c>
      <c r="S121" s="55">
        <v>0</v>
      </c>
      <c r="T121" s="55">
        <v>0</v>
      </c>
      <c r="U121" s="55">
        <v>0</v>
      </c>
      <c r="V121" s="55">
        <v>5</v>
      </c>
      <c r="W121" s="53">
        <v>1</v>
      </c>
      <c r="X121" s="53">
        <v>4</v>
      </c>
      <c r="Y121" s="55">
        <v>0</v>
      </c>
      <c r="Z121" s="55">
        <v>6</v>
      </c>
      <c r="AA121" s="53">
        <v>1</v>
      </c>
      <c r="AB121" s="53">
        <v>5</v>
      </c>
      <c r="AC121" s="55">
        <v>0</v>
      </c>
      <c r="AD121" s="55">
        <f t="shared" si="62"/>
        <v>12</v>
      </c>
      <c r="AE121" s="53">
        <v>5</v>
      </c>
      <c r="AF121" s="55">
        <v>7</v>
      </c>
      <c r="AG121" s="55">
        <v>0</v>
      </c>
      <c r="AH121" s="55">
        <f t="shared" si="63"/>
        <v>2</v>
      </c>
      <c r="AI121" s="55">
        <v>1</v>
      </c>
      <c r="AJ121" s="55">
        <v>1</v>
      </c>
      <c r="AK121" s="55">
        <v>0</v>
      </c>
      <c r="AL121" s="55">
        <f t="shared" si="64"/>
        <v>3</v>
      </c>
      <c r="AM121" s="55" t="s">
        <v>1912</v>
      </c>
      <c r="AN121" s="55">
        <v>3</v>
      </c>
      <c r="AO121" s="55">
        <v>0</v>
      </c>
      <c r="AP121" s="55">
        <f t="shared" si="40"/>
        <v>8</v>
      </c>
      <c r="AQ121" s="55">
        <f>IFERROR(VLOOKUP(A121,[1]SIIMPLES!$A$2:$F$418,6,FALSE),0)</f>
        <v>2</v>
      </c>
      <c r="AR121" s="55">
        <v>6</v>
      </c>
      <c r="AS121" s="55">
        <v>6</v>
      </c>
      <c r="AT121" s="55">
        <v>0</v>
      </c>
      <c r="AU121" s="55">
        <v>6</v>
      </c>
      <c r="AV121" s="55">
        <v>0</v>
      </c>
      <c r="AW121" s="55"/>
      <c r="AX121" s="55"/>
      <c r="AY121" s="56">
        <f t="shared" si="65"/>
        <v>5.9</v>
      </c>
      <c r="AZ121" s="55"/>
      <c r="BA121" s="56">
        <v>11.833333333333334</v>
      </c>
      <c r="BB121" s="41">
        <f t="shared" si="48"/>
        <v>-0.50140845070422535</v>
      </c>
      <c r="BC121" s="13"/>
      <c r="BD121" s="35"/>
      <c r="BE121" s="13"/>
      <c r="BF121" s="16"/>
      <c r="BG121" s="17">
        <f t="shared" si="51"/>
        <v>0</v>
      </c>
      <c r="BH121" s="16">
        <f t="shared" si="58"/>
        <v>5.9</v>
      </c>
    </row>
    <row r="122" spans="1:60" s="21" customFormat="1" ht="12.75" customHeight="1" x14ac:dyDescent="0.2">
      <c r="A122" s="51">
        <v>112023</v>
      </c>
      <c r="B122" s="51" t="s">
        <v>1077</v>
      </c>
      <c r="C122" s="66" t="s">
        <v>1803</v>
      </c>
      <c r="D122" s="52" t="s">
        <v>728</v>
      </c>
      <c r="E122" s="65" t="s">
        <v>780</v>
      </c>
      <c r="F122" s="53">
        <f>IFERROR(VLOOKUP(E122,Fornecedores!$A$2:$B$2700,2,FALSE),"")</f>
        <v>2</v>
      </c>
      <c r="G122" s="52" t="s">
        <v>543</v>
      </c>
      <c r="H122" s="57"/>
      <c r="I122" s="55">
        <f t="shared" si="59"/>
        <v>1</v>
      </c>
      <c r="J122" s="55">
        <v>0</v>
      </c>
      <c r="K122" s="55">
        <v>1</v>
      </c>
      <c r="L122" s="55">
        <v>0</v>
      </c>
      <c r="M122" s="55">
        <v>0</v>
      </c>
      <c r="N122" s="55">
        <f t="shared" si="60"/>
        <v>3</v>
      </c>
      <c r="O122" s="55">
        <v>0</v>
      </c>
      <c r="P122" s="55">
        <v>3</v>
      </c>
      <c r="Q122" s="55">
        <v>0</v>
      </c>
      <c r="R122" s="55">
        <f t="shared" si="61"/>
        <v>1</v>
      </c>
      <c r="S122" s="55">
        <v>0</v>
      </c>
      <c r="T122" s="55">
        <v>1</v>
      </c>
      <c r="U122" s="55">
        <v>0</v>
      </c>
      <c r="V122" s="55">
        <v>9</v>
      </c>
      <c r="W122" s="53">
        <v>0</v>
      </c>
      <c r="X122" s="53">
        <v>5</v>
      </c>
      <c r="Y122" s="55">
        <v>4</v>
      </c>
      <c r="Z122" s="55">
        <v>0</v>
      </c>
      <c r="AA122" s="53">
        <v>0</v>
      </c>
      <c r="AB122" s="53">
        <v>0</v>
      </c>
      <c r="AC122" s="55">
        <v>0</v>
      </c>
      <c r="AD122" s="55">
        <f t="shared" si="62"/>
        <v>5</v>
      </c>
      <c r="AE122" s="53">
        <v>0</v>
      </c>
      <c r="AF122" s="55">
        <v>2</v>
      </c>
      <c r="AG122" s="55">
        <v>3</v>
      </c>
      <c r="AH122" s="55">
        <f t="shared" si="63"/>
        <v>1</v>
      </c>
      <c r="AI122" s="55">
        <v>0</v>
      </c>
      <c r="AJ122" s="55">
        <v>1</v>
      </c>
      <c r="AK122" s="55">
        <v>0</v>
      </c>
      <c r="AL122" s="55">
        <f t="shared" si="64"/>
        <v>2</v>
      </c>
      <c r="AM122" s="55" t="s">
        <v>1912</v>
      </c>
      <c r="AN122" s="55">
        <v>0</v>
      </c>
      <c r="AO122" s="55">
        <v>2</v>
      </c>
      <c r="AP122" s="55">
        <f t="shared" si="40"/>
        <v>8</v>
      </c>
      <c r="AQ122" s="55">
        <f>IFERROR(VLOOKUP(A122,[1]SIIMPLES!$A$2:$F$418,6,FALSE),0)</f>
        <v>7</v>
      </c>
      <c r="AR122" s="55">
        <v>1</v>
      </c>
      <c r="AS122" s="55">
        <v>0</v>
      </c>
      <c r="AT122" s="55">
        <v>0</v>
      </c>
      <c r="AU122" s="55">
        <v>0</v>
      </c>
      <c r="AV122" s="55">
        <v>0</v>
      </c>
      <c r="AW122" s="55"/>
      <c r="AX122" s="55"/>
      <c r="AY122" s="56">
        <f t="shared" si="65"/>
        <v>3</v>
      </c>
      <c r="AZ122" s="55"/>
      <c r="BA122" s="56">
        <v>2.3333333333333335</v>
      </c>
      <c r="BB122" s="41">
        <f t="shared" si="48"/>
        <v>0.28571428571428559</v>
      </c>
      <c r="BC122" s="7"/>
      <c r="BD122" s="35"/>
      <c r="BE122" s="13"/>
      <c r="BF122" s="16"/>
      <c r="BG122" s="17">
        <f t="shared" si="51"/>
        <v>0</v>
      </c>
      <c r="BH122" s="16">
        <f t="shared" si="58"/>
        <v>3</v>
      </c>
    </row>
    <row r="123" spans="1:60" s="21" customFormat="1" ht="12.75" customHeight="1" x14ac:dyDescent="0.2">
      <c r="A123" s="51" t="s">
        <v>782</v>
      </c>
      <c r="B123" s="51" t="s">
        <v>1077</v>
      </c>
      <c r="C123" s="66" t="s">
        <v>1803</v>
      </c>
      <c r="D123" s="52" t="s">
        <v>745</v>
      </c>
      <c r="E123" s="52" t="s">
        <v>780</v>
      </c>
      <c r="F123" s="53">
        <f>IFERROR(VLOOKUP(E123,Fornecedores!$A$2:$B$2700,2,FALSE),"")</f>
        <v>2</v>
      </c>
      <c r="G123" s="52" t="s">
        <v>934</v>
      </c>
      <c r="H123" s="54"/>
      <c r="I123" s="55">
        <f t="shared" si="59"/>
        <v>1</v>
      </c>
      <c r="J123" s="55">
        <v>0</v>
      </c>
      <c r="K123" s="55">
        <v>1</v>
      </c>
      <c r="L123" s="55">
        <v>0</v>
      </c>
      <c r="M123" s="55">
        <v>0</v>
      </c>
      <c r="N123" s="55">
        <f t="shared" si="60"/>
        <v>0</v>
      </c>
      <c r="O123" s="55">
        <v>0</v>
      </c>
      <c r="P123" s="55">
        <v>0</v>
      </c>
      <c r="Q123" s="55">
        <v>0</v>
      </c>
      <c r="R123" s="55">
        <f t="shared" si="61"/>
        <v>6</v>
      </c>
      <c r="S123" s="55">
        <v>0</v>
      </c>
      <c r="T123" s="55">
        <v>6</v>
      </c>
      <c r="U123" s="55">
        <v>0</v>
      </c>
      <c r="V123" s="55">
        <v>4</v>
      </c>
      <c r="W123" s="53">
        <v>0</v>
      </c>
      <c r="X123" s="53">
        <v>4</v>
      </c>
      <c r="Y123" s="55">
        <v>0</v>
      </c>
      <c r="Z123" s="55">
        <v>3</v>
      </c>
      <c r="AA123" s="53">
        <v>1</v>
      </c>
      <c r="AB123" s="53">
        <v>2</v>
      </c>
      <c r="AC123" s="55">
        <v>0</v>
      </c>
      <c r="AD123" s="55">
        <f t="shared" si="62"/>
        <v>4</v>
      </c>
      <c r="AE123" s="53">
        <v>0</v>
      </c>
      <c r="AF123" s="55">
        <v>4</v>
      </c>
      <c r="AG123" s="55">
        <v>0</v>
      </c>
      <c r="AH123" s="55">
        <f t="shared" si="63"/>
        <v>4</v>
      </c>
      <c r="AI123" s="55">
        <v>0</v>
      </c>
      <c r="AJ123" s="55">
        <v>4</v>
      </c>
      <c r="AK123" s="55">
        <v>0</v>
      </c>
      <c r="AL123" s="55">
        <f t="shared" si="64"/>
        <v>10</v>
      </c>
      <c r="AM123" s="55" t="s">
        <v>1912</v>
      </c>
      <c r="AN123" s="55">
        <v>4</v>
      </c>
      <c r="AO123" s="55">
        <v>6</v>
      </c>
      <c r="AP123" s="55">
        <f t="shared" si="40"/>
        <v>8</v>
      </c>
      <c r="AQ123" s="55">
        <f>IFERROR(VLOOKUP(A123,[1]SIIMPLES!$A$2:$F$418,6,FALSE),0)</f>
        <v>0</v>
      </c>
      <c r="AR123" s="55">
        <v>8</v>
      </c>
      <c r="AS123" s="55">
        <v>6</v>
      </c>
      <c r="AT123" s="55">
        <v>0</v>
      </c>
      <c r="AU123" s="55">
        <v>6</v>
      </c>
      <c r="AV123" s="55">
        <v>0</v>
      </c>
      <c r="AW123" s="55"/>
      <c r="AX123" s="55"/>
      <c r="AY123" s="56">
        <f t="shared" si="65"/>
        <v>4.5999999999999996</v>
      </c>
      <c r="AZ123" s="55"/>
      <c r="BA123" s="56">
        <v>5.333333333333333</v>
      </c>
      <c r="BB123" s="41">
        <f t="shared" si="48"/>
        <v>-0.13750000000000007</v>
      </c>
      <c r="BC123" s="13"/>
      <c r="BD123" s="35"/>
      <c r="BE123" s="13"/>
      <c r="BF123" s="16"/>
      <c r="BG123" s="17">
        <f t="shared" si="51"/>
        <v>0</v>
      </c>
      <c r="BH123" s="16">
        <f t="shared" si="58"/>
        <v>4.5999999999999996</v>
      </c>
    </row>
    <row r="124" spans="1:60" s="21" customFormat="1" ht="12.75" customHeight="1" x14ac:dyDescent="0.2">
      <c r="A124" s="51" t="s">
        <v>783</v>
      </c>
      <c r="B124" s="51" t="s">
        <v>1086</v>
      </c>
      <c r="C124" s="66" t="s">
        <v>1803</v>
      </c>
      <c r="D124" s="52" t="s">
        <v>745</v>
      </c>
      <c r="E124" s="52" t="s">
        <v>780</v>
      </c>
      <c r="F124" s="53">
        <f>IFERROR(VLOOKUP(E124,Fornecedores!$A$2:$B$2700,2,FALSE),"")</f>
        <v>2</v>
      </c>
      <c r="G124" s="52" t="s">
        <v>928</v>
      </c>
      <c r="H124" s="54"/>
      <c r="I124" s="55">
        <f t="shared" si="59"/>
        <v>4</v>
      </c>
      <c r="J124" s="55">
        <v>0</v>
      </c>
      <c r="K124" s="55">
        <v>4</v>
      </c>
      <c r="L124" s="55">
        <v>0</v>
      </c>
      <c r="M124" s="55">
        <v>0</v>
      </c>
      <c r="N124" s="55">
        <f t="shared" si="60"/>
        <v>0</v>
      </c>
      <c r="O124" s="55">
        <v>0</v>
      </c>
      <c r="P124" s="55">
        <v>0</v>
      </c>
      <c r="Q124" s="55">
        <v>0</v>
      </c>
      <c r="R124" s="55">
        <f t="shared" si="61"/>
        <v>2</v>
      </c>
      <c r="S124" s="55">
        <v>0</v>
      </c>
      <c r="T124" s="55">
        <v>2</v>
      </c>
      <c r="U124" s="55">
        <v>0</v>
      </c>
      <c r="V124" s="55">
        <v>6</v>
      </c>
      <c r="W124" s="53">
        <v>0</v>
      </c>
      <c r="X124" s="53">
        <v>6</v>
      </c>
      <c r="Y124" s="55">
        <v>0</v>
      </c>
      <c r="Z124" s="55">
        <v>2</v>
      </c>
      <c r="AA124" s="53">
        <v>0</v>
      </c>
      <c r="AB124" s="53">
        <v>2</v>
      </c>
      <c r="AC124" s="55">
        <v>0</v>
      </c>
      <c r="AD124" s="55">
        <f t="shared" si="62"/>
        <v>6</v>
      </c>
      <c r="AE124" s="53">
        <v>0</v>
      </c>
      <c r="AF124" s="55">
        <v>6</v>
      </c>
      <c r="AG124" s="55">
        <v>0</v>
      </c>
      <c r="AH124" s="55">
        <f t="shared" si="63"/>
        <v>20</v>
      </c>
      <c r="AI124" s="55">
        <v>0</v>
      </c>
      <c r="AJ124" s="55">
        <v>20</v>
      </c>
      <c r="AK124" s="55">
        <v>0</v>
      </c>
      <c r="AL124" s="55">
        <f t="shared" si="64"/>
        <v>18</v>
      </c>
      <c r="AM124" s="55" t="s">
        <v>1912</v>
      </c>
      <c r="AN124" s="55">
        <v>18</v>
      </c>
      <c r="AO124" s="55">
        <v>0</v>
      </c>
      <c r="AP124" s="55">
        <f t="shared" si="40"/>
        <v>8</v>
      </c>
      <c r="AQ124" s="55">
        <f>IFERROR(VLOOKUP(A124,[1]SIIMPLES!$A$2:$F$418,6,FALSE),0)</f>
        <v>0</v>
      </c>
      <c r="AR124" s="55">
        <v>8</v>
      </c>
      <c r="AS124" s="55">
        <v>11</v>
      </c>
      <c r="AT124" s="55">
        <v>1</v>
      </c>
      <c r="AU124" s="55">
        <v>10</v>
      </c>
      <c r="AV124" s="55">
        <v>0</v>
      </c>
      <c r="AW124" s="55"/>
      <c r="AX124" s="55"/>
      <c r="AY124" s="56">
        <f t="shared" si="65"/>
        <v>7.7</v>
      </c>
      <c r="AZ124" s="55"/>
      <c r="BA124" s="56">
        <v>10.333333333333334</v>
      </c>
      <c r="BB124" s="41">
        <f t="shared" si="48"/>
        <v>-0.25483870967741939</v>
      </c>
      <c r="BC124" s="7"/>
      <c r="BD124" s="35"/>
      <c r="BE124" s="13"/>
      <c r="BF124" s="16"/>
      <c r="BG124" s="17">
        <f t="shared" si="51"/>
        <v>0</v>
      </c>
      <c r="BH124" s="16">
        <f t="shared" si="58"/>
        <v>7.7</v>
      </c>
    </row>
    <row r="125" spans="1:60" s="21" customFormat="1" ht="12.75" customHeight="1" x14ac:dyDescent="0.2">
      <c r="A125" s="28">
        <v>332063</v>
      </c>
      <c r="B125" s="28"/>
      <c r="C125" s="28" t="s">
        <v>1803</v>
      </c>
      <c r="D125" s="83" t="s">
        <v>1917</v>
      </c>
      <c r="E125" s="83" t="s">
        <v>780</v>
      </c>
      <c r="F125" s="84"/>
      <c r="G125" s="85" t="s">
        <v>2113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55">
        <f t="shared" si="64"/>
        <v>11</v>
      </c>
      <c r="AM125" s="7"/>
      <c r="AN125" s="7"/>
      <c r="AO125" s="55">
        <v>11</v>
      </c>
      <c r="AP125" s="55">
        <f t="shared" si="40"/>
        <v>8</v>
      </c>
      <c r="AQ125" s="55">
        <f>IFERROR(VLOOKUP(A125,[1]SIIMPLES!$A$2:$F$418,6,FALSE),0)</f>
        <v>8</v>
      </c>
      <c r="AR125" s="55">
        <v>0</v>
      </c>
      <c r="AS125" s="55">
        <v>1</v>
      </c>
      <c r="AT125" s="55">
        <v>0</v>
      </c>
      <c r="AU125" s="55">
        <v>0</v>
      </c>
      <c r="AV125" s="55">
        <v>1</v>
      </c>
      <c r="AW125" s="7"/>
      <c r="AX125" s="7"/>
      <c r="AY125" s="7"/>
      <c r="AZ125" s="7"/>
      <c r="BA125" s="7"/>
      <c r="BB125" s="41" t="str">
        <f t="shared" si="48"/>
        <v/>
      </c>
      <c r="BC125" s="13"/>
      <c r="BD125" s="35"/>
      <c r="BE125" s="13"/>
      <c r="BF125" s="16">
        <f>SUM(BC125:BE125)</f>
        <v>0</v>
      </c>
      <c r="BG125" s="17" t="str">
        <f t="shared" si="51"/>
        <v>0</v>
      </c>
      <c r="BH125" s="16">
        <f t="shared" si="58"/>
        <v>0</v>
      </c>
    </row>
    <row r="126" spans="1:60" s="21" customFormat="1" ht="12.75" customHeight="1" x14ac:dyDescent="0.2">
      <c r="A126" s="28" t="s">
        <v>2139</v>
      </c>
      <c r="B126" s="28"/>
      <c r="C126" s="28" t="s">
        <v>1851</v>
      </c>
      <c r="D126" s="83" t="s">
        <v>2028</v>
      </c>
      <c r="E126" s="83" t="s">
        <v>2017</v>
      </c>
      <c r="F126" s="84"/>
      <c r="G126" s="85" t="s">
        <v>2185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101"/>
      <c r="AP126" s="55">
        <f t="shared" si="40"/>
        <v>8</v>
      </c>
      <c r="AQ126" s="55">
        <f>IFERROR(VLOOKUP(A126,[1]SIIMPLES!$A$2:$F$418,6,FALSE),0)</f>
        <v>8</v>
      </c>
      <c r="AR126" s="55">
        <v>0</v>
      </c>
      <c r="AS126" s="55">
        <v>0</v>
      </c>
      <c r="AT126" s="55">
        <v>0</v>
      </c>
      <c r="AU126" s="55">
        <v>0</v>
      </c>
      <c r="AV126" s="55">
        <v>0</v>
      </c>
      <c r="AW126" s="7"/>
      <c r="AX126" s="7"/>
      <c r="AY126" s="7"/>
      <c r="AZ126" s="7"/>
      <c r="BA126" s="7"/>
      <c r="BB126" s="41" t="str">
        <f t="shared" si="48"/>
        <v/>
      </c>
      <c r="BC126" s="13"/>
      <c r="BD126" s="35"/>
      <c r="BE126" s="13"/>
      <c r="BF126" s="16"/>
      <c r="BG126" s="17" t="str">
        <f t="shared" si="51"/>
        <v>0</v>
      </c>
      <c r="BH126" s="16">
        <f t="shared" si="58"/>
        <v>0</v>
      </c>
    </row>
    <row r="127" spans="1:60" s="21" customFormat="1" ht="12.75" customHeight="1" x14ac:dyDescent="0.2">
      <c r="A127" s="28" t="s">
        <v>2140</v>
      </c>
      <c r="B127" s="28"/>
      <c r="C127" s="28" t="s">
        <v>1851</v>
      </c>
      <c r="D127" s="83" t="s">
        <v>2028</v>
      </c>
      <c r="E127" s="83" t="s">
        <v>2017</v>
      </c>
      <c r="F127" s="84"/>
      <c r="G127" s="85" t="s">
        <v>2185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101"/>
      <c r="AP127" s="55">
        <f t="shared" si="40"/>
        <v>8</v>
      </c>
      <c r="AQ127" s="55">
        <f>IFERROR(VLOOKUP(A127,[1]SIIMPLES!$A$2:$F$418,6,FALSE),0)</f>
        <v>8</v>
      </c>
      <c r="AR127" s="55">
        <v>0</v>
      </c>
      <c r="AS127" s="55">
        <v>0</v>
      </c>
      <c r="AT127" s="55">
        <v>0</v>
      </c>
      <c r="AU127" s="55">
        <v>0</v>
      </c>
      <c r="AV127" s="55">
        <v>0</v>
      </c>
      <c r="AW127" s="7"/>
      <c r="AX127" s="7"/>
      <c r="AY127" s="7"/>
      <c r="AZ127" s="7"/>
      <c r="BA127" s="7"/>
      <c r="BB127" s="41" t="str">
        <f t="shared" si="48"/>
        <v/>
      </c>
      <c r="BC127" s="13"/>
      <c r="BD127" s="36"/>
      <c r="BE127" s="7"/>
      <c r="BF127" s="7"/>
      <c r="BG127" s="7"/>
      <c r="BH127" s="7"/>
    </row>
    <row r="128" spans="1:60" s="21" customFormat="1" ht="12.75" customHeight="1" x14ac:dyDescent="0.2">
      <c r="A128" s="28" t="s">
        <v>2159</v>
      </c>
      <c r="B128" s="28"/>
      <c r="C128" s="28" t="s">
        <v>1851</v>
      </c>
      <c r="D128" s="83" t="s">
        <v>2108</v>
      </c>
      <c r="E128" s="83" t="s">
        <v>2025</v>
      </c>
      <c r="F128" s="84"/>
      <c r="G128" s="85" t="s">
        <v>2204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101"/>
      <c r="AP128" s="55">
        <f t="shared" si="40"/>
        <v>8</v>
      </c>
      <c r="AQ128" s="55">
        <f>IFERROR(VLOOKUP(A128,[1]SIIMPLES!$A$2:$F$418,6,FALSE),0)</f>
        <v>8</v>
      </c>
      <c r="AR128" s="55">
        <v>0</v>
      </c>
      <c r="AS128" s="55">
        <v>1</v>
      </c>
      <c r="AT128" s="55">
        <v>1</v>
      </c>
      <c r="AU128" s="55">
        <v>0</v>
      </c>
      <c r="AV128" s="55">
        <v>0</v>
      </c>
      <c r="AW128" s="7"/>
      <c r="AX128" s="7"/>
      <c r="AY128" s="7"/>
      <c r="AZ128" s="7"/>
      <c r="BA128" s="7"/>
      <c r="BB128" s="41" t="str">
        <f t="shared" si="48"/>
        <v/>
      </c>
      <c r="BC128" s="13"/>
      <c r="BD128" s="35"/>
      <c r="BE128" s="13"/>
      <c r="BF128" s="16"/>
      <c r="BG128" s="17" t="str">
        <f t="shared" ref="BG128:BG143" si="66">IFERROR(BC128/AY128,"0")</f>
        <v>0</v>
      </c>
      <c r="BH128" s="16">
        <f t="shared" ref="BH128:BH143" si="67">IFERROR(IF(F128=1,IF(BC128&lt;AY128*3,AY128*3-BC128,0),IF(BC128&lt;AY128,AY128-BC128,0)),"")</f>
        <v>0</v>
      </c>
    </row>
    <row r="129" spans="1:60" s="21" customFormat="1" ht="12.75" customHeight="1" x14ac:dyDescent="0.2">
      <c r="A129" s="51">
        <v>2345</v>
      </c>
      <c r="B129" s="51" t="s">
        <v>1077</v>
      </c>
      <c r="C129" s="66" t="s">
        <v>1803</v>
      </c>
      <c r="D129" s="65" t="s">
        <v>756</v>
      </c>
      <c r="E129" s="52" t="s">
        <v>730</v>
      </c>
      <c r="F129" s="53">
        <f>IFERROR(VLOOKUP(E129,Fornecedores!$A$2:$B$2700,2,FALSE),"")</f>
        <v>3</v>
      </c>
      <c r="G129" s="52" t="s">
        <v>553</v>
      </c>
      <c r="H129" s="54"/>
      <c r="I129" s="55">
        <f t="shared" ref="I129:I143" si="68">SUM(J129:M129)</f>
        <v>2</v>
      </c>
      <c r="J129" s="55">
        <v>1</v>
      </c>
      <c r="K129" s="55">
        <v>1</v>
      </c>
      <c r="L129" s="55">
        <v>0</v>
      </c>
      <c r="M129" s="55">
        <v>0</v>
      </c>
      <c r="N129" s="55">
        <f t="shared" ref="N129:N143" si="69">SUM(O129:Q129)</f>
        <v>6</v>
      </c>
      <c r="O129" s="55">
        <v>1</v>
      </c>
      <c r="P129" s="55">
        <v>5</v>
      </c>
      <c r="Q129" s="55">
        <v>0</v>
      </c>
      <c r="R129" s="55">
        <f t="shared" ref="R129:R143" si="70">SUM(S129:U129)</f>
        <v>11</v>
      </c>
      <c r="S129" s="55">
        <v>9</v>
      </c>
      <c r="T129" s="55">
        <v>2</v>
      </c>
      <c r="U129" s="55">
        <v>0</v>
      </c>
      <c r="V129" s="55">
        <v>3</v>
      </c>
      <c r="W129" s="53">
        <v>2</v>
      </c>
      <c r="X129" s="53">
        <v>1</v>
      </c>
      <c r="Y129" s="55">
        <v>0</v>
      </c>
      <c r="Z129" s="55">
        <v>5</v>
      </c>
      <c r="AA129" s="53">
        <v>4</v>
      </c>
      <c r="AB129" s="53">
        <v>1</v>
      </c>
      <c r="AC129" s="55">
        <v>0</v>
      </c>
      <c r="AD129" s="55">
        <f t="shared" ref="AD129:AD143" si="71">SUM(AE129:AG129)</f>
        <v>0</v>
      </c>
      <c r="AE129" s="53">
        <v>0</v>
      </c>
      <c r="AF129" s="55">
        <v>0</v>
      </c>
      <c r="AG129" s="55">
        <v>0</v>
      </c>
      <c r="AH129" s="55">
        <f t="shared" ref="AH129:AH143" si="72">SUM(AI129:AK129)</f>
        <v>4</v>
      </c>
      <c r="AI129" s="55">
        <v>4</v>
      </c>
      <c r="AJ129" s="55">
        <v>0</v>
      </c>
      <c r="AK129" s="55">
        <v>0</v>
      </c>
      <c r="AL129" s="55">
        <f t="shared" ref="AL129:AL160" si="73">SUM(AM129:AO129)</f>
        <v>7</v>
      </c>
      <c r="AM129" s="55">
        <v>7</v>
      </c>
      <c r="AN129" s="55">
        <v>0</v>
      </c>
      <c r="AO129" s="55">
        <v>0</v>
      </c>
      <c r="AP129" s="55">
        <f t="shared" si="40"/>
        <v>7</v>
      </c>
      <c r="AQ129" s="55">
        <f>IFERROR(VLOOKUP(A129,[1]SIIMPLES!$A$2:$F$418,6,FALSE),0)</f>
        <v>6</v>
      </c>
      <c r="AR129" s="55">
        <v>1</v>
      </c>
      <c r="AS129" s="55">
        <v>6</v>
      </c>
      <c r="AT129" s="55">
        <v>3</v>
      </c>
      <c r="AU129" s="55">
        <v>1</v>
      </c>
      <c r="AV129" s="55">
        <v>2</v>
      </c>
      <c r="AW129" s="55"/>
      <c r="AX129" s="55"/>
      <c r="AY129" s="56">
        <f t="shared" ref="AY129:AY143" si="74">IFERROR(AVERAGE(I129,N129,R129,V129,Z129,AD129,AH129,AL129,AP129,AS129,AW129,AX129),"-")</f>
        <v>5.0999999999999996</v>
      </c>
      <c r="AZ129" s="55"/>
      <c r="BA129" s="56">
        <v>12.5</v>
      </c>
      <c r="BB129" s="41">
        <f t="shared" si="48"/>
        <v>-0.59200000000000008</v>
      </c>
      <c r="BC129" s="13"/>
      <c r="BD129" s="35"/>
      <c r="BE129" s="13"/>
      <c r="BF129" s="16"/>
      <c r="BG129" s="17">
        <f t="shared" si="66"/>
        <v>0</v>
      </c>
      <c r="BH129" s="16">
        <f t="shared" si="67"/>
        <v>5.0999999999999996</v>
      </c>
    </row>
    <row r="130" spans="1:60" s="21" customFormat="1" ht="12.75" customHeight="1" x14ac:dyDescent="0.2">
      <c r="A130" s="51">
        <v>4032</v>
      </c>
      <c r="B130" s="51"/>
      <c r="C130" s="66" t="s">
        <v>1803</v>
      </c>
      <c r="D130" s="52" t="s">
        <v>760</v>
      </c>
      <c r="E130" s="52" t="s">
        <v>736</v>
      </c>
      <c r="F130" s="53">
        <f>IFERROR(VLOOKUP(E130,Fornecedores!$A$2:$B$2700,2,FALSE),"")</f>
        <v>5</v>
      </c>
      <c r="G130" s="52" t="s">
        <v>1591</v>
      </c>
      <c r="H130" s="57"/>
      <c r="I130" s="55">
        <f t="shared" si="68"/>
        <v>1</v>
      </c>
      <c r="J130" s="55">
        <v>1</v>
      </c>
      <c r="K130" s="55">
        <v>0</v>
      </c>
      <c r="L130" s="55">
        <v>0</v>
      </c>
      <c r="M130" s="55">
        <v>0</v>
      </c>
      <c r="N130" s="55">
        <f t="shared" si="69"/>
        <v>1</v>
      </c>
      <c r="O130" s="55">
        <v>1</v>
      </c>
      <c r="P130" s="55">
        <v>0</v>
      </c>
      <c r="Q130" s="55">
        <v>0</v>
      </c>
      <c r="R130" s="55">
        <f t="shared" si="70"/>
        <v>0</v>
      </c>
      <c r="S130" s="55">
        <v>0</v>
      </c>
      <c r="T130" s="55">
        <v>0</v>
      </c>
      <c r="U130" s="55">
        <v>0</v>
      </c>
      <c r="V130" s="55">
        <v>1</v>
      </c>
      <c r="W130" s="53">
        <v>1</v>
      </c>
      <c r="X130" s="53">
        <v>0</v>
      </c>
      <c r="Y130" s="55">
        <v>0</v>
      </c>
      <c r="Z130" s="55">
        <v>5</v>
      </c>
      <c r="AA130" s="53">
        <v>5</v>
      </c>
      <c r="AB130" s="53">
        <v>0</v>
      </c>
      <c r="AC130" s="55">
        <v>0</v>
      </c>
      <c r="AD130" s="55">
        <f t="shared" si="71"/>
        <v>0</v>
      </c>
      <c r="AE130" s="53">
        <v>0</v>
      </c>
      <c r="AF130" s="55">
        <v>0</v>
      </c>
      <c r="AG130" s="55">
        <v>0</v>
      </c>
      <c r="AH130" s="55">
        <f t="shared" si="72"/>
        <v>4</v>
      </c>
      <c r="AI130" s="55">
        <v>4</v>
      </c>
      <c r="AJ130" s="55">
        <v>0</v>
      </c>
      <c r="AK130" s="55">
        <v>0</v>
      </c>
      <c r="AL130" s="55">
        <f t="shared" si="73"/>
        <v>3</v>
      </c>
      <c r="AM130" s="55">
        <v>3</v>
      </c>
      <c r="AN130" s="55">
        <v>0</v>
      </c>
      <c r="AO130" s="55">
        <v>0</v>
      </c>
      <c r="AP130" s="55">
        <f t="shared" si="40"/>
        <v>7</v>
      </c>
      <c r="AQ130" s="55">
        <f>IFERROR(VLOOKUP(A130,[1]SIIMPLES!$A$2:$F$418,6,FALSE),0)</f>
        <v>7</v>
      </c>
      <c r="AR130" s="55">
        <v>0</v>
      </c>
      <c r="AS130" s="55">
        <v>2</v>
      </c>
      <c r="AT130" s="55">
        <v>2</v>
      </c>
      <c r="AU130" s="55">
        <v>0</v>
      </c>
      <c r="AV130" s="55">
        <v>0</v>
      </c>
      <c r="AW130" s="55"/>
      <c r="AX130" s="55"/>
      <c r="AY130" s="56">
        <f t="shared" si="74"/>
        <v>2.4</v>
      </c>
      <c r="AZ130" s="55"/>
      <c r="BA130" s="56">
        <v>0.5</v>
      </c>
      <c r="BB130" s="41">
        <f t="shared" si="48"/>
        <v>3.8</v>
      </c>
      <c r="BC130" s="13"/>
      <c r="BD130" s="35"/>
      <c r="BE130" s="13"/>
      <c r="BF130" s="16"/>
      <c r="BG130" s="17">
        <f t="shared" si="66"/>
        <v>0</v>
      </c>
      <c r="BH130" s="16">
        <f t="shared" si="67"/>
        <v>2.4</v>
      </c>
    </row>
    <row r="131" spans="1:60" s="21" customFormat="1" ht="12.75" customHeight="1" x14ac:dyDescent="0.2">
      <c r="A131" s="51">
        <v>44507</v>
      </c>
      <c r="B131" s="51" t="s">
        <v>1077</v>
      </c>
      <c r="C131" s="66" t="s">
        <v>1803</v>
      </c>
      <c r="D131" s="65" t="s">
        <v>1778</v>
      </c>
      <c r="E131" s="52" t="s">
        <v>732</v>
      </c>
      <c r="F131" s="53">
        <f>IFERROR(VLOOKUP(E131,Fornecedores!$A$2:$B$2700,2,FALSE),"")</f>
        <v>6</v>
      </c>
      <c r="G131" s="52" t="s">
        <v>150</v>
      </c>
      <c r="H131" s="54"/>
      <c r="I131" s="55">
        <f t="shared" si="68"/>
        <v>5</v>
      </c>
      <c r="J131" s="55">
        <v>5</v>
      </c>
      <c r="K131" s="55">
        <v>0</v>
      </c>
      <c r="L131" s="55">
        <v>0</v>
      </c>
      <c r="M131" s="55">
        <v>0</v>
      </c>
      <c r="N131" s="55">
        <f t="shared" si="69"/>
        <v>1</v>
      </c>
      <c r="O131" s="55">
        <v>1</v>
      </c>
      <c r="P131" s="55">
        <v>0</v>
      </c>
      <c r="Q131" s="55">
        <v>0</v>
      </c>
      <c r="R131" s="55">
        <f t="shared" si="70"/>
        <v>0</v>
      </c>
      <c r="S131" s="55">
        <v>0</v>
      </c>
      <c r="T131" s="55">
        <v>0</v>
      </c>
      <c r="U131" s="55">
        <v>0</v>
      </c>
      <c r="V131" s="55">
        <v>2</v>
      </c>
      <c r="W131" s="53">
        <v>2</v>
      </c>
      <c r="X131" s="53">
        <v>0</v>
      </c>
      <c r="Y131" s="55">
        <v>0</v>
      </c>
      <c r="Z131" s="55">
        <v>3</v>
      </c>
      <c r="AA131" s="53">
        <v>3</v>
      </c>
      <c r="AB131" s="53">
        <v>0</v>
      </c>
      <c r="AC131" s="55">
        <v>0</v>
      </c>
      <c r="AD131" s="55">
        <f t="shared" si="71"/>
        <v>1</v>
      </c>
      <c r="AE131" s="53">
        <v>1</v>
      </c>
      <c r="AF131" s="55">
        <v>0</v>
      </c>
      <c r="AG131" s="55">
        <v>0</v>
      </c>
      <c r="AH131" s="55">
        <f t="shared" si="72"/>
        <v>0</v>
      </c>
      <c r="AI131" s="55">
        <v>0</v>
      </c>
      <c r="AJ131" s="55">
        <v>0</v>
      </c>
      <c r="AK131" s="55">
        <v>0</v>
      </c>
      <c r="AL131" s="55">
        <f t="shared" si="73"/>
        <v>2</v>
      </c>
      <c r="AM131" s="55">
        <v>2</v>
      </c>
      <c r="AN131" s="55">
        <v>0</v>
      </c>
      <c r="AO131" s="55">
        <v>0</v>
      </c>
      <c r="AP131" s="55">
        <f t="shared" ref="AP131:AP194" si="75">SUM(AQ131:AR131)</f>
        <v>7</v>
      </c>
      <c r="AQ131" s="55">
        <f>IFERROR(VLOOKUP(A131,[1]SIIMPLES!$A$2:$F$418,6,FALSE),0)</f>
        <v>7</v>
      </c>
      <c r="AR131" s="55">
        <v>0</v>
      </c>
      <c r="AS131" s="55">
        <v>4</v>
      </c>
      <c r="AT131" s="55">
        <v>4</v>
      </c>
      <c r="AU131" s="55">
        <v>0</v>
      </c>
      <c r="AV131" s="55">
        <v>0</v>
      </c>
      <c r="AW131" s="55"/>
      <c r="AX131" s="55"/>
      <c r="AY131" s="56">
        <f t="shared" si="74"/>
        <v>2.5</v>
      </c>
      <c r="AZ131" s="55"/>
      <c r="BA131" s="56">
        <v>7.333333333333333</v>
      </c>
      <c r="BB131" s="41">
        <f t="shared" si="48"/>
        <v>-0.65909090909090906</v>
      </c>
      <c r="BC131" s="13"/>
      <c r="BD131" s="35"/>
      <c r="BE131" s="13"/>
      <c r="BF131" s="16">
        <f>SUM(BC131:BE131)</f>
        <v>0</v>
      </c>
      <c r="BG131" s="17">
        <f t="shared" si="66"/>
        <v>0</v>
      </c>
      <c r="BH131" s="16">
        <f t="shared" si="67"/>
        <v>2.5</v>
      </c>
    </row>
    <row r="132" spans="1:60" s="21" customFormat="1" ht="12.75" customHeight="1" x14ac:dyDescent="0.2">
      <c r="A132" s="51">
        <v>112024</v>
      </c>
      <c r="B132" s="51" t="s">
        <v>1077</v>
      </c>
      <c r="C132" s="66" t="s">
        <v>1803</v>
      </c>
      <c r="D132" s="52" t="s">
        <v>728</v>
      </c>
      <c r="E132" s="65" t="s">
        <v>780</v>
      </c>
      <c r="F132" s="53">
        <f>IFERROR(VLOOKUP(E132,Fornecedores!$A$2:$B$2700,2,FALSE),"")</f>
        <v>2</v>
      </c>
      <c r="G132" s="52" t="s">
        <v>529</v>
      </c>
      <c r="H132" s="57"/>
      <c r="I132" s="55">
        <f t="shared" si="68"/>
        <v>7</v>
      </c>
      <c r="J132" s="55">
        <v>0</v>
      </c>
      <c r="K132" s="55">
        <v>4</v>
      </c>
      <c r="L132" s="55">
        <v>0</v>
      </c>
      <c r="M132" s="55">
        <v>3</v>
      </c>
      <c r="N132" s="55">
        <f t="shared" si="69"/>
        <v>7</v>
      </c>
      <c r="O132" s="55">
        <v>0</v>
      </c>
      <c r="P132" s="55">
        <v>7</v>
      </c>
      <c r="Q132" s="55">
        <v>0</v>
      </c>
      <c r="R132" s="55">
        <f t="shared" si="70"/>
        <v>4</v>
      </c>
      <c r="S132" s="55">
        <v>0</v>
      </c>
      <c r="T132" s="55">
        <v>4</v>
      </c>
      <c r="U132" s="55">
        <v>0</v>
      </c>
      <c r="V132" s="55">
        <v>9</v>
      </c>
      <c r="W132" s="53">
        <v>2</v>
      </c>
      <c r="X132" s="53">
        <v>7</v>
      </c>
      <c r="Y132" s="55">
        <v>0</v>
      </c>
      <c r="Z132" s="55">
        <v>1</v>
      </c>
      <c r="AA132" s="53">
        <v>0</v>
      </c>
      <c r="AB132" s="53">
        <v>1</v>
      </c>
      <c r="AC132" s="55">
        <v>0</v>
      </c>
      <c r="AD132" s="55">
        <f t="shared" si="71"/>
        <v>11</v>
      </c>
      <c r="AE132" s="53">
        <v>1</v>
      </c>
      <c r="AF132" s="55">
        <v>10</v>
      </c>
      <c r="AG132" s="55">
        <v>0</v>
      </c>
      <c r="AH132" s="55">
        <f t="shared" si="72"/>
        <v>10</v>
      </c>
      <c r="AI132" s="55">
        <v>3</v>
      </c>
      <c r="AJ132" s="55">
        <v>7</v>
      </c>
      <c r="AK132" s="55">
        <v>0</v>
      </c>
      <c r="AL132" s="55">
        <f t="shared" si="73"/>
        <v>27</v>
      </c>
      <c r="AM132" s="55">
        <v>4</v>
      </c>
      <c r="AN132" s="55">
        <v>21</v>
      </c>
      <c r="AO132" s="55">
        <v>2</v>
      </c>
      <c r="AP132" s="55">
        <f t="shared" si="75"/>
        <v>7</v>
      </c>
      <c r="AQ132" s="55">
        <f>IFERROR(VLOOKUP(A132,[1]SIIMPLES!$A$2:$F$418,6,FALSE),0)</f>
        <v>5</v>
      </c>
      <c r="AR132" s="55">
        <v>2</v>
      </c>
      <c r="AS132" s="55">
        <v>7</v>
      </c>
      <c r="AT132" s="55">
        <v>6</v>
      </c>
      <c r="AU132" s="55">
        <v>1</v>
      </c>
      <c r="AV132" s="55">
        <v>0</v>
      </c>
      <c r="AW132" s="55"/>
      <c r="AX132" s="55"/>
      <c r="AY132" s="56">
        <f t="shared" si="74"/>
        <v>9</v>
      </c>
      <c r="AZ132" s="55"/>
      <c r="BA132" s="56">
        <v>6.666666666666667</v>
      </c>
      <c r="BB132" s="41">
        <f t="shared" si="48"/>
        <v>0.34999999999999987</v>
      </c>
      <c r="BC132" s="13"/>
      <c r="BD132" s="35"/>
      <c r="BE132" s="13"/>
      <c r="BF132" s="16"/>
      <c r="BG132" s="17">
        <f t="shared" si="66"/>
        <v>0</v>
      </c>
      <c r="BH132" s="16">
        <f t="shared" si="67"/>
        <v>9</v>
      </c>
    </row>
    <row r="133" spans="1:60" s="21" customFormat="1" ht="12.75" customHeight="1" x14ac:dyDescent="0.2">
      <c r="A133" s="51">
        <v>112025</v>
      </c>
      <c r="B133" s="51" t="s">
        <v>1077</v>
      </c>
      <c r="C133" s="66" t="s">
        <v>1803</v>
      </c>
      <c r="D133" s="52" t="s">
        <v>728</v>
      </c>
      <c r="E133" s="65" t="s">
        <v>780</v>
      </c>
      <c r="F133" s="53">
        <f>IFERROR(VLOOKUP(E133,Fornecedores!$A$2:$B$2700,2,FALSE),"")</f>
        <v>2</v>
      </c>
      <c r="G133" s="52" t="s">
        <v>852</v>
      </c>
      <c r="H133" s="57"/>
      <c r="I133" s="55">
        <f t="shared" si="68"/>
        <v>8</v>
      </c>
      <c r="J133" s="55">
        <v>1</v>
      </c>
      <c r="K133" s="55">
        <v>4</v>
      </c>
      <c r="L133" s="55">
        <v>0</v>
      </c>
      <c r="M133" s="55">
        <v>3</v>
      </c>
      <c r="N133" s="55">
        <f t="shared" si="69"/>
        <v>7</v>
      </c>
      <c r="O133" s="55">
        <v>0</v>
      </c>
      <c r="P133" s="55">
        <v>7</v>
      </c>
      <c r="Q133" s="55">
        <v>0</v>
      </c>
      <c r="R133" s="55">
        <f t="shared" si="70"/>
        <v>5</v>
      </c>
      <c r="S133" s="55">
        <v>1</v>
      </c>
      <c r="T133" s="55">
        <v>4</v>
      </c>
      <c r="U133" s="55">
        <v>0</v>
      </c>
      <c r="V133" s="55">
        <v>8</v>
      </c>
      <c r="W133" s="53">
        <v>1</v>
      </c>
      <c r="X133" s="53">
        <v>7</v>
      </c>
      <c r="Y133" s="55">
        <v>0</v>
      </c>
      <c r="Z133" s="55">
        <v>2</v>
      </c>
      <c r="AA133" s="53">
        <v>1</v>
      </c>
      <c r="AB133" s="53">
        <v>1</v>
      </c>
      <c r="AC133" s="55">
        <v>0</v>
      </c>
      <c r="AD133" s="55">
        <f t="shared" si="71"/>
        <v>12</v>
      </c>
      <c r="AE133" s="53">
        <v>2</v>
      </c>
      <c r="AF133" s="55">
        <v>10</v>
      </c>
      <c r="AG133" s="55">
        <v>0</v>
      </c>
      <c r="AH133" s="55">
        <f t="shared" si="72"/>
        <v>9</v>
      </c>
      <c r="AI133" s="55">
        <v>2</v>
      </c>
      <c r="AJ133" s="55">
        <v>7</v>
      </c>
      <c r="AK133" s="55">
        <v>0</v>
      </c>
      <c r="AL133" s="55">
        <f t="shared" si="73"/>
        <v>24</v>
      </c>
      <c r="AM133" s="55">
        <v>1</v>
      </c>
      <c r="AN133" s="55">
        <v>21</v>
      </c>
      <c r="AO133" s="55">
        <v>2</v>
      </c>
      <c r="AP133" s="55">
        <f t="shared" si="75"/>
        <v>7</v>
      </c>
      <c r="AQ133" s="55">
        <f>IFERROR(VLOOKUP(A133,[1]SIIMPLES!$A$2:$F$418,6,FALSE),0)</f>
        <v>5</v>
      </c>
      <c r="AR133" s="55">
        <v>2</v>
      </c>
      <c r="AS133" s="55">
        <v>5</v>
      </c>
      <c r="AT133" s="55">
        <v>4</v>
      </c>
      <c r="AU133" s="55">
        <v>1</v>
      </c>
      <c r="AV133" s="55">
        <v>0</v>
      </c>
      <c r="AW133" s="55"/>
      <c r="AX133" s="55"/>
      <c r="AY133" s="56">
        <f t="shared" si="74"/>
        <v>8.6999999999999993</v>
      </c>
      <c r="AZ133" s="55"/>
      <c r="BA133" s="56">
        <v>7.333333333333333</v>
      </c>
      <c r="BB133" s="41">
        <f t="shared" si="48"/>
        <v>0.18636363636363629</v>
      </c>
      <c r="BC133" s="13"/>
      <c r="BD133" s="35"/>
      <c r="BE133" s="13"/>
      <c r="BF133" s="16"/>
      <c r="BG133" s="17">
        <f t="shared" si="66"/>
        <v>0</v>
      </c>
      <c r="BH133" s="16">
        <f t="shared" si="67"/>
        <v>8.6999999999999993</v>
      </c>
    </row>
    <row r="134" spans="1:60" s="21" customFormat="1" ht="12.75" customHeight="1" x14ac:dyDescent="0.2">
      <c r="A134" s="51">
        <v>112126</v>
      </c>
      <c r="B134" s="51" t="s">
        <v>1077</v>
      </c>
      <c r="C134" s="66" t="s">
        <v>1803</v>
      </c>
      <c r="D134" s="52" t="s">
        <v>728</v>
      </c>
      <c r="E134" s="65" t="s">
        <v>780</v>
      </c>
      <c r="F134" s="53">
        <f>IFERROR(VLOOKUP(E134,Fornecedores!$A$2:$B$2700,2,FALSE),"")</f>
        <v>2</v>
      </c>
      <c r="G134" s="52" t="s">
        <v>603</v>
      </c>
      <c r="H134" s="57"/>
      <c r="I134" s="55">
        <f t="shared" si="68"/>
        <v>7</v>
      </c>
      <c r="J134" s="55">
        <v>0</v>
      </c>
      <c r="K134" s="55">
        <v>7</v>
      </c>
      <c r="L134" s="55">
        <v>0</v>
      </c>
      <c r="M134" s="55">
        <v>0</v>
      </c>
      <c r="N134" s="55">
        <f t="shared" si="69"/>
        <v>8</v>
      </c>
      <c r="O134" s="55">
        <v>2</v>
      </c>
      <c r="P134" s="55">
        <v>6</v>
      </c>
      <c r="Q134" s="55">
        <v>0</v>
      </c>
      <c r="R134" s="55">
        <f t="shared" si="70"/>
        <v>7</v>
      </c>
      <c r="S134" s="55">
        <v>3</v>
      </c>
      <c r="T134" s="55">
        <v>4</v>
      </c>
      <c r="U134" s="55">
        <v>0</v>
      </c>
      <c r="V134" s="55">
        <v>7</v>
      </c>
      <c r="W134" s="53">
        <v>1</v>
      </c>
      <c r="X134" s="53">
        <v>6</v>
      </c>
      <c r="Y134" s="55">
        <v>0</v>
      </c>
      <c r="Z134" s="55">
        <v>1</v>
      </c>
      <c r="AA134" s="53">
        <v>0</v>
      </c>
      <c r="AB134" s="53">
        <v>1</v>
      </c>
      <c r="AC134" s="55">
        <v>0</v>
      </c>
      <c r="AD134" s="55">
        <f t="shared" si="71"/>
        <v>4</v>
      </c>
      <c r="AE134" s="53">
        <v>1</v>
      </c>
      <c r="AF134" s="55">
        <v>3</v>
      </c>
      <c r="AG134" s="55">
        <v>0</v>
      </c>
      <c r="AH134" s="55">
        <f t="shared" si="72"/>
        <v>6</v>
      </c>
      <c r="AI134" s="55">
        <v>0</v>
      </c>
      <c r="AJ134" s="55">
        <v>6</v>
      </c>
      <c r="AK134" s="55">
        <v>0</v>
      </c>
      <c r="AL134" s="55">
        <f t="shared" si="73"/>
        <v>9</v>
      </c>
      <c r="AM134" s="55" t="s">
        <v>1912</v>
      </c>
      <c r="AN134" s="55">
        <v>9</v>
      </c>
      <c r="AO134" s="55">
        <v>0</v>
      </c>
      <c r="AP134" s="55">
        <f t="shared" si="75"/>
        <v>7</v>
      </c>
      <c r="AQ134" s="55">
        <f>IFERROR(VLOOKUP(A134,[1]SIIMPLES!$A$2:$F$418,6,FALSE),0)</f>
        <v>1</v>
      </c>
      <c r="AR134" s="55">
        <v>6</v>
      </c>
      <c r="AS134" s="55">
        <v>17</v>
      </c>
      <c r="AT134" s="55">
        <v>3</v>
      </c>
      <c r="AU134" s="55">
        <v>13</v>
      </c>
      <c r="AV134" s="55">
        <v>1</v>
      </c>
      <c r="AW134" s="55"/>
      <c r="AX134" s="55"/>
      <c r="AY134" s="56">
        <f t="shared" si="74"/>
        <v>7.3</v>
      </c>
      <c r="AZ134" s="55"/>
      <c r="BA134" s="56">
        <v>0.66666666666666663</v>
      </c>
      <c r="BB134" s="41">
        <f t="shared" si="48"/>
        <v>9.9500000000000011</v>
      </c>
      <c r="BC134" s="13"/>
      <c r="BD134" s="35"/>
      <c r="BE134" s="13"/>
      <c r="BF134" s="16"/>
      <c r="BG134" s="17">
        <f t="shared" si="66"/>
        <v>0</v>
      </c>
      <c r="BH134" s="16">
        <f t="shared" si="67"/>
        <v>7.3</v>
      </c>
    </row>
    <row r="135" spans="1:60" s="21" customFormat="1" ht="12.75" customHeight="1" x14ac:dyDescent="0.2">
      <c r="A135" s="51">
        <v>442080</v>
      </c>
      <c r="B135" s="51" t="s">
        <v>1077</v>
      </c>
      <c r="C135" s="66" t="s">
        <v>1803</v>
      </c>
      <c r="D135" s="52" t="s">
        <v>728</v>
      </c>
      <c r="E135" s="65" t="s">
        <v>780</v>
      </c>
      <c r="F135" s="53">
        <f>IFERROR(VLOOKUP(E135,Fornecedores!$A$2:$B$2700,2,FALSE),"")</f>
        <v>2</v>
      </c>
      <c r="G135" s="52" t="s">
        <v>21</v>
      </c>
      <c r="H135" s="57"/>
      <c r="I135" s="55">
        <f t="shared" si="68"/>
        <v>8</v>
      </c>
      <c r="J135" s="55">
        <v>4</v>
      </c>
      <c r="K135" s="55">
        <v>4</v>
      </c>
      <c r="L135" s="55">
        <v>0</v>
      </c>
      <c r="M135" s="55">
        <v>0</v>
      </c>
      <c r="N135" s="55">
        <f t="shared" si="69"/>
        <v>9</v>
      </c>
      <c r="O135" s="55">
        <v>5</v>
      </c>
      <c r="P135" s="55">
        <v>4</v>
      </c>
      <c r="Q135" s="55">
        <v>0</v>
      </c>
      <c r="R135" s="55">
        <f t="shared" si="70"/>
        <v>7</v>
      </c>
      <c r="S135" s="55">
        <v>5</v>
      </c>
      <c r="T135" s="55">
        <v>2</v>
      </c>
      <c r="U135" s="55">
        <v>0</v>
      </c>
      <c r="V135" s="55">
        <v>4</v>
      </c>
      <c r="W135" s="53">
        <v>4</v>
      </c>
      <c r="X135" s="53">
        <v>0</v>
      </c>
      <c r="Y135" s="55">
        <v>0</v>
      </c>
      <c r="Z135" s="55">
        <v>1</v>
      </c>
      <c r="AA135" s="53">
        <v>1</v>
      </c>
      <c r="AB135" s="53">
        <v>0</v>
      </c>
      <c r="AC135" s="55">
        <v>0</v>
      </c>
      <c r="AD135" s="55">
        <f t="shared" si="71"/>
        <v>4</v>
      </c>
      <c r="AE135" s="53">
        <v>2</v>
      </c>
      <c r="AF135" s="55">
        <v>2</v>
      </c>
      <c r="AG135" s="55">
        <v>0</v>
      </c>
      <c r="AH135" s="55">
        <f t="shared" si="72"/>
        <v>6</v>
      </c>
      <c r="AI135" s="55">
        <v>6</v>
      </c>
      <c r="AJ135" s="55">
        <v>0</v>
      </c>
      <c r="AK135" s="55">
        <v>0</v>
      </c>
      <c r="AL135" s="55">
        <f t="shared" si="73"/>
        <v>5</v>
      </c>
      <c r="AM135" s="55">
        <v>3</v>
      </c>
      <c r="AN135" s="55">
        <v>2</v>
      </c>
      <c r="AO135" s="55">
        <v>0</v>
      </c>
      <c r="AP135" s="55">
        <f t="shared" si="75"/>
        <v>7</v>
      </c>
      <c r="AQ135" s="55">
        <f>IFERROR(VLOOKUP(A135,[1]SIIMPLES!$A$2:$F$418,6,FALSE),0)</f>
        <v>5</v>
      </c>
      <c r="AR135" s="55">
        <v>2</v>
      </c>
      <c r="AS135" s="55">
        <v>3</v>
      </c>
      <c r="AT135" s="55">
        <v>1</v>
      </c>
      <c r="AU135" s="55">
        <v>2</v>
      </c>
      <c r="AV135" s="55">
        <v>0</v>
      </c>
      <c r="AW135" s="55"/>
      <c r="AX135" s="55"/>
      <c r="AY135" s="56">
        <f t="shared" si="74"/>
        <v>5.4</v>
      </c>
      <c r="AZ135" s="55"/>
      <c r="BA135" s="56">
        <v>6.333333333333333</v>
      </c>
      <c r="BB135" s="41">
        <f t="shared" si="48"/>
        <v>-0.14736842105263148</v>
      </c>
      <c r="BC135" s="13"/>
      <c r="BD135" s="35"/>
      <c r="BE135" s="13"/>
      <c r="BF135" s="16"/>
      <c r="BG135" s="17">
        <f t="shared" si="66"/>
        <v>0</v>
      </c>
      <c r="BH135" s="16">
        <f t="shared" si="67"/>
        <v>5.4</v>
      </c>
    </row>
    <row r="136" spans="1:60" s="21" customFormat="1" ht="12.75" customHeight="1" x14ac:dyDescent="0.2">
      <c r="A136" s="51">
        <v>552015</v>
      </c>
      <c r="B136" s="51" t="s">
        <v>1077</v>
      </c>
      <c r="C136" s="66" t="s">
        <v>1803</v>
      </c>
      <c r="D136" s="52" t="s">
        <v>728</v>
      </c>
      <c r="E136" s="65" t="s">
        <v>780</v>
      </c>
      <c r="F136" s="53">
        <f>IFERROR(VLOOKUP(E136,Fornecedores!$A$2:$B$2700,2,FALSE),"")</f>
        <v>2</v>
      </c>
      <c r="G136" s="52" t="s">
        <v>571</v>
      </c>
      <c r="H136" s="57"/>
      <c r="I136" s="55">
        <f t="shared" si="68"/>
        <v>5</v>
      </c>
      <c r="J136" s="55">
        <v>2</v>
      </c>
      <c r="K136" s="55">
        <v>2</v>
      </c>
      <c r="L136" s="55">
        <v>0</v>
      </c>
      <c r="M136" s="55">
        <v>1</v>
      </c>
      <c r="N136" s="55">
        <f t="shared" si="69"/>
        <v>2</v>
      </c>
      <c r="O136" s="55">
        <v>1</v>
      </c>
      <c r="P136" s="55">
        <v>1</v>
      </c>
      <c r="Q136" s="55">
        <v>0</v>
      </c>
      <c r="R136" s="55">
        <f t="shared" si="70"/>
        <v>7</v>
      </c>
      <c r="S136" s="55">
        <v>0</v>
      </c>
      <c r="T136" s="55">
        <v>7</v>
      </c>
      <c r="U136" s="55">
        <v>0</v>
      </c>
      <c r="V136" s="55">
        <v>4</v>
      </c>
      <c r="W136" s="53">
        <v>0</v>
      </c>
      <c r="X136" s="53">
        <v>4</v>
      </c>
      <c r="Y136" s="55">
        <v>0</v>
      </c>
      <c r="Z136" s="55">
        <v>4</v>
      </c>
      <c r="AA136" s="53">
        <v>1</v>
      </c>
      <c r="AB136" s="53">
        <v>3</v>
      </c>
      <c r="AC136" s="55">
        <v>0</v>
      </c>
      <c r="AD136" s="55">
        <f t="shared" si="71"/>
        <v>0</v>
      </c>
      <c r="AE136" s="53">
        <v>0</v>
      </c>
      <c r="AF136" s="55">
        <v>0</v>
      </c>
      <c r="AG136" s="55">
        <v>0</v>
      </c>
      <c r="AH136" s="55">
        <f t="shared" si="72"/>
        <v>5</v>
      </c>
      <c r="AI136" s="55">
        <v>1</v>
      </c>
      <c r="AJ136" s="55">
        <v>4</v>
      </c>
      <c r="AK136" s="55">
        <v>0</v>
      </c>
      <c r="AL136" s="55">
        <f t="shared" si="73"/>
        <v>8</v>
      </c>
      <c r="AM136" s="55" t="s">
        <v>1912</v>
      </c>
      <c r="AN136" s="55">
        <v>5</v>
      </c>
      <c r="AO136" s="55">
        <v>3</v>
      </c>
      <c r="AP136" s="55">
        <f t="shared" si="75"/>
        <v>7</v>
      </c>
      <c r="AQ136" s="55">
        <f>IFERROR(VLOOKUP(A136,[1]SIIMPLES!$A$2:$F$418,6,FALSE),0)</f>
        <v>2</v>
      </c>
      <c r="AR136" s="55">
        <v>5</v>
      </c>
      <c r="AS136" s="55">
        <v>10</v>
      </c>
      <c r="AT136" s="55">
        <v>2</v>
      </c>
      <c r="AU136" s="55">
        <v>7</v>
      </c>
      <c r="AV136" s="55">
        <v>1</v>
      </c>
      <c r="AW136" s="55"/>
      <c r="AX136" s="55"/>
      <c r="AY136" s="56">
        <f t="shared" si="74"/>
        <v>5.2</v>
      </c>
      <c r="AZ136" s="55"/>
      <c r="BA136" s="56">
        <v>11.5</v>
      </c>
      <c r="BB136" s="41">
        <f t="shared" si="48"/>
        <v>-0.54782608695652169</v>
      </c>
      <c r="BC136" s="13"/>
      <c r="BD136" s="35"/>
      <c r="BE136" s="13"/>
      <c r="BF136" s="16"/>
      <c r="BG136" s="17">
        <f t="shared" si="66"/>
        <v>0</v>
      </c>
      <c r="BH136" s="16">
        <f t="shared" si="67"/>
        <v>5.2</v>
      </c>
    </row>
    <row r="137" spans="1:60" s="21" customFormat="1" ht="12.75" customHeight="1" x14ac:dyDescent="0.2">
      <c r="A137" s="51">
        <v>772033</v>
      </c>
      <c r="B137" s="51" t="s">
        <v>1077</v>
      </c>
      <c r="C137" s="66" t="s">
        <v>1803</v>
      </c>
      <c r="D137" s="52" t="s">
        <v>728</v>
      </c>
      <c r="E137" s="65" t="s">
        <v>780</v>
      </c>
      <c r="F137" s="53">
        <f>IFERROR(VLOOKUP(E137,Fornecedores!$A$2:$B$2700,2,FALSE),"")</f>
        <v>2</v>
      </c>
      <c r="G137" s="52" t="s">
        <v>1346</v>
      </c>
      <c r="H137" s="57"/>
      <c r="I137" s="55">
        <f t="shared" si="68"/>
        <v>2</v>
      </c>
      <c r="J137" s="55">
        <v>0</v>
      </c>
      <c r="K137" s="55">
        <v>2</v>
      </c>
      <c r="L137" s="55">
        <v>0</v>
      </c>
      <c r="M137" s="55">
        <v>0</v>
      </c>
      <c r="N137" s="55">
        <f t="shared" si="69"/>
        <v>0</v>
      </c>
      <c r="O137" s="55">
        <v>0</v>
      </c>
      <c r="P137" s="55">
        <v>0</v>
      </c>
      <c r="Q137" s="55">
        <v>0</v>
      </c>
      <c r="R137" s="55">
        <f t="shared" si="70"/>
        <v>2</v>
      </c>
      <c r="S137" s="55">
        <v>0</v>
      </c>
      <c r="T137" s="55">
        <v>2</v>
      </c>
      <c r="U137" s="55">
        <v>0</v>
      </c>
      <c r="V137" s="55">
        <v>2</v>
      </c>
      <c r="W137" s="53">
        <v>1</v>
      </c>
      <c r="X137" s="53">
        <v>1</v>
      </c>
      <c r="Y137" s="55">
        <v>0</v>
      </c>
      <c r="Z137" s="55">
        <v>1</v>
      </c>
      <c r="AA137" s="53">
        <v>0</v>
      </c>
      <c r="AB137" s="53">
        <v>1</v>
      </c>
      <c r="AC137" s="55">
        <v>0</v>
      </c>
      <c r="AD137" s="55">
        <f t="shared" si="71"/>
        <v>2</v>
      </c>
      <c r="AE137" s="53">
        <v>0</v>
      </c>
      <c r="AF137" s="55">
        <v>2</v>
      </c>
      <c r="AG137" s="55">
        <v>0</v>
      </c>
      <c r="AH137" s="55">
        <f t="shared" si="72"/>
        <v>3</v>
      </c>
      <c r="AI137" s="55">
        <v>1</v>
      </c>
      <c r="AJ137" s="55">
        <v>2</v>
      </c>
      <c r="AK137" s="55">
        <v>0</v>
      </c>
      <c r="AL137" s="55">
        <f t="shared" si="73"/>
        <v>0</v>
      </c>
      <c r="AM137" s="55" t="s">
        <v>1912</v>
      </c>
      <c r="AN137" s="55">
        <v>0</v>
      </c>
      <c r="AO137" s="55">
        <v>0</v>
      </c>
      <c r="AP137" s="55">
        <f t="shared" si="75"/>
        <v>7</v>
      </c>
      <c r="AQ137" s="55">
        <f>IFERROR(VLOOKUP(A137,[1]SIIMPLES!$A$2:$F$418,6,FALSE),0)</f>
        <v>1</v>
      </c>
      <c r="AR137" s="55">
        <v>6</v>
      </c>
      <c r="AS137" s="55">
        <v>6</v>
      </c>
      <c r="AT137" s="55">
        <v>0</v>
      </c>
      <c r="AU137" s="55">
        <v>4</v>
      </c>
      <c r="AV137" s="55">
        <v>2</v>
      </c>
      <c r="AW137" s="55"/>
      <c r="AX137" s="55"/>
      <c r="AY137" s="56">
        <f t="shared" si="74"/>
        <v>2.5</v>
      </c>
      <c r="AZ137" s="55"/>
      <c r="BA137" s="56">
        <v>2.3333333333333335</v>
      </c>
      <c r="BB137" s="41">
        <f t="shared" si="48"/>
        <v>7.1428571428571397E-2</v>
      </c>
      <c r="BC137" s="7"/>
      <c r="BD137" s="35"/>
      <c r="BE137" s="13"/>
      <c r="BF137" s="16"/>
      <c r="BG137" s="17">
        <f t="shared" si="66"/>
        <v>0</v>
      </c>
      <c r="BH137" s="16">
        <f t="shared" si="67"/>
        <v>2.5</v>
      </c>
    </row>
    <row r="138" spans="1:60" s="21" customFormat="1" ht="12.75" customHeight="1" x14ac:dyDescent="0.2">
      <c r="A138" s="51">
        <v>772034</v>
      </c>
      <c r="B138" s="51" t="s">
        <v>1077</v>
      </c>
      <c r="C138" s="66" t="s">
        <v>1803</v>
      </c>
      <c r="D138" s="52" t="s">
        <v>728</v>
      </c>
      <c r="E138" s="65" t="s">
        <v>780</v>
      </c>
      <c r="F138" s="53">
        <f>IFERROR(VLOOKUP(E138,Fornecedores!$A$2:$B$2700,2,FALSE),"")</f>
        <v>2</v>
      </c>
      <c r="G138" s="52" t="s">
        <v>1347</v>
      </c>
      <c r="H138" s="57"/>
      <c r="I138" s="55">
        <f t="shared" si="68"/>
        <v>4</v>
      </c>
      <c r="J138" s="55">
        <v>2</v>
      </c>
      <c r="K138" s="55">
        <v>2</v>
      </c>
      <c r="L138" s="55">
        <v>0</v>
      </c>
      <c r="M138" s="55">
        <v>0</v>
      </c>
      <c r="N138" s="55">
        <f t="shared" si="69"/>
        <v>2</v>
      </c>
      <c r="O138" s="55">
        <v>2</v>
      </c>
      <c r="P138" s="55">
        <v>0</v>
      </c>
      <c r="Q138" s="55">
        <v>0</v>
      </c>
      <c r="R138" s="55">
        <f t="shared" si="70"/>
        <v>3</v>
      </c>
      <c r="S138" s="55">
        <v>1</v>
      </c>
      <c r="T138" s="55">
        <v>2</v>
      </c>
      <c r="U138" s="55">
        <v>0</v>
      </c>
      <c r="V138" s="55">
        <v>2</v>
      </c>
      <c r="W138" s="53">
        <v>1</v>
      </c>
      <c r="X138" s="53">
        <v>1</v>
      </c>
      <c r="Y138" s="55">
        <v>0</v>
      </c>
      <c r="Z138" s="55">
        <v>1</v>
      </c>
      <c r="AA138" s="53">
        <v>0</v>
      </c>
      <c r="AB138" s="53">
        <v>1</v>
      </c>
      <c r="AC138" s="55">
        <v>0</v>
      </c>
      <c r="AD138" s="55">
        <f t="shared" si="71"/>
        <v>2</v>
      </c>
      <c r="AE138" s="53">
        <v>0</v>
      </c>
      <c r="AF138" s="55">
        <v>2</v>
      </c>
      <c r="AG138" s="55">
        <v>0</v>
      </c>
      <c r="AH138" s="55">
        <f t="shared" si="72"/>
        <v>2</v>
      </c>
      <c r="AI138" s="55">
        <v>0</v>
      </c>
      <c r="AJ138" s="55">
        <v>2</v>
      </c>
      <c r="AK138" s="55">
        <v>0</v>
      </c>
      <c r="AL138" s="55">
        <f t="shared" si="73"/>
        <v>1</v>
      </c>
      <c r="AM138" s="55">
        <v>1</v>
      </c>
      <c r="AN138" s="55">
        <v>0</v>
      </c>
      <c r="AO138" s="55">
        <v>0</v>
      </c>
      <c r="AP138" s="55">
        <f t="shared" si="75"/>
        <v>7</v>
      </c>
      <c r="AQ138" s="55">
        <f>IFERROR(VLOOKUP(A138,[1]SIIMPLES!$A$2:$F$418,6,FALSE),0)</f>
        <v>1</v>
      </c>
      <c r="AR138" s="55">
        <v>6</v>
      </c>
      <c r="AS138" s="55">
        <v>6</v>
      </c>
      <c r="AT138" s="55">
        <v>0</v>
      </c>
      <c r="AU138" s="55">
        <v>4</v>
      </c>
      <c r="AV138" s="55">
        <v>2</v>
      </c>
      <c r="AW138" s="55"/>
      <c r="AX138" s="55"/>
      <c r="AY138" s="56">
        <f t="shared" si="74"/>
        <v>3</v>
      </c>
      <c r="AZ138" s="55"/>
      <c r="BA138" s="56">
        <v>2</v>
      </c>
      <c r="BB138" s="41">
        <f>1-BA138/AY138</f>
        <v>0.33333333333333337</v>
      </c>
      <c r="BC138" s="13"/>
      <c r="BD138" s="35"/>
      <c r="BE138" s="13"/>
      <c r="BF138" s="16">
        <f>SUM(BC138:BE138)</f>
        <v>0</v>
      </c>
      <c r="BG138" s="17">
        <f t="shared" si="66"/>
        <v>0</v>
      </c>
      <c r="BH138" s="16">
        <f t="shared" si="67"/>
        <v>3</v>
      </c>
    </row>
    <row r="139" spans="1:60" s="21" customFormat="1" ht="12.75" customHeight="1" x14ac:dyDescent="0.2">
      <c r="A139" s="51">
        <v>332065</v>
      </c>
      <c r="B139" s="51" t="s">
        <v>1077</v>
      </c>
      <c r="C139" s="66" t="s">
        <v>1803</v>
      </c>
      <c r="D139" s="52" t="s">
        <v>728</v>
      </c>
      <c r="E139" s="65" t="s">
        <v>780</v>
      </c>
      <c r="F139" s="53">
        <f>IFERROR(VLOOKUP(E139,Fornecedores!$A$2:$B$2700,2,FALSE),"")</f>
        <v>2</v>
      </c>
      <c r="G139" s="52" t="s">
        <v>720</v>
      </c>
      <c r="H139" s="57"/>
      <c r="I139" s="55">
        <f t="shared" si="68"/>
        <v>0</v>
      </c>
      <c r="J139" s="55">
        <v>0</v>
      </c>
      <c r="K139" s="55">
        <v>0</v>
      </c>
      <c r="L139" s="55">
        <v>0</v>
      </c>
      <c r="M139" s="55">
        <v>0</v>
      </c>
      <c r="N139" s="55">
        <f t="shared" si="69"/>
        <v>0</v>
      </c>
      <c r="O139" s="55">
        <v>0</v>
      </c>
      <c r="P139" s="55">
        <v>0</v>
      </c>
      <c r="Q139" s="55">
        <v>0</v>
      </c>
      <c r="R139" s="55">
        <f t="shared" si="70"/>
        <v>0</v>
      </c>
      <c r="S139" s="55">
        <v>0</v>
      </c>
      <c r="T139" s="55">
        <v>0</v>
      </c>
      <c r="U139" s="55">
        <v>0</v>
      </c>
      <c r="V139" s="55">
        <v>5</v>
      </c>
      <c r="W139" s="53">
        <v>0</v>
      </c>
      <c r="X139" s="53">
        <v>0</v>
      </c>
      <c r="Y139" s="55">
        <v>5</v>
      </c>
      <c r="Z139" s="55">
        <v>0</v>
      </c>
      <c r="AA139" s="53">
        <v>0</v>
      </c>
      <c r="AB139" s="53">
        <v>0</v>
      </c>
      <c r="AC139" s="55">
        <v>0</v>
      </c>
      <c r="AD139" s="55">
        <f t="shared" si="71"/>
        <v>10</v>
      </c>
      <c r="AE139" s="53">
        <v>0</v>
      </c>
      <c r="AF139" s="55">
        <v>0</v>
      </c>
      <c r="AG139" s="55">
        <v>10</v>
      </c>
      <c r="AH139" s="55">
        <f t="shared" si="72"/>
        <v>0</v>
      </c>
      <c r="AI139" s="55">
        <v>0</v>
      </c>
      <c r="AJ139" s="55">
        <v>0</v>
      </c>
      <c r="AK139" s="55">
        <v>0</v>
      </c>
      <c r="AL139" s="55">
        <f t="shared" si="73"/>
        <v>0</v>
      </c>
      <c r="AM139" s="55" t="s">
        <v>1912</v>
      </c>
      <c r="AN139" s="55">
        <v>0</v>
      </c>
      <c r="AO139" s="55">
        <v>0</v>
      </c>
      <c r="AP139" s="55">
        <f t="shared" si="75"/>
        <v>7</v>
      </c>
      <c r="AQ139" s="55">
        <f>IFERROR(VLOOKUP(A139,[1]SIIMPLES!$A$2:$F$418,6,FALSE),0)</f>
        <v>7</v>
      </c>
      <c r="AR139" s="55">
        <v>0</v>
      </c>
      <c r="AS139" s="55">
        <v>10</v>
      </c>
      <c r="AT139" s="55">
        <v>0</v>
      </c>
      <c r="AU139" s="55">
        <v>0</v>
      </c>
      <c r="AV139" s="55">
        <v>10</v>
      </c>
      <c r="AW139" s="55"/>
      <c r="AX139" s="55"/>
      <c r="AY139" s="56">
        <f t="shared" si="74"/>
        <v>3.2</v>
      </c>
      <c r="AZ139" s="55"/>
      <c r="BA139" s="56">
        <v>0.33333333333333331</v>
      </c>
      <c r="BB139" s="41">
        <f>IFERROR(AY139/BA139-1,"")</f>
        <v>8.6000000000000014</v>
      </c>
      <c r="BC139" s="13"/>
      <c r="BD139" s="35"/>
      <c r="BE139" s="13"/>
      <c r="BF139" s="16"/>
      <c r="BG139" s="17">
        <f t="shared" si="66"/>
        <v>0</v>
      </c>
      <c r="BH139" s="16">
        <f t="shared" si="67"/>
        <v>3.2</v>
      </c>
    </row>
    <row r="140" spans="1:60" s="21" customFormat="1" ht="12.75" customHeight="1" x14ac:dyDescent="0.2">
      <c r="A140" s="51">
        <v>332066</v>
      </c>
      <c r="B140" s="51" t="s">
        <v>1077</v>
      </c>
      <c r="C140" s="66" t="s">
        <v>1803</v>
      </c>
      <c r="D140" s="52" t="s">
        <v>728</v>
      </c>
      <c r="E140" s="65" t="s">
        <v>780</v>
      </c>
      <c r="F140" s="53">
        <f>IFERROR(VLOOKUP(E140,Fornecedores!$A$2:$B$2700,2,FALSE),"")</f>
        <v>2</v>
      </c>
      <c r="G140" s="52" t="s">
        <v>715</v>
      </c>
      <c r="H140" s="57"/>
      <c r="I140" s="55">
        <f t="shared" si="68"/>
        <v>0</v>
      </c>
      <c r="J140" s="55">
        <v>0</v>
      </c>
      <c r="K140" s="55">
        <v>0</v>
      </c>
      <c r="L140" s="55">
        <v>0</v>
      </c>
      <c r="M140" s="55">
        <v>0</v>
      </c>
      <c r="N140" s="55">
        <f t="shared" si="69"/>
        <v>0</v>
      </c>
      <c r="O140" s="55">
        <v>0</v>
      </c>
      <c r="P140" s="55">
        <v>0</v>
      </c>
      <c r="Q140" s="55">
        <v>0</v>
      </c>
      <c r="R140" s="55">
        <f t="shared" si="70"/>
        <v>0</v>
      </c>
      <c r="S140" s="55">
        <v>0</v>
      </c>
      <c r="T140" s="55">
        <v>0</v>
      </c>
      <c r="U140" s="55">
        <v>0</v>
      </c>
      <c r="V140" s="55">
        <v>5</v>
      </c>
      <c r="W140" s="53">
        <v>0</v>
      </c>
      <c r="X140" s="53">
        <v>0</v>
      </c>
      <c r="Y140" s="55">
        <v>5</v>
      </c>
      <c r="Z140" s="55">
        <v>0</v>
      </c>
      <c r="AA140" s="53">
        <v>0</v>
      </c>
      <c r="AB140" s="53">
        <v>0</v>
      </c>
      <c r="AC140" s="55">
        <v>0</v>
      </c>
      <c r="AD140" s="55">
        <f t="shared" si="71"/>
        <v>10</v>
      </c>
      <c r="AE140" s="53">
        <v>0</v>
      </c>
      <c r="AF140" s="55">
        <v>0</v>
      </c>
      <c r="AG140" s="55">
        <v>10</v>
      </c>
      <c r="AH140" s="55">
        <f t="shared" si="72"/>
        <v>0</v>
      </c>
      <c r="AI140" s="55">
        <v>0</v>
      </c>
      <c r="AJ140" s="55">
        <v>0</v>
      </c>
      <c r="AK140" s="55">
        <v>0</v>
      </c>
      <c r="AL140" s="55">
        <f t="shared" si="73"/>
        <v>0</v>
      </c>
      <c r="AM140" s="55" t="s">
        <v>1912</v>
      </c>
      <c r="AN140" s="55">
        <v>0</v>
      </c>
      <c r="AO140" s="55">
        <v>0</v>
      </c>
      <c r="AP140" s="55">
        <f t="shared" si="75"/>
        <v>7</v>
      </c>
      <c r="AQ140" s="55">
        <f>IFERROR(VLOOKUP(A140,[1]SIIMPLES!$A$2:$F$418,6,FALSE),0)</f>
        <v>7</v>
      </c>
      <c r="AR140" s="55">
        <v>0</v>
      </c>
      <c r="AS140" s="55">
        <v>13</v>
      </c>
      <c r="AT140" s="55">
        <v>2</v>
      </c>
      <c r="AU140" s="55">
        <v>0</v>
      </c>
      <c r="AV140" s="55">
        <v>11</v>
      </c>
      <c r="AW140" s="55"/>
      <c r="AX140" s="55"/>
      <c r="AY140" s="56">
        <f t="shared" si="74"/>
        <v>3.5</v>
      </c>
      <c r="AZ140" s="55"/>
      <c r="BA140" s="56">
        <v>0.33333333333333331</v>
      </c>
      <c r="BB140" s="41">
        <f>IFERROR(AY140/BA140-1,"")</f>
        <v>9.5</v>
      </c>
      <c r="BC140" s="13"/>
      <c r="BD140" s="35"/>
      <c r="BE140" s="13"/>
      <c r="BF140" s="16">
        <f>SUM(BC140:BE140)</f>
        <v>0</v>
      </c>
      <c r="BG140" s="17">
        <f t="shared" si="66"/>
        <v>0</v>
      </c>
      <c r="BH140" s="16">
        <f t="shared" si="67"/>
        <v>3.5</v>
      </c>
    </row>
    <row r="141" spans="1:60" s="21" customFormat="1" ht="12.75" customHeight="1" x14ac:dyDescent="0.2">
      <c r="A141" s="51" t="s">
        <v>30</v>
      </c>
      <c r="B141" s="51"/>
      <c r="C141" s="66" t="s">
        <v>1803</v>
      </c>
      <c r="D141" s="52" t="s">
        <v>742</v>
      </c>
      <c r="E141" s="52" t="s">
        <v>743</v>
      </c>
      <c r="F141" s="53">
        <f>IFERROR(VLOOKUP(E141,Fornecedores!$A$2:$B$2700,2,FALSE),"")</f>
        <v>14</v>
      </c>
      <c r="G141" s="52" t="s">
        <v>115</v>
      </c>
      <c r="H141" s="54"/>
      <c r="I141" s="55">
        <f t="shared" si="68"/>
        <v>1</v>
      </c>
      <c r="J141" s="55">
        <v>1</v>
      </c>
      <c r="K141" s="55">
        <v>0</v>
      </c>
      <c r="L141" s="55">
        <v>0</v>
      </c>
      <c r="M141" s="55">
        <v>0</v>
      </c>
      <c r="N141" s="55">
        <f t="shared" si="69"/>
        <v>0</v>
      </c>
      <c r="O141" s="55">
        <v>0</v>
      </c>
      <c r="P141" s="55">
        <v>0</v>
      </c>
      <c r="Q141" s="55">
        <v>0</v>
      </c>
      <c r="R141" s="55">
        <f t="shared" si="70"/>
        <v>0</v>
      </c>
      <c r="S141" s="55">
        <v>0</v>
      </c>
      <c r="T141" s="55">
        <v>0</v>
      </c>
      <c r="U141" s="55">
        <v>0</v>
      </c>
      <c r="V141" s="55">
        <v>0</v>
      </c>
      <c r="W141" s="53">
        <v>0</v>
      </c>
      <c r="X141" s="53">
        <v>0</v>
      </c>
      <c r="Y141" s="55">
        <v>0</v>
      </c>
      <c r="Z141" s="55">
        <v>0</v>
      </c>
      <c r="AA141" s="53">
        <v>0</v>
      </c>
      <c r="AB141" s="53">
        <v>0</v>
      </c>
      <c r="AC141" s="55">
        <v>0</v>
      </c>
      <c r="AD141" s="55">
        <f t="shared" si="71"/>
        <v>2</v>
      </c>
      <c r="AE141" s="53">
        <v>2</v>
      </c>
      <c r="AF141" s="55">
        <v>0</v>
      </c>
      <c r="AG141" s="55">
        <v>0</v>
      </c>
      <c r="AH141" s="55">
        <f t="shared" si="72"/>
        <v>0</v>
      </c>
      <c r="AI141" s="55">
        <v>0</v>
      </c>
      <c r="AJ141" s="55">
        <v>0</v>
      </c>
      <c r="AK141" s="55">
        <v>0</v>
      </c>
      <c r="AL141" s="55">
        <f t="shared" si="73"/>
        <v>0</v>
      </c>
      <c r="AM141" s="55" t="s">
        <v>1912</v>
      </c>
      <c r="AN141" s="55">
        <v>0</v>
      </c>
      <c r="AO141" s="55">
        <v>0</v>
      </c>
      <c r="AP141" s="55">
        <f t="shared" si="75"/>
        <v>7</v>
      </c>
      <c r="AQ141" s="55">
        <f>IFERROR(VLOOKUP(A141,[1]SIIMPLES!$A$2:$F$418,6,FALSE),0)</f>
        <v>7</v>
      </c>
      <c r="AR141" s="55">
        <v>0</v>
      </c>
      <c r="AS141" s="55">
        <v>12</v>
      </c>
      <c r="AT141" s="55">
        <v>12</v>
      </c>
      <c r="AU141" s="55">
        <v>0</v>
      </c>
      <c r="AV141" s="55">
        <v>0</v>
      </c>
      <c r="AW141" s="55"/>
      <c r="AX141" s="55"/>
      <c r="AY141" s="56">
        <f t="shared" si="74"/>
        <v>2.2000000000000002</v>
      </c>
      <c r="AZ141" s="55"/>
      <c r="BA141" s="56">
        <v>0</v>
      </c>
      <c r="BB141" s="41" t="str">
        <f>IFERROR(AY141/BA141-1,"")</f>
        <v/>
      </c>
      <c r="BC141" s="13"/>
      <c r="BD141" s="35"/>
      <c r="BE141" s="13"/>
      <c r="BF141" s="16"/>
      <c r="BG141" s="17">
        <f t="shared" si="66"/>
        <v>0</v>
      </c>
      <c r="BH141" s="16">
        <f t="shared" si="67"/>
        <v>2.2000000000000002</v>
      </c>
    </row>
    <row r="142" spans="1:60" s="21" customFormat="1" ht="12.75" customHeight="1" x14ac:dyDescent="0.2">
      <c r="A142" s="51" t="s">
        <v>1089</v>
      </c>
      <c r="B142" s="51" t="s">
        <v>1077</v>
      </c>
      <c r="C142" s="66" t="s">
        <v>1803</v>
      </c>
      <c r="D142" s="52" t="s">
        <v>731</v>
      </c>
      <c r="E142" s="52" t="s">
        <v>1232</v>
      </c>
      <c r="F142" s="53">
        <f>IFERROR(VLOOKUP(E142,Fornecedores!$A$2:$B$2700,2,FALSE),"")</f>
        <v>15</v>
      </c>
      <c r="G142" s="52" t="s">
        <v>1233</v>
      </c>
      <c r="H142" s="54"/>
      <c r="I142" s="55">
        <f t="shared" si="68"/>
        <v>18</v>
      </c>
      <c r="J142" s="55">
        <v>18</v>
      </c>
      <c r="K142" s="55">
        <v>0</v>
      </c>
      <c r="L142" s="55">
        <v>0</v>
      </c>
      <c r="M142" s="55">
        <v>0</v>
      </c>
      <c r="N142" s="55">
        <f t="shared" si="69"/>
        <v>4</v>
      </c>
      <c r="O142" s="55">
        <v>4</v>
      </c>
      <c r="P142" s="55">
        <v>0</v>
      </c>
      <c r="Q142" s="55">
        <v>0</v>
      </c>
      <c r="R142" s="55">
        <f t="shared" si="70"/>
        <v>4</v>
      </c>
      <c r="S142" s="55">
        <v>4</v>
      </c>
      <c r="T142" s="55">
        <v>0</v>
      </c>
      <c r="U142" s="55">
        <v>0</v>
      </c>
      <c r="V142" s="55">
        <v>3</v>
      </c>
      <c r="W142" s="53">
        <v>3</v>
      </c>
      <c r="X142" s="53">
        <v>0</v>
      </c>
      <c r="Y142" s="55">
        <v>0</v>
      </c>
      <c r="Z142" s="55">
        <v>0</v>
      </c>
      <c r="AA142" s="53">
        <v>0</v>
      </c>
      <c r="AB142" s="53">
        <v>0</v>
      </c>
      <c r="AC142" s="55">
        <v>0</v>
      </c>
      <c r="AD142" s="55">
        <f t="shared" si="71"/>
        <v>0</v>
      </c>
      <c r="AE142" s="53">
        <v>0</v>
      </c>
      <c r="AF142" s="55">
        <v>0</v>
      </c>
      <c r="AG142" s="55">
        <v>0</v>
      </c>
      <c r="AH142" s="55">
        <f t="shared" si="72"/>
        <v>3</v>
      </c>
      <c r="AI142" s="55">
        <v>3</v>
      </c>
      <c r="AJ142" s="55">
        <v>0</v>
      </c>
      <c r="AK142" s="55">
        <v>0</v>
      </c>
      <c r="AL142" s="55">
        <f t="shared" si="73"/>
        <v>9</v>
      </c>
      <c r="AM142" s="55">
        <v>9</v>
      </c>
      <c r="AN142" s="55">
        <v>0</v>
      </c>
      <c r="AO142" s="55">
        <v>0</v>
      </c>
      <c r="AP142" s="55">
        <f t="shared" si="75"/>
        <v>7</v>
      </c>
      <c r="AQ142" s="55">
        <f>IFERROR(VLOOKUP(A142,[1]SIIMPLES!$A$2:$F$418,6,FALSE),0)</f>
        <v>7</v>
      </c>
      <c r="AR142" s="55">
        <v>0</v>
      </c>
      <c r="AS142" s="55">
        <v>6</v>
      </c>
      <c r="AT142" s="55">
        <v>6</v>
      </c>
      <c r="AU142" s="55">
        <v>0</v>
      </c>
      <c r="AV142" s="55">
        <v>0</v>
      </c>
      <c r="AW142" s="55"/>
      <c r="AX142" s="55"/>
      <c r="AY142" s="56">
        <f t="shared" si="74"/>
        <v>5.4</v>
      </c>
      <c r="AZ142" s="55"/>
      <c r="BA142" s="56">
        <v>9.3333333333333339</v>
      </c>
      <c r="BB142" s="41">
        <f>IFERROR(AY142/BA142-1,"")</f>
        <v>-0.42142857142857137</v>
      </c>
      <c r="BC142" s="13"/>
      <c r="BD142" s="35"/>
      <c r="BE142" s="13"/>
      <c r="BF142" s="16"/>
      <c r="BG142" s="17">
        <f t="shared" si="66"/>
        <v>0</v>
      </c>
      <c r="BH142" s="16">
        <f t="shared" si="67"/>
        <v>5.4</v>
      </c>
    </row>
    <row r="143" spans="1:60" s="21" customFormat="1" ht="12.75" customHeight="1" x14ac:dyDescent="0.2">
      <c r="A143" s="51" t="s">
        <v>1434</v>
      </c>
      <c r="B143" s="51"/>
      <c r="C143" s="66" t="s">
        <v>1803</v>
      </c>
      <c r="D143" s="65" t="s">
        <v>731</v>
      </c>
      <c r="E143" s="52" t="s">
        <v>730</v>
      </c>
      <c r="F143" s="53">
        <f>IFERROR(VLOOKUP(E143,Fornecedores!$A$2:$B$2700,2,FALSE),"")</f>
        <v>3</v>
      </c>
      <c r="G143" s="52" t="s">
        <v>1438</v>
      </c>
      <c r="H143" s="57"/>
      <c r="I143" s="55">
        <f t="shared" si="68"/>
        <v>2</v>
      </c>
      <c r="J143" s="55">
        <v>2</v>
      </c>
      <c r="K143" s="55">
        <v>0</v>
      </c>
      <c r="L143" s="55">
        <v>0</v>
      </c>
      <c r="M143" s="55">
        <v>0</v>
      </c>
      <c r="N143" s="55">
        <f t="shared" si="69"/>
        <v>0</v>
      </c>
      <c r="O143" s="55">
        <v>0</v>
      </c>
      <c r="P143" s="55">
        <v>0</v>
      </c>
      <c r="Q143" s="55">
        <v>0</v>
      </c>
      <c r="R143" s="55">
        <f t="shared" si="70"/>
        <v>2</v>
      </c>
      <c r="S143" s="55">
        <v>2</v>
      </c>
      <c r="T143" s="55">
        <v>0</v>
      </c>
      <c r="U143" s="55">
        <v>0</v>
      </c>
      <c r="V143" s="55">
        <v>6</v>
      </c>
      <c r="W143" s="53">
        <v>6</v>
      </c>
      <c r="X143" s="53">
        <v>0</v>
      </c>
      <c r="Y143" s="55">
        <v>0</v>
      </c>
      <c r="Z143" s="55">
        <v>2</v>
      </c>
      <c r="AA143" s="53">
        <v>2</v>
      </c>
      <c r="AB143" s="53">
        <v>0</v>
      </c>
      <c r="AC143" s="55">
        <v>0</v>
      </c>
      <c r="AD143" s="55">
        <f t="shared" si="71"/>
        <v>2</v>
      </c>
      <c r="AE143" s="53">
        <v>2</v>
      </c>
      <c r="AF143" s="55">
        <v>0</v>
      </c>
      <c r="AG143" s="55">
        <v>0</v>
      </c>
      <c r="AH143" s="55">
        <f t="shared" si="72"/>
        <v>3</v>
      </c>
      <c r="AI143" s="55">
        <v>3</v>
      </c>
      <c r="AJ143" s="55">
        <v>0</v>
      </c>
      <c r="AK143" s="55">
        <v>0</v>
      </c>
      <c r="AL143" s="55">
        <f t="shared" si="73"/>
        <v>8</v>
      </c>
      <c r="AM143" s="55">
        <v>8</v>
      </c>
      <c r="AN143" s="55">
        <v>0</v>
      </c>
      <c r="AO143" s="55">
        <v>0</v>
      </c>
      <c r="AP143" s="55">
        <f t="shared" si="75"/>
        <v>7</v>
      </c>
      <c r="AQ143" s="55">
        <f>IFERROR(VLOOKUP(A143,[1]SIIMPLES!$A$2:$F$418,6,FALSE),0)</f>
        <v>7</v>
      </c>
      <c r="AR143" s="55">
        <v>0</v>
      </c>
      <c r="AS143" s="55">
        <v>0</v>
      </c>
      <c r="AT143" s="55">
        <v>0</v>
      </c>
      <c r="AU143" s="55">
        <v>0</v>
      </c>
      <c r="AV143" s="55">
        <v>0</v>
      </c>
      <c r="AW143" s="57"/>
      <c r="AX143" s="55"/>
      <c r="AY143" s="56">
        <f t="shared" si="74"/>
        <v>3.2</v>
      </c>
      <c r="AZ143" s="55"/>
      <c r="BA143" s="56">
        <v>3</v>
      </c>
      <c r="BB143" s="36"/>
      <c r="BC143" s="7"/>
      <c r="BD143" s="35"/>
      <c r="BE143" s="13"/>
      <c r="BF143" s="16"/>
      <c r="BG143" s="17">
        <f t="shared" si="66"/>
        <v>0</v>
      </c>
      <c r="BH143" s="16">
        <f t="shared" si="67"/>
        <v>3.2</v>
      </c>
    </row>
    <row r="144" spans="1:60" s="21" customFormat="1" ht="12.75" customHeight="1" x14ac:dyDescent="0.2">
      <c r="A144" s="28">
        <v>332064</v>
      </c>
      <c r="B144" s="28"/>
      <c r="C144" s="28" t="s">
        <v>1803</v>
      </c>
      <c r="D144" s="83" t="s">
        <v>1917</v>
      </c>
      <c r="E144" s="83" t="s">
        <v>780</v>
      </c>
      <c r="F144" s="84"/>
      <c r="G144" s="85" t="s">
        <v>2114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55">
        <f t="shared" si="73"/>
        <v>1</v>
      </c>
      <c r="AM144" s="7"/>
      <c r="AN144" s="7"/>
      <c r="AO144" s="55">
        <v>1</v>
      </c>
      <c r="AP144" s="55">
        <f t="shared" si="75"/>
        <v>7</v>
      </c>
      <c r="AQ144" s="55">
        <f>IFERROR(VLOOKUP(A144,[1]SIIMPLES!$A$2:$F$418,6,FALSE),0)</f>
        <v>7</v>
      </c>
      <c r="AR144" s="55">
        <v>0</v>
      </c>
      <c r="AS144" s="55">
        <v>0</v>
      </c>
      <c r="AT144" s="55">
        <v>0</v>
      </c>
      <c r="AU144" s="55">
        <v>0</v>
      </c>
      <c r="AV144" s="55">
        <v>0</v>
      </c>
      <c r="AW144" s="7"/>
      <c r="AX144" s="7"/>
      <c r="AY144" s="7"/>
      <c r="AZ144" s="7"/>
      <c r="BA144" s="7"/>
      <c r="BB144" s="41" t="str">
        <f t="shared" ref="BB144:BB176" si="76">IFERROR(AY144/BA144-1,"")</f>
        <v/>
      </c>
      <c r="BC144" s="13"/>
      <c r="BD144" s="36"/>
      <c r="BE144" s="7"/>
      <c r="BF144" s="7"/>
      <c r="BG144" s="7"/>
      <c r="BH144" s="7"/>
    </row>
    <row r="145" spans="1:60" s="21" customFormat="1" ht="12.75" customHeight="1" x14ac:dyDescent="0.2">
      <c r="A145" s="51">
        <v>2211</v>
      </c>
      <c r="B145" s="51" t="s">
        <v>1077</v>
      </c>
      <c r="C145" s="66" t="s">
        <v>1803</v>
      </c>
      <c r="D145" s="65" t="s">
        <v>731</v>
      </c>
      <c r="E145" s="52" t="s">
        <v>730</v>
      </c>
      <c r="F145" s="53">
        <f>IFERROR(VLOOKUP(E145,Fornecedores!$A$2:$B$2700,2,FALSE),"")</f>
        <v>3</v>
      </c>
      <c r="G145" s="52" t="s">
        <v>126</v>
      </c>
      <c r="H145" s="54"/>
      <c r="I145" s="55">
        <f t="shared" ref="I145:I191" si="77">SUM(J145:M145)</f>
        <v>17</v>
      </c>
      <c r="J145" s="55">
        <v>0</v>
      </c>
      <c r="K145" s="55">
        <v>17</v>
      </c>
      <c r="L145" s="55">
        <v>0</v>
      </c>
      <c r="M145" s="55">
        <v>0</v>
      </c>
      <c r="N145" s="55">
        <f t="shared" ref="N145:N191" si="78">SUM(O145:Q145)</f>
        <v>11</v>
      </c>
      <c r="O145" s="55">
        <v>0</v>
      </c>
      <c r="P145" s="55">
        <v>11</v>
      </c>
      <c r="Q145" s="55">
        <v>0</v>
      </c>
      <c r="R145" s="55">
        <f t="shared" ref="R145:R191" si="79">SUM(S145:U145)</f>
        <v>3</v>
      </c>
      <c r="S145" s="55">
        <v>0</v>
      </c>
      <c r="T145" s="55">
        <v>3</v>
      </c>
      <c r="U145" s="55">
        <v>0</v>
      </c>
      <c r="V145" s="55">
        <v>9</v>
      </c>
      <c r="W145" s="53">
        <v>0</v>
      </c>
      <c r="X145" s="53">
        <v>9</v>
      </c>
      <c r="Y145" s="55">
        <v>0</v>
      </c>
      <c r="Z145" s="55">
        <v>20</v>
      </c>
      <c r="AA145" s="53">
        <v>0</v>
      </c>
      <c r="AB145" s="53">
        <v>20</v>
      </c>
      <c r="AC145" s="55">
        <v>0</v>
      </c>
      <c r="AD145" s="55">
        <f t="shared" ref="AD145:AD191" si="80">SUM(AE145:AG145)</f>
        <v>15</v>
      </c>
      <c r="AE145" s="53">
        <v>0</v>
      </c>
      <c r="AF145" s="55">
        <v>15</v>
      </c>
      <c r="AG145" s="55">
        <v>0</v>
      </c>
      <c r="AH145" s="55">
        <f t="shared" ref="AH145:AH176" si="81">SUM(AI145:AK145)</f>
        <v>22</v>
      </c>
      <c r="AI145" s="55">
        <v>0</v>
      </c>
      <c r="AJ145" s="55">
        <v>22</v>
      </c>
      <c r="AK145" s="55">
        <v>0</v>
      </c>
      <c r="AL145" s="55">
        <f t="shared" si="73"/>
        <v>15</v>
      </c>
      <c r="AM145" s="55" t="s">
        <v>1912</v>
      </c>
      <c r="AN145" s="55">
        <v>15</v>
      </c>
      <c r="AO145" s="55">
        <v>0</v>
      </c>
      <c r="AP145" s="55">
        <f t="shared" si="75"/>
        <v>6</v>
      </c>
      <c r="AQ145" s="55">
        <f>IFERROR(VLOOKUP(A145,[1]SIIMPLES!$A$2:$F$418,6,FALSE),0)</f>
        <v>1</v>
      </c>
      <c r="AR145" s="55">
        <v>5</v>
      </c>
      <c r="AS145" s="55">
        <v>6</v>
      </c>
      <c r="AT145" s="55">
        <v>2</v>
      </c>
      <c r="AU145" s="55">
        <v>4</v>
      </c>
      <c r="AV145" s="55">
        <v>0</v>
      </c>
      <c r="AW145" s="55"/>
      <c r="AX145" s="55"/>
      <c r="AY145" s="56">
        <f t="shared" ref="AY145:AY191" si="82">IFERROR(AVERAGE(I145,N145,R145,V145,Z145,AD145,AH145,AL145,AP145,AS145,AW145,AX145),"-")</f>
        <v>12.4</v>
      </c>
      <c r="AZ145" s="55"/>
      <c r="BA145" s="56">
        <v>35.666666666666664</v>
      </c>
      <c r="BB145" s="41">
        <f t="shared" si="76"/>
        <v>-0.65233644859813078</v>
      </c>
      <c r="BC145" s="13"/>
      <c r="BD145" s="36"/>
      <c r="BE145" s="7"/>
      <c r="BF145" s="7"/>
      <c r="BG145" s="7"/>
      <c r="BH145" s="7"/>
    </row>
    <row r="146" spans="1:60" s="21" customFormat="1" ht="12.75" customHeight="1" x14ac:dyDescent="0.2">
      <c r="A146" s="51">
        <v>2358</v>
      </c>
      <c r="B146" s="51" t="s">
        <v>1077</v>
      </c>
      <c r="C146" s="66" t="s">
        <v>1803</v>
      </c>
      <c r="D146" s="65" t="s">
        <v>733</v>
      </c>
      <c r="E146" s="52" t="s">
        <v>730</v>
      </c>
      <c r="F146" s="53">
        <f>IFERROR(VLOOKUP(E146,Fornecedores!$A$2:$B$2700,2,FALSE),"")</f>
        <v>3</v>
      </c>
      <c r="G146" s="52" t="s">
        <v>512</v>
      </c>
      <c r="H146" s="54"/>
      <c r="I146" s="55">
        <f t="shared" si="77"/>
        <v>1</v>
      </c>
      <c r="J146" s="55">
        <v>1</v>
      </c>
      <c r="K146" s="55">
        <v>0</v>
      </c>
      <c r="L146" s="55">
        <v>0</v>
      </c>
      <c r="M146" s="55">
        <v>0</v>
      </c>
      <c r="N146" s="55">
        <f t="shared" si="78"/>
        <v>2</v>
      </c>
      <c r="O146" s="55">
        <v>2</v>
      </c>
      <c r="P146" s="55">
        <v>0</v>
      </c>
      <c r="Q146" s="55">
        <v>0</v>
      </c>
      <c r="R146" s="55">
        <f t="shared" si="79"/>
        <v>4</v>
      </c>
      <c r="S146" s="55">
        <v>3</v>
      </c>
      <c r="T146" s="55">
        <v>1</v>
      </c>
      <c r="U146" s="55">
        <v>0</v>
      </c>
      <c r="V146" s="55">
        <v>6</v>
      </c>
      <c r="W146" s="53">
        <v>2</v>
      </c>
      <c r="X146" s="53">
        <v>4</v>
      </c>
      <c r="Y146" s="55">
        <v>0</v>
      </c>
      <c r="Z146" s="55">
        <v>5</v>
      </c>
      <c r="AA146" s="53">
        <v>1</v>
      </c>
      <c r="AB146" s="53">
        <v>4</v>
      </c>
      <c r="AC146" s="55">
        <v>0</v>
      </c>
      <c r="AD146" s="55">
        <f t="shared" si="80"/>
        <v>4</v>
      </c>
      <c r="AE146" s="53">
        <v>0</v>
      </c>
      <c r="AF146" s="55">
        <v>4</v>
      </c>
      <c r="AG146" s="55">
        <v>0</v>
      </c>
      <c r="AH146" s="55">
        <f t="shared" si="81"/>
        <v>4</v>
      </c>
      <c r="AI146" s="55">
        <v>1</v>
      </c>
      <c r="AJ146" s="55">
        <v>3</v>
      </c>
      <c r="AK146" s="55">
        <v>0</v>
      </c>
      <c r="AL146" s="55">
        <f t="shared" si="73"/>
        <v>4</v>
      </c>
      <c r="AM146" s="55">
        <v>2</v>
      </c>
      <c r="AN146" s="55">
        <v>2</v>
      </c>
      <c r="AO146" s="55">
        <v>0</v>
      </c>
      <c r="AP146" s="55">
        <f t="shared" si="75"/>
        <v>6</v>
      </c>
      <c r="AQ146" s="55">
        <f>IFERROR(VLOOKUP(A146,[1]SIIMPLES!$A$2:$F$418,6,FALSE),0)</f>
        <v>3</v>
      </c>
      <c r="AR146" s="55">
        <v>3</v>
      </c>
      <c r="AS146" s="55">
        <v>18</v>
      </c>
      <c r="AT146" s="55">
        <v>14</v>
      </c>
      <c r="AU146" s="55">
        <v>4</v>
      </c>
      <c r="AV146" s="55">
        <v>0</v>
      </c>
      <c r="AW146" s="55"/>
      <c r="AX146" s="55"/>
      <c r="AY146" s="56">
        <f t="shared" si="82"/>
        <v>5.4</v>
      </c>
      <c r="AZ146" s="55"/>
      <c r="BA146" s="56">
        <v>4.5</v>
      </c>
      <c r="BB146" s="41">
        <f t="shared" si="76"/>
        <v>0.20000000000000018</v>
      </c>
      <c r="BC146" s="13"/>
      <c r="BD146" s="36"/>
      <c r="BE146" s="7"/>
      <c r="BF146" s="7"/>
      <c r="BG146" s="7"/>
      <c r="BH146" s="7"/>
    </row>
    <row r="147" spans="1:60" s="21" customFormat="1" ht="12.75" customHeight="1" x14ac:dyDescent="0.2">
      <c r="A147" s="51">
        <v>2360</v>
      </c>
      <c r="B147" s="51" t="s">
        <v>1077</v>
      </c>
      <c r="C147" s="66" t="s">
        <v>1803</v>
      </c>
      <c r="D147" s="65" t="s">
        <v>733</v>
      </c>
      <c r="E147" s="52" t="s">
        <v>730</v>
      </c>
      <c r="F147" s="53">
        <f>IFERROR(VLOOKUP(E147,Fornecedores!$A$2:$B$2700,2,FALSE),"")</f>
        <v>3</v>
      </c>
      <c r="G147" s="52" t="s">
        <v>538</v>
      </c>
      <c r="H147" s="54"/>
      <c r="I147" s="55">
        <f t="shared" si="77"/>
        <v>3</v>
      </c>
      <c r="J147" s="55">
        <v>3</v>
      </c>
      <c r="K147" s="55">
        <v>0</v>
      </c>
      <c r="L147" s="55">
        <v>0</v>
      </c>
      <c r="M147" s="55">
        <v>0</v>
      </c>
      <c r="N147" s="55">
        <f t="shared" si="78"/>
        <v>1</v>
      </c>
      <c r="O147" s="55">
        <v>1</v>
      </c>
      <c r="P147" s="55">
        <v>0</v>
      </c>
      <c r="Q147" s="55">
        <v>0</v>
      </c>
      <c r="R147" s="55">
        <f t="shared" si="79"/>
        <v>6</v>
      </c>
      <c r="S147" s="55">
        <v>6</v>
      </c>
      <c r="T147" s="55">
        <v>0</v>
      </c>
      <c r="U147" s="55">
        <v>0</v>
      </c>
      <c r="V147" s="55">
        <v>8</v>
      </c>
      <c r="W147" s="53">
        <v>8</v>
      </c>
      <c r="X147" s="53">
        <v>0</v>
      </c>
      <c r="Y147" s="55">
        <v>0</v>
      </c>
      <c r="Z147" s="55">
        <v>9</v>
      </c>
      <c r="AA147" s="53">
        <v>9</v>
      </c>
      <c r="AB147" s="53">
        <v>0</v>
      </c>
      <c r="AC147" s="55">
        <v>0</v>
      </c>
      <c r="AD147" s="55">
        <f t="shared" si="80"/>
        <v>7</v>
      </c>
      <c r="AE147" s="53">
        <v>7</v>
      </c>
      <c r="AF147" s="55">
        <v>0</v>
      </c>
      <c r="AG147" s="55">
        <v>0</v>
      </c>
      <c r="AH147" s="55">
        <f t="shared" si="81"/>
        <v>14</v>
      </c>
      <c r="AI147" s="55">
        <v>14</v>
      </c>
      <c r="AJ147" s="55">
        <v>0</v>
      </c>
      <c r="AK147" s="55">
        <v>0</v>
      </c>
      <c r="AL147" s="55">
        <f t="shared" si="73"/>
        <v>15</v>
      </c>
      <c r="AM147" s="55">
        <v>15</v>
      </c>
      <c r="AN147" s="55">
        <v>0</v>
      </c>
      <c r="AO147" s="55">
        <v>0</v>
      </c>
      <c r="AP147" s="55">
        <f t="shared" si="75"/>
        <v>6</v>
      </c>
      <c r="AQ147" s="55">
        <f>IFERROR(VLOOKUP(A147,[1]SIIMPLES!$A$2:$F$418,6,FALSE),0)</f>
        <v>6</v>
      </c>
      <c r="AR147" s="55">
        <v>0</v>
      </c>
      <c r="AS147" s="55">
        <v>7</v>
      </c>
      <c r="AT147" s="55">
        <v>7</v>
      </c>
      <c r="AU147" s="55">
        <v>0</v>
      </c>
      <c r="AV147" s="55">
        <v>0</v>
      </c>
      <c r="AW147" s="55"/>
      <c r="AX147" s="55"/>
      <c r="AY147" s="56">
        <f t="shared" si="82"/>
        <v>7.6</v>
      </c>
      <c r="AZ147" s="55"/>
      <c r="BA147" s="56">
        <v>3.5</v>
      </c>
      <c r="BB147" s="41">
        <f t="shared" si="76"/>
        <v>1.1714285714285713</v>
      </c>
      <c r="BC147" s="13"/>
      <c r="BD147" s="35"/>
      <c r="BE147" s="13"/>
      <c r="BF147" s="16">
        <f>SUM(BC147:BE147)</f>
        <v>0</v>
      </c>
      <c r="BG147" s="17">
        <f t="shared" ref="BG147:BG169" si="83">IFERROR(BC147/AY147,"0")</f>
        <v>0</v>
      </c>
      <c r="BH147" s="16">
        <f>IFERROR(IF(F147=1,IF(BC147&lt;AY147*3,AY147*3-BC147,0),IF(BC147&lt;AY147,AY147-BC147,0)),"")</f>
        <v>7.6</v>
      </c>
    </row>
    <row r="148" spans="1:60" s="21" customFormat="1" ht="12.75" customHeight="1" x14ac:dyDescent="0.2">
      <c r="A148" s="51">
        <v>2361</v>
      </c>
      <c r="B148" s="51" t="s">
        <v>1077</v>
      </c>
      <c r="C148" s="66" t="s">
        <v>1803</v>
      </c>
      <c r="D148" s="65" t="s">
        <v>765</v>
      </c>
      <c r="E148" s="52" t="s">
        <v>730</v>
      </c>
      <c r="F148" s="53">
        <f>IFERROR(VLOOKUP(E148,Fornecedores!$A$2:$B$2700,2,FALSE),"")</f>
        <v>3</v>
      </c>
      <c r="G148" s="52" t="s">
        <v>393</v>
      </c>
      <c r="H148" s="54"/>
      <c r="I148" s="55">
        <f t="shared" si="77"/>
        <v>5</v>
      </c>
      <c r="J148" s="55">
        <v>5</v>
      </c>
      <c r="K148" s="55">
        <v>0</v>
      </c>
      <c r="L148" s="55">
        <v>0</v>
      </c>
      <c r="M148" s="55">
        <v>0</v>
      </c>
      <c r="N148" s="55">
        <f t="shared" si="78"/>
        <v>1</v>
      </c>
      <c r="O148" s="55">
        <v>1</v>
      </c>
      <c r="P148" s="55">
        <v>0</v>
      </c>
      <c r="Q148" s="55">
        <v>0</v>
      </c>
      <c r="R148" s="55">
        <f t="shared" si="79"/>
        <v>4</v>
      </c>
      <c r="S148" s="55">
        <v>4</v>
      </c>
      <c r="T148" s="55">
        <v>0</v>
      </c>
      <c r="U148" s="55">
        <v>0</v>
      </c>
      <c r="V148" s="55">
        <v>7</v>
      </c>
      <c r="W148" s="53">
        <v>7</v>
      </c>
      <c r="X148" s="53">
        <v>0</v>
      </c>
      <c r="Y148" s="55">
        <v>0</v>
      </c>
      <c r="Z148" s="55">
        <v>2</v>
      </c>
      <c r="AA148" s="53">
        <v>2</v>
      </c>
      <c r="AB148" s="53">
        <v>0</v>
      </c>
      <c r="AC148" s="55">
        <v>0</v>
      </c>
      <c r="AD148" s="55">
        <f t="shared" si="80"/>
        <v>4</v>
      </c>
      <c r="AE148" s="53">
        <v>4</v>
      </c>
      <c r="AF148" s="55">
        <v>0</v>
      </c>
      <c r="AG148" s="55">
        <v>0</v>
      </c>
      <c r="AH148" s="55">
        <f t="shared" si="81"/>
        <v>2</v>
      </c>
      <c r="AI148" s="55">
        <v>2</v>
      </c>
      <c r="AJ148" s="55">
        <v>0</v>
      </c>
      <c r="AK148" s="55">
        <v>0</v>
      </c>
      <c r="AL148" s="55">
        <f t="shared" si="73"/>
        <v>2</v>
      </c>
      <c r="AM148" s="55">
        <v>2</v>
      </c>
      <c r="AN148" s="55">
        <v>0</v>
      </c>
      <c r="AO148" s="55">
        <v>0</v>
      </c>
      <c r="AP148" s="55">
        <f t="shared" si="75"/>
        <v>6</v>
      </c>
      <c r="AQ148" s="55">
        <f>IFERROR(VLOOKUP(A148,[1]SIIMPLES!$A$2:$F$418,6,FALSE),0)</f>
        <v>6</v>
      </c>
      <c r="AR148" s="55">
        <v>0</v>
      </c>
      <c r="AS148" s="55">
        <v>9</v>
      </c>
      <c r="AT148" s="55">
        <v>9</v>
      </c>
      <c r="AU148" s="55">
        <v>0</v>
      </c>
      <c r="AV148" s="55">
        <v>0</v>
      </c>
      <c r="AW148" s="55"/>
      <c r="AX148" s="55"/>
      <c r="AY148" s="56">
        <f t="shared" si="82"/>
        <v>4.2</v>
      </c>
      <c r="AZ148" s="55"/>
      <c r="BA148" s="56">
        <v>4</v>
      </c>
      <c r="BB148" s="41">
        <f t="shared" si="76"/>
        <v>5.0000000000000044E-2</v>
      </c>
      <c r="BC148" s="13"/>
      <c r="BD148" s="35"/>
      <c r="BE148" s="7"/>
      <c r="BF148" s="16"/>
      <c r="BG148" s="17">
        <f t="shared" si="83"/>
        <v>0</v>
      </c>
      <c r="BH148" s="16">
        <f>ROUND(IFERROR(IF(F148=1,IF(BC148&lt;AY148*3,AY148*3-BC148,0),IF(BC148&lt;AY148,AY148*0.6-BC148,0)),""),0)</f>
        <v>3</v>
      </c>
    </row>
    <row r="149" spans="1:60" s="21" customFormat="1" ht="12.75" customHeight="1" x14ac:dyDescent="0.2">
      <c r="A149" s="51">
        <v>2367</v>
      </c>
      <c r="B149" s="51" t="s">
        <v>1077</v>
      </c>
      <c r="C149" s="66" t="s">
        <v>1803</v>
      </c>
      <c r="D149" s="65" t="s">
        <v>733</v>
      </c>
      <c r="E149" s="52" t="s">
        <v>730</v>
      </c>
      <c r="F149" s="53">
        <f>IFERROR(VLOOKUP(E149,Fornecedores!$A$2:$B$2700,2,FALSE),"")</f>
        <v>3</v>
      </c>
      <c r="G149" s="52" t="s">
        <v>114</v>
      </c>
      <c r="H149" s="54"/>
      <c r="I149" s="55">
        <f t="shared" si="77"/>
        <v>14</v>
      </c>
      <c r="J149" s="55">
        <v>14</v>
      </c>
      <c r="K149" s="55">
        <v>0</v>
      </c>
      <c r="L149" s="55">
        <v>0</v>
      </c>
      <c r="M149" s="55">
        <v>0</v>
      </c>
      <c r="N149" s="55">
        <f t="shared" si="78"/>
        <v>10</v>
      </c>
      <c r="O149" s="55">
        <v>10</v>
      </c>
      <c r="P149" s="55">
        <v>0</v>
      </c>
      <c r="Q149" s="55">
        <v>0</v>
      </c>
      <c r="R149" s="55">
        <f t="shared" si="79"/>
        <v>8</v>
      </c>
      <c r="S149" s="55">
        <v>8</v>
      </c>
      <c r="T149" s="55">
        <v>0</v>
      </c>
      <c r="U149" s="55">
        <v>0</v>
      </c>
      <c r="V149" s="55">
        <v>13</v>
      </c>
      <c r="W149" s="53">
        <v>13</v>
      </c>
      <c r="X149" s="53">
        <v>0</v>
      </c>
      <c r="Y149" s="55">
        <v>0</v>
      </c>
      <c r="Z149" s="55">
        <v>18</v>
      </c>
      <c r="AA149" s="53">
        <v>18</v>
      </c>
      <c r="AB149" s="53">
        <v>0</v>
      </c>
      <c r="AC149" s="55">
        <v>0</v>
      </c>
      <c r="AD149" s="55">
        <f t="shared" si="80"/>
        <v>13</v>
      </c>
      <c r="AE149" s="53">
        <v>13</v>
      </c>
      <c r="AF149" s="55">
        <v>0</v>
      </c>
      <c r="AG149" s="55">
        <v>0</v>
      </c>
      <c r="AH149" s="55">
        <f t="shared" si="81"/>
        <v>15</v>
      </c>
      <c r="AI149" s="55">
        <v>15</v>
      </c>
      <c r="AJ149" s="55">
        <v>0</v>
      </c>
      <c r="AK149" s="55">
        <v>0</v>
      </c>
      <c r="AL149" s="55">
        <f t="shared" si="73"/>
        <v>15</v>
      </c>
      <c r="AM149" s="55">
        <v>15</v>
      </c>
      <c r="AN149" s="55">
        <v>0</v>
      </c>
      <c r="AO149" s="55">
        <v>0</v>
      </c>
      <c r="AP149" s="55">
        <f t="shared" si="75"/>
        <v>6</v>
      </c>
      <c r="AQ149" s="55">
        <f>IFERROR(VLOOKUP(A149,[1]SIIMPLES!$A$2:$F$418,6,FALSE),0)</f>
        <v>6</v>
      </c>
      <c r="AR149" s="55">
        <v>0</v>
      </c>
      <c r="AS149" s="55">
        <v>4</v>
      </c>
      <c r="AT149" s="55">
        <v>4</v>
      </c>
      <c r="AU149" s="55">
        <v>0</v>
      </c>
      <c r="AV149" s="55">
        <v>0</v>
      </c>
      <c r="AW149" s="55"/>
      <c r="AX149" s="55"/>
      <c r="AY149" s="56">
        <f t="shared" si="82"/>
        <v>11.6</v>
      </c>
      <c r="AZ149" s="55"/>
      <c r="BA149" s="56">
        <v>17.166666666666668</v>
      </c>
      <c r="BB149" s="41">
        <f t="shared" si="76"/>
        <v>-0.32427184466019421</v>
      </c>
      <c r="BC149" s="13"/>
      <c r="BD149" s="35"/>
      <c r="BE149" s="7"/>
      <c r="BF149" s="16"/>
      <c r="BG149" s="17">
        <f t="shared" si="83"/>
        <v>0</v>
      </c>
      <c r="BH149" s="16">
        <f t="shared" ref="BH149:BH156" si="84">IFERROR(IF(F149=1,IF(BC149&lt;AY149*3,AY149*3-BC149,0),IF(BC149&lt;AY149,AY149-BC149,0)),"")</f>
        <v>11.6</v>
      </c>
    </row>
    <row r="150" spans="1:60" s="21" customFormat="1" ht="12.75" customHeight="1" x14ac:dyDescent="0.2">
      <c r="A150" s="51">
        <v>4081</v>
      </c>
      <c r="B150" s="51" t="s">
        <v>1077</v>
      </c>
      <c r="C150" s="66" t="s">
        <v>1803</v>
      </c>
      <c r="D150" s="52" t="s">
        <v>902</v>
      </c>
      <c r="E150" s="52" t="s">
        <v>736</v>
      </c>
      <c r="F150" s="53">
        <f>IFERROR(VLOOKUP(E150,Fornecedores!$A$2:$B$2700,2,FALSE),"")</f>
        <v>5</v>
      </c>
      <c r="G150" s="52" t="s">
        <v>906</v>
      </c>
      <c r="H150" s="57"/>
      <c r="I150" s="55">
        <f t="shared" si="77"/>
        <v>10</v>
      </c>
      <c r="J150" s="55">
        <v>10</v>
      </c>
      <c r="K150" s="55">
        <v>0</v>
      </c>
      <c r="L150" s="55">
        <v>0</v>
      </c>
      <c r="M150" s="55">
        <v>0</v>
      </c>
      <c r="N150" s="55">
        <f t="shared" si="78"/>
        <v>7</v>
      </c>
      <c r="O150" s="55">
        <v>7</v>
      </c>
      <c r="P150" s="55">
        <v>0</v>
      </c>
      <c r="Q150" s="55">
        <v>0</v>
      </c>
      <c r="R150" s="55">
        <f t="shared" si="79"/>
        <v>0</v>
      </c>
      <c r="S150" s="55">
        <v>0</v>
      </c>
      <c r="T150" s="55">
        <v>0</v>
      </c>
      <c r="U150" s="55">
        <v>0</v>
      </c>
      <c r="V150" s="55">
        <v>2</v>
      </c>
      <c r="W150" s="53">
        <v>2</v>
      </c>
      <c r="X150" s="53">
        <v>0</v>
      </c>
      <c r="Y150" s="55">
        <v>0</v>
      </c>
      <c r="Z150" s="55">
        <v>9</v>
      </c>
      <c r="AA150" s="53">
        <v>9</v>
      </c>
      <c r="AB150" s="53">
        <v>0</v>
      </c>
      <c r="AC150" s="55">
        <v>0</v>
      </c>
      <c r="AD150" s="55">
        <f t="shared" si="80"/>
        <v>0</v>
      </c>
      <c r="AE150" s="53">
        <v>0</v>
      </c>
      <c r="AF150" s="55">
        <v>0</v>
      </c>
      <c r="AG150" s="55">
        <v>0</v>
      </c>
      <c r="AH150" s="55">
        <f t="shared" si="81"/>
        <v>9</v>
      </c>
      <c r="AI150" s="55">
        <v>9</v>
      </c>
      <c r="AJ150" s="55">
        <v>0</v>
      </c>
      <c r="AK150" s="55">
        <v>0</v>
      </c>
      <c r="AL150" s="55">
        <f t="shared" si="73"/>
        <v>8</v>
      </c>
      <c r="AM150" s="55">
        <v>8</v>
      </c>
      <c r="AN150" s="55">
        <v>0</v>
      </c>
      <c r="AO150" s="55">
        <v>0</v>
      </c>
      <c r="AP150" s="55">
        <f t="shared" si="75"/>
        <v>6</v>
      </c>
      <c r="AQ150" s="55">
        <f>IFERROR(VLOOKUP(A150,[1]SIIMPLES!$A$2:$F$418,6,FALSE),0)</f>
        <v>6</v>
      </c>
      <c r="AR150" s="55">
        <v>0</v>
      </c>
      <c r="AS150" s="55">
        <v>6</v>
      </c>
      <c r="AT150" s="55">
        <v>6</v>
      </c>
      <c r="AU150" s="55">
        <v>0</v>
      </c>
      <c r="AV150" s="55">
        <v>0</v>
      </c>
      <c r="AW150" s="55"/>
      <c r="AX150" s="55"/>
      <c r="AY150" s="56">
        <f t="shared" si="82"/>
        <v>5.7</v>
      </c>
      <c r="AZ150" s="55"/>
      <c r="BA150" s="56">
        <v>3.3333333333333335</v>
      </c>
      <c r="BB150" s="41">
        <f t="shared" si="76"/>
        <v>0.71</v>
      </c>
      <c r="BC150" s="13"/>
      <c r="BD150" s="35"/>
      <c r="BE150" s="13"/>
      <c r="BF150" s="16"/>
      <c r="BG150" s="17">
        <f t="shared" si="83"/>
        <v>0</v>
      </c>
      <c r="BH150" s="16">
        <f t="shared" si="84"/>
        <v>5.7</v>
      </c>
    </row>
    <row r="151" spans="1:60" s="21" customFormat="1" ht="12.75" customHeight="1" x14ac:dyDescent="0.2">
      <c r="A151" s="51">
        <v>13120</v>
      </c>
      <c r="B151" s="51" t="s">
        <v>1077</v>
      </c>
      <c r="C151" s="66" t="s">
        <v>1803</v>
      </c>
      <c r="D151" s="52" t="s">
        <v>749</v>
      </c>
      <c r="E151" s="52" t="s">
        <v>750</v>
      </c>
      <c r="F151" s="53">
        <f>IFERROR(VLOOKUP(E151,Fornecedores!$A$2:$B$2700,2,FALSE),"")</f>
        <v>4</v>
      </c>
      <c r="G151" s="52" t="s">
        <v>620</v>
      </c>
      <c r="H151" s="54"/>
      <c r="I151" s="55">
        <f t="shared" si="77"/>
        <v>6</v>
      </c>
      <c r="J151" s="55">
        <v>2</v>
      </c>
      <c r="K151" s="55">
        <v>4</v>
      </c>
      <c r="L151" s="55">
        <v>0</v>
      </c>
      <c r="M151" s="55">
        <v>0</v>
      </c>
      <c r="N151" s="55">
        <f t="shared" si="78"/>
        <v>4</v>
      </c>
      <c r="O151" s="55">
        <v>0</v>
      </c>
      <c r="P151" s="55">
        <v>4</v>
      </c>
      <c r="Q151" s="55">
        <v>0</v>
      </c>
      <c r="R151" s="55">
        <f t="shared" si="79"/>
        <v>2</v>
      </c>
      <c r="S151" s="55">
        <v>0</v>
      </c>
      <c r="T151" s="55">
        <v>2</v>
      </c>
      <c r="U151" s="55">
        <v>0</v>
      </c>
      <c r="V151" s="55">
        <v>5</v>
      </c>
      <c r="W151" s="53">
        <v>1</v>
      </c>
      <c r="X151" s="53">
        <v>4</v>
      </c>
      <c r="Y151" s="55">
        <v>0</v>
      </c>
      <c r="Z151" s="55">
        <v>2</v>
      </c>
      <c r="AA151" s="53">
        <v>0</v>
      </c>
      <c r="AB151" s="53">
        <v>2</v>
      </c>
      <c r="AC151" s="55">
        <v>0</v>
      </c>
      <c r="AD151" s="55">
        <f t="shared" si="80"/>
        <v>11</v>
      </c>
      <c r="AE151" s="53">
        <v>1</v>
      </c>
      <c r="AF151" s="55">
        <v>10</v>
      </c>
      <c r="AG151" s="55">
        <v>0</v>
      </c>
      <c r="AH151" s="55">
        <f t="shared" si="81"/>
        <v>4</v>
      </c>
      <c r="AI151" s="55">
        <v>2</v>
      </c>
      <c r="AJ151" s="55">
        <v>2</v>
      </c>
      <c r="AK151" s="55">
        <v>0</v>
      </c>
      <c r="AL151" s="55">
        <f t="shared" si="73"/>
        <v>4</v>
      </c>
      <c r="AM151" s="55" t="s">
        <v>1912</v>
      </c>
      <c r="AN151" s="55">
        <v>4</v>
      </c>
      <c r="AO151" s="55">
        <v>0</v>
      </c>
      <c r="AP151" s="55">
        <f t="shared" si="75"/>
        <v>6</v>
      </c>
      <c r="AQ151" s="55">
        <f>IFERROR(VLOOKUP(A151,[1]SIIMPLES!$A$2:$F$418,6,FALSE),0)</f>
        <v>0</v>
      </c>
      <c r="AR151" s="55">
        <v>6</v>
      </c>
      <c r="AS151" s="55">
        <v>2</v>
      </c>
      <c r="AT151" s="55">
        <v>0</v>
      </c>
      <c r="AU151" s="55">
        <v>2</v>
      </c>
      <c r="AV151" s="55">
        <v>0</v>
      </c>
      <c r="AW151" s="55"/>
      <c r="AX151" s="55"/>
      <c r="AY151" s="56">
        <f t="shared" si="82"/>
        <v>4.5999999999999996</v>
      </c>
      <c r="AZ151" s="55"/>
      <c r="BA151" s="56">
        <v>6.333333333333333</v>
      </c>
      <c r="BB151" s="41">
        <f t="shared" si="76"/>
        <v>-0.27368421052631586</v>
      </c>
      <c r="BC151" s="13"/>
      <c r="BD151" s="35"/>
      <c r="BE151" s="13"/>
      <c r="BF151" s="16"/>
      <c r="BG151" s="17">
        <f t="shared" si="83"/>
        <v>0</v>
      </c>
      <c r="BH151" s="16">
        <f t="shared" si="84"/>
        <v>4.5999999999999996</v>
      </c>
    </row>
    <row r="152" spans="1:60" s="21" customFormat="1" ht="12.75" customHeight="1" x14ac:dyDescent="0.2">
      <c r="A152" s="51">
        <v>55123</v>
      </c>
      <c r="B152" s="51" t="s">
        <v>1077</v>
      </c>
      <c r="C152" s="66" t="s">
        <v>1803</v>
      </c>
      <c r="D152" s="65" t="s">
        <v>1779</v>
      </c>
      <c r="E152" s="52" t="s">
        <v>732</v>
      </c>
      <c r="F152" s="53">
        <f>IFERROR(VLOOKUP(E152,Fornecedores!$A$2:$B$2700,2,FALSE),"")</f>
        <v>6</v>
      </c>
      <c r="G152" s="52" t="s">
        <v>521</v>
      </c>
      <c r="H152" s="54"/>
      <c r="I152" s="55">
        <f t="shared" si="77"/>
        <v>4</v>
      </c>
      <c r="J152" s="55">
        <v>0</v>
      </c>
      <c r="K152" s="55">
        <v>4</v>
      </c>
      <c r="L152" s="55">
        <v>0</v>
      </c>
      <c r="M152" s="55">
        <v>0</v>
      </c>
      <c r="N152" s="55">
        <f t="shared" si="78"/>
        <v>0</v>
      </c>
      <c r="O152" s="55">
        <v>0</v>
      </c>
      <c r="P152" s="55">
        <v>0</v>
      </c>
      <c r="Q152" s="55">
        <v>0</v>
      </c>
      <c r="R152" s="55">
        <f t="shared" si="79"/>
        <v>0</v>
      </c>
      <c r="S152" s="55">
        <v>0</v>
      </c>
      <c r="T152" s="55">
        <v>0</v>
      </c>
      <c r="U152" s="55">
        <v>0</v>
      </c>
      <c r="V152" s="55">
        <v>1</v>
      </c>
      <c r="W152" s="53">
        <v>1</v>
      </c>
      <c r="X152" s="53">
        <v>0</v>
      </c>
      <c r="Y152" s="55">
        <v>0</v>
      </c>
      <c r="Z152" s="55">
        <v>6</v>
      </c>
      <c r="AA152" s="53">
        <v>0</v>
      </c>
      <c r="AB152" s="53">
        <v>6</v>
      </c>
      <c r="AC152" s="55">
        <v>0</v>
      </c>
      <c r="AD152" s="55">
        <f t="shared" si="80"/>
        <v>6</v>
      </c>
      <c r="AE152" s="53">
        <v>0</v>
      </c>
      <c r="AF152" s="55">
        <v>6</v>
      </c>
      <c r="AG152" s="55">
        <v>0</v>
      </c>
      <c r="AH152" s="55">
        <f t="shared" si="81"/>
        <v>0</v>
      </c>
      <c r="AI152" s="55">
        <v>0</v>
      </c>
      <c r="AJ152" s="55">
        <v>0</v>
      </c>
      <c r="AK152" s="55">
        <v>0</v>
      </c>
      <c r="AL152" s="55">
        <f t="shared" si="73"/>
        <v>4</v>
      </c>
      <c r="AM152" s="55" t="s">
        <v>1912</v>
      </c>
      <c r="AN152" s="55">
        <v>4</v>
      </c>
      <c r="AO152" s="55">
        <v>0</v>
      </c>
      <c r="AP152" s="55">
        <f t="shared" si="75"/>
        <v>6</v>
      </c>
      <c r="AQ152" s="55">
        <f>IFERROR(VLOOKUP(A152,[1]SIIMPLES!$A$2:$F$418,6,FALSE),0)</f>
        <v>0</v>
      </c>
      <c r="AR152" s="55">
        <v>6</v>
      </c>
      <c r="AS152" s="55">
        <v>28</v>
      </c>
      <c r="AT152" s="55">
        <v>6</v>
      </c>
      <c r="AU152" s="55">
        <v>22</v>
      </c>
      <c r="AV152" s="55">
        <v>0</v>
      </c>
      <c r="AW152" s="55"/>
      <c r="AX152" s="55"/>
      <c r="AY152" s="56">
        <f t="shared" si="82"/>
        <v>5.5</v>
      </c>
      <c r="AZ152" s="55"/>
      <c r="BA152" s="56">
        <v>7.666666666666667</v>
      </c>
      <c r="BB152" s="41">
        <f t="shared" si="76"/>
        <v>-0.28260869565217395</v>
      </c>
      <c r="BC152" s="13"/>
      <c r="BD152" s="35"/>
      <c r="BE152" s="7"/>
      <c r="BF152" s="16"/>
      <c r="BG152" s="17">
        <f t="shared" si="83"/>
        <v>0</v>
      </c>
      <c r="BH152" s="16">
        <f t="shared" si="84"/>
        <v>5.5</v>
      </c>
    </row>
    <row r="153" spans="1:60" s="21" customFormat="1" ht="12.75" customHeight="1" x14ac:dyDescent="0.2">
      <c r="A153" s="51">
        <v>66412</v>
      </c>
      <c r="B153" s="51" t="s">
        <v>1077</v>
      </c>
      <c r="C153" s="66" t="s">
        <v>1803</v>
      </c>
      <c r="D153" s="65" t="s">
        <v>726</v>
      </c>
      <c r="E153" s="67" t="s">
        <v>727</v>
      </c>
      <c r="F153" s="53">
        <f>IFERROR(VLOOKUP(E153,Fornecedores!$A$2:$B$2700,2,FALSE),"")</f>
        <v>1</v>
      </c>
      <c r="G153" s="52" t="s">
        <v>685</v>
      </c>
      <c r="H153" s="54"/>
      <c r="I153" s="55">
        <f t="shared" si="77"/>
        <v>13</v>
      </c>
      <c r="J153" s="55">
        <v>13</v>
      </c>
      <c r="K153" s="55">
        <v>0</v>
      </c>
      <c r="L153" s="55">
        <v>0</v>
      </c>
      <c r="M153" s="55">
        <v>0</v>
      </c>
      <c r="N153" s="55">
        <f t="shared" si="78"/>
        <v>21</v>
      </c>
      <c r="O153" s="55">
        <v>21</v>
      </c>
      <c r="P153" s="55">
        <v>0</v>
      </c>
      <c r="Q153" s="55">
        <v>0</v>
      </c>
      <c r="R153" s="55">
        <f t="shared" si="79"/>
        <v>11</v>
      </c>
      <c r="S153" s="55">
        <v>11</v>
      </c>
      <c r="T153" s="55">
        <v>0</v>
      </c>
      <c r="U153" s="55">
        <v>0</v>
      </c>
      <c r="V153" s="55">
        <v>17</v>
      </c>
      <c r="W153" s="53">
        <v>17</v>
      </c>
      <c r="X153" s="53">
        <v>0</v>
      </c>
      <c r="Y153" s="55">
        <v>0</v>
      </c>
      <c r="Z153" s="55">
        <v>14</v>
      </c>
      <c r="AA153" s="53">
        <v>14</v>
      </c>
      <c r="AB153" s="53">
        <v>0</v>
      </c>
      <c r="AC153" s="55">
        <v>0</v>
      </c>
      <c r="AD153" s="55">
        <f t="shared" si="80"/>
        <v>9</v>
      </c>
      <c r="AE153" s="53">
        <v>9</v>
      </c>
      <c r="AF153" s="55">
        <v>0</v>
      </c>
      <c r="AG153" s="55">
        <v>0</v>
      </c>
      <c r="AH153" s="55">
        <f t="shared" si="81"/>
        <v>9</v>
      </c>
      <c r="AI153" s="55">
        <v>9</v>
      </c>
      <c r="AJ153" s="55">
        <v>0</v>
      </c>
      <c r="AK153" s="55">
        <v>0</v>
      </c>
      <c r="AL153" s="55">
        <f t="shared" si="73"/>
        <v>15</v>
      </c>
      <c r="AM153" s="55">
        <v>15</v>
      </c>
      <c r="AN153" s="55">
        <v>0</v>
      </c>
      <c r="AO153" s="55">
        <v>0</v>
      </c>
      <c r="AP153" s="55">
        <f t="shared" si="75"/>
        <v>6</v>
      </c>
      <c r="AQ153" s="55">
        <f>IFERROR(VLOOKUP(A153,[1]SIIMPLES!$A$2:$F$418,6,FALSE),0)</f>
        <v>6</v>
      </c>
      <c r="AR153" s="55">
        <v>0</v>
      </c>
      <c r="AS153" s="55">
        <v>6</v>
      </c>
      <c r="AT153" s="55">
        <v>6</v>
      </c>
      <c r="AU153" s="55">
        <v>0</v>
      </c>
      <c r="AV153" s="55">
        <v>0</v>
      </c>
      <c r="AW153" s="55"/>
      <c r="AX153" s="55"/>
      <c r="AY153" s="56">
        <f t="shared" si="82"/>
        <v>12.1</v>
      </c>
      <c r="AZ153" s="55"/>
      <c r="BA153" s="56">
        <v>21.666666666666668</v>
      </c>
      <c r="BB153" s="41">
        <f t="shared" si="76"/>
        <v>-0.44153846153846155</v>
      </c>
      <c r="BC153" s="13"/>
      <c r="BD153" s="35"/>
      <c r="BE153" s="13"/>
      <c r="BF153" s="16">
        <f>SUM(BC153:BE153)</f>
        <v>0</v>
      </c>
      <c r="BG153" s="17">
        <f t="shared" si="83"/>
        <v>0</v>
      </c>
      <c r="BH153" s="16">
        <f t="shared" si="84"/>
        <v>36.299999999999997</v>
      </c>
    </row>
    <row r="154" spans="1:60" s="21" customFormat="1" ht="12.75" customHeight="1" x14ac:dyDescent="0.2">
      <c r="A154" s="51">
        <v>66606</v>
      </c>
      <c r="B154" s="51" t="s">
        <v>1077</v>
      </c>
      <c r="C154" s="66" t="s">
        <v>1803</v>
      </c>
      <c r="D154" s="65" t="s">
        <v>737</v>
      </c>
      <c r="E154" s="67" t="s">
        <v>727</v>
      </c>
      <c r="F154" s="53">
        <f>IFERROR(VLOOKUP(E154,Fornecedores!$A$2:$B$2700,2,FALSE),"")</f>
        <v>1</v>
      </c>
      <c r="G154" s="52" t="s">
        <v>226</v>
      </c>
      <c r="H154" s="54"/>
      <c r="I154" s="55">
        <f t="shared" si="77"/>
        <v>4</v>
      </c>
      <c r="J154" s="55">
        <v>4</v>
      </c>
      <c r="K154" s="55">
        <v>0</v>
      </c>
      <c r="L154" s="55">
        <v>0</v>
      </c>
      <c r="M154" s="55">
        <v>0</v>
      </c>
      <c r="N154" s="55">
        <f t="shared" si="78"/>
        <v>0</v>
      </c>
      <c r="O154" s="55">
        <v>0</v>
      </c>
      <c r="P154" s="55">
        <v>0</v>
      </c>
      <c r="Q154" s="55">
        <v>0</v>
      </c>
      <c r="R154" s="55">
        <f t="shared" si="79"/>
        <v>3</v>
      </c>
      <c r="S154" s="55">
        <v>3</v>
      </c>
      <c r="T154" s="55">
        <v>0</v>
      </c>
      <c r="U154" s="55">
        <v>0</v>
      </c>
      <c r="V154" s="55">
        <v>8</v>
      </c>
      <c r="W154" s="53">
        <v>7</v>
      </c>
      <c r="X154" s="53">
        <v>0</v>
      </c>
      <c r="Y154" s="55">
        <v>1</v>
      </c>
      <c r="Z154" s="55">
        <v>11</v>
      </c>
      <c r="AA154" s="53">
        <v>11</v>
      </c>
      <c r="AB154" s="53">
        <v>0</v>
      </c>
      <c r="AC154" s="55">
        <v>0</v>
      </c>
      <c r="AD154" s="55">
        <f t="shared" si="80"/>
        <v>10</v>
      </c>
      <c r="AE154" s="53">
        <v>10</v>
      </c>
      <c r="AF154" s="55">
        <v>0</v>
      </c>
      <c r="AG154" s="55">
        <v>0</v>
      </c>
      <c r="AH154" s="55">
        <f t="shared" si="81"/>
        <v>10</v>
      </c>
      <c r="AI154" s="55">
        <v>10</v>
      </c>
      <c r="AJ154" s="55">
        <v>0</v>
      </c>
      <c r="AK154" s="55">
        <v>0</v>
      </c>
      <c r="AL154" s="55">
        <f t="shared" si="73"/>
        <v>4</v>
      </c>
      <c r="AM154" s="55">
        <v>4</v>
      </c>
      <c r="AN154" s="55">
        <v>0</v>
      </c>
      <c r="AO154" s="55">
        <v>0</v>
      </c>
      <c r="AP154" s="55">
        <f t="shared" si="75"/>
        <v>6</v>
      </c>
      <c r="AQ154" s="55">
        <f>IFERROR(VLOOKUP(A154,[1]SIIMPLES!$A$2:$F$418,6,FALSE),0)</f>
        <v>6</v>
      </c>
      <c r="AR154" s="55">
        <v>0</v>
      </c>
      <c r="AS154" s="55">
        <v>4</v>
      </c>
      <c r="AT154" s="55">
        <v>4</v>
      </c>
      <c r="AU154" s="55">
        <v>0</v>
      </c>
      <c r="AV154" s="55">
        <v>0</v>
      </c>
      <c r="AW154" s="55"/>
      <c r="AX154" s="55"/>
      <c r="AY154" s="56">
        <f t="shared" si="82"/>
        <v>6</v>
      </c>
      <c r="AZ154" s="55"/>
      <c r="BA154" s="56">
        <v>4.5</v>
      </c>
      <c r="BB154" s="41">
        <f t="shared" si="76"/>
        <v>0.33333333333333326</v>
      </c>
      <c r="BC154" s="13"/>
      <c r="BD154" s="35"/>
      <c r="BE154" s="13"/>
      <c r="BF154" s="16"/>
      <c r="BG154" s="17">
        <f t="shared" si="83"/>
        <v>0</v>
      </c>
      <c r="BH154" s="16">
        <f t="shared" si="84"/>
        <v>18</v>
      </c>
    </row>
    <row r="155" spans="1:60" s="21" customFormat="1" ht="12.75" customHeight="1" x14ac:dyDescent="0.2">
      <c r="A155" s="51">
        <v>222033</v>
      </c>
      <c r="B155" s="51" t="s">
        <v>1077</v>
      </c>
      <c r="C155" s="66" t="s">
        <v>1803</v>
      </c>
      <c r="D155" s="52" t="s">
        <v>728</v>
      </c>
      <c r="E155" s="65" t="s">
        <v>780</v>
      </c>
      <c r="F155" s="53">
        <f>IFERROR(VLOOKUP(E155,Fornecedores!$A$2:$B$2700,2,FALSE),"")</f>
        <v>2</v>
      </c>
      <c r="G155" s="52" t="s">
        <v>872</v>
      </c>
      <c r="H155" s="57"/>
      <c r="I155" s="55">
        <f t="shared" si="77"/>
        <v>7</v>
      </c>
      <c r="J155" s="55">
        <v>1</v>
      </c>
      <c r="K155" s="55">
        <v>6</v>
      </c>
      <c r="L155" s="55">
        <v>0</v>
      </c>
      <c r="M155" s="55">
        <v>0</v>
      </c>
      <c r="N155" s="55">
        <f t="shared" si="78"/>
        <v>4</v>
      </c>
      <c r="O155" s="55">
        <v>1</v>
      </c>
      <c r="P155" s="55">
        <v>3</v>
      </c>
      <c r="Q155" s="55">
        <v>0</v>
      </c>
      <c r="R155" s="55">
        <f t="shared" si="79"/>
        <v>2</v>
      </c>
      <c r="S155" s="55">
        <v>1</v>
      </c>
      <c r="T155" s="55">
        <v>1</v>
      </c>
      <c r="U155" s="55">
        <v>0</v>
      </c>
      <c r="V155" s="55">
        <v>6</v>
      </c>
      <c r="W155" s="53">
        <v>3</v>
      </c>
      <c r="X155" s="53">
        <v>3</v>
      </c>
      <c r="Y155" s="55">
        <v>0</v>
      </c>
      <c r="Z155" s="55">
        <v>1</v>
      </c>
      <c r="AA155" s="53">
        <v>0</v>
      </c>
      <c r="AB155" s="53">
        <v>1</v>
      </c>
      <c r="AC155" s="55">
        <v>0</v>
      </c>
      <c r="AD155" s="55">
        <f t="shared" si="80"/>
        <v>4</v>
      </c>
      <c r="AE155" s="53">
        <v>3</v>
      </c>
      <c r="AF155" s="55">
        <v>0</v>
      </c>
      <c r="AG155" s="55">
        <v>1</v>
      </c>
      <c r="AH155" s="55">
        <f t="shared" si="81"/>
        <v>7</v>
      </c>
      <c r="AI155" s="55">
        <v>3</v>
      </c>
      <c r="AJ155" s="55">
        <v>4</v>
      </c>
      <c r="AK155" s="55">
        <v>0</v>
      </c>
      <c r="AL155" s="55">
        <f t="shared" si="73"/>
        <v>4</v>
      </c>
      <c r="AM155" s="55">
        <v>2</v>
      </c>
      <c r="AN155" s="55">
        <v>2</v>
      </c>
      <c r="AO155" s="55">
        <v>0</v>
      </c>
      <c r="AP155" s="55">
        <f t="shared" si="75"/>
        <v>6</v>
      </c>
      <c r="AQ155" s="55">
        <f>IFERROR(VLOOKUP(A155,[1]SIIMPLES!$A$2:$F$418,6,FALSE),0)</f>
        <v>4</v>
      </c>
      <c r="AR155" s="55">
        <v>2</v>
      </c>
      <c r="AS155" s="55">
        <v>6</v>
      </c>
      <c r="AT155" s="55">
        <v>1</v>
      </c>
      <c r="AU155" s="55">
        <v>4</v>
      </c>
      <c r="AV155" s="55">
        <v>1</v>
      </c>
      <c r="AW155" s="55"/>
      <c r="AX155" s="55"/>
      <c r="AY155" s="56">
        <f t="shared" si="82"/>
        <v>4.7</v>
      </c>
      <c r="AZ155" s="55"/>
      <c r="BA155" s="56">
        <v>1.5</v>
      </c>
      <c r="BB155" s="41">
        <f t="shared" si="76"/>
        <v>2.1333333333333333</v>
      </c>
      <c r="BC155" s="10"/>
      <c r="BD155" s="35"/>
      <c r="BE155" s="13"/>
      <c r="BF155" s="16"/>
      <c r="BG155" s="17">
        <f t="shared" si="83"/>
        <v>0</v>
      </c>
      <c r="BH155" s="16">
        <f t="shared" si="84"/>
        <v>4.7</v>
      </c>
    </row>
    <row r="156" spans="1:60" s="21" customFormat="1" ht="12.75" customHeight="1" x14ac:dyDescent="0.2">
      <c r="A156" s="51">
        <v>552014</v>
      </c>
      <c r="B156" s="51" t="s">
        <v>1077</v>
      </c>
      <c r="C156" s="66" t="s">
        <v>1803</v>
      </c>
      <c r="D156" s="52" t="s">
        <v>728</v>
      </c>
      <c r="E156" s="65" t="s">
        <v>780</v>
      </c>
      <c r="F156" s="53">
        <f>IFERROR(VLOOKUP(E156,Fornecedores!$A$2:$B$2700,2,FALSE),"")</f>
        <v>2</v>
      </c>
      <c r="G156" s="52" t="s">
        <v>570</v>
      </c>
      <c r="H156" s="57"/>
      <c r="I156" s="55">
        <f t="shared" si="77"/>
        <v>4</v>
      </c>
      <c r="J156" s="55">
        <v>1</v>
      </c>
      <c r="K156" s="55">
        <v>2</v>
      </c>
      <c r="L156" s="55">
        <v>0</v>
      </c>
      <c r="M156" s="55">
        <v>1</v>
      </c>
      <c r="N156" s="55">
        <f t="shared" si="78"/>
        <v>2</v>
      </c>
      <c r="O156" s="55">
        <v>1</v>
      </c>
      <c r="P156" s="55">
        <v>1</v>
      </c>
      <c r="Q156" s="55">
        <v>0</v>
      </c>
      <c r="R156" s="55">
        <f t="shared" si="79"/>
        <v>7</v>
      </c>
      <c r="S156" s="55">
        <v>0</v>
      </c>
      <c r="T156" s="55">
        <v>7</v>
      </c>
      <c r="U156" s="55">
        <v>0</v>
      </c>
      <c r="V156" s="55">
        <v>6</v>
      </c>
      <c r="W156" s="53">
        <v>2</v>
      </c>
      <c r="X156" s="53">
        <v>4</v>
      </c>
      <c r="Y156" s="55">
        <v>0</v>
      </c>
      <c r="Z156" s="55">
        <v>4</v>
      </c>
      <c r="AA156" s="53">
        <v>1</v>
      </c>
      <c r="AB156" s="53">
        <v>3</v>
      </c>
      <c r="AC156" s="55">
        <v>0</v>
      </c>
      <c r="AD156" s="55">
        <f t="shared" si="80"/>
        <v>1</v>
      </c>
      <c r="AE156" s="53">
        <v>1</v>
      </c>
      <c r="AF156" s="55">
        <v>0</v>
      </c>
      <c r="AG156" s="55">
        <v>0</v>
      </c>
      <c r="AH156" s="55">
        <f t="shared" si="81"/>
        <v>5</v>
      </c>
      <c r="AI156" s="55">
        <v>1</v>
      </c>
      <c r="AJ156" s="55">
        <v>4</v>
      </c>
      <c r="AK156" s="55">
        <v>0</v>
      </c>
      <c r="AL156" s="55">
        <f t="shared" si="73"/>
        <v>5</v>
      </c>
      <c r="AM156" s="55" t="s">
        <v>1912</v>
      </c>
      <c r="AN156" s="55">
        <v>5</v>
      </c>
      <c r="AO156" s="55">
        <v>0</v>
      </c>
      <c r="AP156" s="55">
        <f t="shared" si="75"/>
        <v>6</v>
      </c>
      <c r="AQ156" s="55">
        <f>IFERROR(VLOOKUP(A156,[1]SIIMPLES!$A$2:$F$418,6,FALSE),0)</f>
        <v>1</v>
      </c>
      <c r="AR156" s="55">
        <v>5</v>
      </c>
      <c r="AS156" s="55">
        <v>9</v>
      </c>
      <c r="AT156" s="55">
        <v>2</v>
      </c>
      <c r="AU156" s="55">
        <v>7</v>
      </c>
      <c r="AV156" s="55">
        <v>0</v>
      </c>
      <c r="AW156" s="55"/>
      <c r="AX156" s="55"/>
      <c r="AY156" s="56">
        <f t="shared" si="82"/>
        <v>4.9000000000000004</v>
      </c>
      <c r="AZ156" s="55"/>
      <c r="BA156" s="56">
        <v>11.333333333333334</v>
      </c>
      <c r="BB156" s="41">
        <f t="shared" si="76"/>
        <v>-0.56764705882352939</v>
      </c>
      <c r="BC156" s="13"/>
      <c r="BD156" s="35"/>
      <c r="BE156" s="13"/>
      <c r="BF156" s="16">
        <f>SUM(BC156:BE156)</f>
        <v>0</v>
      </c>
      <c r="BG156" s="17">
        <f t="shared" si="83"/>
        <v>0</v>
      </c>
      <c r="BH156" s="16">
        <f t="shared" si="84"/>
        <v>4.9000000000000004</v>
      </c>
    </row>
    <row r="157" spans="1:60" s="21" customFormat="1" ht="12.75" customHeight="1" x14ac:dyDescent="0.2">
      <c r="A157" s="51">
        <v>112012</v>
      </c>
      <c r="B157" s="51" t="s">
        <v>1077</v>
      </c>
      <c r="C157" s="66" t="s">
        <v>1803</v>
      </c>
      <c r="D157" s="52" t="s">
        <v>728</v>
      </c>
      <c r="E157" s="65" t="s">
        <v>780</v>
      </c>
      <c r="F157" s="53">
        <f>IFERROR(VLOOKUP(E157,Fornecedores!$A$2:$B$2700,2,FALSE),"")</f>
        <v>2</v>
      </c>
      <c r="G157" s="52" t="s">
        <v>283</v>
      </c>
      <c r="H157" s="57"/>
      <c r="I157" s="55">
        <f t="shared" si="77"/>
        <v>2</v>
      </c>
      <c r="J157" s="55">
        <v>1</v>
      </c>
      <c r="K157" s="55">
        <v>1</v>
      </c>
      <c r="L157" s="55">
        <v>0</v>
      </c>
      <c r="M157" s="55">
        <v>0</v>
      </c>
      <c r="N157" s="55">
        <f t="shared" si="78"/>
        <v>1</v>
      </c>
      <c r="O157" s="55">
        <v>1</v>
      </c>
      <c r="P157" s="55">
        <v>0</v>
      </c>
      <c r="Q157" s="55">
        <v>0</v>
      </c>
      <c r="R157" s="55">
        <f t="shared" si="79"/>
        <v>0</v>
      </c>
      <c r="S157" s="55">
        <v>0</v>
      </c>
      <c r="T157" s="55">
        <v>0</v>
      </c>
      <c r="U157" s="55">
        <v>0</v>
      </c>
      <c r="V157" s="55">
        <v>1</v>
      </c>
      <c r="W157" s="53">
        <v>0</v>
      </c>
      <c r="X157" s="53">
        <v>0</v>
      </c>
      <c r="Y157" s="55">
        <v>1</v>
      </c>
      <c r="Z157" s="55">
        <v>0</v>
      </c>
      <c r="AA157" s="53">
        <v>0</v>
      </c>
      <c r="AB157" s="53">
        <v>0</v>
      </c>
      <c r="AC157" s="55">
        <v>0</v>
      </c>
      <c r="AD157" s="55">
        <f t="shared" si="80"/>
        <v>5</v>
      </c>
      <c r="AE157" s="53">
        <v>4</v>
      </c>
      <c r="AF157" s="55">
        <v>1</v>
      </c>
      <c r="AG157" s="55">
        <v>0</v>
      </c>
      <c r="AH157" s="55">
        <f t="shared" si="81"/>
        <v>3</v>
      </c>
      <c r="AI157" s="55">
        <v>2</v>
      </c>
      <c r="AJ157" s="55">
        <v>0</v>
      </c>
      <c r="AK157" s="55">
        <v>1</v>
      </c>
      <c r="AL157" s="55">
        <f t="shared" si="73"/>
        <v>1</v>
      </c>
      <c r="AM157" s="55">
        <v>1</v>
      </c>
      <c r="AN157" s="55">
        <v>0</v>
      </c>
      <c r="AO157" s="55">
        <v>0</v>
      </c>
      <c r="AP157" s="55">
        <f t="shared" si="75"/>
        <v>6</v>
      </c>
      <c r="AQ157" s="55">
        <f>IFERROR(VLOOKUP(A157,[1]SIIMPLES!$A$2:$F$418,6,FALSE),0)</f>
        <v>5</v>
      </c>
      <c r="AR157" s="55">
        <v>1</v>
      </c>
      <c r="AS157" s="55">
        <v>1</v>
      </c>
      <c r="AT157" s="55">
        <v>0</v>
      </c>
      <c r="AU157" s="55">
        <v>1</v>
      </c>
      <c r="AV157" s="55">
        <v>0</v>
      </c>
      <c r="AW157" s="55"/>
      <c r="AX157" s="55"/>
      <c r="AY157" s="56">
        <f t="shared" si="82"/>
        <v>2</v>
      </c>
      <c r="AZ157" s="55"/>
      <c r="BA157" s="56">
        <v>6.333333333333333</v>
      </c>
      <c r="BB157" s="41">
        <f t="shared" si="76"/>
        <v>-0.68421052631578938</v>
      </c>
      <c r="BC157" s="13"/>
      <c r="BD157" s="35"/>
      <c r="BE157" s="13"/>
      <c r="BF157" s="16"/>
      <c r="BG157" s="17">
        <f t="shared" si="83"/>
        <v>0</v>
      </c>
      <c r="BH157" s="7"/>
    </row>
    <row r="158" spans="1:60" s="21" customFormat="1" ht="12.75" customHeight="1" x14ac:dyDescent="0.2">
      <c r="A158" s="51">
        <v>112028</v>
      </c>
      <c r="B158" s="51" t="s">
        <v>1077</v>
      </c>
      <c r="C158" s="66" t="s">
        <v>1803</v>
      </c>
      <c r="D158" s="52" t="s">
        <v>728</v>
      </c>
      <c r="E158" s="65" t="s">
        <v>780</v>
      </c>
      <c r="F158" s="53">
        <f>IFERROR(VLOOKUP(E158,Fornecedores!$A$2:$B$2700,2,FALSE),"")</f>
        <v>2</v>
      </c>
      <c r="G158" s="52" t="s">
        <v>526</v>
      </c>
      <c r="H158" s="57"/>
      <c r="I158" s="55">
        <f t="shared" si="77"/>
        <v>0</v>
      </c>
      <c r="J158" s="55">
        <v>0</v>
      </c>
      <c r="K158" s="55">
        <v>0</v>
      </c>
      <c r="L158" s="55">
        <v>0</v>
      </c>
      <c r="M158" s="55">
        <v>0</v>
      </c>
      <c r="N158" s="55">
        <f t="shared" si="78"/>
        <v>0</v>
      </c>
      <c r="O158" s="55">
        <v>0</v>
      </c>
      <c r="P158" s="55">
        <v>0</v>
      </c>
      <c r="Q158" s="55">
        <v>0</v>
      </c>
      <c r="R158" s="55">
        <f t="shared" si="79"/>
        <v>0</v>
      </c>
      <c r="S158" s="55">
        <v>0</v>
      </c>
      <c r="T158" s="55">
        <v>0</v>
      </c>
      <c r="U158" s="55">
        <v>0</v>
      </c>
      <c r="V158" s="55">
        <v>0</v>
      </c>
      <c r="W158" s="53">
        <v>0</v>
      </c>
      <c r="X158" s="53">
        <v>0</v>
      </c>
      <c r="Y158" s="55">
        <v>0</v>
      </c>
      <c r="Z158" s="55">
        <v>1</v>
      </c>
      <c r="AA158" s="53">
        <v>0</v>
      </c>
      <c r="AB158" s="53">
        <v>1</v>
      </c>
      <c r="AC158" s="55">
        <v>0</v>
      </c>
      <c r="AD158" s="55">
        <f t="shared" si="80"/>
        <v>6</v>
      </c>
      <c r="AE158" s="53">
        <v>0</v>
      </c>
      <c r="AF158" s="55">
        <v>1</v>
      </c>
      <c r="AG158" s="55">
        <v>5</v>
      </c>
      <c r="AH158" s="55">
        <f t="shared" si="81"/>
        <v>2</v>
      </c>
      <c r="AI158" s="55">
        <v>0</v>
      </c>
      <c r="AJ158" s="55">
        <v>0</v>
      </c>
      <c r="AK158" s="55">
        <v>2</v>
      </c>
      <c r="AL158" s="55">
        <f t="shared" si="73"/>
        <v>0</v>
      </c>
      <c r="AM158" s="55" t="s">
        <v>1912</v>
      </c>
      <c r="AN158" s="55">
        <v>0</v>
      </c>
      <c r="AO158" s="55">
        <v>0</v>
      </c>
      <c r="AP158" s="55">
        <f t="shared" si="75"/>
        <v>6</v>
      </c>
      <c r="AQ158" s="55">
        <f>IFERROR(VLOOKUP(A158,[1]SIIMPLES!$A$2:$F$418,6,FALSE),0)</f>
        <v>6</v>
      </c>
      <c r="AR158" s="55">
        <v>0</v>
      </c>
      <c r="AS158" s="55">
        <v>0</v>
      </c>
      <c r="AT158" s="55">
        <v>0</v>
      </c>
      <c r="AU158" s="55">
        <v>0</v>
      </c>
      <c r="AV158" s="55">
        <v>0</v>
      </c>
      <c r="AW158" s="55"/>
      <c r="AX158" s="55"/>
      <c r="AY158" s="56">
        <f t="shared" si="82"/>
        <v>1.5</v>
      </c>
      <c r="AZ158" s="55"/>
      <c r="BA158" s="56">
        <v>0.16666666666666666</v>
      </c>
      <c r="BB158" s="41">
        <f t="shared" si="76"/>
        <v>8</v>
      </c>
      <c r="BC158" s="13"/>
      <c r="BD158" s="35"/>
      <c r="BE158" s="13"/>
      <c r="BF158" s="16">
        <f>SUM(BC158:BE158)</f>
        <v>0</v>
      </c>
      <c r="BG158" s="17">
        <f t="shared" si="83"/>
        <v>0</v>
      </c>
      <c r="BH158" s="16">
        <f>IFERROR(IF(F158=1,IF(BC158&lt;AY158*3,AY158*3-BC158,0),IF(BC158&lt;AY158,AY158-BC158,0)),"")</f>
        <v>1.5</v>
      </c>
    </row>
    <row r="159" spans="1:60" s="21" customFormat="1" ht="12.75" customHeight="1" x14ac:dyDescent="0.2">
      <c r="A159" s="51">
        <v>112029</v>
      </c>
      <c r="B159" s="51" t="s">
        <v>1077</v>
      </c>
      <c r="C159" s="66" t="s">
        <v>1803</v>
      </c>
      <c r="D159" s="52" t="s">
        <v>728</v>
      </c>
      <c r="E159" s="65" t="s">
        <v>780</v>
      </c>
      <c r="F159" s="53">
        <f>IFERROR(VLOOKUP(E159,Fornecedores!$A$2:$B$2700,2,FALSE),"")</f>
        <v>2</v>
      </c>
      <c r="G159" s="52" t="s">
        <v>533</v>
      </c>
      <c r="H159" s="57"/>
      <c r="I159" s="55">
        <f t="shared" si="77"/>
        <v>0</v>
      </c>
      <c r="J159" s="55">
        <v>0</v>
      </c>
      <c r="K159" s="55">
        <v>0</v>
      </c>
      <c r="L159" s="55">
        <v>0</v>
      </c>
      <c r="M159" s="55">
        <v>0</v>
      </c>
      <c r="N159" s="55">
        <f t="shared" si="78"/>
        <v>0</v>
      </c>
      <c r="O159" s="55">
        <v>0</v>
      </c>
      <c r="P159" s="55">
        <v>0</v>
      </c>
      <c r="Q159" s="55">
        <v>0</v>
      </c>
      <c r="R159" s="55">
        <f t="shared" si="79"/>
        <v>0</v>
      </c>
      <c r="S159" s="55">
        <v>0</v>
      </c>
      <c r="T159" s="55">
        <v>0</v>
      </c>
      <c r="U159" s="55">
        <v>0</v>
      </c>
      <c r="V159" s="55">
        <v>2</v>
      </c>
      <c r="W159" s="53">
        <v>0</v>
      </c>
      <c r="X159" s="53">
        <v>0</v>
      </c>
      <c r="Y159" s="55">
        <v>2</v>
      </c>
      <c r="Z159" s="55">
        <v>1</v>
      </c>
      <c r="AA159" s="53">
        <v>0</v>
      </c>
      <c r="AB159" s="53">
        <v>1</v>
      </c>
      <c r="AC159" s="55">
        <v>0</v>
      </c>
      <c r="AD159" s="55">
        <f t="shared" si="80"/>
        <v>6</v>
      </c>
      <c r="AE159" s="53">
        <v>0</v>
      </c>
      <c r="AF159" s="55">
        <v>1</v>
      </c>
      <c r="AG159" s="55">
        <v>5</v>
      </c>
      <c r="AH159" s="55">
        <f t="shared" si="81"/>
        <v>2</v>
      </c>
      <c r="AI159" s="55">
        <v>0</v>
      </c>
      <c r="AJ159" s="55">
        <v>0</v>
      </c>
      <c r="AK159" s="55">
        <v>2</v>
      </c>
      <c r="AL159" s="55">
        <f t="shared" si="73"/>
        <v>0</v>
      </c>
      <c r="AM159" s="55" t="s">
        <v>1912</v>
      </c>
      <c r="AN159" s="55">
        <v>0</v>
      </c>
      <c r="AO159" s="55">
        <v>0</v>
      </c>
      <c r="AP159" s="55">
        <f t="shared" si="75"/>
        <v>6</v>
      </c>
      <c r="AQ159" s="55">
        <f>IFERROR(VLOOKUP(A159,[1]SIIMPLES!$A$2:$F$418,6,FALSE),0)</f>
        <v>6</v>
      </c>
      <c r="AR159" s="55">
        <v>0</v>
      </c>
      <c r="AS159" s="55">
        <v>2</v>
      </c>
      <c r="AT159" s="55">
        <v>2</v>
      </c>
      <c r="AU159" s="55">
        <v>0</v>
      </c>
      <c r="AV159" s="55">
        <v>0</v>
      </c>
      <c r="AW159" s="55"/>
      <c r="AX159" s="55"/>
      <c r="AY159" s="56">
        <f t="shared" si="82"/>
        <v>1.9</v>
      </c>
      <c r="AZ159" s="55"/>
      <c r="BA159" s="56">
        <v>0</v>
      </c>
      <c r="BB159" s="41" t="str">
        <f t="shared" si="76"/>
        <v/>
      </c>
      <c r="BC159" s="13"/>
      <c r="BD159" s="35"/>
      <c r="BE159" s="13"/>
      <c r="BF159" s="16"/>
      <c r="BG159" s="17">
        <f t="shared" si="83"/>
        <v>0</v>
      </c>
      <c r="BH159" s="16">
        <f>ROUND(IFERROR(IF(F159=1,IF(BC159&lt;AY159*3,AY159*3-BC159,0),IF(BC159&lt;AY159,AY159*0.6-BC159,0)),""),0)</f>
        <v>1</v>
      </c>
    </row>
    <row r="160" spans="1:60" s="21" customFormat="1" ht="12.75" customHeight="1" x14ac:dyDescent="0.2">
      <c r="A160" s="51">
        <v>112010</v>
      </c>
      <c r="B160" s="51" t="s">
        <v>1077</v>
      </c>
      <c r="C160" s="66" t="s">
        <v>1803</v>
      </c>
      <c r="D160" s="52" t="s">
        <v>728</v>
      </c>
      <c r="E160" s="65" t="s">
        <v>780</v>
      </c>
      <c r="F160" s="53">
        <f>IFERROR(VLOOKUP(E160,Fornecedores!$A$2:$B$2700,2,FALSE),"")</f>
        <v>2</v>
      </c>
      <c r="G160" s="52" t="s">
        <v>500</v>
      </c>
      <c r="H160" s="57"/>
      <c r="I160" s="55">
        <f t="shared" si="77"/>
        <v>3</v>
      </c>
      <c r="J160" s="55">
        <v>3</v>
      </c>
      <c r="K160" s="55">
        <v>0</v>
      </c>
      <c r="L160" s="55">
        <v>0</v>
      </c>
      <c r="M160" s="55">
        <v>0</v>
      </c>
      <c r="N160" s="55">
        <f t="shared" si="78"/>
        <v>2</v>
      </c>
      <c r="O160" s="55">
        <v>1</v>
      </c>
      <c r="P160" s="55">
        <v>1</v>
      </c>
      <c r="Q160" s="55">
        <v>0</v>
      </c>
      <c r="R160" s="55">
        <f t="shared" si="79"/>
        <v>4</v>
      </c>
      <c r="S160" s="55">
        <v>2</v>
      </c>
      <c r="T160" s="55">
        <v>0</v>
      </c>
      <c r="U160" s="55">
        <v>2</v>
      </c>
      <c r="V160" s="55">
        <v>0</v>
      </c>
      <c r="W160" s="53">
        <v>0</v>
      </c>
      <c r="X160" s="53">
        <v>0</v>
      </c>
      <c r="Y160" s="55">
        <v>0</v>
      </c>
      <c r="Z160" s="55">
        <v>0</v>
      </c>
      <c r="AA160" s="53">
        <v>0</v>
      </c>
      <c r="AB160" s="53">
        <v>0</v>
      </c>
      <c r="AC160" s="55">
        <v>0</v>
      </c>
      <c r="AD160" s="55">
        <f t="shared" si="80"/>
        <v>4</v>
      </c>
      <c r="AE160" s="53">
        <v>4</v>
      </c>
      <c r="AF160" s="55">
        <v>0</v>
      </c>
      <c r="AG160" s="55">
        <v>0</v>
      </c>
      <c r="AH160" s="55">
        <f t="shared" si="81"/>
        <v>1</v>
      </c>
      <c r="AI160" s="55">
        <v>1</v>
      </c>
      <c r="AJ160" s="55">
        <v>0</v>
      </c>
      <c r="AK160" s="55">
        <v>0</v>
      </c>
      <c r="AL160" s="55">
        <f t="shared" si="73"/>
        <v>2</v>
      </c>
      <c r="AM160" s="55">
        <v>2</v>
      </c>
      <c r="AN160" s="55">
        <v>0</v>
      </c>
      <c r="AO160" s="55">
        <v>0</v>
      </c>
      <c r="AP160" s="55">
        <f t="shared" si="75"/>
        <v>6</v>
      </c>
      <c r="AQ160" s="55">
        <f>IFERROR(VLOOKUP(A160,[1]SIIMPLES!$A$2:$F$418,6,FALSE),0)</f>
        <v>6</v>
      </c>
      <c r="AR160" s="55">
        <v>0</v>
      </c>
      <c r="AS160" s="55">
        <v>0</v>
      </c>
      <c r="AT160" s="55">
        <v>0</v>
      </c>
      <c r="AU160" s="55">
        <v>0</v>
      </c>
      <c r="AV160" s="55">
        <v>0</v>
      </c>
      <c r="AW160" s="55"/>
      <c r="AX160" s="55"/>
      <c r="AY160" s="56">
        <f t="shared" si="82"/>
        <v>2.2000000000000002</v>
      </c>
      <c r="AZ160" s="55"/>
      <c r="BA160" s="56">
        <v>7.166666666666667</v>
      </c>
      <c r="BB160" s="41">
        <f t="shared" si="76"/>
        <v>-0.69302325581395352</v>
      </c>
      <c r="BC160" s="13"/>
      <c r="BD160" s="35"/>
      <c r="BE160" s="13"/>
      <c r="BF160" s="16"/>
      <c r="BG160" s="17">
        <f t="shared" si="83"/>
        <v>0</v>
      </c>
      <c r="BH160" s="16">
        <f t="shared" ref="BH160:BH169" si="85">IFERROR(IF(F160=1,IF(BC160&lt;AY160*3,AY160*3-BC160,0),IF(BC160&lt;AY160,AY160-BC160,0)),"")</f>
        <v>2.2000000000000002</v>
      </c>
    </row>
    <row r="161" spans="1:60" s="21" customFormat="1" ht="12.75" customHeight="1" x14ac:dyDescent="0.2">
      <c r="A161" s="51" t="s">
        <v>784</v>
      </c>
      <c r="B161" s="51" t="s">
        <v>1086</v>
      </c>
      <c r="C161" s="66" t="s">
        <v>1803</v>
      </c>
      <c r="D161" s="52" t="s">
        <v>745</v>
      </c>
      <c r="E161" s="52" t="s">
        <v>780</v>
      </c>
      <c r="F161" s="53">
        <f>IFERROR(VLOOKUP(E161,Fornecedores!$A$2:$B$2700,2,FALSE),"")</f>
        <v>2</v>
      </c>
      <c r="G161" s="52" t="s">
        <v>46</v>
      </c>
      <c r="H161" s="54"/>
      <c r="I161" s="55">
        <f t="shared" si="77"/>
        <v>4</v>
      </c>
      <c r="J161" s="55">
        <v>0</v>
      </c>
      <c r="K161" s="55">
        <v>4</v>
      </c>
      <c r="L161" s="55">
        <v>0</v>
      </c>
      <c r="M161" s="55">
        <v>0</v>
      </c>
      <c r="N161" s="55">
        <f t="shared" si="78"/>
        <v>2</v>
      </c>
      <c r="O161" s="55">
        <v>0</v>
      </c>
      <c r="P161" s="55">
        <v>2</v>
      </c>
      <c r="Q161" s="55">
        <v>0</v>
      </c>
      <c r="R161" s="55">
        <f t="shared" si="79"/>
        <v>0</v>
      </c>
      <c r="S161" s="55">
        <v>0</v>
      </c>
      <c r="T161" s="55">
        <v>0</v>
      </c>
      <c r="U161" s="55">
        <v>0</v>
      </c>
      <c r="V161" s="55">
        <v>2</v>
      </c>
      <c r="W161" s="53">
        <v>0</v>
      </c>
      <c r="X161" s="53">
        <v>2</v>
      </c>
      <c r="Y161" s="55">
        <v>0</v>
      </c>
      <c r="Z161" s="55">
        <v>0</v>
      </c>
      <c r="AA161" s="53">
        <v>0</v>
      </c>
      <c r="AB161" s="53">
        <v>0</v>
      </c>
      <c r="AC161" s="55">
        <v>0</v>
      </c>
      <c r="AD161" s="55">
        <f t="shared" si="80"/>
        <v>2</v>
      </c>
      <c r="AE161" s="53">
        <v>0</v>
      </c>
      <c r="AF161" s="55">
        <v>2</v>
      </c>
      <c r="AG161" s="55">
        <v>0</v>
      </c>
      <c r="AH161" s="55">
        <f t="shared" si="81"/>
        <v>8</v>
      </c>
      <c r="AI161" s="55">
        <v>0</v>
      </c>
      <c r="AJ161" s="55">
        <v>8</v>
      </c>
      <c r="AK161" s="55">
        <v>0</v>
      </c>
      <c r="AL161" s="55">
        <f t="shared" ref="AL161:AL192" si="86">SUM(AM161:AO161)</f>
        <v>8</v>
      </c>
      <c r="AM161" s="55" t="s">
        <v>1912</v>
      </c>
      <c r="AN161" s="55">
        <v>8</v>
      </c>
      <c r="AO161" s="55">
        <v>0</v>
      </c>
      <c r="AP161" s="55">
        <f t="shared" si="75"/>
        <v>6</v>
      </c>
      <c r="AQ161" s="55">
        <f>IFERROR(VLOOKUP(A161,[1]SIIMPLES!$A$2:$F$418,6,FALSE),0)</f>
        <v>0</v>
      </c>
      <c r="AR161" s="55">
        <v>6</v>
      </c>
      <c r="AS161" s="55">
        <v>10</v>
      </c>
      <c r="AT161" s="55">
        <v>0</v>
      </c>
      <c r="AU161" s="55">
        <v>10</v>
      </c>
      <c r="AV161" s="55">
        <v>0</v>
      </c>
      <c r="AW161" s="55"/>
      <c r="AX161" s="55"/>
      <c r="AY161" s="56">
        <f t="shared" si="82"/>
        <v>4.2</v>
      </c>
      <c r="AZ161" s="55"/>
      <c r="BA161" s="56">
        <v>7</v>
      </c>
      <c r="BB161" s="41">
        <f t="shared" si="76"/>
        <v>-0.4</v>
      </c>
      <c r="BC161" s="7"/>
      <c r="BD161" s="35"/>
      <c r="BE161" s="13"/>
      <c r="BF161" s="16">
        <f>SUM(BC161:BE161)</f>
        <v>0</v>
      </c>
      <c r="BG161" s="17">
        <f t="shared" si="83"/>
        <v>0</v>
      </c>
      <c r="BH161" s="16">
        <f t="shared" si="85"/>
        <v>4.2</v>
      </c>
    </row>
    <row r="162" spans="1:60" s="21" customFormat="1" ht="12.75" customHeight="1" x14ac:dyDescent="0.2">
      <c r="A162" s="51" t="s">
        <v>187</v>
      </c>
      <c r="B162" s="51" t="s">
        <v>1077</v>
      </c>
      <c r="C162" s="66" t="s">
        <v>1803</v>
      </c>
      <c r="D162" s="52" t="s">
        <v>751</v>
      </c>
      <c r="E162" s="52" t="s">
        <v>746</v>
      </c>
      <c r="F162" s="53">
        <f>IFERROR(VLOOKUP(E162,Fornecedores!$A$2:$B$2700,2,FALSE),"")</f>
        <v>11</v>
      </c>
      <c r="G162" s="52" t="s">
        <v>188</v>
      </c>
      <c r="H162" s="54"/>
      <c r="I162" s="55">
        <f t="shared" si="77"/>
        <v>0</v>
      </c>
      <c r="J162" s="55">
        <v>0</v>
      </c>
      <c r="K162" s="55">
        <v>0</v>
      </c>
      <c r="L162" s="55">
        <v>0</v>
      </c>
      <c r="M162" s="55">
        <v>0</v>
      </c>
      <c r="N162" s="55">
        <f t="shared" si="78"/>
        <v>4</v>
      </c>
      <c r="O162" s="55">
        <v>0</v>
      </c>
      <c r="P162" s="55">
        <v>4</v>
      </c>
      <c r="Q162" s="55">
        <v>0</v>
      </c>
      <c r="R162" s="55">
        <f t="shared" si="79"/>
        <v>3</v>
      </c>
      <c r="S162" s="55">
        <v>1</v>
      </c>
      <c r="T162" s="55">
        <v>2</v>
      </c>
      <c r="U162" s="55">
        <v>0</v>
      </c>
      <c r="V162" s="55">
        <v>0</v>
      </c>
      <c r="W162" s="53">
        <v>0</v>
      </c>
      <c r="X162" s="53">
        <v>0</v>
      </c>
      <c r="Y162" s="55">
        <v>0</v>
      </c>
      <c r="Z162" s="55">
        <v>19</v>
      </c>
      <c r="AA162" s="53">
        <v>1</v>
      </c>
      <c r="AB162" s="53">
        <v>18</v>
      </c>
      <c r="AC162" s="55">
        <v>0</v>
      </c>
      <c r="AD162" s="55">
        <f t="shared" si="80"/>
        <v>12</v>
      </c>
      <c r="AE162" s="53">
        <v>0</v>
      </c>
      <c r="AF162" s="55">
        <v>12</v>
      </c>
      <c r="AG162" s="55">
        <v>0</v>
      </c>
      <c r="AH162" s="55">
        <f t="shared" si="81"/>
        <v>6</v>
      </c>
      <c r="AI162" s="55">
        <v>0</v>
      </c>
      <c r="AJ162" s="55">
        <v>6</v>
      </c>
      <c r="AK162" s="55">
        <v>0</v>
      </c>
      <c r="AL162" s="55">
        <f t="shared" si="86"/>
        <v>4</v>
      </c>
      <c r="AM162" s="55" t="s">
        <v>1912</v>
      </c>
      <c r="AN162" s="55">
        <v>4</v>
      </c>
      <c r="AO162" s="55">
        <v>0</v>
      </c>
      <c r="AP162" s="55">
        <f t="shared" si="75"/>
        <v>6</v>
      </c>
      <c r="AQ162" s="55">
        <f>IFERROR(VLOOKUP(A162,[1]SIIMPLES!$A$2:$F$418,6,FALSE),0)</f>
        <v>0</v>
      </c>
      <c r="AR162" s="55">
        <v>6</v>
      </c>
      <c r="AS162" s="55">
        <v>12</v>
      </c>
      <c r="AT162" s="55">
        <v>0</v>
      </c>
      <c r="AU162" s="55">
        <v>12</v>
      </c>
      <c r="AV162" s="55">
        <v>0</v>
      </c>
      <c r="AW162" s="55"/>
      <c r="AX162" s="55"/>
      <c r="AY162" s="56">
        <f t="shared" si="82"/>
        <v>6.6</v>
      </c>
      <c r="AZ162" s="55"/>
      <c r="BA162" s="56">
        <v>14.333333333333334</v>
      </c>
      <c r="BB162" s="41">
        <f t="shared" si="76"/>
        <v>-0.53953488372093028</v>
      </c>
      <c r="BC162" s="7"/>
      <c r="BD162" s="35"/>
      <c r="BE162" s="13"/>
      <c r="BF162" s="16">
        <f>SUM(BC162:BE162)</f>
        <v>0</v>
      </c>
      <c r="BG162" s="17">
        <f t="shared" si="83"/>
        <v>0</v>
      </c>
      <c r="BH162" s="16">
        <f t="shared" si="85"/>
        <v>6.6</v>
      </c>
    </row>
    <row r="163" spans="1:60" s="21" customFormat="1" ht="12.75" customHeight="1" x14ac:dyDescent="0.2">
      <c r="A163" s="51" t="s">
        <v>230</v>
      </c>
      <c r="B163" s="51"/>
      <c r="C163" s="66" t="s">
        <v>1803</v>
      </c>
      <c r="D163" s="52" t="s">
        <v>751</v>
      </c>
      <c r="E163" s="52" t="s">
        <v>746</v>
      </c>
      <c r="F163" s="53">
        <f>IFERROR(VLOOKUP(E163,Fornecedores!$A$2:$B$2700,2,FALSE),"")</f>
        <v>11</v>
      </c>
      <c r="G163" s="52" t="s">
        <v>231</v>
      </c>
      <c r="H163" s="54"/>
      <c r="I163" s="55">
        <f t="shared" si="77"/>
        <v>0</v>
      </c>
      <c r="J163" s="55">
        <v>0</v>
      </c>
      <c r="K163" s="55">
        <v>0</v>
      </c>
      <c r="L163" s="55">
        <v>0</v>
      </c>
      <c r="M163" s="55">
        <v>0</v>
      </c>
      <c r="N163" s="55">
        <f t="shared" si="78"/>
        <v>0</v>
      </c>
      <c r="O163" s="55">
        <v>0</v>
      </c>
      <c r="P163" s="55">
        <v>0</v>
      </c>
      <c r="Q163" s="55">
        <v>0</v>
      </c>
      <c r="R163" s="55">
        <f t="shared" si="79"/>
        <v>0</v>
      </c>
      <c r="S163" s="55">
        <v>0</v>
      </c>
      <c r="T163" s="55">
        <v>0</v>
      </c>
      <c r="U163" s="55">
        <v>0</v>
      </c>
      <c r="V163" s="55">
        <v>0</v>
      </c>
      <c r="W163" s="53">
        <v>0</v>
      </c>
      <c r="X163" s="53">
        <v>0</v>
      </c>
      <c r="Y163" s="55">
        <v>0</v>
      </c>
      <c r="Z163" s="55">
        <v>12</v>
      </c>
      <c r="AA163" s="53">
        <v>0</v>
      </c>
      <c r="AB163" s="53">
        <v>12</v>
      </c>
      <c r="AC163" s="55">
        <v>0</v>
      </c>
      <c r="AD163" s="55">
        <f t="shared" si="80"/>
        <v>12</v>
      </c>
      <c r="AE163" s="53">
        <v>0</v>
      </c>
      <c r="AF163" s="55">
        <v>12</v>
      </c>
      <c r="AG163" s="55">
        <v>0</v>
      </c>
      <c r="AH163" s="55">
        <f t="shared" si="81"/>
        <v>18</v>
      </c>
      <c r="AI163" s="55">
        <v>0</v>
      </c>
      <c r="AJ163" s="55">
        <v>18</v>
      </c>
      <c r="AK163" s="55">
        <v>0</v>
      </c>
      <c r="AL163" s="55">
        <f t="shared" si="86"/>
        <v>2</v>
      </c>
      <c r="AM163" s="55" t="s">
        <v>1912</v>
      </c>
      <c r="AN163" s="55">
        <v>2</v>
      </c>
      <c r="AO163" s="55">
        <v>0</v>
      </c>
      <c r="AP163" s="55">
        <f t="shared" si="75"/>
        <v>6</v>
      </c>
      <c r="AQ163" s="55">
        <f>IFERROR(VLOOKUP(A163,[1]SIIMPLES!$A$2:$F$418,6,FALSE),0)</f>
        <v>0</v>
      </c>
      <c r="AR163" s="55">
        <v>6</v>
      </c>
      <c r="AS163" s="55">
        <v>13</v>
      </c>
      <c r="AT163" s="55">
        <v>1</v>
      </c>
      <c r="AU163" s="55">
        <v>12</v>
      </c>
      <c r="AV163" s="55">
        <v>0</v>
      </c>
      <c r="AW163" s="55"/>
      <c r="AX163" s="55"/>
      <c r="AY163" s="56">
        <f t="shared" si="82"/>
        <v>6.3</v>
      </c>
      <c r="AZ163" s="55"/>
      <c r="BA163" s="56">
        <v>12.333333333333334</v>
      </c>
      <c r="BB163" s="41">
        <f t="shared" si="76"/>
        <v>-0.48918918918918919</v>
      </c>
      <c r="BC163" s="13"/>
      <c r="BD163" s="35"/>
      <c r="BE163" s="13"/>
      <c r="BF163" s="16"/>
      <c r="BG163" s="17">
        <f t="shared" si="83"/>
        <v>0</v>
      </c>
      <c r="BH163" s="16">
        <f t="shared" si="85"/>
        <v>6.3</v>
      </c>
    </row>
    <row r="164" spans="1:60" s="21" customFormat="1" ht="12.75" customHeight="1" x14ac:dyDescent="0.2">
      <c r="A164" s="51" t="s">
        <v>1506</v>
      </c>
      <c r="B164" s="51"/>
      <c r="C164" s="66" t="s">
        <v>1803</v>
      </c>
      <c r="D164" s="65" t="s">
        <v>731</v>
      </c>
      <c r="E164" s="52" t="s">
        <v>730</v>
      </c>
      <c r="F164" s="53">
        <f>IFERROR(VLOOKUP(E164,Fornecedores!$A$2:$B$2700,2,FALSE),"")</f>
        <v>3</v>
      </c>
      <c r="G164" s="52" t="s">
        <v>1584</v>
      </c>
      <c r="H164" s="57"/>
      <c r="I164" s="55">
        <f t="shared" si="77"/>
        <v>2</v>
      </c>
      <c r="J164" s="57" t="s">
        <v>1282</v>
      </c>
      <c r="K164" s="55">
        <v>2</v>
      </c>
      <c r="L164" s="55">
        <v>0</v>
      </c>
      <c r="M164" s="55">
        <v>0</v>
      </c>
      <c r="N164" s="55">
        <f t="shared" si="78"/>
        <v>1</v>
      </c>
      <c r="O164" s="55">
        <v>0</v>
      </c>
      <c r="P164" s="55">
        <v>1</v>
      </c>
      <c r="Q164" s="55">
        <v>0</v>
      </c>
      <c r="R164" s="55">
        <f t="shared" si="79"/>
        <v>2</v>
      </c>
      <c r="S164" s="55">
        <v>0</v>
      </c>
      <c r="T164" s="55">
        <v>2</v>
      </c>
      <c r="U164" s="55">
        <v>0</v>
      </c>
      <c r="V164" s="55">
        <v>1</v>
      </c>
      <c r="W164" s="53">
        <v>0</v>
      </c>
      <c r="X164" s="53">
        <v>1</v>
      </c>
      <c r="Y164" s="55">
        <v>0</v>
      </c>
      <c r="Z164" s="55">
        <v>1</v>
      </c>
      <c r="AA164" s="53">
        <v>1</v>
      </c>
      <c r="AB164" s="53">
        <v>0</v>
      </c>
      <c r="AC164" s="55">
        <v>0</v>
      </c>
      <c r="AD164" s="55">
        <f t="shared" si="80"/>
        <v>2</v>
      </c>
      <c r="AE164" s="53">
        <v>2</v>
      </c>
      <c r="AF164" s="55">
        <v>0</v>
      </c>
      <c r="AG164" s="55">
        <v>0</v>
      </c>
      <c r="AH164" s="55">
        <f t="shared" si="81"/>
        <v>1</v>
      </c>
      <c r="AI164" s="55">
        <v>1</v>
      </c>
      <c r="AJ164" s="55">
        <v>0</v>
      </c>
      <c r="AK164" s="55">
        <v>0</v>
      </c>
      <c r="AL164" s="55">
        <f t="shared" si="86"/>
        <v>0</v>
      </c>
      <c r="AM164" s="55" t="s">
        <v>1912</v>
      </c>
      <c r="AN164" s="55">
        <v>0</v>
      </c>
      <c r="AO164" s="55">
        <v>0</v>
      </c>
      <c r="AP164" s="55">
        <f t="shared" si="75"/>
        <v>6</v>
      </c>
      <c r="AQ164" s="55">
        <f>IFERROR(VLOOKUP(A164,[1]SIIMPLES!$A$2:$F$418,6,FALSE),0)</f>
        <v>3</v>
      </c>
      <c r="AR164" s="55">
        <v>3</v>
      </c>
      <c r="AS164" s="55">
        <v>6</v>
      </c>
      <c r="AT164" s="55">
        <v>2</v>
      </c>
      <c r="AU164" s="55">
        <v>4</v>
      </c>
      <c r="AV164" s="55">
        <v>0</v>
      </c>
      <c r="AW164" s="57"/>
      <c r="AX164" s="57"/>
      <c r="AY164" s="56">
        <f t="shared" si="82"/>
        <v>2.2000000000000002</v>
      </c>
      <c r="AZ164" s="55"/>
      <c r="BA164" s="56" t="s">
        <v>1912</v>
      </c>
      <c r="BB164" s="41" t="str">
        <f t="shared" si="76"/>
        <v/>
      </c>
      <c r="BC164" s="13"/>
      <c r="BD164" s="35"/>
      <c r="BE164" s="13"/>
      <c r="BF164" s="16">
        <f>SUM(BC164:BE164)</f>
        <v>0</v>
      </c>
      <c r="BG164" s="17">
        <f t="shared" si="83"/>
        <v>0</v>
      </c>
      <c r="BH164" s="16">
        <f t="shared" si="85"/>
        <v>2.2000000000000002</v>
      </c>
    </row>
    <row r="165" spans="1:60" s="21" customFormat="1" ht="12.75" customHeight="1" x14ac:dyDescent="0.2">
      <c r="A165" s="51">
        <v>2357</v>
      </c>
      <c r="B165" s="51" t="s">
        <v>1077</v>
      </c>
      <c r="C165" s="66" t="s">
        <v>1803</v>
      </c>
      <c r="D165" s="65" t="s">
        <v>733</v>
      </c>
      <c r="E165" s="52" t="s">
        <v>730</v>
      </c>
      <c r="F165" s="53">
        <f>IFERROR(VLOOKUP(E165,Fornecedores!$A$2:$B$2700,2,FALSE),"")</f>
        <v>3</v>
      </c>
      <c r="G165" s="52" t="s">
        <v>317</v>
      </c>
      <c r="H165" s="54"/>
      <c r="I165" s="55">
        <f t="shared" si="77"/>
        <v>0</v>
      </c>
      <c r="J165" s="55">
        <v>0</v>
      </c>
      <c r="K165" s="55">
        <v>0</v>
      </c>
      <c r="L165" s="55">
        <v>0</v>
      </c>
      <c r="M165" s="55">
        <v>0</v>
      </c>
      <c r="N165" s="55">
        <f t="shared" si="78"/>
        <v>2</v>
      </c>
      <c r="O165" s="55">
        <v>2</v>
      </c>
      <c r="P165" s="55">
        <v>0</v>
      </c>
      <c r="Q165" s="55">
        <v>0</v>
      </c>
      <c r="R165" s="55">
        <f t="shared" si="79"/>
        <v>2</v>
      </c>
      <c r="S165" s="55">
        <v>1</v>
      </c>
      <c r="T165" s="55">
        <v>1</v>
      </c>
      <c r="U165" s="55">
        <v>0</v>
      </c>
      <c r="V165" s="55">
        <v>5</v>
      </c>
      <c r="W165" s="53">
        <v>1</v>
      </c>
      <c r="X165" s="53">
        <v>4</v>
      </c>
      <c r="Y165" s="55">
        <v>0</v>
      </c>
      <c r="Z165" s="55">
        <v>6</v>
      </c>
      <c r="AA165" s="53">
        <v>2</v>
      </c>
      <c r="AB165" s="53">
        <v>4</v>
      </c>
      <c r="AC165" s="55">
        <v>0</v>
      </c>
      <c r="AD165" s="55">
        <f t="shared" si="80"/>
        <v>5</v>
      </c>
      <c r="AE165" s="53">
        <v>1</v>
      </c>
      <c r="AF165" s="55">
        <v>4</v>
      </c>
      <c r="AG165" s="55">
        <v>0</v>
      </c>
      <c r="AH165" s="55">
        <f t="shared" si="81"/>
        <v>3</v>
      </c>
      <c r="AI165" s="55">
        <v>0</v>
      </c>
      <c r="AJ165" s="55">
        <v>3</v>
      </c>
      <c r="AK165" s="55">
        <v>0</v>
      </c>
      <c r="AL165" s="55">
        <f t="shared" si="86"/>
        <v>4</v>
      </c>
      <c r="AM165" s="55">
        <v>2</v>
      </c>
      <c r="AN165" s="55">
        <v>2</v>
      </c>
      <c r="AO165" s="55">
        <v>0</v>
      </c>
      <c r="AP165" s="55">
        <f t="shared" si="75"/>
        <v>5</v>
      </c>
      <c r="AQ165" s="55">
        <f>IFERROR(VLOOKUP(A165,[1]SIIMPLES!$A$2:$F$418,6,FALSE),0)</f>
        <v>2</v>
      </c>
      <c r="AR165" s="55">
        <v>3</v>
      </c>
      <c r="AS165" s="55">
        <v>4</v>
      </c>
      <c r="AT165" s="55">
        <v>0</v>
      </c>
      <c r="AU165" s="55">
        <v>4</v>
      </c>
      <c r="AV165" s="55">
        <v>0</v>
      </c>
      <c r="AW165" s="55"/>
      <c r="AX165" s="55"/>
      <c r="AY165" s="56">
        <f t="shared" si="82"/>
        <v>3.6</v>
      </c>
      <c r="AZ165" s="55"/>
      <c r="BA165" s="56">
        <v>3.6666666666666665</v>
      </c>
      <c r="BB165" s="41">
        <f t="shared" si="76"/>
        <v>-1.8181818181818077E-2</v>
      </c>
      <c r="BC165" s="13"/>
      <c r="BD165" s="35"/>
      <c r="BE165" s="13"/>
      <c r="BF165" s="16">
        <f>SUM(BC165:BE165)</f>
        <v>0</v>
      </c>
      <c r="BG165" s="17">
        <f t="shared" si="83"/>
        <v>0</v>
      </c>
      <c r="BH165" s="16">
        <f t="shared" si="85"/>
        <v>3.6</v>
      </c>
    </row>
    <row r="166" spans="1:60" s="21" customFormat="1" ht="12.75" customHeight="1" x14ac:dyDescent="0.2">
      <c r="A166" s="51">
        <v>4016</v>
      </c>
      <c r="B166" s="51" t="s">
        <v>1077</v>
      </c>
      <c r="C166" s="66" t="s">
        <v>1803</v>
      </c>
      <c r="D166" s="52" t="s">
        <v>760</v>
      </c>
      <c r="E166" s="52" t="s">
        <v>736</v>
      </c>
      <c r="F166" s="53">
        <f>IFERROR(VLOOKUP(E166,Fornecedores!$A$2:$B$2700,2,FALSE),"")</f>
        <v>5</v>
      </c>
      <c r="G166" s="52" t="s">
        <v>898</v>
      </c>
      <c r="H166" s="57"/>
      <c r="I166" s="55">
        <f t="shared" si="77"/>
        <v>3</v>
      </c>
      <c r="J166" s="55">
        <v>3</v>
      </c>
      <c r="K166" s="55">
        <v>0</v>
      </c>
      <c r="L166" s="55">
        <v>0</v>
      </c>
      <c r="M166" s="55">
        <v>0</v>
      </c>
      <c r="N166" s="55">
        <f t="shared" si="78"/>
        <v>3</v>
      </c>
      <c r="O166" s="55">
        <v>3</v>
      </c>
      <c r="P166" s="55">
        <v>0</v>
      </c>
      <c r="Q166" s="55">
        <v>0</v>
      </c>
      <c r="R166" s="55">
        <f t="shared" si="79"/>
        <v>0</v>
      </c>
      <c r="S166" s="55">
        <v>0</v>
      </c>
      <c r="T166" s="55">
        <v>0</v>
      </c>
      <c r="U166" s="55">
        <v>0</v>
      </c>
      <c r="V166" s="55">
        <v>3</v>
      </c>
      <c r="W166" s="53">
        <v>3</v>
      </c>
      <c r="X166" s="53">
        <v>0</v>
      </c>
      <c r="Y166" s="55">
        <v>0</v>
      </c>
      <c r="Z166" s="55">
        <v>5</v>
      </c>
      <c r="AA166" s="53">
        <v>5</v>
      </c>
      <c r="AB166" s="53">
        <v>0</v>
      </c>
      <c r="AC166" s="55">
        <v>0</v>
      </c>
      <c r="AD166" s="55">
        <f t="shared" si="80"/>
        <v>2</v>
      </c>
      <c r="AE166" s="53">
        <v>2</v>
      </c>
      <c r="AF166" s="55">
        <v>0</v>
      </c>
      <c r="AG166" s="55">
        <v>0</v>
      </c>
      <c r="AH166" s="55">
        <f t="shared" si="81"/>
        <v>1</v>
      </c>
      <c r="AI166" s="55">
        <v>1</v>
      </c>
      <c r="AJ166" s="55">
        <v>0</v>
      </c>
      <c r="AK166" s="55">
        <v>0</v>
      </c>
      <c r="AL166" s="55">
        <f t="shared" si="86"/>
        <v>4</v>
      </c>
      <c r="AM166" s="55">
        <v>4</v>
      </c>
      <c r="AN166" s="55">
        <v>0</v>
      </c>
      <c r="AO166" s="55">
        <v>0</v>
      </c>
      <c r="AP166" s="55">
        <f t="shared" si="75"/>
        <v>5</v>
      </c>
      <c r="AQ166" s="55">
        <f>IFERROR(VLOOKUP(A166,[1]SIIMPLES!$A$2:$F$418,6,FALSE),0)</f>
        <v>5</v>
      </c>
      <c r="AR166" s="55">
        <v>0</v>
      </c>
      <c r="AS166" s="55">
        <v>3</v>
      </c>
      <c r="AT166" s="55">
        <v>3</v>
      </c>
      <c r="AU166" s="55">
        <v>0</v>
      </c>
      <c r="AV166" s="55">
        <v>0</v>
      </c>
      <c r="AW166" s="55"/>
      <c r="AX166" s="55"/>
      <c r="AY166" s="56">
        <f t="shared" si="82"/>
        <v>2.9</v>
      </c>
      <c r="AZ166" s="55"/>
      <c r="BA166" s="56">
        <v>0.83333333333333337</v>
      </c>
      <c r="BB166" s="41">
        <f t="shared" si="76"/>
        <v>2.4799999999999995</v>
      </c>
      <c r="BC166" s="13"/>
      <c r="BD166" s="35"/>
      <c r="BE166" s="13"/>
      <c r="BF166" s="16">
        <f>SUM(BC166:BE166)</f>
        <v>0</v>
      </c>
      <c r="BG166" s="17">
        <f t="shared" si="83"/>
        <v>0</v>
      </c>
      <c r="BH166" s="16">
        <f t="shared" si="85"/>
        <v>2.9</v>
      </c>
    </row>
    <row r="167" spans="1:60" s="21" customFormat="1" ht="12.75" customHeight="1" x14ac:dyDescent="0.2">
      <c r="A167" s="51">
        <v>4022</v>
      </c>
      <c r="B167" s="51" t="s">
        <v>1077</v>
      </c>
      <c r="C167" s="66" t="s">
        <v>1803</v>
      </c>
      <c r="D167" s="52" t="s">
        <v>760</v>
      </c>
      <c r="E167" s="52" t="s">
        <v>736</v>
      </c>
      <c r="F167" s="53">
        <f>IFERROR(VLOOKUP(E167,Fornecedores!$A$2:$B$2700,2,FALSE),"")</f>
        <v>5</v>
      </c>
      <c r="G167" s="52" t="s">
        <v>908</v>
      </c>
      <c r="H167" s="57"/>
      <c r="I167" s="55">
        <f t="shared" si="77"/>
        <v>0</v>
      </c>
      <c r="J167" s="55">
        <v>0</v>
      </c>
      <c r="K167" s="55">
        <v>0</v>
      </c>
      <c r="L167" s="55">
        <v>0</v>
      </c>
      <c r="M167" s="55">
        <v>0</v>
      </c>
      <c r="N167" s="55">
        <f t="shared" si="78"/>
        <v>2</v>
      </c>
      <c r="O167" s="55">
        <v>2</v>
      </c>
      <c r="P167" s="55">
        <v>0</v>
      </c>
      <c r="Q167" s="55">
        <v>0</v>
      </c>
      <c r="R167" s="55">
        <f t="shared" si="79"/>
        <v>0</v>
      </c>
      <c r="S167" s="55">
        <v>0</v>
      </c>
      <c r="T167" s="55">
        <v>0</v>
      </c>
      <c r="U167" s="55">
        <v>0</v>
      </c>
      <c r="V167" s="55">
        <v>0</v>
      </c>
      <c r="W167" s="53">
        <v>0</v>
      </c>
      <c r="X167" s="53">
        <v>0</v>
      </c>
      <c r="Y167" s="55">
        <v>0</v>
      </c>
      <c r="Z167" s="55">
        <v>0</v>
      </c>
      <c r="AA167" s="53">
        <v>0</v>
      </c>
      <c r="AB167" s="53">
        <v>0</v>
      </c>
      <c r="AC167" s="55">
        <v>0</v>
      </c>
      <c r="AD167" s="55">
        <f t="shared" si="80"/>
        <v>0</v>
      </c>
      <c r="AE167" s="53">
        <v>0</v>
      </c>
      <c r="AF167" s="55">
        <v>0</v>
      </c>
      <c r="AG167" s="55">
        <v>0</v>
      </c>
      <c r="AH167" s="55">
        <f t="shared" si="81"/>
        <v>0</v>
      </c>
      <c r="AI167" s="55">
        <v>0</v>
      </c>
      <c r="AJ167" s="55">
        <v>0</v>
      </c>
      <c r="AK167" s="55">
        <v>0</v>
      </c>
      <c r="AL167" s="55">
        <f t="shared" si="86"/>
        <v>10</v>
      </c>
      <c r="AM167" s="55">
        <v>10</v>
      </c>
      <c r="AN167" s="55">
        <v>0</v>
      </c>
      <c r="AO167" s="55">
        <v>0</v>
      </c>
      <c r="AP167" s="55">
        <f t="shared" si="75"/>
        <v>5</v>
      </c>
      <c r="AQ167" s="55">
        <f>IFERROR(VLOOKUP(A167,[1]SIIMPLES!$A$2:$F$418,6,FALSE),0)</f>
        <v>5</v>
      </c>
      <c r="AR167" s="55">
        <v>0</v>
      </c>
      <c r="AS167" s="55">
        <v>1</v>
      </c>
      <c r="AT167" s="55">
        <v>1</v>
      </c>
      <c r="AU167" s="55">
        <v>0</v>
      </c>
      <c r="AV167" s="55">
        <v>0</v>
      </c>
      <c r="AW167" s="55"/>
      <c r="AX167" s="55"/>
      <c r="AY167" s="56">
        <f t="shared" si="82"/>
        <v>1.8</v>
      </c>
      <c r="AZ167" s="55"/>
      <c r="BA167" s="56">
        <v>0.33333333333333331</v>
      </c>
      <c r="BB167" s="41">
        <f t="shared" si="76"/>
        <v>4.4000000000000004</v>
      </c>
      <c r="BC167" s="13"/>
      <c r="BD167" s="35"/>
      <c r="BE167" s="13"/>
      <c r="BF167" s="16"/>
      <c r="BG167" s="17">
        <f t="shared" si="83"/>
        <v>0</v>
      </c>
      <c r="BH167" s="16">
        <f t="shared" si="85"/>
        <v>1.8</v>
      </c>
    </row>
    <row r="168" spans="1:60" s="21" customFormat="1" ht="12.75" customHeight="1" x14ac:dyDescent="0.2">
      <c r="A168" s="51">
        <v>4024</v>
      </c>
      <c r="B168" s="51" t="s">
        <v>1077</v>
      </c>
      <c r="C168" s="66" t="s">
        <v>1803</v>
      </c>
      <c r="D168" s="52" t="s">
        <v>760</v>
      </c>
      <c r="E168" s="52" t="s">
        <v>736</v>
      </c>
      <c r="F168" s="53">
        <f>IFERROR(VLOOKUP(E168,Fornecedores!$A$2:$B$2700,2,FALSE),"")</f>
        <v>5</v>
      </c>
      <c r="G168" s="52" t="s">
        <v>901</v>
      </c>
      <c r="H168" s="57"/>
      <c r="I168" s="55">
        <f t="shared" si="77"/>
        <v>4</v>
      </c>
      <c r="J168" s="55">
        <v>4</v>
      </c>
      <c r="K168" s="55">
        <v>0</v>
      </c>
      <c r="L168" s="55">
        <v>0</v>
      </c>
      <c r="M168" s="55">
        <v>0</v>
      </c>
      <c r="N168" s="55">
        <f t="shared" si="78"/>
        <v>0</v>
      </c>
      <c r="O168" s="55">
        <v>0</v>
      </c>
      <c r="P168" s="55">
        <v>0</v>
      </c>
      <c r="Q168" s="55">
        <v>0</v>
      </c>
      <c r="R168" s="55">
        <f t="shared" si="79"/>
        <v>0</v>
      </c>
      <c r="S168" s="55">
        <v>0</v>
      </c>
      <c r="T168" s="55">
        <v>0</v>
      </c>
      <c r="U168" s="55">
        <v>0</v>
      </c>
      <c r="V168" s="55">
        <v>0</v>
      </c>
      <c r="W168" s="53">
        <v>0</v>
      </c>
      <c r="X168" s="53">
        <v>0</v>
      </c>
      <c r="Y168" s="55">
        <v>0</v>
      </c>
      <c r="Z168" s="55">
        <v>5</v>
      </c>
      <c r="AA168" s="53">
        <v>5</v>
      </c>
      <c r="AB168" s="53">
        <v>0</v>
      </c>
      <c r="AC168" s="55">
        <v>0</v>
      </c>
      <c r="AD168" s="55">
        <f t="shared" si="80"/>
        <v>5</v>
      </c>
      <c r="AE168" s="53">
        <v>5</v>
      </c>
      <c r="AF168" s="55">
        <v>0</v>
      </c>
      <c r="AG168" s="55">
        <v>0</v>
      </c>
      <c r="AH168" s="55">
        <f t="shared" si="81"/>
        <v>2</v>
      </c>
      <c r="AI168" s="55">
        <v>2</v>
      </c>
      <c r="AJ168" s="55">
        <v>0</v>
      </c>
      <c r="AK168" s="55">
        <v>0</v>
      </c>
      <c r="AL168" s="55">
        <f t="shared" si="86"/>
        <v>4</v>
      </c>
      <c r="AM168" s="55">
        <v>4</v>
      </c>
      <c r="AN168" s="55">
        <v>0</v>
      </c>
      <c r="AO168" s="55">
        <v>0</v>
      </c>
      <c r="AP168" s="55">
        <f t="shared" si="75"/>
        <v>5</v>
      </c>
      <c r="AQ168" s="55">
        <f>IFERROR(VLOOKUP(A168,[1]SIIMPLES!$A$2:$F$418,6,FALSE),0)</f>
        <v>5</v>
      </c>
      <c r="AR168" s="55">
        <v>0</v>
      </c>
      <c r="AS168" s="55">
        <v>3</v>
      </c>
      <c r="AT168" s="55">
        <v>3</v>
      </c>
      <c r="AU168" s="55">
        <v>0</v>
      </c>
      <c r="AV168" s="55">
        <v>0</v>
      </c>
      <c r="AW168" s="55"/>
      <c r="AX168" s="55"/>
      <c r="AY168" s="56">
        <f t="shared" si="82"/>
        <v>2.8</v>
      </c>
      <c r="AZ168" s="55"/>
      <c r="BA168" s="56">
        <v>2</v>
      </c>
      <c r="BB168" s="41">
        <f t="shared" si="76"/>
        <v>0.39999999999999991</v>
      </c>
      <c r="BC168" s="13"/>
      <c r="BD168" s="35"/>
      <c r="BE168" s="13"/>
      <c r="BF168" s="16"/>
      <c r="BG168" s="17">
        <f t="shared" si="83"/>
        <v>0</v>
      </c>
      <c r="BH168" s="16">
        <f t="shared" si="85"/>
        <v>2.8</v>
      </c>
    </row>
    <row r="169" spans="1:60" s="21" customFormat="1" ht="12.75" customHeight="1" x14ac:dyDescent="0.2">
      <c r="A169" s="51">
        <v>4071</v>
      </c>
      <c r="B169" s="51"/>
      <c r="C169" s="66" t="s">
        <v>1803</v>
      </c>
      <c r="D169" s="52" t="s">
        <v>760</v>
      </c>
      <c r="E169" s="52" t="s">
        <v>736</v>
      </c>
      <c r="F169" s="53">
        <f>IFERROR(VLOOKUP(E169,Fornecedores!$A$2:$B$2700,2,FALSE),"")</f>
        <v>5</v>
      </c>
      <c r="G169" s="52" t="s">
        <v>905</v>
      </c>
      <c r="H169" s="57"/>
      <c r="I169" s="55">
        <f t="shared" si="77"/>
        <v>0</v>
      </c>
      <c r="J169" s="55">
        <v>0</v>
      </c>
      <c r="K169" s="55">
        <v>0</v>
      </c>
      <c r="L169" s="55">
        <v>0</v>
      </c>
      <c r="M169" s="55">
        <v>0</v>
      </c>
      <c r="N169" s="55">
        <f t="shared" si="78"/>
        <v>0</v>
      </c>
      <c r="O169" s="55">
        <v>0</v>
      </c>
      <c r="P169" s="55">
        <v>0</v>
      </c>
      <c r="Q169" s="55">
        <v>0</v>
      </c>
      <c r="R169" s="55">
        <f t="shared" si="79"/>
        <v>10</v>
      </c>
      <c r="S169" s="55">
        <v>10</v>
      </c>
      <c r="T169" s="55">
        <v>0</v>
      </c>
      <c r="U169" s="55">
        <v>0</v>
      </c>
      <c r="V169" s="55">
        <v>3</v>
      </c>
      <c r="W169" s="53">
        <v>3</v>
      </c>
      <c r="X169" s="53">
        <v>0</v>
      </c>
      <c r="Y169" s="55">
        <v>0</v>
      </c>
      <c r="Z169" s="55">
        <v>2</v>
      </c>
      <c r="AA169" s="53">
        <v>2</v>
      </c>
      <c r="AB169" s="53">
        <v>0</v>
      </c>
      <c r="AC169" s="55">
        <v>0</v>
      </c>
      <c r="AD169" s="55">
        <f t="shared" si="80"/>
        <v>5</v>
      </c>
      <c r="AE169" s="53">
        <v>5</v>
      </c>
      <c r="AF169" s="55">
        <v>0</v>
      </c>
      <c r="AG169" s="55">
        <v>0</v>
      </c>
      <c r="AH169" s="55">
        <f t="shared" si="81"/>
        <v>5</v>
      </c>
      <c r="AI169" s="55">
        <v>5</v>
      </c>
      <c r="AJ169" s="55">
        <v>0</v>
      </c>
      <c r="AK169" s="55">
        <v>0</v>
      </c>
      <c r="AL169" s="55">
        <f t="shared" si="86"/>
        <v>7</v>
      </c>
      <c r="AM169" s="55">
        <v>7</v>
      </c>
      <c r="AN169" s="55">
        <v>0</v>
      </c>
      <c r="AO169" s="55">
        <v>0</v>
      </c>
      <c r="AP169" s="55">
        <f t="shared" si="75"/>
        <v>5</v>
      </c>
      <c r="AQ169" s="55">
        <f>IFERROR(VLOOKUP(A169,[1]SIIMPLES!$A$2:$F$418,6,FALSE),0)</f>
        <v>5</v>
      </c>
      <c r="AR169" s="55">
        <v>0</v>
      </c>
      <c r="AS169" s="55">
        <v>0</v>
      </c>
      <c r="AT169" s="55">
        <v>0</v>
      </c>
      <c r="AU169" s="55">
        <v>0</v>
      </c>
      <c r="AV169" s="55">
        <v>0</v>
      </c>
      <c r="AW169" s="55"/>
      <c r="AX169" s="55"/>
      <c r="AY169" s="56">
        <f t="shared" si="82"/>
        <v>3.7</v>
      </c>
      <c r="AZ169" s="55"/>
      <c r="BA169" s="56">
        <v>0.33333333333333331</v>
      </c>
      <c r="BB169" s="41">
        <f t="shared" si="76"/>
        <v>10.100000000000001</v>
      </c>
      <c r="BC169" s="13"/>
      <c r="BD169" s="35"/>
      <c r="BE169" s="13"/>
      <c r="BF169" s="16">
        <f>SUM(BC169:BE169)</f>
        <v>0</v>
      </c>
      <c r="BG169" s="17">
        <f t="shared" si="83"/>
        <v>0</v>
      </c>
      <c r="BH169" s="16">
        <f t="shared" si="85"/>
        <v>3.7</v>
      </c>
    </row>
    <row r="170" spans="1:60" s="21" customFormat="1" ht="12.75" customHeight="1" x14ac:dyDescent="0.2">
      <c r="A170" s="51">
        <v>5033</v>
      </c>
      <c r="B170" s="51" t="s">
        <v>1077</v>
      </c>
      <c r="C170" s="66" t="s">
        <v>1803</v>
      </c>
      <c r="D170" s="52" t="s">
        <v>735</v>
      </c>
      <c r="E170" s="52" t="s">
        <v>736</v>
      </c>
      <c r="F170" s="53">
        <f>IFERROR(VLOOKUP(E170,Fornecedores!$A$2:$B$2700,2,FALSE),"")</f>
        <v>5</v>
      </c>
      <c r="G170" s="52" t="s">
        <v>686</v>
      </c>
      <c r="H170" s="54"/>
      <c r="I170" s="55">
        <f t="shared" si="77"/>
        <v>36</v>
      </c>
      <c r="J170" s="55">
        <v>0</v>
      </c>
      <c r="K170" s="55">
        <v>36</v>
      </c>
      <c r="L170" s="55">
        <v>0</v>
      </c>
      <c r="M170" s="55">
        <v>0</v>
      </c>
      <c r="N170" s="55">
        <f t="shared" si="78"/>
        <v>12</v>
      </c>
      <c r="O170" s="55">
        <v>0</v>
      </c>
      <c r="P170" s="55">
        <v>12</v>
      </c>
      <c r="Q170" s="55">
        <v>0</v>
      </c>
      <c r="R170" s="55">
        <f t="shared" si="79"/>
        <v>2</v>
      </c>
      <c r="S170" s="55">
        <v>0</v>
      </c>
      <c r="T170" s="55">
        <v>2</v>
      </c>
      <c r="U170" s="55">
        <v>0</v>
      </c>
      <c r="V170" s="55">
        <v>2</v>
      </c>
      <c r="W170" s="53">
        <v>0</v>
      </c>
      <c r="X170" s="53">
        <v>2</v>
      </c>
      <c r="Y170" s="55">
        <v>0</v>
      </c>
      <c r="Z170" s="55">
        <v>4</v>
      </c>
      <c r="AA170" s="53">
        <v>0</v>
      </c>
      <c r="AB170" s="53">
        <v>4</v>
      </c>
      <c r="AC170" s="55">
        <v>0</v>
      </c>
      <c r="AD170" s="55">
        <f t="shared" si="80"/>
        <v>8</v>
      </c>
      <c r="AE170" s="53">
        <v>0</v>
      </c>
      <c r="AF170" s="55">
        <v>8</v>
      </c>
      <c r="AG170" s="55">
        <v>0</v>
      </c>
      <c r="AH170" s="55">
        <f t="shared" si="81"/>
        <v>2</v>
      </c>
      <c r="AI170" s="55">
        <v>0</v>
      </c>
      <c r="AJ170" s="55">
        <v>2</v>
      </c>
      <c r="AK170" s="55">
        <v>0</v>
      </c>
      <c r="AL170" s="55">
        <f t="shared" si="86"/>
        <v>2</v>
      </c>
      <c r="AM170" s="55">
        <v>2</v>
      </c>
      <c r="AN170" s="55">
        <v>0</v>
      </c>
      <c r="AO170" s="55">
        <v>0</v>
      </c>
      <c r="AP170" s="55">
        <f t="shared" si="75"/>
        <v>5</v>
      </c>
      <c r="AQ170" s="55">
        <f>IFERROR(VLOOKUP(A170,[1]SIIMPLES!$A$2:$F$418,6,FALSE),0)</f>
        <v>1</v>
      </c>
      <c r="AR170" s="55">
        <v>4</v>
      </c>
      <c r="AS170" s="55">
        <v>12</v>
      </c>
      <c r="AT170" s="55">
        <v>0</v>
      </c>
      <c r="AU170" s="55">
        <v>6</v>
      </c>
      <c r="AV170" s="55">
        <v>6</v>
      </c>
      <c r="AW170" s="55"/>
      <c r="AX170" s="55"/>
      <c r="AY170" s="56">
        <f t="shared" si="82"/>
        <v>8.5</v>
      </c>
      <c r="AZ170" s="55"/>
      <c r="BA170" s="56">
        <v>36.333333333333336</v>
      </c>
      <c r="BB170" s="41">
        <f t="shared" si="76"/>
        <v>-0.76605504587155959</v>
      </c>
      <c r="BC170" s="13"/>
      <c r="BD170" s="36"/>
      <c r="BE170" s="7"/>
      <c r="BF170" s="7"/>
      <c r="BG170" s="7"/>
      <c r="BH170" s="7"/>
    </row>
    <row r="171" spans="1:60" s="21" customFormat="1" ht="12.75" customHeight="1" x14ac:dyDescent="0.2">
      <c r="A171" s="51">
        <v>5113</v>
      </c>
      <c r="B171" s="51" t="s">
        <v>1077</v>
      </c>
      <c r="C171" s="66" t="s">
        <v>1803</v>
      </c>
      <c r="D171" s="52" t="s">
        <v>735</v>
      </c>
      <c r="E171" s="52" t="s">
        <v>736</v>
      </c>
      <c r="F171" s="53">
        <f>IFERROR(VLOOKUP(E171,Fornecedores!$A$2:$B$2700,2,FALSE),"")</f>
        <v>5</v>
      </c>
      <c r="G171" s="52" t="s">
        <v>368</v>
      </c>
      <c r="H171" s="54"/>
      <c r="I171" s="55">
        <f t="shared" si="77"/>
        <v>13</v>
      </c>
      <c r="J171" s="55">
        <v>0</v>
      </c>
      <c r="K171" s="55">
        <v>13</v>
      </c>
      <c r="L171" s="55">
        <v>0</v>
      </c>
      <c r="M171" s="55">
        <v>0</v>
      </c>
      <c r="N171" s="55">
        <f t="shared" si="78"/>
        <v>5</v>
      </c>
      <c r="O171" s="55">
        <v>1</v>
      </c>
      <c r="P171" s="55">
        <v>4</v>
      </c>
      <c r="Q171" s="55">
        <v>0</v>
      </c>
      <c r="R171" s="55">
        <f t="shared" si="79"/>
        <v>2</v>
      </c>
      <c r="S171" s="55">
        <v>0</v>
      </c>
      <c r="T171" s="55">
        <v>2</v>
      </c>
      <c r="U171" s="55">
        <v>0</v>
      </c>
      <c r="V171" s="55">
        <v>5</v>
      </c>
      <c r="W171" s="53">
        <v>1</v>
      </c>
      <c r="X171" s="53">
        <v>4</v>
      </c>
      <c r="Y171" s="55">
        <v>0</v>
      </c>
      <c r="Z171" s="55">
        <v>4</v>
      </c>
      <c r="AA171" s="53">
        <v>0</v>
      </c>
      <c r="AB171" s="53">
        <v>4</v>
      </c>
      <c r="AC171" s="55">
        <v>0</v>
      </c>
      <c r="AD171" s="55">
        <f t="shared" si="80"/>
        <v>0</v>
      </c>
      <c r="AE171" s="53">
        <v>0</v>
      </c>
      <c r="AF171" s="55">
        <v>0</v>
      </c>
      <c r="AG171" s="55">
        <v>0</v>
      </c>
      <c r="AH171" s="55">
        <f t="shared" si="81"/>
        <v>2</v>
      </c>
      <c r="AI171" s="55">
        <v>0</v>
      </c>
      <c r="AJ171" s="55">
        <v>2</v>
      </c>
      <c r="AK171" s="55">
        <v>0</v>
      </c>
      <c r="AL171" s="55">
        <f t="shared" si="86"/>
        <v>4</v>
      </c>
      <c r="AM171" s="55" t="s">
        <v>1912</v>
      </c>
      <c r="AN171" s="55">
        <v>4</v>
      </c>
      <c r="AO171" s="55">
        <v>0</v>
      </c>
      <c r="AP171" s="55">
        <f t="shared" si="75"/>
        <v>5</v>
      </c>
      <c r="AQ171" s="55">
        <f>IFERROR(VLOOKUP(A171,[1]SIIMPLES!$A$2:$F$418,6,FALSE),0)</f>
        <v>1</v>
      </c>
      <c r="AR171" s="55">
        <v>4</v>
      </c>
      <c r="AS171" s="55">
        <v>12</v>
      </c>
      <c r="AT171" s="55">
        <v>0</v>
      </c>
      <c r="AU171" s="55">
        <v>2</v>
      </c>
      <c r="AV171" s="55">
        <v>10</v>
      </c>
      <c r="AW171" s="55"/>
      <c r="AX171" s="55"/>
      <c r="AY171" s="56">
        <f t="shared" si="82"/>
        <v>5.2</v>
      </c>
      <c r="AZ171" s="55"/>
      <c r="BA171" s="56">
        <v>14.666666666666666</v>
      </c>
      <c r="BB171" s="41">
        <f t="shared" si="76"/>
        <v>-0.6454545454545455</v>
      </c>
      <c r="BC171" s="13"/>
      <c r="BD171" s="35"/>
      <c r="BE171" s="13"/>
      <c r="BF171" s="16"/>
      <c r="BG171" s="17">
        <f t="shared" ref="BG171:BG176" si="87">IFERROR(BC171/AY171,"0")</f>
        <v>0</v>
      </c>
      <c r="BH171" s="16">
        <f>ROUND(IFERROR(IF(F171=1,IF(BC171&lt;AY171*3,AY171*3-BC171,0),IF(BC171&lt;AY171,AY171*0.6-BC171,0)),""),0)</f>
        <v>3</v>
      </c>
    </row>
    <row r="172" spans="1:60" s="21" customFormat="1" ht="12.75" customHeight="1" x14ac:dyDescent="0.2">
      <c r="A172" s="51">
        <v>6617</v>
      </c>
      <c r="B172" s="51" t="s">
        <v>1077</v>
      </c>
      <c r="C172" s="66" t="s">
        <v>1803</v>
      </c>
      <c r="D172" s="52" t="s">
        <v>735</v>
      </c>
      <c r="E172" s="52" t="s">
        <v>736</v>
      </c>
      <c r="F172" s="53">
        <f>IFERROR(VLOOKUP(E172,Fornecedores!$A$2:$B$2700,2,FALSE),"")</f>
        <v>5</v>
      </c>
      <c r="G172" s="52" t="s">
        <v>889</v>
      </c>
      <c r="H172" s="57"/>
      <c r="I172" s="55">
        <f t="shared" si="77"/>
        <v>1</v>
      </c>
      <c r="J172" s="55">
        <v>1</v>
      </c>
      <c r="K172" s="55">
        <v>0</v>
      </c>
      <c r="L172" s="55">
        <v>0</v>
      </c>
      <c r="M172" s="55">
        <v>0</v>
      </c>
      <c r="N172" s="55">
        <f t="shared" si="78"/>
        <v>2</v>
      </c>
      <c r="O172" s="55">
        <v>2</v>
      </c>
      <c r="P172" s="55">
        <v>0</v>
      </c>
      <c r="Q172" s="55">
        <v>0</v>
      </c>
      <c r="R172" s="55">
        <f t="shared" si="79"/>
        <v>1</v>
      </c>
      <c r="S172" s="55">
        <v>1</v>
      </c>
      <c r="T172" s="55">
        <v>0</v>
      </c>
      <c r="U172" s="55">
        <v>0</v>
      </c>
      <c r="V172" s="55">
        <v>5</v>
      </c>
      <c r="W172" s="53">
        <v>5</v>
      </c>
      <c r="X172" s="53">
        <v>0</v>
      </c>
      <c r="Y172" s="55">
        <v>0</v>
      </c>
      <c r="Z172" s="55">
        <v>2</v>
      </c>
      <c r="AA172" s="53">
        <v>2</v>
      </c>
      <c r="AB172" s="53">
        <v>0</v>
      </c>
      <c r="AC172" s="55">
        <v>0</v>
      </c>
      <c r="AD172" s="55">
        <f t="shared" si="80"/>
        <v>1</v>
      </c>
      <c r="AE172" s="53">
        <v>1</v>
      </c>
      <c r="AF172" s="55">
        <v>0</v>
      </c>
      <c r="AG172" s="55">
        <v>0</v>
      </c>
      <c r="AH172" s="55">
        <f t="shared" si="81"/>
        <v>1</v>
      </c>
      <c r="AI172" s="55">
        <v>1</v>
      </c>
      <c r="AJ172" s="55">
        <v>0</v>
      </c>
      <c r="AK172" s="55">
        <v>0</v>
      </c>
      <c r="AL172" s="55">
        <f t="shared" si="86"/>
        <v>3</v>
      </c>
      <c r="AM172" s="55">
        <v>3</v>
      </c>
      <c r="AN172" s="55">
        <v>0</v>
      </c>
      <c r="AO172" s="55">
        <v>0</v>
      </c>
      <c r="AP172" s="55">
        <f t="shared" si="75"/>
        <v>5</v>
      </c>
      <c r="AQ172" s="55">
        <f>IFERROR(VLOOKUP(A172,[1]SIIMPLES!$A$2:$F$418,6,FALSE),0)</f>
        <v>3</v>
      </c>
      <c r="AR172" s="55">
        <v>2</v>
      </c>
      <c r="AS172" s="55">
        <v>2</v>
      </c>
      <c r="AT172" s="55">
        <v>0</v>
      </c>
      <c r="AU172" s="55">
        <v>2</v>
      </c>
      <c r="AV172" s="55">
        <v>0</v>
      </c>
      <c r="AW172" s="55"/>
      <c r="AX172" s="55"/>
      <c r="AY172" s="56">
        <f t="shared" si="82"/>
        <v>2.2999999999999998</v>
      </c>
      <c r="AZ172" s="55"/>
      <c r="BA172" s="56">
        <v>0.66666666666666663</v>
      </c>
      <c r="BB172" s="41">
        <f t="shared" si="76"/>
        <v>2.4499999999999997</v>
      </c>
      <c r="BC172" s="13"/>
      <c r="BD172" s="35"/>
      <c r="BE172" s="13"/>
      <c r="BF172" s="16"/>
      <c r="BG172" s="17">
        <f t="shared" si="87"/>
        <v>0</v>
      </c>
      <c r="BH172" s="16">
        <f>IFERROR(IF(F172=1,IF(BC172&lt;AY172*3,AY172*3-BC172,0),IF(BC172&lt;AY172,AY172-BC172,0)),"")</f>
        <v>2.2999999999999998</v>
      </c>
    </row>
    <row r="173" spans="1:60" s="21" customFormat="1" ht="12.75" customHeight="1" x14ac:dyDescent="0.2">
      <c r="A173" s="51">
        <v>11195</v>
      </c>
      <c r="B173" s="51"/>
      <c r="C173" s="66" t="s">
        <v>1803</v>
      </c>
      <c r="D173" s="52" t="s">
        <v>747</v>
      </c>
      <c r="E173" s="52" t="str">
        <f>VLOOKUP(A173,[3]CMV!$A$1:$E$1988,5,FALSE)</f>
        <v>Fabreck</v>
      </c>
      <c r="F173" s="53">
        <f>IFERROR(VLOOKUP(E173,Fornecedores!$A$2:$B$2700,2,FALSE),"")</f>
        <v>16</v>
      </c>
      <c r="G173" s="52" t="s">
        <v>1211</v>
      </c>
      <c r="H173" s="54"/>
      <c r="I173" s="55">
        <f t="shared" si="77"/>
        <v>0</v>
      </c>
      <c r="J173" s="55">
        <v>0</v>
      </c>
      <c r="K173" s="55">
        <v>0</v>
      </c>
      <c r="L173" s="55">
        <v>0</v>
      </c>
      <c r="M173" s="55">
        <v>0</v>
      </c>
      <c r="N173" s="55">
        <f t="shared" si="78"/>
        <v>0</v>
      </c>
      <c r="O173" s="55">
        <v>0</v>
      </c>
      <c r="P173" s="55">
        <v>0</v>
      </c>
      <c r="Q173" s="55">
        <v>0</v>
      </c>
      <c r="R173" s="55">
        <f t="shared" si="79"/>
        <v>0</v>
      </c>
      <c r="S173" s="55">
        <v>0</v>
      </c>
      <c r="T173" s="55">
        <v>0</v>
      </c>
      <c r="U173" s="55">
        <v>0</v>
      </c>
      <c r="V173" s="55">
        <v>1</v>
      </c>
      <c r="W173" s="53">
        <v>1</v>
      </c>
      <c r="X173" s="53">
        <v>0</v>
      </c>
      <c r="Y173" s="55">
        <v>0</v>
      </c>
      <c r="Z173" s="55">
        <v>0</v>
      </c>
      <c r="AA173" s="53">
        <v>0</v>
      </c>
      <c r="AB173" s="53">
        <v>0</v>
      </c>
      <c r="AC173" s="55">
        <v>0</v>
      </c>
      <c r="AD173" s="55">
        <f t="shared" si="80"/>
        <v>1</v>
      </c>
      <c r="AE173" s="53">
        <v>1</v>
      </c>
      <c r="AF173" s="55">
        <v>0</v>
      </c>
      <c r="AG173" s="55">
        <v>0</v>
      </c>
      <c r="AH173" s="55">
        <f t="shared" si="81"/>
        <v>3</v>
      </c>
      <c r="AI173" s="55">
        <v>3</v>
      </c>
      <c r="AJ173" s="55">
        <v>0</v>
      </c>
      <c r="AK173" s="55">
        <v>0</v>
      </c>
      <c r="AL173" s="55">
        <f t="shared" si="86"/>
        <v>9</v>
      </c>
      <c r="AM173" s="55">
        <v>3</v>
      </c>
      <c r="AN173" s="55">
        <v>0</v>
      </c>
      <c r="AO173" s="55">
        <v>6</v>
      </c>
      <c r="AP173" s="55">
        <f t="shared" si="75"/>
        <v>5</v>
      </c>
      <c r="AQ173" s="55">
        <f>IFERROR(VLOOKUP(A173,[1]SIIMPLES!$A$2:$F$418,6,FALSE),0)</f>
        <v>5</v>
      </c>
      <c r="AR173" s="55">
        <v>0</v>
      </c>
      <c r="AS173" s="55">
        <v>9</v>
      </c>
      <c r="AT173" s="55">
        <v>9</v>
      </c>
      <c r="AU173" s="55">
        <v>0</v>
      </c>
      <c r="AV173" s="55">
        <v>0</v>
      </c>
      <c r="AW173" s="55"/>
      <c r="AX173" s="55"/>
      <c r="AY173" s="56">
        <f t="shared" si="82"/>
        <v>2.8</v>
      </c>
      <c r="AZ173" s="55"/>
      <c r="BA173" s="56">
        <v>1</v>
      </c>
      <c r="BB173" s="41">
        <f t="shared" si="76"/>
        <v>1.7999999999999998</v>
      </c>
      <c r="BC173" s="13"/>
      <c r="BD173" s="35"/>
      <c r="BE173" s="13"/>
      <c r="BF173" s="16"/>
      <c r="BG173" s="17">
        <f t="shared" si="87"/>
        <v>0</v>
      </c>
      <c r="BH173" s="16">
        <f>IFERROR(IF(F173=1,IF(BC173&lt;AY173*3,AY173*3-BC173,0),IF(BC173&lt;AY173,AY173-BC173,0)),"")</f>
        <v>2.8</v>
      </c>
    </row>
    <row r="174" spans="1:60" s="21" customFormat="1" ht="12.75" customHeight="1" x14ac:dyDescent="0.2">
      <c r="A174" s="51">
        <v>29037</v>
      </c>
      <c r="B174" s="51"/>
      <c r="C174" s="66" t="s">
        <v>1803</v>
      </c>
      <c r="D174" s="52" t="s">
        <v>749</v>
      </c>
      <c r="E174" s="52" t="s">
        <v>750</v>
      </c>
      <c r="F174" s="53">
        <f>IFERROR(VLOOKUP(E174,Fornecedores!$A$2:$B$2700,2,FALSE),"")</f>
        <v>4</v>
      </c>
      <c r="G174" s="52" t="s">
        <v>15</v>
      </c>
      <c r="H174" s="54"/>
      <c r="I174" s="55">
        <f t="shared" si="77"/>
        <v>0</v>
      </c>
      <c r="J174" s="55">
        <v>0</v>
      </c>
      <c r="K174" s="55">
        <v>0</v>
      </c>
      <c r="L174" s="55">
        <v>0</v>
      </c>
      <c r="M174" s="55">
        <v>0</v>
      </c>
      <c r="N174" s="55">
        <f t="shared" si="78"/>
        <v>0</v>
      </c>
      <c r="O174" s="55">
        <v>0</v>
      </c>
      <c r="P174" s="55">
        <v>0</v>
      </c>
      <c r="Q174" s="55">
        <v>0</v>
      </c>
      <c r="R174" s="55">
        <f t="shared" si="79"/>
        <v>0</v>
      </c>
      <c r="S174" s="55">
        <v>0</v>
      </c>
      <c r="T174" s="55">
        <v>0</v>
      </c>
      <c r="U174" s="55">
        <v>0</v>
      </c>
      <c r="V174" s="55">
        <v>0</v>
      </c>
      <c r="W174" s="53">
        <v>0</v>
      </c>
      <c r="X174" s="53">
        <v>0</v>
      </c>
      <c r="Y174" s="55">
        <v>0</v>
      </c>
      <c r="Z174" s="55">
        <v>0</v>
      </c>
      <c r="AA174" s="53">
        <v>0</v>
      </c>
      <c r="AB174" s="53">
        <v>0</v>
      </c>
      <c r="AC174" s="55">
        <v>0</v>
      </c>
      <c r="AD174" s="55">
        <f t="shared" si="80"/>
        <v>2</v>
      </c>
      <c r="AE174" s="53">
        <v>2</v>
      </c>
      <c r="AF174" s="55">
        <v>0</v>
      </c>
      <c r="AG174" s="55">
        <v>0</v>
      </c>
      <c r="AH174" s="55">
        <f t="shared" si="81"/>
        <v>8</v>
      </c>
      <c r="AI174" s="55">
        <v>8</v>
      </c>
      <c r="AJ174" s="55">
        <v>0</v>
      </c>
      <c r="AK174" s="55">
        <v>0</v>
      </c>
      <c r="AL174" s="55">
        <f t="shared" si="86"/>
        <v>1</v>
      </c>
      <c r="AM174" s="55">
        <v>1</v>
      </c>
      <c r="AN174" s="55">
        <v>0</v>
      </c>
      <c r="AO174" s="55">
        <v>0</v>
      </c>
      <c r="AP174" s="55">
        <f t="shared" si="75"/>
        <v>5</v>
      </c>
      <c r="AQ174" s="55">
        <f>IFERROR(VLOOKUP(A174,[1]SIIMPLES!$A$2:$F$418,6,FALSE),0)</f>
        <v>5</v>
      </c>
      <c r="AR174" s="55">
        <v>0</v>
      </c>
      <c r="AS174" s="55">
        <v>10</v>
      </c>
      <c r="AT174" s="55">
        <v>10</v>
      </c>
      <c r="AU174" s="55">
        <v>0</v>
      </c>
      <c r="AV174" s="55">
        <v>0</v>
      </c>
      <c r="AW174" s="55"/>
      <c r="AX174" s="55"/>
      <c r="AY174" s="56">
        <f t="shared" si="82"/>
        <v>2.6</v>
      </c>
      <c r="AZ174" s="55"/>
      <c r="BA174" s="56">
        <v>0</v>
      </c>
      <c r="BB174" s="41" t="str">
        <f t="shared" si="76"/>
        <v/>
      </c>
      <c r="BC174" s="13"/>
      <c r="BD174" s="35"/>
      <c r="BE174" s="13"/>
      <c r="BF174" s="16">
        <f>SUM(BC174:BE174)</f>
        <v>0</v>
      </c>
      <c r="BG174" s="17">
        <f t="shared" si="87"/>
        <v>0</v>
      </c>
      <c r="BH174" s="16">
        <f>IFERROR(IF(F174=1,IF(BC174&lt;AY174*3,AY174*3-BC174,0),IF(BC174&lt;AY174,AY174-BC174,0)),"")</f>
        <v>2.6</v>
      </c>
    </row>
    <row r="175" spans="1:60" s="21" customFormat="1" ht="12.75" customHeight="1" x14ac:dyDescent="0.2">
      <c r="A175" s="51">
        <v>55023</v>
      </c>
      <c r="B175" s="51" t="s">
        <v>1077</v>
      </c>
      <c r="C175" s="66" t="s">
        <v>1803</v>
      </c>
      <c r="D175" s="65" t="s">
        <v>726</v>
      </c>
      <c r="E175" s="52" t="s">
        <v>732</v>
      </c>
      <c r="F175" s="53">
        <f>IFERROR(VLOOKUP(E175,Fornecedores!$A$2:$B$2700,2,FALSE),"")</f>
        <v>6</v>
      </c>
      <c r="G175" s="52" t="s">
        <v>297</v>
      </c>
      <c r="H175" s="54"/>
      <c r="I175" s="55">
        <f t="shared" si="77"/>
        <v>8</v>
      </c>
      <c r="J175" s="55">
        <v>8</v>
      </c>
      <c r="K175" s="55">
        <v>0</v>
      </c>
      <c r="L175" s="55">
        <v>0</v>
      </c>
      <c r="M175" s="55">
        <v>0</v>
      </c>
      <c r="N175" s="55">
        <f t="shared" si="78"/>
        <v>5</v>
      </c>
      <c r="O175" s="55">
        <v>5</v>
      </c>
      <c r="P175" s="55">
        <v>0</v>
      </c>
      <c r="Q175" s="55">
        <v>0</v>
      </c>
      <c r="R175" s="55">
        <f t="shared" si="79"/>
        <v>0</v>
      </c>
      <c r="S175" s="55">
        <v>0</v>
      </c>
      <c r="T175" s="55">
        <v>0</v>
      </c>
      <c r="U175" s="55">
        <v>0</v>
      </c>
      <c r="V175" s="55">
        <v>0</v>
      </c>
      <c r="W175" s="53">
        <v>0</v>
      </c>
      <c r="X175" s="53">
        <v>0</v>
      </c>
      <c r="Y175" s="55">
        <v>0</v>
      </c>
      <c r="Z175" s="55">
        <v>8</v>
      </c>
      <c r="AA175" s="53">
        <v>8</v>
      </c>
      <c r="AB175" s="53">
        <v>0</v>
      </c>
      <c r="AC175" s="55">
        <v>0</v>
      </c>
      <c r="AD175" s="55">
        <f t="shared" si="80"/>
        <v>3</v>
      </c>
      <c r="AE175" s="53">
        <v>3</v>
      </c>
      <c r="AF175" s="55">
        <v>0</v>
      </c>
      <c r="AG175" s="55">
        <v>0</v>
      </c>
      <c r="AH175" s="55">
        <f t="shared" si="81"/>
        <v>0</v>
      </c>
      <c r="AI175" s="55">
        <v>0</v>
      </c>
      <c r="AJ175" s="55">
        <v>0</v>
      </c>
      <c r="AK175" s="55">
        <v>0</v>
      </c>
      <c r="AL175" s="55">
        <f t="shared" si="86"/>
        <v>17</v>
      </c>
      <c r="AM175" s="55">
        <v>17</v>
      </c>
      <c r="AN175" s="55">
        <v>0</v>
      </c>
      <c r="AO175" s="55">
        <v>0</v>
      </c>
      <c r="AP175" s="55">
        <f t="shared" si="75"/>
        <v>5</v>
      </c>
      <c r="AQ175" s="55">
        <f>IFERROR(VLOOKUP(A175,[1]SIIMPLES!$A$2:$F$418,6,FALSE),0)</f>
        <v>5</v>
      </c>
      <c r="AR175" s="55">
        <v>0</v>
      </c>
      <c r="AS175" s="55">
        <v>5</v>
      </c>
      <c r="AT175" s="55">
        <v>5</v>
      </c>
      <c r="AU175" s="55">
        <v>0</v>
      </c>
      <c r="AV175" s="55">
        <v>0</v>
      </c>
      <c r="AW175" s="55"/>
      <c r="AX175" s="55"/>
      <c r="AY175" s="56">
        <f t="shared" si="82"/>
        <v>5.0999999999999996</v>
      </c>
      <c r="AZ175" s="55"/>
      <c r="BA175" s="56">
        <v>8</v>
      </c>
      <c r="BB175" s="41">
        <f t="shared" si="76"/>
        <v>-0.36250000000000004</v>
      </c>
      <c r="BC175" s="13"/>
      <c r="BD175" s="36"/>
      <c r="BE175" s="7"/>
      <c r="BF175" s="7"/>
      <c r="BG175" s="17">
        <f t="shared" si="87"/>
        <v>0</v>
      </c>
      <c r="BH175" s="16">
        <f>IFERROR(IF(F175=1,IF(BC175&lt;AY175*3,AY175*3-BC175,0),IF(BC175&lt;AY175,AY175-BC175,0)),"")</f>
        <v>5.0999999999999996</v>
      </c>
    </row>
    <row r="176" spans="1:60" s="21" customFormat="1" ht="12.75" customHeight="1" x14ac:dyDescent="0.2">
      <c r="A176" s="51">
        <v>55174</v>
      </c>
      <c r="B176" s="51"/>
      <c r="C176" s="66" t="s">
        <v>1803</v>
      </c>
      <c r="D176" s="65" t="s">
        <v>1780</v>
      </c>
      <c r="E176" s="52" t="s">
        <v>732</v>
      </c>
      <c r="F176" s="53">
        <f>IFERROR(VLOOKUP(E176,Fornecedores!$A$2:$B$2700,2,FALSE),"")</f>
        <v>6</v>
      </c>
      <c r="G176" s="52" t="s">
        <v>196</v>
      </c>
      <c r="H176" s="54"/>
      <c r="I176" s="55">
        <f t="shared" si="77"/>
        <v>2</v>
      </c>
      <c r="J176" s="55">
        <v>2</v>
      </c>
      <c r="K176" s="55">
        <v>0</v>
      </c>
      <c r="L176" s="55">
        <v>0</v>
      </c>
      <c r="M176" s="55">
        <v>0</v>
      </c>
      <c r="N176" s="55">
        <f t="shared" si="78"/>
        <v>0</v>
      </c>
      <c r="O176" s="55">
        <v>0</v>
      </c>
      <c r="P176" s="55">
        <v>0</v>
      </c>
      <c r="Q176" s="55">
        <v>0</v>
      </c>
      <c r="R176" s="55">
        <f t="shared" si="79"/>
        <v>0</v>
      </c>
      <c r="S176" s="55">
        <v>0</v>
      </c>
      <c r="T176" s="55">
        <v>0</v>
      </c>
      <c r="U176" s="55">
        <v>0</v>
      </c>
      <c r="V176" s="55">
        <v>0</v>
      </c>
      <c r="W176" s="53">
        <v>0</v>
      </c>
      <c r="X176" s="53">
        <v>0</v>
      </c>
      <c r="Y176" s="55">
        <v>0</v>
      </c>
      <c r="Z176" s="55">
        <v>1</v>
      </c>
      <c r="AA176" s="53">
        <v>1</v>
      </c>
      <c r="AB176" s="53">
        <v>0</v>
      </c>
      <c r="AC176" s="55">
        <v>0</v>
      </c>
      <c r="AD176" s="55">
        <f t="shared" si="80"/>
        <v>0</v>
      </c>
      <c r="AE176" s="53">
        <v>0</v>
      </c>
      <c r="AF176" s="55">
        <v>0</v>
      </c>
      <c r="AG176" s="55">
        <v>0</v>
      </c>
      <c r="AH176" s="55">
        <f t="shared" si="81"/>
        <v>1</v>
      </c>
      <c r="AI176" s="55">
        <v>1</v>
      </c>
      <c r="AJ176" s="55">
        <v>0</v>
      </c>
      <c r="AK176" s="55">
        <v>0</v>
      </c>
      <c r="AL176" s="55">
        <f t="shared" si="86"/>
        <v>2</v>
      </c>
      <c r="AM176" s="55">
        <v>2</v>
      </c>
      <c r="AN176" s="55">
        <v>0</v>
      </c>
      <c r="AO176" s="55">
        <v>0</v>
      </c>
      <c r="AP176" s="55">
        <f t="shared" si="75"/>
        <v>5</v>
      </c>
      <c r="AQ176" s="55">
        <f>IFERROR(VLOOKUP(A176,[1]SIIMPLES!$A$2:$F$418,6,FALSE),0)</f>
        <v>5</v>
      </c>
      <c r="AR176" s="55">
        <v>0</v>
      </c>
      <c r="AS176" s="55">
        <v>21</v>
      </c>
      <c r="AT176" s="55">
        <v>21</v>
      </c>
      <c r="AU176" s="55">
        <v>0</v>
      </c>
      <c r="AV176" s="55">
        <v>0</v>
      </c>
      <c r="AW176" s="55"/>
      <c r="AX176" s="55"/>
      <c r="AY176" s="56">
        <f t="shared" si="82"/>
        <v>3.2</v>
      </c>
      <c r="AZ176" s="55"/>
      <c r="BA176" s="56">
        <v>0.5</v>
      </c>
      <c r="BB176" s="41">
        <f t="shared" si="76"/>
        <v>5.4</v>
      </c>
      <c r="BC176" s="13"/>
      <c r="BD176" s="35"/>
      <c r="BE176" s="13"/>
      <c r="BF176" s="16"/>
      <c r="BG176" s="17">
        <f t="shared" si="87"/>
        <v>0</v>
      </c>
      <c r="BH176" s="16">
        <f>IFERROR(IF(F176=1,IF(BC176&lt;AY176*3,AY176*3-BC176,0),IF(BC176&lt;AY176,AY176-BC176,0)),"")</f>
        <v>3.2</v>
      </c>
    </row>
    <row r="177" spans="1:60" s="21" customFormat="1" ht="12.75" customHeight="1" x14ac:dyDescent="0.2">
      <c r="A177" s="51">
        <v>66418</v>
      </c>
      <c r="B177" s="51" t="s">
        <v>1077</v>
      </c>
      <c r="C177" s="66" t="s">
        <v>1803</v>
      </c>
      <c r="D177" s="65" t="s">
        <v>726</v>
      </c>
      <c r="E177" s="67" t="s">
        <v>1785</v>
      </c>
      <c r="F177" s="53">
        <f>IFERROR(VLOOKUP(E177,Fornecedores!$A$2:$B$2700,2,FALSE),"")</f>
        <v>19</v>
      </c>
      <c r="G177" s="52" t="s">
        <v>708</v>
      </c>
      <c r="H177" s="54"/>
      <c r="I177" s="55">
        <f t="shared" si="77"/>
        <v>18</v>
      </c>
      <c r="J177" s="55">
        <v>18</v>
      </c>
      <c r="K177" s="55">
        <v>0</v>
      </c>
      <c r="L177" s="55">
        <v>0</v>
      </c>
      <c r="M177" s="55">
        <v>0</v>
      </c>
      <c r="N177" s="55">
        <f t="shared" si="78"/>
        <v>12</v>
      </c>
      <c r="O177" s="55">
        <v>12</v>
      </c>
      <c r="P177" s="55">
        <v>0</v>
      </c>
      <c r="Q177" s="55">
        <v>0</v>
      </c>
      <c r="R177" s="55">
        <f t="shared" si="79"/>
        <v>27</v>
      </c>
      <c r="S177" s="55">
        <v>27</v>
      </c>
      <c r="T177" s="55">
        <v>0</v>
      </c>
      <c r="U177" s="55">
        <v>0</v>
      </c>
      <c r="V177" s="55">
        <v>2</v>
      </c>
      <c r="W177" s="53">
        <v>2</v>
      </c>
      <c r="X177" s="53">
        <v>0</v>
      </c>
      <c r="Y177" s="55">
        <v>0</v>
      </c>
      <c r="Z177" s="55">
        <v>14</v>
      </c>
      <c r="AA177" s="53">
        <v>14</v>
      </c>
      <c r="AB177" s="53">
        <v>0</v>
      </c>
      <c r="AC177" s="55">
        <v>0</v>
      </c>
      <c r="AD177" s="55">
        <f t="shared" si="80"/>
        <v>26</v>
      </c>
      <c r="AE177" s="53">
        <v>26</v>
      </c>
      <c r="AF177" s="55">
        <v>0</v>
      </c>
      <c r="AG177" s="55">
        <v>0</v>
      </c>
      <c r="AH177" s="55">
        <f t="shared" ref="AH177:AH194" si="88">SUM(AI177:AK177)</f>
        <v>19</v>
      </c>
      <c r="AI177" s="55">
        <v>14</v>
      </c>
      <c r="AJ177" s="55">
        <v>0</v>
      </c>
      <c r="AK177" s="55">
        <v>5</v>
      </c>
      <c r="AL177" s="55">
        <f t="shared" si="86"/>
        <v>20</v>
      </c>
      <c r="AM177" s="55">
        <v>20</v>
      </c>
      <c r="AN177" s="55">
        <v>0</v>
      </c>
      <c r="AO177" s="55">
        <v>0</v>
      </c>
      <c r="AP177" s="55">
        <f t="shared" si="75"/>
        <v>5</v>
      </c>
      <c r="AQ177" s="55">
        <f>IFERROR(VLOOKUP(A177,[1]SIIMPLES!$A$2:$F$418,6,FALSE),0)</f>
        <v>5</v>
      </c>
      <c r="AR177" s="55">
        <v>0</v>
      </c>
      <c r="AS177" s="55">
        <v>11</v>
      </c>
      <c r="AT177" s="55">
        <v>11</v>
      </c>
      <c r="AU177" s="55">
        <v>0</v>
      </c>
      <c r="AV177" s="55">
        <v>0</v>
      </c>
      <c r="AW177" s="55"/>
      <c r="AX177" s="55"/>
      <c r="AY177" s="56">
        <f t="shared" si="82"/>
        <v>15.4</v>
      </c>
      <c r="AZ177" s="55"/>
      <c r="BA177" s="56">
        <v>35.166666666666664</v>
      </c>
      <c r="BB177" s="41">
        <f>1-BA177/AY177</f>
        <v>-1.2835497835497836</v>
      </c>
      <c r="BC177" s="13"/>
      <c r="BD177" s="36"/>
      <c r="BE177" s="7"/>
      <c r="BF177" s="7"/>
      <c r="BG177" s="7"/>
      <c r="BH177" s="7"/>
    </row>
    <row r="178" spans="1:60" s="21" customFormat="1" ht="12.75" customHeight="1" x14ac:dyDescent="0.2">
      <c r="A178" s="51">
        <v>66640</v>
      </c>
      <c r="B178" s="51" t="s">
        <v>1077</v>
      </c>
      <c r="C178" s="66" t="s">
        <v>1803</v>
      </c>
      <c r="D178" s="65" t="s">
        <v>737</v>
      </c>
      <c r="E178" s="67" t="s">
        <v>727</v>
      </c>
      <c r="F178" s="53">
        <f>IFERROR(VLOOKUP(E178,Fornecedores!$A$2:$B$2700,2,FALSE),"")</f>
        <v>1</v>
      </c>
      <c r="G178" s="52" t="s">
        <v>318</v>
      </c>
      <c r="H178" s="54"/>
      <c r="I178" s="55">
        <f t="shared" si="77"/>
        <v>9</v>
      </c>
      <c r="J178" s="55">
        <v>9</v>
      </c>
      <c r="K178" s="55">
        <v>0</v>
      </c>
      <c r="L178" s="55">
        <v>0</v>
      </c>
      <c r="M178" s="55">
        <v>0</v>
      </c>
      <c r="N178" s="55">
        <f t="shared" si="78"/>
        <v>8</v>
      </c>
      <c r="O178" s="55">
        <v>8</v>
      </c>
      <c r="P178" s="55">
        <v>0</v>
      </c>
      <c r="Q178" s="55">
        <v>0</v>
      </c>
      <c r="R178" s="55">
        <f t="shared" si="79"/>
        <v>16</v>
      </c>
      <c r="S178" s="55">
        <v>16</v>
      </c>
      <c r="T178" s="55">
        <v>0</v>
      </c>
      <c r="U178" s="55">
        <v>0</v>
      </c>
      <c r="V178" s="55">
        <v>23</v>
      </c>
      <c r="W178" s="53">
        <v>23</v>
      </c>
      <c r="X178" s="53">
        <v>0</v>
      </c>
      <c r="Y178" s="55">
        <v>0</v>
      </c>
      <c r="Z178" s="55">
        <v>10</v>
      </c>
      <c r="AA178" s="53">
        <v>10</v>
      </c>
      <c r="AB178" s="53">
        <v>0</v>
      </c>
      <c r="AC178" s="55">
        <v>0</v>
      </c>
      <c r="AD178" s="55">
        <f t="shared" si="80"/>
        <v>15</v>
      </c>
      <c r="AE178" s="53">
        <v>15</v>
      </c>
      <c r="AF178" s="55">
        <v>0</v>
      </c>
      <c r="AG178" s="55">
        <v>0</v>
      </c>
      <c r="AH178" s="55">
        <f t="shared" si="88"/>
        <v>30</v>
      </c>
      <c r="AI178" s="55">
        <v>24</v>
      </c>
      <c r="AJ178" s="55">
        <v>0</v>
      </c>
      <c r="AK178" s="55">
        <v>6</v>
      </c>
      <c r="AL178" s="55">
        <f t="shared" si="86"/>
        <v>19</v>
      </c>
      <c r="AM178" s="55">
        <v>14</v>
      </c>
      <c r="AN178" s="55">
        <v>0</v>
      </c>
      <c r="AO178" s="55">
        <v>5</v>
      </c>
      <c r="AP178" s="55">
        <f t="shared" si="75"/>
        <v>5</v>
      </c>
      <c r="AQ178" s="55">
        <f>IFERROR(VLOOKUP(A178,[1]SIIMPLES!$A$2:$F$418,6,FALSE),0)</f>
        <v>5</v>
      </c>
      <c r="AR178" s="55">
        <v>0</v>
      </c>
      <c r="AS178" s="55">
        <v>2</v>
      </c>
      <c r="AT178" s="55">
        <v>2</v>
      </c>
      <c r="AU178" s="55">
        <v>0</v>
      </c>
      <c r="AV178" s="55">
        <v>0</v>
      </c>
      <c r="AW178" s="55"/>
      <c r="AX178" s="55"/>
      <c r="AY178" s="56">
        <f t="shared" si="82"/>
        <v>13.7</v>
      </c>
      <c r="AZ178" s="55"/>
      <c r="BA178" s="56">
        <v>9.5</v>
      </c>
      <c r="BB178" s="41">
        <f t="shared" ref="BB178:BB211" si="89">IFERROR(AY178/BA178-1,"")</f>
        <v>0.44210526315789456</v>
      </c>
      <c r="BC178" s="13"/>
      <c r="BD178" s="36"/>
      <c r="BE178" s="7"/>
      <c r="BF178" s="7"/>
      <c r="BG178" s="7"/>
      <c r="BH178" s="7"/>
    </row>
    <row r="179" spans="1:60" s="21" customFormat="1" ht="12.75" customHeight="1" x14ac:dyDescent="0.2">
      <c r="A179" s="51">
        <v>77261</v>
      </c>
      <c r="B179" s="51" t="s">
        <v>1077</v>
      </c>
      <c r="C179" s="66" t="s">
        <v>1803</v>
      </c>
      <c r="D179" s="65" t="s">
        <v>1779</v>
      </c>
      <c r="E179" s="52" t="s">
        <v>732</v>
      </c>
      <c r="F179" s="53">
        <f>IFERROR(VLOOKUP(E179,Fornecedores!$A$2:$B$2700,2,FALSE),"")</f>
        <v>6</v>
      </c>
      <c r="G179" s="52" t="s">
        <v>595</v>
      </c>
      <c r="H179" s="54"/>
      <c r="I179" s="55">
        <f t="shared" si="77"/>
        <v>7</v>
      </c>
      <c r="J179" s="55">
        <v>1</v>
      </c>
      <c r="K179" s="55">
        <v>6</v>
      </c>
      <c r="L179" s="55">
        <v>0</v>
      </c>
      <c r="M179" s="55">
        <v>0</v>
      </c>
      <c r="N179" s="55">
        <f t="shared" si="78"/>
        <v>6</v>
      </c>
      <c r="O179" s="55">
        <v>0</v>
      </c>
      <c r="P179" s="55">
        <v>6</v>
      </c>
      <c r="Q179" s="55">
        <v>0</v>
      </c>
      <c r="R179" s="55">
        <f t="shared" si="79"/>
        <v>0</v>
      </c>
      <c r="S179" s="55">
        <v>0</v>
      </c>
      <c r="T179" s="55">
        <v>0</v>
      </c>
      <c r="U179" s="55">
        <v>0</v>
      </c>
      <c r="V179" s="55">
        <v>3</v>
      </c>
      <c r="W179" s="53">
        <v>2</v>
      </c>
      <c r="X179" s="53">
        <v>1</v>
      </c>
      <c r="Y179" s="55">
        <v>0</v>
      </c>
      <c r="Z179" s="55">
        <v>5</v>
      </c>
      <c r="AA179" s="53">
        <v>0</v>
      </c>
      <c r="AB179" s="53">
        <v>5</v>
      </c>
      <c r="AC179" s="55">
        <v>0</v>
      </c>
      <c r="AD179" s="55">
        <f t="shared" si="80"/>
        <v>8</v>
      </c>
      <c r="AE179" s="53">
        <v>3</v>
      </c>
      <c r="AF179" s="55">
        <v>5</v>
      </c>
      <c r="AG179" s="55">
        <v>0</v>
      </c>
      <c r="AH179" s="55">
        <f t="shared" si="88"/>
        <v>0</v>
      </c>
      <c r="AI179" s="55">
        <v>0</v>
      </c>
      <c r="AJ179" s="55">
        <v>0</v>
      </c>
      <c r="AK179" s="55">
        <v>0</v>
      </c>
      <c r="AL179" s="55">
        <f t="shared" si="86"/>
        <v>5</v>
      </c>
      <c r="AM179" s="55" t="s">
        <v>1912</v>
      </c>
      <c r="AN179" s="55">
        <v>5</v>
      </c>
      <c r="AO179" s="55">
        <v>0</v>
      </c>
      <c r="AP179" s="55">
        <f t="shared" si="75"/>
        <v>5</v>
      </c>
      <c r="AQ179" s="55">
        <f>IFERROR(VLOOKUP(A179,[1]SIIMPLES!$A$2:$F$418,6,FALSE),0)</f>
        <v>1</v>
      </c>
      <c r="AR179" s="55">
        <v>4</v>
      </c>
      <c r="AS179" s="55">
        <v>4</v>
      </c>
      <c r="AT179" s="55">
        <v>4</v>
      </c>
      <c r="AU179" s="55">
        <v>0</v>
      </c>
      <c r="AV179" s="55">
        <v>0</v>
      </c>
      <c r="AW179" s="55"/>
      <c r="AX179" s="55"/>
      <c r="AY179" s="56">
        <f t="shared" si="82"/>
        <v>4.3</v>
      </c>
      <c r="AZ179" s="55"/>
      <c r="BA179" s="56">
        <v>3.8333333333333335</v>
      </c>
      <c r="BB179" s="41">
        <f t="shared" si="89"/>
        <v>0.12173913043478257</v>
      </c>
      <c r="BC179" s="13"/>
      <c r="BD179" s="36"/>
      <c r="BE179" s="7"/>
      <c r="BF179" s="7"/>
      <c r="BG179" s="7"/>
      <c r="BH179" s="7"/>
    </row>
    <row r="180" spans="1:60" s="21" customFormat="1" ht="12.75" customHeight="1" x14ac:dyDescent="0.2">
      <c r="A180" s="51">
        <v>88573</v>
      </c>
      <c r="B180" s="51"/>
      <c r="C180" s="66" t="s">
        <v>1803</v>
      </c>
      <c r="D180" s="65" t="s">
        <v>1478</v>
      </c>
      <c r="E180" s="52" t="s">
        <v>732</v>
      </c>
      <c r="F180" s="53">
        <f>IFERROR(VLOOKUP(E180,Fornecedores!$A$2:$B$2700,2,FALSE),"")</f>
        <v>6</v>
      </c>
      <c r="G180" s="52" t="s">
        <v>1501</v>
      </c>
      <c r="H180" s="57"/>
      <c r="I180" s="55">
        <f t="shared" si="77"/>
        <v>1</v>
      </c>
      <c r="J180" s="55">
        <v>1</v>
      </c>
      <c r="K180" s="55">
        <v>0</v>
      </c>
      <c r="L180" s="55">
        <v>0</v>
      </c>
      <c r="M180" s="55">
        <v>0</v>
      </c>
      <c r="N180" s="55">
        <f t="shared" si="78"/>
        <v>5</v>
      </c>
      <c r="O180" s="55">
        <v>5</v>
      </c>
      <c r="P180" s="55">
        <v>0</v>
      </c>
      <c r="Q180" s="55">
        <v>0</v>
      </c>
      <c r="R180" s="55">
        <f t="shared" si="79"/>
        <v>2</v>
      </c>
      <c r="S180" s="55">
        <v>2</v>
      </c>
      <c r="T180" s="55">
        <v>0</v>
      </c>
      <c r="U180" s="55">
        <v>0</v>
      </c>
      <c r="V180" s="55">
        <v>2</v>
      </c>
      <c r="W180" s="53">
        <v>2</v>
      </c>
      <c r="X180" s="53">
        <v>0</v>
      </c>
      <c r="Y180" s="55">
        <v>0</v>
      </c>
      <c r="Z180" s="55">
        <v>4</v>
      </c>
      <c r="AA180" s="53">
        <v>4</v>
      </c>
      <c r="AB180" s="53">
        <v>0</v>
      </c>
      <c r="AC180" s="55">
        <v>0</v>
      </c>
      <c r="AD180" s="55">
        <f t="shared" si="80"/>
        <v>3</v>
      </c>
      <c r="AE180" s="53">
        <v>3</v>
      </c>
      <c r="AF180" s="55">
        <v>0</v>
      </c>
      <c r="AG180" s="55">
        <v>0</v>
      </c>
      <c r="AH180" s="55">
        <f t="shared" si="88"/>
        <v>4</v>
      </c>
      <c r="AI180" s="55">
        <v>4</v>
      </c>
      <c r="AJ180" s="55">
        <v>0</v>
      </c>
      <c r="AK180" s="55">
        <v>0</v>
      </c>
      <c r="AL180" s="55">
        <f t="shared" si="86"/>
        <v>6</v>
      </c>
      <c r="AM180" s="55">
        <v>6</v>
      </c>
      <c r="AN180" s="55">
        <v>0</v>
      </c>
      <c r="AO180" s="55">
        <v>0</v>
      </c>
      <c r="AP180" s="55">
        <f t="shared" si="75"/>
        <v>5</v>
      </c>
      <c r="AQ180" s="55">
        <f>IFERROR(VLOOKUP(A180,[1]SIIMPLES!$A$2:$F$418,6,FALSE),0)</f>
        <v>5</v>
      </c>
      <c r="AR180" s="55">
        <v>0</v>
      </c>
      <c r="AS180" s="55">
        <v>0</v>
      </c>
      <c r="AT180" s="55">
        <v>0</v>
      </c>
      <c r="AU180" s="55">
        <v>0</v>
      </c>
      <c r="AV180" s="55">
        <v>0</v>
      </c>
      <c r="AW180" s="57"/>
      <c r="AX180" s="57"/>
      <c r="AY180" s="56">
        <f t="shared" si="82"/>
        <v>3.2</v>
      </c>
      <c r="AZ180" s="55"/>
      <c r="BA180" s="56" t="s">
        <v>1912</v>
      </c>
      <c r="BB180" s="41" t="str">
        <f t="shared" si="89"/>
        <v/>
      </c>
      <c r="BC180" s="7"/>
      <c r="BD180" s="35"/>
      <c r="BE180" s="13"/>
      <c r="BF180" s="16"/>
      <c r="BG180" s="17">
        <f t="shared" ref="BG180:BG221" si="90">IFERROR(BC180/AY180,"0")</f>
        <v>0</v>
      </c>
      <c r="BH180" s="16">
        <f>IFERROR(IF(F180=1,IF(BC180&lt;AY180*3,AY180*3-BC180,0),IF(BC180&lt;AY180,AY180-BC180,0)),"")</f>
        <v>3.2</v>
      </c>
    </row>
    <row r="181" spans="1:60" s="21" customFormat="1" ht="12.75" customHeight="1" x14ac:dyDescent="0.2">
      <c r="A181" s="51">
        <v>222053</v>
      </c>
      <c r="B181" s="51" t="s">
        <v>1077</v>
      </c>
      <c r="C181" s="66" t="s">
        <v>1803</v>
      </c>
      <c r="D181" s="52" t="s">
        <v>728</v>
      </c>
      <c r="E181" s="65" t="s">
        <v>780</v>
      </c>
      <c r="F181" s="53">
        <f>IFERROR(VLOOKUP(E181,Fornecedores!$A$2:$B$2700,2,FALSE),"")</f>
        <v>2</v>
      </c>
      <c r="G181" s="52" t="s">
        <v>406</v>
      </c>
      <c r="H181" s="57"/>
      <c r="I181" s="55">
        <f t="shared" si="77"/>
        <v>5</v>
      </c>
      <c r="J181" s="55">
        <v>0</v>
      </c>
      <c r="K181" s="55">
        <v>5</v>
      </c>
      <c r="L181" s="55">
        <v>0</v>
      </c>
      <c r="M181" s="55">
        <v>0</v>
      </c>
      <c r="N181" s="55">
        <f t="shared" si="78"/>
        <v>2</v>
      </c>
      <c r="O181" s="55">
        <v>0</v>
      </c>
      <c r="P181" s="55">
        <v>2</v>
      </c>
      <c r="Q181" s="55">
        <v>0</v>
      </c>
      <c r="R181" s="55">
        <f t="shared" si="79"/>
        <v>5</v>
      </c>
      <c r="S181" s="55">
        <v>3</v>
      </c>
      <c r="T181" s="55">
        <v>2</v>
      </c>
      <c r="U181" s="55">
        <v>0</v>
      </c>
      <c r="V181" s="55">
        <v>13</v>
      </c>
      <c r="W181" s="53">
        <v>4</v>
      </c>
      <c r="X181" s="53">
        <v>8</v>
      </c>
      <c r="Y181" s="55">
        <v>1</v>
      </c>
      <c r="Z181" s="55">
        <v>4</v>
      </c>
      <c r="AA181" s="53">
        <v>3</v>
      </c>
      <c r="AB181" s="53">
        <v>1</v>
      </c>
      <c r="AC181" s="55">
        <v>0</v>
      </c>
      <c r="AD181" s="55">
        <f t="shared" si="80"/>
        <v>5</v>
      </c>
      <c r="AE181" s="53">
        <v>3</v>
      </c>
      <c r="AF181" s="55">
        <v>1</v>
      </c>
      <c r="AG181" s="55">
        <v>1</v>
      </c>
      <c r="AH181" s="55">
        <f t="shared" si="88"/>
        <v>8</v>
      </c>
      <c r="AI181" s="55">
        <v>1</v>
      </c>
      <c r="AJ181" s="55">
        <v>1</v>
      </c>
      <c r="AK181" s="55">
        <v>6</v>
      </c>
      <c r="AL181" s="55">
        <f t="shared" si="86"/>
        <v>2</v>
      </c>
      <c r="AM181" s="55">
        <v>1</v>
      </c>
      <c r="AN181" s="55">
        <v>0</v>
      </c>
      <c r="AO181" s="55">
        <v>1</v>
      </c>
      <c r="AP181" s="55">
        <f t="shared" si="75"/>
        <v>5</v>
      </c>
      <c r="AQ181" s="55">
        <f>IFERROR(VLOOKUP(A181,[1]SIIMPLES!$A$2:$F$418,6,FALSE),0)</f>
        <v>5</v>
      </c>
      <c r="AR181" s="55">
        <v>0</v>
      </c>
      <c r="AS181" s="55">
        <v>2</v>
      </c>
      <c r="AT181" s="55">
        <v>1</v>
      </c>
      <c r="AU181" s="55">
        <v>0</v>
      </c>
      <c r="AV181" s="55">
        <v>1</v>
      </c>
      <c r="AW181" s="55"/>
      <c r="AX181" s="55"/>
      <c r="AY181" s="56">
        <f t="shared" si="82"/>
        <v>5.0999999999999996</v>
      </c>
      <c r="AZ181" s="55"/>
      <c r="BA181" s="56">
        <v>1.1666666666666667</v>
      </c>
      <c r="BB181" s="41">
        <f t="shared" si="89"/>
        <v>3.371428571428571</v>
      </c>
      <c r="BC181" s="13"/>
      <c r="BD181" s="36"/>
      <c r="BE181" s="7"/>
      <c r="BF181" s="7"/>
      <c r="BG181" s="17">
        <f t="shared" si="90"/>
        <v>0</v>
      </c>
      <c r="BH181" s="7"/>
    </row>
    <row r="182" spans="1:60" s="21" customFormat="1" ht="12.75" customHeight="1" x14ac:dyDescent="0.2">
      <c r="A182" s="51">
        <v>222054</v>
      </c>
      <c r="B182" s="51" t="s">
        <v>1077</v>
      </c>
      <c r="C182" s="66" t="s">
        <v>1803</v>
      </c>
      <c r="D182" s="52" t="s">
        <v>728</v>
      </c>
      <c r="E182" s="65" t="s">
        <v>780</v>
      </c>
      <c r="F182" s="53">
        <f>IFERROR(VLOOKUP(E182,Fornecedores!$A$2:$B$2700,2,FALSE),"")</f>
        <v>2</v>
      </c>
      <c r="G182" s="52" t="s">
        <v>105</v>
      </c>
      <c r="H182" s="57"/>
      <c r="I182" s="55">
        <f t="shared" si="77"/>
        <v>5</v>
      </c>
      <c r="J182" s="55">
        <v>0</v>
      </c>
      <c r="K182" s="55">
        <v>5</v>
      </c>
      <c r="L182" s="55">
        <v>0</v>
      </c>
      <c r="M182" s="55">
        <v>0</v>
      </c>
      <c r="N182" s="55">
        <f t="shared" si="78"/>
        <v>3</v>
      </c>
      <c r="O182" s="55">
        <v>1</v>
      </c>
      <c r="P182" s="55">
        <v>2</v>
      </c>
      <c r="Q182" s="55">
        <v>0</v>
      </c>
      <c r="R182" s="55">
        <f t="shared" si="79"/>
        <v>4</v>
      </c>
      <c r="S182" s="55">
        <v>2</v>
      </c>
      <c r="T182" s="55">
        <v>2</v>
      </c>
      <c r="U182" s="55">
        <v>0</v>
      </c>
      <c r="V182" s="55">
        <v>11</v>
      </c>
      <c r="W182" s="53">
        <v>2</v>
      </c>
      <c r="X182" s="53">
        <v>8</v>
      </c>
      <c r="Y182" s="55">
        <v>1</v>
      </c>
      <c r="Z182" s="55">
        <v>1</v>
      </c>
      <c r="AA182" s="53">
        <v>0</v>
      </c>
      <c r="AB182" s="53">
        <v>1</v>
      </c>
      <c r="AC182" s="55">
        <v>0</v>
      </c>
      <c r="AD182" s="55">
        <f t="shared" si="80"/>
        <v>2</v>
      </c>
      <c r="AE182" s="53">
        <v>0</v>
      </c>
      <c r="AF182" s="55">
        <v>1</v>
      </c>
      <c r="AG182" s="55">
        <v>1</v>
      </c>
      <c r="AH182" s="55">
        <f t="shared" si="88"/>
        <v>8</v>
      </c>
      <c r="AI182" s="55">
        <v>1</v>
      </c>
      <c r="AJ182" s="55">
        <v>1</v>
      </c>
      <c r="AK182" s="55">
        <v>6</v>
      </c>
      <c r="AL182" s="55">
        <f t="shared" si="86"/>
        <v>2</v>
      </c>
      <c r="AM182" s="55">
        <v>1</v>
      </c>
      <c r="AN182" s="55">
        <v>0</v>
      </c>
      <c r="AO182" s="55">
        <v>1</v>
      </c>
      <c r="AP182" s="55">
        <f t="shared" si="75"/>
        <v>5</v>
      </c>
      <c r="AQ182" s="55">
        <f>IFERROR(VLOOKUP(A182,[1]SIIMPLES!$A$2:$F$418,6,FALSE),0)</f>
        <v>5</v>
      </c>
      <c r="AR182" s="55">
        <v>0</v>
      </c>
      <c r="AS182" s="55">
        <v>1</v>
      </c>
      <c r="AT182" s="55">
        <v>0</v>
      </c>
      <c r="AU182" s="55">
        <v>0</v>
      </c>
      <c r="AV182" s="55">
        <v>1</v>
      </c>
      <c r="AW182" s="55"/>
      <c r="AX182" s="55"/>
      <c r="AY182" s="56">
        <f t="shared" si="82"/>
        <v>4.2</v>
      </c>
      <c r="AZ182" s="55"/>
      <c r="BA182" s="56">
        <v>0.83333333333333337</v>
      </c>
      <c r="BB182" s="41">
        <f t="shared" si="89"/>
        <v>4.04</v>
      </c>
      <c r="BC182" s="13"/>
      <c r="BD182" s="35"/>
      <c r="BE182" s="13"/>
      <c r="BF182" s="16"/>
      <c r="BG182" s="17">
        <f t="shared" si="90"/>
        <v>0</v>
      </c>
      <c r="BH182" s="16">
        <f t="shared" ref="BH182:BH187" si="91">IFERROR(IF(F182=1,IF(BC182&lt;AY182*3,AY182*3-BC182,0),IF(BC182&lt;AY182,AY182-BC182,0)),"")</f>
        <v>4.2</v>
      </c>
    </row>
    <row r="183" spans="1:60" s="21" customFormat="1" ht="12.75" customHeight="1" x14ac:dyDescent="0.2">
      <c r="A183" s="51">
        <v>662013</v>
      </c>
      <c r="B183" s="51" t="s">
        <v>1077</v>
      </c>
      <c r="C183" s="66" t="s">
        <v>1803</v>
      </c>
      <c r="D183" s="52" t="s">
        <v>728</v>
      </c>
      <c r="E183" s="65" t="s">
        <v>780</v>
      </c>
      <c r="F183" s="53">
        <f>IFERROR(VLOOKUP(E183,Fornecedores!$A$2:$B$2700,2,FALSE),"")</f>
        <v>2</v>
      </c>
      <c r="G183" s="52" t="s">
        <v>652</v>
      </c>
      <c r="H183" s="57"/>
      <c r="I183" s="55">
        <f t="shared" si="77"/>
        <v>22</v>
      </c>
      <c r="J183" s="55">
        <v>2</v>
      </c>
      <c r="K183" s="55">
        <v>20</v>
      </c>
      <c r="L183" s="55">
        <v>0</v>
      </c>
      <c r="M183" s="55">
        <v>0</v>
      </c>
      <c r="N183" s="55">
        <f t="shared" si="78"/>
        <v>5</v>
      </c>
      <c r="O183" s="55">
        <v>2</v>
      </c>
      <c r="P183" s="55">
        <v>3</v>
      </c>
      <c r="Q183" s="55">
        <v>0</v>
      </c>
      <c r="R183" s="55">
        <f t="shared" si="79"/>
        <v>10</v>
      </c>
      <c r="S183" s="55">
        <v>0</v>
      </c>
      <c r="T183" s="55">
        <v>7</v>
      </c>
      <c r="U183" s="55">
        <v>3</v>
      </c>
      <c r="V183" s="55">
        <v>14</v>
      </c>
      <c r="W183" s="53">
        <v>0</v>
      </c>
      <c r="X183" s="53">
        <v>12</v>
      </c>
      <c r="Y183" s="55">
        <v>2</v>
      </c>
      <c r="Z183" s="55">
        <v>2</v>
      </c>
      <c r="AA183" s="53">
        <v>0</v>
      </c>
      <c r="AB183" s="53">
        <v>0</v>
      </c>
      <c r="AC183" s="55">
        <v>2</v>
      </c>
      <c r="AD183" s="55">
        <f t="shared" si="80"/>
        <v>7</v>
      </c>
      <c r="AE183" s="53">
        <v>0</v>
      </c>
      <c r="AF183" s="55">
        <v>7</v>
      </c>
      <c r="AG183" s="55">
        <v>0</v>
      </c>
      <c r="AH183" s="55">
        <f t="shared" si="88"/>
        <v>3</v>
      </c>
      <c r="AI183" s="55">
        <v>0</v>
      </c>
      <c r="AJ183" s="55">
        <v>3</v>
      </c>
      <c r="AK183" s="55">
        <v>0</v>
      </c>
      <c r="AL183" s="55">
        <f t="shared" si="86"/>
        <v>12</v>
      </c>
      <c r="AM183" s="55">
        <v>2</v>
      </c>
      <c r="AN183" s="55">
        <v>10</v>
      </c>
      <c r="AO183" s="55">
        <v>0</v>
      </c>
      <c r="AP183" s="55">
        <f t="shared" si="75"/>
        <v>5</v>
      </c>
      <c r="AQ183" s="55">
        <f>IFERROR(VLOOKUP(A183,[1]SIIMPLES!$A$2:$F$418,6,FALSE),0)</f>
        <v>1</v>
      </c>
      <c r="AR183" s="55">
        <v>4</v>
      </c>
      <c r="AS183" s="55">
        <v>7</v>
      </c>
      <c r="AT183" s="55">
        <v>2</v>
      </c>
      <c r="AU183" s="55">
        <v>5</v>
      </c>
      <c r="AV183" s="55">
        <v>0</v>
      </c>
      <c r="AW183" s="55"/>
      <c r="AX183" s="55"/>
      <c r="AY183" s="56">
        <f t="shared" si="82"/>
        <v>8.6999999999999993</v>
      </c>
      <c r="AZ183" s="55"/>
      <c r="BA183" s="56">
        <v>12.833333333333334</v>
      </c>
      <c r="BB183" s="41">
        <f t="shared" si="89"/>
        <v>-0.32207792207792219</v>
      </c>
      <c r="BC183" s="13"/>
      <c r="BD183" s="35"/>
      <c r="BE183" s="13"/>
      <c r="BF183" s="16"/>
      <c r="BG183" s="17">
        <f t="shared" si="90"/>
        <v>0</v>
      </c>
      <c r="BH183" s="16">
        <f t="shared" si="91"/>
        <v>8.6999999999999993</v>
      </c>
    </row>
    <row r="184" spans="1:60" s="21" customFormat="1" ht="12.75" customHeight="1" x14ac:dyDescent="0.2">
      <c r="A184" s="51">
        <v>112011</v>
      </c>
      <c r="B184" s="51" t="s">
        <v>1077</v>
      </c>
      <c r="C184" s="66" t="s">
        <v>1803</v>
      </c>
      <c r="D184" s="52" t="s">
        <v>728</v>
      </c>
      <c r="E184" s="65" t="s">
        <v>780</v>
      </c>
      <c r="F184" s="53">
        <f>IFERROR(VLOOKUP(E184,Fornecedores!$A$2:$B$2700,2,FALSE),"")</f>
        <v>2</v>
      </c>
      <c r="G184" s="52" t="s">
        <v>161</v>
      </c>
      <c r="H184" s="57"/>
      <c r="I184" s="55">
        <f t="shared" si="77"/>
        <v>3</v>
      </c>
      <c r="J184" s="55">
        <v>3</v>
      </c>
      <c r="K184" s="55">
        <v>0</v>
      </c>
      <c r="L184" s="55">
        <v>0</v>
      </c>
      <c r="M184" s="55">
        <v>0</v>
      </c>
      <c r="N184" s="55">
        <f t="shared" si="78"/>
        <v>4</v>
      </c>
      <c r="O184" s="55">
        <v>3</v>
      </c>
      <c r="P184" s="55">
        <v>1</v>
      </c>
      <c r="Q184" s="55">
        <v>0</v>
      </c>
      <c r="R184" s="55">
        <f t="shared" si="79"/>
        <v>4</v>
      </c>
      <c r="S184" s="55">
        <v>4</v>
      </c>
      <c r="T184" s="55">
        <v>0</v>
      </c>
      <c r="U184" s="55">
        <v>0</v>
      </c>
      <c r="V184" s="55">
        <v>3</v>
      </c>
      <c r="W184" s="53">
        <v>2</v>
      </c>
      <c r="X184" s="53">
        <v>0</v>
      </c>
      <c r="Y184" s="55">
        <v>1</v>
      </c>
      <c r="Z184" s="55">
        <v>2</v>
      </c>
      <c r="AA184" s="53">
        <v>2</v>
      </c>
      <c r="AB184" s="53">
        <v>0</v>
      </c>
      <c r="AC184" s="55">
        <v>0</v>
      </c>
      <c r="AD184" s="55">
        <f t="shared" si="80"/>
        <v>7</v>
      </c>
      <c r="AE184" s="53">
        <v>5</v>
      </c>
      <c r="AF184" s="55">
        <v>0</v>
      </c>
      <c r="AG184" s="55">
        <v>2</v>
      </c>
      <c r="AH184" s="55">
        <f t="shared" si="88"/>
        <v>1</v>
      </c>
      <c r="AI184" s="55">
        <v>0</v>
      </c>
      <c r="AJ184" s="55">
        <v>0</v>
      </c>
      <c r="AK184" s="55">
        <v>1</v>
      </c>
      <c r="AL184" s="55">
        <f t="shared" si="86"/>
        <v>1</v>
      </c>
      <c r="AM184" s="55">
        <v>1</v>
      </c>
      <c r="AN184" s="55">
        <v>0</v>
      </c>
      <c r="AO184" s="55">
        <v>0</v>
      </c>
      <c r="AP184" s="55">
        <f t="shared" si="75"/>
        <v>5</v>
      </c>
      <c r="AQ184" s="55">
        <f>IFERROR(VLOOKUP(A184,[1]SIIMPLES!$A$2:$F$418,6,FALSE),0)</f>
        <v>5</v>
      </c>
      <c r="AR184" s="55">
        <v>0</v>
      </c>
      <c r="AS184" s="55">
        <v>4</v>
      </c>
      <c r="AT184" s="55">
        <v>4</v>
      </c>
      <c r="AU184" s="55">
        <v>0</v>
      </c>
      <c r="AV184" s="55">
        <v>0</v>
      </c>
      <c r="AW184" s="55"/>
      <c r="AX184" s="55"/>
      <c r="AY184" s="56">
        <f t="shared" si="82"/>
        <v>3.4</v>
      </c>
      <c r="AZ184" s="55"/>
      <c r="BA184" s="56">
        <v>9.1666666666666661</v>
      </c>
      <c r="BB184" s="41">
        <f t="shared" si="89"/>
        <v>-0.62909090909090915</v>
      </c>
      <c r="BC184" s="13"/>
      <c r="BD184" s="35"/>
      <c r="BE184" s="13"/>
      <c r="BF184" s="16"/>
      <c r="BG184" s="17">
        <f t="shared" si="90"/>
        <v>0</v>
      </c>
      <c r="BH184" s="16">
        <f t="shared" si="91"/>
        <v>3.4</v>
      </c>
    </row>
    <row r="185" spans="1:60" s="21" customFormat="1" ht="12.75" customHeight="1" x14ac:dyDescent="0.2">
      <c r="A185" s="51">
        <v>226106</v>
      </c>
      <c r="B185" s="51"/>
      <c r="C185" s="66" t="s">
        <v>1803</v>
      </c>
      <c r="D185" s="65" t="s">
        <v>1478</v>
      </c>
      <c r="E185" s="67" t="s">
        <v>727</v>
      </c>
      <c r="F185" s="53">
        <f>IFERROR(VLOOKUP(E185,Fornecedores!$A$2:$B$2700,2,FALSE),"")</f>
        <v>1</v>
      </c>
      <c r="G185" s="52" t="s">
        <v>1770</v>
      </c>
      <c r="H185" s="54"/>
      <c r="I185" s="55">
        <f t="shared" si="77"/>
        <v>2</v>
      </c>
      <c r="J185" s="55">
        <v>2</v>
      </c>
      <c r="K185" s="55">
        <v>0</v>
      </c>
      <c r="L185" s="55">
        <v>0</v>
      </c>
      <c r="M185" s="55">
        <v>0</v>
      </c>
      <c r="N185" s="55">
        <f t="shared" si="78"/>
        <v>6</v>
      </c>
      <c r="O185" s="55">
        <v>6</v>
      </c>
      <c r="P185" s="55">
        <v>0</v>
      </c>
      <c r="Q185" s="55">
        <v>0</v>
      </c>
      <c r="R185" s="55">
        <f t="shared" si="79"/>
        <v>12</v>
      </c>
      <c r="S185" s="55">
        <v>12</v>
      </c>
      <c r="T185" s="55">
        <v>0</v>
      </c>
      <c r="U185" s="55">
        <v>0</v>
      </c>
      <c r="V185" s="55">
        <v>2</v>
      </c>
      <c r="W185" s="53">
        <v>2</v>
      </c>
      <c r="X185" s="53">
        <v>0</v>
      </c>
      <c r="Y185" s="55">
        <v>0</v>
      </c>
      <c r="Z185" s="55">
        <v>3</v>
      </c>
      <c r="AA185" s="53">
        <v>3</v>
      </c>
      <c r="AB185" s="53">
        <v>0</v>
      </c>
      <c r="AC185" s="55">
        <v>0</v>
      </c>
      <c r="AD185" s="55">
        <f t="shared" si="80"/>
        <v>1</v>
      </c>
      <c r="AE185" s="53">
        <v>1</v>
      </c>
      <c r="AF185" s="55">
        <v>0</v>
      </c>
      <c r="AG185" s="55">
        <v>0</v>
      </c>
      <c r="AH185" s="55">
        <f t="shared" si="88"/>
        <v>1</v>
      </c>
      <c r="AI185" s="55">
        <v>1</v>
      </c>
      <c r="AJ185" s="55">
        <v>0</v>
      </c>
      <c r="AK185" s="55">
        <v>0</v>
      </c>
      <c r="AL185" s="55">
        <f t="shared" si="86"/>
        <v>4</v>
      </c>
      <c r="AM185" s="55">
        <v>4</v>
      </c>
      <c r="AN185" s="55">
        <v>0</v>
      </c>
      <c r="AO185" s="55">
        <v>0</v>
      </c>
      <c r="AP185" s="55">
        <f t="shared" si="75"/>
        <v>5</v>
      </c>
      <c r="AQ185" s="55">
        <f>IFERROR(VLOOKUP(A185,[1]SIIMPLES!$A$2:$F$418,6,FALSE),0)</f>
        <v>5</v>
      </c>
      <c r="AR185" s="55">
        <v>0</v>
      </c>
      <c r="AS185" s="55">
        <v>10</v>
      </c>
      <c r="AT185" s="55">
        <v>10</v>
      </c>
      <c r="AU185" s="55">
        <v>0</v>
      </c>
      <c r="AV185" s="55">
        <v>0</v>
      </c>
      <c r="AW185" s="55"/>
      <c r="AX185" s="55"/>
      <c r="AY185" s="56">
        <f t="shared" si="82"/>
        <v>4.5999999999999996</v>
      </c>
      <c r="AZ185" s="55"/>
      <c r="BA185" s="56">
        <v>0.33333333333333331</v>
      </c>
      <c r="BB185" s="41">
        <f t="shared" si="89"/>
        <v>12.799999999999999</v>
      </c>
      <c r="BC185" s="13"/>
      <c r="BD185" s="35"/>
      <c r="BE185" s="13"/>
      <c r="BF185" s="16"/>
      <c r="BG185" s="17">
        <f t="shared" si="90"/>
        <v>0</v>
      </c>
      <c r="BH185" s="16">
        <f t="shared" si="91"/>
        <v>13.799999999999999</v>
      </c>
    </row>
    <row r="186" spans="1:60" s="21" customFormat="1" ht="12.75" customHeight="1" x14ac:dyDescent="0.2">
      <c r="A186" s="51">
        <v>227200</v>
      </c>
      <c r="B186" s="51" t="s">
        <v>1077</v>
      </c>
      <c r="C186" s="66" t="s">
        <v>1803</v>
      </c>
      <c r="D186" s="65" t="s">
        <v>726</v>
      </c>
      <c r="E186" s="67" t="s">
        <v>727</v>
      </c>
      <c r="F186" s="53">
        <f>IFERROR(VLOOKUP(E186,Fornecedores!$A$2:$B$2700,2,FALSE),"")</f>
        <v>1</v>
      </c>
      <c r="G186" s="52" t="s">
        <v>503</v>
      </c>
      <c r="H186" s="54"/>
      <c r="I186" s="55">
        <f t="shared" si="77"/>
        <v>14</v>
      </c>
      <c r="J186" s="55">
        <v>14</v>
      </c>
      <c r="K186" s="55">
        <v>0</v>
      </c>
      <c r="L186" s="55">
        <v>0</v>
      </c>
      <c r="M186" s="55">
        <v>0</v>
      </c>
      <c r="N186" s="55">
        <f t="shared" si="78"/>
        <v>11</v>
      </c>
      <c r="O186" s="55">
        <v>11</v>
      </c>
      <c r="P186" s="55">
        <v>0</v>
      </c>
      <c r="Q186" s="55">
        <v>0</v>
      </c>
      <c r="R186" s="55">
        <f t="shared" si="79"/>
        <v>5</v>
      </c>
      <c r="S186" s="55">
        <v>5</v>
      </c>
      <c r="T186" s="55">
        <v>0</v>
      </c>
      <c r="U186" s="55">
        <v>0</v>
      </c>
      <c r="V186" s="55">
        <v>9</v>
      </c>
      <c r="W186" s="53">
        <v>9</v>
      </c>
      <c r="X186" s="53">
        <v>0</v>
      </c>
      <c r="Y186" s="55">
        <v>0</v>
      </c>
      <c r="Z186" s="55">
        <v>7</v>
      </c>
      <c r="AA186" s="53">
        <v>7</v>
      </c>
      <c r="AB186" s="53">
        <v>0</v>
      </c>
      <c r="AC186" s="55">
        <v>0</v>
      </c>
      <c r="AD186" s="55">
        <f t="shared" si="80"/>
        <v>4</v>
      </c>
      <c r="AE186" s="53">
        <v>4</v>
      </c>
      <c r="AF186" s="55">
        <v>0</v>
      </c>
      <c r="AG186" s="55">
        <v>0</v>
      </c>
      <c r="AH186" s="55">
        <f t="shared" si="88"/>
        <v>4</v>
      </c>
      <c r="AI186" s="55">
        <v>4</v>
      </c>
      <c r="AJ186" s="55">
        <v>0</v>
      </c>
      <c r="AK186" s="55">
        <v>0</v>
      </c>
      <c r="AL186" s="55">
        <f t="shared" si="86"/>
        <v>3</v>
      </c>
      <c r="AM186" s="55">
        <v>3</v>
      </c>
      <c r="AN186" s="55">
        <v>0</v>
      </c>
      <c r="AO186" s="55">
        <v>0</v>
      </c>
      <c r="AP186" s="55">
        <f t="shared" si="75"/>
        <v>5</v>
      </c>
      <c r="AQ186" s="55">
        <f>IFERROR(VLOOKUP(A186,[1]SIIMPLES!$A$2:$F$418,6,FALSE),0)</f>
        <v>5</v>
      </c>
      <c r="AR186" s="55">
        <v>0</v>
      </c>
      <c r="AS186" s="55">
        <v>5</v>
      </c>
      <c r="AT186" s="55">
        <v>5</v>
      </c>
      <c r="AU186" s="55">
        <v>0</v>
      </c>
      <c r="AV186" s="55">
        <v>0</v>
      </c>
      <c r="AW186" s="55"/>
      <c r="AX186" s="55"/>
      <c r="AY186" s="56">
        <f t="shared" si="82"/>
        <v>6.7</v>
      </c>
      <c r="AZ186" s="55"/>
      <c r="BA186" s="56">
        <v>4.666666666666667</v>
      </c>
      <c r="BB186" s="41">
        <f t="shared" si="89"/>
        <v>0.43571428571428572</v>
      </c>
      <c r="BC186" s="13"/>
      <c r="BD186" s="35"/>
      <c r="BE186" s="13"/>
      <c r="BF186" s="16"/>
      <c r="BG186" s="17">
        <f t="shared" si="90"/>
        <v>0</v>
      </c>
      <c r="BH186" s="16">
        <f t="shared" si="91"/>
        <v>20.100000000000001</v>
      </c>
    </row>
    <row r="187" spans="1:60" s="21" customFormat="1" ht="12.75" customHeight="1" x14ac:dyDescent="0.2">
      <c r="A187" s="51">
        <v>552012</v>
      </c>
      <c r="B187" s="51" t="s">
        <v>1077</v>
      </c>
      <c r="C187" s="66" t="s">
        <v>1803</v>
      </c>
      <c r="D187" s="52" t="s">
        <v>728</v>
      </c>
      <c r="E187" s="65" t="s">
        <v>780</v>
      </c>
      <c r="F187" s="53">
        <f>IFERROR(VLOOKUP(E187,Fornecedores!$A$2:$B$2700,2,FALSE),"")</f>
        <v>2</v>
      </c>
      <c r="G187" s="52" t="s">
        <v>24</v>
      </c>
      <c r="H187" s="57"/>
      <c r="I187" s="55">
        <f t="shared" si="77"/>
        <v>0</v>
      </c>
      <c r="J187" s="55">
        <v>0</v>
      </c>
      <c r="K187" s="55">
        <v>0</v>
      </c>
      <c r="L187" s="55">
        <v>0</v>
      </c>
      <c r="M187" s="55">
        <v>0</v>
      </c>
      <c r="N187" s="55">
        <f t="shared" si="78"/>
        <v>0</v>
      </c>
      <c r="O187" s="55">
        <v>0</v>
      </c>
      <c r="P187" s="55">
        <v>0</v>
      </c>
      <c r="Q187" s="55">
        <v>0</v>
      </c>
      <c r="R187" s="55">
        <f t="shared" si="79"/>
        <v>1</v>
      </c>
      <c r="S187" s="55">
        <v>1</v>
      </c>
      <c r="T187" s="55">
        <v>0</v>
      </c>
      <c r="U187" s="55">
        <v>0</v>
      </c>
      <c r="V187" s="55">
        <v>0</v>
      </c>
      <c r="W187" s="53">
        <v>0</v>
      </c>
      <c r="X187" s="53">
        <v>0</v>
      </c>
      <c r="Y187" s="55">
        <v>0</v>
      </c>
      <c r="Z187" s="55">
        <v>1</v>
      </c>
      <c r="AA187" s="53">
        <v>1</v>
      </c>
      <c r="AB187" s="53">
        <v>0</v>
      </c>
      <c r="AC187" s="55">
        <v>0</v>
      </c>
      <c r="AD187" s="55">
        <f t="shared" si="80"/>
        <v>0</v>
      </c>
      <c r="AE187" s="53">
        <v>0</v>
      </c>
      <c r="AF187" s="55">
        <v>0</v>
      </c>
      <c r="AG187" s="55">
        <v>0</v>
      </c>
      <c r="AH187" s="55">
        <f t="shared" si="88"/>
        <v>1</v>
      </c>
      <c r="AI187" s="55">
        <v>1</v>
      </c>
      <c r="AJ187" s="55">
        <v>0</v>
      </c>
      <c r="AK187" s="55">
        <v>0</v>
      </c>
      <c r="AL187" s="55">
        <f t="shared" si="86"/>
        <v>3</v>
      </c>
      <c r="AM187" s="55">
        <v>2</v>
      </c>
      <c r="AN187" s="55">
        <v>0</v>
      </c>
      <c r="AO187" s="55">
        <v>1</v>
      </c>
      <c r="AP187" s="55">
        <f t="shared" si="75"/>
        <v>5</v>
      </c>
      <c r="AQ187" s="55">
        <f>IFERROR(VLOOKUP(A187,[1]SIIMPLES!$A$2:$F$418,6,FALSE),0)</f>
        <v>4</v>
      </c>
      <c r="AR187" s="55">
        <v>1</v>
      </c>
      <c r="AS187" s="55">
        <v>14</v>
      </c>
      <c r="AT187" s="55">
        <v>7</v>
      </c>
      <c r="AU187" s="55">
        <v>7</v>
      </c>
      <c r="AV187" s="55">
        <v>0</v>
      </c>
      <c r="AW187" s="55"/>
      <c r="AX187" s="55"/>
      <c r="AY187" s="56">
        <f t="shared" si="82"/>
        <v>2.5</v>
      </c>
      <c r="AZ187" s="55"/>
      <c r="BA187" s="56">
        <v>0</v>
      </c>
      <c r="BB187" s="41" t="str">
        <f t="shared" si="89"/>
        <v/>
      </c>
      <c r="BC187" s="7"/>
      <c r="BD187" s="35"/>
      <c r="BE187" s="13"/>
      <c r="BF187" s="16"/>
      <c r="BG187" s="17">
        <f t="shared" si="90"/>
        <v>0</v>
      </c>
      <c r="BH187" s="16">
        <f t="shared" si="91"/>
        <v>2.5</v>
      </c>
    </row>
    <row r="188" spans="1:60" s="21" customFormat="1" ht="12.75" customHeight="1" x14ac:dyDescent="0.2">
      <c r="A188" s="51">
        <v>552013</v>
      </c>
      <c r="B188" s="51" t="s">
        <v>1077</v>
      </c>
      <c r="C188" s="66" t="s">
        <v>1803</v>
      </c>
      <c r="D188" s="52" t="s">
        <v>728</v>
      </c>
      <c r="E188" s="65" t="s">
        <v>780</v>
      </c>
      <c r="F188" s="53">
        <f>IFERROR(VLOOKUP(E188,Fornecedores!$A$2:$B$2700,2,FALSE),"")</f>
        <v>2</v>
      </c>
      <c r="G188" s="52" t="s">
        <v>718</v>
      </c>
      <c r="H188" s="57"/>
      <c r="I188" s="55">
        <f t="shared" si="77"/>
        <v>0</v>
      </c>
      <c r="J188" s="55">
        <v>0</v>
      </c>
      <c r="K188" s="55">
        <v>0</v>
      </c>
      <c r="L188" s="55">
        <v>0</v>
      </c>
      <c r="M188" s="55">
        <v>0</v>
      </c>
      <c r="N188" s="55">
        <f t="shared" si="78"/>
        <v>0</v>
      </c>
      <c r="O188" s="55">
        <v>0</v>
      </c>
      <c r="P188" s="55">
        <v>0</v>
      </c>
      <c r="Q188" s="55">
        <v>0</v>
      </c>
      <c r="R188" s="55">
        <f t="shared" si="79"/>
        <v>0</v>
      </c>
      <c r="S188" s="55">
        <v>0</v>
      </c>
      <c r="T188" s="55">
        <v>0</v>
      </c>
      <c r="U188" s="55">
        <v>0</v>
      </c>
      <c r="V188" s="55">
        <v>0</v>
      </c>
      <c r="W188" s="53">
        <v>0</v>
      </c>
      <c r="X188" s="53">
        <v>0</v>
      </c>
      <c r="Y188" s="55">
        <v>0</v>
      </c>
      <c r="Z188" s="55">
        <v>1</v>
      </c>
      <c r="AA188" s="53">
        <v>1</v>
      </c>
      <c r="AB188" s="53">
        <v>0</v>
      </c>
      <c r="AC188" s="55">
        <v>0</v>
      </c>
      <c r="AD188" s="55">
        <f t="shared" si="80"/>
        <v>1</v>
      </c>
      <c r="AE188" s="53">
        <v>1</v>
      </c>
      <c r="AF188" s="55">
        <v>0</v>
      </c>
      <c r="AG188" s="55">
        <v>0</v>
      </c>
      <c r="AH188" s="55">
        <f t="shared" si="88"/>
        <v>1</v>
      </c>
      <c r="AI188" s="55">
        <v>1</v>
      </c>
      <c r="AJ188" s="55">
        <v>0</v>
      </c>
      <c r="AK188" s="55">
        <v>0</v>
      </c>
      <c r="AL188" s="55">
        <f t="shared" si="86"/>
        <v>1</v>
      </c>
      <c r="AM188" s="55" t="s">
        <v>1912</v>
      </c>
      <c r="AN188" s="55">
        <v>0</v>
      </c>
      <c r="AO188" s="55">
        <v>1</v>
      </c>
      <c r="AP188" s="55">
        <f t="shared" si="75"/>
        <v>5</v>
      </c>
      <c r="AQ188" s="55">
        <f>IFERROR(VLOOKUP(A188,[1]SIIMPLES!$A$2:$F$418,6,FALSE),0)</f>
        <v>4</v>
      </c>
      <c r="AR188" s="55">
        <v>1</v>
      </c>
      <c r="AS188" s="55">
        <v>8</v>
      </c>
      <c r="AT188" s="55">
        <v>1</v>
      </c>
      <c r="AU188" s="55">
        <v>7</v>
      </c>
      <c r="AV188" s="55">
        <v>0</v>
      </c>
      <c r="AW188" s="55"/>
      <c r="AX188" s="55"/>
      <c r="AY188" s="56">
        <f t="shared" si="82"/>
        <v>1.7</v>
      </c>
      <c r="AZ188" s="55"/>
      <c r="BA188" s="56">
        <v>0.5</v>
      </c>
      <c r="BB188" s="41">
        <f t="shared" si="89"/>
        <v>2.4</v>
      </c>
      <c r="BC188" s="13"/>
      <c r="BD188" s="35"/>
      <c r="BE188" s="13"/>
      <c r="BF188" s="16"/>
      <c r="BG188" s="17">
        <f t="shared" si="90"/>
        <v>0</v>
      </c>
      <c r="BH188" s="16">
        <v>4</v>
      </c>
    </row>
    <row r="189" spans="1:60" s="21" customFormat="1" ht="12.75" customHeight="1" x14ac:dyDescent="0.2">
      <c r="A189" s="51" t="s">
        <v>287</v>
      </c>
      <c r="B189" s="51"/>
      <c r="C189" s="66" t="s">
        <v>1803</v>
      </c>
      <c r="D189" s="65" t="s">
        <v>737</v>
      </c>
      <c r="E189" s="67" t="s">
        <v>727</v>
      </c>
      <c r="F189" s="53">
        <f>IFERROR(VLOOKUP(E189,Fornecedores!$A$2:$B$2700,2,FALSE),"")</f>
        <v>1</v>
      </c>
      <c r="G189" s="52" t="s">
        <v>288</v>
      </c>
      <c r="H189" s="54"/>
      <c r="I189" s="55">
        <f t="shared" si="77"/>
        <v>3</v>
      </c>
      <c r="J189" s="55">
        <v>3</v>
      </c>
      <c r="K189" s="55">
        <v>0</v>
      </c>
      <c r="L189" s="55">
        <v>0</v>
      </c>
      <c r="M189" s="55">
        <v>0</v>
      </c>
      <c r="N189" s="55">
        <f t="shared" si="78"/>
        <v>4</v>
      </c>
      <c r="O189" s="55">
        <v>4</v>
      </c>
      <c r="P189" s="55">
        <v>0</v>
      </c>
      <c r="Q189" s="55">
        <v>0</v>
      </c>
      <c r="R189" s="55">
        <f t="shared" si="79"/>
        <v>2</v>
      </c>
      <c r="S189" s="55">
        <v>2</v>
      </c>
      <c r="T189" s="55">
        <v>0</v>
      </c>
      <c r="U189" s="55">
        <v>0</v>
      </c>
      <c r="V189" s="55">
        <v>11</v>
      </c>
      <c r="W189" s="53">
        <v>11</v>
      </c>
      <c r="X189" s="53">
        <v>0</v>
      </c>
      <c r="Y189" s="55">
        <v>0</v>
      </c>
      <c r="Z189" s="55">
        <v>7</v>
      </c>
      <c r="AA189" s="53">
        <v>7</v>
      </c>
      <c r="AB189" s="53">
        <v>0</v>
      </c>
      <c r="AC189" s="55">
        <v>0</v>
      </c>
      <c r="AD189" s="55">
        <f t="shared" si="80"/>
        <v>4</v>
      </c>
      <c r="AE189" s="53">
        <v>4</v>
      </c>
      <c r="AF189" s="55">
        <v>0</v>
      </c>
      <c r="AG189" s="55">
        <v>0</v>
      </c>
      <c r="AH189" s="55">
        <f t="shared" si="88"/>
        <v>1</v>
      </c>
      <c r="AI189" s="55">
        <v>1</v>
      </c>
      <c r="AJ189" s="55">
        <v>0</v>
      </c>
      <c r="AK189" s="55">
        <v>0</v>
      </c>
      <c r="AL189" s="55">
        <f t="shared" si="86"/>
        <v>11</v>
      </c>
      <c r="AM189" s="55">
        <v>1</v>
      </c>
      <c r="AN189" s="55">
        <v>0</v>
      </c>
      <c r="AO189" s="55">
        <v>10</v>
      </c>
      <c r="AP189" s="55">
        <f t="shared" si="75"/>
        <v>5</v>
      </c>
      <c r="AQ189" s="55">
        <f>IFERROR(VLOOKUP(A189,[1]SIIMPLES!$A$2:$F$418,6,FALSE),0)</f>
        <v>5</v>
      </c>
      <c r="AR189" s="55">
        <v>0</v>
      </c>
      <c r="AS189" s="55">
        <v>0</v>
      </c>
      <c r="AT189" s="55">
        <v>0</v>
      </c>
      <c r="AU189" s="55">
        <v>0</v>
      </c>
      <c r="AV189" s="55">
        <v>0</v>
      </c>
      <c r="AW189" s="55"/>
      <c r="AX189" s="55"/>
      <c r="AY189" s="56">
        <f t="shared" si="82"/>
        <v>4.8</v>
      </c>
      <c r="AZ189" s="55"/>
      <c r="BA189" s="56">
        <v>0</v>
      </c>
      <c r="BB189" s="41" t="str">
        <f t="shared" si="89"/>
        <v/>
      </c>
      <c r="BC189" s="13"/>
      <c r="BD189" s="36"/>
      <c r="BE189" s="7"/>
      <c r="BF189" s="16"/>
      <c r="BG189" s="17">
        <f t="shared" si="90"/>
        <v>0</v>
      </c>
      <c r="BH189" s="7"/>
    </row>
    <row r="190" spans="1:60" s="21" customFormat="1" ht="12.75" customHeight="1" x14ac:dyDescent="0.2">
      <c r="A190" s="51" t="s">
        <v>237</v>
      </c>
      <c r="B190" s="51"/>
      <c r="C190" s="66" t="s">
        <v>1803</v>
      </c>
      <c r="D190" s="52" t="s">
        <v>763</v>
      </c>
      <c r="E190" s="52" t="s">
        <v>780</v>
      </c>
      <c r="F190" s="53">
        <f>IFERROR(VLOOKUP(E190,Fornecedores!$A$2:$B$2700,2,FALSE),"")</f>
        <v>2</v>
      </c>
      <c r="G190" s="52" t="s">
        <v>238</v>
      </c>
      <c r="H190" s="54"/>
      <c r="I190" s="55">
        <f t="shared" si="77"/>
        <v>0</v>
      </c>
      <c r="J190" s="55">
        <v>0</v>
      </c>
      <c r="K190" s="55">
        <v>0</v>
      </c>
      <c r="L190" s="55">
        <v>0</v>
      </c>
      <c r="M190" s="55">
        <v>0</v>
      </c>
      <c r="N190" s="55">
        <f t="shared" si="78"/>
        <v>2</v>
      </c>
      <c r="O190" s="55">
        <v>2</v>
      </c>
      <c r="P190" s="55">
        <v>0</v>
      </c>
      <c r="Q190" s="55">
        <v>0</v>
      </c>
      <c r="R190" s="55">
        <f t="shared" si="79"/>
        <v>2</v>
      </c>
      <c r="S190" s="55">
        <v>2</v>
      </c>
      <c r="T190" s="55">
        <v>0</v>
      </c>
      <c r="U190" s="55">
        <v>0</v>
      </c>
      <c r="V190" s="55">
        <v>2</v>
      </c>
      <c r="W190" s="53">
        <v>2</v>
      </c>
      <c r="X190" s="53">
        <v>0</v>
      </c>
      <c r="Y190" s="55">
        <v>0</v>
      </c>
      <c r="Z190" s="55">
        <v>0</v>
      </c>
      <c r="AA190" s="53">
        <v>0</v>
      </c>
      <c r="AB190" s="53">
        <v>0</v>
      </c>
      <c r="AC190" s="55">
        <v>0</v>
      </c>
      <c r="AD190" s="55">
        <f t="shared" si="80"/>
        <v>0</v>
      </c>
      <c r="AE190" s="53">
        <v>0</v>
      </c>
      <c r="AF190" s="55">
        <v>0</v>
      </c>
      <c r="AG190" s="55">
        <v>0</v>
      </c>
      <c r="AH190" s="55">
        <f t="shared" si="88"/>
        <v>2</v>
      </c>
      <c r="AI190" s="55">
        <v>2</v>
      </c>
      <c r="AJ190" s="55">
        <v>0</v>
      </c>
      <c r="AK190" s="55">
        <v>0</v>
      </c>
      <c r="AL190" s="55">
        <f t="shared" si="86"/>
        <v>0</v>
      </c>
      <c r="AM190" s="55" t="s">
        <v>1912</v>
      </c>
      <c r="AN190" s="55">
        <v>0</v>
      </c>
      <c r="AO190" s="55">
        <v>0</v>
      </c>
      <c r="AP190" s="55">
        <f t="shared" si="75"/>
        <v>5</v>
      </c>
      <c r="AQ190" s="55">
        <f>IFERROR(VLOOKUP(A190,[1]SIIMPLES!$A$2:$F$418,6,FALSE),0)</f>
        <v>5</v>
      </c>
      <c r="AR190" s="55">
        <v>0</v>
      </c>
      <c r="AS190" s="55">
        <v>2</v>
      </c>
      <c r="AT190" s="55">
        <v>2</v>
      </c>
      <c r="AU190" s="55">
        <v>0</v>
      </c>
      <c r="AV190" s="55">
        <v>0</v>
      </c>
      <c r="AW190" s="55"/>
      <c r="AX190" s="55"/>
      <c r="AY190" s="56">
        <f t="shared" si="82"/>
        <v>1.5</v>
      </c>
      <c r="AZ190" s="55"/>
      <c r="BA190" s="56">
        <v>0.33333333333333331</v>
      </c>
      <c r="BB190" s="41">
        <f t="shared" si="89"/>
        <v>3.5</v>
      </c>
      <c r="BC190" s="13"/>
      <c r="BD190" s="35"/>
      <c r="BE190" s="13"/>
      <c r="BF190" s="16">
        <f>SUM(BC190:BE190)</f>
        <v>0</v>
      </c>
      <c r="BG190" s="17">
        <f t="shared" si="90"/>
        <v>0</v>
      </c>
      <c r="BH190" s="16">
        <f>IFERROR(IF(F190=1,IF(BC190&lt;AY190*3,AY190*3-BC190,0),IF(BC190&lt;AY190,AY190-BC190,0)),"")</f>
        <v>1.5</v>
      </c>
    </row>
    <row r="191" spans="1:60" s="21" customFormat="1" ht="12.75" customHeight="1" x14ac:dyDescent="0.2">
      <c r="A191" s="51" t="s">
        <v>1258</v>
      </c>
      <c r="B191" s="51"/>
      <c r="C191" s="66" t="s">
        <v>1803</v>
      </c>
      <c r="D191" s="65" t="s">
        <v>731</v>
      </c>
      <c r="E191" s="52" t="s">
        <v>730</v>
      </c>
      <c r="F191" s="53">
        <f>IFERROR(VLOOKUP(E191,Fornecedores!$A$2:$B$2700,2,FALSE),"")</f>
        <v>3</v>
      </c>
      <c r="G191" s="52" t="s">
        <v>1571</v>
      </c>
      <c r="H191" s="57"/>
      <c r="I191" s="55">
        <f t="shared" si="77"/>
        <v>5</v>
      </c>
      <c r="J191" s="55">
        <v>5</v>
      </c>
      <c r="K191" s="55">
        <v>0</v>
      </c>
      <c r="L191" s="55">
        <v>0</v>
      </c>
      <c r="M191" s="55">
        <v>0</v>
      </c>
      <c r="N191" s="55">
        <f t="shared" si="78"/>
        <v>0</v>
      </c>
      <c r="O191" s="55">
        <v>0</v>
      </c>
      <c r="P191" s="55">
        <v>0</v>
      </c>
      <c r="Q191" s="55">
        <v>0</v>
      </c>
      <c r="R191" s="55">
        <f t="shared" si="79"/>
        <v>2</v>
      </c>
      <c r="S191" s="55">
        <v>2</v>
      </c>
      <c r="T191" s="55">
        <v>0</v>
      </c>
      <c r="U191" s="55">
        <v>0</v>
      </c>
      <c r="V191" s="55">
        <v>5</v>
      </c>
      <c r="W191" s="53">
        <v>5</v>
      </c>
      <c r="X191" s="53">
        <v>0</v>
      </c>
      <c r="Y191" s="55">
        <v>0</v>
      </c>
      <c r="Z191" s="55">
        <v>4</v>
      </c>
      <c r="AA191" s="53">
        <v>4</v>
      </c>
      <c r="AB191" s="53">
        <v>0</v>
      </c>
      <c r="AC191" s="55">
        <v>0</v>
      </c>
      <c r="AD191" s="55">
        <f t="shared" si="80"/>
        <v>5</v>
      </c>
      <c r="AE191" s="53">
        <v>5</v>
      </c>
      <c r="AF191" s="55">
        <v>0</v>
      </c>
      <c r="AG191" s="55">
        <v>0</v>
      </c>
      <c r="AH191" s="55">
        <f t="shared" si="88"/>
        <v>5</v>
      </c>
      <c r="AI191" s="55">
        <v>5</v>
      </c>
      <c r="AJ191" s="55">
        <v>0</v>
      </c>
      <c r="AK191" s="55">
        <v>0</v>
      </c>
      <c r="AL191" s="55">
        <f t="shared" si="86"/>
        <v>9</v>
      </c>
      <c r="AM191" s="55">
        <v>9</v>
      </c>
      <c r="AN191" s="55">
        <v>0</v>
      </c>
      <c r="AO191" s="55">
        <v>0</v>
      </c>
      <c r="AP191" s="55">
        <f t="shared" si="75"/>
        <v>5</v>
      </c>
      <c r="AQ191" s="55">
        <f>IFERROR(VLOOKUP(A191,[1]SIIMPLES!$A$2:$F$418,6,FALSE),0)</f>
        <v>5</v>
      </c>
      <c r="AR191" s="55">
        <v>0</v>
      </c>
      <c r="AS191" s="55">
        <v>0</v>
      </c>
      <c r="AT191" s="55">
        <v>0</v>
      </c>
      <c r="AU191" s="55">
        <v>0</v>
      </c>
      <c r="AV191" s="55">
        <v>0</v>
      </c>
      <c r="AW191" s="55"/>
      <c r="AX191" s="55"/>
      <c r="AY191" s="56">
        <f t="shared" si="82"/>
        <v>4</v>
      </c>
      <c r="AZ191" s="55"/>
      <c r="BA191" s="56">
        <v>0.5</v>
      </c>
      <c r="BB191" s="41">
        <f t="shared" si="89"/>
        <v>7</v>
      </c>
      <c r="BC191" s="13"/>
      <c r="BD191" s="35"/>
      <c r="BE191" s="13"/>
      <c r="BF191" s="16"/>
      <c r="BG191" s="17">
        <f t="shared" si="90"/>
        <v>0</v>
      </c>
      <c r="BH191" s="16">
        <f>IFERROR(IF(F191=1,IF(BC191&lt;AY191*3,AY191*3-BC191,0),IF(BC191&lt;AY191,AY191-BC191,0)),"")</f>
        <v>4</v>
      </c>
    </row>
    <row r="192" spans="1:60" s="21" customFormat="1" ht="12.75" customHeight="1" x14ac:dyDescent="0.2">
      <c r="A192" s="82" t="s">
        <v>1983</v>
      </c>
      <c r="B192" s="28"/>
      <c r="C192" s="28" t="s">
        <v>1851</v>
      </c>
      <c r="D192" s="83" t="s">
        <v>1761</v>
      </c>
      <c r="E192" s="83" t="s">
        <v>2025</v>
      </c>
      <c r="F192" s="84"/>
      <c r="G192" s="85" t="s">
        <v>2035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3">
        <f t="shared" si="88"/>
        <v>20</v>
      </c>
      <c r="AI192" s="7"/>
      <c r="AJ192" s="7"/>
      <c r="AK192" s="55">
        <v>20</v>
      </c>
      <c r="AL192" s="55">
        <f t="shared" si="86"/>
        <v>4</v>
      </c>
      <c r="AM192" s="55" t="s">
        <v>1912</v>
      </c>
      <c r="AN192" s="55">
        <v>0</v>
      </c>
      <c r="AO192" s="55">
        <v>4</v>
      </c>
      <c r="AP192" s="55">
        <f t="shared" si="75"/>
        <v>5</v>
      </c>
      <c r="AQ192" s="55">
        <f>IFERROR(VLOOKUP(A192,[1]SIIMPLES!$A$2:$F$418,6,FALSE),0)</f>
        <v>5</v>
      </c>
      <c r="AR192" s="55">
        <v>0</v>
      </c>
      <c r="AS192" s="55">
        <v>19</v>
      </c>
      <c r="AT192" s="55">
        <v>0</v>
      </c>
      <c r="AU192" s="55">
        <v>0</v>
      </c>
      <c r="AV192" s="55">
        <v>19</v>
      </c>
      <c r="AW192" s="7"/>
      <c r="AX192" s="7"/>
      <c r="AY192" s="7"/>
      <c r="AZ192" s="7"/>
      <c r="BA192" s="7"/>
      <c r="BB192" s="41" t="str">
        <f t="shared" si="89"/>
        <v/>
      </c>
      <c r="BC192" s="13"/>
      <c r="BD192" s="35"/>
      <c r="BE192" s="13"/>
      <c r="BF192" s="16"/>
      <c r="BG192" s="17" t="str">
        <f t="shared" si="90"/>
        <v>0</v>
      </c>
      <c r="BH192" s="16">
        <f>ROUND(IFERROR(IF(F192=1,IF(BC192&lt;AY192*3,AY192*3-BC192,0),IF(BC192&lt;AY192,AY192*0.6-BC192,0)),""),0)</f>
        <v>0</v>
      </c>
    </row>
    <row r="193" spans="1:60" s="21" customFormat="1" ht="12.75" customHeight="1" x14ac:dyDescent="0.2">
      <c r="A193" s="51" t="s">
        <v>1794</v>
      </c>
      <c r="B193" s="51"/>
      <c r="C193" s="66" t="s">
        <v>1851</v>
      </c>
      <c r="D193" s="52" t="s">
        <v>1273</v>
      </c>
      <c r="E193" s="52" t="str">
        <f>VLOOKUP(A193,[3]CMV!$A$1:$E$1988,5,FALSE)</f>
        <v>POLO</v>
      </c>
      <c r="F193" s="53"/>
      <c r="G193" s="52" t="str">
        <f>VLOOKUP(A193,[2]CMV!$A$1:$F$2043,6,FALSE)</f>
        <v>CABO DA EMBREAGEM PARA MOTO CG125 TITAN KS</v>
      </c>
      <c r="H193" s="57"/>
      <c r="I193" s="55">
        <f>SUM(J193:M193)</f>
        <v>0</v>
      </c>
      <c r="J193" s="55">
        <v>0</v>
      </c>
      <c r="K193" s="55">
        <v>0</v>
      </c>
      <c r="L193" s="55">
        <v>0</v>
      </c>
      <c r="M193" s="55">
        <v>0</v>
      </c>
      <c r="N193" s="55">
        <f>SUM(O193:Q193)</f>
        <v>0</v>
      </c>
      <c r="O193" s="57"/>
      <c r="P193" s="57"/>
      <c r="Q193" s="57"/>
      <c r="R193" s="55">
        <f>SUM(S193:U193)</f>
        <v>0</v>
      </c>
      <c r="S193" s="57"/>
      <c r="T193" s="57"/>
      <c r="U193" s="57"/>
      <c r="V193" s="55">
        <v>2</v>
      </c>
      <c r="W193" s="57"/>
      <c r="X193" s="53">
        <v>0</v>
      </c>
      <c r="Y193" s="55">
        <v>2</v>
      </c>
      <c r="Z193" s="55">
        <v>0</v>
      </c>
      <c r="AA193" s="53">
        <v>0</v>
      </c>
      <c r="AB193" s="53">
        <v>0</v>
      </c>
      <c r="AC193" s="55">
        <v>0</v>
      </c>
      <c r="AD193" s="55">
        <f>SUM(AE193:AG193)</f>
        <v>0</v>
      </c>
      <c r="AE193" s="53">
        <v>0</v>
      </c>
      <c r="AF193" s="55">
        <v>0</v>
      </c>
      <c r="AG193" s="55">
        <v>0</v>
      </c>
      <c r="AH193" s="55">
        <f t="shared" si="88"/>
        <v>0</v>
      </c>
      <c r="AI193" s="55">
        <v>0</v>
      </c>
      <c r="AJ193" s="55">
        <v>0</v>
      </c>
      <c r="AK193" s="55">
        <v>0</v>
      </c>
      <c r="AL193" s="55">
        <f t="shared" ref="AL193:AL195" si="92">SUM(AM193:AO193)</f>
        <v>0</v>
      </c>
      <c r="AM193" s="55" t="s">
        <v>1912</v>
      </c>
      <c r="AN193" s="55">
        <v>0</v>
      </c>
      <c r="AO193" s="55">
        <v>0</v>
      </c>
      <c r="AP193" s="55">
        <f t="shared" si="75"/>
        <v>5</v>
      </c>
      <c r="AQ193" s="55">
        <f>IFERROR(VLOOKUP(A193,[1]SIIMPLES!$A$2:$F$418,6,FALSE),0)</f>
        <v>5</v>
      </c>
      <c r="AR193" s="55">
        <v>0</v>
      </c>
      <c r="AS193" s="55">
        <v>0</v>
      </c>
      <c r="AT193" s="55">
        <v>0</v>
      </c>
      <c r="AU193" s="55">
        <v>0</v>
      </c>
      <c r="AV193" s="55">
        <v>0</v>
      </c>
      <c r="AW193" s="57"/>
      <c r="AX193" s="57"/>
      <c r="AY193" s="56">
        <f>IFERROR(AVERAGE(I193,N193,R193,V193,Z193,AD193,AH193,AL193,AP193,AS193,AW193,AX193),"-")</f>
        <v>0.7</v>
      </c>
      <c r="AZ193" s="57"/>
      <c r="BA193" s="56" t="s">
        <v>1912</v>
      </c>
      <c r="BB193" s="41" t="str">
        <f t="shared" si="89"/>
        <v/>
      </c>
      <c r="BC193" s="10"/>
      <c r="BD193" s="35"/>
      <c r="BE193" s="13"/>
      <c r="BF193" s="16"/>
      <c r="BG193" s="17">
        <f t="shared" si="90"/>
        <v>0</v>
      </c>
      <c r="BH193" s="16">
        <f>IFERROR(IF(F193=1,IF(BC193&lt;AY193*3,AY193*3-BC193,0),IF(BC193&lt;AY193,AY193-BC193,0)),"")</f>
        <v>0.7</v>
      </c>
    </row>
    <row r="194" spans="1:60" s="21" customFormat="1" ht="12.75" customHeight="1" x14ac:dyDescent="0.2">
      <c r="A194" s="82" t="s">
        <v>1982</v>
      </c>
      <c r="B194" s="28"/>
      <c r="C194" s="28" t="s">
        <v>1851</v>
      </c>
      <c r="D194" s="83" t="s">
        <v>2033</v>
      </c>
      <c r="E194" s="83" t="s">
        <v>2017</v>
      </c>
      <c r="F194" s="84"/>
      <c r="G194" s="85" t="s">
        <v>2034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3">
        <f t="shared" si="88"/>
        <v>6</v>
      </c>
      <c r="AI194" s="7"/>
      <c r="AJ194" s="7"/>
      <c r="AK194" s="55">
        <v>6</v>
      </c>
      <c r="AL194" s="55">
        <f t="shared" si="92"/>
        <v>0</v>
      </c>
      <c r="AM194" s="55" t="s">
        <v>1912</v>
      </c>
      <c r="AN194" s="55">
        <v>0</v>
      </c>
      <c r="AO194" s="55">
        <v>0</v>
      </c>
      <c r="AP194" s="55">
        <f t="shared" si="75"/>
        <v>5</v>
      </c>
      <c r="AQ194" s="55">
        <f>IFERROR(VLOOKUP(A194,[1]SIIMPLES!$A$2:$F$418,6,FALSE),0)</f>
        <v>5</v>
      </c>
      <c r="AR194" s="55">
        <v>0</v>
      </c>
      <c r="AS194" s="55">
        <v>0</v>
      </c>
      <c r="AT194" s="55">
        <v>0</v>
      </c>
      <c r="AU194" s="55">
        <v>0</v>
      </c>
      <c r="AV194" s="55">
        <v>0</v>
      </c>
      <c r="AW194" s="7"/>
      <c r="AX194" s="7"/>
      <c r="AY194" s="7"/>
      <c r="AZ194" s="7"/>
      <c r="BA194" s="7"/>
      <c r="BB194" s="41" t="str">
        <f t="shared" si="89"/>
        <v/>
      </c>
      <c r="BC194" s="13"/>
      <c r="BD194" s="35"/>
      <c r="BE194" s="13"/>
      <c r="BF194" s="16">
        <f>SUM(BC194:BE194)</f>
        <v>0</v>
      </c>
      <c r="BG194" s="17" t="str">
        <f t="shared" si="90"/>
        <v>0</v>
      </c>
      <c r="BH194" s="16">
        <f>IFERROR(IF(F194=1,IF(BC194&lt;AY194*3,AY194*3-BC194,0),IF(BC194&lt;AY194,AY194-BC194,0)),"")</f>
        <v>0</v>
      </c>
    </row>
    <row r="195" spans="1:60" s="21" customFormat="1" ht="12.75" customHeight="1" x14ac:dyDescent="0.2">
      <c r="A195" s="28" t="s">
        <v>2086</v>
      </c>
      <c r="B195" s="28"/>
      <c r="C195" s="28" t="s">
        <v>1851</v>
      </c>
      <c r="D195" s="83" t="s">
        <v>2033</v>
      </c>
      <c r="E195" s="83" t="s">
        <v>2017</v>
      </c>
      <c r="F195" s="84"/>
      <c r="G195" s="85" t="s">
        <v>2125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55">
        <f t="shared" si="92"/>
        <v>4</v>
      </c>
      <c r="AM195" s="7"/>
      <c r="AN195" s="7"/>
      <c r="AO195" s="55">
        <v>4</v>
      </c>
      <c r="AP195" s="55">
        <f t="shared" ref="AP195:AP258" si="93">SUM(AQ195:AR195)</f>
        <v>5</v>
      </c>
      <c r="AQ195" s="55">
        <f>IFERROR(VLOOKUP(A195,[1]SIIMPLES!$A$2:$F$418,6,FALSE),0)</f>
        <v>5</v>
      </c>
      <c r="AR195" s="55">
        <v>0</v>
      </c>
      <c r="AS195" s="55">
        <v>0</v>
      </c>
      <c r="AT195" s="55">
        <v>0</v>
      </c>
      <c r="AU195" s="55">
        <v>0</v>
      </c>
      <c r="AV195" s="55">
        <v>0</v>
      </c>
      <c r="AW195" s="7"/>
      <c r="AX195" s="7"/>
      <c r="AY195" s="7"/>
      <c r="AZ195" s="7"/>
      <c r="BA195" s="7"/>
      <c r="BB195" s="41" t="str">
        <f t="shared" si="89"/>
        <v/>
      </c>
      <c r="BC195" s="13"/>
      <c r="BD195" s="35"/>
      <c r="BE195" s="13"/>
      <c r="BF195" s="16"/>
      <c r="BG195" s="17" t="str">
        <f t="shared" si="90"/>
        <v>0</v>
      </c>
      <c r="BH195" s="16">
        <f>IFERROR(IF(F195=1,IF(BC195&lt;AY195*3,AY195*3-BC195,0),IF(BC195&lt;AY195,AY195-BC195,0)),"")</f>
        <v>0</v>
      </c>
    </row>
    <row r="196" spans="1:60" s="21" customFormat="1" ht="12.75" customHeight="1" x14ac:dyDescent="0.2">
      <c r="A196" s="28" t="s">
        <v>2141</v>
      </c>
      <c r="B196" s="28"/>
      <c r="C196" s="28" t="s">
        <v>1851</v>
      </c>
      <c r="D196" s="83" t="s">
        <v>2033</v>
      </c>
      <c r="E196" s="83" t="s">
        <v>2017</v>
      </c>
      <c r="F196" s="84"/>
      <c r="G196" s="85" t="s">
        <v>1922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101"/>
      <c r="AP196" s="55">
        <f t="shared" si="93"/>
        <v>5</v>
      </c>
      <c r="AQ196" s="55">
        <f>IFERROR(VLOOKUP(A196,[1]SIIMPLES!$A$2:$F$418,6,FALSE),0)</f>
        <v>5</v>
      </c>
      <c r="AR196" s="55">
        <v>0</v>
      </c>
      <c r="AS196" s="55">
        <v>0</v>
      </c>
      <c r="AT196" s="55">
        <v>0</v>
      </c>
      <c r="AU196" s="55">
        <v>0</v>
      </c>
      <c r="AV196" s="55">
        <v>0</v>
      </c>
      <c r="AW196" s="7"/>
      <c r="AX196" s="7"/>
      <c r="AY196" s="7"/>
      <c r="AZ196" s="7"/>
      <c r="BA196" s="7"/>
      <c r="BB196" s="41" t="str">
        <f t="shared" si="89"/>
        <v/>
      </c>
      <c r="BC196" s="13"/>
      <c r="BD196" s="35"/>
      <c r="BE196" s="7"/>
      <c r="BF196" s="16"/>
      <c r="BG196" s="17" t="str">
        <f t="shared" si="90"/>
        <v>0</v>
      </c>
      <c r="BH196" s="16">
        <f>IFERROR(IF(F196=1,IF(BC196&lt;AY196*3,AY196*3-BC196,0),IF(BC196&lt;AY196,AY196-BC196,0)),"")</f>
        <v>0</v>
      </c>
    </row>
    <row r="197" spans="1:60" s="21" customFormat="1" ht="12.75" customHeight="1" x14ac:dyDescent="0.2">
      <c r="A197" s="28" t="s">
        <v>2152</v>
      </c>
      <c r="B197" s="28"/>
      <c r="C197" s="28" t="s">
        <v>1851</v>
      </c>
      <c r="D197" s="83" t="s">
        <v>2028</v>
      </c>
      <c r="E197" s="83" t="s">
        <v>2017</v>
      </c>
      <c r="F197" s="84"/>
      <c r="G197" s="85" t="s">
        <v>2196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101"/>
      <c r="AP197" s="55">
        <f t="shared" si="93"/>
        <v>5</v>
      </c>
      <c r="AQ197" s="55">
        <f>IFERROR(VLOOKUP(A197,[1]SIIMPLES!$A$2:$F$418,6,FALSE),0)</f>
        <v>5</v>
      </c>
      <c r="AR197" s="55">
        <v>0</v>
      </c>
      <c r="AS197" s="55">
        <v>0</v>
      </c>
      <c r="AT197" s="55">
        <v>0</v>
      </c>
      <c r="AU197" s="55">
        <v>0</v>
      </c>
      <c r="AV197" s="55">
        <v>0</v>
      </c>
      <c r="AW197" s="7"/>
      <c r="AX197" s="7"/>
      <c r="AY197" s="7"/>
      <c r="AZ197" s="7"/>
      <c r="BA197" s="7"/>
      <c r="BB197" s="41" t="str">
        <f t="shared" si="89"/>
        <v/>
      </c>
      <c r="BC197" s="10"/>
      <c r="BD197" s="35"/>
      <c r="BE197" s="13"/>
      <c r="BF197" s="16"/>
      <c r="BG197" s="17" t="str">
        <f t="shared" si="90"/>
        <v>0</v>
      </c>
      <c r="BH197" s="16">
        <f>IFERROR(IF(F197=1,IF(BC197&lt;AY197*3,AY197*3-BC197,0),IF(BC197&lt;AY197,AY197-BC197,0)),"")</f>
        <v>0</v>
      </c>
    </row>
    <row r="198" spans="1:60" s="21" customFormat="1" ht="12.75" customHeight="1" x14ac:dyDescent="0.2">
      <c r="A198" s="28" t="s">
        <v>2161</v>
      </c>
      <c r="B198" s="28"/>
      <c r="C198" s="28" t="s">
        <v>1851</v>
      </c>
      <c r="D198" s="83" t="s">
        <v>918</v>
      </c>
      <c r="E198" s="83" t="s">
        <v>919</v>
      </c>
      <c r="F198" s="84"/>
      <c r="G198" s="85" t="s">
        <v>2206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101"/>
      <c r="AP198" s="55">
        <f t="shared" si="93"/>
        <v>5</v>
      </c>
      <c r="AQ198" s="55">
        <f>IFERROR(VLOOKUP(A198,[1]SIIMPLES!$A$2:$F$418,6,FALSE),0)</f>
        <v>5</v>
      </c>
      <c r="AR198" s="55">
        <v>0</v>
      </c>
      <c r="AS198" s="55">
        <v>0</v>
      </c>
      <c r="AT198" s="55">
        <v>0</v>
      </c>
      <c r="AU198" s="55">
        <v>0</v>
      </c>
      <c r="AV198" s="55">
        <v>0</v>
      </c>
      <c r="AW198" s="7"/>
      <c r="AX198" s="7"/>
      <c r="AY198" s="7"/>
      <c r="AZ198" s="7"/>
      <c r="BA198" s="7"/>
      <c r="BB198" s="41" t="str">
        <f t="shared" si="89"/>
        <v/>
      </c>
      <c r="BC198" s="13"/>
      <c r="BD198" s="35"/>
      <c r="BE198" s="13"/>
      <c r="BF198" s="16"/>
      <c r="BG198" s="17" t="str">
        <f t="shared" si="90"/>
        <v>0</v>
      </c>
      <c r="BH198" s="16">
        <f>ROUND(IFERROR(IF(F198=1,IF(BC198&lt;AY198*3,AY198*3-BC198,0),IF(BC198&lt;AY198,AY198*0.6-BC198,0)),""),0)</f>
        <v>0</v>
      </c>
    </row>
    <row r="199" spans="1:60" s="21" customFormat="1" ht="12.75" customHeight="1" x14ac:dyDescent="0.2">
      <c r="A199" s="28" t="s">
        <v>2169</v>
      </c>
      <c r="B199" s="28"/>
      <c r="C199" s="28" t="s">
        <v>1851</v>
      </c>
      <c r="D199" s="83" t="s">
        <v>918</v>
      </c>
      <c r="E199" s="83" t="s">
        <v>919</v>
      </c>
      <c r="F199" s="84"/>
      <c r="G199" s="85" t="s">
        <v>2206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101"/>
      <c r="AP199" s="55">
        <f t="shared" si="93"/>
        <v>5</v>
      </c>
      <c r="AQ199" s="55">
        <f>IFERROR(VLOOKUP(A199,[1]SIIMPLES!$A$2:$F$418,6,FALSE),0)</f>
        <v>5</v>
      </c>
      <c r="AR199" s="55">
        <v>0</v>
      </c>
      <c r="AS199" s="55">
        <v>0</v>
      </c>
      <c r="AT199" s="55">
        <v>0</v>
      </c>
      <c r="AU199" s="55">
        <v>0</v>
      </c>
      <c r="AV199" s="55">
        <v>0</v>
      </c>
      <c r="AW199" s="7"/>
      <c r="AX199" s="7"/>
      <c r="AY199" s="7"/>
      <c r="AZ199" s="7"/>
      <c r="BA199" s="7"/>
      <c r="BB199" s="41" t="str">
        <f t="shared" si="89"/>
        <v/>
      </c>
      <c r="BC199" s="7"/>
      <c r="BD199" s="35"/>
      <c r="BE199" s="13"/>
      <c r="BF199" s="16"/>
      <c r="BG199" s="17" t="str">
        <f t="shared" si="90"/>
        <v>0</v>
      </c>
      <c r="BH199" s="16">
        <f t="shared" ref="BH199:BH205" si="94">IFERROR(IF(F199=1,IF(BC199&lt;AY199*3,AY199*3-BC199,0),IF(BC199&lt;AY199,AY199-BC199,0)),"")</f>
        <v>0</v>
      </c>
    </row>
    <row r="200" spans="1:60" s="21" customFormat="1" ht="12.75" customHeight="1" x14ac:dyDescent="0.2">
      <c r="A200" s="28" t="s">
        <v>2170</v>
      </c>
      <c r="B200" s="28"/>
      <c r="C200" s="28" t="s">
        <v>1851</v>
      </c>
      <c r="D200" s="83" t="s">
        <v>918</v>
      </c>
      <c r="E200" s="83" t="s">
        <v>919</v>
      </c>
      <c r="F200" s="84"/>
      <c r="G200" s="85" t="s">
        <v>2212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101"/>
      <c r="AP200" s="55">
        <f t="shared" si="93"/>
        <v>5</v>
      </c>
      <c r="AQ200" s="55">
        <f>IFERROR(VLOOKUP(A200,[1]SIIMPLES!$A$2:$F$418,6,FALSE),0)</f>
        <v>5</v>
      </c>
      <c r="AR200" s="55">
        <v>0</v>
      </c>
      <c r="AS200" s="55">
        <v>0</v>
      </c>
      <c r="AT200" s="55">
        <v>0</v>
      </c>
      <c r="AU200" s="55">
        <v>0</v>
      </c>
      <c r="AV200" s="55">
        <v>0</v>
      </c>
      <c r="AW200" s="7"/>
      <c r="AX200" s="7"/>
      <c r="AY200" s="7"/>
      <c r="AZ200" s="7"/>
      <c r="BA200" s="7"/>
      <c r="BB200" s="41" t="str">
        <f t="shared" si="89"/>
        <v/>
      </c>
      <c r="BC200" s="13"/>
      <c r="BD200" s="35"/>
      <c r="BE200" s="13"/>
      <c r="BF200" s="16"/>
      <c r="BG200" s="17" t="str">
        <f t="shared" si="90"/>
        <v>0</v>
      </c>
      <c r="BH200" s="16">
        <f t="shared" si="94"/>
        <v>0</v>
      </c>
    </row>
    <row r="201" spans="1:60" s="21" customFormat="1" ht="12.75" customHeight="1" x14ac:dyDescent="0.2">
      <c r="A201" s="28" t="s">
        <v>2171</v>
      </c>
      <c r="B201" s="28"/>
      <c r="C201" s="28" t="s">
        <v>1851</v>
      </c>
      <c r="D201" s="83" t="s">
        <v>918</v>
      </c>
      <c r="E201" s="83" t="s">
        <v>919</v>
      </c>
      <c r="F201" s="84"/>
      <c r="G201" s="85" t="s">
        <v>2206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101"/>
      <c r="AP201" s="55">
        <f t="shared" si="93"/>
        <v>5</v>
      </c>
      <c r="AQ201" s="55">
        <f>IFERROR(VLOOKUP(A201,[1]SIIMPLES!$A$2:$F$418,6,FALSE),0)</f>
        <v>5</v>
      </c>
      <c r="AR201" s="55">
        <v>0</v>
      </c>
      <c r="AS201" s="55">
        <v>0</v>
      </c>
      <c r="AT201" s="55">
        <v>0</v>
      </c>
      <c r="AU201" s="55">
        <v>0</v>
      </c>
      <c r="AV201" s="55">
        <v>0</v>
      </c>
      <c r="AW201" s="7"/>
      <c r="AX201" s="7"/>
      <c r="AY201" s="7"/>
      <c r="AZ201" s="7"/>
      <c r="BA201" s="7"/>
      <c r="BB201" s="41" t="str">
        <f t="shared" si="89"/>
        <v/>
      </c>
      <c r="BC201" s="7"/>
      <c r="BD201" s="35"/>
      <c r="BE201" s="13"/>
      <c r="BF201" s="16">
        <f>SUM(BC201:BE201)</f>
        <v>0</v>
      </c>
      <c r="BG201" s="17" t="str">
        <f t="shared" si="90"/>
        <v>0</v>
      </c>
      <c r="BH201" s="16">
        <f t="shared" si="94"/>
        <v>0</v>
      </c>
    </row>
    <row r="202" spans="1:60" s="21" customFormat="1" ht="12.75" customHeight="1" x14ac:dyDescent="0.2">
      <c r="A202" s="28" t="s">
        <v>2172</v>
      </c>
      <c r="B202" s="28"/>
      <c r="C202" s="28" t="s">
        <v>1851</v>
      </c>
      <c r="D202" s="83" t="s">
        <v>2108</v>
      </c>
      <c r="E202" s="83" t="s">
        <v>919</v>
      </c>
      <c r="F202" s="84"/>
      <c r="G202" s="85" t="s">
        <v>2213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101"/>
      <c r="AP202" s="55">
        <f t="shared" si="93"/>
        <v>5</v>
      </c>
      <c r="AQ202" s="55">
        <f>IFERROR(VLOOKUP(A202,[1]SIIMPLES!$A$2:$F$418,6,FALSE),0)</f>
        <v>5</v>
      </c>
      <c r="AR202" s="55">
        <v>0</v>
      </c>
      <c r="AS202" s="55">
        <v>4</v>
      </c>
      <c r="AT202" s="55">
        <v>4</v>
      </c>
      <c r="AU202" s="55">
        <v>0</v>
      </c>
      <c r="AV202" s="55">
        <v>0</v>
      </c>
      <c r="AW202" s="7"/>
      <c r="AX202" s="7"/>
      <c r="AY202" s="7"/>
      <c r="AZ202" s="7"/>
      <c r="BA202" s="7"/>
      <c r="BB202" s="41" t="str">
        <f t="shared" si="89"/>
        <v/>
      </c>
      <c r="BC202" s="13"/>
      <c r="BD202" s="35"/>
      <c r="BE202" s="13"/>
      <c r="BF202" s="16"/>
      <c r="BG202" s="17" t="str">
        <f t="shared" si="90"/>
        <v>0</v>
      </c>
      <c r="BH202" s="16">
        <f t="shared" si="94"/>
        <v>0</v>
      </c>
    </row>
    <row r="203" spans="1:60" s="21" customFormat="1" ht="12.75" customHeight="1" x14ac:dyDescent="0.2">
      <c r="A203" s="51">
        <v>2312</v>
      </c>
      <c r="B203" s="51" t="s">
        <v>1077</v>
      </c>
      <c r="C203" s="66" t="s">
        <v>1803</v>
      </c>
      <c r="D203" s="65" t="s">
        <v>731</v>
      </c>
      <c r="E203" s="52" t="s">
        <v>730</v>
      </c>
      <c r="F203" s="53">
        <f>IFERROR(VLOOKUP(E203,Fornecedores!$A$2:$B$2700,2,FALSE),"")</f>
        <v>3</v>
      </c>
      <c r="G203" s="52" t="s">
        <v>440</v>
      </c>
      <c r="H203" s="54"/>
      <c r="I203" s="55">
        <f t="shared" ref="I203:I228" si="95">SUM(J203:M203)</f>
        <v>3</v>
      </c>
      <c r="J203" s="55">
        <v>3</v>
      </c>
      <c r="K203" s="55">
        <v>0</v>
      </c>
      <c r="L203" s="55">
        <v>0</v>
      </c>
      <c r="M203" s="55">
        <v>0</v>
      </c>
      <c r="N203" s="55">
        <f t="shared" ref="N203:N228" si="96">SUM(O203:Q203)</f>
        <v>0</v>
      </c>
      <c r="O203" s="55">
        <v>0</v>
      </c>
      <c r="P203" s="55">
        <v>0</v>
      </c>
      <c r="Q203" s="55">
        <v>0</v>
      </c>
      <c r="R203" s="55">
        <f t="shared" ref="R203:R228" si="97">SUM(S203:U203)</f>
        <v>0</v>
      </c>
      <c r="S203" s="55">
        <v>0</v>
      </c>
      <c r="T203" s="55">
        <v>0</v>
      </c>
      <c r="U203" s="55">
        <v>0</v>
      </c>
      <c r="V203" s="55">
        <v>1</v>
      </c>
      <c r="W203" s="53">
        <v>1</v>
      </c>
      <c r="X203" s="53">
        <v>0</v>
      </c>
      <c r="Y203" s="55">
        <v>0</v>
      </c>
      <c r="Z203" s="55">
        <v>1</v>
      </c>
      <c r="AA203" s="53">
        <v>1</v>
      </c>
      <c r="AB203" s="53">
        <v>0</v>
      </c>
      <c r="AC203" s="55">
        <v>0</v>
      </c>
      <c r="AD203" s="55">
        <f t="shared" ref="AD203:AD228" si="98">SUM(AE203:AG203)</f>
        <v>2</v>
      </c>
      <c r="AE203" s="53">
        <v>2</v>
      </c>
      <c r="AF203" s="55">
        <v>0</v>
      </c>
      <c r="AG203" s="55">
        <v>0</v>
      </c>
      <c r="AH203" s="55">
        <f t="shared" ref="AH203:AH228" si="99">SUM(AI203:AK203)</f>
        <v>1</v>
      </c>
      <c r="AI203" s="55">
        <v>1</v>
      </c>
      <c r="AJ203" s="55">
        <v>0</v>
      </c>
      <c r="AK203" s="55">
        <v>0</v>
      </c>
      <c r="AL203" s="55">
        <f t="shared" ref="AL203:AL246" si="100">SUM(AM203:AO203)</f>
        <v>1</v>
      </c>
      <c r="AM203" s="55">
        <v>1</v>
      </c>
      <c r="AN203" s="55">
        <v>0</v>
      </c>
      <c r="AO203" s="55">
        <v>0</v>
      </c>
      <c r="AP203" s="55">
        <f t="shared" si="93"/>
        <v>4</v>
      </c>
      <c r="AQ203" s="55">
        <f>IFERROR(VLOOKUP(A203,[1]SIIMPLES!$A$2:$F$418,6,FALSE),0)</f>
        <v>4</v>
      </c>
      <c r="AR203" s="55">
        <v>0</v>
      </c>
      <c r="AS203" s="55">
        <v>10</v>
      </c>
      <c r="AT203" s="55">
        <v>10</v>
      </c>
      <c r="AU203" s="55">
        <v>0</v>
      </c>
      <c r="AV203" s="55">
        <v>0</v>
      </c>
      <c r="AW203" s="55"/>
      <c r="AX203" s="55"/>
      <c r="AY203" s="56">
        <f t="shared" ref="AY203:AY228" si="101">IFERROR(AVERAGE(I203,N203,R203,V203,Z203,AD203,AH203,AL203,AP203,AS203,AW203,AX203),"-")</f>
        <v>2.2999999999999998</v>
      </c>
      <c r="AZ203" s="55"/>
      <c r="BA203" s="56">
        <v>3.5</v>
      </c>
      <c r="BB203" s="41">
        <f t="shared" si="89"/>
        <v>-0.34285714285714286</v>
      </c>
      <c r="BC203" s="13"/>
      <c r="BD203" s="35"/>
      <c r="BE203" s="7"/>
      <c r="BF203" s="16"/>
      <c r="BG203" s="17">
        <f t="shared" si="90"/>
        <v>0</v>
      </c>
      <c r="BH203" s="16">
        <f t="shared" si="94"/>
        <v>2.2999999999999998</v>
      </c>
    </row>
    <row r="204" spans="1:60" s="21" customFormat="1" ht="12.75" customHeight="1" x14ac:dyDescent="0.2">
      <c r="A204" s="51">
        <v>4073</v>
      </c>
      <c r="B204" s="51" t="s">
        <v>1077</v>
      </c>
      <c r="C204" s="66" t="s">
        <v>1803</v>
      </c>
      <c r="D204" s="52" t="s">
        <v>760</v>
      </c>
      <c r="E204" s="52" t="s">
        <v>736</v>
      </c>
      <c r="F204" s="53">
        <f>IFERROR(VLOOKUP(E204,Fornecedores!$A$2:$B$2700,2,FALSE),"")</f>
        <v>5</v>
      </c>
      <c r="G204" s="52" t="s">
        <v>579</v>
      </c>
      <c r="H204" s="54"/>
      <c r="I204" s="55">
        <f t="shared" si="95"/>
        <v>3</v>
      </c>
      <c r="J204" s="55">
        <v>3</v>
      </c>
      <c r="K204" s="55">
        <v>0</v>
      </c>
      <c r="L204" s="55">
        <v>0</v>
      </c>
      <c r="M204" s="55">
        <v>0</v>
      </c>
      <c r="N204" s="55">
        <f t="shared" si="96"/>
        <v>3</v>
      </c>
      <c r="O204" s="55">
        <v>3</v>
      </c>
      <c r="P204" s="55">
        <v>0</v>
      </c>
      <c r="Q204" s="55">
        <v>0</v>
      </c>
      <c r="R204" s="55">
        <f t="shared" si="97"/>
        <v>5</v>
      </c>
      <c r="S204" s="55">
        <v>5</v>
      </c>
      <c r="T204" s="55">
        <v>0</v>
      </c>
      <c r="U204" s="55">
        <v>0</v>
      </c>
      <c r="V204" s="55">
        <v>10</v>
      </c>
      <c r="W204" s="53">
        <v>10</v>
      </c>
      <c r="X204" s="53">
        <v>0</v>
      </c>
      <c r="Y204" s="55">
        <v>0</v>
      </c>
      <c r="Z204" s="55">
        <v>5</v>
      </c>
      <c r="AA204" s="53">
        <v>5</v>
      </c>
      <c r="AB204" s="53">
        <v>0</v>
      </c>
      <c r="AC204" s="55">
        <v>0</v>
      </c>
      <c r="AD204" s="55">
        <f t="shared" si="98"/>
        <v>7</v>
      </c>
      <c r="AE204" s="53">
        <v>7</v>
      </c>
      <c r="AF204" s="55">
        <v>0</v>
      </c>
      <c r="AG204" s="55">
        <v>0</v>
      </c>
      <c r="AH204" s="55">
        <f t="shared" si="99"/>
        <v>0</v>
      </c>
      <c r="AI204" s="55">
        <v>0</v>
      </c>
      <c r="AJ204" s="55">
        <v>0</v>
      </c>
      <c r="AK204" s="55">
        <v>0</v>
      </c>
      <c r="AL204" s="55">
        <f t="shared" si="100"/>
        <v>5</v>
      </c>
      <c r="AM204" s="55">
        <v>5</v>
      </c>
      <c r="AN204" s="55">
        <v>0</v>
      </c>
      <c r="AO204" s="55">
        <v>0</v>
      </c>
      <c r="AP204" s="55">
        <f t="shared" si="93"/>
        <v>4</v>
      </c>
      <c r="AQ204" s="55">
        <f>IFERROR(VLOOKUP(A204,[1]SIIMPLES!$A$2:$F$418,6,FALSE),0)</f>
        <v>4</v>
      </c>
      <c r="AR204" s="55">
        <v>0</v>
      </c>
      <c r="AS204" s="55">
        <v>5</v>
      </c>
      <c r="AT204" s="55">
        <v>5</v>
      </c>
      <c r="AU204" s="55">
        <v>0</v>
      </c>
      <c r="AV204" s="55">
        <v>0</v>
      </c>
      <c r="AW204" s="55"/>
      <c r="AX204" s="55"/>
      <c r="AY204" s="56">
        <f t="shared" si="101"/>
        <v>4.7</v>
      </c>
      <c r="AZ204" s="55"/>
      <c r="BA204" s="56">
        <v>0.66666666666666663</v>
      </c>
      <c r="BB204" s="41">
        <f t="shared" si="89"/>
        <v>6.0500000000000007</v>
      </c>
      <c r="BC204" s="13"/>
      <c r="BD204" s="35"/>
      <c r="BE204" s="13"/>
      <c r="BF204" s="16"/>
      <c r="BG204" s="17">
        <f t="shared" si="90"/>
        <v>0</v>
      </c>
      <c r="BH204" s="16">
        <f t="shared" si="94"/>
        <v>4.7</v>
      </c>
    </row>
    <row r="205" spans="1:60" s="21" customFormat="1" ht="12.75" customHeight="1" x14ac:dyDescent="0.2">
      <c r="A205" s="51">
        <v>4079</v>
      </c>
      <c r="B205" s="51" t="s">
        <v>1077</v>
      </c>
      <c r="C205" s="66" t="s">
        <v>1803</v>
      </c>
      <c r="D205" s="52" t="s">
        <v>760</v>
      </c>
      <c r="E205" s="52" t="s">
        <v>736</v>
      </c>
      <c r="F205" s="53">
        <f>IFERROR(VLOOKUP(E205,Fornecedores!$A$2:$B$2700,2,FALSE),"")</f>
        <v>5</v>
      </c>
      <c r="G205" s="52" t="s">
        <v>422</v>
      </c>
      <c r="H205" s="54"/>
      <c r="I205" s="55">
        <f t="shared" si="95"/>
        <v>15</v>
      </c>
      <c r="J205" s="55">
        <v>15</v>
      </c>
      <c r="K205" s="55">
        <v>0</v>
      </c>
      <c r="L205" s="55">
        <v>0</v>
      </c>
      <c r="M205" s="55">
        <v>0</v>
      </c>
      <c r="N205" s="55">
        <f t="shared" si="96"/>
        <v>10</v>
      </c>
      <c r="O205" s="55">
        <v>10</v>
      </c>
      <c r="P205" s="55">
        <v>0</v>
      </c>
      <c r="Q205" s="55">
        <v>0</v>
      </c>
      <c r="R205" s="55">
        <f t="shared" si="97"/>
        <v>12</v>
      </c>
      <c r="S205" s="55">
        <v>12</v>
      </c>
      <c r="T205" s="55">
        <v>0</v>
      </c>
      <c r="U205" s="55">
        <v>0</v>
      </c>
      <c r="V205" s="55">
        <v>2</v>
      </c>
      <c r="W205" s="53">
        <v>2</v>
      </c>
      <c r="X205" s="53">
        <v>0</v>
      </c>
      <c r="Y205" s="55">
        <v>0</v>
      </c>
      <c r="Z205" s="55">
        <v>2</v>
      </c>
      <c r="AA205" s="53">
        <v>2</v>
      </c>
      <c r="AB205" s="53">
        <v>0</v>
      </c>
      <c r="AC205" s="55">
        <v>0</v>
      </c>
      <c r="AD205" s="55">
        <f t="shared" si="98"/>
        <v>2</v>
      </c>
      <c r="AE205" s="53">
        <v>2</v>
      </c>
      <c r="AF205" s="55">
        <v>0</v>
      </c>
      <c r="AG205" s="55">
        <v>0</v>
      </c>
      <c r="AH205" s="55">
        <f t="shared" si="99"/>
        <v>2</v>
      </c>
      <c r="AI205" s="55">
        <v>2</v>
      </c>
      <c r="AJ205" s="55">
        <v>0</v>
      </c>
      <c r="AK205" s="55">
        <v>0</v>
      </c>
      <c r="AL205" s="55">
        <f t="shared" si="100"/>
        <v>9</v>
      </c>
      <c r="AM205" s="55">
        <v>9</v>
      </c>
      <c r="AN205" s="55">
        <v>0</v>
      </c>
      <c r="AO205" s="55">
        <v>0</v>
      </c>
      <c r="AP205" s="55">
        <f t="shared" si="93"/>
        <v>4</v>
      </c>
      <c r="AQ205" s="55">
        <f>IFERROR(VLOOKUP(A205,[1]SIIMPLES!$A$2:$F$418,6,FALSE),0)</f>
        <v>4</v>
      </c>
      <c r="AR205" s="55">
        <v>0</v>
      </c>
      <c r="AS205" s="55">
        <v>0</v>
      </c>
      <c r="AT205" s="55">
        <v>0</v>
      </c>
      <c r="AU205" s="55">
        <v>0</v>
      </c>
      <c r="AV205" s="55">
        <v>0</v>
      </c>
      <c r="AW205" s="55"/>
      <c r="AX205" s="55"/>
      <c r="AY205" s="56">
        <f t="shared" si="101"/>
        <v>5.8</v>
      </c>
      <c r="AZ205" s="55"/>
      <c r="BA205" s="56">
        <v>8.5</v>
      </c>
      <c r="BB205" s="41">
        <f t="shared" si="89"/>
        <v>-0.31764705882352939</v>
      </c>
      <c r="BC205" s="13"/>
      <c r="BD205" s="35"/>
      <c r="BE205" s="13"/>
      <c r="BF205" s="16">
        <f>SUM(BC205:BE205)</f>
        <v>0</v>
      </c>
      <c r="BG205" s="17">
        <f t="shared" si="90"/>
        <v>0</v>
      </c>
      <c r="BH205" s="16">
        <f t="shared" si="94"/>
        <v>5.8</v>
      </c>
    </row>
    <row r="206" spans="1:60" s="21" customFormat="1" ht="12.75" customHeight="1" x14ac:dyDescent="0.2">
      <c r="A206" s="51">
        <v>5035</v>
      </c>
      <c r="B206" s="51"/>
      <c r="C206" s="66" t="s">
        <v>1803</v>
      </c>
      <c r="D206" s="52" t="s">
        <v>735</v>
      </c>
      <c r="E206" s="52" t="s">
        <v>736</v>
      </c>
      <c r="F206" s="53">
        <f>IFERROR(VLOOKUP(E206,Fornecedores!$A$2:$B$2700,2,FALSE),"")</f>
        <v>5</v>
      </c>
      <c r="G206" s="52" t="s">
        <v>1573</v>
      </c>
      <c r="H206" s="57"/>
      <c r="I206" s="55">
        <f t="shared" si="95"/>
        <v>4</v>
      </c>
      <c r="J206" s="57" t="s">
        <v>1282</v>
      </c>
      <c r="K206" s="55">
        <v>4</v>
      </c>
      <c r="L206" s="55">
        <v>0</v>
      </c>
      <c r="M206" s="55">
        <v>0</v>
      </c>
      <c r="N206" s="55">
        <f t="shared" si="96"/>
        <v>0</v>
      </c>
      <c r="O206" s="55">
        <v>0</v>
      </c>
      <c r="P206" s="55">
        <v>0</v>
      </c>
      <c r="Q206" s="55">
        <v>0</v>
      </c>
      <c r="R206" s="55">
        <f t="shared" si="97"/>
        <v>0</v>
      </c>
      <c r="S206" s="55">
        <v>0</v>
      </c>
      <c r="T206" s="55">
        <v>0</v>
      </c>
      <c r="U206" s="55">
        <v>0</v>
      </c>
      <c r="V206" s="55">
        <v>0</v>
      </c>
      <c r="W206" s="53">
        <v>0</v>
      </c>
      <c r="X206" s="53">
        <v>0</v>
      </c>
      <c r="Y206" s="55">
        <v>0</v>
      </c>
      <c r="Z206" s="55">
        <v>4</v>
      </c>
      <c r="AA206" s="53">
        <v>0</v>
      </c>
      <c r="AB206" s="53">
        <v>4</v>
      </c>
      <c r="AC206" s="55">
        <v>0</v>
      </c>
      <c r="AD206" s="55">
        <f t="shared" si="98"/>
        <v>2</v>
      </c>
      <c r="AE206" s="53">
        <v>0</v>
      </c>
      <c r="AF206" s="55">
        <v>2</v>
      </c>
      <c r="AG206" s="55">
        <v>0</v>
      </c>
      <c r="AH206" s="55">
        <f t="shared" si="99"/>
        <v>2</v>
      </c>
      <c r="AI206" s="55">
        <v>0</v>
      </c>
      <c r="AJ206" s="55">
        <v>2</v>
      </c>
      <c r="AK206" s="55">
        <v>0</v>
      </c>
      <c r="AL206" s="55">
        <f t="shared" si="100"/>
        <v>6</v>
      </c>
      <c r="AM206" s="55" t="s">
        <v>1912</v>
      </c>
      <c r="AN206" s="55">
        <v>6</v>
      </c>
      <c r="AO206" s="55">
        <v>0</v>
      </c>
      <c r="AP206" s="55">
        <f t="shared" si="93"/>
        <v>4</v>
      </c>
      <c r="AQ206" s="55">
        <f>IFERROR(VLOOKUP(A206,[1]SIIMPLES!$A$2:$F$418,6,FALSE),0)</f>
        <v>0</v>
      </c>
      <c r="AR206" s="55">
        <v>4</v>
      </c>
      <c r="AS206" s="55">
        <v>6</v>
      </c>
      <c r="AT206" s="55">
        <v>0</v>
      </c>
      <c r="AU206" s="55">
        <v>6</v>
      </c>
      <c r="AV206" s="55">
        <v>0</v>
      </c>
      <c r="AW206" s="57"/>
      <c r="AX206" s="57"/>
      <c r="AY206" s="56">
        <f t="shared" si="101"/>
        <v>2.8</v>
      </c>
      <c r="AZ206" s="55"/>
      <c r="BA206" s="56" t="s">
        <v>1912</v>
      </c>
      <c r="BB206" s="41" t="str">
        <f t="shared" si="89"/>
        <v/>
      </c>
      <c r="BC206" s="10"/>
      <c r="BD206" s="35"/>
      <c r="BE206" s="13"/>
      <c r="BF206" s="16"/>
      <c r="BG206" s="17">
        <f t="shared" si="90"/>
        <v>0</v>
      </c>
      <c r="BH206" s="7"/>
    </row>
    <row r="207" spans="1:60" s="21" customFormat="1" ht="12.75" customHeight="1" x14ac:dyDescent="0.2">
      <c r="A207" s="51">
        <v>5110</v>
      </c>
      <c r="B207" s="51" t="s">
        <v>1077</v>
      </c>
      <c r="C207" s="66" t="s">
        <v>1803</v>
      </c>
      <c r="D207" s="52" t="s">
        <v>735</v>
      </c>
      <c r="E207" s="52" t="s">
        <v>736</v>
      </c>
      <c r="F207" s="53">
        <f>IFERROR(VLOOKUP(E207,Fornecedores!$A$2:$B$2700,2,FALSE),"")</f>
        <v>5</v>
      </c>
      <c r="G207" s="52" t="s">
        <v>612</v>
      </c>
      <c r="H207" s="54"/>
      <c r="I207" s="55">
        <f t="shared" si="95"/>
        <v>54</v>
      </c>
      <c r="J207" s="55">
        <v>0</v>
      </c>
      <c r="K207" s="55">
        <v>54</v>
      </c>
      <c r="L207" s="55">
        <v>0</v>
      </c>
      <c r="M207" s="55">
        <v>0</v>
      </c>
      <c r="N207" s="55">
        <f t="shared" si="96"/>
        <v>37</v>
      </c>
      <c r="O207" s="55">
        <v>1</v>
      </c>
      <c r="P207" s="55">
        <v>36</v>
      </c>
      <c r="Q207" s="55">
        <v>0</v>
      </c>
      <c r="R207" s="55">
        <f t="shared" si="97"/>
        <v>9</v>
      </c>
      <c r="S207" s="55">
        <v>1</v>
      </c>
      <c r="T207" s="55">
        <v>8</v>
      </c>
      <c r="U207" s="55">
        <v>0</v>
      </c>
      <c r="V207" s="55">
        <v>26</v>
      </c>
      <c r="W207" s="53">
        <v>0</v>
      </c>
      <c r="X207" s="53">
        <v>26</v>
      </c>
      <c r="Y207" s="55">
        <v>0</v>
      </c>
      <c r="Z207" s="55">
        <v>26</v>
      </c>
      <c r="AA207" s="53">
        <v>0</v>
      </c>
      <c r="AB207" s="53">
        <v>26</v>
      </c>
      <c r="AC207" s="55">
        <v>0</v>
      </c>
      <c r="AD207" s="55">
        <f t="shared" si="98"/>
        <v>18</v>
      </c>
      <c r="AE207" s="53">
        <v>0</v>
      </c>
      <c r="AF207" s="55">
        <v>18</v>
      </c>
      <c r="AG207" s="55">
        <v>0</v>
      </c>
      <c r="AH207" s="55">
        <f t="shared" si="99"/>
        <v>20</v>
      </c>
      <c r="AI207" s="55">
        <v>0</v>
      </c>
      <c r="AJ207" s="55">
        <v>20</v>
      </c>
      <c r="AK207" s="55">
        <v>0</v>
      </c>
      <c r="AL207" s="55">
        <f t="shared" si="100"/>
        <v>16</v>
      </c>
      <c r="AM207" s="55" t="s">
        <v>1912</v>
      </c>
      <c r="AN207" s="55">
        <v>16</v>
      </c>
      <c r="AO207" s="55">
        <v>0</v>
      </c>
      <c r="AP207" s="55">
        <f t="shared" si="93"/>
        <v>4</v>
      </c>
      <c r="AQ207" s="55">
        <f>IFERROR(VLOOKUP(A207,[1]SIIMPLES!$A$2:$F$418,6,FALSE),0)</f>
        <v>0</v>
      </c>
      <c r="AR207" s="55">
        <v>4</v>
      </c>
      <c r="AS207" s="55">
        <v>10</v>
      </c>
      <c r="AT207" s="55">
        <v>2</v>
      </c>
      <c r="AU207" s="55">
        <v>2</v>
      </c>
      <c r="AV207" s="55">
        <v>6</v>
      </c>
      <c r="AW207" s="55"/>
      <c r="AX207" s="55"/>
      <c r="AY207" s="56">
        <f t="shared" si="101"/>
        <v>22</v>
      </c>
      <c r="AZ207" s="55"/>
      <c r="BA207" s="56">
        <v>76.666666666666671</v>
      </c>
      <c r="BB207" s="41">
        <f t="shared" si="89"/>
        <v>-0.71304347826086956</v>
      </c>
      <c r="BC207" s="7"/>
      <c r="BD207" s="35"/>
      <c r="BE207" s="13"/>
      <c r="BF207" s="16">
        <f>SUM(BC207:BE207)</f>
        <v>0</v>
      </c>
      <c r="BG207" s="17">
        <f t="shared" si="90"/>
        <v>0</v>
      </c>
      <c r="BH207" s="16">
        <f>IFERROR(IF(F207=1,IF(BC207&lt;AY207*3,AY207*3-BC207,0),IF(BC207&lt;AY207,AY207-BC207,0)),"")</f>
        <v>22</v>
      </c>
    </row>
    <row r="208" spans="1:60" s="21" customFormat="1" ht="12.75" customHeight="1" x14ac:dyDescent="0.2">
      <c r="A208" s="51">
        <v>13121</v>
      </c>
      <c r="B208" s="51" t="s">
        <v>1077</v>
      </c>
      <c r="C208" s="66" t="s">
        <v>1803</v>
      </c>
      <c r="D208" s="52" t="s">
        <v>749</v>
      </c>
      <c r="E208" s="52" t="s">
        <v>750</v>
      </c>
      <c r="F208" s="53">
        <f>IFERROR(VLOOKUP(E208,Fornecedores!$A$2:$B$2700,2,FALSE),"")</f>
        <v>4</v>
      </c>
      <c r="G208" s="52" t="s">
        <v>619</v>
      </c>
      <c r="H208" s="54"/>
      <c r="I208" s="55">
        <f t="shared" si="95"/>
        <v>8</v>
      </c>
      <c r="J208" s="55">
        <v>0</v>
      </c>
      <c r="K208" s="55">
        <v>8</v>
      </c>
      <c r="L208" s="55">
        <v>0</v>
      </c>
      <c r="M208" s="55">
        <v>0</v>
      </c>
      <c r="N208" s="55">
        <f t="shared" si="96"/>
        <v>7</v>
      </c>
      <c r="O208" s="55">
        <v>1</v>
      </c>
      <c r="P208" s="55">
        <v>6</v>
      </c>
      <c r="Q208" s="55">
        <v>0</v>
      </c>
      <c r="R208" s="55">
        <f t="shared" si="97"/>
        <v>4</v>
      </c>
      <c r="S208" s="55">
        <v>2</v>
      </c>
      <c r="T208" s="55">
        <v>2</v>
      </c>
      <c r="U208" s="55">
        <v>0</v>
      </c>
      <c r="V208" s="55">
        <v>3</v>
      </c>
      <c r="W208" s="53">
        <v>3</v>
      </c>
      <c r="X208" s="53">
        <v>0</v>
      </c>
      <c r="Y208" s="55">
        <v>0</v>
      </c>
      <c r="Z208" s="55">
        <v>5</v>
      </c>
      <c r="AA208" s="53">
        <v>1</v>
      </c>
      <c r="AB208" s="53">
        <v>4</v>
      </c>
      <c r="AC208" s="55">
        <v>0</v>
      </c>
      <c r="AD208" s="55">
        <f t="shared" si="98"/>
        <v>0</v>
      </c>
      <c r="AE208" s="53">
        <v>0</v>
      </c>
      <c r="AF208" s="55">
        <v>0</v>
      </c>
      <c r="AG208" s="55">
        <v>0</v>
      </c>
      <c r="AH208" s="55">
        <f t="shared" si="99"/>
        <v>4</v>
      </c>
      <c r="AI208" s="55">
        <v>0</v>
      </c>
      <c r="AJ208" s="55">
        <v>4</v>
      </c>
      <c r="AK208" s="55">
        <v>0</v>
      </c>
      <c r="AL208" s="55">
        <f t="shared" si="100"/>
        <v>9</v>
      </c>
      <c r="AM208" s="55">
        <v>5</v>
      </c>
      <c r="AN208" s="55">
        <v>4</v>
      </c>
      <c r="AO208" s="55">
        <v>0</v>
      </c>
      <c r="AP208" s="55">
        <f t="shared" si="93"/>
        <v>4</v>
      </c>
      <c r="AQ208" s="55">
        <f>IFERROR(VLOOKUP(A208,[1]SIIMPLES!$A$2:$F$418,6,FALSE),0)</f>
        <v>2</v>
      </c>
      <c r="AR208" s="55">
        <v>2</v>
      </c>
      <c r="AS208" s="55">
        <v>0</v>
      </c>
      <c r="AT208" s="55">
        <v>0</v>
      </c>
      <c r="AU208" s="55">
        <v>0</v>
      </c>
      <c r="AV208" s="55">
        <v>0</v>
      </c>
      <c r="AW208" s="55"/>
      <c r="AX208" s="55"/>
      <c r="AY208" s="56">
        <f t="shared" si="101"/>
        <v>4.4000000000000004</v>
      </c>
      <c r="AZ208" s="55"/>
      <c r="BA208" s="56">
        <v>3.5</v>
      </c>
      <c r="BB208" s="41">
        <f t="shared" si="89"/>
        <v>0.25714285714285734</v>
      </c>
      <c r="BC208" s="10"/>
      <c r="BD208" s="35"/>
      <c r="BE208" s="13"/>
      <c r="BF208" s="16"/>
      <c r="BG208" s="17">
        <f t="shared" si="90"/>
        <v>0</v>
      </c>
      <c r="BH208" s="16">
        <f>IFERROR(IF(F208=1,IF(BC208&lt;AY208*3,AY208*3-BC208,0),IF(BC208&lt;AY208,AY208-BC208,0)),"")</f>
        <v>4.4000000000000004</v>
      </c>
    </row>
    <row r="209" spans="1:60" s="21" customFormat="1" ht="12.75" customHeight="1" x14ac:dyDescent="0.2">
      <c r="A209" s="51">
        <v>55311</v>
      </c>
      <c r="B209" s="51" t="s">
        <v>1077</v>
      </c>
      <c r="C209" s="66" t="s">
        <v>1803</v>
      </c>
      <c r="D209" s="65" t="s">
        <v>752</v>
      </c>
      <c r="E209" s="52" t="s">
        <v>732</v>
      </c>
      <c r="F209" s="53">
        <f>IFERROR(VLOOKUP(E209,Fornecedores!$A$2:$B$2700,2,FALSE),"")</f>
        <v>6</v>
      </c>
      <c r="G209" s="52" t="s">
        <v>486</v>
      </c>
      <c r="H209" s="54"/>
      <c r="I209" s="55">
        <f t="shared" si="95"/>
        <v>0</v>
      </c>
      <c r="J209" s="55">
        <v>0</v>
      </c>
      <c r="K209" s="55">
        <v>0</v>
      </c>
      <c r="L209" s="55">
        <v>0</v>
      </c>
      <c r="M209" s="55">
        <v>0</v>
      </c>
      <c r="N209" s="55">
        <f t="shared" si="96"/>
        <v>0</v>
      </c>
      <c r="O209" s="55">
        <v>0</v>
      </c>
      <c r="P209" s="55">
        <v>0</v>
      </c>
      <c r="Q209" s="55">
        <v>0</v>
      </c>
      <c r="R209" s="55">
        <f t="shared" si="97"/>
        <v>2</v>
      </c>
      <c r="S209" s="55">
        <v>0</v>
      </c>
      <c r="T209" s="55">
        <v>2</v>
      </c>
      <c r="U209" s="55">
        <v>0</v>
      </c>
      <c r="V209" s="55">
        <v>0</v>
      </c>
      <c r="W209" s="53">
        <v>0</v>
      </c>
      <c r="X209" s="53">
        <v>0</v>
      </c>
      <c r="Y209" s="55">
        <v>0</v>
      </c>
      <c r="Z209" s="55">
        <v>0</v>
      </c>
      <c r="AA209" s="53">
        <v>0</v>
      </c>
      <c r="AB209" s="53">
        <v>0</v>
      </c>
      <c r="AC209" s="55">
        <v>0</v>
      </c>
      <c r="AD209" s="55">
        <f t="shared" si="98"/>
        <v>4</v>
      </c>
      <c r="AE209" s="53">
        <v>0</v>
      </c>
      <c r="AF209" s="55">
        <v>4</v>
      </c>
      <c r="AG209" s="55">
        <v>0</v>
      </c>
      <c r="AH209" s="55">
        <f t="shared" si="99"/>
        <v>0</v>
      </c>
      <c r="AI209" s="55">
        <v>0</v>
      </c>
      <c r="AJ209" s="55">
        <v>0</v>
      </c>
      <c r="AK209" s="55">
        <v>0</v>
      </c>
      <c r="AL209" s="55">
        <f t="shared" si="100"/>
        <v>0</v>
      </c>
      <c r="AM209" s="55" t="s">
        <v>1912</v>
      </c>
      <c r="AN209" s="55">
        <v>0</v>
      </c>
      <c r="AO209" s="55">
        <v>0</v>
      </c>
      <c r="AP209" s="55">
        <f t="shared" si="93"/>
        <v>4</v>
      </c>
      <c r="AQ209" s="55">
        <f>IFERROR(VLOOKUP(A209,[1]SIIMPLES!$A$2:$F$418,6,FALSE),0)</f>
        <v>0</v>
      </c>
      <c r="AR209" s="55">
        <v>4</v>
      </c>
      <c r="AS209" s="55">
        <v>7</v>
      </c>
      <c r="AT209" s="55">
        <v>5</v>
      </c>
      <c r="AU209" s="55">
        <v>2</v>
      </c>
      <c r="AV209" s="55">
        <v>0</v>
      </c>
      <c r="AW209" s="55"/>
      <c r="AX209" s="55"/>
      <c r="AY209" s="56">
        <f t="shared" si="101"/>
        <v>1.7</v>
      </c>
      <c r="AZ209" s="55"/>
      <c r="BA209" s="56">
        <v>2</v>
      </c>
      <c r="BB209" s="41">
        <f t="shared" si="89"/>
        <v>-0.15000000000000002</v>
      </c>
      <c r="BC209" s="13"/>
      <c r="BD209" s="35"/>
      <c r="BE209" s="13"/>
      <c r="BF209" s="16"/>
      <c r="BG209" s="17">
        <f t="shared" si="90"/>
        <v>0</v>
      </c>
      <c r="BH209" s="16">
        <f>IFERROR(IF(F209=1,IF(BC209&lt;AY209*3,AY209*3-BC209,0),IF(BC209&lt;AY209,AY209-BC209,0)),"")</f>
        <v>1.7</v>
      </c>
    </row>
    <row r="210" spans="1:60" s="21" customFormat="1" ht="12.75" customHeight="1" x14ac:dyDescent="0.2">
      <c r="A210" s="51">
        <v>77146</v>
      </c>
      <c r="B210" s="51" t="s">
        <v>1077</v>
      </c>
      <c r="C210" s="66" t="s">
        <v>1803</v>
      </c>
      <c r="D210" s="65" t="s">
        <v>1780</v>
      </c>
      <c r="E210" s="52" t="s">
        <v>732</v>
      </c>
      <c r="F210" s="53">
        <f>IFERROR(VLOOKUP(E210,Fornecedores!$A$2:$B$2700,2,FALSE),"")</f>
        <v>6</v>
      </c>
      <c r="G210" s="52" t="s">
        <v>205</v>
      </c>
      <c r="H210" s="54"/>
      <c r="I210" s="55">
        <f t="shared" si="95"/>
        <v>3</v>
      </c>
      <c r="J210" s="55">
        <v>3</v>
      </c>
      <c r="K210" s="55">
        <v>0</v>
      </c>
      <c r="L210" s="55">
        <v>0</v>
      </c>
      <c r="M210" s="55">
        <v>0</v>
      </c>
      <c r="N210" s="55">
        <f t="shared" si="96"/>
        <v>6</v>
      </c>
      <c r="O210" s="55">
        <v>6</v>
      </c>
      <c r="P210" s="55">
        <v>0</v>
      </c>
      <c r="Q210" s="55">
        <v>0</v>
      </c>
      <c r="R210" s="55">
        <f t="shared" si="97"/>
        <v>0</v>
      </c>
      <c r="S210" s="55">
        <v>0</v>
      </c>
      <c r="T210" s="55">
        <v>0</v>
      </c>
      <c r="U210" s="55">
        <v>0</v>
      </c>
      <c r="V210" s="55">
        <v>0</v>
      </c>
      <c r="W210" s="53">
        <v>0</v>
      </c>
      <c r="X210" s="53">
        <v>0</v>
      </c>
      <c r="Y210" s="55">
        <v>0</v>
      </c>
      <c r="Z210" s="55">
        <v>7</v>
      </c>
      <c r="AA210" s="53">
        <v>7</v>
      </c>
      <c r="AB210" s="53">
        <v>0</v>
      </c>
      <c r="AC210" s="55">
        <v>0</v>
      </c>
      <c r="AD210" s="55">
        <f t="shared" si="98"/>
        <v>0</v>
      </c>
      <c r="AE210" s="53">
        <v>0</v>
      </c>
      <c r="AF210" s="55">
        <v>0</v>
      </c>
      <c r="AG210" s="55">
        <v>0</v>
      </c>
      <c r="AH210" s="55">
        <f t="shared" si="99"/>
        <v>1</v>
      </c>
      <c r="AI210" s="55">
        <v>1</v>
      </c>
      <c r="AJ210" s="55">
        <v>0</v>
      </c>
      <c r="AK210" s="55">
        <v>0</v>
      </c>
      <c r="AL210" s="55">
        <f t="shared" si="100"/>
        <v>4</v>
      </c>
      <c r="AM210" s="55">
        <v>4</v>
      </c>
      <c r="AN210" s="55">
        <v>0</v>
      </c>
      <c r="AO210" s="55">
        <v>0</v>
      </c>
      <c r="AP210" s="55">
        <f t="shared" si="93"/>
        <v>4</v>
      </c>
      <c r="AQ210" s="55">
        <f>IFERROR(VLOOKUP(A210,[1]SIIMPLES!$A$2:$F$418,6,FALSE),0)</f>
        <v>4</v>
      </c>
      <c r="AR210" s="55">
        <v>0</v>
      </c>
      <c r="AS210" s="55">
        <v>0</v>
      </c>
      <c r="AT210" s="55">
        <v>0</v>
      </c>
      <c r="AU210" s="55">
        <v>0</v>
      </c>
      <c r="AV210" s="55">
        <v>0</v>
      </c>
      <c r="AW210" s="55"/>
      <c r="AX210" s="55"/>
      <c r="AY210" s="56">
        <f t="shared" si="101"/>
        <v>2.5</v>
      </c>
      <c r="AZ210" s="55"/>
      <c r="BA210" s="56">
        <v>4.666666666666667</v>
      </c>
      <c r="BB210" s="41">
        <f t="shared" si="89"/>
        <v>-0.4642857142857143</v>
      </c>
      <c r="BC210" s="13"/>
      <c r="BD210" s="35"/>
      <c r="BE210" s="13"/>
      <c r="BF210" s="16"/>
      <c r="BG210" s="17">
        <f t="shared" si="90"/>
        <v>0</v>
      </c>
      <c r="BH210" s="16">
        <f>IFERROR(IF(F210=1,IF(BC210&lt;AY210*3,AY210*3-BC210,0),IF(BC210&lt;AY210,AY210-BC210,0)),"")</f>
        <v>2.5</v>
      </c>
    </row>
    <row r="211" spans="1:60" s="21" customFormat="1" ht="12.75" customHeight="1" x14ac:dyDescent="0.2">
      <c r="A211" s="51">
        <v>77262</v>
      </c>
      <c r="B211" s="51" t="s">
        <v>1077</v>
      </c>
      <c r="C211" s="66" t="s">
        <v>1803</v>
      </c>
      <c r="D211" s="65" t="s">
        <v>1779</v>
      </c>
      <c r="E211" s="52" t="s">
        <v>732</v>
      </c>
      <c r="F211" s="53">
        <f>IFERROR(VLOOKUP(E211,Fornecedores!$A$2:$B$2700,2,FALSE),"")</f>
        <v>6</v>
      </c>
      <c r="G211" s="52" t="s">
        <v>593</v>
      </c>
      <c r="H211" s="54"/>
      <c r="I211" s="55">
        <f t="shared" si="95"/>
        <v>6</v>
      </c>
      <c r="J211" s="55">
        <v>0</v>
      </c>
      <c r="K211" s="55">
        <v>6</v>
      </c>
      <c r="L211" s="55">
        <v>0</v>
      </c>
      <c r="M211" s="55">
        <v>0</v>
      </c>
      <c r="N211" s="55">
        <f t="shared" si="96"/>
        <v>6</v>
      </c>
      <c r="O211" s="55">
        <v>0</v>
      </c>
      <c r="P211" s="55">
        <v>6</v>
      </c>
      <c r="Q211" s="55">
        <v>0</v>
      </c>
      <c r="R211" s="55">
        <f t="shared" si="97"/>
        <v>0</v>
      </c>
      <c r="S211" s="55">
        <v>0</v>
      </c>
      <c r="T211" s="55">
        <v>0</v>
      </c>
      <c r="U211" s="55">
        <v>0</v>
      </c>
      <c r="V211" s="55">
        <v>1</v>
      </c>
      <c r="W211" s="53">
        <v>0</v>
      </c>
      <c r="X211" s="53">
        <v>1</v>
      </c>
      <c r="Y211" s="55">
        <v>0</v>
      </c>
      <c r="Z211" s="55">
        <v>8</v>
      </c>
      <c r="AA211" s="53">
        <v>3</v>
      </c>
      <c r="AB211" s="53">
        <v>5</v>
      </c>
      <c r="AC211" s="55">
        <v>0</v>
      </c>
      <c r="AD211" s="55">
        <f t="shared" si="98"/>
        <v>6</v>
      </c>
      <c r="AE211" s="53">
        <v>1</v>
      </c>
      <c r="AF211" s="55">
        <v>5</v>
      </c>
      <c r="AG211" s="55">
        <v>0</v>
      </c>
      <c r="AH211" s="55">
        <f t="shared" si="99"/>
        <v>2</v>
      </c>
      <c r="AI211" s="55">
        <v>2</v>
      </c>
      <c r="AJ211" s="55">
        <v>0</v>
      </c>
      <c r="AK211" s="55">
        <v>0</v>
      </c>
      <c r="AL211" s="55">
        <f t="shared" si="100"/>
        <v>6</v>
      </c>
      <c r="AM211" s="55">
        <v>1</v>
      </c>
      <c r="AN211" s="55">
        <v>5</v>
      </c>
      <c r="AO211" s="55">
        <v>0</v>
      </c>
      <c r="AP211" s="55">
        <f t="shared" si="93"/>
        <v>4</v>
      </c>
      <c r="AQ211" s="55">
        <f>IFERROR(VLOOKUP(A211,[1]SIIMPLES!$A$2:$F$418,6,FALSE),0)</f>
        <v>0</v>
      </c>
      <c r="AR211" s="55">
        <v>4</v>
      </c>
      <c r="AS211" s="55">
        <v>0</v>
      </c>
      <c r="AT211" s="55">
        <v>0</v>
      </c>
      <c r="AU211" s="55">
        <v>0</v>
      </c>
      <c r="AV211" s="55">
        <v>0</v>
      </c>
      <c r="AW211" s="55"/>
      <c r="AX211" s="55"/>
      <c r="AY211" s="56">
        <f t="shared" si="101"/>
        <v>3.9</v>
      </c>
      <c r="AZ211" s="55"/>
      <c r="BA211" s="56">
        <v>3.8333333333333335</v>
      </c>
      <c r="BB211" s="41">
        <f t="shared" si="89"/>
        <v>1.7391304347825987E-2</v>
      </c>
      <c r="BC211" s="13"/>
      <c r="BD211" s="35"/>
      <c r="BE211" s="13"/>
      <c r="BF211" s="16"/>
      <c r="BG211" s="17">
        <f t="shared" si="90"/>
        <v>0</v>
      </c>
      <c r="BH211" s="16">
        <f>IFERROR(IF(F211=1,IF(BC211&lt;AY211*3,AY211*3-BC211,0),IF(BC211&lt;AY211,AY211-BC211,0)),"")</f>
        <v>3.9</v>
      </c>
    </row>
    <row r="212" spans="1:60" s="21" customFormat="1" ht="12.75" customHeight="1" x14ac:dyDescent="0.2">
      <c r="A212" s="51">
        <v>442050</v>
      </c>
      <c r="B212" s="51" t="s">
        <v>1077</v>
      </c>
      <c r="C212" s="66" t="s">
        <v>1803</v>
      </c>
      <c r="D212" s="52" t="s">
        <v>728</v>
      </c>
      <c r="E212" s="65" t="s">
        <v>780</v>
      </c>
      <c r="F212" s="53">
        <f>IFERROR(VLOOKUP(E212,Fornecedores!$A$2:$B$2700,2,FALSE),"")</f>
        <v>2</v>
      </c>
      <c r="G212" s="52" t="s">
        <v>277</v>
      </c>
      <c r="H212" s="57"/>
      <c r="I212" s="55">
        <f t="shared" si="95"/>
        <v>15</v>
      </c>
      <c r="J212" s="55">
        <v>3</v>
      </c>
      <c r="K212" s="55">
        <v>12</v>
      </c>
      <c r="L212" s="55">
        <v>0</v>
      </c>
      <c r="M212" s="55">
        <v>0</v>
      </c>
      <c r="N212" s="55">
        <f t="shared" si="96"/>
        <v>224</v>
      </c>
      <c r="O212" s="55">
        <v>4</v>
      </c>
      <c r="P212" s="55">
        <v>20</v>
      </c>
      <c r="Q212" s="55">
        <v>200</v>
      </c>
      <c r="R212" s="55">
        <f t="shared" si="97"/>
        <v>124</v>
      </c>
      <c r="S212" s="55">
        <v>2</v>
      </c>
      <c r="T212" s="55">
        <v>22</v>
      </c>
      <c r="U212" s="55">
        <v>100</v>
      </c>
      <c r="V212" s="55">
        <v>21</v>
      </c>
      <c r="W212" s="53">
        <v>1</v>
      </c>
      <c r="X212" s="53">
        <v>20</v>
      </c>
      <c r="Y212" s="55">
        <v>0</v>
      </c>
      <c r="Z212" s="55">
        <v>60</v>
      </c>
      <c r="AA212" s="53">
        <v>2</v>
      </c>
      <c r="AB212" s="53">
        <v>38</v>
      </c>
      <c r="AC212" s="55">
        <v>20</v>
      </c>
      <c r="AD212" s="55">
        <f t="shared" si="98"/>
        <v>24</v>
      </c>
      <c r="AE212" s="53">
        <v>2</v>
      </c>
      <c r="AF212" s="55">
        <v>22</v>
      </c>
      <c r="AG212" s="55">
        <v>0</v>
      </c>
      <c r="AH212" s="55">
        <f t="shared" si="99"/>
        <v>18</v>
      </c>
      <c r="AI212" s="55">
        <v>0</v>
      </c>
      <c r="AJ212" s="55">
        <v>18</v>
      </c>
      <c r="AK212" s="55">
        <v>0</v>
      </c>
      <c r="AL212" s="55">
        <f t="shared" si="100"/>
        <v>30</v>
      </c>
      <c r="AM212" s="55">
        <v>2</v>
      </c>
      <c r="AN212" s="55">
        <v>28</v>
      </c>
      <c r="AO212" s="55">
        <v>0</v>
      </c>
      <c r="AP212" s="55">
        <f t="shared" si="93"/>
        <v>4</v>
      </c>
      <c r="AQ212" s="55">
        <f>IFERROR(VLOOKUP(A212,[1]SIIMPLES!$A$2:$F$418,6,FALSE),0)</f>
        <v>0</v>
      </c>
      <c r="AR212" s="55">
        <v>4</v>
      </c>
      <c r="AS212" s="55">
        <v>22</v>
      </c>
      <c r="AT212" s="55">
        <v>2</v>
      </c>
      <c r="AU212" s="55">
        <v>2</v>
      </c>
      <c r="AV212" s="55">
        <v>18</v>
      </c>
      <c r="AW212" s="55"/>
      <c r="AX212" s="55"/>
      <c r="AY212" s="56">
        <f t="shared" si="101"/>
        <v>54.2</v>
      </c>
      <c r="AZ212" s="55"/>
      <c r="BA212" s="56">
        <v>26.666666666666668</v>
      </c>
      <c r="BB212" s="36"/>
      <c r="BC212" s="7"/>
      <c r="BD212" s="36"/>
      <c r="BE212" s="7"/>
      <c r="BF212" s="7"/>
      <c r="BG212" s="17">
        <f t="shared" si="90"/>
        <v>0</v>
      </c>
      <c r="BH212" s="7"/>
    </row>
    <row r="213" spans="1:60" s="21" customFormat="1" ht="12.75" customHeight="1" x14ac:dyDescent="0.2">
      <c r="A213" s="51">
        <v>772230</v>
      </c>
      <c r="B213" s="51" t="s">
        <v>1077</v>
      </c>
      <c r="C213" s="66" t="s">
        <v>1803</v>
      </c>
      <c r="D213" s="52" t="s">
        <v>728</v>
      </c>
      <c r="E213" s="65" t="s">
        <v>780</v>
      </c>
      <c r="F213" s="53">
        <f>IFERROR(VLOOKUP(E213,Fornecedores!$A$2:$B$2700,2,FALSE),"")</f>
        <v>2</v>
      </c>
      <c r="G213" s="52" t="s">
        <v>1372</v>
      </c>
      <c r="H213" s="57"/>
      <c r="I213" s="55">
        <f t="shared" si="95"/>
        <v>1</v>
      </c>
      <c r="J213" s="55">
        <v>1</v>
      </c>
      <c r="K213" s="55">
        <v>0</v>
      </c>
      <c r="L213" s="55">
        <v>0</v>
      </c>
      <c r="M213" s="55">
        <v>0</v>
      </c>
      <c r="N213" s="55">
        <f t="shared" si="96"/>
        <v>5</v>
      </c>
      <c r="O213" s="55">
        <v>3</v>
      </c>
      <c r="P213" s="55">
        <v>2</v>
      </c>
      <c r="Q213" s="55">
        <v>0</v>
      </c>
      <c r="R213" s="55">
        <f t="shared" si="97"/>
        <v>6</v>
      </c>
      <c r="S213" s="55">
        <v>1</v>
      </c>
      <c r="T213" s="55">
        <v>5</v>
      </c>
      <c r="U213" s="55">
        <v>0</v>
      </c>
      <c r="V213" s="55">
        <v>2</v>
      </c>
      <c r="W213" s="53">
        <v>1</v>
      </c>
      <c r="X213" s="53">
        <v>1</v>
      </c>
      <c r="Y213" s="55">
        <v>0</v>
      </c>
      <c r="Z213" s="55">
        <v>4</v>
      </c>
      <c r="AA213" s="53">
        <v>0</v>
      </c>
      <c r="AB213" s="53">
        <v>4</v>
      </c>
      <c r="AC213" s="55">
        <v>0</v>
      </c>
      <c r="AD213" s="55">
        <f t="shared" si="98"/>
        <v>2</v>
      </c>
      <c r="AE213" s="53">
        <v>0</v>
      </c>
      <c r="AF213" s="55">
        <v>2</v>
      </c>
      <c r="AG213" s="55">
        <v>0</v>
      </c>
      <c r="AH213" s="55">
        <f t="shared" si="99"/>
        <v>12</v>
      </c>
      <c r="AI213" s="55">
        <v>3</v>
      </c>
      <c r="AJ213" s="55">
        <v>9</v>
      </c>
      <c r="AK213" s="55">
        <v>0</v>
      </c>
      <c r="AL213" s="55">
        <f t="shared" si="100"/>
        <v>7</v>
      </c>
      <c r="AM213" s="55">
        <v>1</v>
      </c>
      <c r="AN213" s="55">
        <v>6</v>
      </c>
      <c r="AO213" s="55">
        <v>0</v>
      </c>
      <c r="AP213" s="55">
        <f t="shared" si="93"/>
        <v>4</v>
      </c>
      <c r="AQ213" s="55">
        <f>IFERROR(VLOOKUP(A213,[1]SIIMPLES!$A$2:$F$418,6,FALSE),0)</f>
        <v>2</v>
      </c>
      <c r="AR213" s="55">
        <v>2</v>
      </c>
      <c r="AS213" s="55">
        <v>3</v>
      </c>
      <c r="AT213" s="55">
        <v>2</v>
      </c>
      <c r="AU213" s="55">
        <v>1</v>
      </c>
      <c r="AV213" s="55">
        <v>0</v>
      </c>
      <c r="AW213" s="55"/>
      <c r="AX213" s="55"/>
      <c r="AY213" s="56">
        <f t="shared" si="101"/>
        <v>4.5999999999999996</v>
      </c>
      <c r="AZ213" s="55"/>
      <c r="BA213" s="56">
        <v>0</v>
      </c>
      <c r="BB213" s="41" t="str">
        <f t="shared" ref="BB213:BB259" si="102">IFERROR(AY213/BA213-1,"")</f>
        <v/>
      </c>
      <c r="BC213" s="13"/>
      <c r="BD213" s="35"/>
      <c r="BE213" s="13"/>
      <c r="BF213" s="16"/>
      <c r="BG213" s="17">
        <f t="shared" si="90"/>
        <v>0</v>
      </c>
      <c r="BH213" s="16">
        <f t="shared" ref="BH213:BH218" si="103">IFERROR(IF(F213=1,IF(BC213&lt;AY213*3,AY213*3-BC213,0),IF(BC213&lt;AY213,AY213-BC213,0)),"")</f>
        <v>4.5999999999999996</v>
      </c>
    </row>
    <row r="214" spans="1:60" s="21" customFormat="1" ht="12.75" customHeight="1" x14ac:dyDescent="0.2">
      <c r="A214" s="51">
        <v>662071</v>
      </c>
      <c r="B214" s="51" t="s">
        <v>1077</v>
      </c>
      <c r="C214" s="66" t="s">
        <v>1803</v>
      </c>
      <c r="D214" s="52" t="s">
        <v>728</v>
      </c>
      <c r="E214" s="65" t="s">
        <v>780</v>
      </c>
      <c r="F214" s="53">
        <f>IFERROR(VLOOKUP(E214,Fornecedores!$A$2:$B$2700,2,FALSE),"")</f>
        <v>2</v>
      </c>
      <c r="G214" s="52" t="s">
        <v>714</v>
      </c>
      <c r="H214" s="57"/>
      <c r="I214" s="55">
        <f t="shared" si="95"/>
        <v>6</v>
      </c>
      <c r="J214" s="55">
        <v>1</v>
      </c>
      <c r="K214" s="55">
        <v>5</v>
      </c>
      <c r="L214" s="55">
        <v>0</v>
      </c>
      <c r="M214" s="55">
        <v>0</v>
      </c>
      <c r="N214" s="55">
        <f t="shared" si="96"/>
        <v>0</v>
      </c>
      <c r="O214" s="55">
        <v>0</v>
      </c>
      <c r="P214" s="55">
        <v>0</v>
      </c>
      <c r="Q214" s="55">
        <v>0</v>
      </c>
      <c r="R214" s="55">
        <f t="shared" si="97"/>
        <v>5</v>
      </c>
      <c r="S214" s="55">
        <v>3</v>
      </c>
      <c r="T214" s="55">
        <v>2</v>
      </c>
      <c r="U214" s="55">
        <v>0</v>
      </c>
      <c r="V214" s="55">
        <v>5</v>
      </c>
      <c r="W214" s="53">
        <v>3</v>
      </c>
      <c r="X214" s="53">
        <v>2</v>
      </c>
      <c r="Y214" s="55">
        <v>0</v>
      </c>
      <c r="Z214" s="55">
        <v>3</v>
      </c>
      <c r="AA214" s="53">
        <v>1</v>
      </c>
      <c r="AB214" s="53">
        <v>2</v>
      </c>
      <c r="AC214" s="55">
        <v>0</v>
      </c>
      <c r="AD214" s="55">
        <f t="shared" si="98"/>
        <v>3</v>
      </c>
      <c r="AE214" s="53">
        <v>1</v>
      </c>
      <c r="AF214" s="55">
        <v>2</v>
      </c>
      <c r="AG214" s="55">
        <v>0</v>
      </c>
      <c r="AH214" s="55">
        <f t="shared" si="99"/>
        <v>9</v>
      </c>
      <c r="AI214" s="55">
        <v>3</v>
      </c>
      <c r="AJ214" s="55">
        <v>6</v>
      </c>
      <c r="AK214" s="55">
        <v>0</v>
      </c>
      <c r="AL214" s="55">
        <f t="shared" si="100"/>
        <v>4</v>
      </c>
      <c r="AM214" s="55">
        <v>2</v>
      </c>
      <c r="AN214" s="55">
        <v>2</v>
      </c>
      <c r="AO214" s="55">
        <v>0</v>
      </c>
      <c r="AP214" s="55">
        <f t="shared" si="93"/>
        <v>4</v>
      </c>
      <c r="AQ214" s="55">
        <f>IFERROR(VLOOKUP(A214,[1]SIIMPLES!$A$2:$F$418,6,FALSE),0)</f>
        <v>3</v>
      </c>
      <c r="AR214" s="55">
        <v>1</v>
      </c>
      <c r="AS214" s="55">
        <v>3</v>
      </c>
      <c r="AT214" s="55">
        <v>2</v>
      </c>
      <c r="AU214" s="55">
        <v>1</v>
      </c>
      <c r="AV214" s="55">
        <v>0</v>
      </c>
      <c r="AW214" s="55"/>
      <c r="AX214" s="55"/>
      <c r="AY214" s="56">
        <f t="shared" si="101"/>
        <v>4.2</v>
      </c>
      <c r="AZ214" s="55"/>
      <c r="BA214" s="56">
        <v>0.66666666666666663</v>
      </c>
      <c r="BB214" s="41">
        <f t="shared" si="102"/>
        <v>5.3000000000000007</v>
      </c>
      <c r="BC214" s="13"/>
      <c r="BD214" s="35"/>
      <c r="BE214" s="13"/>
      <c r="BF214" s="16"/>
      <c r="BG214" s="17">
        <f t="shared" si="90"/>
        <v>0</v>
      </c>
      <c r="BH214" s="16">
        <f t="shared" si="103"/>
        <v>4.2</v>
      </c>
    </row>
    <row r="215" spans="1:60" s="21" customFormat="1" ht="12.75" customHeight="1" x14ac:dyDescent="0.2">
      <c r="A215" s="51">
        <v>442058</v>
      </c>
      <c r="B215" s="51"/>
      <c r="C215" s="66" t="s">
        <v>1803</v>
      </c>
      <c r="D215" s="52" t="s">
        <v>728</v>
      </c>
      <c r="E215" s="65" t="s">
        <v>780</v>
      </c>
      <c r="F215" s="53">
        <f>IFERROR(VLOOKUP(E215,Fornecedores!$A$2:$B$2700,2,FALSE),"")</f>
        <v>2</v>
      </c>
      <c r="G215" s="52" t="s">
        <v>1328</v>
      </c>
      <c r="H215" s="57"/>
      <c r="I215" s="55">
        <f t="shared" si="95"/>
        <v>5</v>
      </c>
      <c r="J215" s="55">
        <v>0</v>
      </c>
      <c r="K215" s="55">
        <v>5</v>
      </c>
      <c r="L215" s="55">
        <v>0</v>
      </c>
      <c r="M215" s="55">
        <v>0</v>
      </c>
      <c r="N215" s="55">
        <f t="shared" si="96"/>
        <v>3</v>
      </c>
      <c r="O215" s="55">
        <v>2</v>
      </c>
      <c r="P215" s="55">
        <v>1</v>
      </c>
      <c r="Q215" s="55">
        <v>0</v>
      </c>
      <c r="R215" s="55">
        <f t="shared" si="97"/>
        <v>4</v>
      </c>
      <c r="S215" s="55">
        <v>0</v>
      </c>
      <c r="T215" s="55">
        <v>4</v>
      </c>
      <c r="U215" s="55">
        <v>0</v>
      </c>
      <c r="V215" s="55">
        <v>11</v>
      </c>
      <c r="W215" s="53">
        <v>3</v>
      </c>
      <c r="X215" s="53">
        <v>8</v>
      </c>
      <c r="Y215" s="55">
        <v>0</v>
      </c>
      <c r="Z215" s="55">
        <v>0</v>
      </c>
      <c r="AA215" s="53">
        <v>0</v>
      </c>
      <c r="AB215" s="53">
        <v>0</v>
      </c>
      <c r="AC215" s="55">
        <v>0</v>
      </c>
      <c r="AD215" s="55">
        <f t="shared" si="98"/>
        <v>12</v>
      </c>
      <c r="AE215" s="53">
        <v>4</v>
      </c>
      <c r="AF215" s="55">
        <v>8</v>
      </c>
      <c r="AG215" s="55">
        <v>0</v>
      </c>
      <c r="AH215" s="55">
        <f t="shared" si="99"/>
        <v>6</v>
      </c>
      <c r="AI215" s="55">
        <v>3</v>
      </c>
      <c r="AJ215" s="55">
        <v>3</v>
      </c>
      <c r="AK215" s="55">
        <v>0</v>
      </c>
      <c r="AL215" s="55">
        <f t="shared" si="100"/>
        <v>2</v>
      </c>
      <c r="AM215" s="55" t="s">
        <v>1912</v>
      </c>
      <c r="AN215" s="55">
        <v>2</v>
      </c>
      <c r="AO215" s="55">
        <v>0</v>
      </c>
      <c r="AP215" s="55">
        <f t="shared" si="93"/>
        <v>4</v>
      </c>
      <c r="AQ215" s="55">
        <f>IFERROR(VLOOKUP(A215,[1]SIIMPLES!$A$2:$F$418,6,FALSE),0)</f>
        <v>1</v>
      </c>
      <c r="AR215" s="55">
        <v>3</v>
      </c>
      <c r="AS215" s="55">
        <v>3</v>
      </c>
      <c r="AT215" s="55">
        <v>3</v>
      </c>
      <c r="AU215" s="55">
        <v>0</v>
      </c>
      <c r="AV215" s="55">
        <v>0</v>
      </c>
      <c r="AW215" s="55"/>
      <c r="AX215" s="55"/>
      <c r="AY215" s="56">
        <f t="shared" si="101"/>
        <v>5</v>
      </c>
      <c r="AZ215" s="55"/>
      <c r="BA215" s="56">
        <v>2</v>
      </c>
      <c r="BB215" s="41">
        <f t="shared" si="102"/>
        <v>1.5</v>
      </c>
      <c r="BC215" s="13"/>
      <c r="BD215" s="35"/>
      <c r="BE215" s="13"/>
      <c r="BF215" s="16">
        <f>SUM(BC215:BE215)</f>
        <v>0</v>
      </c>
      <c r="BG215" s="17">
        <f t="shared" si="90"/>
        <v>0</v>
      </c>
      <c r="BH215" s="16">
        <f t="shared" si="103"/>
        <v>5</v>
      </c>
    </row>
    <row r="216" spans="1:60" s="21" customFormat="1" ht="12.75" customHeight="1" x14ac:dyDescent="0.2">
      <c r="A216" s="51">
        <v>112107</v>
      </c>
      <c r="B216" s="51" t="s">
        <v>1077</v>
      </c>
      <c r="C216" s="66" t="s">
        <v>1803</v>
      </c>
      <c r="D216" s="52" t="s">
        <v>728</v>
      </c>
      <c r="E216" s="65" t="s">
        <v>780</v>
      </c>
      <c r="F216" s="53">
        <f>IFERROR(VLOOKUP(E216,Fornecedores!$A$2:$B$2700,2,FALSE),"")</f>
        <v>2</v>
      </c>
      <c r="G216" s="52" t="s">
        <v>711</v>
      </c>
      <c r="H216" s="57"/>
      <c r="I216" s="55">
        <f t="shared" si="95"/>
        <v>2</v>
      </c>
      <c r="J216" s="55">
        <v>2</v>
      </c>
      <c r="K216" s="55">
        <v>0</v>
      </c>
      <c r="L216" s="55">
        <v>0</v>
      </c>
      <c r="M216" s="55">
        <v>0</v>
      </c>
      <c r="N216" s="55">
        <f t="shared" si="96"/>
        <v>6</v>
      </c>
      <c r="O216" s="55">
        <v>6</v>
      </c>
      <c r="P216" s="55">
        <v>0</v>
      </c>
      <c r="Q216" s="55">
        <v>0</v>
      </c>
      <c r="R216" s="55">
        <f t="shared" si="97"/>
        <v>3</v>
      </c>
      <c r="S216" s="55">
        <v>3</v>
      </c>
      <c r="T216" s="55">
        <v>0</v>
      </c>
      <c r="U216" s="55">
        <v>0</v>
      </c>
      <c r="V216" s="55">
        <v>4</v>
      </c>
      <c r="W216" s="53">
        <v>4</v>
      </c>
      <c r="X216" s="53">
        <v>0</v>
      </c>
      <c r="Y216" s="55">
        <v>0</v>
      </c>
      <c r="Z216" s="55">
        <v>0</v>
      </c>
      <c r="AA216" s="53">
        <v>0</v>
      </c>
      <c r="AB216" s="53">
        <v>0</v>
      </c>
      <c r="AC216" s="55">
        <v>0</v>
      </c>
      <c r="AD216" s="55">
        <f t="shared" si="98"/>
        <v>6</v>
      </c>
      <c r="AE216" s="53">
        <v>4</v>
      </c>
      <c r="AF216" s="55">
        <v>0</v>
      </c>
      <c r="AG216" s="55">
        <v>2</v>
      </c>
      <c r="AH216" s="55">
        <f t="shared" si="99"/>
        <v>5</v>
      </c>
      <c r="AI216" s="55">
        <v>5</v>
      </c>
      <c r="AJ216" s="55">
        <v>0</v>
      </c>
      <c r="AK216" s="55">
        <v>0</v>
      </c>
      <c r="AL216" s="55">
        <f t="shared" si="100"/>
        <v>3</v>
      </c>
      <c r="AM216" s="55">
        <v>3</v>
      </c>
      <c r="AN216" s="55">
        <v>0</v>
      </c>
      <c r="AO216" s="55">
        <v>0</v>
      </c>
      <c r="AP216" s="55">
        <f t="shared" si="93"/>
        <v>4</v>
      </c>
      <c r="AQ216" s="55">
        <f>IFERROR(VLOOKUP(A216,[1]SIIMPLES!$A$2:$F$418,6,FALSE),0)</f>
        <v>4</v>
      </c>
      <c r="AR216" s="55">
        <v>0</v>
      </c>
      <c r="AS216" s="55">
        <v>5</v>
      </c>
      <c r="AT216" s="55">
        <v>3</v>
      </c>
      <c r="AU216" s="55">
        <v>0</v>
      </c>
      <c r="AV216" s="55">
        <v>2</v>
      </c>
      <c r="AW216" s="55"/>
      <c r="AX216" s="55"/>
      <c r="AY216" s="56">
        <f t="shared" si="101"/>
        <v>3.8</v>
      </c>
      <c r="AZ216" s="55"/>
      <c r="BA216" s="56">
        <v>1.5</v>
      </c>
      <c r="BB216" s="41">
        <f t="shared" si="102"/>
        <v>1.5333333333333332</v>
      </c>
      <c r="BC216" s="13"/>
      <c r="BD216" s="35"/>
      <c r="BE216" s="13"/>
      <c r="BF216" s="16"/>
      <c r="BG216" s="17">
        <f t="shared" si="90"/>
        <v>0</v>
      </c>
      <c r="BH216" s="16">
        <f t="shared" si="103"/>
        <v>3.8</v>
      </c>
    </row>
    <row r="217" spans="1:60" s="21" customFormat="1" ht="12.75" customHeight="1" x14ac:dyDescent="0.2">
      <c r="A217" s="51">
        <v>222105</v>
      </c>
      <c r="B217" s="51" t="s">
        <v>1077</v>
      </c>
      <c r="C217" s="66" t="s">
        <v>1803</v>
      </c>
      <c r="D217" s="52" t="s">
        <v>728</v>
      </c>
      <c r="E217" s="65" t="s">
        <v>780</v>
      </c>
      <c r="F217" s="53">
        <f>IFERROR(VLOOKUP(E217,Fornecedores!$A$2:$B$2700,2,FALSE),"")</f>
        <v>2</v>
      </c>
      <c r="G217" s="52" t="s">
        <v>1082</v>
      </c>
      <c r="H217" s="57"/>
      <c r="I217" s="55">
        <f t="shared" si="95"/>
        <v>3</v>
      </c>
      <c r="J217" s="55">
        <v>3</v>
      </c>
      <c r="K217" s="55">
        <v>0</v>
      </c>
      <c r="L217" s="55">
        <v>0</v>
      </c>
      <c r="M217" s="55">
        <v>0</v>
      </c>
      <c r="N217" s="55">
        <f t="shared" si="96"/>
        <v>5</v>
      </c>
      <c r="O217" s="55">
        <v>5</v>
      </c>
      <c r="P217" s="55">
        <v>0</v>
      </c>
      <c r="Q217" s="55">
        <v>0</v>
      </c>
      <c r="R217" s="55">
        <f t="shared" si="97"/>
        <v>8</v>
      </c>
      <c r="S217" s="55">
        <v>8</v>
      </c>
      <c r="T217" s="55">
        <v>0</v>
      </c>
      <c r="U217" s="55">
        <v>0</v>
      </c>
      <c r="V217" s="55">
        <v>7</v>
      </c>
      <c r="W217" s="53">
        <v>7</v>
      </c>
      <c r="X217" s="53">
        <v>0</v>
      </c>
      <c r="Y217" s="55">
        <v>0</v>
      </c>
      <c r="Z217" s="55">
        <v>2</v>
      </c>
      <c r="AA217" s="53">
        <v>2</v>
      </c>
      <c r="AB217" s="53">
        <v>0</v>
      </c>
      <c r="AC217" s="55">
        <v>0</v>
      </c>
      <c r="AD217" s="55">
        <f t="shared" si="98"/>
        <v>6</v>
      </c>
      <c r="AE217" s="53">
        <v>6</v>
      </c>
      <c r="AF217" s="55">
        <v>0</v>
      </c>
      <c r="AG217" s="55">
        <v>0</v>
      </c>
      <c r="AH217" s="55">
        <f t="shared" si="99"/>
        <v>5</v>
      </c>
      <c r="AI217" s="55">
        <v>5</v>
      </c>
      <c r="AJ217" s="55">
        <v>0</v>
      </c>
      <c r="AK217" s="55">
        <v>0</v>
      </c>
      <c r="AL217" s="55">
        <f t="shared" si="100"/>
        <v>3</v>
      </c>
      <c r="AM217" s="55">
        <v>3</v>
      </c>
      <c r="AN217" s="55">
        <v>0</v>
      </c>
      <c r="AO217" s="55">
        <v>0</v>
      </c>
      <c r="AP217" s="55">
        <f t="shared" si="93"/>
        <v>4</v>
      </c>
      <c r="AQ217" s="55">
        <f>IFERROR(VLOOKUP(A217,[1]SIIMPLES!$A$2:$F$418,6,FALSE),0)</f>
        <v>4</v>
      </c>
      <c r="AR217" s="55">
        <v>0</v>
      </c>
      <c r="AS217" s="55">
        <v>0</v>
      </c>
      <c r="AT217" s="55">
        <v>0</v>
      </c>
      <c r="AU217" s="55">
        <v>0</v>
      </c>
      <c r="AV217" s="55">
        <v>0</v>
      </c>
      <c r="AW217" s="55"/>
      <c r="AX217" s="55"/>
      <c r="AY217" s="56">
        <f t="shared" si="101"/>
        <v>4.3</v>
      </c>
      <c r="AZ217" s="55"/>
      <c r="BA217" s="56">
        <v>4</v>
      </c>
      <c r="BB217" s="41">
        <f t="shared" si="102"/>
        <v>7.4999999999999956E-2</v>
      </c>
      <c r="BC217" s="13"/>
      <c r="BD217" s="35"/>
      <c r="BE217" s="13"/>
      <c r="BF217" s="16">
        <f>SUM(BC217:BE217)</f>
        <v>0</v>
      </c>
      <c r="BG217" s="17">
        <f t="shared" si="90"/>
        <v>0</v>
      </c>
      <c r="BH217" s="16">
        <f t="shared" si="103"/>
        <v>4.3</v>
      </c>
    </row>
    <row r="218" spans="1:60" s="21" customFormat="1" ht="12.75" customHeight="1" x14ac:dyDescent="0.2">
      <c r="A218" s="51">
        <v>662012</v>
      </c>
      <c r="B218" s="51" t="s">
        <v>1077</v>
      </c>
      <c r="C218" s="66" t="s">
        <v>1803</v>
      </c>
      <c r="D218" s="52" t="s">
        <v>728</v>
      </c>
      <c r="E218" s="65" t="s">
        <v>780</v>
      </c>
      <c r="F218" s="53">
        <f>IFERROR(VLOOKUP(E218,Fornecedores!$A$2:$B$2700,2,FALSE),"")</f>
        <v>2</v>
      </c>
      <c r="G218" s="52" t="s">
        <v>375</v>
      </c>
      <c r="H218" s="57"/>
      <c r="I218" s="55">
        <f t="shared" si="95"/>
        <v>21</v>
      </c>
      <c r="J218" s="55">
        <v>1</v>
      </c>
      <c r="K218" s="55">
        <v>20</v>
      </c>
      <c r="L218" s="55">
        <v>0</v>
      </c>
      <c r="M218" s="55">
        <v>0</v>
      </c>
      <c r="N218" s="55">
        <f t="shared" si="96"/>
        <v>3</v>
      </c>
      <c r="O218" s="55">
        <v>0</v>
      </c>
      <c r="P218" s="55">
        <v>3</v>
      </c>
      <c r="Q218" s="55">
        <v>0</v>
      </c>
      <c r="R218" s="55">
        <f t="shared" si="97"/>
        <v>11</v>
      </c>
      <c r="S218" s="55">
        <v>1</v>
      </c>
      <c r="T218" s="55">
        <v>7</v>
      </c>
      <c r="U218" s="55">
        <v>3</v>
      </c>
      <c r="V218" s="55">
        <v>16</v>
      </c>
      <c r="W218" s="53">
        <v>1</v>
      </c>
      <c r="X218" s="53">
        <v>12</v>
      </c>
      <c r="Y218" s="55">
        <v>3</v>
      </c>
      <c r="Z218" s="55">
        <v>5</v>
      </c>
      <c r="AA218" s="53">
        <v>3</v>
      </c>
      <c r="AB218" s="53">
        <v>0</v>
      </c>
      <c r="AC218" s="55">
        <v>2</v>
      </c>
      <c r="AD218" s="55">
        <f t="shared" si="98"/>
        <v>11</v>
      </c>
      <c r="AE218" s="53">
        <v>4</v>
      </c>
      <c r="AF218" s="55">
        <v>7</v>
      </c>
      <c r="AG218" s="55">
        <v>0</v>
      </c>
      <c r="AH218" s="55">
        <f t="shared" si="99"/>
        <v>3</v>
      </c>
      <c r="AI218" s="55">
        <v>0</v>
      </c>
      <c r="AJ218" s="55">
        <v>3</v>
      </c>
      <c r="AK218" s="55">
        <v>0</v>
      </c>
      <c r="AL218" s="55">
        <f t="shared" si="100"/>
        <v>13</v>
      </c>
      <c r="AM218" s="55">
        <v>3</v>
      </c>
      <c r="AN218" s="55">
        <v>10</v>
      </c>
      <c r="AO218" s="55">
        <v>0</v>
      </c>
      <c r="AP218" s="55">
        <f t="shared" si="93"/>
        <v>4</v>
      </c>
      <c r="AQ218" s="55">
        <f>IFERROR(VLOOKUP(A218,[1]SIIMPLES!$A$2:$F$418,6,FALSE),0)</f>
        <v>0</v>
      </c>
      <c r="AR218" s="55">
        <v>4</v>
      </c>
      <c r="AS218" s="55">
        <v>7</v>
      </c>
      <c r="AT218" s="55">
        <v>2</v>
      </c>
      <c r="AU218" s="55">
        <v>5</v>
      </c>
      <c r="AV218" s="55">
        <v>0</v>
      </c>
      <c r="AW218" s="55"/>
      <c r="AX218" s="55"/>
      <c r="AY218" s="56">
        <f t="shared" si="101"/>
        <v>9.4</v>
      </c>
      <c r="AZ218" s="55"/>
      <c r="BA218" s="56">
        <v>13</v>
      </c>
      <c r="BB218" s="41">
        <f t="shared" si="102"/>
        <v>-0.27692307692307694</v>
      </c>
      <c r="BC218" s="13"/>
      <c r="BD218" s="35"/>
      <c r="BE218" s="13"/>
      <c r="BF218" s="16"/>
      <c r="BG218" s="17">
        <f t="shared" si="90"/>
        <v>0</v>
      </c>
      <c r="BH218" s="16">
        <f t="shared" si="103"/>
        <v>9.4</v>
      </c>
    </row>
    <row r="219" spans="1:60" s="21" customFormat="1" ht="12.75" customHeight="1" x14ac:dyDescent="0.2">
      <c r="A219" s="51">
        <v>112102</v>
      </c>
      <c r="B219" s="51" t="s">
        <v>1077</v>
      </c>
      <c r="C219" s="66" t="s">
        <v>1803</v>
      </c>
      <c r="D219" s="52" t="s">
        <v>728</v>
      </c>
      <c r="E219" s="65" t="s">
        <v>780</v>
      </c>
      <c r="F219" s="53">
        <f>IFERROR(VLOOKUP(E219,Fornecedores!$A$2:$B$2700,2,FALSE),"")</f>
        <v>2</v>
      </c>
      <c r="G219" s="52" t="s">
        <v>286</v>
      </c>
      <c r="H219" s="57"/>
      <c r="I219" s="55">
        <f t="shared" si="95"/>
        <v>1</v>
      </c>
      <c r="J219" s="55">
        <v>1</v>
      </c>
      <c r="K219" s="55">
        <v>0</v>
      </c>
      <c r="L219" s="55">
        <v>0</v>
      </c>
      <c r="M219" s="55">
        <v>0</v>
      </c>
      <c r="N219" s="55">
        <f t="shared" si="96"/>
        <v>2</v>
      </c>
      <c r="O219" s="55">
        <v>1</v>
      </c>
      <c r="P219" s="55">
        <v>1</v>
      </c>
      <c r="Q219" s="55">
        <v>0</v>
      </c>
      <c r="R219" s="55">
        <f t="shared" si="97"/>
        <v>1</v>
      </c>
      <c r="S219" s="55">
        <v>1</v>
      </c>
      <c r="T219" s="55">
        <v>0</v>
      </c>
      <c r="U219" s="55">
        <v>0</v>
      </c>
      <c r="V219" s="55">
        <v>1</v>
      </c>
      <c r="W219" s="53">
        <v>1</v>
      </c>
      <c r="X219" s="53">
        <v>0</v>
      </c>
      <c r="Y219" s="55">
        <v>0</v>
      </c>
      <c r="Z219" s="55">
        <v>1</v>
      </c>
      <c r="AA219" s="53">
        <v>1</v>
      </c>
      <c r="AB219" s="53">
        <v>0</v>
      </c>
      <c r="AC219" s="55">
        <v>0</v>
      </c>
      <c r="AD219" s="55">
        <f t="shared" si="98"/>
        <v>1</v>
      </c>
      <c r="AE219" s="53">
        <v>1</v>
      </c>
      <c r="AF219" s="55">
        <v>0</v>
      </c>
      <c r="AG219" s="55">
        <v>0</v>
      </c>
      <c r="AH219" s="55">
        <f t="shared" si="99"/>
        <v>2</v>
      </c>
      <c r="AI219" s="55">
        <v>2</v>
      </c>
      <c r="AJ219" s="55">
        <v>0</v>
      </c>
      <c r="AK219" s="55">
        <v>0</v>
      </c>
      <c r="AL219" s="55">
        <f t="shared" si="100"/>
        <v>4</v>
      </c>
      <c r="AM219" s="55">
        <v>3</v>
      </c>
      <c r="AN219" s="55">
        <v>1</v>
      </c>
      <c r="AO219" s="55">
        <v>0</v>
      </c>
      <c r="AP219" s="55">
        <f t="shared" si="93"/>
        <v>4</v>
      </c>
      <c r="AQ219" s="55">
        <f>IFERROR(VLOOKUP(A219,[1]SIIMPLES!$A$2:$F$418,6,FALSE),0)</f>
        <v>4</v>
      </c>
      <c r="AR219" s="55">
        <v>0</v>
      </c>
      <c r="AS219" s="55">
        <v>0</v>
      </c>
      <c r="AT219" s="55">
        <v>0</v>
      </c>
      <c r="AU219" s="55">
        <v>0</v>
      </c>
      <c r="AV219" s="55">
        <v>0</v>
      </c>
      <c r="AW219" s="55"/>
      <c r="AX219" s="55"/>
      <c r="AY219" s="56">
        <f t="shared" si="101"/>
        <v>1.7</v>
      </c>
      <c r="AZ219" s="55"/>
      <c r="BA219" s="56">
        <v>1.5</v>
      </c>
      <c r="BB219" s="41">
        <f t="shared" si="102"/>
        <v>0.1333333333333333</v>
      </c>
      <c r="BC219" s="13"/>
      <c r="BD219" s="36"/>
      <c r="BE219" s="7"/>
      <c r="BF219" s="7"/>
      <c r="BG219" s="17">
        <f t="shared" si="90"/>
        <v>0</v>
      </c>
      <c r="BH219" s="7"/>
    </row>
    <row r="220" spans="1:60" s="21" customFormat="1" ht="12.75" customHeight="1" x14ac:dyDescent="0.2">
      <c r="A220" s="51">
        <v>112057</v>
      </c>
      <c r="B220" s="51" t="s">
        <v>1077</v>
      </c>
      <c r="C220" s="66" t="s">
        <v>1803</v>
      </c>
      <c r="D220" s="52" t="s">
        <v>728</v>
      </c>
      <c r="E220" s="65" t="s">
        <v>780</v>
      </c>
      <c r="F220" s="53">
        <f>IFERROR(VLOOKUP(E220,Fornecedores!$A$2:$B$2700,2,FALSE),"")</f>
        <v>2</v>
      </c>
      <c r="G220" s="52" t="s">
        <v>635</v>
      </c>
      <c r="H220" s="57"/>
      <c r="I220" s="55">
        <f t="shared" si="95"/>
        <v>2</v>
      </c>
      <c r="J220" s="55">
        <v>1</v>
      </c>
      <c r="K220" s="55">
        <v>1</v>
      </c>
      <c r="L220" s="55">
        <v>0</v>
      </c>
      <c r="M220" s="55">
        <v>0</v>
      </c>
      <c r="N220" s="55">
        <f t="shared" si="96"/>
        <v>2</v>
      </c>
      <c r="O220" s="55">
        <v>1</v>
      </c>
      <c r="P220" s="55">
        <v>1</v>
      </c>
      <c r="Q220" s="55">
        <v>0</v>
      </c>
      <c r="R220" s="55">
        <f t="shared" si="97"/>
        <v>8</v>
      </c>
      <c r="S220" s="55">
        <v>0</v>
      </c>
      <c r="T220" s="55">
        <v>1</v>
      </c>
      <c r="U220" s="55">
        <v>7</v>
      </c>
      <c r="V220" s="55">
        <v>9</v>
      </c>
      <c r="W220" s="53">
        <v>1</v>
      </c>
      <c r="X220" s="53">
        <v>1</v>
      </c>
      <c r="Y220" s="55">
        <v>7</v>
      </c>
      <c r="Z220" s="55">
        <v>1</v>
      </c>
      <c r="AA220" s="53">
        <v>0</v>
      </c>
      <c r="AB220" s="53">
        <v>1</v>
      </c>
      <c r="AC220" s="55">
        <v>0</v>
      </c>
      <c r="AD220" s="55">
        <f t="shared" si="98"/>
        <v>7</v>
      </c>
      <c r="AE220" s="53">
        <v>0</v>
      </c>
      <c r="AF220" s="55">
        <v>1</v>
      </c>
      <c r="AG220" s="55">
        <v>6</v>
      </c>
      <c r="AH220" s="55">
        <f t="shared" si="99"/>
        <v>1</v>
      </c>
      <c r="AI220" s="55">
        <v>0</v>
      </c>
      <c r="AJ220" s="55">
        <v>1</v>
      </c>
      <c r="AK220" s="55">
        <v>0</v>
      </c>
      <c r="AL220" s="55">
        <f t="shared" si="100"/>
        <v>6</v>
      </c>
      <c r="AM220" s="55" t="s">
        <v>1912</v>
      </c>
      <c r="AN220" s="55">
        <v>0</v>
      </c>
      <c r="AO220" s="55">
        <v>6</v>
      </c>
      <c r="AP220" s="55">
        <f t="shared" si="93"/>
        <v>4</v>
      </c>
      <c r="AQ220" s="55">
        <f>IFERROR(VLOOKUP(A220,[1]SIIMPLES!$A$2:$F$418,6,FALSE),0)</f>
        <v>4</v>
      </c>
      <c r="AR220" s="55">
        <v>0</v>
      </c>
      <c r="AS220" s="55">
        <v>17</v>
      </c>
      <c r="AT220" s="55">
        <v>2</v>
      </c>
      <c r="AU220" s="55">
        <v>0</v>
      </c>
      <c r="AV220" s="55">
        <v>15</v>
      </c>
      <c r="AW220" s="55"/>
      <c r="AX220" s="55"/>
      <c r="AY220" s="56">
        <f t="shared" si="101"/>
        <v>5.7</v>
      </c>
      <c r="AZ220" s="55"/>
      <c r="BA220" s="56">
        <v>16.666666666666668</v>
      </c>
      <c r="BB220" s="41">
        <f t="shared" si="102"/>
        <v>-0.65800000000000003</v>
      </c>
      <c r="BC220" s="13"/>
      <c r="BD220" s="35"/>
      <c r="BE220" s="13"/>
      <c r="BF220" s="16"/>
      <c r="BG220" s="17">
        <f t="shared" si="90"/>
        <v>0</v>
      </c>
      <c r="BH220" s="16">
        <f>IFERROR(IF(F220=1,IF(BC220&lt;AY220*3,AY220*3-BC220,0),IF(BC220&lt;AY220,AY220-BC220,0)),"")</f>
        <v>5.7</v>
      </c>
    </row>
    <row r="221" spans="1:60" s="21" customFormat="1" ht="12.75" customHeight="1" x14ac:dyDescent="0.2">
      <c r="A221" s="68">
        <v>332092</v>
      </c>
      <c r="B221" s="51"/>
      <c r="C221" s="66" t="s">
        <v>1803</v>
      </c>
      <c r="D221" s="52" t="s">
        <v>728</v>
      </c>
      <c r="E221" s="65" t="s">
        <v>780</v>
      </c>
      <c r="F221" s="53">
        <f>IFERROR(VLOOKUP(E221,Fornecedores!$A$2:$B$2700,2,FALSE),"")</f>
        <v>2</v>
      </c>
      <c r="G221" s="52" t="s">
        <v>1431</v>
      </c>
      <c r="H221" s="57"/>
      <c r="I221" s="55">
        <f t="shared" si="95"/>
        <v>2</v>
      </c>
      <c r="J221" s="55">
        <v>1</v>
      </c>
      <c r="K221" s="55">
        <v>0</v>
      </c>
      <c r="L221" s="55">
        <v>0</v>
      </c>
      <c r="M221" s="55">
        <v>1</v>
      </c>
      <c r="N221" s="55">
        <f t="shared" si="96"/>
        <v>0</v>
      </c>
      <c r="O221" s="55">
        <v>0</v>
      </c>
      <c r="P221" s="55">
        <v>0</v>
      </c>
      <c r="Q221" s="55">
        <v>0</v>
      </c>
      <c r="R221" s="55">
        <f t="shared" si="97"/>
        <v>1</v>
      </c>
      <c r="S221" s="55">
        <v>1</v>
      </c>
      <c r="T221" s="55">
        <v>0</v>
      </c>
      <c r="U221" s="55">
        <v>0</v>
      </c>
      <c r="V221" s="55">
        <v>2</v>
      </c>
      <c r="W221" s="53">
        <v>2</v>
      </c>
      <c r="X221" s="53">
        <v>0</v>
      </c>
      <c r="Y221" s="55">
        <v>0</v>
      </c>
      <c r="Z221" s="55">
        <v>0</v>
      </c>
      <c r="AA221" s="53">
        <v>0</v>
      </c>
      <c r="AB221" s="53">
        <v>0</v>
      </c>
      <c r="AC221" s="55">
        <v>0</v>
      </c>
      <c r="AD221" s="55">
        <f t="shared" si="98"/>
        <v>0</v>
      </c>
      <c r="AE221" s="53">
        <v>0</v>
      </c>
      <c r="AF221" s="55">
        <v>0</v>
      </c>
      <c r="AG221" s="55">
        <v>0</v>
      </c>
      <c r="AH221" s="55">
        <f t="shared" si="99"/>
        <v>1</v>
      </c>
      <c r="AI221" s="55">
        <v>1</v>
      </c>
      <c r="AJ221" s="55">
        <v>0</v>
      </c>
      <c r="AK221" s="55">
        <v>0</v>
      </c>
      <c r="AL221" s="55">
        <f t="shared" si="100"/>
        <v>5</v>
      </c>
      <c r="AM221" s="55">
        <v>5</v>
      </c>
      <c r="AN221" s="55">
        <v>0</v>
      </c>
      <c r="AO221" s="55">
        <v>0</v>
      </c>
      <c r="AP221" s="55">
        <f t="shared" si="93"/>
        <v>4</v>
      </c>
      <c r="AQ221" s="55">
        <f>IFERROR(VLOOKUP(A221,[1]SIIMPLES!$A$2:$F$418,6,FALSE),0)</f>
        <v>4</v>
      </c>
      <c r="AR221" s="55">
        <v>0</v>
      </c>
      <c r="AS221" s="55">
        <v>1</v>
      </c>
      <c r="AT221" s="55">
        <v>1</v>
      </c>
      <c r="AU221" s="55">
        <v>0</v>
      </c>
      <c r="AV221" s="55">
        <v>0</v>
      </c>
      <c r="AW221" s="57"/>
      <c r="AX221" s="55"/>
      <c r="AY221" s="56">
        <f t="shared" si="101"/>
        <v>1.6</v>
      </c>
      <c r="AZ221" s="55"/>
      <c r="BA221" s="56">
        <v>1</v>
      </c>
      <c r="BB221" s="41">
        <f t="shared" si="102"/>
        <v>0.60000000000000009</v>
      </c>
      <c r="BC221" s="13"/>
      <c r="BD221" s="36"/>
      <c r="BE221" s="7"/>
      <c r="BF221" s="7"/>
      <c r="BG221" s="17">
        <f t="shared" si="90"/>
        <v>0</v>
      </c>
      <c r="BH221" s="7"/>
    </row>
    <row r="222" spans="1:60" s="21" customFormat="1" ht="12.75" customHeight="1" x14ac:dyDescent="0.2">
      <c r="A222" s="51">
        <v>332116</v>
      </c>
      <c r="B222" s="51" t="s">
        <v>1077</v>
      </c>
      <c r="C222" s="66" t="s">
        <v>1803</v>
      </c>
      <c r="D222" s="52" t="s">
        <v>728</v>
      </c>
      <c r="E222" s="65" t="s">
        <v>780</v>
      </c>
      <c r="F222" s="53">
        <f>IFERROR(VLOOKUP(E222,Fornecedores!$A$2:$B$2700,2,FALSE),"")</f>
        <v>2</v>
      </c>
      <c r="G222" s="52" t="s">
        <v>404</v>
      </c>
      <c r="H222" s="57"/>
      <c r="I222" s="55">
        <f t="shared" si="95"/>
        <v>0</v>
      </c>
      <c r="J222" s="55">
        <v>0</v>
      </c>
      <c r="K222" s="55">
        <v>0</v>
      </c>
      <c r="L222" s="55">
        <v>0</v>
      </c>
      <c r="M222" s="55">
        <v>0</v>
      </c>
      <c r="N222" s="55">
        <f t="shared" si="96"/>
        <v>1</v>
      </c>
      <c r="O222" s="55">
        <v>0</v>
      </c>
      <c r="P222" s="55">
        <v>1</v>
      </c>
      <c r="Q222" s="55">
        <v>0</v>
      </c>
      <c r="R222" s="55">
        <f t="shared" si="97"/>
        <v>0</v>
      </c>
      <c r="S222" s="55">
        <v>0</v>
      </c>
      <c r="T222" s="55">
        <v>0</v>
      </c>
      <c r="U222" s="55">
        <v>0</v>
      </c>
      <c r="V222" s="55">
        <v>3</v>
      </c>
      <c r="W222" s="53">
        <v>0</v>
      </c>
      <c r="X222" s="53">
        <v>3</v>
      </c>
      <c r="Y222" s="55">
        <v>0</v>
      </c>
      <c r="Z222" s="55">
        <v>1</v>
      </c>
      <c r="AA222" s="53">
        <v>0</v>
      </c>
      <c r="AB222" s="53">
        <v>1</v>
      </c>
      <c r="AC222" s="55">
        <v>0</v>
      </c>
      <c r="AD222" s="55">
        <f t="shared" si="98"/>
        <v>1</v>
      </c>
      <c r="AE222" s="53">
        <v>0</v>
      </c>
      <c r="AF222" s="55">
        <v>1</v>
      </c>
      <c r="AG222" s="55">
        <v>0</v>
      </c>
      <c r="AH222" s="55">
        <f t="shared" si="99"/>
        <v>1</v>
      </c>
      <c r="AI222" s="55">
        <v>1</v>
      </c>
      <c r="AJ222" s="55">
        <v>0</v>
      </c>
      <c r="AK222" s="55">
        <v>0</v>
      </c>
      <c r="AL222" s="55">
        <f t="shared" si="100"/>
        <v>3</v>
      </c>
      <c r="AM222" s="55">
        <v>3</v>
      </c>
      <c r="AN222" s="55">
        <v>0</v>
      </c>
      <c r="AO222" s="55">
        <v>0</v>
      </c>
      <c r="AP222" s="55">
        <f t="shared" si="93"/>
        <v>4</v>
      </c>
      <c r="AQ222" s="55">
        <f>IFERROR(VLOOKUP(A222,[1]SIIMPLES!$A$2:$F$418,6,FALSE),0)</f>
        <v>2</v>
      </c>
      <c r="AR222" s="55">
        <v>2</v>
      </c>
      <c r="AS222" s="55">
        <v>4</v>
      </c>
      <c r="AT222" s="55">
        <v>3</v>
      </c>
      <c r="AU222" s="55">
        <v>1</v>
      </c>
      <c r="AV222" s="55">
        <v>0</v>
      </c>
      <c r="AW222" s="55"/>
      <c r="AX222" s="55"/>
      <c r="AY222" s="56">
        <f t="shared" si="101"/>
        <v>1.8</v>
      </c>
      <c r="AZ222" s="55"/>
      <c r="BA222" s="56">
        <v>0.33333333333333331</v>
      </c>
      <c r="BB222" s="41">
        <f t="shared" si="102"/>
        <v>4.4000000000000004</v>
      </c>
      <c r="BC222" s="13"/>
      <c r="BD222" s="36"/>
      <c r="BE222" s="7"/>
      <c r="BF222" s="7"/>
      <c r="BG222" s="7"/>
      <c r="BH222" s="7"/>
    </row>
    <row r="223" spans="1:60" s="21" customFormat="1" ht="12.75" customHeight="1" x14ac:dyDescent="0.2">
      <c r="A223" s="51">
        <v>442097</v>
      </c>
      <c r="B223" s="51" t="s">
        <v>1077</v>
      </c>
      <c r="C223" s="66" t="s">
        <v>1803</v>
      </c>
      <c r="D223" s="52" t="s">
        <v>728</v>
      </c>
      <c r="E223" s="65" t="s">
        <v>780</v>
      </c>
      <c r="F223" s="53">
        <f>IFERROR(VLOOKUP(E223,Fornecedores!$A$2:$B$2700,2,FALSE),"")</f>
        <v>2</v>
      </c>
      <c r="G223" s="52" t="s">
        <v>510</v>
      </c>
      <c r="H223" s="57"/>
      <c r="I223" s="55">
        <f t="shared" si="95"/>
        <v>4</v>
      </c>
      <c r="J223" s="55">
        <v>4</v>
      </c>
      <c r="K223" s="55">
        <v>0</v>
      </c>
      <c r="L223" s="55">
        <v>0</v>
      </c>
      <c r="M223" s="55">
        <v>0</v>
      </c>
      <c r="N223" s="55">
        <f t="shared" si="96"/>
        <v>0</v>
      </c>
      <c r="O223" s="55">
        <v>0</v>
      </c>
      <c r="P223" s="55">
        <v>0</v>
      </c>
      <c r="Q223" s="55">
        <v>0</v>
      </c>
      <c r="R223" s="55">
        <f t="shared" si="97"/>
        <v>3</v>
      </c>
      <c r="S223" s="55">
        <v>3</v>
      </c>
      <c r="T223" s="55">
        <v>0</v>
      </c>
      <c r="U223" s="55">
        <v>0</v>
      </c>
      <c r="V223" s="55">
        <v>4</v>
      </c>
      <c r="W223" s="53">
        <v>3</v>
      </c>
      <c r="X223" s="53">
        <v>0</v>
      </c>
      <c r="Y223" s="55">
        <v>1</v>
      </c>
      <c r="Z223" s="55">
        <v>2</v>
      </c>
      <c r="AA223" s="53">
        <v>2</v>
      </c>
      <c r="AB223" s="53">
        <v>0</v>
      </c>
      <c r="AC223" s="55">
        <v>0</v>
      </c>
      <c r="AD223" s="55">
        <f t="shared" si="98"/>
        <v>1</v>
      </c>
      <c r="AE223" s="53">
        <v>1</v>
      </c>
      <c r="AF223" s="55">
        <v>0</v>
      </c>
      <c r="AG223" s="55">
        <v>0</v>
      </c>
      <c r="AH223" s="55">
        <f t="shared" si="99"/>
        <v>1</v>
      </c>
      <c r="AI223" s="55">
        <v>1</v>
      </c>
      <c r="AJ223" s="55">
        <v>0</v>
      </c>
      <c r="AK223" s="55">
        <v>0</v>
      </c>
      <c r="AL223" s="55">
        <f t="shared" si="100"/>
        <v>2</v>
      </c>
      <c r="AM223" s="55">
        <v>2</v>
      </c>
      <c r="AN223" s="55">
        <v>0</v>
      </c>
      <c r="AO223" s="55">
        <v>0</v>
      </c>
      <c r="AP223" s="55">
        <f t="shared" si="93"/>
        <v>4</v>
      </c>
      <c r="AQ223" s="55">
        <f>IFERROR(VLOOKUP(A223,[1]SIIMPLES!$A$2:$F$418,6,FALSE),0)</f>
        <v>4</v>
      </c>
      <c r="AR223" s="55">
        <v>0</v>
      </c>
      <c r="AS223" s="55">
        <v>2</v>
      </c>
      <c r="AT223" s="55">
        <v>2</v>
      </c>
      <c r="AU223" s="55">
        <v>0</v>
      </c>
      <c r="AV223" s="55">
        <v>0</v>
      </c>
      <c r="AW223" s="55"/>
      <c r="AX223" s="55"/>
      <c r="AY223" s="56">
        <f t="shared" si="101"/>
        <v>2.2999999999999998</v>
      </c>
      <c r="AZ223" s="55"/>
      <c r="BA223" s="56">
        <v>1</v>
      </c>
      <c r="BB223" s="41">
        <f t="shared" si="102"/>
        <v>1.2999999999999998</v>
      </c>
      <c r="BC223" s="10"/>
      <c r="BD223" s="35"/>
      <c r="BE223" s="13"/>
      <c r="BF223" s="16"/>
      <c r="BG223" s="17">
        <f t="shared" ref="BG223:BG242" si="104">IFERROR(BC223/AY223,"0")</f>
        <v>0</v>
      </c>
      <c r="BH223" s="16">
        <f t="shared" ref="BH223:BH232" si="105">IFERROR(IF(F223=1,IF(BC223&lt;AY223*3,AY223*3-BC223,0),IF(BC223&lt;AY223,AY223-BC223,0)),"")</f>
        <v>2.2999999999999998</v>
      </c>
    </row>
    <row r="224" spans="1:60" s="21" customFormat="1" ht="12.75" customHeight="1" x14ac:dyDescent="0.2">
      <c r="A224" s="51">
        <v>662030</v>
      </c>
      <c r="B224" s="51" t="s">
        <v>1077</v>
      </c>
      <c r="C224" s="66" t="s">
        <v>1803</v>
      </c>
      <c r="D224" s="52" t="s">
        <v>728</v>
      </c>
      <c r="E224" s="65" t="s">
        <v>780</v>
      </c>
      <c r="F224" s="53">
        <f>IFERROR(VLOOKUP(E224,Fornecedores!$A$2:$B$2700,2,FALSE),"")</f>
        <v>2</v>
      </c>
      <c r="G224" s="52" t="s">
        <v>394</v>
      </c>
      <c r="H224" s="57"/>
      <c r="I224" s="55">
        <f t="shared" si="95"/>
        <v>1</v>
      </c>
      <c r="J224" s="55">
        <v>1</v>
      </c>
      <c r="K224" s="55">
        <v>0</v>
      </c>
      <c r="L224" s="55">
        <v>0</v>
      </c>
      <c r="M224" s="55">
        <v>0</v>
      </c>
      <c r="N224" s="55">
        <f t="shared" si="96"/>
        <v>5</v>
      </c>
      <c r="O224" s="55">
        <v>1</v>
      </c>
      <c r="P224" s="55">
        <v>4</v>
      </c>
      <c r="Q224" s="55">
        <v>0</v>
      </c>
      <c r="R224" s="55">
        <f t="shared" si="97"/>
        <v>2</v>
      </c>
      <c r="S224" s="55">
        <v>1</v>
      </c>
      <c r="T224" s="55">
        <v>1</v>
      </c>
      <c r="U224" s="55">
        <v>0</v>
      </c>
      <c r="V224" s="55">
        <v>5</v>
      </c>
      <c r="W224" s="53">
        <v>2</v>
      </c>
      <c r="X224" s="53">
        <v>3</v>
      </c>
      <c r="Y224" s="55">
        <v>0</v>
      </c>
      <c r="Z224" s="55">
        <v>5</v>
      </c>
      <c r="AA224" s="53">
        <v>3</v>
      </c>
      <c r="AB224" s="53">
        <v>2</v>
      </c>
      <c r="AC224" s="55">
        <v>0</v>
      </c>
      <c r="AD224" s="55">
        <f t="shared" si="98"/>
        <v>7</v>
      </c>
      <c r="AE224" s="53">
        <v>6</v>
      </c>
      <c r="AF224" s="55">
        <v>1</v>
      </c>
      <c r="AG224" s="55">
        <v>0</v>
      </c>
      <c r="AH224" s="55">
        <f t="shared" si="99"/>
        <v>1</v>
      </c>
      <c r="AI224" s="55">
        <v>1</v>
      </c>
      <c r="AJ224" s="55">
        <v>0</v>
      </c>
      <c r="AK224" s="55">
        <v>0</v>
      </c>
      <c r="AL224" s="55">
        <f t="shared" si="100"/>
        <v>3</v>
      </c>
      <c r="AM224" s="55" t="s">
        <v>1912</v>
      </c>
      <c r="AN224" s="55">
        <v>3</v>
      </c>
      <c r="AO224" s="55">
        <v>0</v>
      </c>
      <c r="AP224" s="55">
        <f t="shared" si="93"/>
        <v>4</v>
      </c>
      <c r="AQ224" s="55">
        <f>IFERROR(VLOOKUP(A224,[1]SIIMPLES!$A$2:$F$418,6,FALSE),0)</f>
        <v>1</v>
      </c>
      <c r="AR224" s="55">
        <v>3</v>
      </c>
      <c r="AS224" s="55">
        <v>1</v>
      </c>
      <c r="AT224" s="55">
        <v>0</v>
      </c>
      <c r="AU224" s="55">
        <v>1</v>
      </c>
      <c r="AV224" s="55">
        <v>0</v>
      </c>
      <c r="AW224" s="55"/>
      <c r="AX224" s="55"/>
      <c r="AY224" s="56">
        <f t="shared" si="101"/>
        <v>3.4</v>
      </c>
      <c r="AZ224" s="55"/>
      <c r="BA224" s="56">
        <v>5.5</v>
      </c>
      <c r="BB224" s="41">
        <f t="shared" si="102"/>
        <v>-0.38181818181818183</v>
      </c>
      <c r="BC224" s="10"/>
      <c r="BD224" s="35"/>
      <c r="BE224" s="13"/>
      <c r="BF224" s="16"/>
      <c r="BG224" s="17">
        <f t="shared" si="104"/>
        <v>0</v>
      </c>
      <c r="BH224" s="16">
        <f t="shared" si="105"/>
        <v>3.4</v>
      </c>
    </row>
    <row r="225" spans="1:60" s="21" customFormat="1" ht="12.75" customHeight="1" x14ac:dyDescent="0.2">
      <c r="A225" s="51">
        <v>772110</v>
      </c>
      <c r="B225" s="51" t="s">
        <v>1077</v>
      </c>
      <c r="C225" s="66" t="s">
        <v>1803</v>
      </c>
      <c r="D225" s="52" t="s">
        <v>728</v>
      </c>
      <c r="E225" s="65" t="s">
        <v>780</v>
      </c>
      <c r="F225" s="53">
        <f>IFERROR(VLOOKUP(E225,Fornecedores!$A$2:$B$2700,2,FALSE),"")</f>
        <v>2</v>
      </c>
      <c r="G225" s="52" t="s">
        <v>316</v>
      </c>
      <c r="H225" s="57"/>
      <c r="I225" s="55">
        <f t="shared" si="95"/>
        <v>0</v>
      </c>
      <c r="J225" s="55">
        <v>0</v>
      </c>
      <c r="K225" s="55">
        <v>0</v>
      </c>
      <c r="L225" s="55">
        <v>0</v>
      </c>
      <c r="M225" s="55">
        <v>0</v>
      </c>
      <c r="N225" s="55">
        <f t="shared" si="96"/>
        <v>2</v>
      </c>
      <c r="O225" s="55">
        <v>0</v>
      </c>
      <c r="P225" s="55">
        <v>2</v>
      </c>
      <c r="Q225" s="55">
        <v>0</v>
      </c>
      <c r="R225" s="55">
        <f t="shared" si="97"/>
        <v>1</v>
      </c>
      <c r="S225" s="55">
        <v>0</v>
      </c>
      <c r="T225" s="55">
        <v>1</v>
      </c>
      <c r="U225" s="55">
        <v>0</v>
      </c>
      <c r="V225" s="55">
        <v>4</v>
      </c>
      <c r="W225" s="53">
        <v>0</v>
      </c>
      <c r="X225" s="53">
        <v>4</v>
      </c>
      <c r="Y225" s="55">
        <v>0</v>
      </c>
      <c r="Z225" s="55">
        <v>1</v>
      </c>
      <c r="AA225" s="53">
        <v>0</v>
      </c>
      <c r="AB225" s="53">
        <v>1</v>
      </c>
      <c r="AC225" s="55">
        <v>0</v>
      </c>
      <c r="AD225" s="55">
        <f t="shared" si="98"/>
        <v>2</v>
      </c>
      <c r="AE225" s="53">
        <v>0</v>
      </c>
      <c r="AF225" s="55">
        <v>2</v>
      </c>
      <c r="AG225" s="55">
        <v>0</v>
      </c>
      <c r="AH225" s="55">
        <f t="shared" si="99"/>
        <v>1</v>
      </c>
      <c r="AI225" s="55">
        <v>0</v>
      </c>
      <c r="AJ225" s="55">
        <v>1</v>
      </c>
      <c r="AK225" s="55">
        <v>0</v>
      </c>
      <c r="AL225" s="55">
        <f t="shared" si="100"/>
        <v>4</v>
      </c>
      <c r="AM225" s="55" t="s">
        <v>1912</v>
      </c>
      <c r="AN225" s="55">
        <v>4</v>
      </c>
      <c r="AO225" s="55">
        <v>0</v>
      </c>
      <c r="AP225" s="55">
        <f t="shared" si="93"/>
        <v>4</v>
      </c>
      <c r="AQ225" s="55">
        <f>IFERROR(VLOOKUP(A225,[1]SIIMPLES!$A$2:$F$418,6,FALSE),0)</f>
        <v>0</v>
      </c>
      <c r="AR225" s="55">
        <v>4</v>
      </c>
      <c r="AS225" s="55">
        <v>0</v>
      </c>
      <c r="AT225" s="55">
        <v>0</v>
      </c>
      <c r="AU225" s="55">
        <v>0</v>
      </c>
      <c r="AV225" s="55">
        <v>0</v>
      </c>
      <c r="AW225" s="55"/>
      <c r="AX225" s="55"/>
      <c r="AY225" s="56">
        <f t="shared" si="101"/>
        <v>1.9</v>
      </c>
      <c r="AZ225" s="55"/>
      <c r="BA225" s="56">
        <v>2.1666666666666665</v>
      </c>
      <c r="BB225" s="41">
        <f t="shared" si="102"/>
        <v>-0.12307692307692308</v>
      </c>
      <c r="BC225" s="13"/>
      <c r="BD225" s="35"/>
      <c r="BE225" s="13"/>
      <c r="BF225" s="16"/>
      <c r="BG225" s="17">
        <f t="shared" si="104"/>
        <v>0</v>
      </c>
      <c r="BH225" s="16">
        <f t="shared" si="105"/>
        <v>1.9</v>
      </c>
    </row>
    <row r="226" spans="1:60" s="21" customFormat="1" ht="12.75" customHeight="1" x14ac:dyDescent="0.2">
      <c r="A226" s="51">
        <v>772111</v>
      </c>
      <c r="B226" s="51" t="s">
        <v>1077</v>
      </c>
      <c r="C226" s="66" t="s">
        <v>1803</v>
      </c>
      <c r="D226" s="52" t="s">
        <v>728</v>
      </c>
      <c r="E226" s="65" t="s">
        <v>780</v>
      </c>
      <c r="F226" s="53">
        <f>IFERROR(VLOOKUP(E226,Fornecedores!$A$2:$B$2700,2,FALSE),"")</f>
        <v>2</v>
      </c>
      <c r="G226" s="52" t="s">
        <v>629</v>
      </c>
      <c r="H226" s="57"/>
      <c r="I226" s="55">
        <f t="shared" si="95"/>
        <v>0</v>
      </c>
      <c r="J226" s="55">
        <v>0</v>
      </c>
      <c r="K226" s="55">
        <v>0</v>
      </c>
      <c r="L226" s="55">
        <v>0</v>
      </c>
      <c r="M226" s="55">
        <v>0</v>
      </c>
      <c r="N226" s="55">
        <f t="shared" si="96"/>
        <v>2</v>
      </c>
      <c r="O226" s="55">
        <v>0</v>
      </c>
      <c r="P226" s="55">
        <v>2</v>
      </c>
      <c r="Q226" s="55">
        <v>0</v>
      </c>
      <c r="R226" s="55">
        <f t="shared" si="97"/>
        <v>1</v>
      </c>
      <c r="S226" s="55">
        <v>0</v>
      </c>
      <c r="T226" s="55">
        <v>1</v>
      </c>
      <c r="U226" s="55">
        <v>0</v>
      </c>
      <c r="V226" s="55">
        <v>4</v>
      </c>
      <c r="W226" s="53">
        <v>0</v>
      </c>
      <c r="X226" s="53">
        <v>4</v>
      </c>
      <c r="Y226" s="55">
        <v>0</v>
      </c>
      <c r="Z226" s="55">
        <v>1</v>
      </c>
      <c r="AA226" s="53">
        <v>0</v>
      </c>
      <c r="AB226" s="53">
        <v>1</v>
      </c>
      <c r="AC226" s="55">
        <v>0</v>
      </c>
      <c r="AD226" s="55">
        <f t="shared" si="98"/>
        <v>2</v>
      </c>
      <c r="AE226" s="53">
        <v>0</v>
      </c>
      <c r="AF226" s="55">
        <v>2</v>
      </c>
      <c r="AG226" s="55">
        <v>0</v>
      </c>
      <c r="AH226" s="55">
        <f t="shared" si="99"/>
        <v>1</v>
      </c>
      <c r="AI226" s="55">
        <v>0</v>
      </c>
      <c r="AJ226" s="55">
        <v>1</v>
      </c>
      <c r="AK226" s="55">
        <v>0</v>
      </c>
      <c r="AL226" s="55">
        <f t="shared" si="100"/>
        <v>4</v>
      </c>
      <c r="AM226" s="55" t="s">
        <v>1912</v>
      </c>
      <c r="AN226" s="55">
        <v>4</v>
      </c>
      <c r="AO226" s="55">
        <v>0</v>
      </c>
      <c r="AP226" s="55">
        <f t="shared" si="93"/>
        <v>4</v>
      </c>
      <c r="AQ226" s="55">
        <f>IFERROR(VLOOKUP(A226,[1]SIIMPLES!$A$2:$F$418,6,FALSE),0)</f>
        <v>0</v>
      </c>
      <c r="AR226" s="55">
        <v>4</v>
      </c>
      <c r="AS226" s="55">
        <v>1</v>
      </c>
      <c r="AT226" s="55">
        <v>1</v>
      </c>
      <c r="AU226" s="55">
        <v>0</v>
      </c>
      <c r="AV226" s="55">
        <v>0</v>
      </c>
      <c r="AW226" s="55"/>
      <c r="AX226" s="55"/>
      <c r="AY226" s="56">
        <f t="shared" si="101"/>
        <v>2</v>
      </c>
      <c r="AZ226" s="55"/>
      <c r="BA226" s="56">
        <v>2.3333333333333335</v>
      </c>
      <c r="BB226" s="41">
        <f t="shared" si="102"/>
        <v>-0.1428571428571429</v>
      </c>
      <c r="BC226" s="13"/>
      <c r="BD226" s="35"/>
      <c r="BE226" s="13"/>
      <c r="BF226" s="16"/>
      <c r="BG226" s="17">
        <f t="shared" si="104"/>
        <v>0</v>
      </c>
      <c r="BH226" s="16">
        <f t="shared" si="105"/>
        <v>2</v>
      </c>
    </row>
    <row r="227" spans="1:60" s="21" customFormat="1" ht="12.75" customHeight="1" x14ac:dyDescent="0.2">
      <c r="A227" s="51">
        <v>112013</v>
      </c>
      <c r="B227" s="51" t="s">
        <v>1077</v>
      </c>
      <c r="C227" s="66" t="s">
        <v>1803</v>
      </c>
      <c r="D227" s="52" t="s">
        <v>728</v>
      </c>
      <c r="E227" s="65" t="s">
        <v>780</v>
      </c>
      <c r="F227" s="53">
        <f>IFERROR(VLOOKUP(E227,Fornecedores!$A$2:$B$2700,2,FALSE),"")</f>
        <v>2</v>
      </c>
      <c r="G227" s="52" t="s">
        <v>285</v>
      </c>
      <c r="H227" s="57"/>
      <c r="I227" s="55">
        <f t="shared" si="95"/>
        <v>2</v>
      </c>
      <c r="J227" s="55">
        <v>1</v>
      </c>
      <c r="K227" s="55">
        <v>1</v>
      </c>
      <c r="L227" s="55">
        <v>0</v>
      </c>
      <c r="M227" s="55">
        <v>0</v>
      </c>
      <c r="N227" s="55">
        <f t="shared" si="96"/>
        <v>2</v>
      </c>
      <c r="O227" s="55">
        <v>2</v>
      </c>
      <c r="P227" s="55">
        <v>0</v>
      </c>
      <c r="Q227" s="55">
        <v>0</v>
      </c>
      <c r="R227" s="55">
        <f t="shared" si="97"/>
        <v>0</v>
      </c>
      <c r="S227" s="55">
        <v>0</v>
      </c>
      <c r="T227" s="55">
        <v>0</v>
      </c>
      <c r="U227" s="55">
        <v>0</v>
      </c>
      <c r="V227" s="55">
        <v>0</v>
      </c>
      <c r="W227" s="53">
        <v>0</v>
      </c>
      <c r="X227" s="53">
        <v>0</v>
      </c>
      <c r="Y227" s="55">
        <v>0</v>
      </c>
      <c r="Z227" s="55">
        <v>0</v>
      </c>
      <c r="AA227" s="53">
        <v>0</v>
      </c>
      <c r="AB227" s="53">
        <v>0</v>
      </c>
      <c r="AC227" s="55">
        <v>0</v>
      </c>
      <c r="AD227" s="55">
        <f t="shared" si="98"/>
        <v>3</v>
      </c>
      <c r="AE227" s="53">
        <v>2</v>
      </c>
      <c r="AF227" s="55">
        <v>1</v>
      </c>
      <c r="AG227" s="55">
        <v>0</v>
      </c>
      <c r="AH227" s="55">
        <f t="shared" si="99"/>
        <v>0</v>
      </c>
      <c r="AI227" s="55">
        <v>0</v>
      </c>
      <c r="AJ227" s="55">
        <v>0</v>
      </c>
      <c r="AK227" s="55">
        <v>0</v>
      </c>
      <c r="AL227" s="55">
        <f t="shared" si="100"/>
        <v>0</v>
      </c>
      <c r="AM227" s="55" t="s">
        <v>1912</v>
      </c>
      <c r="AN227" s="55">
        <v>0</v>
      </c>
      <c r="AO227" s="55">
        <v>0</v>
      </c>
      <c r="AP227" s="55">
        <f t="shared" si="93"/>
        <v>4</v>
      </c>
      <c r="AQ227" s="55">
        <f>IFERROR(VLOOKUP(A227,[1]SIIMPLES!$A$2:$F$418,6,FALSE),0)</f>
        <v>3</v>
      </c>
      <c r="AR227" s="55">
        <v>1</v>
      </c>
      <c r="AS227" s="55">
        <v>1</v>
      </c>
      <c r="AT227" s="55">
        <v>0</v>
      </c>
      <c r="AU227" s="55">
        <v>1</v>
      </c>
      <c r="AV227" s="55">
        <v>0</v>
      </c>
      <c r="AW227" s="55"/>
      <c r="AX227" s="55"/>
      <c r="AY227" s="56">
        <f t="shared" si="101"/>
        <v>1.2</v>
      </c>
      <c r="AZ227" s="55"/>
      <c r="BA227" s="56">
        <v>7.5</v>
      </c>
      <c r="BB227" s="41">
        <f t="shared" si="102"/>
        <v>-0.84</v>
      </c>
      <c r="BC227" s="13"/>
      <c r="BD227" s="35"/>
      <c r="BE227" s="13"/>
      <c r="BF227" s="16"/>
      <c r="BG227" s="17">
        <f t="shared" si="104"/>
        <v>0</v>
      </c>
      <c r="BH227" s="16">
        <f t="shared" si="105"/>
        <v>1.2</v>
      </c>
    </row>
    <row r="228" spans="1:60" s="21" customFormat="1" ht="12.75" customHeight="1" x14ac:dyDescent="0.2">
      <c r="A228" s="51">
        <v>112090</v>
      </c>
      <c r="B228" s="51" t="s">
        <v>1077</v>
      </c>
      <c r="C228" s="66" t="s">
        <v>1803</v>
      </c>
      <c r="D228" s="52" t="s">
        <v>728</v>
      </c>
      <c r="E228" s="65" t="s">
        <v>780</v>
      </c>
      <c r="F228" s="53">
        <f>IFERROR(VLOOKUP(E228,Fornecedores!$A$2:$B$2700,2,FALSE),"")</f>
        <v>2</v>
      </c>
      <c r="G228" s="52" t="s">
        <v>658</v>
      </c>
      <c r="H228" s="57"/>
      <c r="I228" s="55">
        <f t="shared" si="95"/>
        <v>2</v>
      </c>
      <c r="J228" s="55">
        <v>0</v>
      </c>
      <c r="K228" s="55">
        <v>2</v>
      </c>
      <c r="L228" s="55">
        <v>0</v>
      </c>
      <c r="M228" s="55">
        <v>0</v>
      </c>
      <c r="N228" s="55">
        <f t="shared" si="96"/>
        <v>0</v>
      </c>
      <c r="O228" s="55">
        <v>0</v>
      </c>
      <c r="P228" s="55">
        <v>0</v>
      </c>
      <c r="Q228" s="55">
        <v>0</v>
      </c>
      <c r="R228" s="55">
        <f t="shared" si="97"/>
        <v>2</v>
      </c>
      <c r="S228" s="55">
        <v>0</v>
      </c>
      <c r="T228" s="55">
        <v>2</v>
      </c>
      <c r="U228" s="55">
        <v>0</v>
      </c>
      <c r="V228" s="55">
        <v>6</v>
      </c>
      <c r="W228" s="53">
        <v>0</v>
      </c>
      <c r="X228" s="53">
        <v>6</v>
      </c>
      <c r="Y228" s="55">
        <v>0</v>
      </c>
      <c r="Z228" s="55">
        <v>2</v>
      </c>
      <c r="AA228" s="53">
        <v>0</v>
      </c>
      <c r="AB228" s="53">
        <v>2</v>
      </c>
      <c r="AC228" s="55">
        <v>0</v>
      </c>
      <c r="AD228" s="55">
        <f t="shared" si="98"/>
        <v>0</v>
      </c>
      <c r="AE228" s="53">
        <v>0</v>
      </c>
      <c r="AF228" s="55">
        <v>0</v>
      </c>
      <c r="AG228" s="55">
        <v>0</v>
      </c>
      <c r="AH228" s="55">
        <f t="shared" si="99"/>
        <v>0</v>
      </c>
      <c r="AI228" s="55">
        <v>0</v>
      </c>
      <c r="AJ228" s="55">
        <v>0</v>
      </c>
      <c r="AK228" s="55">
        <v>0</v>
      </c>
      <c r="AL228" s="55">
        <f t="shared" si="100"/>
        <v>11</v>
      </c>
      <c r="AM228" s="55" t="s">
        <v>1912</v>
      </c>
      <c r="AN228" s="55">
        <v>0</v>
      </c>
      <c r="AO228" s="55">
        <v>11</v>
      </c>
      <c r="AP228" s="55">
        <f t="shared" si="93"/>
        <v>4</v>
      </c>
      <c r="AQ228" s="55">
        <f>IFERROR(VLOOKUP(A228,[1]SIIMPLES!$A$2:$F$418,6,FALSE),0)</f>
        <v>4</v>
      </c>
      <c r="AR228" s="55">
        <v>0</v>
      </c>
      <c r="AS228" s="55">
        <v>0</v>
      </c>
      <c r="AT228" s="55">
        <v>0</v>
      </c>
      <c r="AU228" s="55">
        <v>0</v>
      </c>
      <c r="AV228" s="55">
        <v>0</v>
      </c>
      <c r="AW228" s="55"/>
      <c r="AX228" s="55"/>
      <c r="AY228" s="56">
        <f t="shared" si="101"/>
        <v>2.7</v>
      </c>
      <c r="AZ228" s="55"/>
      <c r="BA228" s="56">
        <v>7</v>
      </c>
      <c r="BB228" s="41">
        <f t="shared" si="102"/>
        <v>-0.61428571428571432</v>
      </c>
      <c r="BC228" s="13"/>
      <c r="BD228" s="36"/>
      <c r="BE228" s="7"/>
      <c r="BF228" s="16"/>
      <c r="BG228" s="17">
        <f t="shared" si="104"/>
        <v>0</v>
      </c>
      <c r="BH228" s="16">
        <f t="shared" si="105"/>
        <v>2.7</v>
      </c>
    </row>
    <row r="229" spans="1:60" s="21" customFormat="1" ht="12.75" customHeight="1" x14ac:dyDescent="0.2">
      <c r="A229" s="82">
        <v>662015</v>
      </c>
      <c r="B229" s="28"/>
      <c r="C229" s="28" t="s">
        <v>1803</v>
      </c>
      <c r="D229" s="83" t="s">
        <v>728</v>
      </c>
      <c r="E229" s="83" t="s">
        <v>780</v>
      </c>
      <c r="F229" s="84"/>
      <c r="G229" s="85" t="s">
        <v>2072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55">
        <f t="shared" si="100"/>
        <v>4</v>
      </c>
      <c r="AM229" s="55">
        <v>2</v>
      </c>
      <c r="AN229" s="55">
        <v>2</v>
      </c>
      <c r="AO229" s="55">
        <v>0</v>
      </c>
      <c r="AP229" s="55">
        <f t="shared" si="93"/>
        <v>4</v>
      </c>
      <c r="AQ229" s="55">
        <f>IFERROR(VLOOKUP(A229,[1]SIIMPLES!$A$2:$F$418,6,FALSE),0)</f>
        <v>4</v>
      </c>
      <c r="AR229" s="55">
        <v>0</v>
      </c>
      <c r="AS229" s="55">
        <v>8</v>
      </c>
      <c r="AT229" s="55">
        <v>0</v>
      </c>
      <c r="AU229" s="55">
        <v>4</v>
      </c>
      <c r="AV229" s="55">
        <v>4</v>
      </c>
      <c r="AW229" s="7"/>
      <c r="AX229" s="7"/>
      <c r="AY229" s="7"/>
      <c r="AZ229" s="7"/>
      <c r="BA229" s="7"/>
      <c r="BB229" s="41" t="str">
        <f t="shared" si="102"/>
        <v/>
      </c>
      <c r="BC229" s="13"/>
      <c r="BD229" s="35"/>
      <c r="BE229" s="13"/>
      <c r="BF229" s="16"/>
      <c r="BG229" s="17" t="str">
        <f t="shared" si="104"/>
        <v>0</v>
      </c>
      <c r="BH229" s="16">
        <f t="shared" si="105"/>
        <v>0</v>
      </c>
    </row>
    <row r="230" spans="1:60" s="21" customFormat="1" ht="12.75" customHeight="1" x14ac:dyDescent="0.2">
      <c r="A230" s="51" t="s">
        <v>494</v>
      </c>
      <c r="B230" s="51" t="s">
        <v>1077</v>
      </c>
      <c r="C230" s="66" t="s">
        <v>1803</v>
      </c>
      <c r="D230" s="52" t="s">
        <v>745</v>
      </c>
      <c r="E230" s="52" t="s">
        <v>780</v>
      </c>
      <c r="F230" s="53">
        <f>IFERROR(VLOOKUP(E230,Fornecedores!$A$2:$B$2700,2,FALSE),"")</f>
        <v>2</v>
      </c>
      <c r="G230" s="52" t="s">
        <v>495</v>
      </c>
      <c r="H230" s="54"/>
      <c r="I230" s="55">
        <f t="shared" ref="I230:I237" si="106">SUM(J230:M230)</f>
        <v>18</v>
      </c>
      <c r="J230" s="55">
        <v>0</v>
      </c>
      <c r="K230" s="55">
        <v>18</v>
      </c>
      <c r="L230" s="55">
        <v>0</v>
      </c>
      <c r="M230" s="55">
        <v>0</v>
      </c>
      <c r="N230" s="55">
        <f t="shared" ref="N230:N237" si="107">SUM(O230:Q230)</f>
        <v>10</v>
      </c>
      <c r="O230" s="55">
        <v>0</v>
      </c>
      <c r="P230" s="55">
        <v>10</v>
      </c>
      <c r="Q230" s="55">
        <v>0</v>
      </c>
      <c r="R230" s="55">
        <f t="shared" ref="R230:R237" si="108">SUM(S230:U230)</f>
        <v>15</v>
      </c>
      <c r="S230" s="55">
        <v>3</v>
      </c>
      <c r="T230" s="55">
        <v>12</v>
      </c>
      <c r="U230" s="55">
        <v>0</v>
      </c>
      <c r="V230" s="55">
        <v>16</v>
      </c>
      <c r="W230" s="53">
        <v>0</v>
      </c>
      <c r="X230" s="53">
        <v>16</v>
      </c>
      <c r="Y230" s="55">
        <v>0</v>
      </c>
      <c r="Z230" s="55">
        <v>3</v>
      </c>
      <c r="AA230" s="53">
        <v>1</v>
      </c>
      <c r="AB230" s="53">
        <v>2</v>
      </c>
      <c r="AC230" s="55">
        <v>0</v>
      </c>
      <c r="AD230" s="55">
        <f t="shared" ref="AD230:AD237" si="109">SUM(AE230:AG230)</f>
        <v>6</v>
      </c>
      <c r="AE230" s="53">
        <v>0</v>
      </c>
      <c r="AF230" s="55">
        <v>6</v>
      </c>
      <c r="AG230" s="55">
        <v>0</v>
      </c>
      <c r="AH230" s="55">
        <f t="shared" ref="AH230:AH245" si="110">SUM(AI230:AK230)</f>
        <v>10</v>
      </c>
      <c r="AI230" s="55">
        <v>0</v>
      </c>
      <c r="AJ230" s="55">
        <v>10</v>
      </c>
      <c r="AK230" s="55">
        <v>0</v>
      </c>
      <c r="AL230" s="55">
        <f t="shared" si="100"/>
        <v>2</v>
      </c>
      <c r="AM230" s="55" t="s">
        <v>1912</v>
      </c>
      <c r="AN230" s="55">
        <v>2</v>
      </c>
      <c r="AO230" s="55">
        <v>0</v>
      </c>
      <c r="AP230" s="55">
        <f t="shared" si="93"/>
        <v>4</v>
      </c>
      <c r="AQ230" s="55">
        <f>IFERROR(VLOOKUP(A230,[1]SIIMPLES!$A$2:$F$418,6,FALSE),0)</f>
        <v>0</v>
      </c>
      <c r="AR230" s="55">
        <v>4</v>
      </c>
      <c r="AS230" s="55">
        <v>10</v>
      </c>
      <c r="AT230" s="55">
        <v>0</v>
      </c>
      <c r="AU230" s="55">
        <v>10</v>
      </c>
      <c r="AV230" s="55">
        <v>0</v>
      </c>
      <c r="AW230" s="55"/>
      <c r="AX230" s="55"/>
      <c r="AY230" s="56">
        <f t="shared" ref="AY230:AY237" si="111">IFERROR(AVERAGE(I230,N230,R230,V230,Z230,AD230,AH230,AL230,AP230,AS230,AW230,AX230),"-")</f>
        <v>9.4</v>
      </c>
      <c r="AZ230" s="55"/>
      <c r="BA230" s="56">
        <v>4.833333333333333</v>
      </c>
      <c r="BB230" s="41">
        <f t="shared" si="102"/>
        <v>0.94482758620689666</v>
      </c>
      <c r="BC230" s="13"/>
      <c r="BD230" s="35"/>
      <c r="BE230" s="13"/>
      <c r="BF230" s="16">
        <f>SUM(BC230:BE230)</f>
        <v>0</v>
      </c>
      <c r="BG230" s="17">
        <f t="shared" si="104"/>
        <v>0</v>
      </c>
      <c r="BH230" s="16">
        <f t="shared" si="105"/>
        <v>9.4</v>
      </c>
    </row>
    <row r="231" spans="1:60" s="21" customFormat="1" ht="12.75" customHeight="1" x14ac:dyDescent="0.2">
      <c r="A231" s="51" t="s">
        <v>790</v>
      </c>
      <c r="B231" s="51"/>
      <c r="C231" s="66" t="s">
        <v>1803</v>
      </c>
      <c r="D231" s="52" t="s">
        <v>763</v>
      </c>
      <c r="E231" s="52" t="s">
        <v>1181</v>
      </c>
      <c r="F231" s="53">
        <f>IFERROR(VLOOKUP(E231,Fornecedores!$A$2:$B$2700,2,FALSE),"")</f>
        <v>9</v>
      </c>
      <c r="G231" s="52" t="s">
        <v>926</v>
      </c>
      <c r="H231" s="54"/>
      <c r="I231" s="55">
        <f t="shared" si="106"/>
        <v>16</v>
      </c>
      <c r="J231" s="55">
        <v>0</v>
      </c>
      <c r="K231" s="55">
        <v>16</v>
      </c>
      <c r="L231" s="55">
        <v>0</v>
      </c>
      <c r="M231" s="55">
        <v>0</v>
      </c>
      <c r="N231" s="55">
        <f t="shared" si="107"/>
        <v>20</v>
      </c>
      <c r="O231" s="55">
        <v>0</v>
      </c>
      <c r="P231" s="55">
        <v>20</v>
      </c>
      <c r="Q231" s="55">
        <v>0</v>
      </c>
      <c r="R231" s="55">
        <f t="shared" si="108"/>
        <v>16</v>
      </c>
      <c r="S231" s="55">
        <v>0</v>
      </c>
      <c r="T231" s="55">
        <v>16</v>
      </c>
      <c r="U231" s="55">
        <v>0</v>
      </c>
      <c r="V231" s="55">
        <v>32</v>
      </c>
      <c r="W231" s="53">
        <v>0</v>
      </c>
      <c r="X231" s="53">
        <v>32</v>
      </c>
      <c r="Y231" s="55">
        <v>0</v>
      </c>
      <c r="Z231" s="55">
        <v>28</v>
      </c>
      <c r="AA231" s="53">
        <v>0</v>
      </c>
      <c r="AB231" s="53">
        <v>28</v>
      </c>
      <c r="AC231" s="55">
        <v>0</v>
      </c>
      <c r="AD231" s="55">
        <f t="shared" si="109"/>
        <v>36</v>
      </c>
      <c r="AE231" s="53">
        <v>0</v>
      </c>
      <c r="AF231" s="55">
        <v>36</v>
      </c>
      <c r="AG231" s="55">
        <v>0</v>
      </c>
      <c r="AH231" s="55">
        <f t="shared" si="110"/>
        <v>28</v>
      </c>
      <c r="AI231" s="55">
        <v>0</v>
      </c>
      <c r="AJ231" s="55">
        <v>28</v>
      </c>
      <c r="AK231" s="55">
        <v>0</v>
      </c>
      <c r="AL231" s="55">
        <f t="shared" si="100"/>
        <v>28</v>
      </c>
      <c r="AM231" s="55" t="s">
        <v>1912</v>
      </c>
      <c r="AN231" s="55">
        <v>28</v>
      </c>
      <c r="AO231" s="55">
        <v>0</v>
      </c>
      <c r="AP231" s="55">
        <f t="shared" si="93"/>
        <v>4</v>
      </c>
      <c r="AQ231" s="55">
        <f>IFERROR(VLOOKUP(A231,[1]SIIMPLES!$A$2:$F$418,6,FALSE),0)</f>
        <v>0</v>
      </c>
      <c r="AR231" s="55">
        <v>4</v>
      </c>
      <c r="AS231" s="55">
        <v>24</v>
      </c>
      <c r="AT231" s="55">
        <v>0</v>
      </c>
      <c r="AU231" s="55">
        <v>24</v>
      </c>
      <c r="AV231" s="55">
        <v>0</v>
      </c>
      <c r="AW231" s="55"/>
      <c r="AX231" s="55"/>
      <c r="AY231" s="56">
        <f t="shared" si="111"/>
        <v>23.2</v>
      </c>
      <c r="AZ231" s="55"/>
      <c r="BA231" s="56">
        <v>31.2</v>
      </c>
      <c r="BB231" s="41">
        <f t="shared" si="102"/>
        <v>-0.25641025641025639</v>
      </c>
      <c r="BC231" s="7"/>
      <c r="BD231" s="35"/>
      <c r="BE231" s="13"/>
      <c r="BF231" s="16">
        <f>SUM(BC231:BE231)</f>
        <v>0</v>
      </c>
      <c r="BG231" s="17">
        <f t="shared" si="104"/>
        <v>0</v>
      </c>
      <c r="BH231" s="16">
        <f t="shared" si="105"/>
        <v>23.2</v>
      </c>
    </row>
    <row r="232" spans="1:60" s="21" customFormat="1" ht="12.75" customHeight="1" x14ac:dyDescent="0.2">
      <c r="A232" s="51" t="s">
        <v>154</v>
      </c>
      <c r="B232" s="51"/>
      <c r="C232" s="66" t="s">
        <v>1803</v>
      </c>
      <c r="D232" s="52" t="s">
        <v>751</v>
      </c>
      <c r="E232" s="52" t="s">
        <v>746</v>
      </c>
      <c r="F232" s="53">
        <f>IFERROR(VLOOKUP(E232,Fornecedores!$A$2:$B$2700,2,FALSE),"")</f>
        <v>11</v>
      </c>
      <c r="G232" s="52" t="s">
        <v>155</v>
      </c>
      <c r="H232" s="54"/>
      <c r="I232" s="55">
        <f t="shared" si="106"/>
        <v>0</v>
      </c>
      <c r="J232" s="55">
        <v>0</v>
      </c>
      <c r="K232" s="55">
        <v>0</v>
      </c>
      <c r="L232" s="55">
        <v>0</v>
      </c>
      <c r="M232" s="55">
        <v>0</v>
      </c>
      <c r="N232" s="55">
        <f t="shared" si="107"/>
        <v>0</v>
      </c>
      <c r="O232" s="55">
        <v>0</v>
      </c>
      <c r="P232" s="55">
        <v>0</v>
      </c>
      <c r="Q232" s="55">
        <v>0</v>
      </c>
      <c r="R232" s="55">
        <f t="shared" si="108"/>
        <v>2</v>
      </c>
      <c r="S232" s="55">
        <v>0</v>
      </c>
      <c r="T232" s="55">
        <v>2</v>
      </c>
      <c r="U232" s="55">
        <v>0</v>
      </c>
      <c r="V232" s="55">
        <v>2</v>
      </c>
      <c r="W232" s="53">
        <v>0</v>
      </c>
      <c r="X232" s="53">
        <v>2</v>
      </c>
      <c r="Y232" s="55">
        <v>0</v>
      </c>
      <c r="Z232" s="55">
        <v>6</v>
      </c>
      <c r="AA232" s="53">
        <v>0</v>
      </c>
      <c r="AB232" s="53">
        <v>6</v>
      </c>
      <c r="AC232" s="55">
        <v>0</v>
      </c>
      <c r="AD232" s="55">
        <f t="shared" si="109"/>
        <v>4</v>
      </c>
      <c r="AE232" s="53">
        <v>0</v>
      </c>
      <c r="AF232" s="55">
        <v>4</v>
      </c>
      <c r="AG232" s="55">
        <v>0</v>
      </c>
      <c r="AH232" s="55">
        <f t="shared" si="110"/>
        <v>6</v>
      </c>
      <c r="AI232" s="55">
        <v>0</v>
      </c>
      <c r="AJ232" s="55">
        <v>6</v>
      </c>
      <c r="AK232" s="55">
        <v>0</v>
      </c>
      <c r="AL232" s="55">
        <f t="shared" si="100"/>
        <v>2</v>
      </c>
      <c r="AM232" s="55" t="s">
        <v>1912</v>
      </c>
      <c r="AN232" s="55">
        <v>2</v>
      </c>
      <c r="AO232" s="55">
        <v>0</v>
      </c>
      <c r="AP232" s="55">
        <f t="shared" si="93"/>
        <v>4</v>
      </c>
      <c r="AQ232" s="55">
        <f>IFERROR(VLOOKUP(A232,[1]SIIMPLES!$A$2:$F$418,6,FALSE),0)</f>
        <v>0</v>
      </c>
      <c r="AR232" s="55">
        <v>4</v>
      </c>
      <c r="AS232" s="55">
        <v>4</v>
      </c>
      <c r="AT232" s="55">
        <v>0</v>
      </c>
      <c r="AU232" s="55">
        <v>4</v>
      </c>
      <c r="AV232" s="55">
        <v>0</v>
      </c>
      <c r="AW232" s="55"/>
      <c r="AX232" s="55"/>
      <c r="AY232" s="56">
        <f t="shared" si="111"/>
        <v>3</v>
      </c>
      <c r="AZ232" s="55"/>
      <c r="BA232" s="56">
        <v>4.333333333333333</v>
      </c>
      <c r="BB232" s="41">
        <f t="shared" si="102"/>
        <v>-0.3076923076923076</v>
      </c>
      <c r="BC232" s="7"/>
      <c r="BD232" s="35"/>
      <c r="BE232" s="7"/>
      <c r="BF232" s="16"/>
      <c r="BG232" s="17">
        <f t="shared" si="104"/>
        <v>0</v>
      </c>
      <c r="BH232" s="16">
        <f t="shared" si="105"/>
        <v>3</v>
      </c>
    </row>
    <row r="233" spans="1:60" s="21" customFormat="1" ht="12.75" customHeight="1" x14ac:dyDescent="0.2">
      <c r="A233" s="51" t="s">
        <v>801</v>
      </c>
      <c r="B233" s="51"/>
      <c r="C233" s="66" t="s">
        <v>1803</v>
      </c>
      <c r="D233" s="52" t="s">
        <v>763</v>
      </c>
      <c r="E233" s="52" t="s">
        <v>1181</v>
      </c>
      <c r="F233" s="53">
        <f>IFERROR(VLOOKUP(E233,Fornecedores!$A$2:$B$2700,2,FALSE),"")</f>
        <v>9</v>
      </c>
      <c r="G233" s="52" t="s">
        <v>943</v>
      </c>
      <c r="H233" s="54"/>
      <c r="I233" s="55">
        <f t="shared" si="106"/>
        <v>0</v>
      </c>
      <c r="J233" s="55">
        <v>0</v>
      </c>
      <c r="K233" s="55">
        <v>0</v>
      </c>
      <c r="L233" s="55">
        <v>0</v>
      </c>
      <c r="M233" s="55">
        <v>0</v>
      </c>
      <c r="N233" s="55">
        <f t="shared" si="107"/>
        <v>4</v>
      </c>
      <c r="O233" s="55">
        <v>0</v>
      </c>
      <c r="P233" s="55">
        <v>4</v>
      </c>
      <c r="Q233" s="55">
        <v>0</v>
      </c>
      <c r="R233" s="55">
        <f t="shared" si="108"/>
        <v>12</v>
      </c>
      <c r="S233" s="55">
        <v>0</v>
      </c>
      <c r="T233" s="55">
        <v>12</v>
      </c>
      <c r="U233" s="55">
        <v>0</v>
      </c>
      <c r="V233" s="55">
        <v>12</v>
      </c>
      <c r="W233" s="53">
        <v>0</v>
      </c>
      <c r="X233" s="53">
        <v>12</v>
      </c>
      <c r="Y233" s="55">
        <v>0</v>
      </c>
      <c r="Z233" s="55">
        <v>8</v>
      </c>
      <c r="AA233" s="53">
        <v>0</v>
      </c>
      <c r="AB233" s="53">
        <v>8</v>
      </c>
      <c r="AC233" s="55">
        <v>0</v>
      </c>
      <c r="AD233" s="55">
        <f t="shared" si="109"/>
        <v>4</v>
      </c>
      <c r="AE233" s="53">
        <v>0</v>
      </c>
      <c r="AF233" s="55">
        <v>4</v>
      </c>
      <c r="AG233" s="55">
        <v>0</v>
      </c>
      <c r="AH233" s="55">
        <f t="shared" si="110"/>
        <v>4</v>
      </c>
      <c r="AI233" s="55">
        <v>0</v>
      </c>
      <c r="AJ233" s="55">
        <v>4</v>
      </c>
      <c r="AK233" s="55">
        <v>0</v>
      </c>
      <c r="AL233" s="55">
        <f t="shared" si="100"/>
        <v>8</v>
      </c>
      <c r="AM233" s="55" t="s">
        <v>1912</v>
      </c>
      <c r="AN233" s="55">
        <v>8</v>
      </c>
      <c r="AO233" s="55">
        <v>0</v>
      </c>
      <c r="AP233" s="55">
        <f t="shared" si="93"/>
        <v>4</v>
      </c>
      <c r="AQ233" s="55">
        <f>IFERROR(VLOOKUP(A233,[1]SIIMPLES!$A$2:$F$418,6,FALSE),0)</f>
        <v>0</v>
      </c>
      <c r="AR233" s="55">
        <v>4</v>
      </c>
      <c r="AS233" s="55">
        <v>0</v>
      </c>
      <c r="AT233" s="55">
        <v>0</v>
      </c>
      <c r="AU233" s="55">
        <v>0</v>
      </c>
      <c r="AV233" s="55">
        <v>0</v>
      </c>
      <c r="AW233" s="55"/>
      <c r="AX233" s="55"/>
      <c r="AY233" s="56">
        <f t="shared" si="111"/>
        <v>5.6</v>
      </c>
      <c r="AZ233" s="55"/>
      <c r="BA233" s="56">
        <v>1.6</v>
      </c>
      <c r="BB233" s="41">
        <f t="shared" si="102"/>
        <v>2.4999999999999996</v>
      </c>
      <c r="BC233" s="13"/>
      <c r="BD233" s="35"/>
      <c r="BE233" s="13"/>
      <c r="BF233" s="16"/>
      <c r="BG233" s="17">
        <f t="shared" si="104"/>
        <v>0</v>
      </c>
      <c r="BH233" s="16">
        <f>ROUND(IFERROR(IF(F233=1,IF(BC233&lt;AY233*3,AY233*3-BC233,0),IF(BC233&lt;AY233,AY233*0.6-BC233,0)),""),0)</f>
        <v>3</v>
      </c>
    </row>
    <row r="234" spans="1:60" s="21" customFormat="1" ht="12.75" customHeight="1" x14ac:dyDescent="0.2">
      <c r="A234" s="51" t="s">
        <v>1093</v>
      </c>
      <c r="B234" s="51" t="s">
        <v>1077</v>
      </c>
      <c r="C234" s="66" t="s">
        <v>1803</v>
      </c>
      <c r="D234" s="65" t="s">
        <v>739</v>
      </c>
      <c r="E234" s="52" t="s">
        <v>730</v>
      </c>
      <c r="F234" s="53">
        <f>IFERROR(VLOOKUP(E234,Fornecedores!$A$2:$B$2700,2,FALSE),"")</f>
        <v>3</v>
      </c>
      <c r="G234" s="52" t="s">
        <v>1178</v>
      </c>
      <c r="H234" s="54"/>
      <c r="I234" s="55">
        <f t="shared" si="106"/>
        <v>3</v>
      </c>
      <c r="J234" s="55">
        <v>0</v>
      </c>
      <c r="K234" s="55">
        <v>3</v>
      </c>
      <c r="L234" s="55">
        <v>0</v>
      </c>
      <c r="M234" s="55">
        <v>0</v>
      </c>
      <c r="N234" s="55">
        <f t="shared" si="107"/>
        <v>5</v>
      </c>
      <c r="O234" s="55">
        <v>1</v>
      </c>
      <c r="P234" s="55">
        <v>4</v>
      </c>
      <c r="Q234" s="55">
        <v>0</v>
      </c>
      <c r="R234" s="55">
        <f t="shared" si="108"/>
        <v>2</v>
      </c>
      <c r="S234" s="55">
        <v>0</v>
      </c>
      <c r="T234" s="55">
        <v>2</v>
      </c>
      <c r="U234" s="55">
        <v>0</v>
      </c>
      <c r="V234" s="55">
        <v>5</v>
      </c>
      <c r="W234" s="53">
        <v>0</v>
      </c>
      <c r="X234" s="53">
        <v>5</v>
      </c>
      <c r="Y234" s="55">
        <v>0</v>
      </c>
      <c r="Z234" s="55">
        <v>8</v>
      </c>
      <c r="AA234" s="53">
        <v>0</v>
      </c>
      <c r="AB234" s="53">
        <v>8</v>
      </c>
      <c r="AC234" s="55">
        <v>0</v>
      </c>
      <c r="AD234" s="55">
        <f t="shared" si="109"/>
        <v>7</v>
      </c>
      <c r="AE234" s="53">
        <v>0</v>
      </c>
      <c r="AF234" s="55">
        <v>7</v>
      </c>
      <c r="AG234" s="55">
        <v>0</v>
      </c>
      <c r="AH234" s="55">
        <f t="shared" si="110"/>
        <v>16</v>
      </c>
      <c r="AI234" s="55">
        <v>0</v>
      </c>
      <c r="AJ234" s="55">
        <v>16</v>
      </c>
      <c r="AK234" s="55">
        <v>0</v>
      </c>
      <c r="AL234" s="55">
        <f t="shared" si="100"/>
        <v>7</v>
      </c>
      <c r="AM234" s="55" t="s">
        <v>1912</v>
      </c>
      <c r="AN234" s="55">
        <v>7</v>
      </c>
      <c r="AO234" s="55">
        <v>0</v>
      </c>
      <c r="AP234" s="55">
        <f t="shared" si="93"/>
        <v>4</v>
      </c>
      <c r="AQ234" s="55">
        <f>IFERROR(VLOOKUP(A234,[1]SIIMPLES!$A$2:$F$418,6,FALSE),0)</f>
        <v>0</v>
      </c>
      <c r="AR234" s="55">
        <v>4</v>
      </c>
      <c r="AS234" s="55">
        <v>12</v>
      </c>
      <c r="AT234" s="55">
        <v>0</v>
      </c>
      <c r="AU234" s="55">
        <v>12</v>
      </c>
      <c r="AV234" s="55">
        <v>0</v>
      </c>
      <c r="AW234" s="55"/>
      <c r="AX234" s="55"/>
      <c r="AY234" s="56">
        <f t="shared" si="111"/>
        <v>6.9</v>
      </c>
      <c r="AZ234" s="55"/>
      <c r="BA234" s="56">
        <v>3</v>
      </c>
      <c r="BB234" s="41">
        <f t="shared" si="102"/>
        <v>1.3000000000000003</v>
      </c>
      <c r="BC234" s="13"/>
      <c r="BD234" s="35"/>
      <c r="BE234" s="13"/>
      <c r="BF234" s="16"/>
      <c r="BG234" s="17">
        <f t="shared" si="104"/>
        <v>0</v>
      </c>
      <c r="BH234" s="16">
        <f>IFERROR(IF(F234=1,IF(BC234&lt;AY234*3,AY234*3-BC234,0),IF(BC234&lt;AY234,AY234-BC234,0)),"")</f>
        <v>6.9</v>
      </c>
    </row>
    <row r="235" spans="1:60" s="21" customFormat="1" ht="12.75" customHeight="1" x14ac:dyDescent="0.2">
      <c r="A235" s="51" t="s">
        <v>1135</v>
      </c>
      <c r="B235" s="51" t="s">
        <v>1077</v>
      </c>
      <c r="C235" s="66" t="s">
        <v>1803</v>
      </c>
      <c r="D235" s="65" t="s">
        <v>739</v>
      </c>
      <c r="E235" s="52" t="s">
        <v>730</v>
      </c>
      <c r="F235" s="53">
        <f>IFERROR(VLOOKUP(E235,Fornecedores!$A$2:$B$2700,2,FALSE),"")</f>
        <v>3</v>
      </c>
      <c r="G235" s="52" t="s">
        <v>1179</v>
      </c>
      <c r="H235" s="54"/>
      <c r="I235" s="55">
        <f t="shared" si="106"/>
        <v>4</v>
      </c>
      <c r="J235" s="55">
        <v>1</v>
      </c>
      <c r="K235" s="55">
        <v>3</v>
      </c>
      <c r="L235" s="55">
        <v>0</v>
      </c>
      <c r="M235" s="55">
        <v>0</v>
      </c>
      <c r="N235" s="55">
        <f t="shared" si="107"/>
        <v>4</v>
      </c>
      <c r="O235" s="55">
        <v>0</v>
      </c>
      <c r="P235" s="55">
        <v>4</v>
      </c>
      <c r="Q235" s="55">
        <v>0</v>
      </c>
      <c r="R235" s="55">
        <f t="shared" si="108"/>
        <v>3</v>
      </c>
      <c r="S235" s="55">
        <v>1</v>
      </c>
      <c r="T235" s="55">
        <v>2</v>
      </c>
      <c r="U235" s="55">
        <v>0</v>
      </c>
      <c r="V235" s="55">
        <v>6</v>
      </c>
      <c r="W235" s="53">
        <v>1</v>
      </c>
      <c r="X235" s="53">
        <v>5</v>
      </c>
      <c r="Y235" s="55">
        <v>0</v>
      </c>
      <c r="Z235" s="55">
        <v>9</v>
      </c>
      <c r="AA235" s="53">
        <v>1</v>
      </c>
      <c r="AB235" s="53">
        <v>8</v>
      </c>
      <c r="AC235" s="55">
        <v>0</v>
      </c>
      <c r="AD235" s="55">
        <f t="shared" si="109"/>
        <v>7</v>
      </c>
      <c r="AE235" s="53">
        <v>0</v>
      </c>
      <c r="AF235" s="55">
        <v>7</v>
      </c>
      <c r="AG235" s="55">
        <v>0</v>
      </c>
      <c r="AH235" s="55">
        <f t="shared" si="110"/>
        <v>16</v>
      </c>
      <c r="AI235" s="55">
        <v>0</v>
      </c>
      <c r="AJ235" s="55">
        <v>16</v>
      </c>
      <c r="AK235" s="55">
        <v>0</v>
      </c>
      <c r="AL235" s="55">
        <f t="shared" si="100"/>
        <v>7</v>
      </c>
      <c r="AM235" s="55" t="s">
        <v>1912</v>
      </c>
      <c r="AN235" s="55">
        <v>7</v>
      </c>
      <c r="AO235" s="55">
        <v>0</v>
      </c>
      <c r="AP235" s="55">
        <f t="shared" si="93"/>
        <v>4</v>
      </c>
      <c r="AQ235" s="55">
        <f>IFERROR(VLOOKUP(A235,[1]SIIMPLES!$A$2:$F$418,6,FALSE),0)</f>
        <v>0</v>
      </c>
      <c r="AR235" s="55">
        <v>4</v>
      </c>
      <c r="AS235" s="55">
        <v>18</v>
      </c>
      <c r="AT235" s="55">
        <v>6</v>
      </c>
      <c r="AU235" s="55">
        <v>12</v>
      </c>
      <c r="AV235" s="55">
        <v>0</v>
      </c>
      <c r="AW235" s="55"/>
      <c r="AX235" s="55"/>
      <c r="AY235" s="56">
        <f t="shared" si="111"/>
        <v>7.8</v>
      </c>
      <c r="AZ235" s="55"/>
      <c r="BA235" s="56">
        <v>2.6666666666666665</v>
      </c>
      <c r="BB235" s="41">
        <f t="shared" si="102"/>
        <v>1.9250000000000003</v>
      </c>
      <c r="BC235" s="13"/>
      <c r="BD235" s="35"/>
      <c r="BE235" s="13"/>
      <c r="BF235" s="16">
        <f>SUM(BC235:BE235)</f>
        <v>0</v>
      </c>
      <c r="BG235" s="17">
        <f t="shared" si="104"/>
        <v>0</v>
      </c>
      <c r="BH235" s="16">
        <f>IFERROR(IF(F235=1,IF(BC235&lt;AY235*3,AY235*3-BC235,0),IF(BC235&lt;AY235,AY235-BC235,0)),"")</f>
        <v>7.8</v>
      </c>
    </row>
    <row r="236" spans="1:60" s="21" customFormat="1" ht="12.75" customHeight="1" x14ac:dyDescent="0.2">
      <c r="A236" s="51" t="s">
        <v>1090</v>
      </c>
      <c r="B236" s="51" t="s">
        <v>1077</v>
      </c>
      <c r="C236" s="66" t="s">
        <v>1803</v>
      </c>
      <c r="D236" s="65" t="s">
        <v>731</v>
      </c>
      <c r="E236" s="52" t="s">
        <v>730</v>
      </c>
      <c r="F236" s="53">
        <f>IFERROR(VLOOKUP(E236,Fornecedores!$A$2:$B$2700,2,FALSE),"")</f>
        <v>3</v>
      </c>
      <c r="G236" s="52" t="s">
        <v>1234</v>
      </c>
      <c r="H236" s="54"/>
      <c r="I236" s="55">
        <f t="shared" si="106"/>
        <v>3</v>
      </c>
      <c r="J236" s="55">
        <v>3</v>
      </c>
      <c r="K236" s="55">
        <v>0</v>
      </c>
      <c r="L236" s="55">
        <v>0</v>
      </c>
      <c r="M236" s="55">
        <v>0</v>
      </c>
      <c r="N236" s="55">
        <f t="shared" si="107"/>
        <v>6</v>
      </c>
      <c r="O236" s="55">
        <v>6</v>
      </c>
      <c r="P236" s="55">
        <v>0</v>
      </c>
      <c r="Q236" s="55">
        <v>0</v>
      </c>
      <c r="R236" s="55">
        <f t="shared" si="108"/>
        <v>9</v>
      </c>
      <c r="S236" s="55">
        <v>9</v>
      </c>
      <c r="T236" s="55">
        <v>0</v>
      </c>
      <c r="U236" s="55">
        <v>0</v>
      </c>
      <c r="V236" s="55">
        <v>8</v>
      </c>
      <c r="W236" s="53">
        <v>8</v>
      </c>
      <c r="X236" s="53">
        <v>0</v>
      </c>
      <c r="Y236" s="55">
        <v>0</v>
      </c>
      <c r="Z236" s="55">
        <v>8</v>
      </c>
      <c r="AA236" s="53">
        <v>8</v>
      </c>
      <c r="AB236" s="53">
        <v>0</v>
      </c>
      <c r="AC236" s="55">
        <v>0</v>
      </c>
      <c r="AD236" s="55">
        <f t="shared" si="109"/>
        <v>13</v>
      </c>
      <c r="AE236" s="53">
        <v>13</v>
      </c>
      <c r="AF236" s="55">
        <v>0</v>
      </c>
      <c r="AG236" s="55">
        <v>0</v>
      </c>
      <c r="AH236" s="55">
        <f t="shared" si="110"/>
        <v>13</v>
      </c>
      <c r="AI236" s="55">
        <v>13</v>
      </c>
      <c r="AJ236" s="55">
        <v>0</v>
      </c>
      <c r="AK236" s="55">
        <v>0</v>
      </c>
      <c r="AL236" s="55">
        <f t="shared" si="100"/>
        <v>18</v>
      </c>
      <c r="AM236" s="55">
        <v>18</v>
      </c>
      <c r="AN236" s="55">
        <v>0</v>
      </c>
      <c r="AO236" s="55">
        <v>0</v>
      </c>
      <c r="AP236" s="55">
        <f t="shared" si="93"/>
        <v>4</v>
      </c>
      <c r="AQ236" s="55">
        <f>IFERROR(VLOOKUP(A236,[1]SIIMPLES!$A$2:$F$418,6,FALSE),0)</f>
        <v>4</v>
      </c>
      <c r="AR236" s="55">
        <v>0</v>
      </c>
      <c r="AS236" s="55">
        <v>0</v>
      </c>
      <c r="AT236" s="55">
        <v>0</v>
      </c>
      <c r="AU236" s="55">
        <v>0</v>
      </c>
      <c r="AV236" s="55">
        <v>0</v>
      </c>
      <c r="AW236" s="55"/>
      <c r="AX236" s="55"/>
      <c r="AY236" s="56">
        <f t="shared" si="111"/>
        <v>8.1999999999999993</v>
      </c>
      <c r="AZ236" s="55"/>
      <c r="BA236" s="56">
        <v>2.6666666666666665</v>
      </c>
      <c r="BB236" s="41">
        <f t="shared" si="102"/>
        <v>2.0749999999999997</v>
      </c>
      <c r="BC236" s="13"/>
      <c r="BD236" s="35"/>
      <c r="BE236" s="13"/>
      <c r="BF236" s="16">
        <f>SUM(BC236:BE236)</f>
        <v>0</v>
      </c>
      <c r="BG236" s="17">
        <f t="shared" si="104"/>
        <v>0</v>
      </c>
      <c r="BH236" s="16">
        <f>IFERROR(IF(F236=1,IF(BC236&lt;AY236*3,AY236*3-BC236,0),IF(BC236&lt;AY236,AY236-BC236,0)),"")</f>
        <v>8.1999999999999993</v>
      </c>
    </row>
    <row r="237" spans="1:60" s="21" customFormat="1" ht="12.75" customHeight="1" x14ac:dyDescent="0.2">
      <c r="A237" s="51" t="s">
        <v>777</v>
      </c>
      <c r="B237" s="51"/>
      <c r="C237" s="66" t="s">
        <v>1803</v>
      </c>
      <c r="D237" s="52" t="s">
        <v>740</v>
      </c>
      <c r="E237" s="52" t="s">
        <v>741</v>
      </c>
      <c r="F237" s="53">
        <f>IFERROR(VLOOKUP(E237,Fornecedores!$A$2:$B$2700,2,FALSE),"")</f>
        <v>7</v>
      </c>
      <c r="G237" s="52" t="s">
        <v>222</v>
      </c>
      <c r="H237" s="54"/>
      <c r="I237" s="55">
        <f t="shared" si="106"/>
        <v>1</v>
      </c>
      <c r="J237" s="55">
        <v>0</v>
      </c>
      <c r="K237" s="55">
        <v>0</v>
      </c>
      <c r="L237" s="55">
        <v>0</v>
      </c>
      <c r="M237" s="55">
        <v>1</v>
      </c>
      <c r="N237" s="55">
        <f t="shared" si="107"/>
        <v>2</v>
      </c>
      <c r="O237" s="55">
        <v>0</v>
      </c>
      <c r="P237" s="55">
        <v>2</v>
      </c>
      <c r="Q237" s="55">
        <v>0</v>
      </c>
      <c r="R237" s="55">
        <f t="shared" si="108"/>
        <v>0</v>
      </c>
      <c r="S237" s="55">
        <v>0</v>
      </c>
      <c r="T237" s="55">
        <v>0</v>
      </c>
      <c r="U237" s="55">
        <v>0</v>
      </c>
      <c r="V237" s="55">
        <v>1</v>
      </c>
      <c r="W237" s="53">
        <v>1</v>
      </c>
      <c r="X237" s="53">
        <v>0</v>
      </c>
      <c r="Y237" s="55">
        <v>0</v>
      </c>
      <c r="Z237" s="55">
        <v>2</v>
      </c>
      <c r="AA237" s="53">
        <v>0</v>
      </c>
      <c r="AB237" s="53">
        <v>2</v>
      </c>
      <c r="AC237" s="55">
        <v>0</v>
      </c>
      <c r="AD237" s="55">
        <f t="shared" si="109"/>
        <v>0</v>
      </c>
      <c r="AE237" s="53">
        <v>0</v>
      </c>
      <c r="AF237" s="55">
        <v>0</v>
      </c>
      <c r="AG237" s="55">
        <v>0</v>
      </c>
      <c r="AH237" s="55">
        <f t="shared" si="110"/>
        <v>0</v>
      </c>
      <c r="AI237" s="55">
        <v>0</v>
      </c>
      <c r="AJ237" s="55">
        <v>0</v>
      </c>
      <c r="AK237" s="55">
        <v>0</v>
      </c>
      <c r="AL237" s="55">
        <f t="shared" si="100"/>
        <v>0</v>
      </c>
      <c r="AM237" s="55" t="s">
        <v>1912</v>
      </c>
      <c r="AN237" s="55">
        <v>0</v>
      </c>
      <c r="AO237" s="55">
        <v>0</v>
      </c>
      <c r="AP237" s="55">
        <f t="shared" si="93"/>
        <v>4</v>
      </c>
      <c r="AQ237" s="55">
        <f>IFERROR(VLOOKUP(A237,[1]SIIMPLES!$A$2:$F$418,6,FALSE),0)</f>
        <v>0</v>
      </c>
      <c r="AR237" s="55">
        <v>4</v>
      </c>
      <c r="AS237" s="55">
        <v>2</v>
      </c>
      <c r="AT237" s="55">
        <v>0</v>
      </c>
      <c r="AU237" s="55">
        <v>2</v>
      </c>
      <c r="AV237" s="55">
        <v>0</v>
      </c>
      <c r="AW237" s="55"/>
      <c r="AX237" s="55"/>
      <c r="AY237" s="56">
        <f t="shared" si="111"/>
        <v>1.2</v>
      </c>
      <c r="AZ237" s="55"/>
      <c r="BA237" s="56">
        <v>0.66666666666666663</v>
      </c>
      <c r="BB237" s="41">
        <f t="shared" si="102"/>
        <v>0.8</v>
      </c>
      <c r="BC237" s="10"/>
      <c r="BD237" s="35"/>
      <c r="BE237" s="13"/>
      <c r="BF237" s="16"/>
      <c r="BG237" s="17">
        <f t="shared" si="104"/>
        <v>0</v>
      </c>
      <c r="BH237" s="16">
        <v>0</v>
      </c>
    </row>
    <row r="238" spans="1:60" s="21" customFormat="1" ht="12.75" customHeight="1" x14ac:dyDescent="0.2">
      <c r="A238" s="82" t="s">
        <v>1994</v>
      </c>
      <c r="B238" s="28"/>
      <c r="C238" s="28" t="s">
        <v>1851</v>
      </c>
      <c r="D238" s="83" t="s">
        <v>1761</v>
      </c>
      <c r="E238" s="83" t="s">
        <v>2025</v>
      </c>
      <c r="F238" s="84"/>
      <c r="G238" s="85" t="s">
        <v>2049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3">
        <f t="shared" si="110"/>
        <v>1</v>
      </c>
      <c r="AI238" s="7"/>
      <c r="AJ238" s="7"/>
      <c r="AK238" s="55">
        <v>1</v>
      </c>
      <c r="AL238" s="55">
        <f t="shared" si="100"/>
        <v>0</v>
      </c>
      <c r="AM238" s="55" t="s">
        <v>1912</v>
      </c>
      <c r="AN238" s="55">
        <v>0</v>
      </c>
      <c r="AO238" s="55">
        <v>0</v>
      </c>
      <c r="AP238" s="55">
        <f t="shared" si="93"/>
        <v>4</v>
      </c>
      <c r="AQ238" s="55">
        <f>IFERROR(VLOOKUP(A238,[1]SIIMPLES!$A$2:$F$418,6,FALSE),0)</f>
        <v>4</v>
      </c>
      <c r="AR238" s="55">
        <v>0</v>
      </c>
      <c r="AS238" s="55">
        <v>1</v>
      </c>
      <c r="AT238" s="55">
        <v>0</v>
      </c>
      <c r="AU238" s="55">
        <v>0</v>
      </c>
      <c r="AV238" s="55">
        <v>1</v>
      </c>
      <c r="AW238" s="7"/>
      <c r="AX238" s="7"/>
      <c r="AY238" s="7"/>
      <c r="AZ238" s="7"/>
      <c r="BA238" s="7"/>
      <c r="BB238" s="41" t="str">
        <f t="shared" si="102"/>
        <v/>
      </c>
      <c r="BC238" s="10"/>
      <c r="BD238" s="35"/>
      <c r="BE238" s="13"/>
      <c r="BF238" s="16">
        <f>SUM(BC238:BE238)</f>
        <v>0</v>
      </c>
      <c r="BG238" s="17" t="str">
        <f t="shared" si="104"/>
        <v>0</v>
      </c>
      <c r="BH238" s="16">
        <f>IFERROR(IF(F238=1,IF(BC238&lt;AY238*3,AY238*3-BC238,0),IF(BC238&lt;AY238,AY238-BC238,0)),"")</f>
        <v>0</v>
      </c>
    </row>
    <row r="239" spans="1:60" s="21" customFormat="1" ht="12.75" customHeight="1" x14ac:dyDescent="0.2">
      <c r="A239" s="82" t="s">
        <v>1987</v>
      </c>
      <c r="B239" s="28"/>
      <c r="C239" s="28" t="s">
        <v>1851</v>
      </c>
      <c r="D239" s="83" t="s">
        <v>1761</v>
      </c>
      <c r="E239" s="83" t="s">
        <v>2025</v>
      </c>
      <c r="F239" s="84"/>
      <c r="G239" s="85" t="s">
        <v>2040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3">
        <f t="shared" si="110"/>
        <v>5</v>
      </c>
      <c r="AI239" s="7"/>
      <c r="AJ239" s="7"/>
      <c r="AK239" s="55">
        <v>5</v>
      </c>
      <c r="AL239" s="55">
        <f t="shared" si="100"/>
        <v>0</v>
      </c>
      <c r="AM239" s="55" t="s">
        <v>1912</v>
      </c>
      <c r="AN239" s="55">
        <v>0</v>
      </c>
      <c r="AO239" s="55">
        <v>0</v>
      </c>
      <c r="AP239" s="55">
        <f t="shared" si="93"/>
        <v>4</v>
      </c>
      <c r="AQ239" s="55">
        <f>IFERROR(VLOOKUP(A239,[1]SIIMPLES!$A$2:$F$418,6,FALSE),0)</f>
        <v>4</v>
      </c>
      <c r="AR239" s="55">
        <v>0</v>
      </c>
      <c r="AS239" s="55">
        <v>0</v>
      </c>
      <c r="AT239" s="55">
        <v>0</v>
      </c>
      <c r="AU239" s="55">
        <v>0</v>
      </c>
      <c r="AV239" s="55">
        <v>0</v>
      </c>
      <c r="AW239" s="7"/>
      <c r="AX239" s="7"/>
      <c r="AY239" s="7"/>
      <c r="AZ239" s="7"/>
      <c r="BA239" s="7"/>
      <c r="BB239" s="41" t="str">
        <f t="shared" si="102"/>
        <v/>
      </c>
      <c r="BC239" s="13"/>
      <c r="BD239" s="35"/>
      <c r="BE239" s="7"/>
      <c r="BF239" s="16"/>
      <c r="BG239" s="17" t="str">
        <f t="shared" si="104"/>
        <v>0</v>
      </c>
      <c r="BH239" s="16">
        <f>IFERROR(IF(F239=1,IF(BC239&lt;AY239*3,AY239*3-BC239,0),IF(BC239&lt;AY239,AY239-BC239,0)),"")</f>
        <v>0</v>
      </c>
    </row>
    <row r="240" spans="1:60" s="21" customFormat="1" ht="12.75" customHeight="1" x14ac:dyDescent="0.2">
      <c r="A240" s="82" t="s">
        <v>2003</v>
      </c>
      <c r="B240" s="28"/>
      <c r="C240" s="28" t="s">
        <v>1851</v>
      </c>
      <c r="D240" s="83" t="s">
        <v>1273</v>
      </c>
      <c r="E240" s="83" t="s">
        <v>2025</v>
      </c>
      <c r="F240" s="84"/>
      <c r="G240" s="85" t="s">
        <v>2059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3">
        <f t="shared" si="110"/>
        <v>1</v>
      </c>
      <c r="AI240" s="7"/>
      <c r="AJ240" s="7"/>
      <c r="AK240" s="55">
        <v>1</v>
      </c>
      <c r="AL240" s="55">
        <f t="shared" si="100"/>
        <v>0</v>
      </c>
      <c r="AM240" s="55" t="s">
        <v>1912</v>
      </c>
      <c r="AN240" s="55">
        <v>0</v>
      </c>
      <c r="AO240" s="55">
        <v>0</v>
      </c>
      <c r="AP240" s="55">
        <f t="shared" si="93"/>
        <v>4</v>
      </c>
      <c r="AQ240" s="55">
        <f>IFERROR(VLOOKUP(A240,[1]SIIMPLES!$A$2:$F$418,6,FALSE),0)</f>
        <v>4</v>
      </c>
      <c r="AR240" s="55">
        <v>0</v>
      </c>
      <c r="AS240" s="55">
        <v>0</v>
      </c>
      <c r="AT240" s="55">
        <v>0</v>
      </c>
      <c r="AU240" s="55">
        <v>0</v>
      </c>
      <c r="AV240" s="55">
        <v>0</v>
      </c>
      <c r="AW240" s="7"/>
      <c r="AX240" s="7"/>
      <c r="AY240" s="7"/>
      <c r="AZ240" s="7"/>
      <c r="BA240" s="7"/>
      <c r="BB240" s="41" t="str">
        <f t="shared" si="102"/>
        <v/>
      </c>
      <c r="BC240" s="13"/>
      <c r="BD240" s="35"/>
      <c r="BE240" s="7"/>
      <c r="BF240" s="16"/>
      <c r="BG240" s="17" t="str">
        <f t="shared" si="104"/>
        <v>0</v>
      </c>
      <c r="BH240" s="16">
        <f>IFERROR(IF(F240=1,IF(BC240&lt;AY240*3,AY240*3-BC240,0),IF(BC240&lt;AY240,AY240-BC240,0)),"")</f>
        <v>0</v>
      </c>
    </row>
    <row r="241" spans="1:60" s="21" customFormat="1" ht="12.75" customHeight="1" x14ac:dyDescent="0.2">
      <c r="A241" s="68" t="s">
        <v>1423</v>
      </c>
      <c r="B241" s="51"/>
      <c r="C241" s="66" t="s">
        <v>1851</v>
      </c>
      <c r="D241" s="52" t="s">
        <v>1764</v>
      </c>
      <c r="E241" s="52" t="s">
        <v>741</v>
      </c>
      <c r="F241" s="53">
        <f>IFERROR(VLOOKUP(E241,Fornecedores!$A$2:$B$2700,2,FALSE),"")</f>
        <v>7</v>
      </c>
      <c r="G241" s="52" t="s">
        <v>1654</v>
      </c>
      <c r="H241" s="57"/>
      <c r="I241" s="55">
        <f>SUM(J241:M241)</f>
        <v>0</v>
      </c>
      <c r="J241" s="55">
        <v>0</v>
      </c>
      <c r="K241" s="55">
        <v>0</v>
      </c>
      <c r="L241" s="55">
        <v>0</v>
      </c>
      <c r="M241" s="55">
        <v>0</v>
      </c>
      <c r="N241" s="55">
        <f>SUM(O241:Q241)</f>
        <v>0</v>
      </c>
      <c r="O241" s="55">
        <v>0</v>
      </c>
      <c r="P241" s="55">
        <v>0</v>
      </c>
      <c r="Q241" s="55">
        <v>0</v>
      </c>
      <c r="R241" s="55">
        <f>SUM(S241:U241)</f>
        <v>0</v>
      </c>
      <c r="S241" s="55">
        <v>0</v>
      </c>
      <c r="T241" s="55">
        <v>0</v>
      </c>
      <c r="U241" s="55">
        <v>0</v>
      </c>
      <c r="V241" s="55">
        <v>0</v>
      </c>
      <c r="W241" s="53">
        <v>0</v>
      </c>
      <c r="X241" s="53">
        <v>0</v>
      </c>
      <c r="Y241" s="55">
        <v>0</v>
      </c>
      <c r="Z241" s="55">
        <v>2</v>
      </c>
      <c r="AA241" s="53">
        <v>0</v>
      </c>
      <c r="AB241" s="53">
        <v>0</v>
      </c>
      <c r="AC241" s="55">
        <v>2</v>
      </c>
      <c r="AD241" s="55">
        <f>SUM(AE241:AG241)</f>
        <v>0</v>
      </c>
      <c r="AE241" s="53">
        <v>0</v>
      </c>
      <c r="AF241" s="55">
        <v>0</v>
      </c>
      <c r="AG241" s="55">
        <v>0</v>
      </c>
      <c r="AH241" s="55">
        <f t="shared" si="110"/>
        <v>0</v>
      </c>
      <c r="AI241" s="55">
        <v>0</v>
      </c>
      <c r="AJ241" s="55">
        <v>0</v>
      </c>
      <c r="AK241" s="55">
        <v>0</v>
      </c>
      <c r="AL241" s="55">
        <f t="shared" si="100"/>
        <v>0</v>
      </c>
      <c r="AM241" s="55" t="s">
        <v>1912</v>
      </c>
      <c r="AN241" s="55">
        <v>0</v>
      </c>
      <c r="AO241" s="55">
        <v>0</v>
      </c>
      <c r="AP241" s="55">
        <f t="shared" si="93"/>
        <v>4</v>
      </c>
      <c r="AQ241" s="55">
        <f>IFERROR(VLOOKUP(A241,[1]SIIMPLES!$A$2:$F$418,6,FALSE),0)</f>
        <v>4</v>
      </c>
      <c r="AR241" s="55">
        <v>0</v>
      </c>
      <c r="AS241" s="55">
        <v>5</v>
      </c>
      <c r="AT241" s="55">
        <v>0</v>
      </c>
      <c r="AU241" s="55">
        <v>0</v>
      </c>
      <c r="AV241" s="55">
        <v>5</v>
      </c>
      <c r="AW241" s="57"/>
      <c r="AX241" s="55"/>
      <c r="AY241" s="56">
        <f>IFERROR(AVERAGE(I241,N241,R241,V241,Z241,AD241,AH241,AL241,AP241,AS241,AW241,AX241),"-")</f>
        <v>1.1000000000000001</v>
      </c>
      <c r="AZ241" s="55"/>
      <c r="BA241" s="56">
        <v>0</v>
      </c>
      <c r="BB241" s="41" t="str">
        <f t="shared" si="102"/>
        <v/>
      </c>
      <c r="BC241" s="13"/>
      <c r="BD241" s="35"/>
      <c r="BE241" s="13"/>
      <c r="BF241" s="16"/>
      <c r="BG241" s="17">
        <f t="shared" si="104"/>
        <v>0</v>
      </c>
      <c r="BH241" s="16">
        <f>IFERROR(IF(F241=1,IF(BC241&lt;AY241*3,AY241*3-BC241,0),IF(BC241&lt;AY241,AY241-BC241,0)),"")</f>
        <v>1.1000000000000001</v>
      </c>
    </row>
    <row r="242" spans="1:60" s="21" customFormat="1" ht="12.75" customHeight="1" x14ac:dyDescent="0.2">
      <c r="A242" s="68" t="s">
        <v>1418</v>
      </c>
      <c r="B242" s="51"/>
      <c r="C242" s="66" t="s">
        <v>1851</v>
      </c>
      <c r="D242" s="52" t="s">
        <v>1764</v>
      </c>
      <c r="E242" s="52" t="s">
        <v>741</v>
      </c>
      <c r="F242" s="53">
        <f>IFERROR(VLOOKUP(E242,Fornecedores!$A$2:$B$2700,2,FALSE),"")</f>
        <v>7</v>
      </c>
      <c r="G242" s="52" t="s">
        <v>1653</v>
      </c>
      <c r="H242" s="57"/>
      <c r="I242" s="55">
        <f>SUM(J242:M242)</f>
        <v>0</v>
      </c>
      <c r="J242" s="55">
        <v>0</v>
      </c>
      <c r="K242" s="55">
        <v>0</v>
      </c>
      <c r="L242" s="55">
        <v>0</v>
      </c>
      <c r="M242" s="55">
        <v>0</v>
      </c>
      <c r="N242" s="55">
        <f>SUM(O242:Q242)</f>
        <v>0</v>
      </c>
      <c r="O242" s="55">
        <v>0</v>
      </c>
      <c r="P242" s="55">
        <v>0</v>
      </c>
      <c r="Q242" s="55">
        <v>0</v>
      </c>
      <c r="R242" s="55">
        <f>SUM(S242:U242)</f>
        <v>5</v>
      </c>
      <c r="S242" s="55">
        <v>0</v>
      </c>
      <c r="T242" s="55">
        <v>0</v>
      </c>
      <c r="U242" s="55">
        <v>5</v>
      </c>
      <c r="V242" s="55">
        <v>0</v>
      </c>
      <c r="W242" s="53">
        <v>0</v>
      </c>
      <c r="X242" s="53">
        <v>0</v>
      </c>
      <c r="Y242" s="55">
        <v>0</v>
      </c>
      <c r="Z242" s="55">
        <v>4</v>
      </c>
      <c r="AA242" s="53">
        <v>0</v>
      </c>
      <c r="AB242" s="53">
        <v>0</v>
      </c>
      <c r="AC242" s="55">
        <v>4</v>
      </c>
      <c r="AD242" s="55">
        <f>SUM(AE242:AG242)</f>
        <v>0</v>
      </c>
      <c r="AE242" s="53">
        <v>0</v>
      </c>
      <c r="AF242" s="55">
        <v>0</v>
      </c>
      <c r="AG242" s="55">
        <v>0</v>
      </c>
      <c r="AH242" s="55">
        <f t="shared" si="110"/>
        <v>2</v>
      </c>
      <c r="AI242" s="55">
        <v>0</v>
      </c>
      <c r="AJ242" s="55">
        <v>0</v>
      </c>
      <c r="AK242" s="55">
        <v>2</v>
      </c>
      <c r="AL242" s="55">
        <f t="shared" si="100"/>
        <v>0</v>
      </c>
      <c r="AM242" s="55" t="s">
        <v>1912</v>
      </c>
      <c r="AN242" s="55">
        <v>0</v>
      </c>
      <c r="AO242" s="55">
        <v>0</v>
      </c>
      <c r="AP242" s="55">
        <f t="shared" si="93"/>
        <v>4</v>
      </c>
      <c r="AQ242" s="55">
        <f>IFERROR(VLOOKUP(A242,[1]SIIMPLES!$A$2:$F$418,6,FALSE),0)</f>
        <v>4</v>
      </c>
      <c r="AR242" s="55">
        <v>0</v>
      </c>
      <c r="AS242" s="55">
        <v>0</v>
      </c>
      <c r="AT242" s="55">
        <v>0</v>
      </c>
      <c r="AU242" s="55">
        <v>0</v>
      </c>
      <c r="AV242" s="55">
        <v>0</v>
      </c>
      <c r="AW242" s="57"/>
      <c r="AX242" s="55"/>
      <c r="AY242" s="56">
        <f>IFERROR(AVERAGE(I242,N242,R242,V242,Z242,AD242,AH242,AL242,AP242,AS242,AW242,AX242),"-")</f>
        <v>1.5</v>
      </c>
      <c r="AZ242" s="55"/>
      <c r="BA242" s="56">
        <v>0</v>
      </c>
      <c r="BB242" s="41" t="str">
        <f t="shared" si="102"/>
        <v/>
      </c>
      <c r="BC242" s="7"/>
      <c r="BD242" s="35"/>
      <c r="BE242" s="13"/>
      <c r="BF242" s="16">
        <f>SUM(BC242:BE242)</f>
        <v>0</v>
      </c>
      <c r="BG242" s="17">
        <f t="shared" si="104"/>
        <v>0</v>
      </c>
      <c r="BH242" s="16">
        <f>IFERROR(IF(F242=1,IF(BC242&lt;AY242*3,AY242*3-BC242,0),IF(BC242&lt;AY242,AY242-BC242,0)),"")</f>
        <v>1.5</v>
      </c>
    </row>
    <row r="243" spans="1:60" s="21" customFormat="1" ht="12.75" customHeight="1" x14ac:dyDescent="0.2">
      <c r="A243" s="68" t="s">
        <v>1420</v>
      </c>
      <c r="B243" s="51"/>
      <c r="C243" s="66" t="s">
        <v>1851</v>
      </c>
      <c r="D243" s="52" t="s">
        <v>1764</v>
      </c>
      <c r="E243" s="52" t="s">
        <v>741</v>
      </c>
      <c r="F243" s="53">
        <f>IFERROR(VLOOKUP(E243,Fornecedores!$A$2:$B$2700,2,FALSE),"")</f>
        <v>7</v>
      </c>
      <c r="G243" s="52" t="s">
        <v>1649</v>
      </c>
      <c r="H243" s="57"/>
      <c r="I243" s="55">
        <f>SUM(J243:M243)</f>
        <v>0</v>
      </c>
      <c r="J243" s="55">
        <v>0</v>
      </c>
      <c r="K243" s="55">
        <v>0</v>
      </c>
      <c r="L243" s="55">
        <v>0</v>
      </c>
      <c r="M243" s="55">
        <v>0</v>
      </c>
      <c r="N243" s="55">
        <f>SUM(O243:Q243)</f>
        <v>0</v>
      </c>
      <c r="O243" s="55">
        <v>0</v>
      </c>
      <c r="P243" s="55">
        <v>0</v>
      </c>
      <c r="Q243" s="55">
        <v>0</v>
      </c>
      <c r="R243" s="55">
        <f>SUM(S243:U243)</f>
        <v>6</v>
      </c>
      <c r="S243" s="55">
        <v>0</v>
      </c>
      <c r="T243" s="55">
        <v>0</v>
      </c>
      <c r="U243" s="55">
        <v>6</v>
      </c>
      <c r="V243" s="55">
        <v>0</v>
      </c>
      <c r="W243" s="53">
        <v>0</v>
      </c>
      <c r="X243" s="53">
        <v>0</v>
      </c>
      <c r="Y243" s="55">
        <v>0</v>
      </c>
      <c r="Z243" s="55">
        <v>5</v>
      </c>
      <c r="AA243" s="53">
        <v>0</v>
      </c>
      <c r="AB243" s="53">
        <v>0</v>
      </c>
      <c r="AC243" s="55">
        <v>5</v>
      </c>
      <c r="AD243" s="55">
        <f>SUM(AE243:AG243)</f>
        <v>0</v>
      </c>
      <c r="AE243" s="53">
        <v>0</v>
      </c>
      <c r="AF243" s="55">
        <v>0</v>
      </c>
      <c r="AG243" s="55">
        <v>0</v>
      </c>
      <c r="AH243" s="55">
        <f t="shared" si="110"/>
        <v>5</v>
      </c>
      <c r="AI243" s="55">
        <v>0</v>
      </c>
      <c r="AJ243" s="55">
        <v>0</v>
      </c>
      <c r="AK243" s="55">
        <v>5</v>
      </c>
      <c r="AL243" s="55">
        <f t="shared" si="100"/>
        <v>1</v>
      </c>
      <c r="AM243" s="55" t="s">
        <v>1912</v>
      </c>
      <c r="AN243" s="55">
        <v>0</v>
      </c>
      <c r="AO243" s="55">
        <v>1</v>
      </c>
      <c r="AP243" s="55">
        <f t="shared" si="93"/>
        <v>4</v>
      </c>
      <c r="AQ243" s="55">
        <f>IFERROR(VLOOKUP(A243,[1]SIIMPLES!$A$2:$F$418,6,FALSE),0)</f>
        <v>4</v>
      </c>
      <c r="AR243" s="55">
        <v>0</v>
      </c>
      <c r="AS243" s="55">
        <v>1</v>
      </c>
      <c r="AT243" s="55">
        <v>0</v>
      </c>
      <c r="AU243" s="55">
        <v>0</v>
      </c>
      <c r="AV243" s="55">
        <v>1</v>
      </c>
      <c r="AW243" s="57"/>
      <c r="AX243" s="55"/>
      <c r="AY243" s="56">
        <f>IFERROR(AVERAGE(I243,N243,R243,V243,Z243,AD243,AH243,AL243,AP243,AS243,AW243,AX243),"-")</f>
        <v>2.2000000000000002</v>
      </c>
      <c r="AZ243" s="55"/>
      <c r="BA243" s="56">
        <v>0</v>
      </c>
      <c r="BB243" s="41" t="str">
        <f t="shared" si="102"/>
        <v/>
      </c>
      <c r="BC243" s="7"/>
      <c r="BD243" s="36"/>
      <c r="BE243" s="7"/>
      <c r="BF243" s="7"/>
      <c r="BG243" s="7"/>
      <c r="BH243" s="7"/>
    </row>
    <row r="244" spans="1:60" s="21" customFormat="1" ht="12.75" customHeight="1" x14ac:dyDescent="0.2">
      <c r="A244" s="68" t="s">
        <v>1427</v>
      </c>
      <c r="B244" s="51"/>
      <c r="C244" s="66" t="s">
        <v>1851</v>
      </c>
      <c r="D244" s="52" t="s">
        <v>1273</v>
      </c>
      <c r="E244" s="52" t="s">
        <v>741</v>
      </c>
      <c r="F244" s="53">
        <f>IFERROR(VLOOKUP(E244,Fornecedores!$A$2:$B$2700,2,FALSE),"")</f>
        <v>7</v>
      </c>
      <c r="G244" s="52" t="str">
        <f>VLOOKUP(A244,[2]CMV!$A$1:$F$2043,6,FALSE)</f>
        <v>CABO DA EMBREAGEM PARA MOTO HONDA CG 125 TITAN KS KSE</v>
      </c>
      <c r="H244" s="57"/>
      <c r="I244" s="55">
        <f>SUM(J244:M244)</f>
        <v>0</v>
      </c>
      <c r="J244" s="55">
        <v>0</v>
      </c>
      <c r="K244" s="55">
        <v>0</v>
      </c>
      <c r="L244" s="55">
        <v>0</v>
      </c>
      <c r="M244" s="55">
        <v>0</v>
      </c>
      <c r="N244" s="55">
        <f>SUM(O244:Q244)</f>
        <v>0</v>
      </c>
      <c r="O244" s="55">
        <v>0</v>
      </c>
      <c r="P244" s="55">
        <v>0</v>
      </c>
      <c r="Q244" s="55">
        <v>0</v>
      </c>
      <c r="R244" s="55">
        <f>SUM(S244:U244)</f>
        <v>0</v>
      </c>
      <c r="S244" s="55">
        <v>0</v>
      </c>
      <c r="T244" s="55">
        <v>0</v>
      </c>
      <c r="U244" s="55">
        <v>0</v>
      </c>
      <c r="V244" s="55">
        <v>0</v>
      </c>
      <c r="W244" s="53">
        <v>0</v>
      </c>
      <c r="X244" s="53">
        <v>0</v>
      </c>
      <c r="Y244" s="55">
        <v>0</v>
      </c>
      <c r="Z244" s="55">
        <v>1</v>
      </c>
      <c r="AA244" s="53">
        <v>0</v>
      </c>
      <c r="AB244" s="53">
        <v>0</v>
      </c>
      <c r="AC244" s="55">
        <v>1</v>
      </c>
      <c r="AD244" s="55">
        <f>SUM(AE244:AG244)</f>
        <v>0</v>
      </c>
      <c r="AE244" s="53">
        <v>0</v>
      </c>
      <c r="AF244" s="55">
        <v>0</v>
      </c>
      <c r="AG244" s="55">
        <v>0</v>
      </c>
      <c r="AH244" s="55">
        <f t="shared" si="110"/>
        <v>0</v>
      </c>
      <c r="AI244" s="55">
        <v>0</v>
      </c>
      <c r="AJ244" s="55">
        <v>0</v>
      </c>
      <c r="AK244" s="55">
        <v>0</v>
      </c>
      <c r="AL244" s="55">
        <f t="shared" si="100"/>
        <v>0</v>
      </c>
      <c r="AM244" s="55" t="s">
        <v>1912</v>
      </c>
      <c r="AN244" s="55">
        <v>0</v>
      </c>
      <c r="AO244" s="55">
        <v>0</v>
      </c>
      <c r="AP244" s="55">
        <f t="shared" si="93"/>
        <v>4</v>
      </c>
      <c r="AQ244" s="55">
        <f>IFERROR(VLOOKUP(A244,[1]SIIMPLES!$A$2:$F$418,6,FALSE),0)</f>
        <v>4</v>
      </c>
      <c r="AR244" s="55">
        <v>0</v>
      </c>
      <c r="AS244" s="55">
        <v>0</v>
      </c>
      <c r="AT244" s="55">
        <v>0</v>
      </c>
      <c r="AU244" s="55">
        <v>0</v>
      </c>
      <c r="AV244" s="55">
        <v>0</v>
      </c>
      <c r="AW244" s="57"/>
      <c r="AX244" s="55"/>
      <c r="AY244" s="56">
        <f>IFERROR(AVERAGE(I244,N244,R244,V244,Z244,AD244,AH244,AL244,AP244,AS244,AW244,AX244),"-")</f>
        <v>0.5</v>
      </c>
      <c r="AZ244" s="55"/>
      <c r="BA244" s="56">
        <v>0</v>
      </c>
      <c r="BB244" s="41" t="str">
        <f t="shared" si="102"/>
        <v/>
      </c>
      <c r="BC244" s="7"/>
      <c r="BD244" s="35"/>
      <c r="BE244" s="13"/>
      <c r="BF244" s="16">
        <f>SUM(BC244:BE244)</f>
        <v>0</v>
      </c>
      <c r="BG244" s="17">
        <f>IFERROR(BC244/AY244,"0")</f>
        <v>0</v>
      </c>
      <c r="BH244" s="16">
        <f>IFERROR(IF(F244=1,IF(BC244&lt;AY244*3,AY244*3-BC244,0),IF(BC244&lt;AY244,AY244-BC244,0)),"")</f>
        <v>0.5</v>
      </c>
    </row>
    <row r="245" spans="1:60" s="21" customFormat="1" ht="12.75" customHeight="1" x14ac:dyDescent="0.2">
      <c r="A245" s="68" t="s">
        <v>1929</v>
      </c>
      <c r="B245" s="51"/>
      <c r="C245" s="66" t="str">
        <f>VLOOKUP(A245,[2]CMV!$A$1:$B$2115,2,FALSE)</f>
        <v>MOTO PEÇAS</v>
      </c>
      <c r="D245" s="52" t="str">
        <f>VLOOKUP(A245,[2]CMV!$A$1:$C$2115,3,FALSE)</f>
        <v>Cabo Embreagem moto</v>
      </c>
      <c r="E245" s="52" t="str">
        <f>VLOOKUP(A245,[2]CMV!$A$1:$E$2115,5,FALSE)</f>
        <v>POLO</v>
      </c>
      <c r="F245" s="53"/>
      <c r="G245" s="67" t="str">
        <f>VLOOKUP(A245,[2]CMV!$A$1:$F$2115,6,FALSE)</f>
        <v>CABO EMBREAGEM HONDA CG 125 FAN ESD 14&gt;</v>
      </c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5">
        <f>SUM(AE245:AG245)</f>
        <v>10</v>
      </c>
      <c r="AE245" s="57"/>
      <c r="AF245" s="57"/>
      <c r="AG245" s="55">
        <v>10</v>
      </c>
      <c r="AH245" s="55">
        <f t="shared" si="110"/>
        <v>0</v>
      </c>
      <c r="AI245" s="55">
        <v>0</v>
      </c>
      <c r="AJ245" s="55">
        <v>0</v>
      </c>
      <c r="AK245" s="55">
        <v>0</v>
      </c>
      <c r="AL245" s="55">
        <f t="shared" si="100"/>
        <v>0</v>
      </c>
      <c r="AM245" s="55" t="s">
        <v>1912</v>
      </c>
      <c r="AN245" s="55">
        <v>0</v>
      </c>
      <c r="AO245" s="55">
        <v>0</v>
      </c>
      <c r="AP245" s="55">
        <f t="shared" si="93"/>
        <v>4</v>
      </c>
      <c r="AQ245" s="55">
        <f>IFERROR(VLOOKUP(A245,[1]SIIMPLES!$A$2:$F$418,6,FALSE),0)</f>
        <v>4</v>
      </c>
      <c r="AR245" s="55">
        <v>0</v>
      </c>
      <c r="AS245" s="55">
        <v>0</v>
      </c>
      <c r="AT245" s="55">
        <v>0</v>
      </c>
      <c r="AU245" s="55">
        <v>0</v>
      </c>
      <c r="AV245" s="55">
        <v>0</v>
      </c>
      <c r="AW245" s="57"/>
      <c r="AX245" s="57"/>
      <c r="AY245" s="56">
        <f>IFERROR(AVERAGE(I245,N245,R245,V245,Z245,AD245,AH245,AL245,AP245,AS245,AW245,AX245),"-")</f>
        <v>2.8</v>
      </c>
      <c r="AZ245" s="57"/>
      <c r="BA245" s="57"/>
      <c r="BB245" s="41" t="str">
        <f t="shared" si="102"/>
        <v/>
      </c>
      <c r="BC245" s="7"/>
      <c r="BD245" s="35"/>
      <c r="BE245" s="13"/>
      <c r="BF245" s="16">
        <f>SUM(BC245:BE245)</f>
        <v>0</v>
      </c>
      <c r="BG245" s="17">
        <f>IFERROR(BC245/AY245,"0")</f>
        <v>0</v>
      </c>
      <c r="BH245" s="16">
        <f>IFERROR(IF(F245=1,IF(BC245&lt;AY245*3,AY245*3-BC245,0),IF(BC245&lt;AY245,AY245-BC245,0)),"")</f>
        <v>2.8</v>
      </c>
    </row>
    <row r="246" spans="1:60" s="21" customFormat="1" ht="12.75" customHeight="1" x14ac:dyDescent="0.2">
      <c r="A246" s="28" t="s">
        <v>2080</v>
      </c>
      <c r="B246" s="28"/>
      <c r="C246" s="28" t="s">
        <v>1803</v>
      </c>
      <c r="D246" s="83" t="s">
        <v>2012</v>
      </c>
      <c r="E246" s="83" t="s">
        <v>2106</v>
      </c>
      <c r="F246" s="84"/>
      <c r="G246" s="85" t="s">
        <v>2121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55">
        <f t="shared" si="100"/>
        <v>27</v>
      </c>
      <c r="AM246" s="7"/>
      <c r="AN246" s="7"/>
      <c r="AO246" s="55">
        <v>27</v>
      </c>
      <c r="AP246" s="55">
        <f t="shared" si="93"/>
        <v>4</v>
      </c>
      <c r="AQ246" s="55">
        <f>IFERROR(VLOOKUP(A246,[1]SIIMPLES!$A$2:$F$418,6,FALSE),0)</f>
        <v>4</v>
      </c>
      <c r="AR246" s="55">
        <v>0</v>
      </c>
      <c r="AS246" s="55">
        <v>0</v>
      </c>
      <c r="AT246" s="55">
        <v>0</v>
      </c>
      <c r="AU246" s="55">
        <v>0</v>
      </c>
      <c r="AV246" s="55">
        <v>0</v>
      </c>
      <c r="AW246" s="7"/>
      <c r="AX246" s="7"/>
      <c r="AY246" s="7"/>
      <c r="AZ246" s="7"/>
      <c r="BA246" s="7"/>
      <c r="BB246" s="41" t="str">
        <f t="shared" si="102"/>
        <v/>
      </c>
      <c r="BC246" s="13"/>
      <c r="BD246" s="35"/>
      <c r="BE246" s="13"/>
      <c r="BF246" s="16">
        <f>SUM(BC246:BE246)</f>
        <v>0</v>
      </c>
      <c r="BG246" s="17" t="str">
        <f>IFERROR(BC246/AY246,"0")</f>
        <v>0</v>
      </c>
      <c r="BH246" s="16">
        <f>IFERROR(IF(F246=1,IF(BC246&lt;AY246*3,AY246*3-BC246,0),IF(BC246&lt;AY246,AY246-BC246,0)),"")</f>
        <v>0</v>
      </c>
    </row>
    <row r="247" spans="1:60" s="21" customFormat="1" ht="12.75" customHeight="1" x14ac:dyDescent="0.2">
      <c r="A247" s="28" t="s">
        <v>2147</v>
      </c>
      <c r="B247" s="28"/>
      <c r="C247" s="28" t="s">
        <v>1803</v>
      </c>
      <c r="D247" s="83" t="s">
        <v>763</v>
      </c>
      <c r="E247" s="83" t="s">
        <v>1181</v>
      </c>
      <c r="F247" s="84"/>
      <c r="G247" s="85" t="s">
        <v>2192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101"/>
      <c r="AP247" s="55">
        <f t="shared" si="93"/>
        <v>4</v>
      </c>
      <c r="AQ247" s="55">
        <f>IFERROR(VLOOKUP(A247,[1]SIIMPLES!$A$2:$F$418,6,FALSE),0)</f>
        <v>4</v>
      </c>
      <c r="AR247" s="55">
        <v>0</v>
      </c>
      <c r="AS247" s="55">
        <v>0</v>
      </c>
      <c r="AT247" s="55">
        <v>0</v>
      </c>
      <c r="AU247" s="55">
        <v>0</v>
      </c>
      <c r="AV247" s="55">
        <v>0</v>
      </c>
      <c r="AW247" s="7"/>
      <c r="AX247" s="7"/>
      <c r="AY247" s="7"/>
      <c r="AZ247" s="7"/>
      <c r="BA247" s="7"/>
      <c r="BB247" s="41" t="str">
        <f t="shared" si="102"/>
        <v/>
      </c>
      <c r="BC247" s="13"/>
      <c r="BD247" s="36"/>
      <c r="BE247" s="7"/>
      <c r="BF247" s="7"/>
      <c r="BG247" s="7"/>
      <c r="BH247" s="7"/>
    </row>
    <row r="248" spans="1:60" s="21" customFormat="1" ht="12.75" customHeight="1" x14ac:dyDescent="0.2">
      <c r="A248" s="28" t="s">
        <v>2149</v>
      </c>
      <c r="B248" s="28"/>
      <c r="C248" s="28" t="s">
        <v>1851</v>
      </c>
      <c r="D248" s="83" t="s">
        <v>2108</v>
      </c>
      <c r="E248" s="83" t="s">
        <v>2025</v>
      </c>
      <c r="F248" s="84"/>
      <c r="G248" s="85" t="s">
        <v>2193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101"/>
      <c r="AP248" s="55">
        <f t="shared" si="93"/>
        <v>4</v>
      </c>
      <c r="AQ248" s="55">
        <f>IFERROR(VLOOKUP(A248,[1]SIIMPLES!$A$2:$F$418,6,FALSE),0)</f>
        <v>4</v>
      </c>
      <c r="AR248" s="55">
        <v>0</v>
      </c>
      <c r="AS248" s="55">
        <v>0</v>
      </c>
      <c r="AT248" s="55">
        <v>0</v>
      </c>
      <c r="AU248" s="55">
        <v>0</v>
      </c>
      <c r="AV248" s="55">
        <v>0</v>
      </c>
      <c r="AW248" s="7"/>
      <c r="AX248" s="7"/>
      <c r="AY248" s="7"/>
      <c r="AZ248" s="7"/>
      <c r="BA248" s="7"/>
      <c r="BB248" s="41" t="str">
        <f t="shared" si="102"/>
        <v/>
      </c>
      <c r="BC248" s="10"/>
      <c r="BD248" s="35"/>
      <c r="BE248" s="13"/>
      <c r="BF248" s="16"/>
      <c r="BG248" s="17" t="str">
        <f t="shared" ref="BG248:BG260" si="112">IFERROR(BC248/AY248,"0")</f>
        <v>0</v>
      </c>
      <c r="BH248" s="16">
        <f t="shared" ref="BH248:BH255" si="113">IFERROR(IF(F248=1,IF(BC248&lt;AY248*3,AY248*3-BC248,0),IF(BC248&lt;AY248,AY248-BC248,0)),"")</f>
        <v>0</v>
      </c>
    </row>
    <row r="249" spans="1:60" s="21" customFormat="1" ht="12.75" customHeight="1" x14ac:dyDescent="0.2">
      <c r="A249" s="28" t="s">
        <v>2164</v>
      </c>
      <c r="B249" s="28"/>
      <c r="C249" s="28" t="s">
        <v>1851</v>
      </c>
      <c r="D249" s="83" t="s">
        <v>1273</v>
      </c>
      <c r="E249" s="83" t="s">
        <v>2025</v>
      </c>
      <c r="F249" s="84"/>
      <c r="G249" s="85" t="s">
        <v>2208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101"/>
      <c r="AP249" s="55">
        <f t="shared" si="93"/>
        <v>4</v>
      </c>
      <c r="AQ249" s="55">
        <f>IFERROR(VLOOKUP(A249,[1]SIIMPLES!$A$2:$F$418,6,FALSE),0)</f>
        <v>4</v>
      </c>
      <c r="AR249" s="55">
        <v>0</v>
      </c>
      <c r="AS249" s="55">
        <v>0</v>
      </c>
      <c r="AT249" s="55">
        <v>0</v>
      </c>
      <c r="AU249" s="55">
        <v>0</v>
      </c>
      <c r="AV249" s="55">
        <v>0</v>
      </c>
      <c r="AW249" s="7"/>
      <c r="AX249" s="7"/>
      <c r="AY249" s="7"/>
      <c r="AZ249" s="7"/>
      <c r="BA249" s="7"/>
      <c r="BB249" s="41" t="str">
        <f t="shared" si="102"/>
        <v/>
      </c>
      <c r="BC249" s="13"/>
      <c r="BD249" s="35"/>
      <c r="BE249" s="13"/>
      <c r="BF249" s="16"/>
      <c r="BG249" s="17" t="str">
        <f t="shared" si="112"/>
        <v>0</v>
      </c>
      <c r="BH249" s="16">
        <f t="shared" si="113"/>
        <v>0</v>
      </c>
    </row>
    <row r="250" spans="1:60" s="21" customFormat="1" ht="12.75" customHeight="1" x14ac:dyDescent="0.2">
      <c r="A250" s="28" t="s">
        <v>2167</v>
      </c>
      <c r="B250" s="28"/>
      <c r="C250" s="28" t="s">
        <v>1851</v>
      </c>
      <c r="D250" s="83" t="s">
        <v>2108</v>
      </c>
      <c r="E250" s="83" t="s">
        <v>2025</v>
      </c>
      <c r="F250" s="84"/>
      <c r="G250" s="85" t="s">
        <v>2210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101"/>
      <c r="AP250" s="55">
        <f t="shared" si="93"/>
        <v>4</v>
      </c>
      <c r="AQ250" s="55">
        <f>IFERROR(VLOOKUP(A250,[1]SIIMPLES!$A$2:$F$418,6,FALSE),0)</f>
        <v>4</v>
      </c>
      <c r="AR250" s="55">
        <v>0</v>
      </c>
      <c r="AS250" s="55">
        <v>0</v>
      </c>
      <c r="AT250" s="55">
        <v>0</v>
      </c>
      <c r="AU250" s="55">
        <v>0</v>
      </c>
      <c r="AV250" s="55">
        <v>0</v>
      </c>
      <c r="AW250" s="7"/>
      <c r="AX250" s="7"/>
      <c r="AY250" s="7"/>
      <c r="AZ250" s="7"/>
      <c r="BA250" s="7"/>
      <c r="BB250" s="41" t="str">
        <f t="shared" si="102"/>
        <v/>
      </c>
      <c r="BC250" s="13"/>
      <c r="BD250" s="35"/>
      <c r="BE250" s="13"/>
      <c r="BF250" s="16"/>
      <c r="BG250" s="17" t="str">
        <f t="shared" si="112"/>
        <v>0</v>
      </c>
      <c r="BH250" s="16">
        <f t="shared" si="113"/>
        <v>0</v>
      </c>
    </row>
    <row r="251" spans="1:60" s="21" customFormat="1" ht="12.75" customHeight="1" x14ac:dyDescent="0.2">
      <c r="A251" s="28">
        <v>240010</v>
      </c>
      <c r="B251" s="28"/>
      <c r="C251" s="28" t="s">
        <v>1851</v>
      </c>
      <c r="D251" s="83" t="s">
        <v>2108</v>
      </c>
      <c r="E251" s="83" t="s">
        <v>919</v>
      </c>
      <c r="F251" s="84"/>
      <c r="G251" s="85" t="s">
        <v>2216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101"/>
      <c r="AP251" s="55">
        <f t="shared" si="93"/>
        <v>4</v>
      </c>
      <c r="AQ251" s="55">
        <f>IFERROR(VLOOKUP(A251,[1]SIIMPLES!$A$2:$F$418,6,FALSE),0)</f>
        <v>4</v>
      </c>
      <c r="AR251" s="55">
        <v>0</v>
      </c>
      <c r="AS251" s="55">
        <v>0</v>
      </c>
      <c r="AT251" s="55">
        <v>0</v>
      </c>
      <c r="AU251" s="55">
        <v>0</v>
      </c>
      <c r="AV251" s="55">
        <v>0</v>
      </c>
      <c r="AW251" s="7"/>
      <c r="AX251" s="7"/>
      <c r="AY251" s="7"/>
      <c r="AZ251" s="7"/>
      <c r="BA251" s="7"/>
      <c r="BB251" s="41" t="str">
        <f t="shared" si="102"/>
        <v/>
      </c>
      <c r="BC251" s="13"/>
      <c r="BD251" s="35"/>
      <c r="BE251" s="13"/>
      <c r="BF251" s="16">
        <f>SUM(BC251:BE251)</f>
        <v>0</v>
      </c>
      <c r="BG251" s="17" t="str">
        <f t="shared" si="112"/>
        <v>0</v>
      </c>
      <c r="BH251" s="16">
        <f t="shared" si="113"/>
        <v>0</v>
      </c>
    </row>
    <row r="252" spans="1:60" s="21" customFormat="1" ht="12.75" customHeight="1" x14ac:dyDescent="0.2">
      <c r="A252" s="28" t="s">
        <v>2179</v>
      </c>
      <c r="B252" s="28"/>
      <c r="C252" s="28" t="s">
        <v>1851</v>
      </c>
      <c r="D252" s="83" t="s">
        <v>2108</v>
      </c>
      <c r="E252" s="83" t="s">
        <v>919</v>
      </c>
      <c r="F252" s="84"/>
      <c r="G252" s="85" t="s">
        <v>2218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101"/>
      <c r="AP252" s="55">
        <f t="shared" si="93"/>
        <v>4</v>
      </c>
      <c r="AQ252" s="55">
        <f>IFERROR(VLOOKUP(A252,[1]SIIMPLES!$A$2:$F$418,6,FALSE),0)</f>
        <v>4</v>
      </c>
      <c r="AR252" s="55">
        <v>0</v>
      </c>
      <c r="AS252" s="55">
        <v>0</v>
      </c>
      <c r="AT252" s="55">
        <v>0</v>
      </c>
      <c r="AU252" s="55">
        <v>0</v>
      </c>
      <c r="AV252" s="55">
        <v>0</v>
      </c>
      <c r="AW252" s="7"/>
      <c r="AX252" s="7"/>
      <c r="AY252" s="7"/>
      <c r="AZ252" s="7"/>
      <c r="BA252" s="7"/>
      <c r="BB252" s="41" t="str">
        <f t="shared" si="102"/>
        <v/>
      </c>
      <c r="BC252" s="13"/>
      <c r="BD252" s="35"/>
      <c r="BE252" s="13"/>
      <c r="BF252" s="16">
        <f>SUM(BC252:BE252)</f>
        <v>0</v>
      </c>
      <c r="BG252" s="17" t="str">
        <f t="shared" si="112"/>
        <v>0</v>
      </c>
      <c r="BH252" s="16">
        <f t="shared" si="113"/>
        <v>0</v>
      </c>
    </row>
    <row r="253" spans="1:60" s="21" customFormat="1" ht="12.75" customHeight="1" x14ac:dyDescent="0.2">
      <c r="A253" s="51">
        <v>2309</v>
      </c>
      <c r="B253" s="51" t="s">
        <v>1077</v>
      </c>
      <c r="C253" s="66" t="s">
        <v>1803</v>
      </c>
      <c r="D253" s="65" t="s">
        <v>731</v>
      </c>
      <c r="E253" s="52" t="s">
        <v>730</v>
      </c>
      <c r="F253" s="53">
        <f>IFERROR(VLOOKUP(E253,Fornecedores!$A$2:$B$2700,2,FALSE),"")</f>
        <v>3</v>
      </c>
      <c r="G253" s="52" t="s">
        <v>621</v>
      </c>
      <c r="H253" s="54"/>
      <c r="I253" s="55">
        <f t="shared" ref="I253:I284" si="114">SUM(J253:M253)</f>
        <v>0</v>
      </c>
      <c r="J253" s="55">
        <v>0</v>
      </c>
      <c r="K253" s="55">
        <v>0</v>
      </c>
      <c r="L253" s="55">
        <v>0</v>
      </c>
      <c r="M253" s="55">
        <v>0</v>
      </c>
      <c r="N253" s="55">
        <f t="shared" ref="N253:N284" si="115">SUM(O253:Q253)</f>
        <v>0</v>
      </c>
      <c r="O253" s="55">
        <v>0</v>
      </c>
      <c r="P253" s="55">
        <v>0</v>
      </c>
      <c r="Q253" s="55">
        <v>0</v>
      </c>
      <c r="R253" s="55">
        <f t="shared" ref="R253:R284" si="116">SUM(S253:U253)</f>
        <v>2</v>
      </c>
      <c r="S253" s="55">
        <v>0</v>
      </c>
      <c r="T253" s="55">
        <v>2</v>
      </c>
      <c r="U253" s="55">
        <v>0</v>
      </c>
      <c r="V253" s="55">
        <v>2</v>
      </c>
      <c r="W253" s="53">
        <v>1</v>
      </c>
      <c r="X253" s="53">
        <v>1</v>
      </c>
      <c r="Y253" s="55">
        <v>0</v>
      </c>
      <c r="Z253" s="55">
        <v>4</v>
      </c>
      <c r="AA253" s="53">
        <v>4</v>
      </c>
      <c r="AB253" s="53">
        <v>0</v>
      </c>
      <c r="AC253" s="55">
        <v>0</v>
      </c>
      <c r="AD253" s="55">
        <f t="shared" ref="AD253:AD284" si="117">SUM(AE253:AG253)</f>
        <v>1</v>
      </c>
      <c r="AE253" s="53">
        <v>1</v>
      </c>
      <c r="AF253" s="55">
        <v>0</v>
      </c>
      <c r="AG253" s="55">
        <v>0</v>
      </c>
      <c r="AH253" s="55">
        <f t="shared" ref="AH253:AH284" si="118">SUM(AI253:AK253)</f>
        <v>0</v>
      </c>
      <c r="AI253" s="55">
        <v>0</v>
      </c>
      <c r="AJ253" s="55">
        <v>0</v>
      </c>
      <c r="AK253" s="55">
        <v>0</v>
      </c>
      <c r="AL253" s="55">
        <f t="shared" ref="AL253:AL284" si="119">SUM(AM253:AO253)</f>
        <v>2</v>
      </c>
      <c r="AM253" s="55" t="s">
        <v>1912</v>
      </c>
      <c r="AN253" s="55">
        <v>2</v>
      </c>
      <c r="AO253" s="55">
        <v>0</v>
      </c>
      <c r="AP253" s="55">
        <f t="shared" si="93"/>
        <v>3</v>
      </c>
      <c r="AQ253" s="55">
        <f>IFERROR(VLOOKUP(A253,[1]SIIMPLES!$A$2:$F$418,6,FALSE),0)</f>
        <v>1</v>
      </c>
      <c r="AR253" s="55">
        <v>2</v>
      </c>
      <c r="AS253" s="55">
        <v>3</v>
      </c>
      <c r="AT253" s="55">
        <v>2</v>
      </c>
      <c r="AU253" s="55">
        <v>1</v>
      </c>
      <c r="AV253" s="55">
        <v>0</v>
      </c>
      <c r="AW253" s="55"/>
      <c r="AX253" s="55"/>
      <c r="AY253" s="56">
        <f t="shared" ref="AY253:AY284" si="120">IFERROR(AVERAGE(I253,N253,R253,V253,Z253,AD253,AH253,AL253,AP253,AS253,AW253,AX253),"-")</f>
        <v>1.7</v>
      </c>
      <c r="AZ253" s="55"/>
      <c r="BA253" s="56">
        <v>2</v>
      </c>
      <c r="BB253" s="41">
        <f t="shared" si="102"/>
        <v>-0.15000000000000002</v>
      </c>
      <c r="BC253" s="13"/>
      <c r="BD253" s="35"/>
      <c r="BE253" s="13"/>
      <c r="BF253" s="16"/>
      <c r="BG253" s="17">
        <f t="shared" si="112"/>
        <v>0</v>
      </c>
      <c r="BH253" s="16">
        <f t="shared" si="113"/>
        <v>1.7</v>
      </c>
    </row>
    <row r="254" spans="1:60" s="21" customFormat="1" ht="12.75" customHeight="1" x14ac:dyDescent="0.2">
      <c r="A254" s="51">
        <v>4003</v>
      </c>
      <c r="B254" s="51" t="s">
        <v>1077</v>
      </c>
      <c r="C254" s="66" t="s">
        <v>1803</v>
      </c>
      <c r="D254" s="52" t="s">
        <v>760</v>
      </c>
      <c r="E254" s="52" t="s">
        <v>736</v>
      </c>
      <c r="F254" s="53">
        <f>IFERROR(VLOOKUP(E254,Fornecedores!$A$2:$B$2700,2,FALSE),"")</f>
        <v>5</v>
      </c>
      <c r="G254" s="52" t="s">
        <v>895</v>
      </c>
      <c r="H254" s="57"/>
      <c r="I254" s="55">
        <f t="shared" si="114"/>
        <v>0</v>
      </c>
      <c r="J254" s="55">
        <v>0</v>
      </c>
      <c r="K254" s="55">
        <v>0</v>
      </c>
      <c r="L254" s="55">
        <v>0</v>
      </c>
      <c r="M254" s="55">
        <v>0</v>
      </c>
      <c r="N254" s="55">
        <f t="shared" si="115"/>
        <v>0</v>
      </c>
      <c r="O254" s="55">
        <v>0</v>
      </c>
      <c r="P254" s="55">
        <v>0</v>
      </c>
      <c r="Q254" s="55">
        <v>0</v>
      </c>
      <c r="R254" s="55">
        <f t="shared" si="116"/>
        <v>0</v>
      </c>
      <c r="S254" s="55">
        <v>0</v>
      </c>
      <c r="T254" s="55">
        <v>0</v>
      </c>
      <c r="U254" s="55">
        <v>0</v>
      </c>
      <c r="V254" s="55">
        <v>2</v>
      </c>
      <c r="W254" s="53">
        <v>2</v>
      </c>
      <c r="X254" s="53">
        <v>0</v>
      </c>
      <c r="Y254" s="55">
        <v>0</v>
      </c>
      <c r="Z254" s="55">
        <v>4</v>
      </c>
      <c r="AA254" s="53">
        <v>4</v>
      </c>
      <c r="AB254" s="53">
        <v>0</v>
      </c>
      <c r="AC254" s="55">
        <v>0</v>
      </c>
      <c r="AD254" s="55">
        <f t="shared" si="117"/>
        <v>4</v>
      </c>
      <c r="AE254" s="53">
        <v>4</v>
      </c>
      <c r="AF254" s="55">
        <v>0</v>
      </c>
      <c r="AG254" s="55">
        <v>0</v>
      </c>
      <c r="AH254" s="55">
        <f t="shared" si="118"/>
        <v>3</v>
      </c>
      <c r="AI254" s="55">
        <v>3</v>
      </c>
      <c r="AJ254" s="55">
        <v>0</v>
      </c>
      <c r="AK254" s="55">
        <v>0</v>
      </c>
      <c r="AL254" s="55">
        <f t="shared" si="119"/>
        <v>4</v>
      </c>
      <c r="AM254" s="55">
        <v>4</v>
      </c>
      <c r="AN254" s="55">
        <v>0</v>
      </c>
      <c r="AO254" s="55">
        <v>0</v>
      </c>
      <c r="AP254" s="55">
        <f t="shared" si="93"/>
        <v>3</v>
      </c>
      <c r="AQ254" s="55">
        <f>IFERROR(VLOOKUP(A254,[1]SIIMPLES!$A$2:$F$418,6,FALSE),0)</f>
        <v>3</v>
      </c>
      <c r="AR254" s="55">
        <v>0</v>
      </c>
      <c r="AS254" s="55">
        <v>1</v>
      </c>
      <c r="AT254" s="55">
        <v>1</v>
      </c>
      <c r="AU254" s="55">
        <v>0</v>
      </c>
      <c r="AV254" s="55">
        <v>0</v>
      </c>
      <c r="AW254" s="55"/>
      <c r="AX254" s="55"/>
      <c r="AY254" s="56">
        <f t="shared" si="120"/>
        <v>2.1</v>
      </c>
      <c r="AZ254" s="55"/>
      <c r="BA254" s="56">
        <v>1</v>
      </c>
      <c r="BB254" s="41">
        <f t="shared" si="102"/>
        <v>1.1000000000000001</v>
      </c>
      <c r="BC254" s="13"/>
      <c r="BD254" s="35"/>
      <c r="BE254" s="13"/>
      <c r="BF254" s="16"/>
      <c r="BG254" s="17">
        <f t="shared" si="112"/>
        <v>0</v>
      </c>
      <c r="BH254" s="16">
        <f t="shared" si="113"/>
        <v>2.1</v>
      </c>
    </row>
    <row r="255" spans="1:60" s="21" customFormat="1" ht="12.75" customHeight="1" x14ac:dyDescent="0.2">
      <c r="A255" s="51">
        <v>4005</v>
      </c>
      <c r="B255" s="51" t="s">
        <v>1077</v>
      </c>
      <c r="C255" s="66" t="s">
        <v>1803</v>
      </c>
      <c r="D255" s="52" t="s">
        <v>760</v>
      </c>
      <c r="E255" s="52" t="s">
        <v>736</v>
      </c>
      <c r="F255" s="53">
        <f>IFERROR(VLOOKUP(E255,Fornecedores!$A$2:$B$2700,2,FALSE),"")</f>
        <v>5</v>
      </c>
      <c r="G255" s="52" t="s">
        <v>907</v>
      </c>
      <c r="H255" s="57"/>
      <c r="I255" s="55">
        <f t="shared" si="114"/>
        <v>0</v>
      </c>
      <c r="J255" s="55">
        <v>0</v>
      </c>
      <c r="K255" s="55">
        <v>0</v>
      </c>
      <c r="L255" s="55">
        <v>0</v>
      </c>
      <c r="M255" s="55">
        <v>0</v>
      </c>
      <c r="N255" s="55">
        <f t="shared" si="115"/>
        <v>1</v>
      </c>
      <c r="O255" s="55">
        <v>1</v>
      </c>
      <c r="P255" s="55">
        <v>0</v>
      </c>
      <c r="Q255" s="55">
        <v>0</v>
      </c>
      <c r="R255" s="55">
        <f t="shared" si="116"/>
        <v>0</v>
      </c>
      <c r="S255" s="55">
        <v>0</v>
      </c>
      <c r="T255" s="55">
        <v>0</v>
      </c>
      <c r="U255" s="55">
        <v>0</v>
      </c>
      <c r="V255" s="55">
        <v>2</v>
      </c>
      <c r="W255" s="53">
        <v>2</v>
      </c>
      <c r="X255" s="53">
        <v>0</v>
      </c>
      <c r="Y255" s="55">
        <v>0</v>
      </c>
      <c r="Z255" s="55">
        <v>1</v>
      </c>
      <c r="AA255" s="53">
        <v>1</v>
      </c>
      <c r="AB255" s="53">
        <v>0</v>
      </c>
      <c r="AC255" s="55">
        <v>0</v>
      </c>
      <c r="AD255" s="55">
        <f t="shared" si="117"/>
        <v>2</v>
      </c>
      <c r="AE255" s="53">
        <v>2</v>
      </c>
      <c r="AF255" s="55">
        <v>0</v>
      </c>
      <c r="AG255" s="55">
        <v>0</v>
      </c>
      <c r="AH255" s="55">
        <f t="shared" si="118"/>
        <v>2</v>
      </c>
      <c r="AI255" s="55">
        <v>2</v>
      </c>
      <c r="AJ255" s="55">
        <v>0</v>
      </c>
      <c r="AK255" s="55">
        <v>0</v>
      </c>
      <c r="AL255" s="55">
        <f t="shared" si="119"/>
        <v>1</v>
      </c>
      <c r="AM255" s="55">
        <v>1</v>
      </c>
      <c r="AN255" s="55">
        <v>0</v>
      </c>
      <c r="AO255" s="55">
        <v>0</v>
      </c>
      <c r="AP255" s="55">
        <f t="shared" si="93"/>
        <v>3</v>
      </c>
      <c r="AQ255" s="55">
        <f>IFERROR(VLOOKUP(A255,[1]SIIMPLES!$A$2:$F$418,6,FALSE),0)</f>
        <v>3</v>
      </c>
      <c r="AR255" s="55">
        <v>0</v>
      </c>
      <c r="AS255" s="55">
        <v>0</v>
      </c>
      <c r="AT255" s="55">
        <v>0</v>
      </c>
      <c r="AU255" s="55">
        <v>0</v>
      </c>
      <c r="AV255" s="55">
        <v>0</v>
      </c>
      <c r="AW255" s="55"/>
      <c r="AX255" s="55"/>
      <c r="AY255" s="56">
        <f t="shared" si="120"/>
        <v>1.2</v>
      </c>
      <c r="AZ255" s="55"/>
      <c r="BA255" s="56">
        <v>1.1666666666666667</v>
      </c>
      <c r="BB255" s="41">
        <f t="shared" si="102"/>
        <v>2.857142857142847E-2</v>
      </c>
      <c r="BC255" s="13"/>
      <c r="BD255" s="35"/>
      <c r="BE255" s="7"/>
      <c r="BF255" s="16"/>
      <c r="BG255" s="17">
        <f t="shared" si="112"/>
        <v>0</v>
      </c>
      <c r="BH255" s="16">
        <f t="shared" si="113"/>
        <v>1.2</v>
      </c>
    </row>
    <row r="256" spans="1:60" s="21" customFormat="1" ht="12.75" customHeight="1" x14ac:dyDescent="0.2">
      <c r="A256" s="51">
        <v>4043</v>
      </c>
      <c r="B256" s="51"/>
      <c r="C256" s="66" t="s">
        <v>1803</v>
      </c>
      <c r="D256" s="52" t="s">
        <v>760</v>
      </c>
      <c r="E256" s="52" t="s">
        <v>736</v>
      </c>
      <c r="F256" s="53">
        <f>IFERROR(VLOOKUP(E256,Fornecedores!$A$2:$B$2700,2,FALSE),"")</f>
        <v>5</v>
      </c>
      <c r="G256" s="52" t="s">
        <v>418</v>
      </c>
      <c r="H256" s="54"/>
      <c r="I256" s="55">
        <f t="shared" si="114"/>
        <v>3</v>
      </c>
      <c r="J256" s="55">
        <v>3</v>
      </c>
      <c r="K256" s="55">
        <v>0</v>
      </c>
      <c r="L256" s="55">
        <v>0</v>
      </c>
      <c r="M256" s="55">
        <v>0</v>
      </c>
      <c r="N256" s="55">
        <f t="shared" si="115"/>
        <v>0</v>
      </c>
      <c r="O256" s="55">
        <v>0</v>
      </c>
      <c r="P256" s="55">
        <v>0</v>
      </c>
      <c r="Q256" s="55">
        <v>0</v>
      </c>
      <c r="R256" s="55">
        <f t="shared" si="116"/>
        <v>1</v>
      </c>
      <c r="S256" s="55">
        <v>1</v>
      </c>
      <c r="T256" s="55">
        <v>0</v>
      </c>
      <c r="U256" s="55">
        <v>0</v>
      </c>
      <c r="V256" s="55">
        <v>0</v>
      </c>
      <c r="W256" s="53">
        <v>0</v>
      </c>
      <c r="X256" s="53">
        <v>0</v>
      </c>
      <c r="Y256" s="55">
        <v>0</v>
      </c>
      <c r="Z256" s="55">
        <v>3</v>
      </c>
      <c r="AA256" s="53">
        <v>3</v>
      </c>
      <c r="AB256" s="53">
        <v>0</v>
      </c>
      <c r="AC256" s="55">
        <v>0</v>
      </c>
      <c r="AD256" s="55">
        <f t="shared" si="117"/>
        <v>0</v>
      </c>
      <c r="AE256" s="53">
        <v>0</v>
      </c>
      <c r="AF256" s="55">
        <v>0</v>
      </c>
      <c r="AG256" s="55">
        <v>0</v>
      </c>
      <c r="AH256" s="55">
        <f t="shared" si="118"/>
        <v>2</v>
      </c>
      <c r="AI256" s="55">
        <v>2</v>
      </c>
      <c r="AJ256" s="55">
        <v>0</v>
      </c>
      <c r="AK256" s="55">
        <v>0</v>
      </c>
      <c r="AL256" s="55">
        <f t="shared" si="119"/>
        <v>2</v>
      </c>
      <c r="AM256" s="55">
        <v>2</v>
      </c>
      <c r="AN256" s="55">
        <v>0</v>
      </c>
      <c r="AO256" s="55">
        <v>0</v>
      </c>
      <c r="AP256" s="55">
        <f t="shared" si="93"/>
        <v>3</v>
      </c>
      <c r="AQ256" s="55">
        <f>IFERROR(VLOOKUP(A256,[1]SIIMPLES!$A$2:$F$418,6,FALSE),0)</f>
        <v>3</v>
      </c>
      <c r="AR256" s="55">
        <v>0</v>
      </c>
      <c r="AS256" s="55">
        <v>2</v>
      </c>
      <c r="AT256" s="55">
        <v>2</v>
      </c>
      <c r="AU256" s="55">
        <v>0</v>
      </c>
      <c r="AV256" s="55">
        <v>0</v>
      </c>
      <c r="AW256" s="55"/>
      <c r="AX256" s="55"/>
      <c r="AY256" s="56">
        <f t="shared" si="120"/>
        <v>1.6</v>
      </c>
      <c r="AZ256" s="55"/>
      <c r="BA256" s="56">
        <v>2.5</v>
      </c>
      <c r="BB256" s="41">
        <f t="shared" si="102"/>
        <v>-0.36</v>
      </c>
      <c r="BC256" s="7"/>
      <c r="BD256" s="35"/>
      <c r="BE256" s="13"/>
      <c r="BF256" s="16">
        <f>SUM(BC256:BE256)</f>
        <v>0</v>
      </c>
      <c r="BG256" s="17">
        <f t="shared" si="112"/>
        <v>0</v>
      </c>
      <c r="BH256" s="16">
        <f>ROUND(IFERROR(IF(F256=1,IF(BC256&lt;AY256*3,AY256*3-BC256,0),IF(BC256&lt;AY256,AY256*0.6-BC256,0)),""),0)</f>
        <v>1</v>
      </c>
    </row>
    <row r="257" spans="1:60" s="21" customFormat="1" ht="12.75" customHeight="1" x14ac:dyDescent="0.2">
      <c r="A257" s="51">
        <v>5711</v>
      </c>
      <c r="B257" s="51" t="s">
        <v>1077</v>
      </c>
      <c r="C257" s="66" t="s">
        <v>1803</v>
      </c>
      <c r="D257" s="52" t="s">
        <v>735</v>
      </c>
      <c r="E257" s="52" t="s">
        <v>736</v>
      </c>
      <c r="F257" s="53">
        <f>IFERROR(VLOOKUP(E257,Fornecedores!$A$2:$B$2700,2,FALSE),"")</f>
        <v>5</v>
      </c>
      <c r="G257" s="52" t="s">
        <v>575</v>
      </c>
      <c r="H257" s="54"/>
      <c r="I257" s="55">
        <f t="shared" si="114"/>
        <v>7</v>
      </c>
      <c r="J257" s="55">
        <v>1</v>
      </c>
      <c r="K257" s="55">
        <v>6</v>
      </c>
      <c r="L257" s="55">
        <v>0</v>
      </c>
      <c r="M257" s="55">
        <v>0</v>
      </c>
      <c r="N257" s="55">
        <f t="shared" si="115"/>
        <v>5</v>
      </c>
      <c r="O257" s="55">
        <v>3</v>
      </c>
      <c r="P257" s="55">
        <v>2</v>
      </c>
      <c r="Q257" s="55">
        <v>0</v>
      </c>
      <c r="R257" s="55">
        <f t="shared" si="116"/>
        <v>7</v>
      </c>
      <c r="S257" s="55">
        <v>3</v>
      </c>
      <c r="T257" s="55">
        <v>4</v>
      </c>
      <c r="U257" s="55">
        <v>0</v>
      </c>
      <c r="V257" s="55">
        <v>6</v>
      </c>
      <c r="W257" s="53">
        <v>0</v>
      </c>
      <c r="X257" s="53">
        <v>6</v>
      </c>
      <c r="Y257" s="55">
        <v>0</v>
      </c>
      <c r="Z257" s="55">
        <v>7</v>
      </c>
      <c r="AA257" s="53">
        <v>1</v>
      </c>
      <c r="AB257" s="53">
        <v>6</v>
      </c>
      <c r="AC257" s="55">
        <v>0</v>
      </c>
      <c r="AD257" s="55">
        <f t="shared" si="117"/>
        <v>9</v>
      </c>
      <c r="AE257" s="53">
        <v>5</v>
      </c>
      <c r="AF257" s="55">
        <v>4</v>
      </c>
      <c r="AG257" s="55">
        <v>0</v>
      </c>
      <c r="AH257" s="55">
        <f t="shared" si="118"/>
        <v>17</v>
      </c>
      <c r="AI257" s="55">
        <v>1</v>
      </c>
      <c r="AJ257" s="55">
        <v>16</v>
      </c>
      <c r="AK257" s="55">
        <v>0</v>
      </c>
      <c r="AL257" s="55">
        <f t="shared" si="119"/>
        <v>6</v>
      </c>
      <c r="AM257" s="55">
        <v>2</v>
      </c>
      <c r="AN257" s="55">
        <v>4</v>
      </c>
      <c r="AO257" s="55">
        <v>0</v>
      </c>
      <c r="AP257" s="55">
        <f t="shared" si="93"/>
        <v>3</v>
      </c>
      <c r="AQ257" s="55">
        <f>IFERROR(VLOOKUP(A257,[1]SIIMPLES!$A$2:$F$418,6,FALSE),0)</f>
        <v>1</v>
      </c>
      <c r="AR257" s="55">
        <v>2</v>
      </c>
      <c r="AS257" s="55">
        <v>8</v>
      </c>
      <c r="AT257" s="55">
        <v>2</v>
      </c>
      <c r="AU257" s="55">
        <v>6</v>
      </c>
      <c r="AV257" s="55">
        <v>0</v>
      </c>
      <c r="AW257" s="55"/>
      <c r="AX257" s="55"/>
      <c r="AY257" s="56">
        <f t="shared" si="120"/>
        <v>7.5</v>
      </c>
      <c r="AZ257" s="55"/>
      <c r="BA257" s="56">
        <v>10.666666666666666</v>
      </c>
      <c r="BB257" s="41">
        <f t="shared" si="102"/>
        <v>-0.296875</v>
      </c>
      <c r="BC257" s="7"/>
      <c r="BD257" s="35"/>
      <c r="BE257" s="13"/>
      <c r="BF257" s="16"/>
      <c r="BG257" s="17">
        <f t="shared" si="112"/>
        <v>0</v>
      </c>
      <c r="BH257" s="16">
        <f>IFERROR(IF(F257=1,IF(BC257&lt;AY257*3,AY257*3-BC257,0),IF(BC257&lt;AY257,AY257-BC257,0)),"")</f>
        <v>7.5</v>
      </c>
    </row>
    <row r="258" spans="1:60" s="21" customFormat="1" ht="12.75" customHeight="1" x14ac:dyDescent="0.2">
      <c r="A258" s="51">
        <v>11097</v>
      </c>
      <c r="B258" s="51" t="s">
        <v>1077</v>
      </c>
      <c r="C258" s="66" t="s">
        <v>1803</v>
      </c>
      <c r="D258" s="52" t="s">
        <v>747</v>
      </c>
      <c r="E258" s="52" t="s">
        <v>758</v>
      </c>
      <c r="F258" s="53">
        <f>IFERROR(VLOOKUP(E258,Fornecedores!$A$2:$B$2700,2,FALSE),"")</f>
        <v>16</v>
      </c>
      <c r="G258" s="52" t="s">
        <v>431</v>
      </c>
      <c r="H258" s="54"/>
      <c r="I258" s="55">
        <f t="shared" si="114"/>
        <v>4</v>
      </c>
      <c r="J258" s="55">
        <v>4</v>
      </c>
      <c r="K258" s="55">
        <v>0</v>
      </c>
      <c r="L258" s="55">
        <v>0</v>
      </c>
      <c r="M258" s="55">
        <v>0</v>
      </c>
      <c r="N258" s="55">
        <f t="shared" si="115"/>
        <v>3</v>
      </c>
      <c r="O258" s="55">
        <v>3</v>
      </c>
      <c r="P258" s="55">
        <v>0</v>
      </c>
      <c r="Q258" s="55">
        <v>0</v>
      </c>
      <c r="R258" s="55">
        <f t="shared" si="116"/>
        <v>4</v>
      </c>
      <c r="S258" s="55">
        <v>4</v>
      </c>
      <c r="T258" s="55">
        <v>0</v>
      </c>
      <c r="U258" s="55">
        <v>0</v>
      </c>
      <c r="V258" s="55">
        <v>7</v>
      </c>
      <c r="W258" s="53">
        <v>7</v>
      </c>
      <c r="X258" s="53">
        <v>0</v>
      </c>
      <c r="Y258" s="55">
        <v>0</v>
      </c>
      <c r="Z258" s="55">
        <v>2</v>
      </c>
      <c r="AA258" s="53">
        <v>2</v>
      </c>
      <c r="AB258" s="53">
        <v>0</v>
      </c>
      <c r="AC258" s="55">
        <v>0</v>
      </c>
      <c r="AD258" s="55">
        <f t="shared" si="117"/>
        <v>6</v>
      </c>
      <c r="AE258" s="53">
        <v>6</v>
      </c>
      <c r="AF258" s="55">
        <v>0</v>
      </c>
      <c r="AG258" s="55">
        <v>0</v>
      </c>
      <c r="AH258" s="55">
        <f t="shared" si="118"/>
        <v>1</v>
      </c>
      <c r="AI258" s="55">
        <v>1</v>
      </c>
      <c r="AJ258" s="55">
        <v>0</v>
      </c>
      <c r="AK258" s="55">
        <v>0</v>
      </c>
      <c r="AL258" s="55">
        <f t="shared" si="119"/>
        <v>6</v>
      </c>
      <c r="AM258" s="55" t="s">
        <v>1912</v>
      </c>
      <c r="AN258" s="55">
        <v>0</v>
      </c>
      <c r="AO258" s="55">
        <v>6</v>
      </c>
      <c r="AP258" s="55">
        <f t="shared" si="93"/>
        <v>3</v>
      </c>
      <c r="AQ258" s="55">
        <f>IFERROR(VLOOKUP(A258,[1]SIIMPLES!$A$2:$F$418,6,FALSE),0)</f>
        <v>3</v>
      </c>
      <c r="AR258" s="55">
        <v>0</v>
      </c>
      <c r="AS258" s="55">
        <v>2</v>
      </c>
      <c r="AT258" s="55">
        <v>2</v>
      </c>
      <c r="AU258" s="55">
        <v>0</v>
      </c>
      <c r="AV258" s="55">
        <v>0</v>
      </c>
      <c r="AW258" s="55"/>
      <c r="AX258" s="55"/>
      <c r="AY258" s="56">
        <f t="shared" si="120"/>
        <v>3.8</v>
      </c>
      <c r="AZ258" s="55"/>
      <c r="BA258" s="56">
        <v>4.666666666666667</v>
      </c>
      <c r="BB258" s="41">
        <f t="shared" si="102"/>
        <v>-0.18571428571428583</v>
      </c>
      <c r="BC258" s="13"/>
      <c r="BD258" s="35"/>
      <c r="BE258" s="13"/>
      <c r="BF258" s="16">
        <f>SUM(BC258:BE258)</f>
        <v>0</v>
      </c>
      <c r="BG258" s="17">
        <f t="shared" si="112"/>
        <v>0</v>
      </c>
      <c r="BH258" s="16">
        <f>IFERROR(IF(F258=1,IF(BC258&lt;AY258*3,AY258*3-BC258,0),IF(BC258&lt;AY258,AY258-BC258,0)),"")</f>
        <v>3.8</v>
      </c>
    </row>
    <row r="259" spans="1:60" s="21" customFormat="1" ht="12.75" customHeight="1" x14ac:dyDescent="0.2">
      <c r="A259" s="51">
        <v>22099</v>
      </c>
      <c r="B259" s="51"/>
      <c r="C259" s="66" t="s">
        <v>1803</v>
      </c>
      <c r="D259" s="52" t="s">
        <v>747</v>
      </c>
      <c r="E259" s="52" t="s">
        <v>758</v>
      </c>
      <c r="F259" s="53">
        <f>IFERROR(VLOOKUP(E259,Fornecedores!$A$2:$B$2700,2,FALSE),"")</f>
        <v>16</v>
      </c>
      <c r="G259" s="52" t="s">
        <v>425</v>
      </c>
      <c r="H259" s="54"/>
      <c r="I259" s="55">
        <f t="shared" si="114"/>
        <v>1</v>
      </c>
      <c r="J259" s="55">
        <v>1</v>
      </c>
      <c r="K259" s="55">
        <v>0</v>
      </c>
      <c r="L259" s="55">
        <v>0</v>
      </c>
      <c r="M259" s="55">
        <v>0</v>
      </c>
      <c r="N259" s="55">
        <f t="shared" si="115"/>
        <v>2</v>
      </c>
      <c r="O259" s="55">
        <v>2</v>
      </c>
      <c r="P259" s="55">
        <v>0</v>
      </c>
      <c r="Q259" s="55">
        <v>0</v>
      </c>
      <c r="R259" s="55">
        <f t="shared" si="116"/>
        <v>1</v>
      </c>
      <c r="S259" s="55">
        <v>1</v>
      </c>
      <c r="T259" s="55">
        <v>0</v>
      </c>
      <c r="U259" s="55">
        <v>0</v>
      </c>
      <c r="V259" s="55">
        <v>2</v>
      </c>
      <c r="W259" s="53">
        <v>2</v>
      </c>
      <c r="X259" s="53">
        <v>0</v>
      </c>
      <c r="Y259" s="55">
        <v>0</v>
      </c>
      <c r="Z259" s="55">
        <v>3</v>
      </c>
      <c r="AA259" s="53">
        <v>3</v>
      </c>
      <c r="AB259" s="53">
        <v>0</v>
      </c>
      <c r="AC259" s="55">
        <v>0</v>
      </c>
      <c r="AD259" s="55">
        <f t="shared" si="117"/>
        <v>5</v>
      </c>
      <c r="AE259" s="53">
        <v>5</v>
      </c>
      <c r="AF259" s="55">
        <v>0</v>
      </c>
      <c r="AG259" s="55">
        <v>0</v>
      </c>
      <c r="AH259" s="55">
        <f t="shared" si="118"/>
        <v>4</v>
      </c>
      <c r="AI259" s="55">
        <v>4</v>
      </c>
      <c r="AJ259" s="55">
        <v>0</v>
      </c>
      <c r="AK259" s="55">
        <v>0</v>
      </c>
      <c r="AL259" s="55">
        <f t="shared" si="119"/>
        <v>3</v>
      </c>
      <c r="AM259" s="55">
        <v>3</v>
      </c>
      <c r="AN259" s="55">
        <v>0</v>
      </c>
      <c r="AO259" s="55">
        <v>0</v>
      </c>
      <c r="AP259" s="55">
        <f t="shared" ref="AP259:AP322" si="121">SUM(AQ259:AR259)</f>
        <v>3</v>
      </c>
      <c r="AQ259" s="55">
        <f>IFERROR(VLOOKUP(A259,[1]SIIMPLES!$A$2:$F$418,6,FALSE),0)</f>
        <v>3</v>
      </c>
      <c r="AR259" s="55">
        <v>0</v>
      </c>
      <c r="AS259" s="55">
        <v>3</v>
      </c>
      <c r="AT259" s="55">
        <v>3</v>
      </c>
      <c r="AU259" s="55">
        <v>0</v>
      </c>
      <c r="AV259" s="55">
        <v>0</v>
      </c>
      <c r="AW259" s="55"/>
      <c r="AX259" s="55"/>
      <c r="AY259" s="56">
        <f t="shared" si="120"/>
        <v>2.7</v>
      </c>
      <c r="AZ259" s="55"/>
      <c r="BA259" s="56">
        <v>1.8333333333333333</v>
      </c>
      <c r="BB259" s="41">
        <f t="shared" si="102"/>
        <v>0.47272727272727288</v>
      </c>
      <c r="BC259" s="10"/>
      <c r="BD259" s="35"/>
      <c r="BE259" s="13"/>
      <c r="BF259" s="16"/>
      <c r="BG259" s="17">
        <f t="shared" si="112"/>
        <v>0</v>
      </c>
      <c r="BH259" s="16">
        <f>IFERROR(IF(F259=1,IF(BC259&lt;AY259*3,AY259*3-BC259,0),IF(BC259&lt;AY259,AY259-BC259,0)),"")</f>
        <v>2.7</v>
      </c>
    </row>
    <row r="260" spans="1:60" s="21" customFormat="1" ht="12.75" customHeight="1" x14ac:dyDescent="0.2">
      <c r="A260" s="51">
        <v>55143</v>
      </c>
      <c r="B260" s="51" t="s">
        <v>1077</v>
      </c>
      <c r="C260" s="66" t="s">
        <v>1803</v>
      </c>
      <c r="D260" s="65" t="s">
        <v>1779</v>
      </c>
      <c r="E260" s="52" t="s">
        <v>732</v>
      </c>
      <c r="F260" s="53">
        <f>IFERROR(VLOOKUP(E260,Fornecedores!$A$2:$B$2700,2,FALSE),"")</f>
        <v>6</v>
      </c>
      <c r="G260" s="52" t="s">
        <v>182</v>
      </c>
      <c r="H260" s="54"/>
      <c r="I260" s="55">
        <f t="shared" si="114"/>
        <v>1</v>
      </c>
      <c r="J260" s="55">
        <v>1</v>
      </c>
      <c r="K260" s="55">
        <v>0</v>
      </c>
      <c r="L260" s="55">
        <v>0</v>
      </c>
      <c r="M260" s="55">
        <v>0</v>
      </c>
      <c r="N260" s="55">
        <f t="shared" si="115"/>
        <v>0</v>
      </c>
      <c r="O260" s="55">
        <v>0</v>
      </c>
      <c r="P260" s="55">
        <v>0</v>
      </c>
      <c r="Q260" s="55">
        <v>0</v>
      </c>
      <c r="R260" s="55">
        <f t="shared" si="116"/>
        <v>0</v>
      </c>
      <c r="S260" s="55">
        <v>0</v>
      </c>
      <c r="T260" s="55">
        <v>0</v>
      </c>
      <c r="U260" s="55">
        <v>0</v>
      </c>
      <c r="V260" s="55">
        <v>0</v>
      </c>
      <c r="W260" s="53">
        <v>0</v>
      </c>
      <c r="X260" s="53">
        <v>0</v>
      </c>
      <c r="Y260" s="55">
        <v>0</v>
      </c>
      <c r="Z260" s="55">
        <v>0</v>
      </c>
      <c r="AA260" s="53">
        <v>0</v>
      </c>
      <c r="AB260" s="53">
        <v>0</v>
      </c>
      <c r="AC260" s="55">
        <v>0</v>
      </c>
      <c r="AD260" s="55">
        <f t="shared" si="117"/>
        <v>0</v>
      </c>
      <c r="AE260" s="53">
        <v>0</v>
      </c>
      <c r="AF260" s="55">
        <v>0</v>
      </c>
      <c r="AG260" s="55">
        <v>0</v>
      </c>
      <c r="AH260" s="55">
        <f t="shared" si="118"/>
        <v>2</v>
      </c>
      <c r="AI260" s="55">
        <v>2</v>
      </c>
      <c r="AJ260" s="55">
        <v>0</v>
      </c>
      <c r="AK260" s="55">
        <v>0</v>
      </c>
      <c r="AL260" s="55">
        <f t="shared" si="119"/>
        <v>3</v>
      </c>
      <c r="AM260" s="55">
        <v>3</v>
      </c>
      <c r="AN260" s="55">
        <v>0</v>
      </c>
      <c r="AO260" s="55">
        <v>0</v>
      </c>
      <c r="AP260" s="55">
        <f t="shared" si="121"/>
        <v>3</v>
      </c>
      <c r="AQ260" s="55">
        <f>IFERROR(VLOOKUP(A260,[1]SIIMPLES!$A$2:$F$418,6,FALSE),0)</f>
        <v>3</v>
      </c>
      <c r="AR260" s="55">
        <v>0</v>
      </c>
      <c r="AS260" s="55">
        <v>0</v>
      </c>
      <c r="AT260" s="55">
        <v>0</v>
      </c>
      <c r="AU260" s="55">
        <v>0</v>
      </c>
      <c r="AV260" s="55">
        <v>0</v>
      </c>
      <c r="AW260" s="55"/>
      <c r="AX260" s="55"/>
      <c r="AY260" s="56">
        <f t="shared" si="120"/>
        <v>0.9</v>
      </c>
      <c r="AZ260" s="55"/>
      <c r="BA260" s="56">
        <v>1.5</v>
      </c>
      <c r="BB260" s="41">
        <f>1-BA260/AY260</f>
        <v>-0.66666666666666652</v>
      </c>
      <c r="BC260" s="13"/>
      <c r="BD260" s="35"/>
      <c r="BE260" s="13"/>
      <c r="BF260" s="16"/>
      <c r="BG260" s="17">
        <f t="shared" si="112"/>
        <v>0</v>
      </c>
      <c r="BH260" s="16">
        <f>IFERROR(IF(F260=1,IF(BC260&lt;AY260*3,AY260*3-BC260,0),IF(BC260&lt;AY260,AY260-BC260,0)),"")</f>
        <v>0.9</v>
      </c>
    </row>
    <row r="261" spans="1:60" s="21" customFormat="1" ht="12.75" customHeight="1" x14ac:dyDescent="0.2">
      <c r="A261" s="51">
        <v>55323</v>
      </c>
      <c r="B261" s="51"/>
      <c r="C261" s="66" t="s">
        <v>1803</v>
      </c>
      <c r="D261" s="65" t="s">
        <v>1778</v>
      </c>
      <c r="E261" s="52" t="s">
        <v>732</v>
      </c>
      <c r="F261" s="53">
        <f>IFERROR(VLOOKUP(E261,Fornecedores!$A$2:$B$2700,2,FALSE),"")</f>
        <v>6</v>
      </c>
      <c r="G261" s="52" t="s">
        <v>111</v>
      </c>
      <c r="H261" s="54"/>
      <c r="I261" s="55">
        <f t="shared" si="114"/>
        <v>1</v>
      </c>
      <c r="J261" s="55">
        <v>0</v>
      </c>
      <c r="K261" s="55">
        <v>1</v>
      </c>
      <c r="L261" s="55">
        <v>0</v>
      </c>
      <c r="M261" s="55">
        <v>0</v>
      </c>
      <c r="N261" s="55">
        <f t="shared" si="115"/>
        <v>0</v>
      </c>
      <c r="O261" s="55">
        <v>0</v>
      </c>
      <c r="P261" s="55">
        <v>0</v>
      </c>
      <c r="Q261" s="55">
        <v>0</v>
      </c>
      <c r="R261" s="55">
        <f t="shared" si="116"/>
        <v>0</v>
      </c>
      <c r="S261" s="55">
        <v>0</v>
      </c>
      <c r="T261" s="55">
        <v>0</v>
      </c>
      <c r="U261" s="55">
        <v>0</v>
      </c>
      <c r="V261" s="55">
        <v>3</v>
      </c>
      <c r="W261" s="53">
        <v>3</v>
      </c>
      <c r="X261" s="53">
        <v>0</v>
      </c>
      <c r="Y261" s="55">
        <v>0</v>
      </c>
      <c r="Z261" s="55">
        <v>0</v>
      </c>
      <c r="AA261" s="53">
        <v>0</v>
      </c>
      <c r="AB261" s="53">
        <v>0</v>
      </c>
      <c r="AC261" s="55">
        <v>0</v>
      </c>
      <c r="AD261" s="55">
        <f t="shared" si="117"/>
        <v>3</v>
      </c>
      <c r="AE261" s="53">
        <v>0</v>
      </c>
      <c r="AF261" s="55">
        <v>3</v>
      </c>
      <c r="AG261" s="55">
        <v>0</v>
      </c>
      <c r="AH261" s="55">
        <f t="shared" si="118"/>
        <v>0</v>
      </c>
      <c r="AI261" s="55">
        <v>0</v>
      </c>
      <c r="AJ261" s="55">
        <v>0</v>
      </c>
      <c r="AK261" s="55">
        <v>0</v>
      </c>
      <c r="AL261" s="55">
        <f t="shared" si="119"/>
        <v>0</v>
      </c>
      <c r="AM261" s="55" t="s">
        <v>1912</v>
      </c>
      <c r="AN261" s="55">
        <v>0</v>
      </c>
      <c r="AO261" s="55">
        <v>0</v>
      </c>
      <c r="AP261" s="55">
        <f t="shared" si="121"/>
        <v>3</v>
      </c>
      <c r="AQ261" s="55">
        <f>IFERROR(VLOOKUP(A261,[1]SIIMPLES!$A$2:$F$418,6,FALSE),0)</f>
        <v>0</v>
      </c>
      <c r="AR261" s="55">
        <v>3</v>
      </c>
      <c r="AS261" s="55">
        <v>1</v>
      </c>
      <c r="AT261" s="55">
        <v>1</v>
      </c>
      <c r="AU261" s="55">
        <v>0</v>
      </c>
      <c r="AV261" s="55">
        <v>0</v>
      </c>
      <c r="AW261" s="55"/>
      <c r="AX261" s="55"/>
      <c r="AY261" s="56">
        <f t="shared" si="120"/>
        <v>1.1000000000000001</v>
      </c>
      <c r="AZ261" s="55"/>
      <c r="BA261" s="56">
        <v>0.33333333333333331</v>
      </c>
      <c r="BB261" s="41">
        <f>IFERROR(AY261/BA261-1,"")</f>
        <v>2.3000000000000003</v>
      </c>
      <c r="BC261" s="13"/>
      <c r="BD261" s="36"/>
      <c r="BE261" s="7"/>
      <c r="BF261" s="7"/>
      <c r="BG261" s="7"/>
      <c r="BH261" s="7"/>
    </row>
    <row r="262" spans="1:60" s="21" customFormat="1" ht="12.75" customHeight="1" x14ac:dyDescent="0.2">
      <c r="A262" s="51">
        <v>66507</v>
      </c>
      <c r="B262" s="51" t="s">
        <v>1077</v>
      </c>
      <c r="C262" s="66" t="s">
        <v>1803</v>
      </c>
      <c r="D262" s="65" t="s">
        <v>1778</v>
      </c>
      <c r="E262" s="52" t="s">
        <v>732</v>
      </c>
      <c r="F262" s="53">
        <f>IFERROR(VLOOKUP(E262,Fornecedores!$A$2:$B$2700,2,FALSE),"")</f>
        <v>6</v>
      </c>
      <c r="G262" s="52" t="s">
        <v>417</v>
      </c>
      <c r="H262" s="54"/>
      <c r="I262" s="55">
        <f t="shared" si="114"/>
        <v>0</v>
      </c>
      <c r="J262" s="55">
        <v>0</v>
      </c>
      <c r="K262" s="55">
        <v>0</v>
      </c>
      <c r="L262" s="55">
        <v>0</v>
      </c>
      <c r="M262" s="55">
        <v>0</v>
      </c>
      <c r="N262" s="55">
        <f t="shared" si="115"/>
        <v>3</v>
      </c>
      <c r="O262" s="55">
        <v>3</v>
      </c>
      <c r="P262" s="55">
        <v>0</v>
      </c>
      <c r="Q262" s="55">
        <v>0</v>
      </c>
      <c r="R262" s="55">
        <f t="shared" si="116"/>
        <v>0</v>
      </c>
      <c r="S262" s="55">
        <v>0</v>
      </c>
      <c r="T262" s="55">
        <v>0</v>
      </c>
      <c r="U262" s="55">
        <v>0</v>
      </c>
      <c r="V262" s="55">
        <v>0</v>
      </c>
      <c r="W262" s="53">
        <v>0</v>
      </c>
      <c r="X262" s="53">
        <v>0</v>
      </c>
      <c r="Y262" s="55">
        <v>0</v>
      </c>
      <c r="Z262" s="55">
        <v>2</v>
      </c>
      <c r="AA262" s="53">
        <v>2</v>
      </c>
      <c r="AB262" s="53">
        <v>0</v>
      </c>
      <c r="AC262" s="55">
        <v>0</v>
      </c>
      <c r="AD262" s="55">
        <f t="shared" si="117"/>
        <v>3</v>
      </c>
      <c r="AE262" s="53">
        <v>3</v>
      </c>
      <c r="AF262" s="55">
        <v>0</v>
      </c>
      <c r="AG262" s="55">
        <v>0</v>
      </c>
      <c r="AH262" s="55">
        <f t="shared" si="118"/>
        <v>1</v>
      </c>
      <c r="AI262" s="55">
        <v>1</v>
      </c>
      <c r="AJ262" s="55">
        <v>0</v>
      </c>
      <c r="AK262" s="55">
        <v>0</v>
      </c>
      <c r="AL262" s="55">
        <f t="shared" si="119"/>
        <v>1</v>
      </c>
      <c r="AM262" s="55">
        <v>1</v>
      </c>
      <c r="AN262" s="55">
        <v>0</v>
      </c>
      <c r="AO262" s="55">
        <v>0</v>
      </c>
      <c r="AP262" s="55">
        <f t="shared" si="121"/>
        <v>3</v>
      </c>
      <c r="AQ262" s="55">
        <f>IFERROR(VLOOKUP(A262,[1]SIIMPLES!$A$2:$F$418,6,FALSE),0)</f>
        <v>3</v>
      </c>
      <c r="AR262" s="55">
        <v>0</v>
      </c>
      <c r="AS262" s="55">
        <v>5</v>
      </c>
      <c r="AT262" s="55">
        <v>5</v>
      </c>
      <c r="AU262" s="55">
        <v>0</v>
      </c>
      <c r="AV262" s="55">
        <v>0</v>
      </c>
      <c r="AW262" s="55"/>
      <c r="AX262" s="55"/>
      <c r="AY262" s="56">
        <f t="shared" si="120"/>
        <v>1.8</v>
      </c>
      <c r="AZ262" s="55"/>
      <c r="BA262" s="56">
        <v>3.6666666666666665</v>
      </c>
      <c r="BB262" s="36"/>
      <c r="BC262" s="7"/>
      <c r="BD262" s="35"/>
      <c r="BE262" s="13"/>
      <c r="BF262" s="16">
        <f t="shared" ref="BF262:BF269" si="122">SUM(BC262:BE262)</f>
        <v>0</v>
      </c>
      <c r="BG262" s="17">
        <f t="shared" ref="BG262:BG280" si="123">IFERROR(BC262/AY262,"0")</f>
        <v>0</v>
      </c>
      <c r="BH262" s="16">
        <f t="shared" ref="BH262:BH279" si="124">IFERROR(IF(F262=1,IF(BC262&lt;AY262*3,AY262*3-BC262,0),IF(BC262&lt;AY262,AY262-BC262,0)),"")</f>
        <v>1.8</v>
      </c>
    </row>
    <row r="263" spans="1:60" s="21" customFormat="1" ht="12.75" customHeight="1" x14ac:dyDescent="0.2">
      <c r="A263" s="51">
        <v>77152</v>
      </c>
      <c r="B263" s="51" t="s">
        <v>1077</v>
      </c>
      <c r="C263" s="66" t="s">
        <v>1803</v>
      </c>
      <c r="D263" s="65" t="s">
        <v>1778</v>
      </c>
      <c r="E263" s="52" t="s">
        <v>732</v>
      </c>
      <c r="F263" s="53">
        <f>IFERROR(VLOOKUP(E263,Fornecedores!$A$2:$B$2700,2,FALSE),"")</f>
        <v>6</v>
      </c>
      <c r="G263" s="52" t="s">
        <v>129</v>
      </c>
      <c r="H263" s="54"/>
      <c r="I263" s="55">
        <f t="shared" si="114"/>
        <v>7</v>
      </c>
      <c r="J263" s="55">
        <v>7</v>
      </c>
      <c r="K263" s="55">
        <v>0</v>
      </c>
      <c r="L263" s="55">
        <v>0</v>
      </c>
      <c r="M263" s="55">
        <v>0</v>
      </c>
      <c r="N263" s="55">
        <f t="shared" si="115"/>
        <v>5</v>
      </c>
      <c r="O263" s="55">
        <v>5</v>
      </c>
      <c r="P263" s="55">
        <v>0</v>
      </c>
      <c r="Q263" s="55">
        <v>0</v>
      </c>
      <c r="R263" s="55">
        <f t="shared" si="116"/>
        <v>0</v>
      </c>
      <c r="S263" s="55">
        <v>0</v>
      </c>
      <c r="T263" s="55">
        <v>0</v>
      </c>
      <c r="U263" s="55">
        <v>0</v>
      </c>
      <c r="V263" s="55">
        <v>3</v>
      </c>
      <c r="W263" s="53">
        <v>3</v>
      </c>
      <c r="X263" s="53">
        <v>0</v>
      </c>
      <c r="Y263" s="55">
        <v>0</v>
      </c>
      <c r="Z263" s="55">
        <v>3</v>
      </c>
      <c r="AA263" s="53">
        <v>3</v>
      </c>
      <c r="AB263" s="53">
        <v>0</v>
      </c>
      <c r="AC263" s="55">
        <v>0</v>
      </c>
      <c r="AD263" s="55">
        <f t="shared" si="117"/>
        <v>1</v>
      </c>
      <c r="AE263" s="53">
        <v>1</v>
      </c>
      <c r="AF263" s="55">
        <v>0</v>
      </c>
      <c r="AG263" s="55">
        <v>0</v>
      </c>
      <c r="AH263" s="55">
        <f t="shared" si="118"/>
        <v>0</v>
      </c>
      <c r="AI263" s="55">
        <v>0</v>
      </c>
      <c r="AJ263" s="55">
        <v>0</v>
      </c>
      <c r="AK263" s="55">
        <v>0</v>
      </c>
      <c r="AL263" s="55">
        <f t="shared" si="119"/>
        <v>0</v>
      </c>
      <c r="AM263" s="55" t="s">
        <v>1912</v>
      </c>
      <c r="AN263" s="55">
        <v>0</v>
      </c>
      <c r="AO263" s="55">
        <v>0</v>
      </c>
      <c r="AP263" s="55">
        <f t="shared" si="121"/>
        <v>3</v>
      </c>
      <c r="AQ263" s="55">
        <f>IFERROR(VLOOKUP(A263,[1]SIIMPLES!$A$2:$F$418,6,FALSE),0)</f>
        <v>3</v>
      </c>
      <c r="AR263" s="55">
        <v>0</v>
      </c>
      <c r="AS263" s="55">
        <v>0</v>
      </c>
      <c r="AT263" s="55">
        <v>0</v>
      </c>
      <c r="AU263" s="55">
        <v>0</v>
      </c>
      <c r="AV263" s="55">
        <v>0</v>
      </c>
      <c r="AW263" s="55"/>
      <c r="AX263" s="55"/>
      <c r="AY263" s="56">
        <f t="shared" si="120"/>
        <v>2.2000000000000002</v>
      </c>
      <c r="AZ263" s="55"/>
      <c r="BA263" s="56">
        <v>6.833333333333333</v>
      </c>
      <c r="BB263" s="36"/>
      <c r="BC263" s="7"/>
      <c r="BD263" s="35"/>
      <c r="BE263" s="13"/>
      <c r="BF263" s="16">
        <f t="shared" si="122"/>
        <v>0</v>
      </c>
      <c r="BG263" s="17">
        <f t="shared" si="123"/>
        <v>0</v>
      </c>
      <c r="BH263" s="16">
        <f t="shared" si="124"/>
        <v>2.2000000000000002</v>
      </c>
    </row>
    <row r="264" spans="1:60" s="21" customFormat="1" ht="12.75" customHeight="1" x14ac:dyDescent="0.2">
      <c r="A264" s="51">
        <v>77156</v>
      </c>
      <c r="B264" s="51" t="s">
        <v>1077</v>
      </c>
      <c r="C264" s="66" t="s">
        <v>1803</v>
      </c>
      <c r="D264" s="65" t="s">
        <v>1778</v>
      </c>
      <c r="E264" s="52" t="s">
        <v>732</v>
      </c>
      <c r="F264" s="53">
        <f>IFERROR(VLOOKUP(E264,Fornecedores!$A$2:$B$2700,2,FALSE),"")</f>
        <v>6</v>
      </c>
      <c r="G264" s="52" t="s">
        <v>68</v>
      </c>
      <c r="H264" s="54"/>
      <c r="I264" s="55">
        <f t="shared" si="114"/>
        <v>0</v>
      </c>
      <c r="J264" s="55">
        <v>0</v>
      </c>
      <c r="K264" s="55">
        <v>0</v>
      </c>
      <c r="L264" s="55">
        <v>0</v>
      </c>
      <c r="M264" s="55">
        <v>0</v>
      </c>
      <c r="N264" s="55">
        <f t="shared" si="115"/>
        <v>0</v>
      </c>
      <c r="O264" s="55">
        <v>0</v>
      </c>
      <c r="P264" s="55">
        <v>0</v>
      </c>
      <c r="Q264" s="55">
        <v>0</v>
      </c>
      <c r="R264" s="55">
        <f t="shared" si="116"/>
        <v>0</v>
      </c>
      <c r="S264" s="55">
        <v>0</v>
      </c>
      <c r="T264" s="55">
        <v>0</v>
      </c>
      <c r="U264" s="55">
        <v>0</v>
      </c>
      <c r="V264" s="55">
        <v>0</v>
      </c>
      <c r="W264" s="53">
        <v>0</v>
      </c>
      <c r="X264" s="53">
        <v>0</v>
      </c>
      <c r="Y264" s="55">
        <v>0</v>
      </c>
      <c r="Z264" s="55">
        <v>1</v>
      </c>
      <c r="AA264" s="53">
        <v>1</v>
      </c>
      <c r="AB264" s="53">
        <v>0</v>
      </c>
      <c r="AC264" s="55">
        <v>0</v>
      </c>
      <c r="AD264" s="55">
        <f t="shared" si="117"/>
        <v>2</v>
      </c>
      <c r="AE264" s="53">
        <v>2</v>
      </c>
      <c r="AF264" s="55">
        <v>0</v>
      </c>
      <c r="AG264" s="55">
        <v>0</v>
      </c>
      <c r="AH264" s="55">
        <f t="shared" si="118"/>
        <v>0</v>
      </c>
      <c r="AI264" s="55">
        <v>0</v>
      </c>
      <c r="AJ264" s="55">
        <v>0</v>
      </c>
      <c r="AK264" s="55">
        <v>0</v>
      </c>
      <c r="AL264" s="55">
        <f t="shared" si="119"/>
        <v>0</v>
      </c>
      <c r="AM264" s="55" t="s">
        <v>1912</v>
      </c>
      <c r="AN264" s="55">
        <v>0</v>
      </c>
      <c r="AO264" s="55">
        <v>0</v>
      </c>
      <c r="AP264" s="55">
        <f t="shared" si="121"/>
        <v>3</v>
      </c>
      <c r="AQ264" s="55">
        <f>IFERROR(VLOOKUP(A264,[1]SIIMPLES!$A$2:$F$418,6,FALSE),0)</f>
        <v>3</v>
      </c>
      <c r="AR264" s="55">
        <v>0</v>
      </c>
      <c r="AS264" s="55">
        <v>2</v>
      </c>
      <c r="AT264" s="55">
        <v>2</v>
      </c>
      <c r="AU264" s="55">
        <v>0</v>
      </c>
      <c r="AV264" s="55">
        <v>0</v>
      </c>
      <c r="AW264" s="55"/>
      <c r="AX264" s="55"/>
      <c r="AY264" s="56">
        <f t="shared" si="120"/>
        <v>0.8</v>
      </c>
      <c r="AZ264" s="55"/>
      <c r="BA264" s="56">
        <v>1.8333333333333333</v>
      </c>
      <c r="BB264" s="41">
        <f>IFERROR(AY264/BA264-1,"")</f>
        <v>-0.5636363636363636</v>
      </c>
      <c r="BC264" s="7"/>
      <c r="BD264" s="35"/>
      <c r="BE264" s="13"/>
      <c r="BF264" s="16">
        <f t="shared" si="122"/>
        <v>0</v>
      </c>
      <c r="BG264" s="17">
        <f t="shared" si="123"/>
        <v>0</v>
      </c>
      <c r="BH264" s="16">
        <f t="shared" si="124"/>
        <v>0.8</v>
      </c>
    </row>
    <row r="265" spans="1:60" s="21" customFormat="1" ht="12.75" customHeight="1" x14ac:dyDescent="0.2">
      <c r="A265" s="51">
        <v>88461</v>
      </c>
      <c r="B265" s="51" t="s">
        <v>1077</v>
      </c>
      <c r="C265" s="66" t="s">
        <v>1803</v>
      </c>
      <c r="D265" s="65" t="s">
        <v>1778</v>
      </c>
      <c r="E265" s="52" t="s">
        <v>732</v>
      </c>
      <c r="F265" s="53">
        <f>IFERROR(VLOOKUP(E265,Fornecedores!$A$2:$B$2700,2,FALSE),"")</f>
        <v>6</v>
      </c>
      <c r="G265" s="52" t="s">
        <v>606</v>
      </c>
      <c r="H265" s="54"/>
      <c r="I265" s="55">
        <f t="shared" si="114"/>
        <v>11</v>
      </c>
      <c r="J265" s="55">
        <v>11</v>
      </c>
      <c r="K265" s="55">
        <v>0</v>
      </c>
      <c r="L265" s="55">
        <v>0</v>
      </c>
      <c r="M265" s="55">
        <v>0</v>
      </c>
      <c r="N265" s="55">
        <f t="shared" si="115"/>
        <v>1</v>
      </c>
      <c r="O265" s="55">
        <v>1</v>
      </c>
      <c r="P265" s="55">
        <v>0</v>
      </c>
      <c r="Q265" s="55">
        <v>0</v>
      </c>
      <c r="R265" s="55">
        <f t="shared" si="116"/>
        <v>0</v>
      </c>
      <c r="S265" s="55">
        <v>0</v>
      </c>
      <c r="T265" s="55">
        <v>0</v>
      </c>
      <c r="U265" s="55">
        <v>0</v>
      </c>
      <c r="V265" s="55">
        <v>3</v>
      </c>
      <c r="W265" s="53">
        <v>3</v>
      </c>
      <c r="X265" s="53">
        <v>0</v>
      </c>
      <c r="Y265" s="55">
        <v>0</v>
      </c>
      <c r="Z265" s="55">
        <v>0</v>
      </c>
      <c r="AA265" s="53">
        <v>0</v>
      </c>
      <c r="AB265" s="53">
        <v>0</v>
      </c>
      <c r="AC265" s="55">
        <v>0</v>
      </c>
      <c r="AD265" s="55">
        <f t="shared" si="117"/>
        <v>3</v>
      </c>
      <c r="AE265" s="53">
        <v>3</v>
      </c>
      <c r="AF265" s="55">
        <v>0</v>
      </c>
      <c r="AG265" s="55">
        <v>0</v>
      </c>
      <c r="AH265" s="55">
        <f t="shared" si="118"/>
        <v>2</v>
      </c>
      <c r="AI265" s="55">
        <v>2</v>
      </c>
      <c r="AJ265" s="55">
        <v>0</v>
      </c>
      <c r="AK265" s="55">
        <v>0</v>
      </c>
      <c r="AL265" s="55">
        <f t="shared" si="119"/>
        <v>1</v>
      </c>
      <c r="AM265" s="55">
        <v>1</v>
      </c>
      <c r="AN265" s="55">
        <v>0</v>
      </c>
      <c r="AO265" s="55">
        <v>0</v>
      </c>
      <c r="AP265" s="55">
        <f t="shared" si="121"/>
        <v>3</v>
      </c>
      <c r="AQ265" s="55">
        <f>IFERROR(VLOOKUP(A265,[1]SIIMPLES!$A$2:$F$418,6,FALSE),0)</f>
        <v>3</v>
      </c>
      <c r="AR265" s="55">
        <v>0</v>
      </c>
      <c r="AS265" s="55">
        <v>3</v>
      </c>
      <c r="AT265" s="55">
        <v>3</v>
      </c>
      <c r="AU265" s="55">
        <v>0</v>
      </c>
      <c r="AV265" s="55">
        <v>0</v>
      </c>
      <c r="AW265" s="55"/>
      <c r="AX265" s="55"/>
      <c r="AY265" s="56">
        <f t="shared" si="120"/>
        <v>2.7</v>
      </c>
      <c r="AZ265" s="55"/>
      <c r="BA265" s="56">
        <v>4.833333333333333</v>
      </c>
      <c r="BB265" s="41">
        <f>IFERROR(AY265/BA265-1,"")</f>
        <v>-0.44137931034482747</v>
      </c>
      <c r="BC265" s="13"/>
      <c r="BD265" s="35"/>
      <c r="BE265" s="13"/>
      <c r="BF265" s="16">
        <f t="shared" si="122"/>
        <v>0</v>
      </c>
      <c r="BG265" s="17">
        <f t="shared" si="123"/>
        <v>0</v>
      </c>
      <c r="BH265" s="16">
        <f t="shared" si="124"/>
        <v>2.7</v>
      </c>
    </row>
    <row r="266" spans="1:60" s="21" customFormat="1" ht="12.75" customHeight="1" x14ac:dyDescent="0.2">
      <c r="A266" s="51">
        <v>90501</v>
      </c>
      <c r="B266" s="51" t="s">
        <v>1077</v>
      </c>
      <c r="C266" s="66" t="s">
        <v>1803</v>
      </c>
      <c r="D266" s="52" t="s">
        <v>731</v>
      </c>
      <c r="E266" s="52" t="s">
        <v>738</v>
      </c>
      <c r="F266" s="53">
        <f>IFERROR(VLOOKUP(E266,Fornecedores!$A$2:$B$2700,2,FALSE),"")</f>
        <v>8</v>
      </c>
      <c r="G266" s="52" t="s">
        <v>162</v>
      </c>
      <c r="H266" s="54"/>
      <c r="I266" s="55">
        <f t="shared" si="114"/>
        <v>0</v>
      </c>
      <c r="J266" s="55">
        <v>0</v>
      </c>
      <c r="K266" s="55">
        <v>0</v>
      </c>
      <c r="L266" s="55">
        <v>0</v>
      </c>
      <c r="M266" s="55">
        <v>0</v>
      </c>
      <c r="N266" s="55">
        <f t="shared" si="115"/>
        <v>0</v>
      </c>
      <c r="O266" s="55">
        <v>0</v>
      </c>
      <c r="P266" s="55">
        <v>0</v>
      </c>
      <c r="Q266" s="55">
        <v>0</v>
      </c>
      <c r="R266" s="55">
        <f t="shared" si="116"/>
        <v>3</v>
      </c>
      <c r="S266" s="55">
        <v>3</v>
      </c>
      <c r="T266" s="55">
        <v>0</v>
      </c>
      <c r="U266" s="55">
        <v>0</v>
      </c>
      <c r="V266" s="55">
        <v>6</v>
      </c>
      <c r="W266" s="53">
        <v>6</v>
      </c>
      <c r="X266" s="53">
        <v>0</v>
      </c>
      <c r="Y266" s="55">
        <v>0</v>
      </c>
      <c r="Z266" s="55">
        <v>0</v>
      </c>
      <c r="AA266" s="53">
        <v>0</v>
      </c>
      <c r="AB266" s="53">
        <v>0</v>
      </c>
      <c r="AC266" s="55">
        <v>0</v>
      </c>
      <c r="AD266" s="55">
        <f t="shared" si="117"/>
        <v>6</v>
      </c>
      <c r="AE266" s="53">
        <v>6</v>
      </c>
      <c r="AF266" s="55">
        <v>0</v>
      </c>
      <c r="AG266" s="55">
        <v>0</v>
      </c>
      <c r="AH266" s="55">
        <f t="shared" si="118"/>
        <v>6</v>
      </c>
      <c r="AI266" s="55">
        <v>6</v>
      </c>
      <c r="AJ266" s="55">
        <v>0</v>
      </c>
      <c r="AK266" s="55">
        <v>0</v>
      </c>
      <c r="AL266" s="55">
        <f t="shared" si="119"/>
        <v>5</v>
      </c>
      <c r="AM266" s="55">
        <v>5</v>
      </c>
      <c r="AN266" s="55">
        <v>0</v>
      </c>
      <c r="AO266" s="55">
        <v>0</v>
      </c>
      <c r="AP266" s="55">
        <f t="shared" si="121"/>
        <v>3</v>
      </c>
      <c r="AQ266" s="55">
        <f>IFERROR(VLOOKUP(A266,[1]SIIMPLES!$A$2:$F$418,6,FALSE),0)</f>
        <v>3</v>
      </c>
      <c r="AR266" s="55">
        <v>0</v>
      </c>
      <c r="AS266" s="55">
        <v>0</v>
      </c>
      <c r="AT266" s="55">
        <v>0</v>
      </c>
      <c r="AU266" s="55">
        <v>0</v>
      </c>
      <c r="AV266" s="55">
        <v>0</v>
      </c>
      <c r="AW266" s="55"/>
      <c r="AX266" s="55"/>
      <c r="AY266" s="56">
        <f t="shared" si="120"/>
        <v>2.9</v>
      </c>
      <c r="AZ266" s="55"/>
      <c r="BA266" s="56">
        <v>2.1666666666666665</v>
      </c>
      <c r="BB266" s="41">
        <f>IFERROR(AY266/BA266-1,"")</f>
        <v>0.33846153846153859</v>
      </c>
      <c r="BC266" s="13"/>
      <c r="BD266" s="35"/>
      <c r="BE266" s="13"/>
      <c r="BF266" s="16">
        <f t="shared" si="122"/>
        <v>0</v>
      </c>
      <c r="BG266" s="17">
        <f t="shared" si="123"/>
        <v>0</v>
      </c>
      <c r="BH266" s="16">
        <f t="shared" si="124"/>
        <v>2.9</v>
      </c>
    </row>
    <row r="267" spans="1:60" s="21" customFormat="1" ht="12.75" customHeight="1" x14ac:dyDescent="0.2">
      <c r="A267" s="51">
        <v>111288</v>
      </c>
      <c r="B267" s="51"/>
      <c r="C267" s="66" t="s">
        <v>1803</v>
      </c>
      <c r="D267" s="65" t="s">
        <v>1778</v>
      </c>
      <c r="E267" s="52" t="s">
        <v>732</v>
      </c>
      <c r="F267" s="53">
        <f>IFERROR(VLOOKUP(E267,Fornecedores!$A$2:$B$2700,2,FALSE),"")</f>
        <v>6</v>
      </c>
      <c r="G267" s="52" t="s">
        <v>111</v>
      </c>
      <c r="H267" s="54"/>
      <c r="I267" s="55">
        <f t="shared" si="114"/>
        <v>4</v>
      </c>
      <c r="J267" s="55">
        <v>3</v>
      </c>
      <c r="K267" s="55">
        <v>1</v>
      </c>
      <c r="L267" s="55">
        <v>0</v>
      </c>
      <c r="M267" s="55">
        <v>0</v>
      </c>
      <c r="N267" s="55">
        <f t="shared" si="115"/>
        <v>0</v>
      </c>
      <c r="O267" s="55">
        <v>0</v>
      </c>
      <c r="P267" s="55">
        <v>0</v>
      </c>
      <c r="Q267" s="55">
        <v>0</v>
      </c>
      <c r="R267" s="55">
        <f t="shared" si="116"/>
        <v>1</v>
      </c>
      <c r="S267" s="55">
        <v>1</v>
      </c>
      <c r="T267" s="55">
        <v>0</v>
      </c>
      <c r="U267" s="55">
        <v>0</v>
      </c>
      <c r="V267" s="55">
        <v>0</v>
      </c>
      <c r="W267" s="53">
        <v>0</v>
      </c>
      <c r="X267" s="53">
        <v>0</v>
      </c>
      <c r="Y267" s="55">
        <v>0</v>
      </c>
      <c r="Z267" s="55">
        <v>0</v>
      </c>
      <c r="AA267" s="53">
        <v>0</v>
      </c>
      <c r="AB267" s="53">
        <v>0</v>
      </c>
      <c r="AC267" s="55">
        <v>0</v>
      </c>
      <c r="AD267" s="55">
        <f t="shared" si="117"/>
        <v>3</v>
      </c>
      <c r="AE267" s="53">
        <v>0</v>
      </c>
      <c r="AF267" s="55">
        <v>3</v>
      </c>
      <c r="AG267" s="55">
        <v>0</v>
      </c>
      <c r="AH267" s="55">
        <f t="shared" si="118"/>
        <v>0</v>
      </c>
      <c r="AI267" s="55">
        <v>0</v>
      </c>
      <c r="AJ267" s="55">
        <v>0</v>
      </c>
      <c r="AK267" s="55">
        <v>0</v>
      </c>
      <c r="AL267" s="55">
        <f t="shared" si="119"/>
        <v>0</v>
      </c>
      <c r="AM267" s="55" t="s">
        <v>1912</v>
      </c>
      <c r="AN267" s="55">
        <v>0</v>
      </c>
      <c r="AO267" s="55">
        <v>0</v>
      </c>
      <c r="AP267" s="55">
        <f t="shared" si="121"/>
        <v>3</v>
      </c>
      <c r="AQ267" s="55">
        <f>IFERROR(VLOOKUP(A267,[1]SIIMPLES!$A$2:$F$418,6,FALSE),0)</f>
        <v>0</v>
      </c>
      <c r="AR267" s="55">
        <v>3</v>
      </c>
      <c r="AS267" s="55">
        <v>2</v>
      </c>
      <c r="AT267" s="55">
        <v>2</v>
      </c>
      <c r="AU267" s="55">
        <v>0</v>
      </c>
      <c r="AV267" s="55">
        <v>0</v>
      </c>
      <c r="AW267" s="55"/>
      <c r="AX267" s="55"/>
      <c r="AY267" s="56">
        <f t="shared" si="120"/>
        <v>1.3</v>
      </c>
      <c r="AZ267" s="55"/>
      <c r="BA267" s="56">
        <v>1.3333333333333333</v>
      </c>
      <c r="BB267" s="41">
        <f>IFERROR(AY267/BA267-1,"")</f>
        <v>-2.4999999999999911E-2</v>
      </c>
      <c r="BC267" s="13"/>
      <c r="BD267" s="35"/>
      <c r="BE267" s="13"/>
      <c r="BF267" s="16">
        <f t="shared" si="122"/>
        <v>0</v>
      </c>
      <c r="BG267" s="17">
        <f t="shared" si="123"/>
        <v>0</v>
      </c>
      <c r="BH267" s="16">
        <f t="shared" si="124"/>
        <v>1.3</v>
      </c>
    </row>
    <row r="268" spans="1:60" s="21" customFormat="1" ht="12.75" customHeight="1" x14ac:dyDescent="0.2">
      <c r="A268" s="51">
        <v>222032</v>
      </c>
      <c r="B268" s="51" t="s">
        <v>1077</v>
      </c>
      <c r="C268" s="66" t="s">
        <v>1803</v>
      </c>
      <c r="D268" s="52" t="s">
        <v>728</v>
      </c>
      <c r="E268" s="65" t="s">
        <v>780</v>
      </c>
      <c r="F268" s="53">
        <f>IFERROR(VLOOKUP(E268,Fornecedores!$A$2:$B$2700,2,FALSE),"")</f>
        <v>2</v>
      </c>
      <c r="G268" s="52" t="s">
        <v>1293</v>
      </c>
      <c r="H268" s="57"/>
      <c r="I268" s="55">
        <f t="shared" si="114"/>
        <v>12</v>
      </c>
      <c r="J268" s="55">
        <v>6</v>
      </c>
      <c r="K268" s="55">
        <v>6</v>
      </c>
      <c r="L268" s="55">
        <v>0</v>
      </c>
      <c r="M268" s="55">
        <v>0</v>
      </c>
      <c r="N268" s="55">
        <f t="shared" si="115"/>
        <v>3</v>
      </c>
      <c r="O268" s="55">
        <v>0</v>
      </c>
      <c r="P268" s="55">
        <v>3</v>
      </c>
      <c r="Q268" s="55">
        <v>0</v>
      </c>
      <c r="R268" s="55">
        <f t="shared" si="116"/>
        <v>4</v>
      </c>
      <c r="S268" s="55">
        <v>3</v>
      </c>
      <c r="T268" s="55">
        <v>1</v>
      </c>
      <c r="U268" s="55">
        <v>0</v>
      </c>
      <c r="V268" s="55">
        <v>5</v>
      </c>
      <c r="W268" s="53">
        <v>2</v>
      </c>
      <c r="X268" s="53">
        <v>3</v>
      </c>
      <c r="Y268" s="55">
        <v>0</v>
      </c>
      <c r="Z268" s="55">
        <v>3</v>
      </c>
      <c r="AA268" s="53">
        <v>2</v>
      </c>
      <c r="AB268" s="53">
        <v>1</v>
      </c>
      <c r="AC268" s="55">
        <v>0</v>
      </c>
      <c r="AD268" s="55">
        <f t="shared" si="117"/>
        <v>8</v>
      </c>
      <c r="AE268" s="53">
        <v>7</v>
      </c>
      <c r="AF268" s="55">
        <v>0</v>
      </c>
      <c r="AG268" s="55">
        <v>1</v>
      </c>
      <c r="AH268" s="55">
        <f t="shared" si="118"/>
        <v>10</v>
      </c>
      <c r="AI268" s="55">
        <v>6</v>
      </c>
      <c r="AJ268" s="55">
        <v>4</v>
      </c>
      <c r="AK268" s="55">
        <v>0</v>
      </c>
      <c r="AL268" s="55">
        <f t="shared" si="119"/>
        <v>4</v>
      </c>
      <c r="AM268" s="55">
        <v>2</v>
      </c>
      <c r="AN268" s="55">
        <v>2</v>
      </c>
      <c r="AO268" s="55">
        <v>0</v>
      </c>
      <c r="AP268" s="55">
        <f t="shared" si="121"/>
        <v>3</v>
      </c>
      <c r="AQ268" s="55">
        <f>IFERROR(VLOOKUP(A268,[1]SIIMPLES!$A$2:$F$418,6,FALSE),0)</f>
        <v>1</v>
      </c>
      <c r="AR268" s="55">
        <v>2</v>
      </c>
      <c r="AS268" s="55">
        <v>5</v>
      </c>
      <c r="AT268" s="55">
        <v>0</v>
      </c>
      <c r="AU268" s="55">
        <v>4</v>
      </c>
      <c r="AV268" s="55">
        <v>1</v>
      </c>
      <c r="AW268" s="55"/>
      <c r="AX268" s="55"/>
      <c r="AY268" s="56">
        <f t="shared" si="120"/>
        <v>5.7</v>
      </c>
      <c r="AZ268" s="55"/>
      <c r="BA268" s="56">
        <v>2.6666666666666665</v>
      </c>
      <c r="BB268" s="41">
        <f>1-BA268/AY268</f>
        <v>0.53216374269005851</v>
      </c>
      <c r="BC268" s="13"/>
      <c r="BD268" s="35"/>
      <c r="BE268" s="13"/>
      <c r="BF268" s="16">
        <f t="shared" si="122"/>
        <v>0</v>
      </c>
      <c r="BG268" s="17">
        <f t="shared" si="123"/>
        <v>0</v>
      </c>
      <c r="BH268" s="16">
        <f t="shared" si="124"/>
        <v>5.7</v>
      </c>
    </row>
    <row r="269" spans="1:60" s="21" customFormat="1" ht="12.75" customHeight="1" x14ac:dyDescent="0.2">
      <c r="A269" s="51">
        <v>772231</v>
      </c>
      <c r="B269" s="51" t="s">
        <v>1077</v>
      </c>
      <c r="C269" s="66" t="s">
        <v>1803</v>
      </c>
      <c r="D269" s="52" t="s">
        <v>728</v>
      </c>
      <c r="E269" s="65" t="s">
        <v>780</v>
      </c>
      <c r="F269" s="53">
        <f>IFERROR(VLOOKUP(E269,Fornecedores!$A$2:$B$2700,2,FALSE),"")</f>
        <v>2</v>
      </c>
      <c r="G269" s="52" t="s">
        <v>1373</v>
      </c>
      <c r="H269" s="57"/>
      <c r="I269" s="55">
        <f t="shared" si="114"/>
        <v>0</v>
      </c>
      <c r="J269" s="55">
        <v>0</v>
      </c>
      <c r="K269" s="55">
        <v>0</v>
      </c>
      <c r="L269" s="55">
        <v>0</v>
      </c>
      <c r="M269" s="55">
        <v>0</v>
      </c>
      <c r="N269" s="55">
        <f t="shared" si="115"/>
        <v>2</v>
      </c>
      <c r="O269" s="55">
        <v>0</v>
      </c>
      <c r="P269" s="55">
        <v>2</v>
      </c>
      <c r="Q269" s="55">
        <v>0</v>
      </c>
      <c r="R269" s="55">
        <f t="shared" si="116"/>
        <v>7</v>
      </c>
      <c r="S269" s="55">
        <v>2</v>
      </c>
      <c r="T269" s="55">
        <v>5</v>
      </c>
      <c r="U269" s="55">
        <v>0</v>
      </c>
      <c r="V269" s="55">
        <v>2</v>
      </c>
      <c r="W269" s="53">
        <v>1</v>
      </c>
      <c r="X269" s="53">
        <v>1</v>
      </c>
      <c r="Y269" s="55">
        <v>0</v>
      </c>
      <c r="Z269" s="55">
        <v>4</v>
      </c>
      <c r="AA269" s="53">
        <v>0</v>
      </c>
      <c r="AB269" s="53">
        <v>4</v>
      </c>
      <c r="AC269" s="55">
        <v>0</v>
      </c>
      <c r="AD269" s="55">
        <f t="shared" si="117"/>
        <v>2</v>
      </c>
      <c r="AE269" s="53">
        <v>0</v>
      </c>
      <c r="AF269" s="55">
        <v>2</v>
      </c>
      <c r="AG269" s="55">
        <v>0</v>
      </c>
      <c r="AH269" s="55">
        <f t="shared" si="118"/>
        <v>9</v>
      </c>
      <c r="AI269" s="55">
        <v>0</v>
      </c>
      <c r="AJ269" s="55">
        <v>9</v>
      </c>
      <c r="AK269" s="55">
        <v>0</v>
      </c>
      <c r="AL269" s="55">
        <f t="shared" si="119"/>
        <v>6</v>
      </c>
      <c r="AM269" s="55" t="s">
        <v>1912</v>
      </c>
      <c r="AN269" s="55">
        <v>6</v>
      </c>
      <c r="AO269" s="55">
        <v>0</v>
      </c>
      <c r="AP269" s="55">
        <f t="shared" si="121"/>
        <v>3</v>
      </c>
      <c r="AQ269" s="55">
        <f>IFERROR(VLOOKUP(A269,[1]SIIMPLES!$A$2:$F$418,6,FALSE),0)</f>
        <v>1</v>
      </c>
      <c r="AR269" s="55">
        <v>2</v>
      </c>
      <c r="AS269" s="55">
        <v>2</v>
      </c>
      <c r="AT269" s="55">
        <v>1</v>
      </c>
      <c r="AU269" s="55">
        <v>1</v>
      </c>
      <c r="AV269" s="55">
        <v>0</v>
      </c>
      <c r="AW269" s="55"/>
      <c r="AX269" s="55"/>
      <c r="AY269" s="56">
        <f t="shared" si="120"/>
        <v>3.7</v>
      </c>
      <c r="AZ269" s="55"/>
      <c r="BA269" s="56">
        <v>0</v>
      </c>
      <c r="BB269" s="41" t="str">
        <f>IFERROR(AY269/BA269-1,"")</f>
        <v/>
      </c>
      <c r="BC269" s="13"/>
      <c r="BD269" s="35"/>
      <c r="BE269" s="13"/>
      <c r="BF269" s="16">
        <f t="shared" si="122"/>
        <v>0</v>
      </c>
      <c r="BG269" s="17">
        <f t="shared" si="123"/>
        <v>0</v>
      </c>
      <c r="BH269" s="16">
        <f t="shared" si="124"/>
        <v>3.7</v>
      </c>
    </row>
    <row r="270" spans="1:60" s="21" customFormat="1" ht="12.75" customHeight="1" x14ac:dyDescent="0.2">
      <c r="A270" s="51">
        <v>442059</v>
      </c>
      <c r="B270" s="51"/>
      <c r="C270" s="66" t="s">
        <v>1803</v>
      </c>
      <c r="D270" s="52" t="s">
        <v>728</v>
      </c>
      <c r="E270" s="65" t="s">
        <v>780</v>
      </c>
      <c r="F270" s="53">
        <f>IFERROR(VLOOKUP(E270,Fornecedores!$A$2:$B$2700,2,FALSE),"")</f>
        <v>2</v>
      </c>
      <c r="G270" s="52" t="s">
        <v>1329</v>
      </c>
      <c r="H270" s="57"/>
      <c r="I270" s="55">
        <f t="shared" si="114"/>
        <v>5</v>
      </c>
      <c r="J270" s="55">
        <v>0</v>
      </c>
      <c r="K270" s="55">
        <v>5</v>
      </c>
      <c r="L270" s="55">
        <v>0</v>
      </c>
      <c r="M270" s="55">
        <v>0</v>
      </c>
      <c r="N270" s="55">
        <f t="shared" si="115"/>
        <v>1</v>
      </c>
      <c r="O270" s="55">
        <v>0</v>
      </c>
      <c r="P270" s="55">
        <v>1</v>
      </c>
      <c r="Q270" s="55">
        <v>0</v>
      </c>
      <c r="R270" s="55">
        <f t="shared" si="116"/>
        <v>5</v>
      </c>
      <c r="S270" s="55">
        <v>1</v>
      </c>
      <c r="T270" s="55">
        <v>4</v>
      </c>
      <c r="U270" s="55">
        <v>0</v>
      </c>
      <c r="V270" s="55">
        <v>8</v>
      </c>
      <c r="W270" s="53">
        <v>0</v>
      </c>
      <c r="X270" s="53">
        <v>8</v>
      </c>
      <c r="Y270" s="55">
        <v>0</v>
      </c>
      <c r="Z270" s="55">
        <v>1</v>
      </c>
      <c r="AA270" s="53">
        <v>1</v>
      </c>
      <c r="AB270" s="53">
        <v>0</v>
      </c>
      <c r="AC270" s="55">
        <v>0</v>
      </c>
      <c r="AD270" s="55">
        <f t="shared" si="117"/>
        <v>9</v>
      </c>
      <c r="AE270" s="53">
        <v>1</v>
      </c>
      <c r="AF270" s="55">
        <v>8</v>
      </c>
      <c r="AG270" s="55">
        <v>0</v>
      </c>
      <c r="AH270" s="55">
        <f t="shared" si="118"/>
        <v>3</v>
      </c>
      <c r="AI270" s="55">
        <v>0</v>
      </c>
      <c r="AJ270" s="55">
        <v>3</v>
      </c>
      <c r="AK270" s="55">
        <v>0</v>
      </c>
      <c r="AL270" s="55">
        <f t="shared" si="119"/>
        <v>2</v>
      </c>
      <c r="AM270" s="55" t="s">
        <v>1912</v>
      </c>
      <c r="AN270" s="55">
        <v>2</v>
      </c>
      <c r="AO270" s="55">
        <v>0</v>
      </c>
      <c r="AP270" s="55">
        <f t="shared" si="121"/>
        <v>3</v>
      </c>
      <c r="AQ270" s="55">
        <f>IFERROR(VLOOKUP(A270,[1]SIIMPLES!$A$2:$F$418,6,FALSE),0)</f>
        <v>0</v>
      </c>
      <c r="AR270" s="55">
        <v>3</v>
      </c>
      <c r="AS270" s="55">
        <v>0</v>
      </c>
      <c r="AT270" s="55">
        <v>0</v>
      </c>
      <c r="AU270" s="55">
        <v>0</v>
      </c>
      <c r="AV270" s="55">
        <v>0</v>
      </c>
      <c r="AW270" s="55"/>
      <c r="AX270" s="55"/>
      <c r="AY270" s="56">
        <f t="shared" si="120"/>
        <v>3.7</v>
      </c>
      <c r="AZ270" s="55"/>
      <c r="BA270" s="56">
        <v>2</v>
      </c>
      <c r="BB270" s="41">
        <f>IFERROR(AY270/BA270-1,"")</f>
        <v>0.85000000000000009</v>
      </c>
      <c r="BC270" s="13"/>
      <c r="BD270" s="35"/>
      <c r="BE270" s="13"/>
      <c r="BF270" s="16"/>
      <c r="BG270" s="17">
        <f t="shared" si="123"/>
        <v>0</v>
      </c>
      <c r="BH270" s="16">
        <f t="shared" si="124"/>
        <v>3.7</v>
      </c>
    </row>
    <row r="271" spans="1:60" s="21" customFormat="1" ht="12.75" customHeight="1" x14ac:dyDescent="0.2">
      <c r="A271" s="51">
        <v>662060</v>
      </c>
      <c r="B271" s="51" t="s">
        <v>1077</v>
      </c>
      <c r="C271" s="66" t="s">
        <v>1803</v>
      </c>
      <c r="D271" s="52" t="s">
        <v>728</v>
      </c>
      <c r="E271" s="65" t="s">
        <v>780</v>
      </c>
      <c r="F271" s="53">
        <f>IFERROR(VLOOKUP(E271,Fornecedores!$A$2:$B$2700,2,FALSE),"")</f>
        <v>2</v>
      </c>
      <c r="G271" s="52" t="s">
        <v>359</v>
      </c>
      <c r="H271" s="57"/>
      <c r="I271" s="55">
        <f t="shared" si="114"/>
        <v>2</v>
      </c>
      <c r="J271" s="55">
        <v>2</v>
      </c>
      <c r="K271" s="55">
        <v>0</v>
      </c>
      <c r="L271" s="55">
        <v>0</v>
      </c>
      <c r="M271" s="55">
        <v>0</v>
      </c>
      <c r="N271" s="55">
        <f t="shared" si="115"/>
        <v>1</v>
      </c>
      <c r="O271" s="55">
        <v>1</v>
      </c>
      <c r="P271" s="55">
        <v>0</v>
      </c>
      <c r="Q271" s="55">
        <v>0</v>
      </c>
      <c r="R271" s="55">
        <f t="shared" si="116"/>
        <v>2</v>
      </c>
      <c r="S271" s="55">
        <v>2</v>
      </c>
      <c r="T271" s="55">
        <v>0</v>
      </c>
      <c r="U271" s="55">
        <v>0</v>
      </c>
      <c r="V271" s="55">
        <v>5</v>
      </c>
      <c r="W271" s="53">
        <v>5</v>
      </c>
      <c r="X271" s="53">
        <v>0</v>
      </c>
      <c r="Y271" s="55">
        <v>0</v>
      </c>
      <c r="Z271" s="55">
        <v>2</v>
      </c>
      <c r="AA271" s="53">
        <v>0</v>
      </c>
      <c r="AB271" s="53">
        <v>2</v>
      </c>
      <c r="AC271" s="55">
        <v>0</v>
      </c>
      <c r="AD271" s="55">
        <f t="shared" si="117"/>
        <v>0</v>
      </c>
      <c r="AE271" s="53">
        <v>0</v>
      </c>
      <c r="AF271" s="55">
        <v>0</v>
      </c>
      <c r="AG271" s="55">
        <v>0</v>
      </c>
      <c r="AH271" s="55">
        <f t="shared" si="118"/>
        <v>3</v>
      </c>
      <c r="AI271" s="55">
        <v>3</v>
      </c>
      <c r="AJ271" s="55">
        <v>0</v>
      </c>
      <c r="AK271" s="55">
        <v>0</v>
      </c>
      <c r="AL271" s="55">
        <f t="shared" si="119"/>
        <v>1</v>
      </c>
      <c r="AM271" s="55">
        <v>1</v>
      </c>
      <c r="AN271" s="55">
        <v>0</v>
      </c>
      <c r="AO271" s="55">
        <v>0</v>
      </c>
      <c r="AP271" s="55">
        <f t="shared" si="121"/>
        <v>3</v>
      </c>
      <c r="AQ271" s="55">
        <f>IFERROR(VLOOKUP(A271,[1]SIIMPLES!$A$2:$F$418,6,FALSE),0)</f>
        <v>3</v>
      </c>
      <c r="AR271" s="55">
        <v>0</v>
      </c>
      <c r="AS271" s="55">
        <v>5</v>
      </c>
      <c r="AT271" s="55">
        <v>4</v>
      </c>
      <c r="AU271" s="55">
        <v>0</v>
      </c>
      <c r="AV271" s="55">
        <v>1</v>
      </c>
      <c r="AW271" s="55"/>
      <c r="AX271" s="55"/>
      <c r="AY271" s="56">
        <f t="shared" si="120"/>
        <v>2.4</v>
      </c>
      <c r="AZ271" s="55"/>
      <c r="BA271" s="56">
        <v>3.1666666666666665</v>
      </c>
      <c r="BB271" s="41">
        <f>1-BA271/AY271</f>
        <v>-0.31944444444444442</v>
      </c>
      <c r="BC271" s="13"/>
      <c r="BD271" s="35"/>
      <c r="BE271" s="13"/>
      <c r="BF271" s="16"/>
      <c r="BG271" s="17">
        <f t="shared" si="123"/>
        <v>0</v>
      </c>
      <c r="BH271" s="16">
        <f t="shared" si="124"/>
        <v>2.4</v>
      </c>
    </row>
    <row r="272" spans="1:60" s="21" customFormat="1" ht="12.75" customHeight="1" x14ac:dyDescent="0.2">
      <c r="A272" s="51">
        <v>772246</v>
      </c>
      <c r="B272" s="51" t="s">
        <v>1077</v>
      </c>
      <c r="C272" s="66" t="s">
        <v>1803</v>
      </c>
      <c r="D272" s="52" t="s">
        <v>728</v>
      </c>
      <c r="E272" s="65" t="s">
        <v>780</v>
      </c>
      <c r="F272" s="53">
        <f>IFERROR(VLOOKUP(E272,Fornecedores!$A$2:$B$2700,2,FALSE),"")</f>
        <v>2</v>
      </c>
      <c r="G272" s="52" t="s">
        <v>291</v>
      </c>
      <c r="H272" s="57"/>
      <c r="I272" s="55">
        <f t="shared" si="114"/>
        <v>6</v>
      </c>
      <c r="J272" s="55">
        <v>2</v>
      </c>
      <c r="K272" s="55">
        <v>4</v>
      </c>
      <c r="L272" s="55">
        <v>0</v>
      </c>
      <c r="M272" s="55">
        <v>0</v>
      </c>
      <c r="N272" s="55">
        <f t="shared" si="115"/>
        <v>2</v>
      </c>
      <c r="O272" s="55">
        <v>0</v>
      </c>
      <c r="P272" s="55">
        <v>2</v>
      </c>
      <c r="Q272" s="55">
        <v>0</v>
      </c>
      <c r="R272" s="55">
        <f t="shared" si="116"/>
        <v>1</v>
      </c>
      <c r="S272" s="55">
        <v>1</v>
      </c>
      <c r="T272" s="55">
        <v>0</v>
      </c>
      <c r="U272" s="55">
        <v>0</v>
      </c>
      <c r="V272" s="55">
        <v>6</v>
      </c>
      <c r="W272" s="53">
        <v>4</v>
      </c>
      <c r="X272" s="53">
        <v>2</v>
      </c>
      <c r="Y272" s="55">
        <v>0</v>
      </c>
      <c r="Z272" s="55">
        <v>1</v>
      </c>
      <c r="AA272" s="53">
        <v>0</v>
      </c>
      <c r="AB272" s="53">
        <v>1</v>
      </c>
      <c r="AC272" s="55">
        <v>0</v>
      </c>
      <c r="AD272" s="55">
        <f t="shared" si="117"/>
        <v>2</v>
      </c>
      <c r="AE272" s="53">
        <v>1</v>
      </c>
      <c r="AF272" s="55">
        <v>1</v>
      </c>
      <c r="AG272" s="55">
        <v>0</v>
      </c>
      <c r="AH272" s="55">
        <f t="shared" si="118"/>
        <v>3</v>
      </c>
      <c r="AI272" s="55">
        <v>1</v>
      </c>
      <c r="AJ272" s="55">
        <v>2</v>
      </c>
      <c r="AK272" s="55">
        <v>0</v>
      </c>
      <c r="AL272" s="55">
        <f t="shared" si="119"/>
        <v>3</v>
      </c>
      <c r="AM272" s="55">
        <v>1</v>
      </c>
      <c r="AN272" s="55">
        <v>2</v>
      </c>
      <c r="AO272" s="55">
        <v>0</v>
      </c>
      <c r="AP272" s="55">
        <f t="shared" si="121"/>
        <v>3</v>
      </c>
      <c r="AQ272" s="55">
        <f>IFERROR(VLOOKUP(A272,[1]SIIMPLES!$A$2:$F$418,6,FALSE),0)</f>
        <v>2</v>
      </c>
      <c r="AR272" s="55">
        <v>1</v>
      </c>
      <c r="AS272" s="55">
        <v>10</v>
      </c>
      <c r="AT272" s="55">
        <v>3</v>
      </c>
      <c r="AU272" s="55">
        <v>7</v>
      </c>
      <c r="AV272" s="55">
        <v>0</v>
      </c>
      <c r="AW272" s="55"/>
      <c r="AX272" s="55"/>
      <c r="AY272" s="56">
        <f t="shared" si="120"/>
        <v>3.7</v>
      </c>
      <c r="AZ272" s="55"/>
      <c r="BA272" s="56">
        <v>2</v>
      </c>
      <c r="BB272" s="41">
        <f t="shared" ref="BB272:BB333" si="125">IFERROR(AY272/BA272-1,"")</f>
        <v>0.85000000000000009</v>
      </c>
      <c r="BC272" s="13"/>
      <c r="BD272" s="35"/>
      <c r="BE272" s="13"/>
      <c r="BF272" s="16">
        <f>SUM(BC272:BE272)</f>
        <v>0</v>
      </c>
      <c r="BG272" s="17">
        <f t="shared" si="123"/>
        <v>0</v>
      </c>
      <c r="BH272" s="16">
        <f t="shared" si="124"/>
        <v>3.7</v>
      </c>
    </row>
    <row r="273" spans="1:60" s="21" customFormat="1" ht="12.75" customHeight="1" x14ac:dyDescent="0.2">
      <c r="A273" s="51">
        <v>662031</v>
      </c>
      <c r="B273" s="51" t="s">
        <v>1077</v>
      </c>
      <c r="C273" s="66" t="s">
        <v>1803</v>
      </c>
      <c r="D273" s="52" t="s">
        <v>728</v>
      </c>
      <c r="E273" s="65" t="s">
        <v>780</v>
      </c>
      <c r="F273" s="53">
        <f>IFERROR(VLOOKUP(E273,Fornecedores!$A$2:$B$2700,2,FALSE),"")</f>
        <v>2</v>
      </c>
      <c r="G273" s="52" t="s">
        <v>296</v>
      </c>
      <c r="H273" s="57"/>
      <c r="I273" s="55">
        <f t="shared" si="114"/>
        <v>1</v>
      </c>
      <c r="J273" s="55">
        <v>1</v>
      </c>
      <c r="K273" s="55">
        <v>0</v>
      </c>
      <c r="L273" s="55">
        <v>0</v>
      </c>
      <c r="M273" s="55">
        <v>0</v>
      </c>
      <c r="N273" s="55">
        <f t="shared" si="115"/>
        <v>5</v>
      </c>
      <c r="O273" s="55">
        <v>1</v>
      </c>
      <c r="P273" s="55">
        <v>4</v>
      </c>
      <c r="Q273" s="55">
        <v>0</v>
      </c>
      <c r="R273" s="55">
        <f t="shared" si="116"/>
        <v>2</v>
      </c>
      <c r="S273" s="55">
        <v>1</v>
      </c>
      <c r="T273" s="55">
        <v>1</v>
      </c>
      <c r="U273" s="55">
        <v>0</v>
      </c>
      <c r="V273" s="55">
        <v>4</v>
      </c>
      <c r="W273" s="53">
        <v>1</v>
      </c>
      <c r="X273" s="53">
        <v>3</v>
      </c>
      <c r="Y273" s="55">
        <v>0</v>
      </c>
      <c r="Z273" s="55">
        <v>3</v>
      </c>
      <c r="AA273" s="53">
        <v>1</v>
      </c>
      <c r="AB273" s="53">
        <v>2</v>
      </c>
      <c r="AC273" s="55">
        <v>0</v>
      </c>
      <c r="AD273" s="55">
        <f t="shared" si="117"/>
        <v>2</v>
      </c>
      <c r="AE273" s="53">
        <v>1</v>
      </c>
      <c r="AF273" s="55">
        <v>1</v>
      </c>
      <c r="AG273" s="55">
        <v>0</v>
      </c>
      <c r="AH273" s="55">
        <f t="shared" si="118"/>
        <v>2</v>
      </c>
      <c r="AI273" s="55">
        <v>2</v>
      </c>
      <c r="AJ273" s="55">
        <v>0</v>
      </c>
      <c r="AK273" s="55">
        <v>0</v>
      </c>
      <c r="AL273" s="55">
        <f t="shared" si="119"/>
        <v>6</v>
      </c>
      <c r="AM273" s="55">
        <v>3</v>
      </c>
      <c r="AN273" s="55">
        <v>3</v>
      </c>
      <c r="AO273" s="55">
        <v>0</v>
      </c>
      <c r="AP273" s="55">
        <f t="shared" si="121"/>
        <v>3</v>
      </c>
      <c r="AQ273" s="55">
        <f>IFERROR(VLOOKUP(A273,[1]SIIMPLES!$A$2:$F$418,6,FALSE),0)</f>
        <v>0</v>
      </c>
      <c r="AR273" s="55">
        <v>3</v>
      </c>
      <c r="AS273" s="55">
        <v>5</v>
      </c>
      <c r="AT273" s="55">
        <v>4</v>
      </c>
      <c r="AU273" s="55">
        <v>1</v>
      </c>
      <c r="AV273" s="55">
        <v>0</v>
      </c>
      <c r="AW273" s="55"/>
      <c r="AX273" s="55"/>
      <c r="AY273" s="56">
        <f t="shared" si="120"/>
        <v>3.3</v>
      </c>
      <c r="AZ273" s="55"/>
      <c r="BA273" s="56">
        <v>5.333333333333333</v>
      </c>
      <c r="BB273" s="41">
        <f t="shared" si="125"/>
        <v>-0.38124999999999998</v>
      </c>
      <c r="BC273" s="13"/>
      <c r="BD273" s="35"/>
      <c r="BE273" s="13"/>
      <c r="BF273" s="16"/>
      <c r="BG273" s="17">
        <f t="shared" si="123"/>
        <v>0</v>
      </c>
      <c r="BH273" s="16">
        <f t="shared" si="124"/>
        <v>3.3</v>
      </c>
    </row>
    <row r="274" spans="1:60" s="21" customFormat="1" ht="12.75" customHeight="1" x14ac:dyDescent="0.2">
      <c r="A274" s="51">
        <v>772056</v>
      </c>
      <c r="B274" s="51" t="s">
        <v>1077</v>
      </c>
      <c r="C274" s="66" t="s">
        <v>1803</v>
      </c>
      <c r="D274" s="52" t="s">
        <v>728</v>
      </c>
      <c r="E274" s="65" t="s">
        <v>780</v>
      </c>
      <c r="F274" s="53">
        <f>IFERROR(VLOOKUP(E274,Fornecedores!$A$2:$B$2700,2,FALSE),"")</f>
        <v>2</v>
      </c>
      <c r="G274" s="52" t="s">
        <v>210</v>
      </c>
      <c r="H274" s="57"/>
      <c r="I274" s="55">
        <f t="shared" si="114"/>
        <v>3</v>
      </c>
      <c r="J274" s="55">
        <v>0</v>
      </c>
      <c r="K274" s="55">
        <v>3</v>
      </c>
      <c r="L274" s="55">
        <v>0</v>
      </c>
      <c r="M274" s="55">
        <v>0</v>
      </c>
      <c r="N274" s="55">
        <f t="shared" si="115"/>
        <v>2</v>
      </c>
      <c r="O274" s="55">
        <v>0</v>
      </c>
      <c r="P274" s="55">
        <v>2</v>
      </c>
      <c r="Q274" s="55">
        <v>0</v>
      </c>
      <c r="R274" s="55">
        <f t="shared" si="116"/>
        <v>2</v>
      </c>
      <c r="S274" s="55">
        <v>1</v>
      </c>
      <c r="T274" s="55">
        <v>1</v>
      </c>
      <c r="U274" s="55">
        <v>0</v>
      </c>
      <c r="V274" s="55">
        <v>4</v>
      </c>
      <c r="W274" s="53">
        <v>2</v>
      </c>
      <c r="X274" s="53">
        <v>2</v>
      </c>
      <c r="Y274" s="55">
        <v>0</v>
      </c>
      <c r="Z274" s="55">
        <v>0</v>
      </c>
      <c r="AA274" s="53">
        <v>0</v>
      </c>
      <c r="AB274" s="53">
        <v>0</v>
      </c>
      <c r="AC274" s="55">
        <v>0</v>
      </c>
      <c r="AD274" s="55">
        <f t="shared" si="117"/>
        <v>0</v>
      </c>
      <c r="AE274" s="53">
        <v>0</v>
      </c>
      <c r="AF274" s="55">
        <v>0</v>
      </c>
      <c r="AG274" s="55">
        <v>0</v>
      </c>
      <c r="AH274" s="55">
        <f t="shared" si="118"/>
        <v>2</v>
      </c>
      <c r="AI274" s="55">
        <v>2</v>
      </c>
      <c r="AJ274" s="55">
        <v>0</v>
      </c>
      <c r="AK274" s="55">
        <v>0</v>
      </c>
      <c r="AL274" s="55">
        <f t="shared" si="119"/>
        <v>2</v>
      </c>
      <c r="AM274" s="55">
        <v>2</v>
      </c>
      <c r="AN274" s="55">
        <v>0</v>
      </c>
      <c r="AO274" s="55">
        <v>0</v>
      </c>
      <c r="AP274" s="55">
        <f t="shared" si="121"/>
        <v>3</v>
      </c>
      <c r="AQ274" s="55">
        <f>IFERROR(VLOOKUP(A274,[1]SIIMPLES!$A$2:$F$418,6,FALSE),0)</f>
        <v>3</v>
      </c>
      <c r="AR274" s="55">
        <v>0</v>
      </c>
      <c r="AS274" s="55">
        <v>0</v>
      </c>
      <c r="AT274" s="55">
        <v>0</v>
      </c>
      <c r="AU274" s="55">
        <v>0</v>
      </c>
      <c r="AV274" s="55">
        <v>0</v>
      </c>
      <c r="AW274" s="55"/>
      <c r="AX274" s="55"/>
      <c r="AY274" s="56">
        <f t="shared" si="120"/>
        <v>1.8</v>
      </c>
      <c r="AZ274" s="55"/>
      <c r="BA274" s="56">
        <v>3.8333333333333335</v>
      </c>
      <c r="BB274" s="41">
        <f t="shared" si="125"/>
        <v>-0.5304347826086957</v>
      </c>
      <c r="BC274" s="13"/>
      <c r="BD274" s="35"/>
      <c r="BE274" s="13"/>
      <c r="BF274" s="16"/>
      <c r="BG274" s="17">
        <f t="shared" si="123"/>
        <v>0</v>
      </c>
      <c r="BH274" s="16">
        <f t="shared" si="124"/>
        <v>1.8</v>
      </c>
    </row>
    <row r="275" spans="1:60" s="21" customFormat="1" ht="12.75" customHeight="1" x14ac:dyDescent="0.2">
      <c r="A275" s="51">
        <v>112108</v>
      </c>
      <c r="B275" s="51" t="s">
        <v>1077</v>
      </c>
      <c r="C275" s="66" t="s">
        <v>1803</v>
      </c>
      <c r="D275" s="52" t="s">
        <v>728</v>
      </c>
      <c r="E275" s="65" t="s">
        <v>780</v>
      </c>
      <c r="F275" s="53">
        <f>IFERROR(VLOOKUP(E275,Fornecedores!$A$2:$B$2700,2,FALSE),"")</f>
        <v>2</v>
      </c>
      <c r="G275" s="52" t="s">
        <v>136</v>
      </c>
      <c r="H275" s="57"/>
      <c r="I275" s="55">
        <f t="shared" si="114"/>
        <v>0</v>
      </c>
      <c r="J275" s="55">
        <v>0</v>
      </c>
      <c r="K275" s="55">
        <v>0</v>
      </c>
      <c r="L275" s="55">
        <v>0</v>
      </c>
      <c r="M275" s="55">
        <v>0</v>
      </c>
      <c r="N275" s="55">
        <f t="shared" si="115"/>
        <v>0</v>
      </c>
      <c r="O275" s="55">
        <v>0</v>
      </c>
      <c r="P275" s="55">
        <v>0</v>
      </c>
      <c r="Q275" s="55">
        <v>0</v>
      </c>
      <c r="R275" s="55">
        <f t="shared" si="116"/>
        <v>4</v>
      </c>
      <c r="S275" s="55">
        <v>0</v>
      </c>
      <c r="T275" s="55">
        <v>4</v>
      </c>
      <c r="U275" s="55">
        <v>0</v>
      </c>
      <c r="V275" s="55">
        <v>3</v>
      </c>
      <c r="W275" s="53">
        <v>0</v>
      </c>
      <c r="X275" s="53">
        <v>2</v>
      </c>
      <c r="Y275" s="55">
        <v>1</v>
      </c>
      <c r="Z275" s="55">
        <v>0</v>
      </c>
      <c r="AA275" s="53">
        <v>0</v>
      </c>
      <c r="AB275" s="53">
        <v>0</v>
      </c>
      <c r="AC275" s="55">
        <v>0</v>
      </c>
      <c r="AD275" s="55">
        <f t="shared" si="117"/>
        <v>1</v>
      </c>
      <c r="AE275" s="53">
        <v>1</v>
      </c>
      <c r="AF275" s="55">
        <v>0</v>
      </c>
      <c r="AG275" s="55">
        <v>0</v>
      </c>
      <c r="AH275" s="55">
        <f t="shared" si="118"/>
        <v>1</v>
      </c>
      <c r="AI275" s="55">
        <v>0</v>
      </c>
      <c r="AJ275" s="55">
        <v>1</v>
      </c>
      <c r="AK275" s="55">
        <v>0</v>
      </c>
      <c r="AL275" s="55">
        <f t="shared" si="119"/>
        <v>0</v>
      </c>
      <c r="AM275" s="55" t="s">
        <v>1912</v>
      </c>
      <c r="AN275" s="55">
        <v>0</v>
      </c>
      <c r="AO275" s="55">
        <v>0</v>
      </c>
      <c r="AP275" s="55">
        <f t="shared" si="121"/>
        <v>3</v>
      </c>
      <c r="AQ275" s="55">
        <f>IFERROR(VLOOKUP(A275,[1]SIIMPLES!$A$2:$F$418,6,FALSE),0)</f>
        <v>0</v>
      </c>
      <c r="AR275" s="55">
        <v>3</v>
      </c>
      <c r="AS275" s="55">
        <v>1</v>
      </c>
      <c r="AT275" s="55">
        <v>0</v>
      </c>
      <c r="AU275" s="55">
        <v>1</v>
      </c>
      <c r="AV275" s="55">
        <v>0</v>
      </c>
      <c r="AW275" s="55"/>
      <c r="AX275" s="55"/>
      <c r="AY275" s="56">
        <f t="shared" si="120"/>
        <v>1.3</v>
      </c>
      <c r="AZ275" s="55"/>
      <c r="BA275" s="56">
        <v>3.5</v>
      </c>
      <c r="BB275" s="41">
        <f t="shared" si="125"/>
        <v>-0.62857142857142856</v>
      </c>
      <c r="BC275" s="13"/>
      <c r="BD275" s="35"/>
      <c r="BE275" s="13"/>
      <c r="BF275" s="16">
        <f>SUM(BC275:BE275)</f>
        <v>0</v>
      </c>
      <c r="BG275" s="17">
        <f t="shared" si="123"/>
        <v>0</v>
      </c>
      <c r="BH275" s="16">
        <f t="shared" si="124"/>
        <v>1.3</v>
      </c>
    </row>
    <row r="276" spans="1:60" s="21" customFormat="1" ht="12.75" customHeight="1" x14ac:dyDescent="0.2">
      <c r="A276" s="51">
        <v>112109</v>
      </c>
      <c r="B276" s="51" t="s">
        <v>1077</v>
      </c>
      <c r="C276" s="66" t="s">
        <v>1803</v>
      </c>
      <c r="D276" s="52" t="s">
        <v>728</v>
      </c>
      <c r="E276" s="65" t="s">
        <v>780</v>
      </c>
      <c r="F276" s="53">
        <f>IFERROR(VLOOKUP(E276,Fornecedores!$A$2:$B$2700,2,FALSE),"")</f>
        <v>2</v>
      </c>
      <c r="G276" s="52" t="s">
        <v>713</v>
      </c>
      <c r="H276" s="57"/>
      <c r="I276" s="55">
        <f t="shared" si="114"/>
        <v>0</v>
      </c>
      <c r="J276" s="55">
        <v>0</v>
      </c>
      <c r="K276" s="55">
        <v>0</v>
      </c>
      <c r="L276" s="55">
        <v>0</v>
      </c>
      <c r="M276" s="55">
        <v>0</v>
      </c>
      <c r="N276" s="55">
        <f t="shared" si="115"/>
        <v>1</v>
      </c>
      <c r="O276" s="55">
        <v>1</v>
      </c>
      <c r="P276" s="55">
        <v>0</v>
      </c>
      <c r="Q276" s="55">
        <v>0</v>
      </c>
      <c r="R276" s="55">
        <f t="shared" si="116"/>
        <v>4</v>
      </c>
      <c r="S276" s="55">
        <v>0</v>
      </c>
      <c r="T276" s="55">
        <v>4</v>
      </c>
      <c r="U276" s="55">
        <v>0</v>
      </c>
      <c r="V276" s="55">
        <v>3</v>
      </c>
      <c r="W276" s="53">
        <v>0</v>
      </c>
      <c r="X276" s="53">
        <v>2</v>
      </c>
      <c r="Y276" s="55">
        <v>1</v>
      </c>
      <c r="Z276" s="55">
        <v>0</v>
      </c>
      <c r="AA276" s="53">
        <v>0</v>
      </c>
      <c r="AB276" s="53">
        <v>0</v>
      </c>
      <c r="AC276" s="55">
        <v>0</v>
      </c>
      <c r="AD276" s="55">
        <f t="shared" si="117"/>
        <v>0</v>
      </c>
      <c r="AE276" s="53">
        <v>0</v>
      </c>
      <c r="AF276" s="55">
        <v>0</v>
      </c>
      <c r="AG276" s="55">
        <v>0</v>
      </c>
      <c r="AH276" s="55">
        <f t="shared" si="118"/>
        <v>1</v>
      </c>
      <c r="AI276" s="55">
        <v>0</v>
      </c>
      <c r="AJ276" s="55">
        <v>1</v>
      </c>
      <c r="AK276" s="55">
        <v>0</v>
      </c>
      <c r="AL276" s="55">
        <f t="shared" si="119"/>
        <v>0</v>
      </c>
      <c r="AM276" s="55" t="s">
        <v>1912</v>
      </c>
      <c r="AN276" s="55">
        <v>0</v>
      </c>
      <c r="AO276" s="55">
        <v>0</v>
      </c>
      <c r="AP276" s="55">
        <f t="shared" si="121"/>
        <v>3</v>
      </c>
      <c r="AQ276" s="55">
        <f>IFERROR(VLOOKUP(A276,[1]SIIMPLES!$A$2:$F$418,6,FALSE),0)</f>
        <v>0</v>
      </c>
      <c r="AR276" s="55">
        <v>3</v>
      </c>
      <c r="AS276" s="55">
        <v>1</v>
      </c>
      <c r="AT276" s="55">
        <v>0</v>
      </c>
      <c r="AU276" s="55">
        <v>1</v>
      </c>
      <c r="AV276" s="55">
        <v>0</v>
      </c>
      <c r="AW276" s="55"/>
      <c r="AX276" s="55"/>
      <c r="AY276" s="56">
        <f t="shared" si="120"/>
        <v>1.3</v>
      </c>
      <c r="AZ276" s="55"/>
      <c r="BA276" s="56">
        <v>3</v>
      </c>
      <c r="BB276" s="41">
        <f t="shared" si="125"/>
        <v>-0.56666666666666665</v>
      </c>
      <c r="BC276" s="13"/>
      <c r="BD276" s="35"/>
      <c r="BE276" s="7"/>
      <c r="BF276" s="16">
        <f>SUM(BC276:BE276)</f>
        <v>0</v>
      </c>
      <c r="BG276" s="17">
        <f t="shared" si="123"/>
        <v>0</v>
      </c>
      <c r="BH276" s="16">
        <f t="shared" si="124"/>
        <v>1.3</v>
      </c>
    </row>
    <row r="277" spans="1:60" s="21" customFormat="1" ht="12.75" customHeight="1" x14ac:dyDescent="0.2">
      <c r="A277" s="51">
        <v>332102</v>
      </c>
      <c r="B277" s="51" t="s">
        <v>1077</v>
      </c>
      <c r="C277" s="66" t="s">
        <v>1803</v>
      </c>
      <c r="D277" s="52" t="s">
        <v>728</v>
      </c>
      <c r="E277" s="65" t="s">
        <v>780</v>
      </c>
      <c r="F277" s="53">
        <f>IFERROR(VLOOKUP(E277,Fornecedores!$A$2:$B$2700,2,FALSE),"")</f>
        <v>2</v>
      </c>
      <c r="G277" s="52" t="s">
        <v>1312</v>
      </c>
      <c r="H277" s="57"/>
      <c r="I277" s="55">
        <f t="shared" si="114"/>
        <v>0</v>
      </c>
      <c r="J277" s="55">
        <v>0</v>
      </c>
      <c r="K277" s="55">
        <v>0</v>
      </c>
      <c r="L277" s="55">
        <v>0</v>
      </c>
      <c r="M277" s="55">
        <v>0</v>
      </c>
      <c r="N277" s="55">
        <f t="shared" si="115"/>
        <v>0</v>
      </c>
      <c r="O277" s="55">
        <v>0</v>
      </c>
      <c r="P277" s="55">
        <v>0</v>
      </c>
      <c r="Q277" s="55">
        <v>0</v>
      </c>
      <c r="R277" s="55">
        <f t="shared" si="116"/>
        <v>1</v>
      </c>
      <c r="S277" s="55">
        <v>1</v>
      </c>
      <c r="T277" s="55">
        <v>0</v>
      </c>
      <c r="U277" s="55">
        <v>0</v>
      </c>
      <c r="V277" s="55">
        <v>0</v>
      </c>
      <c r="W277" s="53">
        <v>0</v>
      </c>
      <c r="X277" s="53">
        <v>0</v>
      </c>
      <c r="Y277" s="55">
        <v>0</v>
      </c>
      <c r="Z277" s="55">
        <v>0</v>
      </c>
      <c r="AA277" s="53">
        <v>0</v>
      </c>
      <c r="AB277" s="53">
        <v>0</v>
      </c>
      <c r="AC277" s="55">
        <v>0</v>
      </c>
      <c r="AD277" s="55">
        <f t="shared" si="117"/>
        <v>1</v>
      </c>
      <c r="AE277" s="53">
        <v>1</v>
      </c>
      <c r="AF277" s="55">
        <v>0</v>
      </c>
      <c r="AG277" s="55">
        <v>0</v>
      </c>
      <c r="AH277" s="55">
        <f t="shared" si="118"/>
        <v>1</v>
      </c>
      <c r="AI277" s="55">
        <v>1</v>
      </c>
      <c r="AJ277" s="55">
        <v>0</v>
      </c>
      <c r="AK277" s="55">
        <v>0</v>
      </c>
      <c r="AL277" s="55">
        <f t="shared" si="119"/>
        <v>1</v>
      </c>
      <c r="AM277" s="55">
        <v>1</v>
      </c>
      <c r="AN277" s="55">
        <v>0</v>
      </c>
      <c r="AO277" s="55">
        <v>0</v>
      </c>
      <c r="AP277" s="55">
        <f t="shared" si="121"/>
        <v>3</v>
      </c>
      <c r="AQ277" s="55">
        <f>IFERROR(VLOOKUP(A277,[1]SIIMPLES!$A$2:$F$418,6,FALSE),0)</f>
        <v>3</v>
      </c>
      <c r="AR277" s="55">
        <v>0</v>
      </c>
      <c r="AS277" s="55">
        <v>5</v>
      </c>
      <c r="AT277" s="55">
        <v>5</v>
      </c>
      <c r="AU277" s="55">
        <v>0</v>
      </c>
      <c r="AV277" s="55">
        <v>0</v>
      </c>
      <c r="AW277" s="55"/>
      <c r="AX277" s="55"/>
      <c r="AY277" s="56">
        <f t="shared" si="120"/>
        <v>1.2</v>
      </c>
      <c r="AZ277" s="55"/>
      <c r="BA277" s="56">
        <v>0.16666666666666666</v>
      </c>
      <c r="BB277" s="41">
        <f t="shared" si="125"/>
        <v>6.2</v>
      </c>
      <c r="BC277" s="7"/>
      <c r="BD277" s="35"/>
      <c r="BE277" s="13"/>
      <c r="BF277" s="16"/>
      <c r="BG277" s="17">
        <f t="shared" si="123"/>
        <v>0</v>
      </c>
      <c r="BH277" s="16">
        <f t="shared" si="124"/>
        <v>1.2</v>
      </c>
    </row>
    <row r="278" spans="1:60" s="21" customFormat="1" ht="12.75" customHeight="1" x14ac:dyDescent="0.2">
      <c r="A278" s="51">
        <v>226102</v>
      </c>
      <c r="B278" s="51" t="s">
        <v>1077</v>
      </c>
      <c r="C278" s="66" t="s">
        <v>1803</v>
      </c>
      <c r="D278" s="65" t="s">
        <v>1478</v>
      </c>
      <c r="E278" s="67" t="s">
        <v>727</v>
      </c>
      <c r="F278" s="53">
        <f>IFERROR(VLOOKUP(E278,Fornecedores!$A$2:$B$2700,2,FALSE),"")</f>
        <v>1</v>
      </c>
      <c r="G278" s="52" t="s">
        <v>1771</v>
      </c>
      <c r="H278" s="57"/>
      <c r="I278" s="55">
        <f t="shared" si="114"/>
        <v>1</v>
      </c>
      <c r="J278" s="55">
        <v>1</v>
      </c>
      <c r="K278" s="55">
        <v>0</v>
      </c>
      <c r="L278" s="55">
        <v>0</v>
      </c>
      <c r="M278" s="55">
        <v>0</v>
      </c>
      <c r="N278" s="55">
        <f t="shared" si="115"/>
        <v>3</v>
      </c>
      <c r="O278" s="55">
        <v>3</v>
      </c>
      <c r="P278" s="55">
        <v>0</v>
      </c>
      <c r="Q278" s="55">
        <v>0</v>
      </c>
      <c r="R278" s="55">
        <f t="shared" si="116"/>
        <v>6</v>
      </c>
      <c r="S278" s="55">
        <v>6</v>
      </c>
      <c r="T278" s="55">
        <v>0</v>
      </c>
      <c r="U278" s="55">
        <v>0</v>
      </c>
      <c r="V278" s="55">
        <v>3</v>
      </c>
      <c r="W278" s="53">
        <v>3</v>
      </c>
      <c r="X278" s="53">
        <v>0</v>
      </c>
      <c r="Y278" s="55">
        <v>0</v>
      </c>
      <c r="Z278" s="55">
        <v>1</v>
      </c>
      <c r="AA278" s="53">
        <v>1</v>
      </c>
      <c r="AB278" s="53">
        <v>0</v>
      </c>
      <c r="AC278" s="55">
        <v>0</v>
      </c>
      <c r="AD278" s="55">
        <f t="shared" si="117"/>
        <v>4</v>
      </c>
      <c r="AE278" s="53">
        <v>4</v>
      </c>
      <c r="AF278" s="55">
        <v>0</v>
      </c>
      <c r="AG278" s="55">
        <v>0</v>
      </c>
      <c r="AH278" s="55">
        <f t="shared" si="118"/>
        <v>6</v>
      </c>
      <c r="AI278" s="55">
        <v>6</v>
      </c>
      <c r="AJ278" s="55">
        <v>0</v>
      </c>
      <c r="AK278" s="55">
        <v>0</v>
      </c>
      <c r="AL278" s="55">
        <f t="shared" si="119"/>
        <v>2</v>
      </c>
      <c r="AM278" s="55">
        <v>2</v>
      </c>
      <c r="AN278" s="55">
        <v>0</v>
      </c>
      <c r="AO278" s="55">
        <v>0</v>
      </c>
      <c r="AP278" s="55">
        <f t="shared" si="121"/>
        <v>3</v>
      </c>
      <c r="AQ278" s="55">
        <f>IFERROR(VLOOKUP(A278,[1]SIIMPLES!$A$2:$F$418,6,FALSE),0)</f>
        <v>3</v>
      </c>
      <c r="AR278" s="55">
        <v>0</v>
      </c>
      <c r="AS278" s="55">
        <v>0</v>
      </c>
      <c r="AT278" s="55">
        <v>0</v>
      </c>
      <c r="AU278" s="55">
        <v>0</v>
      </c>
      <c r="AV278" s="55">
        <v>0</v>
      </c>
      <c r="AW278" s="55"/>
      <c r="AX278" s="55"/>
      <c r="AY278" s="56">
        <f t="shared" si="120"/>
        <v>2.9</v>
      </c>
      <c r="AZ278" s="55"/>
      <c r="BA278" s="56">
        <v>3.25</v>
      </c>
      <c r="BB278" s="41">
        <f t="shared" si="125"/>
        <v>-0.10769230769230775</v>
      </c>
      <c r="BC278" s="7"/>
      <c r="BD278" s="35"/>
      <c r="BE278" s="13"/>
      <c r="BF278" s="16"/>
      <c r="BG278" s="17">
        <f t="shared" si="123"/>
        <v>0</v>
      </c>
      <c r="BH278" s="16">
        <f t="shared" si="124"/>
        <v>8.6999999999999993</v>
      </c>
    </row>
    <row r="279" spans="1:60" s="21" customFormat="1" ht="12.75" customHeight="1" x14ac:dyDescent="0.2">
      <c r="A279" s="51">
        <v>332110</v>
      </c>
      <c r="B279" s="51" t="s">
        <v>1077</v>
      </c>
      <c r="C279" s="66" t="s">
        <v>1803</v>
      </c>
      <c r="D279" s="52" t="s">
        <v>728</v>
      </c>
      <c r="E279" s="65" t="s">
        <v>780</v>
      </c>
      <c r="F279" s="53">
        <f>IFERROR(VLOOKUP(E279,Fornecedores!$A$2:$B$2700,2,FALSE),"")</f>
        <v>2</v>
      </c>
      <c r="G279" s="52" t="s">
        <v>665</v>
      </c>
      <c r="H279" s="57"/>
      <c r="I279" s="55">
        <f t="shared" si="114"/>
        <v>3</v>
      </c>
      <c r="J279" s="55">
        <v>2</v>
      </c>
      <c r="K279" s="55">
        <v>1</v>
      </c>
      <c r="L279" s="55">
        <v>0</v>
      </c>
      <c r="M279" s="55">
        <v>0</v>
      </c>
      <c r="N279" s="55">
        <f t="shared" si="115"/>
        <v>2</v>
      </c>
      <c r="O279" s="55">
        <v>1</v>
      </c>
      <c r="P279" s="55">
        <v>1</v>
      </c>
      <c r="Q279" s="55">
        <v>0</v>
      </c>
      <c r="R279" s="55">
        <f t="shared" si="116"/>
        <v>2</v>
      </c>
      <c r="S279" s="55">
        <v>0</v>
      </c>
      <c r="T279" s="55">
        <v>2</v>
      </c>
      <c r="U279" s="55">
        <v>0</v>
      </c>
      <c r="V279" s="55">
        <v>2</v>
      </c>
      <c r="W279" s="53">
        <v>1</v>
      </c>
      <c r="X279" s="53">
        <v>1</v>
      </c>
      <c r="Y279" s="55">
        <v>0</v>
      </c>
      <c r="Z279" s="55">
        <v>3</v>
      </c>
      <c r="AA279" s="53">
        <v>3</v>
      </c>
      <c r="AB279" s="53">
        <v>0</v>
      </c>
      <c r="AC279" s="55">
        <v>0</v>
      </c>
      <c r="AD279" s="55">
        <f t="shared" si="117"/>
        <v>0</v>
      </c>
      <c r="AE279" s="53">
        <v>0</v>
      </c>
      <c r="AF279" s="55">
        <v>0</v>
      </c>
      <c r="AG279" s="55">
        <v>0</v>
      </c>
      <c r="AH279" s="55">
        <f t="shared" si="118"/>
        <v>1</v>
      </c>
      <c r="AI279" s="55">
        <v>0</v>
      </c>
      <c r="AJ279" s="55">
        <v>1</v>
      </c>
      <c r="AK279" s="55">
        <v>0</v>
      </c>
      <c r="AL279" s="55">
        <f t="shared" si="119"/>
        <v>4</v>
      </c>
      <c r="AM279" s="55">
        <v>3</v>
      </c>
      <c r="AN279" s="55">
        <v>1</v>
      </c>
      <c r="AO279" s="55">
        <v>0</v>
      </c>
      <c r="AP279" s="55">
        <f t="shared" si="121"/>
        <v>3</v>
      </c>
      <c r="AQ279" s="55">
        <f>IFERROR(VLOOKUP(A279,[1]SIIMPLES!$A$2:$F$418,6,FALSE),0)</f>
        <v>1</v>
      </c>
      <c r="AR279" s="55">
        <v>2</v>
      </c>
      <c r="AS279" s="55">
        <v>0</v>
      </c>
      <c r="AT279" s="55">
        <v>0</v>
      </c>
      <c r="AU279" s="55">
        <v>0</v>
      </c>
      <c r="AV279" s="55">
        <v>0</v>
      </c>
      <c r="AW279" s="55"/>
      <c r="AX279" s="55"/>
      <c r="AY279" s="56">
        <f t="shared" si="120"/>
        <v>2</v>
      </c>
      <c r="AZ279" s="55"/>
      <c r="BA279" s="56">
        <v>2</v>
      </c>
      <c r="BB279" s="41">
        <f t="shared" si="125"/>
        <v>0</v>
      </c>
      <c r="BC279" s="13"/>
      <c r="BD279" s="35"/>
      <c r="BE279" s="13"/>
      <c r="BF279" s="16">
        <f>SUM(BC279:BE279)</f>
        <v>0</v>
      </c>
      <c r="BG279" s="17">
        <f t="shared" si="123"/>
        <v>0</v>
      </c>
      <c r="BH279" s="16">
        <f t="shared" si="124"/>
        <v>2</v>
      </c>
    </row>
    <row r="280" spans="1:60" s="21" customFormat="1" ht="12.75" customHeight="1" x14ac:dyDescent="0.2">
      <c r="A280" s="51">
        <v>442056</v>
      </c>
      <c r="B280" s="51" t="s">
        <v>1077</v>
      </c>
      <c r="C280" s="66" t="s">
        <v>1803</v>
      </c>
      <c r="D280" s="52" t="s">
        <v>728</v>
      </c>
      <c r="E280" s="65" t="s">
        <v>780</v>
      </c>
      <c r="F280" s="53">
        <f>IFERROR(VLOOKUP(E280,Fornecedores!$A$2:$B$2700,2,FALSE),"")</f>
        <v>2</v>
      </c>
      <c r="G280" s="52" t="s">
        <v>353</v>
      </c>
      <c r="H280" s="57"/>
      <c r="I280" s="55">
        <f t="shared" si="114"/>
        <v>7</v>
      </c>
      <c r="J280" s="55">
        <v>1</v>
      </c>
      <c r="K280" s="55">
        <v>6</v>
      </c>
      <c r="L280" s="55">
        <v>0</v>
      </c>
      <c r="M280" s="55">
        <v>0</v>
      </c>
      <c r="N280" s="55">
        <f t="shared" si="115"/>
        <v>1</v>
      </c>
      <c r="O280" s="55">
        <v>0</v>
      </c>
      <c r="P280" s="55">
        <v>1</v>
      </c>
      <c r="Q280" s="55">
        <v>0</v>
      </c>
      <c r="R280" s="55">
        <f t="shared" si="116"/>
        <v>1</v>
      </c>
      <c r="S280" s="55">
        <v>0</v>
      </c>
      <c r="T280" s="55">
        <v>1</v>
      </c>
      <c r="U280" s="55">
        <v>0</v>
      </c>
      <c r="V280" s="55">
        <v>6</v>
      </c>
      <c r="W280" s="53">
        <v>0</v>
      </c>
      <c r="X280" s="53">
        <v>6</v>
      </c>
      <c r="Y280" s="55">
        <v>0</v>
      </c>
      <c r="Z280" s="55">
        <v>0</v>
      </c>
      <c r="AA280" s="53">
        <v>0</v>
      </c>
      <c r="AB280" s="53">
        <v>0</v>
      </c>
      <c r="AC280" s="55">
        <v>0</v>
      </c>
      <c r="AD280" s="55">
        <f t="shared" si="117"/>
        <v>2</v>
      </c>
      <c r="AE280" s="53">
        <v>0</v>
      </c>
      <c r="AF280" s="55">
        <v>2</v>
      </c>
      <c r="AG280" s="55">
        <v>0</v>
      </c>
      <c r="AH280" s="55">
        <f t="shared" si="118"/>
        <v>1</v>
      </c>
      <c r="AI280" s="55">
        <v>0</v>
      </c>
      <c r="AJ280" s="55">
        <v>1</v>
      </c>
      <c r="AK280" s="55">
        <v>0</v>
      </c>
      <c r="AL280" s="55">
        <f t="shared" si="119"/>
        <v>0</v>
      </c>
      <c r="AM280" s="55" t="s">
        <v>1912</v>
      </c>
      <c r="AN280" s="55">
        <v>0</v>
      </c>
      <c r="AO280" s="55">
        <v>0</v>
      </c>
      <c r="AP280" s="55">
        <f t="shared" si="121"/>
        <v>3</v>
      </c>
      <c r="AQ280" s="55">
        <f>IFERROR(VLOOKUP(A280,[1]SIIMPLES!$A$2:$F$418,6,FALSE),0)</f>
        <v>2</v>
      </c>
      <c r="AR280" s="55">
        <v>1</v>
      </c>
      <c r="AS280" s="55">
        <v>4</v>
      </c>
      <c r="AT280" s="55">
        <v>0</v>
      </c>
      <c r="AU280" s="55">
        <v>4</v>
      </c>
      <c r="AV280" s="55">
        <v>0</v>
      </c>
      <c r="AW280" s="55"/>
      <c r="AX280" s="55"/>
      <c r="AY280" s="56">
        <f t="shared" si="120"/>
        <v>2.5</v>
      </c>
      <c r="AZ280" s="55"/>
      <c r="BA280" s="56">
        <v>4</v>
      </c>
      <c r="BB280" s="41">
        <f t="shared" si="125"/>
        <v>-0.375</v>
      </c>
      <c r="BC280" s="13"/>
      <c r="BD280" s="35"/>
      <c r="BE280" s="13"/>
      <c r="BF280" s="16"/>
      <c r="BG280" s="17">
        <f t="shared" si="123"/>
        <v>0</v>
      </c>
      <c r="BH280" s="20">
        <f>ROUND(IFERROR(IF(F280=1,IF(BC280&lt;AY280*3,AY280*3-BC280,0),IF(BC280&lt;AY280,AY280*0.6-BC280,0)),""),0)</f>
        <v>2</v>
      </c>
    </row>
    <row r="281" spans="1:60" s="21" customFormat="1" ht="12.75" customHeight="1" x14ac:dyDescent="0.2">
      <c r="A281" s="51">
        <v>442057</v>
      </c>
      <c r="B281" s="51" t="s">
        <v>1077</v>
      </c>
      <c r="C281" s="66" t="s">
        <v>1803</v>
      </c>
      <c r="D281" s="52" t="s">
        <v>728</v>
      </c>
      <c r="E281" s="65" t="s">
        <v>780</v>
      </c>
      <c r="F281" s="53">
        <f>IFERROR(VLOOKUP(E281,Fornecedores!$A$2:$B$2700,2,FALSE),"")</f>
        <v>2</v>
      </c>
      <c r="G281" s="52" t="s">
        <v>172</v>
      </c>
      <c r="H281" s="57"/>
      <c r="I281" s="55">
        <f t="shared" si="114"/>
        <v>4</v>
      </c>
      <c r="J281" s="55">
        <v>0</v>
      </c>
      <c r="K281" s="55">
        <v>4</v>
      </c>
      <c r="L281" s="55">
        <v>0</v>
      </c>
      <c r="M281" s="55">
        <v>0</v>
      </c>
      <c r="N281" s="55">
        <f t="shared" si="115"/>
        <v>1</v>
      </c>
      <c r="O281" s="55">
        <v>0</v>
      </c>
      <c r="P281" s="55">
        <v>1</v>
      </c>
      <c r="Q281" s="55">
        <v>0</v>
      </c>
      <c r="R281" s="55">
        <f t="shared" si="116"/>
        <v>1</v>
      </c>
      <c r="S281" s="55">
        <v>0</v>
      </c>
      <c r="T281" s="55">
        <v>1</v>
      </c>
      <c r="U281" s="55">
        <v>0</v>
      </c>
      <c r="V281" s="55">
        <v>7</v>
      </c>
      <c r="W281" s="53">
        <v>1</v>
      </c>
      <c r="X281" s="53">
        <v>6</v>
      </c>
      <c r="Y281" s="55">
        <v>0</v>
      </c>
      <c r="Z281" s="55">
        <v>0</v>
      </c>
      <c r="AA281" s="53">
        <v>0</v>
      </c>
      <c r="AB281" s="53">
        <v>0</v>
      </c>
      <c r="AC281" s="55">
        <v>0</v>
      </c>
      <c r="AD281" s="55">
        <f t="shared" si="117"/>
        <v>2</v>
      </c>
      <c r="AE281" s="53">
        <v>0</v>
      </c>
      <c r="AF281" s="55">
        <v>2</v>
      </c>
      <c r="AG281" s="55">
        <v>0</v>
      </c>
      <c r="AH281" s="55">
        <f t="shared" si="118"/>
        <v>1</v>
      </c>
      <c r="AI281" s="55">
        <v>0</v>
      </c>
      <c r="AJ281" s="55">
        <v>1</v>
      </c>
      <c r="AK281" s="55">
        <v>0</v>
      </c>
      <c r="AL281" s="55">
        <f t="shared" si="119"/>
        <v>0</v>
      </c>
      <c r="AM281" s="55" t="s">
        <v>1912</v>
      </c>
      <c r="AN281" s="55">
        <v>0</v>
      </c>
      <c r="AO281" s="55">
        <v>0</v>
      </c>
      <c r="AP281" s="55">
        <f t="shared" si="121"/>
        <v>3</v>
      </c>
      <c r="AQ281" s="55">
        <f>IFERROR(VLOOKUP(A281,[1]SIIMPLES!$A$2:$F$418,6,FALSE),0)</f>
        <v>2</v>
      </c>
      <c r="AR281" s="55">
        <v>1</v>
      </c>
      <c r="AS281" s="55">
        <v>2</v>
      </c>
      <c r="AT281" s="55">
        <v>0</v>
      </c>
      <c r="AU281" s="55">
        <v>2</v>
      </c>
      <c r="AV281" s="55">
        <v>0</v>
      </c>
      <c r="AW281" s="55"/>
      <c r="AX281" s="55"/>
      <c r="AY281" s="56">
        <f t="shared" si="120"/>
        <v>2.1</v>
      </c>
      <c r="AZ281" s="55"/>
      <c r="BA281" s="56">
        <v>3.6666666666666665</v>
      </c>
      <c r="BB281" s="41">
        <f t="shared" si="125"/>
        <v>-0.42727272727272725</v>
      </c>
      <c r="BC281" s="13"/>
      <c r="BD281" s="36"/>
      <c r="BE281" s="7"/>
      <c r="BF281" s="7"/>
      <c r="BG281" s="7"/>
      <c r="BH281" s="7"/>
    </row>
    <row r="282" spans="1:60" s="21" customFormat="1" ht="12.75" customHeight="1" x14ac:dyDescent="0.2">
      <c r="A282" s="51">
        <v>882003</v>
      </c>
      <c r="B282" s="51" t="s">
        <v>1077</v>
      </c>
      <c r="C282" s="66" t="s">
        <v>1803</v>
      </c>
      <c r="D282" s="52" t="s">
        <v>728</v>
      </c>
      <c r="E282" s="65" t="s">
        <v>780</v>
      </c>
      <c r="F282" s="53">
        <f>IFERROR(VLOOKUP(E282,Fornecedores!$A$2:$B$2700,2,FALSE),"")</f>
        <v>2</v>
      </c>
      <c r="G282" s="52" t="s">
        <v>721</v>
      </c>
      <c r="H282" s="57"/>
      <c r="I282" s="55">
        <f t="shared" si="114"/>
        <v>2</v>
      </c>
      <c r="J282" s="55">
        <v>1</v>
      </c>
      <c r="K282" s="55">
        <v>1</v>
      </c>
      <c r="L282" s="55">
        <v>0</v>
      </c>
      <c r="M282" s="55">
        <v>0</v>
      </c>
      <c r="N282" s="55">
        <f t="shared" si="115"/>
        <v>0</v>
      </c>
      <c r="O282" s="55">
        <v>0</v>
      </c>
      <c r="P282" s="55">
        <v>0</v>
      </c>
      <c r="Q282" s="55">
        <v>0</v>
      </c>
      <c r="R282" s="55">
        <f t="shared" si="116"/>
        <v>0</v>
      </c>
      <c r="S282" s="55">
        <v>0</v>
      </c>
      <c r="T282" s="55">
        <v>0</v>
      </c>
      <c r="U282" s="55">
        <v>0</v>
      </c>
      <c r="V282" s="55">
        <v>2</v>
      </c>
      <c r="W282" s="53">
        <v>1</v>
      </c>
      <c r="X282" s="53">
        <v>1</v>
      </c>
      <c r="Y282" s="55">
        <v>0</v>
      </c>
      <c r="Z282" s="55">
        <v>0</v>
      </c>
      <c r="AA282" s="53">
        <v>0</v>
      </c>
      <c r="AB282" s="53">
        <v>0</v>
      </c>
      <c r="AC282" s="55">
        <v>0</v>
      </c>
      <c r="AD282" s="55">
        <f t="shared" si="117"/>
        <v>1</v>
      </c>
      <c r="AE282" s="53">
        <v>1</v>
      </c>
      <c r="AF282" s="55">
        <v>0</v>
      </c>
      <c r="AG282" s="55">
        <v>0</v>
      </c>
      <c r="AH282" s="55">
        <f t="shared" si="118"/>
        <v>1</v>
      </c>
      <c r="AI282" s="55">
        <v>0</v>
      </c>
      <c r="AJ282" s="55">
        <v>1</v>
      </c>
      <c r="AK282" s="55">
        <v>0</v>
      </c>
      <c r="AL282" s="55">
        <f t="shared" si="119"/>
        <v>0</v>
      </c>
      <c r="AM282" s="55" t="s">
        <v>1912</v>
      </c>
      <c r="AN282" s="55">
        <v>0</v>
      </c>
      <c r="AO282" s="55">
        <v>0</v>
      </c>
      <c r="AP282" s="55">
        <f t="shared" si="121"/>
        <v>3</v>
      </c>
      <c r="AQ282" s="55">
        <f>IFERROR(VLOOKUP(A282,[1]SIIMPLES!$A$2:$F$418,6,FALSE),0)</f>
        <v>3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/>
      <c r="AX282" s="55"/>
      <c r="AY282" s="56">
        <f t="shared" si="120"/>
        <v>0.9</v>
      </c>
      <c r="AZ282" s="55"/>
      <c r="BA282" s="56">
        <v>1.6666666666666667</v>
      </c>
      <c r="BB282" s="41">
        <f t="shared" si="125"/>
        <v>-0.45999999999999996</v>
      </c>
      <c r="BC282" s="13"/>
      <c r="BD282" s="35"/>
      <c r="BE282" s="13"/>
      <c r="BF282" s="16"/>
      <c r="BG282" s="17">
        <f>IFERROR(BC282/AY282,"0")</f>
        <v>0</v>
      </c>
      <c r="BH282" s="16">
        <f>IFERROR(IF(F282=1,IF(BC282&lt;AY282*3,AY282*3-BC282,0),IF(BC282&lt;AY282,AY282-BC282,0)),"")</f>
        <v>0.9</v>
      </c>
    </row>
    <row r="283" spans="1:60" s="21" customFormat="1" ht="12.75" customHeight="1" x14ac:dyDescent="0.2">
      <c r="A283" s="51">
        <v>112002</v>
      </c>
      <c r="B283" s="51" t="s">
        <v>1077</v>
      </c>
      <c r="C283" s="66" t="s">
        <v>1803</v>
      </c>
      <c r="D283" s="52" t="s">
        <v>728</v>
      </c>
      <c r="E283" s="65" t="s">
        <v>780</v>
      </c>
      <c r="F283" s="53">
        <f>IFERROR(VLOOKUP(E283,Fornecedores!$A$2:$B$2700,2,FALSE),"")</f>
        <v>2</v>
      </c>
      <c r="G283" s="52" t="s">
        <v>1809</v>
      </c>
      <c r="H283" s="57"/>
      <c r="I283" s="55">
        <f t="shared" si="114"/>
        <v>1</v>
      </c>
      <c r="J283" s="55">
        <v>1</v>
      </c>
      <c r="K283" s="55">
        <v>0</v>
      </c>
      <c r="L283" s="55">
        <v>0</v>
      </c>
      <c r="M283" s="55">
        <v>0</v>
      </c>
      <c r="N283" s="55">
        <f t="shared" si="115"/>
        <v>2</v>
      </c>
      <c r="O283" s="55">
        <v>0</v>
      </c>
      <c r="P283" s="55">
        <v>2</v>
      </c>
      <c r="Q283" s="55">
        <v>0</v>
      </c>
      <c r="R283" s="55">
        <f t="shared" si="116"/>
        <v>0</v>
      </c>
      <c r="S283" s="55">
        <v>0</v>
      </c>
      <c r="T283" s="55">
        <v>0</v>
      </c>
      <c r="U283" s="55">
        <v>0</v>
      </c>
      <c r="V283" s="55">
        <v>2</v>
      </c>
      <c r="W283" s="53">
        <v>0</v>
      </c>
      <c r="X283" s="53">
        <v>2</v>
      </c>
      <c r="Y283" s="55">
        <v>0</v>
      </c>
      <c r="Z283" s="55">
        <v>0</v>
      </c>
      <c r="AA283" s="53">
        <v>0</v>
      </c>
      <c r="AB283" s="53">
        <v>0</v>
      </c>
      <c r="AC283" s="55">
        <v>0</v>
      </c>
      <c r="AD283" s="55">
        <f t="shared" si="117"/>
        <v>0</v>
      </c>
      <c r="AE283" s="53">
        <v>0</v>
      </c>
      <c r="AF283" s="55">
        <v>0</v>
      </c>
      <c r="AG283" s="55">
        <v>0</v>
      </c>
      <c r="AH283" s="55">
        <f t="shared" si="118"/>
        <v>0</v>
      </c>
      <c r="AI283" s="55">
        <v>0</v>
      </c>
      <c r="AJ283" s="55">
        <v>0</v>
      </c>
      <c r="AK283" s="55">
        <v>0</v>
      </c>
      <c r="AL283" s="55">
        <f t="shared" si="119"/>
        <v>0</v>
      </c>
      <c r="AM283" s="55" t="s">
        <v>1912</v>
      </c>
      <c r="AN283" s="55">
        <v>0</v>
      </c>
      <c r="AO283" s="55">
        <v>0</v>
      </c>
      <c r="AP283" s="55">
        <f t="shared" si="121"/>
        <v>3</v>
      </c>
      <c r="AQ283" s="55">
        <f>IFERROR(VLOOKUP(A283,[1]SIIMPLES!$A$2:$F$418,6,FALSE),0)</f>
        <v>1</v>
      </c>
      <c r="AR283" s="55">
        <v>2</v>
      </c>
      <c r="AS283" s="55">
        <v>0</v>
      </c>
      <c r="AT283" s="55">
        <v>0</v>
      </c>
      <c r="AU283" s="55">
        <v>0</v>
      </c>
      <c r="AV283" s="55">
        <v>0</v>
      </c>
      <c r="AW283" s="55"/>
      <c r="AX283" s="55"/>
      <c r="AY283" s="56">
        <f t="shared" si="120"/>
        <v>0.8</v>
      </c>
      <c r="AZ283" s="55"/>
      <c r="BA283" s="56">
        <v>2</v>
      </c>
      <c r="BB283" s="41">
        <f t="shared" si="125"/>
        <v>-0.6</v>
      </c>
      <c r="BC283" s="13"/>
      <c r="BD283" s="36"/>
      <c r="BE283" s="7"/>
      <c r="BF283" s="7"/>
      <c r="BG283" s="7"/>
      <c r="BH283" s="7"/>
    </row>
    <row r="284" spans="1:60" s="21" customFormat="1" ht="12.75" customHeight="1" x14ac:dyDescent="0.2">
      <c r="A284" s="51">
        <v>112117</v>
      </c>
      <c r="B284" s="51" t="s">
        <v>1077</v>
      </c>
      <c r="C284" s="66" t="s">
        <v>1803</v>
      </c>
      <c r="D284" s="52" t="s">
        <v>728</v>
      </c>
      <c r="E284" s="65" t="s">
        <v>780</v>
      </c>
      <c r="F284" s="53">
        <f>IFERROR(VLOOKUP(E284,Fornecedores!$A$2:$B$2700,2,FALSE),"")</f>
        <v>2</v>
      </c>
      <c r="G284" s="52" t="s">
        <v>712</v>
      </c>
      <c r="H284" s="57"/>
      <c r="I284" s="55">
        <f t="shared" si="114"/>
        <v>0</v>
      </c>
      <c r="J284" s="55">
        <v>0</v>
      </c>
      <c r="K284" s="55">
        <v>0</v>
      </c>
      <c r="L284" s="55">
        <v>0</v>
      </c>
      <c r="M284" s="55">
        <v>0</v>
      </c>
      <c r="N284" s="55">
        <f t="shared" si="115"/>
        <v>0</v>
      </c>
      <c r="O284" s="55">
        <v>0</v>
      </c>
      <c r="P284" s="55">
        <v>0</v>
      </c>
      <c r="Q284" s="55">
        <v>0</v>
      </c>
      <c r="R284" s="55">
        <f t="shared" si="116"/>
        <v>0</v>
      </c>
      <c r="S284" s="55">
        <v>0</v>
      </c>
      <c r="T284" s="55">
        <v>0</v>
      </c>
      <c r="U284" s="55">
        <v>0</v>
      </c>
      <c r="V284" s="55">
        <v>3</v>
      </c>
      <c r="W284" s="53">
        <v>3</v>
      </c>
      <c r="X284" s="53">
        <v>0</v>
      </c>
      <c r="Y284" s="55">
        <v>0</v>
      </c>
      <c r="Z284" s="55">
        <v>1</v>
      </c>
      <c r="AA284" s="53">
        <v>1</v>
      </c>
      <c r="AB284" s="53">
        <v>0</v>
      </c>
      <c r="AC284" s="55">
        <v>0</v>
      </c>
      <c r="AD284" s="55">
        <f t="shared" si="117"/>
        <v>0</v>
      </c>
      <c r="AE284" s="53">
        <v>0</v>
      </c>
      <c r="AF284" s="55">
        <v>0</v>
      </c>
      <c r="AG284" s="55">
        <v>0</v>
      </c>
      <c r="AH284" s="55">
        <f t="shared" si="118"/>
        <v>0</v>
      </c>
      <c r="AI284" s="55">
        <v>0</v>
      </c>
      <c r="AJ284" s="55">
        <v>0</v>
      </c>
      <c r="AK284" s="55">
        <v>0</v>
      </c>
      <c r="AL284" s="55">
        <f t="shared" si="119"/>
        <v>1</v>
      </c>
      <c r="AM284" s="55">
        <v>1</v>
      </c>
      <c r="AN284" s="55">
        <v>0</v>
      </c>
      <c r="AO284" s="55">
        <v>0</v>
      </c>
      <c r="AP284" s="55">
        <f t="shared" si="121"/>
        <v>3</v>
      </c>
      <c r="AQ284" s="55">
        <f>IFERROR(VLOOKUP(A284,[1]SIIMPLES!$A$2:$F$418,6,FALSE),0)</f>
        <v>3</v>
      </c>
      <c r="AR284" s="55">
        <v>0</v>
      </c>
      <c r="AS284" s="55">
        <v>0</v>
      </c>
      <c r="AT284" s="55">
        <v>0</v>
      </c>
      <c r="AU284" s="55">
        <v>0</v>
      </c>
      <c r="AV284" s="55">
        <v>0</v>
      </c>
      <c r="AW284" s="55"/>
      <c r="AX284" s="55"/>
      <c r="AY284" s="56">
        <f t="shared" si="120"/>
        <v>0.8</v>
      </c>
      <c r="AZ284" s="55"/>
      <c r="BA284" s="56">
        <v>0</v>
      </c>
      <c r="BB284" s="41" t="str">
        <f t="shared" si="125"/>
        <v/>
      </c>
      <c r="BC284" s="13"/>
      <c r="BD284" s="36"/>
      <c r="BE284" s="7"/>
      <c r="BF284" s="7"/>
      <c r="BG284" s="7"/>
      <c r="BH284" s="7"/>
    </row>
    <row r="285" spans="1:60" s="21" customFormat="1" ht="12.75" customHeight="1" x14ac:dyDescent="0.2">
      <c r="A285" s="51">
        <v>112118</v>
      </c>
      <c r="B285" s="51" t="s">
        <v>1077</v>
      </c>
      <c r="C285" s="66" t="s">
        <v>1803</v>
      </c>
      <c r="D285" s="52" t="s">
        <v>728</v>
      </c>
      <c r="E285" s="65" t="s">
        <v>780</v>
      </c>
      <c r="F285" s="53">
        <f>IFERROR(VLOOKUP(E285,Fornecedores!$A$2:$B$2700,2,FALSE),"")</f>
        <v>2</v>
      </c>
      <c r="G285" s="52" t="s">
        <v>41</v>
      </c>
      <c r="H285" s="57"/>
      <c r="I285" s="55">
        <f t="shared" ref="I285:I301" si="126">SUM(J285:M285)</f>
        <v>0</v>
      </c>
      <c r="J285" s="55">
        <v>0</v>
      </c>
      <c r="K285" s="55">
        <v>0</v>
      </c>
      <c r="L285" s="55">
        <v>0</v>
      </c>
      <c r="M285" s="55">
        <v>0</v>
      </c>
      <c r="N285" s="55">
        <f t="shared" ref="N285:N301" si="127">SUM(O285:Q285)</f>
        <v>0</v>
      </c>
      <c r="O285" s="55">
        <v>0</v>
      </c>
      <c r="P285" s="55">
        <v>0</v>
      </c>
      <c r="Q285" s="55">
        <v>0</v>
      </c>
      <c r="R285" s="55">
        <f t="shared" ref="R285:R301" si="128">SUM(S285:U285)</f>
        <v>0</v>
      </c>
      <c r="S285" s="55">
        <v>0</v>
      </c>
      <c r="T285" s="55">
        <v>0</v>
      </c>
      <c r="U285" s="55">
        <v>0</v>
      </c>
      <c r="V285" s="55">
        <v>0</v>
      </c>
      <c r="W285" s="53">
        <v>0</v>
      </c>
      <c r="X285" s="53">
        <v>0</v>
      </c>
      <c r="Y285" s="55">
        <v>0</v>
      </c>
      <c r="Z285" s="55">
        <v>0</v>
      </c>
      <c r="AA285" s="53">
        <v>0</v>
      </c>
      <c r="AB285" s="53">
        <v>0</v>
      </c>
      <c r="AC285" s="55">
        <v>0</v>
      </c>
      <c r="AD285" s="55">
        <f t="shared" ref="AD285:AD302" si="129">SUM(AE285:AG285)</f>
        <v>0</v>
      </c>
      <c r="AE285" s="53">
        <v>0</v>
      </c>
      <c r="AF285" s="55">
        <v>0</v>
      </c>
      <c r="AG285" s="55">
        <v>0</v>
      </c>
      <c r="AH285" s="55">
        <f t="shared" ref="AH285:AH304" si="130">SUM(AI285:AK285)</f>
        <v>0</v>
      </c>
      <c r="AI285" s="55">
        <v>0</v>
      </c>
      <c r="AJ285" s="55">
        <v>0</v>
      </c>
      <c r="AK285" s="55">
        <v>0</v>
      </c>
      <c r="AL285" s="55">
        <f t="shared" ref="AL285:AL304" si="131">SUM(AM285:AO285)</f>
        <v>0</v>
      </c>
      <c r="AM285" s="55" t="s">
        <v>1912</v>
      </c>
      <c r="AN285" s="55">
        <v>0</v>
      </c>
      <c r="AO285" s="55">
        <v>0</v>
      </c>
      <c r="AP285" s="55">
        <f t="shared" si="121"/>
        <v>3</v>
      </c>
      <c r="AQ285" s="55">
        <f>IFERROR(VLOOKUP(A285,[1]SIIMPLES!$A$2:$F$418,6,FALSE),0)</f>
        <v>3</v>
      </c>
      <c r="AR285" s="55">
        <v>0</v>
      </c>
      <c r="AS285" s="55">
        <v>0</v>
      </c>
      <c r="AT285" s="55">
        <v>0</v>
      </c>
      <c r="AU285" s="55">
        <v>0</v>
      </c>
      <c r="AV285" s="55">
        <v>0</v>
      </c>
      <c r="AW285" s="55"/>
      <c r="AX285" s="55"/>
      <c r="AY285" s="56">
        <f t="shared" ref="AY285:AY302" si="132">IFERROR(AVERAGE(I285,N285,R285,V285,Z285,AD285,AH285,AL285,AP285,AS285,AW285,AX285),"-")</f>
        <v>0.3</v>
      </c>
      <c r="AZ285" s="55"/>
      <c r="BA285" s="56">
        <v>0</v>
      </c>
      <c r="BB285" s="41" t="str">
        <f t="shared" si="125"/>
        <v/>
      </c>
      <c r="BC285" s="13"/>
      <c r="BD285" s="36"/>
      <c r="BE285" s="7"/>
      <c r="BF285" s="7"/>
      <c r="BG285" s="7"/>
      <c r="BH285" s="7"/>
    </row>
    <row r="286" spans="1:60" s="21" customFormat="1" ht="12.75" customHeight="1" x14ac:dyDescent="0.2">
      <c r="A286" s="51">
        <v>222030</v>
      </c>
      <c r="B286" s="51" t="s">
        <v>1077</v>
      </c>
      <c r="C286" s="66" t="s">
        <v>1803</v>
      </c>
      <c r="D286" s="52" t="s">
        <v>728</v>
      </c>
      <c r="E286" s="65" t="s">
        <v>780</v>
      </c>
      <c r="F286" s="53">
        <f>IFERROR(VLOOKUP(E286,Fornecedores!$A$2:$B$2700,2,FALSE),"")</f>
        <v>2</v>
      </c>
      <c r="G286" s="52" t="s">
        <v>534</v>
      </c>
      <c r="H286" s="57"/>
      <c r="I286" s="55">
        <f t="shared" si="126"/>
        <v>0</v>
      </c>
      <c r="J286" s="55">
        <v>0</v>
      </c>
      <c r="K286" s="55">
        <v>0</v>
      </c>
      <c r="L286" s="55">
        <v>0</v>
      </c>
      <c r="M286" s="55">
        <v>0</v>
      </c>
      <c r="N286" s="55">
        <f t="shared" si="127"/>
        <v>0</v>
      </c>
      <c r="O286" s="55">
        <v>0</v>
      </c>
      <c r="P286" s="55">
        <v>0</v>
      </c>
      <c r="Q286" s="55">
        <v>0</v>
      </c>
      <c r="R286" s="55">
        <f t="shared" si="128"/>
        <v>0</v>
      </c>
      <c r="S286" s="55">
        <v>0</v>
      </c>
      <c r="T286" s="55">
        <v>0</v>
      </c>
      <c r="U286" s="55">
        <v>0</v>
      </c>
      <c r="V286" s="55">
        <v>0</v>
      </c>
      <c r="W286" s="53">
        <v>0</v>
      </c>
      <c r="X286" s="53">
        <v>0</v>
      </c>
      <c r="Y286" s="55">
        <v>0</v>
      </c>
      <c r="Z286" s="55">
        <v>0</v>
      </c>
      <c r="AA286" s="53">
        <v>0</v>
      </c>
      <c r="AB286" s="53">
        <v>0</v>
      </c>
      <c r="AC286" s="55">
        <v>0</v>
      </c>
      <c r="AD286" s="55">
        <f t="shared" si="129"/>
        <v>0</v>
      </c>
      <c r="AE286" s="53">
        <v>0</v>
      </c>
      <c r="AF286" s="55">
        <v>0</v>
      </c>
      <c r="AG286" s="55">
        <v>0</v>
      </c>
      <c r="AH286" s="55">
        <f t="shared" si="130"/>
        <v>0</v>
      </c>
      <c r="AI286" s="55">
        <v>0</v>
      </c>
      <c r="AJ286" s="55">
        <v>0</v>
      </c>
      <c r="AK286" s="55">
        <v>0</v>
      </c>
      <c r="AL286" s="55">
        <f t="shared" si="131"/>
        <v>0</v>
      </c>
      <c r="AM286" s="55" t="s">
        <v>1912</v>
      </c>
      <c r="AN286" s="55">
        <v>0</v>
      </c>
      <c r="AO286" s="55">
        <v>0</v>
      </c>
      <c r="AP286" s="55">
        <f t="shared" si="121"/>
        <v>3</v>
      </c>
      <c r="AQ286" s="55">
        <f>IFERROR(VLOOKUP(A286,[1]SIIMPLES!$A$2:$F$418,6,FALSE),0)</f>
        <v>3</v>
      </c>
      <c r="AR286" s="55">
        <v>0</v>
      </c>
      <c r="AS286" s="55">
        <v>7</v>
      </c>
      <c r="AT286" s="55">
        <v>4</v>
      </c>
      <c r="AU286" s="55">
        <v>0</v>
      </c>
      <c r="AV286" s="55">
        <v>3</v>
      </c>
      <c r="AW286" s="55"/>
      <c r="AX286" s="55"/>
      <c r="AY286" s="56">
        <f t="shared" si="132"/>
        <v>1</v>
      </c>
      <c r="AZ286" s="55"/>
      <c r="BA286" s="56">
        <v>0</v>
      </c>
      <c r="BB286" s="41" t="str">
        <f t="shared" si="125"/>
        <v/>
      </c>
      <c r="BC286" s="13"/>
      <c r="BD286" s="35"/>
      <c r="BE286" s="13"/>
      <c r="BF286" s="16">
        <f>SUM(BC286:BE286)</f>
        <v>0</v>
      </c>
      <c r="BG286" s="17">
        <f t="shared" ref="BG286:BG309" si="133">IFERROR(BC286/AY286,"0")</f>
        <v>0</v>
      </c>
      <c r="BH286" s="16">
        <f>IFERROR(IF(F286=1,IF(BC286&lt;AY286*3,AY286*3-BC286,0),IF(BC286&lt;AY286,AY286-BC286,0)),"")</f>
        <v>1</v>
      </c>
    </row>
    <row r="287" spans="1:60" s="21" customFormat="1" ht="12.75" customHeight="1" x14ac:dyDescent="0.2">
      <c r="A287" s="51">
        <v>550111</v>
      </c>
      <c r="B287" s="51" t="s">
        <v>1077</v>
      </c>
      <c r="C287" s="66" t="s">
        <v>1803</v>
      </c>
      <c r="D287" s="65" t="s">
        <v>726</v>
      </c>
      <c r="E287" s="52" t="s">
        <v>732</v>
      </c>
      <c r="F287" s="53">
        <f>IFERROR(VLOOKUP(E287,Fornecedores!$A$2:$B$2700,2,FALSE),"")</f>
        <v>6</v>
      </c>
      <c r="G287" s="52" t="s">
        <v>591</v>
      </c>
      <c r="H287" s="54"/>
      <c r="I287" s="55">
        <f t="shared" si="126"/>
        <v>0</v>
      </c>
      <c r="J287" s="55">
        <v>0</v>
      </c>
      <c r="K287" s="55">
        <v>0</v>
      </c>
      <c r="L287" s="55">
        <v>0</v>
      </c>
      <c r="M287" s="55">
        <v>0</v>
      </c>
      <c r="N287" s="55">
        <f t="shared" si="127"/>
        <v>0</v>
      </c>
      <c r="O287" s="55">
        <v>0</v>
      </c>
      <c r="P287" s="55">
        <v>0</v>
      </c>
      <c r="Q287" s="55">
        <v>0</v>
      </c>
      <c r="R287" s="55">
        <f t="shared" si="128"/>
        <v>2</v>
      </c>
      <c r="S287" s="55">
        <v>2</v>
      </c>
      <c r="T287" s="55">
        <v>0</v>
      </c>
      <c r="U287" s="55">
        <v>0</v>
      </c>
      <c r="V287" s="55">
        <v>3</v>
      </c>
      <c r="W287" s="53">
        <v>3</v>
      </c>
      <c r="X287" s="53">
        <v>0</v>
      </c>
      <c r="Y287" s="55">
        <v>0</v>
      </c>
      <c r="Z287" s="55">
        <v>0</v>
      </c>
      <c r="AA287" s="53">
        <v>0</v>
      </c>
      <c r="AB287" s="53">
        <v>0</v>
      </c>
      <c r="AC287" s="55">
        <v>0</v>
      </c>
      <c r="AD287" s="55">
        <f t="shared" si="129"/>
        <v>1</v>
      </c>
      <c r="AE287" s="53">
        <v>1</v>
      </c>
      <c r="AF287" s="55">
        <v>0</v>
      </c>
      <c r="AG287" s="55">
        <v>0</v>
      </c>
      <c r="AH287" s="55">
        <f t="shared" si="130"/>
        <v>1</v>
      </c>
      <c r="AI287" s="55">
        <v>1</v>
      </c>
      <c r="AJ287" s="55">
        <v>0</v>
      </c>
      <c r="AK287" s="55">
        <v>0</v>
      </c>
      <c r="AL287" s="55">
        <f t="shared" si="131"/>
        <v>2</v>
      </c>
      <c r="AM287" s="55">
        <v>2</v>
      </c>
      <c r="AN287" s="55">
        <v>0</v>
      </c>
      <c r="AO287" s="55">
        <v>0</v>
      </c>
      <c r="AP287" s="55">
        <f t="shared" si="121"/>
        <v>3</v>
      </c>
      <c r="AQ287" s="55">
        <f>IFERROR(VLOOKUP(A287,[1]SIIMPLES!$A$2:$F$418,6,FALSE),0)</f>
        <v>3</v>
      </c>
      <c r="AR287" s="55">
        <v>0</v>
      </c>
      <c r="AS287" s="55">
        <v>0</v>
      </c>
      <c r="AT287" s="55">
        <v>0</v>
      </c>
      <c r="AU287" s="55">
        <v>0</v>
      </c>
      <c r="AV287" s="55">
        <v>0</v>
      </c>
      <c r="AW287" s="55"/>
      <c r="AX287" s="55"/>
      <c r="AY287" s="56">
        <f t="shared" si="132"/>
        <v>1.2</v>
      </c>
      <c r="AZ287" s="55"/>
      <c r="BA287" s="56">
        <v>2.8333333333333335</v>
      </c>
      <c r="BB287" s="41">
        <f t="shared" si="125"/>
        <v>-0.57647058823529418</v>
      </c>
      <c r="BC287" s="13"/>
      <c r="BD287" s="35"/>
      <c r="BE287" s="13"/>
      <c r="BF287" s="16">
        <f>SUM(BC287:BE287)</f>
        <v>0</v>
      </c>
      <c r="BG287" s="17">
        <f t="shared" si="133"/>
        <v>0</v>
      </c>
      <c r="BH287" s="16">
        <f>IFERROR(IF(F287=1,IF(BC287&lt;AY287*3,AY287*3-BC287,0),IF(BC287&lt;AY287,AY287-BC287,0)),"")</f>
        <v>1.2</v>
      </c>
    </row>
    <row r="288" spans="1:60" s="21" customFormat="1" ht="12.75" customHeight="1" x14ac:dyDescent="0.2">
      <c r="A288" s="51">
        <v>332010</v>
      </c>
      <c r="B288" s="51" t="s">
        <v>1077</v>
      </c>
      <c r="C288" s="66" t="s">
        <v>1803</v>
      </c>
      <c r="D288" s="52" t="s">
        <v>728</v>
      </c>
      <c r="E288" s="65" t="s">
        <v>780</v>
      </c>
      <c r="F288" s="53">
        <f>IFERROR(VLOOKUP(E288,Fornecedores!$A$2:$B$2700,2,FALSE),"")</f>
        <v>2</v>
      </c>
      <c r="G288" s="52" t="s">
        <v>370</v>
      </c>
      <c r="H288" s="57"/>
      <c r="I288" s="55">
        <f t="shared" si="126"/>
        <v>0</v>
      </c>
      <c r="J288" s="55">
        <v>0</v>
      </c>
      <c r="K288" s="55">
        <v>0</v>
      </c>
      <c r="L288" s="55">
        <v>0</v>
      </c>
      <c r="M288" s="55">
        <v>0</v>
      </c>
      <c r="N288" s="55">
        <f t="shared" si="127"/>
        <v>0</v>
      </c>
      <c r="O288" s="55">
        <v>0</v>
      </c>
      <c r="P288" s="55">
        <v>0</v>
      </c>
      <c r="Q288" s="55">
        <v>0</v>
      </c>
      <c r="R288" s="55">
        <f t="shared" si="128"/>
        <v>0</v>
      </c>
      <c r="S288" s="55">
        <v>0</v>
      </c>
      <c r="T288" s="55">
        <v>0</v>
      </c>
      <c r="U288" s="55">
        <v>0</v>
      </c>
      <c r="V288" s="55">
        <v>0</v>
      </c>
      <c r="W288" s="53">
        <v>0</v>
      </c>
      <c r="X288" s="53">
        <v>0</v>
      </c>
      <c r="Y288" s="55">
        <v>0</v>
      </c>
      <c r="Z288" s="55">
        <v>0</v>
      </c>
      <c r="AA288" s="53">
        <v>0</v>
      </c>
      <c r="AB288" s="53">
        <v>0</v>
      </c>
      <c r="AC288" s="55">
        <v>0</v>
      </c>
      <c r="AD288" s="55">
        <f t="shared" si="129"/>
        <v>0</v>
      </c>
      <c r="AE288" s="53">
        <v>0</v>
      </c>
      <c r="AF288" s="55">
        <v>0</v>
      </c>
      <c r="AG288" s="55">
        <v>0</v>
      </c>
      <c r="AH288" s="55">
        <f t="shared" si="130"/>
        <v>0</v>
      </c>
      <c r="AI288" s="55">
        <v>0</v>
      </c>
      <c r="AJ288" s="55">
        <v>0</v>
      </c>
      <c r="AK288" s="55">
        <v>0</v>
      </c>
      <c r="AL288" s="55">
        <f t="shared" si="131"/>
        <v>11</v>
      </c>
      <c r="AM288" s="55" t="s">
        <v>1912</v>
      </c>
      <c r="AN288" s="55">
        <v>0</v>
      </c>
      <c r="AO288" s="55">
        <v>11</v>
      </c>
      <c r="AP288" s="55">
        <f t="shared" si="121"/>
        <v>3</v>
      </c>
      <c r="AQ288" s="55">
        <f>IFERROR(VLOOKUP(A288,[1]SIIMPLES!$A$2:$F$418,6,FALSE),0)</f>
        <v>3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/>
      <c r="AX288" s="55"/>
      <c r="AY288" s="56">
        <f t="shared" si="132"/>
        <v>1.4</v>
      </c>
      <c r="AZ288" s="55"/>
      <c r="BA288" s="56">
        <v>0.5</v>
      </c>
      <c r="BB288" s="41">
        <f t="shared" si="125"/>
        <v>1.7999999999999998</v>
      </c>
      <c r="BC288" s="13"/>
      <c r="BD288" s="35"/>
      <c r="BE288" s="13"/>
      <c r="BF288" s="16"/>
      <c r="BG288" s="17">
        <f t="shared" si="133"/>
        <v>0</v>
      </c>
      <c r="BH288" s="16">
        <f>ROUND(IFERROR(IF(F288=1,IF(BC288&lt;AY288*3,AY288*3-BC288,0),IF(BC288&lt;AY288,AY288*0.6-BC288,0)),""),0)</f>
        <v>1</v>
      </c>
    </row>
    <row r="289" spans="1:60" s="21" customFormat="1" ht="12.75" customHeight="1" x14ac:dyDescent="0.2">
      <c r="A289" s="51">
        <v>332011</v>
      </c>
      <c r="B289" s="51" t="s">
        <v>1077</v>
      </c>
      <c r="C289" s="66" t="s">
        <v>1803</v>
      </c>
      <c r="D289" s="52" t="s">
        <v>728</v>
      </c>
      <c r="E289" s="65" t="s">
        <v>780</v>
      </c>
      <c r="F289" s="53">
        <f>IFERROR(VLOOKUP(E289,Fornecedores!$A$2:$B$2700,2,FALSE),"")</f>
        <v>2</v>
      </c>
      <c r="G289" s="52" t="s">
        <v>356</v>
      </c>
      <c r="H289" s="57"/>
      <c r="I289" s="55">
        <f t="shared" si="126"/>
        <v>0</v>
      </c>
      <c r="J289" s="55">
        <v>0</v>
      </c>
      <c r="K289" s="55">
        <v>0</v>
      </c>
      <c r="L289" s="55">
        <v>0</v>
      </c>
      <c r="M289" s="55">
        <v>0</v>
      </c>
      <c r="N289" s="55">
        <f t="shared" si="127"/>
        <v>0</v>
      </c>
      <c r="O289" s="55">
        <v>0</v>
      </c>
      <c r="P289" s="55">
        <v>0</v>
      </c>
      <c r="Q289" s="55">
        <v>0</v>
      </c>
      <c r="R289" s="55">
        <f t="shared" si="128"/>
        <v>0</v>
      </c>
      <c r="S289" s="55">
        <v>0</v>
      </c>
      <c r="T289" s="55">
        <v>0</v>
      </c>
      <c r="U289" s="55">
        <v>0</v>
      </c>
      <c r="V289" s="55">
        <v>0</v>
      </c>
      <c r="W289" s="53">
        <v>0</v>
      </c>
      <c r="X289" s="53">
        <v>0</v>
      </c>
      <c r="Y289" s="55">
        <v>0</v>
      </c>
      <c r="Z289" s="55">
        <v>0</v>
      </c>
      <c r="AA289" s="53">
        <v>0</v>
      </c>
      <c r="AB289" s="53">
        <v>0</v>
      </c>
      <c r="AC289" s="55">
        <v>0</v>
      </c>
      <c r="AD289" s="55">
        <f t="shared" si="129"/>
        <v>0</v>
      </c>
      <c r="AE289" s="53">
        <v>0</v>
      </c>
      <c r="AF289" s="55">
        <v>0</v>
      </c>
      <c r="AG289" s="55">
        <v>0</v>
      </c>
      <c r="AH289" s="55">
        <f t="shared" si="130"/>
        <v>0</v>
      </c>
      <c r="AI289" s="55">
        <v>0</v>
      </c>
      <c r="AJ289" s="55">
        <v>0</v>
      </c>
      <c r="AK289" s="55">
        <v>0</v>
      </c>
      <c r="AL289" s="55">
        <f t="shared" si="131"/>
        <v>13</v>
      </c>
      <c r="AM289" s="55" t="s">
        <v>1912</v>
      </c>
      <c r="AN289" s="55">
        <v>0</v>
      </c>
      <c r="AO289" s="55">
        <v>13</v>
      </c>
      <c r="AP289" s="55">
        <f t="shared" si="121"/>
        <v>3</v>
      </c>
      <c r="AQ289" s="55">
        <f>IFERROR(VLOOKUP(A289,[1]SIIMPLES!$A$2:$F$418,6,FALSE),0)</f>
        <v>3</v>
      </c>
      <c r="AR289" s="55">
        <v>0</v>
      </c>
      <c r="AS289" s="55">
        <v>1</v>
      </c>
      <c r="AT289" s="55">
        <v>1</v>
      </c>
      <c r="AU289" s="55">
        <v>0</v>
      </c>
      <c r="AV289" s="55">
        <v>0</v>
      </c>
      <c r="AW289" s="55"/>
      <c r="AX289" s="55"/>
      <c r="AY289" s="56">
        <f t="shared" si="132"/>
        <v>1.7</v>
      </c>
      <c r="AZ289" s="55"/>
      <c r="BA289" s="56">
        <v>0.5</v>
      </c>
      <c r="BB289" s="41">
        <f t="shared" si="125"/>
        <v>2.4</v>
      </c>
      <c r="BC289" s="7"/>
      <c r="BD289" s="35"/>
      <c r="BE289" s="13"/>
      <c r="BF289" s="16">
        <f>SUM(BC289:BE289)</f>
        <v>0</v>
      </c>
      <c r="BG289" s="17">
        <f t="shared" si="133"/>
        <v>0</v>
      </c>
      <c r="BH289" s="16">
        <f>ROUND(IFERROR(IF(F289=1,IF(BC289&lt;AY289*3,AY289*3-BC289,0),IF(BC289&lt;AY289,AY289*0.6-BC289,0)),""),0)</f>
        <v>1</v>
      </c>
    </row>
    <row r="290" spans="1:60" s="21" customFormat="1" ht="12.75" customHeight="1" x14ac:dyDescent="0.2">
      <c r="A290" s="68">
        <v>332093</v>
      </c>
      <c r="B290" s="51"/>
      <c r="C290" s="66" t="s">
        <v>1803</v>
      </c>
      <c r="D290" s="52" t="s">
        <v>728</v>
      </c>
      <c r="E290" s="65" t="s">
        <v>780</v>
      </c>
      <c r="F290" s="53">
        <f>IFERROR(VLOOKUP(E290,Fornecedores!$A$2:$B$2700,2,FALSE),"")</f>
        <v>2</v>
      </c>
      <c r="G290" s="52" t="s">
        <v>1432</v>
      </c>
      <c r="H290" s="57"/>
      <c r="I290" s="55">
        <f t="shared" si="126"/>
        <v>1</v>
      </c>
      <c r="J290" s="55">
        <v>0</v>
      </c>
      <c r="K290" s="55">
        <v>0</v>
      </c>
      <c r="L290" s="55">
        <v>0</v>
      </c>
      <c r="M290" s="55">
        <v>1</v>
      </c>
      <c r="N290" s="55">
        <f t="shared" si="127"/>
        <v>0</v>
      </c>
      <c r="O290" s="55">
        <v>0</v>
      </c>
      <c r="P290" s="55">
        <v>0</v>
      </c>
      <c r="Q290" s="55">
        <v>0</v>
      </c>
      <c r="R290" s="55">
        <f t="shared" si="128"/>
        <v>0</v>
      </c>
      <c r="S290" s="55">
        <v>0</v>
      </c>
      <c r="T290" s="55">
        <v>0</v>
      </c>
      <c r="U290" s="55">
        <v>0</v>
      </c>
      <c r="V290" s="55">
        <v>0</v>
      </c>
      <c r="W290" s="53">
        <v>0</v>
      </c>
      <c r="X290" s="53">
        <v>0</v>
      </c>
      <c r="Y290" s="55">
        <v>0</v>
      </c>
      <c r="Z290" s="55">
        <v>0</v>
      </c>
      <c r="AA290" s="53">
        <v>0</v>
      </c>
      <c r="AB290" s="53">
        <v>0</v>
      </c>
      <c r="AC290" s="55">
        <v>0</v>
      </c>
      <c r="AD290" s="55">
        <f t="shared" si="129"/>
        <v>0</v>
      </c>
      <c r="AE290" s="53">
        <v>0</v>
      </c>
      <c r="AF290" s="55">
        <v>0</v>
      </c>
      <c r="AG290" s="55">
        <v>0</v>
      </c>
      <c r="AH290" s="55">
        <f t="shared" si="130"/>
        <v>0</v>
      </c>
      <c r="AI290" s="55">
        <v>0</v>
      </c>
      <c r="AJ290" s="55">
        <v>0</v>
      </c>
      <c r="AK290" s="55">
        <v>0</v>
      </c>
      <c r="AL290" s="55">
        <f t="shared" si="131"/>
        <v>0</v>
      </c>
      <c r="AM290" s="55" t="s">
        <v>1912</v>
      </c>
      <c r="AN290" s="55">
        <v>0</v>
      </c>
      <c r="AO290" s="55">
        <v>0</v>
      </c>
      <c r="AP290" s="55">
        <f t="shared" si="121"/>
        <v>3</v>
      </c>
      <c r="AQ290" s="55">
        <f>IFERROR(VLOOKUP(A290,[1]SIIMPLES!$A$2:$F$418,6,FALSE),0)</f>
        <v>3</v>
      </c>
      <c r="AR290" s="55">
        <v>0</v>
      </c>
      <c r="AS290" s="55">
        <v>1</v>
      </c>
      <c r="AT290" s="55">
        <v>1</v>
      </c>
      <c r="AU290" s="55">
        <v>0</v>
      </c>
      <c r="AV290" s="55">
        <v>0</v>
      </c>
      <c r="AW290" s="57"/>
      <c r="AX290" s="55"/>
      <c r="AY290" s="56">
        <f t="shared" si="132"/>
        <v>0.5</v>
      </c>
      <c r="AZ290" s="55"/>
      <c r="BA290" s="56">
        <v>1</v>
      </c>
      <c r="BB290" s="41">
        <f t="shared" si="125"/>
        <v>-0.5</v>
      </c>
      <c r="BC290" s="13"/>
      <c r="BD290" s="35"/>
      <c r="BE290" s="13"/>
      <c r="BF290" s="16"/>
      <c r="BG290" s="17">
        <f t="shared" si="133"/>
        <v>0</v>
      </c>
      <c r="BH290" s="16">
        <f t="shared" ref="BH290:BH301" si="134">IFERROR(IF(F290=1,IF(BC290&lt;AY290*3,AY290*3-BC290,0),IF(BC290&lt;AY290,AY290-BC290,0)),"")</f>
        <v>0.5</v>
      </c>
    </row>
    <row r="291" spans="1:60" s="21" customFormat="1" ht="12.75" customHeight="1" x14ac:dyDescent="0.2">
      <c r="A291" s="51">
        <v>332137</v>
      </c>
      <c r="B291" s="51" t="s">
        <v>1077</v>
      </c>
      <c r="C291" s="66" t="s">
        <v>1803</v>
      </c>
      <c r="D291" s="52" t="s">
        <v>728</v>
      </c>
      <c r="E291" s="65" t="s">
        <v>780</v>
      </c>
      <c r="F291" s="53">
        <f>IFERROR(VLOOKUP(E291,Fornecedores!$A$2:$B$2700,2,FALSE),"")</f>
        <v>2</v>
      </c>
      <c r="G291" s="52" t="s">
        <v>858</v>
      </c>
      <c r="H291" s="57"/>
      <c r="I291" s="55">
        <f t="shared" si="126"/>
        <v>0</v>
      </c>
      <c r="J291" s="55">
        <v>0</v>
      </c>
      <c r="K291" s="55">
        <v>0</v>
      </c>
      <c r="L291" s="55">
        <v>0</v>
      </c>
      <c r="M291" s="55">
        <v>0</v>
      </c>
      <c r="N291" s="55">
        <f t="shared" si="127"/>
        <v>0</v>
      </c>
      <c r="O291" s="55">
        <v>0</v>
      </c>
      <c r="P291" s="55">
        <v>0</v>
      </c>
      <c r="Q291" s="55">
        <v>0</v>
      </c>
      <c r="R291" s="55">
        <f t="shared" si="128"/>
        <v>0</v>
      </c>
      <c r="S291" s="55">
        <v>0</v>
      </c>
      <c r="T291" s="55">
        <v>0</v>
      </c>
      <c r="U291" s="55">
        <v>0</v>
      </c>
      <c r="V291" s="55">
        <v>0</v>
      </c>
      <c r="W291" s="53">
        <v>0</v>
      </c>
      <c r="X291" s="53">
        <v>0</v>
      </c>
      <c r="Y291" s="55">
        <v>0</v>
      </c>
      <c r="Z291" s="55">
        <v>0</v>
      </c>
      <c r="AA291" s="53">
        <v>0</v>
      </c>
      <c r="AB291" s="53">
        <v>0</v>
      </c>
      <c r="AC291" s="55">
        <v>0</v>
      </c>
      <c r="AD291" s="55">
        <f t="shared" si="129"/>
        <v>0</v>
      </c>
      <c r="AE291" s="53">
        <v>0</v>
      </c>
      <c r="AF291" s="55">
        <v>0</v>
      </c>
      <c r="AG291" s="55">
        <v>0</v>
      </c>
      <c r="AH291" s="55">
        <f t="shared" si="130"/>
        <v>0</v>
      </c>
      <c r="AI291" s="55">
        <v>0</v>
      </c>
      <c r="AJ291" s="55">
        <v>0</v>
      </c>
      <c r="AK291" s="55">
        <v>0</v>
      </c>
      <c r="AL291" s="55">
        <f t="shared" si="131"/>
        <v>0</v>
      </c>
      <c r="AM291" s="55" t="s">
        <v>1912</v>
      </c>
      <c r="AN291" s="55">
        <v>0</v>
      </c>
      <c r="AO291" s="55">
        <v>0</v>
      </c>
      <c r="AP291" s="55">
        <f t="shared" si="121"/>
        <v>3</v>
      </c>
      <c r="AQ291" s="55">
        <f>IFERROR(VLOOKUP(A291,[1]SIIMPLES!$A$2:$F$418,6,FALSE),0)</f>
        <v>3</v>
      </c>
      <c r="AR291" s="55">
        <v>0</v>
      </c>
      <c r="AS291" s="55">
        <v>8</v>
      </c>
      <c r="AT291" s="55">
        <v>7</v>
      </c>
      <c r="AU291" s="55">
        <v>1</v>
      </c>
      <c r="AV291" s="55">
        <v>0</v>
      </c>
      <c r="AW291" s="55"/>
      <c r="AX291" s="55"/>
      <c r="AY291" s="56">
        <f t="shared" si="132"/>
        <v>1.1000000000000001</v>
      </c>
      <c r="AZ291" s="55"/>
      <c r="BA291" s="56">
        <v>0.66666666666666663</v>
      </c>
      <c r="BB291" s="41">
        <f t="shared" si="125"/>
        <v>0.65000000000000013</v>
      </c>
      <c r="BC291" s="13"/>
      <c r="BD291" s="35"/>
      <c r="BE291" s="13"/>
      <c r="BF291" s="16"/>
      <c r="BG291" s="17">
        <f t="shared" si="133"/>
        <v>0</v>
      </c>
      <c r="BH291" s="16">
        <f t="shared" si="134"/>
        <v>1.1000000000000001</v>
      </c>
    </row>
    <row r="292" spans="1:60" s="21" customFormat="1" ht="12.75" customHeight="1" x14ac:dyDescent="0.2">
      <c r="A292" s="51">
        <v>442096</v>
      </c>
      <c r="B292" s="51" t="s">
        <v>1077</v>
      </c>
      <c r="C292" s="66" t="s">
        <v>1803</v>
      </c>
      <c r="D292" s="52" t="s">
        <v>728</v>
      </c>
      <c r="E292" s="65" t="s">
        <v>780</v>
      </c>
      <c r="F292" s="53">
        <f>IFERROR(VLOOKUP(E292,Fornecedores!$A$2:$B$2700,2,FALSE),"")</f>
        <v>2</v>
      </c>
      <c r="G292" s="52" t="s">
        <v>311</v>
      </c>
      <c r="H292" s="57"/>
      <c r="I292" s="55">
        <f t="shared" si="126"/>
        <v>2</v>
      </c>
      <c r="J292" s="55">
        <v>2</v>
      </c>
      <c r="K292" s="55">
        <v>0</v>
      </c>
      <c r="L292" s="55">
        <v>0</v>
      </c>
      <c r="M292" s="55">
        <v>0</v>
      </c>
      <c r="N292" s="55">
        <f t="shared" si="127"/>
        <v>0</v>
      </c>
      <c r="O292" s="55">
        <v>0</v>
      </c>
      <c r="P292" s="55">
        <v>0</v>
      </c>
      <c r="Q292" s="55">
        <v>0</v>
      </c>
      <c r="R292" s="55">
        <f t="shared" si="128"/>
        <v>1</v>
      </c>
      <c r="S292" s="55">
        <v>1</v>
      </c>
      <c r="T292" s="55">
        <v>0</v>
      </c>
      <c r="U292" s="55">
        <v>0</v>
      </c>
      <c r="V292" s="55">
        <v>2</v>
      </c>
      <c r="W292" s="53">
        <v>1</v>
      </c>
      <c r="X292" s="53">
        <v>0</v>
      </c>
      <c r="Y292" s="55">
        <v>1</v>
      </c>
      <c r="Z292" s="55">
        <v>2</v>
      </c>
      <c r="AA292" s="53">
        <v>2</v>
      </c>
      <c r="AB292" s="53">
        <v>0</v>
      </c>
      <c r="AC292" s="55">
        <v>0</v>
      </c>
      <c r="AD292" s="55">
        <f t="shared" si="129"/>
        <v>5</v>
      </c>
      <c r="AE292" s="53">
        <v>5</v>
      </c>
      <c r="AF292" s="55">
        <v>0</v>
      </c>
      <c r="AG292" s="55">
        <v>0</v>
      </c>
      <c r="AH292" s="55">
        <f t="shared" si="130"/>
        <v>0</v>
      </c>
      <c r="AI292" s="55">
        <v>0</v>
      </c>
      <c r="AJ292" s="55">
        <v>0</v>
      </c>
      <c r="AK292" s="55">
        <v>0</v>
      </c>
      <c r="AL292" s="55">
        <f t="shared" si="131"/>
        <v>1</v>
      </c>
      <c r="AM292" s="55">
        <v>1</v>
      </c>
      <c r="AN292" s="55">
        <v>0</v>
      </c>
      <c r="AO292" s="55">
        <v>0</v>
      </c>
      <c r="AP292" s="55">
        <f t="shared" si="121"/>
        <v>3</v>
      </c>
      <c r="AQ292" s="55">
        <f>IFERROR(VLOOKUP(A292,[1]SIIMPLES!$A$2:$F$418,6,FALSE),0)</f>
        <v>3</v>
      </c>
      <c r="AR292" s="55">
        <v>0</v>
      </c>
      <c r="AS292" s="55">
        <v>1</v>
      </c>
      <c r="AT292" s="55">
        <v>0</v>
      </c>
      <c r="AU292" s="55">
        <v>0</v>
      </c>
      <c r="AV292" s="55">
        <v>1</v>
      </c>
      <c r="AW292" s="55"/>
      <c r="AX292" s="55"/>
      <c r="AY292" s="56">
        <f t="shared" si="132"/>
        <v>1.7</v>
      </c>
      <c r="AZ292" s="55"/>
      <c r="BA292" s="56">
        <v>1.3333333333333333</v>
      </c>
      <c r="BB292" s="41">
        <f t="shared" si="125"/>
        <v>0.27500000000000013</v>
      </c>
      <c r="BC292" s="13"/>
      <c r="BD292" s="35"/>
      <c r="BE292" s="13"/>
      <c r="BF292" s="16">
        <f>SUM(BC292:BE292)</f>
        <v>0</v>
      </c>
      <c r="BG292" s="17">
        <f t="shared" si="133"/>
        <v>0</v>
      </c>
      <c r="BH292" s="16">
        <f t="shared" si="134"/>
        <v>1.7</v>
      </c>
    </row>
    <row r="293" spans="1:60" s="21" customFormat="1" ht="12.75" customHeight="1" x14ac:dyDescent="0.2">
      <c r="A293" s="51" t="s">
        <v>815</v>
      </c>
      <c r="B293" s="51" t="s">
        <v>1077</v>
      </c>
      <c r="C293" s="66" t="s">
        <v>1803</v>
      </c>
      <c r="D293" s="52" t="s">
        <v>745</v>
      </c>
      <c r="E293" s="52" t="s">
        <v>780</v>
      </c>
      <c r="F293" s="53">
        <f>IFERROR(VLOOKUP(E293,Fornecedores!$A$2:$B$2700,2,FALSE),"")</f>
        <v>2</v>
      </c>
      <c r="G293" s="52" t="s">
        <v>1007</v>
      </c>
      <c r="H293" s="54"/>
      <c r="I293" s="55">
        <f t="shared" si="126"/>
        <v>1</v>
      </c>
      <c r="J293" s="55">
        <v>0</v>
      </c>
      <c r="K293" s="55">
        <v>1</v>
      </c>
      <c r="L293" s="55">
        <v>0</v>
      </c>
      <c r="M293" s="55">
        <v>0</v>
      </c>
      <c r="N293" s="55">
        <f t="shared" si="127"/>
        <v>0</v>
      </c>
      <c r="O293" s="55">
        <v>0</v>
      </c>
      <c r="P293" s="55">
        <v>0</v>
      </c>
      <c r="Q293" s="55">
        <v>0</v>
      </c>
      <c r="R293" s="55">
        <f t="shared" si="128"/>
        <v>1</v>
      </c>
      <c r="S293" s="55">
        <v>0</v>
      </c>
      <c r="T293" s="55">
        <v>1</v>
      </c>
      <c r="U293" s="55">
        <v>0</v>
      </c>
      <c r="V293" s="55">
        <v>3</v>
      </c>
      <c r="W293" s="53">
        <v>0</v>
      </c>
      <c r="X293" s="53">
        <v>3</v>
      </c>
      <c r="Y293" s="55">
        <v>0</v>
      </c>
      <c r="Z293" s="55">
        <v>4</v>
      </c>
      <c r="AA293" s="53">
        <v>0</v>
      </c>
      <c r="AB293" s="53">
        <v>4</v>
      </c>
      <c r="AC293" s="55">
        <v>0</v>
      </c>
      <c r="AD293" s="55">
        <f t="shared" si="129"/>
        <v>1</v>
      </c>
      <c r="AE293" s="53">
        <v>0</v>
      </c>
      <c r="AF293" s="55">
        <v>1</v>
      </c>
      <c r="AG293" s="55">
        <v>0</v>
      </c>
      <c r="AH293" s="55">
        <f t="shared" si="130"/>
        <v>1</v>
      </c>
      <c r="AI293" s="55">
        <v>0</v>
      </c>
      <c r="AJ293" s="55">
        <v>1</v>
      </c>
      <c r="AK293" s="55">
        <v>0</v>
      </c>
      <c r="AL293" s="55">
        <f t="shared" si="131"/>
        <v>3</v>
      </c>
      <c r="AM293" s="55" t="s">
        <v>1912</v>
      </c>
      <c r="AN293" s="55">
        <v>3</v>
      </c>
      <c r="AO293" s="55">
        <v>0</v>
      </c>
      <c r="AP293" s="55">
        <f t="shared" si="121"/>
        <v>3</v>
      </c>
      <c r="AQ293" s="55">
        <f>IFERROR(VLOOKUP(A293,[1]SIIMPLES!$A$2:$F$418,6,FALSE),0)</f>
        <v>0</v>
      </c>
      <c r="AR293" s="55">
        <v>3</v>
      </c>
      <c r="AS293" s="55">
        <v>10</v>
      </c>
      <c r="AT293" s="55">
        <v>0</v>
      </c>
      <c r="AU293" s="55">
        <v>10</v>
      </c>
      <c r="AV293" s="55">
        <v>0</v>
      </c>
      <c r="AW293" s="55"/>
      <c r="AX293" s="55"/>
      <c r="AY293" s="56">
        <f t="shared" si="132"/>
        <v>2.7</v>
      </c>
      <c r="AZ293" s="55"/>
      <c r="BA293" s="56">
        <v>0.16666666666666666</v>
      </c>
      <c r="BB293" s="41">
        <f t="shared" si="125"/>
        <v>15.200000000000003</v>
      </c>
      <c r="BC293" s="7"/>
      <c r="BD293" s="35"/>
      <c r="BE293" s="13"/>
      <c r="BF293" s="16"/>
      <c r="BG293" s="17">
        <f t="shared" si="133"/>
        <v>0</v>
      </c>
      <c r="BH293" s="16">
        <f t="shared" si="134"/>
        <v>2.7</v>
      </c>
    </row>
    <row r="294" spans="1:60" s="21" customFormat="1" ht="12.75" customHeight="1" x14ac:dyDescent="0.2">
      <c r="A294" s="51" t="s">
        <v>816</v>
      </c>
      <c r="B294" s="51" t="s">
        <v>1077</v>
      </c>
      <c r="C294" s="66" t="s">
        <v>1803</v>
      </c>
      <c r="D294" s="52" t="s">
        <v>745</v>
      </c>
      <c r="E294" s="52" t="s">
        <v>780</v>
      </c>
      <c r="F294" s="53">
        <f>IFERROR(VLOOKUP(E294,Fornecedores!$A$2:$B$2700,2,FALSE),"")</f>
        <v>2</v>
      </c>
      <c r="G294" s="52" t="s">
        <v>1008</v>
      </c>
      <c r="H294" s="54"/>
      <c r="I294" s="55">
        <f t="shared" si="126"/>
        <v>1</v>
      </c>
      <c r="J294" s="55">
        <v>0</v>
      </c>
      <c r="K294" s="55">
        <v>1</v>
      </c>
      <c r="L294" s="55">
        <v>0</v>
      </c>
      <c r="M294" s="55">
        <v>0</v>
      </c>
      <c r="N294" s="55">
        <f t="shared" si="127"/>
        <v>1</v>
      </c>
      <c r="O294" s="55">
        <v>1</v>
      </c>
      <c r="P294" s="55">
        <v>0</v>
      </c>
      <c r="Q294" s="55">
        <v>0</v>
      </c>
      <c r="R294" s="55">
        <f t="shared" si="128"/>
        <v>1</v>
      </c>
      <c r="S294" s="55">
        <v>0</v>
      </c>
      <c r="T294" s="55">
        <v>1</v>
      </c>
      <c r="U294" s="55">
        <v>0</v>
      </c>
      <c r="V294" s="55">
        <v>3</v>
      </c>
      <c r="W294" s="53">
        <v>0</v>
      </c>
      <c r="X294" s="53">
        <v>3</v>
      </c>
      <c r="Y294" s="55">
        <v>0</v>
      </c>
      <c r="Z294" s="55">
        <v>4</v>
      </c>
      <c r="AA294" s="53">
        <v>0</v>
      </c>
      <c r="AB294" s="53">
        <v>4</v>
      </c>
      <c r="AC294" s="55">
        <v>0</v>
      </c>
      <c r="AD294" s="55">
        <f t="shared" si="129"/>
        <v>1</v>
      </c>
      <c r="AE294" s="53">
        <v>0</v>
      </c>
      <c r="AF294" s="55">
        <v>1</v>
      </c>
      <c r="AG294" s="55">
        <v>0</v>
      </c>
      <c r="AH294" s="55">
        <f t="shared" si="130"/>
        <v>1</v>
      </c>
      <c r="AI294" s="55">
        <v>0</v>
      </c>
      <c r="AJ294" s="55">
        <v>1</v>
      </c>
      <c r="AK294" s="55">
        <v>0</v>
      </c>
      <c r="AL294" s="55">
        <f t="shared" si="131"/>
        <v>3</v>
      </c>
      <c r="AM294" s="55" t="s">
        <v>1912</v>
      </c>
      <c r="AN294" s="55">
        <v>3</v>
      </c>
      <c r="AO294" s="55">
        <v>0</v>
      </c>
      <c r="AP294" s="55">
        <f t="shared" si="121"/>
        <v>3</v>
      </c>
      <c r="AQ294" s="55">
        <f>IFERROR(VLOOKUP(A294,[1]SIIMPLES!$A$2:$F$418,6,FALSE),0)</f>
        <v>0</v>
      </c>
      <c r="AR294" s="55">
        <v>3</v>
      </c>
      <c r="AS294" s="55">
        <v>10</v>
      </c>
      <c r="AT294" s="55">
        <v>0</v>
      </c>
      <c r="AU294" s="55">
        <v>10</v>
      </c>
      <c r="AV294" s="55">
        <v>0</v>
      </c>
      <c r="AW294" s="55"/>
      <c r="AX294" s="55"/>
      <c r="AY294" s="56">
        <f t="shared" si="132"/>
        <v>2.8</v>
      </c>
      <c r="AZ294" s="55"/>
      <c r="BA294" s="56">
        <v>0.16666666666666666</v>
      </c>
      <c r="BB294" s="41">
        <f t="shared" si="125"/>
        <v>15.8</v>
      </c>
      <c r="BC294" s="13"/>
      <c r="BD294" s="35"/>
      <c r="BE294" s="13"/>
      <c r="BF294" s="16">
        <f>SUM(BC294:BE294)</f>
        <v>0</v>
      </c>
      <c r="BG294" s="17">
        <f t="shared" si="133"/>
        <v>0</v>
      </c>
      <c r="BH294" s="16">
        <f t="shared" si="134"/>
        <v>2.8</v>
      </c>
    </row>
    <row r="295" spans="1:60" s="21" customFormat="1" ht="12.75" customHeight="1" x14ac:dyDescent="0.2">
      <c r="A295" s="51" t="s">
        <v>32</v>
      </c>
      <c r="B295" s="51" t="s">
        <v>1086</v>
      </c>
      <c r="C295" s="66" t="s">
        <v>1803</v>
      </c>
      <c r="D295" s="52" t="s">
        <v>745</v>
      </c>
      <c r="E295" s="52" t="s">
        <v>780</v>
      </c>
      <c r="F295" s="53">
        <f>IFERROR(VLOOKUP(E295,Fornecedores!$A$2:$B$2700,2,FALSE),"")</f>
        <v>2</v>
      </c>
      <c r="G295" s="52" t="s">
        <v>33</v>
      </c>
      <c r="H295" s="54"/>
      <c r="I295" s="55">
        <f t="shared" si="126"/>
        <v>0</v>
      </c>
      <c r="J295" s="55">
        <v>0</v>
      </c>
      <c r="K295" s="55">
        <v>0</v>
      </c>
      <c r="L295" s="55">
        <v>0</v>
      </c>
      <c r="M295" s="55">
        <v>0</v>
      </c>
      <c r="N295" s="55">
        <f t="shared" si="127"/>
        <v>0</v>
      </c>
      <c r="O295" s="55">
        <v>0</v>
      </c>
      <c r="P295" s="55">
        <v>0</v>
      </c>
      <c r="Q295" s="55">
        <v>0</v>
      </c>
      <c r="R295" s="55">
        <f t="shared" si="128"/>
        <v>3</v>
      </c>
      <c r="S295" s="55">
        <v>0</v>
      </c>
      <c r="T295" s="55">
        <v>3</v>
      </c>
      <c r="U295" s="55">
        <v>0</v>
      </c>
      <c r="V295" s="55">
        <v>0</v>
      </c>
      <c r="W295" s="53">
        <v>0</v>
      </c>
      <c r="X295" s="53">
        <v>0</v>
      </c>
      <c r="Y295" s="55">
        <v>0</v>
      </c>
      <c r="Z295" s="55">
        <v>3</v>
      </c>
      <c r="AA295" s="53">
        <v>0</v>
      </c>
      <c r="AB295" s="53">
        <v>3</v>
      </c>
      <c r="AC295" s="55">
        <v>0</v>
      </c>
      <c r="AD295" s="55">
        <f t="shared" si="129"/>
        <v>6</v>
      </c>
      <c r="AE295" s="53">
        <v>0</v>
      </c>
      <c r="AF295" s="55">
        <v>6</v>
      </c>
      <c r="AG295" s="55">
        <v>0</v>
      </c>
      <c r="AH295" s="55">
        <f t="shared" si="130"/>
        <v>4</v>
      </c>
      <c r="AI295" s="55">
        <v>0</v>
      </c>
      <c r="AJ295" s="55">
        <v>4</v>
      </c>
      <c r="AK295" s="55">
        <v>0</v>
      </c>
      <c r="AL295" s="55">
        <f t="shared" si="131"/>
        <v>1</v>
      </c>
      <c r="AM295" s="55" t="s">
        <v>1912</v>
      </c>
      <c r="AN295" s="55">
        <v>1</v>
      </c>
      <c r="AO295" s="55">
        <v>0</v>
      </c>
      <c r="AP295" s="55">
        <f t="shared" si="121"/>
        <v>3</v>
      </c>
      <c r="AQ295" s="55">
        <f>IFERROR(VLOOKUP(A295,[1]SIIMPLES!$A$2:$F$418,6,FALSE),0)</f>
        <v>0</v>
      </c>
      <c r="AR295" s="55">
        <v>3</v>
      </c>
      <c r="AS295" s="55">
        <v>1</v>
      </c>
      <c r="AT295" s="55">
        <v>0</v>
      </c>
      <c r="AU295" s="55">
        <v>1</v>
      </c>
      <c r="AV295" s="55">
        <v>0</v>
      </c>
      <c r="AW295" s="55"/>
      <c r="AX295" s="55"/>
      <c r="AY295" s="56">
        <f t="shared" si="132"/>
        <v>2.1</v>
      </c>
      <c r="AZ295" s="55"/>
      <c r="BA295" s="56">
        <v>0</v>
      </c>
      <c r="BB295" s="41" t="str">
        <f t="shared" si="125"/>
        <v/>
      </c>
      <c r="BC295" s="13"/>
      <c r="BD295" s="35"/>
      <c r="BE295" s="13"/>
      <c r="BF295" s="16">
        <f>SUM(BC295:BE295)</f>
        <v>0</v>
      </c>
      <c r="BG295" s="17">
        <f t="shared" si="133"/>
        <v>0</v>
      </c>
      <c r="BH295" s="16">
        <f t="shared" si="134"/>
        <v>2.1</v>
      </c>
    </row>
    <row r="296" spans="1:60" s="21" customFormat="1" ht="12.75" customHeight="1" x14ac:dyDescent="0.2">
      <c r="A296" s="51" t="s">
        <v>207</v>
      </c>
      <c r="B296" s="51" t="s">
        <v>1086</v>
      </c>
      <c r="C296" s="66" t="s">
        <v>1803</v>
      </c>
      <c r="D296" s="52" t="s">
        <v>745</v>
      </c>
      <c r="E296" s="52" t="s">
        <v>780</v>
      </c>
      <c r="F296" s="53">
        <f>IFERROR(VLOOKUP(E296,Fornecedores!$A$2:$B$2700,2,FALSE),"")</f>
        <v>2</v>
      </c>
      <c r="G296" s="52" t="s">
        <v>208</v>
      </c>
      <c r="H296" s="54"/>
      <c r="I296" s="55">
        <f t="shared" si="126"/>
        <v>0</v>
      </c>
      <c r="J296" s="55">
        <v>0</v>
      </c>
      <c r="K296" s="55">
        <v>0</v>
      </c>
      <c r="L296" s="55">
        <v>0</v>
      </c>
      <c r="M296" s="55">
        <v>0</v>
      </c>
      <c r="N296" s="55">
        <f t="shared" si="127"/>
        <v>0</v>
      </c>
      <c r="O296" s="55">
        <v>0</v>
      </c>
      <c r="P296" s="55">
        <v>0</v>
      </c>
      <c r="Q296" s="55">
        <v>0</v>
      </c>
      <c r="R296" s="55">
        <f t="shared" si="128"/>
        <v>3</v>
      </c>
      <c r="S296" s="55">
        <v>0</v>
      </c>
      <c r="T296" s="55">
        <v>3</v>
      </c>
      <c r="U296" s="55">
        <v>0</v>
      </c>
      <c r="V296" s="55">
        <v>0</v>
      </c>
      <c r="W296" s="53">
        <v>0</v>
      </c>
      <c r="X296" s="53">
        <v>0</v>
      </c>
      <c r="Y296" s="55">
        <v>0</v>
      </c>
      <c r="Z296" s="55">
        <v>3</v>
      </c>
      <c r="AA296" s="53">
        <v>0</v>
      </c>
      <c r="AB296" s="53">
        <v>3</v>
      </c>
      <c r="AC296" s="55">
        <v>0</v>
      </c>
      <c r="AD296" s="55">
        <f t="shared" si="129"/>
        <v>6</v>
      </c>
      <c r="AE296" s="53">
        <v>0</v>
      </c>
      <c r="AF296" s="55">
        <v>6</v>
      </c>
      <c r="AG296" s="55">
        <v>0</v>
      </c>
      <c r="AH296" s="55">
        <f t="shared" si="130"/>
        <v>4</v>
      </c>
      <c r="AI296" s="55">
        <v>0</v>
      </c>
      <c r="AJ296" s="55">
        <v>4</v>
      </c>
      <c r="AK296" s="55">
        <v>0</v>
      </c>
      <c r="AL296" s="55">
        <f t="shared" si="131"/>
        <v>1</v>
      </c>
      <c r="AM296" s="55" t="s">
        <v>1912</v>
      </c>
      <c r="AN296" s="55">
        <v>1</v>
      </c>
      <c r="AO296" s="55">
        <v>0</v>
      </c>
      <c r="AP296" s="55">
        <f t="shared" si="121"/>
        <v>3</v>
      </c>
      <c r="AQ296" s="55">
        <f>IFERROR(VLOOKUP(A296,[1]SIIMPLES!$A$2:$F$418,6,FALSE),0)</f>
        <v>0</v>
      </c>
      <c r="AR296" s="55">
        <v>3</v>
      </c>
      <c r="AS296" s="55">
        <v>1</v>
      </c>
      <c r="AT296" s="55">
        <v>0</v>
      </c>
      <c r="AU296" s="55">
        <v>1</v>
      </c>
      <c r="AV296" s="55">
        <v>0</v>
      </c>
      <c r="AW296" s="55"/>
      <c r="AX296" s="55"/>
      <c r="AY296" s="56">
        <f t="shared" si="132"/>
        <v>2.1</v>
      </c>
      <c r="AZ296" s="55"/>
      <c r="BA296" s="56">
        <v>0</v>
      </c>
      <c r="BB296" s="41" t="str">
        <f t="shared" si="125"/>
        <v/>
      </c>
      <c r="BC296" s="13"/>
      <c r="BD296" s="35"/>
      <c r="BE296" s="13"/>
      <c r="BF296" s="16">
        <f>SUM(BC296:BE296)</f>
        <v>0</v>
      </c>
      <c r="BG296" s="17">
        <f t="shared" si="133"/>
        <v>0</v>
      </c>
      <c r="BH296" s="16">
        <f t="shared" si="134"/>
        <v>2.1</v>
      </c>
    </row>
    <row r="297" spans="1:60" s="21" customFormat="1" ht="12.75" customHeight="1" x14ac:dyDescent="0.2">
      <c r="A297" s="51" t="s">
        <v>833</v>
      </c>
      <c r="B297" s="51" t="s">
        <v>1077</v>
      </c>
      <c r="C297" s="66" t="s">
        <v>1803</v>
      </c>
      <c r="D297" s="52" t="s">
        <v>745</v>
      </c>
      <c r="E297" s="52" t="s">
        <v>780</v>
      </c>
      <c r="F297" s="53">
        <f>IFERROR(VLOOKUP(E297,Fornecedores!$A$2:$B$2700,2,FALSE),"")</f>
        <v>2</v>
      </c>
      <c r="G297" s="52" t="s">
        <v>1056</v>
      </c>
      <c r="H297" s="57"/>
      <c r="I297" s="55">
        <f t="shared" si="126"/>
        <v>0</v>
      </c>
      <c r="J297" s="55">
        <v>0</v>
      </c>
      <c r="K297" s="55">
        <v>0</v>
      </c>
      <c r="L297" s="55">
        <v>0</v>
      </c>
      <c r="M297" s="55">
        <v>0</v>
      </c>
      <c r="N297" s="55">
        <f t="shared" si="127"/>
        <v>1</v>
      </c>
      <c r="O297" s="55">
        <v>1</v>
      </c>
      <c r="P297" s="55">
        <v>0</v>
      </c>
      <c r="Q297" s="55">
        <v>0</v>
      </c>
      <c r="R297" s="55">
        <f t="shared" si="128"/>
        <v>2</v>
      </c>
      <c r="S297" s="55">
        <v>2</v>
      </c>
      <c r="T297" s="55">
        <v>0</v>
      </c>
      <c r="U297" s="55">
        <v>0</v>
      </c>
      <c r="V297" s="55">
        <v>0</v>
      </c>
      <c r="W297" s="53">
        <v>0</v>
      </c>
      <c r="X297" s="53">
        <v>0</v>
      </c>
      <c r="Y297" s="55">
        <v>0</v>
      </c>
      <c r="Z297" s="55">
        <v>4</v>
      </c>
      <c r="AA297" s="53">
        <v>0</v>
      </c>
      <c r="AB297" s="53">
        <v>4</v>
      </c>
      <c r="AC297" s="55">
        <v>0</v>
      </c>
      <c r="AD297" s="55">
        <f t="shared" si="129"/>
        <v>5</v>
      </c>
      <c r="AE297" s="53">
        <v>3</v>
      </c>
      <c r="AF297" s="55">
        <v>2</v>
      </c>
      <c r="AG297" s="55">
        <v>0</v>
      </c>
      <c r="AH297" s="55">
        <f t="shared" si="130"/>
        <v>2</v>
      </c>
      <c r="AI297" s="55">
        <v>2</v>
      </c>
      <c r="AJ297" s="55">
        <v>0</v>
      </c>
      <c r="AK297" s="55">
        <v>0</v>
      </c>
      <c r="AL297" s="55">
        <f t="shared" si="131"/>
        <v>1</v>
      </c>
      <c r="AM297" s="55">
        <v>1</v>
      </c>
      <c r="AN297" s="55">
        <v>0</v>
      </c>
      <c r="AO297" s="55">
        <v>0</v>
      </c>
      <c r="AP297" s="55">
        <f t="shared" si="121"/>
        <v>3</v>
      </c>
      <c r="AQ297" s="55">
        <f>IFERROR(VLOOKUP(A297,[1]SIIMPLES!$A$2:$F$418,6,FALSE),0)</f>
        <v>3</v>
      </c>
      <c r="AR297" s="55">
        <v>0</v>
      </c>
      <c r="AS297" s="55">
        <v>0</v>
      </c>
      <c r="AT297" s="55">
        <v>0</v>
      </c>
      <c r="AU297" s="55">
        <v>0</v>
      </c>
      <c r="AV297" s="55">
        <v>0</v>
      </c>
      <c r="AW297" s="55"/>
      <c r="AX297" s="55"/>
      <c r="AY297" s="56">
        <f t="shared" si="132"/>
        <v>1.8</v>
      </c>
      <c r="AZ297" s="55"/>
      <c r="BA297" s="56">
        <v>0.83333333333333337</v>
      </c>
      <c r="BB297" s="41">
        <f t="shared" si="125"/>
        <v>1.1600000000000001</v>
      </c>
      <c r="BC297" s="13"/>
      <c r="BD297" s="35"/>
      <c r="BE297" s="7"/>
      <c r="BF297" s="16">
        <f>SUM(BC297:BE297)</f>
        <v>0</v>
      </c>
      <c r="BG297" s="17">
        <f t="shared" si="133"/>
        <v>0</v>
      </c>
      <c r="BH297" s="16">
        <f t="shared" si="134"/>
        <v>1.8</v>
      </c>
    </row>
    <row r="298" spans="1:60" s="21" customFormat="1" ht="12.75" customHeight="1" x14ac:dyDescent="0.2">
      <c r="A298" s="51" t="s">
        <v>817</v>
      </c>
      <c r="B298" s="51" t="s">
        <v>1086</v>
      </c>
      <c r="C298" s="66" t="s">
        <v>1803</v>
      </c>
      <c r="D298" s="52" t="s">
        <v>745</v>
      </c>
      <c r="E298" s="52" t="s">
        <v>780</v>
      </c>
      <c r="F298" s="53">
        <f>IFERROR(VLOOKUP(E298,Fornecedores!$A$2:$B$2700,2,FALSE),"")</f>
        <v>2</v>
      </c>
      <c r="G298" s="52" t="s">
        <v>241</v>
      </c>
      <c r="H298" s="54"/>
      <c r="I298" s="55">
        <f t="shared" si="126"/>
        <v>12</v>
      </c>
      <c r="J298" s="55">
        <v>0</v>
      </c>
      <c r="K298" s="55">
        <v>12</v>
      </c>
      <c r="L298" s="55">
        <v>0</v>
      </c>
      <c r="M298" s="55">
        <v>0</v>
      </c>
      <c r="N298" s="55">
        <f t="shared" si="127"/>
        <v>2</v>
      </c>
      <c r="O298" s="55">
        <v>0</v>
      </c>
      <c r="P298" s="55">
        <v>2</v>
      </c>
      <c r="Q298" s="55">
        <v>0</v>
      </c>
      <c r="R298" s="55">
        <f t="shared" si="128"/>
        <v>4</v>
      </c>
      <c r="S298" s="55">
        <v>0</v>
      </c>
      <c r="T298" s="55">
        <v>4</v>
      </c>
      <c r="U298" s="55">
        <v>0</v>
      </c>
      <c r="V298" s="55">
        <v>6</v>
      </c>
      <c r="W298" s="53">
        <v>0</v>
      </c>
      <c r="X298" s="53">
        <v>6</v>
      </c>
      <c r="Y298" s="55">
        <v>0</v>
      </c>
      <c r="Z298" s="55">
        <v>10</v>
      </c>
      <c r="AA298" s="53">
        <v>0</v>
      </c>
      <c r="AB298" s="53">
        <v>10</v>
      </c>
      <c r="AC298" s="55">
        <v>0</v>
      </c>
      <c r="AD298" s="55">
        <f t="shared" si="129"/>
        <v>8</v>
      </c>
      <c r="AE298" s="53">
        <v>0</v>
      </c>
      <c r="AF298" s="55">
        <v>8</v>
      </c>
      <c r="AG298" s="55">
        <v>0</v>
      </c>
      <c r="AH298" s="55">
        <f t="shared" si="130"/>
        <v>10</v>
      </c>
      <c r="AI298" s="55">
        <v>0</v>
      </c>
      <c r="AJ298" s="55">
        <v>10</v>
      </c>
      <c r="AK298" s="55">
        <v>0</v>
      </c>
      <c r="AL298" s="55">
        <f t="shared" si="131"/>
        <v>0</v>
      </c>
      <c r="AM298" s="55" t="s">
        <v>1912</v>
      </c>
      <c r="AN298" s="55">
        <v>0</v>
      </c>
      <c r="AO298" s="55">
        <v>0</v>
      </c>
      <c r="AP298" s="55">
        <f t="shared" si="121"/>
        <v>3</v>
      </c>
      <c r="AQ298" s="55">
        <f>IFERROR(VLOOKUP(A298,[1]SIIMPLES!$A$2:$F$418,6,FALSE),0)</f>
        <v>1</v>
      </c>
      <c r="AR298" s="55">
        <v>2</v>
      </c>
      <c r="AS298" s="55">
        <v>4</v>
      </c>
      <c r="AT298" s="55">
        <v>0</v>
      </c>
      <c r="AU298" s="55">
        <v>4</v>
      </c>
      <c r="AV298" s="55">
        <v>0</v>
      </c>
      <c r="AW298" s="55"/>
      <c r="AX298" s="55"/>
      <c r="AY298" s="56">
        <f t="shared" si="132"/>
        <v>5.9</v>
      </c>
      <c r="AZ298" s="55"/>
      <c r="BA298" s="56">
        <v>11.5</v>
      </c>
      <c r="BB298" s="41">
        <f t="shared" si="125"/>
        <v>-0.4869565217391304</v>
      </c>
      <c r="BC298" s="7"/>
      <c r="BD298" s="37"/>
      <c r="BE298" s="13"/>
      <c r="BF298" s="16">
        <f>SUM(BC298:BE298)</f>
        <v>0</v>
      </c>
      <c r="BG298" s="17">
        <f t="shared" si="133"/>
        <v>0</v>
      </c>
      <c r="BH298" s="16">
        <f t="shared" si="134"/>
        <v>5.9</v>
      </c>
    </row>
    <row r="299" spans="1:60" s="21" customFormat="1" ht="12.75" customHeight="1" x14ac:dyDescent="0.2">
      <c r="A299" s="51" t="s">
        <v>1496</v>
      </c>
      <c r="B299" s="51"/>
      <c r="C299" s="66" t="s">
        <v>1803</v>
      </c>
      <c r="D299" s="65" t="s">
        <v>731</v>
      </c>
      <c r="E299" s="52" t="s">
        <v>730</v>
      </c>
      <c r="F299" s="53">
        <f>IFERROR(VLOOKUP(E299,Fornecedores!$A$2:$B$2700,2,FALSE),"")</f>
        <v>3</v>
      </c>
      <c r="G299" s="52" t="s">
        <v>1505</v>
      </c>
      <c r="H299" s="57"/>
      <c r="I299" s="55">
        <f t="shared" si="126"/>
        <v>2</v>
      </c>
      <c r="J299" s="55">
        <v>1</v>
      </c>
      <c r="K299" s="55">
        <v>1</v>
      </c>
      <c r="L299" s="55">
        <v>0</v>
      </c>
      <c r="M299" s="55">
        <v>0</v>
      </c>
      <c r="N299" s="55">
        <f t="shared" si="127"/>
        <v>1</v>
      </c>
      <c r="O299" s="55">
        <v>0</v>
      </c>
      <c r="P299" s="55">
        <v>1</v>
      </c>
      <c r="Q299" s="55">
        <v>0</v>
      </c>
      <c r="R299" s="55">
        <f t="shared" si="128"/>
        <v>2</v>
      </c>
      <c r="S299" s="55">
        <v>0</v>
      </c>
      <c r="T299" s="55">
        <v>2</v>
      </c>
      <c r="U299" s="55">
        <v>0</v>
      </c>
      <c r="V299" s="55">
        <v>1</v>
      </c>
      <c r="W299" s="53">
        <v>0</v>
      </c>
      <c r="X299" s="53">
        <v>1</v>
      </c>
      <c r="Y299" s="55">
        <v>0</v>
      </c>
      <c r="Z299" s="55">
        <v>0</v>
      </c>
      <c r="AA299" s="53">
        <v>0</v>
      </c>
      <c r="AB299" s="53">
        <v>0</v>
      </c>
      <c r="AC299" s="55">
        <v>0</v>
      </c>
      <c r="AD299" s="55">
        <f t="shared" si="129"/>
        <v>0</v>
      </c>
      <c r="AE299" s="53">
        <v>0</v>
      </c>
      <c r="AF299" s="55">
        <v>0</v>
      </c>
      <c r="AG299" s="55">
        <v>0</v>
      </c>
      <c r="AH299" s="55">
        <f t="shared" si="130"/>
        <v>0</v>
      </c>
      <c r="AI299" s="55">
        <v>0</v>
      </c>
      <c r="AJ299" s="55">
        <v>0</v>
      </c>
      <c r="AK299" s="55">
        <v>0</v>
      </c>
      <c r="AL299" s="55">
        <f t="shared" si="131"/>
        <v>0</v>
      </c>
      <c r="AM299" s="55" t="s">
        <v>1912</v>
      </c>
      <c r="AN299" s="55">
        <v>0</v>
      </c>
      <c r="AO299" s="55">
        <v>0</v>
      </c>
      <c r="AP299" s="55">
        <f t="shared" si="121"/>
        <v>3</v>
      </c>
      <c r="AQ299" s="55">
        <f>IFERROR(VLOOKUP(A299,[1]SIIMPLES!$A$2:$F$418,6,FALSE),0)</f>
        <v>0</v>
      </c>
      <c r="AR299" s="55">
        <v>3</v>
      </c>
      <c r="AS299" s="55">
        <v>4</v>
      </c>
      <c r="AT299" s="55">
        <v>0</v>
      </c>
      <c r="AU299" s="55">
        <v>4</v>
      </c>
      <c r="AV299" s="55">
        <v>0</v>
      </c>
      <c r="AW299" s="57"/>
      <c r="AX299" s="57"/>
      <c r="AY299" s="56">
        <f t="shared" si="132"/>
        <v>1.3</v>
      </c>
      <c r="AZ299" s="55"/>
      <c r="BA299" s="56" t="s">
        <v>1912</v>
      </c>
      <c r="BB299" s="41" t="str">
        <f t="shared" si="125"/>
        <v/>
      </c>
      <c r="BC299" s="13"/>
      <c r="BD299" s="35"/>
      <c r="BE299" s="7"/>
      <c r="BF299" s="16"/>
      <c r="BG299" s="17">
        <f t="shared" si="133"/>
        <v>0</v>
      </c>
      <c r="BH299" s="16">
        <f t="shared" si="134"/>
        <v>1.3</v>
      </c>
    </row>
    <row r="300" spans="1:60" s="21" customFormat="1" ht="12.75" customHeight="1" x14ac:dyDescent="0.2">
      <c r="A300" s="51" t="s">
        <v>235</v>
      </c>
      <c r="B300" s="51" t="s">
        <v>1077</v>
      </c>
      <c r="C300" s="66" t="s">
        <v>1803</v>
      </c>
      <c r="D300" s="65" t="s">
        <v>744</v>
      </c>
      <c r="E300" s="67" t="s">
        <v>727</v>
      </c>
      <c r="F300" s="53">
        <f>IFERROR(VLOOKUP(E300,Fornecedores!$A$2:$B$2700,2,FALSE),"")</f>
        <v>1</v>
      </c>
      <c r="G300" s="52" t="s">
        <v>236</v>
      </c>
      <c r="H300" s="54"/>
      <c r="I300" s="55">
        <f t="shared" si="126"/>
        <v>10</v>
      </c>
      <c r="J300" s="55">
        <v>0</v>
      </c>
      <c r="K300" s="55">
        <v>10</v>
      </c>
      <c r="L300" s="55">
        <v>0</v>
      </c>
      <c r="M300" s="55">
        <v>0</v>
      </c>
      <c r="N300" s="55">
        <f t="shared" si="127"/>
        <v>8</v>
      </c>
      <c r="O300" s="55">
        <v>0</v>
      </c>
      <c r="P300" s="55">
        <v>8</v>
      </c>
      <c r="Q300" s="55">
        <v>0</v>
      </c>
      <c r="R300" s="55">
        <f t="shared" si="128"/>
        <v>3</v>
      </c>
      <c r="S300" s="55">
        <v>1</v>
      </c>
      <c r="T300" s="55">
        <v>2</v>
      </c>
      <c r="U300" s="55">
        <v>0</v>
      </c>
      <c r="V300" s="55">
        <v>1</v>
      </c>
      <c r="W300" s="53">
        <v>1</v>
      </c>
      <c r="X300" s="53">
        <v>0</v>
      </c>
      <c r="Y300" s="55">
        <v>0</v>
      </c>
      <c r="Z300" s="55">
        <v>0</v>
      </c>
      <c r="AA300" s="53">
        <v>0</v>
      </c>
      <c r="AB300" s="53">
        <v>0</v>
      </c>
      <c r="AC300" s="55">
        <v>0</v>
      </c>
      <c r="AD300" s="55">
        <f t="shared" si="129"/>
        <v>0</v>
      </c>
      <c r="AE300" s="53">
        <v>0</v>
      </c>
      <c r="AF300" s="55">
        <v>0</v>
      </c>
      <c r="AG300" s="55">
        <v>0</v>
      </c>
      <c r="AH300" s="55">
        <f t="shared" si="130"/>
        <v>2</v>
      </c>
      <c r="AI300" s="55">
        <v>0</v>
      </c>
      <c r="AJ300" s="55">
        <v>2</v>
      </c>
      <c r="AK300" s="55">
        <v>0</v>
      </c>
      <c r="AL300" s="55">
        <f t="shared" si="131"/>
        <v>11</v>
      </c>
      <c r="AM300" s="55" t="s">
        <v>1912</v>
      </c>
      <c r="AN300" s="55">
        <v>6</v>
      </c>
      <c r="AO300" s="55">
        <v>5</v>
      </c>
      <c r="AP300" s="55">
        <f t="shared" si="121"/>
        <v>3</v>
      </c>
      <c r="AQ300" s="55">
        <f>IFERROR(VLOOKUP(A300,[1]SIIMPLES!$A$2:$F$418,6,FALSE),0)</f>
        <v>3</v>
      </c>
      <c r="AR300" s="55">
        <v>0</v>
      </c>
      <c r="AS300" s="55">
        <v>20</v>
      </c>
      <c r="AT300" s="55">
        <v>12</v>
      </c>
      <c r="AU300" s="55">
        <v>6</v>
      </c>
      <c r="AV300" s="55">
        <v>2</v>
      </c>
      <c r="AW300" s="55"/>
      <c r="AX300" s="55"/>
      <c r="AY300" s="56">
        <f t="shared" si="132"/>
        <v>5.8</v>
      </c>
      <c r="AZ300" s="55"/>
      <c r="BA300" s="56">
        <v>19.333333333333332</v>
      </c>
      <c r="BB300" s="41">
        <f t="shared" si="125"/>
        <v>-0.7</v>
      </c>
      <c r="BC300" s="7"/>
      <c r="BD300" s="35"/>
      <c r="BE300" s="13"/>
      <c r="BF300" s="16">
        <f>SUM(BC300:BE300)</f>
        <v>0</v>
      </c>
      <c r="BG300" s="17">
        <f t="shared" si="133"/>
        <v>0</v>
      </c>
      <c r="BH300" s="16">
        <f t="shared" si="134"/>
        <v>17.399999999999999</v>
      </c>
    </row>
    <row r="301" spans="1:60" s="21" customFormat="1" ht="12.75" customHeight="1" x14ac:dyDescent="0.2">
      <c r="A301" s="51" t="s">
        <v>567</v>
      </c>
      <c r="B301" s="51" t="s">
        <v>1077</v>
      </c>
      <c r="C301" s="66" t="s">
        <v>1803</v>
      </c>
      <c r="D301" s="65" t="s">
        <v>739</v>
      </c>
      <c r="E301" s="67" t="s">
        <v>727</v>
      </c>
      <c r="F301" s="53">
        <f>IFERROR(VLOOKUP(E301,Fornecedores!$A$2:$B$2700,2,FALSE),"")</f>
        <v>1</v>
      </c>
      <c r="G301" s="52" t="s">
        <v>568</v>
      </c>
      <c r="H301" s="54"/>
      <c r="I301" s="55">
        <f t="shared" si="126"/>
        <v>1000</v>
      </c>
      <c r="J301" s="55">
        <v>0</v>
      </c>
      <c r="K301" s="55">
        <v>0</v>
      </c>
      <c r="L301" s="55">
        <v>1000</v>
      </c>
      <c r="M301" s="55">
        <v>0</v>
      </c>
      <c r="N301" s="55">
        <f t="shared" si="127"/>
        <v>0</v>
      </c>
      <c r="O301" s="55">
        <v>0</v>
      </c>
      <c r="P301" s="55">
        <v>0</v>
      </c>
      <c r="Q301" s="55">
        <v>0</v>
      </c>
      <c r="R301" s="55">
        <f t="shared" si="128"/>
        <v>3</v>
      </c>
      <c r="S301" s="55">
        <v>3</v>
      </c>
      <c r="T301" s="55">
        <v>0</v>
      </c>
      <c r="U301" s="55">
        <v>0</v>
      </c>
      <c r="V301" s="55">
        <v>14</v>
      </c>
      <c r="W301" s="53">
        <v>13</v>
      </c>
      <c r="X301" s="53">
        <v>1</v>
      </c>
      <c r="Y301" s="55">
        <v>0</v>
      </c>
      <c r="Z301" s="55">
        <v>4</v>
      </c>
      <c r="AA301" s="53">
        <v>4</v>
      </c>
      <c r="AB301" s="53">
        <v>0</v>
      </c>
      <c r="AC301" s="55">
        <v>0</v>
      </c>
      <c r="AD301" s="55">
        <f t="shared" si="129"/>
        <v>5</v>
      </c>
      <c r="AE301" s="53">
        <v>5</v>
      </c>
      <c r="AF301" s="55">
        <v>0</v>
      </c>
      <c r="AG301" s="55">
        <v>0</v>
      </c>
      <c r="AH301" s="55">
        <f t="shared" si="130"/>
        <v>1214</v>
      </c>
      <c r="AI301" s="55">
        <v>4</v>
      </c>
      <c r="AJ301" s="55">
        <v>0</v>
      </c>
      <c r="AK301" s="55">
        <v>1210</v>
      </c>
      <c r="AL301" s="55">
        <f t="shared" si="131"/>
        <v>1800</v>
      </c>
      <c r="AM301" s="55">
        <v>8</v>
      </c>
      <c r="AN301" s="55">
        <v>0</v>
      </c>
      <c r="AO301" s="55">
        <v>1792</v>
      </c>
      <c r="AP301" s="55">
        <f t="shared" si="121"/>
        <v>3</v>
      </c>
      <c r="AQ301" s="55">
        <f>IFERROR(VLOOKUP(A301,[1]SIIMPLES!$A$2:$F$418,6,FALSE),0)</f>
        <v>3</v>
      </c>
      <c r="AR301" s="55">
        <v>0</v>
      </c>
      <c r="AS301" s="55">
        <v>0</v>
      </c>
      <c r="AT301" s="55">
        <v>0</v>
      </c>
      <c r="AU301" s="55">
        <v>0</v>
      </c>
      <c r="AV301" s="55">
        <v>0</v>
      </c>
      <c r="AW301" s="55"/>
      <c r="AX301" s="55"/>
      <c r="AY301" s="56">
        <f t="shared" si="132"/>
        <v>404.3</v>
      </c>
      <c r="AZ301" s="55"/>
      <c r="BA301" s="56">
        <v>39.5</v>
      </c>
      <c r="BB301" s="41">
        <f t="shared" si="125"/>
        <v>9.235443037974683</v>
      </c>
      <c r="BC301" s="13"/>
      <c r="BD301" s="35"/>
      <c r="BE301" s="7"/>
      <c r="BF301" s="16"/>
      <c r="BG301" s="17">
        <f t="shared" si="133"/>
        <v>0</v>
      </c>
      <c r="BH301" s="16">
        <f t="shared" si="134"/>
        <v>1212.9000000000001</v>
      </c>
    </row>
    <row r="302" spans="1:60" s="21" customFormat="1" ht="12.75" customHeight="1" x14ac:dyDescent="0.2">
      <c r="A302" s="68" t="s">
        <v>1933</v>
      </c>
      <c r="B302" s="51"/>
      <c r="C302" s="66" t="str">
        <f>VLOOKUP(A302,[2]CMV!$A$1:$B$2115,2,FALSE)</f>
        <v>MOTO PEÇAS</v>
      </c>
      <c r="D302" s="52" t="str">
        <f>VLOOKUP(A302,[2]CMV!$A$1:$C$2115,3,FALSE)</f>
        <v>LONA DE FREIO MOTO</v>
      </c>
      <c r="E302" s="52" t="str">
        <f>VLOOKUP(A302,[2]CMV!$A$1:$E$2115,5,FALSE)</f>
        <v>FABRECK</v>
      </c>
      <c r="F302" s="53"/>
      <c r="G302" s="67" t="str">
        <f>VLOOKUP(A302,[2]CMV!$A$1:$F$2115,6,FALSE)</f>
        <v>LONA DE FREIO DIANTEIRO CG TITAN BIZ BROSS 125 TWISTER WEB</v>
      </c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5">
        <f t="shared" si="129"/>
        <v>5</v>
      </c>
      <c r="AE302" s="57"/>
      <c r="AF302" s="57"/>
      <c r="AG302" s="55">
        <v>5</v>
      </c>
      <c r="AH302" s="55">
        <f t="shared" si="130"/>
        <v>0</v>
      </c>
      <c r="AI302" s="55">
        <v>0</v>
      </c>
      <c r="AJ302" s="55">
        <v>0</v>
      </c>
      <c r="AK302" s="55">
        <v>0</v>
      </c>
      <c r="AL302" s="55">
        <f t="shared" si="131"/>
        <v>0</v>
      </c>
      <c r="AM302" s="55" t="s">
        <v>1912</v>
      </c>
      <c r="AN302" s="55">
        <v>0</v>
      </c>
      <c r="AO302" s="55">
        <v>0</v>
      </c>
      <c r="AP302" s="55">
        <f t="shared" si="121"/>
        <v>3</v>
      </c>
      <c r="AQ302" s="55">
        <f>IFERROR(VLOOKUP(A302,[1]SIIMPLES!$A$2:$F$418,6,FALSE),0)</f>
        <v>3</v>
      </c>
      <c r="AR302" s="55">
        <v>0</v>
      </c>
      <c r="AS302" s="55">
        <v>0</v>
      </c>
      <c r="AT302" s="55">
        <v>0</v>
      </c>
      <c r="AU302" s="55">
        <v>0</v>
      </c>
      <c r="AV302" s="55">
        <v>0</v>
      </c>
      <c r="AW302" s="57"/>
      <c r="AX302" s="57"/>
      <c r="AY302" s="56">
        <f t="shared" si="132"/>
        <v>1.6</v>
      </c>
      <c r="AZ302" s="57"/>
      <c r="BA302" s="57"/>
      <c r="BB302" s="41" t="str">
        <f t="shared" si="125"/>
        <v/>
      </c>
      <c r="BC302" s="13"/>
      <c r="BD302" s="35"/>
      <c r="BE302" s="13"/>
      <c r="BF302" s="16"/>
      <c r="BG302" s="17">
        <f t="shared" si="133"/>
        <v>0</v>
      </c>
      <c r="BH302" s="16">
        <f>ROUND(IFERROR(IF(F302=1,IF(BC302&lt;AY302*3,AY302*3-BC302,0),IF(BC302&lt;AY302,AY302*0.6-BC302,0)),""),0)</f>
        <v>1</v>
      </c>
    </row>
    <row r="303" spans="1:60" s="21" customFormat="1" ht="12.75" customHeight="1" x14ac:dyDescent="0.2">
      <c r="A303" s="82" t="s">
        <v>1995</v>
      </c>
      <c r="B303" s="28"/>
      <c r="C303" s="28" t="s">
        <v>1851</v>
      </c>
      <c r="D303" s="83" t="s">
        <v>2028</v>
      </c>
      <c r="E303" s="83" t="s">
        <v>2017</v>
      </c>
      <c r="F303" s="84"/>
      <c r="G303" s="85" t="s">
        <v>2050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3">
        <f t="shared" si="130"/>
        <v>1</v>
      </c>
      <c r="AI303" s="7"/>
      <c r="AJ303" s="7"/>
      <c r="AK303" s="55">
        <v>1</v>
      </c>
      <c r="AL303" s="55">
        <f t="shared" si="131"/>
        <v>0</v>
      </c>
      <c r="AM303" s="55" t="s">
        <v>1912</v>
      </c>
      <c r="AN303" s="55">
        <v>0</v>
      </c>
      <c r="AO303" s="55">
        <v>0</v>
      </c>
      <c r="AP303" s="55">
        <f t="shared" si="121"/>
        <v>3</v>
      </c>
      <c r="AQ303" s="55">
        <f>IFERROR(VLOOKUP(A303,[1]SIIMPLES!$A$2:$F$418,6,FALSE),0)</f>
        <v>3</v>
      </c>
      <c r="AR303" s="55">
        <v>0</v>
      </c>
      <c r="AS303" s="55">
        <v>0</v>
      </c>
      <c r="AT303" s="55">
        <v>0</v>
      </c>
      <c r="AU303" s="55">
        <v>0</v>
      </c>
      <c r="AV303" s="55">
        <v>0</v>
      </c>
      <c r="AW303" s="7"/>
      <c r="AX303" s="7"/>
      <c r="AY303" s="7"/>
      <c r="AZ303" s="7"/>
      <c r="BA303" s="7"/>
      <c r="BB303" s="41" t="str">
        <f t="shared" si="125"/>
        <v/>
      </c>
      <c r="BC303" s="13"/>
      <c r="BD303" s="35"/>
      <c r="BE303" s="13"/>
      <c r="BF303" s="16"/>
      <c r="BG303" s="17" t="str">
        <f t="shared" si="133"/>
        <v>0</v>
      </c>
      <c r="BH303" s="16">
        <f>IFERROR(IF(F303=1,IF(BC303&lt;AY303*3,AY303*3-BC303,0),IF(BC303&lt;AY303,AY303-BC303,0)),"")</f>
        <v>0</v>
      </c>
    </row>
    <row r="304" spans="1:60" s="21" customFormat="1" ht="12.75" customHeight="1" x14ac:dyDescent="0.2">
      <c r="A304" s="68" t="s">
        <v>1941</v>
      </c>
      <c r="B304" s="51"/>
      <c r="C304" s="66" t="str">
        <f>VLOOKUP(A304,[2]CMV!$A$1:$B$2115,2,FALSE)</f>
        <v>MOTO PEÇAS</v>
      </c>
      <c r="D304" s="52" t="str">
        <f>VLOOKUP(A304,[2]CMV!$A$1:$C$2115,3,FALSE)</f>
        <v>ROLAMENTO MOTO</v>
      </c>
      <c r="E304" s="52" t="str">
        <f>VLOOKUP(A304,[2]CMV!$A$1:$E$2115,5,FALSE)</f>
        <v>PANDÃO</v>
      </c>
      <c r="F304" s="53"/>
      <c r="G304" s="67" t="str">
        <f>VLOOKUP(A304,[2]CMV!$A$1:$F$2115,6,FALSE)</f>
        <v>CAIXA COM 10 ROLAMENTO 6301 2RS HONDA YAMAHA</v>
      </c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5">
        <f>SUM(AE304:AG304)</f>
        <v>2</v>
      </c>
      <c r="AE304" s="57"/>
      <c r="AF304" s="57"/>
      <c r="AG304" s="55">
        <v>2</v>
      </c>
      <c r="AH304" s="55">
        <f t="shared" si="130"/>
        <v>0</v>
      </c>
      <c r="AI304" s="55">
        <v>0</v>
      </c>
      <c r="AJ304" s="55">
        <v>0</v>
      </c>
      <c r="AK304" s="55">
        <v>0</v>
      </c>
      <c r="AL304" s="55">
        <f t="shared" si="131"/>
        <v>0</v>
      </c>
      <c r="AM304" s="55" t="s">
        <v>1912</v>
      </c>
      <c r="AN304" s="55">
        <v>0</v>
      </c>
      <c r="AO304" s="55">
        <v>0</v>
      </c>
      <c r="AP304" s="55">
        <f t="shared" si="121"/>
        <v>3</v>
      </c>
      <c r="AQ304" s="55">
        <f>IFERROR(VLOOKUP(A304,[1]SIIMPLES!$A$2:$F$418,6,FALSE),0)</f>
        <v>3</v>
      </c>
      <c r="AR304" s="55">
        <v>0</v>
      </c>
      <c r="AS304" s="55">
        <v>1</v>
      </c>
      <c r="AT304" s="55">
        <v>0</v>
      </c>
      <c r="AU304" s="55">
        <v>0</v>
      </c>
      <c r="AV304" s="55">
        <v>1</v>
      </c>
      <c r="AW304" s="57"/>
      <c r="AX304" s="57"/>
      <c r="AY304" s="56">
        <f>IFERROR(AVERAGE(I304,N304,R304,V304,Z304,AD304,AH304,AL304,AP304,AS304,AW304,AX304),"-")</f>
        <v>1.2</v>
      </c>
      <c r="AZ304" s="57"/>
      <c r="BA304" s="57"/>
      <c r="BB304" s="41" t="str">
        <f t="shared" si="125"/>
        <v/>
      </c>
      <c r="BC304" s="7"/>
      <c r="BD304" s="35"/>
      <c r="BE304" s="13"/>
      <c r="BF304" s="16"/>
      <c r="BG304" s="17">
        <f t="shared" si="133"/>
        <v>0</v>
      </c>
      <c r="BH304" s="16">
        <f>ROUND(IFERROR(IF(F304=1,IF(BC304&lt;AY304*3,AY304*3-BC304,0),IF(BC304&lt;AY304,AY304*0.6-BC304,0)),""),0)</f>
        <v>1</v>
      </c>
    </row>
    <row r="305" spans="1:60" s="21" customFormat="1" ht="12.75" customHeight="1" x14ac:dyDescent="0.2">
      <c r="A305" s="28" t="s">
        <v>2150</v>
      </c>
      <c r="B305" s="28"/>
      <c r="C305" s="28" t="s">
        <v>1851</v>
      </c>
      <c r="D305" s="83" t="s">
        <v>2194</v>
      </c>
      <c r="E305" s="83" t="s">
        <v>2025</v>
      </c>
      <c r="F305" s="84"/>
      <c r="G305" s="85" t="s">
        <v>2195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101"/>
      <c r="AP305" s="55">
        <f t="shared" si="121"/>
        <v>3</v>
      </c>
      <c r="AQ305" s="55">
        <f>IFERROR(VLOOKUP(A305,[1]SIIMPLES!$A$2:$F$418,6,FALSE),0)</f>
        <v>3</v>
      </c>
      <c r="AR305" s="55">
        <v>0</v>
      </c>
      <c r="AS305" s="55">
        <v>0</v>
      </c>
      <c r="AT305" s="55">
        <v>0</v>
      </c>
      <c r="AU305" s="55">
        <v>0</v>
      </c>
      <c r="AV305" s="55">
        <v>0</v>
      </c>
      <c r="AW305" s="7"/>
      <c r="AX305" s="7"/>
      <c r="AY305" s="7"/>
      <c r="AZ305" s="7"/>
      <c r="BA305" s="7"/>
      <c r="BB305" s="41" t="str">
        <f t="shared" si="125"/>
        <v/>
      </c>
      <c r="BC305" s="7"/>
      <c r="BD305" s="35"/>
      <c r="BE305" s="13"/>
      <c r="BF305" s="16"/>
      <c r="BG305" s="17" t="str">
        <f t="shared" si="133"/>
        <v>0</v>
      </c>
      <c r="BH305" s="16">
        <f>ROUND(IFERROR(IF(F305=1,IF(BC305&lt;AY305*3,AY305*3-BC305,0),IF(BC305&lt;AY305,AY305*0.6-BC305,0)),""),0)</f>
        <v>0</v>
      </c>
    </row>
    <row r="306" spans="1:60" s="21" customFormat="1" ht="12.75" customHeight="1" x14ac:dyDescent="0.2">
      <c r="A306" s="28">
        <v>5242</v>
      </c>
      <c r="B306" s="28"/>
      <c r="C306" s="28" t="s">
        <v>1851</v>
      </c>
      <c r="D306" s="83" t="s">
        <v>2028</v>
      </c>
      <c r="E306" s="83" t="s">
        <v>2017</v>
      </c>
      <c r="F306" s="84"/>
      <c r="G306" s="85" t="s">
        <v>2203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101"/>
      <c r="AP306" s="55">
        <f t="shared" si="121"/>
        <v>3</v>
      </c>
      <c r="AQ306" s="55">
        <f>IFERROR(VLOOKUP(A306,[1]SIIMPLES!$A$2:$F$418,6,FALSE),0)</f>
        <v>3</v>
      </c>
      <c r="AR306" s="55">
        <v>0</v>
      </c>
      <c r="AS306" s="55">
        <v>0</v>
      </c>
      <c r="AT306" s="55">
        <v>0</v>
      </c>
      <c r="AU306" s="55">
        <v>0</v>
      </c>
      <c r="AV306" s="55">
        <v>0</v>
      </c>
      <c r="AW306" s="7"/>
      <c r="AX306" s="7"/>
      <c r="AY306" s="7"/>
      <c r="AZ306" s="7"/>
      <c r="BA306" s="7"/>
      <c r="BB306" s="41" t="str">
        <f t="shared" si="125"/>
        <v/>
      </c>
      <c r="BC306" s="7"/>
      <c r="BD306" s="35"/>
      <c r="BE306" s="13"/>
      <c r="BF306" s="16"/>
      <c r="BG306" s="17" t="str">
        <f t="shared" si="133"/>
        <v>0</v>
      </c>
      <c r="BH306" s="20">
        <f>ROUND(IFERROR(IF(F306=1,IF(BC306&lt;AY306*3,AY306*3-BC306,0),IF(BC306&lt;AY306,AY306*0.6-BC306,0)),""),0)</f>
        <v>0</v>
      </c>
    </row>
    <row r="307" spans="1:60" s="21" customFormat="1" ht="12.75" customHeight="1" x14ac:dyDescent="0.2">
      <c r="A307" s="28" t="s">
        <v>2157</v>
      </c>
      <c r="B307" s="28"/>
      <c r="C307" s="28" t="s">
        <v>1851</v>
      </c>
      <c r="D307" s="83" t="s">
        <v>2028</v>
      </c>
      <c r="E307" s="83" t="s">
        <v>2017</v>
      </c>
      <c r="F307" s="84"/>
      <c r="G307" s="85" t="s">
        <v>2185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101"/>
      <c r="AP307" s="55">
        <f t="shared" si="121"/>
        <v>3</v>
      </c>
      <c r="AQ307" s="55">
        <f>IFERROR(VLOOKUP(A307,[1]SIIMPLES!$A$2:$F$418,6,FALSE),0)</f>
        <v>3</v>
      </c>
      <c r="AR307" s="55">
        <v>0</v>
      </c>
      <c r="AS307" s="55">
        <v>0</v>
      </c>
      <c r="AT307" s="55">
        <v>0</v>
      </c>
      <c r="AU307" s="55">
        <v>0</v>
      </c>
      <c r="AV307" s="55">
        <v>0</v>
      </c>
      <c r="AW307" s="7"/>
      <c r="AX307" s="7"/>
      <c r="AY307" s="7"/>
      <c r="AZ307" s="7"/>
      <c r="BA307" s="7"/>
      <c r="BB307" s="41" t="str">
        <f t="shared" si="125"/>
        <v/>
      </c>
      <c r="BC307" s="13"/>
      <c r="BD307" s="35"/>
      <c r="BE307" s="13"/>
      <c r="BF307" s="16">
        <f>SUM(BC307:BE307)</f>
        <v>0</v>
      </c>
      <c r="BG307" s="17" t="str">
        <f t="shared" si="133"/>
        <v>0</v>
      </c>
      <c r="BH307" s="16">
        <f>IFERROR(IF(F307=1,IF(BC307&lt;AY307*3,AY307*3-BC307,0),IF(BC307&lt;AY307,AY307-BC307,0)),"")</f>
        <v>0</v>
      </c>
    </row>
    <row r="308" spans="1:60" s="21" customFormat="1" ht="12.75" customHeight="1" x14ac:dyDescent="0.2">
      <c r="A308" s="28" t="s">
        <v>2173</v>
      </c>
      <c r="B308" s="28"/>
      <c r="C308" s="28" t="s">
        <v>1851</v>
      </c>
      <c r="D308" s="83" t="s">
        <v>2108</v>
      </c>
      <c r="E308" s="83" t="s">
        <v>2025</v>
      </c>
      <c r="F308" s="84"/>
      <c r="G308" s="85" t="s">
        <v>2214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101"/>
      <c r="AP308" s="55">
        <f t="shared" si="121"/>
        <v>3</v>
      </c>
      <c r="AQ308" s="55">
        <f>IFERROR(VLOOKUP(A308,[1]SIIMPLES!$A$2:$F$418,6,FALSE),0)</f>
        <v>3</v>
      </c>
      <c r="AR308" s="55">
        <v>0</v>
      </c>
      <c r="AS308" s="55">
        <v>1</v>
      </c>
      <c r="AT308" s="55">
        <v>1</v>
      </c>
      <c r="AU308" s="55">
        <v>0</v>
      </c>
      <c r="AV308" s="55">
        <v>0</v>
      </c>
      <c r="AW308" s="7"/>
      <c r="AX308" s="7"/>
      <c r="AY308" s="7"/>
      <c r="AZ308" s="7"/>
      <c r="BA308" s="7"/>
      <c r="BB308" s="41" t="str">
        <f t="shared" si="125"/>
        <v/>
      </c>
      <c r="BC308" s="7"/>
      <c r="BD308" s="35"/>
      <c r="BE308" s="13"/>
      <c r="BF308" s="16">
        <f>SUM(BC308:BE308)</f>
        <v>0</v>
      </c>
      <c r="BG308" s="17" t="str">
        <f t="shared" si="133"/>
        <v>0</v>
      </c>
      <c r="BH308" s="16">
        <f>IFERROR(IF(F308=1,IF(BC308&lt;AY308*3,AY308*3-BC308,0),IF(BC308&lt;AY308,AY308-BC308,0)),"")</f>
        <v>0</v>
      </c>
    </row>
    <row r="309" spans="1:60" s="21" customFormat="1" ht="12.75" customHeight="1" x14ac:dyDescent="0.2">
      <c r="A309" s="51">
        <v>4001</v>
      </c>
      <c r="B309" s="51" t="s">
        <v>1077</v>
      </c>
      <c r="C309" s="66" t="s">
        <v>1803</v>
      </c>
      <c r="D309" s="52" t="s">
        <v>760</v>
      </c>
      <c r="E309" s="52" t="s">
        <v>736</v>
      </c>
      <c r="F309" s="53">
        <f>IFERROR(VLOOKUP(E309,Fornecedores!$A$2:$B$2700,2,FALSE),"")</f>
        <v>5</v>
      </c>
      <c r="G309" s="52" t="s">
        <v>456</v>
      </c>
      <c r="H309" s="54"/>
      <c r="I309" s="55">
        <f t="shared" ref="I309:I356" si="135">SUM(J309:M309)</f>
        <v>8</v>
      </c>
      <c r="J309" s="55">
        <v>8</v>
      </c>
      <c r="K309" s="55">
        <v>0</v>
      </c>
      <c r="L309" s="55">
        <v>0</v>
      </c>
      <c r="M309" s="55">
        <v>0</v>
      </c>
      <c r="N309" s="55">
        <f t="shared" ref="N309:N356" si="136">SUM(O309:Q309)</f>
        <v>6</v>
      </c>
      <c r="O309" s="55">
        <v>6</v>
      </c>
      <c r="P309" s="55">
        <v>0</v>
      </c>
      <c r="Q309" s="55">
        <v>0</v>
      </c>
      <c r="R309" s="55">
        <f t="shared" ref="R309:R356" si="137">SUM(S309:U309)</f>
        <v>5</v>
      </c>
      <c r="S309" s="55">
        <v>5</v>
      </c>
      <c r="T309" s="55">
        <v>0</v>
      </c>
      <c r="U309" s="55">
        <v>0</v>
      </c>
      <c r="V309" s="55">
        <v>10</v>
      </c>
      <c r="W309" s="53">
        <v>10</v>
      </c>
      <c r="X309" s="53">
        <v>0</v>
      </c>
      <c r="Y309" s="55">
        <v>0</v>
      </c>
      <c r="Z309" s="55">
        <v>0</v>
      </c>
      <c r="AA309" s="53">
        <v>0</v>
      </c>
      <c r="AB309" s="53">
        <v>0</v>
      </c>
      <c r="AC309" s="55">
        <v>0</v>
      </c>
      <c r="AD309" s="55">
        <f t="shared" ref="AD309:AD356" si="138">SUM(AE309:AG309)</f>
        <v>3</v>
      </c>
      <c r="AE309" s="53">
        <v>3</v>
      </c>
      <c r="AF309" s="55">
        <v>0</v>
      </c>
      <c r="AG309" s="55">
        <v>0</v>
      </c>
      <c r="AH309" s="55">
        <f t="shared" ref="AH309:AH356" si="139">SUM(AI309:AK309)</f>
        <v>0</v>
      </c>
      <c r="AI309" s="55">
        <v>0</v>
      </c>
      <c r="AJ309" s="55">
        <v>0</v>
      </c>
      <c r="AK309" s="55">
        <v>0</v>
      </c>
      <c r="AL309" s="55">
        <f t="shared" ref="AL309:AL340" si="140">SUM(AM309:AO309)</f>
        <v>0</v>
      </c>
      <c r="AM309" s="55" t="s">
        <v>1912</v>
      </c>
      <c r="AN309" s="55">
        <v>0</v>
      </c>
      <c r="AO309" s="55">
        <v>0</v>
      </c>
      <c r="AP309" s="55">
        <f t="shared" si="121"/>
        <v>2</v>
      </c>
      <c r="AQ309" s="55">
        <f>IFERROR(VLOOKUP(A309,[1]SIIMPLES!$A$2:$F$418,6,FALSE),0)</f>
        <v>2</v>
      </c>
      <c r="AR309" s="55">
        <v>0</v>
      </c>
      <c r="AS309" s="55">
        <v>6</v>
      </c>
      <c r="AT309" s="55">
        <v>6</v>
      </c>
      <c r="AU309" s="55">
        <v>0</v>
      </c>
      <c r="AV309" s="55">
        <v>0</v>
      </c>
      <c r="AW309" s="55"/>
      <c r="AX309" s="55"/>
      <c r="AY309" s="56">
        <f t="shared" ref="AY309:AY356" si="141">IFERROR(AVERAGE(I309,N309,R309,V309,Z309,AD309,AH309,AL309,AP309,AS309,AW309,AX309),"-")</f>
        <v>4</v>
      </c>
      <c r="AZ309" s="55"/>
      <c r="BA309" s="56">
        <v>15.666666666666666</v>
      </c>
      <c r="BB309" s="41">
        <f t="shared" si="125"/>
        <v>-0.74468085106382975</v>
      </c>
      <c r="BC309" s="13"/>
      <c r="BD309" s="35"/>
      <c r="BE309" s="13"/>
      <c r="BF309" s="16">
        <f>SUM(BC309:BE309)</f>
        <v>0</v>
      </c>
      <c r="BG309" s="17">
        <f t="shared" si="133"/>
        <v>0</v>
      </c>
      <c r="BH309" s="16">
        <f>IFERROR(IF(F309=1,IF(BC309&lt;AY309*3,AY309*3-BC309,0),IF(BC309&lt;AY309,AY309-BC309,0)),"")</f>
        <v>4</v>
      </c>
    </row>
    <row r="310" spans="1:60" s="21" customFormat="1" ht="12.75" customHeight="1" x14ac:dyDescent="0.2">
      <c r="A310" s="51">
        <v>4002</v>
      </c>
      <c r="B310" s="51" t="s">
        <v>1077</v>
      </c>
      <c r="C310" s="66" t="s">
        <v>1803</v>
      </c>
      <c r="D310" s="52" t="s">
        <v>760</v>
      </c>
      <c r="E310" s="52" t="s">
        <v>736</v>
      </c>
      <c r="F310" s="53">
        <f>IFERROR(VLOOKUP(E310,Fornecedores!$A$2:$B$2700,2,FALSE),"")</f>
        <v>5</v>
      </c>
      <c r="G310" s="52" t="s">
        <v>383</v>
      </c>
      <c r="H310" s="54"/>
      <c r="I310" s="55">
        <f t="shared" si="135"/>
        <v>3</v>
      </c>
      <c r="J310" s="55">
        <v>3</v>
      </c>
      <c r="K310" s="55">
        <v>0</v>
      </c>
      <c r="L310" s="55">
        <v>0</v>
      </c>
      <c r="M310" s="55">
        <v>0</v>
      </c>
      <c r="N310" s="55">
        <f t="shared" si="136"/>
        <v>2</v>
      </c>
      <c r="O310" s="55">
        <v>2</v>
      </c>
      <c r="P310" s="55">
        <v>0</v>
      </c>
      <c r="Q310" s="55">
        <v>0</v>
      </c>
      <c r="R310" s="55">
        <f t="shared" si="137"/>
        <v>2</v>
      </c>
      <c r="S310" s="55">
        <v>2</v>
      </c>
      <c r="T310" s="55">
        <v>0</v>
      </c>
      <c r="U310" s="55">
        <v>0</v>
      </c>
      <c r="V310" s="55">
        <v>6</v>
      </c>
      <c r="W310" s="53">
        <v>6</v>
      </c>
      <c r="X310" s="53">
        <v>0</v>
      </c>
      <c r="Y310" s="55">
        <v>0</v>
      </c>
      <c r="Z310" s="55">
        <v>3</v>
      </c>
      <c r="AA310" s="53">
        <v>3</v>
      </c>
      <c r="AB310" s="53">
        <v>0</v>
      </c>
      <c r="AC310" s="55">
        <v>0</v>
      </c>
      <c r="AD310" s="55">
        <f t="shared" si="138"/>
        <v>1</v>
      </c>
      <c r="AE310" s="53">
        <v>1</v>
      </c>
      <c r="AF310" s="55">
        <v>0</v>
      </c>
      <c r="AG310" s="55">
        <v>0</v>
      </c>
      <c r="AH310" s="55">
        <f t="shared" si="139"/>
        <v>2</v>
      </c>
      <c r="AI310" s="55">
        <v>2</v>
      </c>
      <c r="AJ310" s="55">
        <v>0</v>
      </c>
      <c r="AK310" s="55">
        <v>0</v>
      </c>
      <c r="AL310" s="55">
        <f t="shared" si="140"/>
        <v>2</v>
      </c>
      <c r="AM310" s="55">
        <v>2</v>
      </c>
      <c r="AN310" s="55">
        <v>0</v>
      </c>
      <c r="AO310" s="55">
        <v>0</v>
      </c>
      <c r="AP310" s="55">
        <f t="shared" si="121"/>
        <v>2</v>
      </c>
      <c r="AQ310" s="55">
        <f>IFERROR(VLOOKUP(A310,[1]SIIMPLES!$A$2:$F$418,6,FALSE),0)</f>
        <v>2</v>
      </c>
      <c r="AR310" s="55">
        <v>0</v>
      </c>
      <c r="AS310" s="55">
        <v>3</v>
      </c>
      <c r="AT310" s="55">
        <v>3</v>
      </c>
      <c r="AU310" s="55">
        <v>0</v>
      </c>
      <c r="AV310" s="55">
        <v>0</v>
      </c>
      <c r="AW310" s="55"/>
      <c r="AX310" s="55"/>
      <c r="AY310" s="56">
        <f t="shared" si="141"/>
        <v>2.6</v>
      </c>
      <c r="AZ310" s="55"/>
      <c r="BA310" s="56">
        <v>6.5</v>
      </c>
      <c r="BB310" s="41">
        <f t="shared" si="125"/>
        <v>-0.6</v>
      </c>
      <c r="BC310" s="7"/>
      <c r="BD310" s="36"/>
      <c r="BE310" s="7"/>
      <c r="BF310" s="7"/>
      <c r="BG310" s="7"/>
      <c r="BH310" s="7"/>
    </row>
    <row r="311" spans="1:60" s="21" customFormat="1" ht="12.75" customHeight="1" x14ac:dyDescent="0.2">
      <c r="A311" s="51">
        <v>4004</v>
      </c>
      <c r="B311" s="51" t="s">
        <v>1077</v>
      </c>
      <c r="C311" s="66" t="s">
        <v>1803</v>
      </c>
      <c r="D311" s="52" t="s">
        <v>760</v>
      </c>
      <c r="E311" s="52" t="s">
        <v>736</v>
      </c>
      <c r="F311" s="53">
        <f>IFERROR(VLOOKUP(E311,Fornecedores!$A$2:$B$2700,2,FALSE),"")</f>
        <v>5</v>
      </c>
      <c r="G311" s="52" t="s">
        <v>416</v>
      </c>
      <c r="H311" s="54"/>
      <c r="I311" s="55">
        <f t="shared" si="135"/>
        <v>6</v>
      </c>
      <c r="J311" s="55">
        <v>6</v>
      </c>
      <c r="K311" s="55">
        <v>0</v>
      </c>
      <c r="L311" s="55">
        <v>0</v>
      </c>
      <c r="M311" s="55">
        <v>0</v>
      </c>
      <c r="N311" s="55">
        <f t="shared" si="136"/>
        <v>2</v>
      </c>
      <c r="O311" s="55">
        <v>2</v>
      </c>
      <c r="P311" s="55">
        <v>0</v>
      </c>
      <c r="Q311" s="55">
        <v>0</v>
      </c>
      <c r="R311" s="55">
        <f t="shared" si="137"/>
        <v>3</v>
      </c>
      <c r="S311" s="55">
        <v>3</v>
      </c>
      <c r="T311" s="55">
        <v>0</v>
      </c>
      <c r="U311" s="55">
        <v>0</v>
      </c>
      <c r="V311" s="55">
        <v>5</v>
      </c>
      <c r="W311" s="53">
        <v>5</v>
      </c>
      <c r="X311" s="53">
        <v>0</v>
      </c>
      <c r="Y311" s="55">
        <v>0</v>
      </c>
      <c r="Z311" s="55">
        <v>6</v>
      </c>
      <c r="AA311" s="53">
        <v>6</v>
      </c>
      <c r="AB311" s="53">
        <v>0</v>
      </c>
      <c r="AC311" s="55">
        <v>0</v>
      </c>
      <c r="AD311" s="55">
        <f t="shared" si="138"/>
        <v>1</v>
      </c>
      <c r="AE311" s="53">
        <v>1</v>
      </c>
      <c r="AF311" s="55">
        <v>0</v>
      </c>
      <c r="AG311" s="55">
        <v>0</v>
      </c>
      <c r="AH311" s="55">
        <f t="shared" si="139"/>
        <v>3</v>
      </c>
      <c r="AI311" s="55">
        <v>3</v>
      </c>
      <c r="AJ311" s="55">
        <v>0</v>
      </c>
      <c r="AK311" s="55">
        <v>0</v>
      </c>
      <c r="AL311" s="55">
        <f t="shared" si="140"/>
        <v>2</v>
      </c>
      <c r="AM311" s="55">
        <v>2</v>
      </c>
      <c r="AN311" s="55">
        <v>0</v>
      </c>
      <c r="AO311" s="55">
        <v>0</v>
      </c>
      <c r="AP311" s="55">
        <f t="shared" si="121"/>
        <v>2</v>
      </c>
      <c r="AQ311" s="55">
        <f>IFERROR(VLOOKUP(A311,[1]SIIMPLES!$A$2:$F$418,6,FALSE),0)</f>
        <v>2</v>
      </c>
      <c r="AR311" s="55">
        <v>0</v>
      </c>
      <c r="AS311" s="55">
        <v>1</v>
      </c>
      <c r="AT311" s="55">
        <v>1</v>
      </c>
      <c r="AU311" s="55">
        <v>0</v>
      </c>
      <c r="AV311" s="55">
        <v>0</v>
      </c>
      <c r="AW311" s="55"/>
      <c r="AX311" s="55"/>
      <c r="AY311" s="56">
        <f t="shared" si="141"/>
        <v>3.1</v>
      </c>
      <c r="AZ311" s="55"/>
      <c r="BA311" s="56">
        <v>16.166666666666668</v>
      </c>
      <c r="BB311" s="41">
        <f t="shared" si="125"/>
        <v>-0.80824742268041239</v>
      </c>
      <c r="BC311" s="7"/>
      <c r="BD311" s="35"/>
      <c r="BE311" s="13"/>
      <c r="BF311" s="16"/>
      <c r="BG311" s="17">
        <f>IFERROR(BC311/AY311,"0")</f>
        <v>0</v>
      </c>
      <c r="BH311" s="16">
        <f>IFERROR(IF(F311=1,IF(BC311&lt;AY311*3,AY311*3-BC311,0),IF(BC311&lt;AY311,AY311-BC311,0)),"")</f>
        <v>3.1</v>
      </c>
    </row>
    <row r="312" spans="1:60" s="21" customFormat="1" ht="12.75" customHeight="1" x14ac:dyDescent="0.2">
      <c r="A312" s="51">
        <v>4013</v>
      </c>
      <c r="B312" s="51" t="s">
        <v>1077</v>
      </c>
      <c r="C312" s="66" t="s">
        <v>1803</v>
      </c>
      <c r="D312" s="52" t="s">
        <v>760</v>
      </c>
      <c r="E312" s="52" t="s">
        <v>736</v>
      </c>
      <c r="F312" s="53">
        <f>IFERROR(VLOOKUP(E312,Fornecedores!$A$2:$B$2700,2,FALSE),"")</f>
        <v>5</v>
      </c>
      <c r="G312" s="52" t="s">
        <v>897</v>
      </c>
      <c r="H312" s="57"/>
      <c r="I312" s="55">
        <f t="shared" si="135"/>
        <v>1</v>
      </c>
      <c r="J312" s="55">
        <v>1</v>
      </c>
      <c r="K312" s="55">
        <v>0</v>
      </c>
      <c r="L312" s="55">
        <v>0</v>
      </c>
      <c r="M312" s="55">
        <v>0</v>
      </c>
      <c r="N312" s="55">
        <f t="shared" si="136"/>
        <v>4</v>
      </c>
      <c r="O312" s="55">
        <v>4</v>
      </c>
      <c r="P312" s="55">
        <v>0</v>
      </c>
      <c r="Q312" s="55">
        <v>0</v>
      </c>
      <c r="R312" s="55">
        <f t="shared" si="137"/>
        <v>1</v>
      </c>
      <c r="S312" s="55">
        <v>1</v>
      </c>
      <c r="T312" s="55">
        <v>0</v>
      </c>
      <c r="U312" s="55">
        <v>0</v>
      </c>
      <c r="V312" s="55">
        <v>1</v>
      </c>
      <c r="W312" s="53">
        <v>1</v>
      </c>
      <c r="X312" s="53">
        <v>0</v>
      </c>
      <c r="Y312" s="55">
        <v>0</v>
      </c>
      <c r="Z312" s="55">
        <v>0</v>
      </c>
      <c r="AA312" s="53">
        <v>0</v>
      </c>
      <c r="AB312" s="53">
        <v>0</v>
      </c>
      <c r="AC312" s="55">
        <v>0</v>
      </c>
      <c r="AD312" s="55">
        <f t="shared" si="138"/>
        <v>2</v>
      </c>
      <c r="AE312" s="53">
        <v>2</v>
      </c>
      <c r="AF312" s="55">
        <v>0</v>
      </c>
      <c r="AG312" s="55">
        <v>0</v>
      </c>
      <c r="AH312" s="55">
        <f t="shared" si="139"/>
        <v>9</v>
      </c>
      <c r="AI312" s="55">
        <v>9</v>
      </c>
      <c r="AJ312" s="55">
        <v>0</v>
      </c>
      <c r="AK312" s="55">
        <v>0</v>
      </c>
      <c r="AL312" s="55">
        <f t="shared" si="140"/>
        <v>8</v>
      </c>
      <c r="AM312" s="55">
        <v>8</v>
      </c>
      <c r="AN312" s="55">
        <v>0</v>
      </c>
      <c r="AO312" s="55">
        <v>0</v>
      </c>
      <c r="AP312" s="55">
        <f t="shared" si="121"/>
        <v>2</v>
      </c>
      <c r="AQ312" s="55">
        <f>IFERROR(VLOOKUP(A312,[1]SIIMPLES!$A$2:$F$418,6,FALSE),0)</f>
        <v>2</v>
      </c>
      <c r="AR312" s="55">
        <v>0</v>
      </c>
      <c r="AS312" s="55">
        <v>6</v>
      </c>
      <c r="AT312" s="55">
        <v>6</v>
      </c>
      <c r="AU312" s="55">
        <v>0</v>
      </c>
      <c r="AV312" s="55">
        <v>0</v>
      </c>
      <c r="AW312" s="55"/>
      <c r="AX312" s="55"/>
      <c r="AY312" s="56">
        <f t="shared" si="141"/>
        <v>3.4</v>
      </c>
      <c r="AZ312" s="55"/>
      <c r="BA312" s="56">
        <v>1.3333333333333333</v>
      </c>
      <c r="BB312" s="41">
        <f t="shared" si="125"/>
        <v>1.5500000000000003</v>
      </c>
      <c r="BC312" s="7"/>
      <c r="BD312" s="35"/>
      <c r="BE312" s="13"/>
      <c r="BF312" s="16"/>
      <c r="BG312" s="17">
        <f>IFERROR(BC312/AY312,"0")</f>
        <v>0</v>
      </c>
      <c r="BH312" s="16">
        <f>IFERROR(IF(F312=1,IF(BC312&lt;AY312*3,AY312*3-BC312,0),IF(BC312&lt;AY312,AY312-BC312,0)),"")</f>
        <v>3.4</v>
      </c>
    </row>
    <row r="313" spans="1:60" s="21" customFormat="1" ht="12.75" customHeight="1" x14ac:dyDescent="0.2">
      <c r="A313" s="51">
        <v>4055</v>
      </c>
      <c r="B313" s="51" t="s">
        <v>1077</v>
      </c>
      <c r="C313" s="66" t="s">
        <v>1803</v>
      </c>
      <c r="D313" s="52" t="s">
        <v>760</v>
      </c>
      <c r="E313" s="52" t="s">
        <v>736</v>
      </c>
      <c r="F313" s="53">
        <f>IFERROR(VLOOKUP(E313,Fornecedores!$A$2:$B$2700,2,FALSE),"")</f>
        <v>5</v>
      </c>
      <c r="G313" s="52" t="s">
        <v>912</v>
      </c>
      <c r="H313" s="57"/>
      <c r="I313" s="55">
        <f t="shared" si="135"/>
        <v>3</v>
      </c>
      <c r="J313" s="55">
        <v>3</v>
      </c>
      <c r="K313" s="55">
        <v>0</v>
      </c>
      <c r="L313" s="55">
        <v>0</v>
      </c>
      <c r="M313" s="55">
        <v>0</v>
      </c>
      <c r="N313" s="55">
        <f t="shared" si="136"/>
        <v>2</v>
      </c>
      <c r="O313" s="55">
        <v>2</v>
      </c>
      <c r="P313" s="55">
        <v>0</v>
      </c>
      <c r="Q313" s="55">
        <v>0</v>
      </c>
      <c r="R313" s="55">
        <f t="shared" si="137"/>
        <v>0</v>
      </c>
      <c r="S313" s="55">
        <v>0</v>
      </c>
      <c r="T313" s="55">
        <v>0</v>
      </c>
      <c r="U313" s="55">
        <v>0</v>
      </c>
      <c r="V313" s="55">
        <v>2</v>
      </c>
      <c r="W313" s="53">
        <v>2</v>
      </c>
      <c r="X313" s="53">
        <v>0</v>
      </c>
      <c r="Y313" s="55">
        <v>0</v>
      </c>
      <c r="Z313" s="55">
        <v>1</v>
      </c>
      <c r="AA313" s="53">
        <v>1</v>
      </c>
      <c r="AB313" s="53">
        <v>0</v>
      </c>
      <c r="AC313" s="55">
        <v>0</v>
      </c>
      <c r="AD313" s="55">
        <f t="shared" si="138"/>
        <v>5</v>
      </c>
      <c r="AE313" s="53">
        <v>5</v>
      </c>
      <c r="AF313" s="55">
        <v>0</v>
      </c>
      <c r="AG313" s="55">
        <v>0</v>
      </c>
      <c r="AH313" s="55">
        <f t="shared" si="139"/>
        <v>5</v>
      </c>
      <c r="AI313" s="55">
        <v>5</v>
      </c>
      <c r="AJ313" s="55">
        <v>0</v>
      </c>
      <c r="AK313" s="55">
        <v>0</v>
      </c>
      <c r="AL313" s="55">
        <f t="shared" si="140"/>
        <v>1</v>
      </c>
      <c r="AM313" s="55">
        <v>1</v>
      </c>
      <c r="AN313" s="55">
        <v>0</v>
      </c>
      <c r="AO313" s="55">
        <v>0</v>
      </c>
      <c r="AP313" s="55">
        <f t="shared" si="121"/>
        <v>2</v>
      </c>
      <c r="AQ313" s="55">
        <f>IFERROR(VLOOKUP(A313,[1]SIIMPLES!$A$2:$F$418,6,FALSE),0)</f>
        <v>2</v>
      </c>
      <c r="AR313" s="55">
        <v>0</v>
      </c>
      <c r="AS313" s="55">
        <v>3</v>
      </c>
      <c r="AT313" s="55">
        <v>3</v>
      </c>
      <c r="AU313" s="55">
        <v>0</v>
      </c>
      <c r="AV313" s="55">
        <v>0</v>
      </c>
      <c r="AW313" s="55"/>
      <c r="AX313" s="55"/>
      <c r="AY313" s="56">
        <f t="shared" si="141"/>
        <v>2.4</v>
      </c>
      <c r="AZ313" s="55"/>
      <c r="BA313" s="56">
        <v>1.8333333333333333</v>
      </c>
      <c r="BB313" s="41">
        <f t="shared" si="125"/>
        <v>0.30909090909090908</v>
      </c>
      <c r="BC313" s="13"/>
      <c r="BD313" s="35"/>
      <c r="BE313" s="13"/>
      <c r="BF313" s="16">
        <f>SUM(BC313:BE313)</f>
        <v>0</v>
      </c>
      <c r="BG313" s="17">
        <f>IFERROR(BC313/AY313,"0")</f>
        <v>0</v>
      </c>
      <c r="BH313" s="16">
        <f>IFERROR(IF(F313=1,IF(BC313&lt;AY313*3,AY313*3-BC313,0),IF(BC313&lt;AY313,AY313-BC313,0)),"")</f>
        <v>2.4</v>
      </c>
    </row>
    <row r="314" spans="1:60" s="21" customFormat="1" ht="12.75" customHeight="1" x14ac:dyDescent="0.2">
      <c r="A314" s="51">
        <v>4068</v>
      </c>
      <c r="B314" s="51"/>
      <c r="C314" s="66" t="s">
        <v>1803</v>
      </c>
      <c r="D314" s="52" t="s">
        <v>760</v>
      </c>
      <c r="E314" s="52" t="s">
        <v>736</v>
      </c>
      <c r="F314" s="53">
        <f>IFERROR(VLOOKUP(E314,Fornecedores!$A$2:$B$2700,2,FALSE),"")</f>
        <v>5</v>
      </c>
      <c r="G314" s="52" t="s">
        <v>1670</v>
      </c>
      <c r="H314" s="54"/>
      <c r="I314" s="55">
        <f t="shared" si="135"/>
        <v>0</v>
      </c>
      <c r="J314" s="55">
        <v>0</v>
      </c>
      <c r="K314" s="55">
        <v>0</v>
      </c>
      <c r="L314" s="55">
        <v>0</v>
      </c>
      <c r="M314" s="55">
        <v>0</v>
      </c>
      <c r="N314" s="55">
        <f t="shared" si="136"/>
        <v>0</v>
      </c>
      <c r="O314" s="55">
        <v>0</v>
      </c>
      <c r="P314" s="55">
        <v>0</v>
      </c>
      <c r="Q314" s="55">
        <v>0</v>
      </c>
      <c r="R314" s="55">
        <f t="shared" si="137"/>
        <v>0</v>
      </c>
      <c r="S314" s="55">
        <v>0</v>
      </c>
      <c r="T314" s="55">
        <v>0</v>
      </c>
      <c r="U314" s="55">
        <v>0</v>
      </c>
      <c r="V314" s="55">
        <v>0</v>
      </c>
      <c r="W314" s="53">
        <v>0</v>
      </c>
      <c r="X314" s="53">
        <v>0</v>
      </c>
      <c r="Y314" s="55">
        <v>0</v>
      </c>
      <c r="Z314" s="55">
        <v>2</v>
      </c>
      <c r="AA314" s="53">
        <v>2</v>
      </c>
      <c r="AB314" s="53">
        <v>0</v>
      </c>
      <c r="AC314" s="55">
        <v>0</v>
      </c>
      <c r="AD314" s="55">
        <f t="shared" si="138"/>
        <v>2</v>
      </c>
      <c r="AE314" s="53">
        <v>2</v>
      </c>
      <c r="AF314" s="55">
        <v>0</v>
      </c>
      <c r="AG314" s="55">
        <v>0</v>
      </c>
      <c r="AH314" s="55">
        <f t="shared" si="139"/>
        <v>3</v>
      </c>
      <c r="AI314" s="55">
        <v>3</v>
      </c>
      <c r="AJ314" s="55">
        <v>0</v>
      </c>
      <c r="AK314" s="55">
        <v>0</v>
      </c>
      <c r="AL314" s="55">
        <f t="shared" si="140"/>
        <v>1</v>
      </c>
      <c r="AM314" s="55">
        <v>1</v>
      </c>
      <c r="AN314" s="55">
        <v>0</v>
      </c>
      <c r="AO314" s="55">
        <v>0</v>
      </c>
      <c r="AP314" s="55">
        <f t="shared" si="121"/>
        <v>2</v>
      </c>
      <c r="AQ314" s="55">
        <f>IFERROR(VLOOKUP(A314,[1]SIIMPLES!$A$2:$F$418,6,FALSE),0)</f>
        <v>2</v>
      </c>
      <c r="AR314" s="55">
        <v>0</v>
      </c>
      <c r="AS314" s="55">
        <v>9</v>
      </c>
      <c r="AT314" s="55">
        <v>9</v>
      </c>
      <c r="AU314" s="55">
        <v>0</v>
      </c>
      <c r="AV314" s="55">
        <v>0</v>
      </c>
      <c r="AW314" s="55"/>
      <c r="AX314" s="55"/>
      <c r="AY314" s="56">
        <f t="shared" si="141"/>
        <v>1.9</v>
      </c>
      <c r="AZ314" s="55"/>
      <c r="BA314" s="56">
        <v>0</v>
      </c>
      <c r="BB314" s="41" t="str">
        <f t="shared" si="125"/>
        <v/>
      </c>
      <c r="BC314" s="13"/>
      <c r="BD314" s="36"/>
      <c r="BE314" s="7"/>
      <c r="BF314" s="7"/>
      <c r="BG314" s="7"/>
      <c r="BH314" s="7"/>
    </row>
    <row r="315" spans="1:60" s="21" customFormat="1" ht="12.75" customHeight="1" x14ac:dyDescent="0.2">
      <c r="A315" s="51">
        <v>4072</v>
      </c>
      <c r="B315" s="51"/>
      <c r="C315" s="66" t="s">
        <v>1803</v>
      </c>
      <c r="D315" s="52" t="s">
        <v>760</v>
      </c>
      <c r="E315" s="52" t="s">
        <v>736</v>
      </c>
      <c r="F315" s="53">
        <f>IFERROR(VLOOKUP(E315,Fornecedores!$A$2:$B$2700,2,FALSE),"")</f>
        <v>5</v>
      </c>
      <c r="G315" s="52" t="s">
        <v>1667</v>
      </c>
      <c r="H315" s="57"/>
      <c r="I315" s="55">
        <f t="shared" si="135"/>
        <v>0</v>
      </c>
      <c r="J315" s="55">
        <v>0</v>
      </c>
      <c r="K315" s="55">
        <v>0</v>
      </c>
      <c r="L315" s="55">
        <v>0</v>
      </c>
      <c r="M315" s="55">
        <v>0</v>
      </c>
      <c r="N315" s="55">
        <f t="shared" si="136"/>
        <v>0</v>
      </c>
      <c r="O315" s="55">
        <v>0</v>
      </c>
      <c r="P315" s="55">
        <v>0</v>
      </c>
      <c r="Q315" s="55">
        <v>0</v>
      </c>
      <c r="R315" s="55">
        <f t="shared" si="137"/>
        <v>0</v>
      </c>
      <c r="S315" s="55">
        <v>0</v>
      </c>
      <c r="T315" s="55">
        <v>0</v>
      </c>
      <c r="U315" s="55">
        <v>0</v>
      </c>
      <c r="V315" s="55">
        <v>3</v>
      </c>
      <c r="W315" s="53">
        <v>3</v>
      </c>
      <c r="X315" s="53">
        <v>0</v>
      </c>
      <c r="Y315" s="55">
        <v>0</v>
      </c>
      <c r="Z315" s="55">
        <v>0</v>
      </c>
      <c r="AA315" s="53">
        <v>0</v>
      </c>
      <c r="AB315" s="53">
        <v>0</v>
      </c>
      <c r="AC315" s="55">
        <v>0</v>
      </c>
      <c r="AD315" s="55">
        <f t="shared" si="138"/>
        <v>2</v>
      </c>
      <c r="AE315" s="53">
        <v>2</v>
      </c>
      <c r="AF315" s="55">
        <v>0</v>
      </c>
      <c r="AG315" s="55">
        <v>0</v>
      </c>
      <c r="AH315" s="55">
        <f t="shared" si="139"/>
        <v>1</v>
      </c>
      <c r="AI315" s="55">
        <v>1</v>
      </c>
      <c r="AJ315" s="55">
        <v>0</v>
      </c>
      <c r="AK315" s="55">
        <v>0</v>
      </c>
      <c r="AL315" s="55">
        <f t="shared" si="140"/>
        <v>0</v>
      </c>
      <c r="AM315" s="55" t="s">
        <v>1912</v>
      </c>
      <c r="AN315" s="55">
        <v>0</v>
      </c>
      <c r="AO315" s="55">
        <v>0</v>
      </c>
      <c r="AP315" s="55">
        <f t="shared" si="121"/>
        <v>2</v>
      </c>
      <c r="AQ315" s="55">
        <f>IFERROR(VLOOKUP(A315,[1]SIIMPLES!$A$2:$F$418,6,FALSE),0)</f>
        <v>2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/>
      <c r="AX315" s="55"/>
      <c r="AY315" s="56">
        <f t="shared" si="141"/>
        <v>0.8</v>
      </c>
      <c r="AZ315" s="55"/>
      <c r="BA315" s="56">
        <v>0</v>
      </c>
      <c r="BB315" s="41" t="str">
        <f t="shared" si="125"/>
        <v/>
      </c>
      <c r="BC315" s="13"/>
      <c r="BD315" s="35"/>
      <c r="BE315" s="13"/>
      <c r="BF315" s="16">
        <f>SUM(BC315:BE315)</f>
        <v>0</v>
      </c>
      <c r="BG315" s="17">
        <f t="shared" ref="BG315:BG345" si="142">IFERROR(BC315/AY315,"0")</f>
        <v>0</v>
      </c>
      <c r="BH315" s="16">
        <f>IFERROR(IF(F315=1,IF(BC315&lt;AY315*3,AY315*3-BC315,0),IF(BC315&lt;AY315,AY315-BC315,0)),"")</f>
        <v>0.8</v>
      </c>
    </row>
    <row r="316" spans="1:60" s="21" customFormat="1" ht="12.75" customHeight="1" x14ac:dyDescent="0.2">
      <c r="A316" s="51">
        <v>4076</v>
      </c>
      <c r="B316" s="51" t="s">
        <v>1077</v>
      </c>
      <c r="C316" s="66" t="s">
        <v>1803</v>
      </c>
      <c r="D316" s="52" t="s">
        <v>760</v>
      </c>
      <c r="E316" s="52" t="s">
        <v>736</v>
      </c>
      <c r="F316" s="53">
        <f>IFERROR(VLOOKUP(E316,Fornecedores!$A$2:$B$2700,2,FALSE),"")</f>
        <v>5</v>
      </c>
      <c r="G316" s="52" t="s">
        <v>390</v>
      </c>
      <c r="H316" s="54"/>
      <c r="I316" s="55">
        <f t="shared" si="135"/>
        <v>10</v>
      </c>
      <c r="J316" s="55">
        <v>10</v>
      </c>
      <c r="K316" s="55">
        <v>0</v>
      </c>
      <c r="L316" s="55">
        <v>0</v>
      </c>
      <c r="M316" s="55">
        <v>0</v>
      </c>
      <c r="N316" s="55">
        <f t="shared" si="136"/>
        <v>1</v>
      </c>
      <c r="O316" s="55">
        <v>1</v>
      </c>
      <c r="P316" s="55">
        <v>0</v>
      </c>
      <c r="Q316" s="55">
        <v>0</v>
      </c>
      <c r="R316" s="55">
        <f t="shared" si="137"/>
        <v>1</v>
      </c>
      <c r="S316" s="55">
        <v>1</v>
      </c>
      <c r="T316" s="55">
        <v>0</v>
      </c>
      <c r="U316" s="55">
        <v>0</v>
      </c>
      <c r="V316" s="55">
        <v>1</v>
      </c>
      <c r="W316" s="53">
        <v>1</v>
      </c>
      <c r="X316" s="53">
        <v>0</v>
      </c>
      <c r="Y316" s="55">
        <v>0</v>
      </c>
      <c r="Z316" s="55">
        <v>4</v>
      </c>
      <c r="AA316" s="53">
        <v>4</v>
      </c>
      <c r="AB316" s="53">
        <v>0</v>
      </c>
      <c r="AC316" s="55">
        <v>0</v>
      </c>
      <c r="AD316" s="55">
        <f t="shared" si="138"/>
        <v>0</v>
      </c>
      <c r="AE316" s="53">
        <v>0</v>
      </c>
      <c r="AF316" s="55">
        <v>0</v>
      </c>
      <c r="AG316" s="55">
        <v>0</v>
      </c>
      <c r="AH316" s="55">
        <f t="shared" si="139"/>
        <v>3</v>
      </c>
      <c r="AI316" s="55">
        <v>3</v>
      </c>
      <c r="AJ316" s="55">
        <v>0</v>
      </c>
      <c r="AK316" s="55">
        <v>0</v>
      </c>
      <c r="AL316" s="55">
        <f t="shared" si="140"/>
        <v>2</v>
      </c>
      <c r="AM316" s="55">
        <v>2</v>
      </c>
      <c r="AN316" s="55">
        <v>0</v>
      </c>
      <c r="AO316" s="55">
        <v>0</v>
      </c>
      <c r="AP316" s="55">
        <f t="shared" si="121"/>
        <v>2</v>
      </c>
      <c r="AQ316" s="55">
        <f>IFERROR(VLOOKUP(A316,[1]SIIMPLES!$A$2:$F$418,6,FALSE),0)</f>
        <v>2</v>
      </c>
      <c r="AR316" s="55">
        <v>0</v>
      </c>
      <c r="AS316" s="55">
        <v>0</v>
      </c>
      <c r="AT316" s="55">
        <v>0</v>
      </c>
      <c r="AU316" s="55">
        <v>0</v>
      </c>
      <c r="AV316" s="55">
        <v>0</v>
      </c>
      <c r="AW316" s="55"/>
      <c r="AX316" s="55"/>
      <c r="AY316" s="56">
        <f t="shared" si="141"/>
        <v>2.4</v>
      </c>
      <c r="AZ316" s="55"/>
      <c r="BA316" s="56">
        <v>12.333333333333334</v>
      </c>
      <c r="BB316" s="41">
        <f t="shared" si="125"/>
        <v>-0.80540540540540539</v>
      </c>
      <c r="BC316" s="7"/>
      <c r="BD316" s="35"/>
      <c r="BE316" s="13"/>
      <c r="BF316" s="16">
        <f>SUM(BC316:BE316)</f>
        <v>0</v>
      </c>
      <c r="BG316" s="17">
        <f t="shared" si="142"/>
        <v>0</v>
      </c>
      <c r="BH316" s="16">
        <f>ROUND(IFERROR(IF(F316=1,IF(BC316&lt;AY316*3,AY316*3-BC316,0),IF(BC316&lt;AY316,AY316*0.6-BC316,0)),""),0)</f>
        <v>1</v>
      </c>
    </row>
    <row r="317" spans="1:60" s="21" customFormat="1" ht="12.75" customHeight="1" x14ac:dyDescent="0.2">
      <c r="A317" s="51">
        <v>5000</v>
      </c>
      <c r="B317" s="51" t="s">
        <v>1077</v>
      </c>
      <c r="C317" s="66" t="s">
        <v>1803</v>
      </c>
      <c r="D317" s="52" t="s">
        <v>735</v>
      </c>
      <c r="E317" s="52" t="s">
        <v>736</v>
      </c>
      <c r="F317" s="53">
        <f>IFERROR(VLOOKUP(E317,Fornecedores!$A$2:$B$2700,2,FALSE),"")</f>
        <v>5</v>
      </c>
      <c r="G317" s="52" t="s">
        <v>699</v>
      </c>
      <c r="H317" s="54"/>
      <c r="I317" s="55">
        <f t="shared" si="135"/>
        <v>2</v>
      </c>
      <c r="J317" s="55">
        <v>0</v>
      </c>
      <c r="K317" s="55">
        <v>2</v>
      </c>
      <c r="L317" s="55">
        <v>0</v>
      </c>
      <c r="M317" s="55">
        <v>0</v>
      </c>
      <c r="N317" s="55">
        <f t="shared" si="136"/>
        <v>11</v>
      </c>
      <c r="O317" s="55">
        <v>1</v>
      </c>
      <c r="P317" s="55">
        <v>10</v>
      </c>
      <c r="Q317" s="55">
        <v>0</v>
      </c>
      <c r="R317" s="55">
        <f t="shared" si="137"/>
        <v>2</v>
      </c>
      <c r="S317" s="55">
        <v>0</v>
      </c>
      <c r="T317" s="55">
        <v>2</v>
      </c>
      <c r="U317" s="55">
        <v>0</v>
      </c>
      <c r="V317" s="55">
        <v>2</v>
      </c>
      <c r="W317" s="53">
        <v>2</v>
      </c>
      <c r="X317" s="53">
        <v>0</v>
      </c>
      <c r="Y317" s="55">
        <v>0</v>
      </c>
      <c r="Z317" s="55">
        <v>12</v>
      </c>
      <c r="AA317" s="53">
        <v>0</v>
      </c>
      <c r="AB317" s="53">
        <v>12</v>
      </c>
      <c r="AC317" s="55">
        <v>0</v>
      </c>
      <c r="AD317" s="55">
        <f t="shared" si="138"/>
        <v>8</v>
      </c>
      <c r="AE317" s="53">
        <v>0</v>
      </c>
      <c r="AF317" s="55">
        <v>8</v>
      </c>
      <c r="AG317" s="55">
        <v>0</v>
      </c>
      <c r="AH317" s="55">
        <f t="shared" si="139"/>
        <v>0</v>
      </c>
      <c r="AI317" s="55">
        <v>0</v>
      </c>
      <c r="AJ317" s="55">
        <v>0</v>
      </c>
      <c r="AK317" s="55">
        <v>0</v>
      </c>
      <c r="AL317" s="55">
        <f t="shared" si="140"/>
        <v>2</v>
      </c>
      <c r="AM317" s="55" t="s">
        <v>1912</v>
      </c>
      <c r="AN317" s="55">
        <v>2</v>
      </c>
      <c r="AO317" s="55">
        <v>0</v>
      </c>
      <c r="AP317" s="55">
        <f t="shared" si="121"/>
        <v>2</v>
      </c>
      <c r="AQ317" s="55">
        <f>IFERROR(VLOOKUP(A317,[1]SIIMPLES!$A$2:$F$418,6,FALSE),0)</f>
        <v>0</v>
      </c>
      <c r="AR317" s="55">
        <v>2</v>
      </c>
      <c r="AS317" s="55">
        <v>0</v>
      </c>
      <c r="AT317" s="55">
        <v>0</v>
      </c>
      <c r="AU317" s="55">
        <v>0</v>
      </c>
      <c r="AV317" s="55">
        <v>0</v>
      </c>
      <c r="AW317" s="55"/>
      <c r="AX317" s="55"/>
      <c r="AY317" s="56">
        <f t="shared" si="141"/>
        <v>4.0999999999999996</v>
      </c>
      <c r="AZ317" s="55"/>
      <c r="BA317" s="56">
        <v>25.5</v>
      </c>
      <c r="BB317" s="41">
        <f t="shared" si="125"/>
        <v>-0.83921568627450982</v>
      </c>
      <c r="BC317" s="13"/>
      <c r="BD317" s="35"/>
      <c r="BE317" s="13"/>
      <c r="BF317" s="16"/>
      <c r="BG317" s="17">
        <f t="shared" si="142"/>
        <v>0</v>
      </c>
      <c r="BH317" s="16">
        <f>IFERROR(IF(F317=1,IF(BC317&lt;AY317*3,AY317*3-BC317,0),IF(BC317&lt;AY317,AY317-BC317,0)),"")</f>
        <v>4.0999999999999996</v>
      </c>
    </row>
    <row r="318" spans="1:60" s="21" customFormat="1" ht="12.75" customHeight="1" x14ac:dyDescent="0.2">
      <c r="A318" s="51">
        <v>5205</v>
      </c>
      <c r="B318" s="51"/>
      <c r="C318" s="66" t="s">
        <v>1803</v>
      </c>
      <c r="D318" s="52" t="s">
        <v>735</v>
      </c>
      <c r="E318" s="52" t="s">
        <v>736</v>
      </c>
      <c r="F318" s="53">
        <f>IFERROR(VLOOKUP(E318,Fornecedores!$A$2:$B$2700,2,FALSE),"")</f>
        <v>5</v>
      </c>
      <c r="G318" s="52" t="s">
        <v>932</v>
      </c>
      <c r="H318" s="54"/>
      <c r="I318" s="55">
        <f t="shared" si="135"/>
        <v>0</v>
      </c>
      <c r="J318" s="55">
        <v>0</v>
      </c>
      <c r="K318" s="55">
        <v>0</v>
      </c>
      <c r="L318" s="55">
        <v>0</v>
      </c>
      <c r="M318" s="55">
        <v>0</v>
      </c>
      <c r="N318" s="55">
        <f t="shared" si="136"/>
        <v>0</v>
      </c>
      <c r="O318" s="55">
        <v>0</v>
      </c>
      <c r="P318" s="55">
        <v>0</v>
      </c>
      <c r="Q318" s="55">
        <v>0</v>
      </c>
      <c r="R318" s="55">
        <f t="shared" si="137"/>
        <v>0</v>
      </c>
      <c r="S318" s="55">
        <v>0</v>
      </c>
      <c r="T318" s="55">
        <v>0</v>
      </c>
      <c r="U318" s="55">
        <v>0</v>
      </c>
      <c r="V318" s="55">
        <v>0</v>
      </c>
      <c r="W318" s="53">
        <v>0</v>
      </c>
      <c r="X318" s="53">
        <v>0</v>
      </c>
      <c r="Y318" s="55">
        <v>0</v>
      </c>
      <c r="Z318" s="55">
        <v>0</v>
      </c>
      <c r="AA318" s="53">
        <v>0</v>
      </c>
      <c r="AB318" s="53">
        <v>0</v>
      </c>
      <c r="AC318" s="55">
        <v>0</v>
      </c>
      <c r="AD318" s="55">
        <f t="shared" si="138"/>
        <v>0</v>
      </c>
      <c r="AE318" s="53">
        <v>0</v>
      </c>
      <c r="AF318" s="55">
        <v>0</v>
      </c>
      <c r="AG318" s="55">
        <v>0</v>
      </c>
      <c r="AH318" s="55">
        <f t="shared" si="139"/>
        <v>0</v>
      </c>
      <c r="AI318" s="55">
        <v>0</v>
      </c>
      <c r="AJ318" s="55">
        <v>0</v>
      </c>
      <c r="AK318" s="55">
        <v>0</v>
      </c>
      <c r="AL318" s="55">
        <f t="shared" si="140"/>
        <v>0</v>
      </c>
      <c r="AM318" s="55" t="s">
        <v>1912</v>
      </c>
      <c r="AN318" s="55">
        <v>0</v>
      </c>
      <c r="AO318" s="55">
        <v>0</v>
      </c>
      <c r="AP318" s="55">
        <f t="shared" si="121"/>
        <v>2</v>
      </c>
      <c r="AQ318" s="55">
        <f>IFERROR(VLOOKUP(A318,[1]SIIMPLES!$A$2:$F$418,6,FALSE),0)</f>
        <v>0</v>
      </c>
      <c r="AR318" s="55">
        <v>2</v>
      </c>
      <c r="AS318" s="55">
        <v>2</v>
      </c>
      <c r="AT318" s="55">
        <v>0</v>
      </c>
      <c r="AU318" s="55">
        <v>2</v>
      </c>
      <c r="AV318" s="55">
        <v>0</v>
      </c>
      <c r="AW318" s="55"/>
      <c r="AX318" s="55"/>
      <c r="AY318" s="56">
        <f t="shared" si="141"/>
        <v>0.4</v>
      </c>
      <c r="AZ318" s="55"/>
      <c r="BA318" s="56">
        <v>2</v>
      </c>
      <c r="BB318" s="41">
        <f t="shared" si="125"/>
        <v>-0.8</v>
      </c>
      <c r="BC318" s="7"/>
      <c r="BD318" s="35"/>
      <c r="BE318" s="13"/>
      <c r="BF318" s="16"/>
      <c r="BG318" s="17">
        <f t="shared" si="142"/>
        <v>0</v>
      </c>
      <c r="BH318" s="16">
        <f>ROUND(IFERROR(IF(F318=1,IF(BC318&lt;AY318*3,AY318*3-BC318,0),IF(BC318&lt;AY318,AY318*0.6-BC318,0)),""),0)</f>
        <v>0</v>
      </c>
    </row>
    <row r="319" spans="1:60" s="21" customFormat="1" ht="12.75" customHeight="1" x14ac:dyDescent="0.2">
      <c r="A319" s="51">
        <v>5236</v>
      </c>
      <c r="B319" s="51" t="s">
        <v>1077</v>
      </c>
      <c r="C319" s="66" t="s">
        <v>1803</v>
      </c>
      <c r="D319" s="52" t="s">
        <v>735</v>
      </c>
      <c r="E319" s="52" t="s">
        <v>736</v>
      </c>
      <c r="F319" s="53">
        <f>IFERROR(VLOOKUP(E319,Fornecedores!$A$2:$B$2700,2,FALSE),"")</f>
        <v>5</v>
      </c>
      <c r="G319" s="52" t="s">
        <v>469</v>
      </c>
      <c r="H319" s="54"/>
      <c r="I319" s="55">
        <f t="shared" si="135"/>
        <v>20</v>
      </c>
      <c r="J319" s="55">
        <v>0</v>
      </c>
      <c r="K319" s="55">
        <v>20</v>
      </c>
      <c r="L319" s="55">
        <v>0</v>
      </c>
      <c r="M319" s="55">
        <v>0</v>
      </c>
      <c r="N319" s="55">
        <f t="shared" si="136"/>
        <v>0</v>
      </c>
      <c r="O319" s="55">
        <v>0</v>
      </c>
      <c r="P319" s="55">
        <v>0</v>
      </c>
      <c r="Q319" s="55">
        <v>0</v>
      </c>
      <c r="R319" s="55">
        <f t="shared" si="137"/>
        <v>10</v>
      </c>
      <c r="S319" s="55">
        <v>0</v>
      </c>
      <c r="T319" s="55">
        <v>10</v>
      </c>
      <c r="U319" s="55">
        <v>0</v>
      </c>
      <c r="V319" s="55">
        <v>8</v>
      </c>
      <c r="W319" s="53">
        <v>2</v>
      </c>
      <c r="X319" s="53">
        <v>6</v>
      </c>
      <c r="Y319" s="55">
        <v>0</v>
      </c>
      <c r="Z319" s="55">
        <v>10</v>
      </c>
      <c r="AA319" s="53">
        <v>0</v>
      </c>
      <c r="AB319" s="53">
        <v>10</v>
      </c>
      <c r="AC319" s="55">
        <v>0</v>
      </c>
      <c r="AD319" s="55">
        <f t="shared" si="138"/>
        <v>14</v>
      </c>
      <c r="AE319" s="53">
        <v>0</v>
      </c>
      <c r="AF319" s="55">
        <v>14</v>
      </c>
      <c r="AG319" s="55">
        <v>0</v>
      </c>
      <c r="AH319" s="55">
        <f t="shared" si="139"/>
        <v>4</v>
      </c>
      <c r="AI319" s="55">
        <v>0</v>
      </c>
      <c r="AJ319" s="55">
        <v>4</v>
      </c>
      <c r="AK319" s="55">
        <v>0</v>
      </c>
      <c r="AL319" s="55">
        <f t="shared" si="140"/>
        <v>0</v>
      </c>
      <c r="AM319" s="55" t="s">
        <v>1912</v>
      </c>
      <c r="AN319" s="55">
        <v>0</v>
      </c>
      <c r="AO319" s="55">
        <v>0</v>
      </c>
      <c r="AP319" s="55">
        <f t="shared" si="121"/>
        <v>2</v>
      </c>
      <c r="AQ319" s="55">
        <f>IFERROR(VLOOKUP(A319,[1]SIIMPLES!$A$2:$F$418,6,FALSE),0)</f>
        <v>0</v>
      </c>
      <c r="AR319" s="55">
        <v>2</v>
      </c>
      <c r="AS319" s="55">
        <v>12</v>
      </c>
      <c r="AT319" s="55">
        <v>0</v>
      </c>
      <c r="AU319" s="55">
        <v>12</v>
      </c>
      <c r="AV319" s="55">
        <v>0</v>
      </c>
      <c r="AW319" s="55"/>
      <c r="AX319" s="55"/>
      <c r="AY319" s="56">
        <f t="shared" si="141"/>
        <v>8</v>
      </c>
      <c r="AZ319" s="55"/>
      <c r="BA319" s="56">
        <v>22.333333333333332</v>
      </c>
      <c r="BB319" s="41">
        <f t="shared" si="125"/>
        <v>-0.64179104477611937</v>
      </c>
      <c r="BC319" s="13"/>
      <c r="BD319" s="35"/>
      <c r="BE319" s="13"/>
      <c r="BF319" s="16">
        <f>SUM(BC319:BE319)</f>
        <v>0</v>
      </c>
      <c r="BG319" s="17">
        <f t="shared" si="142"/>
        <v>0</v>
      </c>
      <c r="BH319" s="16">
        <f t="shared" ref="BH319:BH325" si="143">IFERROR(IF(F319=1,IF(BC319&lt;AY319*3,AY319*3-BC319,0),IF(BC319&lt;AY319,AY319-BC319,0)),"")</f>
        <v>8</v>
      </c>
    </row>
    <row r="320" spans="1:60" s="21" customFormat="1" ht="12.75" customHeight="1" x14ac:dyDescent="0.2">
      <c r="A320" s="51">
        <v>5416</v>
      </c>
      <c r="B320" s="51"/>
      <c r="C320" s="66" t="s">
        <v>1803</v>
      </c>
      <c r="D320" s="52" t="s">
        <v>735</v>
      </c>
      <c r="E320" s="52" t="s">
        <v>736</v>
      </c>
      <c r="F320" s="53">
        <f>IFERROR(VLOOKUP(E320,Fornecedores!$A$2:$B$2700,2,FALSE),"")</f>
        <v>5</v>
      </c>
      <c r="G320" s="52" t="s">
        <v>879</v>
      </c>
      <c r="H320" s="54"/>
      <c r="I320" s="55">
        <f t="shared" si="135"/>
        <v>0</v>
      </c>
      <c r="J320" s="55">
        <v>0</v>
      </c>
      <c r="K320" s="55">
        <v>0</v>
      </c>
      <c r="L320" s="55">
        <v>0</v>
      </c>
      <c r="M320" s="55">
        <v>0</v>
      </c>
      <c r="N320" s="55">
        <f t="shared" si="136"/>
        <v>0</v>
      </c>
      <c r="O320" s="55">
        <v>0</v>
      </c>
      <c r="P320" s="55">
        <v>0</v>
      </c>
      <c r="Q320" s="55">
        <v>0</v>
      </c>
      <c r="R320" s="55">
        <f t="shared" si="137"/>
        <v>0</v>
      </c>
      <c r="S320" s="55">
        <v>0</v>
      </c>
      <c r="T320" s="55">
        <v>0</v>
      </c>
      <c r="U320" s="55">
        <v>0</v>
      </c>
      <c r="V320" s="55">
        <v>2</v>
      </c>
      <c r="W320" s="53">
        <v>0</v>
      </c>
      <c r="X320" s="53">
        <v>2</v>
      </c>
      <c r="Y320" s="55">
        <v>0</v>
      </c>
      <c r="Z320" s="55">
        <v>2</v>
      </c>
      <c r="AA320" s="53">
        <v>0</v>
      </c>
      <c r="AB320" s="53">
        <v>2</v>
      </c>
      <c r="AC320" s="55">
        <v>0</v>
      </c>
      <c r="AD320" s="55">
        <f t="shared" si="138"/>
        <v>0</v>
      </c>
      <c r="AE320" s="53">
        <v>0</v>
      </c>
      <c r="AF320" s="55">
        <v>0</v>
      </c>
      <c r="AG320" s="55">
        <v>0</v>
      </c>
      <c r="AH320" s="55">
        <f t="shared" si="139"/>
        <v>0</v>
      </c>
      <c r="AI320" s="55">
        <v>0</v>
      </c>
      <c r="AJ320" s="55">
        <v>0</v>
      </c>
      <c r="AK320" s="55">
        <v>0</v>
      </c>
      <c r="AL320" s="55">
        <f t="shared" si="140"/>
        <v>0</v>
      </c>
      <c r="AM320" s="55" t="s">
        <v>1912</v>
      </c>
      <c r="AN320" s="55">
        <v>0</v>
      </c>
      <c r="AO320" s="55">
        <v>0</v>
      </c>
      <c r="AP320" s="55">
        <f t="shared" si="121"/>
        <v>2</v>
      </c>
      <c r="AQ320" s="55">
        <f>IFERROR(VLOOKUP(A320,[1]SIIMPLES!$A$2:$F$418,6,FALSE),0)</f>
        <v>0</v>
      </c>
      <c r="AR320" s="55">
        <v>2</v>
      </c>
      <c r="AS320" s="55">
        <v>0</v>
      </c>
      <c r="AT320" s="55">
        <v>0</v>
      </c>
      <c r="AU320" s="55">
        <v>0</v>
      </c>
      <c r="AV320" s="55">
        <v>0</v>
      </c>
      <c r="AW320" s="55"/>
      <c r="AX320" s="55"/>
      <c r="AY320" s="56">
        <f t="shared" si="141"/>
        <v>0.6</v>
      </c>
      <c r="AZ320" s="55"/>
      <c r="BA320" s="56">
        <v>0.66666666666666663</v>
      </c>
      <c r="BB320" s="41">
        <f t="shared" si="125"/>
        <v>-9.9999999999999978E-2</v>
      </c>
      <c r="BC320" s="13"/>
      <c r="BD320" s="35"/>
      <c r="BE320" s="13"/>
      <c r="BF320" s="16">
        <f>SUM(BC320:BE320)</f>
        <v>0</v>
      </c>
      <c r="BG320" s="17">
        <f t="shared" si="142"/>
        <v>0</v>
      </c>
      <c r="BH320" s="16">
        <f t="shared" si="143"/>
        <v>0.6</v>
      </c>
    </row>
    <row r="321" spans="1:60" s="21" customFormat="1" ht="12.75" customHeight="1" x14ac:dyDescent="0.2">
      <c r="A321" s="51">
        <v>5417</v>
      </c>
      <c r="B321" s="51"/>
      <c r="C321" s="66" t="s">
        <v>1803</v>
      </c>
      <c r="D321" s="52" t="s">
        <v>735</v>
      </c>
      <c r="E321" s="52" t="s">
        <v>736</v>
      </c>
      <c r="F321" s="53">
        <f>IFERROR(VLOOKUP(E321,Fornecedores!$A$2:$B$2700,2,FALSE),"")</f>
        <v>5</v>
      </c>
      <c r="G321" s="52" t="s">
        <v>361</v>
      </c>
      <c r="H321" s="54"/>
      <c r="I321" s="55">
        <f t="shared" si="135"/>
        <v>0</v>
      </c>
      <c r="J321" s="55">
        <v>0</v>
      </c>
      <c r="K321" s="55">
        <v>0</v>
      </c>
      <c r="L321" s="55">
        <v>0</v>
      </c>
      <c r="M321" s="55">
        <v>0</v>
      </c>
      <c r="N321" s="55">
        <f t="shared" si="136"/>
        <v>0</v>
      </c>
      <c r="O321" s="55">
        <v>0</v>
      </c>
      <c r="P321" s="55">
        <v>0</v>
      </c>
      <c r="Q321" s="55">
        <v>0</v>
      </c>
      <c r="R321" s="55">
        <f t="shared" si="137"/>
        <v>0</v>
      </c>
      <c r="S321" s="55">
        <v>0</v>
      </c>
      <c r="T321" s="55">
        <v>0</v>
      </c>
      <c r="U321" s="55">
        <v>0</v>
      </c>
      <c r="V321" s="55">
        <v>0</v>
      </c>
      <c r="W321" s="53">
        <v>0</v>
      </c>
      <c r="X321" s="53">
        <v>0</v>
      </c>
      <c r="Y321" s="55">
        <v>0</v>
      </c>
      <c r="Z321" s="55">
        <v>0</v>
      </c>
      <c r="AA321" s="53">
        <v>0</v>
      </c>
      <c r="AB321" s="53">
        <v>0</v>
      </c>
      <c r="AC321" s="55">
        <v>0</v>
      </c>
      <c r="AD321" s="55">
        <f t="shared" si="138"/>
        <v>0</v>
      </c>
      <c r="AE321" s="53">
        <v>0</v>
      </c>
      <c r="AF321" s="55">
        <v>0</v>
      </c>
      <c r="AG321" s="55">
        <v>0</v>
      </c>
      <c r="AH321" s="55">
        <f t="shared" si="139"/>
        <v>0</v>
      </c>
      <c r="AI321" s="55">
        <v>0</v>
      </c>
      <c r="AJ321" s="55">
        <v>0</v>
      </c>
      <c r="AK321" s="55">
        <v>0</v>
      </c>
      <c r="AL321" s="55">
        <f t="shared" si="140"/>
        <v>0</v>
      </c>
      <c r="AM321" s="55" t="s">
        <v>1912</v>
      </c>
      <c r="AN321" s="55">
        <v>0</v>
      </c>
      <c r="AO321" s="55">
        <v>0</v>
      </c>
      <c r="AP321" s="55">
        <f t="shared" si="121"/>
        <v>2</v>
      </c>
      <c r="AQ321" s="55">
        <f>IFERROR(VLOOKUP(A321,[1]SIIMPLES!$A$2:$F$418,6,FALSE),0)</f>
        <v>0</v>
      </c>
      <c r="AR321" s="55">
        <v>2</v>
      </c>
      <c r="AS321" s="55">
        <v>9</v>
      </c>
      <c r="AT321" s="55">
        <v>1</v>
      </c>
      <c r="AU321" s="55">
        <v>2</v>
      </c>
      <c r="AV321" s="55">
        <v>6</v>
      </c>
      <c r="AW321" s="55"/>
      <c r="AX321" s="55"/>
      <c r="AY321" s="56">
        <f t="shared" si="141"/>
        <v>1.1000000000000001</v>
      </c>
      <c r="AZ321" s="55"/>
      <c r="BA321" s="56">
        <v>0</v>
      </c>
      <c r="BB321" s="41" t="str">
        <f t="shared" si="125"/>
        <v/>
      </c>
      <c r="BC321" s="7"/>
      <c r="BD321" s="35"/>
      <c r="BE321" s="13"/>
      <c r="BF321" s="16"/>
      <c r="BG321" s="17">
        <f t="shared" si="142"/>
        <v>0</v>
      </c>
      <c r="BH321" s="16">
        <f t="shared" si="143"/>
        <v>1.1000000000000001</v>
      </c>
    </row>
    <row r="322" spans="1:60" s="21" customFormat="1" ht="12.75" customHeight="1" x14ac:dyDescent="0.2">
      <c r="A322" s="51">
        <v>5625</v>
      </c>
      <c r="B322" s="51"/>
      <c r="C322" s="66" t="s">
        <v>1803</v>
      </c>
      <c r="D322" s="52" t="s">
        <v>735</v>
      </c>
      <c r="E322" s="52" t="s">
        <v>736</v>
      </c>
      <c r="F322" s="53">
        <f>IFERROR(VLOOKUP(E322,Fornecedores!$A$2:$B$2700,2,FALSE),"")</f>
        <v>5</v>
      </c>
      <c r="G322" s="52" t="s">
        <v>1003</v>
      </c>
      <c r="H322" s="54"/>
      <c r="I322" s="55">
        <f t="shared" si="135"/>
        <v>0</v>
      </c>
      <c r="J322" s="55">
        <v>0</v>
      </c>
      <c r="K322" s="55">
        <v>0</v>
      </c>
      <c r="L322" s="55">
        <v>0</v>
      </c>
      <c r="M322" s="55">
        <v>0</v>
      </c>
      <c r="N322" s="55">
        <f t="shared" si="136"/>
        <v>0</v>
      </c>
      <c r="O322" s="55">
        <v>0</v>
      </c>
      <c r="P322" s="55">
        <v>0</v>
      </c>
      <c r="Q322" s="55">
        <v>0</v>
      </c>
      <c r="R322" s="55">
        <f t="shared" si="137"/>
        <v>2</v>
      </c>
      <c r="S322" s="55">
        <v>2</v>
      </c>
      <c r="T322" s="55">
        <v>0</v>
      </c>
      <c r="U322" s="55">
        <v>0</v>
      </c>
      <c r="V322" s="55">
        <v>2</v>
      </c>
      <c r="W322" s="53">
        <v>0</v>
      </c>
      <c r="X322" s="53">
        <v>2</v>
      </c>
      <c r="Y322" s="55">
        <v>0</v>
      </c>
      <c r="Z322" s="55">
        <v>4</v>
      </c>
      <c r="AA322" s="53">
        <v>0</v>
      </c>
      <c r="AB322" s="53">
        <v>4</v>
      </c>
      <c r="AC322" s="55">
        <v>0</v>
      </c>
      <c r="AD322" s="55">
        <f t="shared" si="138"/>
        <v>0</v>
      </c>
      <c r="AE322" s="53">
        <v>0</v>
      </c>
      <c r="AF322" s="55">
        <v>0</v>
      </c>
      <c r="AG322" s="55">
        <v>0</v>
      </c>
      <c r="AH322" s="55">
        <f t="shared" si="139"/>
        <v>4</v>
      </c>
      <c r="AI322" s="55">
        <v>0</v>
      </c>
      <c r="AJ322" s="55">
        <v>4</v>
      </c>
      <c r="AK322" s="55">
        <v>0</v>
      </c>
      <c r="AL322" s="55">
        <f t="shared" si="140"/>
        <v>4</v>
      </c>
      <c r="AM322" s="55">
        <v>2</v>
      </c>
      <c r="AN322" s="55">
        <v>2</v>
      </c>
      <c r="AO322" s="55">
        <v>0</v>
      </c>
      <c r="AP322" s="55">
        <f t="shared" si="121"/>
        <v>2</v>
      </c>
      <c r="AQ322" s="55">
        <f>IFERROR(VLOOKUP(A322,[1]SIIMPLES!$A$2:$F$418,6,FALSE),0)</f>
        <v>0</v>
      </c>
      <c r="AR322" s="55">
        <v>2</v>
      </c>
      <c r="AS322" s="55">
        <v>2</v>
      </c>
      <c r="AT322" s="55">
        <v>0</v>
      </c>
      <c r="AU322" s="55">
        <v>2</v>
      </c>
      <c r="AV322" s="55">
        <v>0</v>
      </c>
      <c r="AW322" s="55"/>
      <c r="AX322" s="55"/>
      <c r="AY322" s="56">
        <f t="shared" si="141"/>
        <v>2</v>
      </c>
      <c r="AZ322" s="55"/>
      <c r="BA322" s="56">
        <v>0.4</v>
      </c>
      <c r="BB322" s="41">
        <f t="shared" si="125"/>
        <v>4</v>
      </c>
      <c r="BC322" s="7"/>
      <c r="BD322" s="35"/>
      <c r="BE322" s="13"/>
      <c r="BF322" s="16">
        <f>SUM(BC322:BE322)</f>
        <v>0</v>
      </c>
      <c r="BG322" s="17">
        <f t="shared" si="142"/>
        <v>0</v>
      </c>
      <c r="BH322" s="16">
        <f t="shared" si="143"/>
        <v>2</v>
      </c>
    </row>
    <row r="323" spans="1:60" s="21" customFormat="1" ht="12.75" customHeight="1" x14ac:dyDescent="0.2">
      <c r="A323" s="51">
        <v>5705</v>
      </c>
      <c r="B323" s="51" t="s">
        <v>1077</v>
      </c>
      <c r="C323" s="66" t="s">
        <v>1803</v>
      </c>
      <c r="D323" s="52" t="s">
        <v>735</v>
      </c>
      <c r="E323" s="52" t="s">
        <v>736</v>
      </c>
      <c r="F323" s="53">
        <f>IFERROR(VLOOKUP(E323,Fornecedores!$A$2:$B$2700,2,FALSE),"")</f>
        <v>5</v>
      </c>
      <c r="G323" s="52" t="s">
        <v>485</v>
      </c>
      <c r="H323" s="54"/>
      <c r="I323" s="55">
        <f t="shared" si="135"/>
        <v>7</v>
      </c>
      <c r="J323" s="55">
        <v>1</v>
      </c>
      <c r="K323" s="55">
        <v>6</v>
      </c>
      <c r="L323" s="55">
        <v>0</v>
      </c>
      <c r="M323" s="55">
        <v>0</v>
      </c>
      <c r="N323" s="55">
        <f t="shared" si="136"/>
        <v>8</v>
      </c>
      <c r="O323" s="55">
        <v>0</v>
      </c>
      <c r="P323" s="55">
        <v>8</v>
      </c>
      <c r="Q323" s="55">
        <v>0</v>
      </c>
      <c r="R323" s="55">
        <f t="shared" si="137"/>
        <v>0</v>
      </c>
      <c r="S323" s="55">
        <v>0</v>
      </c>
      <c r="T323" s="55">
        <v>0</v>
      </c>
      <c r="U323" s="55">
        <v>0</v>
      </c>
      <c r="V323" s="55">
        <v>2</v>
      </c>
      <c r="W323" s="53">
        <v>0</v>
      </c>
      <c r="X323" s="53">
        <v>2</v>
      </c>
      <c r="Y323" s="55">
        <v>0</v>
      </c>
      <c r="Z323" s="55">
        <v>2</v>
      </c>
      <c r="AA323" s="53">
        <v>0</v>
      </c>
      <c r="AB323" s="53">
        <v>2</v>
      </c>
      <c r="AC323" s="55">
        <v>0</v>
      </c>
      <c r="AD323" s="55">
        <f t="shared" si="138"/>
        <v>12</v>
      </c>
      <c r="AE323" s="53">
        <v>0</v>
      </c>
      <c r="AF323" s="55">
        <v>12</v>
      </c>
      <c r="AG323" s="55">
        <v>0</v>
      </c>
      <c r="AH323" s="55">
        <f t="shared" si="139"/>
        <v>2</v>
      </c>
      <c r="AI323" s="55">
        <v>0</v>
      </c>
      <c r="AJ323" s="55">
        <v>2</v>
      </c>
      <c r="AK323" s="55">
        <v>0</v>
      </c>
      <c r="AL323" s="55">
        <f t="shared" si="140"/>
        <v>2</v>
      </c>
      <c r="AM323" s="55" t="s">
        <v>1912</v>
      </c>
      <c r="AN323" s="55">
        <v>2</v>
      </c>
      <c r="AO323" s="55">
        <v>0</v>
      </c>
      <c r="AP323" s="55">
        <f t="shared" ref="AP323:AP371" si="144">SUM(AQ323:AR323)</f>
        <v>2</v>
      </c>
      <c r="AQ323" s="55">
        <f>IFERROR(VLOOKUP(A323,[1]SIIMPLES!$A$2:$F$418,6,FALSE),0)</f>
        <v>0</v>
      </c>
      <c r="AR323" s="55">
        <v>2</v>
      </c>
      <c r="AS323" s="55">
        <v>3</v>
      </c>
      <c r="AT323" s="55">
        <v>1</v>
      </c>
      <c r="AU323" s="55">
        <v>2</v>
      </c>
      <c r="AV323" s="55">
        <v>0</v>
      </c>
      <c r="AW323" s="55"/>
      <c r="AX323" s="55"/>
      <c r="AY323" s="56">
        <f t="shared" si="141"/>
        <v>4</v>
      </c>
      <c r="AZ323" s="55"/>
      <c r="BA323" s="56">
        <v>15.833333333333334</v>
      </c>
      <c r="BB323" s="41">
        <f t="shared" si="125"/>
        <v>-0.74736842105263157</v>
      </c>
      <c r="BC323" s="13"/>
      <c r="BD323" s="35"/>
      <c r="BE323" s="13"/>
      <c r="BF323" s="16">
        <f>SUM(BC323:BE323)</f>
        <v>0</v>
      </c>
      <c r="BG323" s="17">
        <f t="shared" si="142"/>
        <v>0</v>
      </c>
      <c r="BH323" s="16">
        <f t="shared" si="143"/>
        <v>4</v>
      </c>
    </row>
    <row r="324" spans="1:60" s="21" customFormat="1" ht="12.75" customHeight="1" x14ac:dyDescent="0.2">
      <c r="A324" s="51">
        <v>6202</v>
      </c>
      <c r="B324" s="51"/>
      <c r="C324" s="66" t="s">
        <v>1803</v>
      </c>
      <c r="D324" s="52" t="s">
        <v>735</v>
      </c>
      <c r="E324" s="52" t="s">
        <v>736</v>
      </c>
      <c r="F324" s="53">
        <f>IFERROR(VLOOKUP(E324,Fornecedores!$A$2:$B$2700,2,FALSE),"")</f>
        <v>5</v>
      </c>
      <c r="G324" s="52" t="s">
        <v>1030</v>
      </c>
      <c r="H324" s="57"/>
      <c r="I324" s="55">
        <f t="shared" si="135"/>
        <v>0</v>
      </c>
      <c r="J324" s="55">
        <v>0</v>
      </c>
      <c r="K324" s="55">
        <v>0</v>
      </c>
      <c r="L324" s="55">
        <v>0</v>
      </c>
      <c r="M324" s="55">
        <v>0</v>
      </c>
      <c r="N324" s="55">
        <f t="shared" si="136"/>
        <v>1</v>
      </c>
      <c r="O324" s="55">
        <v>0</v>
      </c>
      <c r="P324" s="55">
        <v>1</v>
      </c>
      <c r="Q324" s="55">
        <v>0</v>
      </c>
      <c r="R324" s="55">
        <f t="shared" si="137"/>
        <v>1</v>
      </c>
      <c r="S324" s="55">
        <v>0</v>
      </c>
      <c r="T324" s="55">
        <v>1</v>
      </c>
      <c r="U324" s="55">
        <v>0</v>
      </c>
      <c r="V324" s="55">
        <v>1</v>
      </c>
      <c r="W324" s="53">
        <v>0</v>
      </c>
      <c r="X324" s="53">
        <v>1</v>
      </c>
      <c r="Y324" s="55">
        <v>0</v>
      </c>
      <c r="Z324" s="55">
        <v>1</v>
      </c>
      <c r="AA324" s="53">
        <v>0</v>
      </c>
      <c r="AB324" s="53">
        <v>1</v>
      </c>
      <c r="AC324" s="55">
        <v>0</v>
      </c>
      <c r="AD324" s="55">
        <f t="shared" si="138"/>
        <v>0</v>
      </c>
      <c r="AE324" s="53">
        <v>0</v>
      </c>
      <c r="AF324" s="55">
        <v>0</v>
      </c>
      <c r="AG324" s="55">
        <v>0</v>
      </c>
      <c r="AH324" s="55">
        <f t="shared" si="139"/>
        <v>0</v>
      </c>
      <c r="AI324" s="55">
        <v>0</v>
      </c>
      <c r="AJ324" s="55">
        <v>0</v>
      </c>
      <c r="AK324" s="55">
        <v>0</v>
      </c>
      <c r="AL324" s="55">
        <f t="shared" si="140"/>
        <v>1</v>
      </c>
      <c r="AM324" s="55">
        <v>1</v>
      </c>
      <c r="AN324" s="55">
        <v>0</v>
      </c>
      <c r="AO324" s="55">
        <v>0</v>
      </c>
      <c r="AP324" s="55">
        <f t="shared" si="144"/>
        <v>2</v>
      </c>
      <c r="AQ324" s="55">
        <f>IFERROR(VLOOKUP(A324,[1]SIIMPLES!$A$2:$F$418,6,FALSE),0)</f>
        <v>0</v>
      </c>
      <c r="AR324" s="55">
        <v>2</v>
      </c>
      <c r="AS324" s="55">
        <v>0</v>
      </c>
      <c r="AT324" s="55">
        <v>0</v>
      </c>
      <c r="AU324" s="55">
        <v>0</v>
      </c>
      <c r="AV324" s="55">
        <v>0</v>
      </c>
      <c r="AW324" s="55"/>
      <c r="AX324" s="55"/>
      <c r="AY324" s="56">
        <f t="shared" si="141"/>
        <v>0.7</v>
      </c>
      <c r="AZ324" s="55"/>
      <c r="BA324" s="56">
        <v>1.5</v>
      </c>
      <c r="BB324" s="41">
        <f t="shared" si="125"/>
        <v>-0.53333333333333344</v>
      </c>
      <c r="BC324" s="13"/>
      <c r="BD324" s="35"/>
      <c r="BE324" s="13"/>
      <c r="BF324" s="16">
        <f>SUM(BC324:BE324)</f>
        <v>0</v>
      </c>
      <c r="BG324" s="17">
        <f t="shared" si="142"/>
        <v>0</v>
      </c>
      <c r="BH324" s="16">
        <f t="shared" si="143"/>
        <v>0.7</v>
      </c>
    </row>
    <row r="325" spans="1:60" s="21" customFormat="1" ht="12.75" customHeight="1" x14ac:dyDescent="0.2">
      <c r="A325" s="51">
        <v>6203</v>
      </c>
      <c r="B325" s="51"/>
      <c r="C325" s="66" t="s">
        <v>1803</v>
      </c>
      <c r="D325" s="52" t="s">
        <v>735</v>
      </c>
      <c r="E325" s="52" t="s">
        <v>736</v>
      </c>
      <c r="F325" s="53">
        <f>IFERROR(VLOOKUP(E325,Fornecedores!$A$2:$B$2700,2,FALSE),"")</f>
        <v>5</v>
      </c>
      <c r="G325" s="52" t="s">
        <v>1030</v>
      </c>
      <c r="H325" s="57"/>
      <c r="I325" s="55">
        <f t="shared" si="135"/>
        <v>0</v>
      </c>
      <c r="J325" s="55">
        <v>0</v>
      </c>
      <c r="K325" s="55">
        <v>0</v>
      </c>
      <c r="L325" s="55">
        <v>0</v>
      </c>
      <c r="M325" s="55">
        <v>0</v>
      </c>
      <c r="N325" s="55">
        <f t="shared" si="136"/>
        <v>1</v>
      </c>
      <c r="O325" s="55">
        <v>0</v>
      </c>
      <c r="P325" s="55">
        <v>1</v>
      </c>
      <c r="Q325" s="55">
        <v>0</v>
      </c>
      <c r="R325" s="55">
        <f t="shared" si="137"/>
        <v>1</v>
      </c>
      <c r="S325" s="55">
        <v>0</v>
      </c>
      <c r="T325" s="55">
        <v>1</v>
      </c>
      <c r="U325" s="55">
        <v>0</v>
      </c>
      <c r="V325" s="55">
        <v>1</v>
      </c>
      <c r="W325" s="53">
        <v>0</v>
      </c>
      <c r="X325" s="53">
        <v>1</v>
      </c>
      <c r="Y325" s="55">
        <v>0</v>
      </c>
      <c r="Z325" s="55">
        <v>1</v>
      </c>
      <c r="AA325" s="53">
        <v>0</v>
      </c>
      <c r="AB325" s="53">
        <v>1</v>
      </c>
      <c r="AC325" s="55">
        <v>0</v>
      </c>
      <c r="AD325" s="55">
        <f t="shared" si="138"/>
        <v>0</v>
      </c>
      <c r="AE325" s="53">
        <v>0</v>
      </c>
      <c r="AF325" s="55">
        <v>0</v>
      </c>
      <c r="AG325" s="55">
        <v>0</v>
      </c>
      <c r="AH325" s="55">
        <f t="shared" si="139"/>
        <v>0</v>
      </c>
      <c r="AI325" s="55">
        <v>0</v>
      </c>
      <c r="AJ325" s="55">
        <v>0</v>
      </c>
      <c r="AK325" s="55">
        <v>0</v>
      </c>
      <c r="AL325" s="55">
        <f t="shared" si="140"/>
        <v>0</v>
      </c>
      <c r="AM325" s="55" t="s">
        <v>1912</v>
      </c>
      <c r="AN325" s="55">
        <v>0</v>
      </c>
      <c r="AO325" s="55">
        <v>0</v>
      </c>
      <c r="AP325" s="55">
        <f t="shared" si="144"/>
        <v>2</v>
      </c>
      <c r="AQ325" s="55">
        <f>IFERROR(VLOOKUP(A325,[1]SIIMPLES!$A$2:$F$418,6,FALSE),0)</f>
        <v>0</v>
      </c>
      <c r="AR325" s="55">
        <v>2</v>
      </c>
      <c r="AS325" s="55">
        <v>0</v>
      </c>
      <c r="AT325" s="55">
        <v>0</v>
      </c>
      <c r="AU325" s="55">
        <v>0</v>
      </c>
      <c r="AV325" s="55">
        <v>0</v>
      </c>
      <c r="AW325" s="55"/>
      <c r="AX325" s="55"/>
      <c r="AY325" s="56">
        <f t="shared" si="141"/>
        <v>0.6</v>
      </c>
      <c r="AZ325" s="55"/>
      <c r="BA325" s="56">
        <v>1.5</v>
      </c>
      <c r="BB325" s="41">
        <f t="shared" si="125"/>
        <v>-0.60000000000000009</v>
      </c>
      <c r="BC325" s="7"/>
      <c r="BD325" s="35"/>
      <c r="BE325" s="13"/>
      <c r="BF325" s="16"/>
      <c r="BG325" s="17">
        <f t="shared" si="142"/>
        <v>0</v>
      </c>
      <c r="BH325" s="16">
        <f t="shared" si="143"/>
        <v>0.6</v>
      </c>
    </row>
    <row r="326" spans="1:60" s="21" customFormat="1" ht="12.75" customHeight="1" x14ac:dyDescent="0.2">
      <c r="A326" s="51">
        <v>6208</v>
      </c>
      <c r="B326" s="51"/>
      <c r="C326" s="66" t="s">
        <v>1803</v>
      </c>
      <c r="D326" s="52" t="s">
        <v>735</v>
      </c>
      <c r="E326" s="52" t="s">
        <v>736</v>
      </c>
      <c r="F326" s="53">
        <f>IFERROR(VLOOKUP(E326,Fornecedores!$A$2:$B$2700,2,FALSE),"")</f>
        <v>5</v>
      </c>
      <c r="G326" s="52" t="s">
        <v>1581</v>
      </c>
      <c r="H326" s="57"/>
      <c r="I326" s="55">
        <f t="shared" si="135"/>
        <v>2</v>
      </c>
      <c r="J326" s="55">
        <v>0</v>
      </c>
      <c r="K326" s="55">
        <v>2</v>
      </c>
      <c r="L326" s="55">
        <v>0</v>
      </c>
      <c r="M326" s="55">
        <v>0</v>
      </c>
      <c r="N326" s="55">
        <f t="shared" si="136"/>
        <v>4</v>
      </c>
      <c r="O326" s="55">
        <v>0</v>
      </c>
      <c r="P326" s="55">
        <v>4</v>
      </c>
      <c r="Q326" s="55">
        <v>0</v>
      </c>
      <c r="R326" s="55">
        <f t="shared" si="137"/>
        <v>2</v>
      </c>
      <c r="S326" s="55">
        <v>0</v>
      </c>
      <c r="T326" s="55">
        <v>2</v>
      </c>
      <c r="U326" s="55">
        <v>0</v>
      </c>
      <c r="V326" s="55">
        <v>2</v>
      </c>
      <c r="W326" s="53">
        <v>0</v>
      </c>
      <c r="X326" s="53">
        <v>2</v>
      </c>
      <c r="Y326" s="55">
        <v>0</v>
      </c>
      <c r="Z326" s="55">
        <v>2</v>
      </c>
      <c r="AA326" s="53">
        <v>0</v>
      </c>
      <c r="AB326" s="53">
        <v>2</v>
      </c>
      <c r="AC326" s="55">
        <v>0</v>
      </c>
      <c r="AD326" s="55">
        <f t="shared" si="138"/>
        <v>4</v>
      </c>
      <c r="AE326" s="53">
        <v>0</v>
      </c>
      <c r="AF326" s="55">
        <v>4</v>
      </c>
      <c r="AG326" s="55">
        <v>0</v>
      </c>
      <c r="AH326" s="55">
        <f t="shared" si="139"/>
        <v>0</v>
      </c>
      <c r="AI326" s="55">
        <v>0</v>
      </c>
      <c r="AJ326" s="55">
        <v>0</v>
      </c>
      <c r="AK326" s="55">
        <v>0</v>
      </c>
      <c r="AL326" s="55">
        <f t="shared" si="140"/>
        <v>0</v>
      </c>
      <c r="AM326" s="55" t="s">
        <v>1912</v>
      </c>
      <c r="AN326" s="55">
        <v>0</v>
      </c>
      <c r="AO326" s="55">
        <v>0</v>
      </c>
      <c r="AP326" s="55">
        <f t="shared" si="144"/>
        <v>2</v>
      </c>
      <c r="AQ326" s="55">
        <f>IFERROR(VLOOKUP(A326,[1]SIIMPLES!$A$2:$F$418,6,FALSE),0)</f>
        <v>0</v>
      </c>
      <c r="AR326" s="55">
        <v>2</v>
      </c>
      <c r="AS326" s="55">
        <v>8</v>
      </c>
      <c r="AT326" s="55">
        <v>0</v>
      </c>
      <c r="AU326" s="55">
        <v>8</v>
      </c>
      <c r="AV326" s="55">
        <v>0</v>
      </c>
      <c r="AW326" s="55"/>
      <c r="AX326" s="55"/>
      <c r="AY326" s="56">
        <f t="shared" si="141"/>
        <v>2.6</v>
      </c>
      <c r="AZ326" s="55"/>
      <c r="BA326" s="56">
        <v>2</v>
      </c>
      <c r="BB326" s="41">
        <f t="shared" si="125"/>
        <v>0.30000000000000004</v>
      </c>
      <c r="BC326" s="13"/>
      <c r="BD326" s="35"/>
      <c r="BE326" s="7"/>
      <c r="BF326" s="16"/>
      <c r="BG326" s="17">
        <f t="shared" si="142"/>
        <v>0</v>
      </c>
      <c r="BH326" s="16">
        <f>ROUND(IFERROR(IF(F326=1,IF(BC326&lt;AY326*3,AY326*3-BC326,0),IF(BC326&lt;AY326,AY326*0.6-BC326,0)),""),0)</f>
        <v>2</v>
      </c>
    </row>
    <row r="327" spans="1:60" s="21" customFormat="1" ht="12.75" customHeight="1" x14ac:dyDescent="0.2">
      <c r="A327" s="51">
        <v>6700</v>
      </c>
      <c r="B327" s="51"/>
      <c r="C327" s="66" t="s">
        <v>1803</v>
      </c>
      <c r="D327" s="52" t="s">
        <v>735</v>
      </c>
      <c r="E327" s="52" t="s">
        <v>736</v>
      </c>
      <c r="F327" s="53">
        <f>IFERROR(VLOOKUP(E327,Fornecedores!$A$2:$B$2700,2,FALSE),"")</f>
        <v>5</v>
      </c>
      <c r="G327" s="52" t="s">
        <v>1039</v>
      </c>
      <c r="H327" s="57"/>
      <c r="I327" s="55">
        <f t="shared" si="135"/>
        <v>0</v>
      </c>
      <c r="J327" s="55">
        <v>0</v>
      </c>
      <c r="K327" s="55">
        <v>0</v>
      </c>
      <c r="L327" s="55">
        <v>0</v>
      </c>
      <c r="M327" s="55">
        <v>0</v>
      </c>
      <c r="N327" s="55">
        <f t="shared" si="136"/>
        <v>0</v>
      </c>
      <c r="O327" s="55">
        <v>0</v>
      </c>
      <c r="P327" s="55">
        <v>0</v>
      </c>
      <c r="Q327" s="55">
        <v>0</v>
      </c>
      <c r="R327" s="55">
        <f t="shared" si="137"/>
        <v>2</v>
      </c>
      <c r="S327" s="55">
        <v>0</v>
      </c>
      <c r="T327" s="55">
        <v>2</v>
      </c>
      <c r="U327" s="55">
        <v>0</v>
      </c>
      <c r="V327" s="55">
        <v>0</v>
      </c>
      <c r="W327" s="53">
        <v>0</v>
      </c>
      <c r="X327" s="53">
        <v>0</v>
      </c>
      <c r="Y327" s="55">
        <v>0</v>
      </c>
      <c r="Z327" s="55">
        <v>0</v>
      </c>
      <c r="AA327" s="53">
        <v>0</v>
      </c>
      <c r="AB327" s="53">
        <v>0</v>
      </c>
      <c r="AC327" s="55">
        <v>0</v>
      </c>
      <c r="AD327" s="55">
        <f t="shared" si="138"/>
        <v>0</v>
      </c>
      <c r="AE327" s="53">
        <v>0</v>
      </c>
      <c r="AF327" s="55">
        <v>0</v>
      </c>
      <c r="AG327" s="55">
        <v>0</v>
      </c>
      <c r="AH327" s="55">
        <f t="shared" si="139"/>
        <v>0</v>
      </c>
      <c r="AI327" s="55">
        <v>0</v>
      </c>
      <c r="AJ327" s="55">
        <v>0</v>
      </c>
      <c r="AK327" s="55">
        <v>0</v>
      </c>
      <c r="AL327" s="55">
        <f t="shared" si="140"/>
        <v>0</v>
      </c>
      <c r="AM327" s="55" t="s">
        <v>1912</v>
      </c>
      <c r="AN327" s="55">
        <v>0</v>
      </c>
      <c r="AO327" s="55">
        <v>0</v>
      </c>
      <c r="AP327" s="55">
        <f t="shared" si="144"/>
        <v>2</v>
      </c>
      <c r="AQ327" s="55">
        <f>IFERROR(VLOOKUP(A327,[1]SIIMPLES!$A$2:$F$418,6,FALSE),0)</f>
        <v>0</v>
      </c>
      <c r="AR327" s="55">
        <v>2</v>
      </c>
      <c r="AS327" s="55">
        <v>5</v>
      </c>
      <c r="AT327" s="55">
        <v>3</v>
      </c>
      <c r="AU327" s="55">
        <v>2</v>
      </c>
      <c r="AV327" s="55">
        <v>0</v>
      </c>
      <c r="AW327" s="55"/>
      <c r="AX327" s="55"/>
      <c r="AY327" s="56">
        <f t="shared" si="141"/>
        <v>0.9</v>
      </c>
      <c r="AZ327" s="55"/>
      <c r="BA327" s="56">
        <v>0.33333333333333331</v>
      </c>
      <c r="BB327" s="41">
        <f t="shared" si="125"/>
        <v>1.7000000000000002</v>
      </c>
      <c r="BC327" s="7"/>
      <c r="BD327" s="37"/>
      <c r="BE327" s="7"/>
      <c r="BF327" s="7"/>
      <c r="BG327" s="17">
        <f t="shared" si="142"/>
        <v>0</v>
      </c>
      <c r="BH327" s="16">
        <f>ROUND(IFERROR(IF(F327=1,IF(BC327&lt;AY327*3,AY327*3-BC327,0),IF(BC327&lt;AY327,AY327*0.6-BC327,0)),""),0)</f>
        <v>1</v>
      </c>
    </row>
    <row r="328" spans="1:60" s="21" customFormat="1" ht="12.75" customHeight="1" x14ac:dyDescent="0.2">
      <c r="A328" s="51">
        <v>8501</v>
      </c>
      <c r="B328" s="51"/>
      <c r="C328" s="66" t="s">
        <v>1803</v>
      </c>
      <c r="D328" s="52" t="s">
        <v>735</v>
      </c>
      <c r="E328" s="52" t="s">
        <v>736</v>
      </c>
      <c r="F328" s="53">
        <f>IFERROR(VLOOKUP(E328,Fornecedores!$A$2:$B$2700,2,FALSE),"")</f>
        <v>5</v>
      </c>
      <c r="G328" s="52" t="s">
        <v>1045</v>
      </c>
      <c r="H328" s="57"/>
      <c r="I328" s="55">
        <f t="shared" si="135"/>
        <v>2</v>
      </c>
      <c r="J328" s="55">
        <v>0</v>
      </c>
      <c r="K328" s="55">
        <v>2</v>
      </c>
      <c r="L328" s="55">
        <v>0</v>
      </c>
      <c r="M328" s="55">
        <v>0</v>
      </c>
      <c r="N328" s="55">
        <f t="shared" si="136"/>
        <v>2</v>
      </c>
      <c r="O328" s="55">
        <v>0</v>
      </c>
      <c r="P328" s="55">
        <v>2</v>
      </c>
      <c r="Q328" s="55">
        <v>0</v>
      </c>
      <c r="R328" s="55">
        <f t="shared" si="137"/>
        <v>2</v>
      </c>
      <c r="S328" s="55">
        <v>0</v>
      </c>
      <c r="T328" s="55">
        <v>2</v>
      </c>
      <c r="U328" s="55">
        <v>0</v>
      </c>
      <c r="V328" s="55">
        <v>2</v>
      </c>
      <c r="W328" s="53">
        <v>0</v>
      </c>
      <c r="X328" s="53">
        <v>2</v>
      </c>
      <c r="Y328" s="55">
        <v>0</v>
      </c>
      <c r="Z328" s="55">
        <v>4</v>
      </c>
      <c r="AA328" s="53">
        <v>0</v>
      </c>
      <c r="AB328" s="53">
        <v>4</v>
      </c>
      <c r="AC328" s="55">
        <v>0</v>
      </c>
      <c r="AD328" s="55">
        <f t="shared" si="138"/>
        <v>8</v>
      </c>
      <c r="AE328" s="53">
        <v>0</v>
      </c>
      <c r="AF328" s="55">
        <v>8</v>
      </c>
      <c r="AG328" s="55">
        <v>0</v>
      </c>
      <c r="AH328" s="55">
        <f t="shared" si="139"/>
        <v>6</v>
      </c>
      <c r="AI328" s="55">
        <v>0</v>
      </c>
      <c r="AJ328" s="55">
        <v>6</v>
      </c>
      <c r="AK328" s="55">
        <v>0</v>
      </c>
      <c r="AL328" s="55">
        <f t="shared" si="140"/>
        <v>2</v>
      </c>
      <c r="AM328" s="55" t="s">
        <v>1912</v>
      </c>
      <c r="AN328" s="55">
        <v>2</v>
      </c>
      <c r="AO328" s="55">
        <v>0</v>
      </c>
      <c r="AP328" s="55">
        <f t="shared" si="144"/>
        <v>2</v>
      </c>
      <c r="AQ328" s="55">
        <f>IFERROR(VLOOKUP(A328,[1]SIIMPLES!$A$2:$F$418,6,FALSE),0)</f>
        <v>2</v>
      </c>
      <c r="AR328" s="55">
        <v>0</v>
      </c>
      <c r="AS328" s="55">
        <v>5</v>
      </c>
      <c r="AT328" s="55">
        <v>3</v>
      </c>
      <c r="AU328" s="55">
        <v>2</v>
      </c>
      <c r="AV328" s="55">
        <v>0</v>
      </c>
      <c r="AW328" s="55"/>
      <c r="AX328" s="55"/>
      <c r="AY328" s="56">
        <f t="shared" si="141"/>
        <v>3.5</v>
      </c>
      <c r="AZ328" s="55"/>
      <c r="BA328" s="56">
        <v>0.33333333333333331</v>
      </c>
      <c r="BB328" s="41">
        <f t="shared" si="125"/>
        <v>9.5</v>
      </c>
      <c r="BC328" s="7"/>
      <c r="BD328" s="35"/>
      <c r="BE328" s="13"/>
      <c r="BF328" s="16"/>
      <c r="BG328" s="17">
        <f t="shared" si="142"/>
        <v>0</v>
      </c>
      <c r="BH328" s="16"/>
    </row>
    <row r="329" spans="1:60" s="21" customFormat="1" ht="12.75" customHeight="1" x14ac:dyDescent="0.2">
      <c r="A329" s="51">
        <v>26048</v>
      </c>
      <c r="B329" s="51" t="s">
        <v>1077</v>
      </c>
      <c r="C329" s="66" t="s">
        <v>1803</v>
      </c>
      <c r="D329" s="52" t="s">
        <v>749</v>
      </c>
      <c r="E329" s="52" t="s">
        <v>750</v>
      </c>
      <c r="F329" s="53">
        <f>IFERROR(VLOOKUP(E329,Fornecedores!$A$2:$B$2700,2,FALSE),"")</f>
        <v>4</v>
      </c>
      <c r="G329" s="52" t="s">
        <v>602</v>
      </c>
      <c r="H329" s="54"/>
      <c r="I329" s="55">
        <f t="shared" si="135"/>
        <v>8</v>
      </c>
      <c r="J329" s="55">
        <v>0</v>
      </c>
      <c r="K329" s="55">
        <v>8</v>
      </c>
      <c r="L329" s="55">
        <v>0</v>
      </c>
      <c r="M329" s="55">
        <v>0</v>
      </c>
      <c r="N329" s="55">
        <f t="shared" si="136"/>
        <v>4</v>
      </c>
      <c r="O329" s="55">
        <v>2</v>
      </c>
      <c r="P329" s="55">
        <v>2</v>
      </c>
      <c r="Q329" s="55">
        <v>0</v>
      </c>
      <c r="R329" s="55">
        <f t="shared" si="137"/>
        <v>5</v>
      </c>
      <c r="S329" s="55">
        <v>5</v>
      </c>
      <c r="T329" s="55">
        <v>0</v>
      </c>
      <c r="U329" s="55">
        <v>0</v>
      </c>
      <c r="V329" s="55">
        <v>9</v>
      </c>
      <c r="W329" s="53">
        <v>7</v>
      </c>
      <c r="X329" s="53">
        <v>2</v>
      </c>
      <c r="Y329" s="55">
        <v>0</v>
      </c>
      <c r="Z329" s="55">
        <v>10</v>
      </c>
      <c r="AA329" s="53">
        <v>0</v>
      </c>
      <c r="AB329" s="53">
        <v>10</v>
      </c>
      <c r="AC329" s="55">
        <v>0</v>
      </c>
      <c r="AD329" s="55">
        <f t="shared" si="138"/>
        <v>2</v>
      </c>
      <c r="AE329" s="53">
        <v>2</v>
      </c>
      <c r="AF329" s="55">
        <v>0</v>
      </c>
      <c r="AG329" s="55">
        <v>0</v>
      </c>
      <c r="AH329" s="55">
        <f t="shared" si="139"/>
        <v>7</v>
      </c>
      <c r="AI329" s="55">
        <v>1</v>
      </c>
      <c r="AJ329" s="55">
        <v>6</v>
      </c>
      <c r="AK329" s="55">
        <v>0</v>
      </c>
      <c r="AL329" s="55">
        <f t="shared" si="140"/>
        <v>2</v>
      </c>
      <c r="AM329" s="55" t="s">
        <v>1912</v>
      </c>
      <c r="AN329" s="55">
        <v>2</v>
      </c>
      <c r="AO329" s="55">
        <v>0</v>
      </c>
      <c r="AP329" s="55">
        <f t="shared" si="144"/>
        <v>2</v>
      </c>
      <c r="AQ329" s="55">
        <f>IFERROR(VLOOKUP(A329,[1]SIIMPLES!$A$2:$F$418,6,FALSE),0)</f>
        <v>0</v>
      </c>
      <c r="AR329" s="55">
        <v>2</v>
      </c>
      <c r="AS329" s="55">
        <v>6</v>
      </c>
      <c r="AT329" s="55">
        <v>0</v>
      </c>
      <c r="AU329" s="55">
        <v>6</v>
      </c>
      <c r="AV329" s="55">
        <v>0</v>
      </c>
      <c r="AW329" s="55"/>
      <c r="AX329" s="55"/>
      <c r="AY329" s="56">
        <f t="shared" si="141"/>
        <v>5.5</v>
      </c>
      <c r="AZ329" s="55"/>
      <c r="BA329" s="56">
        <v>9.3333333333333339</v>
      </c>
      <c r="BB329" s="41">
        <f t="shared" si="125"/>
        <v>-0.4107142857142857</v>
      </c>
      <c r="BC329" s="13"/>
      <c r="BD329" s="35"/>
      <c r="BE329" s="7"/>
      <c r="BF329" s="16"/>
      <c r="BG329" s="17">
        <f t="shared" si="142"/>
        <v>0</v>
      </c>
      <c r="BH329" s="16">
        <f>IFERROR(IF(F329=1,IF(BC329&lt;AY329*3,AY329*3-BC329,0),IF(BC329&lt;AY329,AY329-BC329,0)),"")</f>
        <v>5.5</v>
      </c>
    </row>
    <row r="330" spans="1:60" s="21" customFormat="1" ht="12.75" customHeight="1" x14ac:dyDescent="0.2">
      <c r="A330" s="51">
        <v>66044</v>
      </c>
      <c r="B330" s="51"/>
      <c r="C330" s="66" t="s">
        <v>1803</v>
      </c>
      <c r="D330" s="65" t="s">
        <v>1780</v>
      </c>
      <c r="E330" s="52" t="s">
        <v>732</v>
      </c>
      <c r="F330" s="53">
        <f>IFERROR(VLOOKUP(E330,Fornecedores!$A$2:$B$2700,2,FALSE),"")</f>
        <v>6</v>
      </c>
      <c r="G330" s="52" t="s">
        <v>542</v>
      </c>
      <c r="H330" s="54"/>
      <c r="I330" s="55">
        <f t="shared" si="135"/>
        <v>0</v>
      </c>
      <c r="J330" s="55">
        <v>0</v>
      </c>
      <c r="K330" s="55">
        <v>0</v>
      </c>
      <c r="L330" s="55">
        <v>0</v>
      </c>
      <c r="M330" s="55">
        <v>0</v>
      </c>
      <c r="N330" s="55">
        <f t="shared" si="136"/>
        <v>0</v>
      </c>
      <c r="O330" s="55">
        <v>0</v>
      </c>
      <c r="P330" s="55">
        <v>0</v>
      </c>
      <c r="Q330" s="55">
        <v>0</v>
      </c>
      <c r="R330" s="55">
        <f t="shared" si="137"/>
        <v>0</v>
      </c>
      <c r="S330" s="55">
        <v>0</v>
      </c>
      <c r="T330" s="55">
        <v>0</v>
      </c>
      <c r="U330" s="55">
        <v>0</v>
      </c>
      <c r="V330" s="55">
        <v>1</v>
      </c>
      <c r="W330" s="53">
        <v>1</v>
      </c>
      <c r="X330" s="53">
        <v>0</v>
      </c>
      <c r="Y330" s="55">
        <v>0</v>
      </c>
      <c r="Z330" s="55">
        <v>0</v>
      </c>
      <c r="AA330" s="53">
        <v>0</v>
      </c>
      <c r="AB330" s="53">
        <v>0</v>
      </c>
      <c r="AC330" s="55">
        <v>0</v>
      </c>
      <c r="AD330" s="55">
        <f t="shared" si="138"/>
        <v>0</v>
      </c>
      <c r="AE330" s="53">
        <v>0</v>
      </c>
      <c r="AF330" s="55">
        <v>0</v>
      </c>
      <c r="AG330" s="55">
        <v>0</v>
      </c>
      <c r="AH330" s="55">
        <f t="shared" si="139"/>
        <v>0</v>
      </c>
      <c r="AI330" s="55">
        <v>0</v>
      </c>
      <c r="AJ330" s="55">
        <v>0</v>
      </c>
      <c r="AK330" s="55">
        <v>0</v>
      </c>
      <c r="AL330" s="55">
        <f t="shared" si="140"/>
        <v>0</v>
      </c>
      <c r="AM330" s="55" t="s">
        <v>1912</v>
      </c>
      <c r="AN330" s="55">
        <v>0</v>
      </c>
      <c r="AO330" s="55">
        <v>0</v>
      </c>
      <c r="AP330" s="55">
        <f t="shared" si="144"/>
        <v>2</v>
      </c>
      <c r="AQ330" s="55">
        <f>IFERROR(VLOOKUP(A330,[1]SIIMPLES!$A$2:$F$418,6,FALSE),0)</f>
        <v>2</v>
      </c>
      <c r="AR330" s="55">
        <v>0</v>
      </c>
      <c r="AS330" s="55">
        <v>1</v>
      </c>
      <c r="AT330" s="55">
        <v>1</v>
      </c>
      <c r="AU330" s="55">
        <v>0</v>
      </c>
      <c r="AV330" s="55">
        <v>0</v>
      </c>
      <c r="AW330" s="55"/>
      <c r="AX330" s="55"/>
      <c r="AY330" s="56">
        <f t="shared" si="141"/>
        <v>0.4</v>
      </c>
      <c r="AZ330" s="55"/>
      <c r="BA330" s="56">
        <v>1</v>
      </c>
      <c r="BB330" s="41">
        <f t="shared" si="125"/>
        <v>-0.6</v>
      </c>
      <c r="BC330" s="13"/>
      <c r="BD330" s="36"/>
      <c r="BE330" s="7"/>
      <c r="BF330" s="7"/>
      <c r="BG330" s="17">
        <f t="shared" si="142"/>
        <v>0</v>
      </c>
      <c r="BH330" s="7"/>
    </row>
    <row r="331" spans="1:60" s="21" customFormat="1" ht="12.75" customHeight="1" x14ac:dyDescent="0.2">
      <c r="A331" s="51">
        <v>66413</v>
      </c>
      <c r="B331" s="51" t="s">
        <v>1077</v>
      </c>
      <c r="C331" s="66" t="s">
        <v>1803</v>
      </c>
      <c r="D331" s="65" t="s">
        <v>726</v>
      </c>
      <c r="E331" s="52" t="s">
        <v>732</v>
      </c>
      <c r="F331" s="53">
        <f>IFERROR(VLOOKUP(E331,Fornecedores!$A$2:$B$2700,2,FALSE),"")</f>
        <v>6</v>
      </c>
      <c r="G331" s="52" t="s">
        <v>413</v>
      </c>
      <c r="H331" s="54"/>
      <c r="I331" s="55">
        <f t="shared" si="135"/>
        <v>3</v>
      </c>
      <c r="J331" s="55">
        <v>3</v>
      </c>
      <c r="K331" s="55">
        <v>0</v>
      </c>
      <c r="L331" s="55">
        <v>0</v>
      </c>
      <c r="M331" s="55">
        <v>0</v>
      </c>
      <c r="N331" s="55">
        <f t="shared" si="136"/>
        <v>12</v>
      </c>
      <c r="O331" s="55">
        <v>12</v>
      </c>
      <c r="P331" s="55">
        <v>0</v>
      </c>
      <c r="Q331" s="55">
        <v>0</v>
      </c>
      <c r="R331" s="55">
        <f t="shared" si="137"/>
        <v>5</v>
      </c>
      <c r="S331" s="55">
        <v>3</v>
      </c>
      <c r="T331" s="55">
        <v>0</v>
      </c>
      <c r="U331" s="55">
        <v>2</v>
      </c>
      <c r="V331" s="55">
        <v>6</v>
      </c>
      <c r="W331" s="53">
        <v>6</v>
      </c>
      <c r="X331" s="53">
        <v>0</v>
      </c>
      <c r="Y331" s="55">
        <v>0</v>
      </c>
      <c r="Z331" s="55">
        <v>0</v>
      </c>
      <c r="AA331" s="53">
        <v>0</v>
      </c>
      <c r="AB331" s="53">
        <v>0</v>
      </c>
      <c r="AC331" s="55">
        <v>0</v>
      </c>
      <c r="AD331" s="55">
        <f t="shared" si="138"/>
        <v>4</v>
      </c>
      <c r="AE331" s="53">
        <v>4</v>
      </c>
      <c r="AF331" s="55">
        <v>0</v>
      </c>
      <c r="AG331" s="55">
        <v>0</v>
      </c>
      <c r="AH331" s="55">
        <f t="shared" si="139"/>
        <v>0</v>
      </c>
      <c r="AI331" s="55">
        <v>0</v>
      </c>
      <c r="AJ331" s="55">
        <v>0</v>
      </c>
      <c r="AK331" s="55">
        <v>0</v>
      </c>
      <c r="AL331" s="55">
        <f t="shared" si="140"/>
        <v>7</v>
      </c>
      <c r="AM331" s="55">
        <v>7</v>
      </c>
      <c r="AN331" s="55">
        <v>0</v>
      </c>
      <c r="AO331" s="55">
        <v>0</v>
      </c>
      <c r="AP331" s="55">
        <f t="shared" si="144"/>
        <v>2</v>
      </c>
      <c r="AQ331" s="55">
        <f>IFERROR(VLOOKUP(A331,[1]SIIMPLES!$A$2:$F$418,6,FALSE),0)</f>
        <v>2</v>
      </c>
      <c r="AR331" s="55">
        <v>0</v>
      </c>
      <c r="AS331" s="55">
        <v>1</v>
      </c>
      <c r="AT331" s="55">
        <v>1</v>
      </c>
      <c r="AU331" s="55">
        <v>0</v>
      </c>
      <c r="AV331" s="55">
        <v>0</v>
      </c>
      <c r="AW331" s="55"/>
      <c r="AX331" s="55"/>
      <c r="AY331" s="56">
        <f t="shared" si="141"/>
        <v>4</v>
      </c>
      <c r="AZ331" s="55"/>
      <c r="BA331" s="56">
        <v>7.666666666666667</v>
      </c>
      <c r="BB331" s="41">
        <f t="shared" si="125"/>
        <v>-0.47826086956521741</v>
      </c>
      <c r="BC331" s="13"/>
      <c r="BD331" s="35"/>
      <c r="BE331" s="13"/>
      <c r="BF331" s="16">
        <f>SUM(BC331:BE331)</f>
        <v>0</v>
      </c>
      <c r="BG331" s="17">
        <f t="shared" si="142"/>
        <v>0</v>
      </c>
      <c r="BH331" s="16">
        <f>ROUND(IFERROR(IF(F331=1,IF(BC331&lt;AY331*3,AY331*3-BC331,0),IF(BC331&lt;AY331,AY331*0.6-BC331,0)),""),0)</f>
        <v>2</v>
      </c>
    </row>
    <row r="332" spans="1:60" s="21" customFormat="1" ht="12.75" customHeight="1" x14ac:dyDescent="0.2">
      <c r="A332" s="51">
        <v>66516</v>
      </c>
      <c r="B332" s="51"/>
      <c r="C332" s="66" t="s">
        <v>1803</v>
      </c>
      <c r="D332" s="65" t="s">
        <v>752</v>
      </c>
      <c r="E332" s="52" t="s">
        <v>732</v>
      </c>
      <c r="F332" s="53">
        <f>IFERROR(VLOOKUP(E332,Fornecedores!$A$2:$B$2700,2,FALSE),"")</f>
        <v>6</v>
      </c>
      <c r="G332" s="52" t="s">
        <v>400</v>
      </c>
      <c r="H332" s="54"/>
      <c r="I332" s="55">
        <f t="shared" si="135"/>
        <v>0</v>
      </c>
      <c r="J332" s="55">
        <v>0</v>
      </c>
      <c r="K332" s="55">
        <v>0</v>
      </c>
      <c r="L332" s="55">
        <v>0</v>
      </c>
      <c r="M332" s="55">
        <v>0</v>
      </c>
      <c r="N332" s="55">
        <f t="shared" si="136"/>
        <v>0</v>
      </c>
      <c r="O332" s="55">
        <v>0</v>
      </c>
      <c r="P332" s="55">
        <v>0</v>
      </c>
      <c r="Q332" s="55">
        <v>0</v>
      </c>
      <c r="R332" s="55">
        <f t="shared" si="137"/>
        <v>1</v>
      </c>
      <c r="S332" s="55">
        <v>0</v>
      </c>
      <c r="T332" s="55">
        <v>1</v>
      </c>
      <c r="U332" s="55">
        <v>0</v>
      </c>
      <c r="V332" s="55">
        <v>0</v>
      </c>
      <c r="W332" s="53">
        <v>0</v>
      </c>
      <c r="X332" s="53">
        <v>0</v>
      </c>
      <c r="Y332" s="55">
        <v>0</v>
      </c>
      <c r="Z332" s="55">
        <v>0</v>
      </c>
      <c r="AA332" s="53">
        <v>0</v>
      </c>
      <c r="AB332" s="53">
        <v>0</v>
      </c>
      <c r="AC332" s="55">
        <v>0</v>
      </c>
      <c r="AD332" s="55">
        <f t="shared" si="138"/>
        <v>0</v>
      </c>
      <c r="AE332" s="53">
        <v>0</v>
      </c>
      <c r="AF332" s="55">
        <v>0</v>
      </c>
      <c r="AG332" s="55">
        <v>0</v>
      </c>
      <c r="AH332" s="55">
        <f t="shared" si="139"/>
        <v>1</v>
      </c>
      <c r="AI332" s="55">
        <v>0</v>
      </c>
      <c r="AJ332" s="55">
        <v>1</v>
      </c>
      <c r="AK332" s="55">
        <v>0</v>
      </c>
      <c r="AL332" s="55">
        <f t="shared" si="140"/>
        <v>0</v>
      </c>
      <c r="AM332" s="55" t="s">
        <v>1912</v>
      </c>
      <c r="AN332" s="55">
        <v>0</v>
      </c>
      <c r="AO332" s="55">
        <v>0</v>
      </c>
      <c r="AP332" s="55">
        <f t="shared" si="144"/>
        <v>2</v>
      </c>
      <c r="AQ332" s="55">
        <f>IFERROR(VLOOKUP(A332,[1]SIIMPLES!$A$2:$F$418,6,FALSE),0)</f>
        <v>0</v>
      </c>
      <c r="AR332" s="55">
        <v>2</v>
      </c>
      <c r="AS332" s="55">
        <v>0</v>
      </c>
      <c r="AT332" s="55">
        <v>0</v>
      </c>
      <c r="AU332" s="55">
        <v>0</v>
      </c>
      <c r="AV332" s="55">
        <v>0</v>
      </c>
      <c r="AW332" s="55"/>
      <c r="AX332" s="55"/>
      <c r="AY332" s="56">
        <f t="shared" si="141"/>
        <v>0.4</v>
      </c>
      <c r="AZ332" s="55"/>
      <c r="BA332" s="56">
        <v>0.16666666666666666</v>
      </c>
      <c r="BB332" s="41">
        <f t="shared" si="125"/>
        <v>1.4000000000000004</v>
      </c>
      <c r="BC332" s="7"/>
      <c r="BD332" s="36"/>
      <c r="BE332" s="7"/>
      <c r="BF332" s="16"/>
      <c r="BG332" s="17">
        <f t="shared" si="142"/>
        <v>0</v>
      </c>
      <c r="BH332" s="16"/>
    </row>
    <row r="333" spans="1:60" s="21" customFormat="1" ht="12.75" customHeight="1" x14ac:dyDescent="0.2">
      <c r="A333" s="51">
        <v>111301</v>
      </c>
      <c r="B333" s="51" t="s">
        <v>1077</v>
      </c>
      <c r="C333" s="66" t="s">
        <v>1803</v>
      </c>
      <c r="D333" s="65" t="s">
        <v>726</v>
      </c>
      <c r="E333" s="67" t="s">
        <v>727</v>
      </c>
      <c r="F333" s="53">
        <f>IFERROR(VLOOKUP(E333,Fornecedores!$A$2:$B$2700,2,FALSE),"")</f>
        <v>1</v>
      </c>
      <c r="G333" s="52" t="s">
        <v>328</v>
      </c>
      <c r="H333" s="54"/>
      <c r="I333" s="55">
        <f t="shared" si="135"/>
        <v>20</v>
      </c>
      <c r="J333" s="55">
        <v>0</v>
      </c>
      <c r="K333" s="55">
        <v>0</v>
      </c>
      <c r="L333" s="55">
        <v>20</v>
      </c>
      <c r="M333" s="55">
        <v>0</v>
      </c>
      <c r="N333" s="55">
        <f t="shared" si="136"/>
        <v>5</v>
      </c>
      <c r="O333" s="55">
        <v>0</v>
      </c>
      <c r="P333" s="55">
        <v>0</v>
      </c>
      <c r="Q333" s="55">
        <v>5</v>
      </c>
      <c r="R333" s="55">
        <f t="shared" si="137"/>
        <v>1</v>
      </c>
      <c r="S333" s="55">
        <v>1</v>
      </c>
      <c r="T333" s="55">
        <v>0</v>
      </c>
      <c r="U333" s="55">
        <v>0</v>
      </c>
      <c r="V333" s="55">
        <v>0</v>
      </c>
      <c r="W333" s="53">
        <v>0</v>
      </c>
      <c r="X333" s="53">
        <v>0</v>
      </c>
      <c r="Y333" s="55">
        <v>0</v>
      </c>
      <c r="Z333" s="55">
        <v>3</v>
      </c>
      <c r="AA333" s="53">
        <v>3</v>
      </c>
      <c r="AB333" s="53">
        <v>0</v>
      </c>
      <c r="AC333" s="55">
        <v>0</v>
      </c>
      <c r="AD333" s="55">
        <f t="shared" si="138"/>
        <v>1</v>
      </c>
      <c r="AE333" s="53">
        <v>1</v>
      </c>
      <c r="AF333" s="55">
        <v>0</v>
      </c>
      <c r="AG333" s="55">
        <v>0</v>
      </c>
      <c r="AH333" s="55">
        <f t="shared" si="139"/>
        <v>0</v>
      </c>
      <c r="AI333" s="55">
        <v>0</v>
      </c>
      <c r="AJ333" s="55">
        <v>0</v>
      </c>
      <c r="AK333" s="55">
        <v>0</v>
      </c>
      <c r="AL333" s="55">
        <f t="shared" si="140"/>
        <v>0</v>
      </c>
      <c r="AM333" s="55" t="s">
        <v>1912</v>
      </c>
      <c r="AN333" s="55">
        <v>0</v>
      </c>
      <c r="AO333" s="55">
        <v>0</v>
      </c>
      <c r="AP333" s="55">
        <f t="shared" si="144"/>
        <v>2</v>
      </c>
      <c r="AQ333" s="55">
        <f>IFERROR(VLOOKUP(A333,[1]SIIMPLES!$A$2:$F$418,6,FALSE),0)</f>
        <v>2</v>
      </c>
      <c r="AR333" s="55">
        <v>0</v>
      </c>
      <c r="AS333" s="55">
        <v>3</v>
      </c>
      <c r="AT333" s="55">
        <v>3</v>
      </c>
      <c r="AU333" s="55">
        <v>0</v>
      </c>
      <c r="AV333" s="55">
        <v>0</v>
      </c>
      <c r="AW333" s="55"/>
      <c r="AX333" s="55"/>
      <c r="AY333" s="56">
        <f t="shared" si="141"/>
        <v>3.5</v>
      </c>
      <c r="AZ333" s="55"/>
      <c r="BA333" s="56">
        <v>4.166666666666667</v>
      </c>
      <c r="BB333" s="41">
        <f t="shared" si="125"/>
        <v>-0.16000000000000003</v>
      </c>
      <c r="BC333" s="7"/>
      <c r="BD333" s="35"/>
      <c r="BE333" s="13"/>
      <c r="BF333" s="16"/>
      <c r="BG333" s="17">
        <f t="shared" si="142"/>
        <v>0</v>
      </c>
      <c r="BH333" s="16">
        <f t="shared" ref="BH333:BH341" si="145">IFERROR(IF(F333=1,IF(BC333&lt;AY333*3,AY333*3-BC333,0),IF(BC333&lt;AY333,AY333-BC333,0)),"")</f>
        <v>10.5</v>
      </c>
    </row>
    <row r="334" spans="1:60" s="21" customFormat="1" ht="12.75" customHeight="1" x14ac:dyDescent="0.2">
      <c r="A334" s="51">
        <v>662070</v>
      </c>
      <c r="B334" s="51" t="s">
        <v>1077</v>
      </c>
      <c r="C334" s="66" t="s">
        <v>1803</v>
      </c>
      <c r="D334" s="52" t="s">
        <v>728</v>
      </c>
      <c r="E334" s="65" t="s">
        <v>780</v>
      </c>
      <c r="F334" s="53">
        <f>IFERROR(VLOOKUP(E334,Fornecedores!$A$2:$B$2700,2,FALSE),"")</f>
        <v>2</v>
      </c>
      <c r="G334" s="52" t="s">
        <v>682</v>
      </c>
      <c r="H334" s="57"/>
      <c r="I334" s="55">
        <f t="shared" si="135"/>
        <v>11</v>
      </c>
      <c r="J334" s="55">
        <v>6</v>
      </c>
      <c r="K334" s="55">
        <v>5</v>
      </c>
      <c r="L334" s="55">
        <v>0</v>
      </c>
      <c r="M334" s="55">
        <v>0</v>
      </c>
      <c r="N334" s="55">
        <f t="shared" si="136"/>
        <v>0</v>
      </c>
      <c r="O334" s="55">
        <v>0</v>
      </c>
      <c r="P334" s="55">
        <v>0</v>
      </c>
      <c r="Q334" s="55">
        <v>0</v>
      </c>
      <c r="R334" s="55">
        <f t="shared" si="137"/>
        <v>6</v>
      </c>
      <c r="S334" s="55">
        <v>4</v>
      </c>
      <c r="T334" s="55">
        <v>2</v>
      </c>
      <c r="U334" s="55">
        <v>0</v>
      </c>
      <c r="V334" s="55">
        <v>7</v>
      </c>
      <c r="W334" s="53">
        <v>5</v>
      </c>
      <c r="X334" s="53">
        <v>2</v>
      </c>
      <c r="Y334" s="55">
        <v>0</v>
      </c>
      <c r="Z334" s="55">
        <v>3</v>
      </c>
      <c r="AA334" s="53">
        <v>1</v>
      </c>
      <c r="AB334" s="53">
        <v>2</v>
      </c>
      <c r="AC334" s="55">
        <v>0</v>
      </c>
      <c r="AD334" s="55">
        <f t="shared" si="138"/>
        <v>4</v>
      </c>
      <c r="AE334" s="53">
        <v>2</v>
      </c>
      <c r="AF334" s="55">
        <v>2</v>
      </c>
      <c r="AG334" s="55">
        <v>0</v>
      </c>
      <c r="AH334" s="55">
        <f t="shared" si="139"/>
        <v>8</v>
      </c>
      <c r="AI334" s="55">
        <v>2</v>
      </c>
      <c r="AJ334" s="55">
        <v>6</v>
      </c>
      <c r="AK334" s="55">
        <v>0</v>
      </c>
      <c r="AL334" s="55">
        <f t="shared" si="140"/>
        <v>5</v>
      </c>
      <c r="AM334" s="55">
        <v>3</v>
      </c>
      <c r="AN334" s="55">
        <v>2</v>
      </c>
      <c r="AO334" s="55">
        <v>0</v>
      </c>
      <c r="AP334" s="55">
        <f t="shared" si="144"/>
        <v>2</v>
      </c>
      <c r="AQ334" s="55">
        <f>IFERROR(VLOOKUP(A334,[1]SIIMPLES!$A$2:$F$418,6,FALSE),0)</f>
        <v>1</v>
      </c>
      <c r="AR334" s="55">
        <v>1</v>
      </c>
      <c r="AS334" s="55">
        <v>1</v>
      </c>
      <c r="AT334" s="55">
        <v>0</v>
      </c>
      <c r="AU334" s="55">
        <v>1</v>
      </c>
      <c r="AV334" s="55">
        <v>0</v>
      </c>
      <c r="AW334" s="55"/>
      <c r="AX334" s="55"/>
      <c r="AY334" s="56">
        <f t="shared" si="141"/>
        <v>4.7</v>
      </c>
      <c r="AZ334" s="55"/>
      <c r="BA334" s="56">
        <v>2</v>
      </c>
      <c r="BB334" s="41">
        <f t="shared" ref="BB334:BB397" si="146">IFERROR(AY334/BA334-1,"")</f>
        <v>1.35</v>
      </c>
      <c r="BC334" s="7"/>
      <c r="BD334" s="35"/>
      <c r="BE334" s="13"/>
      <c r="BF334" s="16">
        <f>SUM(BC334:BE334)</f>
        <v>0</v>
      </c>
      <c r="BG334" s="17">
        <f t="shared" si="142"/>
        <v>0</v>
      </c>
      <c r="BH334" s="16">
        <f t="shared" si="145"/>
        <v>4.7</v>
      </c>
    </row>
    <row r="335" spans="1:60" s="21" customFormat="1" ht="12.75" customHeight="1" x14ac:dyDescent="0.2">
      <c r="A335" s="51">
        <v>442066</v>
      </c>
      <c r="B335" s="51" t="s">
        <v>1077</v>
      </c>
      <c r="C335" s="66" t="s">
        <v>1803</v>
      </c>
      <c r="D335" s="52" t="s">
        <v>728</v>
      </c>
      <c r="E335" s="65" t="s">
        <v>780</v>
      </c>
      <c r="F335" s="53">
        <f>IFERROR(VLOOKUP(E335,Fornecedores!$A$2:$B$2700,2,FALSE),"")</f>
        <v>2</v>
      </c>
      <c r="G335" s="52" t="s">
        <v>414</v>
      </c>
      <c r="H335" s="57"/>
      <c r="I335" s="55">
        <f t="shared" si="135"/>
        <v>0</v>
      </c>
      <c r="J335" s="55">
        <v>0</v>
      </c>
      <c r="K335" s="55">
        <v>0</v>
      </c>
      <c r="L335" s="55">
        <v>0</v>
      </c>
      <c r="M335" s="55">
        <v>0</v>
      </c>
      <c r="N335" s="55">
        <f t="shared" si="136"/>
        <v>1</v>
      </c>
      <c r="O335" s="55">
        <v>1</v>
      </c>
      <c r="P335" s="55">
        <v>0</v>
      </c>
      <c r="Q335" s="55">
        <v>0</v>
      </c>
      <c r="R335" s="55">
        <f t="shared" si="137"/>
        <v>0</v>
      </c>
      <c r="S335" s="55">
        <v>0</v>
      </c>
      <c r="T335" s="55">
        <v>0</v>
      </c>
      <c r="U335" s="55">
        <v>0</v>
      </c>
      <c r="V335" s="55">
        <v>2</v>
      </c>
      <c r="W335" s="53">
        <v>0</v>
      </c>
      <c r="X335" s="53">
        <v>2</v>
      </c>
      <c r="Y335" s="55">
        <v>0</v>
      </c>
      <c r="Z335" s="55">
        <v>1</v>
      </c>
      <c r="AA335" s="53">
        <v>1</v>
      </c>
      <c r="AB335" s="53">
        <v>0</v>
      </c>
      <c r="AC335" s="55">
        <v>0</v>
      </c>
      <c r="AD335" s="55">
        <f t="shared" si="138"/>
        <v>2</v>
      </c>
      <c r="AE335" s="53">
        <v>0</v>
      </c>
      <c r="AF335" s="55">
        <v>2</v>
      </c>
      <c r="AG335" s="55">
        <v>0</v>
      </c>
      <c r="AH335" s="55">
        <f t="shared" si="139"/>
        <v>5</v>
      </c>
      <c r="AI335" s="55">
        <v>1</v>
      </c>
      <c r="AJ335" s="55">
        <v>4</v>
      </c>
      <c r="AK335" s="55">
        <v>0</v>
      </c>
      <c r="AL335" s="55">
        <f t="shared" si="140"/>
        <v>4</v>
      </c>
      <c r="AM335" s="55" t="s">
        <v>1912</v>
      </c>
      <c r="AN335" s="55">
        <v>4</v>
      </c>
      <c r="AO335" s="55">
        <v>0</v>
      </c>
      <c r="AP335" s="55">
        <f t="shared" si="144"/>
        <v>2</v>
      </c>
      <c r="AQ335" s="55">
        <f>IFERROR(VLOOKUP(A335,[1]SIIMPLES!$A$2:$F$418,6,FALSE),0)</f>
        <v>0</v>
      </c>
      <c r="AR335" s="55">
        <v>2</v>
      </c>
      <c r="AS335" s="55">
        <v>4</v>
      </c>
      <c r="AT335" s="55">
        <v>0</v>
      </c>
      <c r="AU335" s="55">
        <v>4</v>
      </c>
      <c r="AV335" s="55">
        <v>0</v>
      </c>
      <c r="AW335" s="55"/>
      <c r="AX335" s="55"/>
      <c r="AY335" s="56">
        <f t="shared" si="141"/>
        <v>2.1</v>
      </c>
      <c r="AZ335" s="55"/>
      <c r="BA335" s="56">
        <v>4</v>
      </c>
      <c r="BB335" s="41">
        <f t="shared" si="146"/>
        <v>-0.47499999999999998</v>
      </c>
      <c r="BC335" s="13"/>
      <c r="BD335" s="35"/>
      <c r="BE335" s="13"/>
      <c r="BF335" s="16"/>
      <c r="BG335" s="17">
        <f t="shared" si="142"/>
        <v>0</v>
      </c>
      <c r="BH335" s="16">
        <f t="shared" si="145"/>
        <v>2.1</v>
      </c>
    </row>
    <row r="336" spans="1:60" s="21" customFormat="1" ht="12.75" customHeight="1" x14ac:dyDescent="0.2">
      <c r="A336" s="51">
        <v>332080</v>
      </c>
      <c r="B336" s="51" t="s">
        <v>1077</v>
      </c>
      <c r="C336" s="66" t="s">
        <v>1803</v>
      </c>
      <c r="D336" s="52" t="s">
        <v>728</v>
      </c>
      <c r="E336" s="65" t="s">
        <v>780</v>
      </c>
      <c r="F336" s="53">
        <f>IFERROR(VLOOKUP(E336,Fornecedores!$A$2:$B$2700,2,FALSE),"")</f>
        <v>2</v>
      </c>
      <c r="G336" s="52" t="s">
        <v>292</v>
      </c>
      <c r="H336" s="57"/>
      <c r="I336" s="55">
        <f t="shared" si="135"/>
        <v>4</v>
      </c>
      <c r="J336" s="55">
        <v>2</v>
      </c>
      <c r="K336" s="55">
        <v>2</v>
      </c>
      <c r="L336" s="55">
        <v>0</v>
      </c>
      <c r="M336" s="55">
        <v>0</v>
      </c>
      <c r="N336" s="55">
        <f t="shared" si="136"/>
        <v>0</v>
      </c>
      <c r="O336" s="55">
        <v>0</v>
      </c>
      <c r="P336" s="55">
        <v>0</v>
      </c>
      <c r="Q336" s="55">
        <v>0</v>
      </c>
      <c r="R336" s="55">
        <f t="shared" si="137"/>
        <v>4</v>
      </c>
      <c r="S336" s="55">
        <v>0</v>
      </c>
      <c r="T336" s="55">
        <v>4</v>
      </c>
      <c r="U336" s="55">
        <v>0</v>
      </c>
      <c r="V336" s="55">
        <v>4</v>
      </c>
      <c r="W336" s="53">
        <v>0</v>
      </c>
      <c r="X336" s="53">
        <v>4</v>
      </c>
      <c r="Y336" s="55">
        <v>0</v>
      </c>
      <c r="Z336" s="55">
        <v>8</v>
      </c>
      <c r="AA336" s="53">
        <v>0</v>
      </c>
      <c r="AB336" s="53">
        <v>8</v>
      </c>
      <c r="AC336" s="55">
        <v>0</v>
      </c>
      <c r="AD336" s="55">
        <f t="shared" si="138"/>
        <v>6</v>
      </c>
      <c r="AE336" s="53">
        <v>0</v>
      </c>
      <c r="AF336" s="55">
        <v>4</v>
      </c>
      <c r="AG336" s="55">
        <v>2</v>
      </c>
      <c r="AH336" s="55">
        <f t="shared" si="139"/>
        <v>4</v>
      </c>
      <c r="AI336" s="55">
        <v>0</v>
      </c>
      <c r="AJ336" s="55">
        <v>4</v>
      </c>
      <c r="AK336" s="55">
        <v>0</v>
      </c>
      <c r="AL336" s="55">
        <f t="shared" si="140"/>
        <v>2</v>
      </c>
      <c r="AM336" s="55" t="s">
        <v>1912</v>
      </c>
      <c r="AN336" s="55">
        <v>2</v>
      </c>
      <c r="AO336" s="55">
        <v>0</v>
      </c>
      <c r="AP336" s="55">
        <f t="shared" si="144"/>
        <v>2</v>
      </c>
      <c r="AQ336" s="55">
        <f>IFERROR(VLOOKUP(A336,[1]SIIMPLES!$A$2:$F$418,6,FALSE),0)</f>
        <v>2</v>
      </c>
      <c r="AR336" s="55">
        <v>0</v>
      </c>
      <c r="AS336" s="55">
        <v>0</v>
      </c>
      <c r="AT336" s="55">
        <v>0</v>
      </c>
      <c r="AU336" s="55">
        <v>0</v>
      </c>
      <c r="AV336" s="55">
        <v>0</v>
      </c>
      <c r="AW336" s="55"/>
      <c r="AX336" s="55"/>
      <c r="AY336" s="56">
        <f t="shared" si="141"/>
        <v>3.4</v>
      </c>
      <c r="AZ336" s="55"/>
      <c r="BA336" s="56">
        <v>2</v>
      </c>
      <c r="BB336" s="41">
        <f t="shared" si="146"/>
        <v>0.7</v>
      </c>
      <c r="BC336" s="7"/>
      <c r="BD336" s="35"/>
      <c r="BE336" s="13"/>
      <c r="BF336" s="16"/>
      <c r="BG336" s="17">
        <f t="shared" si="142"/>
        <v>0</v>
      </c>
      <c r="BH336" s="16">
        <f t="shared" si="145"/>
        <v>3.4</v>
      </c>
    </row>
    <row r="337" spans="1:60" s="21" customFormat="1" ht="12.75" customHeight="1" x14ac:dyDescent="0.2">
      <c r="A337" s="51">
        <v>442061</v>
      </c>
      <c r="B337" s="51" t="s">
        <v>1077</v>
      </c>
      <c r="C337" s="66" t="s">
        <v>1803</v>
      </c>
      <c r="D337" s="52" t="s">
        <v>728</v>
      </c>
      <c r="E337" s="65" t="s">
        <v>780</v>
      </c>
      <c r="F337" s="53">
        <f>IFERROR(VLOOKUP(E337,Fornecedores!$A$2:$B$2700,2,FALSE),"")</f>
        <v>2</v>
      </c>
      <c r="G337" s="52" t="s">
        <v>634</v>
      </c>
      <c r="H337" s="57"/>
      <c r="I337" s="55">
        <f t="shared" si="135"/>
        <v>0</v>
      </c>
      <c r="J337" s="55">
        <v>0</v>
      </c>
      <c r="K337" s="55">
        <v>0</v>
      </c>
      <c r="L337" s="55">
        <v>0</v>
      </c>
      <c r="M337" s="55">
        <v>0</v>
      </c>
      <c r="N337" s="55">
        <f t="shared" si="136"/>
        <v>2</v>
      </c>
      <c r="O337" s="55">
        <v>2</v>
      </c>
      <c r="P337" s="55">
        <v>0</v>
      </c>
      <c r="Q337" s="55">
        <v>0</v>
      </c>
      <c r="R337" s="55">
        <f t="shared" si="137"/>
        <v>2</v>
      </c>
      <c r="S337" s="55">
        <v>2</v>
      </c>
      <c r="T337" s="55">
        <v>0</v>
      </c>
      <c r="U337" s="55">
        <v>0</v>
      </c>
      <c r="V337" s="55">
        <v>1</v>
      </c>
      <c r="W337" s="53">
        <v>1</v>
      </c>
      <c r="X337" s="53">
        <v>0</v>
      </c>
      <c r="Y337" s="55">
        <v>0</v>
      </c>
      <c r="Z337" s="55">
        <v>5</v>
      </c>
      <c r="AA337" s="53">
        <v>1</v>
      </c>
      <c r="AB337" s="53">
        <v>4</v>
      </c>
      <c r="AC337" s="55">
        <v>0</v>
      </c>
      <c r="AD337" s="55">
        <f t="shared" si="138"/>
        <v>0</v>
      </c>
      <c r="AE337" s="53">
        <v>0</v>
      </c>
      <c r="AF337" s="55">
        <v>0</v>
      </c>
      <c r="AG337" s="55">
        <v>0</v>
      </c>
      <c r="AH337" s="55">
        <f t="shared" si="139"/>
        <v>2</v>
      </c>
      <c r="AI337" s="55">
        <v>2</v>
      </c>
      <c r="AJ337" s="55">
        <v>0</v>
      </c>
      <c r="AK337" s="55">
        <v>0</v>
      </c>
      <c r="AL337" s="55">
        <f t="shared" si="140"/>
        <v>1</v>
      </c>
      <c r="AM337" s="55">
        <v>1</v>
      </c>
      <c r="AN337" s="55">
        <v>0</v>
      </c>
      <c r="AO337" s="55">
        <v>0</v>
      </c>
      <c r="AP337" s="55">
        <f t="shared" si="144"/>
        <v>2</v>
      </c>
      <c r="AQ337" s="55">
        <f>IFERROR(VLOOKUP(A337,[1]SIIMPLES!$A$2:$F$418,6,FALSE),0)</f>
        <v>0</v>
      </c>
      <c r="AR337" s="55">
        <v>2</v>
      </c>
      <c r="AS337" s="55">
        <v>3</v>
      </c>
      <c r="AT337" s="55">
        <v>3</v>
      </c>
      <c r="AU337" s="55">
        <v>0</v>
      </c>
      <c r="AV337" s="55">
        <v>0</v>
      </c>
      <c r="AW337" s="55"/>
      <c r="AX337" s="55"/>
      <c r="AY337" s="56">
        <f t="shared" si="141"/>
        <v>1.8</v>
      </c>
      <c r="AZ337" s="55"/>
      <c r="BA337" s="56">
        <v>4.5</v>
      </c>
      <c r="BB337" s="41">
        <f t="shared" si="146"/>
        <v>-0.6</v>
      </c>
      <c r="BC337" s="7"/>
      <c r="BD337" s="35"/>
      <c r="BE337" s="13"/>
      <c r="BF337" s="16">
        <f>SUM(BC337:BE337)</f>
        <v>0</v>
      </c>
      <c r="BG337" s="17">
        <f t="shared" si="142"/>
        <v>0</v>
      </c>
      <c r="BH337" s="16">
        <f t="shared" si="145"/>
        <v>1.8</v>
      </c>
    </row>
    <row r="338" spans="1:60" s="21" customFormat="1" ht="12.75" customHeight="1" x14ac:dyDescent="0.2">
      <c r="A338" s="51">
        <v>772057</v>
      </c>
      <c r="B338" s="51" t="s">
        <v>1077</v>
      </c>
      <c r="C338" s="66" t="s">
        <v>1803</v>
      </c>
      <c r="D338" s="52" t="s">
        <v>728</v>
      </c>
      <c r="E338" s="65" t="s">
        <v>780</v>
      </c>
      <c r="F338" s="53">
        <f>IFERROR(VLOOKUP(E338,Fornecedores!$A$2:$B$2700,2,FALSE),"")</f>
        <v>2</v>
      </c>
      <c r="G338" s="52" t="s">
        <v>209</v>
      </c>
      <c r="H338" s="57"/>
      <c r="I338" s="55">
        <f t="shared" si="135"/>
        <v>4</v>
      </c>
      <c r="J338" s="55">
        <v>1</v>
      </c>
      <c r="K338" s="55">
        <v>3</v>
      </c>
      <c r="L338" s="55">
        <v>0</v>
      </c>
      <c r="M338" s="55">
        <v>0</v>
      </c>
      <c r="N338" s="55">
        <f t="shared" si="136"/>
        <v>2</v>
      </c>
      <c r="O338" s="55">
        <v>0</v>
      </c>
      <c r="P338" s="55">
        <v>2</v>
      </c>
      <c r="Q338" s="55">
        <v>0</v>
      </c>
      <c r="R338" s="55">
        <f t="shared" si="137"/>
        <v>3</v>
      </c>
      <c r="S338" s="55">
        <v>2</v>
      </c>
      <c r="T338" s="55">
        <v>1</v>
      </c>
      <c r="U338" s="55">
        <v>0</v>
      </c>
      <c r="V338" s="55">
        <v>3</v>
      </c>
      <c r="W338" s="53">
        <v>1</v>
      </c>
      <c r="X338" s="53">
        <v>2</v>
      </c>
      <c r="Y338" s="55">
        <v>0</v>
      </c>
      <c r="Z338" s="55">
        <v>0</v>
      </c>
      <c r="AA338" s="53">
        <v>0</v>
      </c>
      <c r="AB338" s="53">
        <v>0</v>
      </c>
      <c r="AC338" s="55">
        <v>0</v>
      </c>
      <c r="AD338" s="55">
        <f t="shared" si="138"/>
        <v>0</v>
      </c>
      <c r="AE338" s="53">
        <v>0</v>
      </c>
      <c r="AF338" s="55">
        <v>0</v>
      </c>
      <c r="AG338" s="55">
        <v>0</v>
      </c>
      <c r="AH338" s="55">
        <f t="shared" si="139"/>
        <v>2</v>
      </c>
      <c r="AI338" s="55">
        <v>2</v>
      </c>
      <c r="AJ338" s="55">
        <v>0</v>
      </c>
      <c r="AK338" s="55">
        <v>0</v>
      </c>
      <c r="AL338" s="55">
        <f t="shared" si="140"/>
        <v>1</v>
      </c>
      <c r="AM338" s="55">
        <v>1</v>
      </c>
      <c r="AN338" s="55">
        <v>0</v>
      </c>
      <c r="AO338" s="55">
        <v>0</v>
      </c>
      <c r="AP338" s="55">
        <f t="shared" si="144"/>
        <v>2</v>
      </c>
      <c r="AQ338" s="55">
        <f>IFERROR(VLOOKUP(A338,[1]SIIMPLES!$A$2:$F$418,6,FALSE),0)</f>
        <v>2</v>
      </c>
      <c r="AR338" s="55">
        <v>0</v>
      </c>
      <c r="AS338" s="55">
        <v>2</v>
      </c>
      <c r="AT338" s="55">
        <v>2</v>
      </c>
      <c r="AU338" s="55">
        <v>0</v>
      </c>
      <c r="AV338" s="55">
        <v>0</v>
      </c>
      <c r="AW338" s="55"/>
      <c r="AX338" s="55"/>
      <c r="AY338" s="56">
        <f t="shared" si="141"/>
        <v>1.9</v>
      </c>
      <c r="AZ338" s="55"/>
      <c r="BA338" s="56">
        <v>3.3333333333333335</v>
      </c>
      <c r="BB338" s="41">
        <f t="shared" si="146"/>
        <v>-0.43000000000000005</v>
      </c>
      <c r="BC338" s="13"/>
      <c r="BD338" s="35"/>
      <c r="BE338" s="13"/>
      <c r="BF338" s="16">
        <f>SUM(BC338:BE338)</f>
        <v>0</v>
      </c>
      <c r="BG338" s="17">
        <f t="shared" si="142"/>
        <v>0</v>
      </c>
      <c r="BH338" s="16">
        <f t="shared" si="145"/>
        <v>1.9</v>
      </c>
    </row>
    <row r="339" spans="1:60" s="21" customFormat="1" ht="12.75" customHeight="1" x14ac:dyDescent="0.2">
      <c r="A339" s="51">
        <v>222203</v>
      </c>
      <c r="B339" s="51" t="s">
        <v>1077</v>
      </c>
      <c r="C339" s="66" t="s">
        <v>1803</v>
      </c>
      <c r="D339" s="65" t="s">
        <v>1779</v>
      </c>
      <c r="E339" s="52" t="s">
        <v>732</v>
      </c>
      <c r="F339" s="53">
        <f>IFERROR(VLOOKUP(E339,Fornecedores!$A$2:$B$2700,2,FALSE),"")</f>
        <v>6</v>
      </c>
      <c r="G339" s="52" t="s">
        <v>73</v>
      </c>
      <c r="H339" s="54"/>
      <c r="I339" s="55">
        <f t="shared" si="135"/>
        <v>0</v>
      </c>
      <c r="J339" s="55">
        <v>0</v>
      </c>
      <c r="K339" s="55">
        <v>0</v>
      </c>
      <c r="L339" s="55">
        <v>0</v>
      </c>
      <c r="M339" s="55">
        <v>0</v>
      </c>
      <c r="N339" s="55">
        <f t="shared" si="136"/>
        <v>0</v>
      </c>
      <c r="O339" s="55">
        <v>0</v>
      </c>
      <c r="P339" s="55">
        <v>0</v>
      </c>
      <c r="Q339" s="55">
        <v>0</v>
      </c>
      <c r="R339" s="55">
        <f t="shared" si="137"/>
        <v>0</v>
      </c>
      <c r="S339" s="55">
        <v>0</v>
      </c>
      <c r="T339" s="55">
        <v>0</v>
      </c>
      <c r="U339" s="55">
        <v>0</v>
      </c>
      <c r="V339" s="55">
        <v>0</v>
      </c>
      <c r="W339" s="53">
        <v>0</v>
      </c>
      <c r="X339" s="53">
        <v>0</v>
      </c>
      <c r="Y339" s="55">
        <v>0</v>
      </c>
      <c r="Z339" s="55">
        <v>4</v>
      </c>
      <c r="AA339" s="53">
        <v>4</v>
      </c>
      <c r="AB339" s="53">
        <v>0</v>
      </c>
      <c r="AC339" s="55">
        <v>0</v>
      </c>
      <c r="AD339" s="55">
        <f t="shared" si="138"/>
        <v>5</v>
      </c>
      <c r="AE339" s="53">
        <v>5</v>
      </c>
      <c r="AF339" s="55">
        <v>0</v>
      </c>
      <c r="AG339" s="55">
        <v>0</v>
      </c>
      <c r="AH339" s="55">
        <f t="shared" si="139"/>
        <v>0</v>
      </c>
      <c r="AI339" s="55">
        <v>0</v>
      </c>
      <c r="AJ339" s="55">
        <v>0</v>
      </c>
      <c r="AK339" s="55">
        <v>0</v>
      </c>
      <c r="AL339" s="55">
        <f t="shared" si="140"/>
        <v>0</v>
      </c>
      <c r="AM339" s="55" t="s">
        <v>1912</v>
      </c>
      <c r="AN339" s="55">
        <v>0</v>
      </c>
      <c r="AO339" s="55">
        <v>0</v>
      </c>
      <c r="AP339" s="55">
        <f t="shared" si="144"/>
        <v>2</v>
      </c>
      <c r="AQ339" s="55">
        <f>IFERROR(VLOOKUP(A339,[1]SIIMPLES!$A$2:$F$418,6,FALSE),0)</f>
        <v>2</v>
      </c>
      <c r="AR339" s="55">
        <v>0</v>
      </c>
      <c r="AS339" s="55">
        <v>0</v>
      </c>
      <c r="AT339" s="55">
        <v>0</v>
      </c>
      <c r="AU339" s="55">
        <v>0</v>
      </c>
      <c r="AV339" s="55">
        <v>0</v>
      </c>
      <c r="AW339" s="55"/>
      <c r="AX339" s="55"/>
      <c r="AY339" s="56">
        <f t="shared" si="141"/>
        <v>1.1000000000000001</v>
      </c>
      <c r="AZ339" s="55"/>
      <c r="BA339" s="56">
        <v>1.5</v>
      </c>
      <c r="BB339" s="41">
        <f t="shared" si="146"/>
        <v>-0.26666666666666661</v>
      </c>
      <c r="BC339" s="7"/>
      <c r="BD339" s="35"/>
      <c r="BE339" s="13"/>
      <c r="BF339" s="16">
        <f>SUM(BC339:BE339)</f>
        <v>0</v>
      </c>
      <c r="BG339" s="17">
        <f t="shared" si="142"/>
        <v>0</v>
      </c>
      <c r="BH339" s="16">
        <f t="shared" si="145"/>
        <v>1.1000000000000001</v>
      </c>
    </row>
    <row r="340" spans="1:60" s="21" customFormat="1" ht="12.75" customHeight="1" x14ac:dyDescent="0.2">
      <c r="A340" s="51">
        <v>332067</v>
      </c>
      <c r="B340" s="51" t="s">
        <v>1077</v>
      </c>
      <c r="C340" s="66" t="s">
        <v>1803</v>
      </c>
      <c r="D340" s="52" t="s">
        <v>728</v>
      </c>
      <c r="E340" s="65" t="s">
        <v>780</v>
      </c>
      <c r="F340" s="53">
        <f>IFERROR(VLOOKUP(E340,Fornecedores!$A$2:$B$2700,2,FALSE),"")</f>
        <v>2</v>
      </c>
      <c r="G340" s="52" t="s">
        <v>34</v>
      </c>
      <c r="H340" s="57"/>
      <c r="I340" s="55">
        <f t="shared" si="135"/>
        <v>7</v>
      </c>
      <c r="J340" s="55">
        <v>0</v>
      </c>
      <c r="K340" s="55">
        <v>6</v>
      </c>
      <c r="L340" s="55">
        <v>0</v>
      </c>
      <c r="M340" s="55">
        <v>1</v>
      </c>
      <c r="N340" s="55">
        <f t="shared" si="136"/>
        <v>0</v>
      </c>
      <c r="O340" s="55">
        <v>0</v>
      </c>
      <c r="P340" s="55">
        <v>0</v>
      </c>
      <c r="Q340" s="55">
        <v>0</v>
      </c>
      <c r="R340" s="55">
        <f t="shared" si="137"/>
        <v>0</v>
      </c>
      <c r="S340" s="55">
        <v>0</v>
      </c>
      <c r="T340" s="55">
        <v>0</v>
      </c>
      <c r="U340" s="55">
        <v>0</v>
      </c>
      <c r="V340" s="55">
        <v>4</v>
      </c>
      <c r="W340" s="53">
        <v>0</v>
      </c>
      <c r="X340" s="53">
        <v>4</v>
      </c>
      <c r="Y340" s="55">
        <v>0</v>
      </c>
      <c r="Z340" s="55">
        <v>2</v>
      </c>
      <c r="AA340" s="53">
        <v>0</v>
      </c>
      <c r="AB340" s="53">
        <v>2</v>
      </c>
      <c r="AC340" s="55">
        <v>0</v>
      </c>
      <c r="AD340" s="55">
        <f t="shared" si="138"/>
        <v>3</v>
      </c>
      <c r="AE340" s="53">
        <v>0</v>
      </c>
      <c r="AF340" s="55">
        <v>3</v>
      </c>
      <c r="AG340" s="55">
        <v>0</v>
      </c>
      <c r="AH340" s="55">
        <f t="shared" si="139"/>
        <v>1</v>
      </c>
      <c r="AI340" s="55">
        <v>0</v>
      </c>
      <c r="AJ340" s="55">
        <v>1</v>
      </c>
      <c r="AK340" s="55">
        <v>0</v>
      </c>
      <c r="AL340" s="55">
        <f t="shared" si="140"/>
        <v>22</v>
      </c>
      <c r="AM340" s="55" t="s">
        <v>1912</v>
      </c>
      <c r="AN340" s="55">
        <v>2</v>
      </c>
      <c r="AO340" s="55">
        <v>20</v>
      </c>
      <c r="AP340" s="55">
        <f t="shared" si="144"/>
        <v>2</v>
      </c>
      <c r="AQ340" s="55">
        <f>IFERROR(VLOOKUP(A340,[1]SIIMPLES!$A$2:$F$418,6,FALSE),0)</f>
        <v>2</v>
      </c>
      <c r="AR340" s="55">
        <v>0</v>
      </c>
      <c r="AS340" s="55">
        <v>1</v>
      </c>
      <c r="AT340" s="55">
        <v>1</v>
      </c>
      <c r="AU340" s="55">
        <v>0</v>
      </c>
      <c r="AV340" s="55">
        <v>0</v>
      </c>
      <c r="AW340" s="55"/>
      <c r="AX340" s="55"/>
      <c r="AY340" s="56">
        <f t="shared" si="141"/>
        <v>4.2</v>
      </c>
      <c r="AZ340" s="55"/>
      <c r="BA340" s="56">
        <v>4.166666666666667</v>
      </c>
      <c r="BB340" s="41">
        <f t="shared" si="146"/>
        <v>8.0000000000000071E-3</v>
      </c>
      <c r="BC340" s="13"/>
      <c r="BD340" s="35"/>
      <c r="BE340" s="13"/>
      <c r="BF340" s="16">
        <f>SUM(BC340:BE340)</f>
        <v>0</v>
      </c>
      <c r="BG340" s="17">
        <f t="shared" si="142"/>
        <v>0</v>
      </c>
      <c r="BH340" s="16">
        <f t="shared" si="145"/>
        <v>4.2</v>
      </c>
    </row>
    <row r="341" spans="1:60" s="21" customFormat="1" ht="12.75" customHeight="1" x14ac:dyDescent="0.2">
      <c r="A341" s="51">
        <v>227205</v>
      </c>
      <c r="B341" s="51" t="s">
        <v>1077</v>
      </c>
      <c r="C341" s="66" t="s">
        <v>1803</v>
      </c>
      <c r="D341" s="65" t="s">
        <v>726</v>
      </c>
      <c r="E341" s="67" t="s">
        <v>727</v>
      </c>
      <c r="F341" s="53">
        <f>IFERROR(VLOOKUP(E341,Fornecedores!$A$2:$B$2700,2,FALSE),"")</f>
        <v>1</v>
      </c>
      <c r="G341" s="52" t="s">
        <v>563</v>
      </c>
      <c r="H341" s="54"/>
      <c r="I341" s="55">
        <f t="shared" si="135"/>
        <v>0</v>
      </c>
      <c r="J341" s="55">
        <v>0</v>
      </c>
      <c r="K341" s="55">
        <v>0</v>
      </c>
      <c r="L341" s="55">
        <v>0</v>
      </c>
      <c r="M341" s="55">
        <v>0</v>
      </c>
      <c r="N341" s="55">
        <f t="shared" si="136"/>
        <v>0</v>
      </c>
      <c r="O341" s="55">
        <v>0</v>
      </c>
      <c r="P341" s="55">
        <v>0</v>
      </c>
      <c r="Q341" s="55">
        <v>0</v>
      </c>
      <c r="R341" s="55">
        <f t="shared" si="137"/>
        <v>0</v>
      </c>
      <c r="S341" s="55">
        <v>0</v>
      </c>
      <c r="T341" s="55">
        <v>0</v>
      </c>
      <c r="U341" s="55">
        <v>0</v>
      </c>
      <c r="V341" s="55">
        <v>0</v>
      </c>
      <c r="W341" s="53">
        <v>0</v>
      </c>
      <c r="X341" s="53">
        <v>0</v>
      </c>
      <c r="Y341" s="55">
        <v>0</v>
      </c>
      <c r="Z341" s="55">
        <v>1</v>
      </c>
      <c r="AA341" s="53">
        <v>1</v>
      </c>
      <c r="AB341" s="53">
        <v>0</v>
      </c>
      <c r="AC341" s="55">
        <v>0</v>
      </c>
      <c r="AD341" s="55">
        <f t="shared" si="138"/>
        <v>1</v>
      </c>
      <c r="AE341" s="53">
        <v>1</v>
      </c>
      <c r="AF341" s="55">
        <v>0</v>
      </c>
      <c r="AG341" s="55">
        <v>0</v>
      </c>
      <c r="AH341" s="55">
        <f t="shared" si="139"/>
        <v>0</v>
      </c>
      <c r="AI341" s="55">
        <v>0</v>
      </c>
      <c r="AJ341" s="55">
        <v>0</v>
      </c>
      <c r="AK341" s="55">
        <v>0</v>
      </c>
      <c r="AL341" s="55">
        <f t="shared" ref="AL341:AL371" si="147">SUM(AM341:AO341)</f>
        <v>0</v>
      </c>
      <c r="AM341" s="55" t="s">
        <v>1912</v>
      </c>
      <c r="AN341" s="55">
        <v>0</v>
      </c>
      <c r="AO341" s="55">
        <v>0</v>
      </c>
      <c r="AP341" s="55">
        <f t="shared" si="144"/>
        <v>2</v>
      </c>
      <c r="AQ341" s="55">
        <f>IFERROR(VLOOKUP(A341,[1]SIIMPLES!$A$2:$F$418,6,FALSE),0)</f>
        <v>2</v>
      </c>
      <c r="AR341" s="55">
        <v>0</v>
      </c>
      <c r="AS341" s="55">
        <v>1</v>
      </c>
      <c r="AT341" s="55">
        <v>1</v>
      </c>
      <c r="AU341" s="55">
        <v>0</v>
      </c>
      <c r="AV341" s="55">
        <v>0</v>
      </c>
      <c r="AW341" s="55"/>
      <c r="AX341" s="55"/>
      <c r="AY341" s="56">
        <f t="shared" si="141"/>
        <v>0.5</v>
      </c>
      <c r="AZ341" s="55"/>
      <c r="BA341" s="56">
        <v>1.3333333333333333</v>
      </c>
      <c r="BB341" s="41">
        <f t="shared" si="146"/>
        <v>-0.625</v>
      </c>
      <c r="BC341" s="13"/>
      <c r="BD341" s="35"/>
      <c r="BE341" s="7"/>
      <c r="BF341" s="16"/>
      <c r="BG341" s="17">
        <f t="shared" si="142"/>
        <v>0</v>
      </c>
      <c r="BH341" s="16">
        <f t="shared" si="145"/>
        <v>1.5</v>
      </c>
    </row>
    <row r="342" spans="1:60" s="21" customFormat="1" ht="12.75" customHeight="1" x14ac:dyDescent="0.2">
      <c r="A342" s="51">
        <v>332111</v>
      </c>
      <c r="B342" s="51" t="s">
        <v>1077</v>
      </c>
      <c r="C342" s="66" t="s">
        <v>1803</v>
      </c>
      <c r="D342" s="52" t="s">
        <v>728</v>
      </c>
      <c r="E342" s="65" t="s">
        <v>780</v>
      </c>
      <c r="F342" s="53">
        <f>IFERROR(VLOOKUP(E342,Fornecedores!$A$2:$B$2700,2,FALSE),"")</f>
        <v>2</v>
      </c>
      <c r="G342" s="52" t="s">
        <v>695</v>
      </c>
      <c r="H342" s="57"/>
      <c r="I342" s="55">
        <f t="shared" si="135"/>
        <v>3</v>
      </c>
      <c r="J342" s="55">
        <v>2</v>
      </c>
      <c r="K342" s="55">
        <v>1</v>
      </c>
      <c r="L342" s="55">
        <v>0</v>
      </c>
      <c r="M342" s="55">
        <v>0</v>
      </c>
      <c r="N342" s="55">
        <f t="shared" si="136"/>
        <v>2</v>
      </c>
      <c r="O342" s="55">
        <v>1</v>
      </c>
      <c r="P342" s="55">
        <v>1</v>
      </c>
      <c r="Q342" s="55">
        <v>0</v>
      </c>
      <c r="R342" s="55">
        <f t="shared" si="137"/>
        <v>3</v>
      </c>
      <c r="S342" s="55">
        <v>1</v>
      </c>
      <c r="T342" s="55">
        <v>2</v>
      </c>
      <c r="U342" s="55">
        <v>0</v>
      </c>
      <c r="V342" s="55">
        <v>3</v>
      </c>
      <c r="W342" s="53">
        <v>2</v>
      </c>
      <c r="X342" s="53">
        <v>1</v>
      </c>
      <c r="Y342" s="55">
        <v>0</v>
      </c>
      <c r="Z342" s="55">
        <v>0</v>
      </c>
      <c r="AA342" s="53">
        <v>0</v>
      </c>
      <c r="AB342" s="53">
        <v>0</v>
      </c>
      <c r="AC342" s="55">
        <v>0</v>
      </c>
      <c r="AD342" s="55">
        <f t="shared" si="138"/>
        <v>1</v>
      </c>
      <c r="AE342" s="53">
        <v>1</v>
      </c>
      <c r="AF342" s="55">
        <v>0</v>
      </c>
      <c r="AG342" s="55">
        <v>0</v>
      </c>
      <c r="AH342" s="55">
        <f t="shared" si="139"/>
        <v>1</v>
      </c>
      <c r="AI342" s="55">
        <v>0</v>
      </c>
      <c r="AJ342" s="55">
        <v>1</v>
      </c>
      <c r="AK342" s="55">
        <v>0</v>
      </c>
      <c r="AL342" s="55">
        <f t="shared" si="147"/>
        <v>2</v>
      </c>
      <c r="AM342" s="55">
        <v>1</v>
      </c>
      <c r="AN342" s="55">
        <v>1</v>
      </c>
      <c r="AO342" s="55">
        <v>0</v>
      </c>
      <c r="AP342" s="55">
        <f t="shared" si="144"/>
        <v>2</v>
      </c>
      <c r="AQ342" s="55">
        <f>IFERROR(VLOOKUP(A342,[1]SIIMPLES!$A$2:$F$418,6,FALSE),0)</f>
        <v>0</v>
      </c>
      <c r="AR342" s="55">
        <v>2</v>
      </c>
      <c r="AS342" s="55">
        <v>0</v>
      </c>
      <c r="AT342" s="55">
        <v>0</v>
      </c>
      <c r="AU342" s="55">
        <v>0</v>
      </c>
      <c r="AV342" s="55">
        <v>0</v>
      </c>
      <c r="AW342" s="55"/>
      <c r="AX342" s="55"/>
      <c r="AY342" s="56">
        <f t="shared" si="141"/>
        <v>1.7</v>
      </c>
      <c r="AZ342" s="55"/>
      <c r="BA342" s="56">
        <v>2.6666666666666665</v>
      </c>
      <c r="BB342" s="41">
        <f t="shared" si="146"/>
        <v>-0.36249999999999993</v>
      </c>
      <c r="BC342" s="13"/>
      <c r="BD342" s="36"/>
      <c r="BE342" s="7"/>
      <c r="BF342" s="7"/>
      <c r="BG342" s="17">
        <f t="shared" si="142"/>
        <v>0</v>
      </c>
      <c r="BH342" s="7"/>
    </row>
    <row r="343" spans="1:60" s="21" customFormat="1" ht="12.75" customHeight="1" x14ac:dyDescent="0.2">
      <c r="A343" s="51">
        <v>662025</v>
      </c>
      <c r="B343" s="51" t="s">
        <v>1077</v>
      </c>
      <c r="C343" s="66" t="s">
        <v>1803</v>
      </c>
      <c r="D343" s="52" t="s">
        <v>728</v>
      </c>
      <c r="E343" s="65" t="s">
        <v>780</v>
      </c>
      <c r="F343" s="53">
        <f>IFERROR(VLOOKUP(E343,Fornecedores!$A$2:$B$2700,2,FALSE),"")</f>
        <v>2</v>
      </c>
      <c r="G343" s="52" t="s">
        <v>28</v>
      </c>
      <c r="H343" s="57"/>
      <c r="I343" s="55">
        <f t="shared" si="135"/>
        <v>0</v>
      </c>
      <c r="J343" s="55">
        <v>0</v>
      </c>
      <c r="K343" s="55">
        <v>0</v>
      </c>
      <c r="L343" s="55">
        <v>0</v>
      </c>
      <c r="M343" s="55">
        <v>0</v>
      </c>
      <c r="N343" s="55">
        <f t="shared" si="136"/>
        <v>0</v>
      </c>
      <c r="O343" s="55">
        <v>0</v>
      </c>
      <c r="P343" s="55">
        <v>0</v>
      </c>
      <c r="Q343" s="55">
        <v>0</v>
      </c>
      <c r="R343" s="55">
        <f t="shared" si="137"/>
        <v>0</v>
      </c>
      <c r="S343" s="55">
        <v>0</v>
      </c>
      <c r="T343" s="55">
        <v>0</v>
      </c>
      <c r="U343" s="55">
        <v>0</v>
      </c>
      <c r="V343" s="55">
        <v>0</v>
      </c>
      <c r="W343" s="53">
        <v>0</v>
      </c>
      <c r="X343" s="53">
        <v>0</v>
      </c>
      <c r="Y343" s="55">
        <v>0</v>
      </c>
      <c r="Z343" s="55">
        <v>1</v>
      </c>
      <c r="AA343" s="53">
        <v>0</v>
      </c>
      <c r="AB343" s="53">
        <v>1</v>
      </c>
      <c r="AC343" s="55">
        <v>0</v>
      </c>
      <c r="AD343" s="55">
        <f t="shared" si="138"/>
        <v>1</v>
      </c>
      <c r="AE343" s="53">
        <v>0</v>
      </c>
      <c r="AF343" s="55">
        <v>1</v>
      </c>
      <c r="AG343" s="55">
        <v>0</v>
      </c>
      <c r="AH343" s="55">
        <f t="shared" si="139"/>
        <v>1</v>
      </c>
      <c r="AI343" s="55">
        <v>1</v>
      </c>
      <c r="AJ343" s="55">
        <v>0</v>
      </c>
      <c r="AK343" s="55">
        <v>0</v>
      </c>
      <c r="AL343" s="55">
        <f t="shared" si="147"/>
        <v>1</v>
      </c>
      <c r="AM343" s="55">
        <v>1</v>
      </c>
      <c r="AN343" s="55">
        <v>0</v>
      </c>
      <c r="AO343" s="55">
        <v>0</v>
      </c>
      <c r="AP343" s="55">
        <f t="shared" si="144"/>
        <v>2</v>
      </c>
      <c r="AQ343" s="55">
        <f>IFERROR(VLOOKUP(A343,[1]SIIMPLES!$A$2:$F$418,6,FALSE),0)</f>
        <v>1</v>
      </c>
      <c r="AR343" s="55">
        <v>1</v>
      </c>
      <c r="AS343" s="55">
        <v>1</v>
      </c>
      <c r="AT343" s="55">
        <v>1</v>
      </c>
      <c r="AU343" s="55">
        <v>0</v>
      </c>
      <c r="AV343" s="55">
        <v>0</v>
      </c>
      <c r="AW343" s="55"/>
      <c r="AX343" s="55"/>
      <c r="AY343" s="56">
        <f t="shared" si="141"/>
        <v>0.7</v>
      </c>
      <c r="AZ343" s="55"/>
      <c r="BA343" s="56">
        <v>0.5</v>
      </c>
      <c r="BB343" s="41">
        <f t="shared" si="146"/>
        <v>0.39999999999999991</v>
      </c>
      <c r="BC343" s="7"/>
      <c r="BD343" s="35"/>
      <c r="BE343" s="13"/>
      <c r="BF343" s="16">
        <f>SUM(BC343:BE343)</f>
        <v>0</v>
      </c>
      <c r="BG343" s="17">
        <f t="shared" si="142"/>
        <v>0</v>
      </c>
      <c r="BH343" s="16">
        <f>IFERROR(IF(F343=1,IF(BC343&lt;AY343*3,AY343*3-BC343,0),IF(BC343&lt;AY343,AY343-BC343,0)),"")</f>
        <v>0.7</v>
      </c>
    </row>
    <row r="344" spans="1:60" s="21" customFormat="1" ht="12.75" customHeight="1" x14ac:dyDescent="0.2">
      <c r="A344" s="51">
        <v>772058</v>
      </c>
      <c r="B344" s="51" t="s">
        <v>1077</v>
      </c>
      <c r="C344" s="66" t="s">
        <v>1803</v>
      </c>
      <c r="D344" s="52" t="s">
        <v>728</v>
      </c>
      <c r="E344" s="65" t="s">
        <v>780</v>
      </c>
      <c r="F344" s="53">
        <f>IFERROR(VLOOKUP(E344,Fornecedores!$A$2:$B$2700,2,FALSE),"")</f>
        <v>2</v>
      </c>
      <c r="G344" s="52" t="s">
        <v>36</v>
      </c>
      <c r="H344" s="57"/>
      <c r="I344" s="55">
        <f t="shared" si="135"/>
        <v>1</v>
      </c>
      <c r="J344" s="55">
        <v>0</v>
      </c>
      <c r="K344" s="55">
        <v>1</v>
      </c>
      <c r="L344" s="55">
        <v>0</v>
      </c>
      <c r="M344" s="55">
        <v>0</v>
      </c>
      <c r="N344" s="55">
        <f t="shared" si="136"/>
        <v>4</v>
      </c>
      <c r="O344" s="55">
        <v>0</v>
      </c>
      <c r="P344" s="55">
        <v>4</v>
      </c>
      <c r="Q344" s="55">
        <v>0</v>
      </c>
      <c r="R344" s="55">
        <f t="shared" si="137"/>
        <v>3</v>
      </c>
      <c r="S344" s="55">
        <v>0</v>
      </c>
      <c r="T344" s="55">
        <v>3</v>
      </c>
      <c r="U344" s="55">
        <v>0</v>
      </c>
      <c r="V344" s="55">
        <v>5</v>
      </c>
      <c r="W344" s="53">
        <v>2</v>
      </c>
      <c r="X344" s="53">
        <v>3</v>
      </c>
      <c r="Y344" s="55">
        <v>0</v>
      </c>
      <c r="Z344" s="55">
        <v>0</v>
      </c>
      <c r="AA344" s="53">
        <v>0</v>
      </c>
      <c r="AB344" s="53">
        <v>0</v>
      </c>
      <c r="AC344" s="55">
        <v>0</v>
      </c>
      <c r="AD344" s="55">
        <f t="shared" si="138"/>
        <v>2</v>
      </c>
      <c r="AE344" s="53">
        <v>0</v>
      </c>
      <c r="AF344" s="55">
        <v>2</v>
      </c>
      <c r="AG344" s="55">
        <v>0</v>
      </c>
      <c r="AH344" s="55">
        <f t="shared" si="139"/>
        <v>1</v>
      </c>
      <c r="AI344" s="55">
        <v>0</v>
      </c>
      <c r="AJ344" s="55">
        <v>1</v>
      </c>
      <c r="AK344" s="55">
        <v>0</v>
      </c>
      <c r="AL344" s="55">
        <f t="shared" si="147"/>
        <v>0</v>
      </c>
      <c r="AM344" s="55" t="s">
        <v>1912</v>
      </c>
      <c r="AN344" s="55">
        <v>0</v>
      </c>
      <c r="AO344" s="55">
        <v>0</v>
      </c>
      <c r="AP344" s="55">
        <f t="shared" si="144"/>
        <v>2</v>
      </c>
      <c r="AQ344" s="55">
        <f>IFERROR(VLOOKUP(A344,[1]SIIMPLES!$A$2:$F$418,6,FALSE),0)</f>
        <v>0</v>
      </c>
      <c r="AR344" s="55">
        <v>2</v>
      </c>
      <c r="AS344" s="55">
        <v>3</v>
      </c>
      <c r="AT344" s="55">
        <v>2</v>
      </c>
      <c r="AU344" s="55">
        <v>1</v>
      </c>
      <c r="AV344" s="55">
        <v>0</v>
      </c>
      <c r="AW344" s="55"/>
      <c r="AX344" s="55"/>
      <c r="AY344" s="56">
        <f t="shared" si="141"/>
        <v>2.1</v>
      </c>
      <c r="AZ344" s="55"/>
      <c r="BA344" s="56">
        <v>0.83333333333333337</v>
      </c>
      <c r="BB344" s="41">
        <f t="shared" si="146"/>
        <v>1.52</v>
      </c>
      <c r="BC344" s="7"/>
      <c r="BD344" s="35"/>
      <c r="BE344" s="13"/>
      <c r="BF344" s="16">
        <f>SUM(BC344:BE344)</f>
        <v>0</v>
      </c>
      <c r="BG344" s="17">
        <f t="shared" si="142"/>
        <v>0</v>
      </c>
      <c r="BH344" s="16">
        <f>IFERROR(IF(F344=1,IF(BC344&lt;AY344*3,AY344*3-BC344,0),IF(BC344&lt;AY344,AY344-BC344,0)),"")</f>
        <v>2.1</v>
      </c>
    </row>
    <row r="345" spans="1:60" s="21" customFormat="1" ht="12.75" customHeight="1" x14ac:dyDescent="0.2">
      <c r="A345" s="51">
        <v>772059</v>
      </c>
      <c r="B345" s="51" t="s">
        <v>1077</v>
      </c>
      <c r="C345" s="66" t="s">
        <v>1803</v>
      </c>
      <c r="D345" s="52" t="s">
        <v>728</v>
      </c>
      <c r="E345" s="65" t="s">
        <v>780</v>
      </c>
      <c r="F345" s="53">
        <f>IFERROR(VLOOKUP(E345,Fornecedores!$A$2:$B$2700,2,FALSE),"")</f>
        <v>2</v>
      </c>
      <c r="G345" s="52" t="s">
        <v>75</v>
      </c>
      <c r="H345" s="57"/>
      <c r="I345" s="55">
        <f t="shared" si="135"/>
        <v>1</v>
      </c>
      <c r="J345" s="55">
        <v>0</v>
      </c>
      <c r="K345" s="55">
        <v>1</v>
      </c>
      <c r="L345" s="55">
        <v>0</v>
      </c>
      <c r="M345" s="55">
        <v>0</v>
      </c>
      <c r="N345" s="55">
        <f t="shared" si="136"/>
        <v>4</v>
      </c>
      <c r="O345" s="55">
        <v>0</v>
      </c>
      <c r="P345" s="55">
        <v>4</v>
      </c>
      <c r="Q345" s="55">
        <v>0</v>
      </c>
      <c r="R345" s="55">
        <f t="shared" si="137"/>
        <v>3</v>
      </c>
      <c r="S345" s="55">
        <v>0</v>
      </c>
      <c r="T345" s="55">
        <v>3</v>
      </c>
      <c r="U345" s="55">
        <v>0</v>
      </c>
      <c r="V345" s="55">
        <v>3</v>
      </c>
      <c r="W345" s="53">
        <v>0</v>
      </c>
      <c r="X345" s="53">
        <v>3</v>
      </c>
      <c r="Y345" s="55">
        <v>0</v>
      </c>
      <c r="Z345" s="55">
        <v>0</v>
      </c>
      <c r="AA345" s="53">
        <v>0</v>
      </c>
      <c r="AB345" s="53">
        <v>0</v>
      </c>
      <c r="AC345" s="55">
        <v>0</v>
      </c>
      <c r="AD345" s="55">
        <f t="shared" si="138"/>
        <v>2</v>
      </c>
      <c r="AE345" s="53">
        <v>0</v>
      </c>
      <c r="AF345" s="55">
        <v>2</v>
      </c>
      <c r="AG345" s="55">
        <v>0</v>
      </c>
      <c r="AH345" s="55">
        <f t="shared" si="139"/>
        <v>1</v>
      </c>
      <c r="AI345" s="55">
        <v>0</v>
      </c>
      <c r="AJ345" s="55">
        <v>1</v>
      </c>
      <c r="AK345" s="55">
        <v>0</v>
      </c>
      <c r="AL345" s="55">
        <f t="shared" si="147"/>
        <v>0</v>
      </c>
      <c r="AM345" s="55" t="s">
        <v>1912</v>
      </c>
      <c r="AN345" s="55">
        <v>0</v>
      </c>
      <c r="AO345" s="55">
        <v>0</v>
      </c>
      <c r="AP345" s="55">
        <f t="shared" si="144"/>
        <v>2</v>
      </c>
      <c r="AQ345" s="55">
        <f>IFERROR(VLOOKUP(A345,[1]SIIMPLES!$A$2:$F$418,6,FALSE),0)</f>
        <v>0</v>
      </c>
      <c r="AR345" s="55">
        <v>2</v>
      </c>
      <c r="AS345" s="55">
        <v>1</v>
      </c>
      <c r="AT345" s="55">
        <v>0</v>
      </c>
      <c r="AU345" s="55">
        <v>1</v>
      </c>
      <c r="AV345" s="55">
        <v>0</v>
      </c>
      <c r="AW345" s="55"/>
      <c r="AX345" s="55"/>
      <c r="AY345" s="56">
        <f t="shared" si="141"/>
        <v>1.7</v>
      </c>
      <c r="AZ345" s="55"/>
      <c r="BA345" s="56">
        <v>0.16666666666666666</v>
      </c>
      <c r="BB345" s="41">
        <f t="shared" si="146"/>
        <v>9.2000000000000011</v>
      </c>
      <c r="BC345" s="7"/>
      <c r="BD345" s="35"/>
      <c r="BE345" s="13"/>
      <c r="BF345" s="16">
        <f>SUM(BC345:BE345)</f>
        <v>0</v>
      </c>
      <c r="BG345" s="17">
        <f t="shared" si="142"/>
        <v>0</v>
      </c>
      <c r="BH345" s="16">
        <f>IFERROR(IF(F345=1,IF(BC345&lt;AY345*3,AY345*3-BC345,0),IF(BC345&lt;AY345,AY345-BC345,0)),"")</f>
        <v>1.7</v>
      </c>
    </row>
    <row r="346" spans="1:60" s="21" customFormat="1" ht="12.75" customHeight="1" x14ac:dyDescent="0.2">
      <c r="A346" s="51">
        <v>112125</v>
      </c>
      <c r="B346" s="51"/>
      <c r="C346" s="66" t="s">
        <v>1803</v>
      </c>
      <c r="D346" s="52" t="s">
        <v>728</v>
      </c>
      <c r="E346" s="65" t="s">
        <v>780</v>
      </c>
      <c r="F346" s="53">
        <f>IFERROR(VLOOKUP(E346,Fornecedores!$A$2:$B$2700,2,FALSE),"")</f>
        <v>2</v>
      </c>
      <c r="G346" s="52" t="s">
        <v>1292</v>
      </c>
      <c r="H346" s="57"/>
      <c r="I346" s="55">
        <f t="shared" si="135"/>
        <v>0</v>
      </c>
      <c r="J346" s="55">
        <v>0</v>
      </c>
      <c r="K346" s="55">
        <v>0</v>
      </c>
      <c r="L346" s="55">
        <v>0</v>
      </c>
      <c r="M346" s="55">
        <v>0</v>
      </c>
      <c r="N346" s="55">
        <f t="shared" si="136"/>
        <v>2</v>
      </c>
      <c r="O346" s="55">
        <v>1</v>
      </c>
      <c r="P346" s="55">
        <v>1</v>
      </c>
      <c r="Q346" s="55">
        <v>0</v>
      </c>
      <c r="R346" s="55">
        <f t="shared" si="137"/>
        <v>1</v>
      </c>
      <c r="S346" s="55">
        <v>0</v>
      </c>
      <c r="T346" s="55">
        <v>1</v>
      </c>
      <c r="U346" s="55">
        <v>0</v>
      </c>
      <c r="V346" s="55">
        <v>0</v>
      </c>
      <c r="W346" s="53">
        <v>0</v>
      </c>
      <c r="X346" s="53">
        <v>0</v>
      </c>
      <c r="Y346" s="55">
        <v>0</v>
      </c>
      <c r="Z346" s="55">
        <v>0</v>
      </c>
      <c r="AA346" s="53">
        <v>0</v>
      </c>
      <c r="AB346" s="53">
        <v>0</v>
      </c>
      <c r="AC346" s="55">
        <v>0</v>
      </c>
      <c r="AD346" s="55">
        <f t="shared" si="138"/>
        <v>1</v>
      </c>
      <c r="AE346" s="53">
        <v>1</v>
      </c>
      <c r="AF346" s="55">
        <v>0</v>
      </c>
      <c r="AG346" s="55">
        <v>0</v>
      </c>
      <c r="AH346" s="55">
        <f t="shared" si="139"/>
        <v>0</v>
      </c>
      <c r="AI346" s="55">
        <v>0</v>
      </c>
      <c r="AJ346" s="55">
        <v>0</v>
      </c>
      <c r="AK346" s="55">
        <v>0</v>
      </c>
      <c r="AL346" s="55">
        <f t="shared" si="147"/>
        <v>0</v>
      </c>
      <c r="AM346" s="55" t="s">
        <v>1912</v>
      </c>
      <c r="AN346" s="55">
        <v>0</v>
      </c>
      <c r="AO346" s="55">
        <v>0</v>
      </c>
      <c r="AP346" s="55">
        <f t="shared" si="144"/>
        <v>2</v>
      </c>
      <c r="AQ346" s="55">
        <f>IFERROR(VLOOKUP(A346,[1]SIIMPLES!$A$2:$F$418,6,FALSE),0)</f>
        <v>1</v>
      </c>
      <c r="AR346" s="55">
        <v>1</v>
      </c>
      <c r="AS346" s="55">
        <v>1</v>
      </c>
      <c r="AT346" s="55">
        <v>0</v>
      </c>
      <c r="AU346" s="55">
        <v>1</v>
      </c>
      <c r="AV346" s="55">
        <v>0</v>
      </c>
      <c r="AW346" s="55"/>
      <c r="AX346" s="55"/>
      <c r="AY346" s="56">
        <f t="shared" si="141"/>
        <v>0.7</v>
      </c>
      <c r="AZ346" s="55"/>
      <c r="BA346" s="56">
        <v>0</v>
      </c>
      <c r="BB346" s="41" t="str">
        <f t="shared" si="146"/>
        <v/>
      </c>
      <c r="BC346" s="7"/>
      <c r="BD346" s="35"/>
      <c r="BE346" s="13"/>
      <c r="BF346" s="16"/>
      <c r="BG346" s="17">
        <f t="shared" ref="BG346:BG369" si="148">IFERROR(BC346/AY346,"0")</f>
        <v>0</v>
      </c>
      <c r="BH346" s="20">
        <f>ROUND(IFERROR(IF(F346=1,IF(BC346&lt;AY346*3,AY346*3-BC346,0),IF(BC346&lt;AY346,AY346*0.6-BC346,0)),""),0)</f>
        <v>0</v>
      </c>
    </row>
    <row r="347" spans="1:60" s="21" customFormat="1" ht="12.75" customHeight="1" x14ac:dyDescent="0.2">
      <c r="A347" s="51">
        <v>222022</v>
      </c>
      <c r="B347" s="51"/>
      <c r="C347" s="66" t="s">
        <v>1803</v>
      </c>
      <c r="D347" s="52" t="s">
        <v>728</v>
      </c>
      <c r="E347" s="65" t="s">
        <v>780</v>
      </c>
      <c r="F347" s="53">
        <f>IFERROR(VLOOKUP(E347,Fornecedores!$A$2:$B$2700,2,FALSE),"")</f>
        <v>2</v>
      </c>
      <c r="G347" s="52" t="s">
        <v>1662</v>
      </c>
      <c r="H347" s="57"/>
      <c r="I347" s="55">
        <f t="shared" si="135"/>
        <v>0</v>
      </c>
      <c r="J347" s="55">
        <v>0</v>
      </c>
      <c r="K347" s="55">
        <v>0</v>
      </c>
      <c r="L347" s="55">
        <v>0</v>
      </c>
      <c r="M347" s="55">
        <v>0</v>
      </c>
      <c r="N347" s="55">
        <f t="shared" si="136"/>
        <v>1</v>
      </c>
      <c r="O347" s="55">
        <v>1</v>
      </c>
      <c r="P347" s="55">
        <v>0</v>
      </c>
      <c r="Q347" s="55">
        <v>0</v>
      </c>
      <c r="R347" s="55">
        <f t="shared" si="137"/>
        <v>2</v>
      </c>
      <c r="S347" s="55">
        <v>2</v>
      </c>
      <c r="T347" s="55">
        <v>0</v>
      </c>
      <c r="U347" s="55">
        <v>0</v>
      </c>
      <c r="V347" s="55">
        <v>2</v>
      </c>
      <c r="W347" s="53">
        <v>1</v>
      </c>
      <c r="X347" s="53">
        <v>0</v>
      </c>
      <c r="Y347" s="55">
        <v>1</v>
      </c>
      <c r="Z347" s="55">
        <v>0</v>
      </c>
      <c r="AA347" s="53">
        <v>0</v>
      </c>
      <c r="AB347" s="53">
        <v>0</v>
      </c>
      <c r="AC347" s="55">
        <v>0</v>
      </c>
      <c r="AD347" s="55">
        <f t="shared" si="138"/>
        <v>0</v>
      </c>
      <c r="AE347" s="53">
        <v>0</v>
      </c>
      <c r="AF347" s="55">
        <v>0</v>
      </c>
      <c r="AG347" s="55">
        <v>0</v>
      </c>
      <c r="AH347" s="55">
        <f t="shared" si="139"/>
        <v>0</v>
      </c>
      <c r="AI347" s="55">
        <v>0</v>
      </c>
      <c r="AJ347" s="55">
        <v>0</v>
      </c>
      <c r="AK347" s="55">
        <v>0</v>
      </c>
      <c r="AL347" s="55">
        <f t="shared" si="147"/>
        <v>0</v>
      </c>
      <c r="AM347" s="55" t="s">
        <v>1912</v>
      </c>
      <c r="AN347" s="55">
        <v>0</v>
      </c>
      <c r="AO347" s="55">
        <v>0</v>
      </c>
      <c r="AP347" s="55">
        <f t="shared" si="144"/>
        <v>2</v>
      </c>
      <c r="AQ347" s="55">
        <f>IFERROR(VLOOKUP(A347,[1]SIIMPLES!$A$2:$F$418,6,FALSE),0)</f>
        <v>2</v>
      </c>
      <c r="AR347" s="55">
        <v>0</v>
      </c>
      <c r="AS347" s="55">
        <v>3</v>
      </c>
      <c r="AT347" s="55">
        <v>0</v>
      </c>
      <c r="AU347" s="55">
        <v>0</v>
      </c>
      <c r="AV347" s="55">
        <v>3</v>
      </c>
      <c r="AW347" s="57"/>
      <c r="AX347" s="55"/>
      <c r="AY347" s="56">
        <f t="shared" si="141"/>
        <v>1</v>
      </c>
      <c r="AZ347" s="55"/>
      <c r="BA347" s="56">
        <v>0</v>
      </c>
      <c r="BB347" s="41" t="str">
        <f t="shared" si="146"/>
        <v/>
      </c>
      <c r="BC347" s="13"/>
      <c r="BD347" s="35"/>
      <c r="BE347" s="13"/>
      <c r="BF347" s="16"/>
      <c r="BG347" s="17">
        <f t="shared" si="148"/>
        <v>0</v>
      </c>
      <c r="BH347" s="16">
        <f>IFERROR(IF(F347=1,IF(BC347&lt;AY347*3,AY347*3-BC347,0),IF(BC347&lt;AY347,AY347-BC347,0)),"")</f>
        <v>1</v>
      </c>
    </row>
    <row r="348" spans="1:60" s="21" customFormat="1" ht="12.75" customHeight="1" x14ac:dyDescent="0.2">
      <c r="A348" s="51">
        <v>222023</v>
      </c>
      <c r="B348" s="51"/>
      <c r="C348" s="66" t="s">
        <v>1803</v>
      </c>
      <c r="D348" s="52" t="s">
        <v>728</v>
      </c>
      <c r="E348" s="65" t="str">
        <f>VLOOKUP(A348,[3]CMV!$A$1:$E$1988,5,FALSE)</f>
        <v>SPARE</v>
      </c>
      <c r="F348" s="53"/>
      <c r="G348" s="52" t="s">
        <v>1891</v>
      </c>
      <c r="H348" s="57"/>
      <c r="I348" s="55">
        <f t="shared" si="135"/>
        <v>0</v>
      </c>
      <c r="J348" s="55">
        <v>0</v>
      </c>
      <c r="K348" s="55">
        <v>0</v>
      </c>
      <c r="L348" s="55">
        <v>0</v>
      </c>
      <c r="M348" s="55">
        <v>0</v>
      </c>
      <c r="N348" s="55">
        <f t="shared" si="136"/>
        <v>0</v>
      </c>
      <c r="O348" s="57"/>
      <c r="P348" s="57"/>
      <c r="Q348" s="57"/>
      <c r="R348" s="55">
        <f t="shared" si="137"/>
        <v>0</v>
      </c>
      <c r="S348" s="57"/>
      <c r="T348" s="57"/>
      <c r="U348" s="57"/>
      <c r="V348" s="55">
        <v>1</v>
      </c>
      <c r="W348" s="57"/>
      <c r="X348" s="53">
        <v>0</v>
      </c>
      <c r="Y348" s="55">
        <v>1</v>
      </c>
      <c r="Z348" s="55">
        <v>0</v>
      </c>
      <c r="AA348" s="53">
        <v>0</v>
      </c>
      <c r="AB348" s="53">
        <v>0</v>
      </c>
      <c r="AC348" s="55">
        <v>0</v>
      </c>
      <c r="AD348" s="55">
        <f t="shared" si="138"/>
        <v>0</v>
      </c>
      <c r="AE348" s="53">
        <v>0</v>
      </c>
      <c r="AF348" s="55">
        <v>0</v>
      </c>
      <c r="AG348" s="55">
        <v>0</v>
      </c>
      <c r="AH348" s="55">
        <f t="shared" si="139"/>
        <v>0</v>
      </c>
      <c r="AI348" s="55">
        <v>0</v>
      </c>
      <c r="AJ348" s="55">
        <v>0</v>
      </c>
      <c r="AK348" s="55">
        <v>0</v>
      </c>
      <c r="AL348" s="55">
        <f t="shared" si="147"/>
        <v>0</v>
      </c>
      <c r="AM348" s="55" t="s">
        <v>1912</v>
      </c>
      <c r="AN348" s="55">
        <v>0</v>
      </c>
      <c r="AO348" s="55">
        <v>0</v>
      </c>
      <c r="AP348" s="55">
        <f t="shared" si="144"/>
        <v>2</v>
      </c>
      <c r="AQ348" s="55">
        <f>IFERROR(VLOOKUP(A348,[1]SIIMPLES!$A$2:$F$418,6,FALSE),0)</f>
        <v>2</v>
      </c>
      <c r="AR348" s="55">
        <v>0</v>
      </c>
      <c r="AS348" s="55">
        <v>3</v>
      </c>
      <c r="AT348" s="55">
        <v>0</v>
      </c>
      <c r="AU348" s="55">
        <v>0</v>
      </c>
      <c r="AV348" s="55">
        <v>3</v>
      </c>
      <c r="AW348" s="57"/>
      <c r="AX348" s="57"/>
      <c r="AY348" s="56">
        <f t="shared" si="141"/>
        <v>0.6</v>
      </c>
      <c r="AZ348" s="57"/>
      <c r="BA348" s="56" t="s">
        <v>1912</v>
      </c>
      <c r="BB348" s="41" t="str">
        <f t="shared" si="146"/>
        <v/>
      </c>
      <c r="BC348" s="13"/>
      <c r="BD348" s="35"/>
      <c r="BE348" s="13"/>
      <c r="BF348" s="16"/>
      <c r="BG348" s="17">
        <f t="shared" si="148"/>
        <v>0</v>
      </c>
      <c r="BH348" s="16">
        <f>IFERROR(IF(F348=1,IF(BC348&lt;AY348*3,AY348*3-BC348,0),IF(BC348&lt;AY348,AY348-BC348,0)),"")</f>
        <v>0.6</v>
      </c>
    </row>
    <row r="349" spans="1:60" s="21" customFormat="1" ht="12.75" customHeight="1" x14ac:dyDescent="0.2">
      <c r="A349" s="51">
        <v>222076</v>
      </c>
      <c r="B349" s="51" t="s">
        <v>1077</v>
      </c>
      <c r="C349" s="66" t="s">
        <v>1803</v>
      </c>
      <c r="D349" s="52" t="s">
        <v>728</v>
      </c>
      <c r="E349" s="65" t="s">
        <v>780</v>
      </c>
      <c r="F349" s="53">
        <f>IFERROR(VLOOKUP(E349,Fornecedores!$A$2:$B$2700,2,FALSE),"")</f>
        <v>2</v>
      </c>
      <c r="G349" s="52" t="s">
        <v>706</v>
      </c>
      <c r="H349" s="57"/>
      <c r="I349" s="55">
        <f t="shared" si="135"/>
        <v>0</v>
      </c>
      <c r="J349" s="55">
        <v>0</v>
      </c>
      <c r="K349" s="55">
        <v>0</v>
      </c>
      <c r="L349" s="55">
        <v>0</v>
      </c>
      <c r="M349" s="55">
        <v>0</v>
      </c>
      <c r="N349" s="55">
        <f t="shared" si="136"/>
        <v>0</v>
      </c>
      <c r="O349" s="55">
        <v>0</v>
      </c>
      <c r="P349" s="55">
        <v>0</v>
      </c>
      <c r="Q349" s="55">
        <v>0</v>
      </c>
      <c r="R349" s="55">
        <f t="shared" si="137"/>
        <v>3</v>
      </c>
      <c r="S349" s="55">
        <v>3</v>
      </c>
      <c r="T349" s="55">
        <v>0</v>
      </c>
      <c r="U349" s="55">
        <v>0</v>
      </c>
      <c r="V349" s="55">
        <v>0</v>
      </c>
      <c r="W349" s="53">
        <v>0</v>
      </c>
      <c r="X349" s="53">
        <v>0</v>
      </c>
      <c r="Y349" s="55">
        <v>0</v>
      </c>
      <c r="Z349" s="55">
        <v>1</v>
      </c>
      <c r="AA349" s="53">
        <v>1</v>
      </c>
      <c r="AB349" s="53">
        <v>0</v>
      </c>
      <c r="AC349" s="55">
        <v>0</v>
      </c>
      <c r="AD349" s="55">
        <f t="shared" si="138"/>
        <v>0</v>
      </c>
      <c r="AE349" s="53">
        <v>0</v>
      </c>
      <c r="AF349" s="55">
        <v>0</v>
      </c>
      <c r="AG349" s="55">
        <v>0</v>
      </c>
      <c r="AH349" s="55">
        <f t="shared" si="139"/>
        <v>0</v>
      </c>
      <c r="AI349" s="55">
        <v>0</v>
      </c>
      <c r="AJ349" s="55">
        <v>0</v>
      </c>
      <c r="AK349" s="55">
        <v>0</v>
      </c>
      <c r="AL349" s="55">
        <f t="shared" si="147"/>
        <v>3</v>
      </c>
      <c r="AM349" s="55" t="s">
        <v>1912</v>
      </c>
      <c r="AN349" s="55">
        <v>3</v>
      </c>
      <c r="AO349" s="55">
        <v>0</v>
      </c>
      <c r="AP349" s="55">
        <f t="shared" si="144"/>
        <v>2</v>
      </c>
      <c r="AQ349" s="55">
        <f>IFERROR(VLOOKUP(A349,[1]SIIMPLES!$A$2:$F$418,6,FALSE),0)</f>
        <v>0</v>
      </c>
      <c r="AR349" s="55">
        <v>2</v>
      </c>
      <c r="AS349" s="55">
        <v>0</v>
      </c>
      <c r="AT349" s="55">
        <v>0</v>
      </c>
      <c r="AU349" s="55">
        <v>0</v>
      </c>
      <c r="AV349" s="55">
        <v>0</v>
      </c>
      <c r="AW349" s="55"/>
      <c r="AX349" s="55"/>
      <c r="AY349" s="56">
        <f t="shared" si="141"/>
        <v>0.9</v>
      </c>
      <c r="AZ349" s="55"/>
      <c r="BA349" s="56">
        <v>0.16666666666666666</v>
      </c>
      <c r="BB349" s="41">
        <f t="shared" si="146"/>
        <v>4.4000000000000004</v>
      </c>
      <c r="BC349" s="13"/>
      <c r="BD349" s="35"/>
      <c r="BE349" s="13"/>
      <c r="BF349" s="16"/>
      <c r="BG349" s="17">
        <f t="shared" si="148"/>
        <v>0</v>
      </c>
      <c r="BH349" s="16">
        <f>IFERROR(IF(F349=1,IF(BC349&lt;AY349*3,AY349*3-BC349,0),IF(BC349&lt;AY349,AY349-BC349,0)),"")</f>
        <v>0.9</v>
      </c>
    </row>
    <row r="350" spans="1:60" s="21" customFormat="1" ht="12.75" customHeight="1" x14ac:dyDescent="0.2">
      <c r="A350" s="51">
        <v>222077</v>
      </c>
      <c r="B350" s="51" t="s">
        <v>1077</v>
      </c>
      <c r="C350" s="66" t="s">
        <v>1803</v>
      </c>
      <c r="D350" s="52" t="s">
        <v>728</v>
      </c>
      <c r="E350" s="65" t="s">
        <v>780</v>
      </c>
      <c r="F350" s="53">
        <f>IFERROR(VLOOKUP(E350,Fornecedores!$A$2:$B$2700,2,FALSE),"")</f>
        <v>2</v>
      </c>
      <c r="G350" s="52" t="s">
        <v>93</v>
      </c>
      <c r="H350" s="57"/>
      <c r="I350" s="55">
        <f t="shared" si="135"/>
        <v>0</v>
      </c>
      <c r="J350" s="55">
        <v>0</v>
      </c>
      <c r="K350" s="55">
        <v>0</v>
      </c>
      <c r="L350" s="55">
        <v>0</v>
      </c>
      <c r="M350" s="55">
        <v>0</v>
      </c>
      <c r="N350" s="55">
        <f t="shared" si="136"/>
        <v>0</v>
      </c>
      <c r="O350" s="55">
        <v>0</v>
      </c>
      <c r="P350" s="55">
        <v>0</v>
      </c>
      <c r="Q350" s="55">
        <v>0</v>
      </c>
      <c r="R350" s="55">
        <f t="shared" si="137"/>
        <v>0</v>
      </c>
      <c r="S350" s="55">
        <v>0</v>
      </c>
      <c r="T350" s="55">
        <v>0</v>
      </c>
      <c r="U350" s="55">
        <v>0</v>
      </c>
      <c r="V350" s="55">
        <v>0</v>
      </c>
      <c r="W350" s="53">
        <v>0</v>
      </c>
      <c r="X350" s="53">
        <v>0</v>
      </c>
      <c r="Y350" s="55">
        <v>0</v>
      </c>
      <c r="Z350" s="55">
        <v>0</v>
      </c>
      <c r="AA350" s="53">
        <v>0</v>
      </c>
      <c r="AB350" s="53">
        <v>0</v>
      </c>
      <c r="AC350" s="55">
        <v>0</v>
      </c>
      <c r="AD350" s="55">
        <f t="shared" si="138"/>
        <v>0</v>
      </c>
      <c r="AE350" s="53">
        <v>0</v>
      </c>
      <c r="AF350" s="55">
        <v>0</v>
      </c>
      <c r="AG350" s="55">
        <v>0</v>
      </c>
      <c r="AH350" s="55">
        <f t="shared" si="139"/>
        <v>0</v>
      </c>
      <c r="AI350" s="55">
        <v>0</v>
      </c>
      <c r="AJ350" s="55">
        <v>0</v>
      </c>
      <c r="AK350" s="55">
        <v>0</v>
      </c>
      <c r="AL350" s="55">
        <f t="shared" si="147"/>
        <v>3</v>
      </c>
      <c r="AM350" s="55" t="s">
        <v>1912</v>
      </c>
      <c r="AN350" s="55">
        <v>3</v>
      </c>
      <c r="AO350" s="55">
        <v>0</v>
      </c>
      <c r="AP350" s="55">
        <f t="shared" si="144"/>
        <v>2</v>
      </c>
      <c r="AQ350" s="55">
        <f>IFERROR(VLOOKUP(A350,[1]SIIMPLES!$A$2:$F$418,6,FALSE),0)</f>
        <v>0</v>
      </c>
      <c r="AR350" s="55">
        <v>2</v>
      </c>
      <c r="AS350" s="55">
        <v>0</v>
      </c>
      <c r="AT350" s="55">
        <v>0</v>
      </c>
      <c r="AU350" s="55">
        <v>0</v>
      </c>
      <c r="AV350" s="55">
        <v>0</v>
      </c>
      <c r="AW350" s="55"/>
      <c r="AX350" s="55"/>
      <c r="AY350" s="56">
        <f t="shared" si="141"/>
        <v>0.5</v>
      </c>
      <c r="AZ350" s="55"/>
      <c r="BA350" s="56">
        <v>0.16666666666666666</v>
      </c>
      <c r="BB350" s="41">
        <f t="shared" si="146"/>
        <v>2</v>
      </c>
      <c r="BC350" s="13"/>
      <c r="BD350" s="35"/>
      <c r="BE350" s="13"/>
      <c r="BF350" s="16">
        <f>SUM(BC350:BE350)</f>
        <v>0</v>
      </c>
      <c r="BG350" s="17">
        <f t="shared" si="148"/>
        <v>0</v>
      </c>
      <c r="BH350" s="16">
        <f>IFERROR(IF(F350=1,IF(BC350&lt;AY350*3,AY350*3-BC350,0),IF(BC350&lt;AY350,AY350-BC350,0)),"")</f>
        <v>0.5</v>
      </c>
    </row>
    <row r="351" spans="1:60" s="21" customFormat="1" ht="12.75" customHeight="1" x14ac:dyDescent="0.2">
      <c r="A351" s="51">
        <v>332117</v>
      </c>
      <c r="B351" s="51" t="s">
        <v>1077</v>
      </c>
      <c r="C351" s="66" t="s">
        <v>1803</v>
      </c>
      <c r="D351" s="52" t="s">
        <v>728</v>
      </c>
      <c r="E351" s="65" t="s">
        <v>780</v>
      </c>
      <c r="F351" s="53">
        <f>IFERROR(VLOOKUP(E351,Fornecedores!$A$2:$B$2700,2,FALSE),"")</f>
        <v>2</v>
      </c>
      <c r="G351" s="52" t="s">
        <v>624</v>
      </c>
      <c r="H351" s="57"/>
      <c r="I351" s="55">
        <f t="shared" si="135"/>
        <v>0</v>
      </c>
      <c r="J351" s="55">
        <v>0</v>
      </c>
      <c r="K351" s="55">
        <v>0</v>
      </c>
      <c r="L351" s="55">
        <v>0</v>
      </c>
      <c r="M351" s="55">
        <v>0</v>
      </c>
      <c r="N351" s="55">
        <f t="shared" si="136"/>
        <v>1</v>
      </c>
      <c r="O351" s="55">
        <v>0</v>
      </c>
      <c r="P351" s="55">
        <v>1</v>
      </c>
      <c r="Q351" s="55">
        <v>0</v>
      </c>
      <c r="R351" s="55">
        <f t="shared" si="137"/>
        <v>1</v>
      </c>
      <c r="S351" s="55">
        <v>1</v>
      </c>
      <c r="T351" s="55">
        <v>0</v>
      </c>
      <c r="U351" s="55">
        <v>0</v>
      </c>
      <c r="V351" s="55">
        <v>5</v>
      </c>
      <c r="W351" s="53">
        <v>2</v>
      </c>
      <c r="X351" s="53">
        <v>3</v>
      </c>
      <c r="Y351" s="55">
        <v>0</v>
      </c>
      <c r="Z351" s="55">
        <v>2</v>
      </c>
      <c r="AA351" s="53">
        <v>1</v>
      </c>
      <c r="AB351" s="53">
        <v>1</v>
      </c>
      <c r="AC351" s="55">
        <v>0</v>
      </c>
      <c r="AD351" s="55">
        <f t="shared" si="138"/>
        <v>2</v>
      </c>
      <c r="AE351" s="53">
        <v>1</v>
      </c>
      <c r="AF351" s="55">
        <v>1</v>
      </c>
      <c r="AG351" s="55">
        <v>0</v>
      </c>
      <c r="AH351" s="55">
        <f t="shared" si="139"/>
        <v>0</v>
      </c>
      <c r="AI351" s="55">
        <v>0</v>
      </c>
      <c r="AJ351" s="55">
        <v>0</v>
      </c>
      <c r="AK351" s="55">
        <v>0</v>
      </c>
      <c r="AL351" s="55">
        <f t="shared" si="147"/>
        <v>0</v>
      </c>
      <c r="AM351" s="55" t="s">
        <v>1912</v>
      </c>
      <c r="AN351" s="55">
        <v>0</v>
      </c>
      <c r="AO351" s="55">
        <v>0</v>
      </c>
      <c r="AP351" s="55">
        <f t="shared" si="144"/>
        <v>2</v>
      </c>
      <c r="AQ351" s="55">
        <f>IFERROR(VLOOKUP(A351,[1]SIIMPLES!$A$2:$F$418,6,FALSE),0)</f>
        <v>0</v>
      </c>
      <c r="AR351" s="55">
        <v>2</v>
      </c>
      <c r="AS351" s="55">
        <v>1</v>
      </c>
      <c r="AT351" s="55">
        <v>0</v>
      </c>
      <c r="AU351" s="55">
        <v>1</v>
      </c>
      <c r="AV351" s="55">
        <v>0</v>
      </c>
      <c r="AW351" s="55"/>
      <c r="AX351" s="55"/>
      <c r="AY351" s="56">
        <f t="shared" si="141"/>
        <v>1.4</v>
      </c>
      <c r="AZ351" s="55"/>
      <c r="BA351" s="56">
        <v>1.1666666666666667</v>
      </c>
      <c r="BB351" s="41">
        <f t="shared" si="146"/>
        <v>0.19999999999999996</v>
      </c>
      <c r="BC351" s="13"/>
      <c r="BD351" s="35"/>
      <c r="BE351" s="13"/>
      <c r="BF351" s="16">
        <f>SUM(BC351:BE351)</f>
        <v>0</v>
      </c>
      <c r="BG351" s="17">
        <f t="shared" si="148"/>
        <v>0</v>
      </c>
      <c r="BH351" s="16">
        <f>IFERROR(IF(F351=1,IF(BC351&lt;AY351*3,AY351*3-BC351,0),IF(BC351&lt;AY351,AY351-BC351,0)),"")</f>
        <v>1.4</v>
      </c>
    </row>
    <row r="352" spans="1:60" s="21" customFormat="1" ht="12.75" customHeight="1" x14ac:dyDescent="0.2">
      <c r="A352" s="51">
        <v>662020</v>
      </c>
      <c r="B352" s="51" t="s">
        <v>1086</v>
      </c>
      <c r="C352" s="66" t="s">
        <v>1803</v>
      </c>
      <c r="D352" s="52" t="s">
        <v>728</v>
      </c>
      <c r="E352" s="65" t="s">
        <v>780</v>
      </c>
      <c r="F352" s="53">
        <f>IFERROR(VLOOKUP(E352,Fornecedores!$A$2:$B$2700,2,FALSE),"")</f>
        <v>2</v>
      </c>
      <c r="G352" s="52" t="s">
        <v>1821</v>
      </c>
      <c r="H352" s="57"/>
      <c r="I352" s="55">
        <f t="shared" si="135"/>
        <v>0</v>
      </c>
      <c r="J352" s="55">
        <v>0</v>
      </c>
      <c r="K352" s="55">
        <v>0</v>
      </c>
      <c r="L352" s="55">
        <v>0</v>
      </c>
      <c r="M352" s="55">
        <v>0</v>
      </c>
      <c r="N352" s="55">
        <f t="shared" si="136"/>
        <v>0</v>
      </c>
      <c r="O352" s="55">
        <v>0</v>
      </c>
      <c r="P352" s="55">
        <v>0</v>
      </c>
      <c r="Q352" s="55">
        <v>0</v>
      </c>
      <c r="R352" s="55">
        <f t="shared" si="137"/>
        <v>0</v>
      </c>
      <c r="S352" s="55">
        <v>0</v>
      </c>
      <c r="T352" s="55">
        <v>0</v>
      </c>
      <c r="U352" s="55">
        <v>0</v>
      </c>
      <c r="V352" s="55">
        <v>0</v>
      </c>
      <c r="W352" s="53">
        <v>0</v>
      </c>
      <c r="X352" s="53">
        <v>0</v>
      </c>
      <c r="Y352" s="55">
        <v>0</v>
      </c>
      <c r="Z352" s="55">
        <v>0</v>
      </c>
      <c r="AA352" s="53">
        <v>0</v>
      </c>
      <c r="AB352" s="53">
        <v>0</v>
      </c>
      <c r="AC352" s="55">
        <v>0</v>
      </c>
      <c r="AD352" s="55">
        <f t="shared" si="138"/>
        <v>0</v>
      </c>
      <c r="AE352" s="53">
        <v>0</v>
      </c>
      <c r="AF352" s="55">
        <v>0</v>
      </c>
      <c r="AG352" s="55">
        <v>0</v>
      </c>
      <c r="AH352" s="55">
        <f t="shared" si="139"/>
        <v>0</v>
      </c>
      <c r="AI352" s="55">
        <v>0</v>
      </c>
      <c r="AJ352" s="55">
        <v>0</v>
      </c>
      <c r="AK352" s="55">
        <v>0</v>
      </c>
      <c r="AL352" s="55">
        <f t="shared" si="147"/>
        <v>0</v>
      </c>
      <c r="AM352" s="55" t="s">
        <v>1912</v>
      </c>
      <c r="AN352" s="55">
        <v>0</v>
      </c>
      <c r="AO352" s="55">
        <v>0</v>
      </c>
      <c r="AP352" s="55">
        <f t="shared" si="144"/>
        <v>2</v>
      </c>
      <c r="AQ352" s="55">
        <f>IFERROR(VLOOKUP(A352,[1]SIIMPLES!$A$2:$F$418,6,FALSE),0)</f>
        <v>2</v>
      </c>
      <c r="AR352" s="55">
        <v>0</v>
      </c>
      <c r="AS352" s="55">
        <v>1</v>
      </c>
      <c r="AT352" s="55">
        <v>1</v>
      </c>
      <c r="AU352" s="55">
        <v>0</v>
      </c>
      <c r="AV352" s="55">
        <v>0</v>
      </c>
      <c r="AW352" s="55"/>
      <c r="AX352" s="55"/>
      <c r="AY352" s="56">
        <f t="shared" si="141"/>
        <v>0.3</v>
      </c>
      <c r="AZ352" s="55"/>
      <c r="BA352" s="56">
        <v>0</v>
      </c>
      <c r="BB352" s="41" t="str">
        <f t="shared" si="146"/>
        <v/>
      </c>
      <c r="BC352" s="13"/>
      <c r="BD352" s="35"/>
      <c r="BE352" s="7"/>
      <c r="BF352" s="16"/>
      <c r="BG352" s="17">
        <f t="shared" si="148"/>
        <v>0</v>
      </c>
      <c r="BH352" s="16">
        <f>ROUND(IFERROR(IF(F352=1,IF(BC352&lt;AY352*3,AY352*3-BC352,0),IF(BC352&lt;AY352,AY352*0.6-BC352,0)),""),0)</f>
        <v>0</v>
      </c>
    </row>
    <row r="353" spans="1:60" s="21" customFormat="1" ht="12.75" customHeight="1" x14ac:dyDescent="0.2">
      <c r="A353" s="51">
        <v>772148</v>
      </c>
      <c r="B353" s="51" t="s">
        <v>1077</v>
      </c>
      <c r="C353" s="66" t="s">
        <v>1803</v>
      </c>
      <c r="D353" s="52" t="s">
        <v>728</v>
      </c>
      <c r="E353" s="65" t="s">
        <v>780</v>
      </c>
      <c r="F353" s="53">
        <f>IFERROR(VLOOKUP(E353,Fornecedores!$A$2:$B$2700,2,FALSE),"")</f>
        <v>2</v>
      </c>
      <c r="G353" s="52" t="s">
        <v>472</v>
      </c>
      <c r="H353" s="57"/>
      <c r="I353" s="55">
        <f t="shared" si="135"/>
        <v>0</v>
      </c>
      <c r="J353" s="55">
        <v>0</v>
      </c>
      <c r="K353" s="55">
        <v>0</v>
      </c>
      <c r="L353" s="55">
        <v>0</v>
      </c>
      <c r="M353" s="55">
        <v>0</v>
      </c>
      <c r="N353" s="55">
        <f t="shared" si="136"/>
        <v>0</v>
      </c>
      <c r="O353" s="55">
        <v>0</v>
      </c>
      <c r="P353" s="55">
        <v>0</v>
      </c>
      <c r="Q353" s="55">
        <v>0</v>
      </c>
      <c r="R353" s="55">
        <f t="shared" si="137"/>
        <v>0</v>
      </c>
      <c r="S353" s="55">
        <v>0</v>
      </c>
      <c r="T353" s="55">
        <v>0</v>
      </c>
      <c r="U353" s="55">
        <v>0</v>
      </c>
      <c r="V353" s="55">
        <v>1</v>
      </c>
      <c r="W353" s="53">
        <v>1</v>
      </c>
      <c r="X353" s="53">
        <v>0</v>
      </c>
      <c r="Y353" s="55">
        <v>0</v>
      </c>
      <c r="Z353" s="55">
        <v>0</v>
      </c>
      <c r="AA353" s="53">
        <v>0</v>
      </c>
      <c r="AB353" s="53">
        <v>0</v>
      </c>
      <c r="AC353" s="55">
        <v>0</v>
      </c>
      <c r="AD353" s="55">
        <f t="shared" si="138"/>
        <v>2</v>
      </c>
      <c r="AE353" s="53">
        <v>2</v>
      </c>
      <c r="AF353" s="55">
        <v>0</v>
      </c>
      <c r="AG353" s="55">
        <v>0</v>
      </c>
      <c r="AH353" s="55">
        <f t="shared" si="139"/>
        <v>0</v>
      </c>
      <c r="AI353" s="55">
        <v>0</v>
      </c>
      <c r="AJ353" s="55">
        <v>0</v>
      </c>
      <c r="AK353" s="55">
        <v>0</v>
      </c>
      <c r="AL353" s="55">
        <f t="shared" si="147"/>
        <v>0</v>
      </c>
      <c r="AM353" s="55" t="s">
        <v>1912</v>
      </c>
      <c r="AN353" s="55">
        <v>0</v>
      </c>
      <c r="AO353" s="55">
        <v>0</v>
      </c>
      <c r="AP353" s="55">
        <f t="shared" si="144"/>
        <v>2</v>
      </c>
      <c r="AQ353" s="55">
        <f>IFERROR(VLOOKUP(A353,[1]SIIMPLES!$A$2:$F$418,6,FALSE),0)</f>
        <v>2</v>
      </c>
      <c r="AR353" s="55">
        <v>0</v>
      </c>
      <c r="AS353" s="55">
        <v>2</v>
      </c>
      <c r="AT353" s="55">
        <v>2</v>
      </c>
      <c r="AU353" s="55">
        <v>0</v>
      </c>
      <c r="AV353" s="55">
        <v>0</v>
      </c>
      <c r="AW353" s="55"/>
      <c r="AX353" s="55"/>
      <c r="AY353" s="56">
        <f t="shared" si="141"/>
        <v>0.7</v>
      </c>
      <c r="AZ353" s="55"/>
      <c r="BA353" s="56">
        <v>4.666666666666667</v>
      </c>
      <c r="BB353" s="41">
        <f t="shared" si="146"/>
        <v>-0.85</v>
      </c>
      <c r="BC353" s="10"/>
      <c r="BD353" s="35"/>
      <c r="BE353" s="13"/>
      <c r="BF353" s="16">
        <f>SUM(BC353:BE353)</f>
        <v>0</v>
      </c>
      <c r="BG353" s="17">
        <f t="shared" si="148"/>
        <v>0</v>
      </c>
      <c r="BH353" s="16">
        <f>IFERROR(IF(F353=1,IF(BC353&lt;AY353*3,AY353*3-BC353,0),IF(BC353&lt;AY353,AY353-BC353,0)),"")</f>
        <v>0.7</v>
      </c>
    </row>
    <row r="354" spans="1:60" s="21" customFormat="1" ht="12.75" customHeight="1" x14ac:dyDescent="0.2">
      <c r="A354" s="51">
        <v>772152</v>
      </c>
      <c r="B354" s="51" t="s">
        <v>1077</v>
      </c>
      <c r="C354" s="66" t="s">
        <v>1803</v>
      </c>
      <c r="D354" s="52" t="s">
        <v>728</v>
      </c>
      <c r="E354" s="65" t="s">
        <v>780</v>
      </c>
      <c r="F354" s="53">
        <f>IFERROR(VLOOKUP(E354,Fornecedores!$A$2:$B$2700,2,FALSE),"")</f>
        <v>2</v>
      </c>
      <c r="G354" s="52" t="s">
        <v>49</v>
      </c>
      <c r="H354" s="57"/>
      <c r="I354" s="55">
        <f t="shared" si="135"/>
        <v>0</v>
      </c>
      <c r="J354" s="55">
        <v>0</v>
      </c>
      <c r="K354" s="55">
        <v>0</v>
      </c>
      <c r="L354" s="55">
        <v>0</v>
      </c>
      <c r="M354" s="55">
        <v>0</v>
      </c>
      <c r="N354" s="55">
        <f t="shared" si="136"/>
        <v>2</v>
      </c>
      <c r="O354" s="55">
        <v>1</v>
      </c>
      <c r="P354" s="55">
        <v>1</v>
      </c>
      <c r="Q354" s="55">
        <v>0</v>
      </c>
      <c r="R354" s="55">
        <f t="shared" si="137"/>
        <v>2</v>
      </c>
      <c r="S354" s="55">
        <v>1</v>
      </c>
      <c r="T354" s="55">
        <v>1</v>
      </c>
      <c r="U354" s="55">
        <v>0</v>
      </c>
      <c r="V354" s="55">
        <v>3</v>
      </c>
      <c r="W354" s="53">
        <v>2</v>
      </c>
      <c r="X354" s="53">
        <v>1</v>
      </c>
      <c r="Y354" s="55">
        <v>0</v>
      </c>
      <c r="Z354" s="55">
        <v>0</v>
      </c>
      <c r="AA354" s="53">
        <v>0</v>
      </c>
      <c r="AB354" s="53">
        <v>0</v>
      </c>
      <c r="AC354" s="55">
        <v>0</v>
      </c>
      <c r="AD354" s="55">
        <f t="shared" si="138"/>
        <v>0</v>
      </c>
      <c r="AE354" s="53">
        <v>0</v>
      </c>
      <c r="AF354" s="55">
        <v>0</v>
      </c>
      <c r="AG354" s="55">
        <v>0</v>
      </c>
      <c r="AH354" s="55">
        <f t="shared" si="139"/>
        <v>0</v>
      </c>
      <c r="AI354" s="55">
        <v>0</v>
      </c>
      <c r="AJ354" s="55">
        <v>0</v>
      </c>
      <c r="AK354" s="55">
        <v>0</v>
      </c>
      <c r="AL354" s="55">
        <f t="shared" si="147"/>
        <v>2</v>
      </c>
      <c r="AM354" s="55">
        <v>2</v>
      </c>
      <c r="AN354" s="55">
        <v>0</v>
      </c>
      <c r="AO354" s="55">
        <v>0</v>
      </c>
      <c r="AP354" s="55">
        <f t="shared" si="144"/>
        <v>2</v>
      </c>
      <c r="AQ354" s="55">
        <f>IFERROR(VLOOKUP(A354,[1]SIIMPLES!$A$2:$F$418,6,FALSE),0)</f>
        <v>2</v>
      </c>
      <c r="AR354" s="55">
        <v>0</v>
      </c>
      <c r="AS354" s="55">
        <v>1</v>
      </c>
      <c r="AT354" s="55">
        <v>0</v>
      </c>
      <c r="AU354" s="55">
        <v>1</v>
      </c>
      <c r="AV354" s="55">
        <v>0</v>
      </c>
      <c r="AW354" s="55"/>
      <c r="AX354" s="55"/>
      <c r="AY354" s="56">
        <f t="shared" si="141"/>
        <v>1.2</v>
      </c>
      <c r="AZ354" s="55"/>
      <c r="BA354" s="56">
        <v>1</v>
      </c>
      <c r="BB354" s="41">
        <f t="shared" si="146"/>
        <v>0.19999999999999996</v>
      </c>
      <c r="BC354" s="13"/>
      <c r="BD354" s="37"/>
      <c r="BE354" s="13"/>
      <c r="BF354" s="16">
        <f>SUM(BC354:BE354)</f>
        <v>0</v>
      </c>
      <c r="BG354" s="17">
        <f t="shared" si="148"/>
        <v>0</v>
      </c>
      <c r="BH354" s="16">
        <f>IFERROR(IF(F354=1,IF(BC354&lt;AY354*3,AY354*3-BC354,0),IF(BC354&lt;AY354,AY354-BC354,0)),"")</f>
        <v>1.2</v>
      </c>
    </row>
    <row r="355" spans="1:60" s="21" customFormat="1" ht="12.75" customHeight="1" x14ac:dyDescent="0.2">
      <c r="A355" s="51">
        <v>880547</v>
      </c>
      <c r="B355" s="51" t="s">
        <v>1077</v>
      </c>
      <c r="C355" s="66" t="s">
        <v>1803</v>
      </c>
      <c r="D355" s="52" t="s">
        <v>759</v>
      </c>
      <c r="E355" s="52" t="s">
        <v>1276</v>
      </c>
      <c r="F355" s="53" t="str">
        <f>IFERROR(VLOOKUP(E355,Fornecedores!$A$2:$B$2700,2,FALSE),"")</f>
        <v/>
      </c>
      <c r="G355" s="52" t="s">
        <v>107</v>
      </c>
      <c r="H355" s="54"/>
      <c r="I355" s="55">
        <f t="shared" si="135"/>
        <v>0</v>
      </c>
      <c r="J355" s="55">
        <v>0</v>
      </c>
      <c r="K355" s="55">
        <v>0</v>
      </c>
      <c r="L355" s="55">
        <v>0</v>
      </c>
      <c r="M355" s="55">
        <v>0</v>
      </c>
      <c r="N355" s="55">
        <f t="shared" si="136"/>
        <v>0</v>
      </c>
      <c r="O355" s="55">
        <v>0</v>
      </c>
      <c r="P355" s="55">
        <v>0</v>
      </c>
      <c r="Q355" s="55">
        <v>0</v>
      </c>
      <c r="R355" s="55">
        <f t="shared" si="137"/>
        <v>0</v>
      </c>
      <c r="S355" s="55">
        <v>0</v>
      </c>
      <c r="T355" s="55">
        <v>0</v>
      </c>
      <c r="U355" s="55">
        <v>0</v>
      </c>
      <c r="V355" s="55">
        <v>0</v>
      </c>
      <c r="W355" s="53">
        <v>0</v>
      </c>
      <c r="X355" s="53">
        <v>0</v>
      </c>
      <c r="Y355" s="55">
        <v>0</v>
      </c>
      <c r="Z355" s="55">
        <v>1</v>
      </c>
      <c r="AA355" s="53">
        <v>1</v>
      </c>
      <c r="AB355" s="53">
        <v>0</v>
      </c>
      <c r="AC355" s="55">
        <v>0</v>
      </c>
      <c r="AD355" s="55">
        <f t="shared" si="138"/>
        <v>0</v>
      </c>
      <c r="AE355" s="53">
        <v>0</v>
      </c>
      <c r="AF355" s="55">
        <v>0</v>
      </c>
      <c r="AG355" s="55">
        <v>0</v>
      </c>
      <c r="AH355" s="55">
        <f t="shared" si="139"/>
        <v>0</v>
      </c>
      <c r="AI355" s="55">
        <v>0</v>
      </c>
      <c r="AJ355" s="55">
        <v>0</v>
      </c>
      <c r="AK355" s="55">
        <v>0</v>
      </c>
      <c r="AL355" s="55">
        <f t="shared" si="147"/>
        <v>0</v>
      </c>
      <c r="AM355" s="55" t="s">
        <v>1912</v>
      </c>
      <c r="AN355" s="55">
        <v>0</v>
      </c>
      <c r="AO355" s="55">
        <v>0</v>
      </c>
      <c r="AP355" s="55">
        <f t="shared" si="144"/>
        <v>2</v>
      </c>
      <c r="AQ355" s="55">
        <f>IFERROR(VLOOKUP(A355,[1]SIIMPLES!$A$2:$F$418,6,FALSE),0)</f>
        <v>2</v>
      </c>
      <c r="AR355" s="55">
        <v>0</v>
      </c>
      <c r="AS355" s="55">
        <v>0</v>
      </c>
      <c r="AT355" s="55">
        <v>0</v>
      </c>
      <c r="AU355" s="55">
        <v>0</v>
      </c>
      <c r="AV355" s="55">
        <v>0</v>
      </c>
      <c r="AW355" s="55"/>
      <c r="AX355" s="55"/>
      <c r="AY355" s="56">
        <f t="shared" si="141"/>
        <v>0.3</v>
      </c>
      <c r="AZ355" s="55"/>
      <c r="BA355" s="56">
        <v>0.66666666666666663</v>
      </c>
      <c r="BB355" s="41">
        <f t="shared" si="146"/>
        <v>-0.55000000000000004</v>
      </c>
      <c r="BC355" s="13"/>
      <c r="BD355" s="35"/>
      <c r="BE355" s="13"/>
      <c r="BF355" s="16">
        <f>SUM(BC355:BE355)</f>
        <v>0</v>
      </c>
      <c r="BG355" s="17">
        <f t="shared" si="148"/>
        <v>0</v>
      </c>
      <c r="BH355" s="16">
        <f>IFERROR(IF(F355=1,IF(BC355&lt;AY355*3,AY355*3-BC355,0),IF(BC355&lt;AY355,AY355-BC355,0)),"")</f>
        <v>0.3</v>
      </c>
    </row>
    <row r="356" spans="1:60" s="21" customFormat="1" ht="12.75" customHeight="1" x14ac:dyDescent="0.2">
      <c r="A356" s="51">
        <v>880549</v>
      </c>
      <c r="B356" s="51" t="s">
        <v>1077</v>
      </c>
      <c r="C356" s="66" t="s">
        <v>1803</v>
      </c>
      <c r="D356" s="52" t="s">
        <v>759</v>
      </c>
      <c r="E356" s="52" t="s">
        <v>736</v>
      </c>
      <c r="F356" s="53">
        <f>IFERROR(VLOOKUP(E356,Fornecedores!$A$2:$B$2700,2,FALSE),"")</f>
        <v>5</v>
      </c>
      <c r="G356" s="52" t="s">
        <v>232</v>
      </c>
      <c r="H356" s="54"/>
      <c r="I356" s="55">
        <f t="shared" si="135"/>
        <v>2</v>
      </c>
      <c r="J356" s="55">
        <v>2</v>
      </c>
      <c r="K356" s="55">
        <v>0</v>
      </c>
      <c r="L356" s="55">
        <v>0</v>
      </c>
      <c r="M356" s="55">
        <v>0</v>
      </c>
      <c r="N356" s="55">
        <f t="shared" si="136"/>
        <v>2</v>
      </c>
      <c r="O356" s="55">
        <v>2</v>
      </c>
      <c r="P356" s="55">
        <v>0</v>
      </c>
      <c r="Q356" s="55">
        <v>0</v>
      </c>
      <c r="R356" s="55">
        <f t="shared" si="137"/>
        <v>1</v>
      </c>
      <c r="S356" s="55">
        <v>1</v>
      </c>
      <c r="T356" s="55">
        <v>0</v>
      </c>
      <c r="U356" s="55">
        <v>0</v>
      </c>
      <c r="V356" s="55">
        <v>2</v>
      </c>
      <c r="W356" s="53">
        <v>2</v>
      </c>
      <c r="X356" s="53">
        <v>0</v>
      </c>
      <c r="Y356" s="55">
        <v>0</v>
      </c>
      <c r="Z356" s="55">
        <v>3</v>
      </c>
      <c r="AA356" s="53">
        <v>3</v>
      </c>
      <c r="AB356" s="53">
        <v>0</v>
      </c>
      <c r="AC356" s="55">
        <v>0</v>
      </c>
      <c r="AD356" s="55">
        <f t="shared" si="138"/>
        <v>1</v>
      </c>
      <c r="AE356" s="53">
        <v>1</v>
      </c>
      <c r="AF356" s="55">
        <v>0</v>
      </c>
      <c r="AG356" s="55">
        <v>0</v>
      </c>
      <c r="AH356" s="55">
        <f t="shared" si="139"/>
        <v>2</v>
      </c>
      <c r="AI356" s="55">
        <v>2</v>
      </c>
      <c r="AJ356" s="55">
        <v>0</v>
      </c>
      <c r="AK356" s="55">
        <v>0</v>
      </c>
      <c r="AL356" s="55">
        <f t="shared" si="147"/>
        <v>2</v>
      </c>
      <c r="AM356" s="55">
        <v>2</v>
      </c>
      <c r="AN356" s="55">
        <v>0</v>
      </c>
      <c r="AO356" s="55">
        <v>0</v>
      </c>
      <c r="AP356" s="55">
        <f t="shared" si="144"/>
        <v>2</v>
      </c>
      <c r="AQ356" s="55">
        <f>IFERROR(VLOOKUP(A356,[1]SIIMPLES!$A$2:$F$418,6,FALSE),0)</f>
        <v>2</v>
      </c>
      <c r="AR356" s="55">
        <v>0</v>
      </c>
      <c r="AS356" s="55">
        <v>2</v>
      </c>
      <c r="AT356" s="55">
        <v>2</v>
      </c>
      <c r="AU356" s="55">
        <v>0</v>
      </c>
      <c r="AV356" s="55">
        <v>0</v>
      </c>
      <c r="AW356" s="55"/>
      <c r="AX356" s="55"/>
      <c r="AY356" s="56">
        <f t="shared" si="141"/>
        <v>1.9</v>
      </c>
      <c r="AZ356" s="55"/>
      <c r="BA356" s="56">
        <v>0.83333333333333337</v>
      </c>
      <c r="BB356" s="41">
        <f t="shared" si="146"/>
        <v>1.2799999999999998</v>
      </c>
      <c r="BC356" s="13"/>
      <c r="BD356" s="35"/>
      <c r="BE356" s="13"/>
      <c r="BF356" s="16"/>
      <c r="BG356" s="17">
        <f t="shared" si="148"/>
        <v>0</v>
      </c>
      <c r="BH356" s="16">
        <f>IFERROR(IF(F356=1,IF(BC356&lt;AY356*3,AY356*3-BC356,0),IF(BC356&lt;AY356,AY356-BC356,0)),"")</f>
        <v>1.9</v>
      </c>
    </row>
    <row r="357" spans="1:60" s="21" customFormat="1" ht="12.75" customHeight="1" x14ac:dyDescent="0.2">
      <c r="A357" s="28">
        <v>332025</v>
      </c>
      <c r="B357" s="28"/>
      <c r="C357" s="28" t="s">
        <v>1803</v>
      </c>
      <c r="D357" s="83" t="s">
        <v>728</v>
      </c>
      <c r="E357" s="83" t="s">
        <v>780</v>
      </c>
      <c r="F357" s="84"/>
      <c r="G357" s="85" t="s">
        <v>2070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55">
        <f t="shared" si="147"/>
        <v>1</v>
      </c>
      <c r="AM357" s="55">
        <v>1</v>
      </c>
      <c r="AN357" s="55">
        <v>0</v>
      </c>
      <c r="AO357" s="55">
        <v>0</v>
      </c>
      <c r="AP357" s="55">
        <f t="shared" si="144"/>
        <v>2</v>
      </c>
      <c r="AQ357" s="55">
        <f>IFERROR(VLOOKUP(A357,[1]SIIMPLES!$A$2:$F$418,6,FALSE),0)</f>
        <v>2</v>
      </c>
      <c r="AR357" s="55">
        <v>0</v>
      </c>
      <c r="AS357" s="55">
        <v>4</v>
      </c>
      <c r="AT357" s="55">
        <v>4</v>
      </c>
      <c r="AU357" s="55">
        <v>0</v>
      </c>
      <c r="AV357" s="55">
        <v>0</v>
      </c>
      <c r="AW357" s="7"/>
      <c r="AX357" s="7"/>
      <c r="AY357" s="7"/>
      <c r="AZ357" s="7"/>
      <c r="BA357" s="7"/>
      <c r="BB357" s="41" t="str">
        <f t="shared" si="146"/>
        <v/>
      </c>
      <c r="BC357" s="13"/>
      <c r="BD357" s="35"/>
      <c r="BE357" s="13"/>
      <c r="BF357" s="16"/>
      <c r="BG357" s="17" t="str">
        <f t="shared" si="148"/>
        <v>0</v>
      </c>
      <c r="BH357" s="16">
        <f>IFERROR(IF(F357=1,IF(BC357&lt;AY357*3,AY357*3-BC357,0),IF(BC357&lt;AY357,AY357-BC357,0)),"")</f>
        <v>0</v>
      </c>
    </row>
    <row r="358" spans="1:60" s="21" customFormat="1" ht="12.75" customHeight="1" x14ac:dyDescent="0.2">
      <c r="A358" s="82">
        <v>662014</v>
      </c>
      <c r="B358" s="28"/>
      <c r="C358" s="28" t="s">
        <v>1803</v>
      </c>
      <c r="D358" s="83" t="s">
        <v>728</v>
      </c>
      <c r="E358" s="83" t="s">
        <v>780</v>
      </c>
      <c r="F358" s="84"/>
      <c r="G358" s="85" t="s">
        <v>2071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55">
        <f t="shared" si="147"/>
        <v>4</v>
      </c>
      <c r="AM358" s="55">
        <v>2</v>
      </c>
      <c r="AN358" s="55">
        <v>2</v>
      </c>
      <c r="AO358" s="55">
        <v>0</v>
      </c>
      <c r="AP358" s="55">
        <f t="shared" si="144"/>
        <v>2</v>
      </c>
      <c r="AQ358" s="55">
        <f>IFERROR(VLOOKUP(A358,[1]SIIMPLES!$A$2:$F$418,6,FALSE),0)</f>
        <v>2</v>
      </c>
      <c r="AR358" s="55">
        <v>0</v>
      </c>
      <c r="AS358" s="55">
        <v>14</v>
      </c>
      <c r="AT358" s="55">
        <v>0</v>
      </c>
      <c r="AU358" s="55">
        <v>4</v>
      </c>
      <c r="AV358" s="55">
        <v>10</v>
      </c>
      <c r="AW358" s="7"/>
      <c r="AX358" s="7"/>
      <c r="AY358" s="7"/>
      <c r="AZ358" s="7"/>
      <c r="BA358" s="7"/>
      <c r="BB358" s="41" t="str">
        <f t="shared" si="146"/>
        <v/>
      </c>
      <c r="BC358" s="13"/>
      <c r="BD358" s="35"/>
      <c r="BE358" s="13"/>
      <c r="BF358" s="16"/>
      <c r="BG358" s="17" t="str">
        <f t="shared" si="148"/>
        <v>0</v>
      </c>
      <c r="BH358" s="16"/>
    </row>
    <row r="359" spans="1:60" s="21" customFormat="1" ht="12.75" customHeight="1" x14ac:dyDescent="0.2">
      <c r="A359" s="51" t="s">
        <v>481</v>
      </c>
      <c r="B359" s="51" t="s">
        <v>1077</v>
      </c>
      <c r="C359" s="66" t="s">
        <v>1803</v>
      </c>
      <c r="D359" s="52" t="s">
        <v>745</v>
      </c>
      <c r="E359" s="52" t="s">
        <v>780</v>
      </c>
      <c r="F359" s="53">
        <f>IFERROR(VLOOKUP(E359,Fornecedores!$A$2:$B$2700,2,FALSE),"")</f>
        <v>2</v>
      </c>
      <c r="G359" s="52" t="s">
        <v>482</v>
      </c>
      <c r="H359" s="54"/>
      <c r="I359" s="55">
        <f t="shared" ref="I359:I367" si="149">SUM(J359:M359)</f>
        <v>2</v>
      </c>
      <c r="J359" s="55">
        <v>2</v>
      </c>
      <c r="K359" s="55">
        <v>0</v>
      </c>
      <c r="L359" s="55">
        <v>0</v>
      </c>
      <c r="M359" s="55">
        <v>0</v>
      </c>
      <c r="N359" s="55">
        <f t="shared" ref="N359:N367" si="150">SUM(O359:Q359)</f>
        <v>7</v>
      </c>
      <c r="O359" s="55">
        <v>7</v>
      </c>
      <c r="P359" s="55">
        <v>0</v>
      </c>
      <c r="Q359" s="55">
        <v>0</v>
      </c>
      <c r="R359" s="55">
        <f t="shared" ref="R359:R367" si="151">SUM(S359:U359)</f>
        <v>0</v>
      </c>
      <c r="S359" s="55">
        <v>0</v>
      </c>
      <c r="T359" s="55">
        <v>0</v>
      </c>
      <c r="U359" s="55">
        <v>0</v>
      </c>
      <c r="V359" s="55">
        <v>0</v>
      </c>
      <c r="W359" s="53">
        <v>0</v>
      </c>
      <c r="X359" s="53">
        <v>0</v>
      </c>
      <c r="Y359" s="55">
        <v>0</v>
      </c>
      <c r="Z359" s="55">
        <v>0</v>
      </c>
      <c r="AA359" s="53">
        <v>0</v>
      </c>
      <c r="AB359" s="53">
        <v>0</v>
      </c>
      <c r="AC359" s="55">
        <v>0</v>
      </c>
      <c r="AD359" s="55">
        <f t="shared" ref="AD359:AD371" si="152">SUM(AE359:AG359)</f>
        <v>4</v>
      </c>
      <c r="AE359" s="53">
        <v>4</v>
      </c>
      <c r="AF359" s="55">
        <v>0</v>
      </c>
      <c r="AG359" s="55">
        <v>0</v>
      </c>
      <c r="AH359" s="55">
        <f t="shared" ref="AH359:AH371" si="153">SUM(AI359:AK359)</f>
        <v>2</v>
      </c>
      <c r="AI359" s="55">
        <v>2</v>
      </c>
      <c r="AJ359" s="55">
        <v>0</v>
      </c>
      <c r="AK359" s="55">
        <v>0</v>
      </c>
      <c r="AL359" s="55">
        <f t="shared" si="147"/>
        <v>4</v>
      </c>
      <c r="AM359" s="55">
        <v>4</v>
      </c>
      <c r="AN359" s="55">
        <v>0</v>
      </c>
      <c r="AO359" s="55">
        <v>0</v>
      </c>
      <c r="AP359" s="55">
        <f t="shared" si="144"/>
        <v>2</v>
      </c>
      <c r="AQ359" s="55">
        <f>IFERROR(VLOOKUP(A359,[1]SIIMPLES!$A$2:$F$418,6,FALSE),0)</f>
        <v>2</v>
      </c>
      <c r="AR359" s="55">
        <v>0</v>
      </c>
      <c r="AS359" s="55">
        <v>0</v>
      </c>
      <c r="AT359" s="55">
        <v>0</v>
      </c>
      <c r="AU359" s="55">
        <v>0</v>
      </c>
      <c r="AV359" s="55">
        <v>0</v>
      </c>
      <c r="AW359" s="55"/>
      <c r="AX359" s="55"/>
      <c r="AY359" s="56">
        <f t="shared" ref="AY359:AY371" si="154">IFERROR(AVERAGE(I359,N359,R359,V359,Z359,AD359,AH359,AL359,AP359,AS359,AW359,AX359),"-")</f>
        <v>2.1</v>
      </c>
      <c r="AZ359" s="55"/>
      <c r="BA359" s="56">
        <v>1.1666666666666667</v>
      </c>
      <c r="BB359" s="41">
        <f t="shared" si="146"/>
        <v>0.8</v>
      </c>
      <c r="BC359" s="13"/>
      <c r="BD359" s="37"/>
      <c r="BE359" s="13"/>
      <c r="BF359" s="16">
        <f>SUM(BC359:BE359)</f>
        <v>0</v>
      </c>
      <c r="BG359" s="17">
        <f t="shared" si="148"/>
        <v>0</v>
      </c>
      <c r="BH359" s="16">
        <f>IFERROR(IF(F359=1,IF(BC359&lt;AY359*3,AY359*3-BC359,0),IF(BC359&lt;AY359,AY359-BC359,0)),"")</f>
        <v>2.1</v>
      </c>
    </row>
    <row r="360" spans="1:60" s="21" customFormat="1" ht="12.75" customHeight="1" x14ac:dyDescent="0.2">
      <c r="A360" s="51" t="s">
        <v>1095</v>
      </c>
      <c r="B360" s="51"/>
      <c r="C360" s="66" t="s">
        <v>1803</v>
      </c>
      <c r="D360" s="52" t="s">
        <v>745</v>
      </c>
      <c r="E360" s="52" t="s">
        <v>780</v>
      </c>
      <c r="F360" s="53">
        <f>IFERROR(VLOOKUP(E360,Fornecedores!$A$2:$B$2700,2,FALSE),"")</f>
        <v>2</v>
      </c>
      <c r="G360" s="52" t="s">
        <v>218</v>
      </c>
      <c r="H360" s="54"/>
      <c r="I360" s="55">
        <f t="shared" si="149"/>
        <v>0</v>
      </c>
      <c r="J360" s="55">
        <v>0</v>
      </c>
      <c r="K360" s="55">
        <v>0</v>
      </c>
      <c r="L360" s="55">
        <v>0</v>
      </c>
      <c r="M360" s="55">
        <v>0</v>
      </c>
      <c r="N360" s="55">
        <f t="shared" si="150"/>
        <v>0</v>
      </c>
      <c r="O360" s="55">
        <v>0</v>
      </c>
      <c r="P360" s="55">
        <v>0</v>
      </c>
      <c r="Q360" s="55">
        <v>0</v>
      </c>
      <c r="R360" s="55">
        <f t="shared" si="151"/>
        <v>0</v>
      </c>
      <c r="S360" s="55">
        <v>0</v>
      </c>
      <c r="T360" s="55">
        <v>0</v>
      </c>
      <c r="U360" s="55">
        <v>0</v>
      </c>
      <c r="V360" s="55">
        <v>0</v>
      </c>
      <c r="W360" s="53">
        <v>0</v>
      </c>
      <c r="X360" s="53">
        <v>0</v>
      </c>
      <c r="Y360" s="55">
        <v>0</v>
      </c>
      <c r="Z360" s="55">
        <v>0</v>
      </c>
      <c r="AA360" s="53">
        <v>0</v>
      </c>
      <c r="AB360" s="53">
        <v>0</v>
      </c>
      <c r="AC360" s="55">
        <v>0</v>
      </c>
      <c r="AD360" s="55">
        <f t="shared" si="152"/>
        <v>4</v>
      </c>
      <c r="AE360" s="53">
        <v>4</v>
      </c>
      <c r="AF360" s="55">
        <v>0</v>
      </c>
      <c r="AG360" s="55">
        <v>0</v>
      </c>
      <c r="AH360" s="55">
        <f t="shared" si="153"/>
        <v>0</v>
      </c>
      <c r="AI360" s="55">
        <v>0</v>
      </c>
      <c r="AJ360" s="55">
        <v>0</v>
      </c>
      <c r="AK360" s="55">
        <v>0</v>
      </c>
      <c r="AL360" s="55">
        <f t="shared" si="147"/>
        <v>0</v>
      </c>
      <c r="AM360" s="55" t="s">
        <v>1912</v>
      </c>
      <c r="AN360" s="55">
        <v>0</v>
      </c>
      <c r="AO360" s="55">
        <v>0</v>
      </c>
      <c r="AP360" s="55">
        <f t="shared" si="144"/>
        <v>2</v>
      </c>
      <c r="AQ360" s="55">
        <f>IFERROR(VLOOKUP(A360,[1]SIIMPLES!$A$2:$F$418,6,FALSE),0)</f>
        <v>2</v>
      </c>
      <c r="AR360" s="55">
        <v>0</v>
      </c>
      <c r="AS360" s="55">
        <v>0</v>
      </c>
      <c r="AT360" s="55">
        <v>0</v>
      </c>
      <c r="AU360" s="55">
        <v>0</v>
      </c>
      <c r="AV360" s="55">
        <v>0</v>
      </c>
      <c r="AW360" s="55"/>
      <c r="AX360" s="55"/>
      <c r="AY360" s="56">
        <f t="shared" si="154"/>
        <v>0.6</v>
      </c>
      <c r="AZ360" s="55"/>
      <c r="BA360" s="56">
        <v>0.66666666666666663</v>
      </c>
      <c r="BB360" s="41">
        <f t="shared" si="146"/>
        <v>-9.9999999999999978E-2</v>
      </c>
      <c r="BC360" s="13"/>
      <c r="BD360" s="35"/>
      <c r="BE360" s="13"/>
      <c r="BF360" s="16"/>
      <c r="BG360" s="17">
        <f t="shared" si="148"/>
        <v>0</v>
      </c>
      <c r="BH360" s="16">
        <f>IFERROR(IF(F360=1,IF(BC360&lt;AY360*3,AY360*3-BC360,0),IF(BC360&lt;AY360,AY360-BC360,0)),"")</f>
        <v>0.6</v>
      </c>
    </row>
    <row r="361" spans="1:60" s="21" customFormat="1" ht="12.75" customHeight="1" x14ac:dyDescent="0.2">
      <c r="A361" s="51" t="s">
        <v>19</v>
      </c>
      <c r="B361" s="51" t="s">
        <v>1077</v>
      </c>
      <c r="C361" s="66" t="s">
        <v>1803</v>
      </c>
      <c r="D361" s="52" t="s">
        <v>745</v>
      </c>
      <c r="E361" s="52" t="s">
        <v>780</v>
      </c>
      <c r="F361" s="53">
        <f>IFERROR(VLOOKUP(E361,Fornecedores!$A$2:$B$2700,2,FALSE),"")</f>
        <v>2</v>
      </c>
      <c r="G361" s="52" t="s">
        <v>20</v>
      </c>
      <c r="H361" s="54"/>
      <c r="I361" s="55">
        <f t="shared" si="149"/>
        <v>0</v>
      </c>
      <c r="J361" s="55">
        <v>0</v>
      </c>
      <c r="K361" s="55">
        <v>0</v>
      </c>
      <c r="L361" s="55">
        <v>0</v>
      </c>
      <c r="M361" s="55">
        <v>0</v>
      </c>
      <c r="N361" s="55">
        <f t="shared" si="150"/>
        <v>0</v>
      </c>
      <c r="O361" s="55">
        <v>0</v>
      </c>
      <c r="P361" s="55">
        <v>0</v>
      </c>
      <c r="Q361" s="55">
        <v>0</v>
      </c>
      <c r="R361" s="55">
        <f t="shared" si="151"/>
        <v>2</v>
      </c>
      <c r="S361" s="55">
        <v>0</v>
      </c>
      <c r="T361" s="55">
        <v>2</v>
      </c>
      <c r="U361" s="55">
        <v>0</v>
      </c>
      <c r="V361" s="55">
        <v>4</v>
      </c>
      <c r="W361" s="53">
        <v>0</v>
      </c>
      <c r="X361" s="53">
        <v>4</v>
      </c>
      <c r="Y361" s="55">
        <v>0</v>
      </c>
      <c r="Z361" s="55">
        <v>0</v>
      </c>
      <c r="AA361" s="53">
        <v>0</v>
      </c>
      <c r="AB361" s="53">
        <v>0</v>
      </c>
      <c r="AC361" s="55">
        <v>0</v>
      </c>
      <c r="AD361" s="55">
        <f t="shared" si="152"/>
        <v>0</v>
      </c>
      <c r="AE361" s="53">
        <v>0</v>
      </c>
      <c r="AF361" s="55">
        <v>0</v>
      </c>
      <c r="AG361" s="55">
        <v>0</v>
      </c>
      <c r="AH361" s="55">
        <f t="shared" si="153"/>
        <v>10</v>
      </c>
      <c r="AI361" s="55">
        <v>0</v>
      </c>
      <c r="AJ361" s="55">
        <v>10</v>
      </c>
      <c r="AK361" s="55">
        <v>0</v>
      </c>
      <c r="AL361" s="55">
        <f t="shared" si="147"/>
        <v>4</v>
      </c>
      <c r="AM361" s="55" t="s">
        <v>1912</v>
      </c>
      <c r="AN361" s="55">
        <v>4</v>
      </c>
      <c r="AO361" s="55">
        <v>0</v>
      </c>
      <c r="AP361" s="55">
        <f t="shared" si="144"/>
        <v>2</v>
      </c>
      <c r="AQ361" s="55">
        <f>IFERROR(VLOOKUP(A361,[1]SIIMPLES!$A$2:$F$418,6,FALSE),0)</f>
        <v>0</v>
      </c>
      <c r="AR361" s="55">
        <v>2</v>
      </c>
      <c r="AS361" s="55">
        <v>10</v>
      </c>
      <c r="AT361" s="55">
        <v>0</v>
      </c>
      <c r="AU361" s="55">
        <v>10</v>
      </c>
      <c r="AV361" s="55">
        <v>0</v>
      </c>
      <c r="AW361" s="55"/>
      <c r="AX361" s="55"/>
      <c r="AY361" s="56">
        <f t="shared" si="154"/>
        <v>3.2</v>
      </c>
      <c r="AZ361" s="55"/>
      <c r="BA361" s="56">
        <v>3.3333333333333335</v>
      </c>
      <c r="BB361" s="41">
        <f t="shared" si="146"/>
        <v>-4.0000000000000036E-2</v>
      </c>
      <c r="BC361" s="13"/>
      <c r="BD361" s="35"/>
      <c r="BE361" s="13"/>
      <c r="BF361" s="16"/>
      <c r="BG361" s="17">
        <f t="shared" si="148"/>
        <v>0</v>
      </c>
      <c r="BH361" s="16">
        <f>ROUND(IFERROR(IF(F361=1,IF(BC361&lt;AY361*3,AY361*3-BC361,0),IF(BC361&lt;AY361,AY361*0.6-BC361,0)),""),0)</f>
        <v>2</v>
      </c>
    </row>
    <row r="362" spans="1:60" s="21" customFormat="1" ht="12.75" customHeight="1" x14ac:dyDescent="0.2">
      <c r="A362" s="51" t="s">
        <v>771</v>
      </c>
      <c r="B362" s="51" t="s">
        <v>1077</v>
      </c>
      <c r="C362" s="66" t="s">
        <v>1803</v>
      </c>
      <c r="D362" s="52" t="s">
        <v>745</v>
      </c>
      <c r="E362" s="52" t="s">
        <v>780</v>
      </c>
      <c r="F362" s="53">
        <f>IFERROR(VLOOKUP(E362,Fornecedores!$A$2:$B$2700,2,FALSE),"")</f>
        <v>2</v>
      </c>
      <c r="G362" s="52" t="s">
        <v>44</v>
      </c>
      <c r="H362" s="54"/>
      <c r="I362" s="55">
        <f t="shared" si="149"/>
        <v>150</v>
      </c>
      <c r="J362" s="55">
        <v>0</v>
      </c>
      <c r="K362" s="55">
        <v>0</v>
      </c>
      <c r="L362" s="55">
        <v>50</v>
      </c>
      <c r="M362" s="55">
        <v>100</v>
      </c>
      <c r="N362" s="55">
        <f t="shared" si="150"/>
        <v>0</v>
      </c>
      <c r="O362" s="55">
        <v>0</v>
      </c>
      <c r="P362" s="55">
        <v>0</v>
      </c>
      <c r="Q362" s="55">
        <v>0</v>
      </c>
      <c r="R362" s="55">
        <f t="shared" si="151"/>
        <v>2</v>
      </c>
      <c r="S362" s="55">
        <v>0</v>
      </c>
      <c r="T362" s="55">
        <v>2</v>
      </c>
      <c r="U362" s="55">
        <v>0</v>
      </c>
      <c r="V362" s="55">
        <v>4</v>
      </c>
      <c r="W362" s="53">
        <v>0</v>
      </c>
      <c r="X362" s="53">
        <v>4</v>
      </c>
      <c r="Y362" s="55">
        <v>0</v>
      </c>
      <c r="Z362" s="55">
        <v>0</v>
      </c>
      <c r="AA362" s="53">
        <v>0</v>
      </c>
      <c r="AB362" s="53">
        <v>0</v>
      </c>
      <c r="AC362" s="55">
        <v>0</v>
      </c>
      <c r="AD362" s="55">
        <f t="shared" si="152"/>
        <v>2</v>
      </c>
      <c r="AE362" s="53">
        <v>0</v>
      </c>
      <c r="AF362" s="55">
        <v>0</v>
      </c>
      <c r="AG362" s="55">
        <v>2</v>
      </c>
      <c r="AH362" s="55">
        <f t="shared" si="153"/>
        <v>6</v>
      </c>
      <c r="AI362" s="55">
        <v>0</v>
      </c>
      <c r="AJ362" s="55">
        <v>6</v>
      </c>
      <c r="AK362" s="55">
        <v>0</v>
      </c>
      <c r="AL362" s="55">
        <f t="shared" si="147"/>
        <v>10</v>
      </c>
      <c r="AM362" s="55" t="s">
        <v>1912</v>
      </c>
      <c r="AN362" s="55">
        <v>10</v>
      </c>
      <c r="AO362" s="55">
        <v>0</v>
      </c>
      <c r="AP362" s="55">
        <f t="shared" si="144"/>
        <v>2</v>
      </c>
      <c r="AQ362" s="55">
        <f>IFERROR(VLOOKUP(A362,[1]SIIMPLES!$A$2:$F$418,6,FALSE),0)</f>
        <v>0</v>
      </c>
      <c r="AR362" s="55">
        <v>2</v>
      </c>
      <c r="AS362" s="55">
        <v>8</v>
      </c>
      <c r="AT362" s="55">
        <v>2</v>
      </c>
      <c r="AU362" s="55">
        <v>0</v>
      </c>
      <c r="AV362" s="55">
        <v>6</v>
      </c>
      <c r="AW362" s="55"/>
      <c r="AX362" s="55"/>
      <c r="AY362" s="56">
        <f t="shared" si="154"/>
        <v>18.399999999999999</v>
      </c>
      <c r="AZ362" s="55"/>
      <c r="BA362" s="56">
        <v>1.1666666666666667</v>
      </c>
      <c r="BB362" s="41">
        <f t="shared" si="146"/>
        <v>14.771428571428569</v>
      </c>
      <c r="BC362" s="13"/>
      <c r="BD362" s="35"/>
      <c r="BE362" s="13"/>
      <c r="BF362" s="16">
        <f>SUM(BC362:BE362)</f>
        <v>0</v>
      </c>
      <c r="BG362" s="17">
        <f t="shared" si="148"/>
        <v>0</v>
      </c>
      <c r="BH362" s="16">
        <f>IFERROR(IF(F362=1,IF(BC362&lt;AY362*3,AY362*3-BC362,0),IF(BC362&lt;AY362,AY362-BC362,0)),"")</f>
        <v>18.399999999999999</v>
      </c>
    </row>
    <row r="363" spans="1:60" s="21" customFormat="1" ht="12.75" customHeight="1" x14ac:dyDescent="0.2">
      <c r="A363" s="51" t="s">
        <v>819</v>
      </c>
      <c r="B363" s="51" t="s">
        <v>1077</v>
      </c>
      <c r="C363" s="66" t="s">
        <v>1803</v>
      </c>
      <c r="D363" s="52" t="s">
        <v>745</v>
      </c>
      <c r="E363" s="52" t="s">
        <v>780</v>
      </c>
      <c r="F363" s="53">
        <f>IFERROR(VLOOKUP(E363,Fornecedores!$A$2:$B$2700,2,FALSE),"")</f>
        <v>2</v>
      </c>
      <c r="G363" s="52" t="s">
        <v>922</v>
      </c>
      <c r="H363" s="57"/>
      <c r="I363" s="55">
        <f t="shared" si="149"/>
        <v>3</v>
      </c>
      <c r="J363" s="55">
        <v>1</v>
      </c>
      <c r="K363" s="55">
        <v>2</v>
      </c>
      <c r="L363" s="55">
        <v>0</v>
      </c>
      <c r="M363" s="55">
        <v>0</v>
      </c>
      <c r="N363" s="55">
        <f t="shared" si="150"/>
        <v>2</v>
      </c>
      <c r="O363" s="55">
        <v>0</v>
      </c>
      <c r="P363" s="55">
        <v>2</v>
      </c>
      <c r="Q363" s="55">
        <v>0</v>
      </c>
      <c r="R363" s="55">
        <f t="shared" si="151"/>
        <v>3</v>
      </c>
      <c r="S363" s="55">
        <v>1</v>
      </c>
      <c r="T363" s="55">
        <v>2</v>
      </c>
      <c r="U363" s="55">
        <v>0</v>
      </c>
      <c r="V363" s="55">
        <v>5</v>
      </c>
      <c r="W363" s="53">
        <v>5</v>
      </c>
      <c r="X363" s="53">
        <v>0</v>
      </c>
      <c r="Y363" s="55">
        <v>0</v>
      </c>
      <c r="Z363" s="55">
        <v>5</v>
      </c>
      <c r="AA363" s="53">
        <v>5</v>
      </c>
      <c r="AB363" s="53">
        <v>0</v>
      </c>
      <c r="AC363" s="55">
        <v>0</v>
      </c>
      <c r="AD363" s="55">
        <f t="shared" si="152"/>
        <v>5</v>
      </c>
      <c r="AE363" s="53">
        <v>3</v>
      </c>
      <c r="AF363" s="55">
        <v>2</v>
      </c>
      <c r="AG363" s="55">
        <v>0</v>
      </c>
      <c r="AH363" s="55">
        <f t="shared" si="153"/>
        <v>5</v>
      </c>
      <c r="AI363" s="55">
        <v>1</v>
      </c>
      <c r="AJ363" s="55">
        <v>4</v>
      </c>
      <c r="AK363" s="55">
        <v>0</v>
      </c>
      <c r="AL363" s="55">
        <f t="shared" si="147"/>
        <v>5</v>
      </c>
      <c r="AM363" s="55">
        <v>1</v>
      </c>
      <c r="AN363" s="55">
        <v>4</v>
      </c>
      <c r="AO363" s="55">
        <v>0</v>
      </c>
      <c r="AP363" s="55">
        <f t="shared" si="144"/>
        <v>2</v>
      </c>
      <c r="AQ363" s="55">
        <f>IFERROR(VLOOKUP(A363,[1]SIIMPLES!$A$2:$F$418,6,FALSE),0)</f>
        <v>0</v>
      </c>
      <c r="AR363" s="55">
        <v>2</v>
      </c>
      <c r="AS363" s="55">
        <v>4</v>
      </c>
      <c r="AT363" s="55">
        <v>0</v>
      </c>
      <c r="AU363" s="55">
        <v>4</v>
      </c>
      <c r="AV363" s="55">
        <v>0</v>
      </c>
      <c r="AW363" s="55"/>
      <c r="AX363" s="55"/>
      <c r="AY363" s="56">
        <f t="shared" si="154"/>
        <v>3.9</v>
      </c>
      <c r="AZ363" s="55"/>
      <c r="BA363" s="56">
        <v>3.1666666666666665</v>
      </c>
      <c r="BB363" s="41">
        <f t="shared" si="146"/>
        <v>0.23157894736842111</v>
      </c>
      <c r="BC363" s="13"/>
      <c r="BD363" s="35"/>
      <c r="BE363" s="13"/>
      <c r="BF363" s="16"/>
      <c r="BG363" s="17">
        <f t="shared" si="148"/>
        <v>0</v>
      </c>
      <c r="BH363" s="16">
        <f>IFERROR(IF(F363=1,IF(BC363&lt;AY363*3,AY363*3-BC363,0),IF(BC363&lt;AY363,AY363-BC363,0)),"")</f>
        <v>3.9</v>
      </c>
    </row>
    <row r="364" spans="1:60" s="21" customFormat="1" ht="12.75" customHeight="1" x14ac:dyDescent="0.2">
      <c r="A364" s="51" t="s">
        <v>1097</v>
      </c>
      <c r="B364" s="51"/>
      <c r="C364" s="66" t="s">
        <v>1803</v>
      </c>
      <c r="D364" s="52" t="s">
        <v>745</v>
      </c>
      <c r="E364" s="52" t="s">
        <v>780</v>
      </c>
      <c r="F364" s="53">
        <f>IFERROR(VLOOKUP(E364,Fornecedores!$A$2:$B$2700,2,FALSE),"")</f>
        <v>2</v>
      </c>
      <c r="G364" s="52" t="s">
        <v>1137</v>
      </c>
      <c r="H364" s="54"/>
      <c r="I364" s="55">
        <f t="shared" si="149"/>
        <v>2</v>
      </c>
      <c r="J364" s="55">
        <v>0</v>
      </c>
      <c r="K364" s="55">
        <v>2</v>
      </c>
      <c r="L364" s="55">
        <v>0</v>
      </c>
      <c r="M364" s="55">
        <v>0</v>
      </c>
      <c r="N364" s="55">
        <f t="shared" si="150"/>
        <v>0</v>
      </c>
      <c r="O364" s="55">
        <v>0</v>
      </c>
      <c r="P364" s="55">
        <v>0</v>
      </c>
      <c r="Q364" s="55">
        <v>0</v>
      </c>
      <c r="R364" s="55">
        <f t="shared" si="151"/>
        <v>0</v>
      </c>
      <c r="S364" s="55">
        <v>0</v>
      </c>
      <c r="T364" s="55">
        <v>0</v>
      </c>
      <c r="U364" s="55">
        <v>0</v>
      </c>
      <c r="V364" s="55">
        <v>2</v>
      </c>
      <c r="W364" s="53">
        <v>0</v>
      </c>
      <c r="X364" s="53">
        <v>2</v>
      </c>
      <c r="Y364" s="55">
        <v>0</v>
      </c>
      <c r="Z364" s="55">
        <v>0</v>
      </c>
      <c r="AA364" s="53">
        <v>0</v>
      </c>
      <c r="AB364" s="53">
        <v>0</v>
      </c>
      <c r="AC364" s="55">
        <v>0</v>
      </c>
      <c r="AD364" s="55">
        <f t="shared" si="152"/>
        <v>4</v>
      </c>
      <c r="AE364" s="53">
        <v>0</v>
      </c>
      <c r="AF364" s="55">
        <v>4</v>
      </c>
      <c r="AG364" s="55">
        <v>0</v>
      </c>
      <c r="AH364" s="55">
        <f t="shared" si="153"/>
        <v>4</v>
      </c>
      <c r="AI364" s="55">
        <v>2</v>
      </c>
      <c r="AJ364" s="55">
        <v>2</v>
      </c>
      <c r="AK364" s="55">
        <v>0</v>
      </c>
      <c r="AL364" s="55">
        <f t="shared" si="147"/>
        <v>50</v>
      </c>
      <c r="AM364" s="55" t="s">
        <v>1912</v>
      </c>
      <c r="AN364" s="55">
        <v>0</v>
      </c>
      <c r="AO364" s="55">
        <v>50</v>
      </c>
      <c r="AP364" s="55">
        <f t="shared" si="144"/>
        <v>2</v>
      </c>
      <c r="AQ364" s="55">
        <f>IFERROR(VLOOKUP(A364,[1]SIIMPLES!$A$2:$F$418,6,FALSE),0)</f>
        <v>0</v>
      </c>
      <c r="AR364" s="55">
        <v>2</v>
      </c>
      <c r="AS364" s="55">
        <v>0</v>
      </c>
      <c r="AT364" s="55">
        <v>0</v>
      </c>
      <c r="AU364" s="55">
        <v>0</v>
      </c>
      <c r="AV364" s="55">
        <v>0</v>
      </c>
      <c r="AW364" s="55"/>
      <c r="AX364" s="55"/>
      <c r="AY364" s="56">
        <f t="shared" si="154"/>
        <v>6.4</v>
      </c>
      <c r="AZ364" s="55"/>
      <c r="BA364" s="56">
        <v>1.3333333333333333</v>
      </c>
      <c r="BB364" s="41">
        <f t="shared" si="146"/>
        <v>3.8000000000000007</v>
      </c>
      <c r="BC364" s="10"/>
      <c r="BD364" s="35"/>
      <c r="BE364" s="13"/>
      <c r="BF364" s="16">
        <f>SUM(BC364:BE364)</f>
        <v>0</v>
      </c>
      <c r="BG364" s="17">
        <f t="shared" si="148"/>
        <v>0</v>
      </c>
      <c r="BH364" s="16">
        <f>ROUND(IFERROR(IF(F364=1,IF(BC364&lt;AY364*3,AY364*3-BC364,0),IF(BC364&lt;AY364,AY364*0.6-BC364,0)),""),0)</f>
        <v>4</v>
      </c>
    </row>
    <row r="365" spans="1:60" s="21" customFormat="1" ht="12.75" customHeight="1" x14ac:dyDescent="0.2">
      <c r="A365" s="51" t="s">
        <v>822</v>
      </c>
      <c r="B365" s="51" t="s">
        <v>1077</v>
      </c>
      <c r="C365" s="66" t="s">
        <v>1803</v>
      </c>
      <c r="D365" s="52" t="s">
        <v>745</v>
      </c>
      <c r="E365" s="52" t="s">
        <v>780</v>
      </c>
      <c r="F365" s="53">
        <f>IFERROR(VLOOKUP(E365,Fornecedores!$A$2:$B$2700,2,FALSE),"")</f>
        <v>2</v>
      </c>
      <c r="G365" s="52" t="s">
        <v>1084</v>
      </c>
      <c r="H365" s="57"/>
      <c r="I365" s="55">
        <f t="shared" si="149"/>
        <v>3</v>
      </c>
      <c r="J365" s="55">
        <v>1</v>
      </c>
      <c r="K365" s="55">
        <v>2</v>
      </c>
      <c r="L365" s="55">
        <v>0</v>
      </c>
      <c r="M365" s="55">
        <v>0</v>
      </c>
      <c r="N365" s="55">
        <f t="shared" si="150"/>
        <v>0</v>
      </c>
      <c r="O365" s="55">
        <v>0</v>
      </c>
      <c r="P365" s="55">
        <v>0</v>
      </c>
      <c r="Q365" s="55">
        <v>0</v>
      </c>
      <c r="R365" s="55">
        <f t="shared" si="151"/>
        <v>2</v>
      </c>
      <c r="S365" s="55">
        <v>2</v>
      </c>
      <c r="T365" s="55">
        <v>0</v>
      </c>
      <c r="U365" s="55">
        <v>0</v>
      </c>
      <c r="V365" s="55">
        <v>0</v>
      </c>
      <c r="W365" s="53">
        <v>0</v>
      </c>
      <c r="X365" s="53">
        <v>0</v>
      </c>
      <c r="Y365" s="55">
        <v>0</v>
      </c>
      <c r="Z365" s="55">
        <v>0</v>
      </c>
      <c r="AA365" s="53">
        <v>0</v>
      </c>
      <c r="AB365" s="53">
        <v>0</v>
      </c>
      <c r="AC365" s="55">
        <v>0</v>
      </c>
      <c r="AD365" s="55">
        <f t="shared" si="152"/>
        <v>3</v>
      </c>
      <c r="AE365" s="53">
        <v>3</v>
      </c>
      <c r="AF365" s="55">
        <v>0</v>
      </c>
      <c r="AG365" s="55">
        <v>0</v>
      </c>
      <c r="AH365" s="55">
        <f t="shared" si="153"/>
        <v>0</v>
      </c>
      <c r="AI365" s="55">
        <v>0</v>
      </c>
      <c r="AJ365" s="55">
        <v>0</v>
      </c>
      <c r="AK365" s="55">
        <v>0</v>
      </c>
      <c r="AL365" s="55">
        <f t="shared" si="147"/>
        <v>0</v>
      </c>
      <c r="AM365" s="55" t="s">
        <v>1912</v>
      </c>
      <c r="AN365" s="55">
        <v>0</v>
      </c>
      <c r="AO365" s="55">
        <v>0</v>
      </c>
      <c r="AP365" s="55">
        <f t="shared" si="144"/>
        <v>2</v>
      </c>
      <c r="AQ365" s="55">
        <f>IFERROR(VLOOKUP(A365,[1]SIIMPLES!$A$2:$F$418,6,FALSE),0)</f>
        <v>0</v>
      </c>
      <c r="AR365" s="55">
        <v>2</v>
      </c>
      <c r="AS365" s="55">
        <v>0</v>
      </c>
      <c r="AT365" s="55">
        <v>0</v>
      </c>
      <c r="AU365" s="55">
        <v>0</v>
      </c>
      <c r="AV365" s="55">
        <v>0</v>
      </c>
      <c r="AW365" s="55"/>
      <c r="AX365" s="55"/>
      <c r="AY365" s="56">
        <f t="shared" si="154"/>
        <v>1</v>
      </c>
      <c r="AZ365" s="55"/>
      <c r="BA365" s="56">
        <v>0.66666666666666663</v>
      </c>
      <c r="BB365" s="41">
        <f t="shared" si="146"/>
        <v>0.5</v>
      </c>
      <c r="BC365" s="13"/>
      <c r="BD365" s="35"/>
      <c r="BE365" s="13"/>
      <c r="BF365" s="16">
        <f>SUM(BC365:BE365)</f>
        <v>0</v>
      </c>
      <c r="BG365" s="17">
        <f t="shared" si="148"/>
        <v>0</v>
      </c>
      <c r="BH365" s="16">
        <f>IFERROR(IF(F365=1,IF(BC365&lt;AY365*3,AY365*3-BC365,0),IF(BC365&lt;AY365,AY365-BC365,0)),"")</f>
        <v>1</v>
      </c>
    </row>
    <row r="366" spans="1:60" s="21" customFormat="1" ht="12.75" customHeight="1" x14ac:dyDescent="0.2">
      <c r="A366" s="51" t="s">
        <v>812</v>
      </c>
      <c r="B366" s="51" t="s">
        <v>1077</v>
      </c>
      <c r="C366" s="66" t="s">
        <v>1803</v>
      </c>
      <c r="D366" s="52" t="s">
        <v>745</v>
      </c>
      <c r="E366" s="52" t="s">
        <v>780</v>
      </c>
      <c r="F366" s="53">
        <f>IFERROR(VLOOKUP(E366,Fornecedores!$A$2:$B$2700,2,FALSE),"")</f>
        <v>2</v>
      </c>
      <c r="G366" s="52" t="s">
        <v>309</v>
      </c>
      <c r="H366" s="54"/>
      <c r="I366" s="55">
        <f t="shared" si="149"/>
        <v>2</v>
      </c>
      <c r="J366" s="55">
        <v>0</v>
      </c>
      <c r="K366" s="55">
        <v>2</v>
      </c>
      <c r="L366" s="55">
        <v>0</v>
      </c>
      <c r="M366" s="55">
        <v>0</v>
      </c>
      <c r="N366" s="55">
        <f t="shared" si="150"/>
        <v>4</v>
      </c>
      <c r="O366" s="55">
        <v>0</v>
      </c>
      <c r="P366" s="55">
        <v>4</v>
      </c>
      <c r="Q366" s="55">
        <v>0</v>
      </c>
      <c r="R366" s="55">
        <f t="shared" si="151"/>
        <v>8</v>
      </c>
      <c r="S366" s="55">
        <v>0</v>
      </c>
      <c r="T366" s="55">
        <v>8</v>
      </c>
      <c r="U366" s="55">
        <v>0</v>
      </c>
      <c r="V366" s="55">
        <v>6</v>
      </c>
      <c r="W366" s="53">
        <v>0</v>
      </c>
      <c r="X366" s="53">
        <v>6</v>
      </c>
      <c r="Y366" s="55">
        <v>0</v>
      </c>
      <c r="Z366" s="55">
        <v>6</v>
      </c>
      <c r="AA366" s="53">
        <v>0</v>
      </c>
      <c r="AB366" s="53">
        <v>6</v>
      </c>
      <c r="AC366" s="55">
        <v>0</v>
      </c>
      <c r="AD366" s="55">
        <f t="shared" si="152"/>
        <v>4</v>
      </c>
      <c r="AE366" s="53">
        <v>0</v>
      </c>
      <c r="AF366" s="55">
        <v>4</v>
      </c>
      <c r="AG366" s="55">
        <v>0</v>
      </c>
      <c r="AH366" s="55">
        <f t="shared" si="153"/>
        <v>8</v>
      </c>
      <c r="AI366" s="55">
        <v>0</v>
      </c>
      <c r="AJ366" s="55">
        <v>8</v>
      </c>
      <c r="AK366" s="55">
        <v>0</v>
      </c>
      <c r="AL366" s="55">
        <f t="shared" si="147"/>
        <v>2</v>
      </c>
      <c r="AM366" s="55" t="s">
        <v>1912</v>
      </c>
      <c r="AN366" s="55">
        <v>0</v>
      </c>
      <c r="AO366" s="55">
        <v>2</v>
      </c>
      <c r="AP366" s="55">
        <f t="shared" si="144"/>
        <v>2</v>
      </c>
      <c r="AQ366" s="55">
        <f>IFERROR(VLOOKUP(A366,[1]SIIMPLES!$A$2:$F$418,6,FALSE),0)</f>
        <v>0</v>
      </c>
      <c r="AR366" s="55">
        <v>2</v>
      </c>
      <c r="AS366" s="55">
        <v>2</v>
      </c>
      <c r="AT366" s="55">
        <v>0</v>
      </c>
      <c r="AU366" s="55">
        <v>2</v>
      </c>
      <c r="AV366" s="55">
        <v>0</v>
      </c>
      <c r="AW366" s="55"/>
      <c r="AX366" s="55"/>
      <c r="AY366" s="56">
        <f t="shared" si="154"/>
        <v>4.4000000000000004</v>
      </c>
      <c r="AZ366" s="55"/>
      <c r="BA366" s="56">
        <v>4.166666666666667</v>
      </c>
      <c r="BB366" s="41">
        <f t="shared" si="146"/>
        <v>5.600000000000005E-2</v>
      </c>
      <c r="BC366" s="13"/>
      <c r="BD366" s="35"/>
      <c r="BE366" s="13"/>
      <c r="BF366" s="16"/>
      <c r="BG366" s="17">
        <f t="shared" si="148"/>
        <v>0</v>
      </c>
      <c r="BH366" s="16">
        <f>IFERROR(IF(F366=1,IF(BC366&lt;AY366*3,AY366*3-BC366,0),IF(BC366&lt;AY366,AY366-BC366,0)),"")</f>
        <v>4.4000000000000004</v>
      </c>
    </row>
    <row r="367" spans="1:60" s="21" customFormat="1" ht="12.75" customHeight="1" x14ac:dyDescent="0.2">
      <c r="A367" s="51" t="s">
        <v>29</v>
      </c>
      <c r="B367" s="51" t="s">
        <v>1077</v>
      </c>
      <c r="C367" s="66" t="s">
        <v>1803</v>
      </c>
      <c r="D367" s="52" t="s">
        <v>745</v>
      </c>
      <c r="E367" s="52" t="s">
        <v>780</v>
      </c>
      <c r="F367" s="53">
        <f>IFERROR(VLOOKUP(E367,Fornecedores!$A$2:$B$2700,2,FALSE),"")</f>
        <v>2</v>
      </c>
      <c r="G367" s="52" t="s">
        <v>206</v>
      </c>
      <c r="H367" s="54"/>
      <c r="I367" s="55">
        <f t="shared" si="149"/>
        <v>3</v>
      </c>
      <c r="J367" s="55">
        <v>1</v>
      </c>
      <c r="K367" s="55">
        <v>2</v>
      </c>
      <c r="L367" s="55">
        <v>0</v>
      </c>
      <c r="M367" s="55">
        <v>0</v>
      </c>
      <c r="N367" s="55">
        <f t="shared" si="150"/>
        <v>2</v>
      </c>
      <c r="O367" s="55">
        <v>0</v>
      </c>
      <c r="P367" s="55">
        <v>2</v>
      </c>
      <c r="Q367" s="55">
        <v>0</v>
      </c>
      <c r="R367" s="55">
        <f t="shared" si="151"/>
        <v>4</v>
      </c>
      <c r="S367" s="55">
        <v>0</v>
      </c>
      <c r="T367" s="55">
        <v>4</v>
      </c>
      <c r="U367" s="55">
        <v>0</v>
      </c>
      <c r="V367" s="55">
        <v>2</v>
      </c>
      <c r="W367" s="53">
        <v>0</v>
      </c>
      <c r="X367" s="53">
        <v>2</v>
      </c>
      <c r="Y367" s="55">
        <v>0</v>
      </c>
      <c r="Z367" s="55">
        <v>0</v>
      </c>
      <c r="AA367" s="53">
        <v>0</v>
      </c>
      <c r="AB367" s="53">
        <v>0</v>
      </c>
      <c r="AC367" s="55">
        <v>0</v>
      </c>
      <c r="AD367" s="55">
        <f t="shared" si="152"/>
        <v>4</v>
      </c>
      <c r="AE367" s="53">
        <v>0</v>
      </c>
      <c r="AF367" s="55">
        <v>4</v>
      </c>
      <c r="AG367" s="55">
        <v>0</v>
      </c>
      <c r="AH367" s="55">
        <f t="shared" si="153"/>
        <v>2</v>
      </c>
      <c r="AI367" s="55">
        <v>0</v>
      </c>
      <c r="AJ367" s="55">
        <v>2</v>
      </c>
      <c r="AK367" s="55">
        <v>0</v>
      </c>
      <c r="AL367" s="55">
        <f t="shared" si="147"/>
        <v>2</v>
      </c>
      <c r="AM367" s="55" t="s">
        <v>1912</v>
      </c>
      <c r="AN367" s="55">
        <v>2</v>
      </c>
      <c r="AO367" s="55">
        <v>0</v>
      </c>
      <c r="AP367" s="55">
        <f t="shared" si="144"/>
        <v>2</v>
      </c>
      <c r="AQ367" s="55">
        <f>IFERROR(VLOOKUP(A367,[1]SIIMPLES!$A$2:$F$418,6,FALSE),0)</f>
        <v>0</v>
      </c>
      <c r="AR367" s="55">
        <v>2</v>
      </c>
      <c r="AS367" s="55">
        <v>0</v>
      </c>
      <c r="AT367" s="55">
        <v>0</v>
      </c>
      <c r="AU367" s="55">
        <v>0</v>
      </c>
      <c r="AV367" s="55">
        <v>0</v>
      </c>
      <c r="AW367" s="55"/>
      <c r="AX367" s="55"/>
      <c r="AY367" s="56">
        <f t="shared" si="154"/>
        <v>2.1</v>
      </c>
      <c r="AZ367" s="55"/>
      <c r="BA367" s="56">
        <v>0</v>
      </c>
      <c r="BB367" s="41" t="str">
        <f t="shared" si="146"/>
        <v/>
      </c>
      <c r="BC367" s="13"/>
      <c r="BD367" s="35"/>
      <c r="BE367" s="13"/>
      <c r="BF367" s="16"/>
      <c r="BG367" s="17">
        <f t="shared" si="148"/>
        <v>0</v>
      </c>
      <c r="BH367" s="16">
        <f>IFERROR(IF(F367=1,IF(BC367&lt;AY367*3,AY367*3-BC367,0),IF(BC367&lt;AY367,AY367-BC367,0)),"")</f>
        <v>2.1</v>
      </c>
    </row>
    <row r="368" spans="1:60" s="21" customFormat="1" ht="12.75" customHeight="1" x14ac:dyDescent="0.2">
      <c r="A368" s="51" t="s">
        <v>1915</v>
      </c>
      <c r="B368" s="51"/>
      <c r="C368" s="66" t="s">
        <v>1803</v>
      </c>
      <c r="D368" s="52" t="s">
        <v>751</v>
      </c>
      <c r="E368" s="52" t="s">
        <v>746</v>
      </c>
      <c r="F368" s="53">
        <f>IFERROR(VLOOKUP(E368,Fornecedores!$A$2:$B$2700,2,FALSE),"")</f>
        <v>11</v>
      </c>
      <c r="G368" s="67" t="s">
        <v>1925</v>
      </c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5">
        <f t="shared" si="152"/>
        <v>1</v>
      </c>
      <c r="AE368" s="53">
        <v>1</v>
      </c>
      <c r="AF368" s="55">
        <v>0</v>
      </c>
      <c r="AG368" s="55">
        <v>0</v>
      </c>
      <c r="AH368" s="55">
        <f t="shared" si="153"/>
        <v>2</v>
      </c>
      <c r="AI368" s="55">
        <v>2</v>
      </c>
      <c r="AJ368" s="55">
        <v>0</v>
      </c>
      <c r="AK368" s="55">
        <v>0</v>
      </c>
      <c r="AL368" s="55">
        <f t="shared" si="147"/>
        <v>0</v>
      </c>
      <c r="AM368" s="55" t="s">
        <v>1912</v>
      </c>
      <c r="AN368" s="55">
        <v>0</v>
      </c>
      <c r="AO368" s="55">
        <v>0</v>
      </c>
      <c r="AP368" s="55">
        <f t="shared" si="144"/>
        <v>2</v>
      </c>
      <c r="AQ368" s="55">
        <f>IFERROR(VLOOKUP(A368,[1]SIIMPLES!$A$2:$F$418,6,FALSE),0)</f>
        <v>2</v>
      </c>
      <c r="AR368" s="55">
        <v>0</v>
      </c>
      <c r="AS368" s="55">
        <v>0</v>
      </c>
      <c r="AT368" s="55">
        <v>0</v>
      </c>
      <c r="AU368" s="55">
        <v>0</v>
      </c>
      <c r="AV368" s="55">
        <v>0</v>
      </c>
      <c r="AW368" s="57"/>
      <c r="AX368" s="57"/>
      <c r="AY368" s="74">
        <f t="shared" si="154"/>
        <v>1</v>
      </c>
      <c r="AZ368" s="57"/>
      <c r="BA368" s="57"/>
      <c r="BB368" s="41" t="str">
        <f t="shared" si="146"/>
        <v/>
      </c>
      <c r="BC368" s="13"/>
      <c r="BD368" s="35"/>
      <c r="BE368" s="13"/>
      <c r="BF368" s="16"/>
      <c r="BG368" s="17">
        <f t="shared" si="148"/>
        <v>0</v>
      </c>
      <c r="BH368" s="16">
        <f>IFERROR(IF(F368=1,IF(BC368&lt;AY368*3,AY368*3-BC368,0),IF(BC368&lt;AY368,AY368-BC368,0)),"")</f>
        <v>1</v>
      </c>
    </row>
    <row r="369" spans="1:60" s="21" customFormat="1" ht="12.75" customHeight="1" x14ac:dyDescent="0.2">
      <c r="A369" s="51" t="s">
        <v>818</v>
      </c>
      <c r="B369" s="51" t="s">
        <v>1077</v>
      </c>
      <c r="C369" s="66" t="s">
        <v>1803</v>
      </c>
      <c r="D369" s="52" t="s">
        <v>745</v>
      </c>
      <c r="E369" s="52" t="s">
        <v>780</v>
      </c>
      <c r="F369" s="53">
        <f>IFERROR(VLOOKUP(E369,Fornecedores!$A$2:$B$2700,2,FALSE),"")</f>
        <v>2</v>
      </c>
      <c r="G369" s="52" t="s">
        <v>195</v>
      </c>
      <c r="H369" s="54"/>
      <c r="I369" s="55">
        <f>SUM(J369:M369)</f>
        <v>0</v>
      </c>
      <c r="J369" s="55">
        <v>0</v>
      </c>
      <c r="K369" s="55">
        <v>0</v>
      </c>
      <c r="L369" s="55">
        <v>0</v>
      </c>
      <c r="M369" s="55">
        <v>0</v>
      </c>
      <c r="N369" s="55">
        <f>SUM(O369:Q369)</f>
        <v>0</v>
      </c>
      <c r="O369" s="55">
        <v>0</v>
      </c>
      <c r="P369" s="55">
        <v>0</v>
      </c>
      <c r="Q369" s="55">
        <v>0</v>
      </c>
      <c r="R369" s="55">
        <f>SUM(S369:U369)</f>
        <v>0</v>
      </c>
      <c r="S369" s="55">
        <v>0</v>
      </c>
      <c r="T369" s="55">
        <v>0</v>
      </c>
      <c r="U369" s="55">
        <v>0</v>
      </c>
      <c r="V369" s="55">
        <v>0</v>
      </c>
      <c r="W369" s="53">
        <v>0</v>
      </c>
      <c r="X369" s="53">
        <v>0</v>
      </c>
      <c r="Y369" s="55">
        <v>0</v>
      </c>
      <c r="Z369" s="55">
        <v>0</v>
      </c>
      <c r="AA369" s="53">
        <v>0</v>
      </c>
      <c r="AB369" s="53">
        <v>0</v>
      </c>
      <c r="AC369" s="55">
        <v>0</v>
      </c>
      <c r="AD369" s="55">
        <f t="shared" si="152"/>
        <v>0</v>
      </c>
      <c r="AE369" s="53">
        <v>0</v>
      </c>
      <c r="AF369" s="55">
        <v>0</v>
      </c>
      <c r="AG369" s="55">
        <v>0</v>
      </c>
      <c r="AH369" s="55">
        <f t="shared" si="153"/>
        <v>2</v>
      </c>
      <c r="AI369" s="55">
        <v>0</v>
      </c>
      <c r="AJ369" s="55">
        <v>2</v>
      </c>
      <c r="AK369" s="55">
        <v>0</v>
      </c>
      <c r="AL369" s="55">
        <f t="shared" si="147"/>
        <v>0</v>
      </c>
      <c r="AM369" s="55" t="s">
        <v>1912</v>
      </c>
      <c r="AN369" s="55">
        <v>0</v>
      </c>
      <c r="AO369" s="55">
        <v>0</v>
      </c>
      <c r="AP369" s="55">
        <f t="shared" si="144"/>
        <v>2</v>
      </c>
      <c r="AQ369" s="55">
        <f>IFERROR(VLOOKUP(A369,[1]SIIMPLES!$A$2:$F$418,6,FALSE),0)</f>
        <v>0</v>
      </c>
      <c r="AR369" s="55">
        <v>2</v>
      </c>
      <c r="AS369" s="55">
        <v>0</v>
      </c>
      <c r="AT369" s="55">
        <v>0</v>
      </c>
      <c r="AU369" s="55">
        <v>0</v>
      </c>
      <c r="AV369" s="55">
        <v>0</v>
      </c>
      <c r="AW369" s="55"/>
      <c r="AX369" s="55"/>
      <c r="AY369" s="56">
        <f t="shared" si="154"/>
        <v>0.4</v>
      </c>
      <c r="AZ369" s="55"/>
      <c r="BA369" s="56">
        <v>0.33333333333333331</v>
      </c>
      <c r="BB369" s="41">
        <f t="shared" si="146"/>
        <v>0.20000000000000018</v>
      </c>
      <c r="BC369" s="13"/>
      <c r="BD369" s="35"/>
      <c r="BE369" s="13"/>
      <c r="BF369" s="16"/>
      <c r="BG369" s="17">
        <f t="shared" si="148"/>
        <v>0</v>
      </c>
      <c r="BH369" s="16">
        <f>ROUND(IFERROR(IF(F369=1,IF(BC369&lt;AY369*3,AY369*3-BC369,0),IF(BC369&lt;AY369,AY369*0.6-BC369,0)),""),0)</f>
        <v>0</v>
      </c>
    </row>
    <row r="370" spans="1:60" s="21" customFormat="1" ht="12.75" customHeight="1" x14ac:dyDescent="0.2">
      <c r="A370" s="51" t="s">
        <v>1118</v>
      </c>
      <c r="B370" s="51"/>
      <c r="C370" s="66" t="s">
        <v>1803</v>
      </c>
      <c r="D370" s="52" t="s">
        <v>745</v>
      </c>
      <c r="E370" s="52" t="s">
        <v>780</v>
      </c>
      <c r="F370" s="53">
        <f>IFERROR(VLOOKUP(E370,Fornecedores!$A$2:$B$2700,2,FALSE),"")</f>
        <v>2</v>
      </c>
      <c r="G370" s="52" t="s">
        <v>1161</v>
      </c>
      <c r="H370" s="54"/>
      <c r="I370" s="55">
        <f>SUM(J370:M370)</f>
        <v>0</v>
      </c>
      <c r="J370" s="55">
        <v>0</v>
      </c>
      <c r="K370" s="55">
        <v>0</v>
      </c>
      <c r="L370" s="55">
        <v>0</v>
      </c>
      <c r="M370" s="55">
        <v>0</v>
      </c>
      <c r="N370" s="55">
        <f>SUM(O370:Q370)</f>
        <v>0</v>
      </c>
      <c r="O370" s="55">
        <v>0</v>
      </c>
      <c r="P370" s="55">
        <v>0</v>
      </c>
      <c r="Q370" s="55">
        <v>0</v>
      </c>
      <c r="R370" s="55">
        <f>SUM(S370:U370)</f>
        <v>2</v>
      </c>
      <c r="S370" s="55">
        <v>2</v>
      </c>
      <c r="T370" s="55">
        <v>0</v>
      </c>
      <c r="U370" s="55">
        <v>0</v>
      </c>
      <c r="V370" s="55">
        <v>0</v>
      </c>
      <c r="W370" s="53">
        <v>0</v>
      </c>
      <c r="X370" s="53">
        <v>0</v>
      </c>
      <c r="Y370" s="55">
        <v>0</v>
      </c>
      <c r="Z370" s="55">
        <v>0</v>
      </c>
      <c r="AA370" s="53">
        <v>0</v>
      </c>
      <c r="AB370" s="53">
        <v>0</v>
      </c>
      <c r="AC370" s="55">
        <v>0</v>
      </c>
      <c r="AD370" s="55">
        <f t="shared" si="152"/>
        <v>0</v>
      </c>
      <c r="AE370" s="53">
        <v>0</v>
      </c>
      <c r="AF370" s="55">
        <v>0</v>
      </c>
      <c r="AG370" s="55">
        <v>0</v>
      </c>
      <c r="AH370" s="55">
        <f t="shared" si="153"/>
        <v>0</v>
      </c>
      <c r="AI370" s="55">
        <v>0</v>
      </c>
      <c r="AJ370" s="55">
        <v>0</v>
      </c>
      <c r="AK370" s="55">
        <v>0</v>
      </c>
      <c r="AL370" s="55">
        <f t="shared" si="147"/>
        <v>0</v>
      </c>
      <c r="AM370" s="55" t="s">
        <v>1912</v>
      </c>
      <c r="AN370" s="55">
        <v>0</v>
      </c>
      <c r="AO370" s="55">
        <v>0</v>
      </c>
      <c r="AP370" s="55">
        <f t="shared" si="144"/>
        <v>2</v>
      </c>
      <c r="AQ370" s="55">
        <f>IFERROR(VLOOKUP(A370,[1]SIIMPLES!$A$2:$F$418,6,FALSE),0)</f>
        <v>2</v>
      </c>
      <c r="AR370" s="55">
        <v>0</v>
      </c>
      <c r="AS370" s="55">
        <v>2</v>
      </c>
      <c r="AT370" s="55">
        <v>2</v>
      </c>
      <c r="AU370" s="55">
        <v>0</v>
      </c>
      <c r="AV370" s="55">
        <v>0</v>
      </c>
      <c r="AW370" s="55"/>
      <c r="AX370" s="55"/>
      <c r="AY370" s="56">
        <f t="shared" si="154"/>
        <v>0.6</v>
      </c>
      <c r="AZ370" s="55"/>
      <c r="BA370" s="56">
        <v>0</v>
      </c>
      <c r="BB370" s="41" t="str">
        <f t="shared" si="146"/>
        <v/>
      </c>
      <c r="BC370" s="13"/>
      <c r="BD370" s="36"/>
      <c r="BE370" s="7"/>
      <c r="BF370" s="7"/>
      <c r="BG370" s="7"/>
      <c r="BH370" s="7"/>
    </row>
    <row r="371" spans="1:60" s="21" customFormat="1" ht="12.75" customHeight="1" x14ac:dyDescent="0.2">
      <c r="A371" s="51" t="s">
        <v>1121</v>
      </c>
      <c r="B371" s="51"/>
      <c r="C371" s="66" t="s">
        <v>1803</v>
      </c>
      <c r="D371" s="52" t="s">
        <v>745</v>
      </c>
      <c r="E371" s="52" t="s">
        <v>780</v>
      </c>
      <c r="F371" s="53">
        <f>IFERROR(VLOOKUP(E371,Fornecedores!$A$2:$B$2700,2,FALSE),"")</f>
        <v>2</v>
      </c>
      <c r="G371" s="52" t="s">
        <v>1164</v>
      </c>
      <c r="H371" s="54"/>
      <c r="I371" s="55">
        <f>SUM(J371:M371)</f>
        <v>0</v>
      </c>
      <c r="J371" s="55">
        <v>0</v>
      </c>
      <c r="K371" s="55">
        <v>0</v>
      </c>
      <c r="L371" s="55">
        <v>0</v>
      </c>
      <c r="M371" s="55">
        <v>0</v>
      </c>
      <c r="N371" s="55">
        <f>SUM(O371:Q371)</f>
        <v>0</v>
      </c>
      <c r="O371" s="55">
        <v>0</v>
      </c>
      <c r="P371" s="55">
        <v>0</v>
      </c>
      <c r="Q371" s="55">
        <v>0</v>
      </c>
      <c r="R371" s="55">
        <f>SUM(S371:U371)</f>
        <v>0</v>
      </c>
      <c r="S371" s="55">
        <v>0</v>
      </c>
      <c r="T371" s="55">
        <v>0</v>
      </c>
      <c r="U371" s="55">
        <v>0</v>
      </c>
      <c r="V371" s="55">
        <v>4</v>
      </c>
      <c r="W371" s="53">
        <v>4</v>
      </c>
      <c r="X371" s="53">
        <v>0</v>
      </c>
      <c r="Y371" s="55">
        <v>0</v>
      </c>
      <c r="Z371" s="55">
        <v>0</v>
      </c>
      <c r="AA371" s="53">
        <v>0</v>
      </c>
      <c r="AB371" s="53">
        <v>0</v>
      </c>
      <c r="AC371" s="55">
        <v>0</v>
      </c>
      <c r="AD371" s="55">
        <f t="shared" si="152"/>
        <v>2</v>
      </c>
      <c r="AE371" s="53">
        <v>2</v>
      </c>
      <c r="AF371" s="55">
        <v>0</v>
      </c>
      <c r="AG371" s="55">
        <v>0</v>
      </c>
      <c r="AH371" s="55">
        <f t="shared" si="153"/>
        <v>2</v>
      </c>
      <c r="AI371" s="55">
        <v>2</v>
      </c>
      <c r="AJ371" s="55">
        <v>0</v>
      </c>
      <c r="AK371" s="55">
        <v>0</v>
      </c>
      <c r="AL371" s="55">
        <f t="shared" si="147"/>
        <v>4</v>
      </c>
      <c r="AM371" s="55">
        <v>4</v>
      </c>
      <c r="AN371" s="55">
        <v>0</v>
      </c>
      <c r="AO371" s="55">
        <v>0</v>
      </c>
      <c r="AP371" s="55">
        <f t="shared" si="144"/>
        <v>2</v>
      </c>
      <c r="AQ371" s="55">
        <f>IFERROR(VLOOKUP(A371,[1]SIIMPLES!$A$2:$F$418,6,FALSE),0)</f>
        <v>2</v>
      </c>
      <c r="AR371" s="55">
        <v>0</v>
      </c>
      <c r="AS371" s="55">
        <v>0</v>
      </c>
      <c r="AT371" s="55">
        <v>0</v>
      </c>
      <c r="AU371" s="55">
        <v>0</v>
      </c>
      <c r="AV371" s="55">
        <v>0</v>
      </c>
      <c r="AW371" s="55"/>
      <c r="AX371" s="55"/>
      <c r="AY371" s="56">
        <f t="shared" si="154"/>
        <v>1.4</v>
      </c>
      <c r="AZ371" s="55"/>
      <c r="BA371" s="56">
        <v>0.33333333333333331</v>
      </c>
      <c r="BB371" s="41">
        <f t="shared" si="146"/>
        <v>3.2</v>
      </c>
      <c r="BC371" s="13"/>
      <c r="BD371" s="36"/>
      <c r="BE371" s="7"/>
      <c r="BF371" s="7"/>
      <c r="BG371" s="17">
        <f>IFERROR(BC371/AY371,"0")</f>
        <v>0</v>
      </c>
      <c r="BH371" s="16">
        <f>IFERROR(IF(F371=1,IF(BC371&lt;AY371*3,AY371*3-BC371,0),IF(BC371&lt;AY371,AY371-BC371,0)),"")</f>
        <v>1.4</v>
      </c>
    </row>
    <row r="372" spans="1:60" s="21" customFormat="1" ht="12.75" customHeight="1" x14ac:dyDescent="0.2">
      <c r="A372" s="51" t="s">
        <v>845</v>
      </c>
      <c r="B372" s="51"/>
      <c r="C372" s="66" t="s">
        <v>1803</v>
      </c>
      <c r="D372" s="52" t="s">
        <v>740</v>
      </c>
      <c r="E372" s="52" t="s">
        <v>923</v>
      </c>
      <c r="F372" s="53">
        <f>IFERROR(VLOOKUP(E372,Fornecedores!$A$2:$B$2700,2,FALSE),"")</f>
        <v>12</v>
      </c>
      <c r="G372" s="52" t="s">
        <v>1068</v>
      </c>
      <c r="H372" s="57"/>
      <c r="I372" s="55">
        <f>SUM(J372:M372)</f>
        <v>2</v>
      </c>
      <c r="J372" s="55">
        <v>0</v>
      </c>
      <c r="K372" s="55">
        <v>2</v>
      </c>
      <c r="L372" s="55">
        <v>0</v>
      </c>
      <c r="M372" s="55">
        <v>0</v>
      </c>
      <c r="N372" s="55">
        <f>SUM(O372:Q372)</f>
        <v>2</v>
      </c>
      <c r="O372" s="55">
        <v>0</v>
      </c>
      <c r="P372" s="55">
        <v>2</v>
      </c>
      <c r="Q372" s="55">
        <v>0</v>
      </c>
      <c r="R372" s="55">
        <f>SUM(S372:U372)</f>
        <v>4</v>
      </c>
      <c r="S372" s="55">
        <v>0</v>
      </c>
      <c r="T372" s="55">
        <v>4</v>
      </c>
      <c r="U372" s="55">
        <v>0</v>
      </c>
      <c r="V372" s="55">
        <v>2</v>
      </c>
      <c r="W372" s="53">
        <v>0</v>
      </c>
      <c r="X372" s="53">
        <v>2</v>
      </c>
      <c r="Y372" s="55">
        <v>0</v>
      </c>
      <c r="Z372" s="55">
        <v>2</v>
      </c>
      <c r="AA372" s="53">
        <v>0</v>
      </c>
      <c r="AB372" s="53">
        <v>2</v>
      </c>
      <c r="AC372" s="55">
        <v>0</v>
      </c>
      <c r="AD372" s="55">
        <f t="shared" ref="AD372:AD378" si="155">SUM(AE372:AG372)</f>
        <v>0</v>
      </c>
      <c r="AE372" s="53">
        <v>0</v>
      </c>
      <c r="AF372" s="55">
        <v>0</v>
      </c>
      <c r="AG372" s="55">
        <v>0</v>
      </c>
      <c r="AH372" s="55">
        <f t="shared" ref="AH372:AH378" si="156">SUM(AI372:AK372)</f>
        <v>0</v>
      </c>
      <c r="AI372" s="55">
        <v>0</v>
      </c>
      <c r="AJ372" s="55">
        <v>0</v>
      </c>
      <c r="AK372" s="55">
        <v>0</v>
      </c>
      <c r="AL372" s="55">
        <f t="shared" ref="AL372:AL379" si="157">SUM(AM372:AO372)</f>
        <v>0</v>
      </c>
      <c r="AM372" s="55" t="s">
        <v>1912</v>
      </c>
      <c r="AN372" s="55">
        <v>0</v>
      </c>
      <c r="AO372" s="55">
        <v>0</v>
      </c>
      <c r="AP372" s="55">
        <f t="shared" ref="AP372:AP435" si="158">SUM(AQ372:AR372)</f>
        <v>0</v>
      </c>
      <c r="AQ372" s="55">
        <f>IFERROR(VLOOKUP(A372,[1]SIIMPLES!$A$2:$F$418,6,FALSE),0)</f>
        <v>0</v>
      </c>
      <c r="AR372" s="55">
        <v>0</v>
      </c>
      <c r="AS372" s="55">
        <v>5</v>
      </c>
      <c r="AT372" s="55">
        <v>1</v>
      </c>
      <c r="AU372" s="55">
        <v>4</v>
      </c>
      <c r="AV372" s="55">
        <v>0</v>
      </c>
      <c r="AW372" s="55"/>
      <c r="AX372" s="55"/>
      <c r="AY372" s="56">
        <f t="shared" ref="AY372:AY378" si="159">IFERROR(AVERAGE(I372,N372,R372,V372,Z372,AD372,AH372,AL372,AP372,AS372,AW372,AX372),"-")</f>
        <v>1.7</v>
      </c>
      <c r="AZ372" s="55"/>
      <c r="BA372" s="56">
        <v>1</v>
      </c>
      <c r="BB372" s="41">
        <f t="shared" si="146"/>
        <v>0.7</v>
      </c>
      <c r="BC372" s="13"/>
      <c r="BD372" s="35"/>
      <c r="BE372" s="13"/>
      <c r="BF372" s="16"/>
      <c r="BG372" s="17">
        <f>IFERROR(BC372/AY372,"0")</f>
        <v>0</v>
      </c>
      <c r="BH372" s="16">
        <f>IFERROR(IF(F372=1,IF(BC372&lt;AY372*3,AY372*3-BC372,0),IF(BC372&lt;AY372,AY372-BC372,0)),"")</f>
        <v>1.7</v>
      </c>
    </row>
    <row r="373" spans="1:60" s="21" customFormat="1" ht="12.75" customHeight="1" x14ac:dyDescent="0.2">
      <c r="A373" s="51" t="s">
        <v>820</v>
      </c>
      <c r="B373" s="51" t="s">
        <v>1077</v>
      </c>
      <c r="C373" s="66" t="s">
        <v>1803</v>
      </c>
      <c r="D373" s="65" t="s">
        <v>731</v>
      </c>
      <c r="E373" s="67" t="s">
        <v>727</v>
      </c>
      <c r="F373" s="53">
        <f>IFERROR(VLOOKUP(E373,Fornecedores!$A$2:$B$2700,2,FALSE),"")</f>
        <v>1</v>
      </c>
      <c r="G373" s="52" t="s">
        <v>1074</v>
      </c>
      <c r="H373" s="57" t="s">
        <v>1075</v>
      </c>
      <c r="I373" s="55">
        <f>SUM(J373:M373)</f>
        <v>1122</v>
      </c>
      <c r="J373" s="55">
        <v>0</v>
      </c>
      <c r="K373" s="55">
        <v>0</v>
      </c>
      <c r="L373" s="55">
        <v>1122</v>
      </c>
      <c r="M373" s="55">
        <v>0</v>
      </c>
      <c r="N373" s="55">
        <f>SUM(O373:Q373)</f>
        <v>40</v>
      </c>
      <c r="O373" s="55">
        <v>0</v>
      </c>
      <c r="P373" s="55">
        <v>0</v>
      </c>
      <c r="Q373" s="55">
        <v>40</v>
      </c>
      <c r="R373" s="55">
        <f>SUM(S373:U373)</f>
        <v>1</v>
      </c>
      <c r="S373" s="55">
        <v>1</v>
      </c>
      <c r="T373" s="55">
        <v>0</v>
      </c>
      <c r="U373" s="55">
        <v>0</v>
      </c>
      <c r="V373" s="55">
        <v>0</v>
      </c>
      <c r="W373" s="53">
        <v>0</v>
      </c>
      <c r="X373" s="53">
        <v>0</v>
      </c>
      <c r="Y373" s="55">
        <v>0</v>
      </c>
      <c r="Z373" s="55">
        <v>0</v>
      </c>
      <c r="AA373" s="53">
        <v>0</v>
      </c>
      <c r="AB373" s="53">
        <v>0</v>
      </c>
      <c r="AC373" s="55">
        <v>0</v>
      </c>
      <c r="AD373" s="55">
        <f t="shared" si="155"/>
        <v>2</v>
      </c>
      <c r="AE373" s="53">
        <v>2</v>
      </c>
      <c r="AF373" s="55">
        <v>0</v>
      </c>
      <c r="AG373" s="55">
        <v>0</v>
      </c>
      <c r="AH373" s="55">
        <f t="shared" si="156"/>
        <v>0</v>
      </c>
      <c r="AI373" s="55">
        <v>0</v>
      </c>
      <c r="AJ373" s="55">
        <v>0</v>
      </c>
      <c r="AK373" s="55">
        <v>0</v>
      </c>
      <c r="AL373" s="55">
        <f t="shared" si="157"/>
        <v>3</v>
      </c>
      <c r="AM373" s="55">
        <v>3</v>
      </c>
      <c r="AN373" s="55">
        <v>0</v>
      </c>
      <c r="AO373" s="55">
        <v>0</v>
      </c>
      <c r="AP373" s="55">
        <f t="shared" si="158"/>
        <v>2</v>
      </c>
      <c r="AQ373" s="55">
        <f>IFERROR(VLOOKUP(A373,[1]SIIMPLES!$A$2:$F$418,6,FALSE),0)</f>
        <v>2</v>
      </c>
      <c r="AR373" s="55">
        <v>0</v>
      </c>
      <c r="AS373" s="55">
        <v>0</v>
      </c>
      <c r="AT373" s="55">
        <v>0</v>
      </c>
      <c r="AU373" s="55">
        <v>0</v>
      </c>
      <c r="AV373" s="55">
        <v>0</v>
      </c>
      <c r="AW373" s="55"/>
      <c r="AX373" s="55"/>
      <c r="AY373" s="56">
        <f t="shared" si="159"/>
        <v>117</v>
      </c>
      <c r="AZ373" s="55"/>
      <c r="BA373" s="56">
        <v>106.5</v>
      </c>
      <c r="BB373" s="41">
        <f t="shared" si="146"/>
        <v>9.8591549295774739E-2</v>
      </c>
      <c r="BC373" s="13"/>
      <c r="BD373" s="35"/>
      <c r="BE373" s="13"/>
      <c r="BF373" s="16"/>
      <c r="BG373" s="17">
        <f>IFERROR(BC373/AY373,"0")</f>
        <v>0</v>
      </c>
      <c r="BH373" s="16">
        <f>IFERROR(IF(F373=1,IF(BC373&lt;AY373*3,AY373*3-BC373,0),IF(BC373&lt;AY373,AY373-BC373,0)),"")</f>
        <v>351</v>
      </c>
    </row>
    <row r="374" spans="1:60" s="21" customFormat="1" ht="12.75" customHeight="1" x14ac:dyDescent="0.2">
      <c r="A374" s="68" t="s">
        <v>1861</v>
      </c>
      <c r="B374" s="51"/>
      <c r="C374" s="66" t="s">
        <v>1851</v>
      </c>
      <c r="D374" s="52" t="s">
        <v>1909</v>
      </c>
      <c r="E374" s="52" t="str">
        <f>VLOOKUP(A374,[2]CMV!$A$1:$E$2043,5,FALSE)</f>
        <v>KRATER</v>
      </c>
      <c r="F374" s="53"/>
      <c r="G374" s="52" t="str">
        <f>VLOOKUP(A374,[2]CMV!$A$1:$F$2043,6,FALSE)</f>
        <v>JUNTA MOTOR COMPLETO 150</v>
      </c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3">
        <v>0</v>
      </c>
      <c r="Y374" s="57"/>
      <c r="Z374" s="55">
        <v>3</v>
      </c>
      <c r="AA374" s="57"/>
      <c r="AB374" s="57"/>
      <c r="AC374" s="55">
        <v>3</v>
      </c>
      <c r="AD374" s="55">
        <f t="shared" si="155"/>
        <v>0</v>
      </c>
      <c r="AE374" s="53">
        <v>0</v>
      </c>
      <c r="AF374" s="55">
        <v>0</v>
      </c>
      <c r="AG374" s="55">
        <v>0</v>
      </c>
      <c r="AH374" s="55">
        <f t="shared" si="156"/>
        <v>0</v>
      </c>
      <c r="AI374" s="55">
        <v>0</v>
      </c>
      <c r="AJ374" s="55">
        <v>0</v>
      </c>
      <c r="AK374" s="55">
        <v>0</v>
      </c>
      <c r="AL374" s="55">
        <f t="shared" si="157"/>
        <v>0</v>
      </c>
      <c r="AM374" s="55" t="s">
        <v>1912</v>
      </c>
      <c r="AN374" s="55">
        <v>0</v>
      </c>
      <c r="AO374" s="55">
        <v>0</v>
      </c>
      <c r="AP374" s="55">
        <f t="shared" si="158"/>
        <v>2</v>
      </c>
      <c r="AQ374" s="55">
        <f>IFERROR(VLOOKUP(A374,[1]SIIMPLES!$A$2:$F$418,6,FALSE),0)</f>
        <v>2</v>
      </c>
      <c r="AR374" s="55">
        <v>0</v>
      </c>
      <c r="AS374" s="55">
        <v>1</v>
      </c>
      <c r="AT374" s="55">
        <v>0</v>
      </c>
      <c r="AU374" s="55">
        <v>0</v>
      </c>
      <c r="AV374" s="55">
        <v>1</v>
      </c>
      <c r="AW374" s="57"/>
      <c r="AX374" s="57"/>
      <c r="AY374" s="56">
        <f t="shared" si="159"/>
        <v>1</v>
      </c>
      <c r="AZ374" s="57"/>
      <c r="BA374" s="57"/>
      <c r="BB374" s="41" t="str">
        <f t="shared" si="146"/>
        <v/>
      </c>
      <c r="BC374" s="13"/>
      <c r="BD374" s="36"/>
      <c r="BE374" s="7"/>
      <c r="BF374" s="7"/>
      <c r="BG374" s="7"/>
      <c r="BH374" s="7"/>
    </row>
    <row r="375" spans="1:60" s="21" customFormat="1" ht="12.75" customHeight="1" x14ac:dyDescent="0.2">
      <c r="A375" s="68" t="s">
        <v>1931</v>
      </c>
      <c r="B375" s="51"/>
      <c r="C375" s="66" t="str">
        <f>VLOOKUP(A375,[2]CMV!$A$1:$B$2115,2,FALSE)</f>
        <v>MOTO PEÇAS</v>
      </c>
      <c r="D375" s="52" t="str">
        <f>VLOOKUP(A375,[2]CMV!$A$1:$C$2115,3,FALSE)</f>
        <v>PASTILHA DE FREIO MOTO</v>
      </c>
      <c r="E375" s="52" t="str">
        <f>VLOOKUP(A375,[2]CMV!$A$1:$E$2115,5,FALSE)</f>
        <v>PANDÃO</v>
      </c>
      <c r="F375" s="53"/>
      <c r="G375" s="67" t="str">
        <f>VLOOKUP(A375,[2]CMV!$A$1:$F$2115,6,FALSE)</f>
        <v>PASTILHA FREIO SEMI-METALICA CRYPTON 115 ED 10/16-FACTOR</v>
      </c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5">
        <f t="shared" si="155"/>
        <v>7</v>
      </c>
      <c r="AE375" s="57"/>
      <c r="AF375" s="57"/>
      <c r="AG375" s="55">
        <v>7</v>
      </c>
      <c r="AH375" s="55">
        <f t="shared" si="156"/>
        <v>0</v>
      </c>
      <c r="AI375" s="55">
        <v>0</v>
      </c>
      <c r="AJ375" s="55">
        <v>0</v>
      </c>
      <c r="AK375" s="55">
        <v>0</v>
      </c>
      <c r="AL375" s="55">
        <f t="shared" si="157"/>
        <v>0</v>
      </c>
      <c r="AM375" s="55" t="s">
        <v>1912</v>
      </c>
      <c r="AN375" s="55">
        <v>0</v>
      </c>
      <c r="AO375" s="55">
        <v>0</v>
      </c>
      <c r="AP375" s="55">
        <f t="shared" si="158"/>
        <v>2</v>
      </c>
      <c r="AQ375" s="55">
        <f>IFERROR(VLOOKUP(A375,[1]SIIMPLES!$A$2:$F$418,6,FALSE),0)</f>
        <v>2</v>
      </c>
      <c r="AR375" s="55">
        <v>0</v>
      </c>
      <c r="AS375" s="55">
        <v>0</v>
      </c>
      <c r="AT375" s="55">
        <v>0</v>
      </c>
      <c r="AU375" s="55">
        <v>0</v>
      </c>
      <c r="AV375" s="55">
        <v>0</v>
      </c>
      <c r="AW375" s="57"/>
      <c r="AX375" s="57"/>
      <c r="AY375" s="56">
        <f t="shared" si="159"/>
        <v>1.8</v>
      </c>
      <c r="AZ375" s="57"/>
      <c r="BA375" s="57"/>
      <c r="BB375" s="41" t="str">
        <f t="shared" si="146"/>
        <v/>
      </c>
      <c r="BC375" s="13"/>
      <c r="BD375" s="36"/>
      <c r="BE375" s="7"/>
      <c r="BF375" s="7"/>
      <c r="BG375" s="17">
        <f t="shared" ref="BG375:BG391" si="160">IFERROR(BC375/AY375,"0")</f>
        <v>0</v>
      </c>
      <c r="BH375" s="7"/>
    </row>
    <row r="376" spans="1:60" s="21" customFormat="1" ht="12.75" customHeight="1" x14ac:dyDescent="0.2">
      <c r="A376" s="68" t="s">
        <v>1413</v>
      </c>
      <c r="B376" s="51"/>
      <c r="C376" s="66" t="s">
        <v>1851</v>
      </c>
      <c r="D376" s="52" t="s">
        <v>1444</v>
      </c>
      <c r="E376" s="52" t="s">
        <v>741</v>
      </c>
      <c r="F376" s="53">
        <f>IFERROR(VLOOKUP(E376,Fornecedores!$A$2:$B$2700,2,FALSE),"")</f>
        <v>7</v>
      </c>
      <c r="G376" s="52" t="s">
        <v>1428</v>
      </c>
      <c r="H376" s="57"/>
      <c r="I376" s="55">
        <f>SUM(J376:M376)</f>
        <v>0</v>
      </c>
      <c r="J376" s="55">
        <v>0</v>
      </c>
      <c r="K376" s="55">
        <v>0</v>
      </c>
      <c r="L376" s="55">
        <v>0</v>
      </c>
      <c r="M376" s="55">
        <v>0</v>
      </c>
      <c r="N376" s="55">
        <f>SUM(O376:Q376)</f>
        <v>0</v>
      </c>
      <c r="O376" s="55">
        <v>0</v>
      </c>
      <c r="P376" s="55">
        <v>0</v>
      </c>
      <c r="Q376" s="55">
        <v>0</v>
      </c>
      <c r="R376" s="55">
        <f>SUM(S376:U376)</f>
        <v>13</v>
      </c>
      <c r="S376" s="55">
        <v>0</v>
      </c>
      <c r="T376" s="55">
        <v>0</v>
      </c>
      <c r="U376" s="55">
        <v>13</v>
      </c>
      <c r="V376" s="55">
        <v>13</v>
      </c>
      <c r="W376" s="53">
        <v>0</v>
      </c>
      <c r="X376" s="53">
        <v>0</v>
      </c>
      <c r="Y376" s="55">
        <v>13</v>
      </c>
      <c r="Z376" s="55">
        <v>5</v>
      </c>
      <c r="AA376" s="53">
        <v>0</v>
      </c>
      <c r="AB376" s="53">
        <v>0</v>
      </c>
      <c r="AC376" s="55">
        <v>5</v>
      </c>
      <c r="AD376" s="55">
        <f t="shared" si="155"/>
        <v>24</v>
      </c>
      <c r="AE376" s="53">
        <v>0</v>
      </c>
      <c r="AF376" s="55">
        <v>0</v>
      </c>
      <c r="AG376" s="55">
        <v>24</v>
      </c>
      <c r="AH376" s="55">
        <f t="shared" si="156"/>
        <v>52</v>
      </c>
      <c r="AI376" s="55">
        <v>0</v>
      </c>
      <c r="AJ376" s="55">
        <v>0</v>
      </c>
      <c r="AK376" s="55">
        <v>52</v>
      </c>
      <c r="AL376" s="55">
        <f t="shared" si="157"/>
        <v>4</v>
      </c>
      <c r="AM376" s="55" t="s">
        <v>1912</v>
      </c>
      <c r="AN376" s="55">
        <v>0</v>
      </c>
      <c r="AO376" s="55">
        <v>4</v>
      </c>
      <c r="AP376" s="55">
        <f t="shared" si="158"/>
        <v>2</v>
      </c>
      <c r="AQ376" s="55">
        <f>IFERROR(VLOOKUP(A376,[1]SIIMPLES!$A$2:$F$418,6,FALSE),0)</f>
        <v>2</v>
      </c>
      <c r="AR376" s="55">
        <v>0</v>
      </c>
      <c r="AS376" s="55">
        <v>0</v>
      </c>
      <c r="AT376" s="55">
        <v>0</v>
      </c>
      <c r="AU376" s="55">
        <v>0</v>
      </c>
      <c r="AV376" s="55">
        <v>0</v>
      </c>
      <c r="AW376" s="57"/>
      <c r="AX376" s="55"/>
      <c r="AY376" s="56">
        <f t="shared" si="159"/>
        <v>11.3</v>
      </c>
      <c r="AZ376" s="55"/>
      <c r="BA376" s="56">
        <v>20</v>
      </c>
      <c r="BB376" s="41">
        <f t="shared" si="146"/>
        <v>-0.43499999999999994</v>
      </c>
      <c r="BC376" s="7"/>
      <c r="BD376" s="35"/>
      <c r="BE376" s="13"/>
      <c r="BF376" s="16"/>
      <c r="BG376" s="17">
        <f t="shared" si="160"/>
        <v>0</v>
      </c>
      <c r="BH376" s="16">
        <f t="shared" ref="BH376:BH382" si="161">IFERROR(IF(F376=1,IF(BC376&lt;AY376*3,AY376*3-BC376,0),IF(BC376&lt;AY376,AY376-BC376,0)),"")</f>
        <v>11.3</v>
      </c>
    </row>
    <row r="377" spans="1:60" s="21" customFormat="1" ht="12.75" customHeight="1" x14ac:dyDescent="0.2">
      <c r="A377" s="51" t="s">
        <v>1451</v>
      </c>
      <c r="B377" s="51"/>
      <c r="C377" s="66" t="s">
        <v>1851</v>
      </c>
      <c r="D377" s="52" t="s">
        <v>1444</v>
      </c>
      <c r="E377" s="52" t="s">
        <v>741</v>
      </c>
      <c r="F377" s="53">
        <f>IFERROR(VLOOKUP(E377,Fornecedores!$A$2:$B$2700,2,FALSE),"")</f>
        <v>7</v>
      </c>
      <c r="G377" s="52" t="s">
        <v>1464</v>
      </c>
      <c r="H377" s="57"/>
      <c r="I377" s="55">
        <f>SUM(J377:M377)</f>
        <v>0</v>
      </c>
      <c r="J377" s="55">
        <v>0</v>
      </c>
      <c r="K377" s="55">
        <v>0</v>
      </c>
      <c r="L377" s="55">
        <v>0</v>
      </c>
      <c r="M377" s="55">
        <v>0</v>
      </c>
      <c r="N377" s="55">
        <f>SUM(O377:Q377)</f>
        <v>0</v>
      </c>
      <c r="O377" s="55">
        <v>0</v>
      </c>
      <c r="P377" s="55">
        <v>0</v>
      </c>
      <c r="Q377" s="55">
        <v>0</v>
      </c>
      <c r="R377" s="55">
        <f>SUM(S377:U377)</f>
        <v>8</v>
      </c>
      <c r="S377" s="55">
        <v>0</v>
      </c>
      <c r="T377" s="55">
        <v>0</v>
      </c>
      <c r="U377" s="55">
        <v>8</v>
      </c>
      <c r="V377" s="55">
        <v>2</v>
      </c>
      <c r="W377" s="53">
        <v>0</v>
      </c>
      <c r="X377" s="53">
        <v>0</v>
      </c>
      <c r="Y377" s="55">
        <v>2</v>
      </c>
      <c r="Z377" s="55">
        <v>3</v>
      </c>
      <c r="AA377" s="53">
        <v>0</v>
      </c>
      <c r="AB377" s="53">
        <v>0</v>
      </c>
      <c r="AC377" s="55">
        <v>3</v>
      </c>
      <c r="AD377" s="55">
        <f t="shared" si="155"/>
        <v>2</v>
      </c>
      <c r="AE377" s="53">
        <v>0</v>
      </c>
      <c r="AF377" s="55">
        <v>0</v>
      </c>
      <c r="AG377" s="55">
        <v>2</v>
      </c>
      <c r="AH377" s="55">
        <f t="shared" si="156"/>
        <v>0</v>
      </c>
      <c r="AI377" s="55">
        <v>0</v>
      </c>
      <c r="AJ377" s="55">
        <v>0</v>
      </c>
      <c r="AK377" s="55">
        <v>0</v>
      </c>
      <c r="AL377" s="55">
        <f t="shared" si="157"/>
        <v>2</v>
      </c>
      <c r="AM377" s="55" t="s">
        <v>1912</v>
      </c>
      <c r="AN377" s="55">
        <v>0</v>
      </c>
      <c r="AO377" s="55">
        <v>2</v>
      </c>
      <c r="AP377" s="55">
        <f t="shared" si="158"/>
        <v>2</v>
      </c>
      <c r="AQ377" s="55">
        <f>IFERROR(VLOOKUP(A377,[1]SIIMPLES!$A$2:$F$418,6,FALSE),0)</f>
        <v>2</v>
      </c>
      <c r="AR377" s="55">
        <v>0</v>
      </c>
      <c r="AS377" s="55">
        <v>0</v>
      </c>
      <c r="AT377" s="55">
        <v>0</v>
      </c>
      <c r="AU377" s="55">
        <v>0</v>
      </c>
      <c r="AV377" s="55">
        <v>0</v>
      </c>
      <c r="AW377" s="57"/>
      <c r="AX377" s="55"/>
      <c r="AY377" s="56">
        <f t="shared" si="159"/>
        <v>1.9</v>
      </c>
      <c r="AZ377" s="55"/>
      <c r="BA377" s="56">
        <v>3</v>
      </c>
      <c r="BB377" s="41">
        <f t="shared" si="146"/>
        <v>-0.3666666666666667</v>
      </c>
      <c r="BC377" s="13"/>
      <c r="BD377" s="35"/>
      <c r="BE377" s="13"/>
      <c r="BF377" s="16">
        <f>SUM(BC377:BE377)</f>
        <v>0</v>
      </c>
      <c r="BG377" s="17">
        <f t="shared" si="160"/>
        <v>0</v>
      </c>
      <c r="BH377" s="16">
        <f t="shared" si="161"/>
        <v>1.9</v>
      </c>
    </row>
    <row r="378" spans="1:60" s="21" customFormat="1" ht="12.75" customHeight="1" x14ac:dyDescent="0.2">
      <c r="A378" s="51" t="s">
        <v>1798</v>
      </c>
      <c r="B378" s="51"/>
      <c r="C378" s="66" t="s">
        <v>1851</v>
      </c>
      <c r="D378" s="52" t="s">
        <v>1902</v>
      </c>
      <c r="E378" s="52" t="str">
        <f>VLOOKUP(A378,[3]CMV!$A$1:$E$1988,5,FALSE)</f>
        <v>POLO</v>
      </c>
      <c r="F378" s="53"/>
      <c r="G378" s="52" t="str">
        <f>VLOOKUP(A378,[2]CMV!$A$1:$F$2043,6,FALSE)</f>
        <v>KIT TRANSMISSÃO YAHAMA YBR 125</v>
      </c>
      <c r="H378" s="57"/>
      <c r="I378" s="55">
        <f>SUM(J378:M378)</f>
        <v>0</v>
      </c>
      <c r="J378" s="55">
        <v>0</v>
      </c>
      <c r="K378" s="55">
        <v>0</v>
      </c>
      <c r="L378" s="55">
        <v>0</v>
      </c>
      <c r="M378" s="55">
        <v>0</v>
      </c>
      <c r="N378" s="55">
        <f>SUM(O378:Q378)</f>
        <v>0</v>
      </c>
      <c r="O378" s="57"/>
      <c r="P378" s="57"/>
      <c r="Q378" s="57"/>
      <c r="R378" s="55">
        <f>SUM(S378:U378)</f>
        <v>0</v>
      </c>
      <c r="S378" s="57"/>
      <c r="T378" s="57"/>
      <c r="U378" s="57"/>
      <c r="V378" s="55">
        <v>2</v>
      </c>
      <c r="W378" s="57"/>
      <c r="X378" s="53">
        <v>0</v>
      </c>
      <c r="Y378" s="55">
        <v>2</v>
      </c>
      <c r="Z378" s="55">
        <v>0</v>
      </c>
      <c r="AA378" s="53">
        <v>0</v>
      </c>
      <c r="AB378" s="53">
        <v>0</v>
      </c>
      <c r="AC378" s="55">
        <v>0</v>
      </c>
      <c r="AD378" s="55">
        <f t="shared" si="155"/>
        <v>0</v>
      </c>
      <c r="AE378" s="53">
        <v>0</v>
      </c>
      <c r="AF378" s="55">
        <v>0</v>
      </c>
      <c r="AG378" s="55">
        <v>0</v>
      </c>
      <c r="AH378" s="55">
        <f t="shared" si="156"/>
        <v>16</v>
      </c>
      <c r="AI378" s="55">
        <v>0</v>
      </c>
      <c r="AJ378" s="55">
        <v>0</v>
      </c>
      <c r="AK378" s="55">
        <v>16</v>
      </c>
      <c r="AL378" s="55">
        <f t="shared" si="157"/>
        <v>1</v>
      </c>
      <c r="AM378" s="55" t="s">
        <v>1912</v>
      </c>
      <c r="AN378" s="55">
        <v>0</v>
      </c>
      <c r="AO378" s="55">
        <v>1</v>
      </c>
      <c r="AP378" s="55">
        <f t="shared" si="158"/>
        <v>2</v>
      </c>
      <c r="AQ378" s="55">
        <f>IFERROR(VLOOKUP(A378,[1]SIIMPLES!$A$2:$F$418,6,FALSE),0)</f>
        <v>2</v>
      </c>
      <c r="AR378" s="55">
        <v>0</v>
      </c>
      <c r="AS378" s="55">
        <v>0</v>
      </c>
      <c r="AT378" s="55">
        <v>0</v>
      </c>
      <c r="AU378" s="55">
        <v>0</v>
      </c>
      <c r="AV378" s="55">
        <v>0</v>
      </c>
      <c r="AW378" s="57"/>
      <c r="AX378" s="57"/>
      <c r="AY378" s="56">
        <f t="shared" si="159"/>
        <v>2.1</v>
      </c>
      <c r="AZ378" s="57"/>
      <c r="BA378" s="56" t="s">
        <v>1912</v>
      </c>
      <c r="BB378" s="41" t="str">
        <f t="shared" si="146"/>
        <v/>
      </c>
      <c r="BC378" s="13"/>
      <c r="BD378" s="35"/>
      <c r="BE378" s="7"/>
      <c r="BF378" s="16"/>
      <c r="BG378" s="17">
        <f t="shared" si="160"/>
        <v>0</v>
      </c>
      <c r="BH378" s="16">
        <f t="shared" si="161"/>
        <v>2.1</v>
      </c>
    </row>
    <row r="379" spans="1:60" s="21" customFormat="1" ht="12.75" customHeight="1" x14ac:dyDescent="0.2">
      <c r="A379" s="28" t="s">
        <v>2095</v>
      </c>
      <c r="B379" s="28"/>
      <c r="C379" s="28" t="s">
        <v>1851</v>
      </c>
      <c r="D379" s="83" t="s">
        <v>918</v>
      </c>
      <c r="E379" s="83" t="s">
        <v>919</v>
      </c>
      <c r="F379" s="84"/>
      <c r="G379" s="85" t="s">
        <v>2120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55">
        <f t="shared" si="157"/>
        <v>1</v>
      </c>
      <c r="AM379" s="7"/>
      <c r="AN379" s="7"/>
      <c r="AO379" s="55">
        <v>1</v>
      </c>
      <c r="AP379" s="55">
        <f t="shared" si="158"/>
        <v>2</v>
      </c>
      <c r="AQ379" s="55">
        <f>IFERROR(VLOOKUP(A379,[1]SIIMPLES!$A$2:$F$418,6,FALSE),0)</f>
        <v>2</v>
      </c>
      <c r="AR379" s="55">
        <v>0</v>
      </c>
      <c r="AS379" s="55">
        <v>0</v>
      </c>
      <c r="AT379" s="55">
        <v>0</v>
      </c>
      <c r="AU379" s="55">
        <v>0</v>
      </c>
      <c r="AV379" s="55">
        <v>0</v>
      </c>
      <c r="AW379" s="7"/>
      <c r="AX379" s="7"/>
      <c r="AY379" s="7"/>
      <c r="AZ379" s="7"/>
      <c r="BA379" s="7"/>
      <c r="BB379" s="41" t="str">
        <f t="shared" si="146"/>
        <v/>
      </c>
      <c r="BC379" s="13"/>
      <c r="BD379" s="35"/>
      <c r="BE379" s="7"/>
      <c r="BF379" s="16"/>
      <c r="BG379" s="17" t="str">
        <f t="shared" si="160"/>
        <v>0</v>
      </c>
      <c r="BH379" s="16">
        <f t="shared" si="161"/>
        <v>0</v>
      </c>
    </row>
    <row r="380" spans="1:60" s="21" customFormat="1" ht="12.75" customHeight="1" x14ac:dyDescent="0.2">
      <c r="A380" s="28">
        <v>728080</v>
      </c>
      <c r="B380" s="28"/>
      <c r="C380" s="28" t="s">
        <v>1803</v>
      </c>
      <c r="D380" s="83" t="s">
        <v>1761</v>
      </c>
      <c r="E380" s="83" t="s">
        <v>2180</v>
      </c>
      <c r="F380" s="84"/>
      <c r="G380" s="85" t="s">
        <v>2181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101"/>
      <c r="AP380" s="55">
        <f t="shared" si="158"/>
        <v>2</v>
      </c>
      <c r="AQ380" s="55">
        <f>IFERROR(VLOOKUP(A380,[1]SIIMPLES!$A$2:$F$418,6,FALSE),0)</f>
        <v>2</v>
      </c>
      <c r="AR380" s="55">
        <v>0</v>
      </c>
      <c r="AS380" s="55">
        <v>0</v>
      </c>
      <c r="AT380" s="55">
        <v>0</v>
      </c>
      <c r="AU380" s="55">
        <v>0</v>
      </c>
      <c r="AV380" s="55">
        <v>0</v>
      </c>
      <c r="AW380" s="7"/>
      <c r="AX380" s="7"/>
      <c r="AY380" s="7"/>
      <c r="AZ380" s="7"/>
      <c r="BA380" s="7"/>
      <c r="BB380" s="41" t="str">
        <f t="shared" si="146"/>
        <v/>
      </c>
      <c r="BC380" s="13"/>
      <c r="BD380" s="35"/>
      <c r="BE380" s="7"/>
      <c r="BF380" s="16"/>
      <c r="BG380" s="17" t="str">
        <f t="shared" si="160"/>
        <v>0</v>
      </c>
      <c r="BH380" s="16">
        <f t="shared" si="161"/>
        <v>0</v>
      </c>
    </row>
    <row r="381" spans="1:60" s="21" customFormat="1" ht="12.75" customHeight="1" x14ac:dyDescent="0.2">
      <c r="A381" s="28" t="s">
        <v>2138</v>
      </c>
      <c r="B381" s="28"/>
      <c r="C381" s="28" t="s">
        <v>1851</v>
      </c>
      <c r="D381" s="83" t="s">
        <v>2183</v>
      </c>
      <c r="E381" s="83" t="s">
        <v>2025</v>
      </c>
      <c r="F381" s="84"/>
      <c r="G381" s="85" t="s">
        <v>2184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101"/>
      <c r="AP381" s="55">
        <f t="shared" si="158"/>
        <v>2</v>
      </c>
      <c r="AQ381" s="55">
        <f>IFERROR(VLOOKUP(A381,[1]SIIMPLES!$A$2:$F$418,6,FALSE),0)</f>
        <v>2</v>
      </c>
      <c r="AR381" s="55">
        <v>0</v>
      </c>
      <c r="AS381" s="55">
        <v>2</v>
      </c>
      <c r="AT381" s="55">
        <v>0</v>
      </c>
      <c r="AU381" s="55">
        <v>0</v>
      </c>
      <c r="AV381" s="55">
        <v>2</v>
      </c>
      <c r="AW381" s="7"/>
      <c r="AX381" s="7"/>
      <c r="AY381" s="7"/>
      <c r="AZ381" s="7"/>
      <c r="BA381" s="7"/>
      <c r="BB381" s="41" t="str">
        <f t="shared" si="146"/>
        <v/>
      </c>
      <c r="BC381" s="13"/>
      <c r="BD381" s="35"/>
      <c r="BE381" s="13"/>
      <c r="BF381" s="16">
        <f>SUM(BC381:BE381)</f>
        <v>0</v>
      </c>
      <c r="BG381" s="17" t="str">
        <f t="shared" si="160"/>
        <v>0</v>
      </c>
      <c r="BH381" s="16">
        <f t="shared" si="161"/>
        <v>0</v>
      </c>
    </row>
    <row r="382" spans="1:60" s="21" customFormat="1" ht="12.75" customHeight="1" x14ac:dyDescent="0.2">
      <c r="A382" s="28" t="s">
        <v>2151</v>
      </c>
      <c r="B382" s="28"/>
      <c r="C382" s="28" t="s">
        <v>1851</v>
      </c>
      <c r="D382" s="83" t="s">
        <v>2194</v>
      </c>
      <c r="E382" s="83" t="s">
        <v>2025</v>
      </c>
      <c r="F382" s="84"/>
      <c r="G382" s="85" t="s">
        <v>2195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101"/>
      <c r="AP382" s="55">
        <f t="shared" si="158"/>
        <v>2</v>
      </c>
      <c r="AQ382" s="55">
        <f>IFERROR(VLOOKUP(A382,[1]SIIMPLES!$A$2:$F$418,6,FALSE),0)</f>
        <v>2</v>
      </c>
      <c r="AR382" s="55">
        <v>0</v>
      </c>
      <c r="AS382" s="55">
        <v>0</v>
      </c>
      <c r="AT382" s="55">
        <v>0</v>
      </c>
      <c r="AU382" s="55">
        <v>0</v>
      </c>
      <c r="AV382" s="55">
        <v>0</v>
      </c>
      <c r="AW382" s="7"/>
      <c r="AX382" s="7"/>
      <c r="AY382" s="7"/>
      <c r="AZ382" s="7"/>
      <c r="BA382" s="7"/>
      <c r="BB382" s="41" t="str">
        <f t="shared" si="146"/>
        <v/>
      </c>
      <c r="BC382" s="13"/>
      <c r="BD382" s="35"/>
      <c r="BE382" s="13"/>
      <c r="BF382" s="16"/>
      <c r="BG382" s="17" t="str">
        <f t="shared" si="160"/>
        <v>0</v>
      </c>
      <c r="BH382" s="16">
        <f t="shared" si="161"/>
        <v>0</v>
      </c>
    </row>
    <row r="383" spans="1:60" s="21" customFormat="1" ht="12.75" customHeight="1" x14ac:dyDescent="0.2">
      <c r="A383" s="28" t="s">
        <v>2154</v>
      </c>
      <c r="B383" s="28"/>
      <c r="C383" s="28" t="s">
        <v>1803</v>
      </c>
      <c r="D383" s="83" t="s">
        <v>2199</v>
      </c>
      <c r="E383" s="83" t="s">
        <v>741</v>
      </c>
      <c r="F383" s="84"/>
      <c r="G383" s="85" t="s">
        <v>2200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101"/>
      <c r="AP383" s="55">
        <f t="shared" si="158"/>
        <v>2</v>
      </c>
      <c r="AQ383" s="55">
        <f>IFERROR(VLOOKUP(A383,[1]SIIMPLES!$A$2:$F$418,6,FALSE),0)</f>
        <v>2</v>
      </c>
      <c r="AR383" s="55">
        <v>0</v>
      </c>
      <c r="AS383" s="55">
        <v>0</v>
      </c>
      <c r="AT383" s="55">
        <v>0</v>
      </c>
      <c r="AU383" s="55">
        <v>0</v>
      </c>
      <c r="AV383" s="55">
        <v>0</v>
      </c>
      <c r="AW383" s="7"/>
      <c r="AX383" s="7"/>
      <c r="AY383" s="7"/>
      <c r="AZ383" s="7"/>
      <c r="BA383" s="7"/>
      <c r="BB383" s="41" t="str">
        <f t="shared" si="146"/>
        <v/>
      </c>
      <c r="BC383" s="13"/>
      <c r="BD383" s="35"/>
      <c r="BE383" s="7"/>
      <c r="BF383" s="16"/>
      <c r="BG383" s="17" t="str">
        <f t="shared" si="160"/>
        <v>0</v>
      </c>
      <c r="BH383" s="16">
        <f>ROUND(IFERROR(IF(F383=1,IF(BC383&lt;AY383*3,AY383*3-BC383,0),IF(BC383&lt;AY383,AY383*0.6-BC383,0)),""),0)</f>
        <v>0</v>
      </c>
    </row>
    <row r="384" spans="1:60" s="21" customFormat="1" ht="12.75" customHeight="1" x14ac:dyDescent="0.2">
      <c r="A384" s="28" t="s">
        <v>2156</v>
      </c>
      <c r="B384" s="28"/>
      <c r="C384" s="28" t="s">
        <v>1851</v>
      </c>
      <c r="D384" s="83" t="s">
        <v>2108</v>
      </c>
      <c r="E384" s="83" t="s">
        <v>2025</v>
      </c>
      <c r="F384" s="84"/>
      <c r="G384" s="85" t="s">
        <v>2202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101"/>
      <c r="AP384" s="55">
        <f t="shared" si="158"/>
        <v>2</v>
      </c>
      <c r="AQ384" s="55">
        <f>IFERROR(VLOOKUP(A384,[1]SIIMPLES!$A$2:$F$418,6,FALSE),0)</f>
        <v>2</v>
      </c>
      <c r="AR384" s="55">
        <v>0</v>
      </c>
      <c r="AS384" s="55">
        <v>0</v>
      </c>
      <c r="AT384" s="55">
        <v>0</v>
      </c>
      <c r="AU384" s="55">
        <v>0</v>
      </c>
      <c r="AV384" s="55">
        <v>0</v>
      </c>
      <c r="AW384" s="7"/>
      <c r="AX384" s="7"/>
      <c r="AY384" s="7"/>
      <c r="AZ384" s="7"/>
      <c r="BA384" s="7"/>
      <c r="BB384" s="41" t="str">
        <f t="shared" si="146"/>
        <v/>
      </c>
      <c r="BC384" s="13"/>
      <c r="BD384" s="35"/>
      <c r="BE384" s="13"/>
      <c r="BF384" s="16"/>
      <c r="BG384" s="17" t="str">
        <f t="shared" si="160"/>
        <v>0</v>
      </c>
      <c r="BH384" s="16">
        <f>IFERROR(IF(F384=1,IF(BC384&lt;AY384*3,AY384*3-BC384,0),IF(BC384&lt;AY384,AY384-BC384,0)),"")</f>
        <v>0</v>
      </c>
    </row>
    <row r="385" spans="1:60" s="21" customFormat="1" ht="12.75" customHeight="1" x14ac:dyDescent="0.2">
      <c r="A385" s="28" t="s">
        <v>2158</v>
      </c>
      <c r="B385" s="28"/>
      <c r="C385" s="28" t="s">
        <v>1851</v>
      </c>
      <c r="D385" s="83" t="s">
        <v>2194</v>
      </c>
      <c r="E385" s="83" t="s">
        <v>2025</v>
      </c>
      <c r="F385" s="84"/>
      <c r="G385" s="85" t="s">
        <v>2195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101"/>
      <c r="AP385" s="55">
        <f t="shared" si="158"/>
        <v>2</v>
      </c>
      <c r="AQ385" s="55">
        <f>IFERROR(VLOOKUP(A385,[1]SIIMPLES!$A$2:$F$418,6,FALSE),0)</f>
        <v>2</v>
      </c>
      <c r="AR385" s="55">
        <v>0</v>
      </c>
      <c r="AS385" s="55">
        <v>0</v>
      </c>
      <c r="AT385" s="55">
        <v>0</v>
      </c>
      <c r="AU385" s="55">
        <v>0</v>
      </c>
      <c r="AV385" s="55">
        <v>0</v>
      </c>
      <c r="AW385" s="7"/>
      <c r="AX385" s="7"/>
      <c r="AY385" s="7"/>
      <c r="AZ385" s="7"/>
      <c r="BA385" s="7"/>
      <c r="BB385" s="41" t="str">
        <f t="shared" si="146"/>
        <v/>
      </c>
      <c r="BC385" s="13"/>
      <c r="BD385" s="35"/>
      <c r="BE385" s="13"/>
      <c r="BF385" s="16"/>
      <c r="BG385" s="17" t="str">
        <f t="shared" si="160"/>
        <v>0</v>
      </c>
      <c r="BH385" s="16">
        <f>IFERROR(IF(F385=1,IF(BC385&lt;AY385*3,AY385*3-BC385,0),IF(BC385&lt;AY385,AY385-BC385,0)),"")</f>
        <v>0</v>
      </c>
    </row>
    <row r="386" spans="1:60" s="21" customFormat="1" ht="12.75" customHeight="1" x14ac:dyDescent="0.2">
      <c r="A386" s="28" t="s">
        <v>2160</v>
      </c>
      <c r="B386" s="28"/>
      <c r="C386" s="28" t="s">
        <v>1851</v>
      </c>
      <c r="D386" s="83" t="s">
        <v>1226</v>
      </c>
      <c r="E386" s="83" t="s">
        <v>2106</v>
      </c>
      <c r="F386" s="84"/>
      <c r="G386" s="85" t="s">
        <v>2205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101"/>
      <c r="AP386" s="55">
        <f t="shared" si="158"/>
        <v>2</v>
      </c>
      <c r="AQ386" s="55">
        <f>IFERROR(VLOOKUP(A386,[1]SIIMPLES!$A$2:$F$418,6,FALSE),0)</f>
        <v>2</v>
      </c>
      <c r="AR386" s="55">
        <v>0</v>
      </c>
      <c r="AS386" s="55">
        <v>2</v>
      </c>
      <c r="AT386" s="55">
        <v>0</v>
      </c>
      <c r="AU386" s="55">
        <v>0</v>
      </c>
      <c r="AV386" s="55">
        <v>2</v>
      </c>
      <c r="AW386" s="7"/>
      <c r="AX386" s="7"/>
      <c r="AY386" s="7"/>
      <c r="AZ386" s="7"/>
      <c r="BA386" s="7"/>
      <c r="BB386" s="41" t="str">
        <f t="shared" si="146"/>
        <v/>
      </c>
      <c r="BC386" s="13"/>
      <c r="BD386" s="35"/>
      <c r="BE386" s="13"/>
      <c r="BF386" s="16"/>
      <c r="BG386" s="17" t="str">
        <f t="shared" si="160"/>
        <v>0</v>
      </c>
      <c r="BH386" s="16">
        <f>IFERROR(IF(F386=1,IF(BC386&lt;AY386*3,AY386*3-BC386,0),IF(BC386&lt;AY386,AY386-BC386,0)),"")</f>
        <v>0</v>
      </c>
    </row>
    <row r="387" spans="1:60" s="21" customFormat="1" ht="12.75" customHeight="1" x14ac:dyDescent="0.2">
      <c r="A387" s="28" t="s">
        <v>2162</v>
      </c>
      <c r="B387" s="28"/>
      <c r="C387" s="28" t="s">
        <v>1851</v>
      </c>
      <c r="D387" s="83" t="s">
        <v>1274</v>
      </c>
      <c r="E387" s="83" t="s">
        <v>2106</v>
      </c>
      <c r="F387" s="84"/>
      <c r="G387" s="85" t="s">
        <v>2204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101"/>
      <c r="AP387" s="55">
        <f t="shared" si="158"/>
        <v>2</v>
      </c>
      <c r="AQ387" s="55">
        <f>IFERROR(VLOOKUP(A387,[1]SIIMPLES!$A$2:$F$418,6,FALSE),0)</f>
        <v>2</v>
      </c>
      <c r="AR387" s="55">
        <v>0</v>
      </c>
      <c r="AS387" s="55">
        <v>0</v>
      </c>
      <c r="AT387" s="55">
        <v>0</v>
      </c>
      <c r="AU387" s="55">
        <v>0</v>
      </c>
      <c r="AV387" s="55">
        <v>0</v>
      </c>
      <c r="AW387" s="7"/>
      <c r="AX387" s="7"/>
      <c r="AY387" s="7"/>
      <c r="AZ387" s="7"/>
      <c r="BA387" s="7"/>
      <c r="BB387" s="41" t="str">
        <f t="shared" si="146"/>
        <v/>
      </c>
      <c r="BC387" s="13"/>
      <c r="BD387" s="35"/>
      <c r="BE387" s="13"/>
      <c r="BF387" s="16"/>
      <c r="BG387" s="17" t="str">
        <f t="shared" si="160"/>
        <v>0</v>
      </c>
      <c r="BH387" s="16">
        <f>IFERROR(IF(F387=1,IF(BC387&lt;AY387*3,AY387*3-BC387,0),IF(BC387&lt;AY387,AY387-BC387,0)),"")</f>
        <v>0</v>
      </c>
    </row>
    <row r="388" spans="1:60" s="21" customFormat="1" ht="12.75" customHeight="1" x14ac:dyDescent="0.2">
      <c r="A388" s="28" t="s">
        <v>2163</v>
      </c>
      <c r="B388" s="28"/>
      <c r="C388" s="28" t="s">
        <v>1803</v>
      </c>
      <c r="D388" s="83" t="s">
        <v>2028</v>
      </c>
      <c r="E388" s="83" t="s">
        <v>2017</v>
      </c>
      <c r="F388" s="84"/>
      <c r="G388" s="85" t="s">
        <v>2185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101"/>
      <c r="AP388" s="55">
        <f t="shared" si="158"/>
        <v>2</v>
      </c>
      <c r="AQ388" s="55">
        <f>IFERROR(VLOOKUP(A388,[1]SIIMPLES!$A$2:$F$418,6,FALSE),0)</f>
        <v>2</v>
      </c>
      <c r="AR388" s="55">
        <v>0</v>
      </c>
      <c r="AS388" s="55">
        <v>0</v>
      </c>
      <c r="AT388" s="55">
        <v>0</v>
      </c>
      <c r="AU388" s="55">
        <v>0</v>
      </c>
      <c r="AV388" s="55">
        <v>0</v>
      </c>
      <c r="AW388" s="7"/>
      <c r="AX388" s="7"/>
      <c r="AY388" s="7"/>
      <c r="AZ388" s="7"/>
      <c r="BA388" s="7"/>
      <c r="BB388" s="41" t="str">
        <f t="shared" si="146"/>
        <v/>
      </c>
      <c r="BC388" s="13"/>
      <c r="BD388" s="35"/>
      <c r="BE388" s="13"/>
      <c r="BF388" s="16"/>
      <c r="BG388" s="17" t="str">
        <f t="shared" si="160"/>
        <v>0</v>
      </c>
      <c r="BH388" s="20">
        <f>ROUND(IFERROR(IF(F388=1,IF(BC388&lt;AY388*3,AY388*3-BC388,0),IF(BC388&lt;AY388,AY388*0.6-BC388,0)),""),0)</f>
        <v>0</v>
      </c>
    </row>
    <row r="389" spans="1:60" s="21" customFormat="1" ht="12.75" customHeight="1" x14ac:dyDescent="0.2">
      <c r="A389" s="28" t="s">
        <v>2165</v>
      </c>
      <c r="B389" s="28"/>
      <c r="C389" s="28" t="s">
        <v>1851</v>
      </c>
      <c r="D389" s="83" t="s">
        <v>2028</v>
      </c>
      <c r="E389" s="83" t="s">
        <v>2017</v>
      </c>
      <c r="F389" s="84"/>
      <c r="G389" s="85" t="s">
        <v>2196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101"/>
      <c r="AP389" s="55">
        <f t="shared" si="158"/>
        <v>2</v>
      </c>
      <c r="AQ389" s="55">
        <f>IFERROR(VLOOKUP(A389,[1]SIIMPLES!$A$2:$F$418,6,FALSE),0)</f>
        <v>2</v>
      </c>
      <c r="AR389" s="55">
        <v>0</v>
      </c>
      <c r="AS389" s="55">
        <v>0</v>
      </c>
      <c r="AT389" s="55">
        <v>0</v>
      </c>
      <c r="AU389" s="55">
        <v>0</v>
      </c>
      <c r="AV389" s="55">
        <v>0</v>
      </c>
      <c r="AW389" s="7"/>
      <c r="AX389" s="7"/>
      <c r="AY389" s="7"/>
      <c r="AZ389" s="7"/>
      <c r="BA389" s="7"/>
      <c r="BB389" s="41" t="str">
        <f t="shared" si="146"/>
        <v/>
      </c>
      <c r="BC389" s="13"/>
      <c r="BD389" s="35"/>
      <c r="BE389" s="13"/>
      <c r="BF389" s="16"/>
      <c r="BG389" s="17" t="str">
        <f t="shared" si="160"/>
        <v>0</v>
      </c>
      <c r="BH389" s="16">
        <f>IFERROR(IF(F389=1,IF(BC389&lt;AY389*3,AY389*3-BC389,0),IF(BC389&lt;AY389,AY389-BC389,0)),"")</f>
        <v>0</v>
      </c>
    </row>
    <row r="390" spans="1:60" s="21" customFormat="1" ht="12.75" customHeight="1" x14ac:dyDescent="0.2">
      <c r="A390" s="28" t="s">
        <v>2175</v>
      </c>
      <c r="B390" s="28"/>
      <c r="C390" s="28" t="s">
        <v>1851</v>
      </c>
      <c r="D390" s="83" t="s">
        <v>1764</v>
      </c>
      <c r="E390" s="83" t="s">
        <v>741</v>
      </c>
      <c r="F390" s="84"/>
      <c r="G390" s="85" t="s">
        <v>2215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101"/>
      <c r="AP390" s="55">
        <f t="shared" si="158"/>
        <v>2</v>
      </c>
      <c r="AQ390" s="55">
        <f>IFERROR(VLOOKUP(A390,[1]SIIMPLES!$A$2:$F$418,6,FALSE),0)</f>
        <v>2</v>
      </c>
      <c r="AR390" s="55">
        <v>0</v>
      </c>
      <c r="AS390" s="55">
        <v>0</v>
      </c>
      <c r="AT390" s="55">
        <v>0</v>
      </c>
      <c r="AU390" s="55">
        <v>0</v>
      </c>
      <c r="AV390" s="55">
        <v>0</v>
      </c>
      <c r="AW390" s="7"/>
      <c r="AX390" s="7"/>
      <c r="AY390" s="7"/>
      <c r="AZ390" s="7"/>
      <c r="BA390" s="7"/>
      <c r="BB390" s="41" t="str">
        <f t="shared" si="146"/>
        <v/>
      </c>
      <c r="BC390" s="13"/>
      <c r="BD390" s="35"/>
      <c r="BE390" s="13"/>
      <c r="BF390" s="16">
        <f>SUM(BC390:BE390)</f>
        <v>0</v>
      </c>
      <c r="BG390" s="17" t="str">
        <f t="shared" si="160"/>
        <v>0</v>
      </c>
      <c r="BH390" s="16">
        <f>IFERROR(IF(F390=1,IF(BC390&lt;AY390*3,AY390*3-BC390,0),IF(BC390&lt;AY390,AY390-BC390,0)),"")</f>
        <v>0</v>
      </c>
    </row>
    <row r="391" spans="1:60" s="21" customFormat="1" ht="12.75" customHeight="1" x14ac:dyDescent="0.2">
      <c r="A391" s="28" t="s">
        <v>2176</v>
      </c>
      <c r="B391" s="28"/>
      <c r="C391" s="28" t="s">
        <v>1851</v>
      </c>
      <c r="D391" s="83" t="s">
        <v>1764</v>
      </c>
      <c r="E391" s="83" t="s">
        <v>741</v>
      </c>
      <c r="F391" s="84"/>
      <c r="G391" s="85" t="s">
        <v>2215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101"/>
      <c r="AP391" s="55">
        <f t="shared" si="158"/>
        <v>2</v>
      </c>
      <c r="AQ391" s="55">
        <f>IFERROR(VLOOKUP(A391,[1]SIIMPLES!$A$2:$F$418,6,FALSE),0)</f>
        <v>2</v>
      </c>
      <c r="AR391" s="55">
        <v>0</v>
      </c>
      <c r="AS391" s="55">
        <v>0</v>
      </c>
      <c r="AT391" s="55">
        <v>0</v>
      </c>
      <c r="AU391" s="55">
        <v>0</v>
      </c>
      <c r="AV391" s="55">
        <v>0</v>
      </c>
      <c r="AW391" s="7"/>
      <c r="AX391" s="7"/>
      <c r="AY391" s="7"/>
      <c r="AZ391" s="7"/>
      <c r="BA391" s="7"/>
      <c r="BB391" s="41" t="str">
        <f t="shared" si="146"/>
        <v/>
      </c>
      <c r="BC391" s="13"/>
      <c r="BD391" s="36"/>
      <c r="BE391" s="7"/>
      <c r="BF391" s="7"/>
      <c r="BG391" s="17" t="str">
        <f t="shared" si="160"/>
        <v>0</v>
      </c>
      <c r="BH391" s="7"/>
    </row>
    <row r="392" spans="1:60" s="21" customFormat="1" ht="12.75" customHeight="1" x14ac:dyDescent="0.2">
      <c r="A392" s="28" t="s">
        <v>2177</v>
      </c>
      <c r="B392" s="28"/>
      <c r="C392" s="28" t="s">
        <v>1851</v>
      </c>
      <c r="D392" s="83" t="s">
        <v>2108</v>
      </c>
      <c r="E392" s="83" t="s">
        <v>2025</v>
      </c>
      <c r="F392" s="84"/>
      <c r="G392" s="85" t="s">
        <v>2217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101"/>
      <c r="AP392" s="55">
        <f t="shared" si="158"/>
        <v>2</v>
      </c>
      <c r="AQ392" s="55">
        <f>IFERROR(VLOOKUP(A392,[1]SIIMPLES!$A$2:$F$418,6,FALSE),0)</f>
        <v>2</v>
      </c>
      <c r="AR392" s="55">
        <v>0</v>
      </c>
      <c r="AS392" s="55">
        <v>0</v>
      </c>
      <c r="AT392" s="55">
        <v>0</v>
      </c>
      <c r="AU392" s="55">
        <v>0</v>
      </c>
      <c r="AV392" s="55">
        <v>0</v>
      </c>
      <c r="AW392" s="7"/>
      <c r="AX392" s="7"/>
      <c r="AY392" s="7"/>
      <c r="AZ392" s="7"/>
      <c r="BA392" s="7"/>
      <c r="BB392" s="41" t="str">
        <f t="shared" si="146"/>
        <v/>
      </c>
      <c r="BC392" s="13"/>
      <c r="BD392" s="36"/>
      <c r="BE392" s="7"/>
      <c r="BF392" s="7"/>
      <c r="BG392" s="7"/>
      <c r="BH392" s="7"/>
    </row>
    <row r="393" spans="1:60" s="21" customFormat="1" ht="12.75" customHeight="1" x14ac:dyDescent="0.2">
      <c r="A393" s="28" t="s">
        <v>2219</v>
      </c>
      <c r="B393" s="28"/>
      <c r="C393" s="27" t="s">
        <v>1803</v>
      </c>
      <c r="D393" s="9" t="s">
        <v>751</v>
      </c>
      <c r="E393" s="9" t="s">
        <v>746</v>
      </c>
      <c r="F393" s="84"/>
      <c r="G393" s="85" t="s">
        <v>751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101"/>
      <c r="AP393" s="55">
        <f t="shared" si="158"/>
        <v>2</v>
      </c>
      <c r="AQ393" s="55">
        <f>IFERROR(VLOOKUP(A393,[1]SIIMPLES!$A$2:$F$418,6,FALSE),0)</f>
        <v>0</v>
      </c>
      <c r="AR393" s="55">
        <v>2</v>
      </c>
      <c r="AS393" s="55">
        <v>0</v>
      </c>
      <c r="AT393" s="55">
        <v>0</v>
      </c>
      <c r="AU393" s="55">
        <v>0</v>
      </c>
      <c r="AV393" s="55">
        <v>0</v>
      </c>
      <c r="AW393" s="7"/>
      <c r="AX393" s="7"/>
      <c r="AY393" s="7"/>
      <c r="AZ393" s="7"/>
      <c r="BA393" s="7"/>
      <c r="BB393" s="41" t="str">
        <f t="shared" si="146"/>
        <v/>
      </c>
      <c r="BC393" s="13"/>
      <c r="BD393" s="35"/>
      <c r="BE393" s="13"/>
      <c r="BF393" s="16">
        <f>SUM(BC393:BE393)</f>
        <v>0</v>
      </c>
      <c r="BG393" s="17" t="str">
        <f t="shared" ref="BG393:BG415" si="162">IFERROR(BC393/AY393,"0")</f>
        <v>0</v>
      </c>
      <c r="BH393" s="16">
        <f>IFERROR(IF(F393=1,IF(BC393&lt;AY393*3,AY393*3-BC393,0),IF(BC393&lt;AY393,AY393-BC393,0)),"")</f>
        <v>0</v>
      </c>
    </row>
    <row r="394" spans="1:60" s="21" customFormat="1" ht="12.75" customHeight="1" x14ac:dyDescent="0.2">
      <c r="A394" s="28" t="s">
        <v>2220</v>
      </c>
      <c r="B394" s="28"/>
      <c r="C394" s="27" t="s">
        <v>1803</v>
      </c>
      <c r="D394" s="9" t="s">
        <v>751</v>
      </c>
      <c r="E394" s="9" t="s">
        <v>746</v>
      </c>
      <c r="F394" s="84"/>
      <c r="G394" s="85" t="s">
        <v>751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101"/>
      <c r="AP394" s="55">
        <f t="shared" si="158"/>
        <v>2</v>
      </c>
      <c r="AQ394" s="55">
        <f>IFERROR(VLOOKUP(A394,[1]SIIMPLES!$A$2:$F$418,6,FALSE),0)</f>
        <v>0</v>
      </c>
      <c r="AR394" s="55">
        <v>2</v>
      </c>
      <c r="AS394" s="55">
        <v>0</v>
      </c>
      <c r="AT394" s="55">
        <v>0</v>
      </c>
      <c r="AU394" s="55">
        <v>0</v>
      </c>
      <c r="AV394" s="55">
        <v>0</v>
      </c>
      <c r="AW394" s="7"/>
      <c r="AX394" s="7"/>
      <c r="AY394" s="7"/>
      <c r="AZ394" s="7"/>
      <c r="BA394" s="7"/>
      <c r="BB394" s="41" t="str">
        <f t="shared" si="146"/>
        <v/>
      </c>
      <c r="BC394" s="13"/>
      <c r="BD394" s="36"/>
      <c r="BE394" s="7"/>
      <c r="BF394" s="7"/>
      <c r="BG394" s="17" t="str">
        <f t="shared" si="162"/>
        <v>0</v>
      </c>
      <c r="BH394" s="7"/>
    </row>
    <row r="395" spans="1:60" s="21" customFormat="1" ht="12.75" customHeight="1" x14ac:dyDescent="0.2">
      <c r="A395" s="51">
        <v>2214</v>
      </c>
      <c r="B395" s="51" t="s">
        <v>1077</v>
      </c>
      <c r="C395" s="66" t="s">
        <v>1803</v>
      </c>
      <c r="D395" s="65" t="s">
        <v>729</v>
      </c>
      <c r="E395" s="52" t="s">
        <v>730</v>
      </c>
      <c r="F395" s="53">
        <f>IFERROR(VLOOKUP(E395,Fornecedores!$A$2:$B$2700,2,FALSE),"")</f>
        <v>3</v>
      </c>
      <c r="G395" s="52" t="s">
        <v>190</v>
      </c>
      <c r="H395" s="54"/>
      <c r="I395" s="55">
        <f t="shared" ref="I395:I416" si="163">SUM(J395:M395)</f>
        <v>0</v>
      </c>
      <c r="J395" s="55">
        <v>0</v>
      </c>
      <c r="K395" s="55">
        <v>0</v>
      </c>
      <c r="L395" s="55">
        <v>0</v>
      </c>
      <c r="M395" s="55">
        <v>0</v>
      </c>
      <c r="N395" s="55">
        <f t="shared" ref="N395:N416" si="164">SUM(O395:Q395)</f>
        <v>0</v>
      </c>
      <c r="O395" s="55">
        <v>0</v>
      </c>
      <c r="P395" s="55">
        <v>0</v>
      </c>
      <c r="Q395" s="55">
        <v>0</v>
      </c>
      <c r="R395" s="55">
        <f t="shared" ref="R395:R416" si="165">SUM(S395:U395)</f>
        <v>2</v>
      </c>
      <c r="S395" s="55">
        <v>2</v>
      </c>
      <c r="T395" s="55">
        <v>0</v>
      </c>
      <c r="U395" s="55">
        <v>0</v>
      </c>
      <c r="V395" s="55">
        <v>7</v>
      </c>
      <c r="W395" s="53">
        <v>3</v>
      </c>
      <c r="X395" s="53">
        <v>4</v>
      </c>
      <c r="Y395" s="55">
        <v>0</v>
      </c>
      <c r="Z395" s="55">
        <v>4</v>
      </c>
      <c r="AA395" s="53">
        <v>0</v>
      </c>
      <c r="AB395" s="53">
        <v>4</v>
      </c>
      <c r="AC395" s="55">
        <v>0</v>
      </c>
      <c r="AD395" s="55">
        <f t="shared" ref="AD395:AD426" si="166">SUM(AE395:AG395)</f>
        <v>7</v>
      </c>
      <c r="AE395" s="53">
        <v>1</v>
      </c>
      <c r="AF395" s="55">
        <v>6</v>
      </c>
      <c r="AG395" s="55">
        <v>0</v>
      </c>
      <c r="AH395" s="55">
        <f t="shared" ref="AH395:AH426" si="167">SUM(AI395:AK395)</f>
        <v>4</v>
      </c>
      <c r="AI395" s="55">
        <v>0</v>
      </c>
      <c r="AJ395" s="55">
        <v>4</v>
      </c>
      <c r="AK395" s="55">
        <v>0</v>
      </c>
      <c r="AL395" s="55">
        <f t="shared" ref="AL395:AL426" si="168">SUM(AM395:AO395)</f>
        <v>15</v>
      </c>
      <c r="AM395" s="55">
        <v>1</v>
      </c>
      <c r="AN395" s="55">
        <v>14</v>
      </c>
      <c r="AO395" s="55">
        <v>0</v>
      </c>
      <c r="AP395" s="55">
        <f t="shared" si="158"/>
        <v>1</v>
      </c>
      <c r="AQ395" s="55">
        <f>IFERROR(VLOOKUP(A395,[1]SIIMPLES!$A$2:$F$418,6,FALSE),0)</f>
        <v>1</v>
      </c>
      <c r="AR395" s="55">
        <v>0</v>
      </c>
      <c r="AS395" s="55">
        <v>1</v>
      </c>
      <c r="AT395" s="55">
        <v>1</v>
      </c>
      <c r="AU395" s="55">
        <v>0</v>
      </c>
      <c r="AV395" s="55">
        <v>0</v>
      </c>
      <c r="AW395" s="55"/>
      <c r="AX395" s="55"/>
      <c r="AY395" s="56">
        <f t="shared" ref="AY395:AY426" si="169">IFERROR(AVERAGE(I395,N395,R395,V395,Z395,AD395,AH395,AL395,AP395,AS395,AW395,AX395),"-")</f>
        <v>4.0999999999999996</v>
      </c>
      <c r="AZ395" s="55"/>
      <c r="BA395" s="56">
        <v>2</v>
      </c>
      <c r="BB395" s="41">
        <f t="shared" si="146"/>
        <v>1.0499999999999998</v>
      </c>
      <c r="BC395" s="13"/>
      <c r="BD395" s="35"/>
      <c r="BE395" s="7"/>
      <c r="BF395" s="16"/>
      <c r="BG395" s="17">
        <f t="shared" si="162"/>
        <v>0</v>
      </c>
      <c r="BH395" s="16">
        <f t="shared" ref="BH395:BH400" si="170">IFERROR(IF(F395=1,IF(BC395&lt;AY395*3,AY395*3-BC395,0),IF(BC395&lt;AY395,AY395-BC395,0)),"")</f>
        <v>4.0999999999999996</v>
      </c>
    </row>
    <row r="396" spans="1:60" s="21" customFormat="1" ht="12.75" customHeight="1" x14ac:dyDescent="0.2">
      <c r="A396" s="69">
        <v>2219</v>
      </c>
      <c r="B396" s="51"/>
      <c r="C396" s="66" t="s">
        <v>1803</v>
      </c>
      <c r="D396" s="65" t="s">
        <v>731</v>
      </c>
      <c r="E396" s="52" t="s">
        <v>730</v>
      </c>
      <c r="F396" s="53">
        <f>IFERROR(VLOOKUP(E396,Fornecedores!$A$2:$B$2700,2,FALSE),"")</f>
        <v>3</v>
      </c>
      <c r="G396" s="52" t="s">
        <v>1755</v>
      </c>
      <c r="H396" s="57"/>
      <c r="I396" s="55">
        <f t="shared" si="163"/>
        <v>0</v>
      </c>
      <c r="J396" s="57"/>
      <c r="K396" s="57"/>
      <c r="L396" s="57"/>
      <c r="M396" s="57"/>
      <c r="N396" s="55">
        <f t="shared" si="164"/>
        <v>0</v>
      </c>
      <c r="O396" s="57"/>
      <c r="P396" s="57"/>
      <c r="Q396" s="57"/>
      <c r="R396" s="55">
        <f t="shared" si="165"/>
        <v>1</v>
      </c>
      <c r="S396" s="55">
        <v>1</v>
      </c>
      <c r="T396" s="55">
        <v>0</v>
      </c>
      <c r="U396" s="57"/>
      <c r="V396" s="55">
        <v>1</v>
      </c>
      <c r="W396" s="53">
        <v>1</v>
      </c>
      <c r="X396" s="53">
        <v>0</v>
      </c>
      <c r="Y396" s="55">
        <v>0</v>
      </c>
      <c r="Z396" s="55">
        <v>3</v>
      </c>
      <c r="AA396" s="53">
        <v>3</v>
      </c>
      <c r="AB396" s="53">
        <v>0</v>
      </c>
      <c r="AC396" s="55">
        <v>0</v>
      </c>
      <c r="AD396" s="55">
        <f t="shared" si="166"/>
        <v>2</v>
      </c>
      <c r="AE396" s="53">
        <v>2</v>
      </c>
      <c r="AF396" s="55">
        <v>0</v>
      </c>
      <c r="AG396" s="55">
        <v>0</v>
      </c>
      <c r="AH396" s="55">
        <f t="shared" si="167"/>
        <v>1</v>
      </c>
      <c r="AI396" s="55">
        <v>1</v>
      </c>
      <c r="AJ396" s="55">
        <v>0</v>
      </c>
      <c r="AK396" s="55">
        <v>0</v>
      </c>
      <c r="AL396" s="55">
        <f t="shared" si="168"/>
        <v>1</v>
      </c>
      <c r="AM396" s="55">
        <v>1</v>
      </c>
      <c r="AN396" s="55">
        <v>0</v>
      </c>
      <c r="AO396" s="55">
        <v>0</v>
      </c>
      <c r="AP396" s="55">
        <f t="shared" si="158"/>
        <v>1</v>
      </c>
      <c r="AQ396" s="55">
        <f>IFERROR(VLOOKUP(A396,[1]SIIMPLES!$A$2:$F$418,6,FALSE),0)</f>
        <v>1</v>
      </c>
      <c r="AR396" s="55">
        <v>0</v>
      </c>
      <c r="AS396" s="55">
        <v>1</v>
      </c>
      <c r="AT396" s="55">
        <v>1</v>
      </c>
      <c r="AU396" s="55">
        <v>0</v>
      </c>
      <c r="AV396" s="55">
        <v>0</v>
      </c>
      <c r="AW396" s="57"/>
      <c r="AX396" s="57"/>
      <c r="AY396" s="56">
        <f t="shared" si="169"/>
        <v>1.1000000000000001</v>
      </c>
      <c r="AZ396" s="57"/>
      <c r="BA396" s="56" t="s">
        <v>1912</v>
      </c>
      <c r="BB396" s="41" t="str">
        <f t="shared" si="146"/>
        <v/>
      </c>
      <c r="BC396" s="7"/>
      <c r="BD396" s="35"/>
      <c r="BE396" s="13"/>
      <c r="BF396" s="16">
        <f>SUM(BC396:BE396)</f>
        <v>0</v>
      </c>
      <c r="BG396" s="17">
        <f t="shared" si="162"/>
        <v>0</v>
      </c>
      <c r="BH396" s="16">
        <f t="shared" si="170"/>
        <v>1.1000000000000001</v>
      </c>
    </row>
    <row r="397" spans="1:60" s="21" customFormat="1" ht="12.75" customHeight="1" x14ac:dyDescent="0.2">
      <c r="A397" s="51">
        <v>2353</v>
      </c>
      <c r="B397" s="51" t="s">
        <v>1077</v>
      </c>
      <c r="C397" s="66" t="s">
        <v>1803</v>
      </c>
      <c r="D397" s="65" t="s">
        <v>757</v>
      </c>
      <c r="E397" s="52" t="s">
        <v>730</v>
      </c>
      <c r="F397" s="53">
        <f>IFERROR(VLOOKUP(E397,Fornecedores!$A$2:$B$2700,2,FALSE),"")</f>
        <v>3</v>
      </c>
      <c r="G397" s="52" t="s">
        <v>465</v>
      </c>
      <c r="H397" s="54"/>
      <c r="I397" s="55">
        <f t="shared" si="163"/>
        <v>0</v>
      </c>
      <c r="J397" s="55">
        <v>0</v>
      </c>
      <c r="K397" s="55">
        <v>0</v>
      </c>
      <c r="L397" s="55">
        <v>0</v>
      </c>
      <c r="M397" s="55">
        <v>0</v>
      </c>
      <c r="N397" s="55">
        <f t="shared" si="164"/>
        <v>2</v>
      </c>
      <c r="O397" s="55">
        <v>2</v>
      </c>
      <c r="P397" s="55">
        <v>0</v>
      </c>
      <c r="Q397" s="55">
        <v>0</v>
      </c>
      <c r="R397" s="55">
        <f t="shared" si="165"/>
        <v>0</v>
      </c>
      <c r="S397" s="55">
        <v>0</v>
      </c>
      <c r="T397" s="55">
        <v>0</v>
      </c>
      <c r="U397" s="55">
        <v>0</v>
      </c>
      <c r="V397" s="55">
        <v>2</v>
      </c>
      <c r="W397" s="53">
        <v>2</v>
      </c>
      <c r="X397" s="53">
        <v>0</v>
      </c>
      <c r="Y397" s="55">
        <v>0</v>
      </c>
      <c r="Z397" s="55">
        <v>1</v>
      </c>
      <c r="AA397" s="53">
        <v>1</v>
      </c>
      <c r="AB397" s="53">
        <v>0</v>
      </c>
      <c r="AC397" s="55">
        <v>0</v>
      </c>
      <c r="AD397" s="55">
        <f t="shared" si="166"/>
        <v>1</v>
      </c>
      <c r="AE397" s="53">
        <v>1</v>
      </c>
      <c r="AF397" s="55">
        <v>0</v>
      </c>
      <c r="AG397" s="55">
        <v>0</v>
      </c>
      <c r="AH397" s="55">
        <f t="shared" si="167"/>
        <v>1</v>
      </c>
      <c r="AI397" s="55">
        <v>1</v>
      </c>
      <c r="AJ397" s="55">
        <v>0</v>
      </c>
      <c r="AK397" s="55">
        <v>0</v>
      </c>
      <c r="AL397" s="55">
        <f t="shared" si="168"/>
        <v>0</v>
      </c>
      <c r="AM397" s="55" t="s">
        <v>1912</v>
      </c>
      <c r="AN397" s="55">
        <v>0</v>
      </c>
      <c r="AO397" s="55">
        <v>0</v>
      </c>
      <c r="AP397" s="55">
        <f t="shared" si="158"/>
        <v>1</v>
      </c>
      <c r="AQ397" s="55">
        <f>IFERROR(VLOOKUP(A397,[1]SIIMPLES!$A$2:$F$418,6,FALSE),0)</f>
        <v>1</v>
      </c>
      <c r="AR397" s="55">
        <v>0</v>
      </c>
      <c r="AS397" s="55">
        <v>2</v>
      </c>
      <c r="AT397" s="55">
        <v>2</v>
      </c>
      <c r="AU397" s="55">
        <v>0</v>
      </c>
      <c r="AV397" s="55">
        <v>0</v>
      </c>
      <c r="AW397" s="55"/>
      <c r="AX397" s="55"/>
      <c r="AY397" s="56">
        <f t="shared" si="169"/>
        <v>1</v>
      </c>
      <c r="AZ397" s="55"/>
      <c r="BA397" s="56">
        <v>1.1666666666666667</v>
      </c>
      <c r="BB397" s="41">
        <f t="shared" si="146"/>
        <v>-0.1428571428571429</v>
      </c>
      <c r="BC397" s="13"/>
      <c r="BD397" s="35"/>
      <c r="BE397" s="13"/>
      <c r="BF397" s="16">
        <f>SUM(BC397:BE397)</f>
        <v>0</v>
      </c>
      <c r="BG397" s="17">
        <f t="shared" si="162"/>
        <v>0</v>
      </c>
      <c r="BH397" s="16">
        <f t="shared" si="170"/>
        <v>1</v>
      </c>
    </row>
    <row r="398" spans="1:60" s="21" customFormat="1" ht="12.75" customHeight="1" x14ac:dyDescent="0.2">
      <c r="A398" s="51">
        <v>2362</v>
      </c>
      <c r="B398" s="51" t="s">
        <v>1077</v>
      </c>
      <c r="C398" s="66" t="s">
        <v>1803</v>
      </c>
      <c r="D398" s="65" t="s">
        <v>733</v>
      </c>
      <c r="E398" s="52" t="s">
        <v>730</v>
      </c>
      <c r="F398" s="53">
        <f>IFERROR(VLOOKUP(E398,Fornecedores!$A$2:$B$2700,2,FALSE),"")</f>
        <v>3</v>
      </c>
      <c r="G398" s="52" t="s">
        <v>415</v>
      </c>
      <c r="H398" s="54"/>
      <c r="I398" s="55">
        <f t="shared" si="163"/>
        <v>1</v>
      </c>
      <c r="J398" s="55">
        <v>1</v>
      </c>
      <c r="K398" s="55">
        <v>0</v>
      </c>
      <c r="L398" s="55">
        <v>0</v>
      </c>
      <c r="M398" s="55">
        <v>0</v>
      </c>
      <c r="N398" s="55">
        <f t="shared" si="164"/>
        <v>1</v>
      </c>
      <c r="O398" s="55">
        <v>1</v>
      </c>
      <c r="P398" s="55">
        <v>0</v>
      </c>
      <c r="Q398" s="55">
        <v>0</v>
      </c>
      <c r="R398" s="55">
        <f t="shared" si="165"/>
        <v>1</v>
      </c>
      <c r="S398" s="55">
        <v>1</v>
      </c>
      <c r="T398" s="55">
        <v>0</v>
      </c>
      <c r="U398" s="55">
        <v>0</v>
      </c>
      <c r="V398" s="55">
        <v>0</v>
      </c>
      <c r="W398" s="53">
        <v>0</v>
      </c>
      <c r="X398" s="53">
        <v>0</v>
      </c>
      <c r="Y398" s="55">
        <v>0</v>
      </c>
      <c r="Z398" s="55">
        <v>4</v>
      </c>
      <c r="AA398" s="53">
        <v>4</v>
      </c>
      <c r="AB398" s="53">
        <v>0</v>
      </c>
      <c r="AC398" s="55">
        <v>0</v>
      </c>
      <c r="AD398" s="55">
        <f t="shared" si="166"/>
        <v>3</v>
      </c>
      <c r="AE398" s="53">
        <v>3</v>
      </c>
      <c r="AF398" s="55">
        <v>0</v>
      </c>
      <c r="AG398" s="55">
        <v>0</v>
      </c>
      <c r="AH398" s="55">
        <f t="shared" si="167"/>
        <v>2</v>
      </c>
      <c r="AI398" s="55">
        <v>2</v>
      </c>
      <c r="AJ398" s="55">
        <v>0</v>
      </c>
      <c r="AK398" s="55">
        <v>0</v>
      </c>
      <c r="AL398" s="55">
        <f t="shared" si="168"/>
        <v>4</v>
      </c>
      <c r="AM398" s="55">
        <v>4</v>
      </c>
      <c r="AN398" s="55">
        <v>0</v>
      </c>
      <c r="AO398" s="55">
        <v>0</v>
      </c>
      <c r="AP398" s="55">
        <f t="shared" si="158"/>
        <v>1</v>
      </c>
      <c r="AQ398" s="55">
        <f>IFERROR(VLOOKUP(A398,[1]SIIMPLES!$A$2:$F$418,6,FALSE),0)</f>
        <v>1</v>
      </c>
      <c r="AR398" s="55">
        <v>0</v>
      </c>
      <c r="AS398" s="55">
        <v>0</v>
      </c>
      <c r="AT398" s="55">
        <v>0</v>
      </c>
      <c r="AU398" s="55">
        <v>0</v>
      </c>
      <c r="AV398" s="55">
        <v>0</v>
      </c>
      <c r="AW398" s="55"/>
      <c r="AX398" s="55"/>
      <c r="AY398" s="56">
        <f t="shared" si="169"/>
        <v>1.7</v>
      </c>
      <c r="AZ398" s="55"/>
      <c r="BA398" s="56">
        <v>3.1666666666666665</v>
      </c>
      <c r="BB398" s="41">
        <f t="shared" ref="BB398:BB461" si="171">IFERROR(AY398/BA398-1,"")</f>
        <v>-0.4631578947368421</v>
      </c>
      <c r="BC398" s="13"/>
      <c r="BD398" s="35"/>
      <c r="BE398" s="13"/>
      <c r="BF398" s="16">
        <f>SUM(BC398:BE398)</f>
        <v>0</v>
      </c>
      <c r="BG398" s="17">
        <f t="shared" si="162"/>
        <v>0</v>
      </c>
      <c r="BH398" s="16">
        <f t="shared" si="170"/>
        <v>1.7</v>
      </c>
    </row>
    <row r="399" spans="1:60" s="21" customFormat="1" ht="12.75" customHeight="1" x14ac:dyDescent="0.2">
      <c r="A399" s="51">
        <v>4015</v>
      </c>
      <c r="B399" s="51"/>
      <c r="C399" s="66" t="s">
        <v>1803</v>
      </c>
      <c r="D399" s="52" t="s">
        <v>760</v>
      </c>
      <c r="E399" s="52" t="s">
        <v>736</v>
      </c>
      <c r="F399" s="53">
        <f>IFERROR(VLOOKUP(E399,Fornecedores!$A$2:$B$2700,2,FALSE),"")</f>
        <v>5</v>
      </c>
      <c r="G399" s="52" t="s">
        <v>7</v>
      </c>
      <c r="H399" s="54"/>
      <c r="I399" s="55">
        <f t="shared" si="163"/>
        <v>0</v>
      </c>
      <c r="J399" s="55">
        <v>0</v>
      </c>
      <c r="K399" s="55">
        <v>0</v>
      </c>
      <c r="L399" s="55">
        <v>0</v>
      </c>
      <c r="M399" s="55">
        <v>0</v>
      </c>
      <c r="N399" s="55">
        <f t="shared" si="164"/>
        <v>0</v>
      </c>
      <c r="O399" s="55">
        <v>0</v>
      </c>
      <c r="P399" s="55">
        <v>0</v>
      </c>
      <c r="Q399" s="55">
        <v>0</v>
      </c>
      <c r="R399" s="55">
        <f t="shared" si="165"/>
        <v>0</v>
      </c>
      <c r="S399" s="55">
        <v>0</v>
      </c>
      <c r="T399" s="55">
        <v>0</v>
      </c>
      <c r="U399" s="55">
        <v>0</v>
      </c>
      <c r="V399" s="55">
        <v>0</v>
      </c>
      <c r="W399" s="53">
        <v>0</v>
      </c>
      <c r="X399" s="53">
        <v>0</v>
      </c>
      <c r="Y399" s="55">
        <v>0</v>
      </c>
      <c r="Z399" s="55">
        <v>0</v>
      </c>
      <c r="AA399" s="53">
        <v>0</v>
      </c>
      <c r="AB399" s="53">
        <v>0</v>
      </c>
      <c r="AC399" s="55">
        <v>0</v>
      </c>
      <c r="AD399" s="55">
        <f t="shared" si="166"/>
        <v>0</v>
      </c>
      <c r="AE399" s="53">
        <v>0</v>
      </c>
      <c r="AF399" s="55">
        <v>0</v>
      </c>
      <c r="AG399" s="55">
        <v>0</v>
      </c>
      <c r="AH399" s="55">
        <f t="shared" si="167"/>
        <v>1</v>
      </c>
      <c r="AI399" s="55">
        <v>1</v>
      </c>
      <c r="AJ399" s="55">
        <v>0</v>
      </c>
      <c r="AK399" s="55">
        <v>0</v>
      </c>
      <c r="AL399" s="55">
        <f t="shared" si="168"/>
        <v>0</v>
      </c>
      <c r="AM399" s="55" t="s">
        <v>1912</v>
      </c>
      <c r="AN399" s="55">
        <v>0</v>
      </c>
      <c r="AO399" s="55">
        <v>0</v>
      </c>
      <c r="AP399" s="55">
        <f t="shared" si="158"/>
        <v>1</v>
      </c>
      <c r="AQ399" s="55">
        <f>IFERROR(VLOOKUP(A399,[1]SIIMPLES!$A$2:$F$418,6,FALSE),0)</f>
        <v>1</v>
      </c>
      <c r="AR399" s="55">
        <v>0</v>
      </c>
      <c r="AS399" s="55">
        <v>1</v>
      </c>
      <c r="AT399" s="55">
        <v>1</v>
      </c>
      <c r="AU399" s="55">
        <v>0</v>
      </c>
      <c r="AV399" s="55">
        <v>0</v>
      </c>
      <c r="AW399" s="55"/>
      <c r="AX399" s="55"/>
      <c r="AY399" s="56">
        <f t="shared" si="169"/>
        <v>0.3</v>
      </c>
      <c r="AZ399" s="55"/>
      <c r="BA399" s="56">
        <v>0</v>
      </c>
      <c r="BB399" s="41" t="str">
        <f t="shared" si="171"/>
        <v/>
      </c>
      <c r="BC399" s="13"/>
      <c r="BD399" s="35"/>
      <c r="BE399" s="13"/>
      <c r="BF399" s="16">
        <f>SUM(BC399:BE399)</f>
        <v>0</v>
      </c>
      <c r="BG399" s="17">
        <f t="shared" si="162"/>
        <v>0</v>
      </c>
      <c r="BH399" s="16">
        <f t="shared" si="170"/>
        <v>0.3</v>
      </c>
    </row>
    <row r="400" spans="1:60" s="21" customFormat="1" ht="12.75" customHeight="1" x14ac:dyDescent="0.2">
      <c r="A400" s="51">
        <v>4018</v>
      </c>
      <c r="B400" s="51"/>
      <c r="C400" s="66" t="s">
        <v>1803</v>
      </c>
      <c r="D400" s="52" t="s">
        <v>760</v>
      </c>
      <c r="E400" s="52" t="s">
        <v>736</v>
      </c>
      <c r="F400" s="53">
        <f>IFERROR(VLOOKUP(E400,Fornecedores!$A$2:$B$2700,2,FALSE),"")</f>
        <v>5</v>
      </c>
      <c r="G400" s="52" t="s">
        <v>899</v>
      </c>
      <c r="H400" s="57"/>
      <c r="I400" s="55">
        <f t="shared" si="163"/>
        <v>0</v>
      </c>
      <c r="J400" s="55">
        <v>0</v>
      </c>
      <c r="K400" s="55">
        <v>0</v>
      </c>
      <c r="L400" s="55">
        <v>0</v>
      </c>
      <c r="M400" s="55">
        <v>0</v>
      </c>
      <c r="N400" s="55">
        <f t="shared" si="164"/>
        <v>0</v>
      </c>
      <c r="O400" s="55">
        <v>0</v>
      </c>
      <c r="P400" s="55">
        <v>0</v>
      </c>
      <c r="Q400" s="55">
        <v>0</v>
      </c>
      <c r="R400" s="55">
        <f t="shared" si="165"/>
        <v>0</v>
      </c>
      <c r="S400" s="55">
        <v>0</v>
      </c>
      <c r="T400" s="55">
        <v>0</v>
      </c>
      <c r="U400" s="55">
        <v>0</v>
      </c>
      <c r="V400" s="55">
        <v>0</v>
      </c>
      <c r="W400" s="53">
        <v>0</v>
      </c>
      <c r="X400" s="53">
        <v>0</v>
      </c>
      <c r="Y400" s="55">
        <v>0</v>
      </c>
      <c r="Z400" s="55">
        <v>0</v>
      </c>
      <c r="AA400" s="53">
        <v>0</v>
      </c>
      <c r="AB400" s="53">
        <v>0</v>
      </c>
      <c r="AC400" s="55">
        <v>0</v>
      </c>
      <c r="AD400" s="55">
        <f t="shared" si="166"/>
        <v>0</v>
      </c>
      <c r="AE400" s="53">
        <v>0</v>
      </c>
      <c r="AF400" s="55">
        <v>0</v>
      </c>
      <c r="AG400" s="55">
        <v>0</v>
      </c>
      <c r="AH400" s="55">
        <f t="shared" si="167"/>
        <v>0</v>
      </c>
      <c r="AI400" s="55">
        <v>0</v>
      </c>
      <c r="AJ400" s="55">
        <v>0</v>
      </c>
      <c r="AK400" s="55">
        <v>0</v>
      </c>
      <c r="AL400" s="55">
        <f t="shared" si="168"/>
        <v>1</v>
      </c>
      <c r="AM400" s="55">
        <v>1</v>
      </c>
      <c r="AN400" s="55">
        <v>0</v>
      </c>
      <c r="AO400" s="55">
        <v>0</v>
      </c>
      <c r="AP400" s="55">
        <f t="shared" si="158"/>
        <v>1</v>
      </c>
      <c r="AQ400" s="55">
        <f>IFERROR(VLOOKUP(A400,[1]SIIMPLES!$A$2:$F$418,6,FALSE),0)</f>
        <v>1</v>
      </c>
      <c r="AR400" s="55">
        <v>0</v>
      </c>
      <c r="AS400" s="55">
        <v>9</v>
      </c>
      <c r="AT400" s="55">
        <v>9</v>
      </c>
      <c r="AU400" s="55">
        <v>0</v>
      </c>
      <c r="AV400" s="55">
        <v>0</v>
      </c>
      <c r="AW400" s="55"/>
      <c r="AX400" s="55"/>
      <c r="AY400" s="56">
        <f t="shared" si="169"/>
        <v>1.1000000000000001</v>
      </c>
      <c r="AZ400" s="55"/>
      <c r="BA400" s="56">
        <v>0.16666666666666666</v>
      </c>
      <c r="BB400" s="41">
        <f t="shared" si="171"/>
        <v>5.6000000000000005</v>
      </c>
      <c r="BC400" s="13"/>
      <c r="BD400" s="35"/>
      <c r="BE400" s="7"/>
      <c r="BF400" s="16"/>
      <c r="BG400" s="17">
        <f t="shared" si="162"/>
        <v>0</v>
      </c>
      <c r="BH400" s="16">
        <f t="shared" si="170"/>
        <v>1.1000000000000001</v>
      </c>
    </row>
    <row r="401" spans="1:60" s="21" customFormat="1" ht="12.75" customHeight="1" x14ac:dyDescent="0.2">
      <c r="A401" s="51">
        <v>4041</v>
      </c>
      <c r="B401" s="51" t="s">
        <v>1077</v>
      </c>
      <c r="C401" s="66" t="s">
        <v>1803</v>
      </c>
      <c r="D401" s="52" t="s">
        <v>760</v>
      </c>
      <c r="E401" s="52" t="s">
        <v>736</v>
      </c>
      <c r="F401" s="53">
        <f>IFERROR(VLOOKUP(E401,Fornecedores!$A$2:$B$2700,2,FALSE),"")</f>
        <v>5</v>
      </c>
      <c r="G401" s="52" t="s">
        <v>300</v>
      </c>
      <c r="H401" s="54"/>
      <c r="I401" s="55">
        <f t="shared" si="163"/>
        <v>1</v>
      </c>
      <c r="J401" s="55">
        <v>1</v>
      </c>
      <c r="K401" s="55">
        <v>0</v>
      </c>
      <c r="L401" s="55">
        <v>0</v>
      </c>
      <c r="M401" s="55">
        <v>0</v>
      </c>
      <c r="N401" s="55">
        <f t="shared" si="164"/>
        <v>8</v>
      </c>
      <c r="O401" s="55">
        <v>8</v>
      </c>
      <c r="P401" s="55">
        <v>0</v>
      </c>
      <c r="Q401" s="55">
        <v>0</v>
      </c>
      <c r="R401" s="55">
        <f t="shared" si="165"/>
        <v>10</v>
      </c>
      <c r="S401" s="55">
        <v>10</v>
      </c>
      <c r="T401" s="55">
        <v>0</v>
      </c>
      <c r="U401" s="55">
        <v>0</v>
      </c>
      <c r="V401" s="55">
        <v>19</v>
      </c>
      <c r="W401" s="53">
        <v>19</v>
      </c>
      <c r="X401" s="53">
        <v>0</v>
      </c>
      <c r="Y401" s="55">
        <v>0</v>
      </c>
      <c r="Z401" s="55">
        <v>11</v>
      </c>
      <c r="AA401" s="53">
        <v>11</v>
      </c>
      <c r="AB401" s="53">
        <v>0</v>
      </c>
      <c r="AC401" s="55">
        <v>0</v>
      </c>
      <c r="AD401" s="55">
        <f t="shared" si="166"/>
        <v>8</v>
      </c>
      <c r="AE401" s="53">
        <v>8</v>
      </c>
      <c r="AF401" s="55">
        <v>0</v>
      </c>
      <c r="AG401" s="55">
        <v>0</v>
      </c>
      <c r="AH401" s="55">
        <f t="shared" si="167"/>
        <v>8</v>
      </c>
      <c r="AI401" s="55">
        <v>8</v>
      </c>
      <c r="AJ401" s="55">
        <v>0</v>
      </c>
      <c r="AK401" s="55">
        <v>0</v>
      </c>
      <c r="AL401" s="55">
        <f t="shared" si="168"/>
        <v>0</v>
      </c>
      <c r="AM401" s="55" t="s">
        <v>1912</v>
      </c>
      <c r="AN401" s="55">
        <v>0</v>
      </c>
      <c r="AO401" s="55">
        <v>0</v>
      </c>
      <c r="AP401" s="55">
        <f t="shared" si="158"/>
        <v>1</v>
      </c>
      <c r="AQ401" s="55">
        <f>IFERROR(VLOOKUP(A401,[1]SIIMPLES!$A$2:$F$418,6,FALSE),0)</f>
        <v>1</v>
      </c>
      <c r="AR401" s="55">
        <v>0</v>
      </c>
      <c r="AS401" s="55">
        <v>3</v>
      </c>
      <c r="AT401" s="55">
        <v>3</v>
      </c>
      <c r="AU401" s="55">
        <v>0</v>
      </c>
      <c r="AV401" s="55">
        <v>0</v>
      </c>
      <c r="AW401" s="55"/>
      <c r="AX401" s="55"/>
      <c r="AY401" s="56">
        <f t="shared" si="169"/>
        <v>6.9</v>
      </c>
      <c r="AZ401" s="55"/>
      <c r="BA401" s="56">
        <v>30.166666666666668</v>
      </c>
      <c r="BB401" s="41">
        <f t="shared" si="171"/>
        <v>-0.77127071823204418</v>
      </c>
      <c r="BC401" s="13"/>
      <c r="BD401" s="35"/>
      <c r="BE401" s="13"/>
      <c r="BF401" s="16"/>
      <c r="BG401" s="17">
        <f t="shared" si="162"/>
        <v>0</v>
      </c>
      <c r="BH401" s="20">
        <f>ROUND(IFERROR(IF(F401=1,IF(BC401&lt;AY401*3,AY401*3-BC401,0),IF(BC401&lt;AY401,AY401*0.6-BC401,0)),""),0)</f>
        <v>4</v>
      </c>
    </row>
    <row r="402" spans="1:60" s="21" customFormat="1" ht="12.75" customHeight="1" x14ac:dyDescent="0.2">
      <c r="A402" s="51">
        <v>4042</v>
      </c>
      <c r="B402" s="51"/>
      <c r="C402" s="66" t="s">
        <v>1803</v>
      </c>
      <c r="D402" s="52" t="s">
        <v>760</v>
      </c>
      <c r="E402" s="52" t="s">
        <v>736</v>
      </c>
      <c r="F402" s="53">
        <f>IFERROR(VLOOKUP(E402,Fornecedores!$A$2:$B$2700,2,FALSE),"")</f>
        <v>5</v>
      </c>
      <c r="G402" s="52" t="s">
        <v>1569</v>
      </c>
      <c r="H402" s="54"/>
      <c r="I402" s="55">
        <f t="shared" si="163"/>
        <v>6</v>
      </c>
      <c r="J402" s="55">
        <v>6</v>
      </c>
      <c r="K402" s="55">
        <v>0</v>
      </c>
      <c r="L402" s="55">
        <v>0</v>
      </c>
      <c r="M402" s="55">
        <v>0</v>
      </c>
      <c r="N402" s="55">
        <f t="shared" si="164"/>
        <v>5</v>
      </c>
      <c r="O402" s="55">
        <v>5</v>
      </c>
      <c r="P402" s="55">
        <v>0</v>
      </c>
      <c r="Q402" s="55">
        <v>0</v>
      </c>
      <c r="R402" s="55">
        <f t="shared" si="165"/>
        <v>0</v>
      </c>
      <c r="S402" s="55">
        <v>0</v>
      </c>
      <c r="T402" s="55">
        <v>0</v>
      </c>
      <c r="U402" s="55">
        <v>0</v>
      </c>
      <c r="V402" s="55">
        <v>2</v>
      </c>
      <c r="W402" s="53">
        <v>2</v>
      </c>
      <c r="X402" s="53">
        <v>0</v>
      </c>
      <c r="Y402" s="55">
        <v>0</v>
      </c>
      <c r="Z402" s="55">
        <v>5</v>
      </c>
      <c r="AA402" s="53">
        <v>5</v>
      </c>
      <c r="AB402" s="53">
        <v>0</v>
      </c>
      <c r="AC402" s="55">
        <v>0</v>
      </c>
      <c r="AD402" s="55">
        <f t="shared" si="166"/>
        <v>1</v>
      </c>
      <c r="AE402" s="53">
        <v>1</v>
      </c>
      <c r="AF402" s="55">
        <v>0</v>
      </c>
      <c r="AG402" s="55">
        <v>0</v>
      </c>
      <c r="AH402" s="55">
        <f t="shared" si="167"/>
        <v>7</v>
      </c>
      <c r="AI402" s="55">
        <v>7</v>
      </c>
      <c r="AJ402" s="55">
        <v>0</v>
      </c>
      <c r="AK402" s="55">
        <v>0</v>
      </c>
      <c r="AL402" s="55">
        <f t="shared" si="168"/>
        <v>8</v>
      </c>
      <c r="AM402" s="55">
        <v>8</v>
      </c>
      <c r="AN402" s="55">
        <v>0</v>
      </c>
      <c r="AO402" s="55">
        <v>0</v>
      </c>
      <c r="AP402" s="55">
        <f t="shared" si="158"/>
        <v>1</v>
      </c>
      <c r="AQ402" s="55">
        <f>IFERROR(VLOOKUP(A402,[1]SIIMPLES!$A$2:$F$418,6,FALSE),0)</f>
        <v>1</v>
      </c>
      <c r="AR402" s="55">
        <v>0</v>
      </c>
      <c r="AS402" s="55">
        <v>1</v>
      </c>
      <c r="AT402" s="55">
        <v>1</v>
      </c>
      <c r="AU402" s="55">
        <v>0</v>
      </c>
      <c r="AV402" s="55">
        <v>0</v>
      </c>
      <c r="AW402" s="55"/>
      <c r="AX402" s="55"/>
      <c r="AY402" s="56">
        <f t="shared" si="169"/>
        <v>3.6</v>
      </c>
      <c r="AZ402" s="55"/>
      <c r="BA402" s="56">
        <v>2</v>
      </c>
      <c r="BB402" s="41">
        <f t="shared" si="171"/>
        <v>0.8</v>
      </c>
      <c r="BC402" s="13"/>
      <c r="BD402" s="35"/>
      <c r="BE402" s="13"/>
      <c r="BF402" s="16"/>
      <c r="BG402" s="17">
        <f t="shared" si="162"/>
        <v>0</v>
      </c>
      <c r="BH402" s="20">
        <f>ROUND(IFERROR(IF(F402=1,IF(BC402&lt;AY402*3,AY402*3-BC402,0),IF(BC402&lt;AY402,AY402*0.6-BC402,0)),""),0)</f>
        <v>2</v>
      </c>
    </row>
    <row r="403" spans="1:60" s="21" customFormat="1" ht="12.75" customHeight="1" x14ac:dyDescent="0.2">
      <c r="A403" s="51">
        <v>4044</v>
      </c>
      <c r="B403" s="51" t="s">
        <v>1077</v>
      </c>
      <c r="C403" s="66" t="s">
        <v>1803</v>
      </c>
      <c r="D403" s="52" t="s">
        <v>760</v>
      </c>
      <c r="E403" s="52" t="s">
        <v>736</v>
      </c>
      <c r="F403" s="53">
        <f>IFERROR(VLOOKUP(E403,Fornecedores!$A$2:$B$2700,2,FALSE),"")</f>
        <v>5</v>
      </c>
      <c r="G403" s="52" t="s">
        <v>614</v>
      </c>
      <c r="H403" s="54"/>
      <c r="I403" s="55">
        <f t="shared" si="163"/>
        <v>0</v>
      </c>
      <c r="J403" s="55">
        <v>0</v>
      </c>
      <c r="K403" s="55">
        <v>0</v>
      </c>
      <c r="L403" s="55">
        <v>0</v>
      </c>
      <c r="M403" s="55">
        <v>0</v>
      </c>
      <c r="N403" s="55">
        <f t="shared" si="164"/>
        <v>1</v>
      </c>
      <c r="O403" s="55">
        <v>1</v>
      </c>
      <c r="P403" s="55">
        <v>0</v>
      </c>
      <c r="Q403" s="55">
        <v>0</v>
      </c>
      <c r="R403" s="55">
        <f t="shared" si="165"/>
        <v>0</v>
      </c>
      <c r="S403" s="55">
        <v>0</v>
      </c>
      <c r="T403" s="55">
        <v>0</v>
      </c>
      <c r="U403" s="55">
        <v>0</v>
      </c>
      <c r="V403" s="55">
        <v>0</v>
      </c>
      <c r="W403" s="53">
        <v>0</v>
      </c>
      <c r="X403" s="53">
        <v>0</v>
      </c>
      <c r="Y403" s="55">
        <v>0</v>
      </c>
      <c r="Z403" s="55">
        <v>0</v>
      </c>
      <c r="AA403" s="53">
        <v>0</v>
      </c>
      <c r="AB403" s="53">
        <v>0</v>
      </c>
      <c r="AC403" s="55">
        <v>0</v>
      </c>
      <c r="AD403" s="55">
        <f t="shared" si="166"/>
        <v>2</v>
      </c>
      <c r="AE403" s="53">
        <v>2</v>
      </c>
      <c r="AF403" s="55">
        <v>0</v>
      </c>
      <c r="AG403" s="55">
        <v>0</v>
      </c>
      <c r="AH403" s="55">
        <f t="shared" si="167"/>
        <v>0</v>
      </c>
      <c r="AI403" s="55">
        <v>0</v>
      </c>
      <c r="AJ403" s="55">
        <v>0</v>
      </c>
      <c r="AK403" s="55">
        <v>0</v>
      </c>
      <c r="AL403" s="55">
        <f t="shared" si="168"/>
        <v>1</v>
      </c>
      <c r="AM403" s="55">
        <v>1</v>
      </c>
      <c r="AN403" s="55">
        <v>0</v>
      </c>
      <c r="AO403" s="55">
        <v>0</v>
      </c>
      <c r="AP403" s="55">
        <f t="shared" si="158"/>
        <v>1</v>
      </c>
      <c r="AQ403" s="55">
        <f>IFERROR(VLOOKUP(A403,[1]SIIMPLES!$A$2:$F$418,6,FALSE),0)</f>
        <v>1</v>
      </c>
      <c r="AR403" s="55">
        <v>0</v>
      </c>
      <c r="AS403" s="55">
        <v>0</v>
      </c>
      <c r="AT403" s="55">
        <v>0</v>
      </c>
      <c r="AU403" s="55">
        <v>0</v>
      </c>
      <c r="AV403" s="55">
        <v>0</v>
      </c>
      <c r="AW403" s="55"/>
      <c r="AX403" s="55"/>
      <c r="AY403" s="56">
        <f t="shared" si="169"/>
        <v>0.5</v>
      </c>
      <c r="AZ403" s="55"/>
      <c r="BA403" s="56">
        <v>0.66666666666666663</v>
      </c>
      <c r="BB403" s="41">
        <f t="shared" si="171"/>
        <v>-0.25</v>
      </c>
      <c r="BC403" s="13"/>
      <c r="BD403" s="35"/>
      <c r="BE403" s="13"/>
      <c r="BF403" s="16">
        <f>SUM(BC403:BE403)</f>
        <v>0</v>
      </c>
      <c r="BG403" s="17">
        <f t="shared" si="162"/>
        <v>0</v>
      </c>
      <c r="BH403" s="16">
        <f t="shared" ref="BH403:BH410" si="172">IFERROR(IF(F403=1,IF(BC403&lt;AY403*3,AY403*3-BC403,0),IF(BC403&lt;AY403,AY403-BC403,0)),"")</f>
        <v>0.5</v>
      </c>
    </row>
    <row r="404" spans="1:60" s="21" customFormat="1" ht="12.75" customHeight="1" x14ac:dyDescent="0.2">
      <c r="A404" s="51">
        <v>4052</v>
      </c>
      <c r="B404" s="51"/>
      <c r="C404" s="66" t="s">
        <v>1803</v>
      </c>
      <c r="D404" s="52" t="s">
        <v>760</v>
      </c>
      <c r="E404" s="52" t="s">
        <v>736</v>
      </c>
      <c r="F404" s="53">
        <f>IFERROR(VLOOKUP(E404,Fornecedores!$A$2:$B$2700,2,FALSE),"")</f>
        <v>5</v>
      </c>
      <c r="G404" s="52" t="s">
        <v>1676</v>
      </c>
      <c r="H404" s="57"/>
      <c r="I404" s="55">
        <f t="shared" si="163"/>
        <v>0</v>
      </c>
      <c r="J404" s="55">
        <v>0</v>
      </c>
      <c r="K404" s="55">
        <v>0</v>
      </c>
      <c r="L404" s="55">
        <v>0</v>
      </c>
      <c r="M404" s="55">
        <v>0</v>
      </c>
      <c r="N404" s="55">
        <f t="shared" si="164"/>
        <v>0</v>
      </c>
      <c r="O404" s="55">
        <v>0</v>
      </c>
      <c r="P404" s="55">
        <v>0</v>
      </c>
      <c r="Q404" s="55">
        <v>0</v>
      </c>
      <c r="R404" s="55">
        <f t="shared" si="165"/>
        <v>0</v>
      </c>
      <c r="S404" s="55">
        <v>0</v>
      </c>
      <c r="T404" s="55">
        <v>0</v>
      </c>
      <c r="U404" s="55">
        <v>0</v>
      </c>
      <c r="V404" s="55">
        <v>1</v>
      </c>
      <c r="W404" s="53">
        <v>1</v>
      </c>
      <c r="X404" s="53">
        <v>0</v>
      </c>
      <c r="Y404" s="55">
        <v>0</v>
      </c>
      <c r="Z404" s="55">
        <v>1</v>
      </c>
      <c r="AA404" s="53">
        <v>1</v>
      </c>
      <c r="AB404" s="53">
        <v>0</v>
      </c>
      <c r="AC404" s="55">
        <v>0</v>
      </c>
      <c r="AD404" s="55">
        <f t="shared" si="166"/>
        <v>0</v>
      </c>
      <c r="AE404" s="53">
        <v>0</v>
      </c>
      <c r="AF404" s="55">
        <v>0</v>
      </c>
      <c r="AG404" s="55">
        <v>0</v>
      </c>
      <c r="AH404" s="55">
        <f t="shared" si="167"/>
        <v>0</v>
      </c>
      <c r="AI404" s="55">
        <v>0</v>
      </c>
      <c r="AJ404" s="55">
        <v>0</v>
      </c>
      <c r="AK404" s="55">
        <v>0</v>
      </c>
      <c r="AL404" s="55">
        <f t="shared" si="168"/>
        <v>0</v>
      </c>
      <c r="AM404" s="55" t="s">
        <v>1912</v>
      </c>
      <c r="AN404" s="55">
        <v>0</v>
      </c>
      <c r="AO404" s="55">
        <v>0</v>
      </c>
      <c r="AP404" s="55">
        <f t="shared" si="158"/>
        <v>1</v>
      </c>
      <c r="AQ404" s="55">
        <f>IFERROR(VLOOKUP(A404,[1]SIIMPLES!$A$2:$F$418,6,FALSE),0)</f>
        <v>1</v>
      </c>
      <c r="AR404" s="55">
        <v>0</v>
      </c>
      <c r="AS404" s="55">
        <v>0</v>
      </c>
      <c r="AT404" s="55">
        <v>0</v>
      </c>
      <c r="AU404" s="55">
        <v>0</v>
      </c>
      <c r="AV404" s="55">
        <v>0</v>
      </c>
      <c r="AW404" s="55"/>
      <c r="AX404" s="55"/>
      <c r="AY404" s="56">
        <f t="shared" si="169"/>
        <v>0.3</v>
      </c>
      <c r="AZ404" s="55"/>
      <c r="BA404" s="56">
        <v>0.5</v>
      </c>
      <c r="BB404" s="41">
        <f t="shared" si="171"/>
        <v>-0.4</v>
      </c>
      <c r="BC404" s="10"/>
      <c r="BD404" s="35"/>
      <c r="BE404" s="13"/>
      <c r="BF404" s="16">
        <f>SUM(BC404:BE404)</f>
        <v>0</v>
      </c>
      <c r="BG404" s="17">
        <f t="shared" si="162"/>
        <v>0</v>
      </c>
      <c r="BH404" s="16">
        <f t="shared" si="172"/>
        <v>0.3</v>
      </c>
    </row>
    <row r="405" spans="1:60" s="21" customFormat="1" ht="12.75" customHeight="1" x14ac:dyDescent="0.2">
      <c r="A405" s="51">
        <v>4053</v>
      </c>
      <c r="B405" s="51"/>
      <c r="C405" s="66" t="s">
        <v>1803</v>
      </c>
      <c r="D405" s="52" t="s">
        <v>760</v>
      </c>
      <c r="E405" s="52" t="s">
        <v>736</v>
      </c>
      <c r="F405" s="53">
        <f>IFERROR(VLOOKUP(E405,Fornecedores!$A$2:$B$2700,2,FALSE),"")</f>
        <v>5</v>
      </c>
      <c r="G405" s="52" t="s">
        <v>1592</v>
      </c>
      <c r="H405" s="57"/>
      <c r="I405" s="55">
        <f t="shared" si="163"/>
        <v>1</v>
      </c>
      <c r="J405" s="55">
        <v>1</v>
      </c>
      <c r="K405" s="55">
        <v>0</v>
      </c>
      <c r="L405" s="55">
        <v>0</v>
      </c>
      <c r="M405" s="55">
        <v>0</v>
      </c>
      <c r="N405" s="55">
        <f t="shared" si="164"/>
        <v>1</v>
      </c>
      <c r="O405" s="55">
        <v>1</v>
      </c>
      <c r="P405" s="55">
        <v>0</v>
      </c>
      <c r="Q405" s="55">
        <v>0</v>
      </c>
      <c r="R405" s="55">
        <f t="shared" si="165"/>
        <v>0</v>
      </c>
      <c r="S405" s="55">
        <v>0</v>
      </c>
      <c r="T405" s="55">
        <v>0</v>
      </c>
      <c r="U405" s="55">
        <v>0</v>
      </c>
      <c r="V405" s="55">
        <v>0</v>
      </c>
      <c r="W405" s="53">
        <v>0</v>
      </c>
      <c r="X405" s="53">
        <v>0</v>
      </c>
      <c r="Y405" s="55">
        <v>0</v>
      </c>
      <c r="Z405" s="55">
        <v>0</v>
      </c>
      <c r="AA405" s="53">
        <v>0</v>
      </c>
      <c r="AB405" s="53">
        <v>0</v>
      </c>
      <c r="AC405" s="55">
        <v>0</v>
      </c>
      <c r="AD405" s="55">
        <f t="shared" si="166"/>
        <v>0</v>
      </c>
      <c r="AE405" s="53">
        <v>0</v>
      </c>
      <c r="AF405" s="55">
        <v>0</v>
      </c>
      <c r="AG405" s="55">
        <v>0</v>
      </c>
      <c r="AH405" s="55">
        <f t="shared" si="167"/>
        <v>0</v>
      </c>
      <c r="AI405" s="55">
        <v>0</v>
      </c>
      <c r="AJ405" s="55">
        <v>0</v>
      </c>
      <c r="AK405" s="55">
        <v>0</v>
      </c>
      <c r="AL405" s="55">
        <f t="shared" si="168"/>
        <v>0</v>
      </c>
      <c r="AM405" s="55" t="s">
        <v>1912</v>
      </c>
      <c r="AN405" s="55">
        <v>0</v>
      </c>
      <c r="AO405" s="55">
        <v>0</v>
      </c>
      <c r="AP405" s="55">
        <f t="shared" si="158"/>
        <v>1</v>
      </c>
      <c r="AQ405" s="55">
        <f>IFERROR(VLOOKUP(A405,[1]SIIMPLES!$A$2:$F$418,6,FALSE),0)</f>
        <v>1</v>
      </c>
      <c r="AR405" s="55">
        <v>0</v>
      </c>
      <c r="AS405" s="55">
        <v>2</v>
      </c>
      <c r="AT405" s="55">
        <v>2</v>
      </c>
      <c r="AU405" s="55">
        <v>0</v>
      </c>
      <c r="AV405" s="55">
        <v>0</v>
      </c>
      <c r="AW405" s="55"/>
      <c r="AX405" s="55"/>
      <c r="AY405" s="56">
        <f t="shared" si="169"/>
        <v>0.5</v>
      </c>
      <c r="AZ405" s="55"/>
      <c r="BA405" s="56">
        <v>2.5</v>
      </c>
      <c r="BB405" s="41">
        <f t="shared" si="171"/>
        <v>-0.8</v>
      </c>
      <c r="BC405" s="13"/>
      <c r="BD405" s="35"/>
      <c r="BE405" s="7"/>
      <c r="BF405" s="16"/>
      <c r="BG405" s="17">
        <f t="shared" si="162"/>
        <v>0</v>
      </c>
      <c r="BH405" s="16">
        <f t="shared" si="172"/>
        <v>0.5</v>
      </c>
    </row>
    <row r="406" spans="1:60" s="21" customFormat="1" ht="12.75" customHeight="1" x14ac:dyDescent="0.2">
      <c r="A406" s="51">
        <v>4054</v>
      </c>
      <c r="B406" s="51" t="s">
        <v>1077</v>
      </c>
      <c r="C406" s="66" t="s">
        <v>1803</v>
      </c>
      <c r="D406" s="52" t="s">
        <v>760</v>
      </c>
      <c r="E406" s="52" t="s">
        <v>736</v>
      </c>
      <c r="F406" s="53">
        <f>IFERROR(VLOOKUP(E406,Fornecedores!$A$2:$B$2700,2,FALSE),"")</f>
        <v>5</v>
      </c>
      <c r="G406" s="52" t="s">
        <v>911</v>
      </c>
      <c r="H406" s="57"/>
      <c r="I406" s="55">
        <f t="shared" si="163"/>
        <v>2</v>
      </c>
      <c r="J406" s="55">
        <v>2</v>
      </c>
      <c r="K406" s="55">
        <v>0</v>
      </c>
      <c r="L406" s="55">
        <v>0</v>
      </c>
      <c r="M406" s="55">
        <v>0</v>
      </c>
      <c r="N406" s="55">
        <f t="shared" si="164"/>
        <v>0</v>
      </c>
      <c r="O406" s="55">
        <v>0</v>
      </c>
      <c r="P406" s="55">
        <v>0</v>
      </c>
      <c r="Q406" s="55">
        <v>0</v>
      </c>
      <c r="R406" s="55">
        <f t="shared" si="165"/>
        <v>1</v>
      </c>
      <c r="S406" s="55">
        <v>1</v>
      </c>
      <c r="T406" s="55">
        <v>0</v>
      </c>
      <c r="U406" s="55">
        <v>0</v>
      </c>
      <c r="V406" s="55">
        <v>1</v>
      </c>
      <c r="W406" s="53">
        <v>1</v>
      </c>
      <c r="X406" s="53">
        <v>0</v>
      </c>
      <c r="Y406" s="55">
        <v>0</v>
      </c>
      <c r="Z406" s="55">
        <v>1</v>
      </c>
      <c r="AA406" s="53">
        <v>1</v>
      </c>
      <c r="AB406" s="53">
        <v>0</v>
      </c>
      <c r="AC406" s="55">
        <v>0</v>
      </c>
      <c r="AD406" s="55">
        <f t="shared" si="166"/>
        <v>0</v>
      </c>
      <c r="AE406" s="53">
        <v>0</v>
      </c>
      <c r="AF406" s="55">
        <v>0</v>
      </c>
      <c r="AG406" s="55">
        <v>0</v>
      </c>
      <c r="AH406" s="55">
        <f t="shared" si="167"/>
        <v>0</v>
      </c>
      <c r="AI406" s="55">
        <v>0</v>
      </c>
      <c r="AJ406" s="55">
        <v>0</v>
      </c>
      <c r="AK406" s="55">
        <v>0</v>
      </c>
      <c r="AL406" s="55">
        <f t="shared" si="168"/>
        <v>1</v>
      </c>
      <c r="AM406" s="55">
        <v>1</v>
      </c>
      <c r="AN406" s="55">
        <v>0</v>
      </c>
      <c r="AO406" s="55">
        <v>0</v>
      </c>
      <c r="AP406" s="55">
        <f t="shared" si="158"/>
        <v>1</v>
      </c>
      <c r="AQ406" s="55">
        <f>IFERROR(VLOOKUP(A406,[1]SIIMPLES!$A$2:$F$418,6,FALSE),0)</f>
        <v>1</v>
      </c>
      <c r="AR406" s="55">
        <v>0</v>
      </c>
      <c r="AS406" s="55">
        <v>6</v>
      </c>
      <c r="AT406" s="55">
        <v>6</v>
      </c>
      <c r="AU406" s="55">
        <v>0</v>
      </c>
      <c r="AV406" s="55">
        <v>0</v>
      </c>
      <c r="AW406" s="55"/>
      <c r="AX406" s="55"/>
      <c r="AY406" s="56">
        <f t="shared" si="169"/>
        <v>1.3</v>
      </c>
      <c r="AZ406" s="55"/>
      <c r="BA406" s="56">
        <v>0.5</v>
      </c>
      <c r="BB406" s="41">
        <f t="shared" si="171"/>
        <v>1.6</v>
      </c>
      <c r="BC406" s="13"/>
      <c r="BD406" s="35"/>
      <c r="BE406" s="13"/>
      <c r="BF406" s="16">
        <f>SUM(BC406:BE406)</f>
        <v>0</v>
      </c>
      <c r="BG406" s="17">
        <f t="shared" si="162"/>
        <v>0</v>
      </c>
      <c r="BH406" s="16">
        <f t="shared" si="172"/>
        <v>1.3</v>
      </c>
    </row>
    <row r="407" spans="1:60" s="21" customFormat="1" ht="12.75" customHeight="1" x14ac:dyDescent="0.2">
      <c r="A407" s="51">
        <v>4058</v>
      </c>
      <c r="B407" s="51" t="s">
        <v>1077</v>
      </c>
      <c r="C407" s="66" t="s">
        <v>1803</v>
      </c>
      <c r="D407" s="52" t="s">
        <v>760</v>
      </c>
      <c r="E407" s="52" t="s">
        <v>736</v>
      </c>
      <c r="F407" s="53">
        <f>IFERROR(VLOOKUP(E407,Fornecedores!$A$2:$B$2700,2,FALSE),"")</f>
        <v>5</v>
      </c>
      <c r="G407" s="52" t="s">
        <v>432</v>
      </c>
      <c r="H407" s="54"/>
      <c r="I407" s="55">
        <f t="shared" si="163"/>
        <v>8</v>
      </c>
      <c r="J407" s="55">
        <v>8</v>
      </c>
      <c r="K407" s="55">
        <v>0</v>
      </c>
      <c r="L407" s="55">
        <v>0</v>
      </c>
      <c r="M407" s="55">
        <v>0</v>
      </c>
      <c r="N407" s="55">
        <f t="shared" si="164"/>
        <v>0</v>
      </c>
      <c r="O407" s="55">
        <v>0</v>
      </c>
      <c r="P407" s="55">
        <v>0</v>
      </c>
      <c r="Q407" s="55">
        <v>0</v>
      </c>
      <c r="R407" s="55">
        <f t="shared" si="165"/>
        <v>6</v>
      </c>
      <c r="S407" s="55">
        <v>6</v>
      </c>
      <c r="T407" s="55">
        <v>0</v>
      </c>
      <c r="U407" s="55">
        <v>0</v>
      </c>
      <c r="V407" s="55">
        <v>4</v>
      </c>
      <c r="W407" s="53">
        <v>4</v>
      </c>
      <c r="X407" s="53">
        <v>0</v>
      </c>
      <c r="Y407" s="55">
        <v>0</v>
      </c>
      <c r="Z407" s="55">
        <v>7</v>
      </c>
      <c r="AA407" s="53">
        <v>7</v>
      </c>
      <c r="AB407" s="53">
        <v>0</v>
      </c>
      <c r="AC407" s="55">
        <v>0</v>
      </c>
      <c r="AD407" s="55">
        <f t="shared" si="166"/>
        <v>6</v>
      </c>
      <c r="AE407" s="53">
        <v>6</v>
      </c>
      <c r="AF407" s="55">
        <v>0</v>
      </c>
      <c r="AG407" s="55">
        <v>0</v>
      </c>
      <c r="AH407" s="55">
        <f t="shared" si="167"/>
        <v>15</v>
      </c>
      <c r="AI407" s="55">
        <v>15</v>
      </c>
      <c r="AJ407" s="55">
        <v>0</v>
      </c>
      <c r="AK407" s="55">
        <v>0</v>
      </c>
      <c r="AL407" s="55">
        <f t="shared" si="168"/>
        <v>2</v>
      </c>
      <c r="AM407" s="55">
        <v>2</v>
      </c>
      <c r="AN407" s="55">
        <v>0</v>
      </c>
      <c r="AO407" s="55">
        <v>0</v>
      </c>
      <c r="AP407" s="55">
        <f t="shared" si="158"/>
        <v>1</v>
      </c>
      <c r="AQ407" s="55">
        <f>IFERROR(VLOOKUP(A407,[1]SIIMPLES!$A$2:$F$418,6,FALSE),0)</f>
        <v>1</v>
      </c>
      <c r="AR407" s="55">
        <v>0</v>
      </c>
      <c r="AS407" s="55">
        <v>8</v>
      </c>
      <c r="AT407" s="55">
        <v>8</v>
      </c>
      <c r="AU407" s="55">
        <v>0</v>
      </c>
      <c r="AV407" s="55">
        <v>0</v>
      </c>
      <c r="AW407" s="55"/>
      <c r="AX407" s="55"/>
      <c r="AY407" s="56">
        <f t="shared" si="169"/>
        <v>5.7</v>
      </c>
      <c r="AZ407" s="55"/>
      <c r="BA407" s="56">
        <v>28.833333333333332</v>
      </c>
      <c r="BB407" s="41">
        <f t="shared" si="171"/>
        <v>-0.80231213872832363</v>
      </c>
      <c r="BC407" s="13"/>
      <c r="BD407" s="37"/>
      <c r="BE407" s="13"/>
      <c r="BF407" s="16">
        <f>SUM(BC407:BE407)</f>
        <v>0</v>
      </c>
      <c r="BG407" s="17">
        <f t="shared" si="162"/>
        <v>0</v>
      </c>
      <c r="BH407" s="16">
        <f t="shared" si="172"/>
        <v>5.7</v>
      </c>
    </row>
    <row r="408" spans="1:60" s="21" customFormat="1" ht="12.75" customHeight="1" x14ac:dyDescent="0.2">
      <c r="A408" s="51">
        <v>4063</v>
      </c>
      <c r="B408" s="51" t="s">
        <v>1077</v>
      </c>
      <c r="C408" s="66" t="s">
        <v>1803</v>
      </c>
      <c r="D408" s="52" t="s">
        <v>760</v>
      </c>
      <c r="E408" s="52" t="s">
        <v>736</v>
      </c>
      <c r="F408" s="53">
        <f>IFERROR(VLOOKUP(E408,Fornecedores!$A$2:$B$2700,2,FALSE),"")</f>
        <v>5</v>
      </c>
      <c r="G408" s="52" t="s">
        <v>448</v>
      </c>
      <c r="H408" s="54"/>
      <c r="I408" s="55">
        <f t="shared" si="163"/>
        <v>12</v>
      </c>
      <c r="J408" s="55">
        <v>12</v>
      </c>
      <c r="K408" s="55">
        <v>0</v>
      </c>
      <c r="L408" s="55">
        <v>0</v>
      </c>
      <c r="M408" s="55">
        <v>0</v>
      </c>
      <c r="N408" s="55">
        <f t="shared" si="164"/>
        <v>4</v>
      </c>
      <c r="O408" s="55">
        <v>4</v>
      </c>
      <c r="P408" s="55">
        <v>0</v>
      </c>
      <c r="Q408" s="55">
        <v>0</v>
      </c>
      <c r="R408" s="55">
        <f t="shared" si="165"/>
        <v>5</v>
      </c>
      <c r="S408" s="55">
        <v>5</v>
      </c>
      <c r="T408" s="55">
        <v>0</v>
      </c>
      <c r="U408" s="55">
        <v>0</v>
      </c>
      <c r="V408" s="55">
        <v>17</v>
      </c>
      <c r="W408" s="53">
        <v>17</v>
      </c>
      <c r="X408" s="53">
        <v>0</v>
      </c>
      <c r="Y408" s="55">
        <v>0</v>
      </c>
      <c r="Z408" s="55">
        <v>4</v>
      </c>
      <c r="AA408" s="53">
        <v>4</v>
      </c>
      <c r="AB408" s="53">
        <v>0</v>
      </c>
      <c r="AC408" s="55">
        <v>0</v>
      </c>
      <c r="AD408" s="55">
        <f t="shared" si="166"/>
        <v>9</v>
      </c>
      <c r="AE408" s="53">
        <v>9</v>
      </c>
      <c r="AF408" s="55">
        <v>0</v>
      </c>
      <c r="AG408" s="55">
        <v>0</v>
      </c>
      <c r="AH408" s="55">
        <f t="shared" si="167"/>
        <v>10</v>
      </c>
      <c r="AI408" s="55">
        <v>10</v>
      </c>
      <c r="AJ408" s="55">
        <v>0</v>
      </c>
      <c r="AK408" s="55">
        <v>0</v>
      </c>
      <c r="AL408" s="55">
        <f t="shared" si="168"/>
        <v>5</v>
      </c>
      <c r="AM408" s="55">
        <v>5</v>
      </c>
      <c r="AN408" s="55">
        <v>0</v>
      </c>
      <c r="AO408" s="55">
        <v>0</v>
      </c>
      <c r="AP408" s="55">
        <f t="shared" si="158"/>
        <v>1</v>
      </c>
      <c r="AQ408" s="55">
        <f>IFERROR(VLOOKUP(A408,[1]SIIMPLES!$A$2:$F$418,6,FALSE),0)</f>
        <v>1</v>
      </c>
      <c r="AR408" s="55">
        <v>0</v>
      </c>
      <c r="AS408" s="55">
        <v>0</v>
      </c>
      <c r="AT408" s="55">
        <v>0</v>
      </c>
      <c r="AU408" s="55">
        <v>0</v>
      </c>
      <c r="AV408" s="55">
        <v>0</v>
      </c>
      <c r="AW408" s="55"/>
      <c r="AX408" s="55"/>
      <c r="AY408" s="56">
        <f t="shared" si="169"/>
        <v>6.7</v>
      </c>
      <c r="AZ408" s="55"/>
      <c r="BA408" s="56">
        <v>46.166666666666664</v>
      </c>
      <c r="BB408" s="41">
        <f t="shared" si="171"/>
        <v>-0.85487364620938622</v>
      </c>
      <c r="BC408" s="13"/>
      <c r="BD408" s="35"/>
      <c r="BE408" s="13"/>
      <c r="BF408" s="16">
        <f>SUM(BC408:BE408)</f>
        <v>0</v>
      </c>
      <c r="BG408" s="17">
        <f t="shared" si="162"/>
        <v>0</v>
      </c>
      <c r="BH408" s="16">
        <f t="shared" si="172"/>
        <v>6.7</v>
      </c>
    </row>
    <row r="409" spans="1:60" s="21" customFormat="1" ht="12.75" customHeight="1" x14ac:dyDescent="0.2">
      <c r="A409" s="51">
        <v>4083</v>
      </c>
      <c r="B409" s="51" t="s">
        <v>1077</v>
      </c>
      <c r="C409" s="66" t="s">
        <v>1803</v>
      </c>
      <c r="D409" s="52" t="s">
        <v>760</v>
      </c>
      <c r="E409" s="52" t="s">
        <v>736</v>
      </c>
      <c r="F409" s="53">
        <f>IFERROR(VLOOKUP(E409,Fornecedores!$A$2:$B$2700,2,FALSE),"")</f>
        <v>5</v>
      </c>
      <c r="G409" s="52" t="s">
        <v>914</v>
      </c>
      <c r="H409" s="57"/>
      <c r="I409" s="55">
        <f t="shared" si="163"/>
        <v>1</v>
      </c>
      <c r="J409" s="55">
        <v>1</v>
      </c>
      <c r="K409" s="55">
        <v>0</v>
      </c>
      <c r="L409" s="55">
        <v>0</v>
      </c>
      <c r="M409" s="55">
        <v>0</v>
      </c>
      <c r="N409" s="55">
        <f t="shared" si="164"/>
        <v>2</v>
      </c>
      <c r="O409" s="55">
        <v>2</v>
      </c>
      <c r="P409" s="55">
        <v>0</v>
      </c>
      <c r="Q409" s="55">
        <v>0</v>
      </c>
      <c r="R409" s="55">
        <f t="shared" si="165"/>
        <v>0</v>
      </c>
      <c r="S409" s="55">
        <v>0</v>
      </c>
      <c r="T409" s="55">
        <v>0</v>
      </c>
      <c r="U409" s="55">
        <v>0</v>
      </c>
      <c r="V409" s="55">
        <v>1</v>
      </c>
      <c r="W409" s="53">
        <v>1</v>
      </c>
      <c r="X409" s="53">
        <v>0</v>
      </c>
      <c r="Y409" s="55">
        <v>0</v>
      </c>
      <c r="Z409" s="55">
        <v>0</v>
      </c>
      <c r="AA409" s="53">
        <v>0</v>
      </c>
      <c r="AB409" s="53">
        <v>0</v>
      </c>
      <c r="AC409" s="55">
        <v>0</v>
      </c>
      <c r="AD409" s="55">
        <f t="shared" si="166"/>
        <v>1</v>
      </c>
      <c r="AE409" s="53">
        <v>1</v>
      </c>
      <c r="AF409" s="55">
        <v>0</v>
      </c>
      <c r="AG409" s="55">
        <v>0</v>
      </c>
      <c r="AH409" s="55">
        <f t="shared" si="167"/>
        <v>3</v>
      </c>
      <c r="AI409" s="55">
        <v>3</v>
      </c>
      <c r="AJ409" s="55">
        <v>0</v>
      </c>
      <c r="AK409" s="55">
        <v>0</v>
      </c>
      <c r="AL409" s="55">
        <f t="shared" si="168"/>
        <v>1</v>
      </c>
      <c r="AM409" s="55">
        <v>1</v>
      </c>
      <c r="AN409" s="55">
        <v>0</v>
      </c>
      <c r="AO409" s="55">
        <v>0</v>
      </c>
      <c r="AP409" s="55">
        <f t="shared" si="158"/>
        <v>1</v>
      </c>
      <c r="AQ409" s="55">
        <f>IFERROR(VLOOKUP(A409,[1]SIIMPLES!$A$2:$F$418,6,FALSE),0)</f>
        <v>1</v>
      </c>
      <c r="AR409" s="55">
        <v>0</v>
      </c>
      <c r="AS409" s="55">
        <v>3</v>
      </c>
      <c r="AT409" s="55">
        <v>3</v>
      </c>
      <c r="AU409" s="55">
        <v>0</v>
      </c>
      <c r="AV409" s="55">
        <v>0</v>
      </c>
      <c r="AW409" s="55"/>
      <c r="AX409" s="55"/>
      <c r="AY409" s="56">
        <f t="shared" si="169"/>
        <v>1.3</v>
      </c>
      <c r="AZ409" s="55"/>
      <c r="BA409" s="56">
        <v>0.5</v>
      </c>
      <c r="BB409" s="41">
        <f t="shared" si="171"/>
        <v>1.6</v>
      </c>
      <c r="BC409" s="13"/>
      <c r="BD409" s="35"/>
      <c r="BE409" s="13"/>
      <c r="BF409" s="16">
        <f>SUM(BC409:BE409)</f>
        <v>0</v>
      </c>
      <c r="BG409" s="17">
        <f t="shared" si="162"/>
        <v>0</v>
      </c>
      <c r="BH409" s="16">
        <f t="shared" si="172"/>
        <v>1.3</v>
      </c>
    </row>
    <row r="410" spans="1:60" s="21" customFormat="1" ht="12.75" customHeight="1" x14ac:dyDescent="0.2">
      <c r="A410" s="51">
        <v>4085</v>
      </c>
      <c r="B410" s="51"/>
      <c r="C410" s="66" t="s">
        <v>1803</v>
      </c>
      <c r="D410" s="52" t="s">
        <v>760</v>
      </c>
      <c r="E410" s="52" t="s">
        <v>736</v>
      </c>
      <c r="F410" s="53">
        <f>IFERROR(VLOOKUP(E410,Fornecedores!$A$2:$B$2700,2,FALSE),"")</f>
        <v>5</v>
      </c>
      <c r="G410" s="52" t="s">
        <v>1663</v>
      </c>
      <c r="H410" s="57"/>
      <c r="I410" s="55">
        <f t="shared" si="163"/>
        <v>0</v>
      </c>
      <c r="J410" s="55">
        <v>0</v>
      </c>
      <c r="K410" s="55">
        <v>0</v>
      </c>
      <c r="L410" s="55">
        <v>0</v>
      </c>
      <c r="M410" s="55">
        <v>0</v>
      </c>
      <c r="N410" s="55">
        <f t="shared" si="164"/>
        <v>0</v>
      </c>
      <c r="O410" s="55">
        <v>0</v>
      </c>
      <c r="P410" s="55">
        <v>0</v>
      </c>
      <c r="Q410" s="55">
        <v>0</v>
      </c>
      <c r="R410" s="55">
        <f t="shared" si="165"/>
        <v>0</v>
      </c>
      <c r="S410" s="55">
        <v>0</v>
      </c>
      <c r="T410" s="55">
        <v>0</v>
      </c>
      <c r="U410" s="55">
        <v>0</v>
      </c>
      <c r="V410" s="55">
        <v>1</v>
      </c>
      <c r="W410" s="53">
        <v>1</v>
      </c>
      <c r="X410" s="53">
        <v>0</v>
      </c>
      <c r="Y410" s="55">
        <v>0</v>
      </c>
      <c r="Z410" s="55">
        <v>2</v>
      </c>
      <c r="AA410" s="53">
        <v>2</v>
      </c>
      <c r="AB410" s="53">
        <v>0</v>
      </c>
      <c r="AC410" s="55">
        <v>0</v>
      </c>
      <c r="AD410" s="55">
        <f t="shared" si="166"/>
        <v>1</v>
      </c>
      <c r="AE410" s="53">
        <v>1</v>
      </c>
      <c r="AF410" s="55">
        <v>0</v>
      </c>
      <c r="AG410" s="55">
        <v>0</v>
      </c>
      <c r="AH410" s="55">
        <f t="shared" si="167"/>
        <v>1</v>
      </c>
      <c r="AI410" s="55">
        <v>1</v>
      </c>
      <c r="AJ410" s="55">
        <v>0</v>
      </c>
      <c r="AK410" s="55">
        <v>0</v>
      </c>
      <c r="AL410" s="55">
        <f t="shared" si="168"/>
        <v>0</v>
      </c>
      <c r="AM410" s="55" t="s">
        <v>1912</v>
      </c>
      <c r="AN410" s="55">
        <v>0</v>
      </c>
      <c r="AO410" s="55">
        <v>0</v>
      </c>
      <c r="AP410" s="55">
        <f t="shared" si="158"/>
        <v>1</v>
      </c>
      <c r="AQ410" s="55">
        <f>IFERROR(VLOOKUP(A410,[1]SIIMPLES!$A$2:$F$418,6,FALSE),0)</f>
        <v>1</v>
      </c>
      <c r="AR410" s="55">
        <v>0</v>
      </c>
      <c r="AS410" s="55">
        <v>0</v>
      </c>
      <c r="AT410" s="55">
        <v>0</v>
      </c>
      <c r="AU410" s="55">
        <v>0</v>
      </c>
      <c r="AV410" s="55">
        <v>0</v>
      </c>
      <c r="AW410" s="55"/>
      <c r="AX410" s="55"/>
      <c r="AY410" s="56">
        <f t="shared" si="169"/>
        <v>0.6</v>
      </c>
      <c r="AZ410" s="55"/>
      <c r="BA410" s="56">
        <v>0</v>
      </c>
      <c r="BB410" s="41" t="str">
        <f t="shared" si="171"/>
        <v/>
      </c>
      <c r="BC410" s="13"/>
      <c r="BD410" s="35"/>
      <c r="BE410" s="13"/>
      <c r="BF410" s="16">
        <f>SUM(BC410:BE410)</f>
        <v>0</v>
      </c>
      <c r="BG410" s="17">
        <f t="shared" si="162"/>
        <v>0</v>
      </c>
      <c r="BH410" s="16">
        <f t="shared" si="172"/>
        <v>0.6</v>
      </c>
    </row>
    <row r="411" spans="1:60" s="21" customFormat="1" ht="12.75" customHeight="1" x14ac:dyDescent="0.2">
      <c r="A411" s="51">
        <v>5616</v>
      </c>
      <c r="B411" s="51"/>
      <c r="C411" s="66" t="s">
        <v>1803</v>
      </c>
      <c r="D411" s="52" t="s">
        <v>735</v>
      </c>
      <c r="E411" s="52" t="s">
        <v>736</v>
      </c>
      <c r="F411" s="53">
        <f>IFERROR(VLOOKUP(E411,Fornecedores!$A$2:$B$2700,2,FALSE),"")</f>
        <v>5</v>
      </c>
      <c r="G411" s="52" t="s">
        <v>148</v>
      </c>
      <c r="H411" s="54"/>
      <c r="I411" s="55">
        <f t="shared" si="163"/>
        <v>0</v>
      </c>
      <c r="J411" s="55">
        <v>0</v>
      </c>
      <c r="K411" s="55">
        <v>0</v>
      </c>
      <c r="L411" s="55">
        <v>0</v>
      </c>
      <c r="M411" s="55">
        <v>0</v>
      </c>
      <c r="N411" s="55">
        <f t="shared" si="164"/>
        <v>0</v>
      </c>
      <c r="O411" s="55">
        <v>0</v>
      </c>
      <c r="P411" s="55">
        <v>0</v>
      </c>
      <c r="Q411" s="55">
        <v>0</v>
      </c>
      <c r="R411" s="55">
        <f t="shared" si="165"/>
        <v>2</v>
      </c>
      <c r="S411" s="55">
        <v>0</v>
      </c>
      <c r="T411" s="55">
        <v>2</v>
      </c>
      <c r="U411" s="55">
        <v>0</v>
      </c>
      <c r="V411" s="55">
        <v>0</v>
      </c>
      <c r="W411" s="53">
        <v>0</v>
      </c>
      <c r="X411" s="53">
        <v>0</v>
      </c>
      <c r="Y411" s="55">
        <v>0</v>
      </c>
      <c r="Z411" s="55">
        <v>0</v>
      </c>
      <c r="AA411" s="53">
        <v>0</v>
      </c>
      <c r="AB411" s="53">
        <v>0</v>
      </c>
      <c r="AC411" s="55">
        <v>0</v>
      </c>
      <c r="AD411" s="55">
        <f t="shared" si="166"/>
        <v>0</v>
      </c>
      <c r="AE411" s="53">
        <v>0</v>
      </c>
      <c r="AF411" s="55">
        <v>0</v>
      </c>
      <c r="AG411" s="55">
        <v>0</v>
      </c>
      <c r="AH411" s="55">
        <f t="shared" si="167"/>
        <v>0</v>
      </c>
      <c r="AI411" s="55">
        <v>0</v>
      </c>
      <c r="AJ411" s="55">
        <v>0</v>
      </c>
      <c r="AK411" s="55">
        <v>0</v>
      </c>
      <c r="AL411" s="55">
        <f t="shared" si="168"/>
        <v>1</v>
      </c>
      <c r="AM411" s="55">
        <v>1</v>
      </c>
      <c r="AN411" s="55">
        <v>0</v>
      </c>
      <c r="AO411" s="55">
        <v>0</v>
      </c>
      <c r="AP411" s="55">
        <f t="shared" si="158"/>
        <v>1</v>
      </c>
      <c r="AQ411" s="55">
        <f>IFERROR(VLOOKUP(A411,[1]SIIMPLES!$A$2:$F$418,6,FALSE),0)</f>
        <v>0</v>
      </c>
      <c r="AR411" s="55">
        <v>1</v>
      </c>
      <c r="AS411" s="55">
        <v>7</v>
      </c>
      <c r="AT411" s="55">
        <v>1</v>
      </c>
      <c r="AU411" s="55">
        <v>0</v>
      </c>
      <c r="AV411" s="55">
        <v>6</v>
      </c>
      <c r="AW411" s="55"/>
      <c r="AX411" s="55"/>
      <c r="AY411" s="56">
        <f t="shared" si="169"/>
        <v>1.1000000000000001</v>
      </c>
      <c r="AZ411" s="55"/>
      <c r="BA411" s="56">
        <v>1.1666666666666667</v>
      </c>
      <c r="BB411" s="41">
        <f t="shared" si="171"/>
        <v>-5.7142857142857162E-2</v>
      </c>
      <c r="BC411" s="13"/>
      <c r="BD411" s="36"/>
      <c r="BE411" s="7"/>
      <c r="BF411" s="7"/>
      <c r="BG411" s="17">
        <f t="shared" si="162"/>
        <v>0</v>
      </c>
      <c r="BH411" s="7"/>
    </row>
    <row r="412" spans="1:60" s="21" customFormat="1" ht="12.75" customHeight="1" x14ac:dyDescent="0.2">
      <c r="A412" s="51">
        <v>5621</v>
      </c>
      <c r="B412" s="51"/>
      <c r="C412" s="66" t="s">
        <v>1803</v>
      </c>
      <c r="D412" s="52" t="s">
        <v>735</v>
      </c>
      <c r="E412" s="52" t="s">
        <v>736</v>
      </c>
      <c r="F412" s="53">
        <f>IFERROR(VLOOKUP(E412,Fornecedores!$A$2:$B$2700,2,FALSE),"")</f>
        <v>5</v>
      </c>
      <c r="G412" s="52" t="s">
        <v>962</v>
      </c>
      <c r="H412" s="54"/>
      <c r="I412" s="55">
        <f t="shared" si="163"/>
        <v>0</v>
      </c>
      <c r="J412" s="55">
        <v>0</v>
      </c>
      <c r="K412" s="55">
        <v>0</v>
      </c>
      <c r="L412" s="55">
        <v>0</v>
      </c>
      <c r="M412" s="55">
        <v>0</v>
      </c>
      <c r="N412" s="55">
        <f t="shared" si="164"/>
        <v>0</v>
      </c>
      <c r="O412" s="55">
        <v>0</v>
      </c>
      <c r="P412" s="55">
        <v>0</v>
      </c>
      <c r="Q412" s="55">
        <v>0</v>
      </c>
      <c r="R412" s="55">
        <f t="shared" si="165"/>
        <v>1</v>
      </c>
      <c r="S412" s="55">
        <v>1</v>
      </c>
      <c r="T412" s="55">
        <v>0</v>
      </c>
      <c r="U412" s="55">
        <v>0</v>
      </c>
      <c r="V412" s="55">
        <v>0</v>
      </c>
      <c r="W412" s="53">
        <v>0</v>
      </c>
      <c r="X412" s="53">
        <v>0</v>
      </c>
      <c r="Y412" s="55">
        <v>0</v>
      </c>
      <c r="Z412" s="55">
        <v>1</v>
      </c>
      <c r="AA412" s="53">
        <v>1</v>
      </c>
      <c r="AB412" s="53">
        <v>0</v>
      </c>
      <c r="AC412" s="55">
        <v>0</v>
      </c>
      <c r="AD412" s="55">
        <f t="shared" si="166"/>
        <v>0</v>
      </c>
      <c r="AE412" s="53">
        <v>0</v>
      </c>
      <c r="AF412" s="55">
        <v>0</v>
      </c>
      <c r="AG412" s="55">
        <v>0</v>
      </c>
      <c r="AH412" s="55">
        <f t="shared" si="167"/>
        <v>0</v>
      </c>
      <c r="AI412" s="55">
        <v>0</v>
      </c>
      <c r="AJ412" s="55">
        <v>0</v>
      </c>
      <c r="AK412" s="55">
        <v>0</v>
      </c>
      <c r="AL412" s="55">
        <f t="shared" si="168"/>
        <v>0</v>
      </c>
      <c r="AM412" s="55" t="s">
        <v>1912</v>
      </c>
      <c r="AN412" s="55">
        <v>0</v>
      </c>
      <c r="AO412" s="55">
        <v>0</v>
      </c>
      <c r="AP412" s="55">
        <f t="shared" si="158"/>
        <v>1</v>
      </c>
      <c r="AQ412" s="55">
        <f>IFERROR(VLOOKUP(A412,[1]SIIMPLES!$A$2:$F$418,6,FALSE),0)</f>
        <v>1</v>
      </c>
      <c r="AR412" s="55">
        <v>0</v>
      </c>
      <c r="AS412" s="55">
        <v>0</v>
      </c>
      <c r="AT412" s="55">
        <v>0</v>
      </c>
      <c r="AU412" s="55">
        <v>0</v>
      </c>
      <c r="AV412" s="55">
        <v>0</v>
      </c>
      <c r="AW412" s="55"/>
      <c r="AX412" s="55"/>
      <c r="AY412" s="56">
        <f t="shared" si="169"/>
        <v>0.3</v>
      </c>
      <c r="AZ412" s="55"/>
      <c r="BA412" s="56">
        <v>0.2</v>
      </c>
      <c r="BB412" s="41">
        <f t="shared" si="171"/>
        <v>0.49999999999999978</v>
      </c>
      <c r="BC412" s="13"/>
      <c r="BD412" s="36"/>
      <c r="BE412" s="7"/>
      <c r="BF412" s="7"/>
      <c r="BG412" s="17">
        <f t="shared" si="162"/>
        <v>0</v>
      </c>
      <c r="BH412" s="7"/>
    </row>
    <row r="413" spans="1:60" s="21" customFormat="1" ht="12.75" customHeight="1" x14ac:dyDescent="0.2">
      <c r="A413" s="51">
        <v>6615</v>
      </c>
      <c r="B413" s="51"/>
      <c r="C413" s="66" t="s">
        <v>1803</v>
      </c>
      <c r="D413" s="52" t="s">
        <v>735</v>
      </c>
      <c r="E413" s="52" t="s">
        <v>736</v>
      </c>
      <c r="F413" s="53">
        <f>IFERROR(VLOOKUP(E413,Fornecedores!$A$2:$B$2700,2,FALSE),"")</f>
        <v>5</v>
      </c>
      <c r="G413" s="52" t="s">
        <v>1037</v>
      </c>
      <c r="H413" s="57"/>
      <c r="I413" s="55">
        <f t="shared" si="163"/>
        <v>0</v>
      </c>
      <c r="J413" s="55">
        <v>0</v>
      </c>
      <c r="K413" s="55">
        <v>0</v>
      </c>
      <c r="L413" s="55">
        <v>0</v>
      </c>
      <c r="M413" s="55">
        <v>0</v>
      </c>
      <c r="N413" s="55">
        <f t="shared" si="164"/>
        <v>0</v>
      </c>
      <c r="O413" s="55">
        <v>0</v>
      </c>
      <c r="P413" s="55">
        <v>0</v>
      </c>
      <c r="Q413" s="55">
        <v>0</v>
      </c>
      <c r="R413" s="55">
        <f t="shared" si="165"/>
        <v>0</v>
      </c>
      <c r="S413" s="55">
        <v>0</v>
      </c>
      <c r="T413" s="55">
        <v>0</v>
      </c>
      <c r="U413" s="55">
        <v>0</v>
      </c>
      <c r="V413" s="55">
        <v>1</v>
      </c>
      <c r="W413" s="53">
        <v>0</v>
      </c>
      <c r="X413" s="53">
        <v>1</v>
      </c>
      <c r="Y413" s="55">
        <v>0</v>
      </c>
      <c r="Z413" s="55">
        <v>1</v>
      </c>
      <c r="AA413" s="53">
        <v>0</v>
      </c>
      <c r="AB413" s="53">
        <v>1</v>
      </c>
      <c r="AC413" s="55">
        <v>0</v>
      </c>
      <c r="AD413" s="55">
        <f t="shared" si="166"/>
        <v>1</v>
      </c>
      <c r="AE413" s="53">
        <v>1</v>
      </c>
      <c r="AF413" s="55">
        <v>0</v>
      </c>
      <c r="AG413" s="55">
        <v>0</v>
      </c>
      <c r="AH413" s="55">
        <f t="shared" si="167"/>
        <v>1</v>
      </c>
      <c r="AI413" s="55">
        <v>1</v>
      </c>
      <c r="AJ413" s="55">
        <v>0</v>
      </c>
      <c r="AK413" s="55">
        <v>0</v>
      </c>
      <c r="AL413" s="55">
        <f t="shared" si="168"/>
        <v>2</v>
      </c>
      <c r="AM413" s="55">
        <v>2</v>
      </c>
      <c r="AN413" s="55">
        <v>0</v>
      </c>
      <c r="AO413" s="55">
        <v>0</v>
      </c>
      <c r="AP413" s="55">
        <f t="shared" si="158"/>
        <v>1</v>
      </c>
      <c r="AQ413" s="55">
        <f>IFERROR(VLOOKUP(A413,[1]SIIMPLES!$A$2:$F$418,6,FALSE),0)</f>
        <v>1</v>
      </c>
      <c r="AR413" s="55">
        <v>0</v>
      </c>
      <c r="AS413" s="55">
        <v>3</v>
      </c>
      <c r="AT413" s="55">
        <v>2</v>
      </c>
      <c r="AU413" s="55">
        <v>1</v>
      </c>
      <c r="AV413" s="55">
        <v>0</v>
      </c>
      <c r="AW413" s="55"/>
      <c r="AX413" s="55"/>
      <c r="AY413" s="56">
        <f t="shared" si="169"/>
        <v>1</v>
      </c>
      <c r="AZ413" s="55"/>
      <c r="BA413" s="56">
        <v>0</v>
      </c>
      <c r="BB413" s="41" t="str">
        <f t="shared" si="171"/>
        <v/>
      </c>
      <c r="BC413" s="13"/>
      <c r="BD413" s="35"/>
      <c r="BE413" s="13"/>
      <c r="BF413" s="16">
        <f>SUM(BC413:BE413)</f>
        <v>0</v>
      </c>
      <c r="BG413" s="17">
        <f t="shared" si="162"/>
        <v>0</v>
      </c>
      <c r="BH413" s="16">
        <f>IFERROR(IF(F413=1,IF(BC413&lt;AY413*3,AY413*3-BC413,0),IF(BC413&lt;AY413,AY413-BC413,0)),"")</f>
        <v>1</v>
      </c>
    </row>
    <row r="414" spans="1:60" s="21" customFormat="1" ht="12.75" customHeight="1" x14ac:dyDescent="0.2">
      <c r="A414" s="51">
        <v>8650</v>
      </c>
      <c r="B414" s="51" t="s">
        <v>1077</v>
      </c>
      <c r="C414" s="66" t="s">
        <v>1803</v>
      </c>
      <c r="D414" s="65" t="s">
        <v>739</v>
      </c>
      <c r="E414" s="67" t="s">
        <v>1379</v>
      </c>
      <c r="F414" s="53" t="str">
        <f>IFERROR(VLOOKUP(E414,Fornecedores!$A$2:$B$2700,2,FALSE),"")</f>
        <v/>
      </c>
      <c r="G414" s="52" t="s">
        <v>185</v>
      </c>
      <c r="H414" s="54"/>
      <c r="I414" s="55">
        <f t="shared" si="163"/>
        <v>0</v>
      </c>
      <c r="J414" s="55">
        <v>0</v>
      </c>
      <c r="K414" s="55">
        <v>0</v>
      </c>
      <c r="L414" s="55">
        <v>0</v>
      </c>
      <c r="M414" s="55">
        <v>0</v>
      </c>
      <c r="N414" s="55">
        <f t="shared" si="164"/>
        <v>0</v>
      </c>
      <c r="O414" s="55">
        <v>0</v>
      </c>
      <c r="P414" s="55">
        <v>0</v>
      </c>
      <c r="Q414" s="55">
        <v>0</v>
      </c>
      <c r="R414" s="55">
        <f t="shared" si="165"/>
        <v>1</v>
      </c>
      <c r="S414" s="55">
        <v>1</v>
      </c>
      <c r="T414" s="55">
        <v>0</v>
      </c>
      <c r="U414" s="55">
        <v>0</v>
      </c>
      <c r="V414" s="55">
        <v>1</v>
      </c>
      <c r="W414" s="53">
        <v>1</v>
      </c>
      <c r="X414" s="53">
        <v>0</v>
      </c>
      <c r="Y414" s="55">
        <v>0</v>
      </c>
      <c r="Z414" s="55">
        <v>1</v>
      </c>
      <c r="AA414" s="53">
        <v>1</v>
      </c>
      <c r="AB414" s="53">
        <v>0</v>
      </c>
      <c r="AC414" s="55">
        <v>0</v>
      </c>
      <c r="AD414" s="55">
        <f t="shared" si="166"/>
        <v>0</v>
      </c>
      <c r="AE414" s="53">
        <v>0</v>
      </c>
      <c r="AF414" s="55">
        <v>0</v>
      </c>
      <c r="AG414" s="55">
        <v>0</v>
      </c>
      <c r="AH414" s="55">
        <f t="shared" si="167"/>
        <v>1</v>
      </c>
      <c r="AI414" s="55">
        <v>1</v>
      </c>
      <c r="AJ414" s="55">
        <v>0</v>
      </c>
      <c r="AK414" s="55">
        <v>0</v>
      </c>
      <c r="AL414" s="55">
        <f t="shared" si="168"/>
        <v>0</v>
      </c>
      <c r="AM414" s="55" t="s">
        <v>1912</v>
      </c>
      <c r="AN414" s="55">
        <v>0</v>
      </c>
      <c r="AO414" s="55">
        <v>0</v>
      </c>
      <c r="AP414" s="55">
        <f t="shared" si="158"/>
        <v>1</v>
      </c>
      <c r="AQ414" s="55">
        <f>IFERROR(VLOOKUP(A414,[1]SIIMPLES!$A$2:$F$418,6,FALSE),0)</f>
        <v>1</v>
      </c>
      <c r="AR414" s="55">
        <v>0</v>
      </c>
      <c r="AS414" s="55">
        <v>1</v>
      </c>
      <c r="AT414" s="55">
        <v>1</v>
      </c>
      <c r="AU414" s="55">
        <v>0</v>
      </c>
      <c r="AV414" s="55">
        <v>0</v>
      </c>
      <c r="AW414" s="55"/>
      <c r="AX414" s="55"/>
      <c r="AY414" s="56">
        <f t="shared" si="169"/>
        <v>0.6</v>
      </c>
      <c r="AZ414" s="55"/>
      <c r="BA414" s="56">
        <v>0.16666666666666666</v>
      </c>
      <c r="BB414" s="41">
        <f t="shared" si="171"/>
        <v>2.6</v>
      </c>
      <c r="BC414" s="13"/>
      <c r="BD414" s="36"/>
      <c r="BE414" s="7"/>
      <c r="BF414" s="7"/>
      <c r="BG414" s="17">
        <f t="shared" si="162"/>
        <v>0</v>
      </c>
      <c r="BH414" s="7"/>
    </row>
    <row r="415" spans="1:60" s="21" customFormat="1" ht="12.75" customHeight="1" x14ac:dyDescent="0.2">
      <c r="A415" s="51">
        <v>10136</v>
      </c>
      <c r="B415" s="51" t="s">
        <v>1077</v>
      </c>
      <c r="C415" s="66" t="s">
        <v>1803</v>
      </c>
      <c r="D415" s="52" t="s">
        <v>754</v>
      </c>
      <c r="E415" s="52" t="s">
        <v>741</v>
      </c>
      <c r="F415" s="53">
        <f>IFERROR(VLOOKUP(E415,Fornecedores!$A$2:$B$2700,2,FALSE),"")</f>
        <v>7</v>
      </c>
      <c r="G415" s="52" t="s">
        <v>319</v>
      </c>
      <c r="H415" s="54"/>
      <c r="I415" s="55">
        <f t="shared" si="163"/>
        <v>0</v>
      </c>
      <c r="J415" s="55">
        <v>0</v>
      </c>
      <c r="K415" s="55">
        <v>0</v>
      </c>
      <c r="L415" s="55">
        <v>0</v>
      </c>
      <c r="M415" s="55">
        <v>0</v>
      </c>
      <c r="N415" s="55">
        <f t="shared" si="164"/>
        <v>0</v>
      </c>
      <c r="O415" s="55">
        <v>0</v>
      </c>
      <c r="P415" s="55">
        <v>0</v>
      </c>
      <c r="Q415" s="55">
        <v>0</v>
      </c>
      <c r="R415" s="55">
        <f t="shared" si="165"/>
        <v>2</v>
      </c>
      <c r="S415" s="55">
        <v>2</v>
      </c>
      <c r="T415" s="55">
        <v>0</v>
      </c>
      <c r="U415" s="55">
        <v>0</v>
      </c>
      <c r="V415" s="55">
        <v>0</v>
      </c>
      <c r="W415" s="53">
        <v>0</v>
      </c>
      <c r="X415" s="53">
        <v>0</v>
      </c>
      <c r="Y415" s="55">
        <v>0</v>
      </c>
      <c r="Z415" s="55">
        <v>1</v>
      </c>
      <c r="AA415" s="53">
        <v>1</v>
      </c>
      <c r="AB415" s="53">
        <v>0</v>
      </c>
      <c r="AC415" s="55">
        <v>0</v>
      </c>
      <c r="AD415" s="55">
        <f t="shared" si="166"/>
        <v>1</v>
      </c>
      <c r="AE415" s="53">
        <v>1</v>
      </c>
      <c r="AF415" s="55">
        <v>0</v>
      </c>
      <c r="AG415" s="55">
        <v>0</v>
      </c>
      <c r="AH415" s="55">
        <f t="shared" si="167"/>
        <v>0</v>
      </c>
      <c r="AI415" s="55">
        <v>0</v>
      </c>
      <c r="AJ415" s="55">
        <v>0</v>
      </c>
      <c r="AK415" s="55">
        <v>0</v>
      </c>
      <c r="AL415" s="55">
        <f t="shared" si="168"/>
        <v>0</v>
      </c>
      <c r="AM415" s="55" t="s">
        <v>1912</v>
      </c>
      <c r="AN415" s="55">
        <v>0</v>
      </c>
      <c r="AO415" s="55">
        <v>0</v>
      </c>
      <c r="AP415" s="55">
        <f t="shared" si="158"/>
        <v>1</v>
      </c>
      <c r="AQ415" s="55">
        <f>IFERROR(VLOOKUP(A415,[1]SIIMPLES!$A$2:$F$418,6,FALSE),0)</f>
        <v>1</v>
      </c>
      <c r="AR415" s="55">
        <v>0</v>
      </c>
      <c r="AS415" s="55">
        <v>1</v>
      </c>
      <c r="AT415" s="55">
        <v>1</v>
      </c>
      <c r="AU415" s="55">
        <v>0</v>
      </c>
      <c r="AV415" s="55">
        <v>0</v>
      </c>
      <c r="AW415" s="55"/>
      <c r="AX415" s="55"/>
      <c r="AY415" s="56">
        <f t="shared" si="169"/>
        <v>0.6</v>
      </c>
      <c r="AZ415" s="55"/>
      <c r="BA415" s="56">
        <v>0.16666666666666666</v>
      </c>
      <c r="BB415" s="41">
        <f t="shared" si="171"/>
        <v>2.6</v>
      </c>
      <c r="BC415" s="13"/>
      <c r="BD415" s="37"/>
      <c r="BE415" s="13"/>
      <c r="BF415" s="16">
        <f>SUM(BC415:BE415)</f>
        <v>0</v>
      </c>
      <c r="BG415" s="17">
        <f t="shared" si="162"/>
        <v>0</v>
      </c>
      <c r="BH415" s="16">
        <f>IFERROR(IF(F415=1,IF(BC415&lt;AY415*3,AY415*3-BC415,0),IF(BC415&lt;AY415,AY415-BC415,0)),"")</f>
        <v>0.6</v>
      </c>
    </row>
    <row r="416" spans="1:60" s="21" customFormat="1" ht="12.75" customHeight="1" x14ac:dyDescent="0.2">
      <c r="A416" s="51">
        <v>22115</v>
      </c>
      <c r="B416" s="51"/>
      <c r="C416" s="66" t="s">
        <v>1803</v>
      </c>
      <c r="D416" s="52" t="s">
        <v>747</v>
      </c>
      <c r="E416" s="52" t="s">
        <v>750</v>
      </c>
      <c r="F416" s="53">
        <f>IFERROR(VLOOKUP(E416,Fornecedores!$A$2:$B$2700,2,FALSE),"")</f>
        <v>4</v>
      </c>
      <c r="G416" s="52" t="s">
        <v>428</v>
      </c>
      <c r="H416" s="54"/>
      <c r="I416" s="55">
        <f t="shared" si="163"/>
        <v>0</v>
      </c>
      <c r="J416" s="55">
        <v>0</v>
      </c>
      <c r="K416" s="55">
        <v>0</v>
      </c>
      <c r="L416" s="55">
        <v>0</v>
      </c>
      <c r="M416" s="55">
        <v>0</v>
      </c>
      <c r="N416" s="55">
        <f t="shared" si="164"/>
        <v>0</v>
      </c>
      <c r="O416" s="55">
        <v>0</v>
      </c>
      <c r="P416" s="55">
        <v>0</v>
      </c>
      <c r="Q416" s="55">
        <v>0</v>
      </c>
      <c r="R416" s="55">
        <f t="shared" si="165"/>
        <v>0</v>
      </c>
      <c r="S416" s="55">
        <v>0</v>
      </c>
      <c r="T416" s="55">
        <v>0</v>
      </c>
      <c r="U416" s="55">
        <v>0</v>
      </c>
      <c r="V416" s="55">
        <v>0</v>
      </c>
      <c r="W416" s="53">
        <v>0</v>
      </c>
      <c r="X416" s="53">
        <v>0</v>
      </c>
      <c r="Y416" s="55">
        <v>0</v>
      </c>
      <c r="Z416" s="55">
        <v>0</v>
      </c>
      <c r="AA416" s="53">
        <v>0</v>
      </c>
      <c r="AB416" s="53">
        <v>0</v>
      </c>
      <c r="AC416" s="55">
        <v>0</v>
      </c>
      <c r="AD416" s="55">
        <f t="shared" si="166"/>
        <v>0</v>
      </c>
      <c r="AE416" s="53">
        <v>0</v>
      </c>
      <c r="AF416" s="55">
        <v>0</v>
      </c>
      <c r="AG416" s="55">
        <v>0</v>
      </c>
      <c r="AH416" s="55">
        <f t="shared" si="167"/>
        <v>0</v>
      </c>
      <c r="AI416" s="55">
        <v>0</v>
      </c>
      <c r="AJ416" s="55">
        <v>0</v>
      </c>
      <c r="AK416" s="55">
        <v>0</v>
      </c>
      <c r="AL416" s="55">
        <f t="shared" si="168"/>
        <v>0</v>
      </c>
      <c r="AM416" s="55" t="s">
        <v>1912</v>
      </c>
      <c r="AN416" s="55">
        <v>0</v>
      </c>
      <c r="AO416" s="55">
        <v>0</v>
      </c>
      <c r="AP416" s="55">
        <f t="shared" si="158"/>
        <v>1</v>
      </c>
      <c r="AQ416" s="55">
        <f>IFERROR(VLOOKUP(A416,[1]SIIMPLES!$A$2:$F$418,6,FALSE),0)</f>
        <v>1</v>
      </c>
      <c r="AR416" s="55">
        <v>0</v>
      </c>
      <c r="AS416" s="55">
        <v>2</v>
      </c>
      <c r="AT416" s="55">
        <v>2</v>
      </c>
      <c r="AU416" s="55">
        <v>0</v>
      </c>
      <c r="AV416" s="55">
        <v>0</v>
      </c>
      <c r="AW416" s="55"/>
      <c r="AX416" s="55"/>
      <c r="AY416" s="56">
        <f t="shared" si="169"/>
        <v>0.3</v>
      </c>
      <c r="AZ416" s="55"/>
      <c r="BA416" s="56">
        <v>0.16666666666666666</v>
      </c>
      <c r="BB416" s="41">
        <f t="shared" si="171"/>
        <v>0.8</v>
      </c>
      <c r="BC416" s="13"/>
      <c r="BD416" s="36"/>
      <c r="BE416" s="7"/>
      <c r="BF416" s="7"/>
      <c r="BG416" s="7"/>
      <c r="BH416" s="7"/>
    </row>
    <row r="417" spans="1:60" s="21" customFormat="1" ht="12.75" customHeight="1" x14ac:dyDescent="0.2">
      <c r="A417" s="51">
        <v>36656</v>
      </c>
      <c r="B417" s="51"/>
      <c r="C417" s="66" t="s">
        <v>1803</v>
      </c>
      <c r="D417" s="52" t="s">
        <v>1919</v>
      </c>
      <c r="E417" s="52" t="s">
        <v>1920</v>
      </c>
      <c r="F417" s="53">
        <f>IFERROR(VLOOKUP(E417,Fornecedores!$A$2:$B$2700,2,FALSE),"")</f>
        <v>1</v>
      </c>
      <c r="G417" s="67" t="s">
        <v>1921</v>
      </c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5">
        <f t="shared" si="166"/>
        <v>1</v>
      </c>
      <c r="AE417" s="53">
        <v>1</v>
      </c>
      <c r="AF417" s="55">
        <v>0</v>
      </c>
      <c r="AG417" s="55">
        <v>0</v>
      </c>
      <c r="AH417" s="55">
        <f t="shared" si="167"/>
        <v>0</v>
      </c>
      <c r="AI417" s="55">
        <v>0</v>
      </c>
      <c r="AJ417" s="55">
        <v>0</v>
      </c>
      <c r="AK417" s="55">
        <v>0</v>
      </c>
      <c r="AL417" s="55">
        <f t="shared" si="168"/>
        <v>3</v>
      </c>
      <c r="AM417" s="55">
        <v>3</v>
      </c>
      <c r="AN417" s="55">
        <v>0</v>
      </c>
      <c r="AO417" s="55">
        <v>0</v>
      </c>
      <c r="AP417" s="55">
        <f t="shared" si="158"/>
        <v>1</v>
      </c>
      <c r="AQ417" s="55">
        <f>IFERROR(VLOOKUP(A417,[1]SIIMPLES!$A$2:$F$418,6,FALSE),0)</f>
        <v>1</v>
      </c>
      <c r="AR417" s="55">
        <v>0</v>
      </c>
      <c r="AS417" s="55">
        <v>0</v>
      </c>
      <c r="AT417" s="55">
        <v>0</v>
      </c>
      <c r="AU417" s="55">
        <v>0</v>
      </c>
      <c r="AV417" s="55">
        <v>0</v>
      </c>
      <c r="AW417" s="57"/>
      <c r="AX417" s="57"/>
      <c r="AY417" s="74">
        <f t="shared" si="169"/>
        <v>1</v>
      </c>
      <c r="AZ417" s="57"/>
      <c r="BA417" s="57"/>
      <c r="BB417" s="41" t="str">
        <f t="shared" si="171"/>
        <v/>
      </c>
      <c r="BC417" s="13"/>
      <c r="BD417" s="35"/>
      <c r="BE417" s="13"/>
      <c r="BF417" s="16">
        <f>SUM(BC417:BE417)</f>
        <v>0</v>
      </c>
      <c r="BG417" s="17">
        <f>IFERROR(BC417/AY417,"0")</f>
        <v>0</v>
      </c>
      <c r="BH417" s="16">
        <f>IFERROR(IF(F417=1,IF(BC417&lt;AY417*3,AY417*3-BC417,0),IF(BC417&lt;AY417,AY417-BC417,0)),"")</f>
        <v>3</v>
      </c>
    </row>
    <row r="418" spans="1:60" s="21" customFormat="1" ht="12.75" customHeight="1" x14ac:dyDescent="0.2">
      <c r="A418" s="51">
        <v>50050</v>
      </c>
      <c r="B418" s="51" t="s">
        <v>1077</v>
      </c>
      <c r="C418" s="66" t="s">
        <v>1803</v>
      </c>
      <c r="D418" s="65" t="s">
        <v>734</v>
      </c>
      <c r="E418" s="52" t="s">
        <v>730</v>
      </c>
      <c r="F418" s="53">
        <f>IFERROR(VLOOKUP(E418,Fornecedores!$A$2:$B$2700,2,FALSE),"")</f>
        <v>3</v>
      </c>
      <c r="G418" s="52" t="s">
        <v>112</v>
      </c>
      <c r="H418" s="54"/>
      <c r="I418" s="55">
        <f t="shared" ref="I418:I461" si="173">SUM(J418:M418)</f>
        <v>1</v>
      </c>
      <c r="J418" s="55">
        <v>1</v>
      </c>
      <c r="K418" s="55">
        <v>0</v>
      </c>
      <c r="L418" s="55">
        <v>0</v>
      </c>
      <c r="M418" s="55">
        <v>0</v>
      </c>
      <c r="N418" s="55">
        <f t="shared" ref="N418:N461" si="174">SUM(O418:Q418)</f>
        <v>1</v>
      </c>
      <c r="O418" s="55">
        <v>1</v>
      </c>
      <c r="P418" s="55">
        <v>0</v>
      </c>
      <c r="Q418" s="55">
        <v>0</v>
      </c>
      <c r="R418" s="55">
        <f t="shared" ref="R418:R461" si="175">SUM(S418:U418)</f>
        <v>0</v>
      </c>
      <c r="S418" s="55">
        <v>0</v>
      </c>
      <c r="T418" s="55">
        <v>0</v>
      </c>
      <c r="U418" s="55">
        <v>0</v>
      </c>
      <c r="V418" s="55">
        <v>0</v>
      </c>
      <c r="W418" s="53">
        <v>0</v>
      </c>
      <c r="X418" s="53">
        <v>0</v>
      </c>
      <c r="Y418" s="55">
        <v>0</v>
      </c>
      <c r="Z418" s="55">
        <v>0</v>
      </c>
      <c r="AA418" s="53">
        <v>0</v>
      </c>
      <c r="AB418" s="53">
        <v>0</v>
      </c>
      <c r="AC418" s="55">
        <v>0</v>
      </c>
      <c r="AD418" s="55">
        <f t="shared" si="166"/>
        <v>0</v>
      </c>
      <c r="AE418" s="53">
        <v>0</v>
      </c>
      <c r="AF418" s="55">
        <v>0</v>
      </c>
      <c r="AG418" s="55">
        <v>0</v>
      </c>
      <c r="AH418" s="55">
        <f t="shared" si="167"/>
        <v>1</v>
      </c>
      <c r="AI418" s="55">
        <v>1</v>
      </c>
      <c r="AJ418" s="55">
        <v>0</v>
      </c>
      <c r="AK418" s="55">
        <v>0</v>
      </c>
      <c r="AL418" s="55">
        <f t="shared" si="168"/>
        <v>0</v>
      </c>
      <c r="AM418" s="55" t="s">
        <v>1912</v>
      </c>
      <c r="AN418" s="55">
        <v>0</v>
      </c>
      <c r="AO418" s="55">
        <v>0</v>
      </c>
      <c r="AP418" s="55">
        <f t="shared" si="158"/>
        <v>1</v>
      </c>
      <c r="AQ418" s="55">
        <f>IFERROR(VLOOKUP(A418,[1]SIIMPLES!$A$2:$F$418,6,FALSE),0)</f>
        <v>1</v>
      </c>
      <c r="AR418" s="55">
        <v>0</v>
      </c>
      <c r="AS418" s="55">
        <v>0</v>
      </c>
      <c r="AT418" s="55">
        <v>0</v>
      </c>
      <c r="AU418" s="55">
        <v>0</v>
      </c>
      <c r="AV418" s="55">
        <v>0</v>
      </c>
      <c r="AW418" s="55"/>
      <c r="AX418" s="55"/>
      <c r="AY418" s="56">
        <f t="shared" si="169"/>
        <v>0.4</v>
      </c>
      <c r="AZ418" s="55"/>
      <c r="BA418" s="56">
        <v>1</v>
      </c>
      <c r="BB418" s="41">
        <f t="shared" si="171"/>
        <v>-0.6</v>
      </c>
      <c r="BC418" s="13"/>
      <c r="BD418" s="35"/>
      <c r="BE418" s="13"/>
      <c r="BF418" s="16"/>
      <c r="BG418" s="17">
        <f>IFERROR(BC418/AY418,"0")</f>
        <v>0</v>
      </c>
      <c r="BH418" s="16">
        <f>IFERROR(IF(F418=1,IF(BC418&lt;AY418*3,AY418*3-BC418,0),IF(BC418&lt;AY418,AY418-BC418,0)),"")</f>
        <v>0.4</v>
      </c>
    </row>
    <row r="419" spans="1:60" s="21" customFormat="1" ht="12.75" customHeight="1" x14ac:dyDescent="0.2">
      <c r="A419" s="51">
        <v>55013</v>
      </c>
      <c r="B419" s="51"/>
      <c r="C419" s="66" t="s">
        <v>1803</v>
      </c>
      <c r="D419" s="65" t="s">
        <v>726</v>
      </c>
      <c r="E419" s="52" t="s">
        <v>732</v>
      </c>
      <c r="F419" s="53">
        <f>IFERROR(VLOOKUP(E419,Fornecedores!$A$2:$B$2700,2,FALSE),"")</f>
        <v>6</v>
      </c>
      <c r="G419" s="52" t="s">
        <v>59</v>
      </c>
      <c r="H419" s="54"/>
      <c r="I419" s="55">
        <f t="shared" si="173"/>
        <v>1</v>
      </c>
      <c r="J419" s="55">
        <v>1</v>
      </c>
      <c r="K419" s="55">
        <v>0</v>
      </c>
      <c r="L419" s="55">
        <v>0</v>
      </c>
      <c r="M419" s="55">
        <v>0</v>
      </c>
      <c r="N419" s="55">
        <f t="shared" si="174"/>
        <v>0</v>
      </c>
      <c r="O419" s="55">
        <v>0</v>
      </c>
      <c r="P419" s="55">
        <v>0</v>
      </c>
      <c r="Q419" s="55">
        <v>0</v>
      </c>
      <c r="R419" s="55">
        <f t="shared" si="175"/>
        <v>0</v>
      </c>
      <c r="S419" s="55">
        <v>0</v>
      </c>
      <c r="T419" s="55">
        <v>0</v>
      </c>
      <c r="U419" s="55">
        <v>0</v>
      </c>
      <c r="V419" s="55">
        <v>0</v>
      </c>
      <c r="W419" s="53">
        <v>0</v>
      </c>
      <c r="X419" s="53">
        <v>0</v>
      </c>
      <c r="Y419" s="55">
        <v>0</v>
      </c>
      <c r="Z419" s="55">
        <v>0</v>
      </c>
      <c r="AA419" s="53">
        <v>0</v>
      </c>
      <c r="AB419" s="53">
        <v>0</v>
      </c>
      <c r="AC419" s="55">
        <v>0</v>
      </c>
      <c r="AD419" s="55">
        <f t="shared" si="166"/>
        <v>0</v>
      </c>
      <c r="AE419" s="53">
        <v>0</v>
      </c>
      <c r="AF419" s="55">
        <v>0</v>
      </c>
      <c r="AG419" s="55">
        <v>0</v>
      </c>
      <c r="AH419" s="55">
        <f t="shared" si="167"/>
        <v>0</v>
      </c>
      <c r="AI419" s="55">
        <v>0</v>
      </c>
      <c r="AJ419" s="55">
        <v>0</v>
      </c>
      <c r="AK419" s="55">
        <v>0</v>
      </c>
      <c r="AL419" s="55">
        <f t="shared" si="168"/>
        <v>0</v>
      </c>
      <c r="AM419" s="55" t="s">
        <v>1912</v>
      </c>
      <c r="AN419" s="55">
        <v>0</v>
      </c>
      <c r="AO419" s="55">
        <v>0</v>
      </c>
      <c r="AP419" s="55">
        <f t="shared" si="158"/>
        <v>1</v>
      </c>
      <c r="AQ419" s="55">
        <f>IFERROR(VLOOKUP(A419,[1]SIIMPLES!$A$2:$F$418,6,FALSE),0)</f>
        <v>1</v>
      </c>
      <c r="AR419" s="55">
        <v>0</v>
      </c>
      <c r="AS419" s="55">
        <v>0</v>
      </c>
      <c r="AT419" s="55">
        <v>0</v>
      </c>
      <c r="AU419" s="55">
        <v>0</v>
      </c>
      <c r="AV419" s="55">
        <v>0</v>
      </c>
      <c r="AW419" s="55"/>
      <c r="AX419" s="55"/>
      <c r="AY419" s="56">
        <f t="shared" si="169"/>
        <v>0.2</v>
      </c>
      <c r="AZ419" s="55"/>
      <c r="BA419" s="56">
        <v>0</v>
      </c>
      <c r="BB419" s="41" t="str">
        <f t="shared" si="171"/>
        <v/>
      </c>
      <c r="BC419" s="13"/>
      <c r="BD419" s="36"/>
      <c r="BE419" s="7"/>
      <c r="BF419" s="7"/>
      <c r="BG419" s="7"/>
      <c r="BH419" s="7"/>
    </row>
    <row r="420" spans="1:60" s="21" customFormat="1" ht="12.75" customHeight="1" x14ac:dyDescent="0.2">
      <c r="A420" s="51">
        <v>55030</v>
      </c>
      <c r="B420" s="51" t="s">
        <v>1077</v>
      </c>
      <c r="C420" s="66" t="s">
        <v>1803</v>
      </c>
      <c r="D420" s="65" t="s">
        <v>726</v>
      </c>
      <c r="E420" s="52" t="s">
        <v>732</v>
      </c>
      <c r="F420" s="53">
        <f>IFERROR(VLOOKUP(E420,Fornecedores!$A$2:$B$2700,2,FALSE),"")</f>
        <v>6</v>
      </c>
      <c r="G420" s="52" t="s">
        <v>675</v>
      </c>
      <c r="H420" s="54"/>
      <c r="I420" s="55">
        <f t="shared" si="173"/>
        <v>0</v>
      </c>
      <c r="J420" s="55">
        <v>0</v>
      </c>
      <c r="K420" s="55">
        <v>0</v>
      </c>
      <c r="L420" s="55">
        <v>0</v>
      </c>
      <c r="M420" s="55">
        <v>0</v>
      </c>
      <c r="N420" s="55">
        <f t="shared" si="174"/>
        <v>1</v>
      </c>
      <c r="O420" s="55">
        <v>1</v>
      </c>
      <c r="P420" s="55">
        <v>0</v>
      </c>
      <c r="Q420" s="55">
        <v>0</v>
      </c>
      <c r="R420" s="55">
        <f t="shared" si="175"/>
        <v>0</v>
      </c>
      <c r="S420" s="55">
        <v>0</v>
      </c>
      <c r="T420" s="55">
        <v>0</v>
      </c>
      <c r="U420" s="55">
        <v>0</v>
      </c>
      <c r="V420" s="55">
        <v>1</v>
      </c>
      <c r="W420" s="53">
        <v>1</v>
      </c>
      <c r="X420" s="53">
        <v>0</v>
      </c>
      <c r="Y420" s="55">
        <v>0</v>
      </c>
      <c r="Z420" s="55">
        <v>1</v>
      </c>
      <c r="AA420" s="53">
        <v>1</v>
      </c>
      <c r="AB420" s="53">
        <v>0</v>
      </c>
      <c r="AC420" s="55">
        <v>0</v>
      </c>
      <c r="AD420" s="55">
        <f t="shared" si="166"/>
        <v>0</v>
      </c>
      <c r="AE420" s="53">
        <v>0</v>
      </c>
      <c r="AF420" s="55">
        <v>0</v>
      </c>
      <c r="AG420" s="55">
        <v>0</v>
      </c>
      <c r="AH420" s="55">
        <f t="shared" si="167"/>
        <v>1</v>
      </c>
      <c r="AI420" s="55">
        <v>1</v>
      </c>
      <c r="AJ420" s="55">
        <v>0</v>
      </c>
      <c r="AK420" s="55">
        <v>0</v>
      </c>
      <c r="AL420" s="55">
        <f t="shared" si="168"/>
        <v>1</v>
      </c>
      <c r="AM420" s="55">
        <v>1</v>
      </c>
      <c r="AN420" s="55">
        <v>0</v>
      </c>
      <c r="AO420" s="55">
        <v>0</v>
      </c>
      <c r="AP420" s="55">
        <f t="shared" si="158"/>
        <v>1</v>
      </c>
      <c r="AQ420" s="55">
        <f>IFERROR(VLOOKUP(A420,[1]SIIMPLES!$A$2:$F$418,6,FALSE),0)</f>
        <v>1</v>
      </c>
      <c r="AR420" s="55">
        <v>0</v>
      </c>
      <c r="AS420" s="55">
        <v>1</v>
      </c>
      <c r="AT420" s="55">
        <v>1</v>
      </c>
      <c r="AU420" s="55">
        <v>0</v>
      </c>
      <c r="AV420" s="55">
        <v>0</v>
      </c>
      <c r="AW420" s="55"/>
      <c r="AX420" s="55"/>
      <c r="AY420" s="56">
        <f t="shared" si="169"/>
        <v>0.7</v>
      </c>
      <c r="AZ420" s="55"/>
      <c r="BA420" s="56">
        <v>0.5</v>
      </c>
      <c r="BB420" s="41">
        <f t="shared" si="171"/>
        <v>0.39999999999999991</v>
      </c>
      <c r="BC420" s="13"/>
      <c r="BD420" s="36"/>
      <c r="BE420" s="7"/>
      <c r="BF420" s="7"/>
      <c r="BG420" s="7"/>
      <c r="BH420" s="7"/>
    </row>
    <row r="421" spans="1:60" s="21" customFormat="1" ht="12.75" customHeight="1" x14ac:dyDescent="0.2">
      <c r="A421" s="51">
        <v>66003</v>
      </c>
      <c r="B421" s="51"/>
      <c r="C421" s="66" t="s">
        <v>1803</v>
      </c>
      <c r="D421" s="65" t="s">
        <v>726</v>
      </c>
      <c r="E421" s="67" t="s">
        <v>727</v>
      </c>
      <c r="F421" s="53">
        <f>IFERROR(VLOOKUP(E421,Fornecedores!$A$2:$B$2700,2,FALSE),"")</f>
        <v>1</v>
      </c>
      <c r="G421" s="52" t="s">
        <v>513</v>
      </c>
      <c r="H421" s="54"/>
      <c r="I421" s="55">
        <f t="shared" si="173"/>
        <v>2</v>
      </c>
      <c r="J421" s="55">
        <v>2</v>
      </c>
      <c r="K421" s="55">
        <v>0</v>
      </c>
      <c r="L421" s="55">
        <v>0</v>
      </c>
      <c r="M421" s="55">
        <v>0</v>
      </c>
      <c r="N421" s="55">
        <f t="shared" si="174"/>
        <v>3</v>
      </c>
      <c r="O421" s="55">
        <v>3</v>
      </c>
      <c r="P421" s="55">
        <v>0</v>
      </c>
      <c r="Q421" s="55">
        <v>0</v>
      </c>
      <c r="R421" s="55">
        <f t="shared" si="175"/>
        <v>7</v>
      </c>
      <c r="S421" s="55">
        <v>7</v>
      </c>
      <c r="T421" s="55">
        <v>0</v>
      </c>
      <c r="U421" s="55">
        <v>0</v>
      </c>
      <c r="V421" s="55">
        <v>4</v>
      </c>
      <c r="W421" s="53">
        <v>4</v>
      </c>
      <c r="X421" s="53">
        <v>0</v>
      </c>
      <c r="Y421" s="55">
        <v>0</v>
      </c>
      <c r="Z421" s="55">
        <v>10</v>
      </c>
      <c r="AA421" s="53">
        <v>10</v>
      </c>
      <c r="AB421" s="53">
        <v>0</v>
      </c>
      <c r="AC421" s="55">
        <v>0</v>
      </c>
      <c r="AD421" s="55">
        <f t="shared" si="166"/>
        <v>9</v>
      </c>
      <c r="AE421" s="53">
        <v>9</v>
      </c>
      <c r="AF421" s="55">
        <v>0</v>
      </c>
      <c r="AG421" s="55">
        <v>0</v>
      </c>
      <c r="AH421" s="55">
        <f t="shared" si="167"/>
        <v>0</v>
      </c>
      <c r="AI421" s="55">
        <v>0</v>
      </c>
      <c r="AJ421" s="55">
        <v>0</v>
      </c>
      <c r="AK421" s="55">
        <v>0</v>
      </c>
      <c r="AL421" s="55">
        <f t="shared" si="168"/>
        <v>1</v>
      </c>
      <c r="AM421" s="55">
        <v>1</v>
      </c>
      <c r="AN421" s="55">
        <v>0</v>
      </c>
      <c r="AO421" s="55">
        <v>0</v>
      </c>
      <c r="AP421" s="55">
        <f t="shared" si="158"/>
        <v>1</v>
      </c>
      <c r="AQ421" s="55">
        <f>IFERROR(VLOOKUP(A421,[1]SIIMPLES!$A$2:$F$418,6,FALSE),0)</f>
        <v>1</v>
      </c>
      <c r="AR421" s="55">
        <v>0</v>
      </c>
      <c r="AS421" s="55">
        <v>1</v>
      </c>
      <c r="AT421" s="55">
        <v>1</v>
      </c>
      <c r="AU421" s="55">
        <v>0</v>
      </c>
      <c r="AV421" s="55">
        <v>0</v>
      </c>
      <c r="AW421" s="55"/>
      <c r="AX421" s="55"/>
      <c r="AY421" s="56">
        <f t="shared" si="169"/>
        <v>3.8</v>
      </c>
      <c r="AZ421" s="55"/>
      <c r="BA421" s="56">
        <v>0</v>
      </c>
      <c r="BB421" s="41" t="str">
        <f t="shared" si="171"/>
        <v/>
      </c>
      <c r="BC421" s="13"/>
      <c r="BD421" s="35"/>
      <c r="BE421" s="13"/>
      <c r="BF421" s="16"/>
      <c r="BG421" s="17">
        <f t="shared" ref="BG421:BG445" si="176">IFERROR(BC421/AY421,"0")</f>
        <v>0</v>
      </c>
      <c r="BH421" s="16">
        <f t="shared" ref="BH421:BH426" si="177">IFERROR(IF(F421=1,IF(BC421&lt;AY421*3,AY421*3-BC421,0),IF(BC421&lt;AY421,AY421-BC421,0)),"")</f>
        <v>11.399999999999999</v>
      </c>
    </row>
    <row r="422" spans="1:60" s="21" customFormat="1" ht="12.75" customHeight="1" x14ac:dyDescent="0.2">
      <c r="A422" s="51">
        <v>66416</v>
      </c>
      <c r="B422" s="51" t="s">
        <v>1077</v>
      </c>
      <c r="C422" s="66" t="s">
        <v>1803</v>
      </c>
      <c r="D422" s="65" t="s">
        <v>726</v>
      </c>
      <c r="E422" s="67" t="s">
        <v>1785</v>
      </c>
      <c r="F422" s="53">
        <f>IFERROR(VLOOKUP(E422,Fornecedores!$A$2:$B$2700,2,FALSE),"")</f>
        <v>19</v>
      </c>
      <c r="G422" s="52" t="s">
        <v>507</v>
      </c>
      <c r="H422" s="54"/>
      <c r="I422" s="55">
        <f t="shared" si="173"/>
        <v>2</v>
      </c>
      <c r="J422" s="55">
        <v>2</v>
      </c>
      <c r="K422" s="55">
        <v>0</v>
      </c>
      <c r="L422" s="55">
        <v>0</v>
      </c>
      <c r="M422" s="55">
        <v>0</v>
      </c>
      <c r="N422" s="55">
        <f t="shared" si="174"/>
        <v>1</v>
      </c>
      <c r="O422" s="55">
        <v>1</v>
      </c>
      <c r="P422" s="55">
        <v>0</v>
      </c>
      <c r="Q422" s="55">
        <v>0</v>
      </c>
      <c r="R422" s="55">
        <f t="shared" si="175"/>
        <v>3</v>
      </c>
      <c r="S422" s="55">
        <v>3</v>
      </c>
      <c r="T422" s="55">
        <v>0</v>
      </c>
      <c r="U422" s="55">
        <v>0</v>
      </c>
      <c r="V422" s="55">
        <v>4</v>
      </c>
      <c r="W422" s="53">
        <v>4</v>
      </c>
      <c r="X422" s="53">
        <v>0</v>
      </c>
      <c r="Y422" s="55">
        <v>0</v>
      </c>
      <c r="Z422" s="55">
        <v>2</v>
      </c>
      <c r="AA422" s="53">
        <v>2</v>
      </c>
      <c r="AB422" s="53">
        <v>0</v>
      </c>
      <c r="AC422" s="55">
        <v>0</v>
      </c>
      <c r="AD422" s="55">
        <f t="shared" si="166"/>
        <v>2</v>
      </c>
      <c r="AE422" s="53">
        <v>2</v>
      </c>
      <c r="AF422" s="55">
        <v>0</v>
      </c>
      <c r="AG422" s="55">
        <v>0</v>
      </c>
      <c r="AH422" s="55">
        <f t="shared" si="167"/>
        <v>4</v>
      </c>
      <c r="AI422" s="55">
        <v>4</v>
      </c>
      <c r="AJ422" s="55">
        <v>0</v>
      </c>
      <c r="AK422" s="55">
        <v>0</v>
      </c>
      <c r="AL422" s="55">
        <f t="shared" si="168"/>
        <v>2</v>
      </c>
      <c r="AM422" s="55">
        <v>2</v>
      </c>
      <c r="AN422" s="55">
        <v>0</v>
      </c>
      <c r="AO422" s="55">
        <v>0</v>
      </c>
      <c r="AP422" s="55">
        <f t="shared" si="158"/>
        <v>1</v>
      </c>
      <c r="AQ422" s="55">
        <f>IFERROR(VLOOKUP(A422,[1]SIIMPLES!$A$2:$F$418,6,FALSE),0)</f>
        <v>1</v>
      </c>
      <c r="AR422" s="55">
        <v>0</v>
      </c>
      <c r="AS422" s="55">
        <v>0</v>
      </c>
      <c r="AT422" s="55">
        <v>0</v>
      </c>
      <c r="AU422" s="55">
        <v>0</v>
      </c>
      <c r="AV422" s="55">
        <v>0</v>
      </c>
      <c r="AW422" s="55"/>
      <c r="AX422" s="55"/>
      <c r="AY422" s="56">
        <f t="shared" si="169"/>
        <v>2.1</v>
      </c>
      <c r="AZ422" s="55"/>
      <c r="BA422" s="56">
        <v>9.8333333333333339</v>
      </c>
      <c r="BB422" s="41">
        <f t="shared" si="171"/>
        <v>-0.78644067796610173</v>
      </c>
      <c r="BC422" s="13"/>
      <c r="BD422" s="35"/>
      <c r="BE422" s="13"/>
      <c r="BF422" s="16"/>
      <c r="BG422" s="17">
        <f t="shared" si="176"/>
        <v>0</v>
      </c>
      <c r="BH422" s="16">
        <f t="shared" si="177"/>
        <v>2.1</v>
      </c>
    </row>
    <row r="423" spans="1:60" s="21" customFormat="1" ht="12.75" customHeight="1" x14ac:dyDescent="0.2">
      <c r="A423" s="51">
        <v>66425</v>
      </c>
      <c r="B423" s="51"/>
      <c r="C423" s="66" t="s">
        <v>1803</v>
      </c>
      <c r="D423" s="65" t="s">
        <v>726</v>
      </c>
      <c r="E423" s="52" t="s">
        <v>732</v>
      </c>
      <c r="F423" s="53">
        <f>IFERROR(VLOOKUP(E423,Fornecedores!$A$2:$B$2700,2,FALSE),"")</f>
        <v>6</v>
      </c>
      <c r="G423" s="52" t="s">
        <v>224</v>
      </c>
      <c r="H423" s="54"/>
      <c r="I423" s="55">
        <f t="shared" si="173"/>
        <v>0</v>
      </c>
      <c r="J423" s="55">
        <v>0</v>
      </c>
      <c r="K423" s="55">
        <v>0</v>
      </c>
      <c r="L423" s="55">
        <v>0</v>
      </c>
      <c r="M423" s="55">
        <v>0</v>
      </c>
      <c r="N423" s="55">
        <f t="shared" si="174"/>
        <v>0</v>
      </c>
      <c r="O423" s="55">
        <v>0</v>
      </c>
      <c r="P423" s="55">
        <v>0</v>
      </c>
      <c r="Q423" s="55">
        <v>0</v>
      </c>
      <c r="R423" s="55">
        <f t="shared" si="175"/>
        <v>0</v>
      </c>
      <c r="S423" s="55">
        <v>0</v>
      </c>
      <c r="T423" s="55">
        <v>0</v>
      </c>
      <c r="U423" s="55">
        <v>0</v>
      </c>
      <c r="V423" s="55">
        <v>0</v>
      </c>
      <c r="W423" s="53">
        <v>0</v>
      </c>
      <c r="X423" s="53">
        <v>0</v>
      </c>
      <c r="Y423" s="55">
        <v>0</v>
      </c>
      <c r="Z423" s="55">
        <v>0</v>
      </c>
      <c r="AA423" s="53">
        <v>0</v>
      </c>
      <c r="AB423" s="53">
        <v>0</v>
      </c>
      <c r="AC423" s="55">
        <v>0</v>
      </c>
      <c r="AD423" s="55">
        <f t="shared" si="166"/>
        <v>0</v>
      </c>
      <c r="AE423" s="53">
        <v>0</v>
      </c>
      <c r="AF423" s="55">
        <v>0</v>
      </c>
      <c r="AG423" s="55">
        <v>0</v>
      </c>
      <c r="AH423" s="55">
        <f t="shared" si="167"/>
        <v>0</v>
      </c>
      <c r="AI423" s="55">
        <v>0</v>
      </c>
      <c r="AJ423" s="55">
        <v>0</v>
      </c>
      <c r="AK423" s="55">
        <v>0</v>
      </c>
      <c r="AL423" s="55">
        <f t="shared" si="168"/>
        <v>0</v>
      </c>
      <c r="AM423" s="55" t="s">
        <v>1912</v>
      </c>
      <c r="AN423" s="55">
        <v>0</v>
      </c>
      <c r="AO423" s="55">
        <v>0</v>
      </c>
      <c r="AP423" s="55">
        <f t="shared" si="158"/>
        <v>1</v>
      </c>
      <c r="AQ423" s="55">
        <f>IFERROR(VLOOKUP(A423,[1]SIIMPLES!$A$2:$F$418,6,FALSE),0)</f>
        <v>1</v>
      </c>
      <c r="AR423" s="55">
        <v>0</v>
      </c>
      <c r="AS423" s="55">
        <v>3</v>
      </c>
      <c r="AT423" s="55">
        <v>3</v>
      </c>
      <c r="AU423" s="55">
        <v>0</v>
      </c>
      <c r="AV423" s="55">
        <v>0</v>
      </c>
      <c r="AW423" s="55"/>
      <c r="AX423" s="55"/>
      <c r="AY423" s="56">
        <f t="shared" si="169"/>
        <v>0.4</v>
      </c>
      <c r="AZ423" s="55"/>
      <c r="BA423" s="56">
        <v>0</v>
      </c>
      <c r="BB423" s="41" t="str">
        <f t="shared" si="171"/>
        <v/>
      </c>
      <c r="BC423" s="13"/>
      <c r="BD423" s="36"/>
      <c r="BE423" s="7"/>
      <c r="BF423" s="16"/>
      <c r="BG423" s="17">
        <f t="shared" si="176"/>
        <v>0</v>
      </c>
      <c r="BH423" s="16">
        <f t="shared" si="177"/>
        <v>0.4</v>
      </c>
    </row>
    <row r="424" spans="1:60" s="21" customFormat="1" ht="12.75" customHeight="1" x14ac:dyDescent="0.2">
      <c r="A424" s="51">
        <v>66630</v>
      </c>
      <c r="B424" s="51"/>
      <c r="C424" s="66" t="s">
        <v>1803</v>
      </c>
      <c r="D424" s="65" t="s">
        <v>737</v>
      </c>
      <c r="E424" s="67" t="s">
        <v>727</v>
      </c>
      <c r="F424" s="53">
        <f>IFERROR(VLOOKUP(E424,Fornecedores!$A$2:$B$2700,2,FALSE),"")</f>
        <v>1</v>
      </c>
      <c r="G424" s="52" t="s">
        <v>1561</v>
      </c>
      <c r="H424" s="57"/>
      <c r="I424" s="55">
        <f t="shared" si="173"/>
        <v>3</v>
      </c>
      <c r="J424" s="57" t="s">
        <v>1283</v>
      </c>
      <c r="K424" s="55">
        <v>0</v>
      </c>
      <c r="L424" s="55">
        <v>3</v>
      </c>
      <c r="M424" s="55">
        <v>0</v>
      </c>
      <c r="N424" s="55">
        <f t="shared" si="174"/>
        <v>0</v>
      </c>
      <c r="O424" s="55">
        <v>0</v>
      </c>
      <c r="P424" s="55">
        <v>0</v>
      </c>
      <c r="Q424" s="55">
        <v>0</v>
      </c>
      <c r="R424" s="55">
        <f t="shared" si="175"/>
        <v>1</v>
      </c>
      <c r="S424" s="55">
        <v>1</v>
      </c>
      <c r="T424" s="55">
        <v>0</v>
      </c>
      <c r="U424" s="55">
        <v>0</v>
      </c>
      <c r="V424" s="55">
        <v>4</v>
      </c>
      <c r="W424" s="53">
        <v>4</v>
      </c>
      <c r="X424" s="53">
        <v>0</v>
      </c>
      <c r="Y424" s="55">
        <v>0</v>
      </c>
      <c r="Z424" s="55">
        <v>4</v>
      </c>
      <c r="AA424" s="53">
        <v>4</v>
      </c>
      <c r="AB424" s="53">
        <v>0</v>
      </c>
      <c r="AC424" s="55">
        <v>0</v>
      </c>
      <c r="AD424" s="55">
        <f t="shared" si="166"/>
        <v>5</v>
      </c>
      <c r="AE424" s="53">
        <v>5</v>
      </c>
      <c r="AF424" s="55">
        <v>0</v>
      </c>
      <c r="AG424" s="55">
        <v>0</v>
      </c>
      <c r="AH424" s="55">
        <f t="shared" si="167"/>
        <v>0</v>
      </c>
      <c r="AI424" s="55">
        <v>0</v>
      </c>
      <c r="AJ424" s="55">
        <v>0</v>
      </c>
      <c r="AK424" s="55">
        <v>0</v>
      </c>
      <c r="AL424" s="55">
        <f t="shared" si="168"/>
        <v>1</v>
      </c>
      <c r="AM424" s="55" t="s">
        <v>1912</v>
      </c>
      <c r="AN424" s="55">
        <v>0</v>
      </c>
      <c r="AO424" s="55">
        <v>1</v>
      </c>
      <c r="AP424" s="55">
        <f t="shared" si="158"/>
        <v>1</v>
      </c>
      <c r="AQ424" s="55">
        <f>IFERROR(VLOOKUP(A424,[1]SIIMPLES!$A$2:$F$418,6,FALSE),0)</f>
        <v>1</v>
      </c>
      <c r="AR424" s="55">
        <v>0</v>
      </c>
      <c r="AS424" s="55">
        <v>2</v>
      </c>
      <c r="AT424" s="55">
        <v>2</v>
      </c>
      <c r="AU424" s="55">
        <v>0</v>
      </c>
      <c r="AV424" s="55">
        <v>0</v>
      </c>
      <c r="AW424" s="57"/>
      <c r="AX424" s="57"/>
      <c r="AY424" s="56">
        <f t="shared" si="169"/>
        <v>2.1</v>
      </c>
      <c r="AZ424" s="55"/>
      <c r="BA424" s="56" t="s">
        <v>1912</v>
      </c>
      <c r="BB424" s="41" t="str">
        <f t="shared" si="171"/>
        <v/>
      </c>
      <c r="BC424" s="13"/>
      <c r="BD424" s="36"/>
      <c r="BE424" s="7"/>
      <c r="BF424" s="7"/>
      <c r="BG424" s="17">
        <f t="shared" si="176"/>
        <v>0</v>
      </c>
      <c r="BH424" s="16">
        <f t="shared" si="177"/>
        <v>6.3000000000000007</v>
      </c>
    </row>
    <row r="425" spans="1:60" s="21" customFormat="1" ht="12.75" customHeight="1" x14ac:dyDescent="0.2">
      <c r="A425" s="51">
        <v>66654</v>
      </c>
      <c r="B425" s="51"/>
      <c r="C425" s="66" t="s">
        <v>1803</v>
      </c>
      <c r="D425" s="65" t="s">
        <v>1777</v>
      </c>
      <c r="E425" s="67" t="s">
        <v>727</v>
      </c>
      <c r="F425" s="53">
        <f>IFERROR(VLOOKUP(E425,Fornecedores!$A$2:$B$2700,2,FALSE),"")</f>
        <v>1</v>
      </c>
      <c r="G425" s="52" t="s">
        <v>1479</v>
      </c>
      <c r="H425" s="57"/>
      <c r="I425" s="55">
        <f t="shared" si="173"/>
        <v>5</v>
      </c>
      <c r="J425" s="55">
        <v>0</v>
      </c>
      <c r="K425" s="55">
        <v>0</v>
      </c>
      <c r="L425" s="55">
        <v>5</v>
      </c>
      <c r="M425" s="55">
        <v>0</v>
      </c>
      <c r="N425" s="55">
        <f t="shared" si="174"/>
        <v>0</v>
      </c>
      <c r="O425" s="55">
        <v>0</v>
      </c>
      <c r="P425" s="55">
        <v>0</v>
      </c>
      <c r="Q425" s="55">
        <v>0</v>
      </c>
      <c r="R425" s="55">
        <f t="shared" si="175"/>
        <v>0</v>
      </c>
      <c r="S425" s="55">
        <v>0</v>
      </c>
      <c r="T425" s="55">
        <v>0</v>
      </c>
      <c r="U425" s="55">
        <v>0</v>
      </c>
      <c r="V425" s="55">
        <v>0</v>
      </c>
      <c r="W425" s="53">
        <v>0</v>
      </c>
      <c r="X425" s="53">
        <v>0</v>
      </c>
      <c r="Y425" s="55">
        <v>0</v>
      </c>
      <c r="Z425" s="55">
        <v>1</v>
      </c>
      <c r="AA425" s="53">
        <v>1</v>
      </c>
      <c r="AB425" s="53">
        <v>0</v>
      </c>
      <c r="AC425" s="55">
        <v>0</v>
      </c>
      <c r="AD425" s="55">
        <f t="shared" si="166"/>
        <v>0</v>
      </c>
      <c r="AE425" s="53">
        <v>0</v>
      </c>
      <c r="AF425" s="55">
        <v>0</v>
      </c>
      <c r="AG425" s="55">
        <v>0</v>
      </c>
      <c r="AH425" s="55">
        <f t="shared" si="167"/>
        <v>2</v>
      </c>
      <c r="AI425" s="55">
        <v>2</v>
      </c>
      <c r="AJ425" s="55">
        <v>0</v>
      </c>
      <c r="AK425" s="55">
        <v>0</v>
      </c>
      <c r="AL425" s="55">
        <f t="shared" si="168"/>
        <v>2</v>
      </c>
      <c r="AM425" s="55" t="s">
        <v>1912</v>
      </c>
      <c r="AN425" s="55">
        <v>0</v>
      </c>
      <c r="AO425" s="55">
        <v>2</v>
      </c>
      <c r="AP425" s="55">
        <f t="shared" si="158"/>
        <v>1</v>
      </c>
      <c r="AQ425" s="55">
        <f>IFERROR(VLOOKUP(A425,[1]SIIMPLES!$A$2:$F$418,6,FALSE),0)</f>
        <v>1</v>
      </c>
      <c r="AR425" s="55">
        <v>0</v>
      </c>
      <c r="AS425" s="55">
        <v>3</v>
      </c>
      <c r="AT425" s="55">
        <v>3</v>
      </c>
      <c r="AU425" s="55">
        <v>0</v>
      </c>
      <c r="AV425" s="55">
        <v>0</v>
      </c>
      <c r="AW425" s="57"/>
      <c r="AX425" s="55"/>
      <c r="AY425" s="56">
        <f t="shared" si="169"/>
        <v>1.4</v>
      </c>
      <c r="AZ425" s="55"/>
      <c r="BA425" s="56">
        <v>5</v>
      </c>
      <c r="BB425" s="41">
        <f t="shared" si="171"/>
        <v>-0.72</v>
      </c>
      <c r="BC425" s="13"/>
      <c r="BD425" s="35"/>
      <c r="BE425" s="13"/>
      <c r="BF425" s="16">
        <f>SUM(BC425:BE425)</f>
        <v>0</v>
      </c>
      <c r="BG425" s="17">
        <f t="shared" si="176"/>
        <v>0</v>
      </c>
      <c r="BH425" s="16">
        <f t="shared" si="177"/>
        <v>4.1999999999999993</v>
      </c>
    </row>
    <row r="426" spans="1:60" s="21" customFormat="1" ht="12.75" customHeight="1" x14ac:dyDescent="0.2">
      <c r="A426" s="51">
        <v>77032</v>
      </c>
      <c r="B426" s="51" t="s">
        <v>1077</v>
      </c>
      <c r="C426" s="66" t="s">
        <v>1803</v>
      </c>
      <c r="D426" s="65" t="s">
        <v>726</v>
      </c>
      <c r="E426" s="52" t="s">
        <v>732</v>
      </c>
      <c r="F426" s="53">
        <f>IFERROR(VLOOKUP(E426,Fornecedores!$A$2:$B$2700,2,FALSE),"")</f>
        <v>6</v>
      </c>
      <c r="G426" s="52" t="s">
        <v>334</v>
      </c>
      <c r="H426" s="54"/>
      <c r="I426" s="55">
        <f t="shared" si="173"/>
        <v>4</v>
      </c>
      <c r="J426" s="55">
        <v>4</v>
      </c>
      <c r="K426" s="55">
        <v>0</v>
      </c>
      <c r="L426" s="55">
        <v>0</v>
      </c>
      <c r="M426" s="55">
        <v>0</v>
      </c>
      <c r="N426" s="55">
        <f t="shared" si="174"/>
        <v>0</v>
      </c>
      <c r="O426" s="55">
        <v>0</v>
      </c>
      <c r="P426" s="55">
        <v>0</v>
      </c>
      <c r="Q426" s="55">
        <v>0</v>
      </c>
      <c r="R426" s="55">
        <f t="shared" si="175"/>
        <v>0</v>
      </c>
      <c r="S426" s="55">
        <v>0</v>
      </c>
      <c r="T426" s="55">
        <v>0</v>
      </c>
      <c r="U426" s="55">
        <v>0</v>
      </c>
      <c r="V426" s="55">
        <v>0</v>
      </c>
      <c r="W426" s="53">
        <v>0</v>
      </c>
      <c r="X426" s="53">
        <v>0</v>
      </c>
      <c r="Y426" s="55">
        <v>0</v>
      </c>
      <c r="Z426" s="55">
        <v>0</v>
      </c>
      <c r="AA426" s="53">
        <v>0</v>
      </c>
      <c r="AB426" s="53">
        <v>0</v>
      </c>
      <c r="AC426" s="55">
        <v>0</v>
      </c>
      <c r="AD426" s="55">
        <f t="shared" si="166"/>
        <v>1</v>
      </c>
      <c r="AE426" s="53">
        <v>1</v>
      </c>
      <c r="AF426" s="55">
        <v>0</v>
      </c>
      <c r="AG426" s="55">
        <v>0</v>
      </c>
      <c r="AH426" s="55">
        <f t="shared" si="167"/>
        <v>3</v>
      </c>
      <c r="AI426" s="55">
        <v>3</v>
      </c>
      <c r="AJ426" s="55">
        <v>0</v>
      </c>
      <c r="AK426" s="55">
        <v>0</v>
      </c>
      <c r="AL426" s="55">
        <f t="shared" si="168"/>
        <v>8</v>
      </c>
      <c r="AM426" s="55">
        <v>8</v>
      </c>
      <c r="AN426" s="55">
        <v>0</v>
      </c>
      <c r="AO426" s="55">
        <v>0</v>
      </c>
      <c r="AP426" s="55">
        <f t="shared" si="158"/>
        <v>1</v>
      </c>
      <c r="AQ426" s="55">
        <f>IFERROR(VLOOKUP(A426,[1]SIIMPLES!$A$2:$F$418,6,FALSE),0)</f>
        <v>1</v>
      </c>
      <c r="AR426" s="55">
        <v>0</v>
      </c>
      <c r="AS426" s="55">
        <v>2</v>
      </c>
      <c r="AT426" s="55">
        <v>2</v>
      </c>
      <c r="AU426" s="55">
        <v>0</v>
      </c>
      <c r="AV426" s="55">
        <v>0</v>
      </c>
      <c r="AW426" s="55"/>
      <c r="AX426" s="55"/>
      <c r="AY426" s="56">
        <f t="shared" si="169"/>
        <v>1.9</v>
      </c>
      <c r="AZ426" s="55"/>
      <c r="BA426" s="56">
        <v>2.3333333333333335</v>
      </c>
      <c r="BB426" s="41">
        <f t="shared" si="171"/>
        <v>-0.18571428571428583</v>
      </c>
      <c r="BC426" s="13"/>
      <c r="BD426" s="35"/>
      <c r="BE426" s="13"/>
      <c r="BF426" s="16"/>
      <c r="BG426" s="17">
        <f t="shared" si="176"/>
        <v>0</v>
      </c>
      <c r="BH426" s="16">
        <f t="shared" si="177"/>
        <v>1.9</v>
      </c>
    </row>
    <row r="427" spans="1:60" s="21" customFormat="1" ht="12.75" customHeight="1" x14ac:dyDescent="0.2">
      <c r="A427" s="51">
        <v>77144</v>
      </c>
      <c r="B427" s="51" t="s">
        <v>1077</v>
      </c>
      <c r="C427" s="66" t="s">
        <v>1803</v>
      </c>
      <c r="D427" s="65" t="s">
        <v>1780</v>
      </c>
      <c r="E427" s="52" t="s">
        <v>732</v>
      </c>
      <c r="F427" s="53">
        <f>IFERROR(VLOOKUP(E427,Fornecedores!$A$2:$B$2700,2,FALSE),"")</f>
        <v>6</v>
      </c>
      <c r="G427" s="52" t="s">
        <v>590</v>
      </c>
      <c r="H427" s="54"/>
      <c r="I427" s="55">
        <f t="shared" si="173"/>
        <v>7</v>
      </c>
      <c r="J427" s="55">
        <v>7</v>
      </c>
      <c r="K427" s="55">
        <v>0</v>
      </c>
      <c r="L427" s="55">
        <v>0</v>
      </c>
      <c r="M427" s="55">
        <v>0</v>
      </c>
      <c r="N427" s="55">
        <f t="shared" si="174"/>
        <v>2</v>
      </c>
      <c r="O427" s="55">
        <v>2</v>
      </c>
      <c r="P427" s="55">
        <v>0</v>
      </c>
      <c r="Q427" s="55">
        <v>0</v>
      </c>
      <c r="R427" s="55">
        <f t="shared" si="175"/>
        <v>0</v>
      </c>
      <c r="S427" s="55">
        <v>0</v>
      </c>
      <c r="T427" s="55">
        <v>0</v>
      </c>
      <c r="U427" s="55">
        <v>0</v>
      </c>
      <c r="V427" s="55">
        <v>0</v>
      </c>
      <c r="W427" s="53">
        <v>0</v>
      </c>
      <c r="X427" s="53">
        <v>0</v>
      </c>
      <c r="Y427" s="55">
        <v>0</v>
      </c>
      <c r="Z427" s="55">
        <v>3</v>
      </c>
      <c r="AA427" s="53">
        <v>3</v>
      </c>
      <c r="AB427" s="53">
        <v>0</v>
      </c>
      <c r="AC427" s="55">
        <v>0</v>
      </c>
      <c r="AD427" s="55">
        <f t="shared" ref="AD427:AD458" si="178">SUM(AE427:AG427)</f>
        <v>0</v>
      </c>
      <c r="AE427" s="53">
        <v>0</v>
      </c>
      <c r="AF427" s="55">
        <v>0</v>
      </c>
      <c r="AG427" s="55">
        <v>0</v>
      </c>
      <c r="AH427" s="55">
        <f t="shared" ref="AH427:AH458" si="179">SUM(AI427:AK427)</f>
        <v>0</v>
      </c>
      <c r="AI427" s="55">
        <v>0</v>
      </c>
      <c r="AJ427" s="55">
        <v>0</v>
      </c>
      <c r="AK427" s="55">
        <v>0</v>
      </c>
      <c r="AL427" s="55">
        <f t="shared" ref="AL427:AL458" si="180">SUM(AM427:AO427)</f>
        <v>0</v>
      </c>
      <c r="AM427" s="55" t="s">
        <v>1912</v>
      </c>
      <c r="AN427" s="55">
        <v>0</v>
      </c>
      <c r="AO427" s="55">
        <v>0</v>
      </c>
      <c r="AP427" s="55">
        <f t="shared" si="158"/>
        <v>1</v>
      </c>
      <c r="AQ427" s="55">
        <f>IFERROR(VLOOKUP(A427,[1]SIIMPLES!$A$2:$F$418,6,FALSE),0)</f>
        <v>1</v>
      </c>
      <c r="AR427" s="55">
        <v>0</v>
      </c>
      <c r="AS427" s="55">
        <v>1</v>
      </c>
      <c r="AT427" s="55">
        <v>0</v>
      </c>
      <c r="AU427" s="55">
        <v>0</v>
      </c>
      <c r="AV427" s="55">
        <v>1</v>
      </c>
      <c r="AW427" s="55"/>
      <c r="AX427" s="55"/>
      <c r="AY427" s="56">
        <f t="shared" ref="AY427:AY458" si="181">IFERROR(AVERAGE(I427,N427,R427,V427,Z427,AD427,AH427,AL427,AP427,AS427,AW427,AX427),"-")</f>
        <v>1.4</v>
      </c>
      <c r="AZ427" s="55"/>
      <c r="BA427" s="56">
        <v>5.5</v>
      </c>
      <c r="BB427" s="41">
        <f t="shared" si="171"/>
        <v>-0.74545454545454548</v>
      </c>
      <c r="BC427" s="13"/>
      <c r="BD427" s="36"/>
      <c r="BE427" s="7"/>
      <c r="BF427" s="7"/>
      <c r="BG427" s="17">
        <f t="shared" si="176"/>
        <v>0</v>
      </c>
      <c r="BH427" s="7"/>
    </row>
    <row r="428" spans="1:60" s="21" customFormat="1" ht="12.75" customHeight="1" x14ac:dyDescent="0.2">
      <c r="A428" s="51">
        <v>77352</v>
      </c>
      <c r="B428" s="51" t="s">
        <v>1077</v>
      </c>
      <c r="C428" s="66" t="s">
        <v>1803</v>
      </c>
      <c r="D428" s="65" t="s">
        <v>737</v>
      </c>
      <c r="E428" s="67" t="s">
        <v>727</v>
      </c>
      <c r="F428" s="53">
        <f>IFERROR(VLOOKUP(E428,Fornecedores!$A$2:$B$2700,2,FALSE),"")</f>
        <v>1</v>
      </c>
      <c r="G428" s="52" t="s">
        <v>577</v>
      </c>
      <c r="H428" s="54"/>
      <c r="I428" s="55">
        <f t="shared" si="173"/>
        <v>24</v>
      </c>
      <c r="J428" s="55">
        <v>24</v>
      </c>
      <c r="K428" s="55">
        <v>0</v>
      </c>
      <c r="L428" s="55">
        <v>0</v>
      </c>
      <c r="M428" s="55">
        <v>0</v>
      </c>
      <c r="N428" s="55">
        <f t="shared" si="174"/>
        <v>25</v>
      </c>
      <c r="O428" s="55">
        <v>25</v>
      </c>
      <c r="P428" s="55">
        <v>0</v>
      </c>
      <c r="Q428" s="55">
        <v>0</v>
      </c>
      <c r="R428" s="55">
        <f t="shared" si="175"/>
        <v>18</v>
      </c>
      <c r="S428" s="55">
        <v>18</v>
      </c>
      <c r="T428" s="55">
        <v>0</v>
      </c>
      <c r="U428" s="55">
        <v>0</v>
      </c>
      <c r="V428" s="55">
        <v>35</v>
      </c>
      <c r="W428" s="53">
        <v>35</v>
      </c>
      <c r="X428" s="53">
        <v>0</v>
      </c>
      <c r="Y428" s="55">
        <v>0</v>
      </c>
      <c r="Z428" s="55">
        <v>30</v>
      </c>
      <c r="AA428" s="53">
        <v>30</v>
      </c>
      <c r="AB428" s="53">
        <v>0</v>
      </c>
      <c r="AC428" s="55">
        <v>0</v>
      </c>
      <c r="AD428" s="55">
        <f t="shared" si="178"/>
        <v>37</v>
      </c>
      <c r="AE428" s="53">
        <v>37</v>
      </c>
      <c r="AF428" s="55">
        <v>0</v>
      </c>
      <c r="AG428" s="55">
        <v>0</v>
      </c>
      <c r="AH428" s="55">
        <f t="shared" si="179"/>
        <v>20</v>
      </c>
      <c r="AI428" s="55">
        <v>20</v>
      </c>
      <c r="AJ428" s="55">
        <v>0</v>
      </c>
      <c r="AK428" s="55">
        <v>0</v>
      </c>
      <c r="AL428" s="55">
        <f t="shared" si="180"/>
        <v>5</v>
      </c>
      <c r="AM428" s="55">
        <v>5</v>
      </c>
      <c r="AN428" s="55">
        <v>0</v>
      </c>
      <c r="AO428" s="55">
        <v>0</v>
      </c>
      <c r="AP428" s="55">
        <f t="shared" si="158"/>
        <v>1</v>
      </c>
      <c r="AQ428" s="55">
        <f>IFERROR(VLOOKUP(A428,[1]SIIMPLES!$A$2:$F$418,6,FALSE),0)</f>
        <v>1</v>
      </c>
      <c r="AR428" s="55">
        <v>0</v>
      </c>
      <c r="AS428" s="55">
        <v>2</v>
      </c>
      <c r="AT428" s="55">
        <v>2</v>
      </c>
      <c r="AU428" s="55">
        <v>0</v>
      </c>
      <c r="AV428" s="55">
        <v>0</v>
      </c>
      <c r="AW428" s="55"/>
      <c r="AX428" s="55"/>
      <c r="AY428" s="56">
        <f t="shared" si="181"/>
        <v>19.7</v>
      </c>
      <c r="AZ428" s="55"/>
      <c r="BA428" s="56">
        <v>37.166666666666664</v>
      </c>
      <c r="BB428" s="41">
        <f t="shared" si="171"/>
        <v>-0.46995515695067258</v>
      </c>
      <c r="BC428" s="13"/>
      <c r="BD428" s="35"/>
      <c r="BE428" s="13"/>
      <c r="BF428" s="16"/>
      <c r="BG428" s="17">
        <f t="shared" si="176"/>
        <v>0</v>
      </c>
      <c r="BH428" s="16">
        <f>ROUND(IFERROR(IF(F428=1,IF(BC428&lt;AY428*3,AY428*3-BC428,0),IF(BC428&lt;AY428,AY428*0.6-BC428,0)),""),0)</f>
        <v>59</v>
      </c>
    </row>
    <row r="429" spans="1:60" s="21" customFormat="1" ht="12.75" customHeight="1" x14ac:dyDescent="0.2">
      <c r="A429" s="51">
        <v>78180</v>
      </c>
      <c r="B429" s="51" t="s">
        <v>1077</v>
      </c>
      <c r="C429" s="66" t="s">
        <v>1803</v>
      </c>
      <c r="D429" s="65" t="s">
        <v>1478</v>
      </c>
      <c r="E429" s="67" t="s">
        <v>727</v>
      </c>
      <c r="F429" s="53">
        <f>IFERROR(VLOOKUP(E429,Fornecedores!$A$2:$B$2700,2,FALSE),"")</f>
        <v>1</v>
      </c>
      <c r="G429" s="52" t="s">
        <v>1773</v>
      </c>
      <c r="H429" s="54"/>
      <c r="I429" s="55">
        <f t="shared" si="173"/>
        <v>2</v>
      </c>
      <c r="J429" s="55">
        <v>2</v>
      </c>
      <c r="K429" s="55">
        <v>0</v>
      </c>
      <c r="L429" s="55">
        <v>0</v>
      </c>
      <c r="M429" s="55">
        <v>0</v>
      </c>
      <c r="N429" s="55">
        <f t="shared" si="174"/>
        <v>0</v>
      </c>
      <c r="O429" s="55">
        <v>0</v>
      </c>
      <c r="P429" s="55">
        <v>0</v>
      </c>
      <c r="Q429" s="55">
        <v>0</v>
      </c>
      <c r="R429" s="55">
        <f t="shared" si="175"/>
        <v>1</v>
      </c>
      <c r="S429" s="55">
        <v>1</v>
      </c>
      <c r="T429" s="55">
        <v>0</v>
      </c>
      <c r="U429" s="55">
        <v>0</v>
      </c>
      <c r="V429" s="55">
        <v>2</v>
      </c>
      <c r="W429" s="53">
        <v>2</v>
      </c>
      <c r="X429" s="53">
        <v>0</v>
      </c>
      <c r="Y429" s="55">
        <v>0</v>
      </c>
      <c r="Z429" s="55">
        <v>1</v>
      </c>
      <c r="AA429" s="53">
        <v>1</v>
      </c>
      <c r="AB429" s="53">
        <v>0</v>
      </c>
      <c r="AC429" s="55">
        <v>0</v>
      </c>
      <c r="AD429" s="55">
        <f t="shared" si="178"/>
        <v>4</v>
      </c>
      <c r="AE429" s="53">
        <v>4</v>
      </c>
      <c r="AF429" s="55">
        <v>0</v>
      </c>
      <c r="AG429" s="55">
        <v>0</v>
      </c>
      <c r="AH429" s="55">
        <f t="shared" si="179"/>
        <v>2</v>
      </c>
      <c r="AI429" s="55">
        <v>2</v>
      </c>
      <c r="AJ429" s="55">
        <v>0</v>
      </c>
      <c r="AK429" s="55">
        <v>0</v>
      </c>
      <c r="AL429" s="55">
        <f t="shared" si="180"/>
        <v>1</v>
      </c>
      <c r="AM429" s="55">
        <v>1</v>
      </c>
      <c r="AN429" s="55">
        <v>0</v>
      </c>
      <c r="AO429" s="55">
        <v>0</v>
      </c>
      <c r="AP429" s="55">
        <f t="shared" si="158"/>
        <v>1</v>
      </c>
      <c r="AQ429" s="55">
        <f>IFERROR(VLOOKUP(A429,[1]SIIMPLES!$A$2:$F$418,6,FALSE),0)</f>
        <v>1</v>
      </c>
      <c r="AR429" s="55">
        <v>0</v>
      </c>
      <c r="AS429" s="55">
        <v>3</v>
      </c>
      <c r="AT429" s="55">
        <v>3</v>
      </c>
      <c r="AU429" s="55">
        <v>0</v>
      </c>
      <c r="AV429" s="55">
        <v>0</v>
      </c>
      <c r="AW429" s="55"/>
      <c r="AX429" s="55"/>
      <c r="AY429" s="56">
        <f t="shared" si="181"/>
        <v>1.7</v>
      </c>
      <c r="AZ429" s="55"/>
      <c r="BA429" s="56">
        <v>2.6666666666666665</v>
      </c>
      <c r="BB429" s="41">
        <f t="shared" si="171"/>
        <v>-0.36249999999999993</v>
      </c>
      <c r="BC429" s="13"/>
      <c r="BD429" s="35"/>
      <c r="BE429" s="13"/>
      <c r="BF429" s="16"/>
      <c r="BG429" s="17">
        <f t="shared" si="176"/>
        <v>0</v>
      </c>
      <c r="BH429" s="16">
        <f>IFERROR(IF(F429=1,IF(BC429&lt;AY429*3,AY429*3-BC429,0),IF(BC429&lt;AY429,AY429-BC429,0)),"")</f>
        <v>5.0999999999999996</v>
      </c>
    </row>
    <row r="430" spans="1:60" s="21" customFormat="1" ht="12.75" customHeight="1" x14ac:dyDescent="0.2">
      <c r="A430" s="51">
        <v>88459</v>
      </c>
      <c r="B430" s="51" t="s">
        <v>1077</v>
      </c>
      <c r="C430" s="66" t="s">
        <v>1803</v>
      </c>
      <c r="D430" s="65" t="s">
        <v>1778</v>
      </c>
      <c r="E430" s="52" t="s">
        <v>732</v>
      </c>
      <c r="F430" s="53">
        <f>IFERROR(VLOOKUP(E430,Fornecedores!$A$2:$B$2700,2,FALSE),"")</f>
        <v>6</v>
      </c>
      <c r="G430" s="52" t="s">
        <v>63</v>
      </c>
      <c r="H430" s="54"/>
      <c r="I430" s="55">
        <f t="shared" si="173"/>
        <v>1</v>
      </c>
      <c r="J430" s="55">
        <v>1</v>
      </c>
      <c r="K430" s="55">
        <v>0</v>
      </c>
      <c r="L430" s="55">
        <v>0</v>
      </c>
      <c r="M430" s="55">
        <v>0</v>
      </c>
      <c r="N430" s="55">
        <f t="shared" si="174"/>
        <v>0</v>
      </c>
      <c r="O430" s="55">
        <v>0</v>
      </c>
      <c r="P430" s="55">
        <v>0</v>
      </c>
      <c r="Q430" s="55">
        <v>0</v>
      </c>
      <c r="R430" s="55">
        <f t="shared" si="175"/>
        <v>0</v>
      </c>
      <c r="S430" s="55">
        <v>0</v>
      </c>
      <c r="T430" s="55">
        <v>0</v>
      </c>
      <c r="U430" s="55">
        <v>0</v>
      </c>
      <c r="V430" s="55">
        <v>0</v>
      </c>
      <c r="W430" s="53">
        <v>0</v>
      </c>
      <c r="X430" s="53">
        <v>0</v>
      </c>
      <c r="Y430" s="55">
        <v>0</v>
      </c>
      <c r="Z430" s="55">
        <v>1</v>
      </c>
      <c r="AA430" s="53">
        <v>1</v>
      </c>
      <c r="AB430" s="53">
        <v>0</v>
      </c>
      <c r="AC430" s="55">
        <v>0</v>
      </c>
      <c r="AD430" s="55">
        <f t="shared" si="178"/>
        <v>2</v>
      </c>
      <c r="AE430" s="53">
        <v>2</v>
      </c>
      <c r="AF430" s="55">
        <v>0</v>
      </c>
      <c r="AG430" s="55">
        <v>0</v>
      </c>
      <c r="AH430" s="55">
        <f t="shared" si="179"/>
        <v>1</v>
      </c>
      <c r="AI430" s="55">
        <v>1</v>
      </c>
      <c r="AJ430" s="55">
        <v>0</v>
      </c>
      <c r="AK430" s="55">
        <v>0</v>
      </c>
      <c r="AL430" s="55">
        <f t="shared" si="180"/>
        <v>2</v>
      </c>
      <c r="AM430" s="55">
        <v>2</v>
      </c>
      <c r="AN430" s="55">
        <v>0</v>
      </c>
      <c r="AO430" s="55">
        <v>0</v>
      </c>
      <c r="AP430" s="55">
        <f t="shared" si="158"/>
        <v>1</v>
      </c>
      <c r="AQ430" s="55">
        <f>IFERROR(VLOOKUP(A430,[1]SIIMPLES!$A$2:$F$418,6,FALSE),0)</f>
        <v>1</v>
      </c>
      <c r="AR430" s="55">
        <v>0</v>
      </c>
      <c r="AS430" s="55">
        <v>0</v>
      </c>
      <c r="AT430" s="55">
        <v>0</v>
      </c>
      <c r="AU430" s="55">
        <v>0</v>
      </c>
      <c r="AV430" s="55">
        <v>0</v>
      </c>
      <c r="AW430" s="55"/>
      <c r="AX430" s="55"/>
      <c r="AY430" s="56">
        <f t="shared" si="181"/>
        <v>0.8</v>
      </c>
      <c r="AZ430" s="55"/>
      <c r="BA430" s="56">
        <v>1.1666666666666667</v>
      </c>
      <c r="BB430" s="41">
        <f t="shared" si="171"/>
        <v>-0.31428571428571428</v>
      </c>
      <c r="BC430" s="13"/>
      <c r="BD430" s="35"/>
      <c r="BE430" s="13"/>
      <c r="BF430" s="16"/>
      <c r="BG430" s="17">
        <f t="shared" si="176"/>
        <v>0</v>
      </c>
      <c r="BH430" s="16">
        <f>IFERROR(IF(F430=1,IF(BC430&lt;AY430*3,AY430*3-BC430,0),IF(BC430&lt;AY430,AY430-BC430,0)),"")</f>
        <v>0.8</v>
      </c>
    </row>
    <row r="431" spans="1:60" s="21" customFormat="1" ht="12.75" customHeight="1" x14ac:dyDescent="0.2">
      <c r="A431" s="51">
        <v>88487</v>
      </c>
      <c r="B431" s="51" t="s">
        <v>1077</v>
      </c>
      <c r="C431" s="66" t="s">
        <v>1803</v>
      </c>
      <c r="D431" s="65" t="s">
        <v>1778</v>
      </c>
      <c r="E431" s="52" t="s">
        <v>732</v>
      </c>
      <c r="F431" s="53">
        <f>IFERROR(VLOOKUP(E431,Fornecedores!$A$2:$B$2700,2,FALSE),"")</f>
        <v>6</v>
      </c>
      <c r="G431" s="52" t="s">
        <v>659</v>
      </c>
      <c r="H431" s="54"/>
      <c r="I431" s="55">
        <f t="shared" si="173"/>
        <v>4</v>
      </c>
      <c r="J431" s="55">
        <v>4</v>
      </c>
      <c r="K431" s="55">
        <v>0</v>
      </c>
      <c r="L431" s="55">
        <v>0</v>
      </c>
      <c r="M431" s="55">
        <v>0</v>
      </c>
      <c r="N431" s="55">
        <f t="shared" si="174"/>
        <v>0</v>
      </c>
      <c r="O431" s="55">
        <v>0</v>
      </c>
      <c r="P431" s="55">
        <v>0</v>
      </c>
      <c r="Q431" s="55">
        <v>0</v>
      </c>
      <c r="R431" s="55">
        <f t="shared" si="175"/>
        <v>0</v>
      </c>
      <c r="S431" s="55">
        <v>0</v>
      </c>
      <c r="T431" s="55">
        <v>0</v>
      </c>
      <c r="U431" s="55">
        <v>0</v>
      </c>
      <c r="V431" s="55">
        <v>0</v>
      </c>
      <c r="W431" s="53">
        <v>0</v>
      </c>
      <c r="X431" s="53">
        <v>0</v>
      </c>
      <c r="Y431" s="55">
        <v>0</v>
      </c>
      <c r="Z431" s="55">
        <v>5</v>
      </c>
      <c r="AA431" s="53">
        <v>5</v>
      </c>
      <c r="AB431" s="53">
        <v>0</v>
      </c>
      <c r="AC431" s="55">
        <v>0</v>
      </c>
      <c r="AD431" s="55">
        <f t="shared" si="178"/>
        <v>4</v>
      </c>
      <c r="AE431" s="53">
        <v>4</v>
      </c>
      <c r="AF431" s="55">
        <v>0</v>
      </c>
      <c r="AG431" s="55">
        <v>0</v>
      </c>
      <c r="AH431" s="55">
        <f t="shared" si="179"/>
        <v>0</v>
      </c>
      <c r="AI431" s="55">
        <v>0</v>
      </c>
      <c r="AJ431" s="55">
        <v>0</v>
      </c>
      <c r="AK431" s="55">
        <v>0</v>
      </c>
      <c r="AL431" s="55">
        <f t="shared" si="180"/>
        <v>0</v>
      </c>
      <c r="AM431" s="55" t="s">
        <v>1912</v>
      </c>
      <c r="AN431" s="55">
        <v>0</v>
      </c>
      <c r="AO431" s="55">
        <v>0</v>
      </c>
      <c r="AP431" s="55">
        <f t="shared" si="158"/>
        <v>1</v>
      </c>
      <c r="AQ431" s="55">
        <f>IFERROR(VLOOKUP(A431,[1]SIIMPLES!$A$2:$F$418,6,FALSE),0)</f>
        <v>1</v>
      </c>
      <c r="AR431" s="55">
        <v>0</v>
      </c>
      <c r="AS431" s="55">
        <v>1</v>
      </c>
      <c r="AT431" s="55">
        <v>1</v>
      </c>
      <c r="AU431" s="55">
        <v>0</v>
      </c>
      <c r="AV431" s="55">
        <v>0</v>
      </c>
      <c r="AW431" s="55"/>
      <c r="AX431" s="55"/>
      <c r="AY431" s="56">
        <f t="shared" si="181"/>
        <v>1.5</v>
      </c>
      <c r="AZ431" s="55"/>
      <c r="BA431" s="56">
        <v>1.5</v>
      </c>
      <c r="BB431" s="41">
        <f t="shared" si="171"/>
        <v>0</v>
      </c>
      <c r="BC431" s="13"/>
      <c r="BD431" s="35"/>
      <c r="BE431" s="13"/>
      <c r="BF431" s="16">
        <f>SUM(BC431:BE431)</f>
        <v>0</v>
      </c>
      <c r="BG431" s="17">
        <f t="shared" si="176"/>
        <v>0</v>
      </c>
      <c r="BH431" s="16">
        <f>IFERROR(IF(F431=1,IF(BC431&lt;AY431*3,AY431*3-BC431,0),IF(BC431&lt;AY431,AY431-BC431,0)),"")</f>
        <v>1.5</v>
      </c>
    </row>
    <row r="432" spans="1:60" s="21" customFormat="1" ht="12.75" customHeight="1" x14ac:dyDescent="0.2">
      <c r="A432" s="51">
        <v>88651</v>
      </c>
      <c r="B432" s="51"/>
      <c r="C432" s="66" t="s">
        <v>1803</v>
      </c>
      <c r="D432" s="65" t="s">
        <v>1779</v>
      </c>
      <c r="E432" s="67" t="s">
        <v>727</v>
      </c>
      <c r="F432" s="53">
        <f>IFERROR(VLOOKUP(E432,Fornecedores!$A$2:$B$2700,2,FALSE),"")</f>
        <v>1</v>
      </c>
      <c r="G432" s="52" t="s">
        <v>1236</v>
      </c>
      <c r="H432" s="54"/>
      <c r="I432" s="55">
        <f t="shared" si="173"/>
        <v>0</v>
      </c>
      <c r="J432" s="55">
        <v>0</v>
      </c>
      <c r="K432" s="55">
        <v>0</v>
      </c>
      <c r="L432" s="55">
        <v>0</v>
      </c>
      <c r="M432" s="55">
        <v>0</v>
      </c>
      <c r="N432" s="55">
        <f t="shared" si="174"/>
        <v>1</v>
      </c>
      <c r="O432" s="55">
        <v>1</v>
      </c>
      <c r="P432" s="55">
        <v>0</v>
      </c>
      <c r="Q432" s="55">
        <v>0</v>
      </c>
      <c r="R432" s="55">
        <f t="shared" si="175"/>
        <v>0</v>
      </c>
      <c r="S432" s="55">
        <v>0</v>
      </c>
      <c r="T432" s="55">
        <v>0</v>
      </c>
      <c r="U432" s="55">
        <v>0</v>
      </c>
      <c r="V432" s="55">
        <v>0</v>
      </c>
      <c r="W432" s="53">
        <v>0</v>
      </c>
      <c r="X432" s="53">
        <v>0</v>
      </c>
      <c r="Y432" s="55">
        <v>0</v>
      </c>
      <c r="Z432" s="55">
        <v>1</v>
      </c>
      <c r="AA432" s="53">
        <v>1</v>
      </c>
      <c r="AB432" s="53">
        <v>0</v>
      </c>
      <c r="AC432" s="55">
        <v>0</v>
      </c>
      <c r="AD432" s="55">
        <f t="shared" si="178"/>
        <v>1</v>
      </c>
      <c r="AE432" s="53">
        <v>1</v>
      </c>
      <c r="AF432" s="55">
        <v>0</v>
      </c>
      <c r="AG432" s="55">
        <v>0</v>
      </c>
      <c r="AH432" s="55">
        <f t="shared" si="179"/>
        <v>0</v>
      </c>
      <c r="AI432" s="55">
        <v>0</v>
      </c>
      <c r="AJ432" s="55">
        <v>0</v>
      </c>
      <c r="AK432" s="55">
        <v>0</v>
      </c>
      <c r="AL432" s="55">
        <f t="shared" si="180"/>
        <v>1</v>
      </c>
      <c r="AM432" s="55">
        <v>1</v>
      </c>
      <c r="AN432" s="55">
        <v>0</v>
      </c>
      <c r="AO432" s="55">
        <v>0</v>
      </c>
      <c r="AP432" s="55">
        <f t="shared" si="158"/>
        <v>1</v>
      </c>
      <c r="AQ432" s="55">
        <f>IFERROR(VLOOKUP(A432,[1]SIIMPLES!$A$2:$F$418,6,FALSE),0)</f>
        <v>1</v>
      </c>
      <c r="AR432" s="55">
        <v>0</v>
      </c>
      <c r="AS432" s="55">
        <v>0</v>
      </c>
      <c r="AT432" s="55">
        <v>0</v>
      </c>
      <c r="AU432" s="55">
        <v>0</v>
      </c>
      <c r="AV432" s="55">
        <v>0</v>
      </c>
      <c r="AW432" s="55"/>
      <c r="AX432" s="55"/>
      <c r="AY432" s="56">
        <f t="shared" si="181"/>
        <v>0.5</v>
      </c>
      <c r="AZ432" s="55"/>
      <c r="BA432" s="56">
        <v>0.66666666666666663</v>
      </c>
      <c r="BB432" s="41">
        <f t="shared" si="171"/>
        <v>-0.25</v>
      </c>
      <c r="BC432" s="13"/>
      <c r="BD432" s="35"/>
      <c r="BE432" s="13"/>
      <c r="BF432" s="16"/>
      <c r="BG432" s="17">
        <f t="shared" si="176"/>
        <v>0</v>
      </c>
      <c r="BH432" s="16">
        <f>IFERROR(IF(F432=1,IF(BC432&lt;AY432*3,AY432*3-BC432,0),IF(BC432&lt;AY432,AY432-BC432,0)),"")</f>
        <v>1.5</v>
      </c>
    </row>
    <row r="433" spans="1:60" s="21" customFormat="1" ht="12.75" customHeight="1" x14ac:dyDescent="0.2">
      <c r="A433" s="51">
        <v>90500</v>
      </c>
      <c r="B433" s="51" t="s">
        <v>1077</v>
      </c>
      <c r="C433" s="66" t="s">
        <v>1803</v>
      </c>
      <c r="D433" s="52" t="s">
        <v>731</v>
      </c>
      <c r="E433" s="52" t="s">
        <v>738</v>
      </c>
      <c r="F433" s="53">
        <f>IFERROR(VLOOKUP(E433,Fornecedores!$A$2:$B$2700,2,FALSE),"")</f>
        <v>8</v>
      </c>
      <c r="G433" s="52" t="s">
        <v>457</v>
      </c>
      <c r="H433" s="54"/>
      <c r="I433" s="55">
        <f t="shared" si="173"/>
        <v>0</v>
      </c>
      <c r="J433" s="55">
        <v>0</v>
      </c>
      <c r="K433" s="55">
        <v>0</v>
      </c>
      <c r="L433" s="55">
        <v>0</v>
      </c>
      <c r="M433" s="55">
        <v>0</v>
      </c>
      <c r="N433" s="55">
        <f t="shared" si="174"/>
        <v>0</v>
      </c>
      <c r="O433" s="55">
        <v>0</v>
      </c>
      <c r="P433" s="55">
        <v>0</v>
      </c>
      <c r="Q433" s="55">
        <v>0</v>
      </c>
      <c r="R433" s="55">
        <f t="shared" si="175"/>
        <v>1</v>
      </c>
      <c r="S433" s="55">
        <v>1</v>
      </c>
      <c r="T433" s="55">
        <v>0</v>
      </c>
      <c r="U433" s="55">
        <v>0</v>
      </c>
      <c r="V433" s="55">
        <v>3</v>
      </c>
      <c r="W433" s="53">
        <v>3</v>
      </c>
      <c r="X433" s="53">
        <v>0</v>
      </c>
      <c r="Y433" s="55">
        <v>0</v>
      </c>
      <c r="Z433" s="55">
        <v>0</v>
      </c>
      <c r="AA433" s="53">
        <v>0</v>
      </c>
      <c r="AB433" s="53">
        <v>0</v>
      </c>
      <c r="AC433" s="55">
        <v>0</v>
      </c>
      <c r="AD433" s="55">
        <f t="shared" si="178"/>
        <v>0</v>
      </c>
      <c r="AE433" s="53">
        <v>0</v>
      </c>
      <c r="AF433" s="55">
        <v>0</v>
      </c>
      <c r="AG433" s="55">
        <v>0</v>
      </c>
      <c r="AH433" s="55">
        <f t="shared" si="179"/>
        <v>1</v>
      </c>
      <c r="AI433" s="55">
        <v>1</v>
      </c>
      <c r="AJ433" s="55">
        <v>0</v>
      </c>
      <c r="AK433" s="55">
        <v>0</v>
      </c>
      <c r="AL433" s="55">
        <f t="shared" si="180"/>
        <v>1</v>
      </c>
      <c r="AM433" s="55">
        <v>1</v>
      </c>
      <c r="AN433" s="55">
        <v>0</v>
      </c>
      <c r="AO433" s="55">
        <v>0</v>
      </c>
      <c r="AP433" s="55">
        <f t="shared" si="158"/>
        <v>1</v>
      </c>
      <c r="AQ433" s="55">
        <f>IFERROR(VLOOKUP(A433,[1]SIIMPLES!$A$2:$F$418,6,FALSE),0)</f>
        <v>1</v>
      </c>
      <c r="AR433" s="55">
        <v>0</v>
      </c>
      <c r="AS433" s="55">
        <v>10</v>
      </c>
      <c r="AT433" s="55">
        <v>10</v>
      </c>
      <c r="AU433" s="55">
        <v>0</v>
      </c>
      <c r="AV433" s="55">
        <v>0</v>
      </c>
      <c r="AW433" s="55"/>
      <c r="AX433" s="55"/>
      <c r="AY433" s="56">
        <f t="shared" si="181"/>
        <v>1.7</v>
      </c>
      <c r="AZ433" s="55"/>
      <c r="BA433" s="56">
        <v>1</v>
      </c>
      <c r="BB433" s="41">
        <f t="shared" si="171"/>
        <v>0.7</v>
      </c>
      <c r="BC433" s="13"/>
      <c r="BD433" s="35"/>
      <c r="BE433" s="13"/>
      <c r="BF433" s="16"/>
      <c r="BG433" s="17">
        <f t="shared" si="176"/>
        <v>0</v>
      </c>
      <c r="BH433" s="16">
        <v>4</v>
      </c>
    </row>
    <row r="434" spans="1:60" s="21" customFormat="1" ht="12.75" customHeight="1" x14ac:dyDescent="0.2">
      <c r="A434" s="51">
        <v>90503</v>
      </c>
      <c r="B434" s="51" t="s">
        <v>1077</v>
      </c>
      <c r="C434" s="66" t="s">
        <v>1803</v>
      </c>
      <c r="D434" s="52" t="s">
        <v>731</v>
      </c>
      <c r="E434" s="52" t="s">
        <v>738</v>
      </c>
      <c r="F434" s="53">
        <f>IFERROR(VLOOKUP(E434,Fornecedores!$A$2:$B$2700,2,FALSE),"")</f>
        <v>8</v>
      </c>
      <c r="G434" s="52" t="s">
        <v>305</v>
      </c>
      <c r="H434" s="54"/>
      <c r="I434" s="55">
        <f t="shared" si="173"/>
        <v>0</v>
      </c>
      <c r="J434" s="55">
        <v>0</v>
      </c>
      <c r="K434" s="55">
        <v>0</v>
      </c>
      <c r="L434" s="55">
        <v>0</v>
      </c>
      <c r="M434" s="55">
        <v>0</v>
      </c>
      <c r="N434" s="55">
        <f t="shared" si="174"/>
        <v>3</v>
      </c>
      <c r="O434" s="55">
        <v>3</v>
      </c>
      <c r="P434" s="55">
        <v>0</v>
      </c>
      <c r="Q434" s="55">
        <v>0</v>
      </c>
      <c r="R434" s="55">
        <f t="shared" si="175"/>
        <v>9</v>
      </c>
      <c r="S434" s="55">
        <v>9</v>
      </c>
      <c r="T434" s="55">
        <v>0</v>
      </c>
      <c r="U434" s="55">
        <v>0</v>
      </c>
      <c r="V434" s="55">
        <v>10</v>
      </c>
      <c r="W434" s="53">
        <v>10</v>
      </c>
      <c r="X434" s="53">
        <v>0</v>
      </c>
      <c r="Y434" s="55">
        <v>0</v>
      </c>
      <c r="Z434" s="55">
        <v>7</v>
      </c>
      <c r="AA434" s="53">
        <v>7</v>
      </c>
      <c r="AB434" s="53">
        <v>0</v>
      </c>
      <c r="AC434" s="55">
        <v>0</v>
      </c>
      <c r="AD434" s="55">
        <f t="shared" si="178"/>
        <v>5</v>
      </c>
      <c r="AE434" s="53">
        <v>5</v>
      </c>
      <c r="AF434" s="55">
        <v>0</v>
      </c>
      <c r="AG434" s="55">
        <v>0</v>
      </c>
      <c r="AH434" s="55">
        <f t="shared" si="179"/>
        <v>3</v>
      </c>
      <c r="AI434" s="55">
        <v>3</v>
      </c>
      <c r="AJ434" s="55">
        <v>0</v>
      </c>
      <c r="AK434" s="55">
        <v>0</v>
      </c>
      <c r="AL434" s="55">
        <f t="shared" si="180"/>
        <v>10</v>
      </c>
      <c r="AM434" s="55">
        <v>10</v>
      </c>
      <c r="AN434" s="55">
        <v>0</v>
      </c>
      <c r="AO434" s="55">
        <v>0</v>
      </c>
      <c r="AP434" s="55">
        <f t="shared" si="158"/>
        <v>1</v>
      </c>
      <c r="AQ434" s="55">
        <f>IFERROR(VLOOKUP(A434,[1]SIIMPLES!$A$2:$F$418,6,FALSE),0)</f>
        <v>1</v>
      </c>
      <c r="AR434" s="55">
        <v>0</v>
      </c>
      <c r="AS434" s="55">
        <v>0</v>
      </c>
      <c r="AT434" s="55">
        <v>0</v>
      </c>
      <c r="AU434" s="55">
        <v>0</v>
      </c>
      <c r="AV434" s="55">
        <v>0</v>
      </c>
      <c r="AW434" s="55"/>
      <c r="AX434" s="55"/>
      <c r="AY434" s="56">
        <f t="shared" si="181"/>
        <v>4.8</v>
      </c>
      <c r="AZ434" s="55"/>
      <c r="BA434" s="56">
        <v>13.666666666666666</v>
      </c>
      <c r="BB434" s="41">
        <f t="shared" si="171"/>
        <v>-0.64878048780487807</v>
      </c>
      <c r="BC434" s="13"/>
      <c r="BD434" s="35"/>
      <c r="BE434" s="13"/>
      <c r="BF434" s="16"/>
      <c r="BG434" s="17">
        <f t="shared" si="176"/>
        <v>0</v>
      </c>
      <c r="BH434" s="16">
        <f>ROUND(IFERROR(IF(F434=1,IF(BC434&lt;AY434*3,AY434*3-BC434,0),IF(BC434&lt;AY434,AY434*0.6-BC434,0)),""),0)</f>
        <v>3</v>
      </c>
    </row>
    <row r="435" spans="1:60" s="21" customFormat="1" ht="12.75" customHeight="1" x14ac:dyDescent="0.2">
      <c r="A435" s="51">
        <v>222010</v>
      </c>
      <c r="B435" s="51" t="s">
        <v>1077</v>
      </c>
      <c r="C435" s="66" t="s">
        <v>1803</v>
      </c>
      <c r="D435" s="52" t="s">
        <v>728</v>
      </c>
      <c r="E435" s="65" t="s">
        <v>780</v>
      </c>
      <c r="F435" s="53">
        <f>IFERROR(VLOOKUP(E435,Fornecedores!$A$2:$B$2700,2,FALSE),"")</f>
        <v>2</v>
      </c>
      <c r="G435" s="52" t="s">
        <v>616</v>
      </c>
      <c r="H435" s="57"/>
      <c r="I435" s="55">
        <f t="shared" si="173"/>
        <v>5</v>
      </c>
      <c r="J435" s="55">
        <v>0</v>
      </c>
      <c r="K435" s="55">
        <v>5</v>
      </c>
      <c r="L435" s="55">
        <v>0</v>
      </c>
      <c r="M435" s="55">
        <v>0</v>
      </c>
      <c r="N435" s="55">
        <f t="shared" si="174"/>
        <v>5</v>
      </c>
      <c r="O435" s="55">
        <v>0</v>
      </c>
      <c r="P435" s="55">
        <v>5</v>
      </c>
      <c r="Q435" s="55">
        <v>0</v>
      </c>
      <c r="R435" s="55">
        <f t="shared" si="175"/>
        <v>4</v>
      </c>
      <c r="S435" s="55">
        <v>0</v>
      </c>
      <c r="T435" s="55">
        <v>4</v>
      </c>
      <c r="U435" s="55">
        <v>0</v>
      </c>
      <c r="V435" s="55">
        <v>8</v>
      </c>
      <c r="W435" s="53">
        <v>0</v>
      </c>
      <c r="X435" s="53">
        <v>8</v>
      </c>
      <c r="Y435" s="55">
        <v>0</v>
      </c>
      <c r="Z435" s="55">
        <v>7</v>
      </c>
      <c r="AA435" s="53">
        <v>0</v>
      </c>
      <c r="AB435" s="53">
        <v>7</v>
      </c>
      <c r="AC435" s="55">
        <v>0</v>
      </c>
      <c r="AD435" s="55">
        <f t="shared" si="178"/>
        <v>11</v>
      </c>
      <c r="AE435" s="53">
        <v>0</v>
      </c>
      <c r="AF435" s="55">
        <v>9</v>
      </c>
      <c r="AG435" s="55">
        <v>2</v>
      </c>
      <c r="AH435" s="55">
        <f t="shared" si="179"/>
        <v>8</v>
      </c>
      <c r="AI435" s="55">
        <v>0</v>
      </c>
      <c r="AJ435" s="55">
        <v>8</v>
      </c>
      <c r="AK435" s="55">
        <v>0</v>
      </c>
      <c r="AL435" s="55">
        <f t="shared" si="180"/>
        <v>8</v>
      </c>
      <c r="AM435" s="55" t="s">
        <v>1912</v>
      </c>
      <c r="AN435" s="55">
        <v>8</v>
      </c>
      <c r="AO435" s="55">
        <v>0</v>
      </c>
      <c r="AP435" s="55">
        <f t="shared" si="158"/>
        <v>1</v>
      </c>
      <c r="AQ435" s="55">
        <f>IFERROR(VLOOKUP(A435,[1]SIIMPLES!$A$2:$F$418,6,FALSE),0)</f>
        <v>0</v>
      </c>
      <c r="AR435" s="55">
        <v>1</v>
      </c>
      <c r="AS435" s="55">
        <v>19</v>
      </c>
      <c r="AT435" s="55">
        <v>1</v>
      </c>
      <c r="AU435" s="55">
        <v>6</v>
      </c>
      <c r="AV435" s="55">
        <v>12</v>
      </c>
      <c r="AW435" s="55"/>
      <c r="AX435" s="55"/>
      <c r="AY435" s="56">
        <f t="shared" si="181"/>
        <v>7.6</v>
      </c>
      <c r="AZ435" s="55"/>
      <c r="BA435" s="56">
        <v>8</v>
      </c>
      <c r="BB435" s="41">
        <f t="shared" si="171"/>
        <v>-5.0000000000000044E-2</v>
      </c>
      <c r="BC435" s="13"/>
      <c r="BD435" s="37"/>
      <c r="BE435" s="13"/>
      <c r="BF435" s="16">
        <f>SUM(BC435:BE435)</f>
        <v>0</v>
      </c>
      <c r="BG435" s="17">
        <f t="shared" si="176"/>
        <v>0</v>
      </c>
      <c r="BH435" s="16">
        <f t="shared" ref="BH435:BH444" si="182">IFERROR(IF(F435=1,IF(BC435&lt;AY435*3,AY435*3-BC435,0),IF(BC435&lt;AY435,AY435-BC435,0)),"")</f>
        <v>7.6</v>
      </c>
    </row>
    <row r="436" spans="1:60" s="21" customFormat="1" ht="12.75" customHeight="1" x14ac:dyDescent="0.2">
      <c r="A436" s="51">
        <v>112106</v>
      </c>
      <c r="B436" s="51" t="s">
        <v>1077</v>
      </c>
      <c r="C436" s="66" t="s">
        <v>1803</v>
      </c>
      <c r="D436" s="52" t="s">
        <v>728</v>
      </c>
      <c r="E436" s="65" t="s">
        <v>780</v>
      </c>
      <c r="F436" s="53">
        <f>IFERROR(VLOOKUP(E436,Fornecedores!$A$2:$B$2700,2,FALSE),"")</f>
        <v>2</v>
      </c>
      <c r="G436" s="52" t="s">
        <v>420</v>
      </c>
      <c r="H436" s="57"/>
      <c r="I436" s="55">
        <f t="shared" si="173"/>
        <v>6</v>
      </c>
      <c r="J436" s="55">
        <v>6</v>
      </c>
      <c r="K436" s="55">
        <v>0</v>
      </c>
      <c r="L436" s="55">
        <v>0</v>
      </c>
      <c r="M436" s="55">
        <v>0</v>
      </c>
      <c r="N436" s="55">
        <f t="shared" si="174"/>
        <v>4</v>
      </c>
      <c r="O436" s="55">
        <v>4</v>
      </c>
      <c r="P436" s="55">
        <v>0</v>
      </c>
      <c r="Q436" s="55">
        <v>0</v>
      </c>
      <c r="R436" s="55">
        <f t="shared" si="175"/>
        <v>6</v>
      </c>
      <c r="S436" s="55">
        <v>6</v>
      </c>
      <c r="T436" s="55">
        <v>0</v>
      </c>
      <c r="U436" s="55">
        <v>0</v>
      </c>
      <c r="V436" s="55">
        <v>4</v>
      </c>
      <c r="W436" s="53">
        <v>4</v>
      </c>
      <c r="X436" s="53">
        <v>0</v>
      </c>
      <c r="Y436" s="55">
        <v>0</v>
      </c>
      <c r="Z436" s="55">
        <v>0</v>
      </c>
      <c r="AA436" s="53">
        <v>0</v>
      </c>
      <c r="AB436" s="53">
        <v>0</v>
      </c>
      <c r="AC436" s="55">
        <v>0</v>
      </c>
      <c r="AD436" s="55">
        <f t="shared" si="178"/>
        <v>4</v>
      </c>
      <c r="AE436" s="53">
        <v>2</v>
      </c>
      <c r="AF436" s="55">
        <v>0</v>
      </c>
      <c r="AG436" s="55">
        <v>2</v>
      </c>
      <c r="AH436" s="55">
        <f t="shared" si="179"/>
        <v>7</v>
      </c>
      <c r="AI436" s="55">
        <v>7</v>
      </c>
      <c r="AJ436" s="55">
        <v>0</v>
      </c>
      <c r="AK436" s="55">
        <v>0</v>
      </c>
      <c r="AL436" s="55">
        <f t="shared" si="180"/>
        <v>4</v>
      </c>
      <c r="AM436" s="55">
        <v>4</v>
      </c>
      <c r="AN436" s="55">
        <v>0</v>
      </c>
      <c r="AO436" s="55">
        <v>0</v>
      </c>
      <c r="AP436" s="55">
        <f t="shared" ref="AP436:AP499" si="183">SUM(AQ436:AR436)</f>
        <v>1</v>
      </c>
      <c r="AQ436" s="55">
        <f>IFERROR(VLOOKUP(A436,[1]SIIMPLES!$A$2:$F$418,6,FALSE),0)</f>
        <v>1</v>
      </c>
      <c r="AR436" s="55">
        <v>0</v>
      </c>
      <c r="AS436" s="55">
        <v>5</v>
      </c>
      <c r="AT436" s="55">
        <v>0</v>
      </c>
      <c r="AU436" s="55">
        <v>0</v>
      </c>
      <c r="AV436" s="55">
        <v>5</v>
      </c>
      <c r="AW436" s="55"/>
      <c r="AX436" s="55"/>
      <c r="AY436" s="56">
        <f t="shared" si="181"/>
        <v>4.0999999999999996</v>
      </c>
      <c r="AZ436" s="55"/>
      <c r="BA436" s="56">
        <v>0.66666666666666663</v>
      </c>
      <c r="BB436" s="41">
        <f t="shared" si="171"/>
        <v>5.1499999999999995</v>
      </c>
      <c r="BC436" s="13"/>
      <c r="BD436" s="35"/>
      <c r="BE436" s="13"/>
      <c r="BF436" s="16">
        <f>SUM(BC436:BE436)</f>
        <v>0</v>
      </c>
      <c r="BG436" s="17">
        <f t="shared" si="176"/>
        <v>0</v>
      </c>
      <c r="BH436" s="16">
        <f t="shared" si="182"/>
        <v>4.0999999999999996</v>
      </c>
    </row>
    <row r="437" spans="1:60" s="21" customFormat="1" ht="12.75" customHeight="1" x14ac:dyDescent="0.2">
      <c r="A437" s="51">
        <v>442085</v>
      </c>
      <c r="B437" s="51" t="s">
        <v>1077</v>
      </c>
      <c r="C437" s="66" t="s">
        <v>1803</v>
      </c>
      <c r="D437" s="52" t="s">
        <v>728</v>
      </c>
      <c r="E437" s="65" t="s">
        <v>780</v>
      </c>
      <c r="F437" s="53">
        <f>IFERROR(VLOOKUP(E437,Fornecedores!$A$2:$B$2700,2,FALSE),"")</f>
        <v>2</v>
      </c>
      <c r="G437" s="52" t="s">
        <v>588</v>
      </c>
      <c r="H437" s="57"/>
      <c r="I437" s="55">
        <f t="shared" si="173"/>
        <v>6</v>
      </c>
      <c r="J437" s="55">
        <v>1</v>
      </c>
      <c r="K437" s="55">
        <v>5</v>
      </c>
      <c r="L437" s="55">
        <v>0</v>
      </c>
      <c r="M437" s="55">
        <v>0</v>
      </c>
      <c r="N437" s="55">
        <f t="shared" si="174"/>
        <v>3</v>
      </c>
      <c r="O437" s="55">
        <v>1</v>
      </c>
      <c r="P437" s="55">
        <v>2</v>
      </c>
      <c r="Q437" s="55">
        <v>0</v>
      </c>
      <c r="R437" s="55">
        <f t="shared" si="175"/>
        <v>0</v>
      </c>
      <c r="S437" s="55">
        <v>0</v>
      </c>
      <c r="T437" s="55">
        <v>0</v>
      </c>
      <c r="U437" s="55">
        <v>0</v>
      </c>
      <c r="V437" s="55">
        <v>0</v>
      </c>
      <c r="W437" s="53">
        <v>0</v>
      </c>
      <c r="X437" s="53">
        <v>0</v>
      </c>
      <c r="Y437" s="55">
        <v>0</v>
      </c>
      <c r="Z437" s="55">
        <v>0</v>
      </c>
      <c r="AA437" s="53">
        <v>0</v>
      </c>
      <c r="AB437" s="53">
        <v>0</v>
      </c>
      <c r="AC437" s="55">
        <v>0</v>
      </c>
      <c r="AD437" s="55">
        <f t="shared" si="178"/>
        <v>2</v>
      </c>
      <c r="AE437" s="53">
        <v>0</v>
      </c>
      <c r="AF437" s="55">
        <v>2</v>
      </c>
      <c r="AG437" s="55">
        <v>0</v>
      </c>
      <c r="AH437" s="55">
        <f t="shared" si="179"/>
        <v>4</v>
      </c>
      <c r="AI437" s="55">
        <v>0</v>
      </c>
      <c r="AJ437" s="55">
        <v>4</v>
      </c>
      <c r="AK437" s="55">
        <v>0</v>
      </c>
      <c r="AL437" s="55">
        <f t="shared" si="180"/>
        <v>0</v>
      </c>
      <c r="AM437" s="55" t="s">
        <v>1912</v>
      </c>
      <c r="AN437" s="55">
        <v>0</v>
      </c>
      <c r="AO437" s="55">
        <v>0</v>
      </c>
      <c r="AP437" s="55">
        <f t="shared" si="183"/>
        <v>1</v>
      </c>
      <c r="AQ437" s="55">
        <f>IFERROR(VLOOKUP(A437,[1]SIIMPLES!$A$2:$F$418,6,FALSE),0)</f>
        <v>1</v>
      </c>
      <c r="AR437" s="55">
        <v>0</v>
      </c>
      <c r="AS437" s="55">
        <v>0</v>
      </c>
      <c r="AT437" s="55">
        <v>0</v>
      </c>
      <c r="AU437" s="55">
        <v>0</v>
      </c>
      <c r="AV437" s="55">
        <v>0</v>
      </c>
      <c r="AW437" s="55"/>
      <c r="AX437" s="55"/>
      <c r="AY437" s="56">
        <f t="shared" si="181"/>
        <v>1.6</v>
      </c>
      <c r="AZ437" s="55"/>
      <c r="BA437" s="56">
        <v>0.83333333333333337</v>
      </c>
      <c r="BB437" s="41">
        <f t="shared" si="171"/>
        <v>0.91999999999999993</v>
      </c>
      <c r="BC437" s="13"/>
      <c r="BD437" s="35"/>
      <c r="BE437" s="13"/>
      <c r="BF437" s="16"/>
      <c r="BG437" s="17">
        <f t="shared" si="176"/>
        <v>0</v>
      </c>
      <c r="BH437" s="16">
        <f t="shared" si="182"/>
        <v>1.6</v>
      </c>
    </row>
    <row r="438" spans="1:60" s="21" customFormat="1" ht="12.75" customHeight="1" x14ac:dyDescent="0.2">
      <c r="A438" s="51">
        <v>222102</v>
      </c>
      <c r="B438" s="51"/>
      <c r="C438" s="66" t="s">
        <v>1803</v>
      </c>
      <c r="D438" s="52" t="s">
        <v>728</v>
      </c>
      <c r="E438" s="65" t="s">
        <v>780</v>
      </c>
      <c r="F438" s="53">
        <f>IFERROR(VLOOKUP(E438,Fornecedores!$A$2:$B$2700,2,FALSE),"")</f>
        <v>2</v>
      </c>
      <c r="G438" s="52" t="s">
        <v>1300</v>
      </c>
      <c r="H438" s="57"/>
      <c r="I438" s="55">
        <f t="shared" si="173"/>
        <v>0</v>
      </c>
      <c r="J438" s="55">
        <v>0</v>
      </c>
      <c r="K438" s="55">
        <v>0</v>
      </c>
      <c r="L438" s="55">
        <v>0</v>
      </c>
      <c r="M438" s="55">
        <v>0</v>
      </c>
      <c r="N438" s="55">
        <f t="shared" si="174"/>
        <v>1</v>
      </c>
      <c r="O438" s="55">
        <v>0</v>
      </c>
      <c r="P438" s="55">
        <v>1</v>
      </c>
      <c r="Q438" s="55">
        <v>0</v>
      </c>
      <c r="R438" s="55">
        <f t="shared" si="175"/>
        <v>0</v>
      </c>
      <c r="S438" s="55">
        <v>0</v>
      </c>
      <c r="T438" s="55">
        <v>0</v>
      </c>
      <c r="U438" s="55">
        <v>0</v>
      </c>
      <c r="V438" s="55">
        <v>0</v>
      </c>
      <c r="W438" s="53">
        <v>0</v>
      </c>
      <c r="X438" s="53">
        <v>0</v>
      </c>
      <c r="Y438" s="55">
        <v>0</v>
      </c>
      <c r="Z438" s="55">
        <v>0</v>
      </c>
      <c r="AA438" s="53">
        <v>0</v>
      </c>
      <c r="AB438" s="53">
        <v>0</v>
      </c>
      <c r="AC438" s="55">
        <v>0</v>
      </c>
      <c r="AD438" s="55">
        <f t="shared" si="178"/>
        <v>0</v>
      </c>
      <c r="AE438" s="53">
        <v>0</v>
      </c>
      <c r="AF438" s="55">
        <v>0</v>
      </c>
      <c r="AG438" s="55">
        <v>0</v>
      </c>
      <c r="AH438" s="55">
        <f t="shared" si="179"/>
        <v>3</v>
      </c>
      <c r="AI438" s="55">
        <v>1</v>
      </c>
      <c r="AJ438" s="55">
        <v>2</v>
      </c>
      <c r="AK438" s="55">
        <v>0</v>
      </c>
      <c r="AL438" s="55">
        <f t="shared" si="180"/>
        <v>2</v>
      </c>
      <c r="AM438" s="55" t="s">
        <v>1912</v>
      </c>
      <c r="AN438" s="55">
        <v>2</v>
      </c>
      <c r="AO438" s="55">
        <v>0</v>
      </c>
      <c r="AP438" s="55">
        <f t="shared" si="183"/>
        <v>1</v>
      </c>
      <c r="AQ438" s="55">
        <f>IFERROR(VLOOKUP(A438,[1]SIIMPLES!$A$2:$F$418,6,FALSE),0)</f>
        <v>0</v>
      </c>
      <c r="AR438" s="55">
        <v>1</v>
      </c>
      <c r="AS438" s="55">
        <v>0</v>
      </c>
      <c r="AT438" s="55">
        <v>0</v>
      </c>
      <c r="AU438" s="55">
        <v>0</v>
      </c>
      <c r="AV438" s="55">
        <v>0</v>
      </c>
      <c r="AW438" s="55"/>
      <c r="AX438" s="55"/>
      <c r="AY438" s="56">
        <f t="shared" si="181"/>
        <v>0.7</v>
      </c>
      <c r="AZ438" s="55"/>
      <c r="BA438" s="56">
        <v>0.33333333333333331</v>
      </c>
      <c r="BB438" s="41">
        <f t="shared" si="171"/>
        <v>1.1000000000000001</v>
      </c>
      <c r="BC438" s="13"/>
      <c r="BD438" s="35"/>
      <c r="BE438" s="13"/>
      <c r="BF438" s="16"/>
      <c r="BG438" s="17">
        <f t="shared" si="176"/>
        <v>0</v>
      </c>
      <c r="BH438" s="16">
        <f t="shared" si="182"/>
        <v>0.7</v>
      </c>
    </row>
    <row r="439" spans="1:60" s="21" customFormat="1" ht="12.75" customHeight="1" x14ac:dyDescent="0.2">
      <c r="A439" s="51">
        <v>662068</v>
      </c>
      <c r="B439" s="51" t="s">
        <v>1077</v>
      </c>
      <c r="C439" s="66" t="s">
        <v>1803</v>
      </c>
      <c r="D439" s="52" t="s">
        <v>728</v>
      </c>
      <c r="E439" s="65" t="s">
        <v>780</v>
      </c>
      <c r="F439" s="53">
        <f>IFERROR(VLOOKUP(E439,Fornecedores!$A$2:$B$2700,2,FALSE),"")</f>
        <v>2</v>
      </c>
      <c r="G439" s="52" t="s">
        <v>78</v>
      </c>
      <c r="H439" s="57"/>
      <c r="I439" s="55">
        <f t="shared" si="173"/>
        <v>1</v>
      </c>
      <c r="J439" s="55">
        <v>1</v>
      </c>
      <c r="K439" s="55">
        <v>0</v>
      </c>
      <c r="L439" s="55">
        <v>0</v>
      </c>
      <c r="M439" s="55">
        <v>0</v>
      </c>
      <c r="N439" s="55">
        <f t="shared" si="174"/>
        <v>0</v>
      </c>
      <c r="O439" s="55">
        <v>0</v>
      </c>
      <c r="P439" s="55">
        <v>0</v>
      </c>
      <c r="Q439" s="55">
        <v>0</v>
      </c>
      <c r="R439" s="55">
        <f t="shared" si="175"/>
        <v>2</v>
      </c>
      <c r="S439" s="55">
        <v>0</v>
      </c>
      <c r="T439" s="55">
        <v>2</v>
      </c>
      <c r="U439" s="55">
        <v>0</v>
      </c>
      <c r="V439" s="55">
        <v>6</v>
      </c>
      <c r="W439" s="53">
        <v>2</v>
      </c>
      <c r="X439" s="53">
        <v>4</v>
      </c>
      <c r="Y439" s="55">
        <v>0</v>
      </c>
      <c r="Z439" s="55">
        <v>1</v>
      </c>
      <c r="AA439" s="53">
        <v>1</v>
      </c>
      <c r="AB439" s="53">
        <v>0</v>
      </c>
      <c r="AC439" s="55">
        <v>0</v>
      </c>
      <c r="AD439" s="55">
        <f t="shared" si="178"/>
        <v>0</v>
      </c>
      <c r="AE439" s="53">
        <v>0</v>
      </c>
      <c r="AF439" s="55">
        <v>0</v>
      </c>
      <c r="AG439" s="55">
        <v>0</v>
      </c>
      <c r="AH439" s="55">
        <f t="shared" si="179"/>
        <v>3</v>
      </c>
      <c r="AI439" s="55">
        <v>2</v>
      </c>
      <c r="AJ439" s="55">
        <v>1</v>
      </c>
      <c r="AK439" s="55">
        <v>0</v>
      </c>
      <c r="AL439" s="55">
        <f t="shared" si="180"/>
        <v>0</v>
      </c>
      <c r="AM439" s="55" t="s">
        <v>1912</v>
      </c>
      <c r="AN439" s="55">
        <v>0</v>
      </c>
      <c r="AO439" s="55">
        <v>0</v>
      </c>
      <c r="AP439" s="55">
        <f t="shared" si="183"/>
        <v>1</v>
      </c>
      <c r="AQ439" s="55">
        <f>IFERROR(VLOOKUP(A439,[1]SIIMPLES!$A$2:$F$418,6,FALSE),0)</f>
        <v>1</v>
      </c>
      <c r="AR439" s="55">
        <v>0</v>
      </c>
      <c r="AS439" s="55">
        <v>4</v>
      </c>
      <c r="AT439" s="55">
        <v>3</v>
      </c>
      <c r="AU439" s="55">
        <v>1</v>
      </c>
      <c r="AV439" s="55">
        <v>0</v>
      </c>
      <c r="AW439" s="55"/>
      <c r="AX439" s="55"/>
      <c r="AY439" s="56">
        <f t="shared" si="181"/>
        <v>1.8</v>
      </c>
      <c r="AZ439" s="55"/>
      <c r="BA439" s="56">
        <v>1.1666666666666667</v>
      </c>
      <c r="BB439" s="41">
        <f t="shared" si="171"/>
        <v>0.5428571428571427</v>
      </c>
      <c r="BC439" s="13"/>
      <c r="BD439" s="35"/>
      <c r="BE439" s="13"/>
      <c r="BF439" s="16">
        <f>SUM(BC439:BE439)</f>
        <v>0</v>
      </c>
      <c r="BG439" s="17">
        <f t="shared" si="176"/>
        <v>0</v>
      </c>
      <c r="BH439" s="16">
        <f t="shared" si="182"/>
        <v>1.8</v>
      </c>
    </row>
    <row r="440" spans="1:60" s="21" customFormat="1" ht="12.75" customHeight="1" x14ac:dyDescent="0.2">
      <c r="A440" s="68">
        <v>772224</v>
      </c>
      <c r="B440" s="51"/>
      <c r="C440" s="66" t="s">
        <v>1803</v>
      </c>
      <c r="D440" s="52" t="s">
        <v>728</v>
      </c>
      <c r="E440" s="65" t="s">
        <v>780</v>
      </c>
      <c r="F440" s="53">
        <f>IFERROR(VLOOKUP(E440,Fornecedores!$A$2:$B$2700,2,FALSE),"")</f>
        <v>2</v>
      </c>
      <c r="G440" s="52" t="s">
        <v>1430</v>
      </c>
      <c r="H440" s="57"/>
      <c r="I440" s="55">
        <f t="shared" si="173"/>
        <v>0</v>
      </c>
      <c r="J440" s="55">
        <v>0</v>
      </c>
      <c r="K440" s="55">
        <v>0</v>
      </c>
      <c r="L440" s="55">
        <v>0</v>
      </c>
      <c r="M440" s="55">
        <v>0</v>
      </c>
      <c r="N440" s="55">
        <f t="shared" si="174"/>
        <v>0</v>
      </c>
      <c r="O440" s="55">
        <v>0</v>
      </c>
      <c r="P440" s="55">
        <v>0</v>
      </c>
      <c r="Q440" s="55">
        <v>0</v>
      </c>
      <c r="R440" s="55">
        <f t="shared" si="175"/>
        <v>1</v>
      </c>
      <c r="S440" s="55">
        <v>1</v>
      </c>
      <c r="T440" s="55">
        <v>0</v>
      </c>
      <c r="U440" s="55">
        <v>0</v>
      </c>
      <c r="V440" s="55">
        <v>1</v>
      </c>
      <c r="W440" s="53">
        <v>1</v>
      </c>
      <c r="X440" s="53">
        <v>0</v>
      </c>
      <c r="Y440" s="55">
        <v>0</v>
      </c>
      <c r="Z440" s="55">
        <v>1</v>
      </c>
      <c r="AA440" s="53">
        <v>1</v>
      </c>
      <c r="AB440" s="53">
        <v>0</v>
      </c>
      <c r="AC440" s="55">
        <v>0</v>
      </c>
      <c r="AD440" s="55">
        <f t="shared" si="178"/>
        <v>0</v>
      </c>
      <c r="AE440" s="53">
        <v>0</v>
      </c>
      <c r="AF440" s="55">
        <v>0</v>
      </c>
      <c r="AG440" s="55">
        <v>0</v>
      </c>
      <c r="AH440" s="55">
        <f t="shared" si="179"/>
        <v>3</v>
      </c>
      <c r="AI440" s="55">
        <v>2</v>
      </c>
      <c r="AJ440" s="55">
        <v>1</v>
      </c>
      <c r="AK440" s="55">
        <v>0</v>
      </c>
      <c r="AL440" s="55">
        <f t="shared" si="180"/>
        <v>2</v>
      </c>
      <c r="AM440" s="55">
        <v>2</v>
      </c>
      <c r="AN440" s="55">
        <v>0</v>
      </c>
      <c r="AO440" s="55">
        <v>0</v>
      </c>
      <c r="AP440" s="55">
        <f t="shared" si="183"/>
        <v>1</v>
      </c>
      <c r="AQ440" s="55">
        <f>IFERROR(VLOOKUP(A440,[1]SIIMPLES!$A$2:$F$418,6,FALSE),0)</f>
        <v>1</v>
      </c>
      <c r="AR440" s="55">
        <v>0</v>
      </c>
      <c r="AS440" s="55">
        <v>3</v>
      </c>
      <c r="AT440" s="55">
        <v>3</v>
      </c>
      <c r="AU440" s="55">
        <v>0</v>
      </c>
      <c r="AV440" s="55">
        <v>0</v>
      </c>
      <c r="AW440" s="57"/>
      <c r="AX440" s="55"/>
      <c r="AY440" s="56">
        <f t="shared" si="181"/>
        <v>1.2</v>
      </c>
      <c r="AZ440" s="55"/>
      <c r="BA440" s="56">
        <v>0</v>
      </c>
      <c r="BB440" s="41" t="str">
        <f t="shared" si="171"/>
        <v/>
      </c>
      <c r="BC440" s="13"/>
      <c r="BD440" s="35"/>
      <c r="BE440" s="13"/>
      <c r="BF440" s="16">
        <f>SUM(BC440:BE440)</f>
        <v>0</v>
      </c>
      <c r="BG440" s="17">
        <f t="shared" si="176"/>
        <v>0</v>
      </c>
      <c r="BH440" s="16">
        <f t="shared" si="182"/>
        <v>1.2</v>
      </c>
    </row>
    <row r="441" spans="1:60" s="21" customFormat="1" ht="12.75" customHeight="1" x14ac:dyDescent="0.2">
      <c r="A441" s="51">
        <v>112092</v>
      </c>
      <c r="B441" s="51"/>
      <c r="C441" s="66" t="s">
        <v>1803</v>
      </c>
      <c r="D441" s="52" t="s">
        <v>728</v>
      </c>
      <c r="E441" s="65" t="s">
        <v>780</v>
      </c>
      <c r="F441" s="53">
        <f>IFERROR(VLOOKUP(E441,Fornecedores!$A$2:$B$2700,2,FALSE),"")</f>
        <v>2</v>
      </c>
      <c r="G441" s="52" t="s">
        <v>1807</v>
      </c>
      <c r="H441" s="57"/>
      <c r="I441" s="55">
        <f t="shared" si="173"/>
        <v>1</v>
      </c>
      <c r="J441" s="55">
        <v>1</v>
      </c>
      <c r="K441" s="55">
        <v>0</v>
      </c>
      <c r="L441" s="55">
        <v>0</v>
      </c>
      <c r="M441" s="55">
        <v>0</v>
      </c>
      <c r="N441" s="55">
        <f t="shared" si="174"/>
        <v>6</v>
      </c>
      <c r="O441" s="55">
        <v>6</v>
      </c>
      <c r="P441" s="55">
        <v>0</v>
      </c>
      <c r="Q441" s="55">
        <v>0</v>
      </c>
      <c r="R441" s="55">
        <f t="shared" si="175"/>
        <v>3</v>
      </c>
      <c r="S441" s="55">
        <v>3</v>
      </c>
      <c r="T441" s="55">
        <v>0</v>
      </c>
      <c r="U441" s="55">
        <v>0</v>
      </c>
      <c r="V441" s="55">
        <v>5</v>
      </c>
      <c r="W441" s="53">
        <v>5</v>
      </c>
      <c r="X441" s="53">
        <v>0</v>
      </c>
      <c r="Y441" s="55">
        <v>0</v>
      </c>
      <c r="Z441" s="55">
        <v>1</v>
      </c>
      <c r="AA441" s="53">
        <v>1</v>
      </c>
      <c r="AB441" s="53">
        <v>0</v>
      </c>
      <c r="AC441" s="55">
        <v>0</v>
      </c>
      <c r="AD441" s="55">
        <f t="shared" si="178"/>
        <v>3</v>
      </c>
      <c r="AE441" s="53">
        <v>3</v>
      </c>
      <c r="AF441" s="55">
        <v>0</v>
      </c>
      <c r="AG441" s="55">
        <v>0</v>
      </c>
      <c r="AH441" s="55">
        <f t="shared" si="179"/>
        <v>2</v>
      </c>
      <c r="AI441" s="55">
        <v>2</v>
      </c>
      <c r="AJ441" s="55">
        <v>0</v>
      </c>
      <c r="AK441" s="55">
        <v>0</v>
      </c>
      <c r="AL441" s="55">
        <f t="shared" si="180"/>
        <v>1</v>
      </c>
      <c r="AM441" s="55">
        <v>1</v>
      </c>
      <c r="AN441" s="55">
        <v>0</v>
      </c>
      <c r="AO441" s="55">
        <v>0</v>
      </c>
      <c r="AP441" s="55">
        <f t="shared" si="183"/>
        <v>1</v>
      </c>
      <c r="AQ441" s="55">
        <f>IFERROR(VLOOKUP(A441,[1]SIIMPLES!$A$2:$F$418,6,FALSE),0)</f>
        <v>1</v>
      </c>
      <c r="AR441" s="55">
        <v>0</v>
      </c>
      <c r="AS441" s="55">
        <v>3</v>
      </c>
      <c r="AT441" s="55">
        <v>3</v>
      </c>
      <c r="AU441" s="55">
        <v>0</v>
      </c>
      <c r="AV441" s="55">
        <v>0</v>
      </c>
      <c r="AW441" s="57"/>
      <c r="AX441" s="55"/>
      <c r="AY441" s="56">
        <f t="shared" si="181"/>
        <v>2.6</v>
      </c>
      <c r="AZ441" s="55"/>
      <c r="BA441" s="56">
        <v>1</v>
      </c>
      <c r="BB441" s="41">
        <f t="shared" si="171"/>
        <v>1.6</v>
      </c>
      <c r="BC441" s="13"/>
      <c r="BD441" s="35"/>
      <c r="BE441" s="13"/>
      <c r="BF441" s="16"/>
      <c r="BG441" s="17">
        <f t="shared" si="176"/>
        <v>0</v>
      </c>
      <c r="BH441" s="16">
        <f t="shared" si="182"/>
        <v>2.6</v>
      </c>
    </row>
    <row r="442" spans="1:60" s="21" customFormat="1" ht="12.75" customHeight="1" x14ac:dyDescent="0.2">
      <c r="A442" s="51">
        <v>112103</v>
      </c>
      <c r="B442" s="51" t="s">
        <v>1077</v>
      </c>
      <c r="C442" s="66" t="s">
        <v>1803</v>
      </c>
      <c r="D442" s="52" t="s">
        <v>728</v>
      </c>
      <c r="E442" s="65" t="s">
        <v>780</v>
      </c>
      <c r="F442" s="53">
        <f>IFERROR(VLOOKUP(E442,Fornecedores!$A$2:$B$2700,2,FALSE),"")</f>
        <v>2</v>
      </c>
      <c r="G442" s="52" t="s">
        <v>680</v>
      </c>
      <c r="H442" s="57"/>
      <c r="I442" s="55">
        <f t="shared" si="173"/>
        <v>0</v>
      </c>
      <c r="J442" s="55">
        <v>0</v>
      </c>
      <c r="K442" s="55">
        <v>0</v>
      </c>
      <c r="L442" s="55">
        <v>0</v>
      </c>
      <c r="M442" s="55">
        <v>0</v>
      </c>
      <c r="N442" s="55">
        <f t="shared" si="174"/>
        <v>2</v>
      </c>
      <c r="O442" s="55">
        <v>1</v>
      </c>
      <c r="P442" s="55">
        <v>1</v>
      </c>
      <c r="Q442" s="55">
        <v>0</v>
      </c>
      <c r="R442" s="55">
        <f t="shared" si="175"/>
        <v>2</v>
      </c>
      <c r="S442" s="55">
        <v>2</v>
      </c>
      <c r="T442" s="55">
        <v>0</v>
      </c>
      <c r="U442" s="55">
        <v>0</v>
      </c>
      <c r="V442" s="55">
        <v>1</v>
      </c>
      <c r="W442" s="53">
        <v>1</v>
      </c>
      <c r="X442" s="53">
        <v>0</v>
      </c>
      <c r="Y442" s="55">
        <v>0</v>
      </c>
      <c r="Z442" s="55">
        <v>0</v>
      </c>
      <c r="AA442" s="53">
        <v>0</v>
      </c>
      <c r="AB442" s="53">
        <v>0</v>
      </c>
      <c r="AC442" s="55">
        <v>0</v>
      </c>
      <c r="AD442" s="55">
        <f t="shared" si="178"/>
        <v>1</v>
      </c>
      <c r="AE442" s="53">
        <v>1</v>
      </c>
      <c r="AF442" s="55">
        <v>0</v>
      </c>
      <c r="AG442" s="55">
        <v>0</v>
      </c>
      <c r="AH442" s="55">
        <f t="shared" si="179"/>
        <v>2</v>
      </c>
      <c r="AI442" s="55">
        <v>2</v>
      </c>
      <c r="AJ442" s="55">
        <v>0</v>
      </c>
      <c r="AK442" s="55">
        <v>0</v>
      </c>
      <c r="AL442" s="55">
        <f t="shared" si="180"/>
        <v>2</v>
      </c>
      <c r="AM442" s="55">
        <v>1</v>
      </c>
      <c r="AN442" s="55">
        <v>1</v>
      </c>
      <c r="AO442" s="55">
        <v>0</v>
      </c>
      <c r="AP442" s="55">
        <f t="shared" si="183"/>
        <v>1</v>
      </c>
      <c r="AQ442" s="55">
        <f>IFERROR(VLOOKUP(A442,[1]SIIMPLES!$A$2:$F$418,6,FALSE),0)</f>
        <v>1</v>
      </c>
      <c r="AR442" s="55">
        <v>0</v>
      </c>
      <c r="AS442" s="55">
        <v>0</v>
      </c>
      <c r="AT442" s="55">
        <v>0</v>
      </c>
      <c r="AU442" s="55">
        <v>0</v>
      </c>
      <c r="AV442" s="55">
        <v>0</v>
      </c>
      <c r="AW442" s="55"/>
      <c r="AX442" s="55"/>
      <c r="AY442" s="56">
        <f t="shared" si="181"/>
        <v>1.1000000000000001</v>
      </c>
      <c r="AZ442" s="55"/>
      <c r="BA442" s="56">
        <v>1.8333333333333333</v>
      </c>
      <c r="BB442" s="41">
        <f t="shared" si="171"/>
        <v>-0.39999999999999991</v>
      </c>
      <c r="BC442" s="13"/>
      <c r="BD442" s="35"/>
      <c r="BE442" s="13"/>
      <c r="BF442" s="16"/>
      <c r="BG442" s="17">
        <f t="shared" si="176"/>
        <v>0</v>
      </c>
      <c r="BH442" s="16">
        <f t="shared" si="182"/>
        <v>1.1000000000000001</v>
      </c>
    </row>
    <row r="443" spans="1:60" s="21" customFormat="1" ht="12.75" customHeight="1" x14ac:dyDescent="0.2">
      <c r="A443" s="51">
        <v>222103</v>
      </c>
      <c r="B443" s="51"/>
      <c r="C443" s="66" t="s">
        <v>1803</v>
      </c>
      <c r="D443" s="52" t="s">
        <v>728</v>
      </c>
      <c r="E443" s="65" t="s">
        <v>780</v>
      </c>
      <c r="F443" s="53">
        <f>IFERROR(VLOOKUP(E443,Fornecedores!$A$2:$B$2700,2,FALSE),"")</f>
        <v>2</v>
      </c>
      <c r="G443" s="52" t="s">
        <v>1301</v>
      </c>
      <c r="H443" s="57"/>
      <c r="I443" s="55">
        <f t="shared" si="173"/>
        <v>0</v>
      </c>
      <c r="J443" s="55">
        <v>0</v>
      </c>
      <c r="K443" s="55">
        <v>0</v>
      </c>
      <c r="L443" s="55">
        <v>0</v>
      </c>
      <c r="M443" s="55">
        <v>0</v>
      </c>
      <c r="N443" s="55">
        <f t="shared" si="174"/>
        <v>1</v>
      </c>
      <c r="O443" s="55">
        <v>0</v>
      </c>
      <c r="P443" s="55">
        <v>1</v>
      </c>
      <c r="Q443" s="55">
        <v>0</v>
      </c>
      <c r="R443" s="55">
        <f t="shared" si="175"/>
        <v>0</v>
      </c>
      <c r="S443" s="55">
        <v>0</v>
      </c>
      <c r="T443" s="55">
        <v>0</v>
      </c>
      <c r="U443" s="55">
        <v>0</v>
      </c>
      <c r="V443" s="55">
        <v>0</v>
      </c>
      <c r="W443" s="53">
        <v>0</v>
      </c>
      <c r="X443" s="53">
        <v>0</v>
      </c>
      <c r="Y443" s="55">
        <v>0</v>
      </c>
      <c r="Z443" s="55">
        <v>0</v>
      </c>
      <c r="AA443" s="53">
        <v>0</v>
      </c>
      <c r="AB443" s="53">
        <v>0</v>
      </c>
      <c r="AC443" s="55">
        <v>0</v>
      </c>
      <c r="AD443" s="55">
        <f t="shared" si="178"/>
        <v>0</v>
      </c>
      <c r="AE443" s="53">
        <v>0</v>
      </c>
      <c r="AF443" s="55">
        <v>0</v>
      </c>
      <c r="AG443" s="55">
        <v>0</v>
      </c>
      <c r="AH443" s="55">
        <f t="shared" si="179"/>
        <v>2</v>
      </c>
      <c r="AI443" s="55">
        <v>0</v>
      </c>
      <c r="AJ443" s="55">
        <v>2</v>
      </c>
      <c r="AK443" s="55">
        <v>0</v>
      </c>
      <c r="AL443" s="55">
        <f t="shared" si="180"/>
        <v>2</v>
      </c>
      <c r="AM443" s="55" t="s">
        <v>1912</v>
      </c>
      <c r="AN443" s="55">
        <v>2</v>
      </c>
      <c r="AO443" s="55">
        <v>0</v>
      </c>
      <c r="AP443" s="55">
        <f t="shared" si="183"/>
        <v>1</v>
      </c>
      <c r="AQ443" s="55">
        <f>IFERROR(VLOOKUP(A443,[1]SIIMPLES!$A$2:$F$418,6,FALSE),0)</f>
        <v>0</v>
      </c>
      <c r="AR443" s="55">
        <v>1</v>
      </c>
      <c r="AS443" s="55">
        <v>1</v>
      </c>
      <c r="AT443" s="55">
        <v>1</v>
      </c>
      <c r="AU443" s="55">
        <v>0</v>
      </c>
      <c r="AV443" s="55">
        <v>0</v>
      </c>
      <c r="AW443" s="55"/>
      <c r="AX443" s="55"/>
      <c r="AY443" s="56">
        <f t="shared" si="181"/>
        <v>0.7</v>
      </c>
      <c r="AZ443" s="55"/>
      <c r="BA443" s="56">
        <v>0</v>
      </c>
      <c r="BB443" s="41" t="str">
        <f t="shared" si="171"/>
        <v/>
      </c>
      <c r="BC443" s="13"/>
      <c r="BD443" s="35"/>
      <c r="BE443" s="13"/>
      <c r="BF443" s="16"/>
      <c r="BG443" s="17">
        <f t="shared" si="176"/>
        <v>0</v>
      </c>
      <c r="BH443" s="16">
        <f t="shared" si="182"/>
        <v>0.7</v>
      </c>
    </row>
    <row r="444" spans="1:60" s="21" customFormat="1" ht="12.75" customHeight="1" x14ac:dyDescent="0.2">
      <c r="A444" s="51">
        <v>332022</v>
      </c>
      <c r="B444" s="51" t="s">
        <v>1077</v>
      </c>
      <c r="C444" s="66" t="s">
        <v>1803</v>
      </c>
      <c r="D444" s="52" t="s">
        <v>728</v>
      </c>
      <c r="E444" s="65" t="s">
        <v>780</v>
      </c>
      <c r="F444" s="53">
        <f>IFERROR(VLOOKUP(E444,Fornecedores!$A$2:$B$2700,2,FALSE),"")</f>
        <v>2</v>
      </c>
      <c r="G444" s="52" t="s">
        <v>863</v>
      </c>
      <c r="H444" s="57"/>
      <c r="I444" s="55">
        <f t="shared" si="173"/>
        <v>0</v>
      </c>
      <c r="J444" s="55">
        <v>0</v>
      </c>
      <c r="K444" s="55">
        <v>0</v>
      </c>
      <c r="L444" s="55">
        <v>0</v>
      </c>
      <c r="M444" s="55">
        <v>0</v>
      </c>
      <c r="N444" s="55">
        <f t="shared" si="174"/>
        <v>0</v>
      </c>
      <c r="O444" s="55">
        <v>0</v>
      </c>
      <c r="P444" s="55">
        <v>0</v>
      </c>
      <c r="Q444" s="55">
        <v>0</v>
      </c>
      <c r="R444" s="55">
        <f t="shared" si="175"/>
        <v>0</v>
      </c>
      <c r="S444" s="55">
        <v>0</v>
      </c>
      <c r="T444" s="55">
        <v>0</v>
      </c>
      <c r="U444" s="55">
        <v>0</v>
      </c>
      <c r="V444" s="55">
        <v>0</v>
      </c>
      <c r="W444" s="53">
        <v>0</v>
      </c>
      <c r="X444" s="53">
        <v>0</v>
      </c>
      <c r="Y444" s="55">
        <v>0</v>
      </c>
      <c r="Z444" s="55">
        <v>0</v>
      </c>
      <c r="AA444" s="53">
        <v>0</v>
      </c>
      <c r="AB444" s="53">
        <v>0</v>
      </c>
      <c r="AC444" s="55">
        <v>0</v>
      </c>
      <c r="AD444" s="55">
        <f t="shared" si="178"/>
        <v>1</v>
      </c>
      <c r="AE444" s="53">
        <v>1</v>
      </c>
      <c r="AF444" s="55">
        <v>0</v>
      </c>
      <c r="AG444" s="55">
        <v>0</v>
      </c>
      <c r="AH444" s="55">
        <f t="shared" si="179"/>
        <v>2</v>
      </c>
      <c r="AI444" s="55">
        <v>2</v>
      </c>
      <c r="AJ444" s="55">
        <v>0</v>
      </c>
      <c r="AK444" s="55">
        <v>0</v>
      </c>
      <c r="AL444" s="55">
        <f t="shared" si="180"/>
        <v>1</v>
      </c>
      <c r="AM444" s="55">
        <v>1</v>
      </c>
      <c r="AN444" s="55">
        <v>0</v>
      </c>
      <c r="AO444" s="55">
        <v>0</v>
      </c>
      <c r="AP444" s="55">
        <f t="shared" si="183"/>
        <v>1</v>
      </c>
      <c r="AQ444" s="55">
        <f>IFERROR(VLOOKUP(A444,[1]SIIMPLES!$A$2:$F$418,6,FALSE),0)</f>
        <v>1</v>
      </c>
      <c r="AR444" s="55">
        <v>0</v>
      </c>
      <c r="AS444" s="55">
        <v>0</v>
      </c>
      <c r="AT444" s="55">
        <v>0</v>
      </c>
      <c r="AU444" s="55">
        <v>0</v>
      </c>
      <c r="AV444" s="55">
        <v>0</v>
      </c>
      <c r="AW444" s="55"/>
      <c r="AX444" s="55"/>
      <c r="AY444" s="56">
        <f t="shared" si="181"/>
        <v>0.5</v>
      </c>
      <c r="AZ444" s="55"/>
      <c r="BA444" s="56">
        <v>0.83333333333333337</v>
      </c>
      <c r="BB444" s="41">
        <f t="shared" si="171"/>
        <v>-0.4</v>
      </c>
      <c r="BC444" s="13"/>
      <c r="BD444" s="35"/>
      <c r="BE444" s="7"/>
      <c r="BF444" s="16"/>
      <c r="BG444" s="17">
        <f t="shared" si="176"/>
        <v>0</v>
      </c>
      <c r="BH444" s="16">
        <f t="shared" si="182"/>
        <v>0.5</v>
      </c>
    </row>
    <row r="445" spans="1:60" s="21" customFormat="1" ht="12.75" customHeight="1" x14ac:dyDescent="0.2">
      <c r="A445" s="51">
        <v>332154</v>
      </c>
      <c r="B445" s="51" t="s">
        <v>1077</v>
      </c>
      <c r="C445" s="66" t="s">
        <v>1803</v>
      </c>
      <c r="D445" s="52" t="s">
        <v>728</v>
      </c>
      <c r="E445" s="65" t="s">
        <v>780</v>
      </c>
      <c r="F445" s="53">
        <f>IFERROR(VLOOKUP(E445,Fornecedores!$A$2:$B$2700,2,FALSE),"")</f>
        <v>2</v>
      </c>
      <c r="G445" s="52" t="s">
        <v>1323</v>
      </c>
      <c r="H445" s="57"/>
      <c r="I445" s="55">
        <f t="shared" si="173"/>
        <v>0</v>
      </c>
      <c r="J445" s="55">
        <v>0</v>
      </c>
      <c r="K445" s="55">
        <v>0</v>
      </c>
      <c r="L445" s="55">
        <v>0</v>
      </c>
      <c r="M445" s="55">
        <v>0</v>
      </c>
      <c r="N445" s="55">
        <f t="shared" si="174"/>
        <v>1</v>
      </c>
      <c r="O445" s="55">
        <v>1</v>
      </c>
      <c r="P445" s="55">
        <v>0</v>
      </c>
      <c r="Q445" s="55">
        <v>0</v>
      </c>
      <c r="R445" s="55">
        <f t="shared" si="175"/>
        <v>0</v>
      </c>
      <c r="S445" s="55">
        <v>0</v>
      </c>
      <c r="T445" s="55">
        <v>0</v>
      </c>
      <c r="U445" s="55">
        <v>0</v>
      </c>
      <c r="V445" s="55">
        <v>0</v>
      </c>
      <c r="W445" s="53">
        <v>0</v>
      </c>
      <c r="X445" s="53">
        <v>0</v>
      </c>
      <c r="Y445" s="55">
        <v>0</v>
      </c>
      <c r="Z445" s="55">
        <v>1</v>
      </c>
      <c r="AA445" s="53">
        <v>1</v>
      </c>
      <c r="AB445" s="53">
        <v>0</v>
      </c>
      <c r="AC445" s="55">
        <v>0</v>
      </c>
      <c r="AD445" s="55">
        <f t="shared" si="178"/>
        <v>0</v>
      </c>
      <c r="AE445" s="53">
        <v>0</v>
      </c>
      <c r="AF445" s="55">
        <v>0</v>
      </c>
      <c r="AG445" s="55">
        <v>0</v>
      </c>
      <c r="AH445" s="55">
        <f t="shared" si="179"/>
        <v>2</v>
      </c>
      <c r="AI445" s="55">
        <v>2</v>
      </c>
      <c r="AJ445" s="55">
        <v>0</v>
      </c>
      <c r="AK445" s="55">
        <v>0</v>
      </c>
      <c r="AL445" s="55">
        <f t="shared" si="180"/>
        <v>0</v>
      </c>
      <c r="AM445" s="55" t="s">
        <v>1912</v>
      </c>
      <c r="AN445" s="55">
        <v>0</v>
      </c>
      <c r="AO445" s="55">
        <v>0</v>
      </c>
      <c r="AP445" s="55">
        <f t="shared" si="183"/>
        <v>1</v>
      </c>
      <c r="AQ445" s="55">
        <f>IFERROR(VLOOKUP(A445,[1]SIIMPLES!$A$2:$F$418,6,FALSE),0)</f>
        <v>1</v>
      </c>
      <c r="AR445" s="55">
        <v>0</v>
      </c>
      <c r="AS445" s="55">
        <v>1</v>
      </c>
      <c r="AT445" s="55">
        <v>1</v>
      </c>
      <c r="AU445" s="55">
        <v>0</v>
      </c>
      <c r="AV445" s="55">
        <v>0</v>
      </c>
      <c r="AW445" s="55"/>
      <c r="AX445" s="55"/>
      <c r="AY445" s="56">
        <f t="shared" si="181"/>
        <v>0.6</v>
      </c>
      <c r="AZ445" s="55"/>
      <c r="BA445" s="56">
        <v>0</v>
      </c>
      <c r="BB445" s="41" t="str">
        <f t="shared" si="171"/>
        <v/>
      </c>
      <c r="BC445" s="13"/>
      <c r="BD445" s="36"/>
      <c r="BE445" s="7"/>
      <c r="BF445" s="7"/>
      <c r="BG445" s="17">
        <f t="shared" si="176"/>
        <v>0</v>
      </c>
      <c r="BH445" s="7"/>
    </row>
    <row r="446" spans="1:60" s="21" customFormat="1" ht="12.75" customHeight="1" x14ac:dyDescent="0.2">
      <c r="A446" s="68">
        <v>772223</v>
      </c>
      <c r="B446" s="51"/>
      <c r="C446" s="66" t="s">
        <v>1803</v>
      </c>
      <c r="D446" s="52" t="s">
        <v>728</v>
      </c>
      <c r="E446" s="65" t="s">
        <v>780</v>
      </c>
      <c r="F446" s="53">
        <f>IFERROR(VLOOKUP(E446,Fornecedores!$A$2:$B$2700,2,FALSE),"")</f>
        <v>2</v>
      </c>
      <c r="G446" s="52" t="s">
        <v>1429</v>
      </c>
      <c r="H446" s="57"/>
      <c r="I446" s="55">
        <f t="shared" si="173"/>
        <v>0</v>
      </c>
      <c r="J446" s="55">
        <v>0</v>
      </c>
      <c r="K446" s="55">
        <v>0</v>
      </c>
      <c r="L446" s="55">
        <v>0</v>
      </c>
      <c r="M446" s="55">
        <v>0</v>
      </c>
      <c r="N446" s="55">
        <f t="shared" si="174"/>
        <v>0</v>
      </c>
      <c r="O446" s="55">
        <v>0</v>
      </c>
      <c r="P446" s="55">
        <v>0</v>
      </c>
      <c r="Q446" s="55">
        <v>0</v>
      </c>
      <c r="R446" s="55">
        <f t="shared" si="175"/>
        <v>1</v>
      </c>
      <c r="S446" s="55">
        <v>1</v>
      </c>
      <c r="T446" s="55">
        <v>0</v>
      </c>
      <c r="U446" s="55">
        <v>0</v>
      </c>
      <c r="V446" s="55">
        <v>2</v>
      </c>
      <c r="W446" s="53">
        <v>2</v>
      </c>
      <c r="X446" s="53">
        <v>0</v>
      </c>
      <c r="Y446" s="55">
        <v>0</v>
      </c>
      <c r="Z446" s="55">
        <v>0</v>
      </c>
      <c r="AA446" s="53">
        <v>0</v>
      </c>
      <c r="AB446" s="53">
        <v>0</v>
      </c>
      <c r="AC446" s="55">
        <v>0</v>
      </c>
      <c r="AD446" s="55">
        <f t="shared" si="178"/>
        <v>3</v>
      </c>
      <c r="AE446" s="53">
        <v>3</v>
      </c>
      <c r="AF446" s="55">
        <v>0</v>
      </c>
      <c r="AG446" s="55">
        <v>0</v>
      </c>
      <c r="AH446" s="55">
        <f t="shared" si="179"/>
        <v>2</v>
      </c>
      <c r="AI446" s="55">
        <v>1</v>
      </c>
      <c r="AJ446" s="55">
        <v>1</v>
      </c>
      <c r="AK446" s="55">
        <v>0</v>
      </c>
      <c r="AL446" s="55">
        <f t="shared" si="180"/>
        <v>1</v>
      </c>
      <c r="AM446" s="55">
        <v>1</v>
      </c>
      <c r="AN446" s="55">
        <v>0</v>
      </c>
      <c r="AO446" s="55">
        <v>0</v>
      </c>
      <c r="AP446" s="55">
        <f t="shared" si="183"/>
        <v>1</v>
      </c>
      <c r="AQ446" s="55">
        <f>IFERROR(VLOOKUP(A446,[1]SIIMPLES!$A$2:$F$418,6,FALSE),0)</f>
        <v>1</v>
      </c>
      <c r="AR446" s="55">
        <v>0</v>
      </c>
      <c r="AS446" s="55">
        <v>0</v>
      </c>
      <c r="AT446" s="55">
        <v>0</v>
      </c>
      <c r="AU446" s="55">
        <v>0</v>
      </c>
      <c r="AV446" s="55">
        <v>0</v>
      </c>
      <c r="AW446" s="57"/>
      <c r="AX446" s="55"/>
      <c r="AY446" s="56">
        <f t="shared" si="181"/>
        <v>1</v>
      </c>
      <c r="AZ446" s="55"/>
      <c r="BA446" s="56">
        <v>0</v>
      </c>
      <c r="BB446" s="41" t="str">
        <f t="shared" si="171"/>
        <v/>
      </c>
      <c r="BC446" s="13"/>
      <c r="BD446" s="36"/>
      <c r="BE446" s="7"/>
      <c r="BF446" s="7"/>
      <c r="BG446" s="7"/>
      <c r="BH446" s="7"/>
    </row>
    <row r="447" spans="1:60" s="21" customFormat="1" ht="12.75" customHeight="1" x14ac:dyDescent="0.2">
      <c r="A447" s="51">
        <v>772247</v>
      </c>
      <c r="B447" s="51" t="s">
        <v>1077</v>
      </c>
      <c r="C447" s="66" t="s">
        <v>1803</v>
      </c>
      <c r="D447" s="52" t="s">
        <v>728</v>
      </c>
      <c r="E447" s="65" t="s">
        <v>780</v>
      </c>
      <c r="F447" s="53">
        <f>IFERROR(VLOOKUP(E447,Fornecedores!$A$2:$B$2700,2,FALSE),"")</f>
        <v>2</v>
      </c>
      <c r="G447" s="52" t="s">
        <v>284</v>
      </c>
      <c r="H447" s="57"/>
      <c r="I447" s="55">
        <f t="shared" si="173"/>
        <v>4</v>
      </c>
      <c r="J447" s="55">
        <v>0</v>
      </c>
      <c r="K447" s="55">
        <v>4</v>
      </c>
      <c r="L447" s="55">
        <v>0</v>
      </c>
      <c r="M447" s="55">
        <v>0</v>
      </c>
      <c r="N447" s="55">
        <f t="shared" si="174"/>
        <v>2</v>
      </c>
      <c r="O447" s="55">
        <v>0</v>
      </c>
      <c r="P447" s="55">
        <v>2</v>
      </c>
      <c r="Q447" s="55">
        <v>0</v>
      </c>
      <c r="R447" s="55">
        <f t="shared" si="175"/>
        <v>2</v>
      </c>
      <c r="S447" s="55">
        <v>2</v>
      </c>
      <c r="T447" s="55">
        <v>0</v>
      </c>
      <c r="U447" s="55">
        <v>0</v>
      </c>
      <c r="V447" s="55">
        <v>3</v>
      </c>
      <c r="W447" s="53">
        <v>1</v>
      </c>
      <c r="X447" s="53">
        <v>2</v>
      </c>
      <c r="Y447" s="55">
        <v>0</v>
      </c>
      <c r="Z447" s="55">
        <v>2</v>
      </c>
      <c r="AA447" s="53">
        <v>1</v>
      </c>
      <c r="AB447" s="53">
        <v>1</v>
      </c>
      <c r="AC447" s="55">
        <v>0</v>
      </c>
      <c r="AD447" s="55">
        <f t="shared" si="178"/>
        <v>1</v>
      </c>
      <c r="AE447" s="53">
        <v>0</v>
      </c>
      <c r="AF447" s="55">
        <v>1</v>
      </c>
      <c r="AG447" s="55">
        <v>0</v>
      </c>
      <c r="AH447" s="55">
        <f t="shared" si="179"/>
        <v>2</v>
      </c>
      <c r="AI447" s="55">
        <v>0</v>
      </c>
      <c r="AJ447" s="55">
        <v>2</v>
      </c>
      <c r="AK447" s="55">
        <v>0</v>
      </c>
      <c r="AL447" s="55">
        <f t="shared" si="180"/>
        <v>2</v>
      </c>
      <c r="AM447" s="55" t="s">
        <v>1912</v>
      </c>
      <c r="AN447" s="55">
        <v>2</v>
      </c>
      <c r="AO447" s="55">
        <v>0</v>
      </c>
      <c r="AP447" s="55">
        <f t="shared" si="183"/>
        <v>1</v>
      </c>
      <c r="AQ447" s="55">
        <f>IFERROR(VLOOKUP(A447,[1]SIIMPLES!$A$2:$F$418,6,FALSE),0)</f>
        <v>0</v>
      </c>
      <c r="AR447" s="55">
        <v>1</v>
      </c>
      <c r="AS447" s="55">
        <v>7</v>
      </c>
      <c r="AT447" s="55">
        <v>0</v>
      </c>
      <c r="AU447" s="55">
        <v>7</v>
      </c>
      <c r="AV447" s="55">
        <v>0</v>
      </c>
      <c r="AW447" s="55"/>
      <c r="AX447" s="55"/>
      <c r="AY447" s="56">
        <f t="shared" si="181"/>
        <v>2.6</v>
      </c>
      <c r="AZ447" s="55"/>
      <c r="BA447" s="56">
        <v>2</v>
      </c>
      <c r="BB447" s="41">
        <f t="shared" si="171"/>
        <v>0.30000000000000004</v>
      </c>
      <c r="BC447" s="13"/>
      <c r="BD447" s="37"/>
      <c r="BE447" s="13"/>
      <c r="BF447" s="16">
        <f>SUM(BC447:BE447)</f>
        <v>0</v>
      </c>
      <c r="BG447" s="17">
        <f t="shared" ref="BG447:BG490" si="184">IFERROR(BC447/AY447,"0")</f>
        <v>0</v>
      </c>
      <c r="BH447" s="16">
        <f>IFERROR(IF(F447=1,IF(BC447&lt;AY447*3,AY447*3-BC447,0),IF(BC447&lt;AY447,AY447-BC447,0)),"")</f>
        <v>2.6</v>
      </c>
    </row>
    <row r="448" spans="1:60" s="21" customFormat="1" ht="12.75" customHeight="1" x14ac:dyDescent="0.2">
      <c r="A448" s="51">
        <v>112101</v>
      </c>
      <c r="B448" s="51" t="s">
        <v>1077</v>
      </c>
      <c r="C448" s="66" t="s">
        <v>1803</v>
      </c>
      <c r="D448" s="52" t="s">
        <v>728</v>
      </c>
      <c r="E448" s="65" t="s">
        <v>780</v>
      </c>
      <c r="F448" s="53">
        <f>IFERROR(VLOOKUP(E448,Fornecedores!$A$2:$B$2700,2,FALSE),"")</f>
        <v>2</v>
      </c>
      <c r="G448" s="52" t="s">
        <v>683</v>
      </c>
      <c r="H448" s="57"/>
      <c r="I448" s="55">
        <f t="shared" si="173"/>
        <v>0</v>
      </c>
      <c r="J448" s="55">
        <v>0</v>
      </c>
      <c r="K448" s="55">
        <v>0</v>
      </c>
      <c r="L448" s="55">
        <v>0</v>
      </c>
      <c r="M448" s="55">
        <v>0</v>
      </c>
      <c r="N448" s="55">
        <f t="shared" si="174"/>
        <v>0</v>
      </c>
      <c r="O448" s="55">
        <v>0</v>
      </c>
      <c r="P448" s="55">
        <v>0</v>
      </c>
      <c r="Q448" s="55">
        <v>0</v>
      </c>
      <c r="R448" s="55">
        <f t="shared" si="175"/>
        <v>0</v>
      </c>
      <c r="S448" s="55">
        <v>0</v>
      </c>
      <c r="T448" s="55">
        <v>0</v>
      </c>
      <c r="U448" s="55">
        <v>0</v>
      </c>
      <c r="V448" s="55">
        <v>0</v>
      </c>
      <c r="W448" s="53">
        <v>0</v>
      </c>
      <c r="X448" s="53">
        <v>0</v>
      </c>
      <c r="Y448" s="55">
        <v>0</v>
      </c>
      <c r="Z448" s="55">
        <v>1</v>
      </c>
      <c r="AA448" s="53">
        <v>1</v>
      </c>
      <c r="AB448" s="53">
        <v>0</v>
      </c>
      <c r="AC448" s="55">
        <v>0</v>
      </c>
      <c r="AD448" s="55">
        <f t="shared" si="178"/>
        <v>0</v>
      </c>
      <c r="AE448" s="53">
        <v>0</v>
      </c>
      <c r="AF448" s="55">
        <v>0</v>
      </c>
      <c r="AG448" s="55">
        <v>0</v>
      </c>
      <c r="AH448" s="55">
        <f t="shared" si="179"/>
        <v>1</v>
      </c>
      <c r="AI448" s="55">
        <v>1</v>
      </c>
      <c r="AJ448" s="55">
        <v>0</v>
      </c>
      <c r="AK448" s="55">
        <v>0</v>
      </c>
      <c r="AL448" s="55">
        <f t="shared" si="180"/>
        <v>1</v>
      </c>
      <c r="AM448" s="55">
        <v>1</v>
      </c>
      <c r="AN448" s="55">
        <v>0</v>
      </c>
      <c r="AO448" s="55">
        <v>0</v>
      </c>
      <c r="AP448" s="55">
        <f t="shared" si="183"/>
        <v>1</v>
      </c>
      <c r="AQ448" s="55">
        <f>IFERROR(VLOOKUP(A448,[1]SIIMPLES!$A$2:$F$418,6,FALSE),0)</f>
        <v>1</v>
      </c>
      <c r="AR448" s="55">
        <v>0</v>
      </c>
      <c r="AS448" s="55">
        <v>1</v>
      </c>
      <c r="AT448" s="55">
        <v>1</v>
      </c>
      <c r="AU448" s="55">
        <v>0</v>
      </c>
      <c r="AV448" s="55">
        <v>0</v>
      </c>
      <c r="AW448" s="55"/>
      <c r="AX448" s="55"/>
      <c r="AY448" s="56">
        <f t="shared" si="181"/>
        <v>0.5</v>
      </c>
      <c r="AZ448" s="55"/>
      <c r="BA448" s="56">
        <v>0.5</v>
      </c>
      <c r="BB448" s="41">
        <f t="shared" si="171"/>
        <v>0</v>
      </c>
      <c r="BC448" s="13"/>
      <c r="BD448" s="37"/>
      <c r="BE448" s="13"/>
      <c r="BF448" s="16">
        <f>SUM(BC448:BE448)</f>
        <v>0</v>
      </c>
      <c r="BG448" s="17">
        <f t="shared" si="184"/>
        <v>0</v>
      </c>
      <c r="BH448" s="16">
        <f>IFERROR(IF(F448=1,IF(BC448&lt;AY448*3,AY448*3-BC448,0),IF(BC448&lt;AY448,AY448-BC448,0)),"")</f>
        <v>0.5</v>
      </c>
    </row>
    <row r="449" spans="1:60" s="21" customFormat="1" ht="12.75" customHeight="1" x14ac:dyDescent="0.2">
      <c r="A449" s="51">
        <v>112133</v>
      </c>
      <c r="B449" s="51" t="s">
        <v>1077</v>
      </c>
      <c r="C449" s="66" t="s">
        <v>1803</v>
      </c>
      <c r="D449" s="52" t="s">
        <v>728</v>
      </c>
      <c r="E449" s="65" t="s">
        <v>780</v>
      </c>
      <c r="F449" s="53">
        <f>IFERROR(VLOOKUP(E449,Fornecedores!$A$2:$B$2700,2,FALSE),"")</f>
        <v>2</v>
      </c>
      <c r="G449" s="52" t="s">
        <v>476</v>
      </c>
      <c r="H449" s="57"/>
      <c r="I449" s="55">
        <f t="shared" si="173"/>
        <v>2</v>
      </c>
      <c r="J449" s="55">
        <v>2</v>
      </c>
      <c r="K449" s="55">
        <v>0</v>
      </c>
      <c r="L449" s="55">
        <v>0</v>
      </c>
      <c r="M449" s="55">
        <v>0</v>
      </c>
      <c r="N449" s="55">
        <f t="shared" si="174"/>
        <v>2</v>
      </c>
      <c r="O449" s="55">
        <v>1</v>
      </c>
      <c r="P449" s="55">
        <v>1</v>
      </c>
      <c r="Q449" s="55">
        <v>0</v>
      </c>
      <c r="R449" s="55">
        <f t="shared" si="175"/>
        <v>1</v>
      </c>
      <c r="S449" s="55">
        <v>1</v>
      </c>
      <c r="T449" s="55">
        <v>0</v>
      </c>
      <c r="U449" s="55">
        <v>0</v>
      </c>
      <c r="V449" s="55">
        <v>2</v>
      </c>
      <c r="W449" s="53">
        <v>2</v>
      </c>
      <c r="X449" s="53">
        <v>0</v>
      </c>
      <c r="Y449" s="55">
        <v>0</v>
      </c>
      <c r="Z449" s="55">
        <v>0</v>
      </c>
      <c r="AA449" s="53">
        <v>0</v>
      </c>
      <c r="AB449" s="53">
        <v>0</v>
      </c>
      <c r="AC449" s="55">
        <v>0</v>
      </c>
      <c r="AD449" s="55">
        <f t="shared" si="178"/>
        <v>1</v>
      </c>
      <c r="AE449" s="53">
        <v>1</v>
      </c>
      <c r="AF449" s="55">
        <v>0</v>
      </c>
      <c r="AG449" s="55">
        <v>0</v>
      </c>
      <c r="AH449" s="55">
        <f t="shared" si="179"/>
        <v>1</v>
      </c>
      <c r="AI449" s="55">
        <v>1</v>
      </c>
      <c r="AJ449" s="55">
        <v>0</v>
      </c>
      <c r="AK449" s="55">
        <v>0</v>
      </c>
      <c r="AL449" s="55">
        <f t="shared" si="180"/>
        <v>2</v>
      </c>
      <c r="AM449" s="55">
        <v>2</v>
      </c>
      <c r="AN449" s="55">
        <v>0</v>
      </c>
      <c r="AO449" s="55">
        <v>0</v>
      </c>
      <c r="AP449" s="55">
        <f t="shared" si="183"/>
        <v>1</v>
      </c>
      <c r="AQ449" s="55">
        <f>IFERROR(VLOOKUP(A449,[1]SIIMPLES!$A$2:$F$418,6,FALSE),0)</f>
        <v>1</v>
      </c>
      <c r="AR449" s="55">
        <v>0</v>
      </c>
      <c r="AS449" s="55">
        <v>0</v>
      </c>
      <c r="AT449" s="55">
        <v>0</v>
      </c>
      <c r="AU449" s="55">
        <v>0</v>
      </c>
      <c r="AV449" s="55">
        <v>0</v>
      </c>
      <c r="AW449" s="55"/>
      <c r="AX449" s="55"/>
      <c r="AY449" s="56">
        <f t="shared" si="181"/>
        <v>1.2</v>
      </c>
      <c r="AZ449" s="55"/>
      <c r="BA449" s="56">
        <v>1.1666666666666667</v>
      </c>
      <c r="BB449" s="41">
        <f t="shared" si="171"/>
        <v>2.857142857142847E-2</v>
      </c>
      <c r="BC449" s="13"/>
      <c r="BD449" s="35"/>
      <c r="BE449" s="13"/>
      <c r="BF449" s="16"/>
      <c r="BG449" s="17">
        <f t="shared" si="184"/>
        <v>0</v>
      </c>
      <c r="BH449" s="16">
        <f>IFERROR(IF(F449=1,IF(BC449&lt;AY449*3,AY449*3-BC449,0),IF(BC449&lt;AY449,AY449-BC449,0)),"")</f>
        <v>1.2</v>
      </c>
    </row>
    <row r="450" spans="1:60" s="21" customFormat="1" ht="12.75" customHeight="1" x14ac:dyDescent="0.2">
      <c r="A450" s="51">
        <v>225052</v>
      </c>
      <c r="B450" s="51"/>
      <c r="C450" s="66" t="s">
        <v>1803</v>
      </c>
      <c r="D450" s="65" t="s">
        <v>737</v>
      </c>
      <c r="E450" s="67" t="s">
        <v>727</v>
      </c>
      <c r="F450" s="53">
        <f>IFERROR(VLOOKUP(E450,Fornecedores!$A$2:$B$2700,2,FALSE),"")</f>
        <v>1</v>
      </c>
      <c r="G450" s="52" t="s">
        <v>569</v>
      </c>
      <c r="H450" s="54"/>
      <c r="I450" s="55">
        <f t="shared" si="173"/>
        <v>0</v>
      </c>
      <c r="J450" s="55">
        <v>0</v>
      </c>
      <c r="K450" s="55">
        <v>0</v>
      </c>
      <c r="L450" s="55">
        <v>0</v>
      </c>
      <c r="M450" s="55">
        <v>0</v>
      </c>
      <c r="N450" s="55">
        <f t="shared" si="174"/>
        <v>0</v>
      </c>
      <c r="O450" s="55">
        <v>0</v>
      </c>
      <c r="P450" s="55">
        <v>0</v>
      </c>
      <c r="Q450" s="55">
        <v>0</v>
      </c>
      <c r="R450" s="55">
        <f t="shared" si="175"/>
        <v>0</v>
      </c>
      <c r="S450" s="55">
        <v>0</v>
      </c>
      <c r="T450" s="55">
        <v>0</v>
      </c>
      <c r="U450" s="55">
        <v>0</v>
      </c>
      <c r="V450" s="55">
        <v>0</v>
      </c>
      <c r="W450" s="53">
        <v>0</v>
      </c>
      <c r="X450" s="53">
        <v>0</v>
      </c>
      <c r="Y450" s="55">
        <v>0</v>
      </c>
      <c r="Z450" s="55">
        <v>0</v>
      </c>
      <c r="AA450" s="53">
        <v>0</v>
      </c>
      <c r="AB450" s="53">
        <v>0</v>
      </c>
      <c r="AC450" s="55">
        <v>0</v>
      </c>
      <c r="AD450" s="55">
        <f t="shared" si="178"/>
        <v>0</v>
      </c>
      <c r="AE450" s="53">
        <v>0</v>
      </c>
      <c r="AF450" s="55">
        <v>0</v>
      </c>
      <c r="AG450" s="55">
        <v>0</v>
      </c>
      <c r="AH450" s="55">
        <f t="shared" si="179"/>
        <v>0</v>
      </c>
      <c r="AI450" s="55">
        <v>0</v>
      </c>
      <c r="AJ450" s="55">
        <v>0</v>
      </c>
      <c r="AK450" s="55">
        <v>0</v>
      </c>
      <c r="AL450" s="55">
        <f t="shared" si="180"/>
        <v>0</v>
      </c>
      <c r="AM450" s="55" t="s">
        <v>1912</v>
      </c>
      <c r="AN450" s="55">
        <v>0</v>
      </c>
      <c r="AO450" s="55">
        <v>0</v>
      </c>
      <c r="AP450" s="55">
        <f t="shared" si="183"/>
        <v>1</v>
      </c>
      <c r="AQ450" s="55">
        <f>IFERROR(VLOOKUP(A450,[1]SIIMPLES!$A$2:$F$418,6,FALSE),0)</f>
        <v>1</v>
      </c>
      <c r="AR450" s="55">
        <v>0</v>
      </c>
      <c r="AS450" s="55">
        <v>0</v>
      </c>
      <c r="AT450" s="55">
        <v>0</v>
      </c>
      <c r="AU450" s="55">
        <v>0</v>
      </c>
      <c r="AV450" s="55">
        <v>0</v>
      </c>
      <c r="AW450" s="55"/>
      <c r="AX450" s="55"/>
      <c r="AY450" s="56">
        <f t="shared" si="181"/>
        <v>0.1</v>
      </c>
      <c r="AZ450" s="55"/>
      <c r="BA450" s="56">
        <v>0</v>
      </c>
      <c r="BB450" s="41" t="str">
        <f t="shared" si="171"/>
        <v/>
      </c>
      <c r="BC450" s="13"/>
      <c r="BD450" s="35"/>
      <c r="BE450" s="7"/>
      <c r="BF450" s="16"/>
      <c r="BG450" s="17">
        <f t="shared" si="184"/>
        <v>0</v>
      </c>
      <c r="BH450" s="16">
        <f>IFERROR(IF(F450=1,IF(BC450&lt;AY450*3,AY450*3-BC450,0),IF(BC450&lt;AY450,AY450-BC450,0)),"")</f>
        <v>0.30000000000000004</v>
      </c>
    </row>
    <row r="451" spans="1:60" s="21" customFormat="1" ht="12.75" customHeight="1" x14ac:dyDescent="0.2">
      <c r="A451" s="51">
        <v>226009</v>
      </c>
      <c r="B451" s="51" t="s">
        <v>1077</v>
      </c>
      <c r="C451" s="66" t="s">
        <v>1803</v>
      </c>
      <c r="D451" s="65" t="s">
        <v>726</v>
      </c>
      <c r="E451" s="67" t="s">
        <v>727</v>
      </c>
      <c r="F451" s="53">
        <f>IFERROR(VLOOKUP(E451,Fornecedores!$A$2:$B$2700,2,FALSE),"")</f>
        <v>1</v>
      </c>
      <c r="G451" s="52" t="s">
        <v>893</v>
      </c>
      <c r="H451" s="57"/>
      <c r="I451" s="55">
        <f t="shared" si="173"/>
        <v>4</v>
      </c>
      <c r="J451" s="55">
        <v>4</v>
      </c>
      <c r="K451" s="55">
        <v>0</v>
      </c>
      <c r="L451" s="55">
        <v>0</v>
      </c>
      <c r="M451" s="55">
        <v>0</v>
      </c>
      <c r="N451" s="55">
        <f t="shared" si="174"/>
        <v>2</v>
      </c>
      <c r="O451" s="55">
        <v>2</v>
      </c>
      <c r="P451" s="55">
        <v>0</v>
      </c>
      <c r="Q451" s="55">
        <v>0</v>
      </c>
      <c r="R451" s="55">
        <f t="shared" si="175"/>
        <v>4</v>
      </c>
      <c r="S451" s="55">
        <v>4</v>
      </c>
      <c r="T451" s="55">
        <v>0</v>
      </c>
      <c r="U451" s="55">
        <v>0</v>
      </c>
      <c r="V451" s="55">
        <v>0</v>
      </c>
      <c r="W451" s="53">
        <v>0</v>
      </c>
      <c r="X451" s="53">
        <v>0</v>
      </c>
      <c r="Y451" s="55">
        <v>0</v>
      </c>
      <c r="Z451" s="55">
        <v>1</v>
      </c>
      <c r="AA451" s="53">
        <v>1</v>
      </c>
      <c r="AB451" s="53">
        <v>0</v>
      </c>
      <c r="AC451" s="55">
        <v>0</v>
      </c>
      <c r="AD451" s="55">
        <f t="shared" si="178"/>
        <v>0</v>
      </c>
      <c r="AE451" s="53">
        <v>0</v>
      </c>
      <c r="AF451" s="55">
        <v>0</v>
      </c>
      <c r="AG451" s="55">
        <v>0</v>
      </c>
      <c r="AH451" s="55">
        <f t="shared" si="179"/>
        <v>0</v>
      </c>
      <c r="AI451" s="55">
        <v>0</v>
      </c>
      <c r="AJ451" s="55">
        <v>0</v>
      </c>
      <c r="AK451" s="55">
        <v>0</v>
      </c>
      <c r="AL451" s="55">
        <f t="shared" si="180"/>
        <v>0</v>
      </c>
      <c r="AM451" s="55" t="s">
        <v>1912</v>
      </c>
      <c r="AN451" s="55">
        <v>0</v>
      </c>
      <c r="AO451" s="55">
        <v>0</v>
      </c>
      <c r="AP451" s="55">
        <f t="shared" si="183"/>
        <v>1</v>
      </c>
      <c r="AQ451" s="55">
        <f>IFERROR(VLOOKUP(A451,[1]SIIMPLES!$A$2:$F$418,6,FALSE),0)</f>
        <v>1</v>
      </c>
      <c r="AR451" s="55">
        <v>0</v>
      </c>
      <c r="AS451" s="55">
        <v>1</v>
      </c>
      <c r="AT451" s="55">
        <v>1</v>
      </c>
      <c r="AU451" s="55">
        <v>0</v>
      </c>
      <c r="AV451" s="55">
        <v>0</v>
      </c>
      <c r="AW451" s="55"/>
      <c r="AX451" s="55"/>
      <c r="AY451" s="56">
        <f t="shared" si="181"/>
        <v>1.3</v>
      </c>
      <c r="AZ451" s="55"/>
      <c r="BA451" s="56">
        <v>1.25</v>
      </c>
      <c r="BB451" s="41">
        <f t="shared" si="171"/>
        <v>4.0000000000000036E-2</v>
      </c>
      <c r="BC451" s="13"/>
      <c r="BD451" s="35"/>
      <c r="BE451" s="13"/>
      <c r="BF451" s="16">
        <f>SUM(BC451:BE451)</f>
        <v>0</v>
      </c>
      <c r="BG451" s="17">
        <f t="shared" si="184"/>
        <v>0</v>
      </c>
      <c r="BH451" s="16">
        <f>ROUND(IFERROR(IF(F451=1,IF(BC451&lt;AY451*3,AY451*3-BC451,0),IF(BC451&lt;AY451,AY451*0.6-BC451,0)),""),0)</f>
        <v>4</v>
      </c>
    </row>
    <row r="452" spans="1:60" s="21" customFormat="1" ht="12.75" customHeight="1" x14ac:dyDescent="0.2">
      <c r="A452" s="51">
        <v>229051</v>
      </c>
      <c r="B452" s="51" t="s">
        <v>1077</v>
      </c>
      <c r="C452" s="66" t="s">
        <v>1803</v>
      </c>
      <c r="D452" s="65" t="s">
        <v>1478</v>
      </c>
      <c r="E452" s="67" t="s">
        <v>727</v>
      </c>
      <c r="F452" s="53">
        <f>IFERROR(VLOOKUP(E452,Fornecedores!$A$2:$B$2700,2,FALSE),"")</f>
        <v>1</v>
      </c>
      <c r="G452" s="52" t="s">
        <v>1772</v>
      </c>
      <c r="H452" s="54"/>
      <c r="I452" s="55">
        <f t="shared" si="173"/>
        <v>5</v>
      </c>
      <c r="J452" s="55">
        <v>5</v>
      </c>
      <c r="K452" s="55">
        <v>0</v>
      </c>
      <c r="L452" s="55">
        <v>0</v>
      </c>
      <c r="M452" s="55">
        <v>0</v>
      </c>
      <c r="N452" s="55">
        <f t="shared" si="174"/>
        <v>1</v>
      </c>
      <c r="O452" s="55">
        <v>1</v>
      </c>
      <c r="P452" s="55">
        <v>0</v>
      </c>
      <c r="Q452" s="55">
        <v>0</v>
      </c>
      <c r="R452" s="55">
        <f t="shared" si="175"/>
        <v>1</v>
      </c>
      <c r="S452" s="55">
        <v>1</v>
      </c>
      <c r="T452" s="55">
        <v>0</v>
      </c>
      <c r="U452" s="55">
        <v>0</v>
      </c>
      <c r="V452" s="55">
        <v>2</v>
      </c>
      <c r="W452" s="53">
        <v>2</v>
      </c>
      <c r="X452" s="53">
        <v>0</v>
      </c>
      <c r="Y452" s="55">
        <v>0</v>
      </c>
      <c r="Z452" s="55">
        <v>1</v>
      </c>
      <c r="AA452" s="53">
        <v>1</v>
      </c>
      <c r="AB452" s="53">
        <v>0</v>
      </c>
      <c r="AC452" s="55">
        <v>0</v>
      </c>
      <c r="AD452" s="55">
        <f t="shared" si="178"/>
        <v>3</v>
      </c>
      <c r="AE452" s="53">
        <v>3</v>
      </c>
      <c r="AF452" s="55">
        <v>0</v>
      </c>
      <c r="AG452" s="55">
        <v>0</v>
      </c>
      <c r="AH452" s="55">
        <f t="shared" si="179"/>
        <v>6</v>
      </c>
      <c r="AI452" s="55">
        <v>6</v>
      </c>
      <c r="AJ452" s="55">
        <v>0</v>
      </c>
      <c r="AK452" s="55">
        <v>0</v>
      </c>
      <c r="AL452" s="55">
        <f t="shared" si="180"/>
        <v>3</v>
      </c>
      <c r="AM452" s="55">
        <v>3</v>
      </c>
      <c r="AN452" s="55">
        <v>0</v>
      </c>
      <c r="AO452" s="55">
        <v>0</v>
      </c>
      <c r="AP452" s="55">
        <f t="shared" si="183"/>
        <v>1</v>
      </c>
      <c r="AQ452" s="55">
        <f>IFERROR(VLOOKUP(A452,[1]SIIMPLES!$A$2:$F$418,6,FALSE),0)</f>
        <v>1</v>
      </c>
      <c r="AR452" s="55">
        <v>0</v>
      </c>
      <c r="AS452" s="55">
        <v>0</v>
      </c>
      <c r="AT452" s="55">
        <v>0</v>
      </c>
      <c r="AU452" s="55">
        <v>0</v>
      </c>
      <c r="AV452" s="55">
        <v>0</v>
      </c>
      <c r="AW452" s="55"/>
      <c r="AX452" s="55"/>
      <c r="AY452" s="56">
        <f t="shared" si="181"/>
        <v>2.2999999999999998</v>
      </c>
      <c r="AZ452" s="55"/>
      <c r="BA452" s="56">
        <v>4</v>
      </c>
      <c r="BB452" s="41">
        <f t="shared" si="171"/>
        <v>-0.42500000000000004</v>
      </c>
      <c r="BC452" s="13"/>
      <c r="BD452" s="35"/>
      <c r="BE452" s="7"/>
      <c r="BF452" s="16"/>
      <c r="BG452" s="17">
        <f t="shared" si="184"/>
        <v>0</v>
      </c>
      <c r="BH452" s="16">
        <f>IFERROR(IF(F452=1,IF(BC452&lt;AY452*3,AY452*3-BC452,0),IF(BC452&lt;AY452,AY452-BC452,0)),"")</f>
        <v>6.8999999999999995</v>
      </c>
    </row>
    <row r="453" spans="1:60" s="21" customFormat="1" ht="12.75" customHeight="1" x14ac:dyDescent="0.2">
      <c r="A453" s="51">
        <v>772031</v>
      </c>
      <c r="B453" s="51" t="s">
        <v>1077</v>
      </c>
      <c r="C453" s="66" t="s">
        <v>1803</v>
      </c>
      <c r="D453" s="52" t="s">
        <v>728</v>
      </c>
      <c r="E453" s="65" t="s">
        <v>780</v>
      </c>
      <c r="F453" s="53">
        <f>IFERROR(VLOOKUP(E453,Fornecedores!$A$2:$B$2700,2,FALSE),"")</f>
        <v>2</v>
      </c>
      <c r="G453" s="52" t="s">
        <v>376</v>
      </c>
      <c r="H453" s="57"/>
      <c r="I453" s="55">
        <f t="shared" si="173"/>
        <v>6</v>
      </c>
      <c r="J453" s="55">
        <v>6</v>
      </c>
      <c r="K453" s="55">
        <v>0</v>
      </c>
      <c r="L453" s="55">
        <v>0</v>
      </c>
      <c r="M453" s="55">
        <v>0</v>
      </c>
      <c r="N453" s="55">
        <f t="shared" si="174"/>
        <v>2</v>
      </c>
      <c r="O453" s="55">
        <v>2</v>
      </c>
      <c r="P453" s="55">
        <v>0</v>
      </c>
      <c r="Q453" s="55">
        <v>0</v>
      </c>
      <c r="R453" s="55">
        <f t="shared" si="175"/>
        <v>1</v>
      </c>
      <c r="S453" s="55">
        <v>1</v>
      </c>
      <c r="T453" s="55">
        <v>0</v>
      </c>
      <c r="U453" s="55">
        <v>0</v>
      </c>
      <c r="V453" s="55">
        <v>1</v>
      </c>
      <c r="W453" s="53">
        <v>1</v>
      </c>
      <c r="X453" s="53">
        <v>0</v>
      </c>
      <c r="Y453" s="55">
        <v>0</v>
      </c>
      <c r="Z453" s="55">
        <v>1</v>
      </c>
      <c r="AA453" s="53">
        <v>1</v>
      </c>
      <c r="AB453" s="53">
        <v>0</v>
      </c>
      <c r="AC453" s="55">
        <v>0</v>
      </c>
      <c r="AD453" s="55">
        <f t="shared" si="178"/>
        <v>0</v>
      </c>
      <c r="AE453" s="53">
        <v>0</v>
      </c>
      <c r="AF453" s="55">
        <v>0</v>
      </c>
      <c r="AG453" s="55">
        <v>0</v>
      </c>
      <c r="AH453" s="55">
        <f t="shared" si="179"/>
        <v>1</v>
      </c>
      <c r="AI453" s="55">
        <v>1</v>
      </c>
      <c r="AJ453" s="55">
        <v>0</v>
      </c>
      <c r="AK453" s="55">
        <v>0</v>
      </c>
      <c r="AL453" s="55">
        <f t="shared" si="180"/>
        <v>1</v>
      </c>
      <c r="AM453" s="55">
        <v>1</v>
      </c>
      <c r="AN453" s="55">
        <v>0</v>
      </c>
      <c r="AO453" s="55">
        <v>0</v>
      </c>
      <c r="AP453" s="55">
        <f t="shared" si="183"/>
        <v>1</v>
      </c>
      <c r="AQ453" s="55">
        <f>IFERROR(VLOOKUP(A453,[1]SIIMPLES!$A$2:$F$418,6,FALSE),0)</f>
        <v>1</v>
      </c>
      <c r="AR453" s="55">
        <v>0</v>
      </c>
      <c r="AS453" s="55">
        <v>1</v>
      </c>
      <c r="AT453" s="55">
        <v>1</v>
      </c>
      <c r="AU453" s="55">
        <v>0</v>
      </c>
      <c r="AV453" s="55">
        <v>0</v>
      </c>
      <c r="AW453" s="55"/>
      <c r="AX453" s="55"/>
      <c r="AY453" s="56">
        <f t="shared" si="181"/>
        <v>1.5</v>
      </c>
      <c r="AZ453" s="55"/>
      <c r="BA453" s="56">
        <v>1.6666666666666667</v>
      </c>
      <c r="BB453" s="41">
        <f t="shared" si="171"/>
        <v>-0.10000000000000009</v>
      </c>
      <c r="BC453" s="13"/>
      <c r="BD453" s="36"/>
      <c r="BE453" s="7"/>
      <c r="BF453" s="7"/>
      <c r="BG453" s="17">
        <f t="shared" si="184"/>
        <v>0</v>
      </c>
      <c r="BH453" s="7"/>
    </row>
    <row r="454" spans="1:60" s="21" customFormat="1" ht="12.75" customHeight="1" x14ac:dyDescent="0.2">
      <c r="A454" s="51">
        <v>772032</v>
      </c>
      <c r="B454" s="51" t="s">
        <v>1077</v>
      </c>
      <c r="C454" s="66" t="s">
        <v>1803</v>
      </c>
      <c r="D454" s="52" t="s">
        <v>728</v>
      </c>
      <c r="E454" s="65" t="s">
        <v>780</v>
      </c>
      <c r="F454" s="53">
        <f>IFERROR(VLOOKUP(E454,Fornecedores!$A$2:$B$2700,2,FALSE),"")</f>
        <v>2</v>
      </c>
      <c r="G454" s="52" t="s">
        <v>426</v>
      </c>
      <c r="H454" s="57"/>
      <c r="I454" s="55">
        <f t="shared" si="173"/>
        <v>3</v>
      </c>
      <c r="J454" s="55">
        <v>3</v>
      </c>
      <c r="K454" s="55">
        <v>0</v>
      </c>
      <c r="L454" s="55">
        <v>0</v>
      </c>
      <c r="M454" s="55">
        <v>0</v>
      </c>
      <c r="N454" s="55">
        <f t="shared" si="174"/>
        <v>0</v>
      </c>
      <c r="O454" s="55">
        <v>0</v>
      </c>
      <c r="P454" s="55">
        <v>0</v>
      </c>
      <c r="Q454" s="55">
        <v>0</v>
      </c>
      <c r="R454" s="55">
        <f t="shared" si="175"/>
        <v>1</v>
      </c>
      <c r="S454" s="55">
        <v>1</v>
      </c>
      <c r="T454" s="55">
        <v>0</v>
      </c>
      <c r="U454" s="55">
        <v>0</v>
      </c>
      <c r="V454" s="55">
        <v>2</v>
      </c>
      <c r="W454" s="53">
        <v>2</v>
      </c>
      <c r="X454" s="53">
        <v>0</v>
      </c>
      <c r="Y454" s="55">
        <v>0</v>
      </c>
      <c r="Z454" s="55">
        <v>1</v>
      </c>
      <c r="AA454" s="53">
        <v>1</v>
      </c>
      <c r="AB454" s="53">
        <v>0</v>
      </c>
      <c r="AC454" s="55">
        <v>0</v>
      </c>
      <c r="AD454" s="55">
        <f t="shared" si="178"/>
        <v>0</v>
      </c>
      <c r="AE454" s="53">
        <v>0</v>
      </c>
      <c r="AF454" s="55">
        <v>0</v>
      </c>
      <c r="AG454" s="55">
        <v>0</v>
      </c>
      <c r="AH454" s="55">
        <f t="shared" si="179"/>
        <v>1</v>
      </c>
      <c r="AI454" s="55">
        <v>1</v>
      </c>
      <c r="AJ454" s="55">
        <v>0</v>
      </c>
      <c r="AK454" s="55">
        <v>0</v>
      </c>
      <c r="AL454" s="55">
        <f t="shared" si="180"/>
        <v>2</v>
      </c>
      <c r="AM454" s="55">
        <v>2</v>
      </c>
      <c r="AN454" s="55">
        <v>0</v>
      </c>
      <c r="AO454" s="55">
        <v>0</v>
      </c>
      <c r="AP454" s="55">
        <f t="shared" si="183"/>
        <v>1</v>
      </c>
      <c r="AQ454" s="55">
        <f>IFERROR(VLOOKUP(A454,[1]SIIMPLES!$A$2:$F$418,6,FALSE),0)</f>
        <v>1</v>
      </c>
      <c r="AR454" s="55">
        <v>0</v>
      </c>
      <c r="AS454" s="55">
        <v>0</v>
      </c>
      <c r="AT454" s="55">
        <v>0</v>
      </c>
      <c r="AU454" s="55">
        <v>0</v>
      </c>
      <c r="AV454" s="55">
        <v>0</v>
      </c>
      <c r="AW454" s="55"/>
      <c r="AX454" s="55"/>
      <c r="AY454" s="56">
        <f t="shared" si="181"/>
        <v>1.1000000000000001</v>
      </c>
      <c r="AZ454" s="55"/>
      <c r="BA454" s="56">
        <v>1.8333333333333333</v>
      </c>
      <c r="BB454" s="41">
        <f t="shared" si="171"/>
        <v>-0.39999999999999991</v>
      </c>
      <c r="BC454" s="13"/>
      <c r="BD454" s="35"/>
      <c r="BE454" s="13"/>
      <c r="BF454" s="16"/>
      <c r="BG454" s="17">
        <f t="shared" si="184"/>
        <v>0</v>
      </c>
      <c r="BH454" s="16">
        <f t="shared" ref="BH454:BH462" si="185">IFERROR(IF(F454=1,IF(BC454&lt;AY454*3,AY454*3-BC454,0),IF(BC454&lt;AY454,AY454-BC454,0)),"")</f>
        <v>1.1000000000000001</v>
      </c>
    </row>
    <row r="455" spans="1:60" s="21" customFormat="1" ht="12.75" customHeight="1" x14ac:dyDescent="0.2">
      <c r="A455" s="51">
        <v>772053</v>
      </c>
      <c r="B455" s="51" t="s">
        <v>1077</v>
      </c>
      <c r="C455" s="66" t="s">
        <v>1803</v>
      </c>
      <c r="D455" s="52" t="s">
        <v>728</v>
      </c>
      <c r="E455" s="65" t="s">
        <v>780</v>
      </c>
      <c r="F455" s="53">
        <f>IFERROR(VLOOKUP(E455,Fornecedores!$A$2:$B$2700,2,FALSE),"")</f>
        <v>2</v>
      </c>
      <c r="G455" s="52" t="s">
        <v>56</v>
      </c>
      <c r="H455" s="57"/>
      <c r="I455" s="55">
        <f t="shared" si="173"/>
        <v>2</v>
      </c>
      <c r="J455" s="55">
        <v>0</v>
      </c>
      <c r="K455" s="55">
        <v>1</v>
      </c>
      <c r="L455" s="55">
        <v>0</v>
      </c>
      <c r="M455" s="55">
        <v>1</v>
      </c>
      <c r="N455" s="55">
        <f t="shared" si="174"/>
        <v>1</v>
      </c>
      <c r="O455" s="55">
        <v>1</v>
      </c>
      <c r="P455" s="55">
        <v>0</v>
      </c>
      <c r="Q455" s="55">
        <v>0</v>
      </c>
      <c r="R455" s="55">
        <f t="shared" si="175"/>
        <v>1</v>
      </c>
      <c r="S455" s="55">
        <v>1</v>
      </c>
      <c r="T455" s="55">
        <v>0</v>
      </c>
      <c r="U455" s="55">
        <v>0</v>
      </c>
      <c r="V455" s="55">
        <v>3</v>
      </c>
      <c r="W455" s="53">
        <v>1</v>
      </c>
      <c r="X455" s="53">
        <v>2</v>
      </c>
      <c r="Y455" s="55">
        <v>0</v>
      </c>
      <c r="Z455" s="55">
        <v>2</v>
      </c>
      <c r="AA455" s="53">
        <v>1</v>
      </c>
      <c r="AB455" s="53">
        <v>1</v>
      </c>
      <c r="AC455" s="55">
        <v>0</v>
      </c>
      <c r="AD455" s="55">
        <f t="shared" si="178"/>
        <v>1</v>
      </c>
      <c r="AE455" s="53">
        <v>1</v>
      </c>
      <c r="AF455" s="55">
        <v>0</v>
      </c>
      <c r="AG455" s="55">
        <v>0</v>
      </c>
      <c r="AH455" s="55">
        <f t="shared" si="179"/>
        <v>1</v>
      </c>
      <c r="AI455" s="55">
        <v>1</v>
      </c>
      <c r="AJ455" s="55">
        <v>0</v>
      </c>
      <c r="AK455" s="55">
        <v>0</v>
      </c>
      <c r="AL455" s="55">
        <f t="shared" si="180"/>
        <v>1</v>
      </c>
      <c r="AM455" s="55" t="s">
        <v>1912</v>
      </c>
      <c r="AN455" s="55">
        <v>1</v>
      </c>
      <c r="AO455" s="55">
        <v>0</v>
      </c>
      <c r="AP455" s="55">
        <f t="shared" si="183"/>
        <v>1</v>
      </c>
      <c r="AQ455" s="55">
        <f>IFERROR(VLOOKUP(A455,[1]SIIMPLES!$A$2:$F$418,6,FALSE),0)</f>
        <v>0</v>
      </c>
      <c r="AR455" s="55">
        <v>1</v>
      </c>
      <c r="AS455" s="55">
        <v>0</v>
      </c>
      <c r="AT455" s="55">
        <v>0</v>
      </c>
      <c r="AU455" s="55">
        <v>0</v>
      </c>
      <c r="AV455" s="55">
        <v>0</v>
      </c>
      <c r="AW455" s="55"/>
      <c r="AX455" s="55"/>
      <c r="AY455" s="56">
        <f t="shared" si="181"/>
        <v>1.3</v>
      </c>
      <c r="AZ455" s="55"/>
      <c r="BA455" s="56">
        <v>0</v>
      </c>
      <c r="BB455" s="41" t="str">
        <f t="shared" si="171"/>
        <v/>
      </c>
      <c r="BC455" s="13"/>
      <c r="BD455" s="35"/>
      <c r="BE455" s="13"/>
      <c r="BF455" s="16"/>
      <c r="BG455" s="17">
        <f t="shared" si="184"/>
        <v>0</v>
      </c>
      <c r="BH455" s="16">
        <f t="shared" si="185"/>
        <v>1.3</v>
      </c>
    </row>
    <row r="456" spans="1:60" s="21" customFormat="1" ht="12.75" customHeight="1" x14ac:dyDescent="0.2">
      <c r="A456" s="51">
        <v>772130</v>
      </c>
      <c r="B456" s="51" t="s">
        <v>1077</v>
      </c>
      <c r="C456" s="66" t="s">
        <v>1803</v>
      </c>
      <c r="D456" s="52" t="s">
        <v>728</v>
      </c>
      <c r="E456" s="65" t="s">
        <v>780</v>
      </c>
      <c r="F456" s="53">
        <f>IFERROR(VLOOKUP(E456,Fornecedores!$A$2:$B$2700,2,FALSE),"")</f>
        <v>2</v>
      </c>
      <c r="G456" s="52" t="s">
        <v>1356</v>
      </c>
      <c r="H456" s="57"/>
      <c r="I456" s="55">
        <f t="shared" si="173"/>
        <v>0</v>
      </c>
      <c r="J456" s="55">
        <v>0</v>
      </c>
      <c r="K456" s="55">
        <v>0</v>
      </c>
      <c r="L456" s="55">
        <v>0</v>
      </c>
      <c r="M456" s="55">
        <v>0</v>
      </c>
      <c r="N456" s="55">
        <f t="shared" si="174"/>
        <v>0</v>
      </c>
      <c r="O456" s="55">
        <v>0</v>
      </c>
      <c r="P456" s="55">
        <v>0</v>
      </c>
      <c r="Q456" s="55">
        <v>0</v>
      </c>
      <c r="R456" s="55">
        <f t="shared" si="175"/>
        <v>0</v>
      </c>
      <c r="S456" s="55">
        <v>0</v>
      </c>
      <c r="T456" s="55">
        <v>0</v>
      </c>
      <c r="U456" s="55">
        <v>0</v>
      </c>
      <c r="V456" s="55">
        <v>0</v>
      </c>
      <c r="W456" s="53">
        <v>0</v>
      </c>
      <c r="X456" s="53">
        <v>0</v>
      </c>
      <c r="Y456" s="55">
        <v>0</v>
      </c>
      <c r="Z456" s="55">
        <v>0</v>
      </c>
      <c r="AA456" s="53">
        <v>0</v>
      </c>
      <c r="AB456" s="53">
        <v>0</v>
      </c>
      <c r="AC456" s="55">
        <v>0</v>
      </c>
      <c r="AD456" s="55">
        <f t="shared" si="178"/>
        <v>0</v>
      </c>
      <c r="AE456" s="53">
        <v>0</v>
      </c>
      <c r="AF456" s="55">
        <v>0</v>
      </c>
      <c r="AG456" s="55">
        <v>0</v>
      </c>
      <c r="AH456" s="55">
        <f t="shared" si="179"/>
        <v>1</v>
      </c>
      <c r="AI456" s="55">
        <v>0</v>
      </c>
      <c r="AJ456" s="55">
        <v>1</v>
      </c>
      <c r="AK456" s="55">
        <v>0</v>
      </c>
      <c r="AL456" s="55">
        <f t="shared" si="180"/>
        <v>0</v>
      </c>
      <c r="AM456" s="55" t="s">
        <v>1912</v>
      </c>
      <c r="AN456" s="55">
        <v>0</v>
      </c>
      <c r="AO456" s="55">
        <v>0</v>
      </c>
      <c r="AP456" s="55">
        <f t="shared" si="183"/>
        <v>1</v>
      </c>
      <c r="AQ456" s="55">
        <f>IFERROR(VLOOKUP(A456,[1]SIIMPLES!$A$2:$F$418,6,FALSE),0)</f>
        <v>0</v>
      </c>
      <c r="AR456" s="55">
        <v>1</v>
      </c>
      <c r="AS456" s="55">
        <v>0</v>
      </c>
      <c r="AT456" s="55">
        <v>0</v>
      </c>
      <c r="AU456" s="55">
        <v>0</v>
      </c>
      <c r="AV456" s="55">
        <v>0</v>
      </c>
      <c r="AW456" s="55"/>
      <c r="AX456" s="55"/>
      <c r="AY456" s="56">
        <f t="shared" si="181"/>
        <v>0.2</v>
      </c>
      <c r="AZ456" s="55"/>
      <c r="BA456" s="56">
        <v>0.33333333333333331</v>
      </c>
      <c r="BB456" s="41">
        <f t="shared" si="171"/>
        <v>-0.39999999999999991</v>
      </c>
      <c r="BC456" s="10"/>
      <c r="BD456" s="35"/>
      <c r="BE456" s="13"/>
      <c r="BF456" s="16"/>
      <c r="BG456" s="17">
        <f t="shared" si="184"/>
        <v>0</v>
      </c>
      <c r="BH456" s="16">
        <f t="shared" si="185"/>
        <v>0.2</v>
      </c>
    </row>
    <row r="457" spans="1:60" s="21" customFormat="1" ht="12.75" customHeight="1" x14ac:dyDescent="0.2">
      <c r="A457" s="51">
        <v>772131</v>
      </c>
      <c r="B457" s="51" t="s">
        <v>1077</v>
      </c>
      <c r="C457" s="66" t="s">
        <v>1803</v>
      </c>
      <c r="D457" s="52" t="s">
        <v>728</v>
      </c>
      <c r="E457" s="65" t="s">
        <v>780</v>
      </c>
      <c r="F457" s="53">
        <f>IFERROR(VLOOKUP(E457,Fornecedores!$A$2:$B$2700,2,FALSE),"")</f>
        <v>2</v>
      </c>
      <c r="G457" s="52" t="s">
        <v>1357</v>
      </c>
      <c r="H457" s="57"/>
      <c r="I457" s="55">
        <f t="shared" si="173"/>
        <v>0</v>
      </c>
      <c r="J457" s="55">
        <v>0</v>
      </c>
      <c r="K457" s="55">
        <v>0</v>
      </c>
      <c r="L457" s="55">
        <v>0</v>
      </c>
      <c r="M457" s="55">
        <v>0</v>
      </c>
      <c r="N457" s="55">
        <f t="shared" si="174"/>
        <v>0</v>
      </c>
      <c r="O457" s="55">
        <v>0</v>
      </c>
      <c r="P457" s="55">
        <v>0</v>
      </c>
      <c r="Q457" s="55">
        <v>0</v>
      </c>
      <c r="R457" s="55">
        <f t="shared" si="175"/>
        <v>0</v>
      </c>
      <c r="S457" s="55">
        <v>0</v>
      </c>
      <c r="T457" s="55">
        <v>0</v>
      </c>
      <c r="U457" s="55">
        <v>0</v>
      </c>
      <c r="V457" s="55">
        <v>0</v>
      </c>
      <c r="W457" s="53">
        <v>0</v>
      </c>
      <c r="X457" s="53">
        <v>0</v>
      </c>
      <c r="Y457" s="55">
        <v>0</v>
      </c>
      <c r="Z457" s="55">
        <v>0</v>
      </c>
      <c r="AA457" s="53">
        <v>0</v>
      </c>
      <c r="AB457" s="53">
        <v>0</v>
      </c>
      <c r="AC457" s="55">
        <v>0</v>
      </c>
      <c r="AD457" s="55">
        <f t="shared" si="178"/>
        <v>0</v>
      </c>
      <c r="AE457" s="53">
        <v>0</v>
      </c>
      <c r="AF457" s="55">
        <v>0</v>
      </c>
      <c r="AG457" s="55">
        <v>0</v>
      </c>
      <c r="AH457" s="55">
        <f t="shared" si="179"/>
        <v>1</v>
      </c>
      <c r="AI457" s="55">
        <v>0</v>
      </c>
      <c r="AJ457" s="55">
        <v>1</v>
      </c>
      <c r="AK457" s="55">
        <v>0</v>
      </c>
      <c r="AL457" s="55">
        <f t="shared" si="180"/>
        <v>0</v>
      </c>
      <c r="AM457" s="55" t="s">
        <v>1912</v>
      </c>
      <c r="AN457" s="55">
        <v>0</v>
      </c>
      <c r="AO457" s="55">
        <v>0</v>
      </c>
      <c r="AP457" s="55">
        <f t="shared" si="183"/>
        <v>1</v>
      </c>
      <c r="AQ457" s="55">
        <f>IFERROR(VLOOKUP(A457,[1]SIIMPLES!$A$2:$F$418,6,FALSE),0)</f>
        <v>0</v>
      </c>
      <c r="AR457" s="55">
        <v>1</v>
      </c>
      <c r="AS457" s="55">
        <v>0</v>
      </c>
      <c r="AT457" s="55">
        <v>0</v>
      </c>
      <c r="AU457" s="55">
        <v>0</v>
      </c>
      <c r="AV457" s="55">
        <v>0</v>
      </c>
      <c r="AW457" s="55"/>
      <c r="AX457" s="55"/>
      <c r="AY457" s="56">
        <f t="shared" si="181"/>
        <v>0.2</v>
      </c>
      <c r="AZ457" s="55"/>
      <c r="BA457" s="56">
        <v>0</v>
      </c>
      <c r="BB457" s="41" t="str">
        <f t="shared" si="171"/>
        <v/>
      </c>
      <c r="BC457" s="13"/>
      <c r="BD457" s="35"/>
      <c r="BE457" s="13"/>
      <c r="BF457" s="16">
        <f>SUM(BC457:BE457)</f>
        <v>0</v>
      </c>
      <c r="BG457" s="17">
        <f t="shared" si="184"/>
        <v>0</v>
      </c>
      <c r="BH457" s="16">
        <f t="shared" si="185"/>
        <v>0.2</v>
      </c>
    </row>
    <row r="458" spans="1:60" s="21" customFormat="1" ht="12.75" customHeight="1" x14ac:dyDescent="0.2">
      <c r="A458" s="51">
        <v>772141</v>
      </c>
      <c r="B458" s="51"/>
      <c r="C458" s="66" t="s">
        <v>1803</v>
      </c>
      <c r="D458" s="52" t="s">
        <v>728</v>
      </c>
      <c r="E458" s="65" t="s">
        <v>780</v>
      </c>
      <c r="F458" s="53">
        <f>IFERROR(VLOOKUP(E458,Fornecedores!$A$2:$B$2700,2,FALSE),"")</f>
        <v>2</v>
      </c>
      <c r="G458" s="52" t="s">
        <v>1359</v>
      </c>
      <c r="H458" s="57"/>
      <c r="I458" s="55">
        <f t="shared" si="173"/>
        <v>1</v>
      </c>
      <c r="J458" s="55">
        <v>1</v>
      </c>
      <c r="K458" s="55">
        <v>0</v>
      </c>
      <c r="L458" s="55">
        <v>0</v>
      </c>
      <c r="M458" s="55">
        <v>0</v>
      </c>
      <c r="N458" s="55">
        <f t="shared" si="174"/>
        <v>0</v>
      </c>
      <c r="O458" s="55">
        <v>0</v>
      </c>
      <c r="P458" s="55">
        <v>0</v>
      </c>
      <c r="Q458" s="55">
        <v>0</v>
      </c>
      <c r="R458" s="55">
        <f t="shared" si="175"/>
        <v>1</v>
      </c>
      <c r="S458" s="55">
        <v>1</v>
      </c>
      <c r="T458" s="55">
        <v>0</v>
      </c>
      <c r="U458" s="55">
        <v>0</v>
      </c>
      <c r="V458" s="55">
        <v>0</v>
      </c>
      <c r="W458" s="53">
        <v>0</v>
      </c>
      <c r="X458" s="53">
        <v>0</v>
      </c>
      <c r="Y458" s="55">
        <v>0</v>
      </c>
      <c r="Z458" s="55">
        <v>0</v>
      </c>
      <c r="AA458" s="53">
        <v>0</v>
      </c>
      <c r="AB458" s="53">
        <v>0</v>
      </c>
      <c r="AC458" s="55">
        <v>0</v>
      </c>
      <c r="AD458" s="55">
        <f t="shared" si="178"/>
        <v>0</v>
      </c>
      <c r="AE458" s="53">
        <v>0</v>
      </c>
      <c r="AF458" s="55">
        <v>0</v>
      </c>
      <c r="AG458" s="55">
        <v>0</v>
      </c>
      <c r="AH458" s="55">
        <f t="shared" si="179"/>
        <v>1</v>
      </c>
      <c r="AI458" s="55">
        <v>1</v>
      </c>
      <c r="AJ458" s="55">
        <v>0</v>
      </c>
      <c r="AK458" s="55">
        <v>0</v>
      </c>
      <c r="AL458" s="55">
        <f t="shared" si="180"/>
        <v>0</v>
      </c>
      <c r="AM458" s="55" t="s">
        <v>1912</v>
      </c>
      <c r="AN458" s="55">
        <v>0</v>
      </c>
      <c r="AO458" s="55">
        <v>0</v>
      </c>
      <c r="AP458" s="55">
        <f t="shared" si="183"/>
        <v>1</v>
      </c>
      <c r="AQ458" s="55">
        <f>IFERROR(VLOOKUP(A458,[1]SIIMPLES!$A$2:$F$418,6,FALSE),0)</f>
        <v>1</v>
      </c>
      <c r="AR458" s="55">
        <v>0</v>
      </c>
      <c r="AS458" s="55">
        <v>0</v>
      </c>
      <c r="AT458" s="55">
        <v>0</v>
      </c>
      <c r="AU458" s="55">
        <v>0</v>
      </c>
      <c r="AV458" s="55">
        <v>0</v>
      </c>
      <c r="AW458" s="55"/>
      <c r="AX458" s="55"/>
      <c r="AY458" s="56">
        <f t="shared" si="181"/>
        <v>0.4</v>
      </c>
      <c r="AZ458" s="55"/>
      <c r="BA458" s="56">
        <v>0.33333333333333331</v>
      </c>
      <c r="BB458" s="41">
        <f t="shared" si="171"/>
        <v>0.20000000000000018</v>
      </c>
      <c r="BC458" s="13"/>
      <c r="BD458" s="35"/>
      <c r="BE458" s="13"/>
      <c r="BF458" s="16"/>
      <c r="BG458" s="17">
        <f t="shared" si="184"/>
        <v>0</v>
      </c>
      <c r="BH458" s="16">
        <f t="shared" si="185"/>
        <v>0.4</v>
      </c>
    </row>
    <row r="459" spans="1:60" s="21" customFormat="1" ht="12.75" customHeight="1" x14ac:dyDescent="0.2">
      <c r="A459" s="51">
        <v>772144</v>
      </c>
      <c r="B459" s="51" t="s">
        <v>1077</v>
      </c>
      <c r="C459" s="66" t="s">
        <v>1803</v>
      </c>
      <c r="D459" s="52" t="s">
        <v>728</v>
      </c>
      <c r="E459" s="65" t="s">
        <v>780</v>
      </c>
      <c r="F459" s="53">
        <f>IFERROR(VLOOKUP(E459,Fornecedores!$A$2:$B$2700,2,FALSE),"")</f>
        <v>2</v>
      </c>
      <c r="G459" s="52" t="s">
        <v>561</v>
      </c>
      <c r="H459" s="57"/>
      <c r="I459" s="55">
        <f t="shared" si="173"/>
        <v>0</v>
      </c>
      <c r="J459" s="55">
        <v>0</v>
      </c>
      <c r="K459" s="55">
        <v>0</v>
      </c>
      <c r="L459" s="55">
        <v>0</v>
      </c>
      <c r="M459" s="55">
        <v>0</v>
      </c>
      <c r="N459" s="55">
        <f t="shared" si="174"/>
        <v>0</v>
      </c>
      <c r="O459" s="55">
        <v>0</v>
      </c>
      <c r="P459" s="55">
        <v>0</v>
      </c>
      <c r="Q459" s="55">
        <v>0</v>
      </c>
      <c r="R459" s="55">
        <f t="shared" si="175"/>
        <v>0</v>
      </c>
      <c r="S459" s="55">
        <v>0</v>
      </c>
      <c r="T459" s="55">
        <v>0</v>
      </c>
      <c r="U459" s="55">
        <v>0</v>
      </c>
      <c r="V459" s="55">
        <v>0</v>
      </c>
      <c r="W459" s="53">
        <v>0</v>
      </c>
      <c r="X459" s="53">
        <v>0</v>
      </c>
      <c r="Y459" s="55">
        <v>0</v>
      </c>
      <c r="Z459" s="55">
        <v>0</v>
      </c>
      <c r="AA459" s="53">
        <v>0</v>
      </c>
      <c r="AB459" s="53">
        <v>0</v>
      </c>
      <c r="AC459" s="55">
        <v>0</v>
      </c>
      <c r="AD459" s="55">
        <f t="shared" ref="AD459:AD461" si="186">SUM(AE459:AG459)</f>
        <v>2</v>
      </c>
      <c r="AE459" s="53">
        <v>2</v>
      </c>
      <c r="AF459" s="55">
        <v>0</v>
      </c>
      <c r="AG459" s="55">
        <v>0</v>
      </c>
      <c r="AH459" s="55">
        <f t="shared" ref="AH459:AH490" si="187">SUM(AI459:AK459)</f>
        <v>1</v>
      </c>
      <c r="AI459" s="55">
        <v>0</v>
      </c>
      <c r="AJ459" s="55">
        <v>0</v>
      </c>
      <c r="AK459" s="55">
        <v>1</v>
      </c>
      <c r="AL459" s="55">
        <f t="shared" ref="AL459:AL490" si="188">SUM(AM459:AO459)</f>
        <v>0</v>
      </c>
      <c r="AM459" s="55" t="s">
        <v>1912</v>
      </c>
      <c r="AN459" s="55">
        <v>0</v>
      </c>
      <c r="AO459" s="55">
        <v>0</v>
      </c>
      <c r="AP459" s="55">
        <f t="shared" si="183"/>
        <v>1</v>
      </c>
      <c r="AQ459" s="55">
        <f>IFERROR(VLOOKUP(A459,[1]SIIMPLES!$A$2:$F$418,6,FALSE),0)</f>
        <v>1</v>
      </c>
      <c r="AR459" s="55">
        <v>0</v>
      </c>
      <c r="AS459" s="55">
        <v>0</v>
      </c>
      <c r="AT459" s="55">
        <v>0</v>
      </c>
      <c r="AU459" s="55">
        <v>0</v>
      </c>
      <c r="AV459" s="55">
        <v>0</v>
      </c>
      <c r="AW459" s="55"/>
      <c r="AX459" s="55"/>
      <c r="AY459" s="56">
        <f t="shared" ref="AY459:AY490" si="189">IFERROR(AVERAGE(I459,N459,R459,V459,Z459,AD459,AH459,AL459,AP459,AS459,AW459,AX459),"-")</f>
        <v>0.4</v>
      </c>
      <c r="AZ459" s="55"/>
      <c r="BA459" s="56">
        <v>0.16666666666666666</v>
      </c>
      <c r="BB459" s="41">
        <f t="shared" si="171"/>
        <v>1.4000000000000004</v>
      </c>
      <c r="BC459" s="13"/>
      <c r="BD459" s="35"/>
      <c r="BE459" s="13"/>
      <c r="BF459" s="16">
        <f>SUM(BC459:BE459)</f>
        <v>0</v>
      </c>
      <c r="BG459" s="17">
        <f t="shared" si="184"/>
        <v>0</v>
      </c>
      <c r="BH459" s="16">
        <f t="shared" si="185"/>
        <v>0.4</v>
      </c>
    </row>
    <row r="460" spans="1:60" s="21" customFormat="1" ht="12.75" customHeight="1" x14ac:dyDescent="0.2">
      <c r="A460" s="51">
        <v>772147</v>
      </c>
      <c r="B460" s="51" t="s">
        <v>1077</v>
      </c>
      <c r="C460" s="66" t="s">
        <v>1803</v>
      </c>
      <c r="D460" s="52" t="s">
        <v>728</v>
      </c>
      <c r="E460" s="65" t="s">
        <v>780</v>
      </c>
      <c r="F460" s="53">
        <f>IFERROR(VLOOKUP(E460,Fornecedores!$A$2:$B$2700,2,FALSE),"")</f>
        <v>2</v>
      </c>
      <c r="G460" s="52" t="s">
        <v>127</v>
      </c>
      <c r="H460" s="57"/>
      <c r="I460" s="55">
        <f t="shared" si="173"/>
        <v>1</v>
      </c>
      <c r="J460" s="55">
        <v>1</v>
      </c>
      <c r="K460" s="55">
        <v>0</v>
      </c>
      <c r="L460" s="55">
        <v>0</v>
      </c>
      <c r="M460" s="55">
        <v>0</v>
      </c>
      <c r="N460" s="55">
        <f t="shared" si="174"/>
        <v>1</v>
      </c>
      <c r="O460" s="55">
        <v>1</v>
      </c>
      <c r="P460" s="55">
        <v>0</v>
      </c>
      <c r="Q460" s="55">
        <v>0</v>
      </c>
      <c r="R460" s="55">
        <f t="shared" si="175"/>
        <v>1</v>
      </c>
      <c r="S460" s="55">
        <v>1</v>
      </c>
      <c r="T460" s="55">
        <v>0</v>
      </c>
      <c r="U460" s="55">
        <v>0</v>
      </c>
      <c r="V460" s="55">
        <v>4</v>
      </c>
      <c r="W460" s="53">
        <v>1</v>
      </c>
      <c r="X460" s="53">
        <v>3</v>
      </c>
      <c r="Y460" s="55">
        <v>0</v>
      </c>
      <c r="Z460" s="55">
        <v>1</v>
      </c>
      <c r="AA460" s="53">
        <v>1</v>
      </c>
      <c r="AB460" s="53">
        <v>0</v>
      </c>
      <c r="AC460" s="55">
        <v>0</v>
      </c>
      <c r="AD460" s="55">
        <f t="shared" si="186"/>
        <v>1</v>
      </c>
      <c r="AE460" s="53">
        <v>1</v>
      </c>
      <c r="AF460" s="55">
        <v>0</v>
      </c>
      <c r="AG460" s="55">
        <v>0</v>
      </c>
      <c r="AH460" s="55">
        <f t="shared" si="187"/>
        <v>1</v>
      </c>
      <c r="AI460" s="55">
        <v>0</v>
      </c>
      <c r="AJ460" s="55">
        <v>1</v>
      </c>
      <c r="AK460" s="55">
        <v>0</v>
      </c>
      <c r="AL460" s="55">
        <f t="shared" si="188"/>
        <v>1</v>
      </c>
      <c r="AM460" s="55" t="s">
        <v>1912</v>
      </c>
      <c r="AN460" s="55">
        <v>1</v>
      </c>
      <c r="AO460" s="55">
        <v>0</v>
      </c>
      <c r="AP460" s="55">
        <f t="shared" si="183"/>
        <v>1</v>
      </c>
      <c r="AQ460" s="55">
        <f>IFERROR(VLOOKUP(A460,[1]SIIMPLES!$A$2:$F$418,6,FALSE),0)</f>
        <v>1</v>
      </c>
      <c r="AR460" s="55">
        <v>0</v>
      </c>
      <c r="AS460" s="55">
        <v>2</v>
      </c>
      <c r="AT460" s="55">
        <v>1</v>
      </c>
      <c r="AU460" s="55">
        <v>1</v>
      </c>
      <c r="AV460" s="55">
        <v>0</v>
      </c>
      <c r="AW460" s="55"/>
      <c r="AX460" s="55"/>
      <c r="AY460" s="56">
        <f t="shared" si="189"/>
        <v>1.4</v>
      </c>
      <c r="AZ460" s="55"/>
      <c r="BA460" s="56">
        <v>0.66666666666666663</v>
      </c>
      <c r="BB460" s="41">
        <f t="shared" si="171"/>
        <v>1.1000000000000001</v>
      </c>
      <c r="BC460" s="13"/>
      <c r="BD460" s="35"/>
      <c r="BE460" s="13"/>
      <c r="BF460" s="16">
        <f>SUM(BC460:BE460)</f>
        <v>0</v>
      </c>
      <c r="BG460" s="17">
        <f t="shared" si="184"/>
        <v>0</v>
      </c>
      <c r="BH460" s="16">
        <f t="shared" si="185"/>
        <v>1.4</v>
      </c>
    </row>
    <row r="461" spans="1:60" s="21" customFormat="1" ht="12.75" customHeight="1" x14ac:dyDescent="0.2">
      <c r="A461" s="51">
        <v>772153</v>
      </c>
      <c r="B461" s="51" t="s">
        <v>1077</v>
      </c>
      <c r="C461" s="66" t="s">
        <v>1803</v>
      </c>
      <c r="D461" s="52" t="s">
        <v>728</v>
      </c>
      <c r="E461" s="65" t="s">
        <v>780</v>
      </c>
      <c r="F461" s="53">
        <f>IFERROR(VLOOKUP(E461,Fornecedores!$A$2:$B$2700,2,FALSE),"")</f>
        <v>2</v>
      </c>
      <c r="G461" s="52" t="s">
        <v>72</v>
      </c>
      <c r="H461" s="57"/>
      <c r="I461" s="55">
        <f t="shared" si="173"/>
        <v>0</v>
      </c>
      <c r="J461" s="55">
        <v>0</v>
      </c>
      <c r="K461" s="55">
        <v>0</v>
      </c>
      <c r="L461" s="55">
        <v>0</v>
      </c>
      <c r="M461" s="55">
        <v>0</v>
      </c>
      <c r="N461" s="55">
        <f t="shared" si="174"/>
        <v>2</v>
      </c>
      <c r="O461" s="55">
        <v>1</v>
      </c>
      <c r="P461" s="55">
        <v>1</v>
      </c>
      <c r="Q461" s="55">
        <v>0</v>
      </c>
      <c r="R461" s="55">
        <f t="shared" si="175"/>
        <v>2</v>
      </c>
      <c r="S461" s="55">
        <v>1</v>
      </c>
      <c r="T461" s="55">
        <v>1</v>
      </c>
      <c r="U461" s="55">
        <v>0</v>
      </c>
      <c r="V461" s="55">
        <v>1</v>
      </c>
      <c r="W461" s="53">
        <v>0</v>
      </c>
      <c r="X461" s="53">
        <v>1</v>
      </c>
      <c r="Y461" s="55">
        <v>0</v>
      </c>
      <c r="Z461" s="55">
        <v>0</v>
      </c>
      <c r="AA461" s="53">
        <v>0</v>
      </c>
      <c r="AB461" s="53">
        <v>0</v>
      </c>
      <c r="AC461" s="55">
        <v>0</v>
      </c>
      <c r="AD461" s="55">
        <f t="shared" si="186"/>
        <v>1</v>
      </c>
      <c r="AE461" s="53">
        <v>1</v>
      </c>
      <c r="AF461" s="55">
        <v>0</v>
      </c>
      <c r="AG461" s="55">
        <v>0</v>
      </c>
      <c r="AH461" s="55">
        <f t="shared" si="187"/>
        <v>1</v>
      </c>
      <c r="AI461" s="55">
        <v>1</v>
      </c>
      <c r="AJ461" s="55">
        <v>0</v>
      </c>
      <c r="AK461" s="55">
        <v>0</v>
      </c>
      <c r="AL461" s="55">
        <f t="shared" si="188"/>
        <v>2</v>
      </c>
      <c r="AM461" s="55">
        <v>2</v>
      </c>
      <c r="AN461" s="55">
        <v>0</v>
      </c>
      <c r="AO461" s="55">
        <v>0</v>
      </c>
      <c r="AP461" s="55">
        <f t="shared" si="183"/>
        <v>1</v>
      </c>
      <c r="AQ461" s="55">
        <f>IFERROR(VLOOKUP(A461,[1]SIIMPLES!$A$2:$F$418,6,FALSE),0)</f>
        <v>1</v>
      </c>
      <c r="AR461" s="55">
        <v>0</v>
      </c>
      <c r="AS461" s="55">
        <v>2</v>
      </c>
      <c r="AT461" s="55">
        <v>1</v>
      </c>
      <c r="AU461" s="55">
        <v>1</v>
      </c>
      <c r="AV461" s="55">
        <v>0</v>
      </c>
      <c r="AW461" s="55"/>
      <c r="AX461" s="55"/>
      <c r="AY461" s="56">
        <f t="shared" si="189"/>
        <v>1.2</v>
      </c>
      <c r="AZ461" s="55"/>
      <c r="BA461" s="56">
        <v>1.5</v>
      </c>
      <c r="BB461" s="41">
        <f t="shared" si="171"/>
        <v>-0.20000000000000007</v>
      </c>
      <c r="BC461" s="13"/>
      <c r="BD461" s="35"/>
      <c r="BE461" s="13"/>
      <c r="BF461" s="16">
        <f>SUM(BC461:BE461)</f>
        <v>0</v>
      </c>
      <c r="BG461" s="17">
        <f t="shared" si="184"/>
        <v>0</v>
      </c>
      <c r="BH461" s="16">
        <f t="shared" si="185"/>
        <v>1.2</v>
      </c>
    </row>
    <row r="462" spans="1:60" s="21" customFormat="1" ht="12.75" customHeight="1" x14ac:dyDescent="0.2">
      <c r="A462" s="76">
        <v>772160</v>
      </c>
      <c r="B462" s="66"/>
      <c r="C462" s="66" t="s">
        <v>1803</v>
      </c>
      <c r="D462" s="65" t="s">
        <v>1917</v>
      </c>
      <c r="E462" s="65" t="s">
        <v>780</v>
      </c>
      <c r="F462" s="54" t="s">
        <v>1971</v>
      </c>
      <c r="G462" s="65" t="s">
        <v>1971</v>
      </c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3">
        <f t="shared" si="187"/>
        <v>1</v>
      </c>
      <c r="AI462" s="55">
        <v>1</v>
      </c>
      <c r="AJ462" s="55">
        <v>0</v>
      </c>
      <c r="AK462" s="55">
        <v>0</v>
      </c>
      <c r="AL462" s="55">
        <f t="shared" si="188"/>
        <v>1</v>
      </c>
      <c r="AM462" s="55">
        <v>1</v>
      </c>
      <c r="AN462" s="55">
        <v>0</v>
      </c>
      <c r="AO462" s="55">
        <v>0</v>
      </c>
      <c r="AP462" s="55">
        <f t="shared" si="183"/>
        <v>1</v>
      </c>
      <c r="AQ462" s="55">
        <f>IFERROR(VLOOKUP(A462,[1]SIIMPLES!$A$2:$F$418,6,FALSE),0)</f>
        <v>1</v>
      </c>
      <c r="AR462" s="55">
        <v>0</v>
      </c>
      <c r="AS462" s="55">
        <v>3</v>
      </c>
      <c r="AT462" s="55">
        <v>3</v>
      </c>
      <c r="AU462" s="55">
        <v>0</v>
      </c>
      <c r="AV462" s="55">
        <v>0</v>
      </c>
      <c r="AW462" s="72"/>
      <c r="AX462" s="72"/>
      <c r="AY462" s="74">
        <f t="shared" si="189"/>
        <v>1.5</v>
      </c>
      <c r="AZ462" s="72"/>
      <c r="BA462" s="72"/>
      <c r="BB462" s="41" t="str">
        <f t="shared" ref="BB462:BB500" si="190">IFERROR(AY462/BA462-1,"")</f>
        <v/>
      </c>
      <c r="BC462" s="13"/>
      <c r="BD462" s="35"/>
      <c r="BE462" s="13"/>
      <c r="BF462" s="16">
        <f>SUM(BC462:BE462)</f>
        <v>0</v>
      </c>
      <c r="BG462" s="17">
        <f t="shared" si="184"/>
        <v>0</v>
      </c>
      <c r="BH462" s="16">
        <f t="shared" si="185"/>
        <v>1.5</v>
      </c>
    </row>
    <row r="463" spans="1:60" s="21" customFormat="1" ht="12.75" customHeight="1" x14ac:dyDescent="0.2">
      <c r="A463" s="51">
        <v>993001</v>
      </c>
      <c r="B463" s="51" t="s">
        <v>1077</v>
      </c>
      <c r="C463" s="66" t="s">
        <v>1803</v>
      </c>
      <c r="D463" s="52" t="s">
        <v>728</v>
      </c>
      <c r="E463" s="65" t="s">
        <v>780</v>
      </c>
      <c r="F463" s="53">
        <f>IFERROR(VLOOKUP(E463,Fornecedores!$A$2:$B$2700,2,FALSE),"")</f>
        <v>2</v>
      </c>
      <c r="G463" s="52" t="s">
        <v>333</v>
      </c>
      <c r="H463" s="57"/>
      <c r="I463" s="55">
        <f t="shared" ref="I463:I505" si="191">SUM(J463:M463)</f>
        <v>0</v>
      </c>
      <c r="J463" s="55">
        <v>0</v>
      </c>
      <c r="K463" s="55">
        <v>0</v>
      </c>
      <c r="L463" s="55">
        <v>0</v>
      </c>
      <c r="M463" s="55">
        <v>0</v>
      </c>
      <c r="N463" s="55">
        <f t="shared" ref="N463:N505" si="192">SUM(O463:Q463)</f>
        <v>0</v>
      </c>
      <c r="O463" s="55">
        <v>0</v>
      </c>
      <c r="P463" s="55">
        <v>0</v>
      </c>
      <c r="Q463" s="55">
        <v>0</v>
      </c>
      <c r="R463" s="55">
        <f t="shared" ref="R463:R505" si="193">SUM(S463:U463)</f>
        <v>1</v>
      </c>
      <c r="S463" s="55">
        <v>1</v>
      </c>
      <c r="T463" s="55">
        <v>0</v>
      </c>
      <c r="U463" s="55">
        <v>0</v>
      </c>
      <c r="V463" s="55">
        <v>4</v>
      </c>
      <c r="W463" s="53">
        <v>4</v>
      </c>
      <c r="X463" s="53">
        <v>0</v>
      </c>
      <c r="Y463" s="55">
        <v>0</v>
      </c>
      <c r="Z463" s="55">
        <v>1</v>
      </c>
      <c r="AA463" s="53">
        <v>1</v>
      </c>
      <c r="AB463" s="53">
        <v>0</v>
      </c>
      <c r="AC463" s="55">
        <v>0</v>
      </c>
      <c r="AD463" s="55">
        <f t="shared" ref="AD463:AD507" si="194">SUM(AE463:AG463)</f>
        <v>2</v>
      </c>
      <c r="AE463" s="53">
        <v>2</v>
      </c>
      <c r="AF463" s="55">
        <v>0</v>
      </c>
      <c r="AG463" s="55">
        <v>0</v>
      </c>
      <c r="AH463" s="55">
        <f t="shared" si="187"/>
        <v>1</v>
      </c>
      <c r="AI463" s="55">
        <v>1</v>
      </c>
      <c r="AJ463" s="55">
        <v>0</v>
      </c>
      <c r="AK463" s="55">
        <v>0</v>
      </c>
      <c r="AL463" s="55">
        <f t="shared" si="188"/>
        <v>1</v>
      </c>
      <c r="AM463" s="55">
        <v>1</v>
      </c>
      <c r="AN463" s="55">
        <v>0</v>
      </c>
      <c r="AO463" s="55">
        <v>0</v>
      </c>
      <c r="AP463" s="55">
        <f t="shared" si="183"/>
        <v>1</v>
      </c>
      <c r="AQ463" s="55">
        <f>IFERROR(VLOOKUP(A463,[1]SIIMPLES!$A$2:$F$418,6,FALSE),0)</f>
        <v>1</v>
      </c>
      <c r="AR463" s="55">
        <v>0</v>
      </c>
      <c r="AS463" s="55">
        <v>1</v>
      </c>
      <c r="AT463" s="55">
        <v>1</v>
      </c>
      <c r="AU463" s="55">
        <v>0</v>
      </c>
      <c r="AV463" s="55">
        <v>0</v>
      </c>
      <c r="AW463" s="55"/>
      <c r="AX463" s="55"/>
      <c r="AY463" s="56">
        <f t="shared" si="189"/>
        <v>1.2</v>
      </c>
      <c r="AZ463" s="55"/>
      <c r="BA463" s="56">
        <v>1.3333333333333333</v>
      </c>
      <c r="BB463" s="41">
        <f t="shared" si="190"/>
        <v>-9.9999999999999978E-2</v>
      </c>
      <c r="BC463" s="13"/>
      <c r="BD463" s="35"/>
      <c r="BE463" s="7"/>
      <c r="BF463" s="16"/>
      <c r="BG463" s="17">
        <f t="shared" si="184"/>
        <v>0</v>
      </c>
      <c r="BH463" s="16"/>
    </row>
    <row r="464" spans="1:60" s="21" customFormat="1" ht="12.75" customHeight="1" x14ac:dyDescent="0.2">
      <c r="A464" s="51">
        <v>993016</v>
      </c>
      <c r="B464" s="51"/>
      <c r="C464" s="66" t="s">
        <v>1803</v>
      </c>
      <c r="D464" s="52" t="s">
        <v>728</v>
      </c>
      <c r="E464" s="65" t="s">
        <v>780</v>
      </c>
      <c r="F464" s="53">
        <f>IFERROR(VLOOKUP(E464,Fornecedores!$A$2:$B$2700,2,FALSE),"")</f>
        <v>2</v>
      </c>
      <c r="G464" s="52" t="s">
        <v>1812</v>
      </c>
      <c r="H464" s="57"/>
      <c r="I464" s="55">
        <f t="shared" si="191"/>
        <v>1</v>
      </c>
      <c r="J464" s="57" t="s">
        <v>1282</v>
      </c>
      <c r="K464" s="55">
        <v>1</v>
      </c>
      <c r="L464" s="55">
        <v>0</v>
      </c>
      <c r="M464" s="55">
        <v>0</v>
      </c>
      <c r="N464" s="55">
        <f t="shared" si="192"/>
        <v>0</v>
      </c>
      <c r="O464" s="55">
        <v>0</v>
      </c>
      <c r="P464" s="55">
        <v>0</v>
      </c>
      <c r="Q464" s="55">
        <v>0</v>
      </c>
      <c r="R464" s="55">
        <f t="shared" si="193"/>
        <v>0</v>
      </c>
      <c r="S464" s="55">
        <v>0</v>
      </c>
      <c r="T464" s="55">
        <v>0</v>
      </c>
      <c r="U464" s="55">
        <v>0</v>
      </c>
      <c r="V464" s="55">
        <v>1</v>
      </c>
      <c r="W464" s="53">
        <v>0</v>
      </c>
      <c r="X464" s="53">
        <v>1</v>
      </c>
      <c r="Y464" s="55">
        <v>0</v>
      </c>
      <c r="Z464" s="55">
        <v>0</v>
      </c>
      <c r="AA464" s="53">
        <v>0</v>
      </c>
      <c r="AB464" s="53">
        <v>0</v>
      </c>
      <c r="AC464" s="55">
        <v>0</v>
      </c>
      <c r="AD464" s="55">
        <f t="shared" si="194"/>
        <v>1</v>
      </c>
      <c r="AE464" s="53">
        <v>0</v>
      </c>
      <c r="AF464" s="55">
        <v>1</v>
      </c>
      <c r="AG464" s="55">
        <v>0</v>
      </c>
      <c r="AH464" s="55">
        <f t="shared" si="187"/>
        <v>1</v>
      </c>
      <c r="AI464" s="55">
        <v>0</v>
      </c>
      <c r="AJ464" s="55">
        <v>1</v>
      </c>
      <c r="AK464" s="55">
        <v>0</v>
      </c>
      <c r="AL464" s="55">
        <f t="shared" si="188"/>
        <v>1</v>
      </c>
      <c r="AM464" s="55" t="s">
        <v>1912</v>
      </c>
      <c r="AN464" s="55">
        <v>1</v>
      </c>
      <c r="AO464" s="55">
        <v>0</v>
      </c>
      <c r="AP464" s="55">
        <f t="shared" si="183"/>
        <v>1</v>
      </c>
      <c r="AQ464" s="55">
        <f>IFERROR(VLOOKUP(A464,[1]SIIMPLES!$A$2:$F$418,6,FALSE),0)</f>
        <v>0</v>
      </c>
      <c r="AR464" s="55">
        <v>1</v>
      </c>
      <c r="AS464" s="55">
        <v>1</v>
      </c>
      <c r="AT464" s="55">
        <v>0</v>
      </c>
      <c r="AU464" s="55">
        <v>1</v>
      </c>
      <c r="AV464" s="55">
        <v>0</v>
      </c>
      <c r="AW464" s="57"/>
      <c r="AX464" s="57"/>
      <c r="AY464" s="56">
        <f t="shared" si="189"/>
        <v>0.7</v>
      </c>
      <c r="AZ464" s="55"/>
      <c r="BA464" s="56" t="s">
        <v>1912</v>
      </c>
      <c r="BB464" s="41" t="str">
        <f t="shared" si="190"/>
        <v/>
      </c>
      <c r="BC464" s="7"/>
      <c r="BD464" s="35"/>
      <c r="BE464" s="13"/>
      <c r="BF464" s="16"/>
      <c r="BG464" s="17">
        <f t="shared" si="184"/>
        <v>0</v>
      </c>
      <c r="BH464" s="16">
        <f>IFERROR(IF(F464=1,IF(BC464&lt;AY464*3,AY464*3-BC464,0),IF(BC464&lt;AY464,AY464-BC464,0)),"")</f>
        <v>0.7</v>
      </c>
    </row>
    <row r="465" spans="1:60" s="21" customFormat="1" ht="12.75" customHeight="1" x14ac:dyDescent="0.2">
      <c r="A465" s="51">
        <v>993017</v>
      </c>
      <c r="B465" s="51"/>
      <c r="C465" s="66" t="s">
        <v>1803</v>
      </c>
      <c r="D465" s="52" t="s">
        <v>728</v>
      </c>
      <c r="E465" s="65" t="s">
        <v>780</v>
      </c>
      <c r="F465" s="53">
        <f>IFERROR(VLOOKUP(E465,Fornecedores!$A$2:$B$2700,2,FALSE),"")</f>
        <v>2</v>
      </c>
      <c r="G465" s="52" t="s">
        <v>1813</v>
      </c>
      <c r="H465" s="57"/>
      <c r="I465" s="55">
        <f t="shared" si="191"/>
        <v>1</v>
      </c>
      <c r="J465" s="57" t="s">
        <v>1282</v>
      </c>
      <c r="K465" s="55">
        <v>1</v>
      </c>
      <c r="L465" s="55">
        <v>0</v>
      </c>
      <c r="M465" s="55">
        <v>0</v>
      </c>
      <c r="N465" s="55">
        <f t="shared" si="192"/>
        <v>0</v>
      </c>
      <c r="O465" s="55">
        <v>0</v>
      </c>
      <c r="P465" s="55">
        <v>0</v>
      </c>
      <c r="Q465" s="55">
        <v>0</v>
      </c>
      <c r="R465" s="55">
        <f t="shared" si="193"/>
        <v>0</v>
      </c>
      <c r="S465" s="55">
        <v>0</v>
      </c>
      <c r="T465" s="55">
        <v>0</v>
      </c>
      <c r="U465" s="55">
        <v>0</v>
      </c>
      <c r="V465" s="55">
        <v>1</v>
      </c>
      <c r="W465" s="53">
        <v>0</v>
      </c>
      <c r="X465" s="53">
        <v>1</v>
      </c>
      <c r="Y465" s="55">
        <v>0</v>
      </c>
      <c r="Z465" s="55">
        <v>0</v>
      </c>
      <c r="AA465" s="53">
        <v>0</v>
      </c>
      <c r="AB465" s="53">
        <v>0</v>
      </c>
      <c r="AC465" s="55">
        <v>0</v>
      </c>
      <c r="AD465" s="55">
        <f t="shared" si="194"/>
        <v>1</v>
      </c>
      <c r="AE465" s="53">
        <v>0</v>
      </c>
      <c r="AF465" s="55">
        <v>1</v>
      </c>
      <c r="AG465" s="55">
        <v>0</v>
      </c>
      <c r="AH465" s="55">
        <f t="shared" si="187"/>
        <v>1</v>
      </c>
      <c r="AI465" s="55">
        <v>0</v>
      </c>
      <c r="AJ465" s="55">
        <v>1</v>
      </c>
      <c r="AK465" s="55">
        <v>0</v>
      </c>
      <c r="AL465" s="55">
        <f t="shared" si="188"/>
        <v>1</v>
      </c>
      <c r="AM465" s="55" t="s">
        <v>1912</v>
      </c>
      <c r="AN465" s="55">
        <v>1</v>
      </c>
      <c r="AO465" s="55">
        <v>0</v>
      </c>
      <c r="AP465" s="55">
        <f t="shared" si="183"/>
        <v>1</v>
      </c>
      <c r="AQ465" s="55">
        <f>IFERROR(VLOOKUP(A465,[1]SIIMPLES!$A$2:$F$418,6,FALSE),0)</f>
        <v>0</v>
      </c>
      <c r="AR465" s="55">
        <v>1</v>
      </c>
      <c r="AS465" s="55">
        <v>1</v>
      </c>
      <c r="AT465" s="55">
        <v>0</v>
      </c>
      <c r="AU465" s="55">
        <v>1</v>
      </c>
      <c r="AV465" s="55">
        <v>0</v>
      </c>
      <c r="AW465" s="57"/>
      <c r="AX465" s="57"/>
      <c r="AY465" s="56">
        <f t="shared" si="189"/>
        <v>0.7</v>
      </c>
      <c r="AZ465" s="55"/>
      <c r="BA465" s="56" t="s">
        <v>1912</v>
      </c>
      <c r="BB465" s="41" t="str">
        <f t="shared" si="190"/>
        <v/>
      </c>
      <c r="BC465" s="13"/>
      <c r="BD465" s="35"/>
      <c r="BE465" s="13"/>
      <c r="BF465" s="16"/>
      <c r="BG465" s="17">
        <f t="shared" si="184"/>
        <v>0</v>
      </c>
      <c r="BH465" s="16">
        <f>IFERROR(IF(F465=1,IF(BC465&lt;AY465*3,AY465*3-BC465,0),IF(BC465&lt;AY465,AY465-BC465,0)),"")</f>
        <v>0.7</v>
      </c>
    </row>
    <row r="466" spans="1:60" s="21" customFormat="1" ht="12.75" customHeight="1" x14ac:dyDescent="0.2">
      <c r="A466" s="51">
        <v>112016</v>
      </c>
      <c r="B466" s="51" t="s">
        <v>1077</v>
      </c>
      <c r="C466" s="66" t="s">
        <v>1803</v>
      </c>
      <c r="D466" s="52" t="s">
        <v>728</v>
      </c>
      <c r="E466" s="65" t="s">
        <v>780</v>
      </c>
      <c r="F466" s="53">
        <f>IFERROR(VLOOKUP(E466,Fornecedores!$A$2:$B$2700,2,FALSE),"")</f>
        <v>2</v>
      </c>
      <c r="G466" s="52" t="s">
        <v>1287</v>
      </c>
      <c r="H466" s="57"/>
      <c r="I466" s="55">
        <f t="shared" si="191"/>
        <v>0</v>
      </c>
      <c r="J466" s="55">
        <v>0</v>
      </c>
      <c r="K466" s="55">
        <v>0</v>
      </c>
      <c r="L466" s="55">
        <v>0</v>
      </c>
      <c r="M466" s="55">
        <v>0</v>
      </c>
      <c r="N466" s="55">
        <f t="shared" si="192"/>
        <v>0</v>
      </c>
      <c r="O466" s="55">
        <v>0</v>
      </c>
      <c r="P466" s="55">
        <v>0</v>
      </c>
      <c r="Q466" s="55">
        <v>0</v>
      </c>
      <c r="R466" s="55">
        <f t="shared" si="193"/>
        <v>0</v>
      </c>
      <c r="S466" s="55">
        <v>0</v>
      </c>
      <c r="T466" s="55">
        <v>0</v>
      </c>
      <c r="U466" s="55">
        <v>0</v>
      </c>
      <c r="V466" s="55">
        <v>1</v>
      </c>
      <c r="W466" s="53">
        <v>0</v>
      </c>
      <c r="X466" s="53">
        <v>1</v>
      </c>
      <c r="Y466" s="55">
        <v>0</v>
      </c>
      <c r="Z466" s="55">
        <v>0</v>
      </c>
      <c r="AA466" s="53">
        <v>0</v>
      </c>
      <c r="AB466" s="53">
        <v>0</v>
      </c>
      <c r="AC466" s="55">
        <v>0</v>
      </c>
      <c r="AD466" s="55">
        <f t="shared" si="194"/>
        <v>0</v>
      </c>
      <c r="AE466" s="53">
        <v>0</v>
      </c>
      <c r="AF466" s="55">
        <v>0</v>
      </c>
      <c r="AG466" s="55">
        <v>0</v>
      </c>
      <c r="AH466" s="55">
        <f t="shared" si="187"/>
        <v>0</v>
      </c>
      <c r="AI466" s="55">
        <v>0</v>
      </c>
      <c r="AJ466" s="55">
        <v>0</v>
      </c>
      <c r="AK466" s="55">
        <v>0</v>
      </c>
      <c r="AL466" s="55">
        <f t="shared" si="188"/>
        <v>0</v>
      </c>
      <c r="AM466" s="55" t="s">
        <v>1912</v>
      </c>
      <c r="AN466" s="55">
        <v>0</v>
      </c>
      <c r="AO466" s="55">
        <v>0</v>
      </c>
      <c r="AP466" s="55">
        <f t="shared" si="183"/>
        <v>1</v>
      </c>
      <c r="AQ466" s="55">
        <f>IFERROR(VLOOKUP(A466,[1]SIIMPLES!$A$2:$F$418,6,FALSE),0)</f>
        <v>1</v>
      </c>
      <c r="AR466" s="55">
        <v>0</v>
      </c>
      <c r="AS466" s="55">
        <v>1</v>
      </c>
      <c r="AT466" s="55">
        <v>1</v>
      </c>
      <c r="AU466" s="55">
        <v>0</v>
      </c>
      <c r="AV466" s="55">
        <v>0</v>
      </c>
      <c r="AW466" s="55"/>
      <c r="AX466" s="55"/>
      <c r="AY466" s="56">
        <f t="shared" si="189"/>
        <v>0.3</v>
      </c>
      <c r="AZ466" s="55"/>
      <c r="BA466" s="56">
        <v>0.16666666666666666</v>
      </c>
      <c r="BB466" s="41">
        <f t="shared" si="190"/>
        <v>0.8</v>
      </c>
      <c r="BC466" s="13"/>
      <c r="BD466" s="35"/>
      <c r="BE466" s="13"/>
      <c r="BF466" s="16">
        <f>SUM(BC466:BE466)</f>
        <v>0</v>
      </c>
      <c r="BG466" s="17">
        <f t="shared" si="184"/>
        <v>0</v>
      </c>
      <c r="BH466" s="16">
        <f>IFERROR(IF(F466=1,IF(BC466&lt;AY466*3,AY466*3-BC466,0),IF(BC466&lt;AY466,AY466-BC466,0)),"")</f>
        <v>0.3</v>
      </c>
    </row>
    <row r="467" spans="1:60" s="21" customFormat="1" ht="12.75" customHeight="1" x14ac:dyDescent="0.2">
      <c r="A467" s="51">
        <v>112124</v>
      </c>
      <c r="B467" s="51"/>
      <c r="C467" s="66" t="s">
        <v>1803</v>
      </c>
      <c r="D467" s="52" t="s">
        <v>728</v>
      </c>
      <c r="E467" s="65" t="s">
        <v>780</v>
      </c>
      <c r="F467" s="53">
        <f>IFERROR(VLOOKUP(E467,Fornecedores!$A$2:$B$2700,2,FALSE),"")</f>
        <v>2</v>
      </c>
      <c r="G467" s="52" t="s">
        <v>1291</v>
      </c>
      <c r="H467" s="57"/>
      <c r="I467" s="55">
        <f t="shared" si="191"/>
        <v>1</v>
      </c>
      <c r="J467" s="55">
        <v>1</v>
      </c>
      <c r="K467" s="55">
        <v>0</v>
      </c>
      <c r="L467" s="55">
        <v>0</v>
      </c>
      <c r="M467" s="55">
        <v>0</v>
      </c>
      <c r="N467" s="55">
        <f t="shared" si="192"/>
        <v>2</v>
      </c>
      <c r="O467" s="55">
        <v>1</v>
      </c>
      <c r="P467" s="55">
        <v>1</v>
      </c>
      <c r="Q467" s="55">
        <v>0</v>
      </c>
      <c r="R467" s="55">
        <f t="shared" si="193"/>
        <v>1</v>
      </c>
      <c r="S467" s="55">
        <v>0</v>
      </c>
      <c r="T467" s="55">
        <v>1</v>
      </c>
      <c r="U467" s="55">
        <v>0</v>
      </c>
      <c r="V467" s="55">
        <v>0</v>
      </c>
      <c r="W467" s="53">
        <v>0</v>
      </c>
      <c r="X467" s="53">
        <v>0</v>
      </c>
      <c r="Y467" s="55">
        <v>0</v>
      </c>
      <c r="Z467" s="55">
        <v>0</v>
      </c>
      <c r="AA467" s="53">
        <v>0</v>
      </c>
      <c r="AB467" s="53">
        <v>0</v>
      </c>
      <c r="AC467" s="55">
        <v>0</v>
      </c>
      <c r="AD467" s="55">
        <f t="shared" si="194"/>
        <v>0</v>
      </c>
      <c r="AE467" s="53">
        <v>0</v>
      </c>
      <c r="AF467" s="55">
        <v>0</v>
      </c>
      <c r="AG467" s="55">
        <v>0</v>
      </c>
      <c r="AH467" s="55">
        <f t="shared" si="187"/>
        <v>0</v>
      </c>
      <c r="AI467" s="55">
        <v>0</v>
      </c>
      <c r="AJ467" s="55">
        <v>0</v>
      </c>
      <c r="AK467" s="55">
        <v>0</v>
      </c>
      <c r="AL467" s="55">
        <f t="shared" si="188"/>
        <v>0</v>
      </c>
      <c r="AM467" s="55" t="s">
        <v>1912</v>
      </c>
      <c r="AN467" s="55">
        <v>0</v>
      </c>
      <c r="AO467" s="55">
        <v>0</v>
      </c>
      <c r="AP467" s="55">
        <f t="shared" si="183"/>
        <v>1</v>
      </c>
      <c r="AQ467" s="55">
        <f>IFERROR(VLOOKUP(A467,[1]SIIMPLES!$A$2:$F$418,6,FALSE),0)</f>
        <v>0</v>
      </c>
      <c r="AR467" s="55">
        <v>1</v>
      </c>
      <c r="AS467" s="55">
        <v>1</v>
      </c>
      <c r="AT467" s="55">
        <v>0</v>
      </c>
      <c r="AU467" s="55">
        <v>1</v>
      </c>
      <c r="AV467" s="55">
        <v>0</v>
      </c>
      <c r="AW467" s="55"/>
      <c r="AX467" s="55"/>
      <c r="AY467" s="56">
        <f t="shared" si="189"/>
        <v>0.6</v>
      </c>
      <c r="AZ467" s="55"/>
      <c r="BA467" s="56">
        <v>0</v>
      </c>
      <c r="BB467" s="41" t="str">
        <f t="shared" si="190"/>
        <v/>
      </c>
      <c r="BC467" s="13"/>
      <c r="BD467" s="35"/>
      <c r="BE467" s="13"/>
      <c r="BF467" s="16">
        <f>SUM(BC467:BE467)</f>
        <v>0</v>
      </c>
      <c r="BG467" s="17">
        <f t="shared" si="184"/>
        <v>0</v>
      </c>
      <c r="BH467" s="16">
        <f>IFERROR(IF(F467=1,IF(BC467&lt;AY467*3,AY467*3-BC467,0),IF(BC467&lt;AY467,AY467-BC467,0)),"")</f>
        <v>0.6</v>
      </c>
    </row>
    <row r="468" spans="1:60" s="21" customFormat="1" ht="12.75" customHeight="1" x14ac:dyDescent="0.2">
      <c r="A468" s="51">
        <v>222020</v>
      </c>
      <c r="B468" s="51" t="s">
        <v>1077</v>
      </c>
      <c r="C468" s="66" t="s">
        <v>1803</v>
      </c>
      <c r="D468" s="52" t="s">
        <v>728</v>
      </c>
      <c r="E468" s="65" t="s">
        <v>780</v>
      </c>
      <c r="F468" s="53">
        <f>IFERROR(VLOOKUP(E468,Fornecedores!$A$2:$B$2700,2,FALSE),"")</f>
        <v>2</v>
      </c>
      <c r="G468" s="52" t="s">
        <v>622</v>
      </c>
      <c r="H468" s="57"/>
      <c r="I468" s="55">
        <f t="shared" si="191"/>
        <v>1</v>
      </c>
      <c r="J468" s="55">
        <v>1</v>
      </c>
      <c r="K468" s="55">
        <v>0</v>
      </c>
      <c r="L468" s="55">
        <v>0</v>
      </c>
      <c r="M468" s="55">
        <v>0</v>
      </c>
      <c r="N468" s="55">
        <f t="shared" si="192"/>
        <v>0</v>
      </c>
      <c r="O468" s="55">
        <v>0</v>
      </c>
      <c r="P468" s="55">
        <v>0</v>
      </c>
      <c r="Q468" s="55">
        <v>0</v>
      </c>
      <c r="R468" s="55">
        <f t="shared" si="193"/>
        <v>1</v>
      </c>
      <c r="S468" s="55">
        <v>1</v>
      </c>
      <c r="T468" s="55">
        <v>0</v>
      </c>
      <c r="U468" s="55">
        <v>0</v>
      </c>
      <c r="V468" s="55">
        <v>0</v>
      </c>
      <c r="W468" s="53">
        <v>0</v>
      </c>
      <c r="X468" s="53">
        <v>0</v>
      </c>
      <c r="Y468" s="55">
        <v>0</v>
      </c>
      <c r="Z468" s="55">
        <v>0</v>
      </c>
      <c r="AA468" s="53">
        <v>0</v>
      </c>
      <c r="AB468" s="53">
        <v>0</v>
      </c>
      <c r="AC468" s="55">
        <v>0</v>
      </c>
      <c r="AD468" s="55">
        <f t="shared" si="194"/>
        <v>0</v>
      </c>
      <c r="AE468" s="53">
        <v>0</v>
      </c>
      <c r="AF468" s="55">
        <v>0</v>
      </c>
      <c r="AG468" s="55">
        <v>0</v>
      </c>
      <c r="AH468" s="55">
        <f t="shared" si="187"/>
        <v>0</v>
      </c>
      <c r="AI468" s="55">
        <v>0</v>
      </c>
      <c r="AJ468" s="55">
        <v>0</v>
      </c>
      <c r="AK468" s="55">
        <v>0</v>
      </c>
      <c r="AL468" s="55">
        <f t="shared" si="188"/>
        <v>0</v>
      </c>
      <c r="AM468" s="55" t="s">
        <v>1912</v>
      </c>
      <c r="AN468" s="55">
        <v>0</v>
      </c>
      <c r="AO468" s="55">
        <v>0</v>
      </c>
      <c r="AP468" s="55">
        <f t="shared" si="183"/>
        <v>1</v>
      </c>
      <c r="AQ468" s="55">
        <f>IFERROR(VLOOKUP(A468,[1]SIIMPLES!$A$2:$F$418,6,FALSE),0)</f>
        <v>1</v>
      </c>
      <c r="AR468" s="55">
        <v>0</v>
      </c>
      <c r="AS468" s="55">
        <v>6</v>
      </c>
      <c r="AT468" s="55">
        <v>0</v>
      </c>
      <c r="AU468" s="55">
        <v>0</v>
      </c>
      <c r="AV468" s="55">
        <v>6</v>
      </c>
      <c r="AW468" s="55"/>
      <c r="AX468" s="55"/>
      <c r="AY468" s="56">
        <f t="shared" si="189"/>
        <v>0.9</v>
      </c>
      <c r="AZ468" s="55"/>
      <c r="BA468" s="56">
        <v>2.8333333333333335</v>
      </c>
      <c r="BB468" s="41">
        <f t="shared" si="190"/>
        <v>-0.68235294117647061</v>
      </c>
      <c r="BC468" s="13"/>
      <c r="BD468" s="35"/>
      <c r="BE468" s="13"/>
      <c r="BF468" s="16">
        <f>SUM(BC468:BE468)</f>
        <v>0</v>
      </c>
      <c r="BG468" s="17">
        <f t="shared" si="184"/>
        <v>0</v>
      </c>
      <c r="BH468" s="16">
        <f>IFERROR(IF(F468=1,IF(BC468&lt;AY468*3,AY468*3-BC468,0),IF(BC468&lt;AY468,AY468-BC468,0)),"")</f>
        <v>0.9</v>
      </c>
    </row>
    <row r="469" spans="1:60" s="21" customFormat="1" ht="12.75" customHeight="1" x14ac:dyDescent="0.2">
      <c r="A469" s="51">
        <v>222062</v>
      </c>
      <c r="B469" s="51" t="s">
        <v>1077</v>
      </c>
      <c r="C469" s="66" t="s">
        <v>1803</v>
      </c>
      <c r="D469" s="52" t="s">
        <v>728</v>
      </c>
      <c r="E469" s="65" t="s">
        <v>780</v>
      </c>
      <c r="F469" s="53">
        <f>IFERROR(VLOOKUP(E469,Fornecedores!$A$2:$B$2700,2,FALSE),"")</f>
        <v>2</v>
      </c>
      <c r="G469" s="52" t="s">
        <v>54</v>
      </c>
      <c r="H469" s="57"/>
      <c r="I469" s="55">
        <f t="shared" si="191"/>
        <v>0</v>
      </c>
      <c r="J469" s="55">
        <v>0</v>
      </c>
      <c r="K469" s="55">
        <v>0</v>
      </c>
      <c r="L469" s="55">
        <v>0</v>
      </c>
      <c r="M469" s="55">
        <v>0</v>
      </c>
      <c r="N469" s="55">
        <f t="shared" si="192"/>
        <v>0</v>
      </c>
      <c r="O469" s="55">
        <v>0</v>
      </c>
      <c r="P469" s="55">
        <v>0</v>
      </c>
      <c r="Q469" s="55">
        <v>0</v>
      </c>
      <c r="R469" s="55">
        <f t="shared" si="193"/>
        <v>0</v>
      </c>
      <c r="S469" s="55">
        <v>0</v>
      </c>
      <c r="T469" s="55">
        <v>0</v>
      </c>
      <c r="U469" s="55">
        <v>0</v>
      </c>
      <c r="V469" s="55">
        <v>0</v>
      </c>
      <c r="W469" s="53">
        <v>0</v>
      </c>
      <c r="X469" s="53">
        <v>0</v>
      </c>
      <c r="Y469" s="55">
        <v>0</v>
      </c>
      <c r="Z469" s="55">
        <v>0</v>
      </c>
      <c r="AA469" s="53">
        <v>0</v>
      </c>
      <c r="AB469" s="53">
        <v>0</v>
      </c>
      <c r="AC469" s="55">
        <v>0</v>
      </c>
      <c r="AD469" s="55">
        <f t="shared" si="194"/>
        <v>0</v>
      </c>
      <c r="AE469" s="53">
        <v>0</v>
      </c>
      <c r="AF469" s="55">
        <v>0</v>
      </c>
      <c r="AG469" s="55">
        <v>0</v>
      </c>
      <c r="AH469" s="55">
        <f t="shared" si="187"/>
        <v>0</v>
      </c>
      <c r="AI469" s="55">
        <v>0</v>
      </c>
      <c r="AJ469" s="55">
        <v>0</v>
      </c>
      <c r="AK469" s="55">
        <v>0</v>
      </c>
      <c r="AL469" s="55">
        <f t="shared" si="188"/>
        <v>0</v>
      </c>
      <c r="AM469" s="55" t="s">
        <v>1912</v>
      </c>
      <c r="AN469" s="55">
        <v>0</v>
      </c>
      <c r="AO469" s="55">
        <v>0</v>
      </c>
      <c r="AP469" s="55">
        <f t="shared" si="183"/>
        <v>1</v>
      </c>
      <c r="AQ469" s="55">
        <f>IFERROR(VLOOKUP(A469,[1]SIIMPLES!$A$2:$F$418,6,FALSE),0)</f>
        <v>1</v>
      </c>
      <c r="AR469" s="55">
        <v>0</v>
      </c>
      <c r="AS469" s="55">
        <v>3</v>
      </c>
      <c r="AT469" s="55">
        <v>1</v>
      </c>
      <c r="AU469" s="55">
        <v>0</v>
      </c>
      <c r="AV469" s="55">
        <v>2</v>
      </c>
      <c r="AW469" s="55"/>
      <c r="AX469" s="55"/>
      <c r="AY469" s="56">
        <f t="shared" si="189"/>
        <v>0.4</v>
      </c>
      <c r="AZ469" s="55"/>
      <c r="BA469" s="56">
        <v>0.16666666666666666</v>
      </c>
      <c r="BB469" s="41">
        <f t="shared" si="190"/>
        <v>1.4000000000000004</v>
      </c>
      <c r="BC469" s="10"/>
      <c r="BD469" s="35"/>
      <c r="BE469" s="7"/>
      <c r="BF469" s="16"/>
      <c r="BG469" s="17">
        <f t="shared" si="184"/>
        <v>0</v>
      </c>
      <c r="BH469" s="16">
        <f>ROUND(IFERROR(IF(F469=1,IF(BC469&lt;AY469*3,AY469*3-BC469,0),IF(BC469&lt;AY469,AY469*0.6-BC469,0)),""),0)</f>
        <v>0</v>
      </c>
    </row>
    <row r="470" spans="1:60" s="21" customFormat="1" ht="12.75" customHeight="1" x14ac:dyDescent="0.2">
      <c r="A470" s="51">
        <v>222083</v>
      </c>
      <c r="B470" s="51" t="s">
        <v>1077</v>
      </c>
      <c r="C470" s="66" t="s">
        <v>1803</v>
      </c>
      <c r="D470" s="52" t="s">
        <v>728</v>
      </c>
      <c r="E470" s="65" t="s">
        <v>780</v>
      </c>
      <c r="F470" s="53">
        <f>IFERROR(VLOOKUP(E470,Fornecedores!$A$2:$B$2700,2,FALSE),"")</f>
        <v>2</v>
      </c>
      <c r="G470" s="52" t="s">
        <v>861</v>
      </c>
      <c r="H470" s="57"/>
      <c r="I470" s="55">
        <f t="shared" si="191"/>
        <v>5</v>
      </c>
      <c r="J470" s="55">
        <v>5</v>
      </c>
      <c r="K470" s="55">
        <v>0</v>
      </c>
      <c r="L470" s="55">
        <v>0</v>
      </c>
      <c r="M470" s="55">
        <v>0</v>
      </c>
      <c r="N470" s="55">
        <f t="shared" si="192"/>
        <v>0</v>
      </c>
      <c r="O470" s="55">
        <v>0</v>
      </c>
      <c r="P470" s="55">
        <v>0</v>
      </c>
      <c r="Q470" s="55">
        <v>0</v>
      </c>
      <c r="R470" s="55">
        <f t="shared" si="193"/>
        <v>3</v>
      </c>
      <c r="S470" s="55">
        <v>3</v>
      </c>
      <c r="T470" s="55">
        <v>0</v>
      </c>
      <c r="U470" s="55">
        <v>0</v>
      </c>
      <c r="V470" s="55">
        <v>2</v>
      </c>
      <c r="W470" s="53">
        <v>2</v>
      </c>
      <c r="X470" s="53">
        <v>0</v>
      </c>
      <c r="Y470" s="55">
        <v>0</v>
      </c>
      <c r="Z470" s="55">
        <v>0</v>
      </c>
      <c r="AA470" s="53">
        <v>0</v>
      </c>
      <c r="AB470" s="53">
        <v>0</v>
      </c>
      <c r="AC470" s="55">
        <v>0</v>
      </c>
      <c r="AD470" s="55">
        <f t="shared" si="194"/>
        <v>0</v>
      </c>
      <c r="AE470" s="53">
        <v>0</v>
      </c>
      <c r="AF470" s="55">
        <v>0</v>
      </c>
      <c r="AG470" s="55">
        <v>0</v>
      </c>
      <c r="AH470" s="55">
        <f t="shared" si="187"/>
        <v>0</v>
      </c>
      <c r="AI470" s="55">
        <v>0</v>
      </c>
      <c r="AJ470" s="55">
        <v>0</v>
      </c>
      <c r="AK470" s="55">
        <v>0</v>
      </c>
      <c r="AL470" s="55">
        <f t="shared" si="188"/>
        <v>2</v>
      </c>
      <c r="AM470" s="55">
        <v>2</v>
      </c>
      <c r="AN470" s="55">
        <v>0</v>
      </c>
      <c r="AO470" s="55">
        <v>0</v>
      </c>
      <c r="AP470" s="55">
        <f t="shared" si="183"/>
        <v>1</v>
      </c>
      <c r="AQ470" s="55">
        <f>IFERROR(VLOOKUP(A470,[1]SIIMPLES!$A$2:$F$418,6,FALSE),0)</f>
        <v>1</v>
      </c>
      <c r="AR470" s="55">
        <v>0</v>
      </c>
      <c r="AS470" s="55">
        <v>0</v>
      </c>
      <c r="AT470" s="55">
        <v>0</v>
      </c>
      <c r="AU470" s="55">
        <v>0</v>
      </c>
      <c r="AV470" s="55">
        <v>0</v>
      </c>
      <c r="AW470" s="55"/>
      <c r="AX470" s="55"/>
      <c r="AY470" s="56">
        <f t="shared" si="189"/>
        <v>1.3</v>
      </c>
      <c r="AZ470" s="55"/>
      <c r="BA470" s="56">
        <v>0.5</v>
      </c>
      <c r="BB470" s="41">
        <f t="shared" si="190"/>
        <v>1.6</v>
      </c>
      <c r="BC470" s="13"/>
      <c r="BD470" s="36"/>
      <c r="BE470" s="7"/>
      <c r="BF470" s="16"/>
      <c r="BG470" s="17">
        <f t="shared" si="184"/>
        <v>0</v>
      </c>
      <c r="BH470" s="16">
        <f t="shared" ref="BH470:BH478" si="195">IFERROR(IF(F470=1,IF(BC470&lt;AY470*3,AY470*3-BC470,0),IF(BC470&lt;AY470,AY470-BC470,0)),"")</f>
        <v>1.3</v>
      </c>
    </row>
    <row r="471" spans="1:60" s="21" customFormat="1" ht="12.75" customHeight="1" x14ac:dyDescent="0.2">
      <c r="A471" s="51">
        <v>332007</v>
      </c>
      <c r="B471" s="51" t="s">
        <v>1077</v>
      </c>
      <c r="C471" s="66" t="s">
        <v>1803</v>
      </c>
      <c r="D471" s="52" t="s">
        <v>728</v>
      </c>
      <c r="E471" s="65" t="s">
        <v>780</v>
      </c>
      <c r="F471" s="53">
        <f>IFERROR(VLOOKUP(E471,Fornecedores!$A$2:$B$2700,2,FALSE),"")</f>
        <v>2</v>
      </c>
      <c r="G471" s="52" t="s">
        <v>134</v>
      </c>
      <c r="H471" s="57"/>
      <c r="I471" s="55">
        <f t="shared" si="191"/>
        <v>0</v>
      </c>
      <c r="J471" s="55">
        <v>0</v>
      </c>
      <c r="K471" s="55">
        <v>0</v>
      </c>
      <c r="L471" s="55">
        <v>0</v>
      </c>
      <c r="M471" s="55">
        <v>0</v>
      </c>
      <c r="N471" s="55">
        <f t="shared" si="192"/>
        <v>0</v>
      </c>
      <c r="O471" s="55">
        <v>0</v>
      </c>
      <c r="P471" s="55">
        <v>0</v>
      </c>
      <c r="Q471" s="55">
        <v>0</v>
      </c>
      <c r="R471" s="55">
        <f t="shared" si="193"/>
        <v>0</v>
      </c>
      <c r="S471" s="55">
        <v>0</v>
      </c>
      <c r="T471" s="55">
        <v>0</v>
      </c>
      <c r="U471" s="55">
        <v>0</v>
      </c>
      <c r="V471" s="55">
        <v>1</v>
      </c>
      <c r="W471" s="53">
        <v>0</v>
      </c>
      <c r="X471" s="53">
        <v>0</v>
      </c>
      <c r="Y471" s="55">
        <v>1</v>
      </c>
      <c r="Z471" s="55">
        <v>0</v>
      </c>
      <c r="AA471" s="53">
        <v>0</v>
      </c>
      <c r="AB471" s="53">
        <v>0</v>
      </c>
      <c r="AC471" s="55">
        <v>0</v>
      </c>
      <c r="AD471" s="55">
        <f t="shared" si="194"/>
        <v>0</v>
      </c>
      <c r="AE471" s="53">
        <v>0</v>
      </c>
      <c r="AF471" s="55">
        <v>0</v>
      </c>
      <c r="AG471" s="55">
        <v>0</v>
      </c>
      <c r="AH471" s="55">
        <f t="shared" si="187"/>
        <v>0</v>
      </c>
      <c r="AI471" s="55">
        <v>0</v>
      </c>
      <c r="AJ471" s="55">
        <v>0</v>
      </c>
      <c r="AK471" s="55">
        <v>0</v>
      </c>
      <c r="AL471" s="55">
        <f t="shared" si="188"/>
        <v>2</v>
      </c>
      <c r="AM471" s="55" t="s">
        <v>1912</v>
      </c>
      <c r="AN471" s="55">
        <v>1</v>
      </c>
      <c r="AO471" s="55">
        <v>1</v>
      </c>
      <c r="AP471" s="55">
        <f t="shared" si="183"/>
        <v>1</v>
      </c>
      <c r="AQ471" s="55">
        <f>IFERROR(VLOOKUP(A471,[1]SIIMPLES!$A$2:$F$418,6,FALSE),0)</f>
        <v>0</v>
      </c>
      <c r="AR471" s="55">
        <v>1</v>
      </c>
      <c r="AS471" s="55">
        <v>2</v>
      </c>
      <c r="AT471" s="55">
        <v>1</v>
      </c>
      <c r="AU471" s="55">
        <v>1</v>
      </c>
      <c r="AV471" s="55">
        <v>0</v>
      </c>
      <c r="AW471" s="55"/>
      <c r="AX471" s="55"/>
      <c r="AY471" s="56">
        <f t="shared" si="189"/>
        <v>0.6</v>
      </c>
      <c r="AZ471" s="55"/>
      <c r="BA471" s="56">
        <v>0.66666666666666663</v>
      </c>
      <c r="BB471" s="41">
        <f t="shared" si="190"/>
        <v>-9.9999999999999978E-2</v>
      </c>
      <c r="BC471" s="13"/>
      <c r="BD471" s="35"/>
      <c r="BE471" s="13"/>
      <c r="BF471" s="16">
        <f>SUM(BC471:BE471)</f>
        <v>0</v>
      </c>
      <c r="BG471" s="17">
        <f t="shared" si="184"/>
        <v>0</v>
      </c>
      <c r="BH471" s="16">
        <f t="shared" si="195"/>
        <v>0.6</v>
      </c>
    </row>
    <row r="472" spans="1:60" s="21" customFormat="1" ht="12.75" customHeight="1" x14ac:dyDescent="0.2">
      <c r="A472" s="51">
        <v>332008</v>
      </c>
      <c r="B472" s="51" t="s">
        <v>1077</v>
      </c>
      <c r="C472" s="66" t="s">
        <v>1803</v>
      </c>
      <c r="D472" s="52" t="s">
        <v>728</v>
      </c>
      <c r="E472" s="65" t="s">
        <v>780</v>
      </c>
      <c r="F472" s="53">
        <f>IFERROR(VLOOKUP(E472,Fornecedores!$A$2:$B$2700,2,FALSE),"")</f>
        <v>2</v>
      </c>
      <c r="G472" s="52" t="s">
        <v>113</v>
      </c>
      <c r="H472" s="57"/>
      <c r="I472" s="55">
        <f t="shared" si="191"/>
        <v>0</v>
      </c>
      <c r="J472" s="55">
        <v>0</v>
      </c>
      <c r="K472" s="55">
        <v>0</v>
      </c>
      <c r="L472" s="55">
        <v>0</v>
      </c>
      <c r="M472" s="55">
        <v>0</v>
      </c>
      <c r="N472" s="55">
        <f t="shared" si="192"/>
        <v>0</v>
      </c>
      <c r="O472" s="55">
        <v>0</v>
      </c>
      <c r="P472" s="55">
        <v>0</v>
      </c>
      <c r="Q472" s="55">
        <v>0</v>
      </c>
      <c r="R472" s="55">
        <f t="shared" si="193"/>
        <v>0</v>
      </c>
      <c r="S472" s="55">
        <v>0</v>
      </c>
      <c r="T472" s="55">
        <v>0</v>
      </c>
      <c r="U472" s="55">
        <v>0</v>
      </c>
      <c r="V472" s="55">
        <v>1</v>
      </c>
      <c r="W472" s="53">
        <v>0</v>
      </c>
      <c r="X472" s="53">
        <v>0</v>
      </c>
      <c r="Y472" s="55">
        <v>1</v>
      </c>
      <c r="Z472" s="55">
        <v>0</v>
      </c>
      <c r="AA472" s="53">
        <v>0</v>
      </c>
      <c r="AB472" s="53">
        <v>0</v>
      </c>
      <c r="AC472" s="55">
        <v>0</v>
      </c>
      <c r="AD472" s="55">
        <f t="shared" si="194"/>
        <v>0</v>
      </c>
      <c r="AE472" s="53">
        <v>0</v>
      </c>
      <c r="AF472" s="55">
        <v>0</v>
      </c>
      <c r="AG472" s="55">
        <v>0</v>
      </c>
      <c r="AH472" s="55">
        <f t="shared" si="187"/>
        <v>0</v>
      </c>
      <c r="AI472" s="55">
        <v>0</v>
      </c>
      <c r="AJ472" s="55">
        <v>0</v>
      </c>
      <c r="AK472" s="55">
        <v>0</v>
      </c>
      <c r="AL472" s="55">
        <f t="shared" si="188"/>
        <v>2</v>
      </c>
      <c r="AM472" s="55" t="s">
        <v>1912</v>
      </c>
      <c r="AN472" s="55">
        <v>1</v>
      </c>
      <c r="AO472" s="55">
        <v>1</v>
      </c>
      <c r="AP472" s="55">
        <f t="shared" si="183"/>
        <v>1</v>
      </c>
      <c r="AQ472" s="55">
        <f>IFERROR(VLOOKUP(A472,[1]SIIMPLES!$A$2:$F$418,6,FALSE),0)</f>
        <v>0</v>
      </c>
      <c r="AR472" s="55">
        <v>1</v>
      </c>
      <c r="AS472" s="55">
        <v>1</v>
      </c>
      <c r="AT472" s="55">
        <v>0</v>
      </c>
      <c r="AU472" s="55">
        <v>1</v>
      </c>
      <c r="AV472" s="55">
        <v>0</v>
      </c>
      <c r="AW472" s="55"/>
      <c r="AX472" s="55"/>
      <c r="AY472" s="56">
        <f t="shared" si="189"/>
        <v>0.5</v>
      </c>
      <c r="AZ472" s="55"/>
      <c r="BA472" s="56">
        <v>0.16666666666666666</v>
      </c>
      <c r="BB472" s="41">
        <f t="shared" si="190"/>
        <v>2</v>
      </c>
      <c r="BC472" s="13"/>
      <c r="BD472" s="35"/>
      <c r="BE472" s="7"/>
      <c r="BF472" s="16"/>
      <c r="BG472" s="17">
        <f t="shared" si="184"/>
        <v>0</v>
      </c>
      <c r="BH472" s="16">
        <f t="shared" si="195"/>
        <v>0.5</v>
      </c>
    </row>
    <row r="473" spans="1:60" s="21" customFormat="1" ht="12.75" customHeight="1" x14ac:dyDescent="0.2">
      <c r="A473" s="51">
        <v>332081</v>
      </c>
      <c r="B473" s="51" t="s">
        <v>1077</v>
      </c>
      <c r="C473" s="66" t="s">
        <v>1803</v>
      </c>
      <c r="D473" s="52" t="s">
        <v>728</v>
      </c>
      <c r="E473" s="65" t="s">
        <v>780</v>
      </c>
      <c r="F473" s="53">
        <f>IFERROR(VLOOKUP(E473,Fornecedores!$A$2:$B$2700,2,FALSE),"")</f>
        <v>2</v>
      </c>
      <c r="G473" s="52" t="s">
        <v>646</v>
      </c>
      <c r="H473" s="57"/>
      <c r="I473" s="55">
        <f t="shared" si="191"/>
        <v>1</v>
      </c>
      <c r="J473" s="55">
        <v>1</v>
      </c>
      <c r="K473" s="55">
        <v>0</v>
      </c>
      <c r="L473" s="55">
        <v>0</v>
      </c>
      <c r="M473" s="55">
        <v>0</v>
      </c>
      <c r="N473" s="55">
        <f t="shared" si="192"/>
        <v>0</v>
      </c>
      <c r="O473" s="55">
        <v>0</v>
      </c>
      <c r="P473" s="55">
        <v>0</v>
      </c>
      <c r="Q473" s="55">
        <v>0</v>
      </c>
      <c r="R473" s="55">
        <f t="shared" si="193"/>
        <v>1</v>
      </c>
      <c r="S473" s="55">
        <v>1</v>
      </c>
      <c r="T473" s="55">
        <v>0</v>
      </c>
      <c r="U473" s="55">
        <v>0</v>
      </c>
      <c r="V473" s="55">
        <v>2</v>
      </c>
      <c r="W473" s="53">
        <v>2</v>
      </c>
      <c r="X473" s="53">
        <v>0</v>
      </c>
      <c r="Y473" s="55">
        <v>0</v>
      </c>
      <c r="Z473" s="55">
        <v>0</v>
      </c>
      <c r="AA473" s="53">
        <v>0</v>
      </c>
      <c r="AB473" s="53">
        <v>0</v>
      </c>
      <c r="AC473" s="55">
        <v>0</v>
      </c>
      <c r="AD473" s="55">
        <f t="shared" si="194"/>
        <v>0</v>
      </c>
      <c r="AE473" s="53">
        <v>0</v>
      </c>
      <c r="AF473" s="55">
        <v>0</v>
      </c>
      <c r="AG473" s="55">
        <v>0</v>
      </c>
      <c r="AH473" s="55">
        <f t="shared" si="187"/>
        <v>0</v>
      </c>
      <c r="AI473" s="55">
        <v>0</v>
      </c>
      <c r="AJ473" s="55">
        <v>0</v>
      </c>
      <c r="AK473" s="55">
        <v>0</v>
      </c>
      <c r="AL473" s="55">
        <f t="shared" si="188"/>
        <v>0</v>
      </c>
      <c r="AM473" s="55" t="s">
        <v>1912</v>
      </c>
      <c r="AN473" s="55">
        <v>0</v>
      </c>
      <c r="AO473" s="55">
        <v>0</v>
      </c>
      <c r="AP473" s="55">
        <f t="shared" si="183"/>
        <v>1</v>
      </c>
      <c r="AQ473" s="55">
        <f>IFERROR(VLOOKUP(A473,[1]SIIMPLES!$A$2:$F$418,6,FALSE),0)</f>
        <v>1</v>
      </c>
      <c r="AR473" s="55">
        <v>0</v>
      </c>
      <c r="AS473" s="55">
        <v>0</v>
      </c>
      <c r="AT473" s="55">
        <v>0</v>
      </c>
      <c r="AU473" s="55">
        <v>0</v>
      </c>
      <c r="AV473" s="55">
        <v>0</v>
      </c>
      <c r="AW473" s="55"/>
      <c r="AX473" s="55"/>
      <c r="AY473" s="56">
        <f t="shared" si="189"/>
        <v>0.5</v>
      </c>
      <c r="AZ473" s="55"/>
      <c r="BA473" s="56">
        <v>1.1666666666666667</v>
      </c>
      <c r="BB473" s="41">
        <f t="shared" si="190"/>
        <v>-0.5714285714285714</v>
      </c>
      <c r="BC473" s="13"/>
      <c r="BD473" s="37"/>
      <c r="BE473" s="13"/>
      <c r="BF473" s="16">
        <f>SUM(BC473:BE473)</f>
        <v>0</v>
      </c>
      <c r="BG473" s="17">
        <f t="shared" si="184"/>
        <v>0</v>
      </c>
      <c r="BH473" s="16">
        <f t="shared" si="195"/>
        <v>0.5</v>
      </c>
    </row>
    <row r="474" spans="1:60" s="21" customFormat="1" ht="12.75" customHeight="1" x14ac:dyDescent="0.2">
      <c r="A474" s="51">
        <v>332082</v>
      </c>
      <c r="B474" s="51" t="s">
        <v>1077</v>
      </c>
      <c r="C474" s="66" t="s">
        <v>1803</v>
      </c>
      <c r="D474" s="52" t="s">
        <v>728</v>
      </c>
      <c r="E474" s="65" t="s">
        <v>780</v>
      </c>
      <c r="F474" s="53">
        <f>IFERROR(VLOOKUP(E474,Fornecedores!$A$2:$B$2700,2,FALSE),"")</f>
        <v>2</v>
      </c>
      <c r="G474" s="52" t="s">
        <v>638</v>
      </c>
      <c r="H474" s="57"/>
      <c r="I474" s="55">
        <f t="shared" si="191"/>
        <v>2</v>
      </c>
      <c r="J474" s="55">
        <v>2</v>
      </c>
      <c r="K474" s="55">
        <v>0</v>
      </c>
      <c r="L474" s="55">
        <v>0</v>
      </c>
      <c r="M474" s="55">
        <v>0</v>
      </c>
      <c r="N474" s="55">
        <f t="shared" si="192"/>
        <v>11</v>
      </c>
      <c r="O474" s="55">
        <v>1</v>
      </c>
      <c r="P474" s="55">
        <v>0</v>
      </c>
      <c r="Q474" s="55">
        <v>10</v>
      </c>
      <c r="R474" s="55">
        <f t="shared" si="193"/>
        <v>2</v>
      </c>
      <c r="S474" s="55">
        <v>2</v>
      </c>
      <c r="T474" s="55">
        <v>0</v>
      </c>
      <c r="U474" s="55">
        <v>0</v>
      </c>
      <c r="V474" s="55">
        <v>1</v>
      </c>
      <c r="W474" s="53">
        <v>1</v>
      </c>
      <c r="X474" s="53">
        <v>0</v>
      </c>
      <c r="Y474" s="55">
        <v>0</v>
      </c>
      <c r="Z474" s="55">
        <v>1</v>
      </c>
      <c r="AA474" s="53">
        <v>1</v>
      </c>
      <c r="AB474" s="53">
        <v>0</v>
      </c>
      <c r="AC474" s="55">
        <v>0</v>
      </c>
      <c r="AD474" s="55">
        <f t="shared" si="194"/>
        <v>1</v>
      </c>
      <c r="AE474" s="53">
        <v>1</v>
      </c>
      <c r="AF474" s="55">
        <v>0</v>
      </c>
      <c r="AG474" s="55">
        <v>0</v>
      </c>
      <c r="AH474" s="55">
        <f t="shared" si="187"/>
        <v>0</v>
      </c>
      <c r="AI474" s="55">
        <v>0</v>
      </c>
      <c r="AJ474" s="55">
        <v>0</v>
      </c>
      <c r="AK474" s="55">
        <v>0</v>
      </c>
      <c r="AL474" s="55">
        <f t="shared" si="188"/>
        <v>2</v>
      </c>
      <c r="AM474" s="55">
        <v>2</v>
      </c>
      <c r="AN474" s="55">
        <v>0</v>
      </c>
      <c r="AO474" s="55">
        <v>0</v>
      </c>
      <c r="AP474" s="55">
        <f t="shared" si="183"/>
        <v>1</v>
      </c>
      <c r="AQ474" s="55">
        <f>IFERROR(VLOOKUP(A474,[1]SIIMPLES!$A$2:$F$418,6,FALSE),0)</f>
        <v>1</v>
      </c>
      <c r="AR474" s="55">
        <v>0</v>
      </c>
      <c r="AS474" s="55">
        <v>0</v>
      </c>
      <c r="AT474" s="55">
        <v>0</v>
      </c>
      <c r="AU474" s="55">
        <v>0</v>
      </c>
      <c r="AV474" s="55">
        <v>0</v>
      </c>
      <c r="AW474" s="55"/>
      <c r="AX474" s="55"/>
      <c r="AY474" s="56">
        <f t="shared" si="189"/>
        <v>2.1</v>
      </c>
      <c r="AZ474" s="55"/>
      <c r="BA474" s="56">
        <v>1</v>
      </c>
      <c r="BB474" s="41">
        <f t="shared" si="190"/>
        <v>1.1000000000000001</v>
      </c>
      <c r="BC474" s="13"/>
      <c r="BD474" s="37"/>
      <c r="BE474" s="13"/>
      <c r="BF474" s="16">
        <f>SUM(BC474:BE474)</f>
        <v>0</v>
      </c>
      <c r="BG474" s="17">
        <f t="shared" si="184"/>
        <v>0</v>
      </c>
      <c r="BH474" s="16">
        <f t="shared" si="195"/>
        <v>2.1</v>
      </c>
    </row>
    <row r="475" spans="1:60" s="21" customFormat="1" ht="12.75" customHeight="1" x14ac:dyDescent="0.2">
      <c r="A475" s="51">
        <v>332136</v>
      </c>
      <c r="B475" s="51" t="s">
        <v>1077</v>
      </c>
      <c r="C475" s="66" t="s">
        <v>1803</v>
      </c>
      <c r="D475" s="52" t="s">
        <v>728</v>
      </c>
      <c r="E475" s="65" t="s">
        <v>780</v>
      </c>
      <c r="F475" s="53">
        <f>IFERROR(VLOOKUP(E475,Fornecedores!$A$2:$B$2700,2,FALSE),"")</f>
        <v>2</v>
      </c>
      <c r="G475" s="52" t="s">
        <v>857</v>
      </c>
      <c r="H475" s="57"/>
      <c r="I475" s="55">
        <f t="shared" si="191"/>
        <v>0</v>
      </c>
      <c r="J475" s="55">
        <v>0</v>
      </c>
      <c r="K475" s="55">
        <v>0</v>
      </c>
      <c r="L475" s="55">
        <v>0</v>
      </c>
      <c r="M475" s="55">
        <v>0</v>
      </c>
      <c r="N475" s="55">
        <f t="shared" si="192"/>
        <v>0</v>
      </c>
      <c r="O475" s="55">
        <v>0</v>
      </c>
      <c r="P475" s="55">
        <v>0</v>
      </c>
      <c r="Q475" s="55">
        <v>0</v>
      </c>
      <c r="R475" s="55">
        <f t="shared" si="193"/>
        <v>0</v>
      </c>
      <c r="S475" s="55">
        <v>0</v>
      </c>
      <c r="T475" s="55">
        <v>0</v>
      </c>
      <c r="U475" s="55">
        <v>0</v>
      </c>
      <c r="V475" s="55">
        <v>0</v>
      </c>
      <c r="W475" s="53">
        <v>0</v>
      </c>
      <c r="X475" s="53">
        <v>0</v>
      </c>
      <c r="Y475" s="55">
        <v>0</v>
      </c>
      <c r="Z475" s="55">
        <v>0</v>
      </c>
      <c r="AA475" s="53">
        <v>0</v>
      </c>
      <c r="AB475" s="53">
        <v>0</v>
      </c>
      <c r="AC475" s="55">
        <v>0</v>
      </c>
      <c r="AD475" s="55">
        <f t="shared" si="194"/>
        <v>0</v>
      </c>
      <c r="AE475" s="53">
        <v>0</v>
      </c>
      <c r="AF475" s="55">
        <v>0</v>
      </c>
      <c r="AG475" s="55">
        <v>0</v>
      </c>
      <c r="AH475" s="55">
        <f t="shared" si="187"/>
        <v>0</v>
      </c>
      <c r="AI475" s="55">
        <v>0</v>
      </c>
      <c r="AJ475" s="55">
        <v>0</v>
      </c>
      <c r="AK475" s="55">
        <v>0</v>
      </c>
      <c r="AL475" s="55">
        <f t="shared" si="188"/>
        <v>0</v>
      </c>
      <c r="AM475" s="55" t="s">
        <v>1912</v>
      </c>
      <c r="AN475" s="55">
        <v>0</v>
      </c>
      <c r="AO475" s="55">
        <v>0</v>
      </c>
      <c r="AP475" s="55">
        <f t="shared" si="183"/>
        <v>1</v>
      </c>
      <c r="AQ475" s="55">
        <f>IFERROR(VLOOKUP(A475,[1]SIIMPLES!$A$2:$F$418,6,FALSE),0)</f>
        <v>1</v>
      </c>
      <c r="AR475" s="55">
        <v>0</v>
      </c>
      <c r="AS475" s="55">
        <v>1</v>
      </c>
      <c r="AT475" s="55">
        <v>0</v>
      </c>
      <c r="AU475" s="55">
        <v>1</v>
      </c>
      <c r="AV475" s="55">
        <v>0</v>
      </c>
      <c r="AW475" s="55"/>
      <c r="AX475" s="55"/>
      <c r="AY475" s="56">
        <f t="shared" si="189"/>
        <v>0.2</v>
      </c>
      <c r="AZ475" s="55"/>
      <c r="BA475" s="56">
        <v>0.66666666666666663</v>
      </c>
      <c r="BB475" s="41">
        <f t="shared" si="190"/>
        <v>-0.7</v>
      </c>
      <c r="BC475" s="13"/>
      <c r="BD475" s="35"/>
      <c r="BE475" s="7"/>
      <c r="BF475" s="16"/>
      <c r="BG475" s="17">
        <f t="shared" si="184"/>
        <v>0</v>
      </c>
      <c r="BH475" s="16">
        <f t="shared" si="195"/>
        <v>0.2</v>
      </c>
    </row>
    <row r="476" spans="1:60" s="21" customFormat="1" ht="12.75" customHeight="1" x14ac:dyDescent="0.2">
      <c r="A476" s="51">
        <v>332145</v>
      </c>
      <c r="B476" s="51" t="s">
        <v>1077</v>
      </c>
      <c r="C476" s="66" t="s">
        <v>1803</v>
      </c>
      <c r="D476" s="52" t="s">
        <v>728</v>
      </c>
      <c r="E476" s="65" t="s">
        <v>780</v>
      </c>
      <c r="F476" s="53">
        <f>IFERROR(VLOOKUP(E476,Fornecedores!$A$2:$B$2700,2,FALSE),"")</f>
        <v>2</v>
      </c>
      <c r="G476" s="52" t="s">
        <v>427</v>
      </c>
      <c r="H476" s="57"/>
      <c r="I476" s="55">
        <f t="shared" si="191"/>
        <v>0</v>
      </c>
      <c r="J476" s="55">
        <v>0</v>
      </c>
      <c r="K476" s="55">
        <v>0</v>
      </c>
      <c r="L476" s="55">
        <v>0</v>
      </c>
      <c r="M476" s="55">
        <v>0</v>
      </c>
      <c r="N476" s="55">
        <f t="shared" si="192"/>
        <v>0</v>
      </c>
      <c r="O476" s="55">
        <v>0</v>
      </c>
      <c r="P476" s="55">
        <v>0</v>
      </c>
      <c r="Q476" s="55">
        <v>0</v>
      </c>
      <c r="R476" s="55">
        <f t="shared" si="193"/>
        <v>0</v>
      </c>
      <c r="S476" s="55">
        <v>0</v>
      </c>
      <c r="T476" s="55">
        <v>0</v>
      </c>
      <c r="U476" s="55">
        <v>0</v>
      </c>
      <c r="V476" s="55">
        <v>1</v>
      </c>
      <c r="W476" s="53">
        <v>0</v>
      </c>
      <c r="X476" s="53">
        <v>1</v>
      </c>
      <c r="Y476" s="55">
        <v>0</v>
      </c>
      <c r="Z476" s="55">
        <v>0</v>
      </c>
      <c r="AA476" s="53">
        <v>0</v>
      </c>
      <c r="AB476" s="53">
        <v>0</v>
      </c>
      <c r="AC476" s="55">
        <v>0</v>
      </c>
      <c r="AD476" s="55">
        <f t="shared" si="194"/>
        <v>0</v>
      </c>
      <c r="AE476" s="53">
        <v>0</v>
      </c>
      <c r="AF476" s="55">
        <v>0</v>
      </c>
      <c r="AG476" s="55">
        <v>0</v>
      </c>
      <c r="AH476" s="55">
        <f t="shared" si="187"/>
        <v>0</v>
      </c>
      <c r="AI476" s="55">
        <v>0</v>
      </c>
      <c r="AJ476" s="55">
        <v>0</v>
      </c>
      <c r="AK476" s="55">
        <v>0</v>
      </c>
      <c r="AL476" s="55">
        <f t="shared" si="188"/>
        <v>0</v>
      </c>
      <c r="AM476" s="55" t="s">
        <v>1912</v>
      </c>
      <c r="AN476" s="55">
        <v>0</v>
      </c>
      <c r="AO476" s="55">
        <v>0</v>
      </c>
      <c r="AP476" s="55">
        <f t="shared" si="183"/>
        <v>1</v>
      </c>
      <c r="AQ476" s="55">
        <f>IFERROR(VLOOKUP(A476,[1]SIIMPLES!$A$2:$F$418,6,FALSE),0)</f>
        <v>1</v>
      </c>
      <c r="AR476" s="55">
        <v>0</v>
      </c>
      <c r="AS476" s="55">
        <v>0</v>
      </c>
      <c r="AT476" s="55">
        <v>0</v>
      </c>
      <c r="AU476" s="55">
        <v>0</v>
      </c>
      <c r="AV476" s="55">
        <v>0</v>
      </c>
      <c r="AW476" s="55"/>
      <c r="AX476" s="55"/>
      <c r="AY476" s="56">
        <f t="shared" si="189"/>
        <v>0.2</v>
      </c>
      <c r="AZ476" s="55"/>
      <c r="BA476" s="56">
        <v>0.66666666666666663</v>
      </c>
      <c r="BB476" s="41">
        <f t="shared" si="190"/>
        <v>-0.7</v>
      </c>
      <c r="BC476" s="13"/>
      <c r="BD476" s="35"/>
      <c r="BE476" s="13"/>
      <c r="BF476" s="16"/>
      <c r="BG476" s="17">
        <f t="shared" si="184"/>
        <v>0</v>
      </c>
      <c r="BH476" s="16">
        <f t="shared" si="195"/>
        <v>0.2</v>
      </c>
    </row>
    <row r="477" spans="1:60" s="21" customFormat="1" ht="12.75" customHeight="1" x14ac:dyDescent="0.2">
      <c r="A477" s="51">
        <v>442106</v>
      </c>
      <c r="B477" s="51" t="s">
        <v>1077</v>
      </c>
      <c r="C477" s="66" t="s">
        <v>1803</v>
      </c>
      <c r="D477" s="52" t="s">
        <v>728</v>
      </c>
      <c r="E477" s="65" t="s">
        <v>780</v>
      </c>
      <c r="F477" s="53">
        <f>IFERROR(VLOOKUP(E477,Fornecedores!$A$2:$B$2700,2,FALSE),"")</f>
        <v>2</v>
      </c>
      <c r="G477" s="52" t="s">
        <v>31</v>
      </c>
      <c r="H477" s="57"/>
      <c r="I477" s="55">
        <f t="shared" si="191"/>
        <v>1</v>
      </c>
      <c r="J477" s="55">
        <v>1</v>
      </c>
      <c r="K477" s="55">
        <v>0</v>
      </c>
      <c r="L477" s="55">
        <v>0</v>
      </c>
      <c r="M477" s="55">
        <v>0</v>
      </c>
      <c r="N477" s="55">
        <f t="shared" si="192"/>
        <v>0</v>
      </c>
      <c r="O477" s="55">
        <v>0</v>
      </c>
      <c r="P477" s="55">
        <v>0</v>
      </c>
      <c r="Q477" s="55">
        <v>0</v>
      </c>
      <c r="R477" s="55">
        <f t="shared" si="193"/>
        <v>0</v>
      </c>
      <c r="S477" s="55">
        <v>0</v>
      </c>
      <c r="T477" s="55">
        <v>0</v>
      </c>
      <c r="U477" s="55">
        <v>0</v>
      </c>
      <c r="V477" s="55">
        <v>0</v>
      </c>
      <c r="W477" s="53">
        <v>0</v>
      </c>
      <c r="X477" s="53">
        <v>0</v>
      </c>
      <c r="Y477" s="55">
        <v>0</v>
      </c>
      <c r="Z477" s="55">
        <v>0</v>
      </c>
      <c r="AA477" s="53">
        <v>0</v>
      </c>
      <c r="AB477" s="53">
        <v>0</v>
      </c>
      <c r="AC477" s="55">
        <v>0</v>
      </c>
      <c r="AD477" s="55">
        <f t="shared" si="194"/>
        <v>1</v>
      </c>
      <c r="AE477" s="53">
        <v>0</v>
      </c>
      <c r="AF477" s="55">
        <v>1</v>
      </c>
      <c r="AG477" s="55">
        <v>0</v>
      </c>
      <c r="AH477" s="55">
        <f t="shared" si="187"/>
        <v>0</v>
      </c>
      <c r="AI477" s="55">
        <v>0</v>
      </c>
      <c r="AJ477" s="55">
        <v>0</v>
      </c>
      <c r="AK477" s="55">
        <v>0</v>
      </c>
      <c r="AL477" s="55">
        <f t="shared" si="188"/>
        <v>0</v>
      </c>
      <c r="AM477" s="55" t="s">
        <v>1912</v>
      </c>
      <c r="AN477" s="55">
        <v>0</v>
      </c>
      <c r="AO477" s="55">
        <v>0</v>
      </c>
      <c r="AP477" s="55">
        <f t="shared" si="183"/>
        <v>1</v>
      </c>
      <c r="AQ477" s="55">
        <f>IFERROR(VLOOKUP(A477,[1]SIIMPLES!$A$2:$F$418,6,FALSE),0)</f>
        <v>1</v>
      </c>
      <c r="AR477" s="55">
        <v>0</v>
      </c>
      <c r="AS477" s="55">
        <v>0</v>
      </c>
      <c r="AT477" s="55">
        <v>0</v>
      </c>
      <c r="AU477" s="55">
        <v>0</v>
      </c>
      <c r="AV477" s="55">
        <v>0</v>
      </c>
      <c r="AW477" s="55"/>
      <c r="AX477" s="55"/>
      <c r="AY477" s="56">
        <f t="shared" si="189"/>
        <v>0.3</v>
      </c>
      <c r="AZ477" s="55"/>
      <c r="BA477" s="56">
        <v>0.5</v>
      </c>
      <c r="BB477" s="41">
        <f t="shared" si="190"/>
        <v>-0.4</v>
      </c>
      <c r="BC477" s="13"/>
      <c r="BD477" s="35"/>
      <c r="BE477" s="13"/>
      <c r="BF477" s="16"/>
      <c r="BG477" s="17">
        <f t="shared" si="184"/>
        <v>0</v>
      </c>
      <c r="BH477" s="16">
        <f t="shared" si="195"/>
        <v>0.3</v>
      </c>
    </row>
    <row r="478" spans="1:60" s="21" customFormat="1" ht="12.75" customHeight="1" x14ac:dyDescent="0.2">
      <c r="A478" s="51">
        <v>442107</v>
      </c>
      <c r="B478" s="51" t="s">
        <v>1077</v>
      </c>
      <c r="C478" s="66" t="s">
        <v>1803</v>
      </c>
      <c r="D478" s="52" t="s">
        <v>728</v>
      </c>
      <c r="E478" s="65" t="s">
        <v>780</v>
      </c>
      <c r="F478" s="53">
        <f>IFERROR(VLOOKUP(E478,Fornecedores!$A$2:$B$2700,2,FALSE),"")</f>
        <v>2</v>
      </c>
      <c r="G478" s="52" t="s">
        <v>945</v>
      </c>
      <c r="H478" s="57"/>
      <c r="I478" s="55">
        <f t="shared" si="191"/>
        <v>0</v>
      </c>
      <c r="J478" s="55">
        <v>0</v>
      </c>
      <c r="K478" s="55">
        <v>0</v>
      </c>
      <c r="L478" s="55">
        <v>0</v>
      </c>
      <c r="M478" s="55">
        <v>0</v>
      </c>
      <c r="N478" s="55">
        <f t="shared" si="192"/>
        <v>0</v>
      </c>
      <c r="O478" s="55">
        <v>0</v>
      </c>
      <c r="P478" s="55">
        <v>0</v>
      </c>
      <c r="Q478" s="55">
        <v>0</v>
      </c>
      <c r="R478" s="55">
        <f t="shared" si="193"/>
        <v>0</v>
      </c>
      <c r="S478" s="55">
        <v>0</v>
      </c>
      <c r="T478" s="55">
        <v>0</v>
      </c>
      <c r="U478" s="55">
        <v>0</v>
      </c>
      <c r="V478" s="55">
        <v>0</v>
      </c>
      <c r="W478" s="53">
        <v>0</v>
      </c>
      <c r="X478" s="53">
        <v>0</v>
      </c>
      <c r="Y478" s="55">
        <v>0</v>
      </c>
      <c r="Z478" s="55">
        <v>0</v>
      </c>
      <c r="AA478" s="53">
        <v>0</v>
      </c>
      <c r="AB478" s="53">
        <v>0</v>
      </c>
      <c r="AC478" s="55">
        <v>0</v>
      </c>
      <c r="AD478" s="55">
        <f t="shared" si="194"/>
        <v>1</v>
      </c>
      <c r="AE478" s="53">
        <v>0</v>
      </c>
      <c r="AF478" s="55">
        <v>1</v>
      </c>
      <c r="AG478" s="55">
        <v>0</v>
      </c>
      <c r="AH478" s="55">
        <f t="shared" si="187"/>
        <v>0</v>
      </c>
      <c r="AI478" s="55">
        <v>0</v>
      </c>
      <c r="AJ478" s="55">
        <v>0</v>
      </c>
      <c r="AK478" s="55">
        <v>0</v>
      </c>
      <c r="AL478" s="55">
        <f t="shared" si="188"/>
        <v>0</v>
      </c>
      <c r="AM478" s="55" t="s">
        <v>1912</v>
      </c>
      <c r="AN478" s="55">
        <v>0</v>
      </c>
      <c r="AO478" s="55">
        <v>0</v>
      </c>
      <c r="AP478" s="55">
        <f t="shared" si="183"/>
        <v>1</v>
      </c>
      <c r="AQ478" s="55">
        <f>IFERROR(VLOOKUP(A478,[1]SIIMPLES!$A$2:$F$418,6,FALSE),0)</f>
        <v>1</v>
      </c>
      <c r="AR478" s="55">
        <v>0</v>
      </c>
      <c r="AS478" s="55">
        <v>1</v>
      </c>
      <c r="AT478" s="55">
        <v>1</v>
      </c>
      <c r="AU478" s="55">
        <v>0</v>
      </c>
      <c r="AV478" s="55">
        <v>0</v>
      </c>
      <c r="AW478" s="55"/>
      <c r="AX478" s="55"/>
      <c r="AY478" s="56">
        <f t="shared" si="189"/>
        <v>0.3</v>
      </c>
      <c r="AZ478" s="55"/>
      <c r="BA478" s="56">
        <v>0</v>
      </c>
      <c r="BB478" s="41" t="str">
        <f t="shared" si="190"/>
        <v/>
      </c>
      <c r="BC478" s="13"/>
      <c r="BD478" s="35"/>
      <c r="BE478" s="7"/>
      <c r="BF478" s="16"/>
      <c r="BG478" s="17">
        <f t="shared" si="184"/>
        <v>0</v>
      </c>
      <c r="BH478" s="16">
        <f t="shared" si="195"/>
        <v>0.3</v>
      </c>
    </row>
    <row r="479" spans="1:60" s="21" customFormat="1" ht="12.75" customHeight="1" x14ac:dyDescent="0.2">
      <c r="A479" s="51">
        <v>662024</v>
      </c>
      <c r="B479" s="51" t="s">
        <v>1077</v>
      </c>
      <c r="C479" s="66" t="s">
        <v>1803</v>
      </c>
      <c r="D479" s="52" t="s">
        <v>728</v>
      </c>
      <c r="E479" s="65" t="s">
        <v>780</v>
      </c>
      <c r="F479" s="53">
        <f>IFERROR(VLOOKUP(E479,Fornecedores!$A$2:$B$2700,2,FALSE),"")</f>
        <v>2</v>
      </c>
      <c r="G479" s="52" t="s">
        <v>27</v>
      </c>
      <c r="H479" s="57"/>
      <c r="I479" s="55">
        <f t="shared" si="191"/>
        <v>0</v>
      </c>
      <c r="J479" s="55">
        <v>0</v>
      </c>
      <c r="K479" s="55">
        <v>0</v>
      </c>
      <c r="L479" s="55">
        <v>0</v>
      </c>
      <c r="M479" s="55">
        <v>0</v>
      </c>
      <c r="N479" s="55">
        <f t="shared" si="192"/>
        <v>0</v>
      </c>
      <c r="O479" s="55">
        <v>0</v>
      </c>
      <c r="P479" s="55">
        <v>0</v>
      </c>
      <c r="Q479" s="55">
        <v>0</v>
      </c>
      <c r="R479" s="55">
        <f t="shared" si="193"/>
        <v>0</v>
      </c>
      <c r="S479" s="55">
        <v>0</v>
      </c>
      <c r="T479" s="55">
        <v>0</v>
      </c>
      <c r="U479" s="55">
        <v>0</v>
      </c>
      <c r="V479" s="55">
        <v>0</v>
      </c>
      <c r="W479" s="53">
        <v>0</v>
      </c>
      <c r="X479" s="53">
        <v>0</v>
      </c>
      <c r="Y479" s="55">
        <v>0</v>
      </c>
      <c r="Z479" s="55">
        <v>1</v>
      </c>
      <c r="AA479" s="53">
        <v>0</v>
      </c>
      <c r="AB479" s="53">
        <v>1</v>
      </c>
      <c r="AC479" s="55">
        <v>0</v>
      </c>
      <c r="AD479" s="55">
        <f t="shared" si="194"/>
        <v>1</v>
      </c>
      <c r="AE479" s="53">
        <v>0</v>
      </c>
      <c r="AF479" s="55">
        <v>1</v>
      </c>
      <c r="AG479" s="55">
        <v>0</v>
      </c>
      <c r="AH479" s="55">
        <f t="shared" si="187"/>
        <v>0</v>
      </c>
      <c r="AI479" s="55">
        <v>0</v>
      </c>
      <c r="AJ479" s="55">
        <v>0</v>
      </c>
      <c r="AK479" s="55">
        <v>0</v>
      </c>
      <c r="AL479" s="55">
        <f t="shared" si="188"/>
        <v>0</v>
      </c>
      <c r="AM479" s="55" t="s">
        <v>1912</v>
      </c>
      <c r="AN479" s="55">
        <v>0</v>
      </c>
      <c r="AO479" s="55">
        <v>0</v>
      </c>
      <c r="AP479" s="55">
        <f t="shared" si="183"/>
        <v>1</v>
      </c>
      <c r="AQ479" s="55">
        <f>IFERROR(VLOOKUP(A479,[1]SIIMPLES!$A$2:$F$418,6,FALSE),0)</f>
        <v>0</v>
      </c>
      <c r="AR479" s="55">
        <v>1</v>
      </c>
      <c r="AS479" s="55">
        <v>2</v>
      </c>
      <c r="AT479" s="55">
        <v>2</v>
      </c>
      <c r="AU479" s="55">
        <v>0</v>
      </c>
      <c r="AV479" s="55">
        <v>0</v>
      </c>
      <c r="AW479" s="55"/>
      <c r="AX479" s="55"/>
      <c r="AY479" s="56">
        <f t="shared" si="189"/>
        <v>0.5</v>
      </c>
      <c r="AZ479" s="55"/>
      <c r="BA479" s="56">
        <v>0.66666666666666663</v>
      </c>
      <c r="BB479" s="41">
        <f t="shared" si="190"/>
        <v>-0.25</v>
      </c>
      <c r="BC479" s="13"/>
      <c r="BD479" s="35"/>
      <c r="BE479" s="13"/>
      <c r="BF479" s="16"/>
      <c r="BG479" s="17">
        <f t="shared" si="184"/>
        <v>0</v>
      </c>
      <c r="BH479" s="16">
        <f>ROUND(IFERROR(IF(F479=1,IF(BC479&lt;AY479*3,AY479*3-BC479,0),IF(BC479&lt;AY479,AY479*0.6-BC479,0)),""),0)</f>
        <v>0</v>
      </c>
    </row>
    <row r="480" spans="1:60" s="21" customFormat="1" ht="12.75" customHeight="1" x14ac:dyDescent="0.2">
      <c r="A480" s="51">
        <v>772022</v>
      </c>
      <c r="B480" s="51" t="s">
        <v>1077</v>
      </c>
      <c r="C480" s="66" t="s">
        <v>1803</v>
      </c>
      <c r="D480" s="52" t="s">
        <v>728</v>
      </c>
      <c r="E480" s="65" t="s">
        <v>780</v>
      </c>
      <c r="F480" s="53">
        <f>IFERROR(VLOOKUP(E480,Fornecedores!$A$2:$B$2700,2,FALSE),"")</f>
        <v>2</v>
      </c>
      <c r="G480" s="52" t="s">
        <v>1345</v>
      </c>
      <c r="H480" s="57"/>
      <c r="I480" s="55">
        <f t="shared" si="191"/>
        <v>2</v>
      </c>
      <c r="J480" s="55">
        <v>2</v>
      </c>
      <c r="K480" s="55">
        <v>0</v>
      </c>
      <c r="L480" s="55">
        <v>0</v>
      </c>
      <c r="M480" s="55">
        <v>0</v>
      </c>
      <c r="N480" s="55">
        <f t="shared" si="192"/>
        <v>0</v>
      </c>
      <c r="O480" s="55">
        <v>0</v>
      </c>
      <c r="P480" s="55">
        <v>0</v>
      </c>
      <c r="Q480" s="55">
        <v>0</v>
      </c>
      <c r="R480" s="55">
        <f t="shared" si="193"/>
        <v>2</v>
      </c>
      <c r="S480" s="55">
        <v>2</v>
      </c>
      <c r="T480" s="55">
        <v>0</v>
      </c>
      <c r="U480" s="55">
        <v>0</v>
      </c>
      <c r="V480" s="55">
        <v>3</v>
      </c>
      <c r="W480" s="53">
        <v>3</v>
      </c>
      <c r="X480" s="53">
        <v>0</v>
      </c>
      <c r="Y480" s="55">
        <v>0</v>
      </c>
      <c r="Z480" s="55">
        <v>0</v>
      </c>
      <c r="AA480" s="53">
        <v>0</v>
      </c>
      <c r="AB480" s="53">
        <v>0</v>
      </c>
      <c r="AC480" s="55">
        <v>0</v>
      </c>
      <c r="AD480" s="55">
        <f t="shared" si="194"/>
        <v>0</v>
      </c>
      <c r="AE480" s="53">
        <v>0</v>
      </c>
      <c r="AF480" s="55">
        <v>0</v>
      </c>
      <c r="AG480" s="55">
        <v>0</v>
      </c>
      <c r="AH480" s="55">
        <f t="shared" si="187"/>
        <v>0</v>
      </c>
      <c r="AI480" s="55">
        <v>0</v>
      </c>
      <c r="AJ480" s="55">
        <v>0</v>
      </c>
      <c r="AK480" s="55">
        <v>0</v>
      </c>
      <c r="AL480" s="55">
        <f t="shared" si="188"/>
        <v>1</v>
      </c>
      <c r="AM480" s="55" t="s">
        <v>1912</v>
      </c>
      <c r="AN480" s="55">
        <v>1</v>
      </c>
      <c r="AO480" s="55">
        <v>0</v>
      </c>
      <c r="AP480" s="55">
        <f t="shared" si="183"/>
        <v>1</v>
      </c>
      <c r="AQ480" s="55">
        <f>IFERROR(VLOOKUP(A480,[1]SIIMPLES!$A$2:$F$418,6,FALSE),0)</f>
        <v>1</v>
      </c>
      <c r="AR480" s="55">
        <v>0</v>
      </c>
      <c r="AS480" s="55">
        <v>1</v>
      </c>
      <c r="AT480" s="55">
        <v>1</v>
      </c>
      <c r="AU480" s="55">
        <v>0</v>
      </c>
      <c r="AV480" s="55">
        <v>0</v>
      </c>
      <c r="AW480" s="55"/>
      <c r="AX480" s="55"/>
      <c r="AY480" s="56">
        <f t="shared" si="189"/>
        <v>1</v>
      </c>
      <c r="AZ480" s="55"/>
      <c r="BA480" s="56">
        <v>0.66666666666666663</v>
      </c>
      <c r="BB480" s="41">
        <f t="shared" si="190"/>
        <v>0.5</v>
      </c>
      <c r="BC480" s="13"/>
      <c r="BD480" s="35"/>
      <c r="BE480" s="13"/>
      <c r="BF480" s="16">
        <f t="shared" ref="BF480:BF485" si="196">SUM(BC480:BE480)</f>
        <v>0</v>
      </c>
      <c r="BG480" s="17">
        <f t="shared" si="184"/>
        <v>0</v>
      </c>
      <c r="BH480" s="16">
        <f t="shared" ref="BH480:BH490" si="197">IFERROR(IF(F480=1,IF(BC480&lt;AY480*3,AY480*3-BC480,0),IF(BC480&lt;AY480,AY480-BC480,0)),"")</f>
        <v>1</v>
      </c>
    </row>
    <row r="481" spans="1:60" s="21" customFormat="1" ht="12.75" customHeight="1" x14ac:dyDescent="0.2">
      <c r="A481" s="51">
        <v>772029</v>
      </c>
      <c r="B481" s="51" t="s">
        <v>1077</v>
      </c>
      <c r="C481" s="66" t="s">
        <v>1803</v>
      </c>
      <c r="D481" s="52" t="s">
        <v>728</v>
      </c>
      <c r="E481" s="65" t="s">
        <v>780</v>
      </c>
      <c r="F481" s="53">
        <f>IFERROR(VLOOKUP(E481,Fornecedores!$A$2:$B$2700,2,FALSE),"")</f>
        <v>2</v>
      </c>
      <c r="G481" s="52" t="s">
        <v>559</v>
      </c>
      <c r="H481" s="57"/>
      <c r="I481" s="55">
        <f t="shared" si="191"/>
        <v>0</v>
      </c>
      <c r="J481" s="55">
        <v>0</v>
      </c>
      <c r="K481" s="55">
        <v>0</v>
      </c>
      <c r="L481" s="55">
        <v>0</v>
      </c>
      <c r="M481" s="55">
        <v>0</v>
      </c>
      <c r="N481" s="55">
        <f t="shared" si="192"/>
        <v>0</v>
      </c>
      <c r="O481" s="55">
        <v>0</v>
      </c>
      <c r="P481" s="55">
        <v>0</v>
      </c>
      <c r="Q481" s="55">
        <v>0</v>
      </c>
      <c r="R481" s="55">
        <f t="shared" si="193"/>
        <v>0</v>
      </c>
      <c r="S481" s="55">
        <v>0</v>
      </c>
      <c r="T481" s="55">
        <v>0</v>
      </c>
      <c r="U481" s="55">
        <v>0</v>
      </c>
      <c r="V481" s="55">
        <v>1</v>
      </c>
      <c r="W481" s="53">
        <v>0</v>
      </c>
      <c r="X481" s="53">
        <v>1</v>
      </c>
      <c r="Y481" s="55">
        <v>0</v>
      </c>
      <c r="Z481" s="55">
        <v>0</v>
      </c>
      <c r="AA481" s="53">
        <v>0</v>
      </c>
      <c r="AB481" s="53">
        <v>0</v>
      </c>
      <c r="AC481" s="55">
        <v>0</v>
      </c>
      <c r="AD481" s="55">
        <f t="shared" si="194"/>
        <v>0</v>
      </c>
      <c r="AE481" s="53">
        <v>0</v>
      </c>
      <c r="AF481" s="55">
        <v>0</v>
      </c>
      <c r="AG481" s="55">
        <v>0</v>
      </c>
      <c r="AH481" s="55">
        <f t="shared" si="187"/>
        <v>0</v>
      </c>
      <c r="AI481" s="55">
        <v>0</v>
      </c>
      <c r="AJ481" s="55">
        <v>0</v>
      </c>
      <c r="AK481" s="55">
        <v>0</v>
      </c>
      <c r="AL481" s="55">
        <f t="shared" si="188"/>
        <v>0</v>
      </c>
      <c r="AM481" s="55" t="s">
        <v>1912</v>
      </c>
      <c r="AN481" s="55">
        <v>0</v>
      </c>
      <c r="AO481" s="55">
        <v>0</v>
      </c>
      <c r="AP481" s="55">
        <f t="shared" si="183"/>
        <v>1</v>
      </c>
      <c r="AQ481" s="55">
        <f>IFERROR(VLOOKUP(A481,[1]SIIMPLES!$A$2:$F$418,6,FALSE),0)</f>
        <v>1</v>
      </c>
      <c r="AR481" s="55">
        <v>0</v>
      </c>
      <c r="AS481" s="55">
        <v>0</v>
      </c>
      <c r="AT481" s="55">
        <v>0</v>
      </c>
      <c r="AU481" s="55">
        <v>0</v>
      </c>
      <c r="AV481" s="55">
        <v>0</v>
      </c>
      <c r="AW481" s="55"/>
      <c r="AX481" s="55"/>
      <c r="AY481" s="56">
        <f t="shared" si="189"/>
        <v>0.2</v>
      </c>
      <c r="AZ481" s="55"/>
      <c r="BA481" s="56">
        <v>0</v>
      </c>
      <c r="BB481" s="41" t="str">
        <f t="shared" si="190"/>
        <v/>
      </c>
      <c r="BC481" s="13"/>
      <c r="BD481" s="35"/>
      <c r="BE481" s="13"/>
      <c r="BF481" s="16">
        <f t="shared" si="196"/>
        <v>0</v>
      </c>
      <c r="BG481" s="17">
        <f t="shared" si="184"/>
        <v>0</v>
      </c>
      <c r="BH481" s="16">
        <f t="shared" si="197"/>
        <v>0.2</v>
      </c>
    </row>
    <row r="482" spans="1:60" s="21" customFormat="1" ht="12.75" customHeight="1" x14ac:dyDescent="0.2">
      <c r="A482" s="51">
        <v>772052</v>
      </c>
      <c r="B482" s="51" t="s">
        <v>1077</v>
      </c>
      <c r="C482" s="66" t="s">
        <v>1803</v>
      </c>
      <c r="D482" s="52" t="s">
        <v>728</v>
      </c>
      <c r="E482" s="65" t="s">
        <v>780</v>
      </c>
      <c r="F482" s="53">
        <f>IFERROR(VLOOKUP(E482,Fornecedores!$A$2:$B$2700,2,FALSE),"")</f>
        <v>2</v>
      </c>
      <c r="G482" s="52" t="s">
        <v>655</v>
      </c>
      <c r="H482" s="57"/>
      <c r="I482" s="55">
        <f t="shared" si="191"/>
        <v>3</v>
      </c>
      <c r="J482" s="55">
        <v>1</v>
      </c>
      <c r="K482" s="55">
        <v>1</v>
      </c>
      <c r="L482" s="55">
        <v>0</v>
      </c>
      <c r="M482" s="55">
        <v>1</v>
      </c>
      <c r="N482" s="55">
        <f t="shared" si="192"/>
        <v>0</v>
      </c>
      <c r="O482" s="55">
        <v>0</v>
      </c>
      <c r="P482" s="55">
        <v>0</v>
      </c>
      <c r="Q482" s="55">
        <v>0</v>
      </c>
      <c r="R482" s="55">
        <f t="shared" si="193"/>
        <v>3</v>
      </c>
      <c r="S482" s="55">
        <v>3</v>
      </c>
      <c r="T482" s="55">
        <v>0</v>
      </c>
      <c r="U482" s="55">
        <v>0</v>
      </c>
      <c r="V482" s="55">
        <v>2</v>
      </c>
      <c r="W482" s="53">
        <v>0</v>
      </c>
      <c r="X482" s="53">
        <v>2</v>
      </c>
      <c r="Y482" s="55">
        <v>0</v>
      </c>
      <c r="Z482" s="55">
        <v>4</v>
      </c>
      <c r="AA482" s="53">
        <v>3</v>
      </c>
      <c r="AB482" s="53">
        <v>1</v>
      </c>
      <c r="AC482" s="55">
        <v>0</v>
      </c>
      <c r="AD482" s="55">
        <f t="shared" si="194"/>
        <v>0</v>
      </c>
      <c r="AE482" s="53">
        <v>0</v>
      </c>
      <c r="AF482" s="55">
        <v>0</v>
      </c>
      <c r="AG482" s="55">
        <v>0</v>
      </c>
      <c r="AH482" s="55">
        <f t="shared" si="187"/>
        <v>0</v>
      </c>
      <c r="AI482" s="55">
        <v>0</v>
      </c>
      <c r="AJ482" s="55">
        <v>0</v>
      </c>
      <c r="AK482" s="55">
        <v>0</v>
      </c>
      <c r="AL482" s="55">
        <f t="shared" si="188"/>
        <v>1</v>
      </c>
      <c r="AM482" s="55" t="s">
        <v>1912</v>
      </c>
      <c r="AN482" s="55">
        <v>1</v>
      </c>
      <c r="AO482" s="55">
        <v>0</v>
      </c>
      <c r="AP482" s="55">
        <f t="shared" si="183"/>
        <v>1</v>
      </c>
      <c r="AQ482" s="55">
        <f>IFERROR(VLOOKUP(A482,[1]SIIMPLES!$A$2:$F$418,6,FALSE),0)</f>
        <v>0</v>
      </c>
      <c r="AR482" s="55">
        <v>1</v>
      </c>
      <c r="AS482" s="55">
        <v>0</v>
      </c>
      <c r="AT482" s="55">
        <v>0</v>
      </c>
      <c r="AU482" s="55">
        <v>0</v>
      </c>
      <c r="AV482" s="55">
        <v>0</v>
      </c>
      <c r="AW482" s="55"/>
      <c r="AX482" s="55"/>
      <c r="AY482" s="56">
        <f t="shared" si="189"/>
        <v>1.4</v>
      </c>
      <c r="AZ482" s="55"/>
      <c r="BA482" s="56">
        <v>0.5</v>
      </c>
      <c r="BB482" s="41">
        <f t="shared" si="190"/>
        <v>1.7999999999999998</v>
      </c>
      <c r="BC482" s="13"/>
      <c r="BD482" s="35"/>
      <c r="BE482" s="13"/>
      <c r="BF482" s="16">
        <f t="shared" si="196"/>
        <v>0</v>
      </c>
      <c r="BG482" s="17">
        <f t="shared" si="184"/>
        <v>0</v>
      </c>
      <c r="BH482" s="16">
        <f t="shared" si="197"/>
        <v>1.4</v>
      </c>
    </row>
    <row r="483" spans="1:60" s="21" customFormat="1" ht="12.75" customHeight="1" x14ac:dyDescent="0.2">
      <c r="A483" s="51">
        <v>772134</v>
      </c>
      <c r="B483" s="51" t="s">
        <v>1077</v>
      </c>
      <c r="C483" s="66" t="s">
        <v>1803</v>
      </c>
      <c r="D483" s="52" t="s">
        <v>728</v>
      </c>
      <c r="E483" s="65" t="s">
        <v>780</v>
      </c>
      <c r="F483" s="53">
        <f>IFERROR(VLOOKUP(E483,Fornecedores!$A$2:$B$2700,2,FALSE),"")</f>
        <v>2</v>
      </c>
      <c r="G483" s="52" t="s">
        <v>471</v>
      </c>
      <c r="H483" s="57"/>
      <c r="I483" s="55">
        <f t="shared" si="191"/>
        <v>0</v>
      </c>
      <c r="J483" s="55">
        <v>0</v>
      </c>
      <c r="K483" s="55">
        <v>0</v>
      </c>
      <c r="L483" s="55">
        <v>0</v>
      </c>
      <c r="M483" s="55">
        <v>0</v>
      </c>
      <c r="N483" s="55">
        <f t="shared" si="192"/>
        <v>0</v>
      </c>
      <c r="O483" s="55">
        <v>0</v>
      </c>
      <c r="P483" s="55">
        <v>0</v>
      </c>
      <c r="Q483" s="55">
        <v>0</v>
      </c>
      <c r="R483" s="55">
        <f t="shared" si="193"/>
        <v>0</v>
      </c>
      <c r="S483" s="55">
        <v>0</v>
      </c>
      <c r="T483" s="55">
        <v>0</v>
      </c>
      <c r="U483" s="55">
        <v>0</v>
      </c>
      <c r="V483" s="55">
        <v>0</v>
      </c>
      <c r="W483" s="53">
        <v>0</v>
      </c>
      <c r="X483" s="53">
        <v>0</v>
      </c>
      <c r="Y483" s="55">
        <v>0</v>
      </c>
      <c r="Z483" s="55">
        <v>0</v>
      </c>
      <c r="AA483" s="53">
        <v>0</v>
      </c>
      <c r="AB483" s="53">
        <v>0</v>
      </c>
      <c r="AC483" s="55">
        <v>0</v>
      </c>
      <c r="AD483" s="55">
        <f t="shared" si="194"/>
        <v>0</v>
      </c>
      <c r="AE483" s="53">
        <v>0</v>
      </c>
      <c r="AF483" s="55">
        <v>0</v>
      </c>
      <c r="AG483" s="55">
        <v>0</v>
      </c>
      <c r="AH483" s="55">
        <f t="shared" si="187"/>
        <v>0</v>
      </c>
      <c r="AI483" s="55">
        <v>0</v>
      </c>
      <c r="AJ483" s="55">
        <v>0</v>
      </c>
      <c r="AK483" s="55">
        <v>0</v>
      </c>
      <c r="AL483" s="55">
        <f t="shared" si="188"/>
        <v>0</v>
      </c>
      <c r="AM483" s="55" t="s">
        <v>1912</v>
      </c>
      <c r="AN483" s="55">
        <v>0</v>
      </c>
      <c r="AO483" s="55">
        <v>0</v>
      </c>
      <c r="AP483" s="55">
        <f t="shared" si="183"/>
        <v>1</v>
      </c>
      <c r="AQ483" s="55">
        <f>IFERROR(VLOOKUP(A483,[1]SIIMPLES!$A$2:$F$418,6,FALSE),0)</f>
        <v>0</v>
      </c>
      <c r="AR483" s="55">
        <v>1</v>
      </c>
      <c r="AS483" s="55">
        <v>0</v>
      </c>
      <c r="AT483" s="55">
        <v>0</v>
      </c>
      <c r="AU483" s="55">
        <v>0</v>
      </c>
      <c r="AV483" s="55">
        <v>0</v>
      </c>
      <c r="AW483" s="55"/>
      <c r="AX483" s="55"/>
      <c r="AY483" s="56">
        <f t="shared" si="189"/>
        <v>0.1</v>
      </c>
      <c r="AZ483" s="55"/>
      <c r="BA483" s="56">
        <v>0</v>
      </c>
      <c r="BB483" s="41" t="str">
        <f t="shared" si="190"/>
        <v/>
      </c>
      <c r="BC483" s="13"/>
      <c r="BD483" s="35"/>
      <c r="BE483" s="13"/>
      <c r="BF483" s="16">
        <f t="shared" si="196"/>
        <v>0</v>
      </c>
      <c r="BG483" s="17">
        <f t="shared" si="184"/>
        <v>0</v>
      </c>
      <c r="BH483" s="16">
        <f t="shared" si="197"/>
        <v>0.1</v>
      </c>
    </row>
    <row r="484" spans="1:60" s="21" customFormat="1" ht="12.75" customHeight="1" x14ac:dyDescent="0.2">
      <c r="A484" s="51">
        <v>772135</v>
      </c>
      <c r="B484" s="51" t="s">
        <v>1077</v>
      </c>
      <c r="C484" s="66" t="s">
        <v>1803</v>
      </c>
      <c r="D484" s="52" t="s">
        <v>728</v>
      </c>
      <c r="E484" s="65" t="s">
        <v>780</v>
      </c>
      <c r="F484" s="53">
        <f>IFERROR(VLOOKUP(E484,Fornecedores!$A$2:$B$2700,2,FALSE),"")</f>
        <v>2</v>
      </c>
      <c r="G484" s="52" t="s">
        <v>487</v>
      </c>
      <c r="H484" s="57"/>
      <c r="I484" s="55">
        <f t="shared" si="191"/>
        <v>0</v>
      </c>
      <c r="J484" s="55">
        <v>0</v>
      </c>
      <c r="K484" s="55">
        <v>0</v>
      </c>
      <c r="L484" s="55">
        <v>0</v>
      </c>
      <c r="M484" s="55">
        <v>0</v>
      </c>
      <c r="N484" s="55">
        <f t="shared" si="192"/>
        <v>0</v>
      </c>
      <c r="O484" s="55">
        <v>0</v>
      </c>
      <c r="P484" s="55">
        <v>0</v>
      </c>
      <c r="Q484" s="55">
        <v>0</v>
      </c>
      <c r="R484" s="55">
        <f t="shared" si="193"/>
        <v>0</v>
      </c>
      <c r="S484" s="55">
        <v>0</v>
      </c>
      <c r="T484" s="55">
        <v>0</v>
      </c>
      <c r="U484" s="55">
        <v>0</v>
      </c>
      <c r="V484" s="55">
        <v>0</v>
      </c>
      <c r="W484" s="53">
        <v>0</v>
      </c>
      <c r="X484" s="53">
        <v>0</v>
      </c>
      <c r="Y484" s="55">
        <v>0</v>
      </c>
      <c r="Z484" s="55">
        <v>0</v>
      </c>
      <c r="AA484" s="53">
        <v>0</v>
      </c>
      <c r="AB484" s="53">
        <v>0</v>
      </c>
      <c r="AC484" s="55">
        <v>0</v>
      </c>
      <c r="AD484" s="55">
        <f t="shared" si="194"/>
        <v>0</v>
      </c>
      <c r="AE484" s="53">
        <v>0</v>
      </c>
      <c r="AF484" s="55">
        <v>0</v>
      </c>
      <c r="AG484" s="55">
        <v>0</v>
      </c>
      <c r="AH484" s="55">
        <f t="shared" si="187"/>
        <v>0</v>
      </c>
      <c r="AI484" s="55">
        <v>0</v>
      </c>
      <c r="AJ484" s="55">
        <v>0</v>
      </c>
      <c r="AK484" s="55">
        <v>0</v>
      </c>
      <c r="AL484" s="55">
        <f t="shared" si="188"/>
        <v>0</v>
      </c>
      <c r="AM484" s="55" t="s">
        <v>1912</v>
      </c>
      <c r="AN484" s="55">
        <v>0</v>
      </c>
      <c r="AO484" s="55">
        <v>0</v>
      </c>
      <c r="AP484" s="55">
        <f t="shared" si="183"/>
        <v>1</v>
      </c>
      <c r="AQ484" s="55">
        <f>IFERROR(VLOOKUP(A484,[1]SIIMPLES!$A$2:$F$418,6,FALSE),0)</f>
        <v>0</v>
      </c>
      <c r="AR484" s="55">
        <v>1</v>
      </c>
      <c r="AS484" s="55">
        <v>1</v>
      </c>
      <c r="AT484" s="55">
        <v>1</v>
      </c>
      <c r="AU484" s="55">
        <v>0</v>
      </c>
      <c r="AV484" s="55">
        <v>0</v>
      </c>
      <c r="AW484" s="55"/>
      <c r="AX484" s="55"/>
      <c r="AY484" s="56">
        <f t="shared" si="189"/>
        <v>0.2</v>
      </c>
      <c r="AZ484" s="55"/>
      <c r="BA484" s="56">
        <v>0</v>
      </c>
      <c r="BB484" s="41" t="str">
        <f t="shared" si="190"/>
        <v/>
      </c>
      <c r="BC484" s="10"/>
      <c r="BD484" s="35"/>
      <c r="BE484" s="13"/>
      <c r="BF484" s="16">
        <f t="shared" si="196"/>
        <v>0</v>
      </c>
      <c r="BG484" s="17">
        <f t="shared" si="184"/>
        <v>0</v>
      </c>
      <c r="BH484" s="16">
        <f t="shared" si="197"/>
        <v>0.2</v>
      </c>
    </row>
    <row r="485" spans="1:60" s="21" customFormat="1" ht="12.75" customHeight="1" x14ac:dyDescent="0.2">
      <c r="A485" s="51">
        <v>772149</v>
      </c>
      <c r="B485" s="51" t="s">
        <v>1077</v>
      </c>
      <c r="C485" s="66" t="s">
        <v>1803</v>
      </c>
      <c r="D485" s="52" t="s">
        <v>728</v>
      </c>
      <c r="E485" s="65" t="s">
        <v>780</v>
      </c>
      <c r="F485" s="53">
        <f>IFERROR(VLOOKUP(E485,Fornecedores!$A$2:$B$2700,2,FALSE),"")</f>
        <v>2</v>
      </c>
      <c r="G485" s="52" t="s">
        <v>473</v>
      </c>
      <c r="H485" s="57"/>
      <c r="I485" s="55">
        <f t="shared" si="191"/>
        <v>0</v>
      </c>
      <c r="J485" s="55">
        <v>0</v>
      </c>
      <c r="K485" s="55">
        <v>0</v>
      </c>
      <c r="L485" s="55">
        <v>0</v>
      </c>
      <c r="M485" s="55">
        <v>0</v>
      </c>
      <c r="N485" s="55">
        <f t="shared" si="192"/>
        <v>0</v>
      </c>
      <c r="O485" s="55">
        <v>0</v>
      </c>
      <c r="P485" s="55">
        <v>0</v>
      </c>
      <c r="Q485" s="55">
        <v>0</v>
      </c>
      <c r="R485" s="55">
        <f t="shared" si="193"/>
        <v>0</v>
      </c>
      <c r="S485" s="55">
        <v>0</v>
      </c>
      <c r="T485" s="55">
        <v>0</v>
      </c>
      <c r="U485" s="55">
        <v>0</v>
      </c>
      <c r="V485" s="55">
        <v>0</v>
      </c>
      <c r="W485" s="53">
        <v>0</v>
      </c>
      <c r="X485" s="53">
        <v>0</v>
      </c>
      <c r="Y485" s="55">
        <v>0</v>
      </c>
      <c r="Z485" s="55">
        <v>0</v>
      </c>
      <c r="AA485" s="53">
        <v>0</v>
      </c>
      <c r="AB485" s="53">
        <v>0</v>
      </c>
      <c r="AC485" s="55">
        <v>0</v>
      </c>
      <c r="AD485" s="55">
        <f t="shared" si="194"/>
        <v>0</v>
      </c>
      <c r="AE485" s="53">
        <v>0</v>
      </c>
      <c r="AF485" s="55">
        <v>0</v>
      </c>
      <c r="AG485" s="55">
        <v>0</v>
      </c>
      <c r="AH485" s="55">
        <f t="shared" si="187"/>
        <v>0</v>
      </c>
      <c r="AI485" s="55">
        <v>0</v>
      </c>
      <c r="AJ485" s="55">
        <v>0</v>
      </c>
      <c r="AK485" s="55">
        <v>0</v>
      </c>
      <c r="AL485" s="55">
        <f t="shared" si="188"/>
        <v>1</v>
      </c>
      <c r="AM485" s="55">
        <v>1</v>
      </c>
      <c r="AN485" s="55">
        <v>0</v>
      </c>
      <c r="AO485" s="55">
        <v>0</v>
      </c>
      <c r="AP485" s="55">
        <f t="shared" si="183"/>
        <v>1</v>
      </c>
      <c r="AQ485" s="55">
        <f>IFERROR(VLOOKUP(A485,[1]SIIMPLES!$A$2:$F$418,6,FALSE),0)</f>
        <v>0</v>
      </c>
      <c r="AR485" s="55">
        <v>1</v>
      </c>
      <c r="AS485" s="55">
        <v>0</v>
      </c>
      <c r="AT485" s="55">
        <v>0</v>
      </c>
      <c r="AU485" s="55">
        <v>0</v>
      </c>
      <c r="AV485" s="55">
        <v>0</v>
      </c>
      <c r="AW485" s="55"/>
      <c r="AX485" s="55"/>
      <c r="AY485" s="56">
        <f t="shared" si="189"/>
        <v>0.2</v>
      </c>
      <c r="AZ485" s="55"/>
      <c r="BA485" s="56">
        <v>4.166666666666667</v>
      </c>
      <c r="BB485" s="41">
        <f t="shared" si="190"/>
        <v>-0.95199999999999996</v>
      </c>
      <c r="BC485" s="7"/>
      <c r="BD485" s="35"/>
      <c r="BE485" s="13"/>
      <c r="BF485" s="16">
        <f t="shared" si="196"/>
        <v>0</v>
      </c>
      <c r="BG485" s="17">
        <f t="shared" si="184"/>
        <v>0</v>
      </c>
      <c r="BH485" s="16">
        <f t="shared" si="197"/>
        <v>0.2</v>
      </c>
    </row>
    <row r="486" spans="1:60" s="21" customFormat="1" ht="12.75" customHeight="1" x14ac:dyDescent="0.2">
      <c r="A486" s="51">
        <v>772235</v>
      </c>
      <c r="B486" s="51"/>
      <c r="C486" s="66" t="s">
        <v>1803</v>
      </c>
      <c r="D486" s="52" t="s">
        <v>728</v>
      </c>
      <c r="E486" s="65" t="s">
        <v>780</v>
      </c>
      <c r="F486" s="53">
        <f>IFERROR(VLOOKUP(E486,Fornecedores!$A$2:$B$2700,2,FALSE),"")</f>
        <v>2</v>
      </c>
      <c r="G486" s="52" t="s">
        <v>1826</v>
      </c>
      <c r="H486" s="57"/>
      <c r="I486" s="55">
        <f t="shared" si="191"/>
        <v>0</v>
      </c>
      <c r="J486" s="57" t="s">
        <v>1282</v>
      </c>
      <c r="K486" s="55">
        <v>0</v>
      </c>
      <c r="L486" s="55">
        <v>0</v>
      </c>
      <c r="M486" s="55">
        <v>0</v>
      </c>
      <c r="N486" s="55">
        <f t="shared" si="192"/>
        <v>0</v>
      </c>
      <c r="O486" s="55">
        <v>0</v>
      </c>
      <c r="P486" s="55">
        <v>0</v>
      </c>
      <c r="Q486" s="55">
        <v>0</v>
      </c>
      <c r="R486" s="55">
        <f t="shared" si="193"/>
        <v>0</v>
      </c>
      <c r="S486" s="55">
        <v>0</v>
      </c>
      <c r="T486" s="55">
        <v>0</v>
      </c>
      <c r="U486" s="55">
        <v>0</v>
      </c>
      <c r="V486" s="55">
        <v>0</v>
      </c>
      <c r="W486" s="53">
        <v>0</v>
      </c>
      <c r="X486" s="53">
        <v>0</v>
      </c>
      <c r="Y486" s="55">
        <v>0</v>
      </c>
      <c r="Z486" s="55">
        <v>0</v>
      </c>
      <c r="AA486" s="53">
        <v>0</v>
      </c>
      <c r="AB486" s="53">
        <v>0</v>
      </c>
      <c r="AC486" s="55">
        <v>0</v>
      </c>
      <c r="AD486" s="55">
        <f t="shared" si="194"/>
        <v>0</v>
      </c>
      <c r="AE486" s="53">
        <v>0</v>
      </c>
      <c r="AF486" s="55">
        <v>0</v>
      </c>
      <c r="AG486" s="55">
        <v>0</v>
      </c>
      <c r="AH486" s="55">
        <f t="shared" si="187"/>
        <v>0</v>
      </c>
      <c r="AI486" s="55">
        <v>0</v>
      </c>
      <c r="AJ486" s="55">
        <v>0</v>
      </c>
      <c r="AK486" s="55">
        <v>0</v>
      </c>
      <c r="AL486" s="55">
        <f t="shared" si="188"/>
        <v>0</v>
      </c>
      <c r="AM486" s="55" t="s">
        <v>1912</v>
      </c>
      <c r="AN486" s="55">
        <v>0</v>
      </c>
      <c r="AO486" s="55">
        <v>0</v>
      </c>
      <c r="AP486" s="55">
        <f t="shared" si="183"/>
        <v>1</v>
      </c>
      <c r="AQ486" s="55">
        <f>IFERROR(VLOOKUP(A486,[1]SIIMPLES!$A$2:$F$418,6,FALSE),0)</f>
        <v>0</v>
      </c>
      <c r="AR486" s="55">
        <v>1</v>
      </c>
      <c r="AS486" s="55">
        <v>0</v>
      </c>
      <c r="AT486" s="55">
        <v>0</v>
      </c>
      <c r="AU486" s="55">
        <v>0</v>
      </c>
      <c r="AV486" s="55">
        <v>0</v>
      </c>
      <c r="AW486" s="57"/>
      <c r="AX486" s="57"/>
      <c r="AY486" s="56">
        <f t="shared" si="189"/>
        <v>0.1</v>
      </c>
      <c r="AZ486" s="55"/>
      <c r="BA486" s="56" t="s">
        <v>1912</v>
      </c>
      <c r="BB486" s="41" t="str">
        <f t="shared" si="190"/>
        <v/>
      </c>
      <c r="BC486" s="13"/>
      <c r="BD486" s="35"/>
      <c r="BE486" s="13"/>
      <c r="BF486" s="16"/>
      <c r="BG486" s="17">
        <f t="shared" si="184"/>
        <v>0</v>
      </c>
      <c r="BH486" s="16">
        <f t="shared" si="197"/>
        <v>0.1</v>
      </c>
    </row>
    <row r="487" spans="1:60" s="21" customFormat="1" ht="12.75" customHeight="1" x14ac:dyDescent="0.2">
      <c r="A487" s="51">
        <v>772236</v>
      </c>
      <c r="B487" s="51"/>
      <c r="C487" s="66" t="s">
        <v>1803</v>
      </c>
      <c r="D487" s="52" t="s">
        <v>728</v>
      </c>
      <c r="E487" s="65" t="s">
        <v>780</v>
      </c>
      <c r="F487" s="53">
        <f>IFERROR(VLOOKUP(E487,Fornecedores!$A$2:$B$2700,2,FALSE),"")</f>
        <v>2</v>
      </c>
      <c r="G487" s="52" t="s">
        <v>1827</v>
      </c>
      <c r="H487" s="57"/>
      <c r="I487" s="55">
        <f t="shared" si="191"/>
        <v>0</v>
      </c>
      <c r="J487" s="57" t="s">
        <v>1282</v>
      </c>
      <c r="K487" s="55">
        <v>0</v>
      </c>
      <c r="L487" s="55">
        <v>0</v>
      </c>
      <c r="M487" s="55">
        <v>0</v>
      </c>
      <c r="N487" s="55">
        <f t="shared" si="192"/>
        <v>0</v>
      </c>
      <c r="O487" s="55">
        <v>0</v>
      </c>
      <c r="P487" s="55">
        <v>0</v>
      </c>
      <c r="Q487" s="55">
        <v>0</v>
      </c>
      <c r="R487" s="55">
        <f t="shared" si="193"/>
        <v>0</v>
      </c>
      <c r="S487" s="55">
        <v>0</v>
      </c>
      <c r="T487" s="55">
        <v>0</v>
      </c>
      <c r="U487" s="55">
        <v>0</v>
      </c>
      <c r="V487" s="55">
        <v>0</v>
      </c>
      <c r="W487" s="53">
        <v>0</v>
      </c>
      <c r="X487" s="53">
        <v>0</v>
      </c>
      <c r="Y487" s="55">
        <v>0</v>
      </c>
      <c r="Z487" s="55">
        <v>0</v>
      </c>
      <c r="AA487" s="53">
        <v>0</v>
      </c>
      <c r="AB487" s="53">
        <v>0</v>
      </c>
      <c r="AC487" s="55">
        <v>0</v>
      </c>
      <c r="AD487" s="55">
        <f t="shared" si="194"/>
        <v>0</v>
      </c>
      <c r="AE487" s="53">
        <v>0</v>
      </c>
      <c r="AF487" s="55">
        <v>0</v>
      </c>
      <c r="AG487" s="55">
        <v>0</v>
      </c>
      <c r="AH487" s="55">
        <f t="shared" si="187"/>
        <v>0</v>
      </c>
      <c r="AI487" s="55">
        <v>0</v>
      </c>
      <c r="AJ487" s="55">
        <v>0</v>
      </c>
      <c r="AK487" s="55">
        <v>0</v>
      </c>
      <c r="AL487" s="55">
        <f t="shared" si="188"/>
        <v>0</v>
      </c>
      <c r="AM487" s="55" t="s">
        <v>1912</v>
      </c>
      <c r="AN487" s="55">
        <v>0</v>
      </c>
      <c r="AO487" s="55">
        <v>0</v>
      </c>
      <c r="AP487" s="55">
        <f t="shared" si="183"/>
        <v>1</v>
      </c>
      <c r="AQ487" s="55">
        <f>IFERROR(VLOOKUP(A487,[1]SIIMPLES!$A$2:$F$418,6,FALSE),0)</f>
        <v>0</v>
      </c>
      <c r="AR487" s="55">
        <v>1</v>
      </c>
      <c r="AS487" s="55">
        <v>0</v>
      </c>
      <c r="AT487" s="55">
        <v>0</v>
      </c>
      <c r="AU487" s="55">
        <v>0</v>
      </c>
      <c r="AV487" s="55">
        <v>0</v>
      </c>
      <c r="AW487" s="57"/>
      <c r="AX487" s="57"/>
      <c r="AY487" s="56">
        <f t="shared" si="189"/>
        <v>0.1</v>
      </c>
      <c r="AZ487" s="55"/>
      <c r="BA487" s="56" t="s">
        <v>1912</v>
      </c>
      <c r="BB487" s="41" t="str">
        <f t="shared" si="190"/>
        <v/>
      </c>
      <c r="BC487" s="13"/>
      <c r="BD487" s="36"/>
      <c r="BE487" s="7"/>
      <c r="BF487" s="16"/>
      <c r="BG487" s="17">
        <f t="shared" si="184"/>
        <v>0</v>
      </c>
      <c r="BH487" s="16">
        <f t="shared" si="197"/>
        <v>0.1</v>
      </c>
    </row>
    <row r="488" spans="1:60" s="21" customFormat="1" ht="12.75" customHeight="1" x14ac:dyDescent="0.2">
      <c r="A488" s="51">
        <v>772238</v>
      </c>
      <c r="B488" s="51"/>
      <c r="C488" s="66" t="s">
        <v>1803</v>
      </c>
      <c r="D488" s="52" t="s">
        <v>728</v>
      </c>
      <c r="E488" s="65" t="s">
        <v>780</v>
      </c>
      <c r="F488" s="53">
        <f>IFERROR(VLOOKUP(E488,Fornecedores!$A$2:$B$2700,2,FALSE),"")</f>
        <v>2</v>
      </c>
      <c r="G488" s="52" t="s">
        <v>1825</v>
      </c>
      <c r="H488" s="57"/>
      <c r="I488" s="55">
        <f t="shared" si="191"/>
        <v>0</v>
      </c>
      <c r="J488" s="57" t="s">
        <v>1282</v>
      </c>
      <c r="K488" s="55">
        <v>0</v>
      </c>
      <c r="L488" s="55">
        <v>0</v>
      </c>
      <c r="M488" s="55">
        <v>0</v>
      </c>
      <c r="N488" s="55">
        <f t="shared" si="192"/>
        <v>0</v>
      </c>
      <c r="O488" s="55">
        <v>0</v>
      </c>
      <c r="P488" s="55">
        <v>0</v>
      </c>
      <c r="Q488" s="55">
        <v>0</v>
      </c>
      <c r="R488" s="55">
        <f t="shared" si="193"/>
        <v>0</v>
      </c>
      <c r="S488" s="55">
        <v>0</v>
      </c>
      <c r="T488" s="55">
        <v>0</v>
      </c>
      <c r="U488" s="55">
        <v>0</v>
      </c>
      <c r="V488" s="55">
        <v>0</v>
      </c>
      <c r="W488" s="53">
        <v>0</v>
      </c>
      <c r="X488" s="53">
        <v>0</v>
      </c>
      <c r="Y488" s="55">
        <v>0</v>
      </c>
      <c r="Z488" s="55">
        <v>0</v>
      </c>
      <c r="AA488" s="53">
        <v>0</v>
      </c>
      <c r="AB488" s="53">
        <v>0</v>
      </c>
      <c r="AC488" s="55">
        <v>0</v>
      </c>
      <c r="AD488" s="55">
        <f t="shared" si="194"/>
        <v>0</v>
      </c>
      <c r="AE488" s="53">
        <v>0</v>
      </c>
      <c r="AF488" s="55">
        <v>0</v>
      </c>
      <c r="AG488" s="55">
        <v>0</v>
      </c>
      <c r="AH488" s="55">
        <f t="shared" si="187"/>
        <v>0</v>
      </c>
      <c r="AI488" s="55">
        <v>0</v>
      </c>
      <c r="AJ488" s="55">
        <v>0</v>
      </c>
      <c r="AK488" s="55">
        <v>0</v>
      </c>
      <c r="AL488" s="55">
        <f t="shared" si="188"/>
        <v>0</v>
      </c>
      <c r="AM488" s="55" t="s">
        <v>1912</v>
      </c>
      <c r="AN488" s="55">
        <v>0</v>
      </c>
      <c r="AO488" s="55">
        <v>0</v>
      </c>
      <c r="AP488" s="55">
        <f t="shared" si="183"/>
        <v>1</v>
      </c>
      <c r="AQ488" s="55">
        <f>IFERROR(VLOOKUP(A488,[1]SIIMPLES!$A$2:$F$418,6,FALSE),0)</f>
        <v>0</v>
      </c>
      <c r="AR488" s="55">
        <v>1</v>
      </c>
      <c r="AS488" s="55">
        <v>0</v>
      </c>
      <c r="AT488" s="55">
        <v>0</v>
      </c>
      <c r="AU488" s="55">
        <v>0</v>
      </c>
      <c r="AV488" s="55">
        <v>0</v>
      </c>
      <c r="AW488" s="57"/>
      <c r="AX488" s="57"/>
      <c r="AY488" s="56">
        <f t="shared" si="189"/>
        <v>0.1</v>
      </c>
      <c r="AZ488" s="55"/>
      <c r="BA488" s="56" t="s">
        <v>1912</v>
      </c>
      <c r="BB488" s="41" t="str">
        <f t="shared" si="190"/>
        <v/>
      </c>
      <c r="BC488" s="13"/>
      <c r="BD488" s="35"/>
      <c r="BE488" s="13"/>
      <c r="BF488" s="16">
        <f>SUM(BC488:BE488)</f>
        <v>0</v>
      </c>
      <c r="BG488" s="17">
        <f t="shared" si="184"/>
        <v>0</v>
      </c>
      <c r="BH488" s="16">
        <f t="shared" si="197"/>
        <v>0.1</v>
      </c>
    </row>
    <row r="489" spans="1:60" s="21" customFormat="1" ht="12.75" customHeight="1" x14ac:dyDescent="0.2">
      <c r="A489" s="51" t="s">
        <v>1547</v>
      </c>
      <c r="B489" s="51"/>
      <c r="C489" s="66" t="s">
        <v>1803</v>
      </c>
      <c r="D489" s="52" t="s">
        <v>1762</v>
      </c>
      <c r="E489" s="52" t="s">
        <v>1763</v>
      </c>
      <c r="F489" s="53" t="str">
        <f>IFERROR(VLOOKUP(E489,Fornecedores!$A$2:$B$2700,2,FALSE),"")</f>
        <v/>
      </c>
      <c r="G489" s="52" t="s">
        <v>1655</v>
      </c>
      <c r="H489" s="57"/>
      <c r="I489" s="55">
        <f t="shared" si="191"/>
        <v>0</v>
      </c>
      <c r="J489" s="57" t="s">
        <v>1282</v>
      </c>
      <c r="K489" s="55">
        <v>0</v>
      </c>
      <c r="L489" s="55">
        <v>0</v>
      </c>
      <c r="M489" s="55">
        <v>0</v>
      </c>
      <c r="N489" s="55">
        <f t="shared" si="192"/>
        <v>0</v>
      </c>
      <c r="O489" s="55">
        <v>0</v>
      </c>
      <c r="P489" s="55">
        <v>0</v>
      </c>
      <c r="Q489" s="55">
        <v>0</v>
      </c>
      <c r="R489" s="55">
        <f t="shared" si="193"/>
        <v>1</v>
      </c>
      <c r="S489" s="55">
        <v>0</v>
      </c>
      <c r="T489" s="55">
        <v>1</v>
      </c>
      <c r="U489" s="55">
        <v>0</v>
      </c>
      <c r="V489" s="55">
        <v>0</v>
      </c>
      <c r="W489" s="53">
        <v>0</v>
      </c>
      <c r="X489" s="53">
        <v>0</v>
      </c>
      <c r="Y489" s="55">
        <v>0</v>
      </c>
      <c r="Z489" s="55">
        <v>0</v>
      </c>
      <c r="AA489" s="53">
        <v>0</v>
      </c>
      <c r="AB489" s="53">
        <v>0</v>
      </c>
      <c r="AC489" s="55">
        <v>0</v>
      </c>
      <c r="AD489" s="55">
        <f t="shared" si="194"/>
        <v>0</v>
      </c>
      <c r="AE489" s="53">
        <v>0</v>
      </c>
      <c r="AF489" s="55">
        <v>0</v>
      </c>
      <c r="AG489" s="55">
        <v>0</v>
      </c>
      <c r="AH489" s="55">
        <f t="shared" si="187"/>
        <v>0</v>
      </c>
      <c r="AI489" s="55">
        <v>0</v>
      </c>
      <c r="AJ489" s="55">
        <v>0</v>
      </c>
      <c r="AK489" s="55">
        <v>0</v>
      </c>
      <c r="AL489" s="55">
        <f t="shared" si="188"/>
        <v>0</v>
      </c>
      <c r="AM489" s="55" t="s">
        <v>1912</v>
      </c>
      <c r="AN489" s="55">
        <v>0</v>
      </c>
      <c r="AO489" s="55">
        <v>0</v>
      </c>
      <c r="AP489" s="55">
        <f t="shared" si="183"/>
        <v>1</v>
      </c>
      <c r="AQ489" s="55">
        <f>IFERROR(VLOOKUP(A489,[1]SIIMPLES!$A$2:$F$418,6,FALSE),0)</f>
        <v>0</v>
      </c>
      <c r="AR489" s="55">
        <v>1</v>
      </c>
      <c r="AS489" s="55">
        <v>0</v>
      </c>
      <c r="AT489" s="55">
        <v>0</v>
      </c>
      <c r="AU489" s="55">
        <v>0</v>
      </c>
      <c r="AV489" s="55">
        <v>0</v>
      </c>
      <c r="AW489" s="57"/>
      <c r="AX489" s="57"/>
      <c r="AY489" s="56">
        <f t="shared" si="189"/>
        <v>0.2</v>
      </c>
      <c r="AZ489" s="55"/>
      <c r="BA489" s="56" t="s">
        <v>1912</v>
      </c>
      <c r="BB489" s="41" t="str">
        <f t="shared" si="190"/>
        <v/>
      </c>
      <c r="BC489" s="13"/>
      <c r="BD489" s="37"/>
      <c r="BE489" s="13"/>
      <c r="BF489" s="16">
        <f>SUM(BC489:BE489)</f>
        <v>0</v>
      </c>
      <c r="BG489" s="17">
        <f t="shared" si="184"/>
        <v>0</v>
      </c>
      <c r="BH489" s="16">
        <f t="shared" si="197"/>
        <v>0.2</v>
      </c>
    </row>
    <row r="490" spans="1:60" s="21" customFormat="1" ht="12.75" customHeight="1" x14ac:dyDescent="0.2">
      <c r="A490" s="51" t="s">
        <v>380</v>
      </c>
      <c r="B490" s="51" t="s">
        <v>1077</v>
      </c>
      <c r="C490" s="66" t="s">
        <v>1803</v>
      </c>
      <c r="D490" s="52" t="s">
        <v>760</v>
      </c>
      <c r="E490" s="52" t="s">
        <v>736</v>
      </c>
      <c r="F490" s="53">
        <f>IFERROR(VLOOKUP(E490,Fornecedores!$A$2:$B$2700,2,FALSE),"")</f>
        <v>5</v>
      </c>
      <c r="G490" s="52" t="s">
        <v>381</v>
      </c>
      <c r="H490" s="54"/>
      <c r="I490" s="55">
        <f t="shared" si="191"/>
        <v>0</v>
      </c>
      <c r="J490" s="55">
        <v>0</v>
      </c>
      <c r="K490" s="55">
        <v>0</v>
      </c>
      <c r="L490" s="55">
        <v>0</v>
      </c>
      <c r="M490" s="55">
        <v>0</v>
      </c>
      <c r="N490" s="55">
        <f t="shared" si="192"/>
        <v>0</v>
      </c>
      <c r="O490" s="55">
        <v>0</v>
      </c>
      <c r="P490" s="55">
        <v>0</v>
      </c>
      <c r="Q490" s="55">
        <v>0</v>
      </c>
      <c r="R490" s="55">
        <f t="shared" si="193"/>
        <v>1</v>
      </c>
      <c r="S490" s="55">
        <v>1</v>
      </c>
      <c r="T490" s="55">
        <v>0</v>
      </c>
      <c r="U490" s="55">
        <v>0</v>
      </c>
      <c r="V490" s="55">
        <v>0</v>
      </c>
      <c r="W490" s="53">
        <v>0</v>
      </c>
      <c r="X490" s="53">
        <v>0</v>
      </c>
      <c r="Y490" s="55">
        <v>0</v>
      </c>
      <c r="Z490" s="55">
        <v>2</v>
      </c>
      <c r="AA490" s="53">
        <v>2</v>
      </c>
      <c r="AB490" s="53">
        <v>0</v>
      </c>
      <c r="AC490" s="55">
        <v>0</v>
      </c>
      <c r="AD490" s="55">
        <f t="shared" si="194"/>
        <v>0</v>
      </c>
      <c r="AE490" s="53">
        <v>0</v>
      </c>
      <c r="AF490" s="55">
        <v>0</v>
      </c>
      <c r="AG490" s="55">
        <v>0</v>
      </c>
      <c r="AH490" s="55">
        <f t="shared" si="187"/>
        <v>0</v>
      </c>
      <c r="AI490" s="55">
        <v>0</v>
      </c>
      <c r="AJ490" s="55">
        <v>0</v>
      </c>
      <c r="AK490" s="55">
        <v>0</v>
      </c>
      <c r="AL490" s="55">
        <f t="shared" si="188"/>
        <v>1</v>
      </c>
      <c r="AM490" s="55">
        <v>1</v>
      </c>
      <c r="AN490" s="55">
        <v>0</v>
      </c>
      <c r="AO490" s="55">
        <v>0</v>
      </c>
      <c r="AP490" s="55">
        <f t="shared" si="183"/>
        <v>1</v>
      </c>
      <c r="AQ490" s="55">
        <f>IFERROR(VLOOKUP(A490,[1]SIIMPLES!$A$2:$F$418,6,FALSE),0)</f>
        <v>1</v>
      </c>
      <c r="AR490" s="55">
        <v>0</v>
      </c>
      <c r="AS490" s="55">
        <v>1</v>
      </c>
      <c r="AT490" s="55">
        <v>1</v>
      </c>
      <c r="AU490" s="55">
        <v>0</v>
      </c>
      <c r="AV490" s="55">
        <v>0</v>
      </c>
      <c r="AW490" s="55"/>
      <c r="AX490" s="55"/>
      <c r="AY490" s="56">
        <f t="shared" si="189"/>
        <v>0.6</v>
      </c>
      <c r="AZ490" s="55"/>
      <c r="BA490" s="56">
        <v>1.6666666666666667</v>
      </c>
      <c r="BB490" s="41">
        <f t="shared" si="190"/>
        <v>-0.64</v>
      </c>
      <c r="BC490" s="13"/>
      <c r="BD490" s="35"/>
      <c r="BE490" s="13"/>
      <c r="BF490" s="16"/>
      <c r="BG490" s="17">
        <f t="shared" si="184"/>
        <v>0</v>
      </c>
      <c r="BH490" s="16">
        <f t="shared" si="197"/>
        <v>0.6</v>
      </c>
    </row>
    <row r="491" spans="1:60" s="21" customFormat="1" ht="12.75" customHeight="1" x14ac:dyDescent="0.2">
      <c r="A491" s="51" t="s">
        <v>388</v>
      </c>
      <c r="B491" s="51"/>
      <c r="C491" s="66" t="s">
        <v>1803</v>
      </c>
      <c r="D491" s="52" t="s">
        <v>760</v>
      </c>
      <c r="E491" s="52" t="s">
        <v>736</v>
      </c>
      <c r="F491" s="53">
        <f>IFERROR(VLOOKUP(E491,Fornecedores!$A$2:$B$2700,2,FALSE),"")</f>
        <v>5</v>
      </c>
      <c r="G491" s="52" t="s">
        <v>389</v>
      </c>
      <c r="H491" s="54"/>
      <c r="I491" s="55">
        <f t="shared" si="191"/>
        <v>0</v>
      </c>
      <c r="J491" s="55">
        <v>0</v>
      </c>
      <c r="K491" s="55">
        <v>0</v>
      </c>
      <c r="L491" s="55">
        <v>0</v>
      </c>
      <c r="M491" s="55">
        <v>0</v>
      </c>
      <c r="N491" s="55">
        <f t="shared" si="192"/>
        <v>0</v>
      </c>
      <c r="O491" s="55">
        <v>0</v>
      </c>
      <c r="P491" s="55">
        <v>0</v>
      </c>
      <c r="Q491" s="55">
        <v>0</v>
      </c>
      <c r="R491" s="55">
        <f t="shared" si="193"/>
        <v>1</v>
      </c>
      <c r="S491" s="55">
        <v>1</v>
      </c>
      <c r="T491" s="55">
        <v>0</v>
      </c>
      <c r="U491" s="55">
        <v>0</v>
      </c>
      <c r="V491" s="55">
        <v>0</v>
      </c>
      <c r="W491" s="53">
        <v>0</v>
      </c>
      <c r="X491" s="53">
        <v>0</v>
      </c>
      <c r="Y491" s="55">
        <v>0</v>
      </c>
      <c r="Z491" s="55">
        <v>0</v>
      </c>
      <c r="AA491" s="53">
        <v>0</v>
      </c>
      <c r="AB491" s="53">
        <v>0</v>
      </c>
      <c r="AC491" s="55">
        <v>0</v>
      </c>
      <c r="AD491" s="55">
        <f t="shared" si="194"/>
        <v>0</v>
      </c>
      <c r="AE491" s="53">
        <v>0</v>
      </c>
      <c r="AF491" s="55">
        <v>0</v>
      </c>
      <c r="AG491" s="55">
        <v>0</v>
      </c>
      <c r="AH491" s="55">
        <f t="shared" ref="AH491:AH513" si="198">SUM(AI491:AK491)</f>
        <v>0</v>
      </c>
      <c r="AI491" s="55">
        <v>0</v>
      </c>
      <c r="AJ491" s="55">
        <v>0</v>
      </c>
      <c r="AK491" s="55">
        <v>0</v>
      </c>
      <c r="AL491" s="55">
        <f t="shared" ref="AL491:AL514" si="199">SUM(AM491:AO491)</f>
        <v>0</v>
      </c>
      <c r="AM491" s="55" t="s">
        <v>1912</v>
      </c>
      <c r="AN491" s="55">
        <v>0</v>
      </c>
      <c r="AO491" s="55">
        <v>0</v>
      </c>
      <c r="AP491" s="55">
        <f t="shared" si="183"/>
        <v>1</v>
      </c>
      <c r="AQ491" s="55">
        <f>IFERROR(VLOOKUP(A491,[1]SIIMPLES!$A$2:$F$418,6,FALSE),0)</f>
        <v>1</v>
      </c>
      <c r="AR491" s="55">
        <v>0</v>
      </c>
      <c r="AS491" s="55">
        <v>3</v>
      </c>
      <c r="AT491" s="55">
        <v>3</v>
      </c>
      <c r="AU491" s="55">
        <v>0</v>
      </c>
      <c r="AV491" s="55">
        <v>0</v>
      </c>
      <c r="AW491" s="55"/>
      <c r="AX491" s="55"/>
      <c r="AY491" s="56">
        <f t="shared" ref="AY491:AY507" si="200">IFERROR(AVERAGE(I491,N491,R491,V491,Z491,AD491,AH491,AL491,AP491,AS491,AW491,AX491),"-")</f>
        <v>0.5</v>
      </c>
      <c r="AZ491" s="55"/>
      <c r="BA491" s="56">
        <v>0.16666666666666666</v>
      </c>
      <c r="BB491" s="41">
        <f t="shared" si="190"/>
        <v>2</v>
      </c>
      <c r="BC491" s="13"/>
      <c r="BD491" s="36"/>
      <c r="BE491" s="7"/>
      <c r="BF491" s="7"/>
      <c r="BG491" s="7"/>
      <c r="BH491" s="7"/>
    </row>
    <row r="492" spans="1:60" s="21" customFormat="1" ht="12.75" customHeight="1" x14ac:dyDescent="0.2">
      <c r="A492" s="51" t="s">
        <v>489</v>
      </c>
      <c r="B492" s="51" t="s">
        <v>1077</v>
      </c>
      <c r="C492" s="66" t="s">
        <v>1803</v>
      </c>
      <c r="D492" s="52" t="s">
        <v>745</v>
      </c>
      <c r="E492" s="52" t="s">
        <v>780</v>
      </c>
      <c r="F492" s="53">
        <f>IFERROR(VLOOKUP(E492,Fornecedores!$A$2:$B$2700,2,FALSE),"")</f>
        <v>2</v>
      </c>
      <c r="G492" s="52" t="s">
        <v>490</v>
      </c>
      <c r="H492" s="54"/>
      <c r="I492" s="55">
        <f t="shared" si="191"/>
        <v>0</v>
      </c>
      <c r="J492" s="55">
        <v>0</v>
      </c>
      <c r="K492" s="55">
        <v>0</v>
      </c>
      <c r="L492" s="55">
        <v>0</v>
      </c>
      <c r="M492" s="55">
        <v>0</v>
      </c>
      <c r="N492" s="55">
        <f t="shared" si="192"/>
        <v>1</v>
      </c>
      <c r="O492" s="55">
        <v>1</v>
      </c>
      <c r="P492" s="55">
        <v>0</v>
      </c>
      <c r="Q492" s="55">
        <v>0</v>
      </c>
      <c r="R492" s="55">
        <f t="shared" si="193"/>
        <v>0</v>
      </c>
      <c r="S492" s="55">
        <v>0</v>
      </c>
      <c r="T492" s="55">
        <v>0</v>
      </c>
      <c r="U492" s="55">
        <v>0</v>
      </c>
      <c r="V492" s="55">
        <v>0</v>
      </c>
      <c r="W492" s="53">
        <v>0</v>
      </c>
      <c r="X492" s="53">
        <v>0</v>
      </c>
      <c r="Y492" s="55">
        <v>0</v>
      </c>
      <c r="Z492" s="55">
        <v>1</v>
      </c>
      <c r="AA492" s="53">
        <v>0</v>
      </c>
      <c r="AB492" s="53">
        <v>1</v>
      </c>
      <c r="AC492" s="55">
        <v>0</v>
      </c>
      <c r="AD492" s="55">
        <f t="shared" si="194"/>
        <v>2</v>
      </c>
      <c r="AE492" s="53">
        <v>0</v>
      </c>
      <c r="AF492" s="55">
        <v>2</v>
      </c>
      <c r="AG492" s="55">
        <v>0</v>
      </c>
      <c r="AH492" s="55">
        <f t="shared" si="198"/>
        <v>2</v>
      </c>
      <c r="AI492" s="55">
        <v>0</v>
      </c>
      <c r="AJ492" s="55">
        <v>2</v>
      </c>
      <c r="AK492" s="55">
        <v>0</v>
      </c>
      <c r="AL492" s="55">
        <f t="shared" si="199"/>
        <v>1</v>
      </c>
      <c r="AM492" s="55" t="s">
        <v>1912</v>
      </c>
      <c r="AN492" s="55">
        <v>1</v>
      </c>
      <c r="AO492" s="55">
        <v>0</v>
      </c>
      <c r="AP492" s="55">
        <f t="shared" si="183"/>
        <v>1</v>
      </c>
      <c r="AQ492" s="55">
        <f>IFERROR(VLOOKUP(A492,[1]SIIMPLES!$A$2:$F$418,6,FALSE),0)</f>
        <v>1</v>
      </c>
      <c r="AR492" s="55">
        <v>0</v>
      </c>
      <c r="AS492" s="55">
        <v>1</v>
      </c>
      <c r="AT492" s="55">
        <v>1</v>
      </c>
      <c r="AU492" s="55">
        <v>0</v>
      </c>
      <c r="AV492" s="55">
        <v>0</v>
      </c>
      <c r="AW492" s="55"/>
      <c r="AX492" s="55"/>
      <c r="AY492" s="56">
        <f t="shared" si="200"/>
        <v>0.9</v>
      </c>
      <c r="AZ492" s="55"/>
      <c r="BA492" s="56">
        <v>1.5</v>
      </c>
      <c r="BB492" s="41">
        <f t="shared" si="190"/>
        <v>-0.4</v>
      </c>
      <c r="BC492" s="13"/>
      <c r="BD492" s="36"/>
      <c r="BE492" s="7"/>
      <c r="BF492" s="7"/>
      <c r="BG492" s="7"/>
      <c r="BH492" s="7"/>
    </row>
    <row r="493" spans="1:60" s="21" customFormat="1" ht="12.75" customHeight="1" x14ac:dyDescent="0.2">
      <c r="A493" s="51" t="s">
        <v>477</v>
      </c>
      <c r="B493" s="51" t="s">
        <v>1077</v>
      </c>
      <c r="C493" s="66" t="s">
        <v>1803</v>
      </c>
      <c r="D493" s="52" t="s">
        <v>745</v>
      </c>
      <c r="E493" s="52" t="s">
        <v>780</v>
      </c>
      <c r="F493" s="53">
        <f>IFERROR(VLOOKUP(E493,Fornecedores!$A$2:$B$2700,2,FALSE),"")</f>
        <v>2</v>
      </c>
      <c r="G493" s="52" t="s">
        <v>478</v>
      </c>
      <c r="H493" s="54"/>
      <c r="I493" s="55">
        <f t="shared" si="191"/>
        <v>0</v>
      </c>
      <c r="J493" s="55">
        <v>0</v>
      </c>
      <c r="K493" s="55">
        <v>0</v>
      </c>
      <c r="L493" s="55">
        <v>0</v>
      </c>
      <c r="M493" s="55">
        <v>0</v>
      </c>
      <c r="N493" s="55">
        <f t="shared" si="192"/>
        <v>0</v>
      </c>
      <c r="O493" s="55">
        <v>0</v>
      </c>
      <c r="P493" s="55">
        <v>0</v>
      </c>
      <c r="Q493" s="55">
        <v>0</v>
      </c>
      <c r="R493" s="55">
        <f t="shared" si="193"/>
        <v>0</v>
      </c>
      <c r="S493" s="55">
        <v>0</v>
      </c>
      <c r="T493" s="55">
        <v>0</v>
      </c>
      <c r="U493" s="55">
        <v>0</v>
      </c>
      <c r="V493" s="55">
        <v>0</v>
      </c>
      <c r="W493" s="53">
        <v>0</v>
      </c>
      <c r="X493" s="53">
        <v>0</v>
      </c>
      <c r="Y493" s="55">
        <v>0</v>
      </c>
      <c r="Z493" s="55">
        <v>2</v>
      </c>
      <c r="AA493" s="53">
        <v>1</v>
      </c>
      <c r="AB493" s="53">
        <v>1</v>
      </c>
      <c r="AC493" s="55">
        <v>0</v>
      </c>
      <c r="AD493" s="55">
        <f t="shared" si="194"/>
        <v>2</v>
      </c>
      <c r="AE493" s="53">
        <v>0</v>
      </c>
      <c r="AF493" s="55">
        <v>2</v>
      </c>
      <c r="AG493" s="55">
        <v>0</v>
      </c>
      <c r="AH493" s="55">
        <f t="shared" si="198"/>
        <v>2</v>
      </c>
      <c r="AI493" s="55">
        <v>0</v>
      </c>
      <c r="AJ493" s="55">
        <v>2</v>
      </c>
      <c r="AK493" s="55">
        <v>0</v>
      </c>
      <c r="AL493" s="55">
        <f t="shared" si="199"/>
        <v>1</v>
      </c>
      <c r="AM493" s="55" t="s">
        <v>1912</v>
      </c>
      <c r="AN493" s="55">
        <v>1</v>
      </c>
      <c r="AO493" s="55">
        <v>0</v>
      </c>
      <c r="AP493" s="55">
        <f t="shared" si="183"/>
        <v>1</v>
      </c>
      <c r="AQ493" s="55">
        <f>IFERROR(VLOOKUP(A493,[1]SIIMPLES!$A$2:$F$418,6,FALSE),0)</f>
        <v>1</v>
      </c>
      <c r="AR493" s="55">
        <v>0</v>
      </c>
      <c r="AS493" s="55">
        <v>0</v>
      </c>
      <c r="AT493" s="55">
        <v>0</v>
      </c>
      <c r="AU493" s="55">
        <v>0</v>
      </c>
      <c r="AV493" s="55">
        <v>0</v>
      </c>
      <c r="AW493" s="55"/>
      <c r="AX493" s="55"/>
      <c r="AY493" s="56">
        <f t="shared" si="200"/>
        <v>0.8</v>
      </c>
      <c r="AZ493" s="55"/>
      <c r="BA493" s="56">
        <v>2</v>
      </c>
      <c r="BB493" s="41">
        <f t="shared" si="190"/>
        <v>-0.6</v>
      </c>
      <c r="BC493" s="13"/>
      <c r="BD493" s="36"/>
      <c r="BE493" s="7"/>
      <c r="BF493" s="7"/>
      <c r="BG493" s="7"/>
      <c r="BH493" s="7"/>
    </row>
    <row r="494" spans="1:60" s="21" customFormat="1" ht="12.75" customHeight="1" x14ac:dyDescent="0.2">
      <c r="A494" s="51" t="s">
        <v>1549</v>
      </c>
      <c r="B494" s="51"/>
      <c r="C494" s="66" t="s">
        <v>1803</v>
      </c>
      <c r="D494" s="52" t="s">
        <v>1475</v>
      </c>
      <c r="E494" s="52" t="s">
        <v>1759</v>
      </c>
      <c r="F494" s="53" t="str">
        <f>IFERROR(VLOOKUP(E494,Fornecedores!$A$2:$B$2700,2,FALSE),"")</f>
        <v/>
      </c>
      <c r="G494" s="52" t="s">
        <v>1642</v>
      </c>
      <c r="H494" s="57"/>
      <c r="I494" s="55">
        <f t="shared" si="191"/>
        <v>0</v>
      </c>
      <c r="J494" s="57" t="s">
        <v>1282</v>
      </c>
      <c r="K494" s="55">
        <v>0</v>
      </c>
      <c r="L494" s="55">
        <v>0</v>
      </c>
      <c r="M494" s="55">
        <v>0</v>
      </c>
      <c r="N494" s="55">
        <f t="shared" si="192"/>
        <v>1</v>
      </c>
      <c r="O494" s="55">
        <v>0</v>
      </c>
      <c r="P494" s="55">
        <v>1</v>
      </c>
      <c r="Q494" s="55">
        <v>0</v>
      </c>
      <c r="R494" s="55">
        <f t="shared" si="193"/>
        <v>1</v>
      </c>
      <c r="S494" s="55">
        <v>0</v>
      </c>
      <c r="T494" s="55">
        <v>1</v>
      </c>
      <c r="U494" s="55">
        <v>0</v>
      </c>
      <c r="V494" s="55">
        <v>0</v>
      </c>
      <c r="W494" s="53">
        <v>0</v>
      </c>
      <c r="X494" s="53">
        <v>0</v>
      </c>
      <c r="Y494" s="55">
        <v>0</v>
      </c>
      <c r="Z494" s="55">
        <v>1</v>
      </c>
      <c r="AA494" s="53">
        <v>0</v>
      </c>
      <c r="AB494" s="53">
        <v>1</v>
      </c>
      <c r="AC494" s="55">
        <v>0</v>
      </c>
      <c r="AD494" s="55">
        <f t="shared" si="194"/>
        <v>1</v>
      </c>
      <c r="AE494" s="53">
        <v>0</v>
      </c>
      <c r="AF494" s="55">
        <v>1</v>
      </c>
      <c r="AG494" s="55">
        <v>0</v>
      </c>
      <c r="AH494" s="55">
        <f t="shared" si="198"/>
        <v>2</v>
      </c>
      <c r="AI494" s="55">
        <v>0</v>
      </c>
      <c r="AJ494" s="55">
        <v>2</v>
      </c>
      <c r="AK494" s="55">
        <v>0</v>
      </c>
      <c r="AL494" s="55">
        <f t="shared" si="199"/>
        <v>1</v>
      </c>
      <c r="AM494" s="55" t="s">
        <v>1912</v>
      </c>
      <c r="AN494" s="55">
        <v>1</v>
      </c>
      <c r="AO494" s="55">
        <v>0</v>
      </c>
      <c r="AP494" s="55">
        <f t="shared" si="183"/>
        <v>1</v>
      </c>
      <c r="AQ494" s="55">
        <f>IFERROR(VLOOKUP(A494,[1]SIIMPLES!$A$2:$F$418,6,FALSE),0)</f>
        <v>0</v>
      </c>
      <c r="AR494" s="55">
        <v>1</v>
      </c>
      <c r="AS494" s="55">
        <v>0</v>
      </c>
      <c r="AT494" s="55">
        <v>0</v>
      </c>
      <c r="AU494" s="55">
        <v>0</v>
      </c>
      <c r="AV494" s="55">
        <v>0</v>
      </c>
      <c r="AW494" s="57"/>
      <c r="AX494" s="57"/>
      <c r="AY494" s="56">
        <f t="shared" si="200"/>
        <v>0.8</v>
      </c>
      <c r="AZ494" s="55"/>
      <c r="BA494" s="56" t="s">
        <v>1912</v>
      </c>
      <c r="BB494" s="41" t="str">
        <f t="shared" si="190"/>
        <v/>
      </c>
      <c r="BC494" s="13"/>
      <c r="BD494" s="35"/>
      <c r="BE494" s="13"/>
      <c r="BF494" s="16"/>
      <c r="BG494" s="17">
        <f>IFERROR(BC494/AY494,"0")</f>
        <v>0</v>
      </c>
      <c r="BH494" s="16">
        <f>IFERROR(IF(F494=1,IF(BC494&lt;AY494*3,AY494*3-BC494,0),IF(BC494&lt;AY494,AY494-BC494,0)),"")</f>
        <v>0.8</v>
      </c>
    </row>
    <row r="495" spans="1:60" s="21" customFormat="1" ht="12.75" customHeight="1" x14ac:dyDescent="0.2">
      <c r="A495" s="51" t="s">
        <v>1539</v>
      </c>
      <c r="B495" s="51"/>
      <c r="C495" s="66" t="s">
        <v>1803</v>
      </c>
      <c r="D495" s="52" t="s">
        <v>1475</v>
      </c>
      <c r="E495" s="52" t="s">
        <v>1759</v>
      </c>
      <c r="F495" s="53" t="str">
        <f>IFERROR(VLOOKUP(E495,Fornecedores!$A$2:$B$2700,2,FALSE),"")</f>
        <v/>
      </c>
      <c r="G495" s="52" t="s">
        <v>1612</v>
      </c>
      <c r="H495" s="57"/>
      <c r="I495" s="55">
        <f t="shared" si="191"/>
        <v>0</v>
      </c>
      <c r="J495" s="57" t="s">
        <v>1282</v>
      </c>
      <c r="K495" s="55">
        <v>0</v>
      </c>
      <c r="L495" s="55">
        <v>0</v>
      </c>
      <c r="M495" s="55">
        <v>0</v>
      </c>
      <c r="N495" s="55">
        <f t="shared" si="192"/>
        <v>0</v>
      </c>
      <c r="O495" s="55">
        <v>0</v>
      </c>
      <c r="P495" s="55">
        <v>0</v>
      </c>
      <c r="Q495" s="55">
        <v>0</v>
      </c>
      <c r="R495" s="55">
        <f t="shared" si="193"/>
        <v>1</v>
      </c>
      <c r="S495" s="55">
        <v>0</v>
      </c>
      <c r="T495" s="55">
        <v>1</v>
      </c>
      <c r="U495" s="55">
        <v>0</v>
      </c>
      <c r="V495" s="55">
        <v>0</v>
      </c>
      <c r="W495" s="53">
        <v>0</v>
      </c>
      <c r="X495" s="53">
        <v>0</v>
      </c>
      <c r="Y495" s="55">
        <v>0</v>
      </c>
      <c r="Z495" s="55">
        <v>0</v>
      </c>
      <c r="AA495" s="53">
        <v>0</v>
      </c>
      <c r="AB495" s="53">
        <v>0</v>
      </c>
      <c r="AC495" s="55">
        <v>0</v>
      </c>
      <c r="AD495" s="55">
        <f t="shared" si="194"/>
        <v>0</v>
      </c>
      <c r="AE495" s="53">
        <v>0</v>
      </c>
      <c r="AF495" s="55">
        <v>0</v>
      </c>
      <c r="AG495" s="55">
        <v>0</v>
      </c>
      <c r="AH495" s="55">
        <f t="shared" si="198"/>
        <v>0</v>
      </c>
      <c r="AI495" s="55">
        <v>0</v>
      </c>
      <c r="AJ495" s="55">
        <v>0</v>
      </c>
      <c r="AK495" s="55">
        <v>0</v>
      </c>
      <c r="AL495" s="55">
        <f t="shared" si="199"/>
        <v>0</v>
      </c>
      <c r="AM495" s="55" t="s">
        <v>1912</v>
      </c>
      <c r="AN495" s="55">
        <v>0</v>
      </c>
      <c r="AO495" s="55">
        <v>0</v>
      </c>
      <c r="AP495" s="55">
        <f t="shared" si="183"/>
        <v>1</v>
      </c>
      <c r="AQ495" s="55">
        <f>IFERROR(VLOOKUP(A495,[1]SIIMPLES!$A$2:$F$418,6,FALSE),0)</f>
        <v>0</v>
      </c>
      <c r="AR495" s="55">
        <v>1</v>
      </c>
      <c r="AS495" s="55">
        <v>0</v>
      </c>
      <c r="AT495" s="55">
        <v>0</v>
      </c>
      <c r="AU495" s="55">
        <v>0</v>
      </c>
      <c r="AV495" s="55">
        <v>0</v>
      </c>
      <c r="AW495" s="57"/>
      <c r="AX495" s="57"/>
      <c r="AY495" s="56">
        <f t="shared" si="200"/>
        <v>0.2</v>
      </c>
      <c r="AZ495" s="55"/>
      <c r="BA495" s="56" t="s">
        <v>1912</v>
      </c>
      <c r="BB495" s="41" t="str">
        <f t="shared" si="190"/>
        <v/>
      </c>
      <c r="BC495" s="13"/>
      <c r="BD495" s="35"/>
      <c r="BE495" s="13"/>
      <c r="BF495" s="16"/>
      <c r="BG495" s="17">
        <f>IFERROR(BC495/AY495,"0")</f>
        <v>0</v>
      </c>
      <c r="BH495" s="16">
        <f>IFERROR(IF(F495=1,IF(BC495&lt;AY495*3,AY495*3-BC495,0),IF(BC495&lt;AY495,AY495-BC495,0)),"")</f>
        <v>0.2</v>
      </c>
    </row>
    <row r="496" spans="1:60" s="21" customFormat="1" ht="12.75" customHeight="1" x14ac:dyDescent="0.2">
      <c r="A496" s="51" t="s">
        <v>443</v>
      </c>
      <c r="B496" s="51"/>
      <c r="C496" s="66" t="s">
        <v>1803</v>
      </c>
      <c r="D496" s="52" t="s">
        <v>763</v>
      </c>
      <c r="E496" s="52" t="s">
        <v>764</v>
      </c>
      <c r="F496" s="53">
        <f>IFERROR(VLOOKUP(E496,Fornecedores!$A$2:$B$2700,2,FALSE),"")</f>
        <v>10</v>
      </c>
      <c r="G496" s="52" t="s">
        <v>444</v>
      </c>
      <c r="H496" s="54"/>
      <c r="I496" s="55">
        <f t="shared" si="191"/>
        <v>0</v>
      </c>
      <c r="J496" s="55">
        <v>0</v>
      </c>
      <c r="K496" s="55">
        <v>0</v>
      </c>
      <c r="L496" s="55">
        <v>0</v>
      </c>
      <c r="M496" s="55">
        <v>0</v>
      </c>
      <c r="N496" s="55">
        <f t="shared" si="192"/>
        <v>0</v>
      </c>
      <c r="O496" s="55">
        <v>0</v>
      </c>
      <c r="P496" s="55">
        <v>0</v>
      </c>
      <c r="Q496" s="55">
        <v>0</v>
      </c>
      <c r="R496" s="55">
        <f t="shared" si="193"/>
        <v>0</v>
      </c>
      <c r="S496" s="55">
        <v>0</v>
      </c>
      <c r="T496" s="55">
        <v>0</v>
      </c>
      <c r="U496" s="55">
        <v>0</v>
      </c>
      <c r="V496" s="55">
        <v>0</v>
      </c>
      <c r="W496" s="53">
        <v>0</v>
      </c>
      <c r="X496" s="53">
        <v>0</v>
      </c>
      <c r="Y496" s="55">
        <v>0</v>
      </c>
      <c r="Z496" s="55">
        <v>0</v>
      </c>
      <c r="AA496" s="53">
        <v>0</v>
      </c>
      <c r="AB496" s="53">
        <v>0</v>
      </c>
      <c r="AC496" s="55">
        <v>0</v>
      </c>
      <c r="AD496" s="55">
        <f t="shared" si="194"/>
        <v>0</v>
      </c>
      <c r="AE496" s="53">
        <v>0</v>
      </c>
      <c r="AF496" s="55">
        <v>0</v>
      </c>
      <c r="AG496" s="55">
        <v>0</v>
      </c>
      <c r="AH496" s="55">
        <f t="shared" si="198"/>
        <v>1</v>
      </c>
      <c r="AI496" s="55">
        <v>0</v>
      </c>
      <c r="AJ496" s="55">
        <v>1</v>
      </c>
      <c r="AK496" s="55">
        <v>0</v>
      </c>
      <c r="AL496" s="55">
        <f t="shared" si="199"/>
        <v>1</v>
      </c>
      <c r="AM496" s="55" t="s">
        <v>1912</v>
      </c>
      <c r="AN496" s="55">
        <v>1</v>
      </c>
      <c r="AO496" s="55">
        <v>0</v>
      </c>
      <c r="AP496" s="55">
        <f t="shared" si="183"/>
        <v>1</v>
      </c>
      <c r="AQ496" s="55">
        <f>IFERROR(VLOOKUP(A496,[1]SIIMPLES!$A$2:$F$418,6,FALSE),0)</f>
        <v>0</v>
      </c>
      <c r="AR496" s="55">
        <v>1</v>
      </c>
      <c r="AS496" s="55">
        <v>0</v>
      </c>
      <c r="AT496" s="55">
        <v>0</v>
      </c>
      <c r="AU496" s="55">
        <v>0</v>
      </c>
      <c r="AV496" s="55">
        <v>0</v>
      </c>
      <c r="AW496" s="55"/>
      <c r="AX496" s="55"/>
      <c r="AY496" s="56">
        <f t="shared" si="200"/>
        <v>0.3</v>
      </c>
      <c r="AZ496" s="55"/>
      <c r="BA496" s="56">
        <v>0.16666666666666666</v>
      </c>
      <c r="BB496" s="41">
        <f t="shared" si="190"/>
        <v>0.8</v>
      </c>
      <c r="BC496" s="13"/>
      <c r="BD496" s="35"/>
      <c r="BE496" s="7"/>
      <c r="BF496" s="16"/>
      <c r="BG496" s="17">
        <f>IFERROR(BC496/AY496,"0")</f>
        <v>0</v>
      </c>
      <c r="BH496" s="16">
        <f>IFERROR(IF(F496=1,IF(BC496&lt;AY496*3,AY496*3-BC496,0),IF(BC496&lt;AY496,AY496-BC496,0)),"")</f>
        <v>0.3</v>
      </c>
    </row>
    <row r="497" spans="1:60" s="21" customFormat="1" ht="12.75" customHeight="1" x14ac:dyDescent="0.2">
      <c r="A497" s="51" t="s">
        <v>582</v>
      </c>
      <c r="B497" s="51"/>
      <c r="C497" s="66" t="s">
        <v>1803</v>
      </c>
      <c r="D497" s="52" t="s">
        <v>763</v>
      </c>
      <c r="E497" s="52" t="s">
        <v>764</v>
      </c>
      <c r="F497" s="53">
        <f>IFERROR(VLOOKUP(E497,Fornecedores!$A$2:$B$2700,2,FALSE),"")</f>
        <v>10</v>
      </c>
      <c r="G497" s="52" t="s">
        <v>583</v>
      </c>
      <c r="H497" s="54"/>
      <c r="I497" s="55">
        <f t="shared" si="191"/>
        <v>0</v>
      </c>
      <c r="J497" s="55">
        <v>0</v>
      </c>
      <c r="K497" s="55">
        <v>0</v>
      </c>
      <c r="L497" s="55">
        <v>0</v>
      </c>
      <c r="M497" s="55">
        <v>0</v>
      </c>
      <c r="N497" s="55">
        <f t="shared" si="192"/>
        <v>0</v>
      </c>
      <c r="O497" s="55">
        <v>0</v>
      </c>
      <c r="P497" s="55">
        <v>0</v>
      </c>
      <c r="Q497" s="55">
        <v>0</v>
      </c>
      <c r="R497" s="55">
        <f t="shared" si="193"/>
        <v>0</v>
      </c>
      <c r="S497" s="55">
        <v>0</v>
      </c>
      <c r="T497" s="55">
        <v>0</v>
      </c>
      <c r="U497" s="55">
        <v>0</v>
      </c>
      <c r="V497" s="55">
        <v>0</v>
      </c>
      <c r="W497" s="53">
        <v>0</v>
      </c>
      <c r="X497" s="53">
        <v>0</v>
      </c>
      <c r="Y497" s="55">
        <v>0</v>
      </c>
      <c r="Z497" s="55">
        <v>0</v>
      </c>
      <c r="AA497" s="53">
        <v>0</v>
      </c>
      <c r="AB497" s="53">
        <v>0</v>
      </c>
      <c r="AC497" s="55">
        <v>0</v>
      </c>
      <c r="AD497" s="55">
        <f t="shared" si="194"/>
        <v>2</v>
      </c>
      <c r="AE497" s="53">
        <v>2</v>
      </c>
      <c r="AF497" s="55">
        <v>0</v>
      </c>
      <c r="AG497" s="55">
        <v>0</v>
      </c>
      <c r="AH497" s="55">
        <f t="shared" si="198"/>
        <v>1</v>
      </c>
      <c r="AI497" s="55">
        <v>0</v>
      </c>
      <c r="AJ497" s="55">
        <v>1</v>
      </c>
      <c r="AK497" s="55">
        <v>0</v>
      </c>
      <c r="AL497" s="55">
        <f t="shared" si="199"/>
        <v>3</v>
      </c>
      <c r="AM497" s="55">
        <v>2</v>
      </c>
      <c r="AN497" s="55">
        <v>1</v>
      </c>
      <c r="AO497" s="55">
        <v>0</v>
      </c>
      <c r="AP497" s="55">
        <f t="shared" si="183"/>
        <v>1</v>
      </c>
      <c r="AQ497" s="55">
        <f>IFERROR(VLOOKUP(A497,[1]SIIMPLES!$A$2:$F$418,6,FALSE),0)</f>
        <v>0</v>
      </c>
      <c r="AR497" s="55">
        <v>1</v>
      </c>
      <c r="AS497" s="55">
        <v>0</v>
      </c>
      <c r="AT497" s="55">
        <v>0</v>
      </c>
      <c r="AU497" s="55">
        <v>0</v>
      </c>
      <c r="AV497" s="55">
        <v>0</v>
      </c>
      <c r="AW497" s="55"/>
      <c r="AX497" s="55"/>
      <c r="AY497" s="56">
        <f t="shared" si="200"/>
        <v>0.7</v>
      </c>
      <c r="AZ497" s="55"/>
      <c r="BA497" s="56">
        <v>0.16666666666666666</v>
      </c>
      <c r="BB497" s="41">
        <f t="shared" si="190"/>
        <v>3.2</v>
      </c>
      <c r="BC497" s="13"/>
      <c r="BD497" s="36"/>
      <c r="BE497" s="7"/>
      <c r="BF497" s="7"/>
      <c r="BG497" s="7"/>
      <c r="BH497" s="7"/>
    </row>
    <row r="498" spans="1:60" s="21" customFormat="1" ht="12.75" customHeight="1" x14ac:dyDescent="0.2">
      <c r="A498" s="51" t="s">
        <v>1122</v>
      </c>
      <c r="B498" s="51"/>
      <c r="C498" s="66" t="s">
        <v>1803</v>
      </c>
      <c r="D498" s="52" t="s">
        <v>745</v>
      </c>
      <c r="E498" s="52" t="s">
        <v>780</v>
      </c>
      <c r="F498" s="53">
        <f>IFERROR(VLOOKUP(E498,Fornecedores!$A$2:$B$2700,2,FALSE),"")</f>
        <v>2</v>
      </c>
      <c r="G498" s="52" t="s">
        <v>1165</v>
      </c>
      <c r="H498" s="54"/>
      <c r="I498" s="55">
        <f t="shared" si="191"/>
        <v>0</v>
      </c>
      <c r="J498" s="55">
        <v>0</v>
      </c>
      <c r="K498" s="55">
        <v>0</v>
      </c>
      <c r="L498" s="55">
        <v>0</v>
      </c>
      <c r="M498" s="55">
        <v>0</v>
      </c>
      <c r="N498" s="55">
        <f t="shared" si="192"/>
        <v>0</v>
      </c>
      <c r="O498" s="55">
        <v>0</v>
      </c>
      <c r="P498" s="55">
        <v>0</v>
      </c>
      <c r="Q498" s="55">
        <v>0</v>
      </c>
      <c r="R498" s="55">
        <f t="shared" si="193"/>
        <v>0</v>
      </c>
      <c r="S498" s="55">
        <v>0</v>
      </c>
      <c r="T498" s="55">
        <v>0</v>
      </c>
      <c r="U498" s="55">
        <v>0</v>
      </c>
      <c r="V498" s="55">
        <v>2</v>
      </c>
      <c r="W498" s="53">
        <v>2</v>
      </c>
      <c r="X498" s="53">
        <v>0</v>
      </c>
      <c r="Y498" s="55">
        <v>0</v>
      </c>
      <c r="Z498" s="55">
        <v>1</v>
      </c>
      <c r="AA498" s="53">
        <v>1</v>
      </c>
      <c r="AB498" s="53">
        <v>0</v>
      </c>
      <c r="AC498" s="55">
        <v>0</v>
      </c>
      <c r="AD498" s="55">
        <f t="shared" si="194"/>
        <v>0</v>
      </c>
      <c r="AE498" s="53">
        <v>0</v>
      </c>
      <c r="AF498" s="55">
        <v>0</v>
      </c>
      <c r="AG498" s="55">
        <v>0</v>
      </c>
      <c r="AH498" s="55">
        <f t="shared" si="198"/>
        <v>1</v>
      </c>
      <c r="AI498" s="55">
        <v>1</v>
      </c>
      <c r="AJ498" s="55">
        <v>0</v>
      </c>
      <c r="AK498" s="55">
        <v>0</v>
      </c>
      <c r="AL498" s="55">
        <f t="shared" si="199"/>
        <v>1</v>
      </c>
      <c r="AM498" s="55">
        <v>1</v>
      </c>
      <c r="AN498" s="55">
        <v>0</v>
      </c>
      <c r="AO498" s="55">
        <v>0</v>
      </c>
      <c r="AP498" s="55">
        <f t="shared" si="183"/>
        <v>1</v>
      </c>
      <c r="AQ498" s="55">
        <f>IFERROR(VLOOKUP(A498,[1]SIIMPLES!$A$2:$F$418,6,FALSE),0)</f>
        <v>1</v>
      </c>
      <c r="AR498" s="55">
        <v>0</v>
      </c>
      <c r="AS498" s="55">
        <v>0</v>
      </c>
      <c r="AT498" s="55">
        <v>0</v>
      </c>
      <c r="AU498" s="55">
        <v>0</v>
      </c>
      <c r="AV498" s="55">
        <v>0</v>
      </c>
      <c r="AW498" s="55"/>
      <c r="AX498" s="55"/>
      <c r="AY498" s="56">
        <f t="shared" si="200"/>
        <v>0.6</v>
      </c>
      <c r="AZ498" s="55"/>
      <c r="BA498" s="56">
        <v>0</v>
      </c>
      <c r="BB498" s="41" t="str">
        <f t="shared" si="190"/>
        <v/>
      </c>
      <c r="BC498" s="13"/>
      <c r="BD498" s="35"/>
      <c r="BE498" s="13"/>
      <c r="BF498" s="16"/>
      <c r="BG498" s="17">
        <f>IFERROR(BC498/AY498,"0")</f>
        <v>0</v>
      </c>
      <c r="BH498" s="7"/>
    </row>
    <row r="499" spans="1:60" s="21" customFormat="1" ht="12.75" customHeight="1" x14ac:dyDescent="0.2">
      <c r="A499" s="51" t="s">
        <v>336</v>
      </c>
      <c r="B499" s="51"/>
      <c r="C499" s="66" t="s">
        <v>1803</v>
      </c>
      <c r="D499" s="52" t="s">
        <v>742</v>
      </c>
      <c r="E499" s="52" t="s">
        <v>741</v>
      </c>
      <c r="F499" s="53">
        <f>IFERROR(VLOOKUP(E499,Fornecedores!$A$2:$B$2700,2,FALSE),"")</f>
        <v>7</v>
      </c>
      <c r="G499" s="52" t="s">
        <v>337</v>
      </c>
      <c r="H499" s="54"/>
      <c r="I499" s="55">
        <f t="shared" si="191"/>
        <v>0</v>
      </c>
      <c r="J499" s="55">
        <v>0</v>
      </c>
      <c r="K499" s="55">
        <v>0</v>
      </c>
      <c r="L499" s="55">
        <v>0</v>
      </c>
      <c r="M499" s="55">
        <v>0</v>
      </c>
      <c r="N499" s="55">
        <f t="shared" si="192"/>
        <v>0</v>
      </c>
      <c r="O499" s="55">
        <v>0</v>
      </c>
      <c r="P499" s="55">
        <v>0</v>
      </c>
      <c r="Q499" s="55">
        <v>0</v>
      </c>
      <c r="R499" s="55">
        <f t="shared" si="193"/>
        <v>0</v>
      </c>
      <c r="S499" s="55">
        <v>0</v>
      </c>
      <c r="T499" s="55">
        <v>0</v>
      </c>
      <c r="U499" s="55">
        <v>0</v>
      </c>
      <c r="V499" s="55">
        <v>0</v>
      </c>
      <c r="W499" s="53">
        <v>0</v>
      </c>
      <c r="X499" s="53">
        <v>0</v>
      </c>
      <c r="Y499" s="55">
        <v>0</v>
      </c>
      <c r="Z499" s="55">
        <v>0</v>
      </c>
      <c r="AA499" s="53">
        <v>0</v>
      </c>
      <c r="AB499" s="53">
        <v>0</v>
      </c>
      <c r="AC499" s="55">
        <v>0</v>
      </c>
      <c r="AD499" s="55">
        <f t="shared" si="194"/>
        <v>0</v>
      </c>
      <c r="AE499" s="53">
        <v>0</v>
      </c>
      <c r="AF499" s="55">
        <v>0</v>
      </c>
      <c r="AG499" s="55">
        <v>0</v>
      </c>
      <c r="AH499" s="55">
        <f t="shared" si="198"/>
        <v>0</v>
      </c>
      <c r="AI499" s="55">
        <v>0</v>
      </c>
      <c r="AJ499" s="55">
        <v>0</v>
      </c>
      <c r="AK499" s="55">
        <v>0</v>
      </c>
      <c r="AL499" s="55">
        <f t="shared" si="199"/>
        <v>0</v>
      </c>
      <c r="AM499" s="55" t="s">
        <v>1912</v>
      </c>
      <c r="AN499" s="55">
        <v>0</v>
      </c>
      <c r="AO499" s="55">
        <v>0</v>
      </c>
      <c r="AP499" s="55">
        <f t="shared" si="183"/>
        <v>1</v>
      </c>
      <c r="AQ499" s="55">
        <f>IFERROR(VLOOKUP(A499,[1]SIIMPLES!$A$2:$F$418,6,FALSE),0)</f>
        <v>1</v>
      </c>
      <c r="AR499" s="55">
        <v>0</v>
      </c>
      <c r="AS499" s="55">
        <v>0</v>
      </c>
      <c r="AT499" s="55">
        <v>0</v>
      </c>
      <c r="AU499" s="55">
        <v>0</v>
      </c>
      <c r="AV499" s="55">
        <v>0</v>
      </c>
      <c r="AW499" s="55"/>
      <c r="AX499" s="55"/>
      <c r="AY499" s="56">
        <f t="shared" si="200"/>
        <v>0.1</v>
      </c>
      <c r="AZ499" s="55"/>
      <c r="BA499" s="56">
        <v>0</v>
      </c>
      <c r="BB499" s="41" t="str">
        <f t="shared" si="190"/>
        <v/>
      </c>
      <c r="BC499" s="13"/>
      <c r="BD499" s="36"/>
      <c r="BE499" s="7"/>
      <c r="BF499" s="7"/>
      <c r="BG499" s="17">
        <f>IFERROR(BC499/AY499,"0")</f>
        <v>0</v>
      </c>
      <c r="BH499" s="7"/>
    </row>
    <row r="500" spans="1:60" s="21" customFormat="1" ht="12.75" customHeight="1" x14ac:dyDescent="0.2">
      <c r="A500" s="51" t="s">
        <v>269</v>
      </c>
      <c r="B500" s="51" t="s">
        <v>1077</v>
      </c>
      <c r="C500" s="66" t="s">
        <v>1803</v>
      </c>
      <c r="D500" s="52" t="s">
        <v>735</v>
      </c>
      <c r="E500" s="52" t="s">
        <v>736</v>
      </c>
      <c r="F500" s="53">
        <f>IFERROR(VLOOKUP(E500,Fornecedores!$A$2:$B$2700,2,FALSE),"")</f>
        <v>5</v>
      </c>
      <c r="G500" s="52" t="s">
        <v>270</v>
      </c>
      <c r="H500" s="54"/>
      <c r="I500" s="55">
        <f t="shared" si="191"/>
        <v>2</v>
      </c>
      <c r="J500" s="55">
        <v>0</v>
      </c>
      <c r="K500" s="55">
        <v>2</v>
      </c>
      <c r="L500" s="55">
        <v>0</v>
      </c>
      <c r="M500" s="55">
        <v>0</v>
      </c>
      <c r="N500" s="55">
        <f t="shared" si="192"/>
        <v>0</v>
      </c>
      <c r="O500" s="55">
        <v>0</v>
      </c>
      <c r="P500" s="55">
        <v>0</v>
      </c>
      <c r="Q500" s="55">
        <v>0</v>
      </c>
      <c r="R500" s="55">
        <f t="shared" si="193"/>
        <v>0</v>
      </c>
      <c r="S500" s="55">
        <v>0</v>
      </c>
      <c r="T500" s="55">
        <v>0</v>
      </c>
      <c r="U500" s="55">
        <v>0</v>
      </c>
      <c r="V500" s="55">
        <v>0</v>
      </c>
      <c r="W500" s="53">
        <v>0</v>
      </c>
      <c r="X500" s="53">
        <v>0</v>
      </c>
      <c r="Y500" s="55">
        <v>0</v>
      </c>
      <c r="Z500" s="55">
        <v>0</v>
      </c>
      <c r="AA500" s="53">
        <v>0</v>
      </c>
      <c r="AB500" s="53">
        <v>0</v>
      </c>
      <c r="AC500" s="55">
        <v>0</v>
      </c>
      <c r="AD500" s="55">
        <f t="shared" si="194"/>
        <v>1</v>
      </c>
      <c r="AE500" s="53">
        <v>0</v>
      </c>
      <c r="AF500" s="55">
        <v>1</v>
      </c>
      <c r="AG500" s="55">
        <v>0</v>
      </c>
      <c r="AH500" s="55">
        <f t="shared" si="198"/>
        <v>0</v>
      </c>
      <c r="AI500" s="55">
        <v>0</v>
      </c>
      <c r="AJ500" s="55">
        <v>0</v>
      </c>
      <c r="AK500" s="55">
        <v>0</v>
      </c>
      <c r="AL500" s="55">
        <f t="shared" si="199"/>
        <v>1</v>
      </c>
      <c r="AM500" s="55" t="s">
        <v>1912</v>
      </c>
      <c r="AN500" s="55">
        <v>1</v>
      </c>
      <c r="AO500" s="55">
        <v>0</v>
      </c>
      <c r="AP500" s="55">
        <f t="shared" ref="AP500:AP563" si="201">SUM(AQ500:AR500)</f>
        <v>1</v>
      </c>
      <c r="AQ500" s="55">
        <f>IFERROR(VLOOKUP(A500,[1]SIIMPLES!$A$2:$F$418,6,FALSE),0)</f>
        <v>0</v>
      </c>
      <c r="AR500" s="55">
        <v>1</v>
      </c>
      <c r="AS500" s="55">
        <v>0</v>
      </c>
      <c r="AT500" s="55">
        <v>0</v>
      </c>
      <c r="AU500" s="55">
        <v>0</v>
      </c>
      <c r="AV500" s="55">
        <v>0</v>
      </c>
      <c r="AW500" s="55"/>
      <c r="AX500" s="55"/>
      <c r="AY500" s="56">
        <f t="shared" si="200"/>
        <v>0.5</v>
      </c>
      <c r="AZ500" s="55"/>
      <c r="BA500" s="56">
        <v>6.333333333333333</v>
      </c>
      <c r="BB500" s="41">
        <f t="shared" si="190"/>
        <v>-0.92105263157894735</v>
      </c>
      <c r="BC500" s="13"/>
      <c r="BD500" s="35"/>
      <c r="BE500" s="7"/>
      <c r="BF500" s="16"/>
      <c r="BG500" s="17">
        <f>IFERROR(BC500/AY500,"0")</f>
        <v>0</v>
      </c>
      <c r="BH500" s="16">
        <f>IFERROR(IF(F500=1,IF(BC500&lt;AY500*3,AY500*3-BC500,0),IF(BC500&lt;AY500,AY500-BC500,0)),"")</f>
        <v>0.5</v>
      </c>
    </row>
    <row r="501" spans="1:60" s="21" customFormat="1" ht="12.75" customHeight="1" x14ac:dyDescent="0.2">
      <c r="A501" s="51" t="s">
        <v>259</v>
      </c>
      <c r="B501" s="51" t="s">
        <v>1077</v>
      </c>
      <c r="C501" s="66" t="s">
        <v>1803</v>
      </c>
      <c r="D501" s="52" t="s">
        <v>735</v>
      </c>
      <c r="E501" s="52" t="s">
        <v>736</v>
      </c>
      <c r="F501" s="53">
        <f>IFERROR(VLOOKUP(E501,Fornecedores!$A$2:$B$2700,2,FALSE),"")</f>
        <v>5</v>
      </c>
      <c r="G501" s="52" t="s">
        <v>260</v>
      </c>
      <c r="H501" s="54"/>
      <c r="I501" s="55">
        <f t="shared" si="191"/>
        <v>2</v>
      </c>
      <c r="J501" s="55">
        <v>0</v>
      </c>
      <c r="K501" s="55">
        <v>2</v>
      </c>
      <c r="L501" s="55">
        <v>0</v>
      </c>
      <c r="M501" s="55">
        <v>0</v>
      </c>
      <c r="N501" s="55">
        <f t="shared" si="192"/>
        <v>0</v>
      </c>
      <c r="O501" s="55">
        <v>0</v>
      </c>
      <c r="P501" s="55">
        <v>0</v>
      </c>
      <c r="Q501" s="55">
        <v>0</v>
      </c>
      <c r="R501" s="55">
        <f t="shared" si="193"/>
        <v>0</v>
      </c>
      <c r="S501" s="55">
        <v>0</v>
      </c>
      <c r="T501" s="55">
        <v>0</v>
      </c>
      <c r="U501" s="55">
        <v>0</v>
      </c>
      <c r="V501" s="55">
        <v>0</v>
      </c>
      <c r="W501" s="53">
        <v>0</v>
      </c>
      <c r="X501" s="53">
        <v>0</v>
      </c>
      <c r="Y501" s="55">
        <v>0</v>
      </c>
      <c r="Z501" s="55">
        <v>0</v>
      </c>
      <c r="AA501" s="53">
        <v>0</v>
      </c>
      <c r="AB501" s="53">
        <v>0</v>
      </c>
      <c r="AC501" s="55">
        <v>0</v>
      </c>
      <c r="AD501" s="55">
        <f t="shared" si="194"/>
        <v>1</v>
      </c>
      <c r="AE501" s="53">
        <v>0</v>
      </c>
      <c r="AF501" s="55">
        <v>1</v>
      </c>
      <c r="AG501" s="55">
        <v>0</v>
      </c>
      <c r="AH501" s="55">
        <f t="shared" si="198"/>
        <v>0</v>
      </c>
      <c r="AI501" s="55">
        <v>0</v>
      </c>
      <c r="AJ501" s="55">
        <v>0</v>
      </c>
      <c r="AK501" s="55">
        <v>0</v>
      </c>
      <c r="AL501" s="55">
        <f t="shared" si="199"/>
        <v>1</v>
      </c>
      <c r="AM501" s="55" t="s">
        <v>1912</v>
      </c>
      <c r="AN501" s="55">
        <v>1</v>
      </c>
      <c r="AO501" s="55">
        <v>0</v>
      </c>
      <c r="AP501" s="55">
        <f t="shared" si="201"/>
        <v>1</v>
      </c>
      <c r="AQ501" s="55">
        <f>IFERROR(VLOOKUP(A501,[1]SIIMPLES!$A$2:$F$418,6,FALSE),0)</f>
        <v>0</v>
      </c>
      <c r="AR501" s="55">
        <v>1</v>
      </c>
      <c r="AS501" s="55">
        <v>1</v>
      </c>
      <c r="AT501" s="55">
        <v>1</v>
      </c>
      <c r="AU501" s="55">
        <v>0</v>
      </c>
      <c r="AV501" s="55">
        <v>0</v>
      </c>
      <c r="AW501" s="55"/>
      <c r="AX501" s="55"/>
      <c r="AY501" s="56">
        <f t="shared" si="200"/>
        <v>0.6</v>
      </c>
      <c r="AZ501" s="55"/>
      <c r="BA501" s="56">
        <v>6.166666666666667</v>
      </c>
      <c r="BB501" s="41">
        <f>1-BA501/AY501</f>
        <v>-9.2777777777777786</v>
      </c>
      <c r="BC501" s="13"/>
      <c r="BD501" s="36"/>
      <c r="BE501" s="7"/>
      <c r="BF501" s="7"/>
      <c r="BG501" s="7"/>
      <c r="BH501" s="7"/>
    </row>
    <row r="502" spans="1:60" s="21" customFormat="1" ht="12.75" customHeight="1" x14ac:dyDescent="0.2">
      <c r="A502" s="51" t="s">
        <v>1391</v>
      </c>
      <c r="B502" s="51"/>
      <c r="C502" s="66" t="s">
        <v>1803</v>
      </c>
      <c r="D502" s="65" t="s">
        <v>731</v>
      </c>
      <c r="E502" s="52" t="s">
        <v>730</v>
      </c>
      <c r="F502" s="53">
        <f>IFERROR(VLOOKUP(E502,Fornecedores!$A$2:$B$2700,2,FALSE),"")</f>
        <v>3</v>
      </c>
      <c r="G502" s="52" t="s">
        <v>1583</v>
      </c>
      <c r="H502" s="57" t="s">
        <v>1075</v>
      </c>
      <c r="I502" s="55">
        <f t="shared" si="191"/>
        <v>2</v>
      </c>
      <c r="J502" s="55">
        <v>2</v>
      </c>
      <c r="K502" s="55">
        <v>0</v>
      </c>
      <c r="L502" s="55">
        <v>0</v>
      </c>
      <c r="M502" s="55">
        <v>0</v>
      </c>
      <c r="N502" s="55">
        <f t="shared" si="192"/>
        <v>1</v>
      </c>
      <c r="O502" s="55">
        <v>1</v>
      </c>
      <c r="P502" s="55">
        <v>0</v>
      </c>
      <c r="Q502" s="55">
        <v>0</v>
      </c>
      <c r="R502" s="55">
        <f t="shared" si="193"/>
        <v>2</v>
      </c>
      <c r="S502" s="55">
        <v>2</v>
      </c>
      <c r="T502" s="55">
        <v>0</v>
      </c>
      <c r="U502" s="55">
        <v>0</v>
      </c>
      <c r="V502" s="55">
        <v>3</v>
      </c>
      <c r="W502" s="53">
        <v>3</v>
      </c>
      <c r="X502" s="53">
        <v>0</v>
      </c>
      <c r="Y502" s="55">
        <v>0</v>
      </c>
      <c r="Z502" s="55">
        <v>2</v>
      </c>
      <c r="AA502" s="53">
        <v>2</v>
      </c>
      <c r="AB502" s="53">
        <v>0</v>
      </c>
      <c r="AC502" s="55">
        <v>0</v>
      </c>
      <c r="AD502" s="55">
        <f t="shared" si="194"/>
        <v>8</v>
      </c>
      <c r="AE502" s="53">
        <v>8</v>
      </c>
      <c r="AF502" s="55">
        <v>0</v>
      </c>
      <c r="AG502" s="55">
        <v>0</v>
      </c>
      <c r="AH502" s="55">
        <f t="shared" si="198"/>
        <v>0</v>
      </c>
      <c r="AI502" s="55">
        <v>0</v>
      </c>
      <c r="AJ502" s="55">
        <v>0</v>
      </c>
      <c r="AK502" s="55">
        <v>0</v>
      </c>
      <c r="AL502" s="55">
        <f t="shared" si="199"/>
        <v>1</v>
      </c>
      <c r="AM502" s="55">
        <v>1</v>
      </c>
      <c r="AN502" s="55">
        <v>0</v>
      </c>
      <c r="AO502" s="55">
        <v>0</v>
      </c>
      <c r="AP502" s="55">
        <f t="shared" si="201"/>
        <v>1</v>
      </c>
      <c r="AQ502" s="55">
        <f>IFERROR(VLOOKUP(A502,[1]SIIMPLES!$A$2:$F$418,6,FALSE),0)</f>
        <v>1</v>
      </c>
      <c r="AR502" s="55">
        <v>0</v>
      </c>
      <c r="AS502" s="55">
        <v>2</v>
      </c>
      <c r="AT502" s="55">
        <v>2</v>
      </c>
      <c r="AU502" s="55">
        <v>0</v>
      </c>
      <c r="AV502" s="55">
        <v>0</v>
      </c>
      <c r="AW502" s="57"/>
      <c r="AX502" s="55"/>
      <c r="AY502" s="56">
        <f t="shared" si="200"/>
        <v>2.2000000000000002</v>
      </c>
      <c r="AZ502" s="55"/>
      <c r="BA502" s="56">
        <v>0</v>
      </c>
      <c r="BB502" s="41" t="str">
        <f t="shared" ref="BB502:BB533" si="202">IFERROR(AY502/BA502-1,"")</f>
        <v/>
      </c>
      <c r="BC502" s="13"/>
      <c r="BD502" s="35"/>
      <c r="BE502" s="13"/>
      <c r="BF502" s="16">
        <f>SUM(BC502:BE502)</f>
        <v>0</v>
      </c>
      <c r="BG502" s="17">
        <f>IFERROR(BC502/AY502,"0")</f>
        <v>0</v>
      </c>
      <c r="BH502" s="16">
        <f>ROUND(IFERROR(IF(F502=1,IF(BC502&lt;AY502*3,AY502*3-BC502,0),IF(BC502&lt;AY502,AY502*0.6-BC502,0)),""),0)</f>
        <v>1</v>
      </c>
    </row>
    <row r="503" spans="1:60" s="21" customFormat="1" ht="12.75" customHeight="1" x14ac:dyDescent="0.2">
      <c r="A503" s="51" t="s">
        <v>1261</v>
      </c>
      <c r="B503" s="51"/>
      <c r="C503" s="66" t="s">
        <v>1803</v>
      </c>
      <c r="D503" s="52" t="s">
        <v>740</v>
      </c>
      <c r="E503" s="52" t="s">
        <v>741</v>
      </c>
      <c r="F503" s="53">
        <f>IFERROR(VLOOKUP(E503,Fornecedores!$A$2:$B$2700,2,FALSE),"")</f>
        <v>7</v>
      </c>
      <c r="G503" s="52" t="s">
        <v>1604</v>
      </c>
      <c r="H503" s="57"/>
      <c r="I503" s="55">
        <f t="shared" si="191"/>
        <v>0</v>
      </c>
      <c r="J503" s="55">
        <v>0</v>
      </c>
      <c r="K503" s="55">
        <v>0</v>
      </c>
      <c r="L503" s="55">
        <v>0</v>
      </c>
      <c r="M503" s="55">
        <v>0</v>
      </c>
      <c r="N503" s="55">
        <f t="shared" si="192"/>
        <v>1</v>
      </c>
      <c r="O503" s="55">
        <v>1</v>
      </c>
      <c r="P503" s="55">
        <v>0</v>
      </c>
      <c r="Q503" s="55">
        <v>0</v>
      </c>
      <c r="R503" s="55">
        <f t="shared" si="193"/>
        <v>0</v>
      </c>
      <c r="S503" s="55">
        <v>0</v>
      </c>
      <c r="T503" s="55">
        <v>0</v>
      </c>
      <c r="U503" s="55">
        <v>0</v>
      </c>
      <c r="V503" s="55">
        <v>0</v>
      </c>
      <c r="W503" s="53">
        <v>0</v>
      </c>
      <c r="X503" s="53">
        <v>0</v>
      </c>
      <c r="Y503" s="55">
        <v>0</v>
      </c>
      <c r="Z503" s="55">
        <v>1</v>
      </c>
      <c r="AA503" s="53">
        <v>1</v>
      </c>
      <c r="AB503" s="53">
        <v>0</v>
      </c>
      <c r="AC503" s="55">
        <v>0</v>
      </c>
      <c r="AD503" s="55">
        <f t="shared" si="194"/>
        <v>0</v>
      </c>
      <c r="AE503" s="53">
        <v>0</v>
      </c>
      <c r="AF503" s="55">
        <v>0</v>
      </c>
      <c r="AG503" s="55">
        <v>0</v>
      </c>
      <c r="AH503" s="55">
        <f t="shared" si="198"/>
        <v>0</v>
      </c>
      <c r="AI503" s="55">
        <v>0</v>
      </c>
      <c r="AJ503" s="55">
        <v>0</v>
      </c>
      <c r="AK503" s="55">
        <v>0</v>
      </c>
      <c r="AL503" s="55">
        <f t="shared" si="199"/>
        <v>2</v>
      </c>
      <c r="AM503" s="55" t="s">
        <v>1912</v>
      </c>
      <c r="AN503" s="55">
        <v>2</v>
      </c>
      <c r="AO503" s="55">
        <v>0</v>
      </c>
      <c r="AP503" s="55">
        <f t="shared" si="201"/>
        <v>1</v>
      </c>
      <c r="AQ503" s="55">
        <f>IFERROR(VLOOKUP(A503,[1]SIIMPLES!$A$2:$F$418,6,FALSE),0)</f>
        <v>1</v>
      </c>
      <c r="AR503" s="55">
        <v>0</v>
      </c>
      <c r="AS503" s="55">
        <v>3</v>
      </c>
      <c r="AT503" s="55">
        <v>1</v>
      </c>
      <c r="AU503" s="55">
        <v>2</v>
      </c>
      <c r="AV503" s="55">
        <v>0</v>
      </c>
      <c r="AW503" s="55"/>
      <c r="AX503" s="55"/>
      <c r="AY503" s="56">
        <f t="shared" si="200"/>
        <v>0.8</v>
      </c>
      <c r="AZ503" s="55"/>
      <c r="BA503" s="56">
        <v>1</v>
      </c>
      <c r="BB503" s="41">
        <f t="shared" si="202"/>
        <v>-0.19999999999999996</v>
      </c>
      <c r="BC503" s="13"/>
      <c r="BD503" s="35"/>
      <c r="BE503" s="13"/>
      <c r="BF503" s="16">
        <f>SUM(BC503:BE503)</f>
        <v>0</v>
      </c>
      <c r="BG503" s="17">
        <f>IFERROR(BC503/AY503,"0")</f>
        <v>0</v>
      </c>
      <c r="BH503" s="16">
        <f>IFERROR(IF(F503=1,IF(BC503&lt;AY503*3,AY503*3-BC503,0),IF(BC503&lt;AY503,AY503-BC503,0)),"")</f>
        <v>0.8</v>
      </c>
    </row>
    <row r="504" spans="1:60" s="21" customFormat="1" ht="12.75" customHeight="1" x14ac:dyDescent="0.2">
      <c r="A504" s="51" t="s">
        <v>584</v>
      </c>
      <c r="B504" s="51" t="s">
        <v>1077</v>
      </c>
      <c r="C504" s="66" t="s">
        <v>1803</v>
      </c>
      <c r="D504" s="52" t="s">
        <v>740</v>
      </c>
      <c r="E504" s="52" t="s">
        <v>741</v>
      </c>
      <c r="F504" s="53">
        <f>IFERROR(VLOOKUP(E504,Fornecedores!$A$2:$B$2700,2,FALSE),"")</f>
        <v>7</v>
      </c>
      <c r="G504" s="52" t="s">
        <v>585</v>
      </c>
      <c r="H504" s="54"/>
      <c r="I504" s="55">
        <f t="shared" si="191"/>
        <v>5</v>
      </c>
      <c r="J504" s="55">
        <v>5</v>
      </c>
      <c r="K504" s="55">
        <v>0</v>
      </c>
      <c r="L504" s="55">
        <v>0</v>
      </c>
      <c r="M504" s="55">
        <v>0</v>
      </c>
      <c r="N504" s="55">
        <f t="shared" si="192"/>
        <v>0</v>
      </c>
      <c r="O504" s="55">
        <v>0</v>
      </c>
      <c r="P504" s="55">
        <v>0</v>
      </c>
      <c r="Q504" s="55">
        <v>0</v>
      </c>
      <c r="R504" s="55">
        <f t="shared" si="193"/>
        <v>0</v>
      </c>
      <c r="S504" s="55">
        <v>0</v>
      </c>
      <c r="T504" s="55">
        <v>0</v>
      </c>
      <c r="U504" s="55">
        <v>0</v>
      </c>
      <c r="V504" s="55">
        <v>3</v>
      </c>
      <c r="W504" s="53">
        <v>3</v>
      </c>
      <c r="X504" s="53">
        <v>0</v>
      </c>
      <c r="Y504" s="55">
        <v>0</v>
      </c>
      <c r="Z504" s="55">
        <v>3</v>
      </c>
      <c r="AA504" s="53">
        <v>1</v>
      </c>
      <c r="AB504" s="53">
        <v>2</v>
      </c>
      <c r="AC504" s="55">
        <v>0</v>
      </c>
      <c r="AD504" s="55">
        <f t="shared" si="194"/>
        <v>0</v>
      </c>
      <c r="AE504" s="53">
        <v>0</v>
      </c>
      <c r="AF504" s="55">
        <v>0</v>
      </c>
      <c r="AG504" s="55">
        <v>0</v>
      </c>
      <c r="AH504" s="55">
        <f t="shared" si="198"/>
        <v>2</v>
      </c>
      <c r="AI504" s="55">
        <v>0</v>
      </c>
      <c r="AJ504" s="55">
        <v>2</v>
      </c>
      <c r="AK504" s="55">
        <v>0</v>
      </c>
      <c r="AL504" s="55">
        <f t="shared" si="199"/>
        <v>1</v>
      </c>
      <c r="AM504" s="55">
        <v>1</v>
      </c>
      <c r="AN504" s="55">
        <v>0</v>
      </c>
      <c r="AO504" s="55">
        <v>0</v>
      </c>
      <c r="AP504" s="55">
        <f t="shared" si="201"/>
        <v>1</v>
      </c>
      <c r="AQ504" s="55">
        <f>IFERROR(VLOOKUP(A504,[1]SIIMPLES!$A$2:$F$418,6,FALSE),0)</f>
        <v>1</v>
      </c>
      <c r="AR504" s="55">
        <v>0</v>
      </c>
      <c r="AS504" s="55">
        <v>7</v>
      </c>
      <c r="AT504" s="55">
        <v>5</v>
      </c>
      <c r="AU504" s="55">
        <v>2</v>
      </c>
      <c r="AV504" s="55">
        <v>0</v>
      </c>
      <c r="AW504" s="55"/>
      <c r="AX504" s="55"/>
      <c r="AY504" s="56">
        <f t="shared" si="200"/>
        <v>2.2000000000000002</v>
      </c>
      <c r="AZ504" s="55"/>
      <c r="BA504" s="56">
        <v>1.3333333333333333</v>
      </c>
      <c r="BB504" s="41">
        <f t="shared" si="202"/>
        <v>0.65000000000000013</v>
      </c>
      <c r="BC504" s="7"/>
      <c r="BD504" s="36"/>
      <c r="BE504" s="7"/>
      <c r="BF504" s="7"/>
      <c r="BG504" s="7"/>
      <c r="BH504" s="7"/>
    </row>
    <row r="505" spans="1:60" s="21" customFormat="1" ht="12.75" customHeight="1" x14ac:dyDescent="0.2">
      <c r="A505" s="51" t="s">
        <v>1279</v>
      </c>
      <c r="B505" s="51"/>
      <c r="C505" s="66" t="s">
        <v>1803</v>
      </c>
      <c r="D505" s="52" t="s">
        <v>740</v>
      </c>
      <c r="E505" s="52" t="s">
        <v>741</v>
      </c>
      <c r="F505" s="53">
        <f>IFERROR(VLOOKUP(E505,Fornecedores!$A$2:$B$2700,2,FALSE),"")</f>
        <v>7</v>
      </c>
      <c r="G505" s="52" t="s">
        <v>1577</v>
      </c>
      <c r="H505" s="57"/>
      <c r="I505" s="55">
        <f t="shared" si="191"/>
        <v>2</v>
      </c>
      <c r="J505" s="55">
        <v>0</v>
      </c>
      <c r="K505" s="55">
        <v>2</v>
      </c>
      <c r="L505" s="55">
        <v>0</v>
      </c>
      <c r="M505" s="55">
        <v>0</v>
      </c>
      <c r="N505" s="55">
        <f t="shared" si="192"/>
        <v>0</v>
      </c>
      <c r="O505" s="55">
        <v>0</v>
      </c>
      <c r="P505" s="55">
        <v>0</v>
      </c>
      <c r="Q505" s="55">
        <v>0</v>
      </c>
      <c r="R505" s="55">
        <f t="shared" si="193"/>
        <v>8</v>
      </c>
      <c r="S505" s="55">
        <v>0</v>
      </c>
      <c r="T505" s="55">
        <v>8</v>
      </c>
      <c r="U505" s="55">
        <v>0</v>
      </c>
      <c r="V505" s="55">
        <v>4</v>
      </c>
      <c r="W505" s="53">
        <v>0</v>
      </c>
      <c r="X505" s="53">
        <v>4</v>
      </c>
      <c r="Y505" s="55">
        <v>0</v>
      </c>
      <c r="Z505" s="55">
        <v>12</v>
      </c>
      <c r="AA505" s="53">
        <v>2</v>
      </c>
      <c r="AB505" s="53">
        <v>10</v>
      </c>
      <c r="AC505" s="55">
        <v>0</v>
      </c>
      <c r="AD505" s="55">
        <f t="shared" si="194"/>
        <v>3</v>
      </c>
      <c r="AE505" s="53">
        <v>3</v>
      </c>
      <c r="AF505" s="55">
        <v>0</v>
      </c>
      <c r="AG505" s="55">
        <v>0</v>
      </c>
      <c r="AH505" s="55">
        <f t="shared" si="198"/>
        <v>2</v>
      </c>
      <c r="AI505" s="55">
        <v>2</v>
      </c>
      <c r="AJ505" s="55">
        <v>0</v>
      </c>
      <c r="AK505" s="55">
        <v>0</v>
      </c>
      <c r="AL505" s="55">
        <f t="shared" si="199"/>
        <v>3</v>
      </c>
      <c r="AM505" s="55">
        <v>3</v>
      </c>
      <c r="AN505" s="55">
        <v>0</v>
      </c>
      <c r="AO505" s="55">
        <v>0</v>
      </c>
      <c r="AP505" s="55">
        <f t="shared" si="201"/>
        <v>1</v>
      </c>
      <c r="AQ505" s="55">
        <f>IFERROR(VLOOKUP(A505,[1]SIIMPLES!$A$2:$F$418,6,FALSE),0)</f>
        <v>1</v>
      </c>
      <c r="AR505" s="55">
        <v>0</v>
      </c>
      <c r="AS505" s="55">
        <v>4</v>
      </c>
      <c r="AT505" s="55">
        <v>0</v>
      </c>
      <c r="AU505" s="55">
        <v>0</v>
      </c>
      <c r="AV505" s="55">
        <v>4</v>
      </c>
      <c r="AW505" s="55"/>
      <c r="AX505" s="55"/>
      <c r="AY505" s="56">
        <f t="shared" si="200"/>
        <v>3.9</v>
      </c>
      <c r="AZ505" s="55"/>
      <c r="BA505" s="56">
        <v>2</v>
      </c>
      <c r="BB505" s="41">
        <f t="shared" si="202"/>
        <v>0.95</v>
      </c>
      <c r="BC505" s="13"/>
      <c r="BD505" s="36"/>
      <c r="BE505" s="7"/>
      <c r="BF505" s="7"/>
      <c r="BG505" s="7"/>
      <c r="BH505" s="7"/>
    </row>
    <row r="506" spans="1:60" s="21" customFormat="1" ht="12.75" customHeight="1" x14ac:dyDescent="0.2">
      <c r="A506" s="68">
        <v>17046</v>
      </c>
      <c r="B506" s="51"/>
      <c r="C506" s="66" t="s">
        <v>1851</v>
      </c>
      <c r="D506" s="52" t="s">
        <v>1907</v>
      </c>
      <c r="E506" s="52" t="str">
        <f>VLOOKUP(A506,[2]CMV!$A$1:$E$2043,5,FALSE)</f>
        <v>TREVILUB</v>
      </c>
      <c r="F506" s="53"/>
      <c r="G506" s="52" t="str">
        <f>VLOOKUP(A506,[2]CMV!$A$1:$F$2043,6,FALSE)</f>
        <v>ÓLEO MOTOR 4T 20W50IPIRANGA</v>
      </c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3">
        <v>0</v>
      </c>
      <c r="Y506" s="57"/>
      <c r="Z506" s="55">
        <v>24</v>
      </c>
      <c r="AA506" s="57"/>
      <c r="AB506" s="57"/>
      <c r="AC506" s="55">
        <v>24</v>
      </c>
      <c r="AD506" s="55">
        <f t="shared" si="194"/>
        <v>3</v>
      </c>
      <c r="AE506" s="53">
        <v>0</v>
      </c>
      <c r="AF506" s="55">
        <v>0</v>
      </c>
      <c r="AG506" s="55">
        <v>3</v>
      </c>
      <c r="AH506" s="55">
        <f t="shared" si="198"/>
        <v>72</v>
      </c>
      <c r="AI506" s="55">
        <v>0</v>
      </c>
      <c r="AJ506" s="55">
        <v>0</v>
      </c>
      <c r="AK506" s="55">
        <v>72</v>
      </c>
      <c r="AL506" s="55">
        <f t="shared" si="199"/>
        <v>26</v>
      </c>
      <c r="AM506" s="55" t="s">
        <v>1912</v>
      </c>
      <c r="AN506" s="55">
        <v>0</v>
      </c>
      <c r="AO506" s="55">
        <v>26</v>
      </c>
      <c r="AP506" s="55">
        <f t="shared" si="201"/>
        <v>1</v>
      </c>
      <c r="AQ506" s="55">
        <f>IFERROR(VLOOKUP(A506,[1]SIIMPLES!$A$2:$F$418,6,FALSE),0)</f>
        <v>1</v>
      </c>
      <c r="AR506" s="55">
        <v>0</v>
      </c>
      <c r="AS506" s="55">
        <v>1</v>
      </c>
      <c r="AT506" s="55">
        <v>1</v>
      </c>
      <c r="AU506" s="55">
        <v>0</v>
      </c>
      <c r="AV506" s="55">
        <v>0</v>
      </c>
      <c r="AW506" s="57"/>
      <c r="AX506" s="57"/>
      <c r="AY506" s="56">
        <f t="shared" si="200"/>
        <v>21.166666666666668</v>
      </c>
      <c r="AZ506" s="57"/>
      <c r="BA506" s="57"/>
      <c r="BB506" s="41" t="str">
        <f t="shared" si="202"/>
        <v/>
      </c>
      <c r="BC506" s="13"/>
      <c r="BD506" s="36"/>
      <c r="BE506" s="7"/>
      <c r="BF506" s="7"/>
      <c r="BG506" s="7"/>
      <c r="BH506" s="7"/>
    </row>
    <row r="507" spans="1:60" s="21" customFormat="1" ht="12.75" customHeight="1" x14ac:dyDescent="0.2">
      <c r="A507" s="51" t="s">
        <v>1188</v>
      </c>
      <c r="B507" s="51"/>
      <c r="C507" s="66" t="s">
        <v>1851</v>
      </c>
      <c r="D507" s="52" t="s">
        <v>1776</v>
      </c>
      <c r="E507" s="52" t="s">
        <v>741</v>
      </c>
      <c r="F507" s="53">
        <f>IFERROR(VLOOKUP(E507,Fornecedores!$A$2:$B$2700,2,FALSE),"")</f>
        <v>7</v>
      </c>
      <c r="G507" s="52" t="s">
        <v>1206</v>
      </c>
      <c r="H507" s="54"/>
      <c r="I507" s="55">
        <f>SUM(J507:M507)</f>
        <v>0</v>
      </c>
      <c r="J507" s="55">
        <v>0</v>
      </c>
      <c r="K507" s="55">
        <v>0</v>
      </c>
      <c r="L507" s="55">
        <v>0</v>
      </c>
      <c r="M507" s="55">
        <v>0</v>
      </c>
      <c r="N507" s="55">
        <f>SUM(O507:Q507)</f>
        <v>0</v>
      </c>
      <c r="O507" s="55">
        <v>0</v>
      </c>
      <c r="P507" s="55">
        <v>0</v>
      </c>
      <c r="Q507" s="55">
        <v>0</v>
      </c>
      <c r="R507" s="55">
        <f>SUM(S507:U507)</f>
        <v>5</v>
      </c>
      <c r="S507" s="55">
        <v>0</v>
      </c>
      <c r="T507" s="55">
        <v>0</v>
      </c>
      <c r="U507" s="55">
        <v>5</v>
      </c>
      <c r="V507" s="55">
        <v>0</v>
      </c>
      <c r="W507" s="53">
        <v>0</v>
      </c>
      <c r="X507" s="53">
        <v>0</v>
      </c>
      <c r="Y507" s="55">
        <v>0</v>
      </c>
      <c r="Z507" s="55">
        <v>3</v>
      </c>
      <c r="AA507" s="53">
        <v>0</v>
      </c>
      <c r="AB507" s="53">
        <v>0</v>
      </c>
      <c r="AC507" s="55">
        <v>3</v>
      </c>
      <c r="AD507" s="55">
        <f t="shared" si="194"/>
        <v>2</v>
      </c>
      <c r="AE507" s="53">
        <v>2</v>
      </c>
      <c r="AF507" s="55">
        <v>0</v>
      </c>
      <c r="AG507" s="55">
        <v>0</v>
      </c>
      <c r="AH507" s="55">
        <f t="shared" si="198"/>
        <v>3</v>
      </c>
      <c r="AI507" s="55">
        <v>3</v>
      </c>
      <c r="AJ507" s="55">
        <v>0</v>
      </c>
      <c r="AK507" s="55">
        <v>0</v>
      </c>
      <c r="AL507" s="55">
        <f t="shared" si="199"/>
        <v>1</v>
      </c>
      <c r="AM507" s="55">
        <v>1</v>
      </c>
      <c r="AN507" s="55">
        <v>0</v>
      </c>
      <c r="AO507" s="55">
        <v>0</v>
      </c>
      <c r="AP507" s="55">
        <f t="shared" si="201"/>
        <v>1</v>
      </c>
      <c r="AQ507" s="55">
        <f>IFERROR(VLOOKUP(A507,[1]SIIMPLES!$A$2:$F$418,6,FALSE),0)</f>
        <v>1</v>
      </c>
      <c r="AR507" s="55">
        <v>0</v>
      </c>
      <c r="AS507" s="55">
        <v>0</v>
      </c>
      <c r="AT507" s="55">
        <v>0</v>
      </c>
      <c r="AU507" s="55">
        <v>0</v>
      </c>
      <c r="AV507" s="55">
        <v>0</v>
      </c>
      <c r="AW507" s="55"/>
      <c r="AX507" s="55"/>
      <c r="AY507" s="56">
        <f t="shared" si="200"/>
        <v>1.5</v>
      </c>
      <c r="AZ507" s="55"/>
      <c r="BA507" s="56">
        <v>3</v>
      </c>
      <c r="BB507" s="41">
        <f t="shared" si="202"/>
        <v>-0.5</v>
      </c>
      <c r="BC507" s="7"/>
      <c r="BD507" s="36"/>
      <c r="BE507" s="7"/>
      <c r="BF507" s="7"/>
      <c r="BG507" s="7"/>
      <c r="BH507" s="7"/>
    </row>
    <row r="508" spans="1:60" s="21" customFormat="1" ht="12.75" customHeight="1" x14ac:dyDescent="0.2">
      <c r="A508" s="82" t="s">
        <v>1985</v>
      </c>
      <c r="B508" s="28"/>
      <c r="C508" s="28" t="s">
        <v>1851</v>
      </c>
      <c r="D508" s="83" t="s">
        <v>2033</v>
      </c>
      <c r="E508" s="83" t="s">
        <v>2017</v>
      </c>
      <c r="F508" s="84"/>
      <c r="G508" s="85" t="s">
        <v>2037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3">
        <f t="shared" si="198"/>
        <v>5</v>
      </c>
      <c r="AI508" s="7"/>
      <c r="AJ508" s="7"/>
      <c r="AK508" s="55">
        <v>5</v>
      </c>
      <c r="AL508" s="55">
        <f t="shared" si="199"/>
        <v>0</v>
      </c>
      <c r="AM508" s="55" t="s">
        <v>1912</v>
      </c>
      <c r="AN508" s="55">
        <v>0</v>
      </c>
      <c r="AO508" s="55">
        <v>0</v>
      </c>
      <c r="AP508" s="55">
        <f t="shared" si="201"/>
        <v>1</v>
      </c>
      <c r="AQ508" s="55">
        <f>IFERROR(VLOOKUP(A508,[1]SIIMPLES!$A$2:$F$418,6,FALSE),0)</f>
        <v>1</v>
      </c>
      <c r="AR508" s="55">
        <v>0</v>
      </c>
      <c r="AS508" s="55">
        <v>0</v>
      </c>
      <c r="AT508" s="55">
        <v>0</v>
      </c>
      <c r="AU508" s="55">
        <v>0</v>
      </c>
      <c r="AV508" s="55">
        <v>0</v>
      </c>
      <c r="AW508" s="7"/>
      <c r="AX508" s="7"/>
      <c r="AY508" s="7"/>
      <c r="AZ508" s="7"/>
      <c r="BA508" s="7"/>
      <c r="BB508" s="41" t="str">
        <f t="shared" si="202"/>
        <v/>
      </c>
      <c r="BC508" s="13"/>
      <c r="BD508" s="36"/>
      <c r="BE508" s="7"/>
      <c r="BF508" s="7"/>
      <c r="BG508" s="7"/>
      <c r="BH508" s="7"/>
    </row>
    <row r="509" spans="1:60" s="21" customFormat="1" ht="12.75" customHeight="1" x14ac:dyDescent="0.2">
      <c r="A509" s="82" t="s">
        <v>1997</v>
      </c>
      <c r="B509" s="28"/>
      <c r="C509" s="28" t="s">
        <v>1851</v>
      </c>
      <c r="D509" s="83" t="s">
        <v>2047</v>
      </c>
      <c r="E509" s="83" t="s">
        <v>2017</v>
      </c>
      <c r="F509" s="84"/>
      <c r="G509" s="85" t="s">
        <v>2052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3">
        <f t="shared" si="198"/>
        <v>1</v>
      </c>
      <c r="AI509" s="7"/>
      <c r="AJ509" s="7"/>
      <c r="AK509" s="55">
        <v>1</v>
      </c>
      <c r="AL509" s="55">
        <f t="shared" si="199"/>
        <v>1</v>
      </c>
      <c r="AM509" s="55" t="s">
        <v>1912</v>
      </c>
      <c r="AN509" s="55">
        <v>0</v>
      </c>
      <c r="AO509" s="55">
        <v>1</v>
      </c>
      <c r="AP509" s="55">
        <f t="shared" si="201"/>
        <v>1</v>
      </c>
      <c r="AQ509" s="55">
        <f>IFERROR(VLOOKUP(A509,[1]SIIMPLES!$A$2:$F$418,6,FALSE),0)</f>
        <v>1</v>
      </c>
      <c r="AR509" s="55">
        <v>0</v>
      </c>
      <c r="AS509" s="55">
        <v>0</v>
      </c>
      <c r="AT509" s="55">
        <v>0</v>
      </c>
      <c r="AU509" s="55">
        <v>0</v>
      </c>
      <c r="AV509" s="55">
        <v>0</v>
      </c>
      <c r="AW509" s="7"/>
      <c r="AX509" s="7"/>
      <c r="AY509" s="7"/>
      <c r="AZ509" s="7"/>
      <c r="BA509" s="7"/>
      <c r="BB509" s="41" t="str">
        <f t="shared" si="202"/>
        <v/>
      </c>
      <c r="BC509" s="7"/>
      <c r="BD509" s="36"/>
      <c r="BE509" s="7"/>
      <c r="BF509" s="7"/>
      <c r="BG509" s="7"/>
      <c r="BH509" s="7"/>
    </row>
    <row r="510" spans="1:60" s="21" customFormat="1" ht="12.75" customHeight="1" x14ac:dyDescent="0.2">
      <c r="A510" s="51" t="s">
        <v>1250</v>
      </c>
      <c r="B510" s="51"/>
      <c r="C510" s="66" t="s">
        <v>1851</v>
      </c>
      <c r="D510" s="52" t="s">
        <v>918</v>
      </c>
      <c r="E510" s="52" t="s">
        <v>919</v>
      </c>
      <c r="F510" s="53">
        <f>IFERROR(VLOOKUP(E510,Fornecedores!$A$2:$B$2700,2,FALSE),"")</f>
        <v>13</v>
      </c>
      <c r="G510" s="52" t="s">
        <v>1397</v>
      </c>
      <c r="H510" s="57"/>
      <c r="I510" s="55">
        <f>SUM(J510:M510)</f>
        <v>1</v>
      </c>
      <c r="J510" s="55">
        <v>1</v>
      </c>
      <c r="K510" s="55">
        <v>0</v>
      </c>
      <c r="L510" s="55">
        <v>0</v>
      </c>
      <c r="M510" s="55">
        <v>0</v>
      </c>
      <c r="N510" s="55">
        <f>SUM(O510:Q510)</f>
        <v>0</v>
      </c>
      <c r="O510" s="55">
        <v>0</v>
      </c>
      <c r="P510" s="55">
        <v>0</v>
      </c>
      <c r="Q510" s="55">
        <v>0</v>
      </c>
      <c r="R510" s="55">
        <f>SUM(S510:U510)</f>
        <v>1</v>
      </c>
      <c r="S510" s="55">
        <v>1</v>
      </c>
      <c r="T510" s="55">
        <v>0</v>
      </c>
      <c r="U510" s="55">
        <v>0</v>
      </c>
      <c r="V510" s="55">
        <v>1</v>
      </c>
      <c r="W510" s="53">
        <v>1</v>
      </c>
      <c r="X510" s="53">
        <v>0</v>
      </c>
      <c r="Y510" s="55">
        <v>0</v>
      </c>
      <c r="Z510" s="55">
        <v>0</v>
      </c>
      <c r="AA510" s="53">
        <v>0</v>
      </c>
      <c r="AB510" s="53">
        <v>0</v>
      </c>
      <c r="AC510" s="55">
        <v>0</v>
      </c>
      <c r="AD510" s="55">
        <f>SUM(AE510:AG510)</f>
        <v>1</v>
      </c>
      <c r="AE510" s="53">
        <v>1</v>
      </c>
      <c r="AF510" s="55">
        <v>0</v>
      </c>
      <c r="AG510" s="55">
        <v>0</v>
      </c>
      <c r="AH510" s="55">
        <f t="shared" si="198"/>
        <v>0</v>
      </c>
      <c r="AI510" s="55">
        <v>0</v>
      </c>
      <c r="AJ510" s="55">
        <v>0</v>
      </c>
      <c r="AK510" s="55">
        <v>0</v>
      </c>
      <c r="AL510" s="55">
        <f t="shared" si="199"/>
        <v>0</v>
      </c>
      <c r="AM510" s="55" t="s">
        <v>1912</v>
      </c>
      <c r="AN510" s="55">
        <v>0</v>
      </c>
      <c r="AO510" s="55">
        <v>0</v>
      </c>
      <c r="AP510" s="55">
        <f t="shared" si="201"/>
        <v>1</v>
      </c>
      <c r="AQ510" s="55">
        <f>IFERROR(VLOOKUP(A510,[1]SIIMPLES!$A$2:$F$418,6,FALSE),0)</f>
        <v>1</v>
      </c>
      <c r="AR510" s="55">
        <v>0</v>
      </c>
      <c r="AS510" s="55">
        <v>0</v>
      </c>
      <c r="AT510" s="55">
        <v>0</v>
      </c>
      <c r="AU510" s="55">
        <v>0</v>
      </c>
      <c r="AV510" s="55">
        <v>0</v>
      </c>
      <c r="AW510" s="55"/>
      <c r="AX510" s="55"/>
      <c r="AY510" s="56">
        <f>IFERROR(AVERAGE(I510,N510,R510,V510,Z510,AD510,AH510,AL510,AP510,AS510,AW510,AX510),"-")</f>
        <v>0.5</v>
      </c>
      <c r="AZ510" s="55"/>
      <c r="BA510" s="56">
        <v>0.5</v>
      </c>
      <c r="BB510" s="41">
        <f t="shared" si="202"/>
        <v>0</v>
      </c>
      <c r="BC510" s="13"/>
      <c r="BD510" s="36"/>
      <c r="BE510" s="7"/>
      <c r="BF510" s="7"/>
      <c r="BG510" s="7"/>
      <c r="BH510" s="7"/>
    </row>
    <row r="511" spans="1:60" s="21" customFormat="1" ht="12.75" customHeight="1" x14ac:dyDescent="0.2">
      <c r="A511" s="68" t="s">
        <v>1926</v>
      </c>
      <c r="B511" s="51"/>
      <c r="C511" s="66" t="str">
        <f>VLOOKUP(A511,[2]CMV!$A$1:$B$2115,2,FALSE)</f>
        <v>MOTO PEÇAS</v>
      </c>
      <c r="D511" s="52" t="str">
        <f>VLOOKUP(A511,[2]CMV!$A$1:$C$2115,3,FALSE)</f>
        <v>ROLAMENTO MOTO</v>
      </c>
      <c r="E511" s="52" t="str">
        <f>VLOOKUP(A511,[2]CMV!$A$1:$E$2115,5,FALSE)</f>
        <v>PANDÃO</v>
      </c>
      <c r="F511" s="53"/>
      <c r="G511" s="67" t="str">
        <f>VLOOKUP(A511,[2]CMV!$A$1:$F$2115,6,FALSE)</f>
        <v>CAMERA DE AR 3.00-14</v>
      </c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5">
        <f>SUM(AE511:AG511)</f>
        <v>23</v>
      </c>
      <c r="AE511" s="57"/>
      <c r="AF511" s="57"/>
      <c r="AG511" s="55">
        <v>23</v>
      </c>
      <c r="AH511" s="55">
        <f t="shared" si="198"/>
        <v>0</v>
      </c>
      <c r="AI511" s="55">
        <v>0</v>
      </c>
      <c r="AJ511" s="55">
        <v>0</v>
      </c>
      <c r="AK511" s="55">
        <v>0</v>
      </c>
      <c r="AL511" s="55">
        <f t="shared" si="199"/>
        <v>33</v>
      </c>
      <c r="AM511" s="55" t="s">
        <v>1912</v>
      </c>
      <c r="AN511" s="55">
        <v>0</v>
      </c>
      <c r="AO511" s="55">
        <v>33</v>
      </c>
      <c r="AP511" s="55">
        <f t="shared" si="201"/>
        <v>1</v>
      </c>
      <c r="AQ511" s="55">
        <f>IFERROR(VLOOKUP(A511,[1]SIIMPLES!$A$2:$F$418,6,FALSE),0)</f>
        <v>1</v>
      </c>
      <c r="AR511" s="55">
        <v>0</v>
      </c>
      <c r="AS511" s="55">
        <v>4</v>
      </c>
      <c r="AT511" s="55">
        <v>0</v>
      </c>
      <c r="AU511" s="55">
        <v>0</v>
      </c>
      <c r="AV511" s="55">
        <v>4</v>
      </c>
      <c r="AW511" s="57"/>
      <c r="AX511" s="57"/>
      <c r="AY511" s="56">
        <f>IFERROR(AVERAGE(I511,N511,R511,V511,Z511,AD511,AH511,AL511,AP511,AS511,AW511,AX511),"-")</f>
        <v>12.2</v>
      </c>
      <c r="AZ511" s="57"/>
      <c r="BA511" s="57"/>
      <c r="BB511" s="41" t="str">
        <f t="shared" si="202"/>
        <v/>
      </c>
      <c r="BC511" s="13"/>
      <c r="BD511" s="36"/>
      <c r="BE511" s="7"/>
      <c r="BF511" s="7"/>
      <c r="BG511" s="7"/>
      <c r="BH511" s="7"/>
    </row>
    <row r="512" spans="1:60" s="21" customFormat="1" ht="12.75" customHeight="1" x14ac:dyDescent="0.2">
      <c r="A512" s="68" t="s">
        <v>1944</v>
      </c>
      <c r="B512" s="51"/>
      <c r="C512" s="66" t="str">
        <f>VLOOKUP(A512,[2]CMV!$A$1:$B$2115,2,FALSE)</f>
        <v>MOTO PEÇAS</v>
      </c>
      <c r="D512" s="52" t="str">
        <f>VLOOKUP(A512,[2]CMV!$A$1:$C$2115,3,FALSE)</f>
        <v>Kit Relação moto</v>
      </c>
      <c r="E512" s="52" t="str">
        <f>VLOOKUP(A512,[2]CMV!$A$1:$E$2115,5,FALSE)</f>
        <v>PANDÃO</v>
      </c>
      <c r="F512" s="53"/>
      <c r="G512" s="67" t="str">
        <f>VLOOKUP(A512,[2]CMV!$A$1:$F$2115,6,FALSE)</f>
        <v>KIT TRANSMISSÃO CB 250 F TWISTER 250 2016/2022</v>
      </c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5">
        <f>SUM(AE512:AG512)</f>
        <v>2</v>
      </c>
      <c r="AE512" s="57"/>
      <c r="AF512" s="57"/>
      <c r="AG512" s="55">
        <v>2</v>
      </c>
      <c r="AH512" s="55">
        <f t="shared" si="198"/>
        <v>0</v>
      </c>
      <c r="AI512" s="55">
        <v>0</v>
      </c>
      <c r="AJ512" s="55">
        <v>0</v>
      </c>
      <c r="AK512" s="55">
        <v>0</v>
      </c>
      <c r="AL512" s="55">
        <f t="shared" si="199"/>
        <v>2</v>
      </c>
      <c r="AM512" s="55" t="s">
        <v>1912</v>
      </c>
      <c r="AN512" s="55">
        <v>0</v>
      </c>
      <c r="AO512" s="55">
        <v>2</v>
      </c>
      <c r="AP512" s="55">
        <f t="shared" si="201"/>
        <v>1</v>
      </c>
      <c r="AQ512" s="55">
        <f>IFERROR(VLOOKUP(A512,[1]SIIMPLES!$A$2:$F$418,6,FALSE),0)</f>
        <v>1</v>
      </c>
      <c r="AR512" s="55">
        <v>0</v>
      </c>
      <c r="AS512" s="55">
        <v>0</v>
      </c>
      <c r="AT512" s="55">
        <v>0</v>
      </c>
      <c r="AU512" s="55">
        <v>0</v>
      </c>
      <c r="AV512" s="55">
        <v>0</v>
      </c>
      <c r="AW512" s="57"/>
      <c r="AX512" s="57"/>
      <c r="AY512" s="56">
        <f>IFERROR(AVERAGE(I512,N512,R512,V512,Z512,AD512,AH512,AL512,AP512,AS512,AW512,AX512),"-")</f>
        <v>1</v>
      </c>
      <c r="AZ512" s="57"/>
      <c r="BA512" s="57"/>
      <c r="BB512" s="41" t="str">
        <f t="shared" si="202"/>
        <v/>
      </c>
      <c r="BC512" s="7"/>
      <c r="BD512" s="36"/>
      <c r="BE512" s="7"/>
      <c r="BF512" s="7"/>
      <c r="BG512" s="7"/>
      <c r="BH512" s="7"/>
    </row>
    <row r="513" spans="1:60" s="21" customFormat="1" ht="12.75" customHeight="1" x14ac:dyDescent="0.2">
      <c r="A513" s="51" t="s">
        <v>1793</v>
      </c>
      <c r="B513" s="51"/>
      <c r="C513" s="66" t="s">
        <v>1851</v>
      </c>
      <c r="D513" s="52" t="s">
        <v>1902</v>
      </c>
      <c r="E513" s="52" t="str">
        <f>VLOOKUP(A513,[3]CMV!$A$1:$E$1988,5,FALSE)</f>
        <v>POLO</v>
      </c>
      <c r="F513" s="53"/>
      <c r="G513" s="52" t="str">
        <f>VLOOKUP(A513,[2]CMV!$A$1:$F$2043,6,FALSE)</f>
        <v>KIT TRANSMISSÃO HONDA BROSS 150 FLEX</v>
      </c>
      <c r="H513" s="57"/>
      <c r="I513" s="55">
        <f>SUM(J513:M513)</f>
        <v>0</v>
      </c>
      <c r="J513" s="55">
        <v>0</v>
      </c>
      <c r="K513" s="55">
        <v>0</v>
      </c>
      <c r="L513" s="55">
        <v>0</v>
      </c>
      <c r="M513" s="55">
        <v>0</v>
      </c>
      <c r="N513" s="55">
        <f>SUM(O513:Q513)</f>
        <v>0</v>
      </c>
      <c r="O513" s="57"/>
      <c r="P513" s="57"/>
      <c r="Q513" s="57"/>
      <c r="R513" s="55">
        <f>SUM(S513:U513)</f>
        <v>0</v>
      </c>
      <c r="S513" s="57"/>
      <c r="T513" s="57"/>
      <c r="U513" s="57"/>
      <c r="V513" s="55">
        <v>2</v>
      </c>
      <c r="W513" s="57"/>
      <c r="X513" s="53">
        <v>0</v>
      </c>
      <c r="Y513" s="55">
        <v>2</v>
      </c>
      <c r="Z513" s="55">
        <v>0</v>
      </c>
      <c r="AA513" s="53">
        <v>0</v>
      </c>
      <c r="AB513" s="53">
        <v>0</v>
      </c>
      <c r="AC513" s="55">
        <v>0</v>
      </c>
      <c r="AD513" s="55">
        <f>SUM(AE513:AG513)</f>
        <v>1</v>
      </c>
      <c r="AE513" s="53">
        <v>0</v>
      </c>
      <c r="AF513" s="55">
        <v>0</v>
      </c>
      <c r="AG513" s="55">
        <v>1</v>
      </c>
      <c r="AH513" s="55">
        <f t="shared" si="198"/>
        <v>0</v>
      </c>
      <c r="AI513" s="55">
        <v>0</v>
      </c>
      <c r="AJ513" s="55">
        <v>0</v>
      </c>
      <c r="AK513" s="55">
        <v>0</v>
      </c>
      <c r="AL513" s="55">
        <f t="shared" si="199"/>
        <v>3</v>
      </c>
      <c r="AM513" s="55" t="s">
        <v>1912</v>
      </c>
      <c r="AN513" s="55">
        <v>0</v>
      </c>
      <c r="AO513" s="55">
        <v>3</v>
      </c>
      <c r="AP513" s="55">
        <f t="shared" si="201"/>
        <v>1</v>
      </c>
      <c r="AQ513" s="55">
        <f>IFERROR(VLOOKUP(A513,[1]SIIMPLES!$A$2:$F$418,6,FALSE),0)</f>
        <v>1</v>
      </c>
      <c r="AR513" s="55">
        <v>0</v>
      </c>
      <c r="AS513" s="55">
        <v>1</v>
      </c>
      <c r="AT513" s="55">
        <v>0</v>
      </c>
      <c r="AU513" s="55">
        <v>0</v>
      </c>
      <c r="AV513" s="55">
        <v>1</v>
      </c>
      <c r="AW513" s="57"/>
      <c r="AX513" s="57"/>
      <c r="AY513" s="56">
        <f>IFERROR(AVERAGE(I513,N513,R513,V513,Z513,AD513,AH513,AL513,AP513,AS513,AW513,AX513),"-")</f>
        <v>0.8</v>
      </c>
      <c r="AZ513" s="57"/>
      <c r="BA513" s="56" t="s">
        <v>1912</v>
      </c>
      <c r="BB513" s="41" t="str">
        <f t="shared" si="202"/>
        <v/>
      </c>
      <c r="BC513" s="13"/>
      <c r="BD513" s="35"/>
      <c r="BE513" s="13"/>
      <c r="BF513" s="16"/>
      <c r="BG513" s="17">
        <f t="shared" ref="BG513:BG544" si="203">IFERROR(BC513/AY513,"0")</f>
        <v>0</v>
      </c>
      <c r="BH513" s="16">
        <f>IFERROR(IF(F513=1,IF(BC513&lt;AY513*3,AY513*3-BC513,0),IF(BC513&lt;AY513,AY513-BC513,0)),"")</f>
        <v>0.8</v>
      </c>
    </row>
    <row r="514" spans="1:60" s="21" customFormat="1" ht="12.75" customHeight="1" x14ac:dyDescent="0.2">
      <c r="A514" s="28" t="s">
        <v>2087</v>
      </c>
      <c r="B514" s="28"/>
      <c r="C514" s="28" t="s">
        <v>1851</v>
      </c>
      <c r="D514" s="83" t="s">
        <v>1902</v>
      </c>
      <c r="E514" s="83" t="s">
        <v>1854</v>
      </c>
      <c r="F514" s="84"/>
      <c r="G514" s="85" t="s">
        <v>2137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55">
        <f t="shared" si="199"/>
        <v>3</v>
      </c>
      <c r="AM514" s="7"/>
      <c r="AN514" s="7"/>
      <c r="AO514" s="55">
        <v>3</v>
      </c>
      <c r="AP514" s="55">
        <f t="shared" si="201"/>
        <v>1</v>
      </c>
      <c r="AQ514" s="55">
        <f>IFERROR(VLOOKUP(A514,[1]SIIMPLES!$A$2:$F$418,6,FALSE),0)</f>
        <v>1</v>
      </c>
      <c r="AR514" s="55">
        <v>0</v>
      </c>
      <c r="AS514" s="55">
        <v>1</v>
      </c>
      <c r="AT514" s="55">
        <v>0</v>
      </c>
      <c r="AU514" s="55">
        <v>0</v>
      </c>
      <c r="AV514" s="55">
        <v>1</v>
      </c>
      <c r="AW514" s="7"/>
      <c r="AX514" s="7"/>
      <c r="AY514" s="7"/>
      <c r="AZ514" s="7"/>
      <c r="BA514" s="7"/>
      <c r="BB514" s="41" t="str">
        <f t="shared" si="202"/>
        <v/>
      </c>
      <c r="BC514" s="13"/>
      <c r="BD514" s="35"/>
      <c r="BE514" s="13"/>
      <c r="BF514" s="16">
        <f>SUM(BC514:BE514)</f>
        <v>0</v>
      </c>
      <c r="BG514" s="17" t="str">
        <f t="shared" si="203"/>
        <v>0</v>
      </c>
      <c r="BH514" s="16">
        <f>IFERROR(IF(F514=1,IF(BC514&lt;AY514*3,AY514*3-BC514,0),IF(BC514&lt;AY514,AY514-BC514,0)),"")</f>
        <v>0</v>
      </c>
    </row>
    <row r="515" spans="1:60" s="21" customFormat="1" ht="12.75" customHeight="1" x14ac:dyDescent="0.2">
      <c r="A515" s="28">
        <v>772035</v>
      </c>
      <c r="B515" s="28"/>
      <c r="C515" s="28" t="s">
        <v>1803</v>
      </c>
      <c r="D515" s="83" t="s">
        <v>728</v>
      </c>
      <c r="E515" s="83" t="s">
        <v>780</v>
      </c>
      <c r="F515" s="84"/>
      <c r="G515" s="85" t="s">
        <v>2182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101"/>
      <c r="AP515" s="55">
        <f t="shared" si="201"/>
        <v>1</v>
      </c>
      <c r="AQ515" s="55">
        <f>IFERROR(VLOOKUP(A515,[1]SIIMPLES!$A$2:$F$418,6,FALSE),0)</f>
        <v>1</v>
      </c>
      <c r="AR515" s="55">
        <v>0</v>
      </c>
      <c r="AS515" s="55">
        <v>0</v>
      </c>
      <c r="AT515" s="55">
        <v>0</v>
      </c>
      <c r="AU515" s="55">
        <v>0</v>
      </c>
      <c r="AV515" s="55">
        <v>0</v>
      </c>
      <c r="AW515" s="7"/>
      <c r="AX515" s="7"/>
      <c r="AY515" s="7"/>
      <c r="AZ515" s="7"/>
      <c r="BA515" s="7"/>
      <c r="BB515" s="41" t="str">
        <f t="shared" si="202"/>
        <v/>
      </c>
      <c r="BC515" s="7"/>
      <c r="BD515" s="35"/>
      <c r="BE515" s="13"/>
      <c r="BF515" s="16"/>
      <c r="BG515" s="17" t="str">
        <f t="shared" si="203"/>
        <v>0</v>
      </c>
      <c r="BH515" s="16">
        <f>IFERROR(IF(F515=1,IF(BC515&lt;AY515*3,AY515*3-BC515,0),IF(BC515&lt;AY515,AY515-BC515,0)),"")</f>
        <v>0</v>
      </c>
    </row>
    <row r="516" spans="1:60" s="21" customFormat="1" ht="12.75" customHeight="1" x14ac:dyDescent="0.2">
      <c r="A516" s="28" t="s">
        <v>2142</v>
      </c>
      <c r="B516" s="28"/>
      <c r="C516" s="28" t="s">
        <v>1851</v>
      </c>
      <c r="D516" s="83" t="s">
        <v>1902</v>
      </c>
      <c r="E516" s="83" t="s">
        <v>2025</v>
      </c>
      <c r="F516" s="84"/>
      <c r="G516" s="85" t="s">
        <v>2186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101"/>
      <c r="AP516" s="55">
        <f t="shared" si="201"/>
        <v>1</v>
      </c>
      <c r="AQ516" s="55">
        <f>IFERROR(VLOOKUP(A516,[1]SIIMPLES!$A$2:$F$418,6,FALSE),0)</f>
        <v>1</v>
      </c>
      <c r="AR516" s="55">
        <v>0</v>
      </c>
      <c r="AS516" s="55">
        <v>0</v>
      </c>
      <c r="AT516" s="55">
        <v>0</v>
      </c>
      <c r="AU516" s="55">
        <v>0</v>
      </c>
      <c r="AV516" s="55">
        <v>0</v>
      </c>
      <c r="AW516" s="7"/>
      <c r="AX516" s="7"/>
      <c r="AY516" s="7"/>
      <c r="AZ516" s="7"/>
      <c r="BA516" s="7"/>
      <c r="BB516" s="41" t="str">
        <f t="shared" si="202"/>
        <v/>
      </c>
      <c r="BC516" s="13"/>
      <c r="BD516" s="35"/>
      <c r="BE516" s="13"/>
      <c r="BF516" s="16"/>
      <c r="BG516" s="17" t="str">
        <f t="shared" si="203"/>
        <v>0</v>
      </c>
      <c r="BH516" s="16">
        <f>IFERROR(IF(F516=1,IF(BC516&lt;AY516*3,AY516*3-BC516,0),IF(BC516&lt;AY516,AY516-BC516,0)),"")</f>
        <v>0</v>
      </c>
    </row>
    <row r="517" spans="1:60" s="21" customFormat="1" ht="12.75" customHeight="1" x14ac:dyDescent="0.2">
      <c r="A517" s="28" t="s">
        <v>2143</v>
      </c>
      <c r="B517" s="28"/>
      <c r="C517" s="28" t="s">
        <v>1851</v>
      </c>
      <c r="D517" s="83" t="s">
        <v>1902</v>
      </c>
      <c r="E517" s="83" t="s">
        <v>2025</v>
      </c>
      <c r="F517" s="84"/>
      <c r="G517" s="85" t="s">
        <v>2187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101"/>
      <c r="AP517" s="55">
        <f t="shared" si="201"/>
        <v>1</v>
      </c>
      <c r="AQ517" s="55">
        <f>IFERROR(VLOOKUP(A517,[1]SIIMPLES!$A$2:$F$418,6,FALSE),0)</f>
        <v>1</v>
      </c>
      <c r="AR517" s="55">
        <v>0</v>
      </c>
      <c r="AS517" s="55">
        <v>0</v>
      </c>
      <c r="AT517" s="55">
        <v>0</v>
      </c>
      <c r="AU517" s="55">
        <v>0</v>
      </c>
      <c r="AV517" s="55">
        <v>0</v>
      </c>
      <c r="AW517" s="7"/>
      <c r="AX517" s="7"/>
      <c r="AY517" s="7"/>
      <c r="AZ517" s="7"/>
      <c r="BA517" s="7"/>
      <c r="BB517" s="41" t="str">
        <f t="shared" si="202"/>
        <v/>
      </c>
      <c r="BC517" s="13"/>
      <c r="BD517" s="35"/>
      <c r="BE517" s="13"/>
      <c r="BF517" s="16"/>
      <c r="BG517" s="17" t="str">
        <f t="shared" si="203"/>
        <v>0</v>
      </c>
      <c r="BH517" s="16">
        <f>ROUND(IFERROR(IF(F517=1,IF(BC517&lt;AY517*3,AY517*3-BC517,0),IF(BC517&lt;AY517,AY517*0.6-BC517,0)),""),0)</f>
        <v>0</v>
      </c>
    </row>
    <row r="518" spans="1:60" s="21" customFormat="1" ht="12.75" customHeight="1" x14ac:dyDescent="0.2">
      <c r="A518" s="28" t="s">
        <v>2144</v>
      </c>
      <c r="B518" s="28"/>
      <c r="C518" s="28" t="s">
        <v>1851</v>
      </c>
      <c r="D518" s="83" t="s">
        <v>1902</v>
      </c>
      <c r="E518" s="83" t="s">
        <v>2025</v>
      </c>
      <c r="F518" s="84"/>
      <c r="G518" s="85" t="s">
        <v>2188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101"/>
      <c r="AP518" s="55">
        <f t="shared" si="201"/>
        <v>1</v>
      </c>
      <c r="AQ518" s="55">
        <f>IFERROR(VLOOKUP(A518,[1]SIIMPLES!$A$2:$F$418,6,FALSE),0)</f>
        <v>1</v>
      </c>
      <c r="AR518" s="55">
        <v>0</v>
      </c>
      <c r="AS518" s="55">
        <v>0</v>
      </c>
      <c r="AT518" s="55">
        <v>0</v>
      </c>
      <c r="AU518" s="55">
        <v>0</v>
      </c>
      <c r="AV518" s="55">
        <v>0</v>
      </c>
      <c r="AW518" s="7"/>
      <c r="AX518" s="7"/>
      <c r="AY518" s="7"/>
      <c r="AZ518" s="7"/>
      <c r="BA518" s="7"/>
      <c r="BB518" s="41" t="str">
        <f t="shared" si="202"/>
        <v/>
      </c>
      <c r="BC518" s="10"/>
      <c r="BD518" s="35"/>
      <c r="BE518" s="13"/>
      <c r="BF518" s="16"/>
      <c r="BG518" s="17" t="str">
        <f t="shared" si="203"/>
        <v>0</v>
      </c>
      <c r="BH518" s="16">
        <f>IFERROR(IF(F518=1,IF(BC518&lt;AY518*3,AY518*3-BC518,0),IF(BC518&lt;AY518,AY518-BC518,0)),"")</f>
        <v>0</v>
      </c>
    </row>
    <row r="519" spans="1:60" s="21" customFormat="1" ht="12.75" customHeight="1" x14ac:dyDescent="0.2">
      <c r="A519" s="28" t="s">
        <v>2145</v>
      </c>
      <c r="B519" s="28"/>
      <c r="C519" s="28" t="s">
        <v>1851</v>
      </c>
      <c r="D519" s="83" t="s">
        <v>1902</v>
      </c>
      <c r="E519" s="83" t="s">
        <v>2025</v>
      </c>
      <c r="F519" s="84"/>
      <c r="G519" s="85" t="s">
        <v>2187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101"/>
      <c r="AP519" s="55">
        <f t="shared" si="201"/>
        <v>1</v>
      </c>
      <c r="AQ519" s="55">
        <f>IFERROR(VLOOKUP(A519,[1]SIIMPLES!$A$2:$F$418,6,FALSE),0)</f>
        <v>1</v>
      </c>
      <c r="AR519" s="55">
        <v>0</v>
      </c>
      <c r="AS519" s="55">
        <v>1</v>
      </c>
      <c r="AT519" s="55">
        <v>0</v>
      </c>
      <c r="AU519" s="55">
        <v>0</v>
      </c>
      <c r="AV519" s="55">
        <v>1</v>
      </c>
      <c r="AW519" s="7"/>
      <c r="AX519" s="7"/>
      <c r="AY519" s="7"/>
      <c r="AZ519" s="7"/>
      <c r="BA519" s="7"/>
      <c r="BB519" s="41" t="str">
        <f t="shared" si="202"/>
        <v/>
      </c>
      <c r="BC519" s="7"/>
      <c r="BD519" s="35"/>
      <c r="BE519" s="13"/>
      <c r="BF519" s="16"/>
      <c r="BG519" s="17" t="str">
        <f t="shared" si="203"/>
        <v>0</v>
      </c>
      <c r="BH519" s="16">
        <f>IFERROR(IF(F519=1,IF(BC519&lt;AY519*3,AY519*3-BC519,0),IF(BC519&lt;AY519,AY519-BC519,0)),"")</f>
        <v>0</v>
      </c>
    </row>
    <row r="520" spans="1:60" s="21" customFormat="1" ht="12.75" customHeight="1" x14ac:dyDescent="0.2">
      <c r="A520" s="28">
        <v>772228</v>
      </c>
      <c r="B520" s="28"/>
      <c r="C520" s="28" t="s">
        <v>1803</v>
      </c>
      <c r="D520" s="83" t="s">
        <v>728</v>
      </c>
      <c r="E520" s="83" t="s">
        <v>780</v>
      </c>
      <c r="F520" s="84"/>
      <c r="G520" s="85" t="s">
        <v>2189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101"/>
      <c r="AP520" s="55">
        <f t="shared" si="201"/>
        <v>1</v>
      </c>
      <c r="AQ520" s="55">
        <f>IFERROR(VLOOKUP(A520,[1]SIIMPLES!$A$2:$F$418,6,FALSE),0)</f>
        <v>1</v>
      </c>
      <c r="AR520" s="55">
        <v>0</v>
      </c>
      <c r="AS520" s="55">
        <v>0</v>
      </c>
      <c r="AT520" s="55">
        <v>0</v>
      </c>
      <c r="AU520" s="55">
        <v>0</v>
      </c>
      <c r="AV520" s="55">
        <v>0</v>
      </c>
      <c r="AW520" s="7"/>
      <c r="AX520" s="7"/>
      <c r="AY520" s="7"/>
      <c r="AZ520" s="7"/>
      <c r="BA520" s="7"/>
      <c r="BB520" s="41" t="str">
        <f t="shared" si="202"/>
        <v/>
      </c>
      <c r="BC520" s="13"/>
      <c r="BD520" s="35"/>
      <c r="BE520" s="7"/>
      <c r="BF520" s="16"/>
      <c r="BG520" s="17" t="str">
        <f t="shared" si="203"/>
        <v>0</v>
      </c>
      <c r="BH520" s="16">
        <f>IFERROR(IF(F520=1,IF(BC520&lt;AY520*3,AY520*3-BC520,0),IF(BC520&lt;AY520,AY520-BC520,0)),"")</f>
        <v>0</v>
      </c>
    </row>
    <row r="521" spans="1:60" s="21" customFormat="1" ht="12.75" customHeight="1" x14ac:dyDescent="0.2">
      <c r="A521" s="28">
        <v>772229</v>
      </c>
      <c r="B521" s="28"/>
      <c r="C521" s="28" t="s">
        <v>1803</v>
      </c>
      <c r="D521" s="83" t="s">
        <v>728</v>
      </c>
      <c r="E521" s="83" t="s">
        <v>780</v>
      </c>
      <c r="F521" s="84"/>
      <c r="G521" s="85" t="s">
        <v>2189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101"/>
      <c r="AP521" s="55">
        <f t="shared" si="201"/>
        <v>1</v>
      </c>
      <c r="AQ521" s="55">
        <f>IFERROR(VLOOKUP(A521,[1]SIIMPLES!$A$2:$F$418,6,FALSE),0)</f>
        <v>1</v>
      </c>
      <c r="AR521" s="55">
        <v>0</v>
      </c>
      <c r="AS521" s="55">
        <v>0</v>
      </c>
      <c r="AT521" s="55">
        <v>0</v>
      </c>
      <c r="AU521" s="55">
        <v>0</v>
      </c>
      <c r="AV521" s="55">
        <v>0</v>
      </c>
      <c r="AW521" s="7"/>
      <c r="AX521" s="7"/>
      <c r="AY521" s="7"/>
      <c r="AZ521" s="7"/>
      <c r="BA521" s="7"/>
      <c r="BB521" s="41" t="str">
        <f t="shared" si="202"/>
        <v/>
      </c>
      <c r="BC521" s="13"/>
      <c r="BD521" s="35"/>
      <c r="BE521" s="13"/>
      <c r="BF521" s="16"/>
      <c r="BG521" s="17" t="str">
        <f t="shared" si="203"/>
        <v>0</v>
      </c>
      <c r="BH521" s="16">
        <f>ROUND(IFERROR(IF(F521=1,IF(BC521&lt;AY521*3,AY521*3-BC521,0),IF(BC521&lt;AY521,AY521*0.6-BC521,0)),""),0)</f>
        <v>0</v>
      </c>
    </row>
    <row r="522" spans="1:60" s="21" customFormat="1" ht="12.75" customHeight="1" x14ac:dyDescent="0.2">
      <c r="A522" s="28" t="s">
        <v>2148</v>
      </c>
      <c r="B522" s="28"/>
      <c r="C522" s="28" t="s">
        <v>1851</v>
      </c>
      <c r="D522" s="83" t="s">
        <v>2183</v>
      </c>
      <c r="E522" s="83" t="s">
        <v>2025</v>
      </c>
      <c r="F522" s="84"/>
      <c r="G522" s="85" t="s">
        <v>2184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101"/>
      <c r="AP522" s="55">
        <f t="shared" si="201"/>
        <v>1</v>
      </c>
      <c r="AQ522" s="55">
        <f>IFERROR(VLOOKUP(A522,[1]SIIMPLES!$A$2:$F$418,6,FALSE),0)</f>
        <v>1</v>
      </c>
      <c r="AR522" s="55">
        <v>0</v>
      </c>
      <c r="AS522" s="55">
        <v>0</v>
      </c>
      <c r="AT522" s="55">
        <v>0</v>
      </c>
      <c r="AU522" s="55">
        <v>0</v>
      </c>
      <c r="AV522" s="55">
        <v>0</v>
      </c>
      <c r="AW522" s="7"/>
      <c r="AX522" s="7"/>
      <c r="AY522" s="7"/>
      <c r="AZ522" s="7"/>
      <c r="BA522" s="7"/>
      <c r="BB522" s="41" t="str">
        <f t="shared" si="202"/>
        <v/>
      </c>
      <c r="BC522" s="7"/>
      <c r="BD522" s="35"/>
      <c r="BE522" s="13"/>
      <c r="BF522" s="16">
        <f>SUM(BC522:BE522)</f>
        <v>0</v>
      </c>
      <c r="BG522" s="17" t="str">
        <f t="shared" si="203"/>
        <v>0</v>
      </c>
      <c r="BH522" s="16">
        <f t="shared" ref="BH522:BH530" si="204">IFERROR(IF(F522=1,IF(BC522&lt;AY522*3,AY522*3-BC522,0),IF(BC522&lt;AY522,AY522-BC522,0)),"")</f>
        <v>0</v>
      </c>
    </row>
    <row r="523" spans="1:60" s="21" customFormat="1" ht="12.75" customHeight="1" x14ac:dyDescent="0.2">
      <c r="A523" s="28" t="s">
        <v>2153</v>
      </c>
      <c r="B523" s="28"/>
      <c r="C523" s="28" t="s">
        <v>1803</v>
      </c>
      <c r="D523" s="83" t="s">
        <v>2197</v>
      </c>
      <c r="E523" s="83" t="s">
        <v>741</v>
      </c>
      <c r="F523" s="84"/>
      <c r="G523" s="85" t="s">
        <v>2198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101"/>
      <c r="AP523" s="55">
        <f t="shared" si="201"/>
        <v>1</v>
      </c>
      <c r="AQ523" s="55">
        <f>IFERROR(VLOOKUP(A523,[1]SIIMPLES!$A$2:$F$418,6,FALSE),0)</f>
        <v>1</v>
      </c>
      <c r="AR523" s="55">
        <v>0</v>
      </c>
      <c r="AS523" s="55">
        <v>0</v>
      </c>
      <c r="AT523" s="55">
        <v>0</v>
      </c>
      <c r="AU523" s="55">
        <v>0</v>
      </c>
      <c r="AV523" s="55">
        <v>0</v>
      </c>
      <c r="AW523" s="7"/>
      <c r="AX523" s="7"/>
      <c r="AY523" s="7"/>
      <c r="AZ523" s="7"/>
      <c r="BA523" s="7"/>
      <c r="BB523" s="41" t="str">
        <f t="shared" si="202"/>
        <v/>
      </c>
      <c r="BC523" s="13"/>
      <c r="BD523" s="35"/>
      <c r="BE523" s="13"/>
      <c r="BF523" s="16">
        <f>SUM(BC523:BE523)</f>
        <v>0</v>
      </c>
      <c r="BG523" s="17" t="str">
        <f t="shared" si="203"/>
        <v>0</v>
      </c>
      <c r="BH523" s="16">
        <f t="shared" si="204"/>
        <v>0</v>
      </c>
    </row>
    <row r="524" spans="1:60" s="21" customFormat="1" ht="12.75" customHeight="1" x14ac:dyDescent="0.2">
      <c r="A524" s="28" t="s">
        <v>2155</v>
      </c>
      <c r="B524" s="28"/>
      <c r="C524" s="28" t="s">
        <v>1803</v>
      </c>
      <c r="D524" s="83" t="s">
        <v>731</v>
      </c>
      <c r="E524" s="83" t="s">
        <v>730</v>
      </c>
      <c r="F524" s="84"/>
      <c r="G524" s="85" t="s">
        <v>2201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101"/>
      <c r="AP524" s="55">
        <f t="shared" si="201"/>
        <v>1</v>
      </c>
      <c r="AQ524" s="55">
        <f>IFERROR(VLOOKUP(A524,[1]SIIMPLES!$A$2:$F$418,6,FALSE),0)</f>
        <v>1</v>
      </c>
      <c r="AR524" s="55">
        <v>0</v>
      </c>
      <c r="AS524" s="55">
        <v>1</v>
      </c>
      <c r="AT524" s="55">
        <v>1</v>
      </c>
      <c r="AU524" s="55">
        <v>0</v>
      </c>
      <c r="AV524" s="55">
        <v>0</v>
      </c>
      <c r="AW524" s="7"/>
      <c r="AX524" s="7"/>
      <c r="AY524" s="7"/>
      <c r="AZ524" s="7"/>
      <c r="BA524" s="7"/>
      <c r="BB524" s="41" t="str">
        <f t="shared" si="202"/>
        <v/>
      </c>
      <c r="BC524" s="13"/>
      <c r="BD524" s="35"/>
      <c r="BE524" s="13"/>
      <c r="BF524" s="16"/>
      <c r="BG524" s="17" t="str">
        <f t="shared" si="203"/>
        <v>0</v>
      </c>
      <c r="BH524" s="16">
        <f t="shared" si="204"/>
        <v>0</v>
      </c>
    </row>
    <row r="525" spans="1:60" s="21" customFormat="1" ht="12.75" customHeight="1" x14ac:dyDescent="0.2">
      <c r="A525" s="28">
        <v>22182</v>
      </c>
      <c r="B525" s="28"/>
      <c r="C525" s="28" t="s">
        <v>1803</v>
      </c>
      <c r="D525" s="83" t="s">
        <v>747</v>
      </c>
      <c r="E525" s="83" t="s">
        <v>2106</v>
      </c>
      <c r="F525" s="84"/>
      <c r="G525" s="85" t="s">
        <v>2207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101"/>
      <c r="AP525" s="55">
        <f t="shared" si="201"/>
        <v>1</v>
      </c>
      <c r="AQ525" s="55">
        <f>IFERROR(VLOOKUP(A525,[1]SIIMPLES!$A$2:$F$418,6,FALSE),0)</f>
        <v>1</v>
      </c>
      <c r="AR525" s="55">
        <v>0</v>
      </c>
      <c r="AS525" s="55">
        <v>0</v>
      </c>
      <c r="AT525" s="55">
        <v>0</v>
      </c>
      <c r="AU525" s="55">
        <v>0</v>
      </c>
      <c r="AV525" s="55">
        <v>0</v>
      </c>
      <c r="AW525" s="7"/>
      <c r="AX525" s="7"/>
      <c r="AY525" s="7"/>
      <c r="AZ525" s="7"/>
      <c r="BA525" s="7"/>
      <c r="BB525" s="41" t="str">
        <f t="shared" si="202"/>
        <v/>
      </c>
      <c r="BC525" s="13"/>
      <c r="BD525" s="35"/>
      <c r="BE525" s="13"/>
      <c r="BF525" s="16">
        <f>SUM(BC525:BE525)</f>
        <v>0</v>
      </c>
      <c r="BG525" s="17" t="str">
        <f t="shared" si="203"/>
        <v>0</v>
      </c>
      <c r="BH525" s="16">
        <f t="shared" si="204"/>
        <v>0</v>
      </c>
    </row>
    <row r="526" spans="1:60" s="21" customFormat="1" ht="12.75" customHeight="1" x14ac:dyDescent="0.2">
      <c r="A526" s="28" t="s">
        <v>2166</v>
      </c>
      <c r="B526" s="28"/>
      <c r="C526" s="28" t="s">
        <v>1851</v>
      </c>
      <c r="D526" s="83" t="s">
        <v>2108</v>
      </c>
      <c r="E526" s="83" t="s">
        <v>1854</v>
      </c>
      <c r="F526" s="84"/>
      <c r="G526" s="85" t="s">
        <v>2209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101"/>
      <c r="AP526" s="55">
        <f t="shared" si="201"/>
        <v>1</v>
      </c>
      <c r="AQ526" s="55">
        <f>IFERROR(VLOOKUP(A526,[1]SIIMPLES!$A$2:$F$418,6,FALSE),0)</f>
        <v>1</v>
      </c>
      <c r="AR526" s="55">
        <v>0</v>
      </c>
      <c r="AS526" s="55">
        <v>0</v>
      </c>
      <c r="AT526" s="55">
        <v>0</v>
      </c>
      <c r="AU526" s="55">
        <v>0</v>
      </c>
      <c r="AV526" s="55">
        <v>0</v>
      </c>
      <c r="AW526" s="7"/>
      <c r="AX526" s="7"/>
      <c r="AY526" s="7"/>
      <c r="AZ526" s="7"/>
      <c r="BA526" s="7"/>
      <c r="BB526" s="41" t="str">
        <f t="shared" si="202"/>
        <v/>
      </c>
      <c r="BC526" s="13"/>
      <c r="BD526" s="35"/>
      <c r="BE526" s="13"/>
      <c r="BF526" s="16">
        <f>SUM(BC526:BE526)</f>
        <v>0</v>
      </c>
      <c r="BG526" s="17" t="str">
        <f t="shared" si="203"/>
        <v>0</v>
      </c>
      <c r="BH526" s="16">
        <f t="shared" si="204"/>
        <v>0</v>
      </c>
    </row>
    <row r="527" spans="1:60" s="21" customFormat="1" ht="12.75" customHeight="1" x14ac:dyDescent="0.2">
      <c r="A527" s="28" t="s">
        <v>2168</v>
      </c>
      <c r="B527" s="28"/>
      <c r="C527" s="28" t="s">
        <v>1851</v>
      </c>
      <c r="D527" s="83" t="s">
        <v>2108</v>
      </c>
      <c r="E527" s="83" t="s">
        <v>919</v>
      </c>
      <c r="F527" s="84"/>
      <c r="G527" s="85" t="s">
        <v>2211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101"/>
      <c r="AP527" s="55">
        <f t="shared" si="201"/>
        <v>1</v>
      </c>
      <c r="AQ527" s="55">
        <f>IFERROR(VLOOKUP(A527,[1]SIIMPLES!$A$2:$F$418,6,FALSE),0)</f>
        <v>1</v>
      </c>
      <c r="AR527" s="55">
        <v>0</v>
      </c>
      <c r="AS527" s="55">
        <v>0</v>
      </c>
      <c r="AT527" s="55">
        <v>0</v>
      </c>
      <c r="AU527" s="55">
        <v>0</v>
      </c>
      <c r="AV527" s="55">
        <v>0</v>
      </c>
      <c r="AW527" s="7"/>
      <c r="AX527" s="7"/>
      <c r="AY527" s="7"/>
      <c r="AZ527" s="7"/>
      <c r="BA527" s="7"/>
      <c r="BB527" s="41" t="str">
        <f t="shared" si="202"/>
        <v/>
      </c>
      <c r="BC527" s="13"/>
      <c r="BD527" s="35"/>
      <c r="BE527" s="13"/>
      <c r="BF527" s="16">
        <f>SUM(BC527:BE527)</f>
        <v>0</v>
      </c>
      <c r="BG527" s="17" t="str">
        <f t="shared" si="203"/>
        <v>0</v>
      </c>
      <c r="BH527" s="16">
        <f t="shared" si="204"/>
        <v>0</v>
      </c>
    </row>
    <row r="528" spans="1:60" s="21" customFormat="1" ht="12.75" customHeight="1" x14ac:dyDescent="0.2">
      <c r="A528" s="28" t="s">
        <v>2174</v>
      </c>
      <c r="B528" s="28"/>
      <c r="C528" s="28" t="s">
        <v>1851</v>
      </c>
      <c r="D528" s="83" t="s">
        <v>2194</v>
      </c>
      <c r="E528" s="83" t="s">
        <v>2025</v>
      </c>
      <c r="F528" s="84"/>
      <c r="G528" s="85" t="s">
        <v>2195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101"/>
      <c r="AP528" s="55">
        <f t="shared" si="201"/>
        <v>1</v>
      </c>
      <c r="AQ528" s="55">
        <f>IFERROR(VLOOKUP(A528,[1]SIIMPLES!$A$2:$F$418,6,FALSE),0)</f>
        <v>1</v>
      </c>
      <c r="AR528" s="55">
        <v>0</v>
      </c>
      <c r="AS528" s="55">
        <v>0</v>
      </c>
      <c r="AT528" s="55">
        <v>0</v>
      </c>
      <c r="AU528" s="55">
        <v>0</v>
      </c>
      <c r="AV528" s="55">
        <v>0</v>
      </c>
      <c r="AW528" s="7"/>
      <c r="AX528" s="7"/>
      <c r="AY528" s="7"/>
      <c r="AZ528" s="7"/>
      <c r="BA528" s="7"/>
      <c r="BB528" s="41" t="str">
        <f t="shared" si="202"/>
        <v/>
      </c>
      <c r="BC528" s="13"/>
      <c r="BD528" s="35"/>
      <c r="BE528" s="7"/>
      <c r="BF528" s="16"/>
      <c r="BG528" s="17" t="str">
        <f t="shared" si="203"/>
        <v>0</v>
      </c>
      <c r="BH528" s="16">
        <f t="shared" si="204"/>
        <v>0</v>
      </c>
    </row>
    <row r="529" spans="1:60" s="21" customFormat="1" ht="12.75" customHeight="1" x14ac:dyDescent="0.2">
      <c r="A529" s="28" t="s">
        <v>2178</v>
      </c>
      <c r="B529" s="28"/>
      <c r="C529" s="28" t="s">
        <v>1851</v>
      </c>
      <c r="D529" s="83" t="s">
        <v>918</v>
      </c>
      <c r="E529" s="83" t="s">
        <v>919</v>
      </c>
      <c r="F529" s="84"/>
      <c r="G529" s="85" t="s">
        <v>2212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101"/>
      <c r="AP529" s="55">
        <f t="shared" si="201"/>
        <v>1</v>
      </c>
      <c r="AQ529" s="55">
        <f>IFERROR(VLOOKUP(A529,[1]SIIMPLES!$A$2:$F$418,6,FALSE),0)</f>
        <v>1</v>
      </c>
      <c r="AR529" s="55">
        <v>0</v>
      </c>
      <c r="AS529" s="55">
        <v>0</v>
      </c>
      <c r="AT529" s="55">
        <v>0</v>
      </c>
      <c r="AU529" s="55">
        <v>0</v>
      </c>
      <c r="AV529" s="55">
        <v>0</v>
      </c>
      <c r="AW529" s="7"/>
      <c r="AX529" s="7"/>
      <c r="AY529" s="7"/>
      <c r="AZ529" s="7"/>
      <c r="BA529" s="7"/>
      <c r="BB529" s="41" t="str">
        <f t="shared" si="202"/>
        <v/>
      </c>
      <c r="BC529" s="13"/>
      <c r="BD529" s="35"/>
      <c r="BE529" s="13"/>
      <c r="BF529" s="16"/>
      <c r="BG529" s="17" t="str">
        <f t="shared" si="203"/>
        <v>0</v>
      </c>
      <c r="BH529" s="16">
        <f t="shared" si="204"/>
        <v>0</v>
      </c>
    </row>
    <row r="530" spans="1:60" s="21" customFormat="1" ht="12.75" customHeight="1" x14ac:dyDescent="0.2">
      <c r="A530" s="28">
        <v>772237</v>
      </c>
      <c r="B530" s="28"/>
      <c r="C530" s="27" t="s">
        <v>1803</v>
      </c>
      <c r="D530" s="9" t="s">
        <v>1917</v>
      </c>
      <c r="E530" s="9" t="s">
        <v>780</v>
      </c>
      <c r="F530" s="84"/>
      <c r="G530" s="85" t="s">
        <v>2221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101"/>
      <c r="AP530" s="55">
        <f t="shared" si="201"/>
        <v>1</v>
      </c>
      <c r="AQ530" s="55">
        <f>IFERROR(VLOOKUP(A530,[1]SIIMPLES!$A$2:$F$418,6,FALSE),0)</f>
        <v>0</v>
      </c>
      <c r="AR530" s="55">
        <v>1</v>
      </c>
      <c r="AS530" s="55">
        <v>0</v>
      </c>
      <c r="AT530" s="55">
        <v>0</v>
      </c>
      <c r="AU530" s="55">
        <v>0</v>
      </c>
      <c r="AV530" s="55">
        <v>0</v>
      </c>
      <c r="AW530" s="7"/>
      <c r="AX530" s="7"/>
      <c r="AY530" s="7"/>
      <c r="AZ530" s="7"/>
      <c r="BA530" s="7"/>
      <c r="BB530" s="41" t="str">
        <f t="shared" si="202"/>
        <v/>
      </c>
      <c r="BC530" s="13"/>
      <c r="BD530" s="35"/>
      <c r="BE530" s="13"/>
      <c r="BF530" s="16">
        <f>SUM(BC530:BE530)</f>
        <v>0</v>
      </c>
      <c r="BG530" s="17" t="str">
        <f t="shared" si="203"/>
        <v>0</v>
      </c>
      <c r="BH530" s="16">
        <f t="shared" si="204"/>
        <v>0</v>
      </c>
    </row>
    <row r="531" spans="1:60" s="21" customFormat="1" ht="12.75" customHeight="1" x14ac:dyDescent="0.2">
      <c r="A531" s="51">
        <v>2212</v>
      </c>
      <c r="B531" s="51"/>
      <c r="C531" s="66" t="s">
        <v>1803</v>
      </c>
      <c r="D531" s="65" t="s">
        <v>729</v>
      </c>
      <c r="E531" s="52" t="str">
        <f>VLOOKUP(A531,[3]CMV!$A$1:$E$1988,5,FALSE)</f>
        <v>LT CORREA</v>
      </c>
      <c r="F531" s="53"/>
      <c r="G531" s="52" t="s">
        <v>1894</v>
      </c>
      <c r="H531" s="57"/>
      <c r="I531" s="55">
        <f t="shared" ref="I531:I562" si="205">SUM(J531:M531)</f>
        <v>0</v>
      </c>
      <c r="J531" s="55">
        <v>0</v>
      </c>
      <c r="K531" s="55">
        <v>0</v>
      </c>
      <c r="L531" s="55">
        <v>0</v>
      </c>
      <c r="M531" s="55">
        <v>0</v>
      </c>
      <c r="N531" s="55">
        <f t="shared" ref="N531:N562" si="206">SUM(O531:Q531)</f>
        <v>0</v>
      </c>
      <c r="O531" s="57"/>
      <c r="P531" s="57"/>
      <c r="Q531" s="57"/>
      <c r="R531" s="55">
        <f t="shared" ref="R531:R562" si="207">SUM(S531:U531)</f>
        <v>0</v>
      </c>
      <c r="S531" s="57"/>
      <c r="T531" s="57"/>
      <c r="U531" s="57"/>
      <c r="V531" s="55">
        <v>1</v>
      </c>
      <c r="W531" s="57"/>
      <c r="X531" s="53">
        <v>1</v>
      </c>
      <c r="Y531" s="55">
        <v>0</v>
      </c>
      <c r="Z531" s="55">
        <v>0</v>
      </c>
      <c r="AA531" s="53">
        <v>0</v>
      </c>
      <c r="AB531" s="53">
        <v>0</v>
      </c>
      <c r="AC531" s="55">
        <v>0</v>
      </c>
      <c r="AD531" s="55">
        <f t="shared" ref="AD531:AD594" si="208">SUM(AE531:AG531)</f>
        <v>0</v>
      </c>
      <c r="AE531" s="53">
        <v>0</v>
      </c>
      <c r="AF531" s="55">
        <v>0</v>
      </c>
      <c r="AG531" s="55">
        <v>0</v>
      </c>
      <c r="AH531" s="55">
        <f t="shared" ref="AH531:AH594" si="209">SUM(AI531:AK531)</f>
        <v>0</v>
      </c>
      <c r="AI531" s="55">
        <v>0</v>
      </c>
      <c r="AJ531" s="55">
        <v>0</v>
      </c>
      <c r="AK531" s="55">
        <v>0</v>
      </c>
      <c r="AL531" s="55">
        <f t="shared" ref="AL531:AL594" si="210">SUM(AM531:AO531)</f>
        <v>0</v>
      </c>
      <c r="AM531" s="55" t="s">
        <v>1912</v>
      </c>
      <c r="AN531" s="55">
        <v>0</v>
      </c>
      <c r="AO531" s="55">
        <v>0</v>
      </c>
      <c r="AP531" s="55">
        <f t="shared" si="201"/>
        <v>0</v>
      </c>
      <c r="AQ531" s="55">
        <f>IFERROR(VLOOKUP(A531,[1]SIIMPLES!$A$2:$F$418,6,FALSE),0)</f>
        <v>0</v>
      </c>
      <c r="AR531" s="55">
        <v>0</v>
      </c>
      <c r="AS531" s="55">
        <v>0</v>
      </c>
      <c r="AT531" s="55">
        <v>0</v>
      </c>
      <c r="AU531" s="55">
        <v>0</v>
      </c>
      <c r="AV531" s="55">
        <v>0</v>
      </c>
      <c r="AW531" s="57"/>
      <c r="AX531" s="57"/>
      <c r="AY531" s="56">
        <f t="shared" ref="AY531:AY594" si="211">IFERROR(AVERAGE(I531,N531,R531,V531,Z531,AD531,AH531,AL531,AP531,AS531,AW531,AX531),"-")</f>
        <v>0.1</v>
      </c>
      <c r="AZ531" s="57"/>
      <c r="BA531" s="56" t="s">
        <v>1912</v>
      </c>
      <c r="BB531" s="41" t="str">
        <f t="shared" si="202"/>
        <v/>
      </c>
      <c r="BC531" s="13"/>
      <c r="BD531" s="35"/>
      <c r="BE531" s="13"/>
      <c r="BF531" s="16"/>
      <c r="BG531" s="17">
        <f t="shared" si="203"/>
        <v>0</v>
      </c>
      <c r="BH531" s="16">
        <f>ROUND(IFERROR(IF(F531=1,IF(BC531&lt;AY531*3,AY531*3-BC531,0),IF(BC531&lt;AY531,AY531*0.6-BC531,0)),""),0)</f>
        <v>0</v>
      </c>
    </row>
    <row r="532" spans="1:60" s="21" customFormat="1" ht="12.75" customHeight="1" x14ac:dyDescent="0.2">
      <c r="A532" s="51">
        <v>2213</v>
      </c>
      <c r="B532" s="51"/>
      <c r="C532" s="66" t="s">
        <v>1803</v>
      </c>
      <c r="D532" s="65" t="s">
        <v>729</v>
      </c>
      <c r="E532" s="52" t="str">
        <f>VLOOKUP(A532,[3]CMV!$A$1:$E$1988,5,FALSE)</f>
        <v>LT CORREA</v>
      </c>
      <c r="F532" s="53"/>
      <c r="G532" s="52" t="s">
        <v>1895</v>
      </c>
      <c r="H532" s="57"/>
      <c r="I532" s="55">
        <f t="shared" si="205"/>
        <v>0</v>
      </c>
      <c r="J532" s="55">
        <v>0</v>
      </c>
      <c r="K532" s="55">
        <v>0</v>
      </c>
      <c r="L532" s="55">
        <v>0</v>
      </c>
      <c r="M532" s="55">
        <v>0</v>
      </c>
      <c r="N532" s="55">
        <f t="shared" si="206"/>
        <v>0</v>
      </c>
      <c r="O532" s="57"/>
      <c r="P532" s="57"/>
      <c r="Q532" s="57"/>
      <c r="R532" s="55">
        <f t="shared" si="207"/>
        <v>0</v>
      </c>
      <c r="S532" s="57"/>
      <c r="T532" s="57"/>
      <c r="U532" s="57"/>
      <c r="V532" s="55">
        <v>1</v>
      </c>
      <c r="W532" s="57"/>
      <c r="X532" s="53">
        <v>1</v>
      </c>
      <c r="Y532" s="55">
        <v>0</v>
      </c>
      <c r="Z532" s="55">
        <v>0</v>
      </c>
      <c r="AA532" s="53">
        <v>0</v>
      </c>
      <c r="AB532" s="53">
        <v>0</v>
      </c>
      <c r="AC532" s="55">
        <v>0</v>
      </c>
      <c r="AD532" s="55">
        <f t="shared" si="208"/>
        <v>0</v>
      </c>
      <c r="AE532" s="53">
        <v>0</v>
      </c>
      <c r="AF532" s="55">
        <v>0</v>
      </c>
      <c r="AG532" s="55">
        <v>0</v>
      </c>
      <c r="AH532" s="55">
        <f t="shared" si="209"/>
        <v>0</v>
      </c>
      <c r="AI532" s="55">
        <v>0</v>
      </c>
      <c r="AJ532" s="55">
        <v>0</v>
      </c>
      <c r="AK532" s="55">
        <v>0</v>
      </c>
      <c r="AL532" s="55">
        <f t="shared" si="210"/>
        <v>0</v>
      </c>
      <c r="AM532" s="55" t="s">
        <v>1912</v>
      </c>
      <c r="AN532" s="55">
        <v>0</v>
      </c>
      <c r="AO532" s="55">
        <v>0</v>
      </c>
      <c r="AP532" s="55">
        <f t="shared" si="201"/>
        <v>0</v>
      </c>
      <c r="AQ532" s="55">
        <f>IFERROR(VLOOKUP(A532,[1]SIIMPLES!$A$2:$F$418,6,FALSE),0)</f>
        <v>0</v>
      </c>
      <c r="AR532" s="55">
        <v>0</v>
      </c>
      <c r="AS532" s="55">
        <v>0</v>
      </c>
      <c r="AT532" s="55">
        <v>0</v>
      </c>
      <c r="AU532" s="55">
        <v>0</v>
      </c>
      <c r="AV532" s="55">
        <v>0</v>
      </c>
      <c r="AW532" s="57"/>
      <c r="AX532" s="57"/>
      <c r="AY532" s="56">
        <f t="shared" si="211"/>
        <v>0.1</v>
      </c>
      <c r="AZ532" s="57"/>
      <c r="BA532" s="56" t="s">
        <v>1912</v>
      </c>
      <c r="BB532" s="41" t="str">
        <f t="shared" si="202"/>
        <v/>
      </c>
      <c r="BC532" s="13"/>
      <c r="BD532" s="35"/>
      <c r="BE532" s="7"/>
      <c r="BF532" s="16"/>
      <c r="BG532" s="17">
        <f t="shared" si="203"/>
        <v>0</v>
      </c>
      <c r="BH532" s="16">
        <f>IFERROR(IF(F532=1,IF(BC532&lt;AY532*3,AY532*3-BC532,0),IF(BC532&lt;AY532,AY532-BC532,0)),"")</f>
        <v>0.1</v>
      </c>
    </row>
    <row r="533" spans="1:60" s="21" customFormat="1" ht="12.75" customHeight="1" x14ac:dyDescent="0.2">
      <c r="A533" s="51">
        <v>2215</v>
      </c>
      <c r="B533" s="51"/>
      <c r="C533" s="66" t="s">
        <v>1803</v>
      </c>
      <c r="D533" s="65" t="s">
        <v>729</v>
      </c>
      <c r="E533" s="52" t="str">
        <f>VLOOKUP(A533,[3]CMV!$A$1:$E$1988,5,FALSE)</f>
        <v>LT CORREA</v>
      </c>
      <c r="F533" s="53"/>
      <c r="G533" s="52" t="s">
        <v>1887</v>
      </c>
      <c r="H533" s="57"/>
      <c r="I533" s="55">
        <f t="shared" si="205"/>
        <v>0</v>
      </c>
      <c r="J533" s="55">
        <v>0</v>
      </c>
      <c r="K533" s="55">
        <v>0</v>
      </c>
      <c r="L533" s="55">
        <v>0</v>
      </c>
      <c r="M533" s="55">
        <v>0</v>
      </c>
      <c r="N533" s="55">
        <f t="shared" si="206"/>
        <v>0</v>
      </c>
      <c r="O533" s="57"/>
      <c r="P533" s="57"/>
      <c r="Q533" s="57"/>
      <c r="R533" s="55">
        <f t="shared" si="207"/>
        <v>0</v>
      </c>
      <c r="S533" s="57"/>
      <c r="T533" s="57"/>
      <c r="U533" s="57"/>
      <c r="V533" s="55">
        <v>2</v>
      </c>
      <c r="W533" s="57"/>
      <c r="X533" s="53">
        <v>2</v>
      </c>
      <c r="Y533" s="55">
        <v>0</v>
      </c>
      <c r="Z533" s="55">
        <v>2</v>
      </c>
      <c r="AA533" s="53">
        <v>0</v>
      </c>
      <c r="AB533" s="53">
        <v>2</v>
      </c>
      <c r="AC533" s="55">
        <v>0</v>
      </c>
      <c r="AD533" s="55">
        <f t="shared" si="208"/>
        <v>3</v>
      </c>
      <c r="AE533" s="53">
        <v>0</v>
      </c>
      <c r="AF533" s="55">
        <v>3</v>
      </c>
      <c r="AG533" s="55">
        <v>0</v>
      </c>
      <c r="AH533" s="55">
        <f t="shared" si="209"/>
        <v>2</v>
      </c>
      <c r="AI533" s="55">
        <v>0</v>
      </c>
      <c r="AJ533" s="55">
        <v>2</v>
      </c>
      <c r="AK533" s="55">
        <v>0</v>
      </c>
      <c r="AL533" s="55">
        <f t="shared" si="210"/>
        <v>7</v>
      </c>
      <c r="AM533" s="55" t="s">
        <v>1912</v>
      </c>
      <c r="AN533" s="55">
        <v>7</v>
      </c>
      <c r="AO533" s="55">
        <v>0</v>
      </c>
      <c r="AP533" s="55">
        <f t="shared" si="201"/>
        <v>0</v>
      </c>
      <c r="AQ533" s="55">
        <f>IFERROR(VLOOKUP(A533,[1]SIIMPLES!$A$2:$F$418,6,FALSE),0)</f>
        <v>0</v>
      </c>
      <c r="AR533" s="55">
        <v>0</v>
      </c>
      <c r="AS533" s="55">
        <v>1</v>
      </c>
      <c r="AT533" s="55">
        <v>1</v>
      </c>
      <c r="AU533" s="55">
        <v>0</v>
      </c>
      <c r="AV533" s="55">
        <v>0</v>
      </c>
      <c r="AW533" s="57"/>
      <c r="AX533" s="57"/>
      <c r="AY533" s="56">
        <f t="shared" si="211"/>
        <v>1.7</v>
      </c>
      <c r="AZ533" s="57"/>
      <c r="BA533" s="56" t="s">
        <v>1912</v>
      </c>
      <c r="BB533" s="41" t="str">
        <f t="shared" si="202"/>
        <v/>
      </c>
      <c r="BC533" s="13"/>
      <c r="BD533" s="35"/>
      <c r="BE533" s="13"/>
      <c r="BF533" s="16">
        <f>SUM(BC533:BE533)</f>
        <v>0</v>
      </c>
      <c r="BG533" s="17">
        <f t="shared" si="203"/>
        <v>0</v>
      </c>
      <c r="BH533" s="16">
        <f>IFERROR(IF(F533=1,IF(BC533&lt;AY533*3,AY533*3-BC533,0),IF(BC533&lt;AY533,AY533-BC533,0)),"")</f>
        <v>1.7</v>
      </c>
    </row>
    <row r="534" spans="1:60" s="21" customFormat="1" ht="12.75" customHeight="1" x14ac:dyDescent="0.2">
      <c r="A534" s="51">
        <v>2252</v>
      </c>
      <c r="B534" s="51"/>
      <c r="C534" s="66" t="s">
        <v>1803</v>
      </c>
      <c r="D534" s="65" t="s">
        <v>731</v>
      </c>
      <c r="E534" s="52" t="str">
        <f>VLOOKUP(A534,[3]CMV!$A$1:$E$1988,5,FALSE)</f>
        <v>LT CORREA</v>
      </c>
      <c r="F534" s="53"/>
      <c r="G534" s="52" t="s">
        <v>1888</v>
      </c>
      <c r="H534" s="57"/>
      <c r="I534" s="55">
        <f t="shared" si="205"/>
        <v>0</v>
      </c>
      <c r="J534" s="55">
        <v>0</v>
      </c>
      <c r="K534" s="55">
        <v>0</v>
      </c>
      <c r="L534" s="55">
        <v>0</v>
      </c>
      <c r="M534" s="55">
        <v>0</v>
      </c>
      <c r="N534" s="55">
        <f t="shared" si="206"/>
        <v>0</v>
      </c>
      <c r="O534" s="55"/>
      <c r="P534" s="55"/>
      <c r="Q534" s="55"/>
      <c r="R534" s="55">
        <f t="shared" si="207"/>
        <v>0</v>
      </c>
      <c r="S534" s="55"/>
      <c r="T534" s="55"/>
      <c r="U534" s="55"/>
      <c r="V534" s="55">
        <v>1</v>
      </c>
      <c r="W534" s="53">
        <v>1</v>
      </c>
      <c r="X534" s="53">
        <v>0</v>
      </c>
      <c r="Y534" s="55">
        <v>0</v>
      </c>
      <c r="Z534" s="55">
        <v>0</v>
      </c>
      <c r="AA534" s="53">
        <v>0</v>
      </c>
      <c r="AB534" s="53">
        <v>0</v>
      </c>
      <c r="AC534" s="55">
        <v>0</v>
      </c>
      <c r="AD534" s="55">
        <f t="shared" si="208"/>
        <v>1</v>
      </c>
      <c r="AE534" s="53">
        <v>1</v>
      </c>
      <c r="AF534" s="55">
        <v>0</v>
      </c>
      <c r="AG534" s="55">
        <v>0</v>
      </c>
      <c r="AH534" s="55">
        <f t="shared" si="209"/>
        <v>0</v>
      </c>
      <c r="AI534" s="55">
        <v>0</v>
      </c>
      <c r="AJ534" s="55">
        <v>0</v>
      </c>
      <c r="AK534" s="55">
        <v>0</v>
      </c>
      <c r="AL534" s="55">
        <f t="shared" si="210"/>
        <v>0</v>
      </c>
      <c r="AM534" s="55" t="s">
        <v>1912</v>
      </c>
      <c r="AN534" s="55">
        <v>0</v>
      </c>
      <c r="AO534" s="55">
        <v>0</v>
      </c>
      <c r="AP534" s="55">
        <f t="shared" si="201"/>
        <v>0</v>
      </c>
      <c r="AQ534" s="55">
        <f>IFERROR(VLOOKUP(A534,[1]SIIMPLES!$A$2:$F$418,6,FALSE),0)</f>
        <v>0</v>
      </c>
      <c r="AR534" s="55">
        <v>0</v>
      </c>
      <c r="AS534" s="55">
        <v>0</v>
      </c>
      <c r="AT534" s="55">
        <v>0</v>
      </c>
      <c r="AU534" s="55">
        <v>0</v>
      </c>
      <c r="AV534" s="55">
        <v>0</v>
      </c>
      <c r="AW534" s="55"/>
      <c r="AX534" s="55"/>
      <c r="AY534" s="56">
        <f t="shared" si="211"/>
        <v>0.2</v>
      </c>
      <c r="AZ534" s="55"/>
      <c r="BA534" s="56" t="s">
        <v>1912</v>
      </c>
      <c r="BB534" s="41" t="str">
        <f t="shared" ref="BB534:BB565" si="212">IFERROR(AY534/BA534-1,"")</f>
        <v/>
      </c>
      <c r="BC534" s="13"/>
      <c r="BD534" s="35"/>
      <c r="BE534" s="13"/>
      <c r="BF534" s="16"/>
      <c r="BG534" s="17">
        <f t="shared" si="203"/>
        <v>0</v>
      </c>
      <c r="BH534" s="16">
        <f>ROUND(IFERROR(IF(F534=1,IF(BC534&lt;AY534*3,AY534*3-BC534,0),IF(BC534&lt;AY534,AY534*0.6-BC534,0)),""),0)</f>
        <v>0</v>
      </c>
    </row>
    <row r="535" spans="1:60" s="21" customFormat="1" ht="12.75" customHeight="1" x14ac:dyDescent="0.2">
      <c r="A535" s="51">
        <v>2302</v>
      </c>
      <c r="B535" s="51" t="s">
        <v>1077</v>
      </c>
      <c r="C535" s="66" t="s">
        <v>1803</v>
      </c>
      <c r="D535" s="65" t="s">
        <v>731</v>
      </c>
      <c r="E535" s="52" t="s">
        <v>730</v>
      </c>
      <c r="F535" s="53">
        <f>IFERROR(VLOOKUP(E535,Fornecedores!$A$2:$B$2700,2,FALSE),"")</f>
        <v>3</v>
      </c>
      <c r="G535" s="52" t="s">
        <v>119</v>
      </c>
      <c r="H535" s="54"/>
      <c r="I535" s="55">
        <f t="shared" si="205"/>
        <v>10</v>
      </c>
      <c r="J535" s="55">
        <v>10</v>
      </c>
      <c r="K535" s="55">
        <v>0</v>
      </c>
      <c r="L535" s="55">
        <v>0</v>
      </c>
      <c r="M535" s="55">
        <v>0</v>
      </c>
      <c r="N535" s="55">
        <f t="shared" si="206"/>
        <v>0</v>
      </c>
      <c r="O535" s="55">
        <v>0</v>
      </c>
      <c r="P535" s="55">
        <v>0</v>
      </c>
      <c r="Q535" s="55">
        <v>0</v>
      </c>
      <c r="R535" s="55">
        <f t="shared" si="207"/>
        <v>2</v>
      </c>
      <c r="S535" s="55">
        <v>2</v>
      </c>
      <c r="T535" s="55">
        <v>0</v>
      </c>
      <c r="U535" s="55">
        <v>0</v>
      </c>
      <c r="V535" s="55">
        <v>2</v>
      </c>
      <c r="W535" s="53">
        <v>2</v>
      </c>
      <c r="X535" s="53">
        <v>0</v>
      </c>
      <c r="Y535" s="55">
        <v>0</v>
      </c>
      <c r="Z535" s="55">
        <v>5</v>
      </c>
      <c r="AA535" s="53">
        <v>5</v>
      </c>
      <c r="AB535" s="53">
        <v>0</v>
      </c>
      <c r="AC535" s="55">
        <v>0</v>
      </c>
      <c r="AD535" s="55">
        <f t="shared" si="208"/>
        <v>1</v>
      </c>
      <c r="AE535" s="53">
        <v>1</v>
      </c>
      <c r="AF535" s="55">
        <v>0</v>
      </c>
      <c r="AG535" s="55">
        <v>0</v>
      </c>
      <c r="AH535" s="55">
        <f t="shared" si="209"/>
        <v>4</v>
      </c>
      <c r="AI535" s="55">
        <v>1</v>
      </c>
      <c r="AJ535" s="55">
        <v>3</v>
      </c>
      <c r="AK535" s="55">
        <v>0</v>
      </c>
      <c r="AL535" s="55">
        <f t="shared" si="210"/>
        <v>2</v>
      </c>
      <c r="AM535" s="55">
        <v>1</v>
      </c>
      <c r="AN535" s="55">
        <v>1</v>
      </c>
      <c r="AO535" s="55">
        <v>0</v>
      </c>
      <c r="AP535" s="55">
        <f t="shared" si="201"/>
        <v>0</v>
      </c>
      <c r="AQ535" s="55">
        <f>IFERROR(VLOOKUP(A535,[1]SIIMPLES!$A$2:$F$418,6,FALSE),0)</f>
        <v>0</v>
      </c>
      <c r="AR535" s="55">
        <v>0</v>
      </c>
      <c r="AS535" s="55">
        <v>3</v>
      </c>
      <c r="AT535" s="55">
        <v>0</v>
      </c>
      <c r="AU535" s="55">
        <v>1</v>
      </c>
      <c r="AV535" s="55">
        <v>2</v>
      </c>
      <c r="AW535" s="55"/>
      <c r="AX535" s="55"/>
      <c r="AY535" s="56">
        <f t="shared" si="211"/>
        <v>2.9</v>
      </c>
      <c r="AZ535" s="55"/>
      <c r="BA535" s="56">
        <v>4.5</v>
      </c>
      <c r="BB535" s="41">
        <f t="shared" si="212"/>
        <v>-0.35555555555555562</v>
      </c>
      <c r="BC535" s="13"/>
      <c r="BD535" s="35"/>
      <c r="BE535" s="13"/>
      <c r="BF535" s="16"/>
      <c r="BG535" s="17">
        <f t="shared" si="203"/>
        <v>0</v>
      </c>
      <c r="BH535" s="16">
        <f>IFERROR(IF(F535=1,IF(BC535&lt;AY535*3,AY535*3-BC535,0),IF(BC535&lt;AY535,AY535-BC535,0)),"")</f>
        <v>2.9</v>
      </c>
    </row>
    <row r="536" spans="1:60" s="21" customFormat="1" ht="12.75" customHeight="1" x14ac:dyDescent="0.2">
      <c r="A536" s="51">
        <v>2314</v>
      </c>
      <c r="B536" s="51" t="s">
        <v>1077</v>
      </c>
      <c r="C536" s="66" t="s">
        <v>1803</v>
      </c>
      <c r="D536" s="65" t="s">
        <v>729</v>
      </c>
      <c r="E536" s="52" t="s">
        <v>730</v>
      </c>
      <c r="F536" s="53">
        <f>IFERROR(VLOOKUP(E536,Fornecedores!$A$2:$B$2700,2,FALSE),"")</f>
        <v>3</v>
      </c>
      <c r="G536" s="52" t="s">
        <v>578</v>
      </c>
      <c r="H536" s="54"/>
      <c r="I536" s="55">
        <f t="shared" si="205"/>
        <v>6</v>
      </c>
      <c r="J536" s="55">
        <v>6</v>
      </c>
      <c r="K536" s="55">
        <v>0</v>
      </c>
      <c r="L536" s="55">
        <v>0</v>
      </c>
      <c r="M536" s="55">
        <v>0</v>
      </c>
      <c r="N536" s="55">
        <f t="shared" si="206"/>
        <v>1</v>
      </c>
      <c r="O536" s="55">
        <v>1</v>
      </c>
      <c r="P536" s="55">
        <v>0</v>
      </c>
      <c r="Q536" s="55">
        <v>0</v>
      </c>
      <c r="R536" s="55">
        <f t="shared" si="207"/>
        <v>3</v>
      </c>
      <c r="S536" s="55">
        <v>3</v>
      </c>
      <c r="T536" s="55">
        <v>0</v>
      </c>
      <c r="U536" s="55">
        <v>0</v>
      </c>
      <c r="V536" s="55">
        <v>12</v>
      </c>
      <c r="W536" s="53">
        <v>12</v>
      </c>
      <c r="X536" s="53">
        <v>0</v>
      </c>
      <c r="Y536" s="55">
        <v>0</v>
      </c>
      <c r="Z536" s="55">
        <v>0</v>
      </c>
      <c r="AA536" s="53">
        <v>0</v>
      </c>
      <c r="AB536" s="53">
        <v>0</v>
      </c>
      <c r="AC536" s="55">
        <v>0</v>
      </c>
      <c r="AD536" s="55">
        <f t="shared" si="208"/>
        <v>0</v>
      </c>
      <c r="AE536" s="53">
        <v>0</v>
      </c>
      <c r="AF536" s="55">
        <v>0</v>
      </c>
      <c r="AG536" s="55">
        <v>0</v>
      </c>
      <c r="AH536" s="55">
        <f t="shared" si="209"/>
        <v>1</v>
      </c>
      <c r="AI536" s="55">
        <v>1</v>
      </c>
      <c r="AJ536" s="55">
        <v>0</v>
      </c>
      <c r="AK536" s="55">
        <v>0</v>
      </c>
      <c r="AL536" s="55">
        <f t="shared" si="210"/>
        <v>0</v>
      </c>
      <c r="AM536" s="55" t="s">
        <v>1912</v>
      </c>
      <c r="AN536" s="55">
        <v>0</v>
      </c>
      <c r="AO536" s="55">
        <v>0</v>
      </c>
      <c r="AP536" s="55">
        <f t="shared" si="201"/>
        <v>0</v>
      </c>
      <c r="AQ536" s="55">
        <f>IFERROR(VLOOKUP(A536,[1]SIIMPLES!$A$2:$F$418,6,FALSE),0)</f>
        <v>0</v>
      </c>
      <c r="AR536" s="55">
        <v>0</v>
      </c>
      <c r="AS536" s="55">
        <v>2</v>
      </c>
      <c r="AT536" s="55">
        <v>0</v>
      </c>
      <c r="AU536" s="55">
        <v>0</v>
      </c>
      <c r="AV536" s="55">
        <v>2</v>
      </c>
      <c r="AW536" s="55"/>
      <c r="AX536" s="55"/>
      <c r="AY536" s="56">
        <f t="shared" si="211"/>
        <v>2.5</v>
      </c>
      <c r="AZ536" s="55"/>
      <c r="BA536" s="56">
        <v>17.166666666666668</v>
      </c>
      <c r="BB536" s="41">
        <f t="shared" si="212"/>
        <v>-0.85436893203883502</v>
      </c>
      <c r="BC536" s="13"/>
      <c r="BD536" s="35"/>
      <c r="BE536" s="13"/>
      <c r="BF536" s="16"/>
      <c r="BG536" s="17">
        <f t="shared" si="203"/>
        <v>0</v>
      </c>
      <c r="BH536" s="16">
        <f>IFERROR(IF(F536=1,IF(BC536&lt;AY536*3,AY536*3-BC536,0),IF(BC536&lt;AY536,AY536-BC536,0)),"")</f>
        <v>2.5</v>
      </c>
    </row>
    <row r="537" spans="1:60" s="21" customFormat="1" ht="12.75" customHeight="1" x14ac:dyDescent="0.2">
      <c r="A537" s="51">
        <v>2324</v>
      </c>
      <c r="B537" s="51" t="s">
        <v>1077</v>
      </c>
      <c r="C537" s="66" t="s">
        <v>1803</v>
      </c>
      <c r="D537" s="65" t="s">
        <v>731</v>
      </c>
      <c r="E537" s="52" t="s">
        <v>730</v>
      </c>
      <c r="F537" s="53">
        <f>IFERROR(VLOOKUP(E537,Fornecedores!$A$2:$B$2700,2,FALSE),"")</f>
        <v>3</v>
      </c>
      <c r="G537" s="52" t="s">
        <v>483</v>
      </c>
      <c r="H537" s="54"/>
      <c r="I537" s="55">
        <f t="shared" si="205"/>
        <v>0</v>
      </c>
      <c r="J537" s="55">
        <v>0</v>
      </c>
      <c r="K537" s="55">
        <v>0</v>
      </c>
      <c r="L537" s="55">
        <v>0</v>
      </c>
      <c r="M537" s="55">
        <v>0</v>
      </c>
      <c r="N537" s="55">
        <f t="shared" si="206"/>
        <v>1</v>
      </c>
      <c r="O537" s="55">
        <v>1</v>
      </c>
      <c r="P537" s="55">
        <v>0</v>
      </c>
      <c r="Q537" s="55">
        <v>0</v>
      </c>
      <c r="R537" s="55">
        <f t="shared" si="207"/>
        <v>0</v>
      </c>
      <c r="S537" s="55">
        <v>0</v>
      </c>
      <c r="T537" s="55">
        <v>0</v>
      </c>
      <c r="U537" s="55">
        <v>0</v>
      </c>
      <c r="V537" s="55">
        <v>0</v>
      </c>
      <c r="W537" s="53">
        <v>0</v>
      </c>
      <c r="X537" s="53">
        <v>0</v>
      </c>
      <c r="Y537" s="55">
        <v>0</v>
      </c>
      <c r="Z537" s="55">
        <v>0</v>
      </c>
      <c r="AA537" s="53">
        <v>0</v>
      </c>
      <c r="AB537" s="53">
        <v>0</v>
      </c>
      <c r="AC537" s="55">
        <v>0</v>
      </c>
      <c r="AD537" s="55">
        <f t="shared" si="208"/>
        <v>0</v>
      </c>
      <c r="AE537" s="53">
        <v>0</v>
      </c>
      <c r="AF537" s="55">
        <v>0</v>
      </c>
      <c r="AG537" s="55">
        <v>0</v>
      </c>
      <c r="AH537" s="55">
        <f t="shared" si="209"/>
        <v>3</v>
      </c>
      <c r="AI537" s="55">
        <v>0</v>
      </c>
      <c r="AJ537" s="55">
        <v>3</v>
      </c>
      <c r="AK537" s="55">
        <v>0</v>
      </c>
      <c r="AL537" s="55">
        <f t="shared" si="210"/>
        <v>1</v>
      </c>
      <c r="AM537" s="55" t="s">
        <v>1912</v>
      </c>
      <c r="AN537" s="55">
        <v>1</v>
      </c>
      <c r="AO537" s="55">
        <v>0</v>
      </c>
      <c r="AP537" s="55">
        <f t="shared" si="201"/>
        <v>0</v>
      </c>
      <c r="AQ537" s="55">
        <f>IFERROR(VLOOKUP(A537,[1]SIIMPLES!$A$2:$F$418,6,FALSE),0)</f>
        <v>0</v>
      </c>
      <c r="AR537" s="55">
        <v>0</v>
      </c>
      <c r="AS537" s="55">
        <v>1</v>
      </c>
      <c r="AT537" s="55">
        <v>0</v>
      </c>
      <c r="AU537" s="55">
        <v>1</v>
      </c>
      <c r="AV537" s="55">
        <v>0</v>
      </c>
      <c r="AW537" s="55"/>
      <c r="AX537" s="55"/>
      <c r="AY537" s="56">
        <f t="shared" si="211"/>
        <v>0.6</v>
      </c>
      <c r="AZ537" s="55"/>
      <c r="BA537" s="56">
        <v>1.8333333333333333</v>
      </c>
      <c r="BB537" s="41">
        <f t="shared" si="212"/>
        <v>-0.67272727272727273</v>
      </c>
      <c r="BC537" s="13"/>
      <c r="BD537" s="35"/>
      <c r="BE537" s="13"/>
      <c r="BF537" s="16"/>
      <c r="BG537" s="17">
        <f t="shared" si="203"/>
        <v>0</v>
      </c>
      <c r="BH537" s="7"/>
    </row>
    <row r="538" spans="1:60" s="21" customFormat="1" ht="12.75" customHeight="1" x14ac:dyDescent="0.2">
      <c r="A538" s="51">
        <v>2325</v>
      </c>
      <c r="B538" s="51" t="s">
        <v>1077</v>
      </c>
      <c r="C538" s="66" t="s">
        <v>1803</v>
      </c>
      <c r="D538" s="65" t="s">
        <v>731</v>
      </c>
      <c r="E538" s="52" t="s">
        <v>730</v>
      </c>
      <c r="F538" s="53">
        <f>IFERROR(VLOOKUP(E538,Fornecedores!$A$2:$B$2700,2,FALSE),"")</f>
        <v>3</v>
      </c>
      <c r="G538" s="52" t="s">
        <v>484</v>
      </c>
      <c r="H538" s="54"/>
      <c r="I538" s="55">
        <f t="shared" si="205"/>
        <v>0</v>
      </c>
      <c r="J538" s="55">
        <v>0</v>
      </c>
      <c r="K538" s="55">
        <v>0</v>
      </c>
      <c r="L538" s="55">
        <v>0</v>
      </c>
      <c r="M538" s="55">
        <v>0</v>
      </c>
      <c r="N538" s="55">
        <f t="shared" si="206"/>
        <v>1</v>
      </c>
      <c r="O538" s="55">
        <v>1</v>
      </c>
      <c r="P538" s="55">
        <v>0</v>
      </c>
      <c r="Q538" s="55">
        <v>0</v>
      </c>
      <c r="R538" s="55">
        <f t="shared" si="207"/>
        <v>0</v>
      </c>
      <c r="S538" s="55">
        <v>0</v>
      </c>
      <c r="T538" s="55">
        <v>0</v>
      </c>
      <c r="U538" s="55">
        <v>0</v>
      </c>
      <c r="V538" s="55">
        <v>0</v>
      </c>
      <c r="W538" s="53">
        <v>0</v>
      </c>
      <c r="X538" s="53">
        <v>0</v>
      </c>
      <c r="Y538" s="55">
        <v>0</v>
      </c>
      <c r="Z538" s="55">
        <v>0</v>
      </c>
      <c r="AA538" s="53">
        <v>0</v>
      </c>
      <c r="AB538" s="53">
        <v>0</v>
      </c>
      <c r="AC538" s="55">
        <v>0</v>
      </c>
      <c r="AD538" s="55">
        <f t="shared" si="208"/>
        <v>0</v>
      </c>
      <c r="AE538" s="53">
        <v>0</v>
      </c>
      <c r="AF538" s="55">
        <v>0</v>
      </c>
      <c r="AG538" s="55">
        <v>0</v>
      </c>
      <c r="AH538" s="55">
        <f t="shared" si="209"/>
        <v>3</v>
      </c>
      <c r="AI538" s="55">
        <v>0</v>
      </c>
      <c r="AJ538" s="55">
        <v>3</v>
      </c>
      <c r="AK538" s="55">
        <v>0</v>
      </c>
      <c r="AL538" s="55">
        <f t="shared" si="210"/>
        <v>2</v>
      </c>
      <c r="AM538" s="55">
        <v>1</v>
      </c>
      <c r="AN538" s="55">
        <v>1</v>
      </c>
      <c r="AO538" s="55">
        <v>0</v>
      </c>
      <c r="AP538" s="55">
        <f t="shared" si="201"/>
        <v>0</v>
      </c>
      <c r="AQ538" s="55">
        <f>IFERROR(VLOOKUP(A538,[1]SIIMPLES!$A$2:$F$418,6,FALSE),0)</f>
        <v>0</v>
      </c>
      <c r="AR538" s="55">
        <v>0</v>
      </c>
      <c r="AS538" s="55">
        <v>3</v>
      </c>
      <c r="AT538" s="55">
        <v>2</v>
      </c>
      <c r="AU538" s="55">
        <v>1</v>
      </c>
      <c r="AV538" s="55">
        <v>0</v>
      </c>
      <c r="AW538" s="55"/>
      <c r="AX538" s="55"/>
      <c r="AY538" s="56">
        <f t="shared" si="211"/>
        <v>0.9</v>
      </c>
      <c r="AZ538" s="55"/>
      <c r="BA538" s="56">
        <v>2.1666666666666665</v>
      </c>
      <c r="BB538" s="41">
        <f t="shared" si="212"/>
        <v>-0.58461538461538454</v>
      </c>
      <c r="BC538" s="13"/>
      <c r="BD538" s="35"/>
      <c r="BE538" s="13"/>
      <c r="BF538" s="16"/>
      <c r="BG538" s="17">
        <f t="shared" si="203"/>
        <v>0</v>
      </c>
      <c r="BH538" s="16">
        <f>IFERROR(IF(F538=1,IF(BC538&lt;AY538*3,AY538*3-BC538,0),IF(BC538&lt;AY538,AY538-BC538,0)),"")</f>
        <v>0.9</v>
      </c>
    </row>
    <row r="539" spans="1:60" s="21" customFormat="1" ht="12.75" customHeight="1" x14ac:dyDescent="0.2">
      <c r="A539" s="51">
        <v>3002</v>
      </c>
      <c r="B539" s="51" t="s">
        <v>1077</v>
      </c>
      <c r="C539" s="66" t="s">
        <v>1803</v>
      </c>
      <c r="D539" s="52" t="s">
        <v>759</v>
      </c>
      <c r="E539" s="52" t="s">
        <v>736</v>
      </c>
      <c r="F539" s="53">
        <f>IFERROR(VLOOKUP(E539,Fornecedores!$A$2:$B$2700,2,FALSE),"")</f>
        <v>5</v>
      </c>
      <c r="G539" s="52" t="s">
        <v>917</v>
      </c>
      <c r="H539" s="57"/>
      <c r="I539" s="55">
        <f t="shared" si="205"/>
        <v>1</v>
      </c>
      <c r="J539" s="55">
        <v>1</v>
      </c>
      <c r="K539" s="55">
        <v>0</v>
      </c>
      <c r="L539" s="55">
        <v>0</v>
      </c>
      <c r="M539" s="55">
        <v>0</v>
      </c>
      <c r="N539" s="55">
        <f t="shared" si="206"/>
        <v>2</v>
      </c>
      <c r="O539" s="55">
        <v>2</v>
      </c>
      <c r="P539" s="55">
        <v>0</v>
      </c>
      <c r="Q539" s="55">
        <v>0</v>
      </c>
      <c r="R539" s="55">
        <f t="shared" si="207"/>
        <v>1</v>
      </c>
      <c r="S539" s="55">
        <v>1</v>
      </c>
      <c r="T539" s="55">
        <v>0</v>
      </c>
      <c r="U539" s="55">
        <v>0</v>
      </c>
      <c r="V539" s="55">
        <v>1</v>
      </c>
      <c r="W539" s="53">
        <v>1</v>
      </c>
      <c r="X539" s="53">
        <v>0</v>
      </c>
      <c r="Y539" s="55">
        <v>0</v>
      </c>
      <c r="Z539" s="55">
        <v>1</v>
      </c>
      <c r="AA539" s="53">
        <v>1</v>
      </c>
      <c r="AB539" s="53">
        <v>0</v>
      </c>
      <c r="AC539" s="55">
        <v>0</v>
      </c>
      <c r="AD539" s="55">
        <f t="shared" si="208"/>
        <v>0</v>
      </c>
      <c r="AE539" s="53">
        <v>0</v>
      </c>
      <c r="AF539" s="55">
        <v>0</v>
      </c>
      <c r="AG539" s="55">
        <v>0</v>
      </c>
      <c r="AH539" s="55">
        <f t="shared" si="209"/>
        <v>2</v>
      </c>
      <c r="AI539" s="55">
        <v>2</v>
      </c>
      <c r="AJ539" s="55">
        <v>0</v>
      </c>
      <c r="AK539" s="55">
        <v>0</v>
      </c>
      <c r="AL539" s="55">
        <f t="shared" si="210"/>
        <v>2</v>
      </c>
      <c r="AM539" s="55">
        <v>2</v>
      </c>
      <c r="AN539" s="55">
        <v>0</v>
      </c>
      <c r="AO539" s="55">
        <v>0</v>
      </c>
      <c r="AP539" s="55">
        <f t="shared" si="201"/>
        <v>0</v>
      </c>
      <c r="AQ539" s="55">
        <f>IFERROR(VLOOKUP(A539,[1]SIIMPLES!$A$2:$F$418,6,FALSE),0)</f>
        <v>0</v>
      </c>
      <c r="AR539" s="55">
        <v>0</v>
      </c>
      <c r="AS539" s="55">
        <v>0</v>
      </c>
      <c r="AT539" s="55">
        <v>0</v>
      </c>
      <c r="AU539" s="55">
        <v>0</v>
      </c>
      <c r="AV539" s="55">
        <v>0</v>
      </c>
      <c r="AW539" s="55"/>
      <c r="AX539" s="55"/>
      <c r="AY539" s="56">
        <f t="shared" si="211"/>
        <v>1</v>
      </c>
      <c r="AZ539" s="55"/>
      <c r="BA539" s="56">
        <v>1</v>
      </c>
      <c r="BB539" s="41">
        <f t="shared" si="212"/>
        <v>0</v>
      </c>
      <c r="BC539" s="13"/>
      <c r="BD539" s="35"/>
      <c r="BE539" s="13"/>
      <c r="BF539" s="16">
        <f>SUM(BC539:BE539)</f>
        <v>0</v>
      </c>
      <c r="BG539" s="17">
        <f t="shared" si="203"/>
        <v>0</v>
      </c>
      <c r="BH539" s="16">
        <f>IFERROR(IF(F539=1,IF(BC539&lt;AY539*3,AY539*3-BC539,0),IF(BC539&lt;AY539,AY539-BC539,0)),"")</f>
        <v>1</v>
      </c>
    </row>
    <row r="540" spans="1:60" s="21" customFormat="1" ht="12.75" customHeight="1" x14ac:dyDescent="0.2">
      <c r="A540" s="51">
        <v>3003</v>
      </c>
      <c r="B540" s="51" t="s">
        <v>1077</v>
      </c>
      <c r="C540" s="66" t="s">
        <v>1803</v>
      </c>
      <c r="D540" s="52" t="s">
        <v>761</v>
      </c>
      <c r="E540" s="52" t="s">
        <v>736</v>
      </c>
      <c r="F540" s="53">
        <f>IFERROR(VLOOKUP(E540,Fornecedores!$A$2:$B$2700,2,FALSE),"")</f>
        <v>5</v>
      </c>
      <c r="G540" s="52" t="s">
        <v>4</v>
      </c>
      <c r="H540" s="54"/>
      <c r="I540" s="55">
        <f t="shared" si="205"/>
        <v>0</v>
      </c>
      <c r="J540" s="55">
        <v>0</v>
      </c>
      <c r="K540" s="55">
        <v>0</v>
      </c>
      <c r="L540" s="55">
        <v>0</v>
      </c>
      <c r="M540" s="55">
        <v>0</v>
      </c>
      <c r="N540" s="55">
        <f t="shared" si="206"/>
        <v>0</v>
      </c>
      <c r="O540" s="55">
        <v>0</v>
      </c>
      <c r="P540" s="55">
        <v>0</v>
      </c>
      <c r="Q540" s="55">
        <v>0</v>
      </c>
      <c r="R540" s="55">
        <f t="shared" si="207"/>
        <v>1</v>
      </c>
      <c r="S540" s="55">
        <v>1</v>
      </c>
      <c r="T540" s="55">
        <v>0</v>
      </c>
      <c r="U540" s="55">
        <v>0</v>
      </c>
      <c r="V540" s="55">
        <v>0</v>
      </c>
      <c r="W540" s="53">
        <v>0</v>
      </c>
      <c r="X540" s="53">
        <v>0</v>
      </c>
      <c r="Y540" s="55">
        <v>0</v>
      </c>
      <c r="Z540" s="55">
        <v>1</v>
      </c>
      <c r="AA540" s="53">
        <v>1</v>
      </c>
      <c r="AB540" s="53">
        <v>0</v>
      </c>
      <c r="AC540" s="55">
        <v>0</v>
      </c>
      <c r="AD540" s="55">
        <f t="shared" si="208"/>
        <v>1</v>
      </c>
      <c r="AE540" s="53">
        <v>1</v>
      </c>
      <c r="AF540" s="55">
        <v>0</v>
      </c>
      <c r="AG540" s="55">
        <v>0</v>
      </c>
      <c r="AH540" s="55">
        <f t="shared" si="209"/>
        <v>0</v>
      </c>
      <c r="AI540" s="55">
        <v>0</v>
      </c>
      <c r="AJ540" s="55">
        <v>0</v>
      </c>
      <c r="AK540" s="55">
        <v>0</v>
      </c>
      <c r="AL540" s="55">
        <f t="shared" si="210"/>
        <v>0</v>
      </c>
      <c r="AM540" s="55" t="s">
        <v>1912</v>
      </c>
      <c r="AN540" s="55">
        <v>0</v>
      </c>
      <c r="AO540" s="55">
        <v>0</v>
      </c>
      <c r="AP540" s="55">
        <f t="shared" si="201"/>
        <v>0</v>
      </c>
      <c r="AQ540" s="55">
        <f>IFERROR(VLOOKUP(A540,[1]SIIMPLES!$A$2:$F$418,6,FALSE),0)</f>
        <v>0</v>
      </c>
      <c r="AR540" s="55">
        <v>0</v>
      </c>
      <c r="AS540" s="55">
        <v>0</v>
      </c>
      <c r="AT540" s="55">
        <v>0</v>
      </c>
      <c r="AU540" s="55">
        <v>0</v>
      </c>
      <c r="AV540" s="55">
        <v>0</v>
      </c>
      <c r="AW540" s="55"/>
      <c r="AX540" s="55"/>
      <c r="AY540" s="56">
        <f t="shared" si="211"/>
        <v>0.3</v>
      </c>
      <c r="AZ540" s="55"/>
      <c r="BA540" s="56">
        <v>0.83333333333333337</v>
      </c>
      <c r="BB540" s="41">
        <f t="shared" si="212"/>
        <v>-0.64</v>
      </c>
      <c r="BC540" s="13"/>
      <c r="BD540" s="35"/>
      <c r="BE540" s="13"/>
      <c r="BF540" s="16"/>
      <c r="BG540" s="17">
        <f t="shared" si="203"/>
        <v>0</v>
      </c>
      <c r="BH540" s="16">
        <f>IFERROR(IF(F540=1,IF(BC540&lt;AY540*3,AY540*3-BC540,0),IF(BC540&lt;AY540,AY540-BC540,0)),"")</f>
        <v>0.3</v>
      </c>
    </row>
    <row r="541" spans="1:60" s="21" customFormat="1" ht="12.75" customHeight="1" x14ac:dyDescent="0.2">
      <c r="A541" s="51">
        <v>3025</v>
      </c>
      <c r="B541" s="51"/>
      <c r="C541" s="66" t="s">
        <v>1803</v>
      </c>
      <c r="D541" s="52" t="s">
        <v>765</v>
      </c>
      <c r="E541" s="52" t="s">
        <v>736</v>
      </c>
      <c r="F541" s="53">
        <f>IFERROR(VLOOKUP(E541,Fornecedores!$A$2:$B$2700,2,FALSE),"")</f>
        <v>5</v>
      </c>
      <c r="G541" s="52" t="s">
        <v>189</v>
      </c>
      <c r="H541" s="54"/>
      <c r="I541" s="55">
        <f t="shared" si="205"/>
        <v>0</v>
      </c>
      <c r="J541" s="55">
        <v>0</v>
      </c>
      <c r="K541" s="55">
        <v>0</v>
      </c>
      <c r="L541" s="55">
        <v>0</v>
      </c>
      <c r="M541" s="55">
        <v>0</v>
      </c>
      <c r="N541" s="55">
        <f t="shared" si="206"/>
        <v>0</v>
      </c>
      <c r="O541" s="55">
        <v>0</v>
      </c>
      <c r="P541" s="55">
        <v>0</v>
      </c>
      <c r="Q541" s="55">
        <v>0</v>
      </c>
      <c r="R541" s="55">
        <f t="shared" si="207"/>
        <v>0</v>
      </c>
      <c r="S541" s="55">
        <v>0</v>
      </c>
      <c r="T541" s="55">
        <v>0</v>
      </c>
      <c r="U541" s="55">
        <v>0</v>
      </c>
      <c r="V541" s="55">
        <v>0</v>
      </c>
      <c r="W541" s="53">
        <v>0</v>
      </c>
      <c r="X541" s="53">
        <v>0</v>
      </c>
      <c r="Y541" s="55">
        <v>0</v>
      </c>
      <c r="Z541" s="55">
        <v>0</v>
      </c>
      <c r="AA541" s="53">
        <v>0</v>
      </c>
      <c r="AB541" s="53">
        <v>0</v>
      </c>
      <c r="AC541" s="55">
        <v>0</v>
      </c>
      <c r="AD541" s="55">
        <f t="shared" si="208"/>
        <v>0</v>
      </c>
      <c r="AE541" s="53">
        <v>0</v>
      </c>
      <c r="AF541" s="55">
        <v>0</v>
      </c>
      <c r="AG541" s="55">
        <v>0</v>
      </c>
      <c r="AH541" s="55">
        <f t="shared" si="209"/>
        <v>0</v>
      </c>
      <c r="AI541" s="55">
        <v>0</v>
      </c>
      <c r="AJ541" s="55">
        <v>0</v>
      </c>
      <c r="AK541" s="55">
        <v>0</v>
      </c>
      <c r="AL541" s="55">
        <f t="shared" si="210"/>
        <v>0</v>
      </c>
      <c r="AM541" s="55" t="s">
        <v>1912</v>
      </c>
      <c r="AN541" s="55">
        <v>0</v>
      </c>
      <c r="AO541" s="55">
        <v>0</v>
      </c>
      <c r="AP541" s="55">
        <f t="shared" si="201"/>
        <v>0</v>
      </c>
      <c r="AQ541" s="55">
        <f>IFERROR(VLOOKUP(A541,[1]SIIMPLES!$A$2:$F$418,6,FALSE),0)</f>
        <v>0</v>
      </c>
      <c r="AR541" s="55">
        <v>0</v>
      </c>
      <c r="AS541" s="55">
        <v>0</v>
      </c>
      <c r="AT541" s="55">
        <v>0</v>
      </c>
      <c r="AU541" s="55">
        <v>0</v>
      </c>
      <c r="AV541" s="55">
        <v>0</v>
      </c>
      <c r="AW541" s="55"/>
      <c r="AX541" s="55"/>
      <c r="AY541" s="56">
        <f t="shared" si="211"/>
        <v>0</v>
      </c>
      <c r="AZ541" s="55"/>
      <c r="BA541" s="56">
        <v>1</v>
      </c>
      <c r="BB541" s="41">
        <f t="shared" si="212"/>
        <v>-1</v>
      </c>
      <c r="BC541" s="13"/>
      <c r="BD541" s="35"/>
      <c r="BE541" s="13"/>
      <c r="BF541" s="16"/>
      <c r="BG541" s="17" t="str">
        <f t="shared" si="203"/>
        <v>0</v>
      </c>
      <c r="BH541" s="16">
        <f>IFERROR(IF(F541=1,IF(BC541&lt;AY541*3,AY541*3-BC541,0),IF(BC541&lt;AY541,AY541-BC541,0)),"")</f>
        <v>0</v>
      </c>
    </row>
    <row r="542" spans="1:60" s="21" customFormat="1" ht="12.75" customHeight="1" x14ac:dyDescent="0.2">
      <c r="A542" s="51">
        <v>3037</v>
      </c>
      <c r="B542" s="51" t="s">
        <v>1077</v>
      </c>
      <c r="C542" s="66" t="s">
        <v>1803</v>
      </c>
      <c r="D542" s="52" t="s">
        <v>761</v>
      </c>
      <c r="E542" s="52" t="s">
        <v>736</v>
      </c>
      <c r="F542" s="53">
        <f>IFERROR(VLOOKUP(E542,Fornecedores!$A$2:$B$2700,2,FALSE),"")</f>
        <v>5</v>
      </c>
      <c r="G542" s="52" t="s">
        <v>6</v>
      </c>
      <c r="H542" s="54"/>
      <c r="I542" s="55">
        <f t="shared" si="205"/>
        <v>0</v>
      </c>
      <c r="J542" s="55">
        <v>0</v>
      </c>
      <c r="K542" s="55">
        <v>0</v>
      </c>
      <c r="L542" s="55">
        <v>0</v>
      </c>
      <c r="M542" s="55">
        <v>0</v>
      </c>
      <c r="N542" s="55">
        <f t="shared" si="206"/>
        <v>1</v>
      </c>
      <c r="O542" s="55">
        <v>1</v>
      </c>
      <c r="P542" s="55">
        <v>0</v>
      </c>
      <c r="Q542" s="55">
        <v>0</v>
      </c>
      <c r="R542" s="55">
        <f t="shared" si="207"/>
        <v>1</v>
      </c>
      <c r="S542" s="55">
        <v>1</v>
      </c>
      <c r="T542" s="55">
        <v>0</v>
      </c>
      <c r="U542" s="55">
        <v>0</v>
      </c>
      <c r="V542" s="55">
        <v>0</v>
      </c>
      <c r="W542" s="53">
        <v>0</v>
      </c>
      <c r="X542" s="53">
        <v>0</v>
      </c>
      <c r="Y542" s="55">
        <v>0</v>
      </c>
      <c r="Z542" s="55">
        <v>1</v>
      </c>
      <c r="AA542" s="53">
        <v>1</v>
      </c>
      <c r="AB542" s="53">
        <v>0</v>
      </c>
      <c r="AC542" s="55">
        <v>0</v>
      </c>
      <c r="AD542" s="55">
        <f t="shared" si="208"/>
        <v>0</v>
      </c>
      <c r="AE542" s="53">
        <v>0</v>
      </c>
      <c r="AF542" s="55">
        <v>0</v>
      </c>
      <c r="AG542" s="55">
        <v>0</v>
      </c>
      <c r="AH542" s="55">
        <f t="shared" si="209"/>
        <v>1</v>
      </c>
      <c r="AI542" s="55">
        <v>1</v>
      </c>
      <c r="AJ542" s="55">
        <v>0</v>
      </c>
      <c r="AK542" s="55">
        <v>0</v>
      </c>
      <c r="AL542" s="55">
        <f t="shared" si="210"/>
        <v>0</v>
      </c>
      <c r="AM542" s="55" t="s">
        <v>1912</v>
      </c>
      <c r="AN542" s="55">
        <v>0</v>
      </c>
      <c r="AO542" s="55">
        <v>0</v>
      </c>
      <c r="AP542" s="55">
        <f t="shared" si="201"/>
        <v>0</v>
      </c>
      <c r="AQ542" s="55">
        <f>IFERROR(VLOOKUP(A542,[1]SIIMPLES!$A$2:$F$418,6,FALSE),0)</f>
        <v>0</v>
      </c>
      <c r="AR542" s="55">
        <v>0</v>
      </c>
      <c r="AS542" s="55">
        <v>0</v>
      </c>
      <c r="AT542" s="55">
        <v>0</v>
      </c>
      <c r="AU542" s="55">
        <v>0</v>
      </c>
      <c r="AV542" s="55">
        <v>0</v>
      </c>
      <c r="AW542" s="55"/>
      <c r="AX542" s="55"/>
      <c r="AY542" s="56">
        <f t="shared" si="211"/>
        <v>0.4</v>
      </c>
      <c r="AZ542" s="55"/>
      <c r="BA542" s="56">
        <v>2</v>
      </c>
      <c r="BB542" s="41">
        <f t="shared" si="212"/>
        <v>-0.8</v>
      </c>
      <c r="BC542" s="13"/>
      <c r="BD542" s="35"/>
      <c r="BE542" s="13"/>
      <c r="BF542" s="16"/>
      <c r="BG542" s="17">
        <f t="shared" si="203"/>
        <v>0</v>
      </c>
      <c r="BH542" s="20">
        <f>ROUND(IFERROR(IF(F542=1,IF(BC542&lt;AY542*3,AY542*3-BC542,0),IF(BC542&lt;AY542,AY542*0.6-BC542,0)),""),0)</f>
        <v>0</v>
      </c>
    </row>
    <row r="543" spans="1:60" s="21" customFormat="1" ht="12.75" customHeight="1" x14ac:dyDescent="0.2">
      <c r="A543" s="51">
        <v>4006</v>
      </c>
      <c r="B543" s="51"/>
      <c r="C543" s="66" t="s">
        <v>1803</v>
      </c>
      <c r="D543" s="52" t="s">
        <v>760</v>
      </c>
      <c r="E543" s="52" t="s">
        <v>736</v>
      </c>
      <c r="F543" s="53">
        <f>IFERROR(VLOOKUP(E543,Fornecedores!$A$2:$B$2700,2,FALSE),"")</f>
        <v>5</v>
      </c>
      <c r="G543" s="52" t="s">
        <v>173</v>
      </c>
      <c r="H543" s="54"/>
      <c r="I543" s="55">
        <f t="shared" si="205"/>
        <v>0</v>
      </c>
      <c r="J543" s="55">
        <v>0</v>
      </c>
      <c r="K543" s="55">
        <v>0</v>
      </c>
      <c r="L543" s="55">
        <v>0</v>
      </c>
      <c r="M543" s="55">
        <v>0</v>
      </c>
      <c r="N543" s="55">
        <f t="shared" si="206"/>
        <v>0</v>
      </c>
      <c r="O543" s="55">
        <v>0</v>
      </c>
      <c r="P543" s="55">
        <v>0</v>
      </c>
      <c r="Q543" s="55">
        <v>0</v>
      </c>
      <c r="R543" s="55">
        <f t="shared" si="207"/>
        <v>0</v>
      </c>
      <c r="S543" s="55">
        <v>0</v>
      </c>
      <c r="T543" s="55">
        <v>0</v>
      </c>
      <c r="U543" s="55">
        <v>0</v>
      </c>
      <c r="V543" s="55">
        <v>0</v>
      </c>
      <c r="W543" s="53">
        <v>0</v>
      </c>
      <c r="X543" s="53">
        <v>0</v>
      </c>
      <c r="Y543" s="55">
        <v>0</v>
      </c>
      <c r="Z543" s="55">
        <v>0</v>
      </c>
      <c r="AA543" s="53">
        <v>0</v>
      </c>
      <c r="AB543" s="53">
        <v>0</v>
      </c>
      <c r="AC543" s="55">
        <v>0</v>
      </c>
      <c r="AD543" s="55">
        <f t="shared" si="208"/>
        <v>0</v>
      </c>
      <c r="AE543" s="53">
        <v>0</v>
      </c>
      <c r="AF543" s="55">
        <v>0</v>
      </c>
      <c r="AG543" s="55">
        <v>0</v>
      </c>
      <c r="AH543" s="55">
        <f t="shared" si="209"/>
        <v>0</v>
      </c>
      <c r="AI543" s="55">
        <v>0</v>
      </c>
      <c r="AJ543" s="55">
        <v>0</v>
      </c>
      <c r="AK543" s="55">
        <v>0</v>
      </c>
      <c r="AL543" s="55">
        <f t="shared" si="210"/>
        <v>0</v>
      </c>
      <c r="AM543" s="55" t="s">
        <v>1912</v>
      </c>
      <c r="AN543" s="55">
        <v>0</v>
      </c>
      <c r="AO543" s="55">
        <v>0</v>
      </c>
      <c r="AP543" s="55">
        <f t="shared" si="201"/>
        <v>0</v>
      </c>
      <c r="AQ543" s="55">
        <f>IFERROR(VLOOKUP(A543,[1]SIIMPLES!$A$2:$F$418,6,FALSE),0)</f>
        <v>0</v>
      </c>
      <c r="AR543" s="55">
        <v>0</v>
      </c>
      <c r="AS543" s="55">
        <v>0</v>
      </c>
      <c r="AT543" s="55">
        <v>0</v>
      </c>
      <c r="AU543" s="55">
        <v>0</v>
      </c>
      <c r="AV543" s="55">
        <v>0</v>
      </c>
      <c r="AW543" s="55"/>
      <c r="AX543" s="55"/>
      <c r="AY543" s="56">
        <f t="shared" si="211"/>
        <v>0</v>
      </c>
      <c r="AZ543" s="55"/>
      <c r="BA543" s="56">
        <v>0</v>
      </c>
      <c r="BB543" s="41" t="str">
        <f t="shared" si="212"/>
        <v/>
      </c>
      <c r="BC543" s="13"/>
      <c r="BD543" s="35"/>
      <c r="BE543" s="13"/>
      <c r="BF543" s="16"/>
      <c r="BG543" s="17" t="str">
        <f t="shared" si="203"/>
        <v>0</v>
      </c>
      <c r="BH543" s="16">
        <f t="shared" ref="BH543:BH548" si="213">IFERROR(IF(F543=1,IF(BC543&lt;AY543*3,AY543*3-BC543,0),IF(BC543&lt;AY543,AY543-BC543,0)),"")</f>
        <v>0</v>
      </c>
    </row>
    <row r="544" spans="1:60" s="21" customFormat="1" ht="12.75" customHeight="1" x14ac:dyDescent="0.2">
      <c r="A544" s="51">
        <v>4007</v>
      </c>
      <c r="B544" s="51"/>
      <c r="C544" s="66" t="s">
        <v>1803</v>
      </c>
      <c r="D544" s="52" t="s">
        <v>760</v>
      </c>
      <c r="E544" s="52" t="s">
        <v>736</v>
      </c>
      <c r="F544" s="53">
        <f>IFERROR(VLOOKUP(E544,Fornecedores!$A$2:$B$2700,2,FALSE),"")</f>
        <v>5</v>
      </c>
      <c r="G544" s="52" t="s">
        <v>1693</v>
      </c>
      <c r="H544" s="54"/>
      <c r="I544" s="55">
        <f t="shared" si="205"/>
        <v>0</v>
      </c>
      <c r="J544" s="55">
        <v>0</v>
      </c>
      <c r="K544" s="55">
        <v>0</v>
      </c>
      <c r="L544" s="55">
        <v>0</v>
      </c>
      <c r="M544" s="55">
        <v>0</v>
      </c>
      <c r="N544" s="55">
        <f t="shared" si="206"/>
        <v>0</v>
      </c>
      <c r="O544" s="55">
        <v>0</v>
      </c>
      <c r="P544" s="55">
        <v>0</v>
      </c>
      <c r="Q544" s="55">
        <v>0</v>
      </c>
      <c r="R544" s="55">
        <f t="shared" si="207"/>
        <v>0</v>
      </c>
      <c r="S544" s="55">
        <v>0</v>
      </c>
      <c r="T544" s="55">
        <v>0</v>
      </c>
      <c r="U544" s="55">
        <v>0</v>
      </c>
      <c r="V544" s="55">
        <v>0</v>
      </c>
      <c r="W544" s="53">
        <v>0</v>
      </c>
      <c r="X544" s="53">
        <v>0</v>
      </c>
      <c r="Y544" s="55">
        <v>0</v>
      </c>
      <c r="Z544" s="55">
        <v>0</v>
      </c>
      <c r="AA544" s="53">
        <v>0</v>
      </c>
      <c r="AB544" s="53">
        <v>0</v>
      </c>
      <c r="AC544" s="55">
        <v>0</v>
      </c>
      <c r="AD544" s="55">
        <f t="shared" si="208"/>
        <v>0</v>
      </c>
      <c r="AE544" s="53">
        <v>0</v>
      </c>
      <c r="AF544" s="55">
        <v>0</v>
      </c>
      <c r="AG544" s="55">
        <v>0</v>
      </c>
      <c r="AH544" s="55">
        <f t="shared" si="209"/>
        <v>0</v>
      </c>
      <c r="AI544" s="55">
        <v>0</v>
      </c>
      <c r="AJ544" s="55">
        <v>0</v>
      </c>
      <c r="AK544" s="55">
        <v>0</v>
      </c>
      <c r="AL544" s="55">
        <f t="shared" si="210"/>
        <v>0</v>
      </c>
      <c r="AM544" s="55" t="s">
        <v>1912</v>
      </c>
      <c r="AN544" s="55">
        <v>0</v>
      </c>
      <c r="AO544" s="55">
        <v>0</v>
      </c>
      <c r="AP544" s="55">
        <f t="shared" si="201"/>
        <v>0</v>
      </c>
      <c r="AQ544" s="55">
        <f>IFERROR(VLOOKUP(A544,[1]SIIMPLES!$A$2:$F$418,6,FALSE),0)</f>
        <v>0</v>
      </c>
      <c r="AR544" s="55">
        <v>0</v>
      </c>
      <c r="AS544" s="55">
        <v>0</v>
      </c>
      <c r="AT544" s="55">
        <v>0</v>
      </c>
      <c r="AU544" s="55">
        <v>0</v>
      </c>
      <c r="AV544" s="55">
        <v>0</v>
      </c>
      <c r="AW544" s="55"/>
      <c r="AX544" s="55"/>
      <c r="AY544" s="56">
        <f t="shared" si="211"/>
        <v>0</v>
      </c>
      <c r="AZ544" s="55"/>
      <c r="BA544" s="56">
        <v>0</v>
      </c>
      <c r="BB544" s="41" t="str">
        <f t="shared" si="212"/>
        <v/>
      </c>
      <c r="BC544" s="13"/>
      <c r="BD544" s="35"/>
      <c r="BE544" s="13"/>
      <c r="BF544" s="16">
        <f>SUM(BC544:BE544)</f>
        <v>0</v>
      </c>
      <c r="BG544" s="17" t="str">
        <f t="shared" si="203"/>
        <v>0</v>
      </c>
      <c r="BH544" s="16">
        <f t="shared" si="213"/>
        <v>0</v>
      </c>
    </row>
    <row r="545" spans="1:60" s="21" customFormat="1" ht="12.75" customHeight="1" x14ac:dyDescent="0.2">
      <c r="A545" s="51">
        <v>4008</v>
      </c>
      <c r="B545" s="51" t="s">
        <v>1077</v>
      </c>
      <c r="C545" s="66" t="s">
        <v>1803</v>
      </c>
      <c r="D545" s="52" t="s">
        <v>760</v>
      </c>
      <c r="E545" s="52" t="s">
        <v>736</v>
      </c>
      <c r="F545" s="53">
        <f>IFERROR(VLOOKUP(E545,Fornecedores!$A$2:$B$2700,2,FALSE),"")</f>
        <v>5</v>
      </c>
      <c r="G545" s="52" t="s">
        <v>896</v>
      </c>
      <c r="H545" s="57"/>
      <c r="I545" s="55">
        <f t="shared" si="205"/>
        <v>3</v>
      </c>
      <c r="J545" s="55">
        <v>3</v>
      </c>
      <c r="K545" s="55">
        <v>0</v>
      </c>
      <c r="L545" s="55">
        <v>0</v>
      </c>
      <c r="M545" s="55">
        <v>0</v>
      </c>
      <c r="N545" s="55">
        <f t="shared" si="206"/>
        <v>0</v>
      </c>
      <c r="O545" s="55">
        <v>0</v>
      </c>
      <c r="P545" s="55">
        <v>0</v>
      </c>
      <c r="Q545" s="55">
        <v>0</v>
      </c>
      <c r="R545" s="55">
        <f t="shared" si="207"/>
        <v>0</v>
      </c>
      <c r="S545" s="55">
        <v>0</v>
      </c>
      <c r="T545" s="55">
        <v>0</v>
      </c>
      <c r="U545" s="55">
        <v>0</v>
      </c>
      <c r="V545" s="55">
        <v>1</v>
      </c>
      <c r="W545" s="53">
        <v>1</v>
      </c>
      <c r="X545" s="53">
        <v>0</v>
      </c>
      <c r="Y545" s="55">
        <v>0</v>
      </c>
      <c r="Z545" s="55">
        <v>1</v>
      </c>
      <c r="AA545" s="53">
        <v>1</v>
      </c>
      <c r="AB545" s="53">
        <v>0</v>
      </c>
      <c r="AC545" s="55">
        <v>0</v>
      </c>
      <c r="AD545" s="55">
        <f t="shared" si="208"/>
        <v>0</v>
      </c>
      <c r="AE545" s="53">
        <v>0</v>
      </c>
      <c r="AF545" s="55">
        <v>0</v>
      </c>
      <c r="AG545" s="55">
        <v>0</v>
      </c>
      <c r="AH545" s="55">
        <f t="shared" si="209"/>
        <v>0</v>
      </c>
      <c r="AI545" s="55">
        <v>0</v>
      </c>
      <c r="AJ545" s="55">
        <v>0</v>
      </c>
      <c r="AK545" s="55">
        <v>0</v>
      </c>
      <c r="AL545" s="55">
        <f t="shared" si="210"/>
        <v>0</v>
      </c>
      <c r="AM545" s="55" t="s">
        <v>1912</v>
      </c>
      <c r="AN545" s="55">
        <v>0</v>
      </c>
      <c r="AO545" s="55">
        <v>0</v>
      </c>
      <c r="AP545" s="55">
        <f t="shared" si="201"/>
        <v>0</v>
      </c>
      <c r="AQ545" s="55">
        <f>IFERROR(VLOOKUP(A545,[1]SIIMPLES!$A$2:$F$418,6,FALSE),0)</f>
        <v>0</v>
      </c>
      <c r="AR545" s="55">
        <v>0</v>
      </c>
      <c r="AS545" s="55">
        <v>0</v>
      </c>
      <c r="AT545" s="55">
        <v>0</v>
      </c>
      <c r="AU545" s="55">
        <v>0</v>
      </c>
      <c r="AV545" s="55">
        <v>0</v>
      </c>
      <c r="AW545" s="55"/>
      <c r="AX545" s="55"/>
      <c r="AY545" s="56">
        <f t="shared" si="211"/>
        <v>0.5</v>
      </c>
      <c r="AZ545" s="55"/>
      <c r="BA545" s="56">
        <v>0.83333333333333337</v>
      </c>
      <c r="BB545" s="41">
        <f t="shared" si="212"/>
        <v>-0.4</v>
      </c>
      <c r="BC545" s="13"/>
      <c r="BD545" s="35"/>
      <c r="BE545" s="13"/>
      <c r="BF545" s="16">
        <f>SUM(BC545:BE545)</f>
        <v>0</v>
      </c>
      <c r="BG545" s="17">
        <f t="shared" ref="BG545:BG576" si="214">IFERROR(BC545/AY545,"0")</f>
        <v>0</v>
      </c>
      <c r="BH545" s="16">
        <f t="shared" si="213"/>
        <v>0.5</v>
      </c>
    </row>
    <row r="546" spans="1:60" s="21" customFormat="1" ht="12.75" customHeight="1" x14ac:dyDescent="0.2">
      <c r="A546" s="51">
        <v>4009</v>
      </c>
      <c r="B546" s="51" t="s">
        <v>1077</v>
      </c>
      <c r="C546" s="66" t="s">
        <v>1803</v>
      </c>
      <c r="D546" s="52" t="s">
        <v>760</v>
      </c>
      <c r="E546" s="52" t="s">
        <v>736</v>
      </c>
      <c r="F546" s="53">
        <f>IFERROR(VLOOKUP(E546,Fornecedores!$A$2:$B$2700,2,FALSE),"")</f>
        <v>5</v>
      </c>
      <c r="G546" s="52" t="s">
        <v>916</v>
      </c>
      <c r="H546" s="57"/>
      <c r="I546" s="55">
        <f t="shared" si="205"/>
        <v>1</v>
      </c>
      <c r="J546" s="55">
        <v>1</v>
      </c>
      <c r="K546" s="55">
        <v>0</v>
      </c>
      <c r="L546" s="55">
        <v>0</v>
      </c>
      <c r="M546" s="55">
        <v>0</v>
      </c>
      <c r="N546" s="55">
        <f t="shared" si="206"/>
        <v>0</v>
      </c>
      <c r="O546" s="55">
        <v>0</v>
      </c>
      <c r="P546" s="55">
        <v>0</v>
      </c>
      <c r="Q546" s="55">
        <v>0</v>
      </c>
      <c r="R546" s="55">
        <f t="shared" si="207"/>
        <v>0</v>
      </c>
      <c r="S546" s="55">
        <v>0</v>
      </c>
      <c r="T546" s="55">
        <v>0</v>
      </c>
      <c r="U546" s="55">
        <v>0</v>
      </c>
      <c r="V546" s="55">
        <v>0</v>
      </c>
      <c r="W546" s="53">
        <v>0</v>
      </c>
      <c r="X546" s="53">
        <v>0</v>
      </c>
      <c r="Y546" s="55">
        <v>0</v>
      </c>
      <c r="Z546" s="55">
        <v>0</v>
      </c>
      <c r="AA546" s="53">
        <v>0</v>
      </c>
      <c r="AB546" s="53">
        <v>0</v>
      </c>
      <c r="AC546" s="55">
        <v>0</v>
      </c>
      <c r="AD546" s="55">
        <f t="shared" si="208"/>
        <v>0</v>
      </c>
      <c r="AE546" s="53">
        <v>0</v>
      </c>
      <c r="AF546" s="55">
        <v>0</v>
      </c>
      <c r="AG546" s="55">
        <v>0</v>
      </c>
      <c r="AH546" s="55">
        <f t="shared" si="209"/>
        <v>0</v>
      </c>
      <c r="AI546" s="55">
        <v>0</v>
      </c>
      <c r="AJ546" s="55">
        <v>0</v>
      </c>
      <c r="AK546" s="55">
        <v>0</v>
      </c>
      <c r="AL546" s="55">
        <f t="shared" si="210"/>
        <v>0</v>
      </c>
      <c r="AM546" s="55" t="s">
        <v>1912</v>
      </c>
      <c r="AN546" s="55">
        <v>0</v>
      </c>
      <c r="AO546" s="55">
        <v>0</v>
      </c>
      <c r="AP546" s="55">
        <f t="shared" si="201"/>
        <v>0</v>
      </c>
      <c r="AQ546" s="55">
        <f>IFERROR(VLOOKUP(A546,[1]SIIMPLES!$A$2:$F$418,6,FALSE),0)</f>
        <v>0</v>
      </c>
      <c r="AR546" s="55">
        <v>0</v>
      </c>
      <c r="AS546" s="55">
        <v>0</v>
      </c>
      <c r="AT546" s="55">
        <v>0</v>
      </c>
      <c r="AU546" s="55">
        <v>0</v>
      </c>
      <c r="AV546" s="55">
        <v>0</v>
      </c>
      <c r="AW546" s="55"/>
      <c r="AX546" s="55"/>
      <c r="AY546" s="56">
        <f t="shared" si="211"/>
        <v>0.1</v>
      </c>
      <c r="AZ546" s="55"/>
      <c r="BA546" s="56">
        <v>0.16666666666666666</v>
      </c>
      <c r="BB546" s="41">
        <f t="shared" si="212"/>
        <v>-0.39999999999999991</v>
      </c>
      <c r="BC546" s="13"/>
      <c r="BD546" s="35"/>
      <c r="BE546" s="7"/>
      <c r="BF546" s="16"/>
      <c r="BG546" s="17">
        <f t="shared" si="214"/>
        <v>0</v>
      </c>
      <c r="BH546" s="16">
        <f t="shared" si="213"/>
        <v>0.1</v>
      </c>
    </row>
    <row r="547" spans="1:60" s="21" customFormat="1" ht="12.75" customHeight="1" x14ac:dyDescent="0.2">
      <c r="A547" s="50">
        <v>4010</v>
      </c>
      <c r="B547" s="58"/>
      <c r="C547" s="51" t="s">
        <v>1803</v>
      </c>
      <c r="D547" s="59" t="s">
        <v>760</v>
      </c>
      <c r="E547" s="59" t="s">
        <v>736</v>
      </c>
      <c r="F547" s="60">
        <f>IFERROR(VLOOKUP(E547,Fornecedores!$A$2:$B$2700,2,FALSE),"")</f>
        <v>5</v>
      </c>
      <c r="G547" s="59" t="s">
        <v>1692</v>
      </c>
      <c r="H547" s="61"/>
      <c r="I547" s="62">
        <f t="shared" si="205"/>
        <v>0</v>
      </c>
      <c r="J547" s="62">
        <v>0</v>
      </c>
      <c r="K547" s="62">
        <v>0</v>
      </c>
      <c r="L547" s="62">
        <v>0</v>
      </c>
      <c r="M547" s="62">
        <v>0</v>
      </c>
      <c r="N547" s="55">
        <f t="shared" si="206"/>
        <v>0</v>
      </c>
      <c r="O547" s="62">
        <v>0</v>
      </c>
      <c r="P547" s="62">
        <v>0</v>
      </c>
      <c r="Q547" s="62">
        <v>0</v>
      </c>
      <c r="R547" s="62">
        <f t="shared" si="207"/>
        <v>0</v>
      </c>
      <c r="S547" s="62">
        <v>0</v>
      </c>
      <c r="T547" s="62">
        <v>0</v>
      </c>
      <c r="U547" s="62">
        <v>0</v>
      </c>
      <c r="V547" s="55">
        <v>0</v>
      </c>
      <c r="W547" s="62"/>
      <c r="X547" s="53">
        <v>0</v>
      </c>
      <c r="Y547" s="62"/>
      <c r="Z547" s="55">
        <v>0</v>
      </c>
      <c r="AA547" s="62"/>
      <c r="AB547" s="53">
        <v>0</v>
      </c>
      <c r="AC547" s="55">
        <v>0</v>
      </c>
      <c r="AD547" s="55">
        <f t="shared" si="208"/>
        <v>0</v>
      </c>
      <c r="AE547" s="53">
        <f>IFERROR(VLOOKUP(A547,[4]simples!$A$1:$B$281,2,FALSE),0)</f>
        <v>0</v>
      </c>
      <c r="AF547" s="55">
        <v>0</v>
      </c>
      <c r="AG547" s="55">
        <v>0</v>
      </c>
      <c r="AH547" s="55">
        <f t="shared" si="209"/>
        <v>0</v>
      </c>
      <c r="AI547" s="62"/>
      <c r="AJ547" s="55">
        <v>0</v>
      </c>
      <c r="AK547" s="62"/>
      <c r="AL547" s="55">
        <f t="shared" si="210"/>
        <v>0</v>
      </c>
      <c r="AM547" s="55" t="s">
        <v>1912</v>
      </c>
      <c r="AN547" s="55">
        <v>0</v>
      </c>
      <c r="AO547" s="55">
        <v>0</v>
      </c>
      <c r="AP547" s="55">
        <f t="shared" si="201"/>
        <v>0</v>
      </c>
      <c r="AQ547" s="55">
        <f>IFERROR(VLOOKUP(A547,[1]SIIMPLES!$A$2:$F$418,6,FALSE),0)</f>
        <v>0</v>
      </c>
      <c r="AR547" s="55">
        <v>0</v>
      </c>
      <c r="AS547" s="55">
        <v>0</v>
      </c>
      <c r="AT547" s="55">
        <v>0</v>
      </c>
      <c r="AU547" s="55">
        <v>0</v>
      </c>
      <c r="AV547" s="55">
        <v>0</v>
      </c>
      <c r="AW547" s="62"/>
      <c r="AX547" s="62"/>
      <c r="AY547" s="63">
        <f t="shared" si="211"/>
        <v>0</v>
      </c>
      <c r="AZ547" s="62"/>
      <c r="BA547" s="56">
        <v>0</v>
      </c>
      <c r="BB547" s="41" t="str">
        <f t="shared" si="212"/>
        <v/>
      </c>
      <c r="BC547" s="13"/>
      <c r="BD547" s="35"/>
      <c r="BE547" s="13"/>
      <c r="BF547" s="16"/>
      <c r="BG547" s="17" t="str">
        <f t="shared" si="214"/>
        <v>0</v>
      </c>
      <c r="BH547" s="16">
        <f t="shared" si="213"/>
        <v>0</v>
      </c>
    </row>
    <row r="548" spans="1:60" s="21" customFormat="1" ht="12.75" customHeight="1" x14ac:dyDescent="0.2">
      <c r="A548" s="50">
        <v>4011</v>
      </c>
      <c r="B548" s="58"/>
      <c r="C548" s="51" t="s">
        <v>1803</v>
      </c>
      <c r="D548" s="59" t="s">
        <v>760</v>
      </c>
      <c r="E548" s="59" t="s">
        <v>736</v>
      </c>
      <c r="F548" s="60">
        <f>IFERROR(VLOOKUP(E548,Fornecedores!$A$2:$B$2700,2,FALSE),"")</f>
        <v>5</v>
      </c>
      <c r="G548" s="59" t="s">
        <v>1691</v>
      </c>
      <c r="H548" s="61"/>
      <c r="I548" s="62">
        <f t="shared" si="205"/>
        <v>0</v>
      </c>
      <c r="J548" s="62">
        <v>0</v>
      </c>
      <c r="K548" s="62">
        <v>0</v>
      </c>
      <c r="L548" s="62">
        <v>0</v>
      </c>
      <c r="M548" s="62">
        <v>0</v>
      </c>
      <c r="N548" s="55">
        <f t="shared" si="206"/>
        <v>0</v>
      </c>
      <c r="O548" s="62">
        <v>0</v>
      </c>
      <c r="P548" s="62">
        <v>0</v>
      </c>
      <c r="Q548" s="62">
        <v>0</v>
      </c>
      <c r="R548" s="62">
        <f t="shared" si="207"/>
        <v>0</v>
      </c>
      <c r="S548" s="62">
        <v>0</v>
      </c>
      <c r="T548" s="62">
        <v>0</v>
      </c>
      <c r="U548" s="62">
        <v>0</v>
      </c>
      <c r="V548" s="55">
        <v>0</v>
      </c>
      <c r="W548" s="62"/>
      <c r="X548" s="53">
        <v>0</v>
      </c>
      <c r="Y548" s="62"/>
      <c r="Z548" s="55">
        <v>0</v>
      </c>
      <c r="AA548" s="62"/>
      <c r="AB548" s="53">
        <v>0</v>
      </c>
      <c r="AC548" s="55">
        <v>0</v>
      </c>
      <c r="AD548" s="55">
        <f t="shared" si="208"/>
        <v>0</v>
      </c>
      <c r="AE548" s="53">
        <f>IFERROR(VLOOKUP(A548,[4]simples!$A$1:$B$281,2,FALSE),0)</f>
        <v>0</v>
      </c>
      <c r="AF548" s="55">
        <v>0</v>
      </c>
      <c r="AG548" s="55">
        <v>0</v>
      </c>
      <c r="AH548" s="55">
        <f t="shared" si="209"/>
        <v>0</v>
      </c>
      <c r="AI548" s="62"/>
      <c r="AJ548" s="55">
        <v>0</v>
      </c>
      <c r="AK548" s="62"/>
      <c r="AL548" s="55">
        <f t="shared" si="210"/>
        <v>0</v>
      </c>
      <c r="AM548" s="55" t="s">
        <v>1912</v>
      </c>
      <c r="AN548" s="55">
        <v>0</v>
      </c>
      <c r="AO548" s="55">
        <v>0</v>
      </c>
      <c r="AP548" s="55">
        <f t="shared" si="201"/>
        <v>0</v>
      </c>
      <c r="AQ548" s="55">
        <f>IFERROR(VLOOKUP(A548,[1]SIIMPLES!$A$2:$F$418,6,FALSE),0)</f>
        <v>0</v>
      </c>
      <c r="AR548" s="55">
        <v>0</v>
      </c>
      <c r="AS548" s="55">
        <v>0</v>
      </c>
      <c r="AT548" s="55">
        <v>0</v>
      </c>
      <c r="AU548" s="55">
        <v>0</v>
      </c>
      <c r="AV548" s="55">
        <v>0</v>
      </c>
      <c r="AW548" s="62"/>
      <c r="AX548" s="62"/>
      <c r="AY548" s="63">
        <f t="shared" si="211"/>
        <v>0</v>
      </c>
      <c r="AZ548" s="62"/>
      <c r="BA548" s="56">
        <v>0</v>
      </c>
      <c r="BB548" s="41" t="str">
        <f t="shared" si="212"/>
        <v/>
      </c>
      <c r="BC548" s="13"/>
      <c r="BD548" s="35"/>
      <c r="BE548" s="13"/>
      <c r="BF548" s="16"/>
      <c r="BG548" s="17" t="str">
        <f t="shared" si="214"/>
        <v>0</v>
      </c>
      <c r="BH548" s="16">
        <f t="shared" si="213"/>
        <v>0</v>
      </c>
    </row>
    <row r="549" spans="1:60" s="21" customFormat="1" ht="12.75" customHeight="1" x14ac:dyDescent="0.2">
      <c r="A549" s="50">
        <v>4012</v>
      </c>
      <c r="B549" s="58"/>
      <c r="C549" s="51" t="s">
        <v>1803</v>
      </c>
      <c r="D549" s="59" t="s">
        <v>760</v>
      </c>
      <c r="E549" s="59" t="s">
        <v>736</v>
      </c>
      <c r="F549" s="60">
        <f>IFERROR(VLOOKUP(E549,Fornecedores!$A$2:$B$2700,2,FALSE),"")</f>
        <v>5</v>
      </c>
      <c r="G549" s="59" t="s">
        <v>1690</v>
      </c>
      <c r="H549" s="61"/>
      <c r="I549" s="62">
        <f t="shared" si="205"/>
        <v>0</v>
      </c>
      <c r="J549" s="62">
        <v>0</v>
      </c>
      <c r="K549" s="62">
        <v>0</v>
      </c>
      <c r="L549" s="62">
        <v>0</v>
      </c>
      <c r="M549" s="62">
        <v>0</v>
      </c>
      <c r="N549" s="55">
        <f t="shared" si="206"/>
        <v>0</v>
      </c>
      <c r="O549" s="62">
        <v>0</v>
      </c>
      <c r="P549" s="62">
        <v>0</v>
      </c>
      <c r="Q549" s="62">
        <v>0</v>
      </c>
      <c r="R549" s="62">
        <f t="shared" si="207"/>
        <v>0</v>
      </c>
      <c r="S549" s="62">
        <v>0</v>
      </c>
      <c r="T549" s="62">
        <v>0</v>
      </c>
      <c r="U549" s="62">
        <v>0</v>
      </c>
      <c r="V549" s="55">
        <v>0</v>
      </c>
      <c r="W549" s="62"/>
      <c r="X549" s="53">
        <v>0</v>
      </c>
      <c r="Y549" s="62"/>
      <c r="Z549" s="55">
        <v>0</v>
      </c>
      <c r="AA549" s="62"/>
      <c r="AB549" s="53">
        <v>0</v>
      </c>
      <c r="AC549" s="55">
        <v>0</v>
      </c>
      <c r="AD549" s="55">
        <f t="shared" si="208"/>
        <v>0</v>
      </c>
      <c r="AE549" s="53">
        <f>IFERROR(VLOOKUP(A549,[4]simples!$A$1:$B$281,2,FALSE),0)</f>
        <v>0</v>
      </c>
      <c r="AF549" s="55">
        <v>0</v>
      </c>
      <c r="AG549" s="55">
        <v>0</v>
      </c>
      <c r="AH549" s="55">
        <f t="shared" si="209"/>
        <v>0</v>
      </c>
      <c r="AI549" s="62"/>
      <c r="AJ549" s="55">
        <v>0</v>
      </c>
      <c r="AK549" s="62"/>
      <c r="AL549" s="55">
        <f t="shared" si="210"/>
        <v>0</v>
      </c>
      <c r="AM549" s="55" t="s">
        <v>1912</v>
      </c>
      <c r="AN549" s="55">
        <v>0</v>
      </c>
      <c r="AO549" s="55">
        <v>0</v>
      </c>
      <c r="AP549" s="55">
        <f t="shared" si="201"/>
        <v>0</v>
      </c>
      <c r="AQ549" s="55">
        <f>IFERROR(VLOOKUP(A549,[1]SIIMPLES!$A$2:$F$418,6,FALSE),0)</f>
        <v>0</v>
      </c>
      <c r="AR549" s="55">
        <v>0</v>
      </c>
      <c r="AS549" s="55">
        <v>0</v>
      </c>
      <c r="AT549" s="55">
        <v>0</v>
      </c>
      <c r="AU549" s="55">
        <v>0</v>
      </c>
      <c r="AV549" s="55">
        <v>0</v>
      </c>
      <c r="AW549" s="62"/>
      <c r="AX549" s="62"/>
      <c r="AY549" s="63">
        <f t="shared" si="211"/>
        <v>0</v>
      </c>
      <c r="AZ549" s="62"/>
      <c r="BA549" s="56">
        <v>0</v>
      </c>
      <c r="BB549" s="41" t="str">
        <f t="shared" si="212"/>
        <v/>
      </c>
      <c r="BC549" s="13"/>
      <c r="BD549" s="35"/>
      <c r="BE549" s="13"/>
      <c r="BF549" s="16"/>
      <c r="BG549" s="17" t="str">
        <f t="shared" si="214"/>
        <v>0</v>
      </c>
      <c r="BH549" s="7"/>
    </row>
    <row r="550" spans="1:60" s="21" customFormat="1" ht="12.75" customHeight="1" x14ac:dyDescent="0.2">
      <c r="A550" s="51">
        <v>4014</v>
      </c>
      <c r="B550" s="51"/>
      <c r="C550" s="66" t="s">
        <v>1803</v>
      </c>
      <c r="D550" s="52" t="s">
        <v>760</v>
      </c>
      <c r="E550" s="52" t="s">
        <v>736</v>
      </c>
      <c r="F550" s="53">
        <f>IFERROR(VLOOKUP(E550,Fornecedores!$A$2:$B$2700,2,FALSE),"")</f>
        <v>5</v>
      </c>
      <c r="G550" s="52">
        <f>VLOOKUP(A550,[2]CMV!$A$1:$F$2043,6,FALSE)</f>
        <v>0</v>
      </c>
      <c r="H550" s="57"/>
      <c r="I550" s="55">
        <f t="shared" si="205"/>
        <v>0</v>
      </c>
      <c r="J550" s="55">
        <v>0</v>
      </c>
      <c r="K550" s="55">
        <v>0</v>
      </c>
      <c r="L550" s="55">
        <v>0</v>
      </c>
      <c r="M550" s="55">
        <v>0</v>
      </c>
      <c r="N550" s="55">
        <f t="shared" si="206"/>
        <v>0</v>
      </c>
      <c r="O550" s="55">
        <v>0</v>
      </c>
      <c r="P550" s="55">
        <v>0</v>
      </c>
      <c r="Q550" s="55">
        <v>0</v>
      </c>
      <c r="R550" s="55">
        <f t="shared" si="207"/>
        <v>0</v>
      </c>
      <c r="S550" s="55">
        <v>0</v>
      </c>
      <c r="T550" s="55">
        <v>0</v>
      </c>
      <c r="U550" s="55">
        <v>0</v>
      </c>
      <c r="V550" s="55">
        <v>0</v>
      </c>
      <c r="W550" s="53">
        <v>0</v>
      </c>
      <c r="X550" s="53">
        <v>0</v>
      </c>
      <c r="Y550" s="55">
        <v>0</v>
      </c>
      <c r="Z550" s="55">
        <v>0</v>
      </c>
      <c r="AA550" s="53">
        <v>0</v>
      </c>
      <c r="AB550" s="53">
        <v>0</v>
      </c>
      <c r="AC550" s="55">
        <v>0</v>
      </c>
      <c r="AD550" s="55">
        <f t="shared" si="208"/>
        <v>0</v>
      </c>
      <c r="AE550" s="53">
        <v>0</v>
      </c>
      <c r="AF550" s="55">
        <v>0</v>
      </c>
      <c r="AG550" s="55">
        <v>0</v>
      </c>
      <c r="AH550" s="55">
        <f t="shared" si="209"/>
        <v>0</v>
      </c>
      <c r="AI550" s="55">
        <v>0</v>
      </c>
      <c r="AJ550" s="55">
        <v>0</v>
      </c>
      <c r="AK550" s="55">
        <v>0</v>
      </c>
      <c r="AL550" s="55">
        <f t="shared" si="210"/>
        <v>0</v>
      </c>
      <c r="AM550" s="55" t="s">
        <v>1912</v>
      </c>
      <c r="AN550" s="55">
        <v>0</v>
      </c>
      <c r="AO550" s="55">
        <v>0</v>
      </c>
      <c r="AP550" s="55">
        <f t="shared" si="201"/>
        <v>0</v>
      </c>
      <c r="AQ550" s="55">
        <f>IFERROR(VLOOKUP(A550,[1]SIIMPLES!$A$2:$F$418,6,FALSE),0)</f>
        <v>0</v>
      </c>
      <c r="AR550" s="55">
        <v>0</v>
      </c>
      <c r="AS550" s="55">
        <v>0</v>
      </c>
      <c r="AT550" s="55">
        <v>0</v>
      </c>
      <c r="AU550" s="55">
        <v>0</v>
      </c>
      <c r="AV550" s="55">
        <v>0</v>
      </c>
      <c r="AW550" s="55"/>
      <c r="AX550" s="55"/>
      <c r="AY550" s="56">
        <f t="shared" si="211"/>
        <v>0</v>
      </c>
      <c r="AZ550" s="55"/>
      <c r="BA550" s="56">
        <v>0</v>
      </c>
      <c r="BB550" s="41" t="str">
        <f t="shared" si="212"/>
        <v/>
      </c>
      <c r="BC550" s="13"/>
      <c r="BD550" s="35"/>
      <c r="BE550" s="13"/>
      <c r="BF550" s="16">
        <f>SUM(BC550:BE550)</f>
        <v>0</v>
      </c>
      <c r="BG550" s="17" t="str">
        <f t="shared" si="214"/>
        <v>0</v>
      </c>
      <c r="BH550" s="16">
        <f>IFERROR(IF(F550=1,IF(BC550&lt;AY550*3,AY550*3-BC550,0),IF(BC550&lt;AY550,AY550-BC550,0)),"")</f>
        <v>0</v>
      </c>
    </row>
    <row r="551" spans="1:60" s="21" customFormat="1" ht="12.75" customHeight="1" x14ac:dyDescent="0.2">
      <c r="A551" s="51">
        <v>4017</v>
      </c>
      <c r="B551" s="51"/>
      <c r="C551" s="66" t="s">
        <v>1803</v>
      </c>
      <c r="D551" s="52" t="s">
        <v>760</v>
      </c>
      <c r="E551" s="52" t="s">
        <v>736</v>
      </c>
      <c r="F551" s="53">
        <f>IFERROR(VLOOKUP(E551,Fornecedores!$A$2:$B$2700,2,FALSE),"")</f>
        <v>5</v>
      </c>
      <c r="G551" s="52" t="s">
        <v>449</v>
      </c>
      <c r="H551" s="54"/>
      <c r="I551" s="55">
        <f t="shared" si="205"/>
        <v>0</v>
      </c>
      <c r="J551" s="55">
        <v>0</v>
      </c>
      <c r="K551" s="55">
        <v>0</v>
      </c>
      <c r="L551" s="55">
        <v>0</v>
      </c>
      <c r="M551" s="55">
        <v>0</v>
      </c>
      <c r="N551" s="55">
        <f t="shared" si="206"/>
        <v>0</v>
      </c>
      <c r="O551" s="55">
        <v>0</v>
      </c>
      <c r="P551" s="55">
        <v>0</v>
      </c>
      <c r="Q551" s="55">
        <v>0</v>
      </c>
      <c r="R551" s="55">
        <f t="shared" si="207"/>
        <v>0</v>
      </c>
      <c r="S551" s="55">
        <v>0</v>
      </c>
      <c r="T551" s="55">
        <v>0</v>
      </c>
      <c r="U551" s="55">
        <v>0</v>
      </c>
      <c r="V551" s="55">
        <v>0</v>
      </c>
      <c r="W551" s="53">
        <v>0</v>
      </c>
      <c r="X551" s="53">
        <v>0</v>
      </c>
      <c r="Y551" s="55">
        <v>0</v>
      </c>
      <c r="Z551" s="55">
        <v>0</v>
      </c>
      <c r="AA551" s="53">
        <v>0</v>
      </c>
      <c r="AB551" s="53">
        <v>0</v>
      </c>
      <c r="AC551" s="55">
        <v>0</v>
      </c>
      <c r="AD551" s="55">
        <f t="shared" si="208"/>
        <v>0</v>
      </c>
      <c r="AE551" s="53">
        <v>0</v>
      </c>
      <c r="AF551" s="55">
        <v>0</v>
      </c>
      <c r="AG551" s="55">
        <v>0</v>
      </c>
      <c r="AH551" s="55">
        <f t="shared" si="209"/>
        <v>0</v>
      </c>
      <c r="AI551" s="55">
        <v>0</v>
      </c>
      <c r="AJ551" s="55">
        <v>0</v>
      </c>
      <c r="AK551" s="55">
        <v>0</v>
      </c>
      <c r="AL551" s="55">
        <f t="shared" si="210"/>
        <v>0</v>
      </c>
      <c r="AM551" s="55" t="s">
        <v>1912</v>
      </c>
      <c r="AN551" s="55">
        <v>0</v>
      </c>
      <c r="AO551" s="55">
        <v>0</v>
      </c>
      <c r="AP551" s="55">
        <f t="shared" si="201"/>
        <v>0</v>
      </c>
      <c r="AQ551" s="55">
        <f>IFERROR(VLOOKUP(A551,[1]SIIMPLES!$A$2:$F$418,6,FALSE),0)</f>
        <v>0</v>
      </c>
      <c r="AR551" s="55">
        <v>0</v>
      </c>
      <c r="AS551" s="55">
        <v>0</v>
      </c>
      <c r="AT551" s="55">
        <v>0</v>
      </c>
      <c r="AU551" s="55">
        <v>0</v>
      </c>
      <c r="AV551" s="55">
        <v>0</v>
      </c>
      <c r="AW551" s="55"/>
      <c r="AX551" s="55"/>
      <c r="AY551" s="56">
        <f t="shared" si="211"/>
        <v>0</v>
      </c>
      <c r="AZ551" s="55"/>
      <c r="BA551" s="56">
        <v>0</v>
      </c>
      <c r="BB551" s="41" t="str">
        <f t="shared" si="212"/>
        <v/>
      </c>
      <c r="BC551" s="13"/>
      <c r="BD551" s="35"/>
      <c r="BE551" s="7"/>
      <c r="BF551" s="16"/>
      <c r="BG551" s="17" t="str">
        <f t="shared" si="214"/>
        <v>0</v>
      </c>
      <c r="BH551" s="16">
        <f>IFERROR(IF(F551=1,IF(BC551&lt;AY551*3,AY551*3-BC551,0),IF(BC551&lt;AY551,AY551-BC551,0)),"")</f>
        <v>0</v>
      </c>
    </row>
    <row r="552" spans="1:60" s="21" customFormat="1" ht="12.75" customHeight="1" x14ac:dyDescent="0.2">
      <c r="A552" s="51">
        <v>4019</v>
      </c>
      <c r="B552" s="51"/>
      <c r="C552" s="66" t="s">
        <v>1803</v>
      </c>
      <c r="D552" s="52" t="s">
        <v>760</v>
      </c>
      <c r="E552" s="52" t="s">
        <v>736</v>
      </c>
      <c r="F552" s="53">
        <f>IFERROR(VLOOKUP(E552,Fornecedores!$A$2:$B$2700,2,FALSE),"")</f>
        <v>5</v>
      </c>
      <c r="G552" s="52">
        <f>VLOOKUP(A552,[2]CMV!$A$1:$F$2043,6,FALSE)</f>
        <v>0</v>
      </c>
      <c r="H552" s="57"/>
      <c r="I552" s="55">
        <f t="shared" si="205"/>
        <v>0</v>
      </c>
      <c r="J552" s="55">
        <v>0</v>
      </c>
      <c r="K552" s="55">
        <v>0</v>
      </c>
      <c r="L552" s="55">
        <v>0</v>
      </c>
      <c r="M552" s="55">
        <v>0</v>
      </c>
      <c r="N552" s="55">
        <f t="shared" si="206"/>
        <v>0</v>
      </c>
      <c r="O552" s="55">
        <v>0</v>
      </c>
      <c r="P552" s="55">
        <v>0</v>
      </c>
      <c r="Q552" s="55">
        <v>0</v>
      </c>
      <c r="R552" s="55">
        <f t="shared" si="207"/>
        <v>0</v>
      </c>
      <c r="S552" s="55">
        <v>0</v>
      </c>
      <c r="T552" s="55">
        <v>0</v>
      </c>
      <c r="U552" s="55">
        <v>0</v>
      </c>
      <c r="V552" s="55">
        <v>0</v>
      </c>
      <c r="W552" s="53">
        <v>0</v>
      </c>
      <c r="X552" s="53">
        <v>0</v>
      </c>
      <c r="Y552" s="55">
        <v>0</v>
      </c>
      <c r="Z552" s="55">
        <v>0</v>
      </c>
      <c r="AA552" s="53">
        <v>0</v>
      </c>
      <c r="AB552" s="53">
        <v>0</v>
      </c>
      <c r="AC552" s="55">
        <v>0</v>
      </c>
      <c r="AD552" s="55">
        <f t="shared" si="208"/>
        <v>0</v>
      </c>
      <c r="AE552" s="53">
        <v>0</v>
      </c>
      <c r="AF552" s="55">
        <v>0</v>
      </c>
      <c r="AG552" s="55">
        <v>0</v>
      </c>
      <c r="AH552" s="55">
        <f t="shared" si="209"/>
        <v>0</v>
      </c>
      <c r="AI552" s="55">
        <v>0</v>
      </c>
      <c r="AJ552" s="55">
        <v>0</v>
      </c>
      <c r="AK552" s="55">
        <v>0</v>
      </c>
      <c r="AL552" s="55">
        <f t="shared" si="210"/>
        <v>0</v>
      </c>
      <c r="AM552" s="55" t="s">
        <v>1912</v>
      </c>
      <c r="AN552" s="55">
        <v>0</v>
      </c>
      <c r="AO552" s="55">
        <v>0</v>
      </c>
      <c r="AP552" s="55">
        <f t="shared" si="201"/>
        <v>0</v>
      </c>
      <c r="AQ552" s="55">
        <f>IFERROR(VLOOKUP(A552,[1]SIIMPLES!$A$2:$F$418,6,FALSE),0)</f>
        <v>0</v>
      </c>
      <c r="AR552" s="55">
        <v>0</v>
      </c>
      <c r="AS552" s="55">
        <v>0</v>
      </c>
      <c r="AT552" s="55">
        <v>0</v>
      </c>
      <c r="AU552" s="55">
        <v>0</v>
      </c>
      <c r="AV552" s="55">
        <v>0</v>
      </c>
      <c r="AW552" s="55"/>
      <c r="AX552" s="55"/>
      <c r="AY552" s="56">
        <f t="shared" si="211"/>
        <v>0</v>
      </c>
      <c r="AZ552" s="55" t="s">
        <v>1619</v>
      </c>
      <c r="BA552" s="56">
        <v>0</v>
      </c>
      <c r="BB552" s="41" t="str">
        <f t="shared" si="212"/>
        <v/>
      </c>
      <c r="BC552" s="13"/>
      <c r="BD552" s="35"/>
      <c r="BE552" s="13"/>
      <c r="BF552" s="16"/>
      <c r="BG552" s="17" t="str">
        <f t="shared" si="214"/>
        <v>0</v>
      </c>
      <c r="BH552" s="16">
        <f>IFERROR(IF(F552=1,IF(BC552&lt;AY552*3,AY552*3-BC552,0),IF(BC552&lt;AY552,AY552-BC552,0)),"")</f>
        <v>0</v>
      </c>
    </row>
    <row r="553" spans="1:60" s="21" customFormat="1" ht="12.75" customHeight="1" x14ac:dyDescent="0.2">
      <c r="A553" s="51">
        <v>4020</v>
      </c>
      <c r="B553" s="51" t="s">
        <v>1077</v>
      </c>
      <c r="C553" s="66" t="s">
        <v>1803</v>
      </c>
      <c r="D553" s="52" t="s">
        <v>760</v>
      </c>
      <c r="E553" s="52" t="s">
        <v>736</v>
      </c>
      <c r="F553" s="53">
        <f>IFERROR(VLOOKUP(E553,Fornecedores!$A$2:$B$2700,2,FALSE),"")</f>
        <v>5</v>
      </c>
      <c r="G553" s="52" t="s">
        <v>396</v>
      </c>
      <c r="H553" s="54"/>
      <c r="I553" s="55">
        <f t="shared" si="205"/>
        <v>0</v>
      </c>
      <c r="J553" s="55">
        <v>0</v>
      </c>
      <c r="K553" s="55">
        <v>0</v>
      </c>
      <c r="L553" s="55">
        <v>0</v>
      </c>
      <c r="M553" s="55">
        <v>0</v>
      </c>
      <c r="N553" s="55">
        <f t="shared" si="206"/>
        <v>0</v>
      </c>
      <c r="O553" s="55">
        <v>0</v>
      </c>
      <c r="P553" s="55">
        <v>0</v>
      </c>
      <c r="Q553" s="55">
        <v>0</v>
      </c>
      <c r="R553" s="55">
        <f t="shared" si="207"/>
        <v>0</v>
      </c>
      <c r="S553" s="55">
        <v>0</v>
      </c>
      <c r="T553" s="55">
        <v>0</v>
      </c>
      <c r="U553" s="55">
        <v>0</v>
      </c>
      <c r="V553" s="55">
        <v>0</v>
      </c>
      <c r="W553" s="53">
        <v>0</v>
      </c>
      <c r="X553" s="53">
        <v>0</v>
      </c>
      <c r="Y553" s="55">
        <v>0</v>
      </c>
      <c r="Z553" s="55">
        <v>1</v>
      </c>
      <c r="AA553" s="53">
        <v>1</v>
      </c>
      <c r="AB553" s="53">
        <v>0</v>
      </c>
      <c r="AC553" s="55">
        <v>0</v>
      </c>
      <c r="AD553" s="55">
        <f t="shared" si="208"/>
        <v>0</v>
      </c>
      <c r="AE553" s="53">
        <v>0</v>
      </c>
      <c r="AF553" s="55">
        <v>0</v>
      </c>
      <c r="AG553" s="55">
        <v>0</v>
      </c>
      <c r="AH553" s="55">
        <f t="shared" si="209"/>
        <v>2</v>
      </c>
      <c r="AI553" s="55">
        <v>2</v>
      </c>
      <c r="AJ553" s="55">
        <v>0</v>
      </c>
      <c r="AK553" s="55">
        <v>0</v>
      </c>
      <c r="AL553" s="55">
        <f t="shared" si="210"/>
        <v>0</v>
      </c>
      <c r="AM553" s="55" t="s">
        <v>1912</v>
      </c>
      <c r="AN553" s="55">
        <v>0</v>
      </c>
      <c r="AO553" s="55">
        <v>0</v>
      </c>
      <c r="AP553" s="55">
        <f t="shared" si="201"/>
        <v>0</v>
      </c>
      <c r="AQ553" s="55">
        <f>IFERROR(VLOOKUP(A553,[1]SIIMPLES!$A$2:$F$418,6,FALSE),0)</f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0</v>
      </c>
      <c r="AW553" s="55"/>
      <c r="AX553" s="55"/>
      <c r="AY553" s="56">
        <f t="shared" si="211"/>
        <v>0.3</v>
      </c>
      <c r="AZ553" s="55"/>
      <c r="BA553" s="56">
        <v>0.66666666666666663</v>
      </c>
      <c r="BB553" s="41">
        <f t="shared" si="212"/>
        <v>-0.55000000000000004</v>
      </c>
      <c r="BC553" s="13"/>
      <c r="BD553" s="36"/>
      <c r="BE553" s="7"/>
      <c r="BF553" s="16"/>
      <c r="BG553" s="17">
        <f t="shared" si="214"/>
        <v>0</v>
      </c>
      <c r="BH553" s="16">
        <f>ROUND(IFERROR(IF(F553=1,IF(BC553&lt;AY553*3,AY553*3-BC553,0),IF(BC553&lt;AY553,AY553*0.6-BC553,0)),""),0)</f>
        <v>0</v>
      </c>
    </row>
    <row r="554" spans="1:60" s="21" customFormat="1" ht="12.75" customHeight="1" x14ac:dyDescent="0.2">
      <c r="A554" s="51">
        <v>4021</v>
      </c>
      <c r="B554" s="51"/>
      <c r="C554" s="66" t="s">
        <v>1803</v>
      </c>
      <c r="D554" s="52" t="s">
        <v>760</v>
      </c>
      <c r="E554" s="52" t="s">
        <v>736</v>
      </c>
      <c r="F554" s="53">
        <f>IFERROR(VLOOKUP(E554,Fornecedores!$A$2:$B$2700,2,FALSE),"")</f>
        <v>5</v>
      </c>
      <c r="G554" s="52" t="s">
        <v>1689</v>
      </c>
      <c r="H554" s="54"/>
      <c r="I554" s="55">
        <f t="shared" si="205"/>
        <v>0</v>
      </c>
      <c r="J554" s="55">
        <v>0</v>
      </c>
      <c r="K554" s="55">
        <v>0</v>
      </c>
      <c r="L554" s="55">
        <v>0</v>
      </c>
      <c r="M554" s="55">
        <v>0</v>
      </c>
      <c r="N554" s="55">
        <f t="shared" si="206"/>
        <v>0</v>
      </c>
      <c r="O554" s="55">
        <v>0</v>
      </c>
      <c r="P554" s="55">
        <v>0</v>
      </c>
      <c r="Q554" s="55">
        <v>0</v>
      </c>
      <c r="R554" s="55">
        <f t="shared" si="207"/>
        <v>0</v>
      </c>
      <c r="S554" s="55">
        <v>0</v>
      </c>
      <c r="T554" s="55">
        <v>0</v>
      </c>
      <c r="U554" s="55">
        <v>0</v>
      </c>
      <c r="V554" s="55">
        <v>2</v>
      </c>
      <c r="W554" s="53">
        <v>2</v>
      </c>
      <c r="X554" s="53">
        <v>0</v>
      </c>
      <c r="Y554" s="55">
        <v>0</v>
      </c>
      <c r="Z554" s="55">
        <v>2</v>
      </c>
      <c r="AA554" s="53">
        <v>2</v>
      </c>
      <c r="AB554" s="53">
        <v>0</v>
      </c>
      <c r="AC554" s="55">
        <v>0</v>
      </c>
      <c r="AD554" s="55">
        <f t="shared" si="208"/>
        <v>5</v>
      </c>
      <c r="AE554" s="53">
        <v>5</v>
      </c>
      <c r="AF554" s="55">
        <v>0</v>
      </c>
      <c r="AG554" s="55">
        <v>0</v>
      </c>
      <c r="AH554" s="55">
        <f t="shared" si="209"/>
        <v>3</v>
      </c>
      <c r="AI554" s="55">
        <v>3</v>
      </c>
      <c r="AJ554" s="55">
        <v>0</v>
      </c>
      <c r="AK554" s="55">
        <v>0</v>
      </c>
      <c r="AL554" s="55">
        <f t="shared" si="210"/>
        <v>0</v>
      </c>
      <c r="AM554" s="55" t="s">
        <v>1912</v>
      </c>
      <c r="AN554" s="55">
        <v>0</v>
      </c>
      <c r="AO554" s="55">
        <v>0</v>
      </c>
      <c r="AP554" s="55">
        <f t="shared" si="201"/>
        <v>0</v>
      </c>
      <c r="AQ554" s="55">
        <f>IFERROR(VLOOKUP(A554,[1]SIIMPLES!$A$2:$F$418,6,FALSE),0)</f>
        <v>0</v>
      </c>
      <c r="AR554" s="55">
        <v>0</v>
      </c>
      <c r="AS554" s="55">
        <v>0</v>
      </c>
      <c r="AT554" s="55">
        <v>0</v>
      </c>
      <c r="AU554" s="55">
        <v>0</v>
      </c>
      <c r="AV554" s="55">
        <v>0</v>
      </c>
      <c r="AW554" s="55"/>
      <c r="AX554" s="55"/>
      <c r="AY554" s="56">
        <f t="shared" si="211"/>
        <v>1.2</v>
      </c>
      <c r="AZ554" s="55"/>
      <c r="BA554" s="56">
        <v>0</v>
      </c>
      <c r="BB554" s="41" t="str">
        <f t="shared" si="212"/>
        <v/>
      </c>
      <c r="BC554" s="7"/>
      <c r="BD554" s="35"/>
      <c r="BE554" s="13"/>
      <c r="BF554" s="16">
        <f>SUM(BC554:BE554)</f>
        <v>0</v>
      </c>
      <c r="BG554" s="17">
        <f t="shared" si="214"/>
        <v>0</v>
      </c>
      <c r="BH554" s="16">
        <f>IFERROR(IF(F554=1,IF(BC554&lt;AY554*3,AY554*3-BC554,0),IF(BC554&lt;AY554,AY554-BC554,0)),"")</f>
        <v>1.2</v>
      </c>
    </row>
    <row r="555" spans="1:60" s="21" customFormat="1" ht="12.75" customHeight="1" x14ac:dyDescent="0.2">
      <c r="A555" s="51">
        <v>4025</v>
      </c>
      <c r="B555" s="51"/>
      <c r="C555" s="66" t="s">
        <v>1803</v>
      </c>
      <c r="D555" s="52" t="s">
        <v>760</v>
      </c>
      <c r="E555" s="52" t="s">
        <v>736</v>
      </c>
      <c r="F555" s="53">
        <f>IFERROR(VLOOKUP(E555,Fornecedores!$A$2:$B$2700,2,FALSE),"")</f>
        <v>5</v>
      </c>
      <c r="G555" s="52" t="s">
        <v>1688</v>
      </c>
      <c r="H555" s="57"/>
      <c r="I555" s="55">
        <f t="shared" si="205"/>
        <v>0</v>
      </c>
      <c r="J555" s="55">
        <v>0</v>
      </c>
      <c r="K555" s="55">
        <v>0</v>
      </c>
      <c r="L555" s="55">
        <v>0</v>
      </c>
      <c r="M555" s="55">
        <v>0</v>
      </c>
      <c r="N555" s="55">
        <f t="shared" si="206"/>
        <v>0</v>
      </c>
      <c r="O555" s="55">
        <v>0</v>
      </c>
      <c r="P555" s="55">
        <v>0</v>
      </c>
      <c r="Q555" s="55">
        <v>0</v>
      </c>
      <c r="R555" s="55">
        <f t="shared" si="207"/>
        <v>0</v>
      </c>
      <c r="S555" s="55">
        <v>0</v>
      </c>
      <c r="T555" s="55">
        <v>0</v>
      </c>
      <c r="U555" s="55">
        <v>0</v>
      </c>
      <c r="V555" s="55">
        <v>0</v>
      </c>
      <c r="W555" s="53">
        <v>0</v>
      </c>
      <c r="X555" s="53">
        <v>0</v>
      </c>
      <c r="Y555" s="55">
        <v>0</v>
      </c>
      <c r="Z555" s="55">
        <v>0</v>
      </c>
      <c r="AA555" s="53">
        <v>0</v>
      </c>
      <c r="AB555" s="53">
        <v>0</v>
      </c>
      <c r="AC555" s="55">
        <v>0</v>
      </c>
      <c r="AD555" s="55">
        <f t="shared" si="208"/>
        <v>0</v>
      </c>
      <c r="AE555" s="53">
        <v>0</v>
      </c>
      <c r="AF555" s="55">
        <v>0</v>
      </c>
      <c r="AG555" s="55">
        <v>0</v>
      </c>
      <c r="AH555" s="55">
        <f t="shared" si="209"/>
        <v>2</v>
      </c>
      <c r="AI555" s="55">
        <v>2</v>
      </c>
      <c r="AJ555" s="55">
        <v>0</v>
      </c>
      <c r="AK555" s="55">
        <v>0</v>
      </c>
      <c r="AL555" s="55">
        <f t="shared" si="210"/>
        <v>0</v>
      </c>
      <c r="AM555" s="55" t="s">
        <v>1912</v>
      </c>
      <c r="AN555" s="55">
        <v>0</v>
      </c>
      <c r="AO555" s="55">
        <v>0</v>
      </c>
      <c r="AP555" s="55">
        <f t="shared" si="201"/>
        <v>0</v>
      </c>
      <c r="AQ555" s="55">
        <f>IFERROR(VLOOKUP(A555,[1]SIIMPLES!$A$2:$F$418,6,FALSE),0)</f>
        <v>0</v>
      </c>
      <c r="AR555" s="55">
        <v>0</v>
      </c>
      <c r="AS555" s="55">
        <v>0</v>
      </c>
      <c r="AT555" s="55">
        <v>0</v>
      </c>
      <c r="AU555" s="55">
        <v>0</v>
      </c>
      <c r="AV555" s="55">
        <v>0</v>
      </c>
      <c r="AW555" s="55"/>
      <c r="AX555" s="55"/>
      <c r="AY555" s="56">
        <f t="shared" si="211"/>
        <v>0.2</v>
      </c>
      <c r="AZ555" s="55"/>
      <c r="BA555" s="56">
        <v>1</v>
      </c>
      <c r="BB555" s="41">
        <f t="shared" si="212"/>
        <v>-0.8</v>
      </c>
      <c r="BC555" s="13"/>
      <c r="BD555" s="36"/>
      <c r="BE555" s="7"/>
      <c r="BF555" s="7"/>
      <c r="BG555" s="17">
        <f t="shared" si="214"/>
        <v>0</v>
      </c>
      <c r="BH555" s="7"/>
    </row>
    <row r="556" spans="1:60" s="21" customFormat="1" ht="12.75" customHeight="1" x14ac:dyDescent="0.2">
      <c r="A556" s="50">
        <v>4026</v>
      </c>
      <c r="B556" s="58"/>
      <c r="C556" s="51" t="s">
        <v>1803</v>
      </c>
      <c r="D556" s="59" t="s">
        <v>760</v>
      </c>
      <c r="E556" s="59" t="s">
        <v>736</v>
      </c>
      <c r="F556" s="60">
        <f>IFERROR(VLOOKUP(E556,Fornecedores!$A$2:$B$2700,2,FALSE),"")</f>
        <v>5</v>
      </c>
      <c r="G556" s="59" t="s">
        <v>1687</v>
      </c>
      <c r="H556" s="61"/>
      <c r="I556" s="62">
        <f t="shared" si="205"/>
        <v>0</v>
      </c>
      <c r="J556" s="62">
        <v>0</v>
      </c>
      <c r="K556" s="62">
        <v>0</v>
      </c>
      <c r="L556" s="62">
        <v>0</v>
      </c>
      <c r="M556" s="62">
        <v>0</v>
      </c>
      <c r="N556" s="55">
        <f t="shared" si="206"/>
        <v>0</v>
      </c>
      <c r="O556" s="62">
        <v>0</v>
      </c>
      <c r="P556" s="62">
        <v>0</v>
      </c>
      <c r="Q556" s="62">
        <v>0</v>
      </c>
      <c r="R556" s="62">
        <f t="shared" si="207"/>
        <v>0</v>
      </c>
      <c r="S556" s="62">
        <v>0</v>
      </c>
      <c r="T556" s="62">
        <v>0</v>
      </c>
      <c r="U556" s="62">
        <v>0</v>
      </c>
      <c r="V556" s="55">
        <v>0</v>
      </c>
      <c r="W556" s="62"/>
      <c r="X556" s="53">
        <v>0</v>
      </c>
      <c r="Y556" s="62"/>
      <c r="Z556" s="55">
        <v>0</v>
      </c>
      <c r="AA556" s="62"/>
      <c r="AB556" s="53">
        <v>0</v>
      </c>
      <c r="AC556" s="55">
        <v>0</v>
      </c>
      <c r="AD556" s="55">
        <f t="shared" si="208"/>
        <v>0</v>
      </c>
      <c r="AE556" s="53">
        <f>IFERROR(VLOOKUP(A556,[4]simples!$A$1:$B$281,2,FALSE),0)</f>
        <v>0</v>
      </c>
      <c r="AF556" s="55">
        <v>0</v>
      </c>
      <c r="AG556" s="55">
        <v>0</v>
      </c>
      <c r="AH556" s="55">
        <f t="shared" si="209"/>
        <v>0</v>
      </c>
      <c r="AI556" s="62"/>
      <c r="AJ556" s="55">
        <v>0</v>
      </c>
      <c r="AK556" s="62"/>
      <c r="AL556" s="55">
        <f t="shared" si="210"/>
        <v>0</v>
      </c>
      <c r="AM556" s="55" t="s">
        <v>1912</v>
      </c>
      <c r="AN556" s="55">
        <v>0</v>
      </c>
      <c r="AO556" s="55">
        <v>0</v>
      </c>
      <c r="AP556" s="55">
        <f t="shared" si="201"/>
        <v>0</v>
      </c>
      <c r="AQ556" s="55">
        <f>IFERROR(VLOOKUP(A556,[1]SIIMPLES!$A$2:$F$418,6,FALSE),0)</f>
        <v>0</v>
      </c>
      <c r="AR556" s="55">
        <v>0</v>
      </c>
      <c r="AS556" s="55">
        <v>0</v>
      </c>
      <c r="AT556" s="55">
        <v>0</v>
      </c>
      <c r="AU556" s="55">
        <v>0</v>
      </c>
      <c r="AV556" s="55">
        <v>0</v>
      </c>
      <c r="AW556" s="62"/>
      <c r="AX556" s="62"/>
      <c r="AY556" s="63">
        <f t="shared" si="211"/>
        <v>0</v>
      </c>
      <c r="AZ556" s="62"/>
      <c r="BA556" s="56">
        <v>0</v>
      </c>
      <c r="BB556" s="41" t="str">
        <f t="shared" si="212"/>
        <v/>
      </c>
      <c r="BC556" s="13"/>
      <c r="BD556" s="35"/>
      <c r="BE556" s="13"/>
      <c r="BF556" s="16"/>
      <c r="BG556" s="17" t="str">
        <f t="shared" si="214"/>
        <v>0</v>
      </c>
      <c r="BH556" s="16">
        <f>IFERROR(IF(F556=1,IF(BC556&lt;AY556*3,AY556*3-BC556,0),IF(BC556&lt;AY556,AY556-BC556,0)),"")</f>
        <v>0</v>
      </c>
    </row>
    <row r="557" spans="1:60" s="21" customFormat="1" ht="12.75" customHeight="1" x14ac:dyDescent="0.2">
      <c r="A557" s="51">
        <v>4027</v>
      </c>
      <c r="B557" s="51"/>
      <c r="C557" s="66" t="s">
        <v>1803</v>
      </c>
      <c r="D557" s="52" t="s">
        <v>760</v>
      </c>
      <c r="E557" s="52" t="s">
        <v>736</v>
      </c>
      <c r="F557" s="53">
        <f>IFERROR(VLOOKUP(E557,Fornecedores!$A$2:$B$2700,2,FALSE),"")</f>
        <v>5</v>
      </c>
      <c r="G557" s="52" t="s">
        <v>1686</v>
      </c>
      <c r="H557" s="54"/>
      <c r="I557" s="55">
        <f t="shared" si="205"/>
        <v>0</v>
      </c>
      <c r="J557" s="55">
        <v>0</v>
      </c>
      <c r="K557" s="55">
        <v>0</v>
      </c>
      <c r="L557" s="55">
        <v>0</v>
      </c>
      <c r="M557" s="55">
        <v>0</v>
      </c>
      <c r="N557" s="55">
        <f t="shared" si="206"/>
        <v>0</v>
      </c>
      <c r="O557" s="55">
        <v>0</v>
      </c>
      <c r="P557" s="55">
        <v>0</v>
      </c>
      <c r="Q557" s="55">
        <v>0</v>
      </c>
      <c r="R557" s="55">
        <f t="shared" si="207"/>
        <v>0</v>
      </c>
      <c r="S557" s="55">
        <v>0</v>
      </c>
      <c r="T557" s="55">
        <v>0</v>
      </c>
      <c r="U557" s="55">
        <v>0</v>
      </c>
      <c r="V557" s="55">
        <v>4</v>
      </c>
      <c r="W557" s="53">
        <v>4</v>
      </c>
      <c r="X557" s="53">
        <v>0</v>
      </c>
      <c r="Y557" s="55">
        <v>0</v>
      </c>
      <c r="Z557" s="55">
        <v>1</v>
      </c>
      <c r="AA557" s="53">
        <v>1</v>
      </c>
      <c r="AB557" s="53">
        <v>0</v>
      </c>
      <c r="AC557" s="55">
        <v>0</v>
      </c>
      <c r="AD557" s="55">
        <f t="shared" si="208"/>
        <v>0</v>
      </c>
      <c r="AE557" s="53">
        <v>0</v>
      </c>
      <c r="AF557" s="55">
        <v>0</v>
      </c>
      <c r="AG557" s="55">
        <v>0</v>
      </c>
      <c r="AH557" s="55">
        <f t="shared" si="209"/>
        <v>0</v>
      </c>
      <c r="AI557" s="55">
        <v>0</v>
      </c>
      <c r="AJ557" s="55">
        <v>0</v>
      </c>
      <c r="AK557" s="55">
        <v>0</v>
      </c>
      <c r="AL557" s="55">
        <f t="shared" si="210"/>
        <v>0</v>
      </c>
      <c r="AM557" s="55" t="s">
        <v>1912</v>
      </c>
      <c r="AN557" s="55">
        <v>0</v>
      </c>
      <c r="AO557" s="55">
        <v>0</v>
      </c>
      <c r="AP557" s="55">
        <f t="shared" si="201"/>
        <v>0</v>
      </c>
      <c r="AQ557" s="55">
        <f>IFERROR(VLOOKUP(A557,[1]SIIMPLES!$A$2:$F$418,6,FALSE),0)</f>
        <v>0</v>
      </c>
      <c r="AR557" s="55">
        <v>0</v>
      </c>
      <c r="AS557" s="55">
        <v>0</v>
      </c>
      <c r="AT557" s="55">
        <v>0</v>
      </c>
      <c r="AU557" s="55">
        <v>0</v>
      </c>
      <c r="AV557" s="55">
        <v>0</v>
      </c>
      <c r="AW557" s="55"/>
      <c r="AX557" s="55"/>
      <c r="AY557" s="56">
        <f t="shared" si="211"/>
        <v>0.5</v>
      </c>
      <c r="AZ557" s="55"/>
      <c r="BA557" s="56">
        <v>0.33333333333333331</v>
      </c>
      <c r="BB557" s="41">
        <f t="shared" si="212"/>
        <v>0.5</v>
      </c>
      <c r="BC557" s="13"/>
      <c r="BD557" s="35"/>
      <c r="BE557" s="13"/>
      <c r="BF557" s="16"/>
      <c r="BG557" s="17">
        <f t="shared" si="214"/>
        <v>0</v>
      </c>
      <c r="BH557" s="16">
        <f>ROUND(IFERROR(IF(F557=1,IF(BC557&lt;AY557*3,AY557*3-BC557,0),IF(BC557&lt;AY557,AY557*0.6-BC557,0)),""),0)</f>
        <v>0</v>
      </c>
    </row>
    <row r="558" spans="1:60" s="21" customFormat="1" ht="12.75" customHeight="1" x14ac:dyDescent="0.2">
      <c r="A558" s="50">
        <v>4028</v>
      </c>
      <c r="B558" s="58"/>
      <c r="C558" s="51" t="s">
        <v>1803</v>
      </c>
      <c r="D558" s="59" t="s">
        <v>760</v>
      </c>
      <c r="E558" s="59" t="s">
        <v>736</v>
      </c>
      <c r="F558" s="60">
        <f>IFERROR(VLOOKUP(E558,Fornecedores!$A$2:$B$2700,2,FALSE),"")</f>
        <v>5</v>
      </c>
      <c r="G558" s="59" t="s">
        <v>1685</v>
      </c>
      <c r="H558" s="64"/>
      <c r="I558" s="62">
        <f t="shared" si="205"/>
        <v>0</v>
      </c>
      <c r="J558" s="62">
        <v>0</v>
      </c>
      <c r="K558" s="62">
        <v>0</v>
      </c>
      <c r="L558" s="62">
        <v>0</v>
      </c>
      <c r="M558" s="62">
        <v>0</v>
      </c>
      <c r="N558" s="62">
        <f t="shared" si="206"/>
        <v>0</v>
      </c>
      <c r="O558" s="62">
        <v>0</v>
      </c>
      <c r="P558" s="62">
        <v>0</v>
      </c>
      <c r="Q558" s="62">
        <v>0</v>
      </c>
      <c r="R558" s="62">
        <f t="shared" si="207"/>
        <v>0</v>
      </c>
      <c r="S558" s="62">
        <v>0</v>
      </c>
      <c r="T558" s="62">
        <v>0</v>
      </c>
      <c r="U558" s="62">
        <v>0</v>
      </c>
      <c r="V558" s="55">
        <v>0</v>
      </c>
      <c r="W558" s="62"/>
      <c r="X558" s="53">
        <v>0</v>
      </c>
      <c r="Y558" s="62"/>
      <c r="Z558" s="55">
        <v>0</v>
      </c>
      <c r="AA558" s="62"/>
      <c r="AB558" s="53">
        <v>0</v>
      </c>
      <c r="AC558" s="55">
        <v>0</v>
      </c>
      <c r="AD558" s="55">
        <f t="shared" si="208"/>
        <v>0</v>
      </c>
      <c r="AE558" s="53">
        <f>IFERROR(VLOOKUP(A558,[4]simples!$A$1:$B$281,2,FALSE),0)</f>
        <v>0</v>
      </c>
      <c r="AF558" s="55">
        <v>0</v>
      </c>
      <c r="AG558" s="55">
        <v>0</v>
      </c>
      <c r="AH558" s="55">
        <f t="shared" si="209"/>
        <v>0</v>
      </c>
      <c r="AI558" s="62"/>
      <c r="AJ558" s="55">
        <v>0</v>
      </c>
      <c r="AK558" s="62"/>
      <c r="AL558" s="55">
        <f t="shared" si="210"/>
        <v>0</v>
      </c>
      <c r="AM558" s="55" t="s">
        <v>1912</v>
      </c>
      <c r="AN558" s="55">
        <v>0</v>
      </c>
      <c r="AO558" s="55">
        <v>0</v>
      </c>
      <c r="AP558" s="55">
        <f t="shared" si="201"/>
        <v>0</v>
      </c>
      <c r="AQ558" s="55">
        <f>IFERROR(VLOOKUP(A558,[1]SIIMPLES!$A$2:$F$418,6,FALSE),0)</f>
        <v>0</v>
      </c>
      <c r="AR558" s="55">
        <v>0</v>
      </c>
      <c r="AS558" s="55">
        <v>0</v>
      </c>
      <c r="AT558" s="55">
        <v>0</v>
      </c>
      <c r="AU558" s="55">
        <v>0</v>
      </c>
      <c r="AV558" s="55">
        <v>0</v>
      </c>
      <c r="AW558" s="62"/>
      <c r="AX558" s="62"/>
      <c r="AY558" s="63">
        <f t="shared" si="211"/>
        <v>0</v>
      </c>
      <c r="AZ558" s="62"/>
      <c r="BA558" s="56">
        <v>0</v>
      </c>
      <c r="BB558" s="41" t="str">
        <f t="shared" si="212"/>
        <v/>
      </c>
      <c r="BC558" s="13"/>
      <c r="BD558" s="35"/>
      <c r="BE558" s="13"/>
      <c r="BF558" s="16">
        <f>SUM(BC558:BE558)</f>
        <v>0</v>
      </c>
      <c r="BG558" s="17" t="str">
        <f t="shared" si="214"/>
        <v>0</v>
      </c>
      <c r="BH558" s="16">
        <f>ROUND(IFERROR(IF(F558=1,IF(BC558&lt;AY558*3,AY558*3-BC558,0),IF(BC558&lt;AY558,AY558*0.6-BC558,0)),""),0)</f>
        <v>0</v>
      </c>
    </row>
    <row r="559" spans="1:60" s="21" customFormat="1" ht="12.75" customHeight="1" x14ac:dyDescent="0.2">
      <c r="A559" s="50">
        <v>4029</v>
      </c>
      <c r="B559" s="58"/>
      <c r="C559" s="51" t="s">
        <v>1803</v>
      </c>
      <c r="D559" s="59" t="s">
        <v>760</v>
      </c>
      <c r="E559" s="59" t="s">
        <v>736</v>
      </c>
      <c r="F559" s="60">
        <f>IFERROR(VLOOKUP(E559,Fornecedores!$A$2:$B$2700,2,FALSE),"")</f>
        <v>5</v>
      </c>
      <c r="G559" s="59" t="s">
        <v>1684</v>
      </c>
      <c r="H559" s="64"/>
      <c r="I559" s="62">
        <f t="shared" si="205"/>
        <v>0</v>
      </c>
      <c r="J559" s="62">
        <v>0</v>
      </c>
      <c r="K559" s="62">
        <v>0</v>
      </c>
      <c r="L559" s="62">
        <v>0</v>
      </c>
      <c r="M559" s="62">
        <v>0</v>
      </c>
      <c r="N559" s="62">
        <f t="shared" si="206"/>
        <v>0</v>
      </c>
      <c r="O559" s="62">
        <v>0</v>
      </c>
      <c r="P559" s="62">
        <v>0</v>
      </c>
      <c r="Q559" s="62">
        <v>0</v>
      </c>
      <c r="R559" s="62">
        <f t="shared" si="207"/>
        <v>0</v>
      </c>
      <c r="S559" s="62">
        <v>0</v>
      </c>
      <c r="T559" s="62">
        <v>0</v>
      </c>
      <c r="U559" s="62">
        <v>0</v>
      </c>
      <c r="V559" s="55">
        <v>0</v>
      </c>
      <c r="W559" s="62"/>
      <c r="X559" s="53">
        <v>0</v>
      </c>
      <c r="Y559" s="62"/>
      <c r="Z559" s="55">
        <v>0</v>
      </c>
      <c r="AA559" s="62"/>
      <c r="AB559" s="53">
        <v>0</v>
      </c>
      <c r="AC559" s="55">
        <v>0</v>
      </c>
      <c r="AD559" s="55">
        <f t="shared" si="208"/>
        <v>0</v>
      </c>
      <c r="AE559" s="53">
        <f>IFERROR(VLOOKUP(A559,[4]simples!$A$1:$B$281,2,FALSE),0)</f>
        <v>0</v>
      </c>
      <c r="AF559" s="55">
        <v>0</v>
      </c>
      <c r="AG559" s="55">
        <v>0</v>
      </c>
      <c r="AH559" s="55">
        <f t="shared" si="209"/>
        <v>0</v>
      </c>
      <c r="AI559" s="62"/>
      <c r="AJ559" s="55">
        <v>0</v>
      </c>
      <c r="AK559" s="62"/>
      <c r="AL559" s="55">
        <f t="shared" si="210"/>
        <v>0</v>
      </c>
      <c r="AM559" s="55" t="s">
        <v>1912</v>
      </c>
      <c r="AN559" s="55">
        <v>0</v>
      </c>
      <c r="AO559" s="55">
        <v>0</v>
      </c>
      <c r="AP559" s="55">
        <f t="shared" si="201"/>
        <v>0</v>
      </c>
      <c r="AQ559" s="55">
        <f>IFERROR(VLOOKUP(A559,[1]SIIMPLES!$A$2:$F$418,6,FALSE),0)</f>
        <v>0</v>
      </c>
      <c r="AR559" s="55">
        <v>0</v>
      </c>
      <c r="AS559" s="55">
        <v>0</v>
      </c>
      <c r="AT559" s="55">
        <v>0</v>
      </c>
      <c r="AU559" s="55">
        <v>0</v>
      </c>
      <c r="AV559" s="55">
        <v>0</v>
      </c>
      <c r="AW559" s="62"/>
      <c r="AX559" s="62"/>
      <c r="AY559" s="63">
        <f t="shared" si="211"/>
        <v>0</v>
      </c>
      <c r="AZ559" s="62"/>
      <c r="BA559" s="56">
        <v>0</v>
      </c>
      <c r="BB559" s="41" t="str">
        <f t="shared" si="212"/>
        <v/>
      </c>
      <c r="BC559" s="7"/>
      <c r="BD559" s="35"/>
      <c r="BE559" s="13"/>
      <c r="BF559" s="16"/>
      <c r="BG559" s="17" t="str">
        <f t="shared" si="214"/>
        <v>0</v>
      </c>
      <c r="BH559" s="16">
        <f>ROUND(IFERROR(IF(F559=1,IF(BC559&lt;AY559*3,AY559*3-BC559,0),IF(BC559&lt;AY559,AY559*0.6-BC559,0)),""),0)</f>
        <v>0</v>
      </c>
    </row>
    <row r="560" spans="1:60" s="21" customFormat="1" ht="12.75" customHeight="1" x14ac:dyDescent="0.2">
      <c r="A560" s="51">
        <v>4030</v>
      </c>
      <c r="B560" s="51"/>
      <c r="C560" s="66" t="s">
        <v>1803</v>
      </c>
      <c r="D560" s="52" t="s">
        <v>760</v>
      </c>
      <c r="E560" s="52" t="s">
        <v>736</v>
      </c>
      <c r="F560" s="53">
        <f>IFERROR(VLOOKUP(E560,Fornecedores!$A$2:$B$2700,2,FALSE),"")</f>
        <v>5</v>
      </c>
      <c r="G560" s="52">
        <f>VLOOKUP(A560,[2]CMV!$A$1:$F$2043,6,FALSE)</f>
        <v>0</v>
      </c>
      <c r="H560" s="54"/>
      <c r="I560" s="55">
        <f t="shared" si="205"/>
        <v>0</v>
      </c>
      <c r="J560" s="55">
        <v>0</v>
      </c>
      <c r="K560" s="55">
        <v>0</v>
      </c>
      <c r="L560" s="55">
        <v>0</v>
      </c>
      <c r="M560" s="55">
        <v>0</v>
      </c>
      <c r="N560" s="55">
        <f t="shared" si="206"/>
        <v>0</v>
      </c>
      <c r="O560" s="55">
        <v>0</v>
      </c>
      <c r="P560" s="55">
        <v>0</v>
      </c>
      <c r="Q560" s="55">
        <v>0</v>
      </c>
      <c r="R560" s="55">
        <f t="shared" si="207"/>
        <v>0</v>
      </c>
      <c r="S560" s="55">
        <v>0</v>
      </c>
      <c r="T560" s="55">
        <v>0</v>
      </c>
      <c r="U560" s="55">
        <v>0</v>
      </c>
      <c r="V560" s="55">
        <v>0</v>
      </c>
      <c r="W560" s="53">
        <v>0</v>
      </c>
      <c r="X560" s="53">
        <v>0</v>
      </c>
      <c r="Y560" s="55">
        <v>0</v>
      </c>
      <c r="Z560" s="55">
        <v>0</v>
      </c>
      <c r="AA560" s="53">
        <v>0</v>
      </c>
      <c r="AB560" s="53">
        <v>0</v>
      </c>
      <c r="AC560" s="55">
        <v>0</v>
      </c>
      <c r="AD560" s="55">
        <f t="shared" si="208"/>
        <v>0</v>
      </c>
      <c r="AE560" s="53">
        <v>0</v>
      </c>
      <c r="AF560" s="55">
        <v>0</v>
      </c>
      <c r="AG560" s="55">
        <v>0</v>
      </c>
      <c r="AH560" s="55">
        <f t="shared" si="209"/>
        <v>0</v>
      </c>
      <c r="AI560" s="55">
        <v>0</v>
      </c>
      <c r="AJ560" s="55">
        <v>0</v>
      </c>
      <c r="AK560" s="55">
        <v>0</v>
      </c>
      <c r="AL560" s="55">
        <f t="shared" si="210"/>
        <v>0</v>
      </c>
      <c r="AM560" s="55" t="s">
        <v>1912</v>
      </c>
      <c r="AN560" s="55">
        <v>0</v>
      </c>
      <c r="AO560" s="55">
        <v>0</v>
      </c>
      <c r="AP560" s="55">
        <f t="shared" si="201"/>
        <v>0</v>
      </c>
      <c r="AQ560" s="55">
        <f>IFERROR(VLOOKUP(A560,[1]SIIMPLES!$A$2:$F$418,6,FALSE),0)</f>
        <v>0</v>
      </c>
      <c r="AR560" s="55">
        <v>0</v>
      </c>
      <c r="AS560" s="55">
        <v>0</v>
      </c>
      <c r="AT560" s="55">
        <v>0</v>
      </c>
      <c r="AU560" s="55">
        <v>0</v>
      </c>
      <c r="AV560" s="55">
        <v>0</v>
      </c>
      <c r="AW560" s="55"/>
      <c r="AX560" s="55"/>
      <c r="AY560" s="56">
        <f t="shared" si="211"/>
        <v>0</v>
      </c>
      <c r="AZ560" s="55"/>
      <c r="BA560" s="56">
        <v>0</v>
      </c>
      <c r="BB560" s="41" t="str">
        <f t="shared" si="212"/>
        <v/>
      </c>
      <c r="BC560" s="7"/>
      <c r="BD560" s="36"/>
      <c r="BE560" s="7"/>
      <c r="BF560" s="16"/>
      <c r="BG560" s="17" t="str">
        <f t="shared" si="214"/>
        <v>0</v>
      </c>
      <c r="BH560" s="16">
        <f t="shared" ref="BH560:BH567" si="215">IFERROR(IF(F560=1,IF(BC560&lt;AY560*3,AY560*3-BC560,0),IF(BC560&lt;AY560,AY560-BC560,0)),"")</f>
        <v>0</v>
      </c>
    </row>
    <row r="561" spans="1:60" s="21" customFormat="1" ht="12.75" customHeight="1" x14ac:dyDescent="0.2">
      <c r="A561" s="51">
        <v>4031</v>
      </c>
      <c r="B561" s="51"/>
      <c r="C561" s="66" t="s">
        <v>1803</v>
      </c>
      <c r="D561" s="52" t="s">
        <v>760</v>
      </c>
      <c r="E561" s="52" t="s">
        <v>736</v>
      </c>
      <c r="F561" s="53">
        <f>IFERROR(VLOOKUP(E561,Fornecedores!$A$2:$B$2700,2,FALSE),"")</f>
        <v>5</v>
      </c>
      <c r="G561" s="52" t="s">
        <v>170</v>
      </c>
      <c r="H561" s="54"/>
      <c r="I561" s="55">
        <f t="shared" si="205"/>
        <v>0</v>
      </c>
      <c r="J561" s="55">
        <v>0</v>
      </c>
      <c r="K561" s="55">
        <v>0</v>
      </c>
      <c r="L561" s="55">
        <v>0</v>
      </c>
      <c r="M561" s="55">
        <v>0</v>
      </c>
      <c r="N561" s="55">
        <f t="shared" si="206"/>
        <v>0</v>
      </c>
      <c r="O561" s="55">
        <v>0</v>
      </c>
      <c r="P561" s="55">
        <v>0</v>
      </c>
      <c r="Q561" s="55">
        <v>0</v>
      </c>
      <c r="R561" s="55">
        <f t="shared" si="207"/>
        <v>0</v>
      </c>
      <c r="S561" s="55">
        <v>0</v>
      </c>
      <c r="T561" s="55">
        <v>0</v>
      </c>
      <c r="U561" s="55">
        <v>0</v>
      </c>
      <c r="V561" s="55">
        <v>0</v>
      </c>
      <c r="W561" s="53">
        <v>0</v>
      </c>
      <c r="X561" s="53">
        <v>0</v>
      </c>
      <c r="Y561" s="55">
        <v>0</v>
      </c>
      <c r="Z561" s="55">
        <v>0</v>
      </c>
      <c r="AA561" s="53">
        <v>0</v>
      </c>
      <c r="AB561" s="53">
        <v>0</v>
      </c>
      <c r="AC561" s="55">
        <v>0</v>
      </c>
      <c r="AD561" s="55">
        <f t="shared" si="208"/>
        <v>1</v>
      </c>
      <c r="AE561" s="53">
        <v>1</v>
      </c>
      <c r="AF561" s="55">
        <v>0</v>
      </c>
      <c r="AG561" s="55">
        <v>0</v>
      </c>
      <c r="AH561" s="55">
        <f t="shared" si="209"/>
        <v>0</v>
      </c>
      <c r="AI561" s="55">
        <v>0</v>
      </c>
      <c r="AJ561" s="55">
        <v>0</v>
      </c>
      <c r="AK561" s="55">
        <v>0</v>
      </c>
      <c r="AL561" s="55">
        <f t="shared" si="210"/>
        <v>0</v>
      </c>
      <c r="AM561" s="55" t="s">
        <v>1912</v>
      </c>
      <c r="AN561" s="55">
        <v>0</v>
      </c>
      <c r="AO561" s="55">
        <v>0</v>
      </c>
      <c r="AP561" s="55">
        <f t="shared" si="201"/>
        <v>0</v>
      </c>
      <c r="AQ561" s="55">
        <f>IFERROR(VLOOKUP(A561,[1]SIIMPLES!$A$2:$F$418,6,FALSE),0)</f>
        <v>0</v>
      </c>
      <c r="AR561" s="55">
        <v>0</v>
      </c>
      <c r="AS561" s="55">
        <v>0</v>
      </c>
      <c r="AT561" s="55">
        <v>0</v>
      </c>
      <c r="AU561" s="55">
        <v>0</v>
      </c>
      <c r="AV561" s="55">
        <v>0</v>
      </c>
      <c r="AW561" s="55"/>
      <c r="AX561" s="55"/>
      <c r="AY561" s="56">
        <f t="shared" si="211"/>
        <v>0.1</v>
      </c>
      <c r="AZ561" s="55"/>
      <c r="BA561" s="56">
        <v>0.33333333333333331</v>
      </c>
      <c r="BB561" s="41">
        <f t="shared" si="212"/>
        <v>-0.7</v>
      </c>
      <c r="BC561" s="13"/>
      <c r="BD561" s="35"/>
      <c r="BE561" s="13"/>
      <c r="BF561" s="16">
        <f>SUM(BC561:BE561)</f>
        <v>0</v>
      </c>
      <c r="BG561" s="17">
        <f t="shared" si="214"/>
        <v>0</v>
      </c>
      <c r="BH561" s="16">
        <f t="shared" si="215"/>
        <v>0.1</v>
      </c>
    </row>
    <row r="562" spans="1:60" s="21" customFormat="1" ht="12.75" customHeight="1" x14ac:dyDescent="0.2">
      <c r="A562" s="50">
        <v>4033</v>
      </c>
      <c r="B562" s="58"/>
      <c r="C562" s="51" t="s">
        <v>1803</v>
      </c>
      <c r="D562" s="59" t="s">
        <v>760</v>
      </c>
      <c r="E562" s="59" t="s">
        <v>736</v>
      </c>
      <c r="F562" s="60">
        <f>IFERROR(VLOOKUP(E562,Fornecedores!$A$2:$B$2700,2,FALSE),"")</f>
        <v>5</v>
      </c>
      <c r="G562" s="59" t="s">
        <v>1683</v>
      </c>
      <c r="H562" s="61"/>
      <c r="I562" s="62">
        <f t="shared" si="205"/>
        <v>0</v>
      </c>
      <c r="J562" s="62">
        <v>0</v>
      </c>
      <c r="K562" s="62">
        <v>0</v>
      </c>
      <c r="L562" s="62">
        <v>0</v>
      </c>
      <c r="M562" s="62">
        <v>0</v>
      </c>
      <c r="N562" s="55">
        <f t="shared" si="206"/>
        <v>0</v>
      </c>
      <c r="O562" s="62">
        <v>0</v>
      </c>
      <c r="P562" s="62">
        <v>0</v>
      </c>
      <c r="Q562" s="62">
        <v>0</v>
      </c>
      <c r="R562" s="62">
        <f t="shared" si="207"/>
        <v>0</v>
      </c>
      <c r="S562" s="62">
        <v>0</v>
      </c>
      <c r="T562" s="62">
        <v>0</v>
      </c>
      <c r="U562" s="62">
        <v>0</v>
      </c>
      <c r="V562" s="55">
        <v>0</v>
      </c>
      <c r="W562" s="61"/>
      <c r="X562" s="53">
        <v>0</v>
      </c>
      <c r="Y562" s="61"/>
      <c r="Z562" s="55">
        <v>0</v>
      </c>
      <c r="AA562" s="61"/>
      <c r="AB562" s="53">
        <v>0</v>
      </c>
      <c r="AC562" s="55">
        <v>0</v>
      </c>
      <c r="AD562" s="55">
        <f t="shared" si="208"/>
        <v>0</v>
      </c>
      <c r="AE562" s="53">
        <f>IFERROR(VLOOKUP(A562,[4]simples!$A$1:$B$281,2,FALSE),0)</f>
        <v>0</v>
      </c>
      <c r="AF562" s="55">
        <v>0</v>
      </c>
      <c r="AG562" s="55">
        <v>0</v>
      </c>
      <c r="AH562" s="55">
        <f t="shared" si="209"/>
        <v>0</v>
      </c>
      <c r="AI562" s="61"/>
      <c r="AJ562" s="55">
        <v>0</v>
      </c>
      <c r="AK562" s="61"/>
      <c r="AL562" s="55">
        <f t="shared" si="210"/>
        <v>0</v>
      </c>
      <c r="AM562" s="55" t="s">
        <v>1912</v>
      </c>
      <c r="AN562" s="55">
        <v>0</v>
      </c>
      <c r="AO562" s="55">
        <v>0</v>
      </c>
      <c r="AP562" s="55">
        <f t="shared" si="201"/>
        <v>0</v>
      </c>
      <c r="AQ562" s="55">
        <f>IFERROR(VLOOKUP(A562,[1]SIIMPLES!$A$2:$F$418,6,FALSE),0)</f>
        <v>0</v>
      </c>
      <c r="AR562" s="55">
        <v>0</v>
      </c>
      <c r="AS562" s="55">
        <v>0</v>
      </c>
      <c r="AT562" s="55">
        <v>0</v>
      </c>
      <c r="AU562" s="55">
        <v>0</v>
      </c>
      <c r="AV562" s="55">
        <v>0</v>
      </c>
      <c r="AW562" s="62"/>
      <c r="AX562" s="62"/>
      <c r="AY562" s="63">
        <f t="shared" si="211"/>
        <v>0</v>
      </c>
      <c r="AZ562" s="62"/>
      <c r="BA562" s="56">
        <v>0</v>
      </c>
      <c r="BB562" s="41" t="str">
        <f t="shared" si="212"/>
        <v/>
      </c>
      <c r="BC562" s="13"/>
      <c r="BD562" s="35"/>
      <c r="BE562" s="13"/>
      <c r="BF562" s="16"/>
      <c r="BG562" s="17" t="str">
        <f t="shared" si="214"/>
        <v>0</v>
      </c>
      <c r="BH562" s="16">
        <f t="shared" si="215"/>
        <v>0</v>
      </c>
    </row>
    <row r="563" spans="1:60" s="21" customFormat="1" ht="12.75" customHeight="1" x14ac:dyDescent="0.2">
      <c r="A563" s="51">
        <v>4034</v>
      </c>
      <c r="B563" s="51" t="s">
        <v>1077</v>
      </c>
      <c r="C563" s="66" t="s">
        <v>1803</v>
      </c>
      <c r="D563" s="52" t="s">
        <v>760</v>
      </c>
      <c r="E563" s="52" t="s">
        <v>736</v>
      </c>
      <c r="F563" s="53">
        <f>IFERROR(VLOOKUP(E563,Fornecedores!$A$2:$B$2700,2,FALSE),"")</f>
        <v>5</v>
      </c>
      <c r="G563" s="52" t="s">
        <v>445</v>
      </c>
      <c r="H563" s="54"/>
      <c r="I563" s="55">
        <f t="shared" ref="I563:I594" si="216">SUM(J563:M563)</f>
        <v>0</v>
      </c>
      <c r="J563" s="55">
        <v>0</v>
      </c>
      <c r="K563" s="55">
        <v>0</v>
      </c>
      <c r="L563" s="55">
        <v>0</v>
      </c>
      <c r="M563" s="55">
        <v>0</v>
      </c>
      <c r="N563" s="55">
        <f t="shared" ref="N563:N594" si="217">SUM(O563:Q563)</f>
        <v>0</v>
      </c>
      <c r="O563" s="55">
        <v>0</v>
      </c>
      <c r="P563" s="55">
        <v>0</v>
      </c>
      <c r="Q563" s="55">
        <v>0</v>
      </c>
      <c r="R563" s="55">
        <f t="shared" ref="R563:R594" si="218">SUM(S563:U563)</f>
        <v>0</v>
      </c>
      <c r="S563" s="55">
        <v>0</v>
      </c>
      <c r="T563" s="55">
        <v>0</v>
      </c>
      <c r="U563" s="55">
        <v>0</v>
      </c>
      <c r="V563" s="55">
        <v>0</v>
      </c>
      <c r="W563" s="53">
        <v>0</v>
      </c>
      <c r="X563" s="53">
        <v>0</v>
      </c>
      <c r="Y563" s="55">
        <v>0</v>
      </c>
      <c r="Z563" s="55">
        <v>0</v>
      </c>
      <c r="AA563" s="53">
        <v>0</v>
      </c>
      <c r="AB563" s="53">
        <v>0</v>
      </c>
      <c r="AC563" s="55">
        <v>0</v>
      </c>
      <c r="AD563" s="55">
        <f t="shared" si="208"/>
        <v>1</v>
      </c>
      <c r="AE563" s="53">
        <v>1</v>
      </c>
      <c r="AF563" s="55">
        <v>0</v>
      </c>
      <c r="AG563" s="55">
        <v>0</v>
      </c>
      <c r="AH563" s="55">
        <f t="shared" si="209"/>
        <v>1</v>
      </c>
      <c r="AI563" s="55">
        <v>1</v>
      </c>
      <c r="AJ563" s="55">
        <v>0</v>
      </c>
      <c r="AK563" s="55">
        <v>0</v>
      </c>
      <c r="AL563" s="55">
        <f t="shared" si="210"/>
        <v>1</v>
      </c>
      <c r="AM563" s="55">
        <v>1</v>
      </c>
      <c r="AN563" s="55">
        <v>0</v>
      </c>
      <c r="AO563" s="55">
        <v>0</v>
      </c>
      <c r="AP563" s="55">
        <f t="shared" si="201"/>
        <v>0</v>
      </c>
      <c r="AQ563" s="55">
        <f>IFERROR(VLOOKUP(A563,[1]SIIMPLES!$A$2:$F$418,6,FALSE),0)</f>
        <v>0</v>
      </c>
      <c r="AR563" s="55">
        <v>0</v>
      </c>
      <c r="AS563" s="55">
        <v>0</v>
      </c>
      <c r="AT563" s="55">
        <v>0</v>
      </c>
      <c r="AU563" s="55">
        <v>0</v>
      </c>
      <c r="AV563" s="55">
        <v>0</v>
      </c>
      <c r="AW563" s="55"/>
      <c r="AX563" s="55"/>
      <c r="AY563" s="56">
        <f t="shared" si="211"/>
        <v>0.3</v>
      </c>
      <c r="AZ563" s="55"/>
      <c r="BA563" s="56">
        <v>0.33333333333333331</v>
      </c>
      <c r="BB563" s="41">
        <f t="shared" si="212"/>
        <v>-9.9999999999999978E-2</v>
      </c>
      <c r="BC563" s="13"/>
      <c r="BD563" s="36"/>
      <c r="BE563" s="7"/>
      <c r="BF563" s="16"/>
      <c r="BG563" s="17">
        <f t="shared" si="214"/>
        <v>0</v>
      </c>
      <c r="BH563" s="16">
        <f t="shared" si="215"/>
        <v>0.3</v>
      </c>
    </row>
    <row r="564" spans="1:60" s="21" customFormat="1" ht="12.75" customHeight="1" x14ac:dyDescent="0.2">
      <c r="A564" s="50">
        <v>4035</v>
      </c>
      <c r="B564" s="58"/>
      <c r="C564" s="51" t="s">
        <v>1803</v>
      </c>
      <c r="D564" s="59" t="s">
        <v>760</v>
      </c>
      <c r="E564" s="59" t="s">
        <v>736</v>
      </c>
      <c r="F564" s="60">
        <f>IFERROR(VLOOKUP(E564,Fornecedores!$A$2:$B$2700,2,FALSE),"")</f>
        <v>5</v>
      </c>
      <c r="G564" s="59" t="s">
        <v>1682</v>
      </c>
      <c r="H564" s="64"/>
      <c r="I564" s="62">
        <f t="shared" si="216"/>
        <v>0</v>
      </c>
      <c r="J564" s="62">
        <v>0</v>
      </c>
      <c r="K564" s="62">
        <v>0</v>
      </c>
      <c r="L564" s="62">
        <v>0</v>
      </c>
      <c r="M564" s="62">
        <v>0</v>
      </c>
      <c r="N564" s="62">
        <f t="shared" si="217"/>
        <v>0</v>
      </c>
      <c r="O564" s="62">
        <v>0</v>
      </c>
      <c r="P564" s="62">
        <v>0</v>
      </c>
      <c r="Q564" s="62">
        <v>0</v>
      </c>
      <c r="R564" s="62">
        <f t="shared" si="218"/>
        <v>0</v>
      </c>
      <c r="S564" s="62">
        <v>0</v>
      </c>
      <c r="T564" s="62">
        <v>0</v>
      </c>
      <c r="U564" s="62">
        <v>0</v>
      </c>
      <c r="V564" s="55">
        <v>0</v>
      </c>
      <c r="W564" s="62"/>
      <c r="X564" s="53">
        <v>0</v>
      </c>
      <c r="Y564" s="62"/>
      <c r="Z564" s="55">
        <v>0</v>
      </c>
      <c r="AA564" s="62"/>
      <c r="AB564" s="53">
        <v>0</v>
      </c>
      <c r="AC564" s="55">
        <v>0</v>
      </c>
      <c r="AD564" s="55">
        <f t="shared" si="208"/>
        <v>0</v>
      </c>
      <c r="AE564" s="53">
        <f>IFERROR(VLOOKUP(A564,[4]simples!$A$1:$B$281,2,FALSE),0)</f>
        <v>0</v>
      </c>
      <c r="AF564" s="55">
        <v>0</v>
      </c>
      <c r="AG564" s="55">
        <v>0</v>
      </c>
      <c r="AH564" s="55">
        <f t="shared" si="209"/>
        <v>0</v>
      </c>
      <c r="AI564" s="62"/>
      <c r="AJ564" s="55">
        <v>0</v>
      </c>
      <c r="AK564" s="62"/>
      <c r="AL564" s="55">
        <f t="shared" si="210"/>
        <v>0</v>
      </c>
      <c r="AM564" s="55" t="s">
        <v>1912</v>
      </c>
      <c r="AN564" s="55">
        <v>0</v>
      </c>
      <c r="AO564" s="55">
        <v>0</v>
      </c>
      <c r="AP564" s="55">
        <f t="shared" ref="AP564:AP627" si="219">SUM(AQ564:AR564)</f>
        <v>0</v>
      </c>
      <c r="AQ564" s="55">
        <f>IFERROR(VLOOKUP(A564,[1]SIIMPLES!$A$2:$F$418,6,FALSE),0)</f>
        <v>0</v>
      </c>
      <c r="AR564" s="55">
        <v>0</v>
      </c>
      <c r="AS564" s="55">
        <v>0</v>
      </c>
      <c r="AT564" s="55">
        <v>0</v>
      </c>
      <c r="AU564" s="55">
        <v>0</v>
      </c>
      <c r="AV564" s="55">
        <v>0</v>
      </c>
      <c r="AW564" s="62"/>
      <c r="AX564" s="62"/>
      <c r="AY564" s="63">
        <f t="shared" si="211"/>
        <v>0</v>
      </c>
      <c r="AZ564" s="62"/>
      <c r="BA564" s="56">
        <v>0</v>
      </c>
      <c r="BB564" s="41" t="str">
        <f t="shared" si="212"/>
        <v/>
      </c>
      <c r="BC564" s="13"/>
      <c r="BD564" s="36"/>
      <c r="BE564" s="7"/>
      <c r="BF564" s="16"/>
      <c r="BG564" s="17" t="str">
        <f t="shared" si="214"/>
        <v>0</v>
      </c>
      <c r="BH564" s="16">
        <f t="shared" si="215"/>
        <v>0</v>
      </c>
    </row>
    <row r="565" spans="1:60" s="21" customFormat="1" ht="12.75" customHeight="1" x14ac:dyDescent="0.2">
      <c r="A565" s="51">
        <v>4036</v>
      </c>
      <c r="B565" s="51"/>
      <c r="C565" s="66" t="s">
        <v>1803</v>
      </c>
      <c r="D565" s="52" t="s">
        <v>760</v>
      </c>
      <c r="E565" s="52" t="s">
        <v>736</v>
      </c>
      <c r="F565" s="53">
        <f>IFERROR(VLOOKUP(E565,Fornecedores!$A$2:$B$2700,2,FALSE),"")</f>
        <v>5</v>
      </c>
      <c r="G565" s="52" t="s">
        <v>1681</v>
      </c>
      <c r="H565" s="54"/>
      <c r="I565" s="55">
        <f t="shared" si="216"/>
        <v>0</v>
      </c>
      <c r="J565" s="55">
        <v>0</v>
      </c>
      <c r="K565" s="55">
        <v>0</v>
      </c>
      <c r="L565" s="55">
        <v>0</v>
      </c>
      <c r="M565" s="55">
        <v>0</v>
      </c>
      <c r="N565" s="55">
        <f t="shared" si="217"/>
        <v>0</v>
      </c>
      <c r="O565" s="55">
        <v>0</v>
      </c>
      <c r="P565" s="55">
        <v>0</v>
      </c>
      <c r="Q565" s="55">
        <v>0</v>
      </c>
      <c r="R565" s="55">
        <f t="shared" si="218"/>
        <v>0</v>
      </c>
      <c r="S565" s="55">
        <v>0</v>
      </c>
      <c r="T565" s="55">
        <v>0</v>
      </c>
      <c r="U565" s="55">
        <v>0</v>
      </c>
      <c r="V565" s="55">
        <v>0</v>
      </c>
      <c r="W565" s="53">
        <v>0</v>
      </c>
      <c r="X565" s="53">
        <v>0</v>
      </c>
      <c r="Y565" s="55">
        <v>0</v>
      </c>
      <c r="Z565" s="55">
        <v>0</v>
      </c>
      <c r="AA565" s="53">
        <v>0</v>
      </c>
      <c r="AB565" s="53">
        <v>0</v>
      </c>
      <c r="AC565" s="55">
        <v>0</v>
      </c>
      <c r="AD565" s="55">
        <f t="shared" si="208"/>
        <v>0</v>
      </c>
      <c r="AE565" s="53">
        <v>0</v>
      </c>
      <c r="AF565" s="55">
        <v>0</v>
      </c>
      <c r="AG565" s="55">
        <v>0</v>
      </c>
      <c r="AH565" s="55">
        <f t="shared" si="209"/>
        <v>0</v>
      </c>
      <c r="AI565" s="55">
        <v>0</v>
      </c>
      <c r="AJ565" s="55">
        <v>0</v>
      </c>
      <c r="AK565" s="55">
        <v>0</v>
      </c>
      <c r="AL565" s="55">
        <f t="shared" si="210"/>
        <v>0</v>
      </c>
      <c r="AM565" s="55" t="s">
        <v>1912</v>
      </c>
      <c r="AN565" s="55">
        <v>0</v>
      </c>
      <c r="AO565" s="55">
        <v>0</v>
      </c>
      <c r="AP565" s="55">
        <f t="shared" si="219"/>
        <v>0</v>
      </c>
      <c r="AQ565" s="55">
        <f>IFERROR(VLOOKUP(A565,[1]SIIMPLES!$A$2:$F$418,6,FALSE),0)</f>
        <v>0</v>
      </c>
      <c r="AR565" s="55">
        <v>0</v>
      </c>
      <c r="AS565" s="55">
        <v>0</v>
      </c>
      <c r="AT565" s="55">
        <v>0</v>
      </c>
      <c r="AU565" s="55">
        <v>0</v>
      </c>
      <c r="AV565" s="55">
        <v>0</v>
      </c>
      <c r="AW565" s="55"/>
      <c r="AX565" s="55"/>
      <c r="AY565" s="56">
        <f t="shared" si="211"/>
        <v>0</v>
      </c>
      <c r="AZ565" s="55"/>
      <c r="BA565" s="56">
        <v>0</v>
      </c>
      <c r="BB565" s="41" t="str">
        <f t="shared" si="212"/>
        <v/>
      </c>
      <c r="BC565" s="13"/>
      <c r="BD565" s="36"/>
      <c r="BE565" s="7"/>
      <c r="BF565" s="16"/>
      <c r="BG565" s="17" t="str">
        <f t="shared" si="214"/>
        <v>0</v>
      </c>
      <c r="BH565" s="16">
        <f t="shared" si="215"/>
        <v>0</v>
      </c>
    </row>
    <row r="566" spans="1:60" s="21" customFormat="1" ht="12.75" customHeight="1" x14ac:dyDescent="0.2">
      <c r="A566" s="51">
        <v>4037</v>
      </c>
      <c r="B566" s="51"/>
      <c r="C566" s="66" t="s">
        <v>1803</v>
      </c>
      <c r="D566" s="52" t="s">
        <v>760</v>
      </c>
      <c r="E566" s="52" t="s">
        <v>736</v>
      </c>
      <c r="F566" s="53">
        <f>IFERROR(VLOOKUP(E566,Fornecedores!$A$2:$B$2700,2,FALSE),"")</f>
        <v>5</v>
      </c>
      <c r="G566" s="52">
        <f>VLOOKUP(A566,[2]CMV!$A$1:$F$2043,6,FALSE)</f>
        <v>0</v>
      </c>
      <c r="H566" s="54"/>
      <c r="I566" s="55">
        <f t="shared" si="216"/>
        <v>0</v>
      </c>
      <c r="J566" s="55">
        <v>0</v>
      </c>
      <c r="K566" s="55">
        <v>0</v>
      </c>
      <c r="L566" s="55">
        <v>0</v>
      </c>
      <c r="M566" s="55">
        <v>0</v>
      </c>
      <c r="N566" s="55">
        <f t="shared" si="217"/>
        <v>0</v>
      </c>
      <c r="O566" s="55">
        <v>0</v>
      </c>
      <c r="P566" s="55">
        <v>0</v>
      </c>
      <c r="Q566" s="55">
        <v>0</v>
      </c>
      <c r="R566" s="55">
        <f t="shared" si="218"/>
        <v>0</v>
      </c>
      <c r="S566" s="55">
        <v>0</v>
      </c>
      <c r="T566" s="55">
        <v>0</v>
      </c>
      <c r="U566" s="55">
        <v>0</v>
      </c>
      <c r="V566" s="55">
        <v>0</v>
      </c>
      <c r="W566" s="53">
        <v>0</v>
      </c>
      <c r="X566" s="53">
        <v>0</v>
      </c>
      <c r="Y566" s="55">
        <v>0</v>
      </c>
      <c r="Z566" s="55">
        <v>0</v>
      </c>
      <c r="AA566" s="53">
        <v>0</v>
      </c>
      <c r="AB566" s="53">
        <v>0</v>
      </c>
      <c r="AC566" s="55">
        <v>0</v>
      </c>
      <c r="AD566" s="55">
        <f t="shared" si="208"/>
        <v>0</v>
      </c>
      <c r="AE566" s="53">
        <v>0</v>
      </c>
      <c r="AF566" s="55">
        <v>0</v>
      </c>
      <c r="AG566" s="55">
        <v>0</v>
      </c>
      <c r="AH566" s="55">
        <f t="shared" si="209"/>
        <v>0</v>
      </c>
      <c r="AI566" s="55">
        <v>0</v>
      </c>
      <c r="AJ566" s="55">
        <v>0</v>
      </c>
      <c r="AK566" s="55">
        <v>0</v>
      </c>
      <c r="AL566" s="55">
        <f t="shared" si="210"/>
        <v>0</v>
      </c>
      <c r="AM566" s="55" t="s">
        <v>1912</v>
      </c>
      <c r="AN566" s="55">
        <v>0</v>
      </c>
      <c r="AO566" s="55">
        <v>0</v>
      </c>
      <c r="AP566" s="55">
        <f t="shared" si="219"/>
        <v>0</v>
      </c>
      <c r="AQ566" s="55">
        <f>IFERROR(VLOOKUP(A566,[1]SIIMPLES!$A$2:$F$418,6,FALSE),0)</f>
        <v>0</v>
      </c>
      <c r="AR566" s="55">
        <v>0</v>
      </c>
      <c r="AS566" s="55">
        <v>0</v>
      </c>
      <c r="AT566" s="55">
        <v>0</v>
      </c>
      <c r="AU566" s="55">
        <v>0</v>
      </c>
      <c r="AV566" s="55">
        <v>0</v>
      </c>
      <c r="AW566" s="55"/>
      <c r="AX566" s="55"/>
      <c r="AY566" s="56">
        <f t="shared" si="211"/>
        <v>0</v>
      </c>
      <c r="AZ566" s="55"/>
      <c r="BA566" s="56">
        <v>0</v>
      </c>
      <c r="BB566" s="41" t="str">
        <f t="shared" ref="BB566:BB586" si="220">IFERROR(AY566/BA566-1,"")</f>
        <v/>
      </c>
      <c r="BC566" s="13"/>
      <c r="BD566" s="35"/>
      <c r="BE566" s="7"/>
      <c r="BF566" s="16"/>
      <c r="BG566" s="17" t="str">
        <f t="shared" si="214"/>
        <v>0</v>
      </c>
      <c r="BH566" s="16">
        <f t="shared" si="215"/>
        <v>0</v>
      </c>
    </row>
    <row r="567" spans="1:60" s="21" customFormat="1" ht="12.75" customHeight="1" x14ac:dyDescent="0.2">
      <c r="A567" s="51">
        <v>4038</v>
      </c>
      <c r="B567" s="51"/>
      <c r="C567" s="66" t="s">
        <v>1803</v>
      </c>
      <c r="D567" s="52" t="s">
        <v>760</v>
      </c>
      <c r="E567" s="52" t="s">
        <v>736</v>
      </c>
      <c r="F567" s="53">
        <f>IFERROR(VLOOKUP(E567,Fornecedores!$A$2:$B$2700,2,FALSE),"")</f>
        <v>5</v>
      </c>
      <c r="G567" s="52" t="s">
        <v>1680</v>
      </c>
      <c r="H567" s="54"/>
      <c r="I567" s="55">
        <f t="shared" si="216"/>
        <v>0</v>
      </c>
      <c r="J567" s="55">
        <v>0</v>
      </c>
      <c r="K567" s="55">
        <v>0</v>
      </c>
      <c r="L567" s="55">
        <v>0</v>
      </c>
      <c r="M567" s="55">
        <v>0</v>
      </c>
      <c r="N567" s="55">
        <f t="shared" si="217"/>
        <v>0</v>
      </c>
      <c r="O567" s="55">
        <v>0</v>
      </c>
      <c r="P567" s="55">
        <v>0</v>
      </c>
      <c r="Q567" s="55">
        <v>0</v>
      </c>
      <c r="R567" s="55">
        <f t="shared" si="218"/>
        <v>1</v>
      </c>
      <c r="S567" s="55">
        <v>1</v>
      </c>
      <c r="T567" s="55">
        <v>0</v>
      </c>
      <c r="U567" s="55">
        <v>0</v>
      </c>
      <c r="V567" s="55">
        <v>1</v>
      </c>
      <c r="W567" s="53">
        <v>1</v>
      </c>
      <c r="X567" s="53">
        <v>0</v>
      </c>
      <c r="Y567" s="55">
        <v>0</v>
      </c>
      <c r="Z567" s="55">
        <v>1</v>
      </c>
      <c r="AA567" s="53">
        <v>1</v>
      </c>
      <c r="AB567" s="53">
        <v>0</v>
      </c>
      <c r="AC567" s="55">
        <v>0</v>
      </c>
      <c r="AD567" s="55">
        <f t="shared" si="208"/>
        <v>0</v>
      </c>
      <c r="AE567" s="53">
        <v>0</v>
      </c>
      <c r="AF567" s="55">
        <v>0</v>
      </c>
      <c r="AG567" s="55">
        <v>0</v>
      </c>
      <c r="AH567" s="55">
        <f t="shared" si="209"/>
        <v>0</v>
      </c>
      <c r="AI567" s="55">
        <v>0</v>
      </c>
      <c r="AJ567" s="55">
        <v>0</v>
      </c>
      <c r="AK567" s="55">
        <v>0</v>
      </c>
      <c r="AL567" s="55">
        <f t="shared" si="210"/>
        <v>1</v>
      </c>
      <c r="AM567" s="55">
        <v>1</v>
      </c>
      <c r="AN567" s="55">
        <v>0</v>
      </c>
      <c r="AO567" s="55">
        <v>0</v>
      </c>
      <c r="AP567" s="55">
        <f t="shared" si="219"/>
        <v>0</v>
      </c>
      <c r="AQ567" s="55">
        <f>IFERROR(VLOOKUP(A567,[1]SIIMPLES!$A$2:$F$418,6,FALSE),0)</f>
        <v>0</v>
      </c>
      <c r="AR567" s="55">
        <v>0</v>
      </c>
      <c r="AS567" s="55">
        <v>0</v>
      </c>
      <c r="AT567" s="55">
        <v>0</v>
      </c>
      <c r="AU567" s="55">
        <v>0</v>
      </c>
      <c r="AV567" s="55">
        <v>0</v>
      </c>
      <c r="AW567" s="55"/>
      <c r="AX567" s="55"/>
      <c r="AY567" s="56">
        <f t="shared" si="211"/>
        <v>0.4</v>
      </c>
      <c r="AZ567" s="55"/>
      <c r="BA567" s="56">
        <v>0.33333333333333331</v>
      </c>
      <c r="BB567" s="41">
        <f t="shared" si="220"/>
        <v>0.20000000000000018</v>
      </c>
      <c r="BC567" s="13"/>
      <c r="BD567" s="35"/>
      <c r="BE567" s="7"/>
      <c r="BF567" s="16"/>
      <c r="BG567" s="17">
        <f t="shared" si="214"/>
        <v>0</v>
      </c>
      <c r="BH567" s="16">
        <f t="shared" si="215"/>
        <v>0.4</v>
      </c>
    </row>
    <row r="568" spans="1:60" s="21" customFormat="1" ht="12.75" customHeight="1" x14ac:dyDescent="0.2">
      <c r="A568" s="50">
        <v>4039</v>
      </c>
      <c r="B568" s="58"/>
      <c r="C568" s="51" t="s">
        <v>1803</v>
      </c>
      <c r="D568" s="59" t="s">
        <v>760</v>
      </c>
      <c r="E568" s="59" t="s">
        <v>736</v>
      </c>
      <c r="F568" s="60">
        <f>IFERROR(VLOOKUP(E568,Fornecedores!$A$2:$B$2700,2,FALSE),"")</f>
        <v>5</v>
      </c>
      <c r="G568" s="59" t="s">
        <v>1679</v>
      </c>
      <c r="H568" s="64"/>
      <c r="I568" s="62">
        <f t="shared" si="216"/>
        <v>0</v>
      </c>
      <c r="J568" s="62">
        <v>0</v>
      </c>
      <c r="K568" s="62">
        <v>0</v>
      </c>
      <c r="L568" s="62">
        <v>0</v>
      </c>
      <c r="M568" s="62">
        <v>0</v>
      </c>
      <c r="N568" s="55">
        <f t="shared" si="217"/>
        <v>0</v>
      </c>
      <c r="O568" s="62">
        <v>0</v>
      </c>
      <c r="P568" s="62">
        <v>0</v>
      </c>
      <c r="Q568" s="62">
        <v>0</v>
      </c>
      <c r="R568" s="62">
        <f t="shared" si="218"/>
        <v>0</v>
      </c>
      <c r="S568" s="62">
        <v>0</v>
      </c>
      <c r="T568" s="62">
        <v>0</v>
      </c>
      <c r="U568" s="62">
        <v>0</v>
      </c>
      <c r="V568" s="55">
        <v>0</v>
      </c>
      <c r="W568" s="55"/>
      <c r="X568" s="53">
        <v>0</v>
      </c>
      <c r="Y568" s="55"/>
      <c r="Z568" s="55">
        <v>0</v>
      </c>
      <c r="AA568" s="55"/>
      <c r="AB568" s="53">
        <v>0</v>
      </c>
      <c r="AC568" s="55">
        <v>0</v>
      </c>
      <c r="AD568" s="55">
        <f t="shared" si="208"/>
        <v>0</v>
      </c>
      <c r="AE568" s="53">
        <f>IFERROR(VLOOKUP(A568,[4]simples!$A$1:$B$281,2,FALSE),0)</f>
        <v>0</v>
      </c>
      <c r="AF568" s="55">
        <v>0</v>
      </c>
      <c r="AG568" s="55">
        <v>0</v>
      </c>
      <c r="AH568" s="55">
        <f t="shared" si="209"/>
        <v>0</v>
      </c>
      <c r="AI568" s="55"/>
      <c r="AJ568" s="55">
        <v>0</v>
      </c>
      <c r="AK568" s="55"/>
      <c r="AL568" s="55">
        <f t="shared" si="210"/>
        <v>0</v>
      </c>
      <c r="AM568" s="55" t="s">
        <v>1912</v>
      </c>
      <c r="AN568" s="55">
        <v>0</v>
      </c>
      <c r="AO568" s="55">
        <v>0</v>
      </c>
      <c r="AP568" s="55">
        <f t="shared" si="219"/>
        <v>0</v>
      </c>
      <c r="AQ568" s="55">
        <f>IFERROR(VLOOKUP(A568,[1]SIIMPLES!$A$2:$F$418,6,FALSE),0)</f>
        <v>0</v>
      </c>
      <c r="AR568" s="55">
        <v>0</v>
      </c>
      <c r="AS568" s="55">
        <v>0</v>
      </c>
      <c r="AT568" s="55">
        <v>0</v>
      </c>
      <c r="AU568" s="55">
        <v>0</v>
      </c>
      <c r="AV568" s="55">
        <v>0</v>
      </c>
      <c r="AW568" s="55"/>
      <c r="AX568" s="55"/>
      <c r="AY568" s="56">
        <f t="shared" si="211"/>
        <v>0</v>
      </c>
      <c r="AZ568" s="55"/>
      <c r="BA568" s="56">
        <v>0</v>
      </c>
      <c r="BB568" s="41" t="str">
        <f t="shared" si="220"/>
        <v/>
      </c>
      <c r="BC568" s="13"/>
      <c r="BD568" s="36"/>
      <c r="BE568" s="7"/>
      <c r="BF568" s="7"/>
      <c r="BG568" s="17" t="str">
        <f t="shared" si="214"/>
        <v>0</v>
      </c>
      <c r="BH568" s="7"/>
    </row>
    <row r="569" spans="1:60" s="21" customFormat="1" ht="12.75" customHeight="1" x14ac:dyDescent="0.2">
      <c r="A569" s="50">
        <v>4040</v>
      </c>
      <c r="B569" s="51"/>
      <c r="C569" s="51" t="s">
        <v>1803</v>
      </c>
      <c r="D569" s="52" t="s">
        <v>760</v>
      </c>
      <c r="E569" s="52" t="s">
        <v>736</v>
      </c>
      <c r="F569" s="53">
        <f>IFERROR(VLOOKUP(E569,Fornecedores!$A$2:$B$2700,2,FALSE),"")</f>
        <v>5</v>
      </c>
      <c r="G569" s="52" t="s">
        <v>1678</v>
      </c>
      <c r="H569" s="54"/>
      <c r="I569" s="55">
        <f t="shared" si="216"/>
        <v>0</v>
      </c>
      <c r="J569" s="55">
        <v>0</v>
      </c>
      <c r="K569" s="55">
        <v>0</v>
      </c>
      <c r="L569" s="55">
        <v>0</v>
      </c>
      <c r="M569" s="55">
        <v>0</v>
      </c>
      <c r="N569" s="55">
        <f t="shared" si="217"/>
        <v>0</v>
      </c>
      <c r="O569" s="55">
        <v>0</v>
      </c>
      <c r="P569" s="55">
        <v>0</v>
      </c>
      <c r="Q569" s="55">
        <v>0</v>
      </c>
      <c r="R569" s="55">
        <f t="shared" si="218"/>
        <v>0</v>
      </c>
      <c r="S569" s="55">
        <v>0</v>
      </c>
      <c r="T569" s="55">
        <v>0</v>
      </c>
      <c r="U569" s="55">
        <v>0</v>
      </c>
      <c r="V569" s="55">
        <v>0</v>
      </c>
      <c r="W569" s="55"/>
      <c r="X569" s="53">
        <v>0</v>
      </c>
      <c r="Y569" s="55"/>
      <c r="Z569" s="55">
        <v>0</v>
      </c>
      <c r="AA569" s="55"/>
      <c r="AB569" s="53">
        <v>0</v>
      </c>
      <c r="AC569" s="55">
        <v>0</v>
      </c>
      <c r="AD569" s="55">
        <f t="shared" si="208"/>
        <v>0</v>
      </c>
      <c r="AE569" s="53">
        <f>IFERROR(VLOOKUP(A569,[4]simples!$A$1:$B$281,2,FALSE),0)</f>
        <v>0</v>
      </c>
      <c r="AF569" s="55">
        <v>0</v>
      </c>
      <c r="AG569" s="55">
        <v>0</v>
      </c>
      <c r="AH569" s="55">
        <f t="shared" si="209"/>
        <v>0</v>
      </c>
      <c r="AI569" s="55"/>
      <c r="AJ569" s="55">
        <v>0</v>
      </c>
      <c r="AK569" s="55"/>
      <c r="AL569" s="55">
        <f t="shared" si="210"/>
        <v>0</v>
      </c>
      <c r="AM569" s="55" t="s">
        <v>1912</v>
      </c>
      <c r="AN569" s="55">
        <v>0</v>
      </c>
      <c r="AO569" s="55">
        <v>0</v>
      </c>
      <c r="AP569" s="55">
        <f t="shared" si="219"/>
        <v>0</v>
      </c>
      <c r="AQ569" s="55">
        <f>IFERROR(VLOOKUP(A569,[1]SIIMPLES!$A$2:$F$418,6,FALSE),0)</f>
        <v>0</v>
      </c>
      <c r="AR569" s="55">
        <v>0</v>
      </c>
      <c r="AS569" s="55">
        <v>1</v>
      </c>
      <c r="AT569" s="55">
        <v>1</v>
      </c>
      <c r="AU569" s="55">
        <v>0</v>
      </c>
      <c r="AV569" s="55">
        <v>0</v>
      </c>
      <c r="AW569" s="55"/>
      <c r="AX569" s="55"/>
      <c r="AY569" s="56">
        <f t="shared" si="211"/>
        <v>0.1</v>
      </c>
      <c r="AZ569" s="55"/>
      <c r="BA569" s="56">
        <v>0</v>
      </c>
      <c r="BB569" s="41" t="str">
        <f t="shared" si="220"/>
        <v/>
      </c>
      <c r="BC569" s="13"/>
      <c r="BD569" s="35"/>
      <c r="BE569" s="13"/>
      <c r="BF569" s="16">
        <f>SUM(BC569:BE569)</f>
        <v>0</v>
      </c>
      <c r="BG569" s="17">
        <f t="shared" si="214"/>
        <v>0</v>
      </c>
      <c r="BH569" s="16">
        <f>IFERROR(IF(F569=1,IF(BC569&lt;AY569*3,AY569*3-BC569,0),IF(BC569&lt;AY569,AY569-BC569,0)),"")</f>
        <v>0.1</v>
      </c>
    </row>
    <row r="570" spans="1:60" s="21" customFormat="1" ht="12.75" customHeight="1" x14ac:dyDescent="0.2">
      <c r="A570" s="51">
        <v>4045</v>
      </c>
      <c r="B570" s="51" t="s">
        <v>1077</v>
      </c>
      <c r="C570" s="66" t="s">
        <v>1803</v>
      </c>
      <c r="D570" s="52" t="s">
        <v>760</v>
      </c>
      <c r="E570" s="52" t="s">
        <v>736</v>
      </c>
      <c r="F570" s="53">
        <f>IFERROR(VLOOKUP(E570,Fornecedores!$A$2:$B$2700,2,FALSE),"")</f>
        <v>5</v>
      </c>
      <c r="G570" s="52" t="s">
        <v>909</v>
      </c>
      <c r="H570" s="57"/>
      <c r="I570" s="55">
        <f t="shared" si="216"/>
        <v>0</v>
      </c>
      <c r="J570" s="55">
        <v>0</v>
      </c>
      <c r="K570" s="55">
        <v>0</v>
      </c>
      <c r="L570" s="55">
        <v>0</v>
      </c>
      <c r="M570" s="55">
        <v>0</v>
      </c>
      <c r="N570" s="55">
        <f t="shared" si="217"/>
        <v>1</v>
      </c>
      <c r="O570" s="55">
        <v>1</v>
      </c>
      <c r="P570" s="55">
        <v>0</v>
      </c>
      <c r="Q570" s="55">
        <v>0</v>
      </c>
      <c r="R570" s="55">
        <f t="shared" si="218"/>
        <v>1</v>
      </c>
      <c r="S570" s="55">
        <v>1</v>
      </c>
      <c r="T570" s="55">
        <v>0</v>
      </c>
      <c r="U570" s="55">
        <v>0</v>
      </c>
      <c r="V570" s="55">
        <v>0</v>
      </c>
      <c r="W570" s="53">
        <v>0</v>
      </c>
      <c r="X570" s="53">
        <v>0</v>
      </c>
      <c r="Y570" s="55">
        <v>0</v>
      </c>
      <c r="Z570" s="55">
        <v>2</v>
      </c>
      <c r="AA570" s="53">
        <v>2</v>
      </c>
      <c r="AB570" s="53">
        <v>0</v>
      </c>
      <c r="AC570" s="55">
        <v>0</v>
      </c>
      <c r="AD570" s="55">
        <f t="shared" si="208"/>
        <v>0</v>
      </c>
      <c r="AE570" s="53">
        <v>0</v>
      </c>
      <c r="AF570" s="55">
        <v>0</v>
      </c>
      <c r="AG570" s="55">
        <v>0</v>
      </c>
      <c r="AH570" s="55">
        <f t="shared" si="209"/>
        <v>0</v>
      </c>
      <c r="AI570" s="55">
        <v>0</v>
      </c>
      <c r="AJ570" s="55">
        <v>0</v>
      </c>
      <c r="AK570" s="55">
        <v>0</v>
      </c>
      <c r="AL570" s="55">
        <f t="shared" si="210"/>
        <v>2</v>
      </c>
      <c r="AM570" s="55">
        <v>2</v>
      </c>
      <c r="AN570" s="55">
        <v>0</v>
      </c>
      <c r="AO570" s="55">
        <v>0</v>
      </c>
      <c r="AP570" s="55">
        <f t="shared" si="219"/>
        <v>0</v>
      </c>
      <c r="AQ570" s="55">
        <f>IFERROR(VLOOKUP(A570,[1]SIIMPLES!$A$2:$F$418,6,FALSE),0)</f>
        <v>0</v>
      </c>
      <c r="AR570" s="55">
        <v>0</v>
      </c>
      <c r="AS570" s="55">
        <v>0</v>
      </c>
      <c r="AT570" s="55">
        <v>0</v>
      </c>
      <c r="AU570" s="55">
        <v>0</v>
      </c>
      <c r="AV570" s="55">
        <v>0</v>
      </c>
      <c r="AW570" s="55"/>
      <c r="AX570" s="55"/>
      <c r="AY570" s="56">
        <f t="shared" si="211"/>
        <v>0.6</v>
      </c>
      <c r="AZ570" s="55"/>
      <c r="BA570" s="56">
        <v>2</v>
      </c>
      <c r="BB570" s="41">
        <f t="shared" si="220"/>
        <v>-0.7</v>
      </c>
      <c r="BC570" s="13"/>
      <c r="BD570" s="36"/>
      <c r="BE570" s="7"/>
      <c r="BF570" s="16"/>
      <c r="BG570" s="17">
        <f t="shared" si="214"/>
        <v>0</v>
      </c>
      <c r="BH570" s="16">
        <f>IFERROR(IF(F570=1,IF(BC570&lt;AY570*3,AY570*3-BC570,0),IF(BC570&lt;AY570,AY570-BC570,0)),"")</f>
        <v>0.6</v>
      </c>
    </row>
    <row r="571" spans="1:60" s="21" customFormat="1" ht="12.75" customHeight="1" x14ac:dyDescent="0.2">
      <c r="A571" s="51">
        <v>4046</v>
      </c>
      <c r="B571" s="51"/>
      <c r="C571" s="66" t="s">
        <v>1803</v>
      </c>
      <c r="D571" s="52" t="s">
        <v>760</v>
      </c>
      <c r="E571" s="52" t="s">
        <v>736</v>
      </c>
      <c r="F571" s="53">
        <f>IFERROR(VLOOKUP(E571,Fornecedores!$A$2:$B$2700,2,FALSE),"")</f>
        <v>5</v>
      </c>
      <c r="G571" s="52" t="s">
        <v>1677</v>
      </c>
      <c r="H571" s="57"/>
      <c r="I571" s="55">
        <f t="shared" si="216"/>
        <v>0</v>
      </c>
      <c r="J571" s="55">
        <v>0</v>
      </c>
      <c r="K571" s="55">
        <v>0</v>
      </c>
      <c r="L571" s="55">
        <v>0</v>
      </c>
      <c r="M571" s="55">
        <v>0</v>
      </c>
      <c r="N571" s="55">
        <f t="shared" si="217"/>
        <v>0</v>
      </c>
      <c r="O571" s="55">
        <v>0</v>
      </c>
      <c r="P571" s="55">
        <v>0</v>
      </c>
      <c r="Q571" s="55">
        <v>0</v>
      </c>
      <c r="R571" s="55">
        <f t="shared" si="218"/>
        <v>0</v>
      </c>
      <c r="S571" s="55">
        <v>0</v>
      </c>
      <c r="T571" s="55">
        <v>0</v>
      </c>
      <c r="U571" s="55">
        <v>0</v>
      </c>
      <c r="V571" s="55">
        <v>0</v>
      </c>
      <c r="W571" s="53">
        <v>0</v>
      </c>
      <c r="X571" s="53">
        <v>0</v>
      </c>
      <c r="Y571" s="55">
        <v>0</v>
      </c>
      <c r="Z571" s="55">
        <v>0</v>
      </c>
      <c r="AA571" s="53">
        <v>0</v>
      </c>
      <c r="AB571" s="53">
        <v>0</v>
      </c>
      <c r="AC571" s="55">
        <v>0</v>
      </c>
      <c r="AD571" s="55">
        <f t="shared" si="208"/>
        <v>0</v>
      </c>
      <c r="AE571" s="53">
        <v>0</v>
      </c>
      <c r="AF571" s="55">
        <v>0</v>
      </c>
      <c r="AG571" s="55">
        <v>0</v>
      </c>
      <c r="AH571" s="55">
        <f t="shared" si="209"/>
        <v>0</v>
      </c>
      <c r="AI571" s="55">
        <v>0</v>
      </c>
      <c r="AJ571" s="55">
        <v>0</v>
      </c>
      <c r="AK571" s="55">
        <v>0</v>
      </c>
      <c r="AL571" s="55">
        <f t="shared" si="210"/>
        <v>0</v>
      </c>
      <c r="AM571" s="55" t="s">
        <v>1912</v>
      </c>
      <c r="AN571" s="55">
        <v>0</v>
      </c>
      <c r="AO571" s="55">
        <v>0</v>
      </c>
      <c r="AP571" s="55">
        <f t="shared" si="219"/>
        <v>0</v>
      </c>
      <c r="AQ571" s="55">
        <f>IFERROR(VLOOKUP(A571,[1]SIIMPLES!$A$2:$F$418,6,FALSE),0)</f>
        <v>0</v>
      </c>
      <c r="AR571" s="55">
        <v>0</v>
      </c>
      <c r="AS571" s="55">
        <v>1</v>
      </c>
      <c r="AT571" s="55">
        <v>1</v>
      </c>
      <c r="AU571" s="55">
        <v>0</v>
      </c>
      <c r="AV571" s="55">
        <v>0</v>
      </c>
      <c r="AW571" s="55"/>
      <c r="AX571" s="55"/>
      <c r="AY571" s="56">
        <f t="shared" si="211"/>
        <v>0.1</v>
      </c>
      <c r="AZ571" s="55"/>
      <c r="BA571" s="56">
        <v>0</v>
      </c>
      <c r="BB571" s="41" t="str">
        <f t="shared" si="220"/>
        <v/>
      </c>
      <c r="BC571" s="13"/>
      <c r="BD571" s="35"/>
      <c r="BE571" s="7"/>
      <c r="BF571" s="16"/>
      <c r="BG571" s="17">
        <f t="shared" si="214"/>
        <v>0</v>
      </c>
      <c r="BH571" s="16">
        <f>IFERROR(IF(F571=1,IF(BC571&lt;AY571*3,AY571*3-BC571,0),IF(BC571&lt;AY571,AY571-BC571,0)),"")</f>
        <v>0.1</v>
      </c>
    </row>
    <row r="572" spans="1:60" s="21" customFormat="1" ht="12.75" customHeight="1" x14ac:dyDescent="0.2">
      <c r="A572" s="51">
        <v>4048</v>
      </c>
      <c r="B572" s="51" t="s">
        <v>1077</v>
      </c>
      <c r="C572" s="66" t="s">
        <v>1803</v>
      </c>
      <c r="D572" s="52" t="s">
        <v>760</v>
      </c>
      <c r="E572" s="52" t="s">
        <v>736</v>
      </c>
      <c r="F572" s="53">
        <f>IFERROR(VLOOKUP(E572,Fornecedores!$A$2:$B$2700,2,FALSE),"")</f>
        <v>5</v>
      </c>
      <c r="G572" s="52" t="s">
        <v>910</v>
      </c>
      <c r="H572" s="57"/>
      <c r="I572" s="55">
        <f t="shared" si="216"/>
        <v>0</v>
      </c>
      <c r="J572" s="55">
        <v>0</v>
      </c>
      <c r="K572" s="55">
        <v>0</v>
      </c>
      <c r="L572" s="55">
        <v>0</v>
      </c>
      <c r="M572" s="55">
        <v>0</v>
      </c>
      <c r="N572" s="55">
        <f t="shared" si="217"/>
        <v>0</v>
      </c>
      <c r="O572" s="55">
        <v>0</v>
      </c>
      <c r="P572" s="55">
        <v>0</v>
      </c>
      <c r="Q572" s="55">
        <v>0</v>
      </c>
      <c r="R572" s="55">
        <f t="shared" si="218"/>
        <v>0</v>
      </c>
      <c r="S572" s="55">
        <v>0</v>
      </c>
      <c r="T572" s="55">
        <v>0</v>
      </c>
      <c r="U572" s="55">
        <v>0</v>
      </c>
      <c r="V572" s="55">
        <v>0</v>
      </c>
      <c r="W572" s="53">
        <v>0</v>
      </c>
      <c r="X572" s="53">
        <v>0</v>
      </c>
      <c r="Y572" s="55">
        <v>0</v>
      </c>
      <c r="Z572" s="55">
        <v>0</v>
      </c>
      <c r="AA572" s="53">
        <v>0</v>
      </c>
      <c r="AB572" s="53">
        <v>0</v>
      </c>
      <c r="AC572" s="55">
        <v>0</v>
      </c>
      <c r="AD572" s="55">
        <f t="shared" si="208"/>
        <v>0</v>
      </c>
      <c r="AE572" s="53">
        <v>0</v>
      </c>
      <c r="AF572" s="55">
        <v>0</v>
      </c>
      <c r="AG572" s="55">
        <v>0</v>
      </c>
      <c r="AH572" s="55">
        <f t="shared" si="209"/>
        <v>0</v>
      </c>
      <c r="AI572" s="55">
        <v>0</v>
      </c>
      <c r="AJ572" s="55">
        <v>0</v>
      </c>
      <c r="AK572" s="55">
        <v>0</v>
      </c>
      <c r="AL572" s="55">
        <f t="shared" si="210"/>
        <v>0</v>
      </c>
      <c r="AM572" s="55" t="s">
        <v>1912</v>
      </c>
      <c r="AN572" s="55">
        <v>0</v>
      </c>
      <c r="AO572" s="55">
        <v>0</v>
      </c>
      <c r="AP572" s="55">
        <f t="shared" si="219"/>
        <v>0</v>
      </c>
      <c r="AQ572" s="55">
        <f>IFERROR(VLOOKUP(A572,[1]SIIMPLES!$A$2:$F$418,6,FALSE),0)</f>
        <v>0</v>
      </c>
      <c r="AR572" s="55">
        <v>0</v>
      </c>
      <c r="AS572" s="55">
        <v>0</v>
      </c>
      <c r="AT572" s="55">
        <v>0</v>
      </c>
      <c r="AU572" s="55">
        <v>0</v>
      </c>
      <c r="AV572" s="55">
        <v>0</v>
      </c>
      <c r="AW572" s="55"/>
      <c r="AX572" s="55"/>
      <c r="AY572" s="56">
        <f t="shared" si="211"/>
        <v>0</v>
      </c>
      <c r="AZ572" s="55"/>
      <c r="BA572" s="56">
        <v>0.5</v>
      </c>
      <c r="BB572" s="41">
        <f t="shared" si="220"/>
        <v>-1</v>
      </c>
      <c r="BC572" s="13"/>
      <c r="BD572" s="35"/>
      <c r="BE572" s="7"/>
      <c r="BF572" s="16"/>
      <c r="BG572" s="17" t="str">
        <f t="shared" si="214"/>
        <v>0</v>
      </c>
      <c r="BH572" s="16">
        <f>IFERROR(IF(F572=1,IF(BC572&lt;AY572*3,AY572*3-BC572,0),IF(BC572&lt;AY572,AY572-BC572,0)),"")</f>
        <v>0</v>
      </c>
    </row>
    <row r="573" spans="1:60" s="21" customFormat="1" ht="12.75" customHeight="1" x14ac:dyDescent="0.2">
      <c r="A573" s="51">
        <v>4049</v>
      </c>
      <c r="B573" s="51"/>
      <c r="C573" s="66" t="s">
        <v>1803</v>
      </c>
      <c r="D573" s="52" t="s">
        <v>760</v>
      </c>
      <c r="E573" s="52" t="s">
        <v>736</v>
      </c>
      <c r="F573" s="53">
        <f>IFERROR(VLOOKUP(E573,Fornecedores!$A$2:$B$2700,2,FALSE),"")</f>
        <v>5</v>
      </c>
      <c r="G573" s="52" t="s">
        <v>1750</v>
      </c>
      <c r="H573" s="57"/>
      <c r="I573" s="55">
        <f t="shared" si="216"/>
        <v>0</v>
      </c>
      <c r="J573" s="55">
        <v>0</v>
      </c>
      <c r="K573" s="55">
        <v>0</v>
      </c>
      <c r="L573" s="55">
        <v>0</v>
      </c>
      <c r="M573" s="55">
        <v>0</v>
      </c>
      <c r="N573" s="55">
        <f t="shared" si="217"/>
        <v>0</v>
      </c>
      <c r="O573" s="55">
        <v>0</v>
      </c>
      <c r="P573" s="55">
        <v>0</v>
      </c>
      <c r="Q573" s="55">
        <v>0</v>
      </c>
      <c r="R573" s="55">
        <f t="shared" si="218"/>
        <v>0</v>
      </c>
      <c r="S573" s="55">
        <v>0</v>
      </c>
      <c r="T573" s="55">
        <v>0</v>
      </c>
      <c r="U573" s="55">
        <v>0</v>
      </c>
      <c r="V573" s="55">
        <v>0</v>
      </c>
      <c r="W573" s="53">
        <v>0</v>
      </c>
      <c r="X573" s="53">
        <v>0</v>
      </c>
      <c r="Y573" s="55">
        <v>0</v>
      </c>
      <c r="Z573" s="55">
        <v>0</v>
      </c>
      <c r="AA573" s="53">
        <v>0</v>
      </c>
      <c r="AB573" s="53">
        <v>0</v>
      </c>
      <c r="AC573" s="55">
        <v>0</v>
      </c>
      <c r="AD573" s="55">
        <f t="shared" si="208"/>
        <v>0</v>
      </c>
      <c r="AE573" s="53">
        <v>0</v>
      </c>
      <c r="AF573" s="55">
        <v>0</v>
      </c>
      <c r="AG573" s="55">
        <v>0</v>
      </c>
      <c r="AH573" s="55">
        <f t="shared" si="209"/>
        <v>0</v>
      </c>
      <c r="AI573" s="55">
        <v>0</v>
      </c>
      <c r="AJ573" s="55">
        <v>0</v>
      </c>
      <c r="AK573" s="55">
        <v>0</v>
      </c>
      <c r="AL573" s="55">
        <f t="shared" si="210"/>
        <v>0</v>
      </c>
      <c r="AM573" s="55" t="s">
        <v>1912</v>
      </c>
      <c r="AN573" s="55">
        <v>0</v>
      </c>
      <c r="AO573" s="55">
        <v>0</v>
      </c>
      <c r="AP573" s="55">
        <f t="shared" si="219"/>
        <v>0</v>
      </c>
      <c r="AQ573" s="55">
        <f>IFERROR(VLOOKUP(A573,[1]SIIMPLES!$A$2:$F$418,6,FALSE),0)</f>
        <v>0</v>
      </c>
      <c r="AR573" s="55">
        <v>0</v>
      </c>
      <c r="AS573" s="55">
        <v>2</v>
      </c>
      <c r="AT573" s="55">
        <v>2</v>
      </c>
      <c r="AU573" s="55">
        <v>0</v>
      </c>
      <c r="AV573" s="55">
        <v>0</v>
      </c>
      <c r="AW573" s="55"/>
      <c r="AX573" s="55"/>
      <c r="AY573" s="56">
        <f t="shared" si="211"/>
        <v>0.2</v>
      </c>
      <c r="AZ573" s="55"/>
      <c r="BA573" s="56">
        <v>0</v>
      </c>
      <c r="BB573" s="41" t="str">
        <f t="shared" si="220"/>
        <v/>
      </c>
      <c r="BC573" s="13"/>
      <c r="BD573" s="35"/>
      <c r="BE573" s="13"/>
      <c r="BF573" s="16">
        <f>SUM(BC573:BE573)</f>
        <v>0</v>
      </c>
      <c r="BG573" s="17">
        <f t="shared" si="214"/>
        <v>0</v>
      </c>
      <c r="BH573" s="16">
        <f>IFERROR(IF(F573=1,IF(BC573&lt;AY573*3,AY573*3-BC573,0),IF(BC573&lt;AY573,AY573-BC573,0)),"")</f>
        <v>0.2</v>
      </c>
    </row>
    <row r="574" spans="1:60" s="21" customFormat="1" ht="12.75" customHeight="1" x14ac:dyDescent="0.2">
      <c r="A574" s="51">
        <v>4050</v>
      </c>
      <c r="B574" s="51" t="s">
        <v>1077</v>
      </c>
      <c r="C574" s="66" t="s">
        <v>1803</v>
      </c>
      <c r="D574" s="52" t="s">
        <v>760</v>
      </c>
      <c r="E574" s="52" t="s">
        <v>736</v>
      </c>
      <c r="F574" s="53">
        <f>IFERROR(VLOOKUP(E574,Fornecedores!$A$2:$B$2700,2,FALSE),"")</f>
        <v>5</v>
      </c>
      <c r="G574" s="52" t="s">
        <v>903</v>
      </c>
      <c r="H574" s="57"/>
      <c r="I574" s="55">
        <f t="shared" si="216"/>
        <v>0</v>
      </c>
      <c r="J574" s="55">
        <v>0</v>
      </c>
      <c r="K574" s="55">
        <v>0</v>
      </c>
      <c r="L574" s="55">
        <v>0</v>
      </c>
      <c r="M574" s="55">
        <v>0</v>
      </c>
      <c r="N574" s="55">
        <f t="shared" si="217"/>
        <v>0</v>
      </c>
      <c r="O574" s="55">
        <v>0</v>
      </c>
      <c r="P574" s="55">
        <v>0</v>
      </c>
      <c r="Q574" s="55">
        <v>0</v>
      </c>
      <c r="R574" s="55">
        <f t="shared" si="218"/>
        <v>1</v>
      </c>
      <c r="S574" s="55">
        <v>1</v>
      </c>
      <c r="T574" s="55">
        <v>0</v>
      </c>
      <c r="U574" s="55">
        <v>0</v>
      </c>
      <c r="V574" s="55">
        <v>0</v>
      </c>
      <c r="W574" s="53">
        <v>0</v>
      </c>
      <c r="X574" s="53">
        <v>0</v>
      </c>
      <c r="Y574" s="55">
        <v>0</v>
      </c>
      <c r="Z574" s="55">
        <v>0</v>
      </c>
      <c r="AA574" s="53">
        <v>0</v>
      </c>
      <c r="AB574" s="53">
        <v>0</v>
      </c>
      <c r="AC574" s="55">
        <v>0</v>
      </c>
      <c r="AD574" s="55">
        <f t="shared" si="208"/>
        <v>0</v>
      </c>
      <c r="AE574" s="53">
        <v>0</v>
      </c>
      <c r="AF574" s="55">
        <v>0</v>
      </c>
      <c r="AG574" s="55">
        <v>0</v>
      </c>
      <c r="AH574" s="55">
        <f t="shared" si="209"/>
        <v>0</v>
      </c>
      <c r="AI574" s="55">
        <v>0</v>
      </c>
      <c r="AJ574" s="55">
        <v>0</v>
      </c>
      <c r="AK574" s="55">
        <v>0</v>
      </c>
      <c r="AL574" s="55">
        <f t="shared" si="210"/>
        <v>0</v>
      </c>
      <c r="AM574" s="55" t="s">
        <v>1912</v>
      </c>
      <c r="AN574" s="55">
        <v>0</v>
      </c>
      <c r="AO574" s="55">
        <v>0</v>
      </c>
      <c r="AP574" s="55">
        <f t="shared" si="219"/>
        <v>0</v>
      </c>
      <c r="AQ574" s="55">
        <f>IFERROR(VLOOKUP(A574,[1]SIIMPLES!$A$2:$F$418,6,FALSE),0)</f>
        <v>0</v>
      </c>
      <c r="AR574" s="55">
        <v>0</v>
      </c>
      <c r="AS574" s="55">
        <v>0</v>
      </c>
      <c r="AT574" s="55">
        <v>0</v>
      </c>
      <c r="AU574" s="55">
        <v>0</v>
      </c>
      <c r="AV574" s="55">
        <v>0</v>
      </c>
      <c r="AW574" s="55"/>
      <c r="AX574" s="55"/>
      <c r="AY574" s="56">
        <f t="shared" si="211"/>
        <v>0.1</v>
      </c>
      <c r="AZ574" s="55"/>
      <c r="BA574" s="56">
        <v>0.66666666666666663</v>
      </c>
      <c r="BB574" s="41">
        <f t="shared" si="220"/>
        <v>-0.85</v>
      </c>
      <c r="BC574" s="13"/>
      <c r="BD574" s="35"/>
      <c r="BE574" s="13"/>
      <c r="BF574" s="16"/>
      <c r="BG574" s="17">
        <f t="shared" si="214"/>
        <v>0</v>
      </c>
      <c r="BH574" s="16">
        <f>ROUND(IFERROR(IF(F574=1,IF(BC574&lt;AY574*3,AY574*3-BC574,0),IF(BC574&lt;AY574,AY574*0.6-BC574,0)),""),0)</f>
        <v>0</v>
      </c>
    </row>
    <row r="575" spans="1:60" s="21" customFormat="1" ht="12.75" customHeight="1" x14ac:dyDescent="0.2">
      <c r="A575" s="51">
        <v>4051</v>
      </c>
      <c r="B575" s="51" t="s">
        <v>1077</v>
      </c>
      <c r="C575" s="66" t="s">
        <v>1803</v>
      </c>
      <c r="D575" s="52" t="s">
        <v>760</v>
      </c>
      <c r="E575" s="52" t="s">
        <v>736</v>
      </c>
      <c r="F575" s="53">
        <f>IFERROR(VLOOKUP(E575,Fornecedores!$A$2:$B$2700,2,FALSE),"")</f>
        <v>5</v>
      </c>
      <c r="G575" s="52" t="s">
        <v>904</v>
      </c>
      <c r="H575" s="57"/>
      <c r="I575" s="55">
        <f t="shared" si="216"/>
        <v>2</v>
      </c>
      <c r="J575" s="55">
        <v>2</v>
      </c>
      <c r="K575" s="55">
        <v>0</v>
      </c>
      <c r="L575" s="55">
        <v>0</v>
      </c>
      <c r="M575" s="55">
        <v>0</v>
      </c>
      <c r="N575" s="55">
        <f t="shared" si="217"/>
        <v>0</v>
      </c>
      <c r="O575" s="55">
        <v>0</v>
      </c>
      <c r="P575" s="55">
        <v>0</v>
      </c>
      <c r="Q575" s="55">
        <v>0</v>
      </c>
      <c r="R575" s="55">
        <f t="shared" si="218"/>
        <v>0</v>
      </c>
      <c r="S575" s="55">
        <v>0</v>
      </c>
      <c r="T575" s="55">
        <v>0</v>
      </c>
      <c r="U575" s="55">
        <v>0</v>
      </c>
      <c r="V575" s="55">
        <v>0</v>
      </c>
      <c r="W575" s="53">
        <v>0</v>
      </c>
      <c r="X575" s="53">
        <v>0</v>
      </c>
      <c r="Y575" s="55">
        <v>0</v>
      </c>
      <c r="Z575" s="55">
        <v>0</v>
      </c>
      <c r="AA575" s="53">
        <v>0</v>
      </c>
      <c r="AB575" s="53">
        <v>0</v>
      </c>
      <c r="AC575" s="55">
        <v>0</v>
      </c>
      <c r="AD575" s="55">
        <f t="shared" si="208"/>
        <v>0</v>
      </c>
      <c r="AE575" s="53">
        <v>0</v>
      </c>
      <c r="AF575" s="55">
        <v>0</v>
      </c>
      <c r="AG575" s="55">
        <v>0</v>
      </c>
      <c r="AH575" s="55">
        <f t="shared" si="209"/>
        <v>0</v>
      </c>
      <c r="AI575" s="55">
        <v>0</v>
      </c>
      <c r="AJ575" s="55">
        <v>0</v>
      </c>
      <c r="AK575" s="55">
        <v>0</v>
      </c>
      <c r="AL575" s="55">
        <f t="shared" si="210"/>
        <v>0</v>
      </c>
      <c r="AM575" s="55" t="s">
        <v>1912</v>
      </c>
      <c r="AN575" s="55">
        <v>0</v>
      </c>
      <c r="AO575" s="55">
        <v>0</v>
      </c>
      <c r="AP575" s="55">
        <f t="shared" si="219"/>
        <v>0</v>
      </c>
      <c r="AQ575" s="55">
        <f>IFERROR(VLOOKUP(A575,[1]SIIMPLES!$A$2:$F$418,6,FALSE),0)</f>
        <v>0</v>
      </c>
      <c r="AR575" s="55">
        <v>0</v>
      </c>
      <c r="AS575" s="55">
        <v>0</v>
      </c>
      <c r="AT575" s="55">
        <v>0</v>
      </c>
      <c r="AU575" s="55">
        <v>0</v>
      </c>
      <c r="AV575" s="55">
        <v>0</v>
      </c>
      <c r="AW575" s="55"/>
      <c r="AX575" s="55"/>
      <c r="AY575" s="56">
        <f t="shared" si="211"/>
        <v>0.2</v>
      </c>
      <c r="AZ575" s="55"/>
      <c r="BA575" s="56">
        <v>0.83333333333333337</v>
      </c>
      <c r="BB575" s="41">
        <f t="shared" si="220"/>
        <v>-0.76</v>
      </c>
      <c r="BC575" s="13"/>
      <c r="BD575" s="35"/>
      <c r="BE575" s="13"/>
      <c r="BF575" s="16">
        <f>SUM(BC575:BE575)</f>
        <v>0</v>
      </c>
      <c r="BG575" s="17">
        <f t="shared" si="214"/>
        <v>0</v>
      </c>
      <c r="BH575" s="16">
        <f t="shared" ref="BH575:BH585" si="221">IFERROR(IF(F575=1,IF(BC575&lt;AY575*3,AY575*3-BC575,0),IF(BC575&lt;AY575,AY575-BC575,0)),"")</f>
        <v>0.2</v>
      </c>
    </row>
    <row r="576" spans="1:60" s="21" customFormat="1" ht="12.75" customHeight="1" x14ac:dyDescent="0.2">
      <c r="A576" s="51">
        <v>4056</v>
      </c>
      <c r="B576" s="51" t="s">
        <v>1077</v>
      </c>
      <c r="C576" s="66" t="s">
        <v>1803</v>
      </c>
      <c r="D576" s="52" t="s">
        <v>760</v>
      </c>
      <c r="E576" s="52" t="s">
        <v>736</v>
      </c>
      <c r="F576" s="53">
        <f>IFERROR(VLOOKUP(E576,Fornecedores!$A$2:$B$2700,2,FALSE),"")</f>
        <v>5</v>
      </c>
      <c r="G576" s="52" t="s">
        <v>913</v>
      </c>
      <c r="H576" s="57"/>
      <c r="I576" s="55">
        <f t="shared" si="216"/>
        <v>0</v>
      </c>
      <c r="J576" s="55">
        <v>0</v>
      </c>
      <c r="K576" s="55">
        <v>0</v>
      </c>
      <c r="L576" s="55">
        <v>0</v>
      </c>
      <c r="M576" s="55">
        <v>0</v>
      </c>
      <c r="N576" s="55">
        <f t="shared" si="217"/>
        <v>0</v>
      </c>
      <c r="O576" s="55">
        <v>0</v>
      </c>
      <c r="P576" s="55">
        <v>0</v>
      </c>
      <c r="Q576" s="55">
        <v>0</v>
      </c>
      <c r="R576" s="55">
        <f t="shared" si="218"/>
        <v>0</v>
      </c>
      <c r="S576" s="55">
        <v>0</v>
      </c>
      <c r="T576" s="55">
        <v>0</v>
      </c>
      <c r="U576" s="55">
        <v>0</v>
      </c>
      <c r="V576" s="55">
        <v>0</v>
      </c>
      <c r="W576" s="53">
        <v>0</v>
      </c>
      <c r="X576" s="53">
        <v>0</v>
      </c>
      <c r="Y576" s="55">
        <v>0</v>
      </c>
      <c r="Z576" s="55">
        <v>1</v>
      </c>
      <c r="AA576" s="53">
        <v>1</v>
      </c>
      <c r="AB576" s="53">
        <v>0</v>
      </c>
      <c r="AC576" s="55">
        <v>0</v>
      </c>
      <c r="AD576" s="55">
        <f t="shared" si="208"/>
        <v>0</v>
      </c>
      <c r="AE576" s="53">
        <v>0</v>
      </c>
      <c r="AF576" s="55">
        <v>0</v>
      </c>
      <c r="AG576" s="55">
        <v>0</v>
      </c>
      <c r="AH576" s="55">
        <f t="shared" si="209"/>
        <v>0</v>
      </c>
      <c r="AI576" s="55">
        <v>0</v>
      </c>
      <c r="AJ576" s="55">
        <v>0</v>
      </c>
      <c r="AK576" s="55">
        <v>0</v>
      </c>
      <c r="AL576" s="55">
        <f t="shared" si="210"/>
        <v>0</v>
      </c>
      <c r="AM576" s="55" t="s">
        <v>1912</v>
      </c>
      <c r="AN576" s="55">
        <v>0</v>
      </c>
      <c r="AO576" s="55">
        <v>0</v>
      </c>
      <c r="AP576" s="55">
        <f t="shared" si="219"/>
        <v>0</v>
      </c>
      <c r="AQ576" s="55">
        <f>IFERROR(VLOOKUP(A576,[1]SIIMPLES!$A$2:$F$418,6,FALSE),0)</f>
        <v>0</v>
      </c>
      <c r="AR576" s="55">
        <v>0</v>
      </c>
      <c r="AS576" s="55">
        <v>0</v>
      </c>
      <c r="AT576" s="55">
        <v>0</v>
      </c>
      <c r="AU576" s="55">
        <v>0</v>
      </c>
      <c r="AV576" s="55">
        <v>0</v>
      </c>
      <c r="AW576" s="55"/>
      <c r="AX576" s="55"/>
      <c r="AY576" s="56">
        <f t="shared" si="211"/>
        <v>0.1</v>
      </c>
      <c r="AZ576" s="55"/>
      <c r="BA576" s="56">
        <v>0.16666666666666666</v>
      </c>
      <c r="BB576" s="41">
        <f t="shared" si="220"/>
        <v>-0.39999999999999991</v>
      </c>
      <c r="BC576" s="13"/>
      <c r="BD576" s="35"/>
      <c r="BE576" s="13"/>
      <c r="BF576" s="16">
        <f>SUM(BC576:BE576)</f>
        <v>0</v>
      </c>
      <c r="BG576" s="17">
        <f t="shared" si="214"/>
        <v>0</v>
      </c>
      <c r="BH576" s="16">
        <f t="shared" si="221"/>
        <v>0.1</v>
      </c>
    </row>
    <row r="577" spans="1:60" s="21" customFormat="1" ht="12.75" customHeight="1" x14ac:dyDescent="0.2">
      <c r="A577" s="50">
        <v>4057</v>
      </c>
      <c r="B577" s="51"/>
      <c r="C577" s="51" t="s">
        <v>1803</v>
      </c>
      <c r="D577" s="52" t="s">
        <v>760</v>
      </c>
      <c r="E577" s="52" t="s">
        <v>736</v>
      </c>
      <c r="F577" s="53">
        <f>IFERROR(VLOOKUP(E577,Fornecedores!$A$2:$B$2700,2,FALSE),"")</f>
        <v>5</v>
      </c>
      <c r="G577" s="52" t="s">
        <v>1596</v>
      </c>
      <c r="H577" s="57"/>
      <c r="I577" s="55">
        <f t="shared" si="216"/>
        <v>1</v>
      </c>
      <c r="J577" s="55">
        <v>1</v>
      </c>
      <c r="K577" s="55">
        <v>0</v>
      </c>
      <c r="L577" s="55">
        <v>0</v>
      </c>
      <c r="M577" s="55">
        <v>0</v>
      </c>
      <c r="N577" s="55">
        <f t="shared" si="217"/>
        <v>0</v>
      </c>
      <c r="O577" s="55">
        <v>0</v>
      </c>
      <c r="P577" s="55">
        <v>0</v>
      </c>
      <c r="Q577" s="55">
        <v>0</v>
      </c>
      <c r="R577" s="55">
        <f t="shared" si="218"/>
        <v>0</v>
      </c>
      <c r="S577" s="55">
        <v>0</v>
      </c>
      <c r="T577" s="55">
        <v>0</v>
      </c>
      <c r="U577" s="55">
        <v>0</v>
      </c>
      <c r="V577" s="55">
        <v>0</v>
      </c>
      <c r="W577" s="55"/>
      <c r="X577" s="53">
        <v>0</v>
      </c>
      <c r="Y577" s="55"/>
      <c r="Z577" s="55">
        <v>0</v>
      </c>
      <c r="AA577" s="55"/>
      <c r="AB577" s="53">
        <v>0</v>
      </c>
      <c r="AC577" s="55">
        <v>0</v>
      </c>
      <c r="AD577" s="55">
        <f t="shared" si="208"/>
        <v>0</v>
      </c>
      <c r="AE577" s="53">
        <f>IFERROR(VLOOKUP(A577,[4]simples!$A$1:$B$281,2,FALSE),0)</f>
        <v>0</v>
      </c>
      <c r="AF577" s="55">
        <v>0</v>
      </c>
      <c r="AG577" s="55">
        <v>0</v>
      </c>
      <c r="AH577" s="55">
        <f t="shared" si="209"/>
        <v>0</v>
      </c>
      <c r="AI577" s="55"/>
      <c r="AJ577" s="55">
        <v>0</v>
      </c>
      <c r="AK577" s="55"/>
      <c r="AL577" s="55">
        <f t="shared" si="210"/>
        <v>0</v>
      </c>
      <c r="AM577" s="55" t="s">
        <v>1912</v>
      </c>
      <c r="AN577" s="55">
        <v>0</v>
      </c>
      <c r="AO577" s="55">
        <v>0</v>
      </c>
      <c r="AP577" s="55">
        <f t="shared" si="219"/>
        <v>0</v>
      </c>
      <c r="AQ577" s="55">
        <f>IFERROR(VLOOKUP(A577,[1]SIIMPLES!$A$2:$F$418,6,FALSE),0)</f>
        <v>0</v>
      </c>
      <c r="AR577" s="55">
        <v>0</v>
      </c>
      <c r="AS577" s="55">
        <v>0</v>
      </c>
      <c r="AT577" s="55">
        <v>0</v>
      </c>
      <c r="AU577" s="55">
        <v>0</v>
      </c>
      <c r="AV577" s="55">
        <v>0</v>
      </c>
      <c r="AW577" s="55"/>
      <c r="AX577" s="55"/>
      <c r="AY577" s="56">
        <f t="shared" si="211"/>
        <v>0.1</v>
      </c>
      <c r="AZ577" s="55"/>
      <c r="BA577" s="56">
        <v>0</v>
      </c>
      <c r="BB577" s="41" t="str">
        <f t="shared" si="220"/>
        <v/>
      </c>
      <c r="BC577" s="13"/>
      <c r="BD577" s="35"/>
      <c r="BE577" s="7"/>
      <c r="BF577" s="16"/>
      <c r="BG577" s="17">
        <f t="shared" ref="BG577:BG603" si="222">IFERROR(BC577/AY577,"0")</f>
        <v>0</v>
      </c>
      <c r="BH577" s="16">
        <f t="shared" si="221"/>
        <v>0.1</v>
      </c>
    </row>
    <row r="578" spans="1:60" s="21" customFormat="1" ht="12.75" customHeight="1" x14ac:dyDescent="0.2">
      <c r="A578" s="50">
        <v>4060</v>
      </c>
      <c r="B578" s="51"/>
      <c r="C578" s="51" t="s">
        <v>1803</v>
      </c>
      <c r="D578" s="52" t="s">
        <v>760</v>
      </c>
      <c r="E578" s="52" t="s">
        <v>736</v>
      </c>
      <c r="F578" s="53">
        <f>IFERROR(VLOOKUP(E578,Fornecedores!$A$2:$B$2700,2,FALSE),"")</f>
        <v>5</v>
      </c>
      <c r="G578" s="52" t="s">
        <v>1674</v>
      </c>
      <c r="H578" s="54"/>
      <c r="I578" s="55">
        <f t="shared" si="216"/>
        <v>0</v>
      </c>
      <c r="J578" s="55">
        <v>0</v>
      </c>
      <c r="K578" s="55">
        <v>0</v>
      </c>
      <c r="L578" s="55">
        <v>0</v>
      </c>
      <c r="M578" s="55">
        <v>0</v>
      </c>
      <c r="N578" s="55">
        <f t="shared" si="217"/>
        <v>0</v>
      </c>
      <c r="O578" s="55">
        <v>0</v>
      </c>
      <c r="P578" s="55">
        <v>0</v>
      </c>
      <c r="Q578" s="55">
        <v>0</v>
      </c>
      <c r="R578" s="55">
        <f t="shared" si="218"/>
        <v>0</v>
      </c>
      <c r="S578" s="55">
        <v>0</v>
      </c>
      <c r="T578" s="55">
        <v>0</v>
      </c>
      <c r="U578" s="55">
        <v>0</v>
      </c>
      <c r="V578" s="55">
        <v>0</v>
      </c>
      <c r="W578" s="55"/>
      <c r="X578" s="53">
        <v>0</v>
      </c>
      <c r="Y578" s="55"/>
      <c r="Z578" s="55">
        <v>0</v>
      </c>
      <c r="AA578" s="55"/>
      <c r="AB578" s="53">
        <v>0</v>
      </c>
      <c r="AC578" s="55">
        <v>0</v>
      </c>
      <c r="AD578" s="55">
        <f t="shared" si="208"/>
        <v>0</v>
      </c>
      <c r="AE578" s="53">
        <f>IFERROR(VLOOKUP(A578,[4]simples!$A$1:$B$281,2,FALSE),0)</f>
        <v>0</v>
      </c>
      <c r="AF578" s="55">
        <v>0</v>
      </c>
      <c r="AG578" s="55">
        <v>0</v>
      </c>
      <c r="AH578" s="55">
        <f t="shared" si="209"/>
        <v>0</v>
      </c>
      <c r="AI578" s="55"/>
      <c r="AJ578" s="55">
        <v>0</v>
      </c>
      <c r="AK578" s="55"/>
      <c r="AL578" s="55">
        <f t="shared" si="210"/>
        <v>0</v>
      </c>
      <c r="AM578" s="55" t="s">
        <v>1912</v>
      </c>
      <c r="AN578" s="55">
        <v>0</v>
      </c>
      <c r="AO578" s="55">
        <v>0</v>
      </c>
      <c r="AP578" s="55">
        <f t="shared" si="219"/>
        <v>0</v>
      </c>
      <c r="AQ578" s="55">
        <f>IFERROR(VLOOKUP(A578,[1]SIIMPLES!$A$2:$F$418,6,FALSE),0)</f>
        <v>0</v>
      </c>
      <c r="AR578" s="55">
        <v>0</v>
      </c>
      <c r="AS578" s="55">
        <v>0</v>
      </c>
      <c r="AT578" s="55">
        <v>0</v>
      </c>
      <c r="AU578" s="55">
        <v>0</v>
      </c>
      <c r="AV578" s="55">
        <v>0</v>
      </c>
      <c r="AW578" s="55"/>
      <c r="AX578" s="55"/>
      <c r="AY578" s="56">
        <f t="shared" si="211"/>
        <v>0</v>
      </c>
      <c r="AZ578" s="55"/>
      <c r="BA578" s="56">
        <v>0</v>
      </c>
      <c r="BB578" s="41" t="str">
        <f t="shared" si="220"/>
        <v/>
      </c>
      <c r="BC578" s="13"/>
      <c r="BD578" s="35"/>
      <c r="BE578" s="13"/>
      <c r="BF578" s="16">
        <f>SUM(BC578:BE578)</f>
        <v>0</v>
      </c>
      <c r="BG578" s="17" t="str">
        <f t="shared" si="222"/>
        <v>0</v>
      </c>
      <c r="BH578" s="16">
        <f t="shared" si="221"/>
        <v>0</v>
      </c>
    </row>
    <row r="579" spans="1:60" s="21" customFormat="1" ht="12.75" customHeight="1" x14ac:dyDescent="0.2">
      <c r="A579" s="51">
        <v>4061</v>
      </c>
      <c r="B579" s="51"/>
      <c r="C579" s="66" t="s">
        <v>1803</v>
      </c>
      <c r="D579" s="52" t="s">
        <v>760</v>
      </c>
      <c r="E579" s="52" t="s">
        <v>736</v>
      </c>
      <c r="F579" s="53">
        <f>IFERROR(VLOOKUP(E579,Fornecedores!$A$2:$B$2700,2,FALSE),"")</f>
        <v>5</v>
      </c>
      <c r="G579" s="52">
        <f>VLOOKUP(A579,[2]CMV!$A$1:$F$2043,6,FALSE)</f>
        <v>0</v>
      </c>
      <c r="H579" s="54"/>
      <c r="I579" s="55">
        <f t="shared" si="216"/>
        <v>0</v>
      </c>
      <c r="J579" s="55">
        <v>0</v>
      </c>
      <c r="K579" s="55">
        <v>0</v>
      </c>
      <c r="L579" s="55">
        <v>0</v>
      </c>
      <c r="M579" s="55">
        <v>0</v>
      </c>
      <c r="N579" s="55">
        <f t="shared" si="217"/>
        <v>0</v>
      </c>
      <c r="O579" s="55">
        <v>0</v>
      </c>
      <c r="P579" s="55">
        <v>0</v>
      </c>
      <c r="Q579" s="55">
        <v>0</v>
      </c>
      <c r="R579" s="55">
        <f t="shared" si="218"/>
        <v>0</v>
      </c>
      <c r="S579" s="55">
        <v>0</v>
      </c>
      <c r="T579" s="55">
        <v>0</v>
      </c>
      <c r="U579" s="55">
        <v>0</v>
      </c>
      <c r="V579" s="55">
        <v>0</v>
      </c>
      <c r="W579" s="53">
        <v>0</v>
      </c>
      <c r="X579" s="53">
        <v>0</v>
      </c>
      <c r="Y579" s="55">
        <v>0</v>
      </c>
      <c r="Z579" s="55">
        <v>0</v>
      </c>
      <c r="AA579" s="53">
        <v>0</v>
      </c>
      <c r="AB579" s="53">
        <v>0</v>
      </c>
      <c r="AC579" s="55">
        <v>0</v>
      </c>
      <c r="AD579" s="55">
        <f t="shared" si="208"/>
        <v>0</v>
      </c>
      <c r="AE579" s="53">
        <v>0</v>
      </c>
      <c r="AF579" s="55">
        <v>0</v>
      </c>
      <c r="AG579" s="55">
        <v>0</v>
      </c>
      <c r="AH579" s="55">
        <f t="shared" si="209"/>
        <v>0</v>
      </c>
      <c r="AI579" s="55">
        <v>0</v>
      </c>
      <c r="AJ579" s="55">
        <v>0</v>
      </c>
      <c r="AK579" s="55">
        <v>0</v>
      </c>
      <c r="AL579" s="55">
        <f t="shared" si="210"/>
        <v>0</v>
      </c>
      <c r="AM579" s="55" t="s">
        <v>1912</v>
      </c>
      <c r="AN579" s="55">
        <v>0</v>
      </c>
      <c r="AO579" s="55">
        <v>0</v>
      </c>
      <c r="AP579" s="55">
        <f t="shared" si="219"/>
        <v>0</v>
      </c>
      <c r="AQ579" s="55">
        <f>IFERROR(VLOOKUP(A579,[1]SIIMPLES!$A$2:$F$418,6,FALSE),0)</f>
        <v>0</v>
      </c>
      <c r="AR579" s="55">
        <v>0</v>
      </c>
      <c r="AS579" s="55">
        <v>0</v>
      </c>
      <c r="AT579" s="55">
        <v>0</v>
      </c>
      <c r="AU579" s="55">
        <v>0</v>
      </c>
      <c r="AV579" s="55">
        <v>0</v>
      </c>
      <c r="AW579" s="55"/>
      <c r="AX579" s="55"/>
      <c r="AY579" s="56">
        <f t="shared" si="211"/>
        <v>0</v>
      </c>
      <c r="AZ579" s="55"/>
      <c r="BA579" s="56">
        <v>0</v>
      </c>
      <c r="BB579" s="41" t="str">
        <f t="shared" si="220"/>
        <v/>
      </c>
      <c r="BC579" s="13"/>
      <c r="BD579" s="35"/>
      <c r="BE579" s="13"/>
      <c r="BF579" s="16">
        <f>SUM(BC579:BE579)</f>
        <v>0</v>
      </c>
      <c r="BG579" s="17" t="str">
        <f t="shared" si="222"/>
        <v>0</v>
      </c>
      <c r="BH579" s="16">
        <f t="shared" si="221"/>
        <v>0</v>
      </c>
    </row>
    <row r="580" spans="1:60" s="21" customFormat="1" ht="12.75" customHeight="1" x14ac:dyDescent="0.2">
      <c r="A580" s="51">
        <v>4062</v>
      </c>
      <c r="B580" s="51"/>
      <c r="C580" s="66" t="s">
        <v>1803</v>
      </c>
      <c r="D580" s="52" t="s">
        <v>760</v>
      </c>
      <c r="E580" s="52" t="s">
        <v>736</v>
      </c>
      <c r="F580" s="53">
        <f>IFERROR(VLOOKUP(E580,Fornecedores!$A$2:$B$2700,2,FALSE),"")</f>
        <v>5</v>
      </c>
      <c r="G580" s="52" t="s">
        <v>1595</v>
      </c>
      <c r="H580" s="54"/>
      <c r="I580" s="55">
        <f t="shared" si="216"/>
        <v>1</v>
      </c>
      <c r="J580" s="55">
        <v>1</v>
      </c>
      <c r="K580" s="55">
        <v>0</v>
      </c>
      <c r="L580" s="55">
        <v>0</v>
      </c>
      <c r="M580" s="55">
        <v>0</v>
      </c>
      <c r="N580" s="55">
        <f t="shared" si="217"/>
        <v>0</v>
      </c>
      <c r="O580" s="55">
        <v>0</v>
      </c>
      <c r="P580" s="55">
        <v>0</v>
      </c>
      <c r="Q580" s="55">
        <v>0</v>
      </c>
      <c r="R580" s="55">
        <f t="shared" si="218"/>
        <v>0</v>
      </c>
      <c r="S580" s="55">
        <v>0</v>
      </c>
      <c r="T580" s="55">
        <v>0</v>
      </c>
      <c r="U580" s="55">
        <v>0</v>
      </c>
      <c r="V580" s="55">
        <v>3</v>
      </c>
      <c r="W580" s="53">
        <v>3</v>
      </c>
      <c r="X580" s="53">
        <v>0</v>
      </c>
      <c r="Y580" s="55">
        <v>0</v>
      </c>
      <c r="Z580" s="55">
        <v>1</v>
      </c>
      <c r="AA580" s="53">
        <v>1</v>
      </c>
      <c r="AB580" s="53">
        <v>0</v>
      </c>
      <c r="AC580" s="55">
        <v>0</v>
      </c>
      <c r="AD580" s="55">
        <f t="shared" si="208"/>
        <v>1</v>
      </c>
      <c r="AE580" s="53">
        <v>1</v>
      </c>
      <c r="AF580" s="55">
        <v>0</v>
      </c>
      <c r="AG580" s="55">
        <v>0</v>
      </c>
      <c r="AH580" s="55">
        <f t="shared" si="209"/>
        <v>0</v>
      </c>
      <c r="AI580" s="55">
        <v>0</v>
      </c>
      <c r="AJ580" s="55">
        <v>0</v>
      </c>
      <c r="AK580" s="55">
        <v>0</v>
      </c>
      <c r="AL580" s="55">
        <f t="shared" si="210"/>
        <v>0</v>
      </c>
      <c r="AM580" s="55" t="s">
        <v>1912</v>
      </c>
      <c r="AN580" s="55">
        <v>0</v>
      </c>
      <c r="AO580" s="55">
        <v>0</v>
      </c>
      <c r="AP580" s="55">
        <f t="shared" si="219"/>
        <v>0</v>
      </c>
      <c r="AQ580" s="55">
        <f>IFERROR(VLOOKUP(A580,[1]SIIMPLES!$A$2:$F$418,6,FALSE),0)</f>
        <v>0</v>
      </c>
      <c r="AR580" s="55">
        <v>0</v>
      </c>
      <c r="AS580" s="55">
        <v>0</v>
      </c>
      <c r="AT580" s="55">
        <v>0</v>
      </c>
      <c r="AU580" s="55">
        <v>0</v>
      </c>
      <c r="AV580" s="55">
        <v>0</v>
      </c>
      <c r="AW580" s="55"/>
      <c r="AX580" s="55"/>
      <c r="AY580" s="56">
        <f t="shared" si="211"/>
        <v>0.6</v>
      </c>
      <c r="AZ580" s="55"/>
      <c r="BA580" s="56">
        <v>0</v>
      </c>
      <c r="BB580" s="41" t="str">
        <f t="shared" si="220"/>
        <v/>
      </c>
      <c r="BC580" s="13"/>
      <c r="BD580" s="35"/>
      <c r="BE580" s="13"/>
      <c r="BF580" s="16">
        <f>SUM(BC580:BE580)</f>
        <v>0</v>
      </c>
      <c r="BG580" s="17">
        <f t="shared" si="222"/>
        <v>0</v>
      </c>
      <c r="BH580" s="16">
        <f t="shared" si="221"/>
        <v>0.6</v>
      </c>
    </row>
    <row r="581" spans="1:60" s="21" customFormat="1" ht="12.75" customHeight="1" x14ac:dyDescent="0.2">
      <c r="A581" s="51">
        <v>4064</v>
      </c>
      <c r="B581" s="51" t="s">
        <v>1077</v>
      </c>
      <c r="C581" s="66" t="s">
        <v>1803</v>
      </c>
      <c r="D581" s="52" t="s">
        <v>760</v>
      </c>
      <c r="E581" s="52" t="s">
        <v>736</v>
      </c>
      <c r="F581" s="53">
        <f>IFERROR(VLOOKUP(E581,Fornecedores!$A$2:$B$2700,2,FALSE),"")</f>
        <v>5</v>
      </c>
      <c r="G581" s="52" t="s">
        <v>377</v>
      </c>
      <c r="H581" s="54"/>
      <c r="I581" s="55">
        <f t="shared" si="216"/>
        <v>0</v>
      </c>
      <c r="J581" s="55">
        <v>0</v>
      </c>
      <c r="K581" s="55">
        <v>0</v>
      </c>
      <c r="L581" s="55">
        <v>0</v>
      </c>
      <c r="M581" s="55">
        <v>0</v>
      </c>
      <c r="N581" s="55">
        <f t="shared" si="217"/>
        <v>0</v>
      </c>
      <c r="O581" s="55">
        <v>0</v>
      </c>
      <c r="P581" s="55">
        <v>0</v>
      </c>
      <c r="Q581" s="55">
        <v>0</v>
      </c>
      <c r="R581" s="55">
        <f t="shared" si="218"/>
        <v>1</v>
      </c>
      <c r="S581" s="55">
        <v>1</v>
      </c>
      <c r="T581" s="55">
        <v>0</v>
      </c>
      <c r="U581" s="55">
        <v>0</v>
      </c>
      <c r="V581" s="55">
        <v>1</v>
      </c>
      <c r="W581" s="53">
        <v>1</v>
      </c>
      <c r="X581" s="53">
        <v>0</v>
      </c>
      <c r="Y581" s="55">
        <v>0</v>
      </c>
      <c r="Z581" s="55">
        <v>1</v>
      </c>
      <c r="AA581" s="53">
        <v>1</v>
      </c>
      <c r="AB581" s="53">
        <v>0</v>
      </c>
      <c r="AC581" s="55">
        <v>0</v>
      </c>
      <c r="AD581" s="55">
        <f t="shared" si="208"/>
        <v>4</v>
      </c>
      <c r="AE581" s="53">
        <v>4</v>
      </c>
      <c r="AF581" s="55">
        <v>0</v>
      </c>
      <c r="AG581" s="55">
        <v>0</v>
      </c>
      <c r="AH581" s="55">
        <f t="shared" si="209"/>
        <v>2</v>
      </c>
      <c r="AI581" s="55">
        <v>2</v>
      </c>
      <c r="AJ581" s="55">
        <v>0</v>
      </c>
      <c r="AK581" s="55">
        <v>0</v>
      </c>
      <c r="AL581" s="55">
        <f t="shared" si="210"/>
        <v>1</v>
      </c>
      <c r="AM581" s="55">
        <v>1</v>
      </c>
      <c r="AN581" s="55">
        <v>0</v>
      </c>
      <c r="AO581" s="55">
        <v>0</v>
      </c>
      <c r="AP581" s="55">
        <f t="shared" si="219"/>
        <v>0</v>
      </c>
      <c r="AQ581" s="55">
        <f>IFERROR(VLOOKUP(A581,[1]SIIMPLES!$A$2:$F$418,6,FALSE),0)</f>
        <v>0</v>
      </c>
      <c r="AR581" s="55">
        <v>0</v>
      </c>
      <c r="AS581" s="55">
        <v>0</v>
      </c>
      <c r="AT581" s="55">
        <v>0</v>
      </c>
      <c r="AU581" s="55">
        <v>0</v>
      </c>
      <c r="AV581" s="55">
        <v>0</v>
      </c>
      <c r="AW581" s="55"/>
      <c r="AX581" s="55"/>
      <c r="AY581" s="56">
        <f t="shared" si="211"/>
        <v>1</v>
      </c>
      <c r="AZ581" s="55"/>
      <c r="BA581" s="56">
        <v>0.33333333333333331</v>
      </c>
      <c r="BB581" s="41">
        <f t="shared" si="220"/>
        <v>2</v>
      </c>
      <c r="BC581" s="13"/>
      <c r="BD581" s="35"/>
      <c r="BE581" s="13"/>
      <c r="BF581" s="16"/>
      <c r="BG581" s="17">
        <f t="shared" si="222"/>
        <v>0</v>
      </c>
      <c r="BH581" s="16">
        <f t="shared" si="221"/>
        <v>1</v>
      </c>
    </row>
    <row r="582" spans="1:60" s="21" customFormat="1" ht="12.75" customHeight="1" x14ac:dyDescent="0.2">
      <c r="A582" s="50">
        <v>4065</v>
      </c>
      <c r="B582" s="51"/>
      <c r="C582" s="51" t="s">
        <v>1803</v>
      </c>
      <c r="D582" s="52" t="s">
        <v>760</v>
      </c>
      <c r="E582" s="52" t="s">
        <v>736</v>
      </c>
      <c r="F582" s="53">
        <f>IFERROR(VLOOKUP(E582,Fornecedores!$A$2:$B$2700,2,FALSE),"")</f>
        <v>5</v>
      </c>
      <c r="G582" s="52" t="s">
        <v>1673</v>
      </c>
      <c r="H582" s="54"/>
      <c r="I582" s="55">
        <f t="shared" si="216"/>
        <v>0</v>
      </c>
      <c r="J582" s="55">
        <v>0</v>
      </c>
      <c r="K582" s="55">
        <v>0</v>
      </c>
      <c r="L582" s="55">
        <v>0</v>
      </c>
      <c r="M582" s="55">
        <v>0</v>
      </c>
      <c r="N582" s="55">
        <f t="shared" si="217"/>
        <v>0</v>
      </c>
      <c r="O582" s="55">
        <v>0</v>
      </c>
      <c r="P582" s="55">
        <v>0</v>
      </c>
      <c r="Q582" s="55">
        <v>0</v>
      </c>
      <c r="R582" s="55">
        <f t="shared" si="218"/>
        <v>0</v>
      </c>
      <c r="S582" s="55">
        <v>0</v>
      </c>
      <c r="T582" s="55">
        <v>0</v>
      </c>
      <c r="U582" s="55">
        <v>0</v>
      </c>
      <c r="V582" s="55">
        <v>0</v>
      </c>
      <c r="W582" s="55"/>
      <c r="X582" s="53">
        <v>0</v>
      </c>
      <c r="Y582" s="55"/>
      <c r="Z582" s="55">
        <v>0</v>
      </c>
      <c r="AA582" s="55"/>
      <c r="AB582" s="53">
        <v>0</v>
      </c>
      <c r="AC582" s="55">
        <v>0</v>
      </c>
      <c r="AD582" s="55">
        <f t="shared" si="208"/>
        <v>0</v>
      </c>
      <c r="AE582" s="53">
        <f>IFERROR(VLOOKUP(A582,[4]simples!$A$1:$B$281,2,FALSE),0)</f>
        <v>0</v>
      </c>
      <c r="AF582" s="55">
        <v>0</v>
      </c>
      <c r="AG582" s="55">
        <v>0</v>
      </c>
      <c r="AH582" s="55">
        <f t="shared" si="209"/>
        <v>0</v>
      </c>
      <c r="AI582" s="55"/>
      <c r="AJ582" s="55">
        <v>0</v>
      </c>
      <c r="AK582" s="55"/>
      <c r="AL582" s="55">
        <f t="shared" si="210"/>
        <v>0</v>
      </c>
      <c r="AM582" s="55" t="s">
        <v>1912</v>
      </c>
      <c r="AN582" s="55">
        <v>0</v>
      </c>
      <c r="AO582" s="55">
        <v>0</v>
      </c>
      <c r="AP582" s="55">
        <f t="shared" si="219"/>
        <v>0</v>
      </c>
      <c r="AQ582" s="55">
        <f>IFERROR(VLOOKUP(A582,[1]SIIMPLES!$A$2:$F$418,6,FALSE),0)</f>
        <v>0</v>
      </c>
      <c r="AR582" s="55">
        <v>0</v>
      </c>
      <c r="AS582" s="55">
        <v>0</v>
      </c>
      <c r="AT582" s="55">
        <v>0</v>
      </c>
      <c r="AU582" s="55">
        <v>0</v>
      </c>
      <c r="AV582" s="55">
        <v>0</v>
      </c>
      <c r="AW582" s="55"/>
      <c r="AX582" s="55"/>
      <c r="AY582" s="56">
        <f t="shared" si="211"/>
        <v>0</v>
      </c>
      <c r="AZ582" s="55"/>
      <c r="BA582" s="56">
        <v>0</v>
      </c>
      <c r="BB582" s="41" t="str">
        <f t="shared" si="220"/>
        <v/>
      </c>
      <c r="BC582" s="13"/>
      <c r="BD582" s="35"/>
      <c r="BE582" s="7"/>
      <c r="BF582" s="16"/>
      <c r="BG582" s="17" t="str">
        <f t="shared" si="222"/>
        <v>0</v>
      </c>
      <c r="BH582" s="16">
        <f t="shared" si="221"/>
        <v>0</v>
      </c>
    </row>
    <row r="583" spans="1:60" s="21" customFormat="1" ht="12.75" customHeight="1" x14ac:dyDescent="0.2">
      <c r="A583" s="51">
        <v>4066</v>
      </c>
      <c r="B583" s="51"/>
      <c r="C583" s="66" t="s">
        <v>1803</v>
      </c>
      <c r="D583" s="52" t="s">
        <v>760</v>
      </c>
      <c r="E583" s="52" t="s">
        <v>736</v>
      </c>
      <c r="F583" s="53">
        <f>IFERROR(VLOOKUP(E583,Fornecedores!$A$2:$B$2700,2,FALSE),"")</f>
        <v>5</v>
      </c>
      <c r="G583" s="52" t="s">
        <v>1672</v>
      </c>
      <c r="H583" s="54"/>
      <c r="I583" s="55">
        <f t="shared" si="216"/>
        <v>0</v>
      </c>
      <c r="J583" s="55">
        <v>0</v>
      </c>
      <c r="K583" s="55">
        <v>0</v>
      </c>
      <c r="L583" s="55">
        <v>0</v>
      </c>
      <c r="M583" s="55">
        <v>0</v>
      </c>
      <c r="N583" s="55">
        <f t="shared" si="217"/>
        <v>0</v>
      </c>
      <c r="O583" s="55">
        <v>0</v>
      </c>
      <c r="P583" s="55">
        <v>0</v>
      </c>
      <c r="Q583" s="55">
        <v>0</v>
      </c>
      <c r="R583" s="55">
        <f t="shared" si="218"/>
        <v>0</v>
      </c>
      <c r="S583" s="55">
        <v>0</v>
      </c>
      <c r="T583" s="55">
        <v>0</v>
      </c>
      <c r="U583" s="55">
        <v>0</v>
      </c>
      <c r="V583" s="55">
        <v>1</v>
      </c>
      <c r="W583" s="53">
        <v>1</v>
      </c>
      <c r="X583" s="53">
        <v>0</v>
      </c>
      <c r="Y583" s="55">
        <v>0</v>
      </c>
      <c r="Z583" s="55">
        <v>0</v>
      </c>
      <c r="AA583" s="53">
        <v>0</v>
      </c>
      <c r="AB583" s="53">
        <v>0</v>
      </c>
      <c r="AC583" s="55">
        <v>0</v>
      </c>
      <c r="AD583" s="55">
        <f t="shared" si="208"/>
        <v>3</v>
      </c>
      <c r="AE583" s="53">
        <v>3</v>
      </c>
      <c r="AF583" s="55">
        <v>0</v>
      </c>
      <c r="AG583" s="55">
        <v>0</v>
      </c>
      <c r="AH583" s="55">
        <f t="shared" si="209"/>
        <v>1</v>
      </c>
      <c r="AI583" s="55">
        <v>1</v>
      </c>
      <c r="AJ583" s="55">
        <v>0</v>
      </c>
      <c r="AK583" s="55">
        <v>0</v>
      </c>
      <c r="AL583" s="55">
        <f t="shared" si="210"/>
        <v>0</v>
      </c>
      <c r="AM583" s="55" t="s">
        <v>1912</v>
      </c>
      <c r="AN583" s="55">
        <v>0</v>
      </c>
      <c r="AO583" s="55">
        <v>0</v>
      </c>
      <c r="AP583" s="55">
        <f t="shared" si="219"/>
        <v>0</v>
      </c>
      <c r="AQ583" s="55">
        <f>IFERROR(VLOOKUP(A583,[1]SIIMPLES!$A$2:$F$418,6,FALSE),0)</f>
        <v>0</v>
      </c>
      <c r="AR583" s="55">
        <v>0</v>
      </c>
      <c r="AS583" s="55">
        <v>0</v>
      </c>
      <c r="AT583" s="55">
        <v>0</v>
      </c>
      <c r="AU583" s="55">
        <v>0</v>
      </c>
      <c r="AV583" s="55">
        <v>0</v>
      </c>
      <c r="AW583" s="55"/>
      <c r="AX583" s="55"/>
      <c r="AY583" s="56">
        <f t="shared" si="211"/>
        <v>0.5</v>
      </c>
      <c r="AZ583" s="55"/>
      <c r="BA583" s="56">
        <v>0</v>
      </c>
      <c r="BB583" s="41" t="str">
        <f t="shared" si="220"/>
        <v/>
      </c>
      <c r="BC583" s="13"/>
      <c r="BD583" s="35"/>
      <c r="BE583" s="13"/>
      <c r="BF583" s="16"/>
      <c r="BG583" s="17">
        <f t="shared" si="222"/>
        <v>0</v>
      </c>
      <c r="BH583" s="16">
        <f t="shared" si="221"/>
        <v>0.5</v>
      </c>
    </row>
    <row r="584" spans="1:60" s="21" customFormat="1" ht="12.75" customHeight="1" x14ac:dyDescent="0.2">
      <c r="A584" s="50">
        <v>4067</v>
      </c>
      <c r="B584" s="51"/>
      <c r="C584" s="51" t="s">
        <v>1803</v>
      </c>
      <c r="D584" s="52" t="s">
        <v>760</v>
      </c>
      <c r="E584" s="52" t="s">
        <v>736</v>
      </c>
      <c r="F584" s="53">
        <f>IFERROR(VLOOKUP(E584,Fornecedores!$A$2:$B$2700,2,FALSE),"")</f>
        <v>5</v>
      </c>
      <c r="G584" s="52" t="s">
        <v>1671</v>
      </c>
      <c r="H584" s="54"/>
      <c r="I584" s="55">
        <f t="shared" si="216"/>
        <v>0</v>
      </c>
      <c r="J584" s="55">
        <v>0</v>
      </c>
      <c r="K584" s="55">
        <v>0</v>
      </c>
      <c r="L584" s="55">
        <v>0</v>
      </c>
      <c r="M584" s="55">
        <v>0</v>
      </c>
      <c r="N584" s="55">
        <f t="shared" si="217"/>
        <v>0</v>
      </c>
      <c r="O584" s="55">
        <v>0</v>
      </c>
      <c r="P584" s="55">
        <v>0</v>
      </c>
      <c r="Q584" s="55">
        <v>0</v>
      </c>
      <c r="R584" s="55">
        <f t="shared" si="218"/>
        <v>0</v>
      </c>
      <c r="S584" s="55">
        <v>0</v>
      </c>
      <c r="T584" s="55">
        <v>0</v>
      </c>
      <c r="U584" s="55">
        <v>0</v>
      </c>
      <c r="V584" s="55">
        <v>0</v>
      </c>
      <c r="W584" s="55"/>
      <c r="X584" s="53">
        <v>0</v>
      </c>
      <c r="Y584" s="55"/>
      <c r="Z584" s="55">
        <v>0</v>
      </c>
      <c r="AA584" s="55"/>
      <c r="AB584" s="53">
        <v>0</v>
      </c>
      <c r="AC584" s="55">
        <v>0</v>
      </c>
      <c r="AD584" s="55">
        <f t="shared" si="208"/>
        <v>0</v>
      </c>
      <c r="AE584" s="53">
        <f>IFERROR(VLOOKUP(A584,[4]simples!$A$1:$B$281,2,FALSE),0)</f>
        <v>0</v>
      </c>
      <c r="AF584" s="55">
        <v>0</v>
      </c>
      <c r="AG584" s="55">
        <v>0</v>
      </c>
      <c r="AH584" s="55">
        <f t="shared" si="209"/>
        <v>0</v>
      </c>
      <c r="AI584" s="55"/>
      <c r="AJ584" s="55">
        <v>0</v>
      </c>
      <c r="AK584" s="55"/>
      <c r="AL584" s="55">
        <f t="shared" si="210"/>
        <v>0</v>
      </c>
      <c r="AM584" s="55" t="s">
        <v>1912</v>
      </c>
      <c r="AN584" s="55">
        <v>0</v>
      </c>
      <c r="AO584" s="55">
        <v>0</v>
      </c>
      <c r="AP584" s="55">
        <f t="shared" si="219"/>
        <v>0</v>
      </c>
      <c r="AQ584" s="55">
        <f>IFERROR(VLOOKUP(A584,[1]SIIMPLES!$A$2:$F$418,6,FALSE),0)</f>
        <v>0</v>
      </c>
      <c r="AR584" s="55">
        <v>0</v>
      </c>
      <c r="AS584" s="55">
        <v>1</v>
      </c>
      <c r="AT584" s="55">
        <v>1</v>
      </c>
      <c r="AU584" s="55">
        <v>0</v>
      </c>
      <c r="AV584" s="55">
        <v>0</v>
      </c>
      <c r="AW584" s="55"/>
      <c r="AX584" s="55"/>
      <c r="AY584" s="56">
        <f t="shared" si="211"/>
        <v>0.1</v>
      </c>
      <c r="AZ584" s="55"/>
      <c r="BA584" s="56">
        <v>0</v>
      </c>
      <c r="BB584" s="41" t="str">
        <f t="shared" si="220"/>
        <v/>
      </c>
      <c r="BC584" s="13"/>
      <c r="BD584" s="35"/>
      <c r="BE584" s="13"/>
      <c r="BF584" s="16"/>
      <c r="BG584" s="17">
        <f t="shared" si="222"/>
        <v>0</v>
      </c>
      <c r="BH584" s="16">
        <f t="shared" si="221"/>
        <v>0.1</v>
      </c>
    </row>
    <row r="585" spans="1:60" s="21" customFormat="1" ht="12.75" customHeight="1" x14ac:dyDescent="0.2">
      <c r="A585" s="51">
        <v>4069</v>
      </c>
      <c r="B585" s="51"/>
      <c r="C585" s="66" t="s">
        <v>1803</v>
      </c>
      <c r="D585" s="52" t="s">
        <v>760</v>
      </c>
      <c r="E585" s="52" t="s">
        <v>736</v>
      </c>
      <c r="F585" s="53">
        <f>IFERROR(VLOOKUP(E585,Fornecedores!$A$2:$B$2700,2,FALSE),"")</f>
        <v>5</v>
      </c>
      <c r="G585" s="52" t="s">
        <v>1669</v>
      </c>
      <c r="H585" s="54"/>
      <c r="I585" s="55">
        <f t="shared" si="216"/>
        <v>0</v>
      </c>
      <c r="J585" s="55">
        <v>0</v>
      </c>
      <c r="K585" s="55">
        <v>0</v>
      </c>
      <c r="L585" s="55">
        <v>0</v>
      </c>
      <c r="M585" s="55">
        <v>0</v>
      </c>
      <c r="N585" s="55">
        <f t="shared" si="217"/>
        <v>0</v>
      </c>
      <c r="O585" s="55">
        <v>0</v>
      </c>
      <c r="P585" s="55">
        <v>0</v>
      </c>
      <c r="Q585" s="55">
        <v>0</v>
      </c>
      <c r="R585" s="55">
        <f t="shared" si="218"/>
        <v>0</v>
      </c>
      <c r="S585" s="55">
        <v>0</v>
      </c>
      <c r="T585" s="55">
        <v>0</v>
      </c>
      <c r="U585" s="55">
        <v>0</v>
      </c>
      <c r="V585" s="55">
        <v>0</v>
      </c>
      <c r="W585" s="53">
        <v>0</v>
      </c>
      <c r="X585" s="53">
        <v>0</v>
      </c>
      <c r="Y585" s="55">
        <v>0</v>
      </c>
      <c r="Z585" s="55">
        <v>0</v>
      </c>
      <c r="AA585" s="53">
        <v>0</v>
      </c>
      <c r="AB585" s="53">
        <v>0</v>
      </c>
      <c r="AC585" s="55">
        <v>0</v>
      </c>
      <c r="AD585" s="55">
        <f t="shared" si="208"/>
        <v>0</v>
      </c>
      <c r="AE585" s="53">
        <v>0</v>
      </c>
      <c r="AF585" s="55">
        <v>0</v>
      </c>
      <c r="AG585" s="55">
        <v>0</v>
      </c>
      <c r="AH585" s="55">
        <f t="shared" si="209"/>
        <v>0</v>
      </c>
      <c r="AI585" s="55">
        <v>0</v>
      </c>
      <c r="AJ585" s="55">
        <v>0</v>
      </c>
      <c r="AK585" s="55">
        <v>0</v>
      </c>
      <c r="AL585" s="55">
        <f t="shared" si="210"/>
        <v>0</v>
      </c>
      <c r="AM585" s="55" t="s">
        <v>1912</v>
      </c>
      <c r="AN585" s="55">
        <v>0</v>
      </c>
      <c r="AO585" s="55">
        <v>0</v>
      </c>
      <c r="AP585" s="55">
        <f t="shared" si="219"/>
        <v>0</v>
      </c>
      <c r="AQ585" s="55">
        <f>IFERROR(VLOOKUP(A585,[1]SIIMPLES!$A$2:$F$418,6,FALSE),0)</f>
        <v>0</v>
      </c>
      <c r="AR585" s="55">
        <v>0</v>
      </c>
      <c r="AS585" s="55">
        <v>0</v>
      </c>
      <c r="AT585" s="55">
        <v>0</v>
      </c>
      <c r="AU585" s="55">
        <v>0</v>
      </c>
      <c r="AV585" s="55">
        <v>0</v>
      </c>
      <c r="AW585" s="55"/>
      <c r="AX585" s="55"/>
      <c r="AY585" s="56">
        <f t="shared" si="211"/>
        <v>0</v>
      </c>
      <c r="AZ585" s="55"/>
      <c r="BA585" s="56">
        <v>0</v>
      </c>
      <c r="BB585" s="41" t="str">
        <f t="shared" si="220"/>
        <v/>
      </c>
      <c r="BC585" s="13"/>
      <c r="BD585" s="35"/>
      <c r="BE585" s="13"/>
      <c r="BF585" s="16"/>
      <c r="BG585" s="17" t="str">
        <f t="shared" si="222"/>
        <v>0</v>
      </c>
      <c r="BH585" s="16">
        <f t="shared" si="221"/>
        <v>0</v>
      </c>
    </row>
    <row r="586" spans="1:60" s="21" customFormat="1" ht="12.75" customHeight="1" x14ac:dyDescent="0.2">
      <c r="A586" s="50">
        <v>4070</v>
      </c>
      <c r="B586" s="51"/>
      <c r="C586" s="51" t="s">
        <v>1803</v>
      </c>
      <c r="D586" s="52" t="s">
        <v>760</v>
      </c>
      <c r="E586" s="52" t="s">
        <v>736</v>
      </c>
      <c r="F586" s="53">
        <f>IFERROR(VLOOKUP(E586,Fornecedores!$A$2:$B$2700,2,FALSE),"")</f>
        <v>5</v>
      </c>
      <c r="G586" s="52" t="s">
        <v>1668</v>
      </c>
      <c r="H586" s="54"/>
      <c r="I586" s="55">
        <f t="shared" si="216"/>
        <v>0</v>
      </c>
      <c r="J586" s="55">
        <v>0</v>
      </c>
      <c r="K586" s="55">
        <v>0</v>
      </c>
      <c r="L586" s="55">
        <v>0</v>
      </c>
      <c r="M586" s="55">
        <v>0</v>
      </c>
      <c r="N586" s="55">
        <f t="shared" si="217"/>
        <v>0</v>
      </c>
      <c r="O586" s="55">
        <v>0</v>
      </c>
      <c r="P586" s="55">
        <v>0</v>
      </c>
      <c r="Q586" s="55">
        <v>0</v>
      </c>
      <c r="R586" s="55">
        <f t="shared" si="218"/>
        <v>0</v>
      </c>
      <c r="S586" s="55">
        <v>0</v>
      </c>
      <c r="T586" s="55">
        <v>0</v>
      </c>
      <c r="U586" s="55">
        <v>0</v>
      </c>
      <c r="V586" s="55">
        <v>0</v>
      </c>
      <c r="W586" s="55"/>
      <c r="X586" s="53">
        <v>0</v>
      </c>
      <c r="Y586" s="55"/>
      <c r="Z586" s="55">
        <v>0</v>
      </c>
      <c r="AA586" s="55"/>
      <c r="AB586" s="53">
        <v>0</v>
      </c>
      <c r="AC586" s="55">
        <v>0</v>
      </c>
      <c r="AD586" s="55">
        <f t="shared" si="208"/>
        <v>0</v>
      </c>
      <c r="AE586" s="53">
        <f>IFERROR(VLOOKUP(A586,[4]simples!$A$1:$B$281,2,FALSE),0)</f>
        <v>0</v>
      </c>
      <c r="AF586" s="55">
        <v>0</v>
      </c>
      <c r="AG586" s="55">
        <v>0</v>
      </c>
      <c r="AH586" s="55">
        <f t="shared" si="209"/>
        <v>0</v>
      </c>
      <c r="AI586" s="55"/>
      <c r="AJ586" s="55">
        <v>0</v>
      </c>
      <c r="AK586" s="55"/>
      <c r="AL586" s="55">
        <f t="shared" si="210"/>
        <v>0</v>
      </c>
      <c r="AM586" s="55" t="s">
        <v>1912</v>
      </c>
      <c r="AN586" s="55">
        <v>0</v>
      </c>
      <c r="AO586" s="55">
        <v>0</v>
      </c>
      <c r="AP586" s="55">
        <f t="shared" si="219"/>
        <v>0</v>
      </c>
      <c r="AQ586" s="55">
        <f>IFERROR(VLOOKUP(A586,[1]SIIMPLES!$A$2:$F$418,6,FALSE),0)</f>
        <v>0</v>
      </c>
      <c r="AR586" s="55">
        <v>0</v>
      </c>
      <c r="AS586" s="55">
        <v>0</v>
      </c>
      <c r="AT586" s="55">
        <v>0</v>
      </c>
      <c r="AU586" s="55">
        <v>0</v>
      </c>
      <c r="AV586" s="55">
        <v>0</v>
      </c>
      <c r="AW586" s="55"/>
      <c r="AX586" s="55"/>
      <c r="AY586" s="56">
        <f t="shared" si="211"/>
        <v>0</v>
      </c>
      <c r="AZ586" s="55"/>
      <c r="BA586" s="56">
        <v>0</v>
      </c>
      <c r="BB586" s="41" t="str">
        <f t="shared" si="220"/>
        <v/>
      </c>
      <c r="BC586" s="13"/>
      <c r="BD586" s="35"/>
      <c r="BE586" s="7"/>
      <c r="BF586" s="16"/>
      <c r="BG586" s="17" t="str">
        <f t="shared" si="222"/>
        <v>0</v>
      </c>
      <c r="BH586" s="16"/>
    </row>
    <row r="587" spans="1:60" s="21" customFormat="1" ht="12.75" customHeight="1" x14ac:dyDescent="0.2">
      <c r="A587" s="50">
        <v>4074</v>
      </c>
      <c r="B587" s="51"/>
      <c r="C587" s="51" t="s">
        <v>1803</v>
      </c>
      <c r="D587" s="52" t="s">
        <v>760</v>
      </c>
      <c r="E587" s="52" t="s">
        <v>736</v>
      </c>
      <c r="F587" s="53">
        <f>IFERROR(VLOOKUP(E587,Fornecedores!$A$2:$B$2700,2,FALSE),"")</f>
        <v>5</v>
      </c>
      <c r="G587" s="52" t="s">
        <v>1666</v>
      </c>
      <c r="H587" s="54"/>
      <c r="I587" s="55">
        <f t="shared" si="216"/>
        <v>0</v>
      </c>
      <c r="J587" s="55">
        <v>0</v>
      </c>
      <c r="K587" s="55">
        <v>0</v>
      </c>
      <c r="L587" s="55">
        <v>0</v>
      </c>
      <c r="M587" s="55">
        <v>0</v>
      </c>
      <c r="N587" s="55">
        <f t="shared" si="217"/>
        <v>0</v>
      </c>
      <c r="O587" s="55">
        <v>0</v>
      </c>
      <c r="P587" s="55">
        <v>0</v>
      </c>
      <c r="Q587" s="55">
        <v>0</v>
      </c>
      <c r="R587" s="55">
        <f t="shared" si="218"/>
        <v>0</v>
      </c>
      <c r="S587" s="55">
        <v>0</v>
      </c>
      <c r="T587" s="55">
        <v>0</v>
      </c>
      <c r="U587" s="55">
        <v>0</v>
      </c>
      <c r="V587" s="55">
        <v>0</v>
      </c>
      <c r="W587" s="55"/>
      <c r="X587" s="53">
        <v>0</v>
      </c>
      <c r="Y587" s="55"/>
      <c r="Z587" s="55">
        <v>0</v>
      </c>
      <c r="AA587" s="55"/>
      <c r="AB587" s="53">
        <v>0</v>
      </c>
      <c r="AC587" s="55">
        <v>0</v>
      </c>
      <c r="AD587" s="55">
        <f t="shared" si="208"/>
        <v>0</v>
      </c>
      <c r="AE587" s="53">
        <f>IFERROR(VLOOKUP(A587,[4]simples!$A$1:$B$281,2,FALSE),0)</f>
        <v>0</v>
      </c>
      <c r="AF587" s="55">
        <v>0</v>
      </c>
      <c r="AG587" s="55">
        <v>0</v>
      </c>
      <c r="AH587" s="55">
        <f t="shared" si="209"/>
        <v>0</v>
      </c>
      <c r="AI587" s="55"/>
      <c r="AJ587" s="55">
        <v>0</v>
      </c>
      <c r="AK587" s="55"/>
      <c r="AL587" s="55">
        <f t="shared" si="210"/>
        <v>0</v>
      </c>
      <c r="AM587" s="55" t="s">
        <v>1912</v>
      </c>
      <c r="AN587" s="55">
        <v>0</v>
      </c>
      <c r="AO587" s="55">
        <v>0</v>
      </c>
      <c r="AP587" s="55">
        <f t="shared" si="219"/>
        <v>0</v>
      </c>
      <c r="AQ587" s="55">
        <f>IFERROR(VLOOKUP(A587,[1]SIIMPLES!$A$2:$F$418,6,FALSE),0)</f>
        <v>0</v>
      </c>
      <c r="AR587" s="55">
        <v>0</v>
      </c>
      <c r="AS587" s="55">
        <v>0</v>
      </c>
      <c r="AT587" s="55">
        <v>0</v>
      </c>
      <c r="AU587" s="55">
        <v>0</v>
      </c>
      <c r="AV587" s="55">
        <v>0</v>
      </c>
      <c r="AW587" s="55"/>
      <c r="AX587" s="55"/>
      <c r="AY587" s="56">
        <f t="shared" si="211"/>
        <v>0</v>
      </c>
      <c r="AZ587" s="55"/>
      <c r="BA587" s="56">
        <v>0</v>
      </c>
      <c r="BB587" s="41" t="e">
        <f>1-BA587/AY587</f>
        <v>#DIV/0!</v>
      </c>
      <c r="BC587" s="13"/>
      <c r="BD587" s="35"/>
      <c r="BE587" s="13"/>
      <c r="BF587" s="16"/>
      <c r="BG587" s="17" t="str">
        <f t="shared" si="222"/>
        <v>0</v>
      </c>
      <c r="BH587" s="16">
        <f t="shared" ref="BH587:BH603" si="223">IFERROR(IF(F587=1,IF(BC587&lt;AY587*3,AY587*3-BC587,0),IF(BC587&lt;AY587,AY587-BC587,0)),"")</f>
        <v>0</v>
      </c>
    </row>
    <row r="588" spans="1:60" s="21" customFormat="1" ht="12.75" customHeight="1" x14ac:dyDescent="0.2">
      <c r="A588" s="50">
        <v>4075</v>
      </c>
      <c r="B588" s="51"/>
      <c r="C588" s="51" t="s">
        <v>1803</v>
      </c>
      <c r="D588" s="52" t="s">
        <v>760</v>
      </c>
      <c r="E588" s="52" t="s">
        <v>736</v>
      </c>
      <c r="F588" s="53">
        <f>IFERROR(VLOOKUP(E588,Fornecedores!$A$2:$B$2700,2,FALSE),"")</f>
        <v>5</v>
      </c>
      <c r="G588" s="52" t="s">
        <v>1665</v>
      </c>
      <c r="H588" s="54"/>
      <c r="I588" s="55">
        <f t="shared" si="216"/>
        <v>0</v>
      </c>
      <c r="J588" s="55">
        <v>0</v>
      </c>
      <c r="K588" s="55">
        <v>0</v>
      </c>
      <c r="L588" s="55">
        <v>0</v>
      </c>
      <c r="M588" s="55">
        <v>0</v>
      </c>
      <c r="N588" s="55">
        <f t="shared" si="217"/>
        <v>0</v>
      </c>
      <c r="O588" s="55">
        <v>0</v>
      </c>
      <c r="P588" s="55">
        <v>0</v>
      </c>
      <c r="Q588" s="55">
        <v>0</v>
      </c>
      <c r="R588" s="55">
        <f t="shared" si="218"/>
        <v>0</v>
      </c>
      <c r="S588" s="55">
        <v>0</v>
      </c>
      <c r="T588" s="55">
        <v>0</v>
      </c>
      <c r="U588" s="55">
        <v>0</v>
      </c>
      <c r="V588" s="55">
        <v>0</v>
      </c>
      <c r="W588" s="55"/>
      <c r="X588" s="53">
        <v>0</v>
      </c>
      <c r="Y588" s="55"/>
      <c r="Z588" s="55">
        <v>0</v>
      </c>
      <c r="AA588" s="55"/>
      <c r="AB588" s="53">
        <v>0</v>
      </c>
      <c r="AC588" s="55">
        <v>0</v>
      </c>
      <c r="AD588" s="55">
        <f t="shared" si="208"/>
        <v>0</v>
      </c>
      <c r="AE588" s="53">
        <f>IFERROR(VLOOKUP(A588,[4]simples!$A$1:$B$281,2,FALSE),0)</f>
        <v>0</v>
      </c>
      <c r="AF588" s="55">
        <v>0</v>
      </c>
      <c r="AG588" s="55">
        <v>0</v>
      </c>
      <c r="AH588" s="55">
        <f t="shared" si="209"/>
        <v>0</v>
      </c>
      <c r="AI588" s="55"/>
      <c r="AJ588" s="55">
        <v>0</v>
      </c>
      <c r="AK588" s="55"/>
      <c r="AL588" s="55">
        <f t="shared" si="210"/>
        <v>0</v>
      </c>
      <c r="AM588" s="55" t="s">
        <v>1912</v>
      </c>
      <c r="AN588" s="55">
        <v>0</v>
      </c>
      <c r="AO588" s="55">
        <v>0</v>
      </c>
      <c r="AP588" s="55">
        <f t="shared" si="219"/>
        <v>0</v>
      </c>
      <c r="AQ588" s="55">
        <f>IFERROR(VLOOKUP(A588,[1]SIIMPLES!$A$2:$F$418,6,FALSE),0)</f>
        <v>0</v>
      </c>
      <c r="AR588" s="55">
        <v>0</v>
      </c>
      <c r="AS588" s="55">
        <v>0</v>
      </c>
      <c r="AT588" s="55">
        <v>0</v>
      </c>
      <c r="AU588" s="55">
        <v>0</v>
      </c>
      <c r="AV588" s="55">
        <v>0</v>
      </c>
      <c r="AW588" s="55"/>
      <c r="AX588" s="55"/>
      <c r="AY588" s="56">
        <f t="shared" si="211"/>
        <v>0</v>
      </c>
      <c r="AZ588" s="55"/>
      <c r="BA588" s="56">
        <v>0</v>
      </c>
      <c r="BB588" s="41" t="str">
        <f t="shared" ref="BB588:BB616" si="224">IFERROR(AY588/BA588-1,"")</f>
        <v/>
      </c>
      <c r="BC588" s="13"/>
      <c r="BD588" s="35"/>
      <c r="BE588" s="13"/>
      <c r="BF588" s="16">
        <f>SUM(BC588:BE588)</f>
        <v>0</v>
      </c>
      <c r="BG588" s="17" t="str">
        <f t="shared" si="222"/>
        <v>0</v>
      </c>
      <c r="BH588" s="16">
        <f t="shared" si="223"/>
        <v>0</v>
      </c>
    </row>
    <row r="589" spans="1:60" s="21" customFormat="1" ht="12.75" customHeight="1" x14ac:dyDescent="0.2">
      <c r="A589" s="51">
        <v>4078</v>
      </c>
      <c r="B589" s="51"/>
      <c r="C589" s="66" t="s">
        <v>1803</v>
      </c>
      <c r="D589" s="52" t="s">
        <v>760</v>
      </c>
      <c r="E589" s="52" t="s">
        <v>736</v>
      </c>
      <c r="F589" s="53">
        <f>IFERROR(VLOOKUP(E589,Fornecedores!$A$2:$B$2700,2,FALSE),"")</f>
        <v>5</v>
      </c>
      <c r="G589" s="52" t="s">
        <v>1594</v>
      </c>
      <c r="H589" s="57"/>
      <c r="I589" s="55">
        <f t="shared" si="216"/>
        <v>1</v>
      </c>
      <c r="J589" s="55">
        <v>1</v>
      </c>
      <c r="K589" s="55">
        <v>0</v>
      </c>
      <c r="L589" s="55">
        <v>0</v>
      </c>
      <c r="M589" s="55">
        <v>0</v>
      </c>
      <c r="N589" s="55">
        <f t="shared" si="217"/>
        <v>0</v>
      </c>
      <c r="O589" s="55">
        <v>0</v>
      </c>
      <c r="P589" s="55">
        <v>0</v>
      </c>
      <c r="Q589" s="55">
        <v>0</v>
      </c>
      <c r="R589" s="55">
        <f t="shared" si="218"/>
        <v>0</v>
      </c>
      <c r="S589" s="55">
        <v>0</v>
      </c>
      <c r="T589" s="55">
        <v>0</v>
      </c>
      <c r="U589" s="55">
        <v>0</v>
      </c>
      <c r="V589" s="55">
        <v>0</v>
      </c>
      <c r="W589" s="53">
        <v>0</v>
      </c>
      <c r="X589" s="53">
        <v>0</v>
      </c>
      <c r="Y589" s="55">
        <v>0</v>
      </c>
      <c r="Z589" s="55">
        <v>1</v>
      </c>
      <c r="AA589" s="53">
        <v>1</v>
      </c>
      <c r="AB589" s="53">
        <v>0</v>
      </c>
      <c r="AC589" s="55">
        <v>0</v>
      </c>
      <c r="AD589" s="55">
        <f t="shared" si="208"/>
        <v>1</v>
      </c>
      <c r="AE589" s="53">
        <v>1</v>
      </c>
      <c r="AF589" s="55">
        <v>0</v>
      </c>
      <c r="AG589" s="55">
        <v>0</v>
      </c>
      <c r="AH589" s="55">
        <f t="shared" si="209"/>
        <v>3</v>
      </c>
      <c r="AI589" s="55">
        <v>3</v>
      </c>
      <c r="AJ589" s="55">
        <v>0</v>
      </c>
      <c r="AK589" s="55">
        <v>0</v>
      </c>
      <c r="AL589" s="55">
        <f t="shared" si="210"/>
        <v>2</v>
      </c>
      <c r="AM589" s="55">
        <v>2</v>
      </c>
      <c r="AN589" s="55">
        <v>0</v>
      </c>
      <c r="AO589" s="55">
        <v>0</v>
      </c>
      <c r="AP589" s="55">
        <f t="shared" si="219"/>
        <v>0</v>
      </c>
      <c r="AQ589" s="55">
        <f>IFERROR(VLOOKUP(A589,[1]SIIMPLES!$A$2:$F$418,6,FALSE),0)</f>
        <v>0</v>
      </c>
      <c r="AR589" s="55">
        <v>0</v>
      </c>
      <c r="AS589" s="55">
        <v>0</v>
      </c>
      <c r="AT589" s="55">
        <v>0</v>
      </c>
      <c r="AU589" s="55">
        <v>0</v>
      </c>
      <c r="AV589" s="55">
        <v>0</v>
      </c>
      <c r="AW589" s="55"/>
      <c r="AX589" s="55"/>
      <c r="AY589" s="56">
        <f t="shared" si="211"/>
        <v>0.8</v>
      </c>
      <c r="AZ589" s="55"/>
      <c r="BA589" s="56">
        <v>0.5</v>
      </c>
      <c r="BB589" s="41">
        <f t="shared" si="224"/>
        <v>0.60000000000000009</v>
      </c>
      <c r="BC589" s="13"/>
      <c r="BD589" s="35"/>
      <c r="BE589" s="13"/>
      <c r="BF589" s="16">
        <f>SUM(BC589:BE589)</f>
        <v>0</v>
      </c>
      <c r="BG589" s="17">
        <f t="shared" si="222"/>
        <v>0</v>
      </c>
      <c r="BH589" s="16">
        <f t="shared" si="223"/>
        <v>0.8</v>
      </c>
    </row>
    <row r="590" spans="1:60" s="21" customFormat="1" ht="12.75" customHeight="1" x14ac:dyDescent="0.2">
      <c r="A590" s="51">
        <v>4082</v>
      </c>
      <c r="B590" s="51"/>
      <c r="C590" s="66" t="s">
        <v>1803</v>
      </c>
      <c r="D590" s="52" t="s">
        <v>760</v>
      </c>
      <c r="E590" s="52" t="s">
        <v>736</v>
      </c>
      <c r="F590" s="53">
        <f>IFERROR(VLOOKUP(E590,Fornecedores!$A$2:$B$2700,2,FALSE),"")</f>
        <v>5</v>
      </c>
      <c r="G590" s="52" t="s">
        <v>1664</v>
      </c>
      <c r="H590" s="57"/>
      <c r="I590" s="55">
        <f t="shared" si="216"/>
        <v>0</v>
      </c>
      <c r="J590" s="55">
        <v>0</v>
      </c>
      <c r="K590" s="55">
        <v>0</v>
      </c>
      <c r="L590" s="55">
        <v>0</v>
      </c>
      <c r="M590" s="55">
        <v>0</v>
      </c>
      <c r="N590" s="55">
        <f t="shared" si="217"/>
        <v>0</v>
      </c>
      <c r="O590" s="55">
        <v>0</v>
      </c>
      <c r="P590" s="55">
        <v>0</v>
      </c>
      <c r="Q590" s="55">
        <v>0</v>
      </c>
      <c r="R590" s="55">
        <f t="shared" si="218"/>
        <v>0</v>
      </c>
      <c r="S590" s="55">
        <v>0</v>
      </c>
      <c r="T590" s="55">
        <v>0</v>
      </c>
      <c r="U590" s="55">
        <v>0</v>
      </c>
      <c r="V590" s="55">
        <v>0</v>
      </c>
      <c r="W590" s="53">
        <v>0</v>
      </c>
      <c r="X590" s="53">
        <v>0</v>
      </c>
      <c r="Y590" s="55">
        <v>0</v>
      </c>
      <c r="Z590" s="55">
        <v>0</v>
      </c>
      <c r="AA590" s="53">
        <v>0</v>
      </c>
      <c r="AB590" s="53">
        <v>0</v>
      </c>
      <c r="AC590" s="55">
        <v>0</v>
      </c>
      <c r="AD590" s="55">
        <f t="shared" si="208"/>
        <v>0</v>
      </c>
      <c r="AE590" s="53">
        <v>0</v>
      </c>
      <c r="AF590" s="55">
        <v>0</v>
      </c>
      <c r="AG590" s="55">
        <v>0</v>
      </c>
      <c r="AH590" s="55">
        <f t="shared" si="209"/>
        <v>0</v>
      </c>
      <c r="AI590" s="55">
        <v>0</v>
      </c>
      <c r="AJ590" s="55">
        <v>0</v>
      </c>
      <c r="AK590" s="55">
        <v>0</v>
      </c>
      <c r="AL590" s="55">
        <f t="shared" si="210"/>
        <v>0</v>
      </c>
      <c r="AM590" s="55" t="s">
        <v>1912</v>
      </c>
      <c r="AN590" s="55">
        <v>0</v>
      </c>
      <c r="AO590" s="55">
        <v>0</v>
      </c>
      <c r="AP590" s="55">
        <f t="shared" si="219"/>
        <v>0</v>
      </c>
      <c r="AQ590" s="55">
        <f>IFERROR(VLOOKUP(A590,[1]SIIMPLES!$A$2:$F$418,6,FALSE),0)</f>
        <v>0</v>
      </c>
      <c r="AR590" s="55">
        <v>0</v>
      </c>
      <c r="AS590" s="55">
        <v>9</v>
      </c>
      <c r="AT590" s="55">
        <v>9</v>
      </c>
      <c r="AU590" s="55">
        <v>0</v>
      </c>
      <c r="AV590" s="55">
        <v>0</v>
      </c>
      <c r="AW590" s="55"/>
      <c r="AX590" s="55"/>
      <c r="AY590" s="56">
        <f t="shared" si="211"/>
        <v>0.9</v>
      </c>
      <c r="AZ590" s="55"/>
      <c r="BA590" s="56">
        <v>1</v>
      </c>
      <c r="BB590" s="41">
        <f t="shared" si="224"/>
        <v>-9.9999999999999978E-2</v>
      </c>
      <c r="BC590" s="13"/>
      <c r="BD590" s="35"/>
      <c r="BE590" s="13"/>
      <c r="BF590" s="16"/>
      <c r="BG590" s="17">
        <f t="shared" si="222"/>
        <v>0</v>
      </c>
      <c r="BH590" s="16">
        <f t="shared" si="223"/>
        <v>0.9</v>
      </c>
    </row>
    <row r="591" spans="1:60" s="21" customFormat="1" ht="12.75" customHeight="1" x14ac:dyDescent="0.2">
      <c r="A591" s="51">
        <v>4084</v>
      </c>
      <c r="B591" s="51" t="s">
        <v>1077</v>
      </c>
      <c r="C591" s="66" t="s">
        <v>1803</v>
      </c>
      <c r="D591" s="52" t="s">
        <v>760</v>
      </c>
      <c r="E591" s="52" t="s">
        <v>736</v>
      </c>
      <c r="F591" s="53">
        <f>IFERROR(VLOOKUP(E591,Fornecedores!$A$2:$B$2700,2,FALSE),"")</f>
        <v>5</v>
      </c>
      <c r="G591" s="52" t="s">
        <v>915</v>
      </c>
      <c r="H591" s="57"/>
      <c r="I591" s="55">
        <f t="shared" si="216"/>
        <v>0</v>
      </c>
      <c r="J591" s="55">
        <v>0</v>
      </c>
      <c r="K591" s="55">
        <v>0</v>
      </c>
      <c r="L591" s="55">
        <v>0</v>
      </c>
      <c r="M591" s="55">
        <v>0</v>
      </c>
      <c r="N591" s="55">
        <f t="shared" si="217"/>
        <v>2</v>
      </c>
      <c r="O591" s="55">
        <v>2</v>
      </c>
      <c r="P591" s="55">
        <v>0</v>
      </c>
      <c r="Q591" s="55">
        <v>0</v>
      </c>
      <c r="R591" s="55">
        <f t="shared" si="218"/>
        <v>0</v>
      </c>
      <c r="S591" s="55">
        <v>0</v>
      </c>
      <c r="T591" s="55">
        <v>0</v>
      </c>
      <c r="U591" s="55">
        <v>0</v>
      </c>
      <c r="V591" s="55">
        <v>0</v>
      </c>
      <c r="W591" s="53">
        <v>0</v>
      </c>
      <c r="X591" s="53">
        <v>0</v>
      </c>
      <c r="Y591" s="55">
        <v>0</v>
      </c>
      <c r="Z591" s="55">
        <v>0</v>
      </c>
      <c r="AA591" s="53">
        <v>0</v>
      </c>
      <c r="AB591" s="53">
        <v>0</v>
      </c>
      <c r="AC591" s="55">
        <v>0</v>
      </c>
      <c r="AD591" s="55">
        <f t="shared" si="208"/>
        <v>0</v>
      </c>
      <c r="AE591" s="53">
        <v>0</v>
      </c>
      <c r="AF591" s="55">
        <v>0</v>
      </c>
      <c r="AG591" s="55">
        <v>0</v>
      </c>
      <c r="AH591" s="55">
        <f t="shared" si="209"/>
        <v>3</v>
      </c>
      <c r="AI591" s="55">
        <v>3</v>
      </c>
      <c r="AJ591" s="55">
        <v>0</v>
      </c>
      <c r="AK591" s="55">
        <v>0</v>
      </c>
      <c r="AL591" s="55">
        <f t="shared" si="210"/>
        <v>5</v>
      </c>
      <c r="AM591" s="55">
        <v>5</v>
      </c>
      <c r="AN591" s="55">
        <v>0</v>
      </c>
      <c r="AO591" s="55">
        <v>0</v>
      </c>
      <c r="AP591" s="55">
        <f t="shared" si="219"/>
        <v>0</v>
      </c>
      <c r="AQ591" s="55">
        <f>IFERROR(VLOOKUP(A591,[1]SIIMPLES!$A$2:$F$418,6,FALSE),0)</f>
        <v>0</v>
      </c>
      <c r="AR591" s="55">
        <v>0</v>
      </c>
      <c r="AS591" s="55">
        <v>0</v>
      </c>
      <c r="AT591" s="55">
        <v>0</v>
      </c>
      <c r="AU591" s="55">
        <v>0</v>
      </c>
      <c r="AV591" s="55">
        <v>0</v>
      </c>
      <c r="AW591" s="55"/>
      <c r="AX591" s="55"/>
      <c r="AY591" s="56">
        <f t="shared" si="211"/>
        <v>1</v>
      </c>
      <c r="AZ591" s="55"/>
      <c r="BA591" s="56">
        <v>1</v>
      </c>
      <c r="BB591" s="41">
        <f t="shared" si="224"/>
        <v>0</v>
      </c>
      <c r="BC591" s="13"/>
      <c r="BD591" s="35"/>
      <c r="BE591" s="13"/>
      <c r="BF591" s="16"/>
      <c r="BG591" s="17">
        <f t="shared" si="222"/>
        <v>0</v>
      </c>
      <c r="BH591" s="16">
        <f t="shared" si="223"/>
        <v>1</v>
      </c>
    </row>
    <row r="592" spans="1:60" s="21" customFormat="1" ht="12.75" customHeight="1" x14ac:dyDescent="0.2">
      <c r="A592" s="51">
        <v>5001</v>
      </c>
      <c r="B592" s="51"/>
      <c r="C592" s="66" t="s">
        <v>1803</v>
      </c>
      <c r="D592" s="52" t="s">
        <v>735</v>
      </c>
      <c r="E592" s="52" t="s">
        <v>736</v>
      </c>
      <c r="F592" s="53">
        <f>IFERROR(VLOOKUP(E592,Fornecedores!$A$2:$B$2700,2,FALSE),"")</f>
        <v>5</v>
      </c>
      <c r="G592" s="52" t="s">
        <v>51</v>
      </c>
      <c r="H592" s="54"/>
      <c r="I592" s="55">
        <f t="shared" si="216"/>
        <v>0</v>
      </c>
      <c r="J592" s="55">
        <v>0</v>
      </c>
      <c r="K592" s="55">
        <v>0</v>
      </c>
      <c r="L592" s="55">
        <v>0</v>
      </c>
      <c r="M592" s="55">
        <v>0</v>
      </c>
      <c r="N592" s="55">
        <f t="shared" si="217"/>
        <v>0</v>
      </c>
      <c r="O592" s="55">
        <v>0</v>
      </c>
      <c r="P592" s="55">
        <v>0</v>
      </c>
      <c r="Q592" s="55">
        <v>0</v>
      </c>
      <c r="R592" s="55">
        <f t="shared" si="218"/>
        <v>0</v>
      </c>
      <c r="S592" s="55">
        <v>0</v>
      </c>
      <c r="T592" s="55">
        <v>0</v>
      </c>
      <c r="U592" s="55">
        <v>0</v>
      </c>
      <c r="V592" s="55">
        <v>0</v>
      </c>
      <c r="W592" s="53">
        <v>0</v>
      </c>
      <c r="X592" s="53">
        <v>0</v>
      </c>
      <c r="Y592" s="55">
        <v>0</v>
      </c>
      <c r="Z592" s="55">
        <v>0</v>
      </c>
      <c r="AA592" s="53">
        <v>0</v>
      </c>
      <c r="AB592" s="53">
        <v>0</v>
      </c>
      <c r="AC592" s="55">
        <v>0</v>
      </c>
      <c r="AD592" s="55">
        <f t="shared" si="208"/>
        <v>0</v>
      </c>
      <c r="AE592" s="53">
        <v>0</v>
      </c>
      <c r="AF592" s="55">
        <v>0</v>
      </c>
      <c r="AG592" s="55">
        <v>0</v>
      </c>
      <c r="AH592" s="55">
        <f t="shared" si="209"/>
        <v>0</v>
      </c>
      <c r="AI592" s="55">
        <v>0</v>
      </c>
      <c r="AJ592" s="55">
        <v>0</v>
      </c>
      <c r="AK592" s="55">
        <v>0</v>
      </c>
      <c r="AL592" s="55">
        <f t="shared" si="210"/>
        <v>0</v>
      </c>
      <c r="AM592" s="55" t="s">
        <v>1912</v>
      </c>
      <c r="AN592" s="55">
        <v>0</v>
      </c>
      <c r="AO592" s="55">
        <v>0</v>
      </c>
      <c r="AP592" s="55">
        <f t="shared" si="219"/>
        <v>0</v>
      </c>
      <c r="AQ592" s="55">
        <f>IFERROR(VLOOKUP(A592,[1]SIIMPLES!$A$2:$F$418,6,FALSE),0)</f>
        <v>0</v>
      </c>
      <c r="AR592" s="55">
        <v>0</v>
      </c>
      <c r="AS592" s="55">
        <v>0</v>
      </c>
      <c r="AT592" s="55">
        <v>0</v>
      </c>
      <c r="AU592" s="55">
        <v>0</v>
      </c>
      <c r="AV592" s="55">
        <v>0</v>
      </c>
      <c r="AW592" s="55"/>
      <c r="AX592" s="55"/>
      <c r="AY592" s="56">
        <f t="shared" si="211"/>
        <v>0</v>
      </c>
      <c r="AZ592" s="55"/>
      <c r="BA592" s="56">
        <v>2.3333333333333335</v>
      </c>
      <c r="BB592" s="41">
        <f t="shared" si="224"/>
        <v>-1</v>
      </c>
      <c r="BC592" s="7"/>
      <c r="BD592" s="35"/>
      <c r="BE592" s="13"/>
      <c r="BF592" s="16"/>
      <c r="BG592" s="17" t="str">
        <f t="shared" si="222"/>
        <v>0</v>
      </c>
      <c r="BH592" s="16">
        <f t="shared" si="223"/>
        <v>0</v>
      </c>
    </row>
    <row r="593" spans="1:60" s="21" customFormat="1" ht="12.75" customHeight="1" x14ac:dyDescent="0.2">
      <c r="A593" s="50">
        <v>5005</v>
      </c>
      <c r="B593" s="51"/>
      <c r="C593" s="51" t="s">
        <v>1803</v>
      </c>
      <c r="D593" s="52" t="s">
        <v>735</v>
      </c>
      <c r="E593" s="52" t="s">
        <v>736</v>
      </c>
      <c r="F593" s="53">
        <f>IFERROR(VLOOKUP(E593,Fornecedores!$A$2:$B$2700,2,FALSE),"")</f>
        <v>5</v>
      </c>
      <c r="G593" s="52" t="s">
        <v>967</v>
      </c>
      <c r="H593" s="54"/>
      <c r="I593" s="55">
        <f t="shared" si="216"/>
        <v>0</v>
      </c>
      <c r="J593" s="55">
        <v>0</v>
      </c>
      <c r="K593" s="55">
        <v>0</v>
      </c>
      <c r="L593" s="55">
        <v>0</v>
      </c>
      <c r="M593" s="55">
        <v>0</v>
      </c>
      <c r="N593" s="55">
        <f t="shared" si="217"/>
        <v>0</v>
      </c>
      <c r="O593" s="55">
        <v>0</v>
      </c>
      <c r="P593" s="55">
        <v>0</v>
      </c>
      <c r="Q593" s="55">
        <v>0</v>
      </c>
      <c r="R593" s="55">
        <f t="shared" si="218"/>
        <v>0</v>
      </c>
      <c r="S593" s="55">
        <v>0</v>
      </c>
      <c r="T593" s="55">
        <v>0</v>
      </c>
      <c r="U593" s="55">
        <v>0</v>
      </c>
      <c r="V593" s="55">
        <v>0</v>
      </c>
      <c r="W593" s="53">
        <v>0</v>
      </c>
      <c r="X593" s="53">
        <v>0</v>
      </c>
      <c r="Y593" s="55">
        <v>0</v>
      </c>
      <c r="Z593" s="55">
        <v>0</v>
      </c>
      <c r="AA593" s="53">
        <v>0</v>
      </c>
      <c r="AB593" s="53">
        <v>0</v>
      </c>
      <c r="AC593" s="55">
        <v>0</v>
      </c>
      <c r="AD593" s="55">
        <f t="shared" si="208"/>
        <v>0</v>
      </c>
      <c r="AE593" s="53">
        <f>IFERROR(VLOOKUP(A593,[4]simples!$A$1:$B$281,2,FALSE),0)</f>
        <v>0</v>
      </c>
      <c r="AF593" s="55">
        <v>0</v>
      </c>
      <c r="AG593" s="55">
        <v>0</v>
      </c>
      <c r="AH593" s="55">
        <f t="shared" si="209"/>
        <v>0</v>
      </c>
      <c r="AI593" s="55"/>
      <c r="AJ593" s="55">
        <v>0</v>
      </c>
      <c r="AK593" s="55"/>
      <c r="AL593" s="55">
        <f t="shared" si="210"/>
        <v>0</v>
      </c>
      <c r="AM593" s="55" t="s">
        <v>1912</v>
      </c>
      <c r="AN593" s="55">
        <v>0</v>
      </c>
      <c r="AO593" s="55">
        <v>0</v>
      </c>
      <c r="AP593" s="55">
        <f t="shared" si="219"/>
        <v>0</v>
      </c>
      <c r="AQ593" s="55">
        <f>IFERROR(VLOOKUP(A593,[1]SIIMPLES!$A$2:$F$418,6,FALSE),0)</f>
        <v>0</v>
      </c>
      <c r="AR593" s="55">
        <v>0</v>
      </c>
      <c r="AS593" s="55">
        <v>0</v>
      </c>
      <c r="AT593" s="55">
        <v>0</v>
      </c>
      <c r="AU593" s="55">
        <v>0</v>
      </c>
      <c r="AV593" s="55">
        <v>0</v>
      </c>
      <c r="AW593" s="55"/>
      <c r="AX593" s="55"/>
      <c r="AY593" s="56">
        <f t="shared" si="211"/>
        <v>0</v>
      </c>
      <c r="AZ593" s="55" t="s">
        <v>1619</v>
      </c>
      <c r="BA593" s="56">
        <v>0</v>
      </c>
      <c r="BB593" s="41" t="str">
        <f t="shared" si="224"/>
        <v/>
      </c>
      <c r="BC593" s="13"/>
      <c r="BD593" s="35"/>
      <c r="BE593" s="13"/>
      <c r="BF593" s="16">
        <f t="shared" ref="BF593:BF599" si="225">SUM(BC593:BE593)</f>
        <v>0</v>
      </c>
      <c r="BG593" s="17" t="str">
        <f t="shared" si="222"/>
        <v>0</v>
      </c>
      <c r="BH593" s="16">
        <f t="shared" si="223"/>
        <v>0</v>
      </c>
    </row>
    <row r="594" spans="1:60" s="21" customFormat="1" ht="12.75" customHeight="1" x14ac:dyDescent="0.2">
      <c r="A594" s="51">
        <v>5009</v>
      </c>
      <c r="B594" s="51"/>
      <c r="C594" s="66" t="s">
        <v>1803</v>
      </c>
      <c r="D594" s="52" t="s">
        <v>735</v>
      </c>
      <c r="E594" s="52" t="s">
        <v>736</v>
      </c>
      <c r="F594" s="53">
        <f>IFERROR(VLOOKUP(E594,Fornecedores!$A$2:$B$2700,2,FALSE),"")</f>
        <v>5</v>
      </c>
      <c r="G594" s="52" t="s">
        <v>615</v>
      </c>
      <c r="H594" s="54"/>
      <c r="I594" s="55">
        <f t="shared" si="216"/>
        <v>0</v>
      </c>
      <c r="J594" s="55">
        <v>0</v>
      </c>
      <c r="K594" s="55">
        <v>0</v>
      </c>
      <c r="L594" s="55">
        <v>0</v>
      </c>
      <c r="M594" s="55">
        <v>0</v>
      </c>
      <c r="N594" s="55">
        <f t="shared" si="217"/>
        <v>6</v>
      </c>
      <c r="O594" s="55">
        <v>0</v>
      </c>
      <c r="P594" s="55">
        <v>6</v>
      </c>
      <c r="Q594" s="55">
        <v>0</v>
      </c>
      <c r="R594" s="55">
        <f t="shared" si="218"/>
        <v>2</v>
      </c>
      <c r="S594" s="55">
        <v>0</v>
      </c>
      <c r="T594" s="55">
        <v>2</v>
      </c>
      <c r="U594" s="55">
        <v>0</v>
      </c>
      <c r="V594" s="55">
        <v>4</v>
      </c>
      <c r="W594" s="53">
        <v>0</v>
      </c>
      <c r="X594" s="53">
        <v>4</v>
      </c>
      <c r="Y594" s="55">
        <v>0</v>
      </c>
      <c r="Z594" s="55">
        <v>2</v>
      </c>
      <c r="AA594" s="53">
        <v>0</v>
      </c>
      <c r="AB594" s="53">
        <v>2</v>
      </c>
      <c r="AC594" s="55">
        <v>0</v>
      </c>
      <c r="AD594" s="55">
        <f t="shared" si="208"/>
        <v>8</v>
      </c>
      <c r="AE594" s="53">
        <v>0</v>
      </c>
      <c r="AF594" s="55">
        <v>8</v>
      </c>
      <c r="AG594" s="55">
        <v>0</v>
      </c>
      <c r="AH594" s="55">
        <f t="shared" si="209"/>
        <v>2</v>
      </c>
      <c r="AI594" s="55">
        <v>0</v>
      </c>
      <c r="AJ594" s="55">
        <v>2</v>
      </c>
      <c r="AK594" s="55">
        <v>0</v>
      </c>
      <c r="AL594" s="55">
        <f t="shared" si="210"/>
        <v>0</v>
      </c>
      <c r="AM594" s="55" t="s">
        <v>1912</v>
      </c>
      <c r="AN594" s="55">
        <v>0</v>
      </c>
      <c r="AO594" s="55">
        <v>0</v>
      </c>
      <c r="AP594" s="55">
        <f t="shared" si="219"/>
        <v>0</v>
      </c>
      <c r="AQ594" s="55">
        <f>IFERROR(VLOOKUP(A594,[1]SIIMPLES!$A$2:$F$418,6,FALSE),0)</f>
        <v>0</v>
      </c>
      <c r="AR594" s="55">
        <v>0</v>
      </c>
      <c r="AS594" s="55">
        <v>2</v>
      </c>
      <c r="AT594" s="55">
        <v>0</v>
      </c>
      <c r="AU594" s="55">
        <v>0</v>
      </c>
      <c r="AV594" s="55">
        <v>2</v>
      </c>
      <c r="AW594" s="55"/>
      <c r="AX594" s="55"/>
      <c r="AY594" s="56">
        <f t="shared" si="211"/>
        <v>2.6</v>
      </c>
      <c r="AZ594" s="55"/>
      <c r="BA594" s="56">
        <v>9</v>
      </c>
      <c r="BB594" s="41">
        <f t="shared" si="224"/>
        <v>-0.71111111111111103</v>
      </c>
      <c r="BC594" s="13"/>
      <c r="BD594" s="35"/>
      <c r="BE594" s="13"/>
      <c r="BF594" s="16">
        <f t="shared" si="225"/>
        <v>0</v>
      </c>
      <c r="BG594" s="17">
        <f t="shared" si="222"/>
        <v>0</v>
      </c>
      <c r="BH594" s="16">
        <f t="shared" si="223"/>
        <v>2.6</v>
      </c>
    </row>
    <row r="595" spans="1:60" s="21" customFormat="1" ht="12.75" customHeight="1" x14ac:dyDescent="0.2">
      <c r="A595" s="51">
        <v>5010</v>
      </c>
      <c r="B595" s="51"/>
      <c r="C595" s="66" t="s">
        <v>1803</v>
      </c>
      <c r="D595" s="52" t="s">
        <v>735</v>
      </c>
      <c r="E595" s="52" t="s">
        <v>736</v>
      </c>
      <c r="F595" s="53">
        <f>IFERROR(VLOOKUP(E595,Fornecedores!$A$2:$B$2700,2,FALSE),"")</f>
        <v>5</v>
      </c>
      <c r="G595" s="52" t="s">
        <v>152</v>
      </c>
      <c r="H595" s="54"/>
      <c r="I595" s="55">
        <f t="shared" ref="I595:I626" si="226">SUM(J595:M595)</f>
        <v>0</v>
      </c>
      <c r="J595" s="55">
        <v>0</v>
      </c>
      <c r="K595" s="55">
        <v>0</v>
      </c>
      <c r="L595" s="55">
        <v>0</v>
      </c>
      <c r="M595" s="55">
        <v>0</v>
      </c>
      <c r="N595" s="55">
        <f t="shared" ref="N595:N626" si="227">SUM(O595:Q595)</f>
        <v>0</v>
      </c>
      <c r="O595" s="55">
        <v>0</v>
      </c>
      <c r="P595" s="55">
        <v>0</v>
      </c>
      <c r="Q595" s="55">
        <v>0</v>
      </c>
      <c r="R595" s="55">
        <f t="shared" ref="R595:R626" si="228">SUM(S595:U595)</f>
        <v>0</v>
      </c>
      <c r="S595" s="55">
        <v>0</v>
      </c>
      <c r="T595" s="55">
        <v>0</v>
      </c>
      <c r="U595" s="55">
        <v>0</v>
      </c>
      <c r="V595" s="55">
        <v>0</v>
      </c>
      <c r="W595" s="53">
        <v>0</v>
      </c>
      <c r="X595" s="53">
        <v>0</v>
      </c>
      <c r="Y595" s="55">
        <v>0</v>
      </c>
      <c r="Z595" s="55">
        <v>0</v>
      </c>
      <c r="AA595" s="53">
        <v>0</v>
      </c>
      <c r="AB595" s="53">
        <v>0</v>
      </c>
      <c r="AC595" s="55">
        <v>0</v>
      </c>
      <c r="AD595" s="55">
        <f t="shared" ref="AD595:AD658" si="229">SUM(AE595:AG595)</f>
        <v>0</v>
      </c>
      <c r="AE595" s="53">
        <v>0</v>
      </c>
      <c r="AF595" s="55">
        <v>0</v>
      </c>
      <c r="AG595" s="55">
        <v>0</v>
      </c>
      <c r="AH595" s="55">
        <f t="shared" ref="AH595:AH658" si="230">SUM(AI595:AK595)</f>
        <v>0</v>
      </c>
      <c r="AI595" s="55">
        <v>0</v>
      </c>
      <c r="AJ595" s="55">
        <v>0</v>
      </c>
      <c r="AK595" s="55">
        <v>0</v>
      </c>
      <c r="AL595" s="55">
        <f t="shared" ref="AL595:AL658" si="231">SUM(AM595:AO595)</f>
        <v>0</v>
      </c>
      <c r="AM595" s="55" t="s">
        <v>1912</v>
      </c>
      <c r="AN595" s="55">
        <v>0</v>
      </c>
      <c r="AO595" s="55">
        <v>0</v>
      </c>
      <c r="AP595" s="55">
        <f t="shared" si="219"/>
        <v>0</v>
      </c>
      <c r="AQ595" s="55">
        <f>IFERROR(VLOOKUP(A595,[1]SIIMPLES!$A$2:$F$418,6,FALSE),0)</f>
        <v>0</v>
      </c>
      <c r="AR595" s="55">
        <v>0</v>
      </c>
      <c r="AS595" s="55">
        <v>0</v>
      </c>
      <c r="AT595" s="55">
        <v>0</v>
      </c>
      <c r="AU595" s="55">
        <v>0</v>
      </c>
      <c r="AV595" s="55">
        <v>0</v>
      </c>
      <c r="AW595" s="55"/>
      <c r="AX595" s="55"/>
      <c r="AY595" s="56">
        <f t="shared" ref="AY595:AY658" si="232">IFERROR(AVERAGE(I595,N595,R595,V595,Z595,AD595,AH595,AL595,AP595,AS595,AW595,AX595),"-")</f>
        <v>0</v>
      </c>
      <c r="AZ595" s="55"/>
      <c r="BA595" s="56">
        <v>0.33333333333333331</v>
      </c>
      <c r="BB595" s="41">
        <f t="shared" si="224"/>
        <v>-1</v>
      </c>
      <c r="BC595" s="7"/>
      <c r="BD595" s="35"/>
      <c r="BE595" s="13"/>
      <c r="BF595" s="16">
        <f t="shared" si="225"/>
        <v>0</v>
      </c>
      <c r="BG595" s="17" t="str">
        <f t="shared" si="222"/>
        <v>0</v>
      </c>
      <c r="BH595" s="16">
        <f t="shared" si="223"/>
        <v>0</v>
      </c>
    </row>
    <row r="596" spans="1:60" s="21" customFormat="1" ht="12.75" customHeight="1" x14ac:dyDescent="0.2">
      <c r="A596" s="51">
        <v>5014</v>
      </c>
      <c r="B596" s="51"/>
      <c r="C596" s="66" t="s">
        <v>1803</v>
      </c>
      <c r="D596" s="52" t="s">
        <v>735</v>
      </c>
      <c r="E596" s="52" t="s">
        <v>736</v>
      </c>
      <c r="F596" s="53">
        <f>IFERROR(VLOOKUP(E596,Fornecedores!$A$2:$B$2700,2,FALSE),"")</f>
        <v>5</v>
      </c>
      <c r="G596" s="52" t="s">
        <v>295</v>
      </c>
      <c r="H596" s="54"/>
      <c r="I596" s="55">
        <f t="shared" si="226"/>
        <v>5</v>
      </c>
      <c r="J596" s="55">
        <v>1</v>
      </c>
      <c r="K596" s="55">
        <v>4</v>
      </c>
      <c r="L596" s="55">
        <v>0</v>
      </c>
      <c r="M596" s="55">
        <v>0</v>
      </c>
      <c r="N596" s="55">
        <f t="shared" si="227"/>
        <v>2</v>
      </c>
      <c r="O596" s="55">
        <v>0</v>
      </c>
      <c r="P596" s="55">
        <v>2</v>
      </c>
      <c r="Q596" s="55">
        <v>0</v>
      </c>
      <c r="R596" s="55">
        <f t="shared" si="228"/>
        <v>0</v>
      </c>
      <c r="S596" s="55">
        <v>0</v>
      </c>
      <c r="T596" s="55">
        <v>0</v>
      </c>
      <c r="U596" s="55">
        <v>0</v>
      </c>
      <c r="V596" s="55">
        <v>0</v>
      </c>
      <c r="W596" s="53">
        <v>0</v>
      </c>
      <c r="X596" s="53">
        <v>0</v>
      </c>
      <c r="Y596" s="55">
        <v>0</v>
      </c>
      <c r="Z596" s="55">
        <v>2</v>
      </c>
      <c r="AA596" s="53">
        <v>0</v>
      </c>
      <c r="AB596" s="53">
        <v>2</v>
      </c>
      <c r="AC596" s="55">
        <v>0</v>
      </c>
      <c r="AD596" s="55">
        <f t="shared" si="229"/>
        <v>3</v>
      </c>
      <c r="AE596" s="53">
        <v>1</v>
      </c>
      <c r="AF596" s="55">
        <v>2</v>
      </c>
      <c r="AG596" s="55">
        <v>0</v>
      </c>
      <c r="AH596" s="55">
        <f t="shared" si="230"/>
        <v>6</v>
      </c>
      <c r="AI596" s="55">
        <v>0</v>
      </c>
      <c r="AJ596" s="55">
        <v>6</v>
      </c>
      <c r="AK596" s="55">
        <v>0</v>
      </c>
      <c r="AL596" s="55">
        <f t="shared" si="231"/>
        <v>0</v>
      </c>
      <c r="AM596" s="55" t="s">
        <v>1912</v>
      </c>
      <c r="AN596" s="55">
        <v>0</v>
      </c>
      <c r="AO596" s="55">
        <v>0</v>
      </c>
      <c r="AP596" s="55">
        <f t="shared" si="219"/>
        <v>0</v>
      </c>
      <c r="AQ596" s="55">
        <f>IFERROR(VLOOKUP(A596,[1]SIIMPLES!$A$2:$F$418,6,FALSE),0)</f>
        <v>0</v>
      </c>
      <c r="AR596" s="55">
        <v>0</v>
      </c>
      <c r="AS596" s="55">
        <v>0</v>
      </c>
      <c r="AT596" s="55">
        <v>0</v>
      </c>
      <c r="AU596" s="55">
        <v>0</v>
      </c>
      <c r="AV596" s="55">
        <v>0</v>
      </c>
      <c r="AW596" s="55"/>
      <c r="AX596" s="55"/>
      <c r="AY596" s="56">
        <f t="shared" si="232"/>
        <v>1.8</v>
      </c>
      <c r="AZ596" s="55"/>
      <c r="BA596" s="56">
        <v>2.5</v>
      </c>
      <c r="BB596" s="41">
        <f t="shared" si="224"/>
        <v>-0.28000000000000003</v>
      </c>
      <c r="BC596" s="7"/>
      <c r="BD596" s="35"/>
      <c r="BE596" s="13"/>
      <c r="BF596" s="16">
        <f t="shared" si="225"/>
        <v>0</v>
      </c>
      <c r="BG596" s="17">
        <f t="shared" si="222"/>
        <v>0</v>
      </c>
      <c r="BH596" s="16">
        <f t="shared" si="223"/>
        <v>1.8</v>
      </c>
    </row>
    <row r="597" spans="1:60" s="21" customFormat="1" ht="12.75" customHeight="1" x14ac:dyDescent="0.2">
      <c r="A597" s="50">
        <v>5015</v>
      </c>
      <c r="B597" s="51"/>
      <c r="C597" s="51" t="s">
        <v>1803</v>
      </c>
      <c r="D597" s="52" t="s">
        <v>735</v>
      </c>
      <c r="E597" s="52" t="s">
        <v>736</v>
      </c>
      <c r="F597" s="53">
        <f>IFERROR(VLOOKUP(E597,Fornecedores!$A$2:$B$2700,2,FALSE),"")</f>
        <v>5</v>
      </c>
      <c r="G597" s="52" t="s">
        <v>999</v>
      </c>
      <c r="H597" s="54"/>
      <c r="I597" s="55">
        <f t="shared" si="226"/>
        <v>0</v>
      </c>
      <c r="J597" s="55">
        <v>0</v>
      </c>
      <c r="K597" s="55">
        <v>0</v>
      </c>
      <c r="L597" s="55">
        <v>0</v>
      </c>
      <c r="M597" s="55">
        <v>0</v>
      </c>
      <c r="N597" s="55">
        <f t="shared" si="227"/>
        <v>0</v>
      </c>
      <c r="O597" s="55">
        <v>0</v>
      </c>
      <c r="P597" s="55">
        <v>0</v>
      </c>
      <c r="Q597" s="55">
        <v>0</v>
      </c>
      <c r="R597" s="55">
        <f t="shared" si="228"/>
        <v>0</v>
      </c>
      <c r="S597" s="55">
        <v>0</v>
      </c>
      <c r="T597" s="55">
        <v>0</v>
      </c>
      <c r="U597" s="55">
        <v>0</v>
      </c>
      <c r="V597" s="55">
        <v>0</v>
      </c>
      <c r="W597" s="53">
        <v>0</v>
      </c>
      <c r="X597" s="53">
        <v>0</v>
      </c>
      <c r="Y597" s="55">
        <v>0</v>
      </c>
      <c r="Z597" s="55">
        <v>0</v>
      </c>
      <c r="AA597" s="53">
        <v>0</v>
      </c>
      <c r="AB597" s="53">
        <v>0</v>
      </c>
      <c r="AC597" s="55">
        <v>0</v>
      </c>
      <c r="AD597" s="55">
        <f t="shared" si="229"/>
        <v>0</v>
      </c>
      <c r="AE597" s="53">
        <f>IFERROR(VLOOKUP(A597,[4]simples!$A$1:$B$281,2,FALSE),0)</f>
        <v>0</v>
      </c>
      <c r="AF597" s="55">
        <v>0</v>
      </c>
      <c r="AG597" s="55">
        <v>0</v>
      </c>
      <c r="AH597" s="55">
        <f t="shared" si="230"/>
        <v>0</v>
      </c>
      <c r="AI597" s="55"/>
      <c r="AJ597" s="55">
        <v>0</v>
      </c>
      <c r="AK597" s="55"/>
      <c r="AL597" s="55">
        <f t="shared" si="231"/>
        <v>0</v>
      </c>
      <c r="AM597" s="55" t="s">
        <v>1912</v>
      </c>
      <c r="AN597" s="55">
        <v>0</v>
      </c>
      <c r="AO597" s="55">
        <v>0</v>
      </c>
      <c r="AP597" s="55">
        <f t="shared" si="219"/>
        <v>0</v>
      </c>
      <c r="AQ597" s="55">
        <f>IFERROR(VLOOKUP(A597,[1]SIIMPLES!$A$2:$F$418,6,FALSE),0)</f>
        <v>0</v>
      </c>
      <c r="AR597" s="55">
        <v>0</v>
      </c>
      <c r="AS597" s="55">
        <v>0</v>
      </c>
      <c r="AT597" s="55">
        <v>0</v>
      </c>
      <c r="AU597" s="55">
        <v>0</v>
      </c>
      <c r="AV597" s="55">
        <v>0</v>
      </c>
      <c r="AW597" s="55"/>
      <c r="AX597" s="55"/>
      <c r="AY597" s="56">
        <f t="shared" si="232"/>
        <v>0</v>
      </c>
      <c r="AZ597" s="55"/>
      <c r="BA597" s="56">
        <v>0</v>
      </c>
      <c r="BB597" s="41" t="str">
        <f t="shared" si="224"/>
        <v/>
      </c>
      <c r="BC597" s="7"/>
      <c r="BD597" s="35"/>
      <c r="BE597" s="13"/>
      <c r="BF597" s="16">
        <f t="shared" si="225"/>
        <v>0</v>
      </c>
      <c r="BG597" s="17" t="str">
        <f t="shared" si="222"/>
        <v>0</v>
      </c>
      <c r="BH597" s="16">
        <f t="shared" si="223"/>
        <v>0</v>
      </c>
    </row>
    <row r="598" spans="1:60" s="21" customFormat="1" ht="12.75" customHeight="1" x14ac:dyDescent="0.2">
      <c r="A598" s="51">
        <v>5018</v>
      </c>
      <c r="B598" s="51"/>
      <c r="C598" s="66" t="s">
        <v>1803</v>
      </c>
      <c r="D598" s="52" t="s">
        <v>735</v>
      </c>
      <c r="E598" s="52" t="s">
        <v>736</v>
      </c>
      <c r="F598" s="53">
        <f>IFERROR(VLOOKUP(E598,Fornecedores!$A$2:$B$2700,2,FALSE),"")</f>
        <v>5</v>
      </c>
      <c r="G598" s="52" t="s">
        <v>165</v>
      </c>
      <c r="H598" s="54"/>
      <c r="I598" s="55">
        <f t="shared" si="226"/>
        <v>0</v>
      </c>
      <c r="J598" s="55">
        <v>0</v>
      </c>
      <c r="K598" s="55">
        <v>0</v>
      </c>
      <c r="L598" s="55">
        <v>0</v>
      </c>
      <c r="M598" s="55">
        <v>0</v>
      </c>
      <c r="N598" s="55">
        <f t="shared" si="227"/>
        <v>0</v>
      </c>
      <c r="O598" s="55">
        <v>0</v>
      </c>
      <c r="P598" s="55">
        <v>0</v>
      </c>
      <c r="Q598" s="55">
        <v>0</v>
      </c>
      <c r="R598" s="55">
        <f t="shared" si="228"/>
        <v>0</v>
      </c>
      <c r="S598" s="55">
        <v>0</v>
      </c>
      <c r="T598" s="55">
        <v>0</v>
      </c>
      <c r="U598" s="55">
        <v>0</v>
      </c>
      <c r="V598" s="55">
        <v>0</v>
      </c>
      <c r="W598" s="53">
        <v>0</v>
      </c>
      <c r="X598" s="53">
        <v>0</v>
      </c>
      <c r="Y598" s="55">
        <v>0</v>
      </c>
      <c r="Z598" s="55">
        <v>0</v>
      </c>
      <c r="AA598" s="53">
        <v>0</v>
      </c>
      <c r="AB598" s="53">
        <v>0</v>
      </c>
      <c r="AC598" s="55">
        <v>0</v>
      </c>
      <c r="AD598" s="55">
        <f t="shared" si="229"/>
        <v>0</v>
      </c>
      <c r="AE598" s="53">
        <v>0</v>
      </c>
      <c r="AF598" s="55">
        <v>0</v>
      </c>
      <c r="AG598" s="55">
        <v>0</v>
      </c>
      <c r="AH598" s="55">
        <f t="shared" si="230"/>
        <v>0</v>
      </c>
      <c r="AI598" s="55">
        <v>0</v>
      </c>
      <c r="AJ598" s="55">
        <v>0</v>
      </c>
      <c r="AK598" s="55">
        <v>0</v>
      </c>
      <c r="AL598" s="55">
        <f t="shared" si="231"/>
        <v>0</v>
      </c>
      <c r="AM598" s="55" t="s">
        <v>1912</v>
      </c>
      <c r="AN598" s="55">
        <v>0</v>
      </c>
      <c r="AO598" s="55">
        <v>0</v>
      </c>
      <c r="AP598" s="55">
        <f t="shared" si="219"/>
        <v>0</v>
      </c>
      <c r="AQ598" s="55">
        <f>IFERROR(VLOOKUP(A598,[1]SIIMPLES!$A$2:$F$418,6,FALSE),0)</f>
        <v>0</v>
      </c>
      <c r="AR598" s="55">
        <v>0</v>
      </c>
      <c r="AS598" s="55">
        <v>0</v>
      </c>
      <c r="AT598" s="55">
        <v>0</v>
      </c>
      <c r="AU598" s="55">
        <v>0</v>
      </c>
      <c r="AV598" s="55">
        <v>0</v>
      </c>
      <c r="AW598" s="55"/>
      <c r="AX598" s="55"/>
      <c r="AY598" s="56">
        <f t="shared" si="232"/>
        <v>0</v>
      </c>
      <c r="AZ598" s="55"/>
      <c r="BA598" s="56">
        <v>0</v>
      </c>
      <c r="BB598" s="41" t="str">
        <f t="shared" si="224"/>
        <v/>
      </c>
      <c r="BC598" s="7"/>
      <c r="BD598" s="35"/>
      <c r="BE598" s="13"/>
      <c r="BF598" s="16">
        <f t="shared" si="225"/>
        <v>0</v>
      </c>
      <c r="BG598" s="17" t="str">
        <f t="shared" si="222"/>
        <v>0</v>
      </c>
      <c r="BH598" s="16">
        <f t="shared" si="223"/>
        <v>0</v>
      </c>
    </row>
    <row r="599" spans="1:60" s="21" customFormat="1" ht="12.75" customHeight="1" x14ac:dyDescent="0.2">
      <c r="A599" s="51">
        <v>5020</v>
      </c>
      <c r="B599" s="51"/>
      <c r="C599" s="66" t="s">
        <v>1803</v>
      </c>
      <c r="D599" s="52" t="s">
        <v>735</v>
      </c>
      <c r="E599" s="52" t="s">
        <v>736</v>
      </c>
      <c r="F599" s="53">
        <f>IFERROR(VLOOKUP(E599,Fornecedores!$A$2:$B$2700,2,FALSE),"")</f>
        <v>5</v>
      </c>
      <c r="G599" s="52" t="s">
        <v>272</v>
      </c>
      <c r="H599" s="54"/>
      <c r="I599" s="55">
        <f t="shared" si="226"/>
        <v>0</v>
      </c>
      <c r="J599" s="55">
        <v>0</v>
      </c>
      <c r="K599" s="55">
        <v>0</v>
      </c>
      <c r="L599" s="55">
        <v>0</v>
      </c>
      <c r="M599" s="55">
        <v>0</v>
      </c>
      <c r="N599" s="55">
        <f t="shared" si="227"/>
        <v>0</v>
      </c>
      <c r="O599" s="55">
        <v>0</v>
      </c>
      <c r="P599" s="55">
        <v>0</v>
      </c>
      <c r="Q599" s="55">
        <v>0</v>
      </c>
      <c r="R599" s="55">
        <f t="shared" si="228"/>
        <v>0</v>
      </c>
      <c r="S599" s="55">
        <v>0</v>
      </c>
      <c r="T599" s="55">
        <v>0</v>
      </c>
      <c r="U599" s="55">
        <v>0</v>
      </c>
      <c r="V599" s="55">
        <v>0</v>
      </c>
      <c r="W599" s="53">
        <v>0</v>
      </c>
      <c r="X599" s="53">
        <v>0</v>
      </c>
      <c r="Y599" s="55">
        <v>0</v>
      </c>
      <c r="Z599" s="55">
        <v>0</v>
      </c>
      <c r="AA599" s="53">
        <v>0</v>
      </c>
      <c r="AB599" s="53">
        <v>0</v>
      </c>
      <c r="AC599" s="55">
        <v>0</v>
      </c>
      <c r="AD599" s="55">
        <f t="shared" si="229"/>
        <v>0</v>
      </c>
      <c r="AE599" s="53">
        <v>0</v>
      </c>
      <c r="AF599" s="55">
        <v>0</v>
      </c>
      <c r="AG599" s="55">
        <v>0</v>
      </c>
      <c r="AH599" s="55">
        <f t="shared" si="230"/>
        <v>0</v>
      </c>
      <c r="AI599" s="55">
        <v>0</v>
      </c>
      <c r="AJ599" s="55">
        <v>0</v>
      </c>
      <c r="AK599" s="55">
        <v>0</v>
      </c>
      <c r="AL599" s="55">
        <f t="shared" si="231"/>
        <v>0</v>
      </c>
      <c r="AM599" s="55" t="s">
        <v>1912</v>
      </c>
      <c r="AN599" s="55">
        <v>0</v>
      </c>
      <c r="AO599" s="55">
        <v>0</v>
      </c>
      <c r="AP599" s="55">
        <f t="shared" si="219"/>
        <v>0</v>
      </c>
      <c r="AQ599" s="55">
        <f>IFERROR(VLOOKUP(A599,[1]SIIMPLES!$A$2:$F$418,6,FALSE),0)</f>
        <v>0</v>
      </c>
      <c r="AR599" s="55">
        <v>0</v>
      </c>
      <c r="AS599" s="55">
        <v>0</v>
      </c>
      <c r="AT599" s="55">
        <v>0</v>
      </c>
      <c r="AU599" s="55">
        <v>0</v>
      </c>
      <c r="AV599" s="55">
        <v>0</v>
      </c>
      <c r="AW599" s="55"/>
      <c r="AX599" s="55"/>
      <c r="AY599" s="56">
        <f t="shared" si="232"/>
        <v>0</v>
      </c>
      <c r="AZ599" s="55"/>
      <c r="BA599" s="56">
        <v>0</v>
      </c>
      <c r="BB599" s="41" t="str">
        <f t="shared" si="224"/>
        <v/>
      </c>
      <c r="BC599" s="7"/>
      <c r="BD599" s="35"/>
      <c r="BE599" s="13"/>
      <c r="BF599" s="16">
        <f t="shared" si="225"/>
        <v>0</v>
      </c>
      <c r="BG599" s="17" t="str">
        <f t="shared" si="222"/>
        <v>0</v>
      </c>
      <c r="BH599" s="16">
        <f t="shared" si="223"/>
        <v>0</v>
      </c>
    </row>
    <row r="600" spans="1:60" s="21" customFormat="1" ht="12.75" customHeight="1" x14ac:dyDescent="0.2">
      <c r="A600" s="51">
        <v>5021</v>
      </c>
      <c r="B600" s="51"/>
      <c r="C600" s="66" t="s">
        <v>1803</v>
      </c>
      <c r="D600" s="52" t="s">
        <v>735</v>
      </c>
      <c r="E600" s="52" t="s">
        <v>736</v>
      </c>
      <c r="F600" s="53">
        <f>IFERROR(VLOOKUP(E600,Fornecedores!$A$2:$B$2700,2,FALSE),"")</f>
        <v>5</v>
      </c>
      <c r="G600" s="52" t="s">
        <v>13</v>
      </c>
      <c r="H600" s="54"/>
      <c r="I600" s="55">
        <f t="shared" si="226"/>
        <v>0</v>
      </c>
      <c r="J600" s="55">
        <v>0</v>
      </c>
      <c r="K600" s="55">
        <v>0</v>
      </c>
      <c r="L600" s="55">
        <v>0</v>
      </c>
      <c r="M600" s="55">
        <v>0</v>
      </c>
      <c r="N600" s="55">
        <f t="shared" si="227"/>
        <v>0</v>
      </c>
      <c r="O600" s="55">
        <v>0</v>
      </c>
      <c r="P600" s="55">
        <v>0</v>
      </c>
      <c r="Q600" s="55">
        <v>0</v>
      </c>
      <c r="R600" s="55">
        <f t="shared" si="228"/>
        <v>0</v>
      </c>
      <c r="S600" s="55">
        <v>0</v>
      </c>
      <c r="T600" s="55">
        <v>0</v>
      </c>
      <c r="U600" s="55">
        <v>0</v>
      </c>
      <c r="V600" s="55">
        <v>0</v>
      </c>
      <c r="W600" s="53">
        <v>0</v>
      </c>
      <c r="X600" s="53">
        <v>0</v>
      </c>
      <c r="Y600" s="55">
        <v>0</v>
      </c>
      <c r="Z600" s="55">
        <v>0</v>
      </c>
      <c r="AA600" s="53">
        <v>0</v>
      </c>
      <c r="AB600" s="53">
        <v>0</v>
      </c>
      <c r="AC600" s="55">
        <v>0</v>
      </c>
      <c r="AD600" s="55">
        <f t="shared" si="229"/>
        <v>0</v>
      </c>
      <c r="AE600" s="53">
        <v>0</v>
      </c>
      <c r="AF600" s="55">
        <v>0</v>
      </c>
      <c r="AG600" s="55">
        <v>0</v>
      </c>
      <c r="AH600" s="55">
        <f t="shared" si="230"/>
        <v>0</v>
      </c>
      <c r="AI600" s="55">
        <v>0</v>
      </c>
      <c r="AJ600" s="55">
        <v>0</v>
      </c>
      <c r="AK600" s="55">
        <v>0</v>
      </c>
      <c r="AL600" s="55">
        <f t="shared" si="231"/>
        <v>0</v>
      </c>
      <c r="AM600" s="55" t="s">
        <v>1912</v>
      </c>
      <c r="AN600" s="55">
        <v>0</v>
      </c>
      <c r="AO600" s="55">
        <v>0</v>
      </c>
      <c r="AP600" s="55">
        <f t="shared" si="219"/>
        <v>0</v>
      </c>
      <c r="AQ600" s="55">
        <f>IFERROR(VLOOKUP(A600,[1]SIIMPLES!$A$2:$F$418,6,FALSE),0)</f>
        <v>0</v>
      </c>
      <c r="AR600" s="55">
        <v>0</v>
      </c>
      <c r="AS600" s="55">
        <v>0</v>
      </c>
      <c r="AT600" s="55">
        <v>0</v>
      </c>
      <c r="AU600" s="55">
        <v>0</v>
      </c>
      <c r="AV600" s="55">
        <v>0</v>
      </c>
      <c r="AW600" s="55"/>
      <c r="AX600" s="55"/>
      <c r="AY600" s="56">
        <f t="shared" si="232"/>
        <v>0</v>
      </c>
      <c r="AZ600" s="55"/>
      <c r="BA600" s="56">
        <v>0</v>
      </c>
      <c r="BB600" s="41" t="str">
        <f t="shared" si="224"/>
        <v/>
      </c>
      <c r="BC600" s="7"/>
      <c r="BD600" s="35"/>
      <c r="BE600" s="13"/>
      <c r="BF600" s="16"/>
      <c r="BG600" s="17" t="str">
        <f t="shared" si="222"/>
        <v>0</v>
      </c>
      <c r="BH600" s="16">
        <f t="shared" si="223"/>
        <v>0</v>
      </c>
    </row>
    <row r="601" spans="1:60" s="21" customFormat="1" ht="12.75" customHeight="1" x14ac:dyDescent="0.2">
      <c r="A601" s="51">
        <v>5022</v>
      </c>
      <c r="B601" s="51"/>
      <c r="C601" s="66" t="s">
        <v>1803</v>
      </c>
      <c r="D601" s="52" t="s">
        <v>735</v>
      </c>
      <c r="E601" s="52" t="s">
        <v>736</v>
      </c>
      <c r="F601" s="53">
        <f>IFERROR(VLOOKUP(E601,Fornecedores!$A$2:$B$2700,2,FALSE),"")</f>
        <v>5</v>
      </c>
      <c r="G601" s="52" t="s">
        <v>1000</v>
      </c>
      <c r="H601" s="54"/>
      <c r="I601" s="55">
        <f t="shared" si="226"/>
        <v>0</v>
      </c>
      <c r="J601" s="55">
        <v>0</v>
      </c>
      <c r="K601" s="55">
        <v>0</v>
      </c>
      <c r="L601" s="55">
        <v>0</v>
      </c>
      <c r="M601" s="55">
        <v>0</v>
      </c>
      <c r="N601" s="55">
        <f t="shared" si="227"/>
        <v>0</v>
      </c>
      <c r="O601" s="55">
        <v>0</v>
      </c>
      <c r="P601" s="55">
        <v>0</v>
      </c>
      <c r="Q601" s="55">
        <v>0</v>
      </c>
      <c r="R601" s="55">
        <f t="shared" si="228"/>
        <v>0</v>
      </c>
      <c r="S601" s="55">
        <v>0</v>
      </c>
      <c r="T601" s="55">
        <v>0</v>
      </c>
      <c r="U601" s="55">
        <v>0</v>
      </c>
      <c r="V601" s="55">
        <v>0</v>
      </c>
      <c r="W601" s="53">
        <v>0</v>
      </c>
      <c r="X601" s="53">
        <v>0</v>
      </c>
      <c r="Y601" s="55">
        <v>0</v>
      </c>
      <c r="Z601" s="55">
        <v>0</v>
      </c>
      <c r="AA601" s="53">
        <v>0</v>
      </c>
      <c r="AB601" s="53">
        <v>0</v>
      </c>
      <c r="AC601" s="55">
        <v>0</v>
      </c>
      <c r="AD601" s="55">
        <f t="shared" si="229"/>
        <v>0</v>
      </c>
      <c r="AE601" s="53">
        <v>0</v>
      </c>
      <c r="AF601" s="55">
        <v>0</v>
      </c>
      <c r="AG601" s="55">
        <v>0</v>
      </c>
      <c r="AH601" s="55">
        <f t="shared" si="230"/>
        <v>0</v>
      </c>
      <c r="AI601" s="55">
        <v>0</v>
      </c>
      <c r="AJ601" s="55">
        <v>0</v>
      </c>
      <c r="AK601" s="55">
        <v>0</v>
      </c>
      <c r="AL601" s="55">
        <f t="shared" si="231"/>
        <v>0</v>
      </c>
      <c r="AM601" s="55" t="s">
        <v>1912</v>
      </c>
      <c r="AN601" s="55">
        <v>0</v>
      </c>
      <c r="AO601" s="55">
        <v>0</v>
      </c>
      <c r="AP601" s="55">
        <f t="shared" si="219"/>
        <v>0</v>
      </c>
      <c r="AQ601" s="55">
        <f>IFERROR(VLOOKUP(A601,[1]SIIMPLES!$A$2:$F$418,6,FALSE),0)</f>
        <v>0</v>
      </c>
      <c r="AR601" s="55">
        <v>0</v>
      </c>
      <c r="AS601" s="55">
        <v>0</v>
      </c>
      <c r="AT601" s="55">
        <v>0</v>
      </c>
      <c r="AU601" s="55">
        <v>0</v>
      </c>
      <c r="AV601" s="55">
        <v>0</v>
      </c>
      <c r="AW601" s="55"/>
      <c r="AX601" s="55"/>
      <c r="AY601" s="56">
        <f t="shared" si="232"/>
        <v>0</v>
      </c>
      <c r="AZ601" s="55"/>
      <c r="BA601" s="56">
        <v>0.4</v>
      </c>
      <c r="BB601" s="41">
        <f t="shared" si="224"/>
        <v>-1</v>
      </c>
      <c r="BC601" s="13"/>
      <c r="BD601" s="35"/>
      <c r="BE601" s="13"/>
      <c r="BF601" s="16"/>
      <c r="BG601" s="17" t="str">
        <f t="shared" si="222"/>
        <v>0</v>
      </c>
      <c r="BH601" s="16">
        <f t="shared" si="223"/>
        <v>0</v>
      </c>
    </row>
    <row r="602" spans="1:60" s="21" customFormat="1" ht="12.75" customHeight="1" x14ac:dyDescent="0.2">
      <c r="A602" s="51">
        <v>5024</v>
      </c>
      <c r="B602" s="51"/>
      <c r="C602" s="66" t="s">
        <v>1803</v>
      </c>
      <c r="D602" s="52" t="s">
        <v>735</v>
      </c>
      <c r="E602" s="52" t="s">
        <v>736</v>
      </c>
      <c r="F602" s="53">
        <f>IFERROR(VLOOKUP(E602,Fornecedores!$A$2:$B$2700,2,FALSE),"")</f>
        <v>5</v>
      </c>
      <c r="G602" s="52" t="s">
        <v>374</v>
      </c>
      <c r="H602" s="54"/>
      <c r="I602" s="55">
        <f t="shared" si="226"/>
        <v>0</v>
      </c>
      <c r="J602" s="55">
        <v>0</v>
      </c>
      <c r="K602" s="55">
        <v>0</v>
      </c>
      <c r="L602" s="55">
        <v>0</v>
      </c>
      <c r="M602" s="55">
        <v>0</v>
      </c>
      <c r="N602" s="55">
        <f t="shared" si="227"/>
        <v>0</v>
      </c>
      <c r="O602" s="55">
        <v>0</v>
      </c>
      <c r="P602" s="55">
        <v>0</v>
      </c>
      <c r="Q602" s="55">
        <v>0</v>
      </c>
      <c r="R602" s="55">
        <f t="shared" si="228"/>
        <v>0</v>
      </c>
      <c r="S602" s="55">
        <v>0</v>
      </c>
      <c r="T602" s="55">
        <v>0</v>
      </c>
      <c r="U602" s="55">
        <v>0</v>
      </c>
      <c r="V602" s="55">
        <v>0</v>
      </c>
      <c r="W602" s="53">
        <v>0</v>
      </c>
      <c r="X602" s="53">
        <v>0</v>
      </c>
      <c r="Y602" s="55">
        <v>0</v>
      </c>
      <c r="Z602" s="55">
        <v>0</v>
      </c>
      <c r="AA602" s="53">
        <v>0</v>
      </c>
      <c r="AB602" s="53">
        <v>0</v>
      </c>
      <c r="AC602" s="55">
        <v>0</v>
      </c>
      <c r="AD602" s="55">
        <f t="shared" si="229"/>
        <v>0</v>
      </c>
      <c r="AE602" s="53">
        <v>0</v>
      </c>
      <c r="AF602" s="55">
        <v>0</v>
      </c>
      <c r="AG602" s="55">
        <v>0</v>
      </c>
      <c r="AH602" s="55">
        <f t="shared" si="230"/>
        <v>0</v>
      </c>
      <c r="AI602" s="55">
        <v>0</v>
      </c>
      <c r="AJ602" s="55">
        <v>0</v>
      </c>
      <c r="AK602" s="55">
        <v>0</v>
      </c>
      <c r="AL602" s="55">
        <f t="shared" si="231"/>
        <v>0</v>
      </c>
      <c r="AM602" s="55" t="s">
        <v>1912</v>
      </c>
      <c r="AN602" s="55">
        <v>0</v>
      </c>
      <c r="AO602" s="55">
        <v>0</v>
      </c>
      <c r="AP602" s="55">
        <f t="shared" si="219"/>
        <v>0</v>
      </c>
      <c r="AQ602" s="55">
        <f>IFERROR(VLOOKUP(A602,[1]SIIMPLES!$A$2:$F$418,6,FALSE),0)</f>
        <v>0</v>
      </c>
      <c r="AR602" s="55">
        <v>0</v>
      </c>
      <c r="AS602" s="55">
        <v>0</v>
      </c>
      <c r="AT602" s="55">
        <v>0</v>
      </c>
      <c r="AU602" s="55">
        <v>0</v>
      </c>
      <c r="AV602" s="55">
        <v>0</v>
      </c>
      <c r="AW602" s="55"/>
      <c r="AX602" s="55"/>
      <c r="AY602" s="56">
        <f t="shared" si="232"/>
        <v>0</v>
      </c>
      <c r="AZ602" s="55"/>
      <c r="BA602" s="56">
        <v>0</v>
      </c>
      <c r="BB602" s="41" t="str">
        <f t="shared" si="224"/>
        <v/>
      </c>
      <c r="BC602" s="13"/>
      <c r="BD602" s="35"/>
      <c r="BE602" s="13"/>
      <c r="BF602" s="16"/>
      <c r="BG602" s="17" t="str">
        <f t="shared" si="222"/>
        <v>0</v>
      </c>
      <c r="BH602" s="16">
        <f t="shared" si="223"/>
        <v>0</v>
      </c>
    </row>
    <row r="603" spans="1:60" s="21" customFormat="1" ht="12.75" customHeight="1" x14ac:dyDescent="0.2">
      <c r="A603" s="51">
        <v>5025</v>
      </c>
      <c r="B603" s="51"/>
      <c r="C603" s="66" t="s">
        <v>1803</v>
      </c>
      <c r="D603" s="52" t="s">
        <v>735</v>
      </c>
      <c r="E603" s="52" t="s">
        <v>736</v>
      </c>
      <c r="F603" s="53">
        <f>IFERROR(VLOOKUP(E603,Fornecedores!$A$2:$B$2700,2,FALSE),"")</f>
        <v>5</v>
      </c>
      <c r="G603" s="52" t="s">
        <v>877</v>
      </c>
      <c r="H603" s="54"/>
      <c r="I603" s="55">
        <f t="shared" si="226"/>
        <v>0</v>
      </c>
      <c r="J603" s="55">
        <v>0</v>
      </c>
      <c r="K603" s="55">
        <v>0</v>
      </c>
      <c r="L603" s="55">
        <v>0</v>
      </c>
      <c r="M603" s="55">
        <v>0</v>
      </c>
      <c r="N603" s="55">
        <f t="shared" si="227"/>
        <v>0</v>
      </c>
      <c r="O603" s="55">
        <v>0</v>
      </c>
      <c r="P603" s="55">
        <v>0</v>
      </c>
      <c r="Q603" s="55">
        <v>0</v>
      </c>
      <c r="R603" s="55">
        <f t="shared" si="228"/>
        <v>0</v>
      </c>
      <c r="S603" s="55">
        <v>0</v>
      </c>
      <c r="T603" s="55">
        <v>0</v>
      </c>
      <c r="U603" s="55">
        <v>0</v>
      </c>
      <c r="V603" s="55">
        <v>2</v>
      </c>
      <c r="W603" s="53">
        <v>0</v>
      </c>
      <c r="X603" s="53">
        <v>2</v>
      </c>
      <c r="Y603" s="55">
        <v>0</v>
      </c>
      <c r="Z603" s="55">
        <v>0</v>
      </c>
      <c r="AA603" s="53">
        <v>0</v>
      </c>
      <c r="AB603" s="53">
        <v>0</v>
      </c>
      <c r="AC603" s="55">
        <v>0</v>
      </c>
      <c r="AD603" s="55">
        <f t="shared" si="229"/>
        <v>0</v>
      </c>
      <c r="AE603" s="53">
        <v>0</v>
      </c>
      <c r="AF603" s="55">
        <v>0</v>
      </c>
      <c r="AG603" s="55">
        <v>0</v>
      </c>
      <c r="AH603" s="55">
        <f t="shared" si="230"/>
        <v>0</v>
      </c>
      <c r="AI603" s="55">
        <v>0</v>
      </c>
      <c r="AJ603" s="55">
        <v>0</v>
      </c>
      <c r="AK603" s="55">
        <v>0</v>
      </c>
      <c r="AL603" s="55">
        <f t="shared" si="231"/>
        <v>0</v>
      </c>
      <c r="AM603" s="55" t="s">
        <v>1912</v>
      </c>
      <c r="AN603" s="55">
        <v>0</v>
      </c>
      <c r="AO603" s="55">
        <v>0</v>
      </c>
      <c r="AP603" s="55">
        <f t="shared" si="219"/>
        <v>0</v>
      </c>
      <c r="AQ603" s="55">
        <f>IFERROR(VLOOKUP(A603,[1]SIIMPLES!$A$2:$F$418,6,FALSE),0)</f>
        <v>0</v>
      </c>
      <c r="AR603" s="55">
        <v>0</v>
      </c>
      <c r="AS603" s="55">
        <v>0</v>
      </c>
      <c r="AT603" s="55">
        <v>0</v>
      </c>
      <c r="AU603" s="55">
        <v>0</v>
      </c>
      <c r="AV603" s="55">
        <v>0</v>
      </c>
      <c r="AW603" s="55"/>
      <c r="AX603" s="55"/>
      <c r="AY603" s="56">
        <f t="shared" si="232"/>
        <v>0.2</v>
      </c>
      <c r="AZ603" s="55"/>
      <c r="BA603" s="56">
        <v>0.66666666666666663</v>
      </c>
      <c r="BB603" s="41">
        <f t="shared" si="224"/>
        <v>-0.7</v>
      </c>
      <c r="BC603" s="7"/>
      <c r="BD603" s="35"/>
      <c r="BE603" s="13"/>
      <c r="BF603" s="16"/>
      <c r="BG603" s="17">
        <f t="shared" si="222"/>
        <v>0</v>
      </c>
      <c r="BH603" s="16">
        <f t="shared" si="223"/>
        <v>0.2</v>
      </c>
    </row>
    <row r="604" spans="1:60" s="21" customFormat="1" ht="12.75" customHeight="1" x14ac:dyDescent="0.2">
      <c r="A604" s="50">
        <v>5031</v>
      </c>
      <c r="B604" s="51"/>
      <c r="C604" s="51" t="s">
        <v>1803</v>
      </c>
      <c r="D604" s="52" t="s">
        <v>735</v>
      </c>
      <c r="E604" s="52" t="s">
        <v>736</v>
      </c>
      <c r="F604" s="53">
        <f>IFERROR(VLOOKUP(E604,Fornecedores!$A$2:$B$2700,2,FALSE),"")</f>
        <v>5</v>
      </c>
      <c r="G604" s="52" t="s">
        <v>986</v>
      </c>
      <c r="H604" s="54"/>
      <c r="I604" s="55">
        <f t="shared" si="226"/>
        <v>0</v>
      </c>
      <c r="J604" s="55">
        <v>0</v>
      </c>
      <c r="K604" s="55">
        <v>0</v>
      </c>
      <c r="L604" s="55">
        <v>0</v>
      </c>
      <c r="M604" s="55">
        <v>0</v>
      </c>
      <c r="N604" s="55">
        <f t="shared" si="227"/>
        <v>0</v>
      </c>
      <c r="O604" s="55">
        <v>0</v>
      </c>
      <c r="P604" s="55">
        <v>0</v>
      </c>
      <c r="Q604" s="55">
        <v>0</v>
      </c>
      <c r="R604" s="55">
        <f t="shared" si="228"/>
        <v>0</v>
      </c>
      <c r="S604" s="55">
        <v>0</v>
      </c>
      <c r="T604" s="55">
        <v>0</v>
      </c>
      <c r="U604" s="55">
        <v>0</v>
      </c>
      <c r="V604" s="55">
        <v>0</v>
      </c>
      <c r="W604" s="53">
        <v>0</v>
      </c>
      <c r="X604" s="53">
        <v>0</v>
      </c>
      <c r="Y604" s="55">
        <v>0</v>
      </c>
      <c r="Z604" s="55">
        <v>0</v>
      </c>
      <c r="AA604" s="53">
        <v>0</v>
      </c>
      <c r="AB604" s="53">
        <v>0</v>
      </c>
      <c r="AC604" s="55">
        <v>0</v>
      </c>
      <c r="AD604" s="55">
        <f t="shared" si="229"/>
        <v>0</v>
      </c>
      <c r="AE604" s="53">
        <f>IFERROR(VLOOKUP(A604,[4]simples!$A$1:$B$281,2,FALSE),0)</f>
        <v>0</v>
      </c>
      <c r="AF604" s="55">
        <v>0</v>
      </c>
      <c r="AG604" s="55">
        <v>0</v>
      </c>
      <c r="AH604" s="55">
        <f t="shared" si="230"/>
        <v>0</v>
      </c>
      <c r="AI604" s="55"/>
      <c r="AJ604" s="55">
        <v>0</v>
      </c>
      <c r="AK604" s="55"/>
      <c r="AL604" s="55">
        <f t="shared" si="231"/>
        <v>0</v>
      </c>
      <c r="AM604" s="55" t="s">
        <v>1912</v>
      </c>
      <c r="AN604" s="55">
        <v>0</v>
      </c>
      <c r="AO604" s="55">
        <v>0</v>
      </c>
      <c r="AP604" s="55">
        <f t="shared" si="219"/>
        <v>0</v>
      </c>
      <c r="AQ604" s="55">
        <f>IFERROR(VLOOKUP(A604,[1]SIIMPLES!$A$2:$F$418,6,FALSE),0)</f>
        <v>0</v>
      </c>
      <c r="AR604" s="55">
        <v>0</v>
      </c>
      <c r="AS604" s="55">
        <v>0</v>
      </c>
      <c r="AT604" s="55">
        <v>0</v>
      </c>
      <c r="AU604" s="55">
        <v>0</v>
      </c>
      <c r="AV604" s="55">
        <v>0</v>
      </c>
      <c r="AW604" s="55"/>
      <c r="AX604" s="55"/>
      <c r="AY604" s="56">
        <f t="shared" si="232"/>
        <v>0</v>
      </c>
      <c r="AZ604" s="55" t="s">
        <v>1619</v>
      </c>
      <c r="BA604" s="56">
        <v>0</v>
      </c>
      <c r="BB604" s="41" t="str">
        <f t="shared" si="224"/>
        <v/>
      </c>
      <c r="BC604" s="13"/>
      <c r="BD604" s="35"/>
      <c r="BE604" s="13"/>
      <c r="BF604" s="16"/>
      <c r="BG604" s="17" t="str">
        <f t="shared" ref="BG604:BG635" si="233">IFERROR(BC604/AY604,"0")</f>
        <v>0</v>
      </c>
      <c r="BH604" s="16">
        <f>ROUND(IFERROR(IF(F604=1,IF(BC604&lt;AY604*3,AY604*3-BC604,0),IF(BC604&lt;AY604,AY604*0.6-BC604,0)),""),0)</f>
        <v>0</v>
      </c>
    </row>
    <row r="605" spans="1:60" s="21" customFormat="1" ht="12.75" customHeight="1" x14ac:dyDescent="0.2">
      <c r="A605" s="51">
        <v>5032</v>
      </c>
      <c r="B605" s="51"/>
      <c r="C605" s="66" t="s">
        <v>1803</v>
      </c>
      <c r="D605" s="52" t="s">
        <v>735</v>
      </c>
      <c r="E605" s="52" t="s">
        <v>736</v>
      </c>
      <c r="F605" s="53">
        <f>IFERROR(VLOOKUP(E605,Fornecedores!$A$2:$B$2700,2,FALSE),"")</f>
        <v>5</v>
      </c>
      <c r="G605" s="52" t="s">
        <v>874</v>
      </c>
      <c r="H605" s="54"/>
      <c r="I605" s="55">
        <f t="shared" si="226"/>
        <v>0</v>
      </c>
      <c r="J605" s="55">
        <v>0</v>
      </c>
      <c r="K605" s="55">
        <v>0</v>
      </c>
      <c r="L605" s="55">
        <v>0</v>
      </c>
      <c r="M605" s="55">
        <v>0</v>
      </c>
      <c r="N605" s="55">
        <f t="shared" si="227"/>
        <v>0</v>
      </c>
      <c r="O605" s="55">
        <v>0</v>
      </c>
      <c r="P605" s="55">
        <v>0</v>
      </c>
      <c r="Q605" s="55">
        <v>0</v>
      </c>
      <c r="R605" s="55">
        <f t="shared" si="228"/>
        <v>0</v>
      </c>
      <c r="S605" s="55">
        <v>0</v>
      </c>
      <c r="T605" s="55">
        <v>0</v>
      </c>
      <c r="U605" s="55">
        <v>0</v>
      </c>
      <c r="V605" s="55">
        <v>0</v>
      </c>
      <c r="W605" s="53">
        <v>0</v>
      </c>
      <c r="X605" s="53">
        <v>0</v>
      </c>
      <c r="Y605" s="55">
        <v>0</v>
      </c>
      <c r="Z605" s="55">
        <v>0</v>
      </c>
      <c r="AA605" s="53">
        <v>0</v>
      </c>
      <c r="AB605" s="53">
        <v>0</v>
      </c>
      <c r="AC605" s="55">
        <v>0</v>
      </c>
      <c r="AD605" s="55">
        <f t="shared" si="229"/>
        <v>0</v>
      </c>
      <c r="AE605" s="53">
        <v>0</v>
      </c>
      <c r="AF605" s="55">
        <v>0</v>
      </c>
      <c r="AG605" s="55">
        <v>0</v>
      </c>
      <c r="AH605" s="55">
        <f t="shared" si="230"/>
        <v>0</v>
      </c>
      <c r="AI605" s="55">
        <v>0</v>
      </c>
      <c r="AJ605" s="55">
        <v>0</v>
      </c>
      <c r="AK605" s="55">
        <v>0</v>
      </c>
      <c r="AL605" s="55">
        <f t="shared" si="231"/>
        <v>0</v>
      </c>
      <c r="AM605" s="55" t="s">
        <v>1912</v>
      </c>
      <c r="AN605" s="55">
        <v>0</v>
      </c>
      <c r="AO605" s="55">
        <v>0</v>
      </c>
      <c r="AP605" s="55">
        <f t="shared" si="219"/>
        <v>0</v>
      </c>
      <c r="AQ605" s="55">
        <f>IFERROR(VLOOKUP(A605,[1]SIIMPLES!$A$2:$F$418,6,FALSE),0)</f>
        <v>0</v>
      </c>
      <c r="AR605" s="55">
        <v>0</v>
      </c>
      <c r="AS605" s="55">
        <v>0</v>
      </c>
      <c r="AT605" s="55">
        <v>0</v>
      </c>
      <c r="AU605" s="55">
        <v>0</v>
      </c>
      <c r="AV605" s="55">
        <v>0</v>
      </c>
      <c r="AW605" s="55"/>
      <c r="AX605" s="55"/>
      <c r="AY605" s="56">
        <f t="shared" si="232"/>
        <v>0</v>
      </c>
      <c r="AZ605" s="55"/>
      <c r="BA605" s="56">
        <v>0.33333333333333331</v>
      </c>
      <c r="BB605" s="41">
        <f t="shared" si="224"/>
        <v>-1</v>
      </c>
      <c r="BC605" s="13"/>
      <c r="BD605" s="37"/>
      <c r="BE605" s="7"/>
      <c r="BF605" s="7"/>
      <c r="BG605" s="17" t="str">
        <f t="shared" si="233"/>
        <v>0</v>
      </c>
      <c r="BH605" s="16">
        <f t="shared" ref="BH605:BH631" si="234">IFERROR(IF(F605=1,IF(BC605&lt;AY605*3,AY605*3-BC605,0),IF(BC605&lt;AY605,AY605-BC605,0)),"")</f>
        <v>0</v>
      </c>
    </row>
    <row r="606" spans="1:60" s="21" customFormat="1" ht="12.75" customHeight="1" x14ac:dyDescent="0.2">
      <c r="A606" s="51">
        <v>5034</v>
      </c>
      <c r="B606" s="51"/>
      <c r="C606" s="66" t="s">
        <v>1803</v>
      </c>
      <c r="D606" s="52" t="s">
        <v>735</v>
      </c>
      <c r="E606" s="52" t="s">
        <v>736</v>
      </c>
      <c r="F606" s="53">
        <f>IFERROR(VLOOKUP(E606,Fornecedores!$A$2:$B$2700,2,FALSE),"")</f>
        <v>5</v>
      </c>
      <c r="G606" s="52" t="s">
        <v>1441</v>
      </c>
      <c r="H606" s="57"/>
      <c r="I606" s="55">
        <f t="shared" si="226"/>
        <v>0</v>
      </c>
      <c r="J606" s="55">
        <v>0</v>
      </c>
      <c r="K606" s="55">
        <v>0</v>
      </c>
      <c r="L606" s="55">
        <v>0</v>
      </c>
      <c r="M606" s="55">
        <v>0</v>
      </c>
      <c r="N606" s="55">
        <f t="shared" si="227"/>
        <v>3</v>
      </c>
      <c r="O606" s="55">
        <v>1</v>
      </c>
      <c r="P606" s="55">
        <v>2</v>
      </c>
      <c r="Q606" s="55">
        <v>0</v>
      </c>
      <c r="R606" s="55">
        <f t="shared" si="228"/>
        <v>3</v>
      </c>
      <c r="S606" s="55">
        <v>1</v>
      </c>
      <c r="T606" s="55">
        <v>2</v>
      </c>
      <c r="U606" s="55">
        <v>0</v>
      </c>
      <c r="V606" s="55">
        <v>4</v>
      </c>
      <c r="W606" s="53">
        <v>2</v>
      </c>
      <c r="X606" s="53">
        <v>2</v>
      </c>
      <c r="Y606" s="55">
        <v>0</v>
      </c>
      <c r="Z606" s="55">
        <v>4</v>
      </c>
      <c r="AA606" s="53">
        <v>0</v>
      </c>
      <c r="AB606" s="53">
        <v>4</v>
      </c>
      <c r="AC606" s="55">
        <v>0</v>
      </c>
      <c r="AD606" s="55">
        <f t="shared" si="229"/>
        <v>13</v>
      </c>
      <c r="AE606" s="53">
        <v>5</v>
      </c>
      <c r="AF606" s="55">
        <v>8</v>
      </c>
      <c r="AG606" s="55">
        <v>0</v>
      </c>
      <c r="AH606" s="55">
        <f t="shared" si="230"/>
        <v>8</v>
      </c>
      <c r="AI606" s="55">
        <v>0</v>
      </c>
      <c r="AJ606" s="55">
        <v>8</v>
      </c>
      <c r="AK606" s="55">
        <v>0</v>
      </c>
      <c r="AL606" s="55">
        <f t="shared" si="231"/>
        <v>3</v>
      </c>
      <c r="AM606" s="55">
        <v>1</v>
      </c>
      <c r="AN606" s="55">
        <v>2</v>
      </c>
      <c r="AO606" s="55">
        <v>0</v>
      </c>
      <c r="AP606" s="55">
        <f t="shared" si="219"/>
        <v>0</v>
      </c>
      <c r="AQ606" s="55">
        <f>IFERROR(VLOOKUP(A606,[1]SIIMPLES!$A$2:$F$418,6,FALSE),0)</f>
        <v>0</v>
      </c>
      <c r="AR606" s="55">
        <v>0</v>
      </c>
      <c r="AS606" s="55">
        <v>0</v>
      </c>
      <c r="AT606" s="55">
        <v>0</v>
      </c>
      <c r="AU606" s="55">
        <v>0</v>
      </c>
      <c r="AV606" s="55">
        <v>0</v>
      </c>
      <c r="AW606" s="57"/>
      <c r="AX606" s="55"/>
      <c r="AY606" s="56">
        <f t="shared" si="232"/>
        <v>3.8</v>
      </c>
      <c r="AZ606" s="55"/>
      <c r="BA606" s="56">
        <v>1</v>
      </c>
      <c r="BB606" s="41">
        <f t="shared" si="224"/>
        <v>2.8</v>
      </c>
      <c r="BC606" s="13"/>
      <c r="BD606" s="35"/>
      <c r="BE606" s="13"/>
      <c r="BF606" s="16">
        <f>SUM(BC606:BE606)</f>
        <v>0</v>
      </c>
      <c r="BG606" s="17">
        <f t="shared" si="233"/>
        <v>0</v>
      </c>
      <c r="BH606" s="16">
        <f t="shared" si="234"/>
        <v>3.8</v>
      </c>
    </row>
    <row r="607" spans="1:60" s="21" customFormat="1" ht="12.75" customHeight="1" x14ac:dyDescent="0.2">
      <c r="A607" s="51">
        <v>5036</v>
      </c>
      <c r="B607" s="51"/>
      <c r="C607" s="66" t="s">
        <v>1803</v>
      </c>
      <c r="D607" s="52" t="s">
        <v>735</v>
      </c>
      <c r="E607" s="52" t="s">
        <v>736</v>
      </c>
      <c r="F607" s="53">
        <f>IFERROR(VLOOKUP(E607,Fornecedores!$A$2:$B$2700,2,FALSE),"")</f>
        <v>5</v>
      </c>
      <c r="G607" s="52" t="s">
        <v>959</v>
      </c>
      <c r="H607" s="54"/>
      <c r="I607" s="55">
        <f t="shared" si="226"/>
        <v>0</v>
      </c>
      <c r="J607" s="55">
        <v>0</v>
      </c>
      <c r="K607" s="55">
        <v>0</v>
      </c>
      <c r="L607" s="55">
        <v>0</v>
      </c>
      <c r="M607" s="55">
        <v>0</v>
      </c>
      <c r="N607" s="55">
        <f t="shared" si="227"/>
        <v>0</v>
      </c>
      <c r="O607" s="55">
        <v>0</v>
      </c>
      <c r="P607" s="55">
        <v>0</v>
      </c>
      <c r="Q607" s="55">
        <v>0</v>
      </c>
      <c r="R607" s="55">
        <f t="shared" si="228"/>
        <v>0</v>
      </c>
      <c r="S607" s="55">
        <v>0</v>
      </c>
      <c r="T607" s="55">
        <v>0</v>
      </c>
      <c r="U607" s="55">
        <v>0</v>
      </c>
      <c r="V607" s="55">
        <v>0</v>
      </c>
      <c r="W607" s="53">
        <v>0</v>
      </c>
      <c r="X607" s="53">
        <v>0</v>
      </c>
      <c r="Y607" s="55">
        <v>0</v>
      </c>
      <c r="Z607" s="55">
        <v>0</v>
      </c>
      <c r="AA607" s="53">
        <v>0</v>
      </c>
      <c r="AB607" s="53">
        <v>0</v>
      </c>
      <c r="AC607" s="55">
        <v>0</v>
      </c>
      <c r="AD607" s="55">
        <f t="shared" si="229"/>
        <v>0</v>
      </c>
      <c r="AE607" s="53">
        <v>0</v>
      </c>
      <c r="AF607" s="55">
        <v>0</v>
      </c>
      <c r="AG607" s="55">
        <v>0</v>
      </c>
      <c r="AH607" s="55">
        <f t="shared" si="230"/>
        <v>0</v>
      </c>
      <c r="AI607" s="55">
        <v>0</v>
      </c>
      <c r="AJ607" s="55">
        <v>0</v>
      </c>
      <c r="AK607" s="55">
        <v>0</v>
      </c>
      <c r="AL607" s="55">
        <f t="shared" si="231"/>
        <v>0</v>
      </c>
      <c r="AM607" s="55" t="s">
        <v>1912</v>
      </c>
      <c r="AN607" s="55">
        <v>0</v>
      </c>
      <c r="AO607" s="55">
        <v>0</v>
      </c>
      <c r="AP607" s="55">
        <f t="shared" si="219"/>
        <v>0</v>
      </c>
      <c r="AQ607" s="55">
        <f>IFERROR(VLOOKUP(A607,[1]SIIMPLES!$A$2:$F$418,6,FALSE),0)</f>
        <v>0</v>
      </c>
      <c r="AR607" s="55">
        <v>0</v>
      </c>
      <c r="AS607" s="55">
        <v>0</v>
      </c>
      <c r="AT607" s="55">
        <v>0</v>
      </c>
      <c r="AU607" s="55">
        <v>0</v>
      </c>
      <c r="AV607" s="55">
        <v>0</v>
      </c>
      <c r="AW607" s="55"/>
      <c r="AX607" s="55"/>
      <c r="AY607" s="56">
        <f t="shared" si="232"/>
        <v>0</v>
      </c>
      <c r="AZ607" s="55"/>
      <c r="BA607" s="56">
        <v>0</v>
      </c>
      <c r="BB607" s="41" t="str">
        <f t="shared" si="224"/>
        <v/>
      </c>
      <c r="BC607" s="13"/>
      <c r="BD607" s="35"/>
      <c r="BE607" s="13"/>
      <c r="BF607" s="16"/>
      <c r="BG607" s="17" t="str">
        <f t="shared" si="233"/>
        <v>0</v>
      </c>
      <c r="BH607" s="16">
        <f t="shared" si="234"/>
        <v>0</v>
      </c>
    </row>
    <row r="608" spans="1:60" s="21" customFormat="1" ht="12.75" customHeight="1" x14ac:dyDescent="0.2">
      <c r="A608" s="51">
        <v>5037</v>
      </c>
      <c r="B608" s="51"/>
      <c r="C608" s="66" t="s">
        <v>1803</v>
      </c>
      <c r="D608" s="52" t="s">
        <v>735</v>
      </c>
      <c r="E608" s="52" t="s">
        <v>736</v>
      </c>
      <c r="F608" s="53">
        <f>IFERROR(VLOOKUP(E608,Fornecedores!$A$2:$B$2700,2,FALSE),"")</f>
        <v>5</v>
      </c>
      <c r="G608" s="52" t="s">
        <v>970</v>
      </c>
      <c r="H608" s="54"/>
      <c r="I608" s="55">
        <f t="shared" si="226"/>
        <v>0</v>
      </c>
      <c r="J608" s="55">
        <v>0</v>
      </c>
      <c r="K608" s="55">
        <v>0</v>
      </c>
      <c r="L608" s="55">
        <v>0</v>
      </c>
      <c r="M608" s="55">
        <v>0</v>
      </c>
      <c r="N608" s="55">
        <f t="shared" si="227"/>
        <v>0</v>
      </c>
      <c r="O608" s="55">
        <v>0</v>
      </c>
      <c r="P608" s="55">
        <v>0</v>
      </c>
      <c r="Q608" s="55">
        <v>0</v>
      </c>
      <c r="R608" s="55">
        <f t="shared" si="228"/>
        <v>0</v>
      </c>
      <c r="S608" s="55">
        <v>0</v>
      </c>
      <c r="T608" s="55">
        <v>0</v>
      </c>
      <c r="U608" s="55">
        <v>0</v>
      </c>
      <c r="V608" s="55">
        <v>0</v>
      </c>
      <c r="W608" s="53">
        <v>0</v>
      </c>
      <c r="X608" s="53">
        <v>0</v>
      </c>
      <c r="Y608" s="55">
        <v>0</v>
      </c>
      <c r="Z608" s="55">
        <v>0</v>
      </c>
      <c r="AA608" s="53">
        <v>0</v>
      </c>
      <c r="AB608" s="53">
        <v>0</v>
      </c>
      <c r="AC608" s="55">
        <v>0</v>
      </c>
      <c r="AD608" s="55">
        <f t="shared" si="229"/>
        <v>0</v>
      </c>
      <c r="AE608" s="53">
        <v>0</v>
      </c>
      <c r="AF608" s="55">
        <v>0</v>
      </c>
      <c r="AG608" s="55">
        <v>0</v>
      </c>
      <c r="AH608" s="55">
        <f t="shared" si="230"/>
        <v>0</v>
      </c>
      <c r="AI608" s="55">
        <v>0</v>
      </c>
      <c r="AJ608" s="55">
        <v>0</v>
      </c>
      <c r="AK608" s="55">
        <v>0</v>
      </c>
      <c r="AL608" s="55">
        <f t="shared" si="231"/>
        <v>0</v>
      </c>
      <c r="AM608" s="55" t="s">
        <v>1912</v>
      </c>
      <c r="AN608" s="55">
        <v>0</v>
      </c>
      <c r="AO608" s="55">
        <v>0</v>
      </c>
      <c r="AP608" s="55">
        <f t="shared" si="219"/>
        <v>0</v>
      </c>
      <c r="AQ608" s="55">
        <f>IFERROR(VLOOKUP(A608,[1]SIIMPLES!$A$2:$F$418,6,FALSE),0)</f>
        <v>0</v>
      </c>
      <c r="AR608" s="55">
        <v>0</v>
      </c>
      <c r="AS608" s="55">
        <v>0</v>
      </c>
      <c r="AT608" s="55">
        <v>0</v>
      </c>
      <c r="AU608" s="55">
        <v>0</v>
      </c>
      <c r="AV608" s="55">
        <v>0</v>
      </c>
      <c r="AW608" s="55"/>
      <c r="AX608" s="55"/>
      <c r="AY608" s="56">
        <f t="shared" si="232"/>
        <v>0</v>
      </c>
      <c r="AZ608" s="55"/>
      <c r="BA608" s="56">
        <v>0.4</v>
      </c>
      <c r="BB608" s="41">
        <f t="shared" si="224"/>
        <v>-1</v>
      </c>
      <c r="BC608" s="13"/>
      <c r="BD608" s="35"/>
      <c r="BE608" s="13"/>
      <c r="BF608" s="16"/>
      <c r="BG608" s="17" t="str">
        <f t="shared" si="233"/>
        <v>0</v>
      </c>
      <c r="BH608" s="16">
        <f t="shared" si="234"/>
        <v>0</v>
      </c>
    </row>
    <row r="609" spans="1:60" s="21" customFormat="1" ht="12.75" customHeight="1" x14ac:dyDescent="0.2">
      <c r="A609" s="50">
        <v>5039</v>
      </c>
      <c r="B609" s="51"/>
      <c r="C609" s="51" t="s">
        <v>1803</v>
      </c>
      <c r="D609" s="52" t="s">
        <v>735</v>
      </c>
      <c r="E609" s="52" t="s">
        <v>736</v>
      </c>
      <c r="F609" s="53">
        <f>IFERROR(VLOOKUP(E609,Fornecedores!$A$2:$B$2700,2,FALSE),"")</f>
        <v>5</v>
      </c>
      <c r="G609" s="52" t="s">
        <v>965</v>
      </c>
      <c r="H609" s="54"/>
      <c r="I609" s="55">
        <f t="shared" si="226"/>
        <v>0</v>
      </c>
      <c r="J609" s="55">
        <v>0</v>
      </c>
      <c r="K609" s="55">
        <v>0</v>
      </c>
      <c r="L609" s="55">
        <v>0</v>
      </c>
      <c r="M609" s="55">
        <v>0</v>
      </c>
      <c r="N609" s="55">
        <f t="shared" si="227"/>
        <v>0</v>
      </c>
      <c r="O609" s="55">
        <v>0</v>
      </c>
      <c r="P609" s="55">
        <v>0</v>
      </c>
      <c r="Q609" s="55">
        <v>0</v>
      </c>
      <c r="R609" s="55">
        <f t="shared" si="228"/>
        <v>0</v>
      </c>
      <c r="S609" s="55">
        <v>0</v>
      </c>
      <c r="T609" s="55">
        <v>0</v>
      </c>
      <c r="U609" s="55">
        <v>0</v>
      </c>
      <c r="V609" s="55">
        <v>0</v>
      </c>
      <c r="W609" s="53">
        <v>0</v>
      </c>
      <c r="X609" s="53">
        <v>0</v>
      </c>
      <c r="Y609" s="55">
        <v>0</v>
      </c>
      <c r="Z609" s="55">
        <v>0</v>
      </c>
      <c r="AA609" s="53">
        <v>0</v>
      </c>
      <c r="AB609" s="53">
        <v>0</v>
      </c>
      <c r="AC609" s="55">
        <v>0</v>
      </c>
      <c r="AD609" s="55">
        <f t="shared" si="229"/>
        <v>0</v>
      </c>
      <c r="AE609" s="53">
        <f>IFERROR(VLOOKUP(A609,[4]simples!$A$1:$B$281,2,FALSE),0)</f>
        <v>0</v>
      </c>
      <c r="AF609" s="55">
        <v>0</v>
      </c>
      <c r="AG609" s="55">
        <v>0</v>
      </c>
      <c r="AH609" s="55">
        <f t="shared" si="230"/>
        <v>0</v>
      </c>
      <c r="AI609" s="55"/>
      <c r="AJ609" s="55">
        <v>0</v>
      </c>
      <c r="AK609" s="55"/>
      <c r="AL609" s="55">
        <f t="shared" si="231"/>
        <v>0</v>
      </c>
      <c r="AM609" s="55" t="s">
        <v>1912</v>
      </c>
      <c r="AN609" s="55">
        <v>0</v>
      </c>
      <c r="AO609" s="55">
        <v>0</v>
      </c>
      <c r="AP609" s="55">
        <f t="shared" si="219"/>
        <v>0</v>
      </c>
      <c r="AQ609" s="55">
        <f>IFERROR(VLOOKUP(A609,[1]SIIMPLES!$A$2:$F$418,6,FALSE),0)</f>
        <v>0</v>
      </c>
      <c r="AR609" s="55">
        <v>0</v>
      </c>
      <c r="AS609" s="55">
        <v>0</v>
      </c>
      <c r="AT609" s="55">
        <v>0</v>
      </c>
      <c r="AU609" s="55">
        <v>0</v>
      </c>
      <c r="AV609" s="55">
        <v>0</v>
      </c>
      <c r="AW609" s="55"/>
      <c r="AX609" s="55"/>
      <c r="AY609" s="56">
        <f t="shared" si="232"/>
        <v>0</v>
      </c>
      <c r="AZ609" s="55" t="s">
        <v>1619</v>
      </c>
      <c r="BA609" s="56">
        <v>0</v>
      </c>
      <c r="BB609" s="41" t="str">
        <f t="shared" si="224"/>
        <v/>
      </c>
      <c r="BC609" s="13"/>
      <c r="BD609" s="35"/>
      <c r="BE609" s="13"/>
      <c r="BF609" s="16">
        <f>SUM(BC609:BE609)</f>
        <v>0</v>
      </c>
      <c r="BG609" s="17" t="str">
        <f t="shared" si="233"/>
        <v>0</v>
      </c>
      <c r="BH609" s="16">
        <f t="shared" si="234"/>
        <v>0</v>
      </c>
    </row>
    <row r="610" spans="1:60" s="21" customFormat="1" ht="12.75" customHeight="1" x14ac:dyDescent="0.2">
      <c r="A610" s="51">
        <v>5040</v>
      </c>
      <c r="B610" s="51"/>
      <c r="C610" s="66" t="s">
        <v>1803</v>
      </c>
      <c r="D610" s="52" t="s">
        <v>735</v>
      </c>
      <c r="E610" s="52" t="s">
        <v>736</v>
      </c>
      <c r="F610" s="53">
        <f>IFERROR(VLOOKUP(E610,Fornecedores!$A$2:$B$2700,2,FALSE),"")</f>
        <v>5</v>
      </c>
      <c r="G610" s="52" t="s">
        <v>971</v>
      </c>
      <c r="H610" s="54"/>
      <c r="I610" s="55">
        <f t="shared" si="226"/>
        <v>0</v>
      </c>
      <c r="J610" s="55">
        <v>0</v>
      </c>
      <c r="K610" s="55">
        <v>0</v>
      </c>
      <c r="L610" s="55">
        <v>0</v>
      </c>
      <c r="M610" s="55">
        <v>0</v>
      </c>
      <c r="N610" s="55">
        <f t="shared" si="227"/>
        <v>0</v>
      </c>
      <c r="O610" s="55">
        <v>0</v>
      </c>
      <c r="P610" s="55">
        <v>0</v>
      </c>
      <c r="Q610" s="55">
        <v>0</v>
      </c>
      <c r="R610" s="55">
        <f t="shared" si="228"/>
        <v>0</v>
      </c>
      <c r="S610" s="55">
        <v>0</v>
      </c>
      <c r="T610" s="55">
        <v>0</v>
      </c>
      <c r="U610" s="55">
        <v>0</v>
      </c>
      <c r="V610" s="55">
        <v>0</v>
      </c>
      <c r="W610" s="53">
        <v>0</v>
      </c>
      <c r="X610" s="53">
        <v>0</v>
      </c>
      <c r="Y610" s="55">
        <v>0</v>
      </c>
      <c r="Z610" s="55">
        <v>0</v>
      </c>
      <c r="AA610" s="53">
        <v>0</v>
      </c>
      <c r="AB610" s="53">
        <v>0</v>
      </c>
      <c r="AC610" s="55">
        <v>0</v>
      </c>
      <c r="AD610" s="55">
        <f t="shared" si="229"/>
        <v>0</v>
      </c>
      <c r="AE610" s="53">
        <v>0</v>
      </c>
      <c r="AF610" s="55">
        <v>0</v>
      </c>
      <c r="AG610" s="55">
        <v>0</v>
      </c>
      <c r="AH610" s="55">
        <f t="shared" si="230"/>
        <v>0</v>
      </c>
      <c r="AI610" s="55">
        <v>0</v>
      </c>
      <c r="AJ610" s="55">
        <v>0</v>
      </c>
      <c r="AK610" s="55">
        <v>0</v>
      </c>
      <c r="AL610" s="55">
        <f t="shared" si="231"/>
        <v>0</v>
      </c>
      <c r="AM610" s="55" t="s">
        <v>1912</v>
      </c>
      <c r="AN610" s="55">
        <v>0</v>
      </c>
      <c r="AO610" s="55">
        <v>0</v>
      </c>
      <c r="AP610" s="55">
        <f t="shared" si="219"/>
        <v>0</v>
      </c>
      <c r="AQ610" s="55">
        <f>IFERROR(VLOOKUP(A610,[1]SIIMPLES!$A$2:$F$418,6,FALSE),0)</f>
        <v>0</v>
      </c>
      <c r="AR610" s="55">
        <v>0</v>
      </c>
      <c r="AS610" s="55">
        <v>0</v>
      </c>
      <c r="AT610" s="55">
        <v>0</v>
      </c>
      <c r="AU610" s="55">
        <v>0</v>
      </c>
      <c r="AV610" s="55">
        <v>0</v>
      </c>
      <c r="AW610" s="55"/>
      <c r="AX610" s="55"/>
      <c r="AY610" s="56">
        <f t="shared" si="232"/>
        <v>0</v>
      </c>
      <c r="AZ610" s="55"/>
      <c r="BA610" s="56">
        <v>0</v>
      </c>
      <c r="BB610" s="41" t="str">
        <f t="shared" si="224"/>
        <v/>
      </c>
      <c r="BC610" s="13"/>
      <c r="BD610" s="35"/>
      <c r="BE610" s="7"/>
      <c r="BF610" s="16"/>
      <c r="BG610" s="17" t="str">
        <f t="shared" si="233"/>
        <v>0</v>
      </c>
      <c r="BH610" s="16">
        <f t="shared" si="234"/>
        <v>0</v>
      </c>
    </row>
    <row r="611" spans="1:60" s="21" customFormat="1" ht="12.75" customHeight="1" x14ac:dyDescent="0.2">
      <c r="A611" s="51">
        <v>5041</v>
      </c>
      <c r="B611" s="51" t="s">
        <v>1077</v>
      </c>
      <c r="C611" s="66" t="s">
        <v>1803</v>
      </c>
      <c r="D611" s="52" t="s">
        <v>735</v>
      </c>
      <c r="E611" s="52" t="s">
        <v>736</v>
      </c>
      <c r="F611" s="53">
        <f>IFERROR(VLOOKUP(E611,Fornecedores!$A$2:$B$2700,2,FALSE),"")</f>
        <v>5</v>
      </c>
      <c r="G611" s="52" t="s">
        <v>873</v>
      </c>
      <c r="H611" s="54"/>
      <c r="I611" s="55">
        <f t="shared" si="226"/>
        <v>2</v>
      </c>
      <c r="J611" s="55">
        <v>0</v>
      </c>
      <c r="K611" s="55">
        <v>2</v>
      </c>
      <c r="L611" s="55">
        <v>0</v>
      </c>
      <c r="M611" s="55">
        <v>0</v>
      </c>
      <c r="N611" s="55">
        <f t="shared" si="227"/>
        <v>2</v>
      </c>
      <c r="O611" s="55">
        <v>0</v>
      </c>
      <c r="P611" s="55">
        <v>2</v>
      </c>
      <c r="Q611" s="55">
        <v>0</v>
      </c>
      <c r="R611" s="55">
        <f t="shared" si="228"/>
        <v>4</v>
      </c>
      <c r="S611" s="55">
        <v>0</v>
      </c>
      <c r="T611" s="55">
        <v>4</v>
      </c>
      <c r="U611" s="55">
        <v>0</v>
      </c>
      <c r="V611" s="55">
        <v>6</v>
      </c>
      <c r="W611" s="53">
        <v>0</v>
      </c>
      <c r="X611" s="53">
        <v>6</v>
      </c>
      <c r="Y611" s="55">
        <v>0</v>
      </c>
      <c r="Z611" s="55">
        <v>4</v>
      </c>
      <c r="AA611" s="53">
        <v>0</v>
      </c>
      <c r="AB611" s="53">
        <v>4</v>
      </c>
      <c r="AC611" s="55">
        <v>0</v>
      </c>
      <c r="AD611" s="55">
        <f t="shared" si="229"/>
        <v>12</v>
      </c>
      <c r="AE611" s="53">
        <v>0</v>
      </c>
      <c r="AF611" s="55">
        <v>12</v>
      </c>
      <c r="AG611" s="55">
        <v>0</v>
      </c>
      <c r="AH611" s="55">
        <f t="shared" si="230"/>
        <v>3</v>
      </c>
      <c r="AI611" s="55">
        <v>1</v>
      </c>
      <c r="AJ611" s="55">
        <v>2</v>
      </c>
      <c r="AK611" s="55">
        <v>0</v>
      </c>
      <c r="AL611" s="55">
        <f t="shared" si="231"/>
        <v>2</v>
      </c>
      <c r="AM611" s="55">
        <v>2</v>
      </c>
      <c r="AN611" s="55">
        <v>0</v>
      </c>
      <c r="AO611" s="55">
        <v>0</v>
      </c>
      <c r="AP611" s="55">
        <f t="shared" si="219"/>
        <v>0</v>
      </c>
      <c r="AQ611" s="55">
        <f>IFERROR(VLOOKUP(A611,[1]SIIMPLES!$A$2:$F$418,6,FALSE),0)</f>
        <v>0</v>
      </c>
      <c r="AR611" s="55">
        <v>0</v>
      </c>
      <c r="AS611" s="55">
        <v>0</v>
      </c>
      <c r="AT611" s="55">
        <v>0</v>
      </c>
      <c r="AU611" s="55">
        <v>0</v>
      </c>
      <c r="AV611" s="55">
        <v>0</v>
      </c>
      <c r="AW611" s="55"/>
      <c r="AX611" s="55"/>
      <c r="AY611" s="56">
        <f t="shared" si="232"/>
        <v>3.5</v>
      </c>
      <c r="AZ611" s="55"/>
      <c r="BA611" s="56">
        <v>6</v>
      </c>
      <c r="BB611" s="41">
        <f t="shared" si="224"/>
        <v>-0.41666666666666663</v>
      </c>
      <c r="BC611" s="13"/>
      <c r="BD611" s="35"/>
      <c r="BE611" s="13"/>
      <c r="BF611" s="16"/>
      <c r="BG611" s="17">
        <f t="shared" si="233"/>
        <v>0</v>
      </c>
      <c r="BH611" s="16">
        <f t="shared" si="234"/>
        <v>3.5</v>
      </c>
    </row>
    <row r="612" spans="1:60" s="21" customFormat="1" ht="12.75" customHeight="1" x14ac:dyDescent="0.2">
      <c r="A612" s="51">
        <v>5100</v>
      </c>
      <c r="B612" s="51"/>
      <c r="C612" s="66" t="s">
        <v>1803</v>
      </c>
      <c r="D612" s="52" t="s">
        <v>735</v>
      </c>
      <c r="E612" s="52" t="s">
        <v>736</v>
      </c>
      <c r="F612" s="53">
        <f>IFERROR(VLOOKUP(E612,Fornecedores!$A$2:$B$2700,2,FALSE),"")</f>
        <v>5</v>
      </c>
      <c r="G612" s="52" t="s">
        <v>955</v>
      </c>
      <c r="H612" s="54"/>
      <c r="I612" s="55">
        <f t="shared" si="226"/>
        <v>0</v>
      </c>
      <c r="J612" s="55">
        <v>0</v>
      </c>
      <c r="K612" s="55">
        <v>0</v>
      </c>
      <c r="L612" s="55">
        <v>0</v>
      </c>
      <c r="M612" s="55">
        <v>0</v>
      </c>
      <c r="N612" s="55">
        <f t="shared" si="227"/>
        <v>0</v>
      </c>
      <c r="O612" s="55">
        <v>0</v>
      </c>
      <c r="P612" s="55">
        <v>0</v>
      </c>
      <c r="Q612" s="55">
        <v>0</v>
      </c>
      <c r="R612" s="55">
        <f t="shared" si="228"/>
        <v>0</v>
      </c>
      <c r="S612" s="55">
        <v>0</v>
      </c>
      <c r="T612" s="55">
        <v>0</v>
      </c>
      <c r="U612" s="55">
        <v>0</v>
      </c>
      <c r="V612" s="55">
        <v>0</v>
      </c>
      <c r="W612" s="53">
        <v>0</v>
      </c>
      <c r="X612" s="53">
        <v>0</v>
      </c>
      <c r="Y612" s="55">
        <v>0</v>
      </c>
      <c r="Z612" s="55">
        <v>0</v>
      </c>
      <c r="AA612" s="53">
        <v>0</v>
      </c>
      <c r="AB612" s="53">
        <v>0</v>
      </c>
      <c r="AC612" s="55">
        <v>0</v>
      </c>
      <c r="AD612" s="55">
        <f t="shared" si="229"/>
        <v>2</v>
      </c>
      <c r="AE612" s="53">
        <v>0</v>
      </c>
      <c r="AF612" s="55">
        <v>2</v>
      </c>
      <c r="AG612" s="55">
        <v>0</v>
      </c>
      <c r="AH612" s="55">
        <f t="shared" si="230"/>
        <v>0</v>
      </c>
      <c r="AI612" s="55">
        <v>0</v>
      </c>
      <c r="AJ612" s="55">
        <v>0</v>
      </c>
      <c r="AK612" s="55">
        <v>0</v>
      </c>
      <c r="AL612" s="55">
        <f t="shared" si="231"/>
        <v>0</v>
      </c>
      <c r="AM612" s="55" t="s">
        <v>1912</v>
      </c>
      <c r="AN612" s="55">
        <v>0</v>
      </c>
      <c r="AO612" s="55">
        <v>0</v>
      </c>
      <c r="AP612" s="55">
        <f t="shared" si="219"/>
        <v>0</v>
      </c>
      <c r="AQ612" s="55">
        <f>IFERROR(VLOOKUP(A612,[1]SIIMPLES!$A$2:$F$418,6,FALSE),0)</f>
        <v>0</v>
      </c>
      <c r="AR612" s="55">
        <v>0</v>
      </c>
      <c r="AS612" s="55">
        <v>0</v>
      </c>
      <c r="AT612" s="55">
        <v>0</v>
      </c>
      <c r="AU612" s="55">
        <v>0</v>
      </c>
      <c r="AV612" s="55">
        <v>0</v>
      </c>
      <c r="AW612" s="55"/>
      <c r="AX612" s="55"/>
      <c r="AY612" s="56">
        <f t="shared" si="232"/>
        <v>0.2</v>
      </c>
      <c r="AZ612" s="55"/>
      <c r="BA612" s="56">
        <v>0.4</v>
      </c>
      <c r="BB612" s="41">
        <f t="shared" si="224"/>
        <v>-0.5</v>
      </c>
      <c r="BC612" s="7"/>
      <c r="BD612" s="35"/>
      <c r="BE612" s="13"/>
      <c r="BF612" s="16"/>
      <c r="BG612" s="17">
        <f t="shared" si="233"/>
        <v>0</v>
      </c>
      <c r="BH612" s="16">
        <f t="shared" si="234"/>
        <v>0.2</v>
      </c>
    </row>
    <row r="613" spans="1:60" s="21" customFormat="1" ht="12.75" customHeight="1" x14ac:dyDescent="0.2">
      <c r="A613" s="51">
        <v>5101</v>
      </c>
      <c r="B613" s="51"/>
      <c r="C613" s="66" t="s">
        <v>1803</v>
      </c>
      <c r="D613" s="52" t="s">
        <v>735</v>
      </c>
      <c r="E613" s="52" t="s">
        <v>736</v>
      </c>
      <c r="F613" s="53">
        <f>IFERROR(VLOOKUP(E613,Fornecedores!$A$2:$B$2700,2,FALSE),"")</f>
        <v>5</v>
      </c>
      <c r="G613" s="52" t="s">
        <v>961</v>
      </c>
      <c r="H613" s="54"/>
      <c r="I613" s="55">
        <f t="shared" si="226"/>
        <v>0</v>
      </c>
      <c r="J613" s="55">
        <v>0</v>
      </c>
      <c r="K613" s="55">
        <v>0</v>
      </c>
      <c r="L613" s="55">
        <v>0</v>
      </c>
      <c r="M613" s="55">
        <v>0</v>
      </c>
      <c r="N613" s="55">
        <f t="shared" si="227"/>
        <v>0</v>
      </c>
      <c r="O613" s="55">
        <v>0</v>
      </c>
      <c r="P613" s="55">
        <v>0</v>
      </c>
      <c r="Q613" s="55">
        <v>0</v>
      </c>
      <c r="R613" s="55">
        <f t="shared" si="228"/>
        <v>0</v>
      </c>
      <c r="S613" s="55">
        <v>0</v>
      </c>
      <c r="T613" s="55">
        <v>0</v>
      </c>
      <c r="U613" s="55">
        <v>0</v>
      </c>
      <c r="V613" s="55">
        <v>0</v>
      </c>
      <c r="W613" s="53">
        <v>0</v>
      </c>
      <c r="X613" s="53">
        <v>0</v>
      </c>
      <c r="Y613" s="55">
        <v>0</v>
      </c>
      <c r="Z613" s="55">
        <v>0</v>
      </c>
      <c r="AA613" s="53">
        <v>0</v>
      </c>
      <c r="AB613" s="53">
        <v>0</v>
      </c>
      <c r="AC613" s="55">
        <v>0</v>
      </c>
      <c r="AD613" s="55">
        <f t="shared" si="229"/>
        <v>0</v>
      </c>
      <c r="AE613" s="53">
        <v>0</v>
      </c>
      <c r="AF613" s="55">
        <v>0</v>
      </c>
      <c r="AG613" s="55">
        <v>0</v>
      </c>
      <c r="AH613" s="55">
        <f t="shared" si="230"/>
        <v>0</v>
      </c>
      <c r="AI613" s="55">
        <v>0</v>
      </c>
      <c r="AJ613" s="55">
        <v>0</v>
      </c>
      <c r="AK613" s="55">
        <v>0</v>
      </c>
      <c r="AL613" s="55">
        <f t="shared" si="231"/>
        <v>0</v>
      </c>
      <c r="AM613" s="55" t="s">
        <v>1912</v>
      </c>
      <c r="AN613" s="55">
        <v>0</v>
      </c>
      <c r="AO613" s="55">
        <v>0</v>
      </c>
      <c r="AP613" s="55">
        <f t="shared" si="219"/>
        <v>0</v>
      </c>
      <c r="AQ613" s="55">
        <f>IFERROR(VLOOKUP(A613,[1]SIIMPLES!$A$2:$F$418,6,FALSE),0)</f>
        <v>0</v>
      </c>
      <c r="AR613" s="55">
        <v>0</v>
      </c>
      <c r="AS613" s="55">
        <v>0</v>
      </c>
      <c r="AT613" s="55">
        <v>0</v>
      </c>
      <c r="AU613" s="55">
        <v>0</v>
      </c>
      <c r="AV613" s="55">
        <v>0</v>
      </c>
      <c r="AW613" s="55"/>
      <c r="AX613" s="55"/>
      <c r="AY613" s="56">
        <f t="shared" si="232"/>
        <v>0</v>
      </c>
      <c r="AZ613" s="55"/>
      <c r="BA613" s="56">
        <v>0.4</v>
      </c>
      <c r="BB613" s="41">
        <f t="shared" si="224"/>
        <v>-1</v>
      </c>
      <c r="BC613" s="13"/>
      <c r="BD613" s="35"/>
      <c r="BE613" s="13"/>
      <c r="BF613" s="16">
        <f t="shared" ref="BF613:BF619" si="235">SUM(BC613:BE613)</f>
        <v>0</v>
      </c>
      <c r="BG613" s="17" t="str">
        <f t="shared" si="233"/>
        <v>0</v>
      </c>
      <c r="BH613" s="16">
        <f t="shared" si="234"/>
        <v>0</v>
      </c>
    </row>
    <row r="614" spans="1:60" s="21" customFormat="1" ht="12.75" customHeight="1" x14ac:dyDescent="0.2">
      <c r="A614" s="51">
        <v>5102</v>
      </c>
      <c r="B614" s="51"/>
      <c r="C614" s="66" t="s">
        <v>1803</v>
      </c>
      <c r="D614" s="52" t="s">
        <v>735</v>
      </c>
      <c r="E614" s="52" t="s">
        <v>736</v>
      </c>
      <c r="F614" s="53">
        <f>IFERROR(VLOOKUP(E614,Fornecedores!$A$2:$B$2700,2,FALSE),"")</f>
        <v>5</v>
      </c>
      <c r="G614" s="52" t="s">
        <v>950</v>
      </c>
      <c r="H614" s="54"/>
      <c r="I614" s="55">
        <f t="shared" si="226"/>
        <v>0</v>
      </c>
      <c r="J614" s="55">
        <v>0</v>
      </c>
      <c r="K614" s="55">
        <v>0</v>
      </c>
      <c r="L614" s="55">
        <v>0</v>
      </c>
      <c r="M614" s="55">
        <v>0</v>
      </c>
      <c r="N614" s="55">
        <f t="shared" si="227"/>
        <v>0</v>
      </c>
      <c r="O614" s="55">
        <v>0</v>
      </c>
      <c r="P614" s="55">
        <v>0</v>
      </c>
      <c r="Q614" s="55">
        <v>0</v>
      </c>
      <c r="R614" s="55">
        <f t="shared" si="228"/>
        <v>0</v>
      </c>
      <c r="S614" s="55">
        <v>0</v>
      </c>
      <c r="T614" s="55">
        <v>0</v>
      </c>
      <c r="U614" s="55">
        <v>0</v>
      </c>
      <c r="V614" s="55">
        <v>0</v>
      </c>
      <c r="W614" s="53">
        <v>0</v>
      </c>
      <c r="X614" s="53">
        <v>0</v>
      </c>
      <c r="Y614" s="55">
        <v>0</v>
      </c>
      <c r="Z614" s="55">
        <v>0</v>
      </c>
      <c r="AA614" s="53">
        <v>0</v>
      </c>
      <c r="AB614" s="53">
        <v>0</v>
      </c>
      <c r="AC614" s="55">
        <v>0</v>
      </c>
      <c r="AD614" s="55">
        <f t="shared" si="229"/>
        <v>0</v>
      </c>
      <c r="AE614" s="53">
        <v>0</v>
      </c>
      <c r="AF614" s="55">
        <v>0</v>
      </c>
      <c r="AG614" s="55">
        <v>0</v>
      </c>
      <c r="AH614" s="55">
        <f t="shared" si="230"/>
        <v>0</v>
      </c>
      <c r="AI614" s="55">
        <v>0</v>
      </c>
      <c r="AJ614" s="55">
        <v>0</v>
      </c>
      <c r="AK614" s="55">
        <v>0</v>
      </c>
      <c r="AL614" s="55">
        <f t="shared" si="231"/>
        <v>0</v>
      </c>
      <c r="AM614" s="55" t="s">
        <v>1912</v>
      </c>
      <c r="AN614" s="55">
        <v>0</v>
      </c>
      <c r="AO614" s="55">
        <v>0</v>
      </c>
      <c r="AP614" s="55">
        <f t="shared" si="219"/>
        <v>0</v>
      </c>
      <c r="AQ614" s="55">
        <f>IFERROR(VLOOKUP(A614,[1]SIIMPLES!$A$2:$F$418,6,FALSE),0)</f>
        <v>0</v>
      </c>
      <c r="AR614" s="55">
        <v>0</v>
      </c>
      <c r="AS614" s="55">
        <v>0</v>
      </c>
      <c r="AT614" s="55">
        <v>0</v>
      </c>
      <c r="AU614" s="55">
        <v>0</v>
      </c>
      <c r="AV614" s="55">
        <v>0</v>
      </c>
      <c r="AW614" s="55"/>
      <c r="AX614" s="55"/>
      <c r="AY614" s="56">
        <f t="shared" si="232"/>
        <v>0</v>
      </c>
      <c r="AZ614" s="55"/>
      <c r="BA614" s="56">
        <v>0</v>
      </c>
      <c r="BB614" s="41" t="str">
        <f t="shared" si="224"/>
        <v/>
      </c>
      <c r="BC614" s="13"/>
      <c r="BD614" s="35"/>
      <c r="BE614" s="13"/>
      <c r="BF614" s="16">
        <f t="shared" si="235"/>
        <v>0</v>
      </c>
      <c r="BG614" s="17" t="str">
        <f t="shared" si="233"/>
        <v>0</v>
      </c>
      <c r="BH614" s="16">
        <f t="shared" si="234"/>
        <v>0</v>
      </c>
    </row>
    <row r="615" spans="1:60" s="21" customFormat="1" ht="12.75" customHeight="1" x14ac:dyDescent="0.2">
      <c r="A615" s="51">
        <v>5103</v>
      </c>
      <c r="B615" s="51"/>
      <c r="C615" s="66" t="s">
        <v>1803</v>
      </c>
      <c r="D615" s="52" t="s">
        <v>735</v>
      </c>
      <c r="E615" s="52" t="s">
        <v>736</v>
      </c>
      <c r="F615" s="53">
        <f>IFERROR(VLOOKUP(E615,Fornecedores!$A$2:$B$2700,2,FALSE),"")</f>
        <v>5</v>
      </c>
      <c r="G615" s="52" t="s">
        <v>480</v>
      </c>
      <c r="H615" s="54"/>
      <c r="I615" s="55">
        <f t="shared" si="226"/>
        <v>2</v>
      </c>
      <c r="J615" s="55">
        <v>0</v>
      </c>
      <c r="K615" s="55">
        <v>2</v>
      </c>
      <c r="L615" s="55">
        <v>0</v>
      </c>
      <c r="M615" s="55">
        <v>0</v>
      </c>
      <c r="N615" s="55">
        <f t="shared" si="227"/>
        <v>0</v>
      </c>
      <c r="O615" s="55">
        <v>0</v>
      </c>
      <c r="P615" s="55">
        <v>0</v>
      </c>
      <c r="Q615" s="55">
        <v>0</v>
      </c>
      <c r="R615" s="55">
        <f t="shared" si="228"/>
        <v>0</v>
      </c>
      <c r="S615" s="55">
        <v>0</v>
      </c>
      <c r="T615" s="55">
        <v>0</v>
      </c>
      <c r="U615" s="55">
        <v>0</v>
      </c>
      <c r="V615" s="55">
        <v>2</v>
      </c>
      <c r="W615" s="53">
        <v>0</v>
      </c>
      <c r="X615" s="53">
        <v>2</v>
      </c>
      <c r="Y615" s="55">
        <v>0</v>
      </c>
      <c r="Z615" s="55">
        <v>2</v>
      </c>
      <c r="AA615" s="53">
        <v>0</v>
      </c>
      <c r="AB615" s="53">
        <v>2</v>
      </c>
      <c r="AC615" s="55">
        <v>0</v>
      </c>
      <c r="AD615" s="55">
        <f t="shared" si="229"/>
        <v>0</v>
      </c>
      <c r="AE615" s="53">
        <v>0</v>
      </c>
      <c r="AF615" s="55">
        <v>0</v>
      </c>
      <c r="AG615" s="55">
        <v>0</v>
      </c>
      <c r="AH615" s="55">
        <f t="shared" si="230"/>
        <v>0</v>
      </c>
      <c r="AI615" s="55">
        <v>0</v>
      </c>
      <c r="AJ615" s="55">
        <v>0</v>
      </c>
      <c r="AK615" s="55">
        <v>0</v>
      </c>
      <c r="AL615" s="55">
        <f t="shared" si="231"/>
        <v>2</v>
      </c>
      <c r="AM615" s="55" t="s">
        <v>1912</v>
      </c>
      <c r="AN615" s="55">
        <v>2</v>
      </c>
      <c r="AO615" s="55">
        <v>0</v>
      </c>
      <c r="AP615" s="55">
        <f t="shared" si="219"/>
        <v>0</v>
      </c>
      <c r="AQ615" s="55">
        <f>IFERROR(VLOOKUP(A615,[1]SIIMPLES!$A$2:$F$418,6,FALSE),0)</f>
        <v>0</v>
      </c>
      <c r="AR615" s="55">
        <v>0</v>
      </c>
      <c r="AS615" s="55">
        <v>0</v>
      </c>
      <c r="AT615" s="55">
        <v>0</v>
      </c>
      <c r="AU615" s="55">
        <v>0</v>
      </c>
      <c r="AV615" s="55">
        <v>0</v>
      </c>
      <c r="AW615" s="55"/>
      <c r="AX615" s="55"/>
      <c r="AY615" s="56">
        <f t="shared" si="232"/>
        <v>0.8</v>
      </c>
      <c r="AZ615" s="55"/>
      <c r="BA615" s="56">
        <v>0.66666666666666663</v>
      </c>
      <c r="BB615" s="41">
        <f t="shared" si="224"/>
        <v>0.20000000000000018</v>
      </c>
      <c r="BC615" s="13"/>
      <c r="BD615" s="35"/>
      <c r="BE615" s="13"/>
      <c r="BF615" s="16">
        <f t="shared" si="235"/>
        <v>0</v>
      </c>
      <c r="BG615" s="17">
        <f t="shared" si="233"/>
        <v>0</v>
      </c>
      <c r="BH615" s="16">
        <f t="shared" si="234"/>
        <v>0.8</v>
      </c>
    </row>
    <row r="616" spans="1:60" s="21" customFormat="1" ht="12.75" customHeight="1" x14ac:dyDescent="0.2">
      <c r="A616" s="50">
        <v>5107</v>
      </c>
      <c r="B616" s="51"/>
      <c r="C616" s="51" t="s">
        <v>1803</v>
      </c>
      <c r="D616" s="52" t="s">
        <v>735</v>
      </c>
      <c r="E616" s="52" t="s">
        <v>736</v>
      </c>
      <c r="F616" s="53">
        <f>IFERROR(VLOOKUP(E616,Fornecedores!$A$2:$B$2700,2,FALSE),"")</f>
        <v>5</v>
      </c>
      <c r="G616" s="52" t="s">
        <v>998</v>
      </c>
      <c r="H616" s="54"/>
      <c r="I616" s="55">
        <f t="shared" si="226"/>
        <v>0</v>
      </c>
      <c r="J616" s="55">
        <v>0</v>
      </c>
      <c r="K616" s="55">
        <v>0</v>
      </c>
      <c r="L616" s="55">
        <v>0</v>
      </c>
      <c r="M616" s="55">
        <v>0</v>
      </c>
      <c r="N616" s="55">
        <f t="shared" si="227"/>
        <v>0</v>
      </c>
      <c r="O616" s="55">
        <v>0</v>
      </c>
      <c r="P616" s="55">
        <v>0</v>
      </c>
      <c r="Q616" s="55">
        <v>0</v>
      </c>
      <c r="R616" s="55">
        <f t="shared" si="228"/>
        <v>0</v>
      </c>
      <c r="S616" s="55">
        <v>0</v>
      </c>
      <c r="T616" s="55">
        <v>0</v>
      </c>
      <c r="U616" s="55">
        <v>0</v>
      </c>
      <c r="V616" s="55">
        <v>0</v>
      </c>
      <c r="W616" s="53">
        <v>0</v>
      </c>
      <c r="X616" s="53">
        <v>0</v>
      </c>
      <c r="Y616" s="55">
        <v>0</v>
      </c>
      <c r="Z616" s="55">
        <v>0</v>
      </c>
      <c r="AA616" s="53">
        <v>0</v>
      </c>
      <c r="AB616" s="53">
        <v>0</v>
      </c>
      <c r="AC616" s="55">
        <v>0</v>
      </c>
      <c r="AD616" s="55">
        <f t="shared" si="229"/>
        <v>0</v>
      </c>
      <c r="AE616" s="53">
        <f>IFERROR(VLOOKUP(A616,[4]simples!$A$1:$B$281,2,FALSE),0)</f>
        <v>0</v>
      </c>
      <c r="AF616" s="55">
        <v>0</v>
      </c>
      <c r="AG616" s="55">
        <v>0</v>
      </c>
      <c r="AH616" s="55">
        <f t="shared" si="230"/>
        <v>0</v>
      </c>
      <c r="AI616" s="55"/>
      <c r="AJ616" s="55">
        <v>0</v>
      </c>
      <c r="AK616" s="55"/>
      <c r="AL616" s="55">
        <f t="shared" si="231"/>
        <v>0</v>
      </c>
      <c r="AM616" s="55" t="s">
        <v>1912</v>
      </c>
      <c r="AN616" s="55">
        <v>0</v>
      </c>
      <c r="AO616" s="55">
        <v>0</v>
      </c>
      <c r="AP616" s="55">
        <f t="shared" si="219"/>
        <v>0</v>
      </c>
      <c r="AQ616" s="55">
        <f>IFERROR(VLOOKUP(A616,[1]SIIMPLES!$A$2:$F$418,6,FALSE),0)</f>
        <v>0</v>
      </c>
      <c r="AR616" s="55">
        <v>0</v>
      </c>
      <c r="AS616" s="55">
        <v>0</v>
      </c>
      <c r="AT616" s="55">
        <v>0</v>
      </c>
      <c r="AU616" s="55">
        <v>0</v>
      </c>
      <c r="AV616" s="55">
        <v>0</v>
      </c>
      <c r="AW616" s="55"/>
      <c r="AX616" s="55"/>
      <c r="AY616" s="56">
        <f t="shared" si="232"/>
        <v>0</v>
      </c>
      <c r="AZ616" s="55"/>
      <c r="BA616" s="56">
        <v>0</v>
      </c>
      <c r="BB616" s="41" t="str">
        <f t="shared" si="224"/>
        <v/>
      </c>
      <c r="BC616" s="13"/>
      <c r="BD616" s="35"/>
      <c r="BE616" s="13"/>
      <c r="BF616" s="16">
        <f t="shared" si="235"/>
        <v>0</v>
      </c>
      <c r="BG616" s="17" t="str">
        <f t="shared" si="233"/>
        <v>0</v>
      </c>
      <c r="BH616" s="16">
        <f t="shared" si="234"/>
        <v>0</v>
      </c>
    </row>
    <row r="617" spans="1:60" s="21" customFormat="1" ht="12.75" customHeight="1" x14ac:dyDescent="0.2">
      <c r="A617" s="51">
        <v>5108</v>
      </c>
      <c r="B617" s="51"/>
      <c r="C617" s="66" t="s">
        <v>1803</v>
      </c>
      <c r="D617" s="52" t="s">
        <v>735</v>
      </c>
      <c r="E617" s="52" t="s">
        <v>736</v>
      </c>
      <c r="F617" s="53">
        <f>IFERROR(VLOOKUP(E617,Fornecedores!$A$2:$B$2700,2,FALSE),"")</f>
        <v>5</v>
      </c>
      <c r="G617" s="52" t="s">
        <v>354</v>
      </c>
      <c r="H617" s="54"/>
      <c r="I617" s="55">
        <f t="shared" si="226"/>
        <v>0</v>
      </c>
      <c r="J617" s="55">
        <v>0</v>
      </c>
      <c r="K617" s="55">
        <v>0</v>
      </c>
      <c r="L617" s="55">
        <v>0</v>
      </c>
      <c r="M617" s="55">
        <v>0</v>
      </c>
      <c r="N617" s="55">
        <f t="shared" si="227"/>
        <v>0</v>
      </c>
      <c r="O617" s="55">
        <v>0</v>
      </c>
      <c r="P617" s="55">
        <v>0</v>
      </c>
      <c r="Q617" s="55">
        <v>0</v>
      </c>
      <c r="R617" s="55">
        <f t="shared" si="228"/>
        <v>0</v>
      </c>
      <c r="S617" s="55">
        <v>0</v>
      </c>
      <c r="T617" s="55">
        <v>0</v>
      </c>
      <c r="U617" s="55">
        <v>0</v>
      </c>
      <c r="V617" s="55">
        <v>1</v>
      </c>
      <c r="W617" s="53">
        <v>0</v>
      </c>
      <c r="X617" s="53">
        <v>1</v>
      </c>
      <c r="Y617" s="55">
        <v>0</v>
      </c>
      <c r="Z617" s="55">
        <v>1</v>
      </c>
      <c r="AA617" s="53">
        <v>0</v>
      </c>
      <c r="AB617" s="53">
        <v>1</v>
      </c>
      <c r="AC617" s="55">
        <v>0</v>
      </c>
      <c r="AD617" s="55">
        <f t="shared" si="229"/>
        <v>1</v>
      </c>
      <c r="AE617" s="53">
        <v>0</v>
      </c>
      <c r="AF617" s="55">
        <v>1</v>
      </c>
      <c r="AG617" s="55">
        <v>0</v>
      </c>
      <c r="AH617" s="55">
        <f t="shared" si="230"/>
        <v>0</v>
      </c>
      <c r="AI617" s="55">
        <v>0</v>
      </c>
      <c r="AJ617" s="55">
        <v>0</v>
      </c>
      <c r="AK617" s="55">
        <v>0</v>
      </c>
      <c r="AL617" s="55">
        <f t="shared" si="231"/>
        <v>0</v>
      </c>
      <c r="AM617" s="55" t="s">
        <v>1912</v>
      </c>
      <c r="AN617" s="55">
        <v>0</v>
      </c>
      <c r="AO617" s="55">
        <v>0</v>
      </c>
      <c r="AP617" s="55">
        <f t="shared" si="219"/>
        <v>0</v>
      </c>
      <c r="AQ617" s="55">
        <f>IFERROR(VLOOKUP(A617,[1]SIIMPLES!$A$2:$F$418,6,FALSE),0)</f>
        <v>0</v>
      </c>
      <c r="AR617" s="55">
        <v>0</v>
      </c>
      <c r="AS617" s="55">
        <v>7</v>
      </c>
      <c r="AT617" s="55">
        <v>0</v>
      </c>
      <c r="AU617" s="55">
        <v>0</v>
      </c>
      <c r="AV617" s="55">
        <v>7</v>
      </c>
      <c r="AW617" s="55"/>
      <c r="AX617" s="55"/>
      <c r="AY617" s="56">
        <f t="shared" si="232"/>
        <v>1</v>
      </c>
      <c r="AZ617" s="55"/>
      <c r="BA617" s="56">
        <v>0.33333333333333331</v>
      </c>
      <c r="BB617" s="41">
        <f t="shared" ref="BB617:BB648" si="236">IFERROR(AY617/BA617-1,"")</f>
        <v>2</v>
      </c>
      <c r="BC617" s="13"/>
      <c r="BD617" s="35"/>
      <c r="BE617" s="13"/>
      <c r="BF617" s="16">
        <f t="shared" si="235"/>
        <v>0</v>
      </c>
      <c r="BG617" s="17">
        <f t="shared" si="233"/>
        <v>0</v>
      </c>
      <c r="BH617" s="16">
        <f t="shared" si="234"/>
        <v>1</v>
      </c>
    </row>
    <row r="618" spans="1:60" s="21" customFormat="1" ht="12.75" customHeight="1" x14ac:dyDescent="0.2">
      <c r="A618" s="51">
        <v>5109</v>
      </c>
      <c r="B618" s="51"/>
      <c r="C618" s="66" t="s">
        <v>1803</v>
      </c>
      <c r="D618" s="52" t="s">
        <v>735</v>
      </c>
      <c r="E618" s="52" t="s">
        <v>736</v>
      </c>
      <c r="F618" s="53">
        <f>IFERROR(VLOOKUP(E618,Fornecedores!$A$2:$B$2700,2,FALSE),"")</f>
        <v>5</v>
      </c>
      <c r="G618" s="52" t="s">
        <v>372</v>
      </c>
      <c r="H618" s="54"/>
      <c r="I618" s="55">
        <f t="shared" si="226"/>
        <v>0</v>
      </c>
      <c r="J618" s="55">
        <v>0</v>
      </c>
      <c r="K618" s="55">
        <v>0</v>
      </c>
      <c r="L618" s="55">
        <v>0</v>
      </c>
      <c r="M618" s="55">
        <v>0</v>
      </c>
      <c r="N618" s="55">
        <f t="shared" si="227"/>
        <v>0</v>
      </c>
      <c r="O618" s="55">
        <v>0</v>
      </c>
      <c r="P618" s="55">
        <v>0</v>
      </c>
      <c r="Q618" s="55">
        <v>0</v>
      </c>
      <c r="R618" s="55">
        <f t="shared" si="228"/>
        <v>0</v>
      </c>
      <c r="S618" s="55">
        <v>0</v>
      </c>
      <c r="T618" s="55">
        <v>0</v>
      </c>
      <c r="U618" s="55">
        <v>0</v>
      </c>
      <c r="V618" s="55">
        <v>1</v>
      </c>
      <c r="W618" s="53">
        <v>0</v>
      </c>
      <c r="X618" s="53">
        <v>1</v>
      </c>
      <c r="Y618" s="55">
        <v>0</v>
      </c>
      <c r="Z618" s="55">
        <v>2</v>
      </c>
      <c r="AA618" s="53">
        <v>1</v>
      </c>
      <c r="AB618" s="53">
        <v>1</v>
      </c>
      <c r="AC618" s="55">
        <v>0</v>
      </c>
      <c r="AD618" s="55">
        <f t="shared" si="229"/>
        <v>1</v>
      </c>
      <c r="AE618" s="53">
        <v>0</v>
      </c>
      <c r="AF618" s="55">
        <v>1</v>
      </c>
      <c r="AG618" s="55">
        <v>0</v>
      </c>
      <c r="AH618" s="55">
        <f t="shared" si="230"/>
        <v>0</v>
      </c>
      <c r="AI618" s="55">
        <v>0</v>
      </c>
      <c r="AJ618" s="55">
        <v>0</v>
      </c>
      <c r="AK618" s="55">
        <v>0</v>
      </c>
      <c r="AL618" s="55">
        <f t="shared" si="231"/>
        <v>0</v>
      </c>
      <c r="AM618" s="55" t="s">
        <v>1912</v>
      </c>
      <c r="AN618" s="55">
        <v>0</v>
      </c>
      <c r="AO618" s="55">
        <v>0</v>
      </c>
      <c r="AP618" s="55">
        <f t="shared" si="219"/>
        <v>0</v>
      </c>
      <c r="AQ618" s="55">
        <f>IFERROR(VLOOKUP(A618,[1]SIIMPLES!$A$2:$F$418,6,FALSE),0)</f>
        <v>0</v>
      </c>
      <c r="AR618" s="55">
        <v>0</v>
      </c>
      <c r="AS618" s="55">
        <v>11</v>
      </c>
      <c r="AT618" s="55">
        <v>0</v>
      </c>
      <c r="AU618" s="55">
        <v>0</v>
      </c>
      <c r="AV618" s="55">
        <v>11</v>
      </c>
      <c r="AW618" s="55"/>
      <c r="AX618" s="55"/>
      <c r="AY618" s="56">
        <f t="shared" si="232"/>
        <v>1.5</v>
      </c>
      <c r="AZ618" s="55"/>
      <c r="BA618" s="56">
        <v>0</v>
      </c>
      <c r="BB618" s="41" t="str">
        <f t="shared" si="236"/>
        <v/>
      </c>
      <c r="BC618" s="13"/>
      <c r="BD618" s="35"/>
      <c r="BE618" s="13"/>
      <c r="BF618" s="16">
        <f t="shared" si="235"/>
        <v>0</v>
      </c>
      <c r="BG618" s="17">
        <f t="shared" si="233"/>
        <v>0</v>
      </c>
      <c r="BH618" s="16">
        <f t="shared" si="234"/>
        <v>1.5</v>
      </c>
    </row>
    <row r="619" spans="1:60" s="21" customFormat="1" ht="12.75" customHeight="1" x14ac:dyDescent="0.2">
      <c r="A619" s="51">
        <v>5125</v>
      </c>
      <c r="B619" s="51"/>
      <c r="C619" s="66" t="s">
        <v>1803</v>
      </c>
      <c r="D619" s="52" t="s">
        <v>735</v>
      </c>
      <c r="E619" s="52" t="s">
        <v>736</v>
      </c>
      <c r="F619" s="53">
        <f>IFERROR(VLOOKUP(E619,Fornecedores!$A$2:$B$2700,2,FALSE),"")</f>
        <v>5</v>
      </c>
      <c r="G619" s="52" t="s">
        <v>367</v>
      </c>
      <c r="H619" s="54"/>
      <c r="I619" s="55">
        <f t="shared" si="226"/>
        <v>0</v>
      </c>
      <c r="J619" s="55">
        <v>0</v>
      </c>
      <c r="K619" s="55">
        <v>0</v>
      </c>
      <c r="L619" s="55">
        <v>0</v>
      </c>
      <c r="M619" s="55">
        <v>0</v>
      </c>
      <c r="N619" s="55">
        <f t="shared" si="227"/>
        <v>0</v>
      </c>
      <c r="O619" s="55">
        <v>0</v>
      </c>
      <c r="P619" s="55">
        <v>0</v>
      </c>
      <c r="Q619" s="55">
        <v>0</v>
      </c>
      <c r="R619" s="55">
        <f t="shared" si="228"/>
        <v>0</v>
      </c>
      <c r="S619" s="55">
        <v>0</v>
      </c>
      <c r="T619" s="55">
        <v>0</v>
      </c>
      <c r="U619" s="55">
        <v>0</v>
      </c>
      <c r="V619" s="55">
        <v>0</v>
      </c>
      <c r="W619" s="53">
        <v>0</v>
      </c>
      <c r="X619" s="53">
        <v>0</v>
      </c>
      <c r="Y619" s="55">
        <v>0</v>
      </c>
      <c r="Z619" s="55">
        <v>0</v>
      </c>
      <c r="AA619" s="53">
        <v>0</v>
      </c>
      <c r="AB619" s="53">
        <v>0</v>
      </c>
      <c r="AC619" s="55">
        <v>0</v>
      </c>
      <c r="AD619" s="55">
        <f t="shared" si="229"/>
        <v>0</v>
      </c>
      <c r="AE619" s="53">
        <v>0</v>
      </c>
      <c r="AF619" s="55">
        <v>0</v>
      </c>
      <c r="AG619" s="55">
        <v>0</v>
      </c>
      <c r="AH619" s="55">
        <f t="shared" si="230"/>
        <v>0</v>
      </c>
      <c r="AI619" s="55">
        <v>0</v>
      </c>
      <c r="AJ619" s="55">
        <v>0</v>
      </c>
      <c r="AK619" s="55">
        <v>0</v>
      </c>
      <c r="AL619" s="55">
        <f t="shared" si="231"/>
        <v>0</v>
      </c>
      <c r="AM619" s="55" t="s">
        <v>1912</v>
      </c>
      <c r="AN619" s="55">
        <v>0</v>
      </c>
      <c r="AO619" s="55">
        <v>0</v>
      </c>
      <c r="AP619" s="55">
        <f t="shared" si="219"/>
        <v>0</v>
      </c>
      <c r="AQ619" s="55">
        <f>IFERROR(VLOOKUP(A619,[1]SIIMPLES!$A$2:$F$418,6,FALSE),0)</f>
        <v>0</v>
      </c>
      <c r="AR619" s="55">
        <v>0</v>
      </c>
      <c r="AS619" s="55">
        <v>4</v>
      </c>
      <c r="AT619" s="55">
        <v>0</v>
      </c>
      <c r="AU619" s="55">
        <v>0</v>
      </c>
      <c r="AV619" s="55">
        <v>4</v>
      </c>
      <c r="AW619" s="55"/>
      <c r="AX619" s="55"/>
      <c r="AY619" s="56">
        <f t="shared" si="232"/>
        <v>0.4</v>
      </c>
      <c r="AZ619" s="55"/>
      <c r="BA619" s="56">
        <v>0.66666666666666663</v>
      </c>
      <c r="BB619" s="41">
        <f t="shared" si="236"/>
        <v>-0.39999999999999991</v>
      </c>
      <c r="BC619" s="13"/>
      <c r="BD619" s="35"/>
      <c r="BE619" s="13"/>
      <c r="BF619" s="16">
        <f t="shared" si="235"/>
        <v>0</v>
      </c>
      <c r="BG619" s="17">
        <f t="shared" si="233"/>
        <v>0</v>
      </c>
      <c r="BH619" s="16">
        <f t="shared" si="234"/>
        <v>0.4</v>
      </c>
    </row>
    <row r="620" spans="1:60" s="21" customFormat="1" ht="12.75" customHeight="1" x14ac:dyDescent="0.2">
      <c r="A620" s="50">
        <v>5126</v>
      </c>
      <c r="B620" s="51"/>
      <c r="C620" s="51" t="s">
        <v>1803</v>
      </c>
      <c r="D620" s="52" t="s">
        <v>735</v>
      </c>
      <c r="E620" s="52" t="s">
        <v>736</v>
      </c>
      <c r="F620" s="53">
        <f>IFERROR(VLOOKUP(E620,Fornecedores!$A$2:$B$2700,2,FALSE),"")</f>
        <v>5</v>
      </c>
      <c r="G620" s="52" t="s">
        <v>990</v>
      </c>
      <c r="H620" s="54"/>
      <c r="I620" s="55">
        <f t="shared" si="226"/>
        <v>0</v>
      </c>
      <c r="J620" s="55">
        <v>0</v>
      </c>
      <c r="K620" s="55">
        <v>0</v>
      </c>
      <c r="L620" s="55">
        <v>0</v>
      </c>
      <c r="M620" s="55">
        <v>0</v>
      </c>
      <c r="N620" s="55">
        <f t="shared" si="227"/>
        <v>0</v>
      </c>
      <c r="O620" s="55">
        <v>0</v>
      </c>
      <c r="P620" s="55">
        <v>0</v>
      </c>
      <c r="Q620" s="55">
        <v>0</v>
      </c>
      <c r="R620" s="55">
        <f t="shared" si="228"/>
        <v>0</v>
      </c>
      <c r="S620" s="55">
        <v>0</v>
      </c>
      <c r="T620" s="55">
        <v>0</v>
      </c>
      <c r="U620" s="55">
        <v>0</v>
      </c>
      <c r="V620" s="55">
        <v>0</v>
      </c>
      <c r="W620" s="53">
        <v>0</v>
      </c>
      <c r="X620" s="53">
        <v>0</v>
      </c>
      <c r="Y620" s="55">
        <v>0</v>
      </c>
      <c r="Z620" s="55">
        <v>0</v>
      </c>
      <c r="AA620" s="53">
        <v>0</v>
      </c>
      <c r="AB620" s="53">
        <v>0</v>
      </c>
      <c r="AC620" s="55">
        <v>0</v>
      </c>
      <c r="AD620" s="55">
        <f t="shared" si="229"/>
        <v>0</v>
      </c>
      <c r="AE620" s="53">
        <f>IFERROR(VLOOKUP(A620,[4]simples!$A$1:$B$281,2,FALSE),0)</f>
        <v>0</v>
      </c>
      <c r="AF620" s="55">
        <v>0</v>
      </c>
      <c r="AG620" s="55">
        <v>0</v>
      </c>
      <c r="AH620" s="55">
        <f t="shared" si="230"/>
        <v>0</v>
      </c>
      <c r="AI620" s="55"/>
      <c r="AJ620" s="55">
        <v>0</v>
      </c>
      <c r="AK620" s="55"/>
      <c r="AL620" s="55">
        <f t="shared" si="231"/>
        <v>0</v>
      </c>
      <c r="AM620" s="55" t="s">
        <v>1912</v>
      </c>
      <c r="AN620" s="55">
        <v>0</v>
      </c>
      <c r="AO620" s="55">
        <v>0</v>
      </c>
      <c r="AP620" s="55">
        <f t="shared" si="219"/>
        <v>0</v>
      </c>
      <c r="AQ620" s="55">
        <f>IFERROR(VLOOKUP(A620,[1]SIIMPLES!$A$2:$F$418,6,FALSE),0)</f>
        <v>0</v>
      </c>
      <c r="AR620" s="55">
        <v>0</v>
      </c>
      <c r="AS620" s="55">
        <v>0</v>
      </c>
      <c r="AT620" s="55">
        <v>0</v>
      </c>
      <c r="AU620" s="55">
        <v>0</v>
      </c>
      <c r="AV620" s="55">
        <v>0</v>
      </c>
      <c r="AW620" s="55"/>
      <c r="AX620" s="55"/>
      <c r="AY620" s="56">
        <f t="shared" si="232"/>
        <v>0</v>
      </c>
      <c r="AZ620" s="55"/>
      <c r="BA620" s="56">
        <v>0</v>
      </c>
      <c r="BB620" s="41" t="str">
        <f t="shared" si="236"/>
        <v/>
      </c>
      <c r="BC620" s="7"/>
      <c r="BD620" s="35"/>
      <c r="BE620" s="13"/>
      <c r="BF620" s="16"/>
      <c r="BG620" s="17" t="str">
        <f t="shared" si="233"/>
        <v>0</v>
      </c>
      <c r="BH620" s="16">
        <f t="shared" si="234"/>
        <v>0</v>
      </c>
    </row>
    <row r="621" spans="1:60" s="21" customFormat="1" ht="12.75" customHeight="1" x14ac:dyDescent="0.2">
      <c r="A621" s="51">
        <v>5127</v>
      </c>
      <c r="B621" s="51"/>
      <c r="C621" s="66" t="s">
        <v>1803</v>
      </c>
      <c r="D621" s="52" t="s">
        <v>735</v>
      </c>
      <c r="E621" s="52" t="s">
        <v>736</v>
      </c>
      <c r="F621" s="53">
        <f>IFERROR(VLOOKUP(E621,Fornecedores!$A$2:$B$2700,2,FALSE),"")</f>
        <v>5</v>
      </c>
      <c r="G621" s="52" t="s">
        <v>382</v>
      </c>
      <c r="H621" s="54"/>
      <c r="I621" s="55">
        <f t="shared" si="226"/>
        <v>0</v>
      </c>
      <c r="J621" s="55">
        <v>0</v>
      </c>
      <c r="K621" s="55">
        <v>0</v>
      </c>
      <c r="L621" s="55">
        <v>0</v>
      </c>
      <c r="M621" s="55">
        <v>0</v>
      </c>
      <c r="N621" s="55">
        <f t="shared" si="227"/>
        <v>0</v>
      </c>
      <c r="O621" s="55">
        <v>0</v>
      </c>
      <c r="P621" s="55">
        <v>0</v>
      </c>
      <c r="Q621" s="55">
        <v>0</v>
      </c>
      <c r="R621" s="55">
        <f t="shared" si="228"/>
        <v>0</v>
      </c>
      <c r="S621" s="55">
        <v>0</v>
      </c>
      <c r="T621" s="55">
        <v>0</v>
      </c>
      <c r="U621" s="55">
        <v>0</v>
      </c>
      <c r="V621" s="55">
        <v>0</v>
      </c>
      <c r="W621" s="53">
        <v>0</v>
      </c>
      <c r="X621" s="53">
        <v>0</v>
      </c>
      <c r="Y621" s="55">
        <v>0</v>
      </c>
      <c r="Z621" s="55">
        <v>0</v>
      </c>
      <c r="AA621" s="53">
        <v>0</v>
      </c>
      <c r="AB621" s="53">
        <v>0</v>
      </c>
      <c r="AC621" s="55">
        <v>0</v>
      </c>
      <c r="AD621" s="55">
        <f t="shared" si="229"/>
        <v>0</v>
      </c>
      <c r="AE621" s="53">
        <v>0</v>
      </c>
      <c r="AF621" s="55">
        <v>0</v>
      </c>
      <c r="AG621" s="55">
        <v>0</v>
      </c>
      <c r="AH621" s="55">
        <f t="shared" si="230"/>
        <v>4</v>
      </c>
      <c r="AI621" s="55">
        <v>0</v>
      </c>
      <c r="AJ621" s="55">
        <v>4</v>
      </c>
      <c r="AK621" s="55">
        <v>0</v>
      </c>
      <c r="AL621" s="55">
        <f t="shared" si="231"/>
        <v>0</v>
      </c>
      <c r="AM621" s="55" t="s">
        <v>1912</v>
      </c>
      <c r="AN621" s="55">
        <v>0</v>
      </c>
      <c r="AO621" s="55">
        <v>0</v>
      </c>
      <c r="AP621" s="55">
        <f t="shared" si="219"/>
        <v>0</v>
      </c>
      <c r="AQ621" s="55">
        <f>IFERROR(VLOOKUP(A621,[1]SIIMPLES!$A$2:$F$418,6,FALSE),0)</f>
        <v>0</v>
      </c>
      <c r="AR621" s="55">
        <v>0</v>
      </c>
      <c r="AS621" s="55">
        <v>0</v>
      </c>
      <c r="AT621" s="55">
        <v>0</v>
      </c>
      <c r="AU621" s="55">
        <v>0</v>
      </c>
      <c r="AV621" s="55">
        <v>0</v>
      </c>
      <c r="AW621" s="55"/>
      <c r="AX621" s="55"/>
      <c r="AY621" s="56">
        <f t="shared" si="232"/>
        <v>0.4</v>
      </c>
      <c r="AZ621" s="55"/>
      <c r="BA621" s="56">
        <v>0.66666666666666663</v>
      </c>
      <c r="BB621" s="41">
        <f t="shared" si="236"/>
        <v>-0.39999999999999991</v>
      </c>
      <c r="BC621" s="13"/>
      <c r="BD621" s="35"/>
      <c r="BE621" s="13"/>
      <c r="BF621" s="16">
        <f>SUM(BC621:BE621)</f>
        <v>0</v>
      </c>
      <c r="BG621" s="17">
        <f t="shared" si="233"/>
        <v>0</v>
      </c>
      <c r="BH621" s="16">
        <f t="shared" si="234"/>
        <v>0.4</v>
      </c>
    </row>
    <row r="622" spans="1:60" s="21" customFormat="1" ht="12.75" customHeight="1" x14ac:dyDescent="0.2">
      <c r="A622" s="51">
        <v>5200</v>
      </c>
      <c r="B622" s="51"/>
      <c r="C622" s="66" t="s">
        <v>1803</v>
      </c>
      <c r="D622" s="52" t="s">
        <v>735</v>
      </c>
      <c r="E622" s="52" t="s">
        <v>736</v>
      </c>
      <c r="F622" s="53">
        <f>IFERROR(VLOOKUP(E622,Fornecedores!$A$2:$B$2700,2,FALSE),"")</f>
        <v>5</v>
      </c>
      <c r="G622" s="52" t="s">
        <v>984</v>
      </c>
      <c r="H622" s="54"/>
      <c r="I622" s="55">
        <f t="shared" si="226"/>
        <v>0</v>
      </c>
      <c r="J622" s="55">
        <v>0</v>
      </c>
      <c r="K622" s="55">
        <v>0</v>
      </c>
      <c r="L622" s="55">
        <v>0</v>
      </c>
      <c r="M622" s="55">
        <v>0</v>
      </c>
      <c r="N622" s="55">
        <f t="shared" si="227"/>
        <v>2</v>
      </c>
      <c r="O622" s="55">
        <v>0</v>
      </c>
      <c r="P622" s="55">
        <v>2</v>
      </c>
      <c r="Q622" s="55">
        <v>0</v>
      </c>
      <c r="R622" s="55">
        <f t="shared" si="228"/>
        <v>0</v>
      </c>
      <c r="S622" s="55">
        <v>0</v>
      </c>
      <c r="T622" s="55">
        <v>0</v>
      </c>
      <c r="U622" s="55">
        <v>0</v>
      </c>
      <c r="V622" s="55">
        <v>0</v>
      </c>
      <c r="W622" s="53">
        <v>0</v>
      </c>
      <c r="X622" s="53">
        <v>0</v>
      </c>
      <c r="Y622" s="55">
        <v>0</v>
      </c>
      <c r="Z622" s="55">
        <v>0</v>
      </c>
      <c r="AA622" s="53">
        <v>0</v>
      </c>
      <c r="AB622" s="53">
        <v>0</v>
      </c>
      <c r="AC622" s="55">
        <v>0</v>
      </c>
      <c r="AD622" s="55">
        <f t="shared" si="229"/>
        <v>0</v>
      </c>
      <c r="AE622" s="53">
        <v>0</v>
      </c>
      <c r="AF622" s="55">
        <v>0</v>
      </c>
      <c r="AG622" s="55">
        <v>0</v>
      </c>
      <c r="AH622" s="55">
        <f t="shared" si="230"/>
        <v>0</v>
      </c>
      <c r="AI622" s="55">
        <v>0</v>
      </c>
      <c r="AJ622" s="55">
        <v>0</v>
      </c>
      <c r="AK622" s="55">
        <v>0</v>
      </c>
      <c r="AL622" s="55">
        <f t="shared" si="231"/>
        <v>0</v>
      </c>
      <c r="AM622" s="55" t="s">
        <v>1912</v>
      </c>
      <c r="AN622" s="55">
        <v>0</v>
      </c>
      <c r="AO622" s="55">
        <v>0</v>
      </c>
      <c r="AP622" s="55">
        <f t="shared" si="219"/>
        <v>0</v>
      </c>
      <c r="AQ622" s="55">
        <f>IFERROR(VLOOKUP(A622,[1]SIIMPLES!$A$2:$F$418,6,FALSE),0)</f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/>
      <c r="AX622" s="55"/>
      <c r="AY622" s="56">
        <f t="shared" si="232"/>
        <v>0.2</v>
      </c>
      <c r="AZ622" s="55"/>
      <c r="BA622" s="56">
        <v>0.8</v>
      </c>
      <c r="BB622" s="41">
        <f t="shared" si="236"/>
        <v>-0.75</v>
      </c>
      <c r="BC622" s="13"/>
      <c r="BD622" s="35"/>
      <c r="BE622" s="13"/>
      <c r="BF622" s="16">
        <f>SUM(BC622:BE622)</f>
        <v>0</v>
      </c>
      <c r="BG622" s="17">
        <f t="shared" si="233"/>
        <v>0</v>
      </c>
      <c r="BH622" s="16">
        <f t="shared" si="234"/>
        <v>0.2</v>
      </c>
    </row>
    <row r="623" spans="1:60" s="21" customFormat="1" ht="12.75" customHeight="1" x14ac:dyDescent="0.2">
      <c r="A623" s="51">
        <v>5201</v>
      </c>
      <c r="B623" s="51"/>
      <c r="C623" s="66" t="s">
        <v>1803</v>
      </c>
      <c r="D623" s="52" t="s">
        <v>735</v>
      </c>
      <c r="E623" s="52" t="s">
        <v>736</v>
      </c>
      <c r="F623" s="53">
        <f>IFERROR(VLOOKUP(E623,Fornecedores!$A$2:$B$2700,2,FALSE),"")</f>
        <v>5</v>
      </c>
      <c r="G623" s="52" t="s">
        <v>371</v>
      </c>
      <c r="H623" s="54"/>
      <c r="I623" s="55">
        <f t="shared" si="226"/>
        <v>0</v>
      </c>
      <c r="J623" s="55">
        <v>0</v>
      </c>
      <c r="K623" s="55">
        <v>0</v>
      </c>
      <c r="L623" s="55">
        <v>0</v>
      </c>
      <c r="M623" s="55">
        <v>0</v>
      </c>
      <c r="N623" s="55">
        <f t="shared" si="227"/>
        <v>0</v>
      </c>
      <c r="O623" s="55">
        <v>0</v>
      </c>
      <c r="P623" s="55">
        <v>0</v>
      </c>
      <c r="Q623" s="55">
        <v>0</v>
      </c>
      <c r="R623" s="55">
        <f t="shared" si="228"/>
        <v>0</v>
      </c>
      <c r="S623" s="55">
        <v>0</v>
      </c>
      <c r="T623" s="55">
        <v>0</v>
      </c>
      <c r="U623" s="55">
        <v>0</v>
      </c>
      <c r="V623" s="55">
        <v>0</v>
      </c>
      <c r="W623" s="53">
        <v>0</v>
      </c>
      <c r="X623" s="53">
        <v>0</v>
      </c>
      <c r="Y623" s="55">
        <v>0</v>
      </c>
      <c r="Z623" s="55">
        <v>0</v>
      </c>
      <c r="AA623" s="53">
        <v>0</v>
      </c>
      <c r="AB623" s="53">
        <v>0</v>
      </c>
      <c r="AC623" s="55">
        <v>0</v>
      </c>
      <c r="AD623" s="55">
        <f t="shared" si="229"/>
        <v>0</v>
      </c>
      <c r="AE623" s="53">
        <v>0</v>
      </c>
      <c r="AF623" s="55">
        <v>0</v>
      </c>
      <c r="AG623" s="55">
        <v>0</v>
      </c>
      <c r="AH623" s="55">
        <f t="shared" si="230"/>
        <v>0</v>
      </c>
      <c r="AI623" s="55">
        <v>0</v>
      </c>
      <c r="AJ623" s="55">
        <v>0</v>
      </c>
      <c r="AK623" s="55">
        <v>0</v>
      </c>
      <c r="AL623" s="55">
        <f t="shared" si="231"/>
        <v>0</v>
      </c>
      <c r="AM623" s="55" t="s">
        <v>1912</v>
      </c>
      <c r="AN623" s="55">
        <v>0</v>
      </c>
      <c r="AO623" s="55">
        <v>0</v>
      </c>
      <c r="AP623" s="55">
        <f t="shared" si="219"/>
        <v>0</v>
      </c>
      <c r="AQ623" s="55">
        <f>IFERROR(VLOOKUP(A623,[1]SIIMPLES!$A$2:$F$418,6,FALSE),0)</f>
        <v>0</v>
      </c>
      <c r="AR623" s="55">
        <v>0</v>
      </c>
      <c r="AS623" s="55">
        <v>6</v>
      </c>
      <c r="AT623" s="55">
        <v>0</v>
      </c>
      <c r="AU623" s="55">
        <v>0</v>
      </c>
      <c r="AV623" s="55">
        <v>6</v>
      </c>
      <c r="AW623" s="55"/>
      <c r="AX623" s="55"/>
      <c r="AY623" s="56">
        <f t="shared" si="232"/>
        <v>0.6</v>
      </c>
      <c r="AZ623" s="55"/>
      <c r="BA623" s="56">
        <v>0</v>
      </c>
      <c r="BB623" s="41" t="str">
        <f t="shared" si="236"/>
        <v/>
      </c>
      <c r="BC623" s="13"/>
      <c r="BD623" s="37"/>
      <c r="BE623" s="13"/>
      <c r="BF623" s="16">
        <f>SUM(BC623:BE623)</f>
        <v>0</v>
      </c>
      <c r="BG623" s="17">
        <f t="shared" si="233"/>
        <v>0</v>
      </c>
      <c r="BH623" s="16">
        <f t="shared" si="234"/>
        <v>0.6</v>
      </c>
    </row>
    <row r="624" spans="1:60" s="21" customFormat="1" ht="12.75" customHeight="1" x14ac:dyDescent="0.2">
      <c r="A624" s="50">
        <v>5202</v>
      </c>
      <c r="B624" s="51"/>
      <c r="C624" s="51" t="s">
        <v>1803</v>
      </c>
      <c r="D624" s="52" t="s">
        <v>735</v>
      </c>
      <c r="E624" s="52" t="s">
        <v>736</v>
      </c>
      <c r="F624" s="53">
        <f>IFERROR(VLOOKUP(E624,Fornecedores!$A$2:$B$2700,2,FALSE),"")</f>
        <v>5</v>
      </c>
      <c r="G624" s="52" t="s">
        <v>951</v>
      </c>
      <c r="H624" s="54"/>
      <c r="I624" s="55">
        <f t="shared" si="226"/>
        <v>0</v>
      </c>
      <c r="J624" s="55">
        <v>0</v>
      </c>
      <c r="K624" s="55">
        <v>0</v>
      </c>
      <c r="L624" s="55">
        <v>0</v>
      </c>
      <c r="M624" s="55">
        <v>0</v>
      </c>
      <c r="N624" s="55">
        <f t="shared" si="227"/>
        <v>0</v>
      </c>
      <c r="O624" s="55">
        <v>0</v>
      </c>
      <c r="P624" s="55">
        <v>0</v>
      </c>
      <c r="Q624" s="55">
        <v>0</v>
      </c>
      <c r="R624" s="55">
        <f t="shared" si="228"/>
        <v>0</v>
      </c>
      <c r="S624" s="55">
        <v>0</v>
      </c>
      <c r="T624" s="55">
        <v>0</v>
      </c>
      <c r="U624" s="55">
        <v>0</v>
      </c>
      <c r="V624" s="55">
        <v>0</v>
      </c>
      <c r="W624" s="53">
        <v>0</v>
      </c>
      <c r="X624" s="53">
        <v>0</v>
      </c>
      <c r="Y624" s="55">
        <v>0</v>
      </c>
      <c r="Z624" s="55">
        <v>0</v>
      </c>
      <c r="AA624" s="53">
        <v>0</v>
      </c>
      <c r="AB624" s="53">
        <v>0</v>
      </c>
      <c r="AC624" s="55">
        <v>0</v>
      </c>
      <c r="AD624" s="55">
        <f t="shared" si="229"/>
        <v>0</v>
      </c>
      <c r="AE624" s="53">
        <f>IFERROR(VLOOKUP(A624,[4]simples!$A$1:$B$281,2,FALSE),0)</f>
        <v>0</v>
      </c>
      <c r="AF624" s="55">
        <v>0</v>
      </c>
      <c r="AG624" s="55">
        <v>0</v>
      </c>
      <c r="AH624" s="55">
        <f t="shared" si="230"/>
        <v>0</v>
      </c>
      <c r="AI624" s="55"/>
      <c r="AJ624" s="55">
        <v>0</v>
      </c>
      <c r="AK624" s="55"/>
      <c r="AL624" s="55">
        <f t="shared" si="231"/>
        <v>0</v>
      </c>
      <c r="AM624" s="55" t="s">
        <v>1912</v>
      </c>
      <c r="AN624" s="55">
        <v>0</v>
      </c>
      <c r="AO624" s="55">
        <v>0</v>
      </c>
      <c r="AP624" s="55">
        <f t="shared" si="219"/>
        <v>0</v>
      </c>
      <c r="AQ624" s="55">
        <f>IFERROR(VLOOKUP(A624,[1]SIIMPLES!$A$2:$F$418,6,FALSE),0)</f>
        <v>0</v>
      </c>
      <c r="AR624" s="55">
        <v>0</v>
      </c>
      <c r="AS624" s="55">
        <v>0</v>
      </c>
      <c r="AT624" s="55">
        <v>0</v>
      </c>
      <c r="AU624" s="55">
        <v>0</v>
      </c>
      <c r="AV624" s="55">
        <v>0</v>
      </c>
      <c r="AW624" s="55"/>
      <c r="AX624" s="55"/>
      <c r="AY624" s="56">
        <f t="shared" si="232"/>
        <v>0</v>
      </c>
      <c r="AZ624" s="55"/>
      <c r="BA624" s="56">
        <v>0</v>
      </c>
      <c r="BB624" s="41" t="str">
        <f t="shared" si="236"/>
        <v/>
      </c>
      <c r="BC624" s="13"/>
      <c r="BD624" s="35"/>
      <c r="BE624" s="13"/>
      <c r="BF624" s="16">
        <f>SUM(BC624:BE624)</f>
        <v>0</v>
      </c>
      <c r="BG624" s="17" t="str">
        <f t="shared" si="233"/>
        <v>0</v>
      </c>
      <c r="BH624" s="16">
        <f t="shared" si="234"/>
        <v>0</v>
      </c>
    </row>
    <row r="625" spans="1:60" s="21" customFormat="1" ht="12.75" customHeight="1" x14ac:dyDescent="0.2">
      <c r="A625" s="51">
        <v>5203</v>
      </c>
      <c r="B625" s="51"/>
      <c r="C625" s="66" t="s">
        <v>1803</v>
      </c>
      <c r="D625" s="52" t="s">
        <v>735</v>
      </c>
      <c r="E625" s="52" t="s">
        <v>736</v>
      </c>
      <c r="F625" s="53">
        <f>IFERROR(VLOOKUP(E625,Fornecedores!$A$2:$B$2700,2,FALSE),"")</f>
        <v>5</v>
      </c>
      <c r="G625" s="52" t="s">
        <v>298</v>
      </c>
      <c r="H625" s="54"/>
      <c r="I625" s="55">
        <f t="shared" si="226"/>
        <v>0</v>
      </c>
      <c r="J625" s="55">
        <v>0</v>
      </c>
      <c r="K625" s="55">
        <v>0</v>
      </c>
      <c r="L625" s="55">
        <v>0</v>
      </c>
      <c r="M625" s="55">
        <v>0</v>
      </c>
      <c r="N625" s="55">
        <f t="shared" si="227"/>
        <v>0</v>
      </c>
      <c r="O625" s="55">
        <v>0</v>
      </c>
      <c r="P625" s="55">
        <v>0</v>
      </c>
      <c r="Q625" s="55">
        <v>0</v>
      </c>
      <c r="R625" s="55">
        <f t="shared" si="228"/>
        <v>4</v>
      </c>
      <c r="S625" s="55">
        <v>0</v>
      </c>
      <c r="T625" s="55">
        <v>4</v>
      </c>
      <c r="U625" s="55">
        <v>0</v>
      </c>
      <c r="V625" s="55">
        <v>0</v>
      </c>
      <c r="W625" s="53">
        <v>0</v>
      </c>
      <c r="X625" s="53">
        <v>0</v>
      </c>
      <c r="Y625" s="55">
        <v>0</v>
      </c>
      <c r="Z625" s="55">
        <v>2</v>
      </c>
      <c r="AA625" s="53">
        <v>0</v>
      </c>
      <c r="AB625" s="53">
        <v>2</v>
      </c>
      <c r="AC625" s="55">
        <v>0</v>
      </c>
      <c r="AD625" s="55">
        <f t="shared" si="229"/>
        <v>0</v>
      </c>
      <c r="AE625" s="53">
        <v>0</v>
      </c>
      <c r="AF625" s="55">
        <v>0</v>
      </c>
      <c r="AG625" s="55">
        <v>0</v>
      </c>
      <c r="AH625" s="55">
        <f t="shared" si="230"/>
        <v>2</v>
      </c>
      <c r="AI625" s="55">
        <v>0</v>
      </c>
      <c r="AJ625" s="55">
        <v>2</v>
      </c>
      <c r="AK625" s="55">
        <v>0</v>
      </c>
      <c r="AL625" s="55">
        <f t="shared" si="231"/>
        <v>4</v>
      </c>
      <c r="AM625" s="55" t="s">
        <v>1912</v>
      </c>
      <c r="AN625" s="55">
        <v>4</v>
      </c>
      <c r="AO625" s="55">
        <v>0</v>
      </c>
      <c r="AP625" s="55">
        <f t="shared" si="219"/>
        <v>0</v>
      </c>
      <c r="AQ625" s="55">
        <f>IFERROR(VLOOKUP(A625,[1]SIIMPLES!$A$2:$F$418,6,FALSE),0)</f>
        <v>0</v>
      </c>
      <c r="AR625" s="55">
        <v>0</v>
      </c>
      <c r="AS625" s="55">
        <v>0</v>
      </c>
      <c r="AT625" s="55">
        <v>0</v>
      </c>
      <c r="AU625" s="55">
        <v>0</v>
      </c>
      <c r="AV625" s="55">
        <v>0</v>
      </c>
      <c r="AW625" s="55"/>
      <c r="AX625" s="55"/>
      <c r="AY625" s="56">
        <f t="shared" si="232"/>
        <v>1.2</v>
      </c>
      <c r="AZ625" s="55"/>
      <c r="BA625" s="56">
        <v>0.66666666666666663</v>
      </c>
      <c r="BB625" s="41">
        <f t="shared" si="236"/>
        <v>0.8</v>
      </c>
      <c r="BC625" s="7"/>
      <c r="BD625" s="35"/>
      <c r="BE625" s="7"/>
      <c r="BF625" s="16"/>
      <c r="BG625" s="17">
        <f t="shared" si="233"/>
        <v>0</v>
      </c>
      <c r="BH625" s="16">
        <f t="shared" si="234"/>
        <v>1.2</v>
      </c>
    </row>
    <row r="626" spans="1:60" s="21" customFormat="1" ht="12.75" customHeight="1" x14ac:dyDescent="0.2">
      <c r="A626" s="51">
        <v>5204</v>
      </c>
      <c r="B626" s="51"/>
      <c r="C626" s="66" t="s">
        <v>1803</v>
      </c>
      <c r="D626" s="52" t="s">
        <v>735</v>
      </c>
      <c r="E626" s="52" t="s">
        <v>736</v>
      </c>
      <c r="F626" s="53">
        <f>IFERROR(VLOOKUP(E626,Fornecedores!$A$2:$B$2700,2,FALSE),"")</f>
        <v>5</v>
      </c>
      <c r="G626" s="52" t="s">
        <v>956</v>
      </c>
      <c r="H626" s="54"/>
      <c r="I626" s="55">
        <f t="shared" si="226"/>
        <v>1</v>
      </c>
      <c r="J626" s="55">
        <v>1</v>
      </c>
      <c r="K626" s="55">
        <v>0</v>
      </c>
      <c r="L626" s="55">
        <v>0</v>
      </c>
      <c r="M626" s="55">
        <v>0</v>
      </c>
      <c r="N626" s="55">
        <f t="shared" si="227"/>
        <v>0</v>
      </c>
      <c r="O626" s="55">
        <v>0</v>
      </c>
      <c r="P626" s="55">
        <v>0</v>
      </c>
      <c r="Q626" s="55">
        <v>0</v>
      </c>
      <c r="R626" s="55">
        <f t="shared" si="228"/>
        <v>0</v>
      </c>
      <c r="S626" s="55">
        <v>0</v>
      </c>
      <c r="T626" s="55">
        <v>0</v>
      </c>
      <c r="U626" s="55">
        <v>0</v>
      </c>
      <c r="V626" s="55">
        <v>0</v>
      </c>
      <c r="W626" s="53">
        <v>0</v>
      </c>
      <c r="X626" s="53">
        <v>0</v>
      </c>
      <c r="Y626" s="55">
        <v>0</v>
      </c>
      <c r="Z626" s="55">
        <v>0</v>
      </c>
      <c r="AA626" s="53">
        <v>0</v>
      </c>
      <c r="AB626" s="53">
        <v>0</v>
      </c>
      <c r="AC626" s="55">
        <v>0</v>
      </c>
      <c r="AD626" s="55">
        <f t="shared" si="229"/>
        <v>0</v>
      </c>
      <c r="AE626" s="53">
        <v>0</v>
      </c>
      <c r="AF626" s="55">
        <v>0</v>
      </c>
      <c r="AG626" s="55">
        <v>0</v>
      </c>
      <c r="AH626" s="55">
        <f t="shared" si="230"/>
        <v>0</v>
      </c>
      <c r="AI626" s="55">
        <v>0</v>
      </c>
      <c r="AJ626" s="55">
        <v>0</v>
      </c>
      <c r="AK626" s="55">
        <v>0</v>
      </c>
      <c r="AL626" s="55">
        <f t="shared" si="231"/>
        <v>0</v>
      </c>
      <c r="AM626" s="55" t="s">
        <v>1912</v>
      </c>
      <c r="AN626" s="55">
        <v>0</v>
      </c>
      <c r="AO626" s="55">
        <v>0</v>
      </c>
      <c r="AP626" s="55">
        <f t="shared" si="219"/>
        <v>0</v>
      </c>
      <c r="AQ626" s="55">
        <f>IFERROR(VLOOKUP(A626,[1]SIIMPLES!$A$2:$F$418,6,FALSE),0)</f>
        <v>0</v>
      </c>
      <c r="AR626" s="55">
        <v>0</v>
      </c>
      <c r="AS626" s="55">
        <v>0</v>
      </c>
      <c r="AT626" s="55">
        <v>0</v>
      </c>
      <c r="AU626" s="55">
        <v>0</v>
      </c>
      <c r="AV626" s="55">
        <v>0</v>
      </c>
      <c r="AW626" s="55"/>
      <c r="AX626" s="55"/>
      <c r="AY626" s="56">
        <f t="shared" si="232"/>
        <v>0.1</v>
      </c>
      <c r="AZ626" s="55"/>
      <c r="BA626" s="56">
        <v>0</v>
      </c>
      <c r="BB626" s="41" t="str">
        <f t="shared" si="236"/>
        <v/>
      </c>
      <c r="BC626" s="13"/>
      <c r="BD626" s="35"/>
      <c r="BE626" s="13"/>
      <c r="BF626" s="16">
        <f t="shared" ref="BF626:BF631" si="237">SUM(BC626:BE626)</f>
        <v>0</v>
      </c>
      <c r="BG626" s="17">
        <f t="shared" si="233"/>
        <v>0</v>
      </c>
      <c r="BH626" s="16">
        <f t="shared" si="234"/>
        <v>0.1</v>
      </c>
    </row>
    <row r="627" spans="1:60" s="21" customFormat="1" ht="12.75" customHeight="1" x14ac:dyDescent="0.2">
      <c r="A627" s="50">
        <v>5206</v>
      </c>
      <c r="B627" s="51"/>
      <c r="C627" s="51" t="s">
        <v>1803</v>
      </c>
      <c r="D627" s="52" t="s">
        <v>735</v>
      </c>
      <c r="E627" s="52" t="s">
        <v>736</v>
      </c>
      <c r="F627" s="53">
        <f>IFERROR(VLOOKUP(E627,Fornecedores!$A$2:$B$2700,2,FALSE),"")</f>
        <v>5</v>
      </c>
      <c r="G627" s="52" t="s">
        <v>985</v>
      </c>
      <c r="H627" s="54"/>
      <c r="I627" s="55">
        <f t="shared" ref="I627:I658" si="238">SUM(J627:M627)</f>
        <v>0</v>
      </c>
      <c r="J627" s="55">
        <v>0</v>
      </c>
      <c r="K627" s="55">
        <v>0</v>
      </c>
      <c r="L627" s="55">
        <v>0</v>
      </c>
      <c r="M627" s="55">
        <v>0</v>
      </c>
      <c r="N627" s="55">
        <f t="shared" ref="N627:N658" si="239">SUM(O627:Q627)</f>
        <v>0</v>
      </c>
      <c r="O627" s="55">
        <v>0</v>
      </c>
      <c r="P627" s="55">
        <v>0</v>
      </c>
      <c r="Q627" s="55">
        <v>0</v>
      </c>
      <c r="R627" s="55">
        <f t="shared" ref="R627:R658" si="240">SUM(S627:U627)</f>
        <v>0</v>
      </c>
      <c r="S627" s="55">
        <v>0</v>
      </c>
      <c r="T627" s="55">
        <v>0</v>
      </c>
      <c r="U627" s="55">
        <v>0</v>
      </c>
      <c r="V627" s="55">
        <v>0</v>
      </c>
      <c r="W627" s="53">
        <v>0</v>
      </c>
      <c r="X627" s="53">
        <v>0</v>
      </c>
      <c r="Y627" s="55">
        <v>0</v>
      </c>
      <c r="Z627" s="55">
        <v>0</v>
      </c>
      <c r="AA627" s="53">
        <v>0</v>
      </c>
      <c r="AB627" s="53">
        <v>0</v>
      </c>
      <c r="AC627" s="55">
        <v>0</v>
      </c>
      <c r="AD627" s="55">
        <f t="shared" si="229"/>
        <v>0</v>
      </c>
      <c r="AE627" s="53">
        <f>IFERROR(VLOOKUP(A627,[4]simples!$A$1:$B$281,2,FALSE),0)</f>
        <v>0</v>
      </c>
      <c r="AF627" s="55">
        <v>0</v>
      </c>
      <c r="AG627" s="55">
        <v>0</v>
      </c>
      <c r="AH627" s="55">
        <f t="shared" si="230"/>
        <v>0</v>
      </c>
      <c r="AI627" s="55"/>
      <c r="AJ627" s="55">
        <v>0</v>
      </c>
      <c r="AK627" s="55"/>
      <c r="AL627" s="55">
        <f t="shared" si="231"/>
        <v>0</v>
      </c>
      <c r="AM627" s="55" t="s">
        <v>1912</v>
      </c>
      <c r="AN627" s="55">
        <v>0</v>
      </c>
      <c r="AO627" s="55">
        <v>0</v>
      </c>
      <c r="AP627" s="55">
        <f t="shared" si="219"/>
        <v>0</v>
      </c>
      <c r="AQ627" s="55">
        <f>IFERROR(VLOOKUP(A627,[1]SIIMPLES!$A$2:$F$418,6,FALSE),0)</f>
        <v>0</v>
      </c>
      <c r="AR627" s="55">
        <v>0</v>
      </c>
      <c r="AS627" s="55">
        <v>0</v>
      </c>
      <c r="AT627" s="55">
        <v>0</v>
      </c>
      <c r="AU627" s="55">
        <v>0</v>
      </c>
      <c r="AV627" s="55">
        <v>0</v>
      </c>
      <c r="AW627" s="55"/>
      <c r="AX627" s="55"/>
      <c r="AY627" s="56">
        <f t="shared" si="232"/>
        <v>0</v>
      </c>
      <c r="AZ627" s="55"/>
      <c r="BA627" s="56">
        <v>0</v>
      </c>
      <c r="BB627" s="41" t="str">
        <f t="shared" si="236"/>
        <v/>
      </c>
      <c r="BC627" s="10"/>
      <c r="BD627" s="35"/>
      <c r="BE627" s="13"/>
      <c r="BF627" s="16">
        <f t="shared" si="237"/>
        <v>0</v>
      </c>
      <c r="BG627" s="17" t="str">
        <f t="shared" si="233"/>
        <v>0</v>
      </c>
      <c r="BH627" s="16">
        <f t="shared" si="234"/>
        <v>0</v>
      </c>
    </row>
    <row r="628" spans="1:60" s="21" customFormat="1" ht="12.75" customHeight="1" x14ac:dyDescent="0.2">
      <c r="A628" s="50">
        <v>5207</v>
      </c>
      <c r="B628" s="51"/>
      <c r="C628" s="51" t="s">
        <v>1803</v>
      </c>
      <c r="D628" s="52" t="s">
        <v>735</v>
      </c>
      <c r="E628" s="52" t="s">
        <v>736</v>
      </c>
      <c r="F628" s="53">
        <f>IFERROR(VLOOKUP(E628,Fornecedores!$A$2:$B$2700,2,FALSE),"")</f>
        <v>5</v>
      </c>
      <c r="G628" s="52" t="s">
        <v>983</v>
      </c>
      <c r="H628" s="54"/>
      <c r="I628" s="55">
        <f t="shared" si="238"/>
        <v>0</v>
      </c>
      <c r="J628" s="55">
        <v>0</v>
      </c>
      <c r="K628" s="55">
        <v>0</v>
      </c>
      <c r="L628" s="55">
        <v>0</v>
      </c>
      <c r="M628" s="55">
        <v>0</v>
      </c>
      <c r="N628" s="55">
        <f t="shared" si="239"/>
        <v>0</v>
      </c>
      <c r="O628" s="55">
        <v>0</v>
      </c>
      <c r="P628" s="55">
        <v>0</v>
      </c>
      <c r="Q628" s="55">
        <v>0</v>
      </c>
      <c r="R628" s="55">
        <f t="shared" si="240"/>
        <v>0</v>
      </c>
      <c r="S628" s="55">
        <v>0</v>
      </c>
      <c r="T628" s="55">
        <v>0</v>
      </c>
      <c r="U628" s="55">
        <v>0</v>
      </c>
      <c r="V628" s="55">
        <v>0</v>
      </c>
      <c r="W628" s="53">
        <v>0</v>
      </c>
      <c r="X628" s="53">
        <v>0</v>
      </c>
      <c r="Y628" s="55">
        <v>0</v>
      </c>
      <c r="Z628" s="55">
        <v>0</v>
      </c>
      <c r="AA628" s="53">
        <v>0</v>
      </c>
      <c r="AB628" s="53">
        <v>0</v>
      </c>
      <c r="AC628" s="55">
        <v>0</v>
      </c>
      <c r="AD628" s="55">
        <f t="shared" si="229"/>
        <v>0</v>
      </c>
      <c r="AE628" s="53">
        <f>IFERROR(VLOOKUP(A628,[4]simples!$A$1:$B$281,2,FALSE),0)</f>
        <v>0</v>
      </c>
      <c r="AF628" s="55">
        <v>0</v>
      </c>
      <c r="AG628" s="55">
        <v>0</v>
      </c>
      <c r="AH628" s="55">
        <f t="shared" si="230"/>
        <v>0</v>
      </c>
      <c r="AI628" s="55"/>
      <c r="AJ628" s="55">
        <v>0</v>
      </c>
      <c r="AK628" s="55"/>
      <c r="AL628" s="55">
        <f t="shared" si="231"/>
        <v>0</v>
      </c>
      <c r="AM628" s="55" t="s">
        <v>1912</v>
      </c>
      <c r="AN628" s="55">
        <v>0</v>
      </c>
      <c r="AO628" s="55">
        <v>0</v>
      </c>
      <c r="AP628" s="55">
        <f t="shared" ref="AP628:AP691" si="241">SUM(AQ628:AR628)</f>
        <v>0</v>
      </c>
      <c r="AQ628" s="55">
        <f>IFERROR(VLOOKUP(A628,[1]SIIMPLES!$A$2:$F$418,6,FALSE),0)</f>
        <v>0</v>
      </c>
      <c r="AR628" s="55">
        <v>0</v>
      </c>
      <c r="AS628" s="55">
        <v>0</v>
      </c>
      <c r="AT628" s="55">
        <v>0</v>
      </c>
      <c r="AU628" s="55">
        <v>0</v>
      </c>
      <c r="AV628" s="55">
        <v>0</v>
      </c>
      <c r="AW628" s="55"/>
      <c r="AX628" s="55"/>
      <c r="AY628" s="56">
        <f t="shared" si="232"/>
        <v>0</v>
      </c>
      <c r="AZ628" s="55"/>
      <c r="BA628" s="56">
        <v>0</v>
      </c>
      <c r="BB628" s="41" t="str">
        <f t="shared" si="236"/>
        <v/>
      </c>
      <c r="BC628" s="13"/>
      <c r="BD628" s="35"/>
      <c r="BE628" s="13"/>
      <c r="BF628" s="16">
        <f t="shared" si="237"/>
        <v>0</v>
      </c>
      <c r="BG628" s="17" t="str">
        <f t="shared" si="233"/>
        <v>0</v>
      </c>
      <c r="BH628" s="16">
        <f t="shared" si="234"/>
        <v>0</v>
      </c>
    </row>
    <row r="629" spans="1:60" s="21" customFormat="1" ht="12.75" customHeight="1" x14ac:dyDescent="0.2">
      <c r="A629" s="51">
        <v>5208</v>
      </c>
      <c r="B629" s="51"/>
      <c r="C629" s="66" t="s">
        <v>1803</v>
      </c>
      <c r="D629" s="52" t="s">
        <v>735</v>
      </c>
      <c r="E629" s="52" t="s">
        <v>736</v>
      </c>
      <c r="F629" s="53">
        <f>IFERROR(VLOOKUP(E629,Fornecedores!$A$2:$B$2700,2,FALSE),"")</f>
        <v>5</v>
      </c>
      <c r="G629" s="52" t="s">
        <v>894</v>
      </c>
      <c r="H629" s="54"/>
      <c r="I629" s="55">
        <f t="shared" si="238"/>
        <v>0</v>
      </c>
      <c r="J629" s="55">
        <v>0</v>
      </c>
      <c r="K629" s="55">
        <v>0</v>
      </c>
      <c r="L629" s="55">
        <v>0</v>
      </c>
      <c r="M629" s="55">
        <v>0</v>
      </c>
      <c r="N629" s="55">
        <f t="shared" si="239"/>
        <v>0</v>
      </c>
      <c r="O629" s="55">
        <v>0</v>
      </c>
      <c r="P629" s="55">
        <v>0</v>
      </c>
      <c r="Q629" s="55">
        <v>0</v>
      </c>
      <c r="R629" s="55">
        <f t="shared" si="240"/>
        <v>0</v>
      </c>
      <c r="S629" s="55">
        <v>0</v>
      </c>
      <c r="T629" s="55">
        <v>0</v>
      </c>
      <c r="U629" s="55">
        <v>0</v>
      </c>
      <c r="V629" s="55">
        <v>0</v>
      </c>
      <c r="W629" s="53">
        <v>0</v>
      </c>
      <c r="X629" s="53">
        <v>0</v>
      </c>
      <c r="Y629" s="55">
        <v>0</v>
      </c>
      <c r="Z629" s="55">
        <v>0</v>
      </c>
      <c r="AA629" s="53">
        <v>0</v>
      </c>
      <c r="AB629" s="53">
        <v>0</v>
      </c>
      <c r="AC629" s="55">
        <v>0</v>
      </c>
      <c r="AD629" s="55">
        <f t="shared" si="229"/>
        <v>4</v>
      </c>
      <c r="AE629" s="53">
        <v>0</v>
      </c>
      <c r="AF629" s="55">
        <v>4</v>
      </c>
      <c r="AG629" s="55">
        <v>0</v>
      </c>
      <c r="AH629" s="55">
        <f t="shared" si="230"/>
        <v>0</v>
      </c>
      <c r="AI629" s="55">
        <v>0</v>
      </c>
      <c r="AJ629" s="55">
        <v>0</v>
      </c>
      <c r="AK629" s="55">
        <v>0</v>
      </c>
      <c r="AL629" s="55">
        <f t="shared" si="231"/>
        <v>0</v>
      </c>
      <c r="AM629" s="55" t="s">
        <v>1912</v>
      </c>
      <c r="AN629" s="55">
        <v>0</v>
      </c>
      <c r="AO629" s="55">
        <v>0</v>
      </c>
      <c r="AP629" s="55">
        <f t="shared" si="241"/>
        <v>0</v>
      </c>
      <c r="AQ629" s="55">
        <f>IFERROR(VLOOKUP(A629,[1]SIIMPLES!$A$2:$F$418,6,FALSE),0)</f>
        <v>0</v>
      </c>
      <c r="AR629" s="55">
        <v>0</v>
      </c>
      <c r="AS629" s="55">
        <v>0</v>
      </c>
      <c r="AT629" s="55">
        <v>0</v>
      </c>
      <c r="AU629" s="55">
        <v>0</v>
      </c>
      <c r="AV629" s="55">
        <v>0</v>
      </c>
      <c r="AW629" s="55"/>
      <c r="AX629" s="55"/>
      <c r="AY629" s="56">
        <f t="shared" si="232"/>
        <v>0.4</v>
      </c>
      <c r="AZ629" s="55"/>
      <c r="BA629" s="56">
        <v>0.6</v>
      </c>
      <c r="BB629" s="41">
        <f t="shared" si="236"/>
        <v>-0.33333333333333326</v>
      </c>
      <c r="BC629" s="13"/>
      <c r="BD629" s="35"/>
      <c r="BE629" s="13"/>
      <c r="BF629" s="16">
        <f t="shared" si="237"/>
        <v>0</v>
      </c>
      <c r="BG629" s="17">
        <f t="shared" si="233"/>
        <v>0</v>
      </c>
      <c r="BH629" s="16">
        <f t="shared" si="234"/>
        <v>0.4</v>
      </c>
    </row>
    <row r="630" spans="1:60" s="21" customFormat="1" ht="12.75" customHeight="1" x14ac:dyDescent="0.2">
      <c r="A630" s="50">
        <v>5209</v>
      </c>
      <c r="B630" s="51"/>
      <c r="C630" s="51" t="s">
        <v>1803</v>
      </c>
      <c r="D630" s="52" t="s">
        <v>735</v>
      </c>
      <c r="E630" s="52" t="s">
        <v>736</v>
      </c>
      <c r="F630" s="53">
        <f>IFERROR(VLOOKUP(E630,Fornecedores!$A$2:$B$2700,2,FALSE),"")</f>
        <v>5</v>
      </c>
      <c r="G630" s="52" t="s">
        <v>978</v>
      </c>
      <c r="H630" s="54"/>
      <c r="I630" s="55">
        <f t="shared" si="238"/>
        <v>0</v>
      </c>
      <c r="J630" s="55">
        <v>0</v>
      </c>
      <c r="K630" s="55">
        <v>0</v>
      </c>
      <c r="L630" s="55">
        <v>0</v>
      </c>
      <c r="M630" s="55">
        <v>0</v>
      </c>
      <c r="N630" s="55">
        <f t="shared" si="239"/>
        <v>0</v>
      </c>
      <c r="O630" s="55">
        <v>0</v>
      </c>
      <c r="P630" s="55">
        <v>0</v>
      </c>
      <c r="Q630" s="55">
        <v>0</v>
      </c>
      <c r="R630" s="55">
        <f t="shared" si="240"/>
        <v>0</v>
      </c>
      <c r="S630" s="55">
        <v>0</v>
      </c>
      <c r="T630" s="55">
        <v>0</v>
      </c>
      <c r="U630" s="55">
        <v>0</v>
      </c>
      <c r="V630" s="55">
        <v>0</v>
      </c>
      <c r="W630" s="53">
        <v>0</v>
      </c>
      <c r="X630" s="53">
        <v>0</v>
      </c>
      <c r="Y630" s="55">
        <v>0</v>
      </c>
      <c r="Z630" s="55">
        <v>0</v>
      </c>
      <c r="AA630" s="53">
        <v>0</v>
      </c>
      <c r="AB630" s="53">
        <v>0</v>
      </c>
      <c r="AC630" s="55">
        <v>0</v>
      </c>
      <c r="AD630" s="55">
        <f t="shared" si="229"/>
        <v>0</v>
      </c>
      <c r="AE630" s="53">
        <f>IFERROR(VLOOKUP(A630,[4]simples!$A$1:$B$281,2,FALSE),0)</f>
        <v>0</v>
      </c>
      <c r="AF630" s="55">
        <v>0</v>
      </c>
      <c r="AG630" s="55">
        <v>0</v>
      </c>
      <c r="AH630" s="55">
        <f t="shared" si="230"/>
        <v>0</v>
      </c>
      <c r="AI630" s="55"/>
      <c r="AJ630" s="55">
        <v>0</v>
      </c>
      <c r="AK630" s="55"/>
      <c r="AL630" s="55">
        <f t="shared" si="231"/>
        <v>0</v>
      </c>
      <c r="AM630" s="55" t="s">
        <v>1912</v>
      </c>
      <c r="AN630" s="55">
        <v>0</v>
      </c>
      <c r="AO630" s="55">
        <v>0</v>
      </c>
      <c r="AP630" s="55">
        <f t="shared" si="241"/>
        <v>0</v>
      </c>
      <c r="AQ630" s="55">
        <f>IFERROR(VLOOKUP(A630,[1]SIIMPLES!$A$2:$F$418,6,FALSE),0)</f>
        <v>0</v>
      </c>
      <c r="AR630" s="55">
        <v>0</v>
      </c>
      <c r="AS630" s="55">
        <v>0</v>
      </c>
      <c r="AT630" s="55">
        <v>0</v>
      </c>
      <c r="AU630" s="55">
        <v>0</v>
      </c>
      <c r="AV630" s="55">
        <v>0</v>
      </c>
      <c r="AW630" s="55"/>
      <c r="AX630" s="55"/>
      <c r="AY630" s="56">
        <f t="shared" si="232"/>
        <v>0</v>
      </c>
      <c r="AZ630" s="55"/>
      <c r="BA630" s="56">
        <v>0</v>
      </c>
      <c r="BB630" s="41" t="str">
        <f t="shared" si="236"/>
        <v/>
      </c>
      <c r="BC630" s="13"/>
      <c r="BD630" s="35"/>
      <c r="BE630" s="13"/>
      <c r="BF630" s="16">
        <f t="shared" si="237"/>
        <v>0</v>
      </c>
      <c r="BG630" s="17" t="str">
        <f t="shared" si="233"/>
        <v>0</v>
      </c>
      <c r="BH630" s="16">
        <f t="shared" si="234"/>
        <v>0</v>
      </c>
    </row>
    <row r="631" spans="1:60" s="21" customFormat="1" ht="12.75" customHeight="1" x14ac:dyDescent="0.2">
      <c r="A631" s="50">
        <v>5210</v>
      </c>
      <c r="B631" s="51"/>
      <c r="C631" s="51" t="s">
        <v>1803</v>
      </c>
      <c r="D631" s="52" t="s">
        <v>735</v>
      </c>
      <c r="E631" s="52" t="s">
        <v>736</v>
      </c>
      <c r="F631" s="53">
        <f>IFERROR(VLOOKUP(E631,Fornecedores!$A$2:$B$2700,2,FALSE),"")</f>
        <v>5</v>
      </c>
      <c r="G631" s="52" t="s">
        <v>979</v>
      </c>
      <c r="H631" s="54"/>
      <c r="I631" s="55">
        <f t="shared" si="238"/>
        <v>0</v>
      </c>
      <c r="J631" s="55">
        <v>0</v>
      </c>
      <c r="K631" s="55">
        <v>0</v>
      </c>
      <c r="L631" s="55">
        <v>0</v>
      </c>
      <c r="M631" s="55">
        <v>0</v>
      </c>
      <c r="N631" s="55">
        <f t="shared" si="239"/>
        <v>0</v>
      </c>
      <c r="O631" s="55">
        <v>0</v>
      </c>
      <c r="P631" s="55">
        <v>0</v>
      </c>
      <c r="Q631" s="55">
        <v>0</v>
      </c>
      <c r="R631" s="55">
        <f t="shared" si="240"/>
        <v>0</v>
      </c>
      <c r="S631" s="55">
        <v>0</v>
      </c>
      <c r="T631" s="55">
        <v>0</v>
      </c>
      <c r="U631" s="55">
        <v>0</v>
      </c>
      <c r="V631" s="55">
        <v>0</v>
      </c>
      <c r="W631" s="53">
        <v>0</v>
      </c>
      <c r="X631" s="53">
        <v>0</v>
      </c>
      <c r="Y631" s="55">
        <v>0</v>
      </c>
      <c r="Z631" s="55">
        <v>0</v>
      </c>
      <c r="AA631" s="53">
        <v>0</v>
      </c>
      <c r="AB631" s="53">
        <v>0</v>
      </c>
      <c r="AC631" s="55">
        <v>0</v>
      </c>
      <c r="AD631" s="55">
        <f t="shared" si="229"/>
        <v>0</v>
      </c>
      <c r="AE631" s="53">
        <f>IFERROR(VLOOKUP(A631,[4]simples!$A$1:$B$281,2,FALSE),0)</f>
        <v>0</v>
      </c>
      <c r="AF631" s="55">
        <v>0</v>
      </c>
      <c r="AG631" s="55">
        <v>0</v>
      </c>
      <c r="AH631" s="55">
        <f t="shared" si="230"/>
        <v>0</v>
      </c>
      <c r="AI631" s="55"/>
      <c r="AJ631" s="55">
        <v>0</v>
      </c>
      <c r="AK631" s="55"/>
      <c r="AL631" s="55">
        <f t="shared" si="231"/>
        <v>0</v>
      </c>
      <c r="AM631" s="55" t="s">
        <v>1912</v>
      </c>
      <c r="AN631" s="55">
        <v>0</v>
      </c>
      <c r="AO631" s="55">
        <v>0</v>
      </c>
      <c r="AP631" s="55">
        <f t="shared" si="241"/>
        <v>0</v>
      </c>
      <c r="AQ631" s="55">
        <f>IFERROR(VLOOKUP(A631,[1]SIIMPLES!$A$2:$F$418,6,FALSE),0)</f>
        <v>0</v>
      </c>
      <c r="AR631" s="55">
        <v>0</v>
      </c>
      <c r="AS631" s="55">
        <v>0</v>
      </c>
      <c r="AT631" s="55">
        <v>0</v>
      </c>
      <c r="AU631" s="55">
        <v>0</v>
      </c>
      <c r="AV631" s="55">
        <v>0</v>
      </c>
      <c r="AW631" s="55"/>
      <c r="AX631" s="55"/>
      <c r="AY631" s="56">
        <f t="shared" si="232"/>
        <v>0</v>
      </c>
      <c r="AZ631" s="55"/>
      <c r="BA631" s="56">
        <v>0</v>
      </c>
      <c r="BB631" s="41" t="str">
        <f t="shared" si="236"/>
        <v/>
      </c>
      <c r="BC631" s="13"/>
      <c r="BD631" s="37"/>
      <c r="BE631" s="13"/>
      <c r="BF631" s="16">
        <f t="shared" si="237"/>
        <v>0</v>
      </c>
      <c r="BG631" s="17" t="str">
        <f t="shared" si="233"/>
        <v>0</v>
      </c>
      <c r="BH631" s="16">
        <f t="shared" si="234"/>
        <v>0</v>
      </c>
    </row>
    <row r="632" spans="1:60" s="21" customFormat="1" ht="12.75" customHeight="1" x14ac:dyDescent="0.2">
      <c r="A632" s="51">
        <v>5211</v>
      </c>
      <c r="B632" s="51"/>
      <c r="C632" s="66" t="s">
        <v>1803</v>
      </c>
      <c r="D632" s="52" t="s">
        <v>735</v>
      </c>
      <c r="E632" s="52" t="s">
        <v>736</v>
      </c>
      <c r="F632" s="53">
        <f>IFERROR(VLOOKUP(E632,Fornecedores!$A$2:$B$2700,2,FALSE),"")</f>
        <v>5</v>
      </c>
      <c r="G632" s="52" t="s">
        <v>144</v>
      </c>
      <c r="H632" s="54"/>
      <c r="I632" s="55">
        <f t="shared" si="238"/>
        <v>0</v>
      </c>
      <c r="J632" s="55">
        <v>0</v>
      </c>
      <c r="K632" s="55">
        <v>0</v>
      </c>
      <c r="L632" s="55">
        <v>0</v>
      </c>
      <c r="M632" s="55">
        <v>0</v>
      </c>
      <c r="N632" s="55">
        <f t="shared" si="239"/>
        <v>0</v>
      </c>
      <c r="O632" s="55">
        <v>0</v>
      </c>
      <c r="P632" s="55">
        <v>0</v>
      </c>
      <c r="Q632" s="55">
        <v>0</v>
      </c>
      <c r="R632" s="55">
        <f t="shared" si="240"/>
        <v>0</v>
      </c>
      <c r="S632" s="55">
        <v>0</v>
      </c>
      <c r="T632" s="55">
        <v>0</v>
      </c>
      <c r="U632" s="55">
        <v>0</v>
      </c>
      <c r="V632" s="55">
        <v>2</v>
      </c>
      <c r="W632" s="53">
        <v>0</v>
      </c>
      <c r="X632" s="53">
        <v>2</v>
      </c>
      <c r="Y632" s="55">
        <v>0</v>
      </c>
      <c r="Z632" s="55">
        <v>0</v>
      </c>
      <c r="AA632" s="53">
        <v>0</v>
      </c>
      <c r="AB632" s="53">
        <v>0</v>
      </c>
      <c r="AC632" s="55">
        <v>0</v>
      </c>
      <c r="AD632" s="55">
        <f t="shared" si="229"/>
        <v>0</v>
      </c>
      <c r="AE632" s="53">
        <v>0</v>
      </c>
      <c r="AF632" s="55">
        <v>0</v>
      </c>
      <c r="AG632" s="55">
        <v>0</v>
      </c>
      <c r="AH632" s="55">
        <f t="shared" si="230"/>
        <v>0</v>
      </c>
      <c r="AI632" s="55">
        <v>0</v>
      </c>
      <c r="AJ632" s="55">
        <v>0</v>
      </c>
      <c r="AK632" s="55">
        <v>0</v>
      </c>
      <c r="AL632" s="55">
        <f t="shared" si="231"/>
        <v>0</v>
      </c>
      <c r="AM632" s="55" t="s">
        <v>1912</v>
      </c>
      <c r="AN632" s="55">
        <v>0</v>
      </c>
      <c r="AO632" s="55">
        <v>0</v>
      </c>
      <c r="AP632" s="55">
        <f t="shared" si="241"/>
        <v>0</v>
      </c>
      <c r="AQ632" s="55">
        <f>IFERROR(VLOOKUP(A632,[1]SIIMPLES!$A$2:$F$418,6,FALSE),0)</f>
        <v>0</v>
      </c>
      <c r="AR632" s="55">
        <v>0</v>
      </c>
      <c r="AS632" s="55">
        <v>0</v>
      </c>
      <c r="AT632" s="55">
        <v>0</v>
      </c>
      <c r="AU632" s="55">
        <v>0</v>
      </c>
      <c r="AV632" s="55">
        <v>0</v>
      </c>
      <c r="AW632" s="55"/>
      <c r="AX632" s="55"/>
      <c r="AY632" s="56">
        <f t="shared" si="232"/>
        <v>0.2</v>
      </c>
      <c r="AZ632" s="55"/>
      <c r="BA632" s="56">
        <v>0</v>
      </c>
      <c r="BB632" s="41" t="str">
        <f t="shared" si="236"/>
        <v/>
      </c>
      <c r="BC632" s="13"/>
      <c r="BD632" s="35"/>
      <c r="BE632" s="13"/>
      <c r="BF632" s="16"/>
      <c r="BG632" s="17">
        <f t="shared" si="233"/>
        <v>0</v>
      </c>
      <c r="BH632" s="16">
        <f>ROUND(IFERROR(IF(F632=1,IF(BC632&lt;AY632*3,AY632*3-BC632,0),IF(BC632&lt;AY632,AY632*0.6-BC632,0)),""),0)</f>
        <v>0</v>
      </c>
    </row>
    <row r="633" spans="1:60" s="21" customFormat="1" ht="12.75" customHeight="1" x14ac:dyDescent="0.2">
      <c r="A633" s="50">
        <v>5214</v>
      </c>
      <c r="B633" s="51"/>
      <c r="C633" s="51" t="s">
        <v>1803</v>
      </c>
      <c r="D633" s="52" t="s">
        <v>735</v>
      </c>
      <c r="E633" s="52" t="s">
        <v>736</v>
      </c>
      <c r="F633" s="53">
        <f>IFERROR(VLOOKUP(E633,Fornecedores!$A$2:$B$2700,2,FALSE),"")</f>
        <v>5</v>
      </c>
      <c r="G633" s="52" t="s">
        <v>991</v>
      </c>
      <c r="H633" s="54"/>
      <c r="I633" s="55">
        <f t="shared" si="238"/>
        <v>0</v>
      </c>
      <c r="J633" s="55">
        <v>0</v>
      </c>
      <c r="K633" s="55">
        <v>0</v>
      </c>
      <c r="L633" s="55">
        <v>0</v>
      </c>
      <c r="M633" s="55">
        <v>0</v>
      </c>
      <c r="N633" s="55">
        <f t="shared" si="239"/>
        <v>0</v>
      </c>
      <c r="O633" s="55">
        <v>0</v>
      </c>
      <c r="P633" s="55">
        <v>0</v>
      </c>
      <c r="Q633" s="55">
        <v>0</v>
      </c>
      <c r="R633" s="55">
        <f t="shared" si="240"/>
        <v>0</v>
      </c>
      <c r="S633" s="55">
        <v>0</v>
      </c>
      <c r="T633" s="55">
        <v>0</v>
      </c>
      <c r="U633" s="55">
        <v>0</v>
      </c>
      <c r="V633" s="55">
        <v>0</v>
      </c>
      <c r="W633" s="53">
        <v>0</v>
      </c>
      <c r="X633" s="53">
        <v>0</v>
      </c>
      <c r="Y633" s="55">
        <v>0</v>
      </c>
      <c r="Z633" s="55">
        <v>0</v>
      </c>
      <c r="AA633" s="53">
        <v>0</v>
      </c>
      <c r="AB633" s="53">
        <v>0</v>
      </c>
      <c r="AC633" s="55">
        <v>0</v>
      </c>
      <c r="AD633" s="55">
        <f t="shared" si="229"/>
        <v>0</v>
      </c>
      <c r="AE633" s="53">
        <f>IFERROR(VLOOKUP(A633,[4]simples!$A$1:$B$281,2,FALSE),0)</f>
        <v>0</v>
      </c>
      <c r="AF633" s="55">
        <v>0</v>
      </c>
      <c r="AG633" s="55">
        <v>0</v>
      </c>
      <c r="AH633" s="55">
        <f t="shared" si="230"/>
        <v>0</v>
      </c>
      <c r="AI633" s="55"/>
      <c r="AJ633" s="55">
        <v>0</v>
      </c>
      <c r="AK633" s="55"/>
      <c r="AL633" s="55">
        <f t="shared" si="231"/>
        <v>0</v>
      </c>
      <c r="AM633" s="55" t="s">
        <v>1912</v>
      </c>
      <c r="AN633" s="55">
        <v>0</v>
      </c>
      <c r="AO633" s="55">
        <v>0</v>
      </c>
      <c r="AP633" s="55">
        <f t="shared" si="241"/>
        <v>0</v>
      </c>
      <c r="AQ633" s="55">
        <f>IFERROR(VLOOKUP(A633,[1]SIIMPLES!$A$2:$F$418,6,FALSE),0)</f>
        <v>0</v>
      </c>
      <c r="AR633" s="55">
        <v>0</v>
      </c>
      <c r="AS633" s="55">
        <v>0</v>
      </c>
      <c r="AT633" s="55">
        <v>0</v>
      </c>
      <c r="AU633" s="55">
        <v>0</v>
      </c>
      <c r="AV633" s="55">
        <v>0</v>
      </c>
      <c r="AW633" s="55"/>
      <c r="AX633" s="55"/>
      <c r="AY633" s="56">
        <f t="shared" si="232"/>
        <v>0</v>
      </c>
      <c r="AZ633" s="55"/>
      <c r="BA633" s="56">
        <v>0</v>
      </c>
      <c r="BB633" s="41" t="str">
        <f t="shared" si="236"/>
        <v/>
      </c>
      <c r="BC633" s="13"/>
      <c r="BD633" s="35"/>
      <c r="BE633" s="13"/>
      <c r="BF633" s="16">
        <f t="shared" ref="BF633:BF641" si="242">SUM(BC633:BE633)</f>
        <v>0</v>
      </c>
      <c r="BG633" s="17" t="str">
        <f t="shared" si="233"/>
        <v>0</v>
      </c>
      <c r="BH633" s="16">
        <v>100</v>
      </c>
    </row>
    <row r="634" spans="1:60" s="21" customFormat="1" ht="12.75" customHeight="1" x14ac:dyDescent="0.2">
      <c r="A634" s="51">
        <v>5216</v>
      </c>
      <c r="B634" s="51"/>
      <c r="C634" s="66" t="s">
        <v>1803</v>
      </c>
      <c r="D634" s="52" t="s">
        <v>735</v>
      </c>
      <c r="E634" s="52" t="s">
        <v>736</v>
      </c>
      <c r="F634" s="53">
        <f>IFERROR(VLOOKUP(E634,Fornecedores!$A$2:$B$2700,2,FALSE),"")</f>
        <v>5</v>
      </c>
      <c r="G634" s="52" t="s">
        <v>166</v>
      </c>
      <c r="H634" s="54"/>
      <c r="I634" s="55">
        <f t="shared" si="238"/>
        <v>0</v>
      </c>
      <c r="J634" s="55">
        <v>0</v>
      </c>
      <c r="K634" s="55">
        <v>0</v>
      </c>
      <c r="L634" s="55">
        <v>0</v>
      </c>
      <c r="M634" s="55">
        <v>0</v>
      </c>
      <c r="N634" s="55">
        <f t="shared" si="239"/>
        <v>0</v>
      </c>
      <c r="O634" s="55">
        <v>0</v>
      </c>
      <c r="P634" s="55">
        <v>0</v>
      </c>
      <c r="Q634" s="55">
        <v>0</v>
      </c>
      <c r="R634" s="55">
        <f t="shared" si="240"/>
        <v>0</v>
      </c>
      <c r="S634" s="55">
        <v>0</v>
      </c>
      <c r="T634" s="55">
        <v>0</v>
      </c>
      <c r="U634" s="55">
        <v>0</v>
      </c>
      <c r="V634" s="55">
        <v>0</v>
      </c>
      <c r="W634" s="53">
        <v>0</v>
      </c>
      <c r="X634" s="53">
        <v>0</v>
      </c>
      <c r="Y634" s="55">
        <v>0</v>
      </c>
      <c r="Z634" s="55">
        <v>0</v>
      </c>
      <c r="AA634" s="53">
        <v>0</v>
      </c>
      <c r="AB634" s="53">
        <v>0</v>
      </c>
      <c r="AC634" s="55">
        <v>0</v>
      </c>
      <c r="AD634" s="55">
        <f t="shared" si="229"/>
        <v>0</v>
      </c>
      <c r="AE634" s="53">
        <v>0</v>
      </c>
      <c r="AF634" s="55">
        <v>0</v>
      </c>
      <c r="AG634" s="55">
        <v>0</v>
      </c>
      <c r="AH634" s="55">
        <f t="shared" si="230"/>
        <v>0</v>
      </c>
      <c r="AI634" s="55">
        <v>0</v>
      </c>
      <c r="AJ634" s="55">
        <v>0</v>
      </c>
      <c r="AK634" s="55">
        <v>0</v>
      </c>
      <c r="AL634" s="55">
        <f t="shared" si="231"/>
        <v>0</v>
      </c>
      <c r="AM634" s="55" t="s">
        <v>1912</v>
      </c>
      <c r="AN634" s="55">
        <v>0</v>
      </c>
      <c r="AO634" s="55">
        <v>0</v>
      </c>
      <c r="AP634" s="55">
        <f t="shared" si="241"/>
        <v>0</v>
      </c>
      <c r="AQ634" s="55">
        <f>IFERROR(VLOOKUP(A634,[1]SIIMPLES!$A$2:$F$418,6,FALSE),0)</f>
        <v>0</v>
      </c>
      <c r="AR634" s="55">
        <v>0</v>
      </c>
      <c r="AS634" s="55">
        <v>8</v>
      </c>
      <c r="AT634" s="55">
        <v>0</v>
      </c>
      <c r="AU634" s="55">
        <v>0</v>
      </c>
      <c r="AV634" s="55">
        <v>8</v>
      </c>
      <c r="AW634" s="55"/>
      <c r="AX634" s="55"/>
      <c r="AY634" s="56">
        <f t="shared" si="232"/>
        <v>0.8</v>
      </c>
      <c r="AZ634" s="55"/>
      <c r="BA634" s="56">
        <v>0</v>
      </c>
      <c r="BB634" s="41" t="str">
        <f t="shared" si="236"/>
        <v/>
      </c>
      <c r="BC634" s="13"/>
      <c r="BD634" s="35"/>
      <c r="BE634" s="13"/>
      <c r="BF634" s="16">
        <f t="shared" si="242"/>
        <v>0</v>
      </c>
      <c r="BG634" s="17">
        <f t="shared" si="233"/>
        <v>0</v>
      </c>
      <c r="BH634" s="16">
        <f>IFERROR(IF(F634=1,IF(BC634&lt;AY634*3,AY634*3-BC634,0),IF(BC634&lt;AY634,AY634-BC634,0)),"")</f>
        <v>0.8</v>
      </c>
    </row>
    <row r="635" spans="1:60" s="21" customFormat="1" ht="12.75" customHeight="1" x14ac:dyDescent="0.2">
      <c r="A635" s="50">
        <v>5217</v>
      </c>
      <c r="B635" s="51"/>
      <c r="C635" s="51" t="s">
        <v>1803</v>
      </c>
      <c r="D635" s="52" t="s">
        <v>735</v>
      </c>
      <c r="E635" s="52" t="s">
        <v>736</v>
      </c>
      <c r="F635" s="53">
        <f>IFERROR(VLOOKUP(E635,Fornecedores!$A$2:$B$2700,2,FALSE),"")</f>
        <v>5</v>
      </c>
      <c r="G635" s="52" t="s">
        <v>987</v>
      </c>
      <c r="H635" s="54"/>
      <c r="I635" s="55">
        <f t="shared" si="238"/>
        <v>0</v>
      </c>
      <c r="J635" s="55">
        <v>0</v>
      </c>
      <c r="K635" s="55">
        <v>0</v>
      </c>
      <c r="L635" s="55">
        <v>0</v>
      </c>
      <c r="M635" s="55">
        <v>0</v>
      </c>
      <c r="N635" s="55">
        <f t="shared" si="239"/>
        <v>0</v>
      </c>
      <c r="O635" s="55">
        <v>0</v>
      </c>
      <c r="P635" s="55">
        <v>0</v>
      </c>
      <c r="Q635" s="55">
        <v>0</v>
      </c>
      <c r="R635" s="55">
        <f t="shared" si="240"/>
        <v>0</v>
      </c>
      <c r="S635" s="55">
        <v>0</v>
      </c>
      <c r="T635" s="55">
        <v>0</v>
      </c>
      <c r="U635" s="55">
        <v>0</v>
      </c>
      <c r="V635" s="55">
        <v>0</v>
      </c>
      <c r="W635" s="53">
        <v>0</v>
      </c>
      <c r="X635" s="53">
        <v>0</v>
      </c>
      <c r="Y635" s="55">
        <v>0</v>
      </c>
      <c r="Z635" s="55">
        <v>0</v>
      </c>
      <c r="AA635" s="53">
        <v>0</v>
      </c>
      <c r="AB635" s="53">
        <v>0</v>
      </c>
      <c r="AC635" s="55">
        <v>0</v>
      </c>
      <c r="AD635" s="55">
        <f t="shared" si="229"/>
        <v>0</v>
      </c>
      <c r="AE635" s="53">
        <f>IFERROR(VLOOKUP(A635,[4]simples!$A$1:$B$281,2,FALSE),0)</f>
        <v>0</v>
      </c>
      <c r="AF635" s="55">
        <v>0</v>
      </c>
      <c r="AG635" s="55">
        <v>0</v>
      </c>
      <c r="AH635" s="55">
        <f t="shared" si="230"/>
        <v>0</v>
      </c>
      <c r="AI635" s="55"/>
      <c r="AJ635" s="55">
        <v>0</v>
      </c>
      <c r="AK635" s="55"/>
      <c r="AL635" s="55">
        <f t="shared" si="231"/>
        <v>0</v>
      </c>
      <c r="AM635" s="55" t="s">
        <v>1912</v>
      </c>
      <c r="AN635" s="55">
        <v>0</v>
      </c>
      <c r="AO635" s="55">
        <v>0</v>
      </c>
      <c r="AP635" s="55">
        <f t="shared" si="241"/>
        <v>0</v>
      </c>
      <c r="AQ635" s="55">
        <f>IFERROR(VLOOKUP(A635,[1]SIIMPLES!$A$2:$F$418,6,FALSE),0)</f>
        <v>0</v>
      </c>
      <c r="AR635" s="55">
        <v>0</v>
      </c>
      <c r="AS635" s="55">
        <v>0</v>
      </c>
      <c r="AT635" s="55">
        <v>0</v>
      </c>
      <c r="AU635" s="55">
        <v>0</v>
      </c>
      <c r="AV635" s="55">
        <v>0</v>
      </c>
      <c r="AW635" s="55"/>
      <c r="AX635" s="55"/>
      <c r="AY635" s="56">
        <f t="shared" si="232"/>
        <v>0</v>
      </c>
      <c r="AZ635" s="55"/>
      <c r="BA635" s="56">
        <v>0</v>
      </c>
      <c r="BB635" s="41" t="str">
        <f t="shared" si="236"/>
        <v/>
      </c>
      <c r="BC635" s="13"/>
      <c r="BD635" s="35"/>
      <c r="BE635" s="13"/>
      <c r="BF635" s="16">
        <f t="shared" si="242"/>
        <v>0</v>
      </c>
      <c r="BG635" s="17" t="str">
        <f t="shared" si="233"/>
        <v>0</v>
      </c>
      <c r="BH635" s="16">
        <f>ROUND(IFERROR(IF(F635=1,IF(BC635&lt;AY635*3,AY635*3-BC635,0),IF(BC635&lt;AY635,AY635*0.6-BC635,0)),""),0)</f>
        <v>0</v>
      </c>
    </row>
    <row r="636" spans="1:60" s="21" customFormat="1" ht="12.75" customHeight="1" x14ac:dyDescent="0.2">
      <c r="A636" s="51">
        <v>5227</v>
      </c>
      <c r="B636" s="51"/>
      <c r="C636" s="66" t="s">
        <v>1803</v>
      </c>
      <c r="D636" s="52" t="s">
        <v>735</v>
      </c>
      <c r="E636" s="52" t="s">
        <v>736</v>
      </c>
      <c r="F636" s="53">
        <f>IFERROR(VLOOKUP(E636,Fornecedores!$A$2:$B$2700,2,FALSE),"")</f>
        <v>5</v>
      </c>
      <c r="G636" s="52" t="s">
        <v>707</v>
      </c>
      <c r="H636" s="54"/>
      <c r="I636" s="55">
        <f t="shared" si="238"/>
        <v>1</v>
      </c>
      <c r="J636" s="55">
        <v>0</v>
      </c>
      <c r="K636" s="55">
        <v>1</v>
      </c>
      <c r="L636" s="55">
        <v>0</v>
      </c>
      <c r="M636" s="55">
        <v>0</v>
      </c>
      <c r="N636" s="55">
        <f t="shared" si="239"/>
        <v>2</v>
      </c>
      <c r="O636" s="55">
        <v>0</v>
      </c>
      <c r="P636" s="55">
        <v>2</v>
      </c>
      <c r="Q636" s="55">
        <v>0</v>
      </c>
      <c r="R636" s="55">
        <f t="shared" si="240"/>
        <v>0</v>
      </c>
      <c r="S636" s="55">
        <v>0</v>
      </c>
      <c r="T636" s="55">
        <v>0</v>
      </c>
      <c r="U636" s="55">
        <v>0</v>
      </c>
      <c r="V636" s="55">
        <v>0</v>
      </c>
      <c r="W636" s="53">
        <v>0</v>
      </c>
      <c r="X636" s="53">
        <v>0</v>
      </c>
      <c r="Y636" s="55">
        <v>0</v>
      </c>
      <c r="Z636" s="55">
        <v>1</v>
      </c>
      <c r="AA636" s="53">
        <v>0</v>
      </c>
      <c r="AB636" s="53">
        <v>1</v>
      </c>
      <c r="AC636" s="55">
        <v>0</v>
      </c>
      <c r="AD636" s="55">
        <f t="shared" si="229"/>
        <v>2</v>
      </c>
      <c r="AE636" s="53">
        <v>0</v>
      </c>
      <c r="AF636" s="55">
        <v>2</v>
      </c>
      <c r="AG636" s="55">
        <v>0</v>
      </c>
      <c r="AH636" s="55">
        <f t="shared" si="230"/>
        <v>0</v>
      </c>
      <c r="AI636" s="55">
        <v>0</v>
      </c>
      <c r="AJ636" s="55">
        <v>0</v>
      </c>
      <c r="AK636" s="55">
        <v>0</v>
      </c>
      <c r="AL636" s="55">
        <f t="shared" si="231"/>
        <v>0</v>
      </c>
      <c r="AM636" s="55" t="s">
        <v>1912</v>
      </c>
      <c r="AN636" s="55">
        <v>0</v>
      </c>
      <c r="AO636" s="55">
        <v>0</v>
      </c>
      <c r="AP636" s="55">
        <f t="shared" si="241"/>
        <v>0</v>
      </c>
      <c r="AQ636" s="55">
        <f>IFERROR(VLOOKUP(A636,[1]SIIMPLES!$A$2:$F$418,6,FALSE),0)</f>
        <v>0</v>
      </c>
      <c r="AR636" s="55">
        <v>0</v>
      </c>
      <c r="AS636" s="55">
        <v>1</v>
      </c>
      <c r="AT636" s="55">
        <v>0</v>
      </c>
      <c r="AU636" s="55">
        <v>1</v>
      </c>
      <c r="AV636" s="55">
        <v>0</v>
      </c>
      <c r="AW636" s="55"/>
      <c r="AX636" s="55"/>
      <c r="AY636" s="56">
        <f t="shared" si="232"/>
        <v>0.7</v>
      </c>
      <c r="AZ636" s="55"/>
      <c r="BA636" s="56">
        <v>1.6666666666666667</v>
      </c>
      <c r="BB636" s="41">
        <f t="shared" si="236"/>
        <v>-0.58000000000000007</v>
      </c>
      <c r="BC636" s="13"/>
      <c r="BD636" s="35"/>
      <c r="BE636" s="13"/>
      <c r="BF636" s="16">
        <f t="shared" si="242"/>
        <v>0</v>
      </c>
      <c r="BG636" s="17">
        <f t="shared" ref="BG636:BG641" si="243">IFERROR(BC636/AY636,"0")</f>
        <v>0</v>
      </c>
      <c r="BH636" s="16">
        <f>ROUND(IFERROR(IF(F636=1,IF(BC636&lt;AY636*3,AY636*3-BC636,0),IF(BC636&lt;AY636,AY636*0.6-BC636,0)),""),0)</f>
        <v>0</v>
      </c>
    </row>
    <row r="637" spans="1:60" s="21" customFormat="1" ht="12.75" customHeight="1" x14ac:dyDescent="0.2">
      <c r="A637" s="51">
        <v>5228</v>
      </c>
      <c r="B637" s="51"/>
      <c r="C637" s="66" t="s">
        <v>1803</v>
      </c>
      <c r="D637" s="52" t="s">
        <v>735</v>
      </c>
      <c r="E637" s="52" t="s">
        <v>736</v>
      </c>
      <c r="F637" s="53">
        <f>IFERROR(VLOOKUP(E637,Fornecedores!$A$2:$B$2700,2,FALSE),"")</f>
        <v>5</v>
      </c>
      <c r="G637" s="52" t="s">
        <v>442</v>
      </c>
      <c r="H637" s="54"/>
      <c r="I637" s="55">
        <f t="shared" si="238"/>
        <v>1</v>
      </c>
      <c r="J637" s="55">
        <v>0</v>
      </c>
      <c r="K637" s="55">
        <v>1</v>
      </c>
      <c r="L637" s="55">
        <v>0</v>
      </c>
      <c r="M637" s="55">
        <v>0</v>
      </c>
      <c r="N637" s="55">
        <f t="shared" si="239"/>
        <v>2</v>
      </c>
      <c r="O637" s="55">
        <v>0</v>
      </c>
      <c r="P637" s="55">
        <v>2</v>
      </c>
      <c r="Q637" s="55">
        <v>0</v>
      </c>
      <c r="R637" s="55">
        <f t="shared" si="240"/>
        <v>0</v>
      </c>
      <c r="S637" s="55">
        <v>0</v>
      </c>
      <c r="T637" s="55">
        <v>0</v>
      </c>
      <c r="U637" s="55">
        <v>0</v>
      </c>
      <c r="V637" s="55">
        <v>0</v>
      </c>
      <c r="W637" s="53">
        <v>0</v>
      </c>
      <c r="X637" s="53">
        <v>0</v>
      </c>
      <c r="Y637" s="55">
        <v>0</v>
      </c>
      <c r="Z637" s="55">
        <v>1</v>
      </c>
      <c r="AA637" s="53">
        <v>0</v>
      </c>
      <c r="AB637" s="53">
        <v>1</v>
      </c>
      <c r="AC637" s="55">
        <v>0</v>
      </c>
      <c r="AD637" s="55">
        <f t="shared" si="229"/>
        <v>2</v>
      </c>
      <c r="AE637" s="53">
        <v>0</v>
      </c>
      <c r="AF637" s="55">
        <v>2</v>
      </c>
      <c r="AG637" s="55">
        <v>0</v>
      </c>
      <c r="AH637" s="55">
        <f t="shared" si="230"/>
        <v>0</v>
      </c>
      <c r="AI637" s="55">
        <v>0</v>
      </c>
      <c r="AJ637" s="55">
        <v>0</v>
      </c>
      <c r="AK637" s="55">
        <v>0</v>
      </c>
      <c r="AL637" s="55">
        <f t="shared" si="231"/>
        <v>0</v>
      </c>
      <c r="AM637" s="55" t="s">
        <v>1912</v>
      </c>
      <c r="AN637" s="55">
        <v>0</v>
      </c>
      <c r="AO637" s="55">
        <v>0</v>
      </c>
      <c r="AP637" s="55">
        <f t="shared" si="241"/>
        <v>0</v>
      </c>
      <c r="AQ637" s="55">
        <f>IFERROR(VLOOKUP(A637,[1]SIIMPLES!$A$2:$F$418,6,FALSE),0)</f>
        <v>0</v>
      </c>
      <c r="AR637" s="55">
        <v>0</v>
      </c>
      <c r="AS637" s="55">
        <v>1</v>
      </c>
      <c r="AT637" s="55">
        <v>0</v>
      </c>
      <c r="AU637" s="55">
        <v>1</v>
      </c>
      <c r="AV637" s="55">
        <v>0</v>
      </c>
      <c r="AW637" s="55"/>
      <c r="AX637" s="55"/>
      <c r="AY637" s="56">
        <f t="shared" si="232"/>
        <v>0.7</v>
      </c>
      <c r="AZ637" s="55"/>
      <c r="BA637" s="56">
        <v>1.3333333333333333</v>
      </c>
      <c r="BB637" s="41">
        <f t="shared" si="236"/>
        <v>-0.47499999999999998</v>
      </c>
      <c r="BC637" s="13"/>
      <c r="BD637" s="35"/>
      <c r="BE637" s="13"/>
      <c r="BF637" s="16">
        <f t="shared" si="242"/>
        <v>0</v>
      </c>
      <c r="BG637" s="17">
        <f t="shared" si="243"/>
        <v>0</v>
      </c>
      <c r="BH637" s="16">
        <f>ROUND(IFERROR(IF(F637=1,IF(BC637&lt;AY637*3,AY637*3-BC637,0),IF(BC637&lt;AY637,AY637*0.6-BC637,0)),""),0)</f>
        <v>0</v>
      </c>
    </row>
    <row r="638" spans="1:60" s="21" customFormat="1" ht="12.75" customHeight="1" x14ac:dyDescent="0.2">
      <c r="A638" s="51">
        <v>5229</v>
      </c>
      <c r="B638" s="51"/>
      <c r="C638" s="66" t="s">
        <v>1803</v>
      </c>
      <c r="D638" s="52" t="s">
        <v>735</v>
      </c>
      <c r="E638" s="52" t="s">
        <v>736</v>
      </c>
      <c r="F638" s="53">
        <f>IFERROR(VLOOKUP(E638,Fornecedores!$A$2:$B$2700,2,FALSE),"")</f>
        <v>5</v>
      </c>
      <c r="G638" s="52" t="s">
        <v>104</v>
      </c>
      <c r="H638" s="54"/>
      <c r="I638" s="55">
        <f t="shared" si="238"/>
        <v>6</v>
      </c>
      <c r="J638" s="55">
        <v>0</v>
      </c>
      <c r="K638" s="55">
        <v>6</v>
      </c>
      <c r="L638" s="55">
        <v>0</v>
      </c>
      <c r="M638" s="55">
        <v>0</v>
      </c>
      <c r="N638" s="55">
        <f t="shared" si="239"/>
        <v>0</v>
      </c>
      <c r="O638" s="55">
        <v>0</v>
      </c>
      <c r="P638" s="55">
        <v>0</v>
      </c>
      <c r="Q638" s="55">
        <v>0</v>
      </c>
      <c r="R638" s="55">
        <f t="shared" si="240"/>
        <v>0</v>
      </c>
      <c r="S638" s="55">
        <v>0</v>
      </c>
      <c r="T638" s="55">
        <v>0</v>
      </c>
      <c r="U638" s="55">
        <v>0</v>
      </c>
      <c r="V638" s="55">
        <v>0</v>
      </c>
      <c r="W638" s="53">
        <v>0</v>
      </c>
      <c r="X638" s="53">
        <v>0</v>
      </c>
      <c r="Y638" s="55">
        <v>0</v>
      </c>
      <c r="Z638" s="55">
        <v>0</v>
      </c>
      <c r="AA638" s="53">
        <v>0</v>
      </c>
      <c r="AB638" s="53">
        <v>0</v>
      </c>
      <c r="AC638" s="55">
        <v>0</v>
      </c>
      <c r="AD638" s="55">
        <f t="shared" si="229"/>
        <v>4</v>
      </c>
      <c r="AE638" s="53">
        <v>0</v>
      </c>
      <c r="AF638" s="55">
        <v>4</v>
      </c>
      <c r="AG638" s="55">
        <v>0</v>
      </c>
      <c r="AH638" s="55">
        <f t="shared" si="230"/>
        <v>0</v>
      </c>
      <c r="AI638" s="55">
        <v>0</v>
      </c>
      <c r="AJ638" s="55">
        <v>0</v>
      </c>
      <c r="AK638" s="55">
        <v>0</v>
      </c>
      <c r="AL638" s="55">
        <f t="shared" si="231"/>
        <v>2</v>
      </c>
      <c r="AM638" s="55" t="s">
        <v>1912</v>
      </c>
      <c r="AN638" s="55">
        <v>2</v>
      </c>
      <c r="AO638" s="55">
        <v>0</v>
      </c>
      <c r="AP638" s="55">
        <f t="shared" si="241"/>
        <v>0</v>
      </c>
      <c r="AQ638" s="55">
        <f>IFERROR(VLOOKUP(A638,[1]SIIMPLES!$A$2:$F$418,6,FALSE),0)</f>
        <v>0</v>
      </c>
      <c r="AR638" s="55">
        <v>0</v>
      </c>
      <c r="AS638" s="55">
        <v>0</v>
      </c>
      <c r="AT638" s="55">
        <v>0</v>
      </c>
      <c r="AU638" s="55">
        <v>0</v>
      </c>
      <c r="AV638" s="55">
        <v>0</v>
      </c>
      <c r="AW638" s="55"/>
      <c r="AX638" s="55"/>
      <c r="AY638" s="56">
        <f t="shared" si="232"/>
        <v>1.2</v>
      </c>
      <c r="AZ638" s="55"/>
      <c r="BA638" s="56">
        <v>4</v>
      </c>
      <c r="BB638" s="41">
        <f t="shared" si="236"/>
        <v>-0.7</v>
      </c>
      <c r="BC638" s="13"/>
      <c r="BD638" s="35"/>
      <c r="BE638" s="13"/>
      <c r="BF638" s="16">
        <f t="shared" si="242"/>
        <v>0</v>
      </c>
      <c r="BG638" s="17">
        <f t="shared" si="243"/>
        <v>0</v>
      </c>
      <c r="BH638" s="16">
        <f>ROUND(IFERROR(IF(F638=1,IF(BC638&lt;AY638*3,AY638*3-BC638,0),IF(BC638&lt;AY638,AY638*0.6-BC638,0)),""),0)</f>
        <v>1</v>
      </c>
    </row>
    <row r="639" spans="1:60" s="21" customFormat="1" ht="12.75" customHeight="1" x14ac:dyDescent="0.2">
      <c r="A639" s="51">
        <v>5231</v>
      </c>
      <c r="B639" s="51"/>
      <c r="C639" s="66" t="s">
        <v>1803</v>
      </c>
      <c r="D639" s="52" t="s">
        <v>735</v>
      </c>
      <c r="E639" s="52" t="s">
        <v>736</v>
      </c>
      <c r="F639" s="53">
        <f>IFERROR(VLOOKUP(E639,Fornecedores!$A$2:$B$2700,2,FALSE),"")</f>
        <v>5</v>
      </c>
      <c r="G639" s="52" t="s">
        <v>258</v>
      </c>
      <c r="H639" s="54"/>
      <c r="I639" s="55">
        <f t="shared" si="238"/>
        <v>1</v>
      </c>
      <c r="J639" s="55">
        <v>0</v>
      </c>
      <c r="K639" s="55">
        <v>1</v>
      </c>
      <c r="L639" s="55">
        <v>0</v>
      </c>
      <c r="M639" s="55">
        <v>0</v>
      </c>
      <c r="N639" s="55">
        <f t="shared" si="239"/>
        <v>0</v>
      </c>
      <c r="O639" s="55">
        <v>0</v>
      </c>
      <c r="P639" s="55">
        <v>0</v>
      </c>
      <c r="Q639" s="55">
        <v>0</v>
      </c>
      <c r="R639" s="55">
        <f t="shared" si="240"/>
        <v>0</v>
      </c>
      <c r="S639" s="55">
        <v>0</v>
      </c>
      <c r="T639" s="55">
        <v>0</v>
      </c>
      <c r="U639" s="55">
        <v>0</v>
      </c>
      <c r="V639" s="55">
        <v>1</v>
      </c>
      <c r="W639" s="53">
        <v>0</v>
      </c>
      <c r="X639" s="53">
        <v>1</v>
      </c>
      <c r="Y639" s="55">
        <v>0</v>
      </c>
      <c r="Z639" s="55">
        <v>1</v>
      </c>
      <c r="AA639" s="53">
        <v>0</v>
      </c>
      <c r="AB639" s="53">
        <v>1</v>
      </c>
      <c r="AC639" s="55">
        <v>0</v>
      </c>
      <c r="AD639" s="55">
        <f t="shared" si="229"/>
        <v>2</v>
      </c>
      <c r="AE639" s="53">
        <v>0</v>
      </c>
      <c r="AF639" s="55">
        <v>2</v>
      </c>
      <c r="AG639" s="55">
        <v>0</v>
      </c>
      <c r="AH639" s="55">
        <f t="shared" si="230"/>
        <v>0</v>
      </c>
      <c r="AI639" s="55">
        <v>0</v>
      </c>
      <c r="AJ639" s="55">
        <v>0</v>
      </c>
      <c r="AK639" s="55">
        <v>0</v>
      </c>
      <c r="AL639" s="55">
        <f t="shared" si="231"/>
        <v>0</v>
      </c>
      <c r="AM639" s="55" t="s">
        <v>1912</v>
      </c>
      <c r="AN639" s="55">
        <v>0</v>
      </c>
      <c r="AO639" s="55">
        <v>0</v>
      </c>
      <c r="AP639" s="55">
        <f t="shared" si="241"/>
        <v>0</v>
      </c>
      <c r="AQ639" s="55">
        <f>IFERROR(VLOOKUP(A639,[1]SIIMPLES!$A$2:$F$418,6,FALSE),0)</f>
        <v>0</v>
      </c>
      <c r="AR639" s="55">
        <v>0</v>
      </c>
      <c r="AS639" s="55">
        <v>4</v>
      </c>
      <c r="AT639" s="55">
        <v>0</v>
      </c>
      <c r="AU639" s="55">
        <v>0</v>
      </c>
      <c r="AV639" s="55">
        <v>4</v>
      </c>
      <c r="AW639" s="55"/>
      <c r="AX639" s="55"/>
      <c r="AY639" s="56">
        <f t="shared" si="232"/>
        <v>0.9</v>
      </c>
      <c r="AZ639" s="55"/>
      <c r="BA639" s="56">
        <v>2</v>
      </c>
      <c r="BB639" s="41">
        <f t="shared" si="236"/>
        <v>-0.55000000000000004</v>
      </c>
      <c r="BC639" s="10"/>
      <c r="BD639" s="35"/>
      <c r="BE639" s="13"/>
      <c r="BF639" s="16">
        <f t="shared" si="242"/>
        <v>0</v>
      </c>
      <c r="BG639" s="17">
        <f t="shared" si="243"/>
        <v>0</v>
      </c>
      <c r="BH639" s="16">
        <f>ROUND(IFERROR(IF(F639=1,IF(BC639&lt;AY639*3,AY639*3-BC639,0),IF(BC639&lt;AY639,AY639*0.6-BC639,0)),""),0)</f>
        <v>1</v>
      </c>
    </row>
    <row r="640" spans="1:60" s="21" customFormat="1" ht="12.75" customHeight="1" x14ac:dyDescent="0.2">
      <c r="A640" s="51">
        <v>5232</v>
      </c>
      <c r="B640" s="51"/>
      <c r="C640" s="66" t="s">
        <v>1803</v>
      </c>
      <c r="D640" s="52" t="s">
        <v>735</v>
      </c>
      <c r="E640" s="52" t="s">
        <v>736</v>
      </c>
      <c r="F640" s="53">
        <f>IFERROR(VLOOKUP(E640,Fornecedores!$A$2:$B$2700,2,FALSE),"")</f>
        <v>5</v>
      </c>
      <c r="G640" s="52" t="s">
        <v>537</v>
      </c>
      <c r="H640" s="54"/>
      <c r="I640" s="55">
        <f t="shared" si="238"/>
        <v>1</v>
      </c>
      <c r="J640" s="55">
        <v>0</v>
      </c>
      <c r="K640" s="55">
        <v>1</v>
      </c>
      <c r="L640" s="55">
        <v>0</v>
      </c>
      <c r="M640" s="55">
        <v>0</v>
      </c>
      <c r="N640" s="55">
        <f t="shared" si="239"/>
        <v>0</v>
      </c>
      <c r="O640" s="55">
        <v>0</v>
      </c>
      <c r="P640" s="55">
        <v>0</v>
      </c>
      <c r="Q640" s="55">
        <v>0</v>
      </c>
      <c r="R640" s="55">
        <f t="shared" si="240"/>
        <v>0</v>
      </c>
      <c r="S640" s="55">
        <v>0</v>
      </c>
      <c r="T640" s="55">
        <v>0</v>
      </c>
      <c r="U640" s="55">
        <v>0</v>
      </c>
      <c r="V640" s="55">
        <v>1</v>
      </c>
      <c r="W640" s="53">
        <v>0</v>
      </c>
      <c r="X640" s="53">
        <v>1</v>
      </c>
      <c r="Y640" s="55">
        <v>0</v>
      </c>
      <c r="Z640" s="55">
        <v>1</v>
      </c>
      <c r="AA640" s="53">
        <v>0</v>
      </c>
      <c r="AB640" s="53">
        <v>1</v>
      </c>
      <c r="AC640" s="55">
        <v>0</v>
      </c>
      <c r="AD640" s="55">
        <f t="shared" si="229"/>
        <v>2</v>
      </c>
      <c r="AE640" s="53">
        <v>0</v>
      </c>
      <c r="AF640" s="55">
        <v>2</v>
      </c>
      <c r="AG640" s="55">
        <v>0</v>
      </c>
      <c r="AH640" s="55">
        <f t="shared" si="230"/>
        <v>0</v>
      </c>
      <c r="AI640" s="55">
        <v>0</v>
      </c>
      <c r="AJ640" s="55">
        <v>0</v>
      </c>
      <c r="AK640" s="55">
        <v>0</v>
      </c>
      <c r="AL640" s="55">
        <f t="shared" si="231"/>
        <v>0</v>
      </c>
      <c r="AM640" s="55" t="s">
        <v>1912</v>
      </c>
      <c r="AN640" s="55">
        <v>0</v>
      </c>
      <c r="AO640" s="55">
        <v>0</v>
      </c>
      <c r="AP640" s="55">
        <f t="shared" si="241"/>
        <v>0</v>
      </c>
      <c r="AQ640" s="55">
        <f>IFERROR(VLOOKUP(A640,[1]SIIMPLES!$A$2:$F$418,6,FALSE),0)</f>
        <v>0</v>
      </c>
      <c r="AR640" s="55">
        <v>0</v>
      </c>
      <c r="AS640" s="55">
        <v>4</v>
      </c>
      <c r="AT640" s="55">
        <v>0</v>
      </c>
      <c r="AU640" s="55">
        <v>0</v>
      </c>
      <c r="AV640" s="55">
        <v>4</v>
      </c>
      <c r="AW640" s="55"/>
      <c r="AX640" s="55"/>
      <c r="AY640" s="56">
        <f t="shared" si="232"/>
        <v>0.9</v>
      </c>
      <c r="AZ640" s="55"/>
      <c r="BA640" s="56">
        <v>2</v>
      </c>
      <c r="BB640" s="41">
        <f t="shared" si="236"/>
        <v>-0.55000000000000004</v>
      </c>
      <c r="BC640" s="13"/>
      <c r="BD640" s="35"/>
      <c r="BE640" s="13"/>
      <c r="BF640" s="16">
        <f t="shared" si="242"/>
        <v>0</v>
      </c>
      <c r="BG640" s="17">
        <f t="shared" si="243"/>
        <v>0</v>
      </c>
      <c r="BH640" s="16">
        <f>IFERROR(IF(F640=1,IF(BC640&lt;AY640*3,AY640*3-BC640,0),IF(BC640&lt;AY640,AY640-BC640,0)),"")</f>
        <v>0.9</v>
      </c>
    </row>
    <row r="641" spans="1:60" s="21" customFormat="1" ht="12.75" customHeight="1" x14ac:dyDescent="0.2">
      <c r="A641" s="51">
        <v>5233</v>
      </c>
      <c r="B641" s="51" t="s">
        <v>1077</v>
      </c>
      <c r="C641" s="66" t="s">
        <v>1803</v>
      </c>
      <c r="D641" s="52" t="s">
        <v>735</v>
      </c>
      <c r="E641" s="52" t="s">
        <v>736</v>
      </c>
      <c r="F641" s="53">
        <f>IFERROR(VLOOKUP(E641,Fornecedores!$A$2:$B$2700,2,FALSE),"")</f>
        <v>5</v>
      </c>
      <c r="G641" s="52" t="s">
        <v>475</v>
      </c>
      <c r="H641" s="54"/>
      <c r="I641" s="55">
        <f t="shared" si="238"/>
        <v>25</v>
      </c>
      <c r="J641" s="55">
        <v>0</v>
      </c>
      <c r="K641" s="55">
        <v>25</v>
      </c>
      <c r="L641" s="55">
        <v>0</v>
      </c>
      <c r="M641" s="55">
        <v>0</v>
      </c>
      <c r="N641" s="55">
        <f t="shared" si="239"/>
        <v>0</v>
      </c>
      <c r="O641" s="55">
        <v>0</v>
      </c>
      <c r="P641" s="55">
        <v>0</v>
      </c>
      <c r="Q641" s="55">
        <v>0</v>
      </c>
      <c r="R641" s="55">
        <f t="shared" si="240"/>
        <v>2</v>
      </c>
      <c r="S641" s="55">
        <v>0</v>
      </c>
      <c r="T641" s="55">
        <v>2</v>
      </c>
      <c r="U641" s="55">
        <v>0</v>
      </c>
      <c r="V641" s="55">
        <v>0</v>
      </c>
      <c r="W641" s="53">
        <v>0</v>
      </c>
      <c r="X641" s="53">
        <v>0</v>
      </c>
      <c r="Y641" s="55">
        <v>0</v>
      </c>
      <c r="Z641" s="55">
        <v>18</v>
      </c>
      <c r="AA641" s="53">
        <v>0</v>
      </c>
      <c r="AB641" s="53">
        <v>18</v>
      </c>
      <c r="AC641" s="55">
        <v>0</v>
      </c>
      <c r="AD641" s="55">
        <f t="shared" si="229"/>
        <v>11</v>
      </c>
      <c r="AE641" s="53">
        <v>0</v>
      </c>
      <c r="AF641" s="55">
        <v>11</v>
      </c>
      <c r="AG641" s="55">
        <v>0</v>
      </c>
      <c r="AH641" s="55">
        <f t="shared" si="230"/>
        <v>0</v>
      </c>
      <c r="AI641" s="55">
        <v>0</v>
      </c>
      <c r="AJ641" s="55">
        <v>0</v>
      </c>
      <c r="AK641" s="55">
        <v>0</v>
      </c>
      <c r="AL641" s="55">
        <f t="shared" si="231"/>
        <v>2</v>
      </c>
      <c r="AM641" s="55" t="s">
        <v>1912</v>
      </c>
      <c r="AN641" s="55">
        <v>2</v>
      </c>
      <c r="AO641" s="55">
        <v>0</v>
      </c>
      <c r="AP641" s="55">
        <f t="shared" si="241"/>
        <v>0</v>
      </c>
      <c r="AQ641" s="55">
        <f>IFERROR(VLOOKUP(A641,[1]SIIMPLES!$A$2:$F$418,6,FALSE),0)</f>
        <v>0</v>
      </c>
      <c r="AR641" s="55">
        <v>0</v>
      </c>
      <c r="AS641" s="55">
        <v>4</v>
      </c>
      <c r="AT641" s="55">
        <v>0</v>
      </c>
      <c r="AU641" s="55">
        <v>4</v>
      </c>
      <c r="AV641" s="55">
        <v>0</v>
      </c>
      <c r="AW641" s="55"/>
      <c r="AX641" s="55"/>
      <c r="AY641" s="56">
        <f t="shared" si="232"/>
        <v>6.2</v>
      </c>
      <c r="AZ641" s="55"/>
      <c r="BA641" s="56">
        <v>16.5</v>
      </c>
      <c r="BB641" s="41">
        <f t="shared" si="236"/>
        <v>-0.62424242424242427</v>
      </c>
      <c r="BC641" s="13"/>
      <c r="BD641" s="35"/>
      <c r="BE641" s="13"/>
      <c r="BF641" s="16">
        <f t="shared" si="242"/>
        <v>0</v>
      </c>
      <c r="BG641" s="17">
        <f t="shared" si="243"/>
        <v>0</v>
      </c>
      <c r="BH641" s="16">
        <f>IFERROR(IF(F641=1,IF(BC641&lt;AY641*3,AY641*3-BC641,0),IF(BC641&lt;AY641,AY641-BC641,0)),"")</f>
        <v>6.2</v>
      </c>
    </row>
    <row r="642" spans="1:60" s="21" customFormat="1" ht="12.75" customHeight="1" x14ac:dyDescent="0.2">
      <c r="A642" s="50">
        <v>5237</v>
      </c>
      <c r="B642" s="51"/>
      <c r="C642" s="51" t="s">
        <v>1803</v>
      </c>
      <c r="D642" s="52" t="s">
        <v>735</v>
      </c>
      <c r="E642" s="52" t="s">
        <v>736</v>
      </c>
      <c r="F642" s="53">
        <f>IFERROR(VLOOKUP(E642,Fornecedores!$A$2:$B$2700,2,FALSE),"")</f>
        <v>5</v>
      </c>
      <c r="G642" s="52" t="s">
        <v>963</v>
      </c>
      <c r="H642" s="54"/>
      <c r="I642" s="55">
        <f t="shared" si="238"/>
        <v>0</v>
      </c>
      <c r="J642" s="55">
        <v>0</v>
      </c>
      <c r="K642" s="55">
        <v>0</v>
      </c>
      <c r="L642" s="55">
        <v>0</v>
      </c>
      <c r="M642" s="55">
        <v>0</v>
      </c>
      <c r="N642" s="55">
        <f t="shared" si="239"/>
        <v>0</v>
      </c>
      <c r="O642" s="55">
        <v>0</v>
      </c>
      <c r="P642" s="55">
        <v>0</v>
      </c>
      <c r="Q642" s="55">
        <v>0</v>
      </c>
      <c r="R642" s="55">
        <f t="shared" si="240"/>
        <v>0</v>
      </c>
      <c r="S642" s="55">
        <v>0</v>
      </c>
      <c r="T642" s="55">
        <v>0</v>
      </c>
      <c r="U642" s="55">
        <v>0</v>
      </c>
      <c r="V642" s="55">
        <v>0</v>
      </c>
      <c r="W642" s="53">
        <v>0</v>
      </c>
      <c r="X642" s="53">
        <v>0</v>
      </c>
      <c r="Y642" s="55">
        <v>0</v>
      </c>
      <c r="Z642" s="55">
        <v>0</v>
      </c>
      <c r="AA642" s="53">
        <v>0</v>
      </c>
      <c r="AB642" s="53">
        <v>0</v>
      </c>
      <c r="AC642" s="55">
        <v>0</v>
      </c>
      <c r="AD642" s="55">
        <f t="shared" si="229"/>
        <v>0</v>
      </c>
      <c r="AE642" s="53">
        <f>IFERROR(VLOOKUP(A642,[4]simples!$A$1:$B$281,2,FALSE),0)</f>
        <v>0</v>
      </c>
      <c r="AF642" s="55">
        <v>0</v>
      </c>
      <c r="AG642" s="55">
        <v>0</v>
      </c>
      <c r="AH642" s="55">
        <f t="shared" si="230"/>
        <v>0</v>
      </c>
      <c r="AI642" s="55"/>
      <c r="AJ642" s="55">
        <v>0</v>
      </c>
      <c r="AK642" s="55"/>
      <c r="AL642" s="55">
        <f t="shared" si="231"/>
        <v>0</v>
      </c>
      <c r="AM642" s="55" t="s">
        <v>1912</v>
      </c>
      <c r="AN642" s="55">
        <v>0</v>
      </c>
      <c r="AO642" s="55">
        <v>0</v>
      </c>
      <c r="AP642" s="55">
        <f t="shared" si="241"/>
        <v>0</v>
      </c>
      <c r="AQ642" s="55">
        <f>IFERROR(VLOOKUP(A642,[1]SIIMPLES!$A$2:$F$418,6,FALSE),0)</f>
        <v>0</v>
      </c>
      <c r="AR642" s="55">
        <v>0</v>
      </c>
      <c r="AS642" s="55">
        <v>0</v>
      </c>
      <c r="AT642" s="55">
        <v>0</v>
      </c>
      <c r="AU642" s="55">
        <v>0</v>
      </c>
      <c r="AV642" s="55">
        <v>0</v>
      </c>
      <c r="AW642" s="55"/>
      <c r="AX642" s="55"/>
      <c r="AY642" s="56">
        <f t="shared" si="232"/>
        <v>0</v>
      </c>
      <c r="AZ642" s="55"/>
      <c r="BA642" s="56">
        <v>0</v>
      </c>
      <c r="BB642" s="41" t="str">
        <f t="shared" si="236"/>
        <v/>
      </c>
      <c r="BC642" s="10"/>
      <c r="BD642" s="36"/>
      <c r="BE642" s="7"/>
      <c r="BF642" s="7"/>
      <c r="BG642" s="7"/>
      <c r="BH642" s="7"/>
    </row>
    <row r="643" spans="1:60" s="21" customFormat="1" ht="12.75" customHeight="1" x14ac:dyDescent="0.2">
      <c r="A643" s="50">
        <v>5238</v>
      </c>
      <c r="B643" s="51"/>
      <c r="C643" s="51" t="s">
        <v>1803</v>
      </c>
      <c r="D643" s="52" t="s">
        <v>735</v>
      </c>
      <c r="E643" s="52" t="s">
        <v>736</v>
      </c>
      <c r="F643" s="53">
        <f>IFERROR(VLOOKUP(E643,Fornecedores!$A$2:$B$2700,2,FALSE),"")</f>
        <v>5</v>
      </c>
      <c r="G643" s="52" t="s">
        <v>964</v>
      </c>
      <c r="H643" s="54"/>
      <c r="I643" s="55">
        <f t="shared" si="238"/>
        <v>0</v>
      </c>
      <c r="J643" s="55">
        <v>0</v>
      </c>
      <c r="K643" s="55">
        <v>0</v>
      </c>
      <c r="L643" s="55">
        <v>0</v>
      </c>
      <c r="M643" s="55">
        <v>0</v>
      </c>
      <c r="N643" s="55">
        <f t="shared" si="239"/>
        <v>0</v>
      </c>
      <c r="O643" s="55">
        <v>0</v>
      </c>
      <c r="P643" s="55">
        <v>0</v>
      </c>
      <c r="Q643" s="55">
        <v>0</v>
      </c>
      <c r="R643" s="55">
        <f t="shared" si="240"/>
        <v>0</v>
      </c>
      <c r="S643" s="55">
        <v>0</v>
      </c>
      <c r="T643" s="55">
        <v>0</v>
      </c>
      <c r="U643" s="55">
        <v>0</v>
      </c>
      <c r="V643" s="55">
        <v>0</v>
      </c>
      <c r="W643" s="53">
        <v>0</v>
      </c>
      <c r="X643" s="53">
        <v>0</v>
      </c>
      <c r="Y643" s="55">
        <v>0</v>
      </c>
      <c r="Z643" s="55">
        <v>0</v>
      </c>
      <c r="AA643" s="53">
        <v>0</v>
      </c>
      <c r="AB643" s="53">
        <v>0</v>
      </c>
      <c r="AC643" s="55">
        <v>0</v>
      </c>
      <c r="AD643" s="55">
        <f t="shared" si="229"/>
        <v>0</v>
      </c>
      <c r="AE643" s="53">
        <f>IFERROR(VLOOKUP(A643,[4]simples!$A$1:$B$281,2,FALSE),0)</f>
        <v>0</v>
      </c>
      <c r="AF643" s="55">
        <v>0</v>
      </c>
      <c r="AG643" s="55">
        <v>0</v>
      </c>
      <c r="AH643" s="55">
        <f t="shared" si="230"/>
        <v>0</v>
      </c>
      <c r="AI643" s="55"/>
      <c r="AJ643" s="55">
        <v>0</v>
      </c>
      <c r="AK643" s="55"/>
      <c r="AL643" s="55">
        <f t="shared" si="231"/>
        <v>0</v>
      </c>
      <c r="AM643" s="55" t="s">
        <v>1912</v>
      </c>
      <c r="AN643" s="55">
        <v>0</v>
      </c>
      <c r="AO643" s="55">
        <v>0</v>
      </c>
      <c r="AP643" s="55">
        <f t="shared" si="241"/>
        <v>0</v>
      </c>
      <c r="AQ643" s="55">
        <f>IFERROR(VLOOKUP(A643,[1]SIIMPLES!$A$2:$F$418,6,FALSE),0)</f>
        <v>0</v>
      </c>
      <c r="AR643" s="55">
        <v>0</v>
      </c>
      <c r="AS643" s="55">
        <v>0</v>
      </c>
      <c r="AT643" s="55">
        <v>0</v>
      </c>
      <c r="AU643" s="55">
        <v>0</v>
      </c>
      <c r="AV643" s="55">
        <v>0</v>
      </c>
      <c r="AW643" s="55"/>
      <c r="AX643" s="55"/>
      <c r="AY643" s="56">
        <f t="shared" si="232"/>
        <v>0</v>
      </c>
      <c r="AZ643" s="55"/>
      <c r="BA643" s="56">
        <v>0</v>
      </c>
      <c r="BB643" s="41" t="str">
        <f t="shared" si="236"/>
        <v/>
      </c>
      <c r="BC643" s="13"/>
      <c r="BD643" s="35"/>
      <c r="BE643" s="13"/>
      <c r="BF643" s="16"/>
      <c r="BG643" s="17" t="str">
        <f t="shared" ref="BG643:BG655" si="244">IFERROR(BC643/AY643,"0")</f>
        <v>0</v>
      </c>
      <c r="BH643" s="20">
        <f>ROUND(IFERROR(IF(F643=1,IF(BC643&lt;AY643*3,AY643*3-BC643,0),IF(BC643&lt;AY643,AY643*0.6-BC643,0)),""),0)</f>
        <v>0</v>
      </c>
    </row>
    <row r="644" spans="1:60" s="21" customFormat="1" ht="12.75" customHeight="1" x14ac:dyDescent="0.2">
      <c r="A644" s="51">
        <v>5302</v>
      </c>
      <c r="B644" s="51"/>
      <c r="C644" s="66" t="s">
        <v>1803</v>
      </c>
      <c r="D644" s="52" t="s">
        <v>735</v>
      </c>
      <c r="E644" s="52" t="s">
        <v>736</v>
      </c>
      <c r="F644" s="53">
        <f>IFERROR(VLOOKUP(E644,Fornecedores!$A$2:$B$2700,2,FALSE),"")</f>
        <v>5</v>
      </c>
      <c r="G644" s="52" t="s">
        <v>880</v>
      </c>
      <c r="H644" s="54"/>
      <c r="I644" s="55">
        <f t="shared" si="238"/>
        <v>0</v>
      </c>
      <c r="J644" s="55">
        <v>0</v>
      </c>
      <c r="K644" s="55">
        <v>0</v>
      </c>
      <c r="L644" s="55">
        <v>0</v>
      </c>
      <c r="M644" s="55">
        <v>0</v>
      </c>
      <c r="N644" s="55">
        <f t="shared" si="239"/>
        <v>0</v>
      </c>
      <c r="O644" s="55">
        <v>0</v>
      </c>
      <c r="P644" s="55">
        <v>0</v>
      </c>
      <c r="Q644" s="55">
        <v>0</v>
      </c>
      <c r="R644" s="55">
        <f t="shared" si="240"/>
        <v>0</v>
      </c>
      <c r="S644" s="55">
        <v>0</v>
      </c>
      <c r="T644" s="55">
        <v>0</v>
      </c>
      <c r="U644" s="55">
        <v>0</v>
      </c>
      <c r="V644" s="55">
        <v>0</v>
      </c>
      <c r="W644" s="53">
        <v>0</v>
      </c>
      <c r="X644" s="53">
        <v>0</v>
      </c>
      <c r="Y644" s="55">
        <v>0</v>
      </c>
      <c r="Z644" s="55">
        <v>2</v>
      </c>
      <c r="AA644" s="53">
        <v>0</v>
      </c>
      <c r="AB644" s="53">
        <v>2</v>
      </c>
      <c r="AC644" s="55">
        <v>0</v>
      </c>
      <c r="AD644" s="55">
        <f t="shared" si="229"/>
        <v>0</v>
      </c>
      <c r="AE644" s="53">
        <v>0</v>
      </c>
      <c r="AF644" s="55">
        <v>0</v>
      </c>
      <c r="AG644" s="55">
        <v>0</v>
      </c>
      <c r="AH644" s="55">
        <f t="shared" si="230"/>
        <v>0</v>
      </c>
      <c r="AI644" s="55">
        <v>0</v>
      </c>
      <c r="AJ644" s="55">
        <v>0</v>
      </c>
      <c r="AK644" s="55">
        <v>0</v>
      </c>
      <c r="AL644" s="55">
        <f t="shared" si="231"/>
        <v>0</v>
      </c>
      <c r="AM644" s="55" t="s">
        <v>1912</v>
      </c>
      <c r="AN644" s="55">
        <v>0</v>
      </c>
      <c r="AO644" s="55">
        <v>0</v>
      </c>
      <c r="AP644" s="55">
        <f t="shared" si="241"/>
        <v>0</v>
      </c>
      <c r="AQ644" s="55">
        <f>IFERROR(VLOOKUP(A644,[1]SIIMPLES!$A$2:$F$418,6,FALSE),0)</f>
        <v>0</v>
      </c>
      <c r="AR644" s="55">
        <v>0</v>
      </c>
      <c r="AS644" s="55">
        <v>0</v>
      </c>
      <c r="AT644" s="55">
        <v>0</v>
      </c>
      <c r="AU644" s="55">
        <v>0</v>
      </c>
      <c r="AV644" s="55">
        <v>0</v>
      </c>
      <c r="AW644" s="55"/>
      <c r="AX644" s="55"/>
      <c r="AY644" s="56">
        <f t="shared" si="232"/>
        <v>0.2</v>
      </c>
      <c r="AZ644" s="55"/>
      <c r="BA644" s="56">
        <v>0.33333333333333331</v>
      </c>
      <c r="BB644" s="41">
        <f t="shared" si="236"/>
        <v>-0.39999999999999991</v>
      </c>
      <c r="BC644" s="13"/>
      <c r="BD644" s="35"/>
      <c r="BE644" s="7"/>
      <c r="BF644" s="16"/>
      <c r="BG644" s="17">
        <f t="shared" si="244"/>
        <v>0</v>
      </c>
      <c r="BH644" s="16">
        <f>IFERROR(IF(F644=1,IF(BC644&lt;AY644*3,AY644*3-BC644,0),IF(BC644&lt;AY644,AY644-BC644,0)),"")</f>
        <v>0.2</v>
      </c>
    </row>
    <row r="645" spans="1:60" s="21" customFormat="1" ht="12.75" customHeight="1" x14ac:dyDescent="0.2">
      <c r="A645" s="51">
        <v>5303</v>
      </c>
      <c r="B645" s="51"/>
      <c r="C645" s="66" t="s">
        <v>1803</v>
      </c>
      <c r="D645" s="52" t="s">
        <v>735</v>
      </c>
      <c r="E645" s="52" t="s">
        <v>736</v>
      </c>
      <c r="F645" s="53">
        <f>IFERROR(VLOOKUP(E645,Fornecedores!$A$2:$B$2700,2,FALSE),"")</f>
        <v>5</v>
      </c>
      <c r="G645" s="52" t="s">
        <v>881</v>
      </c>
      <c r="H645" s="54"/>
      <c r="I645" s="55">
        <f t="shared" si="238"/>
        <v>0</v>
      </c>
      <c r="J645" s="55">
        <v>0</v>
      </c>
      <c r="K645" s="55">
        <v>0</v>
      </c>
      <c r="L645" s="55">
        <v>0</v>
      </c>
      <c r="M645" s="55">
        <v>0</v>
      </c>
      <c r="N645" s="55">
        <f t="shared" si="239"/>
        <v>0</v>
      </c>
      <c r="O645" s="55">
        <v>0</v>
      </c>
      <c r="P645" s="55">
        <v>0</v>
      </c>
      <c r="Q645" s="55">
        <v>0</v>
      </c>
      <c r="R645" s="55">
        <f t="shared" si="240"/>
        <v>1</v>
      </c>
      <c r="S645" s="55">
        <v>1</v>
      </c>
      <c r="T645" s="55">
        <v>0</v>
      </c>
      <c r="U645" s="55">
        <v>0</v>
      </c>
      <c r="V645" s="55">
        <v>0</v>
      </c>
      <c r="W645" s="53">
        <v>0</v>
      </c>
      <c r="X645" s="53">
        <v>0</v>
      </c>
      <c r="Y645" s="55">
        <v>0</v>
      </c>
      <c r="Z645" s="55">
        <v>0</v>
      </c>
      <c r="AA645" s="53">
        <v>0</v>
      </c>
      <c r="AB645" s="53">
        <v>0</v>
      </c>
      <c r="AC645" s="55">
        <v>0</v>
      </c>
      <c r="AD645" s="55">
        <f t="shared" si="229"/>
        <v>1</v>
      </c>
      <c r="AE645" s="53">
        <v>1</v>
      </c>
      <c r="AF645" s="55">
        <v>0</v>
      </c>
      <c r="AG645" s="55">
        <v>0</v>
      </c>
      <c r="AH645" s="55">
        <f t="shared" si="230"/>
        <v>0</v>
      </c>
      <c r="AI645" s="55">
        <v>0</v>
      </c>
      <c r="AJ645" s="55">
        <v>0</v>
      </c>
      <c r="AK645" s="55">
        <v>0</v>
      </c>
      <c r="AL645" s="55">
        <f t="shared" si="231"/>
        <v>1</v>
      </c>
      <c r="AM645" s="55">
        <v>1</v>
      </c>
      <c r="AN645" s="55">
        <v>0</v>
      </c>
      <c r="AO645" s="55">
        <v>0</v>
      </c>
      <c r="AP645" s="55">
        <f t="shared" si="241"/>
        <v>0</v>
      </c>
      <c r="AQ645" s="55">
        <f>IFERROR(VLOOKUP(A645,[1]SIIMPLES!$A$2:$F$418,6,FALSE),0)</f>
        <v>0</v>
      </c>
      <c r="AR645" s="55">
        <v>0</v>
      </c>
      <c r="AS645" s="55">
        <v>0</v>
      </c>
      <c r="AT645" s="55">
        <v>0</v>
      </c>
      <c r="AU645" s="55">
        <v>0</v>
      </c>
      <c r="AV645" s="55">
        <v>0</v>
      </c>
      <c r="AW645" s="55"/>
      <c r="AX645" s="55"/>
      <c r="AY645" s="56">
        <f t="shared" si="232"/>
        <v>0.3</v>
      </c>
      <c r="AZ645" s="55"/>
      <c r="BA645" s="56">
        <v>0.33333333333333331</v>
      </c>
      <c r="BB645" s="41">
        <f t="shared" si="236"/>
        <v>-9.9999999999999978E-2</v>
      </c>
      <c r="BC645" s="13"/>
      <c r="BD645" s="35"/>
      <c r="BE645" s="7"/>
      <c r="BF645" s="16"/>
      <c r="BG645" s="17">
        <f t="shared" si="244"/>
        <v>0</v>
      </c>
      <c r="BH645" s="16"/>
    </row>
    <row r="646" spans="1:60" s="21" customFormat="1" ht="12.75" customHeight="1" x14ac:dyDescent="0.2">
      <c r="A646" s="51">
        <v>5304</v>
      </c>
      <c r="B646" s="51"/>
      <c r="C646" s="66" t="s">
        <v>1803</v>
      </c>
      <c r="D646" s="52" t="s">
        <v>735</v>
      </c>
      <c r="E646" s="52" t="s">
        <v>736</v>
      </c>
      <c r="F646" s="53">
        <f>IFERROR(VLOOKUP(E646,Fornecedores!$A$2:$B$2700,2,FALSE),"")</f>
        <v>5</v>
      </c>
      <c r="G646" s="52" t="s">
        <v>972</v>
      </c>
      <c r="H646" s="54"/>
      <c r="I646" s="55">
        <f t="shared" si="238"/>
        <v>0</v>
      </c>
      <c r="J646" s="55">
        <v>0</v>
      </c>
      <c r="K646" s="55">
        <v>0</v>
      </c>
      <c r="L646" s="55">
        <v>0</v>
      </c>
      <c r="M646" s="55">
        <v>0</v>
      </c>
      <c r="N646" s="55">
        <f t="shared" si="239"/>
        <v>0</v>
      </c>
      <c r="O646" s="55">
        <v>0</v>
      </c>
      <c r="P646" s="55">
        <v>0</v>
      </c>
      <c r="Q646" s="55">
        <v>0</v>
      </c>
      <c r="R646" s="55">
        <f t="shared" si="240"/>
        <v>0</v>
      </c>
      <c r="S646" s="55">
        <v>0</v>
      </c>
      <c r="T646" s="55">
        <v>0</v>
      </c>
      <c r="U646" s="55">
        <v>0</v>
      </c>
      <c r="V646" s="55">
        <v>0</v>
      </c>
      <c r="W646" s="53">
        <v>0</v>
      </c>
      <c r="X646" s="53">
        <v>0</v>
      </c>
      <c r="Y646" s="55">
        <v>0</v>
      </c>
      <c r="Z646" s="55">
        <v>0</v>
      </c>
      <c r="AA646" s="53">
        <v>0</v>
      </c>
      <c r="AB646" s="53">
        <v>0</v>
      </c>
      <c r="AC646" s="55">
        <v>0</v>
      </c>
      <c r="AD646" s="55">
        <f t="shared" si="229"/>
        <v>0</v>
      </c>
      <c r="AE646" s="53">
        <v>0</v>
      </c>
      <c r="AF646" s="55">
        <v>0</v>
      </c>
      <c r="AG646" s="55">
        <v>0</v>
      </c>
      <c r="AH646" s="55">
        <f t="shared" si="230"/>
        <v>0</v>
      </c>
      <c r="AI646" s="55">
        <v>0</v>
      </c>
      <c r="AJ646" s="55">
        <v>0</v>
      </c>
      <c r="AK646" s="55">
        <v>0</v>
      </c>
      <c r="AL646" s="55">
        <f t="shared" si="231"/>
        <v>0</v>
      </c>
      <c r="AM646" s="55" t="s">
        <v>1912</v>
      </c>
      <c r="AN646" s="55">
        <v>0</v>
      </c>
      <c r="AO646" s="55">
        <v>0</v>
      </c>
      <c r="AP646" s="55">
        <f t="shared" si="241"/>
        <v>0</v>
      </c>
      <c r="AQ646" s="55">
        <f>IFERROR(VLOOKUP(A646,[1]SIIMPLES!$A$2:$F$418,6,FALSE),0)</f>
        <v>0</v>
      </c>
      <c r="AR646" s="55">
        <v>0</v>
      </c>
      <c r="AS646" s="55">
        <v>0</v>
      </c>
      <c r="AT646" s="55">
        <v>0</v>
      </c>
      <c r="AU646" s="55">
        <v>0</v>
      </c>
      <c r="AV646" s="55">
        <v>0</v>
      </c>
      <c r="AW646" s="55"/>
      <c r="AX646" s="55"/>
      <c r="AY646" s="56">
        <f t="shared" si="232"/>
        <v>0</v>
      </c>
      <c r="AZ646" s="55"/>
      <c r="BA646" s="56">
        <v>0</v>
      </c>
      <c r="BB646" s="41" t="str">
        <f t="shared" si="236"/>
        <v/>
      </c>
      <c r="BC646" s="13"/>
      <c r="BD646" s="35"/>
      <c r="BE646" s="13"/>
      <c r="BF646" s="16"/>
      <c r="BG646" s="17" t="str">
        <f t="shared" si="244"/>
        <v>0</v>
      </c>
      <c r="BH646" s="16">
        <f t="shared" ref="BH646:BH652" si="245">IFERROR(IF(F646=1,IF(BC646&lt;AY646*3,AY646*3-BC646,0),IF(BC646&lt;AY646,AY646-BC646,0)),"")</f>
        <v>0</v>
      </c>
    </row>
    <row r="647" spans="1:60" s="21" customFormat="1" ht="12.75" customHeight="1" x14ac:dyDescent="0.2">
      <c r="A647" s="51">
        <v>5310</v>
      </c>
      <c r="B647" s="51"/>
      <c r="C647" s="66" t="s">
        <v>1803</v>
      </c>
      <c r="D647" s="52" t="s">
        <v>735</v>
      </c>
      <c r="E647" s="52" t="s">
        <v>736</v>
      </c>
      <c r="F647" s="53">
        <f>IFERROR(VLOOKUP(E647,Fornecedores!$A$2:$B$2700,2,FALSE),"")</f>
        <v>5</v>
      </c>
      <c r="G647" s="52" t="s">
        <v>952</v>
      </c>
      <c r="H647" s="54"/>
      <c r="I647" s="55">
        <f t="shared" si="238"/>
        <v>0</v>
      </c>
      <c r="J647" s="55">
        <v>0</v>
      </c>
      <c r="K647" s="55">
        <v>0</v>
      </c>
      <c r="L647" s="55">
        <v>0</v>
      </c>
      <c r="M647" s="55">
        <v>0</v>
      </c>
      <c r="N647" s="55">
        <f t="shared" si="239"/>
        <v>0</v>
      </c>
      <c r="O647" s="55">
        <v>0</v>
      </c>
      <c r="P647" s="55">
        <v>0</v>
      </c>
      <c r="Q647" s="55">
        <v>0</v>
      </c>
      <c r="R647" s="55">
        <f t="shared" si="240"/>
        <v>4</v>
      </c>
      <c r="S647" s="55">
        <v>0</v>
      </c>
      <c r="T647" s="55">
        <v>4</v>
      </c>
      <c r="U647" s="55">
        <v>0</v>
      </c>
      <c r="V647" s="55">
        <v>0</v>
      </c>
      <c r="W647" s="53">
        <v>0</v>
      </c>
      <c r="X647" s="53">
        <v>0</v>
      </c>
      <c r="Y647" s="55">
        <v>0</v>
      </c>
      <c r="Z647" s="55">
        <v>0</v>
      </c>
      <c r="AA647" s="53">
        <v>0</v>
      </c>
      <c r="AB647" s="53">
        <v>0</v>
      </c>
      <c r="AC647" s="55">
        <v>0</v>
      </c>
      <c r="AD647" s="55">
        <f t="shared" si="229"/>
        <v>0</v>
      </c>
      <c r="AE647" s="53">
        <v>0</v>
      </c>
      <c r="AF647" s="55">
        <v>0</v>
      </c>
      <c r="AG647" s="55">
        <v>0</v>
      </c>
      <c r="AH647" s="55">
        <f t="shared" si="230"/>
        <v>6</v>
      </c>
      <c r="AI647" s="55">
        <v>0</v>
      </c>
      <c r="AJ647" s="55">
        <v>6</v>
      </c>
      <c r="AK647" s="55">
        <v>0</v>
      </c>
      <c r="AL647" s="55">
        <f t="shared" si="231"/>
        <v>4</v>
      </c>
      <c r="AM647" s="55" t="s">
        <v>1912</v>
      </c>
      <c r="AN647" s="55">
        <v>4</v>
      </c>
      <c r="AO647" s="55">
        <v>0</v>
      </c>
      <c r="AP647" s="55">
        <f t="shared" si="241"/>
        <v>0</v>
      </c>
      <c r="AQ647" s="55">
        <f>IFERROR(VLOOKUP(A647,[1]SIIMPLES!$A$2:$F$418,6,FALSE),0)</f>
        <v>0</v>
      </c>
      <c r="AR647" s="55">
        <v>0</v>
      </c>
      <c r="AS647" s="55">
        <v>0</v>
      </c>
      <c r="AT647" s="55">
        <v>0</v>
      </c>
      <c r="AU647" s="55">
        <v>0</v>
      </c>
      <c r="AV647" s="55">
        <v>0</v>
      </c>
      <c r="AW647" s="55"/>
      <c r="AX647" s="55"/>
      <c r="AY647" s="56">
        <f t="shared" si="232"/>
        <v>1.4</v>
      </c>
      <c r="AZ647" s="55"/>
      <c r="BA647" s="56">
        <v>1.6</v>
      </c>
      <c r="BB647" s="41">
        <f t="shared" si="236"/>
        <v>-0.12500000000000011</v>
      </c>
      <c r="BC647" s="13"/>
      <c r="BD647" s="35"/>
      <c r="BE647" s="13"/>
      <c r="BF647" s="16"/>
      <c r="BG647" s="17">
        <f t="shared" si="244"/>
        <v>0</v>
      </c>
      <c r="BH647" s="16">
        <f t="shared" si="245"/>
        <v>1.4</v>
      </c>
    </row>
    <row r="648" spans="1:60" s="21" customFormat="1" ht="12.75" customHeight="1" x14ac:dyDescent="0.2">
      <c r="A648" s="51">
        <v>5312</v>
      </c>
      <c r="B648" s="51" t="s">
        <v>1077</v>
      </c>
      <c r="C648" s="66" t="s">
        <v>1803</v>
      </c>
      <c r="D648" s="52" t="s">
        <v>735</v>
      </c>
      <c r="E648" s="52" t="s">
        <v>736</v>
      </c>
      <c r="F648" s="53">
        <f>IFERROR(VLOOKUP(E648,Fornecedores!$A$2:$B$2700,2,FALSE),"")</f>
        <v>5</v>
      </c>
      <c r="G648" s="52" t="s">
        <v>882</v>
      </c>
      <c r="H648" s="54"/>
      <c r="I648" s="55">
        <f t="shared" si="238"/>
        <v>2</v>
      </c>
      <c r="J648" s="55">
        <v>0</v>
      </c>
      <c r="K648" s="55">
        <v>2</v>
      </c>
      <c r="L648" s="55">
        <v>0</v>
      </c>
      <c r="M648" s="55">
        <v>0</v>
      </c>
      <c r="N648" s="55">
        <f t="shared" si="239"/>
        <v>2</v>
      </c>
      <c r="O648" s="55">
        <v>2</v>
      </c>
      <c r="P648" s="55">
        <v>0</v>
      </c>
      <c r="Q648" s="55">
        <v>0</v>
      </c>
      <c r="R648" s="55">
        <f t="shared" si="240"/>
        <v>0</v>
      </c>
      <c r="S648" s="55">
        <v>0</v>
      </c>
      <c r="T648" s="55">
        <v>0</v>
      </c>
      <c r="U648" s="55">
        <v>0</v>
      </c>
      <c r="V648" s="55">
        <v>2</v>
      </c>
      <c r="W648" s="53">
        <v>2</v>
      </c>
      <c r="X648" s="53">
        <v>0</v>
      </c>
      <c r="Y648" s="55">
        <v>0</v>
      </c>
      <c r="Z648" s="55">
        <v>1</v>
      </c>
      <c r="AA648" s="53">
        <v>1</v>
      </c>
      <c r="AB648" s="53">
        <v>0</v>
      </c>
      <c r="AC648" s="55">
        <v>0</v>
      </c>
      <c r="AD648" s="55">
        <f t="shared" si="229"/>
        <v>0</v>
      </c>
      <c r="AE648" s="53">
        <v>0</v>
      </c>
      <c r="AF648" s="55">
        <v>0</v>
      </c>
      <c r="AG648" s="55">
        <v>0</v>
      </c>
      <c r="AH648" s="55">
        <f t="shared" si="230"/>
        <v>0</v>
      </c>
      <c r="AI648" s="55">
        <v>0</v>
      </c>
      <c r="AJ648" s="55">
        <v>0</v>
      </c>
      <c r="AK648" s="55">
        <v>0</v>
      </c>
      <c r="AL648" s="55">
        <f t="shared" si="231"/>
        <v>0</v>
      </c>
      <c r="AM648" s="55" t="s">
        <v>1912</v>
      </c>
      <c r="AN648" s="55">
        <v>0</v>
      </c>
      <c r="AO648" s="55">
        <v>0</v>
      </c>
      <c r="AP648" s="55">
        <f t="shared" si="241"/>
        <v>0</v>
      </c>
      <c r="AQ648" s="55">
        <f>IFERROR(VLOOKUP(A648,[1]SIIMPLES!$A$2:$F$418,6,FALSE),0)</f>
        <v>0</v>
      </c>
      <c r="AR648" s="55">
        <v>0</v>
      </c>
      <c r="AS648" s="55">
        <v>0</v>
      </c>
      <c r="AT648" s="55">
        <v>0</v>
      </c>
      <c r="AU648" s="55">
        <v>0</v>
      </c>
      <c r="AV648" s="55">
        <v>0</v>
      </c>
      <c r="AW648" s="55"/>
      <c r="AX648" s="55"/>
      <c r="AY648" s="56">
        <f t="shared" si="232"/>
        <v>0.7</v>
      </c>
      <c r="AZ648" s="55"/>
      <c r="BA648" s="56">
        <v>1.3333333333333333</v>
      </c>
      <c r="BB648" s="41">
        <f t="shared" si="236"/>
        <v>-0.47499999999999998</v>
      </c>
      <c r="BC648" s="13"/>
      <c r="BD648" s="35"/>
      <c r="BE648" s="13"/>
      <c r="BF648" s="16"/>
      <c r="BG648" s="17">
        <f t="shared" si="244"/>
        <v>0</v>
      </c>
      <c r="BH648" s="16">
        <f t="shared" si="245"/>
        <v>0.7</v>
      </c>
    </row>
    <row r="649" spans="1:60" s="21" customFormat="1" ht="12.75" customHeight="1" x14ac:dyDescent="0.2">
      <c r="A649" s="51">
        <v>5313</v>
      </c>
      <c r="B649" s="51" t="s">
        <v>1077</v>
      </c>
      <c r="C649" s="66" t="s">
        <v>1803</v>
      </c>
      <c r="D649" s="52" t="s">
        <v>735</v>
      </c>
      <c r="E649" s="52" t="s">
        <v>736</v>
      </c>
      <c r="F649" s="53">
        <f>IFERROR(VLOOKUP(E649,Fornecedores!$A$2:$B$2700,2,FALSE),"")</f>
        <v>5</v>
      </c>
      <c r="G649" s="52" t="s">
        <v>878</v>
      </c>
      <c r="H649" s="54"/>
      <c r="I649" s="55">
        <f t="shared" si="238"/>
        <v>0</v>
      </c>
      <c r="J649" s="55">
        <v>0</v>
      </c>
      <c r="K649" s="55">
        <v>0</v>
      </c>
      <c r="L649" s="55">
        <v>0</v>
      </c>
      <c r="M649" s="55">
        <v>0</v>
      </c>
      <c r="N649" s="55">
        <f t="shared" si="239"/>
        <v>0</v>
      </c>
      <c r="O649" s="55">
        <v>0</v>
      </c>
      <c r="P649" s="55">
        <v>0</v>
      </c>
      <c r="Q649" s="55">
        <v>0</v>
      </c>
      <c r="R649" s="55">
        <f t="shared" si="240"/>
        <v>0</v>
      </c>
      <c r="S649" s="55">
        <v>0</v>
      </c>
      <c r="T649" s="55">
        <v>0</v>
      </c>
      <c r="U649" s="55">
        <v>0</v>
      </c>
      <c r="V649" s="55">
        <v>2</v>
      </c>
      <c r="W649" s="53">
        <v>0</v>
      </c>
      <c r="X649" s="53">
        <v>2</v>
      </c>
      <c r="Y649" s="55">
        <v>0</v>
      </c>
      <c r="Z649" s="55">
        <v>2</v>
      </c>
      <c r="AA649" s="53">
        <v>0</v>
      </c>
      <c r="AB649" s="53">
        <v>2</v>
      </c>
      <c r="AC649" s="55">
        <v>0</v>
      </c>
      <c r="AD649" s="55">
        <f t="shared" si="229"/>
        <v>0</v>
      </c>
      <c r="AE649" s="53">
        <v>0</v>
      </c>
      <c r="AF649" s="55">
        <v>0</v>
      </c>
      <c r="AG649" s="55">
        <v>0</v>
      </c>
      <c r="AH649" s="55">
        <f t="shared" si="230"/>
        <v>0</v>
      </c>
      <c r="AI649" s="55">
        <v>0</v>
      </c>
      <c r="AJ649" s="55">
        <v>0</v>
      </c>
      <c r="AK649" s="55">
        <v>0</v>
      </c>
      <c r="AL649" s="55">
        <f t="shared" si="231"/>
        <v>0</v>
      </c>
      <c r="AM649" s="55" t="s">
        <v>1912</v>
      </c>
      <c r="AN649" s="55">
        <v>0</v>
      </c>
      <c r="AO649" s="55">
        <v>0</v>
      </c>
      <c r="AP649" s="55">
        <f t="shared" si="241"/>
        <v>0</v>
      </c>
      <c r="AQ649" s="55">
        <f>IFERROR(VLOOKUP(A649,[1]SIIMPLES!$A$2:$F$418,6,FALSE),0)</f>
        <v>0</v>
      </c>
      <c r="AR649" s="55">
        <v>0</v>
      </c>
      <c r="AS649" s="55">
        <v>2</v>
      </c>
      <c r="AT649" s="55">
        <v>0</v>
      </c>
      <c r="AU649" s="55">
        <v>2</v>
      </c>
      <c r="AV649" s="55">
        <v>0</v>
      </c>
      <c r="AW649" s="55"/>
      <c r="AX649" s="55"/>
      <c r="AY649" s="56">
        <f t="shared" si="232"/>
        <v>0.6</v>
      </c>
      <c r="AZ649" s="55"/>
      <c r="BA649" s="56">
        <v>1.1666666666666667</v>
      </c>
      <c r="BB649" s="41">
        <f t="shared" ref="BB649:BB661" si="246">IFERROR(AY649/BA649-1,"")</f>
        <v>-0.48571428571428577</v>
      </c>
      <c r="BC649" s="13"/>
      <c r="BD649" s="35"/>
      <c r="BE649" s="13"/>
      <c r="BF649" s="16"/>
      <c r="BG649" s="17">
        <f t="shared" si="244"/>
        <v>0</v>
      </c>
      <c r="BH649" s="16">
        <f t="shared" si="245"/>
        <v>0.6</v>
      </c>
    </row>
    <row r="650" spans="1:60" s="21" customFormat="1" ht="12.75" customHeight="1" x14ac:dyDescent="0.2">
      <c r="A650" s="51">
        <v>5318</v>
      </c>
      <c r="B650" s="51"/>
      <c r="C650" s="66" t="s">
        <v>1803</v>
      </c>
      <c r="D650" s="52" t="s">
        <v>735</v>
      </c>
      <c r="E650" s="52" t="s">
        <v>736</v>
      </c>
      <c r="F650" s="53">
        <f>IFERROR(VLOOKUP(E650,Fornecedores!$A$2:$B$2700,2,FALSE),"")</f>
        <v>5</v>
      </c>
      <c r="G650" s="52" t="s">
        <v>949</v>
      </c>
      <c r="H650" s="54"/>
      <c r="I650" s="55">
        <f t="shared" si="238"/>
        <v>0</v>
      </c>
      <c r="J650" s="55">
        <v>0</v>
      </c>
      <c r="K650" s="55">
        <v>0</v>
      </c>
      <c r="L650" s="55">
        <v>0</v>
      </c>
      <c r="M650" s="55">
        <v>0</v>
      </c>
      <c r="N650" s="55">
        <f t="shared" si="239"/>
        <v>0</v>
      </c>
      <c r="O650" s="55">
        <v>0</v>
      </c>
      <c r="P650" s="55">
        <v>0</v>
      </c>
      <c r="Q650" s="55">
        <v>0</v>
      </c>
      <c r="R650" s="55">
        <f t="shared" si="240"/>
        <v>0</v>
      </c>
      <c r="S650" s="55">
        <v>0</v>
      </c>
      <c r="T650" s="55">
        <v>0</v>
      </c>
      <c r="U650" s="55">
        <v>0</v>
      </c>
      <c r="V650" s="55">
        <v>0</v>
      </c>
      <c r="W650" s="53">
        <v>0</v>
      </c>
      <c r="X650" s="53">
        <v>0</v>
      </c>
      <c r="Y650" s="55">
        <v>0</v>
      </c>
      <c r="Z650" s="55">
        <v>0</v>
      </c>
      <c r="AA650" s="53">
        <v>0</v>
      </c>
      <c r="AB650" s="53">
        <v>0</v>
      </c>
      <c r="AC650" s="55">
        <v>0</v>
      </c>
      <c r="AD650" s="55">
        <f t="shared" si="229"/>
        <v>0</v>
      </c>
      <c r="AE650" s="53">
        <v>0</v>
      </c>
      <c r="AF650" s="55">
        <v>0</v>
      </c>
      <c r="AG650" s="55">
        <v>0</v>
      </c>
      <c r="AH650" s="55">
        <f t="shared" si="230"/>
        <v>0</v>
      </c>
      <c r="AI650" s="55">
        <v>0</v>
      </c>
      <c r="AJ650" s="55">
        <v>0</v>
      </c>
      <c r="AK650" s="55">
        <v>0</v>
      </c>
      <c r="AL650" s="55">
        <f t="shared" si="231"/>
        <v>2</v>
      </c>
      <c r="AM650" s="55" t="s">
        <v>1912</v>
      </c>
      <c r="AN650" s="55">
        <v>2</v>
      </c>
      <c r="AO650" s="55">
        <v>0</v>
      </c>
      <c r="AP650" s="55">
        <f t="shared" si="241"/>
        <v>0</v>
      </c>
      <c r="AQ650" s="55">
        <f>IFERROR(VLOOKUP(A650,[1]SIIMPLES!$A$2:$F$418,6,FALSE),0)</f>
        <v>0</v>
      </c>
      <c r="AR650" s="55">
        <v>0</v>
      </c>
      <c r="AS650" s="55">
        <v>0</v>
      </c>
      <c r="AT650" s="55">
        <v>0</v>
      </c>
      <c r="AU650" s="55">
        <v>0</v>
      </c>
      <c r="AV650" s="55">
        <v>0</v>
      </c>
      <c r="AW650" s="55"/>
      <c r="AX650" s="55"/>
      <c r="AY650" s="56">
        <f t="shared" si="232"/>
        <v>0.2</v>
      </c>
      <c r="AZ650" s="55"/>
      <c r="BA650" s="56">
        <v>0</v>
      </c>
      <c r="BB650" s="41" t="str">
        <f t="shared" si="246"/>
        <v/>
      </c>
      <c r="BC650" s="13"/>
      <c r="BD650" s="35"/>
      <c r="BE650" s="7"/>
      <c r="BF650" s="16"/>
      <c r="BG650" s="17">
        <f t="shared" si="244"/>
        <v>0</v>
      </c>
      <c r="BH650" s="16">
        <f t="shared" si="245"/>
        <v>0.2</v>
      </c>
    </row>
    <row r="651" spans="1:60" s="21" customFormat="1" ht="12.75" customHeight="1" x14ac:dyDescent="0.2">
      <c r="A651" s="50">
        <v>5400</v>
      </c>
      <c r="B651" s="51"/>
      <c r="C651" s="51" t="s">
        <v>1803</v>
      </c>
      <c r="D651" s="52" t="s">
        <v>735</v>
      </c>
      <c r="E651" s="52" t="s">
        <v>736</v>
      </c>
      <c r="F651" s="53">
        <f>IFERROR(VLOOKUP(E651,Fornecedores!$A$2:$B$2700,2,FALSE),"")</f>
        <v>5</v>
      </c>
      <c r="G651" s="52" t="s">
        <v>957</v>
      </c>
      <c r="H651" s="54"/>
      <c r="I651" s="55">
        <f t="shared" si="238"/>
        <v>0</v>
      </c>
      <c r="J651" s="55">
        <v>0</v>
      </c>
      <c r="K651" s="55">
        <v>0</v>
      </c>
      <c r="L651" s="55">
        <v>0</v>
      </c>
      <c r="M651" s="55">
        <v>0</v>
      </c>
      <c r="N651" s="55">
        <f t="shared" si="239"/>
        <v>0</v>
      </c>
      <c r="O651" s="55">
        <v>0</v>
      </c>
      <c r="P651" s="55">
        <v>0</v>
      </c>
      <c r="Q651" s="55">
        <v>0</v>
      </c>
      <c r="R651" s="55">
        <f t="shared" si="240"/>
        <v>0</v>
      </c>
      <c r="S651" s="55">
        <v>0</v>
      </c>
      <c r="T651" s="55">
        <v>0</v>
      </c>
      <c r="U651" s="55">
        <v>0</v>
      </c>
      <c r="V651" s="55">
        <v>0</v>
      </c>
      <c r="W651" s="53">
        <v>0</v>
      </c>
      <c r="X651" s="53">
        <v>0</v>
      </c>
      <c r="Y651" s="55">
        <v>0</v>
      </c>
      <c r="Z651" s="55">
        <v>0</v>
      </c>
      <c r="AA651" s="53">
        <v>0</v>
      </c>
      <c r="AB651" s="53">
        <v>0</v>
      </c>
      <c r="AC651" s="55">
        <v>0</v>
      </c>
      <c r="AD651" s="55">
        <f t="shared" si="229"/>
        <v>0</v>
      </c>
      <c r="AE651" s="53">
        <f>IFERROR(VLOOKUP(A651,[4]simples!$A$1:$B$281,2,FALSE),0)</f>
        <v>0</v>
      </c>
      <c r="AF651" s="55">
        <v>0</v>
      </c>
      <c r="AG651" s="55">
        <v>0</v>
      </c>
      <c r="AH651" s="55">
        <f t="shared" si="230"/>
        <v>0</v>
      </c>
      <c r="AI651" s="55"/>
      <c r="AJ651" s="55">
        <v>0</v>
      </c>
      <c r="AK651" s="55"/>
      <c r="AL651" s="55">
        <f t="shared" si="231"/>
        <v>0</v>
      </c>
      <c r="AM651" s="55" t="s">
        <v>1912</v>
      </c>
      <c r="AN651" s="55">
        <v>0</v>
      </c>
      <c r="AO651" s="55">
        <v>0</v>
      </c>
      <c r="AP651" s="55">
        <f t="shared" si="241"/>
        <v>0</v>
      </c>
      <c r="AQ651" s="55">
        <f>IFERROR(VLOOKUP(A651,[1]SIIMPLES!$A$2:$F$418,6,FALSE),0)</f>
        <v>0</v>
      </c>
      <c r="AR651" s="55">
        <v>0</v>
      </c>
      <c r="AS651" s="55">
        <v>0</v>
      </c>
      <c r="AT651" s="55">
        <v>0</v>
      </c>
      <c r="AU651" s="55">
        <v>0</v>
      </c>
      <c r="AV651" s="55">
        <v>0</v>
      </c>
      <c r="AW651" s="55"/>
      <c r="AX651" s="55"/>
      <c r="AY651" s="56">
        <f t="shared" si="232"/>
        <v>0</v>
      </c>
      <c r="AZ651" s="55" t="s">
        <v>1619</v>
      </c>
      <c r="BA651" s="56">
        <v>0</v>
      </c>
      <c r="BB651" s="41" t="str">
        <f t="shared" si="246"/>
        <v/>
      </c>
      <c r="BC651" s="13"/>
      <c r="BD651" s="35"/>
      <c r="BE651" s="13"/>
      <c r="BF651" s="16"/>
      <c r="BG651" s="17" t="str">
        <f t="shared" si="244"/>
        <v>0</v>
      </c>
      <c r="BH651" s="16">
        <f t="shared" si="245"/>
        <v>0</v>
      </c>
    </row>
    <row r="652" spans="1:60" s="21" customFormat="1" ht="12.75" customHeight="1" x14ac:dyDescent="0.2">
      <c r="A652" s="51">
        <v>5402</v>
      </c>
      <c r="B652" s="51"/>
      <c r="C652" s="66" t="s">
        <v>1803</v>
      </c>
      <c r="D652" s="52" t="s">
        <v>735</v>
      </c>
      <c r="E652" s="52" t="s">
        <v>736</v>
      </c>
      <c r="F652" s="53">
        <f>IFERROR(VLOOKUP(E652,Fornecedores!$A$2:$B$2700,2,FALSE),"")</f>
        <v>5</v>
      </c>
      <c r="G652" s="52" t="s">
        <v>530</v>
      </c>
      <c r="H652" s="54"/>
      <c r="I652" s="55">
        <f t="shared" si="238"/>
        <v>0</v>
      </c>
      <c r="J652" s="55">
        <v>0</v>
      </c>
      <c r="K652" s="55">
        <v>0</v>
      </c>
      <c r="L652" s="55">
        <v>0</v>
      </c>
      <c r="M652" s="55">
        <v>0</v>
      </c>
      <c r="N652" s="55">
        <f t="shared" si="239"/>
        <v>0</v>
      </c>
      <c r="O652" s="55">
        <v>0</v>
      </c>
      <c r="P652" s="55">
        <v>0</v>
      </c>
      <c r="Q652" s="55">
        <v>0</v>
      </c>
      <c r="R652" s="55">
        <f t="shared" si="240"/>
        <v>0</v>
      </c>
      <c r="S652" s="55">
        <v>0</v>
      </c>
      <c r="T652" s="55">
        <v>0</v>
      </c>
      <c r="U652" s="55">
        <v>0</v>
      </c>
      <c r="V652" s="55">
        <v>0</v>
      </c>
      <c r="W652" s="53">
        <v>0</v>
      </c>
      <c r="X652" s="53">
        <v>0</v>
      </c>
      <c r="Y652" s="55">
        <v>0</v>
      </c>
      <c r="Z652" s="55">
        <v>0</v>
      </c>
      <c r="AA652" s="53">
        <v>0</v>
      </c>
      <c r="AB652" s="53">
        <v>0</v>
      </c>
      <c r="AC652" s="55">
        <v>0</v>
      </c>
      <c r="AD652" s="55">
        <f t="shared" si="229"/>
        <v>0</v>
      </c>
      <c r="AE652" s="53">
        <v>0</v>
      </c>
      <c r="AF652" s="55">
        <v>0</v>
      </c>
      <c r="AG652" s="55">
        <v>0</v>
      </c>
      <c r="AH652" s="55">
        <f t="shared" si="230"/>
        <v>1</v>
      </c>
      <c r="AI652" s="55">
        <v>0</v>
      </c>
      <c r="AJ652" s="55">
        <v>1</v>
      </c>
      <c r="AK652" s="55">
        <v>0</v>
      </c>
      <c r="AL652" s="55">
        <f t="shared" si="231"/>
        <v>1</v>
      </c>
      <c r="AM652" s="55" t="s">
        <v>1912</v>
      </c>
      <c r="AN652" s="55">
        <v>1</v>
      </c>
      <c r="AO652" s="55">
        <v>0</v>
      </c>
      <c r="AP652" s="55">
        <f t="shared" si="241"/>
        <v>0</v>
      </c>
      <c r="AQ652" s="55">
        <f>IFERROR(VLOOKUP(A652,[1]SIIMPLES!$A$2:$F$418,6,FALSE),0)</f>
        <v>0</v>
      </c>
      <c r="AR652" s="55">
        <v>0</v>
      </c>
      <c r="AS652" s="55">
        <v>1</v>
      </c>
      <c r="AT652" s="55">
        <v>0</v>
      </c>
      <c r="AU652" s="55">
        <v>1</v>
      </c>
      <c r="AV652" s="55">
        <v>0</v>
      </c>
      <c r="AW652" s="55"/>
      <c r="AX652" s="55"/>
      <c r="AY652" s="56">
        <f t="shared" si="232"/>
        <v>0.3</v>
      </c>
      <c r="AZ652" s="55"/>
      <c r="BA652" s="56">
        <v>1.1666666666666667</v>
      </c>
      <c r="BB652" s="41">
        <f t="shared" si="246"/>
        <v>-0.74285714285714288</v>
      </c>
      <c r="BC652" s="13"/>
      <c r="BD652" s="35"/>
      <c r="BE652" s="13"/>
      <c r="BF652" s="16"/>
      <c r="BG652" s="17">
        <f t="shared" si="244"/>
        <v>0</v>
      </c>
      <c r="BH652" s="16">
        <f t="shared" si="245"/>
        <v>0.3</v>
      </c>
    </row>
    <row r="653" spans="1:60" s="21" customFormat="1" ht="12.75" customHeight="1" x14ac:dyDescent="0.2">
      <c r="A653" s="51">
        <v>5403</v>
      </c>
      <c r="B653" s="51"/>
      <c r="C653" s="66" t="s">
        <v>1803</v>
      </c>
      <c r="D653" s="52" t="s">
        <v>735</v>
      </c>
      <c r="E653" s="52" t="s">
        <v>736</v>
      </c>
      <c r="F653" s="53">
        <f>IFERROR(VLOOKUP(E653,Fornecedores!$A$2:$B$2700,2,FALSE),"")</f>
        <v>5</v>
      </c>
      <c r="G653" s="52" t="s">
        <v>271</v>
      </c>
      <c r="H653" s="54"/>
      <c r="I653" s="55">
        <f t="shared" si="238"/>
        <v>0</v>
      </c>
      <c r="J653" s="55">
        <v>0</v>
      </c>
      <c r="K653" s="55">
        <v>0</v>
      </c>
      <c r="L653" s="55">
        <v>0</v>
      </c>
      <c r="M653" s="55">
        <v>0</v>
      </c>
      <c r="N653" s="55">
        <f t="shared" si="239"/>
        <v>0</v>
      </c>
      <c r="O653" s="55">
        <v>0</v>
      </c>
      <c r="P653" s="55">
        <v>0</v>
      </c>
      <c r="Q653" s="55">
        <v>0</v>
      </c>
      <c r="R653" s="55">
        <f t="shared" si="240"/>
        <v>0</v>
      </c>
      <c r="S653" s="55">
        <v>0</v>
      </c>
      <c r="T653" s="55">
        <v>0</v>
      </c>
      <c r="U653" s="55">
        <v>0</v>
      </c>
      <c r="V653" s="55">
        <v>0</v>
      </c>
      <c r="W653" s="53">
        <v>0</v>
      </c>
      <c r="X653" s="53">
        <v>0</v>
      </c>
      <c r="Y653" s="55">
        <v>0</v>
      </c>
      <c r="Z653" s="55">
        <v>0</v>
      </c>
      <c r="AA653" s="53">
        <v>0</v>
      </c>
      <c r="AB653" s="53">
        <v>0</v>
      </c>
      <c r="AC653" s="55">
        <v>0</v>
      </c>
      <c r="AD653" s="55">
        <f t="shared" si="229"/>
        <v>0</v>
      </c>
      <c r="AE653" s="53">
        <v>0</v>
      </c>
      <c r="AF653" s="55">
        <v>0</v>
      </c>
      <c r="AG653" s="55">
        <v>0</v>
      </c>
      <c r="AH653" s="55">
        <f t="shared" si="230"/>
        <v>1</v>
      </c>
      <c r="AI653" s="55">
        <v>0</v>
      </c>
      <c r="AJ653" s="55">
        <v>1</v>
      </c>
      <c r="AK653" s="55">
        <v>0</v>
      </c>
      <c r="AL653" s="55">
        <f t="shared" si="231"/>
        <v>1</v>
      </c>
      <c r="AM653" s="55" t="s">
        <v>1912</v>
      </c>
      <c r="AN653" s="55">
        <v>1</v>
      </c>
      <c r="AO653" s="55">
        <v>0</v>
      </c>
      <c r="AP653" s="55">
        <f t="shared" si="241"/>
        <v>0</v>
      </c>
      <c r="AQ653" s="55">
        <f>IFERROR(VLOOKUP(A653,[1]SIIMPLES!$A$2:$F$418,6,FALSE),0)</f>
        <v>0</v>
      </c>
      <c r="AR653" s="55">
        <v>0</v>
      </c>
      <c r="AS653" s="55">
        <v>1</v>
      </c>
      <c r="AT653" s="55">
        <v>0</v>
      </c>
      <c r="AU653" s="55">
        <v>1</v>
      </c>
      <c r="AV653" s="55">
        <v>0</v>
      </c>
      <c r="AW653" s="55"/>
      <c r="AX653" s="55"/>
      <c r="AY653" s="56">
        <f t="shared" si="232"/>
        <v>0.3</v>
      </c>
      <c r="AZ653" s="55"/>
      <c r="BA653" s="56">
        <v>1.1666666666666667</v>
      </c>
      <c r="BB653" s="41">
        <f t="shared" si="246"/>
        <v>-0.74285714285714288</v>
      </c>
      <c r="BC653" s="13"/>
      <c r="BD653" s="36"/>
      <c r="BE653" s="7"/>
      <c r="BF653" s="7"/>
      <c r="BG653" s="17">
        <f t="shared" si="244"/>
        <v>0</v>
      </c>
      <c r="BH653" s="7"/>
    </row>
    <row r="654" spans="1:60" s="21" customFormat="1" ht="12.75" customHeight="1" x14ac:dyDescent="0.2">
      <c r="A654" s="51">
        <v>5404</v>
      </c>
      <c r="B654" s="51" t="s">
        <v>1077</v>
      </c>
      <c r="C654" s="66" t="s">
        <v>1803</v>
      </c>
      <c r="D654" s="52" t="s">
        <v>735</v>
      </c>
      <c r="E654" s="52" t="s">
        <v>736</v>
      </c>
      <c r="F654" s="53">
        <f>IFERROR(VLOOKUP(E654,Fornecedores!$A$2:$B$2700,2,FALSE),"")</f>
        <v>5</v>
      </c>
      <c r="G654" s="52" t="s">
        <v>384</v>
      </c>
      <c r="H654" s="54"/>
      <c r="I654" s="55">
        <f t="shared" si="238"/>
        <v>3</v>
      </c>
      <c r="J654" s="55">
        <v>0</v>
      </c>
      <c r="K654" s="55">
        <v>3</v>
      </c>
      <c r="L654" s="55">
        <v>0</v>
      </c>
      <c r="M654" s="55">
        <v>0</v>
      </c>
      <c r="N654" s="55">
        <f t="shared" si="239"/>
        <v>1</v>
      </c>
      <c r="O654" s="55">
        <v>1</v>
      </c>
      <c r="P654" s="55">
        <v>0</v>
      </c>
      <c r="Q654" s="55">
        <v>0</v>
      </c>
      <c r="R654" s="55">
        <f t="shared" si="240"/>
        <v>1</v>
      </c>
      <c r="S654" s="55">
        <v>1</v>
      </c>
      <c r="T654" s="55">
        <v>0</v>
      </c>
      <c r="U654" s="55">
        <v>0</v>
      </c>
      <c r="V654" s="55">
        <v>0</v>
      </c>
      <c r="W654" s="53">
        <v>0</v>
      </c>
      <c r="X654" s="53">
        <v>0</v>
      </c>
      <c r="Y654" s="55">
        <v>0</v>
      </c>
      <c r="Z654" s="55">
        <v>0</v>
      </c>
      <c r="AA654" s="53">
        <v>0</v>
      </c>
      <c r="AB654" s="53">
        <v>0</v>
      </c>
      <c r="AC654" s="55">
        <v>0</v>
      </c>
      <c r="AD654" s="55">
        <f t="shared" si="229"/>
        <v>0</v>
      </c>
      <c r="AE654" s="53">
        <v>0</v>
      </c>
      <c r="AF654" s="55">
        <v>0</v>
      </c>
      <c r="AG654" s="55">
        <v>0</v>
      </c>
      <c r="AH654" s="55">
        <f t="shared" si="230"/>
        <v>0</v>
      </c>
      <c r="AI654" s="55">
        <v>0</v>
      </c>
      <c r="AJ654" s="55">
        <v>0</v>
      </c>
      <c r="AK654" s="55">
        <v>0</v>
      </c>
      <c r="AL654" s="55">
        <f t="shared" si="231"/>
        <v>0</v>
      </c>
      <c r="AM654" s="55" t="s">
        <v>1912</v>
      </c>
      <c r="AN654" s="55">
        <v>0</v>
      </c>
      <c r="AO654" s="55">
        <v>0</v>
      </c>
      <c r="AP654" s="55">
        <f t="shared" si="241"/>
        <v>0</v>
      </c>
      <c r="AQ654" s="55">
        <f>IFERROR(VLOOKUP(A654,[1]SIIMPLES!$A$2:$F$418,6,FALSE),0)</f>
        <v>0</v>
      </c>
      <c r="AR654" s="55">
        <v>0</v>
      </c>
      <c r="AS654" s="55">
        <v>4</v>
      </c>
      <c r="AT654" s="55">
        <v>0</v>
      </c>
      <c r="AU654" s="55">
        <v>0</v>
      </c>
      <c r="AV654" s="55">
        <v>4</v>
      </c>
      <c r="AW654" s="55"/>
      <c r="AX654" s="55"/>
      <c r="AY654" s="56">
        <f t="shared" si="232"/>
        <v>0.9</v>
      </c>
      <c r="AZ654" s="55"/>
      <c r="BA654" s="56">
        <v>12.333333333333334</v>
      </c>
      <c r="BB654" s="41">
        <f t="shared" si="246"/>
        <v>-0.927027027027027</v>
      </c>
      <c r="BC654" s="13"/>
      <c r="BD654" s="36"/>
      <c r="BE654" s="7"/>
      <c r="BF654" s="7"/>
      <c r="BG654" s="17">
        <f t="shared" si="244"/>
        <v>0</v>
      </c>
      <c r="BH654" s="7"/>
    </row>
    <row r="655" spans="1:60" s="21" customFormat="1" ht="12.75" customHeight="1" x14ac:dyDescent="0.2">
      <c r="A655" s="51">
        <v>5405</v>
      </c>
      <c r="B655" s="51" t="s">
        <v>1077</v>
      </c>
      <c r="C655" s="66" t="s">
        <v>1803</v>
      </c>
      <c r="D655" s="52" t="s">
        <v>735</v>
      </c>
      <c r="E655" s="52" t="s">
        <v>736</v>
      </c>
      <c r="F655" s="53">
        <f>IFERROR(VLOOKUP(E655,Fornecedores!$A$2:$B$2700,2,FALSE),"")</f>
        <v>5</v>
      </c>
      <c r="G655" s="52" t="s">
        <v>355</v>
      </c>
      <c r="H655" s="54"/>
      <c r="I655" s="55">
        <f t="shared" si="238"/>
        <v>3</v>
      </c>
      <c r="J655" s="55">
        <v>0</v>
      </c>
      <c r="K655" s="55">
        <v>3</v>
      </c>
      <c r="L655" s="55">
        <v>0</v>
      </c>
      <c r="M655" s="55">
        <v>0</v>
      </c>
      <c r="N655" s="55">
        <f t="shared" si="239"/>
        <v>0</v>
      </c>
      <c r="O655" s="55">
        <v>0</v>
      </c>
      <c r="P655" s="55">
        <v>0</v>
      </c>
      <c r="Q655" s="55">
        <v>0</v>
      </c>
      <c r="R655" s="55">
        <f t="shared" si="240"/>
        <v>0</v>
      </c>
      <c r="S655" s="55">
        <v>0</v>
      </c>
      <c r="T655" s="55">
        <v>0</v>
      </c>
      <c r="U655" s="55">
        <v>0</v>
      </c>
      <c r="V655" s="55">
        <v>0</v>
      </c>
      <c r="W655" s="53">
        <v>0</v>
      </c>
      <c r="X655" s="53">
        <v>0</v>
      </c>
      <c r="Y655" s="55">
        <v>0</v>
      </c>
      <c r="Z655" s="55">
        <v>1</v>
      </c>
      <c r="AA655" s="53">
        <v>1</v>
      </c>
      <c r="AB655" s="53">
        <v>0</v>
      </c>
      <c r="AC655" s="55">
        <v>0</v>
      </c>
      <c r="AD655" s="55">
        <f t="shared" si="229"/>
        <v>0</v>
      </c>
      <c r="AE655" s="53">
        <v>0</v>
      </c>
      <c r="AF655" s="55">
        <v>0</v>
      </c>
      <c r="AG655" s="55">
        <v>0</v>
      </c>
      <c r="AH655" s="55">
        <f t="shared" si="230"/>
        <v>0</v>
      </c>
      <c r="AI655" s="55">
        <v>0</v>
      </c>
      <c r="AJ655" s="55">
        <v>0</v>
      </c>
      <c r="AK655" s="55">
        <v>0</v>
      </c>
      <c r="AL655" s="55">
        <f t="shared" si="231"/>
        <v>0</v>
      </c>
      <c r="AM655" s="55" t="s">
        <v>1912</v>
      </c>
      <c r="AN655" s="55">
        <v>0</v>
      </c>
      <c r="AO655" s="55">
        <v>0</v>
      </c>
      <c r="AP655" s="55">
        <f t="shared" si="241"/>
        <v>0</v>
      </c>
      <c r="AQ655" s="55">
        <f>IFERROR(VLOOKUP(A655,[1]SIIMPLES!$A$2:$F$418,6,FALSE),0)</f>
        <v>0</v>
      </c>
      <c r="AR655" s="55">
        <v>0</v>
      </c>
      <c r="AS655" s="55">
        <v>1</v>
      </c>
      <c r="AT655" s="55">
        <v>0</v>
      </c>
      <c r="AU655" s="55">
        <v>0</v>
      </c>
      <c r="AV655" s="55">
        <v>1</v>
      </c>
      <c r="AW655" s="55"/>
      <c r="AX655" s="55"/>
      <c r="AY655" s="56">
        <f t="shared" si="232"/>
        <v>0.5</v>
      </c>
      <c r="AZ655" s="55"/>
      <c r="BA655" s="56">
        <v>12.166666666666666</v>
      </c>
      <c r="BB655" s="41">
        <f t="shared" si="246"/>
        <v>-0.95890410958904104</v>
      </c>
      <c r="BC655" s="13"/>
      <c r="BD655" s="36"/>
      <c r="BE655" s="7"/>
      <c r="BF655" s="7"/>
      <c r="BG655" s="17">
        <f t="shared" si="244"/>
        <v>0</v>
      </c>
      <c r="BH655" s="7"/>
    </row>
    <row r="656" spans="1:60" s="21" customFormat="1" ht="12.75" customHeight="1" x14ac:dyDescent="0.2">
      <c r="A656" s="51">
        <v>5406</v>
      </c>
      <c r="B656" s="51"/>
      <c r="C656" s="66" t="s">
        <v>1803</v>
      </c>
      <c r="D656" s="52" t="s">
        <v>735</v>
      </c>
      <c r="E656" s="52" t="s">
        <v>736</v>
      </c>
      <c r="F656" s="53">
        <f>IFERROR(VLOOKUP(E656,Fornecedores!$A$2:$B$2700,2,FALSE),"")</f>
        <v>5</v>
      </c>
      <c r="G656" s="52" t="s">
        <v>992</v>
      </c>
      <c r="H656" s="54"/>
      <c r="I656" s="55">
        <f t="shared" si="238"/>
        <v>0</v>
      </c>
      <c r="J656" s="55">
        <v>0</v>
      </c>
      <c r="K656" s="55">
        <v>0</v>
      </c>
      <c r="L656" s="55">
        <v>0</v>
      </c>
      <c r="M656" s="55">
        <v>0</v>
      </c>
      <c r="N656" s="55">
        <f t="shared" si="239"/>
        <v>0</v>
      </c>
      <c r="O656" s="55">
        <v>0</v>
      </c>
      <c r="P656" s="55">
        <v>0</v>
      </c>
      <c r="Q656" s="55">
        <v>0</v>
      </c>
      <c r="R656" s="55">
        <f t="shared" si="240"/>
        <v>0</v>
      </c>
      <c r="S656" s="55">
        <v>0</v>
      </c>
      <c r="T656" s="55">
        <v>0</v>
      </c>
      <c r="U656" s="55">
        <v>0</v>
      </c>
      <c r="V656" s="55">
        <v>0</v>
      </c>
      <c r="W656" s="53">
        <v>0</v>
      </c>
      <c r="X656" s="53">
        <v>0</v>
      </c>
      <c r="Y656" s="55">
        <v>0</v>
      </c>
      <c r="Z656" s="55">
        <v>0</v>
      </c>
      <c r="AA656" s="53">
        <v>0</v>
      </c>
      <c r="AB656" s="53">
        <v>0</v>
      </c>
      <c r="AC656" s="55">
        <v>0</v>
      </c>
      <c r="AD656" s="55">
        <f t="shared" si="229"/>
        <v>0</v>
      </c>
      <c r="AE656" s="53">
        <v>0</v>
      </c>
      <c r="AF656" s="55">
        <v>0</v>
      </c>
      <c r="AG656" s="55">
        <v>0</v>
      </c>
      <c r="AH656" s="55">
        <f t="shared" si="230"/>
        <v>0</v>
      </c>
      <c r="AI656" s="55">
        <v>0</v>
      </c>
      <c r="AJ656" s="55">
        <v>0</v>
      </c>
      <c r="AK656" s="55">
        <v>0</v>
      </c>
      <c r="AL656" s="55">
        <f t="shared" si="231"/>
        <v>0</v>
      </c>
      <c r="AM656" s="55" t="s">
        <v>1912</v>
      </c>
      <c r="AN656" s="55">
        <v>0</v>
      </c>
      <c r="AO656" s="55">
        <v>0</v>
      </c>
      <c r="AP656" s="55">
        <f t="shared" si="241"/>
        <v>0</v>
      </c>
      <c r="AQ656" s="55">
        <f>IFERROR(VLOOKUP(A656,[1]SIIMPLES!$A$2:$F$418,6,FALSE),0)</f>
        <v>0</v>
      </c>
      <c r="AR656" s="55">
        <v>0</v>
      </c>
      <c r="AS656" s="55">
        <v>0</v>
      </c>
      <c r="AT656" s="55">
        <v>0</v>
      </c>
      <c r="AU656" s="55">
        <v>0</v>
      </c>
      <c r="AV656" s="55">
        <v>0</v>
      </c>
      <c r="AW656" s="55"/>
      <c r="AX656" s="55"/>
      <c r="AY656" s="56">
        <f t="shared" si="232"/>
        <v>0</v>
      </c>
      <c r="AZ656" s="55"/>
      <c r="BA656" s="56">
        <v>0</v>
      </c>
      <c r="BB656" s="41" t="str">
        <f t="shared" si="246"/>
        <v/>
      </c>
      <c r="BC656" s="13"/>
      <c r="BD656" s="36"/>
      <c r="BE656" s="7"/>
      <c r="BF656" s="7"/>
      <c r="BG656" s="7"/>
      <c r="BH656" s="7"/>
    </row>
    <row r="657" spans="1:60" s="21" customFormat="1" ht="12.75" customHeight="1" x14ac:dyDescent="0.2">
      <c r="A657" s="51">
        <v>5407</v>
      </c>
      <c r="B657" s="51"/>
      <c r="C657" s="66" t="s">
        <v>1803</v>
      </c>
      <c r="D657" s="52" t="s">
        <v>735</v>
      </c>
      <c r="E657" s="52" t="s">
        <v>736</v>
      </c>
      <c r="F657" s="53">
        <f>IFERROR(VLOOKUP(E657,Fornecedores!$A$2:$B$2700,2,FALSE),"")</f>
        <v>5</v>
      </c>
      <c r="G657" s="52" t="s">
        <v>993</v>
      </c>
      <c r="H657" s="54"/>
      <c r="I657" s="55">
        <f t="shared" si="238"/>
        <v>0</v>
      </c>
      <c r="J657" s="55">
        <v>0</v>
      </c>
      <c r="K657" s="55">
        <v>0</v>
      </c>
      <c r="L657" s="55">
        <v>0</v>
      </c>
      <c r="M657" s="55">
        <v>0</v>
      </c>
      <c r="N657" s="55">
        <f t="shared" si="239"/>
        <v>0</v>
      </c>
      <c r="O657" s="55">
        <v>0</v>
      </c>
      <c r="P657" s="55">
        <v>0</v>
      </c>
      <c r="Q657" s="55">
        <v>0</v>
      </c>
      <c r="R657" s="55">
        <f t="shared" si="240"/>
        <v>0</v>
      </c>
      <c r="S657" s="55">
        <v>0</v>
      </c>
      <c r="T657" s="55">
        <v>0</v>
      </c>
      <c r="U657" s="55">
        <v>0</v>
      </c>
      <c r="V657" s="55">
        <v>0</v>
      </c>
      <c r="W657" s="53">
        <v>0</v>
      </c>
      <c r="X657" s="53">
        <v>0</v>
      </c>
      <c r="Y657" s="55">
        <v>0</v>
      </c>
      <c r="Z657" s="55">
        <v>0</v>
      </c>
      <c r="AA657" s="53">
        <v>0</v>
      </c>
      <c r="AB657" s="53">
        <v>0</v>
      </c>
      <c r="AC657" s="55">
        <v>0</v>
      </c>
      <c r="AD657" s="55">
        <f t="shared" si="229"/>
        <v>0</v>
      </c>
      <c r="AE657" s="53">
        <v>0</v>
      </c>
      <c r="AF657" s="55">
        <v>0</v>
      </c>
      <c r="AG657" s="55">
        <v>0</v>
      </c>
      <c r="AH657" s="55">
        <f t="shared" si="230"/>
        <v>0</v>
      </c>
      <c r="AI657" s="55">
        <v>0</v>
      </c>
      <c r="AJ657" s="55">
        <v>0</v>
      </c>
      <c r="AK657" s="55">
        <v>0</v>
      </c>
      <c r="AL657" s="55">
        <f t="shared" si="231"/>
        <v>0</v>
      </c>
      <c r="AM657" s="55" t="s">
        <v>1912</v>
      </c>
      <c r="AN657" s="55">
        <v>0</v>
      </c>
      <c r="AO657" s="55">
        <v>0</v>
      </c>
      <c r="AP657" s="55">
        <f t="shared" si="241"/>
        <v>0</v>
      </c>
      <c r="AQ657" s="55">
        <f>IFERROR(VLOOKUP(A657,[1]SIIMPLES!$A$2:$F$418,6,FALSE),0)</f>
        <v>0</v>
      </c>
      <c r="AR657" s="55">
        <v>0</v>
      </c>
      <c r="AS657" s="55">
        <v>1</v>
      </c>
      <c r="AT657" s="55">
        <v>1</v>
      </c>
      <c r="AU657" s="55">
        <v>0</v>
      </c>
      <c r="AV657" s="55">
        <v>0</v>
      </c>
      <c r="AW657" s="55"/>
      <c r="AX657" s="55"/>
      <c r="AY657" s="56">
        <f t="shared" si="232"/>
        <v>0.1</v>
      </c>
      <c r="AZ657" s="55"/>
      <c r="BA657" s="56">
        <v>0</v>
      </c>
      <c r="BB657" s="41" t="str">
        <f t="shared" si="246"/>
        <v/>
      </c>
      <c r="BC657" s="13"/>
      <c r="BD657" s="36"/>
      <c r="BE657" s="7"/>
      <c r="BF657" s="7"/>
      <c r="BG657" s="7"/>
      <c r="BH657" s="7"/>
    </row>
    <row r="658" spans="1:60" s="21" customFormat="1" ht="12.75" customHeight="1" x14ac:dyDescent="0.2">
      <c r="A658" s="51">
        <v>5408</v>
      </c>
      <c r="B658" s="51"/>
      <c r="C658" s="66" t="s">
        <v>1803</v>
      </c>
      <c r="D658" s="52" t="s">
        <v>735</v>
      </c>
      <c r="E658" s="52" t="s">
        <v>736</v>
      </c>
      <c r="F658" s="53">
        <f>IFERROR(VLOOKUP(E658,Fornecedores!$A$2:$B$2700,2,FALSE),"")</f>
        <v>5</v>
      </c>
      <c r="G658" s="52" t="s">
        <v>947</v>
      </c>
      <c r="H658" s="54"/>
      <c r="I658" s="55">
        <f t="shared" si="238"/>
        <v>0</v>
      </c>
      <c r="J658" s="55">
        <v>0</v>
      </c>
      <c r="K658" s="55">
        <v>0</v>
      </c>
      <c r="L658" s="55">
        <v>0</v>
      </c>
      <c r="M658" s="55">
        <v>0</v>
      </c>
      <c r="N658" s="55">
        <f t="shared" si="239"/>
        <v>0</v>
      </c>
      <c r="O658" s="55">
        <v>0</v>
      </c>
      <c r="P658" s="55">
        <v>0</v>
      </c>
      <c r="Q658" s="55">
        <v>0</v>
      </c>
      <c r="R658" s="55">
        <f t="shared" si="240"/>
        <v>0</v>
      </c>
      <c r="S658" s="55">
        <v>0</v>
      </c>
      <c r="T658" s="55">
        <v>0</v>
      </c>
      <c r="U658" s="55">
        <v>0</v>
      </c>
      <c r="V658" s="55">
        <v>0</v>
      </c>
      <c r="W658" s="53">
        <v>0</v>
      </c>
      <c r="X658" s="53">
        <v>0</v>
      </c>
      <c r="Y658" s="55">
        <v>0</v>
      </c>
      <c r="Z658" s="55">
        <v>1</v>
      </c>
      <c r="AA658" s="53">
        <v>0</v>
      </c>
      <c r="AB658" s="53">
        <v>1</v>
      </c>
      <c r="AC658" s="55">
        <v>0</v>
      </c>
      <c r="AD658" s="55">
        <f t="shared" si="229"/>
        <v>0</v>
      </c>
      <c r="AE658" s="53">
        <v>0</v>
      </c>
      <c r="AF658" s="55">
        <v>0</v>
      </c>
      <c r="AG658" s="55">
        <v>0</v>
      </c>
      <c r="AH658" s="55">
        <f t="shared" si="230"/>
        <v>0</v>
      </c>
      <c r="AI658" s="55">
        <v>0</v>
      </c>
      <c r="AJ658" s="55">
        <v>0</v>
      </c>
      <c r="AK658" s="55">
        <v>0</v>
      </c>
      <c r="AL658" s="55">
        <f t="shared" si="231"/>
        <v>1</v>
      </c>
      <c r="AM658" s="55">
        <v>1</v>
      </c>
      <c r="AN658" s="55">
        <v>0</v>
      </c>
      <c r="AO658" s="55">
        <v>0</v>
      </c>
      <c r="AP658" s="55">
        <f t="shared" si="241"/>
        <v>0</v>
      </c>
      <c r="AQ658" s="55">
        <f>IFERROR(VLOOKUP(A658,[1]SIIMPLES!$A$2:$F$418,6,FALSE),0)</f>
        <v>0</v>
      </c>
      <c r="AR658" s="55">
        <v>0</v>
      </c>
      <c r="AS658" s="55">
        <v>0</v>
      </c>
      <c r="AT658" s="55">
        <v>0</v>
      </c>
      <c r="AU658" s="55">
        <v>0</v>
      </c>
      <c r="AV658" s="55">
        <v>0</v>
      </c>
      <c r="AW658" s="55"/>
      <c r="AX658" s="55"/>
      <c r="AY658" s="56">
        <f t="shared" si="232"/>
        <v>0.2</v>
      </c>
      <c r="AZ658" s="55"/>
      <c r="BA658" s="56">
        <v>0.4</v>
      </c>
      <c r="BB658" s="41">
        <f t="shared" si="246"/>
        <v>-0.5</v>
      </c>
      <c r="BC658" s="13"/>
      <c r="BD658" s="36"/>
      <c r="BE658" s="7"/>
      <c r="BF658" s="7"/>
      <c r="BG658" s="7"/>
      <c r="BH658" s="7"/>
    </row>
    <row r="659" spans="1:60" s="21" customFormat="1" ht="12.75" customHeight="1" x14ac:dyDescent="0.2">
      <c r="A659" s="51">
        <v>5409</v>
      </c>
      <c r="B659" s="51"/>
      <c r="C659" s="66" t="s">
        <v>1803</v>
      </c>
      <c r="D659" s="52" t="s">
        <v>735</v>
      </c>
      <c r="E659" s="52" t="s">
        <v>736</v>
      </c>
      <c r="F659" s="53">
        <f>IFERROR(VLOOKUP(E659,Fornecedores!$A$2:$B$2700,2,FALSE),"")</f>
        <v>5</v>
      </c>
      <c r="G659" s="52" t="s">
        <v>948</v>
      </c>
      <c r="H659" s="54"/>
      <c r="I659" s="55">
        <f t="shared" ref="I659:I690" si="247">SUM(J659:M659)</f>
        <v>0</v>
      </c>
      <c r="J659" s="55">
        <v>0</v>
      </c>
      <c r="K659" s="55">
        <v>0</v>
      </c>
      <c r="L659" s="55">
        <v>0</v>
      </c>
      <c r="M659" s="55">
        <v>0</v>
      </c>
      <c r="N659" s="55">
        <f t="shared" ref="N659:N690" si="248">SUM(O659:Q659)</f>
        <v>0</v>
      </c>
      <c r="O659" s="55">
        <v>0</v>
      </c>
      <c r="P659" s="55">
        <v>0</v>
      </c>
      <c r="Q659" s="55">
        <v>0</v>
      </c>
      <c r="R659" s="55">
        <f t="shared" ref="R659:R690" si="249">SUM(S659:U659)</f>
        <v>0</v>
      </c>
      <c r="S659" s="55">
        <v>0</v>
      </c>
      <c r="T659" s="55">
        <v>0</v>
      </c>
      <c r="U659" s="55">
        <v>0</v>
      </c>
      <c r="V659" s="55">
        <v>0</v>
      </c>
      <c r="W659" s="53">
        <v>0</v>
      </c>
      <c r="X659" s="53">
        <v>0</v>
      </c>
      <c r="Y659" s="55">
        <v>0</v>
      </c>
      <c r="Z659" s="55">
        <v>1</v>
      </c>
      <c r="AA659" s="53">
        <v>0</v>
      </c>
      <c r="AB659" s="53">
        <v>1</v>
      </c>
      <c r="AC659" s="55">
        <v>0</v>
      </c>
      <c r="AD659" s="55">
        <f t="shared" ref="AD659:AD722" si="250">SUM(AE659:AG659)</f>
        <v>0</v>
      </c>
      <c r="AE659" s="53">
        <v>0</v>
      </c>
      <c r="AF659" s="55">
        <v>0</v>
      </c>
      <c r="AG659" s="55">
        <v>0</v>
      </c>
      <c r="AH659" s="55">
        <f t="shared" ref="AH659:AH722" si="251">SUM(AI659:AK659)</f>
        <v>0</v>
      </c>
      <c r="AI659" s="55">
        <v>0</v>
      </c>
      <c r="AJ659" s="55">
        <v>0</v>
      </c>
      <c r="AK659" s="55">
        <v>0</v>
      </c>
      <c r="AL659" s="55">
        <f t="shared" ref="AL659:AL722" si="252">SUM(AM659:AO659)</f>
        <v>0</v>
      </c>
      <c r="AM659" s="55" t="s">
        <v>1912</v>
      </c>
      <c r="AN659" s="55">
        <v>0</v>
      </c>
      <c r="AO659" s="55">
        <v>0</v>
      </c>
      <c r="AP659" s="55">
        <f t="shared" si="241"/>
        <v>0</v>
      </c>
      <c r="AQ659" s="55">
        <f>IFERROR(VLOOKUP(A659,[1]SIIMPLES!$A$2:$F$418,6,FALSE),0)</f>
        <v>0</v>
      </c>
      <c r="AR659" s="55">
        <v>0</v>
      </c>
      <c r="AS659" s="55">
        <v>0</v>
      </c>
      <c r="AT659" s="55">
        <v>0</v>
      </c>
      <c r="AU659" s="55">
        <v>0</v>
      </c>
      <c r="AV659" s="55">
        <v>0</v>
      </c>
      <c r="AW659" s="55"/>
      <c r="AX659" s="55"/>
      <c r="AY659" s="56">
        <f t="shared" ref="AY659:AY722" si="253">IFERROR(AVERAGE(I659,N659,R659,V659,Z659,AD659,AH659,AL659,AP659,AS659,AW659,AX659),"-")</f>
        <v>0.1</v>
      </c>
      <c r="AZ659" s="55"/>
      <c r="BA659" s="56">
        <v>0.4</v>
      </c>
      <c r="BB659" s="41">
        <f t="shared" si="246"/>
        <v>-0.75</v>
      </c>
      <c r="BC659" s="7"/>
      <c r="BD659" s="36"/>
      <c r="BE659" s="7"/>
      <c r="BF659" s="7"/>
      <c r="BG659" s="7"/>
      <c r="BH659" s="7"/>
    </row>
    <row r="660" spans="1:60" s="21" customFormat="1" ht="12.75" customHeight="1" x14ac:dyDescent="0.2">
      <c r="A660" s="51">
        <v>5410</v>
      </c>
      <c r="B660" s="51"/>
      <c r="C660" s="66" t="s">
        <v>1803</v>
      </c>
      <c r="D660" s="52" t="s">
        <v>735</v>
      </c>
      <c r="E660" s="52" t="s">
        <v>736</v>
      </c>
      <c r="F660" s="53">
        <f>IFERROR(VLOOKUP(E660,Fornecedores!$A$2:$B$2700,2,FALSE),"")</f>
        <v>5</v>
      </c>
      <c r="G660" s="52" t="s">
        <v>261</v>
      </c>
      <c r="H660" s="54"/>
      <c r="I660" s="55">
        <f t="shared" si="247"/>
        <v>0</v>
      </c>
      <c r="J660" s="55">
        <v>0</v>
      </c>
      <c r="K660" s="55">
        <v>0</v>
      </c>
      <c r="L660" s="55">
        <v>0</v>
      </c>
      <c r="M660" s="55">
        <v>0</v>
      </c>
      <c r="N660" s="55">
        <f t="shared" si="248"/>
        <v>0</v>
      </c>
      <c r="O660" s="55">
        <v>0</v>
      </c>
      <c r="P660" s="55">
        <v>0</v>
      </c>
      <c r="Q660" s="55">
        <v>0</v>
      </c>
      <c r="R660" s="55">
        <f t="shared" si="249"/>
        <v>0</v>
      </c>
      <c r="S660" s="55">
        <v>0</v>
      </c>
      <c r="T660" s="55">
        <v>0</v>
      </c>
      <c r="U660" s="55">
        <v>0</v>
      </c>
      <c r="V660" s="55">
        <v>0</v>
      </c>
      <c r="W660" s="53">
        <v>0</v>
      </c>
      <c r="X660" s="53">
        <v>0</v>
      </c>
      <c r="Y660" s="55">
        <v>0</v>
      </c>
      <c r="Z660" s="55">
        <v>0</v>
      </c>
      <c r="AA660" s="53">
        <v>0</v>
      </c>
      <c r="AB660" s="53">
        <v>0</v>
      </c>
      <c r="AC660" s="55">
        <v>0</v>
      </c>
      <c r="AD660" s="55">
        <f t="shared" si="250"/>
        <v>0</v>
      </c>
      <c r="AE660" s="53">
        <v>0</v>
      </c>
      <c r="AF660" s="55">
        <v>0</v>
      </c>
      <c r="AG660" s="55">
        <v>0</v>
      </c>
      <c r="AH660" s="55">
        <f t="shared" si="251"/>
        <v>0</v>
      </c>
      <c r="AI660" s="55">
        <v>0</v>
      </c>
      <c r="AJ660" s="55">
        <v>0</v>
      </c>
      <c r="AK660" s="55">
        <v>0</v>
      </c>
      <c r="AL660" s="55">
        <f t="shared" si="252"/>
        <v>0</v>
      </c>
      <c r="AM660" s="55" t="s">
        <v>1912</v>
      </c>
      <c r="AN660" s="55">
        <v>0</v>
      </c>
      <c r="AO660" s="55">
        <v>0</v>
      </c>
      <c r="AP660" s="55">
        <f t="shared" si="241"/>
        <v>0</v>
      </c>
      <c r="AQ660" s="55">
        <f>IFERROR(VLOOKUP(A660,[1]SIIMPLES!$A$2:$F$418,6,FALSE),0)</f>
        <v>0</v>
      </c>
      <c r="AR660" s="55">
        <v>0</v>
      </c>
      <c r="AS660" s="55">
        <v>6</v>
      </c>
      <c r="AT660" s="55">
        <v>0</v>
      </c>
      <c r="AU660" s="55">
        <v>0</v>
      </c>
      <c r="AV660" s="55">
        <v>6</v>
      </c>
      <c r="AW660" s="55"/>
      <c r="AX660" s="55"/>
      <c r="AY660" s="56">
        <f t="shared" si="253"/>
        <v>0.6</v>
      </c>
      <c r="AZ660" s="55"/>
      <c r="BA660" s="56">
        <v>0</v>
      </c>
      <c r="BB660" s="41" t="str">
        <f t="shared" si="246"/>
        <v/>
      </c>
      <c r="BC660" s="13"/>
      <c r="BD660" s="35"/>
      <c r="BE660" s="7"/>
      <c r="BF660" s="16"/>
      <c r="BG660" s="17">
        <f t="shared" ref="BG660:BG672" si="254">IFERROR(BC660/AY660,"0")</f>
        <v>0</v>
      </c>
      <c r="BH660" s="16">
        <f>IFERROR(IF(F660=1,IF(BC660&lt;AY660*3,AY660*3-BC660,0),IF(BC660&lt;AY660,AY660-BC660,0)),"")</f>
        <v>0.6</v>
      </c>
    </row>
    <row r="661" spans="1:60" s="21" customFormat="1" ht="12.75" customHeight="1" x14ac:dyDescent="0.2">
      <c r="A661" s="51">
        <v>5411</v>
      </c>
      <c r="B661" s="51"/>
      <c r="C661" s="66" t="s">
        <v>1803</v>
      </c>
      <c r="D661" s="52" t="s">
        <v>735</v>
      </c>
      <c r="E661" s="52" t="s">
        <v>736</v>
      </c>
      <c r="F661" s="53">
        <f>IFERROR(VLOOKUP(E661,Fornecedores!$A$2:$B$2700,2,FALSE),"")</f>
        <v>5</v>
      </c>
      <c r="G661" s="52" t="s">
        <v>524</v>
      </c>
      <c r="H661" s="54"/>
      <c r="I661" s="55">
        <f t="shared" si="247"/>
        <v>0</v>
      </c>
      <c r="J661" s="55">
        <v>0</v>
      </c>
      <c r="K661" s="55">
        <v>0</v>
      </c>
      <c r="L661" s="55">
        <v>0</v>
      </c>
      <c r="M661" s="55">
        <v>0</v>
      </c>
      <c r="N661" s="55">
        <f t="shared" si="248"/>
        <v>0</v>
      </c>
      <c r="O661" s="55">
        <v>0</v>
      </c>
      <c r="P661" s="55">
        <v>0</v>
      </c>
      <c r="Q661" s="55">
        <v>0</v>
      </c>
      <c r="R661" s="55">
        <f t="shared" si="249"/>
        <v>0</v>
      </c>
      <c r="S661" s="55">
        <v>0</v>
      </c>
      <c r="T661" s="55">
        <v>0</v>
      </c>
      <c r="U661" s="55">
        <v>0</v>
      </c>
      <c r="V661" s="55">
        <v>0</v>
      </c>
      <c r="W661" s="53">
        <v>0</v>
      </c>
      <c r="X661" s="53">
        <v>0</v>
      </c>
      <c r="Y661" s="55">
        <v>0</v>
      </c>
      <c r="Z661" s="55">
        <v>0</v>
      </c>
      <c r="AA661" s="53">
        <v>0</v>
      </c>
      <c r="AB661" s="53">
        <v>0</v>
      </c>
      <c r="AC661" s="55">
        <v>0</v>
      </c>
      <c r="AD661" s="55">
        <f t="shared" si="250"/>
        <v>0</v>
      </c>
      <c r="AE661" s="53">
        <v>0</v>
      </c>
      <c r="AF661" s="55">
        <v>0</v>
      </c>
      <c r="AG661" s="55">
        <v>0</v>
      </c>
      <c r="AH661" s="55">
        <f t="shared" si="251"/>
        <v>0</v>
      </c>
      <c r="AI661" s="55">
        <v>0</v>
      </c>
      <c r="AJ661" s="55">
        <v>0</v>
      </c>
      <c r="AK661" s="55">
        <v>0</v>
      </c>
      <c r="AL661" s="55">
        <f t="shared" si="252"/>
        <v>0</v>
      </c>
      <c r="AM661" s="55" t="s">
        <v>1912</v>
      </c>
      <c r="AN661" s="55">
        <v>0</v>
      </c>
      <c r="AO661" s="55">
        <v>0</v>
      </c>
      <c r="AP661" s="55">
        <f t="shared" si="241"/>
        <v>0</v>
      </c>
      <c r="AQ661" s="55">
        <f>IFERROR(VLOOKUP(A661,[1]SIIMPLES!$A$2:$F$418,6,FALSE),0)</f>
        <v>0</v>
      </c>
      <c r="AR661" s="55">
        <v>0</v>
      </c>
      <c r="AS661" s="55">
        <v>6</v>
      </c>
      <c r="AT661" s="55">
        <v>0</v>
      </c>
      <c r="AU661" s="55">
        <v>0</v>
      </c>
      <c r="AV661" s="55">
        <v>6</v>
      </c>
      <c r="AW661" s="55"/>
      <c r="AX661" s="55"/>
      <c r="AY661" s="56">
        <f t="shared" si="253"/>
        <v>0.6</v>
      </c>
      <c r="AZ661" s="55"/>
      <c r="BA661" s="56">
        <v>0</v>
      </c>
      <c r="BB661" s="41" t="str">
        <f t="shared" si="246"/>
        <v/>
      </c>
      <c r="BC661" s="13"/>
      <c r="BD661" s="36"/>
      <c r="BE661" s="7"/>
      <c r="BF661" s="7"/>
      <c r="BG661" s="17">
        <f t="shared" si="254"/>
        <v>0</v>
      </c>
      <c r="BH661" s="7"/>
    </row>
    <row r="662" spans="1:60" s="21" customFormat="1" ht="12.75" customHeight="1" x14ac:dyDescent="0.2">
      <c r="A662" s="51">
        <v>5412</v>
      </c>
      <c r="B662" s="51"/>
      <c r="C662" s="66" t="s">
        <v>1803</v>
      </c>
      <c r="D662" s="52" t="s">
        <v>735</v>
      </c>
      <c r="E662" s="52" t="s">
        <v>736</v>
      </c>
      <c r="F662" s="53">
        <f>IFERROR(VLOOKUP(E662,Fornecedores!$A$2:$B$2700,2,FALSE),"")</f>
        <v>5</v>
      </c>
      <c r="G662" s="52" t="s">
        <v>994</v>
      </c>
      <c r="H662" s="54"/>
      <c r="I662" s="55">
        <f t="shared" si="247"/>
        <v>0</v>
      </c>
      <c r="J662" s="55">
        <v>0</v>
      </c>
      <c r="K662" s="55">
        <v>0</v>
      </c>
      <c r="L662" s="55">
        <v>0</v>
      </c>
      <c r="M662" s="55">
        <v>0</v>
      </c>
      <c r="N662" s="55">
        <f t="shared" si="248"/>
        <v>0</v>
      </c>
      <c r="O662" s="55">
        <v>0</v>
      </c>
      <c r="P662" s="55">
        <v>0</v>
      </c>
      <c r="Q662" s="55">
        <v>0</v>
      </c>
      <c r="R662" s="55">
        <f t="shared" si="249"/>
        <v>0</v>
      </c>
      <c r="S662" s="55">
        <v>0</v>
      </c>
      <c r="T662" s="55">
        <v>0</v>
      </c>
      <c r="U662" s="55">
        <v>0</v>
      </c>
      <c r="V662" s="55">
        <v>0</v>
      </c>
      <c r="W662" s="53">
        <v>0</v>
      </c>
      <c r="X662" s="53">
        <v>0</v>
      </c>
      <c r="Y662" s="55">
        <v>0</v>
      </c>
      <c r="Z662" s="55">
        <v>0</v>
      </c>
      <c r="AA662" s="53">
        <v>0</v>
      </c>
      <c r="AB662" s="53">
        <v>0</v>
      </c>
      <c r="AC662" s="55">
        <v>0</v>
      </c>
      <c r="AD662" s="55">
        <f t="shared" si="250"/>
        <v>0</v>
      </c>
      <c r="AE662" s="53">
        <v>0</v>
      </c>
      <c r="AF662" s="55">
        <v>0</v>
      </c>
      <c r="AG662" s="55">
        <v>0</v>
      </c>
      <c r="AH662" s="55">
        <f t="shared" si="251"/>
        <v>0</v>
      </c>
      <c r="AI662" s="55">
        <v>0</v>
      </c>
      <c r="AJ662" s="55">
        <v>0</v>
      </c>
      <c r="AK662" s="55">
        <v>0</v>
      </c>
      <c r="AL662" s="55">
        <f t="shared" si="252"/>
        <v>0</v>
      </c>
      <c r="AM662" s="55" t="s">
        <v>1912</v>
      </c>
      <c r="AN662" s="55">
        <v>0</v>
      </c>
      <c r="AO662" s="55">
        <v>0</v>
      </c>
      <c r="AP662" s="55">
        <f t="shared" si="241"/>
        <v>0</v>
      </c>
      <c r="AQ662" s="55">
        <f>IFERROR(VLOOKUP(A662,[1]SIIMPLES!$A$2:$F$418,6,FALSE),0)</f>
        <v>0</v>
      </c>
      <c r="AR662" s="55">
        <v>0</v>
      </c>
      <c r="AS662" s="55">
        <v>0</v>
      </c>
      <c r="AT662" s="55">
        <v>0</v>
      </c>
      <c r="AU662" s="55">
        <v>0</v>
      </c>
      <c r="AV662" s="55">
        <v>0</v>
      </c>
      <c r="AW662" s="55"/>
      <c r="AX662" s="55"/>
      <c r="AY662" s="56">
        <f t="shared" si="253"/>
        <v>0</v>
      </c>
      <c r="AZ662" s="55"/>
      <c r="BA662" s="56">
        <v>0.2</v>
      </c>
      <c r="BB662" s="36"/>
      <c r="BC662" s="7"/>
      <c r="BD662" s="35"/>
      <c r="BE662" s="13"/>
      <c r="BF662" s="16"/>
      <c r="BG662" s="17" t="str">
        <f t="shared" si="254"/>
        <v>0</v>
      </c>
      <c r="BH662" s="16">
        <f t="shared" ref="BH662:BH669" si="255">IFERROR(IF(F662=1,IF(BC662&lt;AY662*3,AY662*3-BC662,0),IF(BC662&lt;AY662,AY662-BC662,0)),"")</f>
        <v>0</v>
      </c>
    </row>
    <row r="663" spans="1:60" s="21" customFormat="1" ht="12.75" customHeight="1" x14ac:dyDescent="0.2">
      <c r="A663" s="50">
        <v>5413</v>
      </c>
      <c r="B663" s="51"/>
      <c r="C663" s="51" t="s">
        <v>1803</v>
      </c>
      <c r="D663" s="52" t="s">
        <v>735</v>
      </c>
      <c r="E663" s="52" t="s">
        <v>736</v>
      </c>
      <c r="F663" s="53">
        <f>IFERROR(VLOOKUP(E663,Fornecedores!$A$2:$B$2700,2,FALSE),"")</f>
        <v>5</v>
      </c>
      <c r="G663" s="52" t="s">
        <v>995</v>
      </c>
      <c r="H663" s="54"/>
      <c r="I663" s="55">
        <f t="shared" si="247"/>
        <v>0</v>
      </c>
      <c r="J663" s="55">
        <v>0</v>
      </c>
      <c r="K663" s="55">
        <v>0</v>
      </c>
      <c r="L663" s="55">
        <v>0</v>
      </c>
      <c r="M663" s="55">
        <v>0</v>
      </c>
      <c r="N663" s="55">
        <f t="shared" si="248"/>
        <v>0</v>
      </c>
      <c r="O663" s="55">
        <v>0</v>
      </c>
      <c r="P663" s="55">
        <v>0</v>
      </c>
      <c r="Q663" s="55">
        <v>0</v>
      </c>
      <c r="R663" s="55">
        <f t="shared" si="249"/>
        <v>0</v>
      </c>
      <c r="S663" s="55">
        <v>0</v>
      </c>
      <c r="T663" s="55">
        <v>0</v>
      </c>
      <c r="U663" s="55">
        <v>0</v>
      </c>
      <c r="V663" s="55">
        <v>0</v>
      </c>
      <c r="W663" s="53">
        <v>0</v>
      </c>
      <c r="X663" s="53">
        <v>0</v>
      </c>
      <c r="Y663" s="55">
        <v>0</v>
      </c>
      <c r="Z663" s="55">
        <v>0</v>
      </c>
      <c r="AA663" s="53">
        <v>0</v>
      </c>
      <c r="AB663" s="53">
        <v>0</v>
      </c>
      <c r="AC663" s="55">
        <v>0</v>
      </c>
      <c r="AD663" s="55">
        <f t="shared" si="250"/>
        <v>0</v>
      </c>
      <c r="AE663" s="53">
        <f>IFERROR(VLOOKUP(A663,[4]simples!$A$1:$B$281,2,FALSE),0)</f>
        <v>0</v>
      </c>
      <c r="AF663" s="55">
        <v>0</v>
      </c>
      <c r="AG663" s="55">
        <v>0</v>
      </c>
      <c r="AH663" s="55">
        <f t="shared" si="251"/>
        <v>0</v>
      </c>
      <c r="AI663" s="55"/>
      <c r="AJ663" s="55">
        <v>0</v>
      </c>
      <c r="AK663" s="55"/>
      <c r="AL663" s="55">
        <f t="shared" si="252"/>
        <v>0</v>
      </c>
      <c r="AM663" s="55" t="s">
        <v>1912</v>
      </c>
      <c r="AN663" s="55">
        <v>0</v>
      </c>
      <c r="AO663" s="55">
        <v>0</v>
      </c>
      <c r="AP663" s="55">
        <f t="shared" si="241"/>
        <v>0</v>
      </c>
      <c r="AQ663" s="55">
        <f>IFERROR(VLOOKUP(A663,[1]SIIMPLES!$A$2:$F$418,6,FALSE),0)</f>
        <v>0</v>
      </c>
      <c r="AR663" s="55">
        <v>0</v>
      </c>
      <c r="AS663" s="55">
        <v>0</v>
      </c>
      <c r="AT663" s="55">
        <v>0</v>
      </c>
      <c r="AU663" s="55">
        <v>0</v>
      </c>
      <c r="AV663" s="55">
        <v>0</v>
      </c>
      <c r="AW663" s="55"/>
      <c r="AX663" s="55"/>
      <c r="AY663" s="56">
        <f t="shared" si="253"/>
        <v>0</v>
      </c>
      <c r="AZ663" s="55" t="s">
        <v>1619</v>
      </c>
      <c r="BA663" s="56">
        <v>0</v>
      </c>
      <c r="BB663" s="36"/>
      <c r="BC663" s="7"/>
      <c r="BD663" s="35"/>
      <c r="BE663" s="13"/>
      <c r="BF663" s="16"/>
      <c r="BG663" s="17" t="str">
        <f t="shared" si="254"/>
        <v>0</v>
      </c>
      <c r="BH663" s="16">
        <f t="shared" si="255"/>
        <v>0</v>
      </c>
    </row>
    <row r="664" spans="1:60" s="21" customFormat="1" ht="12.75" customHeight="1" x14ac:dyDescent="0.2">
      <c r="A664" s="50">
        <v>5414</v>
      </c>
      <c r="B664" s="51"/>
      <c r="C664" s="51" t="s">
        <v>1803</v>
      </c>
      <c r="D664" s="52" t="s">
        <v>735</v>
      </c>
      <c r="E664" s="52" t="s">
        <v>736</v>
      </c>
      <c r="F664" s="53">
        <f>IFERROR(VLOOKUP(E664,Fornecedores!$A$2:$B$2700,2,FALSE),"")</f>
        <v>5</v>
      </c>
      <c r="G664" s="52" t="s">
        <v>968</v>
      </c>
      <c r="H664" s="54"/>
      <c r="I664" s="55">
        <f t="shared" si="247"/>
        <v>0</v>
      </c>
      <c r="J664" s="55">
        <v>0</v>
      </c>
      <c r="K664" s="55">
        <v>0</v>
      </c>
      <c r="L664" s="55">
        <v>0</v>
      </c>
      <c r="M664" s="55">
        <v>0</v>
      </c>
      <c r="N664" s="55">
        <f t="shared" si="248"/>
        <v>0</v>
      </c>
      <c r="O664" s="55">
        <v>0</v>
      </c>
      <c r="P664" s="55">
        <v>0</v>
      </c>
      <c r="Q664" s="55">
        <v>0</v>
      </c>
      <c r="R664" s="55">
        <f t="shared" si="249"/>
        <v>0</v>
      </c>
      <c r="S664" s="55">
        <v>0</v>
      </c>
      <c r="T664" s="55">
        <v>0</v>
      </c>
      <c r="U664" s="55">
        <v>0</v>
      </c>
      <c r="V664" s="55">
        <v>0</v>
      </c>
      <c r="W664" s="53">
        <v>0</v>
      </c>
      <c r="X664" s="53">
        <v>0</v>
      </c>
      <c r="Y664" s="55">
        <v>0</v>
      </c>
      <c r="Z664" s="55">
        <v>0</v>
      </c>
      <c r="AA664" s="53">
        <v>0</v>
      </c>
      <c r="AB664" s="53">
        <v>0</v>
      </c>
      <c r="AC664" s="55">
        <v>0</v>
      </c>
      <c r="AD664" s="55">
        <f t="shared" si="250"/>
        <v>0</v>
      </c>
      <c r="AE664" s="53">
        <f>IFERROR(VLOOKUP(A664,[4]simples!$A$1:$B$281,2,FALSE),0)</f>
        <v>0</v>
      </c>
      <c r="AF664" s="55">
        <v>0</v>
      </c>
      <c r="AG664" s="55">
        <v>0</v>
      </c>
      <c r="AH664" s="55">
        <f t="shared" si="251"/>
        <v>0</v>
      </c>
      <c r="AI664" s="55"/>
      <c r="AJ664" s="55">
        <v>0</v>
      </c>
      <c r="AK664" s="55"/>
      <c r="AL664" s="55">
        <f t="shared" si="252"/>
        <v>0</v>
      </c>
      <c r="AM664" s="55" t="s">
        <v>1912</v>
      </c>
      <c r="AN664" s="55">
        <v>0</v>
      </c>
      <c r="AO664" s="55">
        <v>0</v>
      </c>
      <c r="AP664" s="55">
        <f t="shared" si="241"/>
        <v>0</v>
      </c>
      <c r="AQ664" s="55">
        <f>IFERROR(VLOOKUP(A664,[1]SIIMPLES!$A$2:$F$418,6,FALSE),0)</f>
        <v>0</v>
      </c>
      <c r="AR664" s="55">
        <v>0</v>
      </c>
      <c r="AS664" s="55">
        <v>0</v>
      </c>
      <c r="AT664" s="55">
        <v>0</v>
      </c>
      <c r="AU664" s="55">
        <v>0</v>
      </c>
      <c r="AV664" s="55">
        <v>0</v>
      </c>
      <c r="AW664" s="55"/>
      <c r="AX664" s="55"/>
      <c r="AY664" s="56">
        <f t="shared" si="253"/>
        <v>0</v>
      </c>
      <c r="AZ664" s="55" t="s">
        <v>1619</v>
      </c>
      <c r="BA664" s="56">
        <v>0</v>
      </c>
      <c r="BB664" s="41" t="str">
        <f>IFERROR(AY664/BA664-1,"")</f>
        <v/>
      </c>
      <c r="BC664" s="7"/>
      <c r="BD664" s="35"/>
      <c r="BE664" s="13"/>
      <c r="BF664" s="16"/>
      <c r="BG664" s="17" t="str">
        <f t="shared" si="254"/>
        <v>0</v>
      </c>
      <c r="BH664" s="16">
        <f t="shared" si="255"/>
        <v>0</v>
      </c>
    </row>
    <row r="665" spans="1:60" s="21" customFormat="1" ht="12.75" customHeight="1" x14ac:dyDescent="0.2">
      <c r="A665" s="50">
        <v>5415</v>
      </c>
      <c r="B665" s="51"/>
      <c r="C665" s="51" t="s">
        <v>1803</v>
      </c>
      <c r="D665" s="52" t="s">
        <v>735</v>
      </c>
      <c r="E665" s="52" t="s">
        <v>736</v>
      </c>
      <c r="F665" s="53">
        <f>IFERROR(VLOOKUP(E665,Fornecedores!$A$2:$B$2700,2,FALSE),"")</f>
        <v>5</v>
      </c>
      <c r="G665" s="52" t="s">
        <v>969</v>
      </c>
      <c r="H665" s="54"/>
      <c r="I665" s="55">
        <f t="shared" si="247"/>
        <v>0</v>
      </c>
      <c r="J665" s="55">
        <v>0</v>
      </c>
      <c r="K665" s="55">
        <v>0</v>
      </c>
      <c r="L665" s="55">
        <v>0</v>
      </c>
      <c r="M665" s="55">
        <v>0</v>
      </c>
      <c r="N665" s="55">
        <f t="shared" si="248"/>
        <v>0</v>
      </c>
      <c r="O665" s="55">
        <v>0</v>
      </c>
      <c r="P665" s="55">
        <v>0</v>
      </c>
      <c r="Q665" s="55">
        <v>0</v>
      </c>
      <c r="R665" s="55">
        <f t="shared" si="249"/>
        <v>0</v>
      </c>
      <c r="S665" s="55">
        <v>0</v>
      </c>
      <c r="T665" s="55">
        <v>0</v>
      </c>
      <c r="U665" s="55">
        <v>0</v>
      </c>
      <c r="V665" s="55">
        <v>0</v>
      </c>
      <c r="W665" s="53">
        <v>0</v>
      </c>
      <c r="X665" s="53">
        <v>0</v>
      </c>
      <c r="Y665" s="55">
        <v>0</v>
      </c>
      <c r="Z665" s="55">
        <v>0</v>
      </c>
      <c r="AA665" s="53">
        <v>0</v>
      </c>
      <c r="AB665" s="53">
        <v>0</v>
      </c>
      <c r="AC665" s="55">
        <v>0</v>
      </c>
      <c r="AD665" s="55">
        <f t="shared" si="250"/>
        <v>0</v>
      </c>
      <c r="AE665" s="53">
        <f>IFERROR(VLOOKUP(A665,[4]simples!$A$1:$B$281,2,FALSE),0)</f>
        <v>0</v>
      </c>
      <c r="AF665" s="55">
        <v>0</v>
      </c>
      <c r="AG665" s="55">
        <v>0</v>
      </c>
      <c r="AH665" s="55">
        <f t="shared" si="251"/>
        <v>0</v>
      </c>
      <c r="AI665" s="55"/>
      <c r="AJ665" s="55">
        <v>0</v>
      </c>
      <c r="AK665" s="55"/>
      <c r="AL665" s="55">
        <f t="shared" si="252"/>
        <v>0</v>
      </c>
      <c r="AM665" s="55" t="s">
        <v>1912</v>
      </c>
      <c r="AN665" s="55">
        <v>0</v>
      </c>
      <c r="AO665" s="55">
        <v>0</v>
      </c>
      <c r="AP665" s="55">
        <f t="shared" si="241"/>
        <v>0</v>
      </c>
      <c r="AQ665" s="55">
        <f>IFERROR(VLOOKUP(A665,[1]SIIMPLES!$A$2:$F$418,6,FALSE),0)</f>
        <v>0</v>
      </c>
      <c r="AR665" s="55">
        <v>0</v>
      </c>
      <c r="AS665" s="55">
        <v>0</v>
      </c>
      <c r="AT665" s="55">
        <v>0</v>
      </c>
      <c r="AU665" s="55">
        <v>0</v>
      </c>
      <c r="AV665" s="55">
        <v>0</v>
      </c>
      <c r="AW665" s="55"/>
      <c r="AX665" s="55"/>
      <c r="AY665" s="56">
        <f t="shared" si="253"/>
        <v>0</v>
      </c>
      <c r="AZ665" s="55" t="s">
        <v>1619</v>
      </c>
      <c r="BA665" s="56">
        <v>0</v>
      </c>
      <c r="BB665" s="36"/>
      <c r="BC665" s="7"/>
      <c r="BD665" s="35"/>
      <c r="BE665" s="13"/>
      <c r="BF665" s="16"/>
      <c r="BG665" s="17" t="str">
        <f t="shared" si="254"/>
        <v>0</v>
      </c>
      <c r="BH665" s="16">
        <f t="shared" si="255"/>
        <v>0</v>
      </c>
    </row>
    <row r="666" spans="1:60" s="21" customFormat="1" ht="12.75" customHeight="1" x14ac:dyDescent="0.2">
      <c r="A666" s="50">
        <v>5418</v>
      </c>
      <c r="B666" s="51"/>
      <c r="C666" s="51" t="s">
        <v>1803</v>
      </c>
      <c r="D666" s="52" t="s">
        <v>735</v>
      </c>
      <c r="E666" s="52" t="s">
        <v>736</v>
      </c>
      <c r="F666" s="53">
        <f>IFERROR(VLOOKUP(E666,Fornecedores!$A$2:$B$2700,2,FALSE),"")</f>
        <v>5</v>
      </c>
      <c r="G666" s="52" t="s">
        <v>996</v>
      </c>
      <c r="H666" s="54"/>
      <c r="I666" s="55">
        <f t="shared" si="247"/>
        <v>0</v>
      </c>
      <c r="J666" s="55">
        <v>0</v>
      </c>
      <c r="K666" s="55">
        <v>0</v>
      </c>
      <c r="L666" s="55">
        <v>0</v>
      </c>
      <c r="M666" s="55">
        <v>0</v>
      </c>
      <c r="N666" s="55">
        <f t="shared" si="248"/>
        <v>0</v>
      </c>
      <c r="O666" s="55">
        <v>0</v>
      </c>
      <c r="P666" s="55">
        <v>0</v>
      </c>
      <c r="Q666" s="55">
        <v>0</v>
      </c>
      <c r="R666" s="55">
        <f t="shared" si="249"/>
        <v>0</v>
      </c>
      <c r="S666" s="55">
        <v>0</v>
      </c>
      <c r="T666" s="55">
        <v>0</v>
      </c>
      <c r="U666" s="55">
        <v>0</v>
      </c>
      <c r="V666" s="55">
        <v>0</v>
      </c>
      <c r="W666" s="53">
        <v>0</v>
      </c>
      <c r="X666" s="53">
        <v>0</v>
      </c>
      <c r="Y666" s="55">
        <v>0</v>
      </c>
      <c r="Z666" s="55">
        <v>0</v>
      </c>
      <c r="AA666" s="53">
        <v>0</v>
      </c>
      <c r="AB666" s="53">
        <v>0</v>
      </c>
      <c r="AC666" s="55">
        <v>0</v>
      </c>
      <c r="AD666" s="55">
        <f t="shared" si="250"/>
        <v>0</v>
      </c>
      <c r="AE666" s="53">
        <f>IFERROR(VLOOKUP(A666,[4]simples!$A$1:$B$281,2,FALSE),0)</f>
        <v>0</v>
      </c>
      <c r="AF666" s="55">
        <v>0</v>
      </c>
      <c r="AG666" s="55">
        <v>0</v>
      </c>
      <c r="AH666" s="55">
        <f t="shared" si="251"/>
        <v>0</v>
      </c>
      <c r="AI666" s="55"/>
      <c r="AJ666" s="55">
        <v>0</v>
      </c>
      <c r="AK666" s="55"/>
      <c r="AL666" s="55">
        <f t="shared" si="252"/>
        <v>0</v>
      </c>
      <c r="AM666" s="55" t="s">
        <v>1912</v>
      </c>
      <c r="AN666" s="55">
        <v>0</v>
      </c>
      <c r="AO666" s="55">
        <v>0</v>
      </c>
      <c r="AP666" s="55">
        <f t="shared" si="241"/>
        <v>0</v>
      </c>
      <c r="AQ666" s="55">
        <f>IFERROR(VLOOKUP(A666,[1]SIIMPLES!$A$2:$F$418,6,FALSE),0)</f>
        <v>0</v>
      </c>
      <c r="AR666" s="55">
        <v>0</v>
      </c>
      <c r="AS666" s="55">
        <v>0</v>
      </c>
      <c r="AT666" s="55">
        <v>0</v>
      </c>
      <c r="AU666" s="55">
        <v>0</v>
      </c>
      <c r="AV666" s="55">
        <v>0</v>
      </c>
      <c r="AW666" s="55"/>
      <c r="AX666" s="55"/>
      <c r="AY666" s="56">
        <f t="shared" si="253"/>
        <v>0</v>
      </c>
      <c r="AZ666" s="55" t="s">
        <v>1619</v>
      </c>
      <c r="BA666" s="56">
        <v>0</v>
      </c>
      <c r="BB666" s="36"/>
      <c r="BC666" s="7"/>
      <c r="BD666" s="35"/>
      <c r="BE666" s="13"/>
      <c r="BF666" s="16"/>
      <c r="BG666" s="17" t="str">
        <f t="shared" si="254"/>
        <v>0</v>
      </c>
      <c r="BH666" s="16">
        <f t="shared" si="255"/>
        <v>0</v>
      </c>
    </row>
    <row r="667" spans="1:60" s="21" customFormat="1" ht="12.75" customHeight="1" x14ac:dyDescent="0.2">
      <c r="A667" s="50">
        <v>5419</v>
      </c>
      <c r="B667" s="51"/>
      <c r="C667" s="51" t="s">
        <v>1803</v>
      </c>
      <c r="D667" s="52" t="s">
        <v>735</v>
      </c>
      <c r="E667" s="52" t="s">
        <v>736</v>
      </c>
      <c r="F667" s="53">
        <f>IFERROR(VLOOKUP(E667,Fornecedores!$A$2:$B$2700,2,FALSE),"")</f>
        <v>5</v>
      </c>
      <c r="G667" s="52" t="s">
        <v>997</v>
      </c>
      <c r="H667" s="54"/>
      <c r="I667" s="55">
        <f t="shared" si="247"/>
        <v>0</v>
      </c>
      <c r="J667" s="55">
        <v>0</v>
      </c>
      <c r="K667" s="55">
        <v>0</v>
      </c>
      <c r="L667" s="55">
        <v>0</v>
      </c>
      <c r="M667" s="55">
        <v>0</v>
      </c>
      <c r="N667" s="55">
        <f t="shared" si="248"/>
        <v>0</v>
      </c>
      <c r="O667" s="55">
        <v>0</v>
      </c>
      <c r="P667" s="55">
        <v>0</v>
      </c>
      <c r="Q667" s="55">
        <v>0</v>
      </c>
      <c r="R667" s="55">
        <f t="shared" si="249"/>
        <v>0</v>
      </c>
      <c r="S667" s="55">
        <v>0</v>
      </c>
      <c r="T667" s="55">
        <v>0</v>
      </c>
      <c r="U667" s="55">
        <v>0</v>
      </c>
      <c r="V667" s="55">
        <v>0</v>
      </c>
      <c r="W667" s="53">
        <v>0</v>
      </c>
      <c r="X667" s="53">
        <v>0</v>
      </c>
      <c r="Y667" s="55">
        <v>0</v>
      </c>
      <c r="Z667" s="55">
        <v>0</v>
      </c>
      <c r="AA667" s="53">
        <v>0</v>
      </c>
      <c r="AB667" s="53">
        <v>0</v>
      </c>
      <c r="AC667" s="55">
        <v>0</v>
      </c>
      <c r="AD667" s="55">
        <f t="shared" si="250"/>
        <v>0</v>
      </c>
      <c r="AE667" s="53">
        <f>IFERROR(VLOOKUP(A667,[4]simples!$A$1:$B$281,2,FALSE),0)</f>
        <v>0</v>
      </c>
      <c r="AF667" s="55">
        <v>0</v>
      </c>
      <c r="AG667" s="55">
        <v>0</v>
      </c>
      <c r="AH667" s="55">
        <f t="shared" si="251"/>
        <v>0</v>
      </c>
      <c r="AI667" s="55"/>
      <c r="AJ667" s="55">
        <v>0</v>
      </c>
      <c r="AK667" s="55"/>
      <c r="AL667" s="55">
        <f t="shared" si="252"/>
        <v>0</v>
      </c>
      <c r="AM667" s="55" t="s">
        <v>1912</v>
      </c>
      <c r="AN667" s="55">
        <v>0</v>
      </c>
      <c r="AO667" s="55">
        <v>0</v>
      </c>
      <c r="AP667" s="55">
        <f t="shared" si="241"/>
        <v>0</v>
      </c>
      <c r="AQ667" s="55">
        <f>IFERROR(VLOOKUP(A667,[1]SIIMPLES!$A$2:$F$418,6,FALSE),0)</f>
        <v>0</v>
      </c>
      <c r="AR667" s="55">
        <v>0</v>
      </c>
      <c r="AS667" s="55">
        <v>0</v>
      </c>
      <c r="AT667" s="55">
        <v>0</v>
      </c>
      <c r="AU667" s="55">
        <v>0</v>
      </c>
      <c r="AV667" s="55">
        <v>0</v>
      </c>
      <c r="AW667" s="55"/>
      <c r="AX667" s="55"/>
      <c r="AY667" s="56">
        <f t="shared" si="253"/>
        <v>0</v>
      </c>
      <c r="AZ667" s="55" t="s">
        <v>1619</v>
      </c>
      <c r="BA667" s="56">
        <v>0</v>
      </c>
      <c r="BB667" s="36"/>
      <c r="BC667" s="7"/>
      <c r="BD667" s="35"/>
      <c r="BE667" s="13"/>
      <c r="BF667" s="16"/>
      <c r="BG667" s="17" t="str">
        <f t="shared" si="254"/>
        <v>0</v>
      </c>
      <c r="BH667" s="16">
        <f t="shared" si="255"/>
        <v>0</v>
      </c>
    </row>
    <row r="668" spans="1:60" s="21" customFormat="1" ht="12.75" customHeight="1" x14ac:dyDescent="0.2">
      <c r="A668" s="51">
        <v>5425</v>
      </c>
      <c r="B668" s="51"/>
      <c r="C668" s="66" t="s">
        <v>1803</v>
      </c>
      <c r="D668" s="52" t="s">
        <v>735</v>
      </c>
      <c r="E668" s="52" t="s">
        <v>736</v>
      </c>
      <c r="F668" s="53">
        <f>IFERROR(VLOOKUP(E668,Fornecedores!$A$2:$B$2700,2,FALSE),"")</f>
        <v>5</v>
      </c>
      <c r="G668" s="52" t="s">
        <v>977</v>
      </c>
      <c r="H668" s="54"/>
      <c r="I668" s="55">
        <f t="shared" si="247"/>
        <v>0</v>
      </c>
      <c r="J668" s="55">
        <v>0</v>
      </c>
      <c r="K668" s="55">
        <v>0</v>
      </c>
      <c r="L668" s="55">
        <v>0</v>
      </c>
      <c r="M668" s="55">
        <v>0</v>
      </c>
      <c r="N668" s="55">
        <f t="shared" si="248"/>
        <v>0</v>
      </c>
      <c r="O668" s="55">
        <v>0</v>
      </c>
      <c r="P668" s="55">
        <v>0</v>
      </c>
      <c r="Q668" s="55">
        <v>0</v>
      </c>
      <c r="R668" s="55">
        <f t="shared" si="249"/>
        <v>1</v>
      </c>
      <c r="S668" s="55">
        <v>0</v>
      </c>
      <c r="T668" s="55">
        <v>1</v>
      </c>
      <c r="U668" s="55">
        <v>0</v>
      </c>
      <c r="V668" s="55">
        <v>0</v>
      </c>
      <c r="W668" s="53">
        <v>0</v>
      </c>
      <c r="X668" s="53">
        <v>0</v>
      </c>
      <c r="Y668" s="55">
        <v>0</v>
      </c>
      <c r="Z668" s="55">
        <v>2</v>
      </c>
      <c r="AA668" s="53">
        <v>0</v>
      </c>
      <c r="AB668" s="53">
        <v>2</v>
      </c>
      <c r="AC668" s="55">
        <v>0</v>
      </c>
      <c r="AD668" s="55">
        <f t="shared" si="250"/>
        <v>0</v>
      </c>
      <c r="AE668" s="53">
        <v>0</v>
      </c>
      <c r="AF668" s="55">
        <v>0</v>
      </c>
      <c r="AG668" s="55">
        <v>0</v>
      </c>
      <c r="AH668" s="55">
        <f t="shared" si="251"/>
        <v>1</v>
      </c>
      <c r="AI668" s="55">
        <v>1</v>
      </c>
      <c r="AJ668" s="55">
        <v>0</v>
      </c>
      <c r="AK668" s="55">
        <v>0</v>
      </c>
      <c r="AL668" s="55">
        <f t="shared" si="252"/>
        <v>0</v>
      </c>
      <c r="AM668" s="55" t="s">
        <v>1912</v>
      </c>
      <c r="AN668" s="55">
        <v>0</v>
      </c>
      <c r="AO668" s="55">
        <v>0</v>
      </c>
      <c r="AP668" s="55">
        <f t="shared" si="241"/>
        <v>0</v>
      </c>
      <c r="AQ668" s="55">
        <f>IFERROR(VLOOKUP(A668,[1]SIIMPLES!$A$2:$F$418,6,FALSE),0)</f>
        <v>0</v>
      </c>
      <c r="AR668" s="55">
        <v>0</v>
      </c>
      <c r="AS668" s="55">
        <v>1</v>
      </c>
      <c r="AT668" s="55">
        <v>1</v>
      </c>
      <c r="AU668" s="55">
        <v>0</v>
      </c>
      <c r="AV668" s="55">
        <v>0</v>
      </c>
      <c r="AW668" s="55"/>
      <c r="AX668" s="55"/>
      <c r="AY668" s="56">
        <f t="shared" si="253"/>
        <v>0.5</v>
      </c>
      <c r="AZ668" s="55"/>
      <c r="BA668" s="56">
        <v>0</v>
      </c>
      <c r="BB668" s="41" t="str">
        <f t="shared" ref="BB668:BB699" si="256">IFERROR(AY668/BA668-1,"")</f>
        <v/>
      </c>
      <c r="BC668" s="7"/>
      <c r="BD668" s="35"/>
      <c r="BE668" s="7"/>
      <c r="BF668" s="16"/>
      <c r="BG668" s="17">
        <f t="shared" si="254"/>
        <v>0</v>
      </c>
      <c r="BH668" s="16">
        <f t="shared" si="255"/>
        <v>0.5</v>
      </c>
    </row>
    <row r="669" spans="1:60" s="21" customFormat="1" ht="12.75" customHeight="1" x14ac:dyDescent="0.2">
      <c r="A669" s="51">
        <v>5426</v>
      </c>
      <c r="B669" s="51" t="s">
        <v>1077</v>
      </c>
      <c r="C669" s="66" t="s">
        <v>1803</v>
      </c>
      <c r="D669" s="52" t="s">
        <v>735</v>
      </c>
      <c r="E669" s="52" t="s">
        <v>736</v>
      </c>
      <c r="F669" s="53">
        <f>IFERROR(VLOOKUP(E669,Fornecedores!$A$2:$B$2700,2,FALSE),"")</f>
        <v>5</v>
      </c>
      <c r="G669" s="52" t="s">
        <v>875</v>
      </c>
      <c r="H669" s="54"/>
      <c r="I669" s="55">
        <f t="shared" si="247"/>
        <v>0</v>
      </c>
      <c r="J669" s="55">
        <v>0</v>
      </c>
      <c r="K669" s="55">
        <v>0</v>
      </c>
      <c r="L669" s="55">
        <v>0</v>
      </c>
      <c r="M669" s="55">
        <v>0</v>
      </c>
      <c r="N669" s="55">
        <f t="shared" si="248"/>
        <v>1</v>
      </c>
      <c r="O669" s="55">
        <v>1</v>
      </c>
      <c r="P669" s="55">
        <v>0</v>
      </c>
      <c r="Q669" s="55">
        <v>0</v>
      </c>
      <c r="R669" s="55">
        <f t="shared" si="249"/>
        <v>1</v>
      </c>
      <c r="S669" s="55">
        <v>0</v>
      </c>
      <c r="T669" s="55">
        <v>1</v>
      </c>
      <c r="U669" s="55">
        <v>0</v>
      </c>
      <c r="V669" s="55">
        <v>0</v>
      </c>
      <c r="W669" s="53">
        <v>0</v>
      </c>
      <c r="X669" s="53">
        <v>0</v>
      </c>
      <c r="Y669" s="55">
        <v>0</v>
      </c>
      <c r="Z669" s="55">
        <v>3</v>
      </c>
      <c r="AA669" s="53">
        <v>1</v>
      </c>
      <c r="AB669" s="53">
        <v>2</v>
      </c>
      <c r="AC669" s="55">
        <v>0</v>
      </c>
      <c r="AD669" s="55">
        <f t="shared" si="250"/>
        <v>0</v>
      </c>
      <c r="AE669" s="53">
        <v>0</v>
      </c>
      <c r="AF669" s="55">
        <v>0</v>
      </c>
      <c r="AG669" s="55">
        <v>0</v>
      </c>
      <c r="AH669" s="55">
        <f t="shared" si="251"/>
        <v>0</v>
      </c>
      <c r="AI669" s="55">
        <v>0</v>
      </c>
      <c r="AJ669" s="55">
        <v>0</v>
      </c>
      <c r="AK669" s="55">
        <v>0</v>
      </c>
      <c r="AL669" s="55">
        <f t="shared" si="252"/>
        <v>0</v>
      </c>
      <c r="AM669" s="55" t="s">
        <v>1912</v>
      </c>
      <c r="AN669" s="55">
        <v>0</v>
      </c>
      <c r="AO669" s="55">
        <v>0</v>
      </c>
      <c r="AP669" s="55">
        <f t="shared" si="241"/>
        <v>0</v>
      </c>
      <c r="AQ669" s="55">
        <f>IFERROR(VLOOKUP(A669,[1]SIIMPLES!$A$2:$F$418,6,FALSE),0)</f>
        <v>0</v>
      </c>
      <c r="AR669" s="55">
        <v>0</v>
      </c>
      <c r="AS669" s="55">
        <v>0</v>
      </c>
      <c r="AT669" s="55">
        <v>0</v>
      </c>
      <c r="AU669" s="55">
        <v>0</v>
      </c>
      <c r="AV669" s="55">
        <v>0</v>
      </c>
      <c r="AW669" s="55"/>
      <c r="AX669" s="55"/>
      <c r="AY669" s="56">
        <f t="shared" si="253"/>
        <v>0.5</v>
      </c>
      <c r="AZ669" s="55"/>
      <c r="BA669" s="56">
        <v>0.16666666666666666</v>
      </c>
      <c r="BB669" s="41">
        <f t="shared" si="256"/>
        <v>2</v>
      </c>
      <c r="BC669" s="7"/>
      <c r="BD669" s="35"/>
      <c r="BE669" s="13"/>
      <c r="BF669" s="16"/>
      <c r="BG669" s="17">
        <f t="shared" si="254"/>
        <v>0</v>
      </c>
      <c r="BH669" s="16">
        <f t="shared" si="255"/>
        <v>0.5</v>
      </c>
    </row>
    <row r="670" spans="1:60" s="21" customFormat="1" ht="12.75" customHeight="1" x14ac:dyDescent="0.2">
      <c r="A670" s="51">
        <v>5427</v>
      </c>
      <c r="B670" s="51"/>
      <c r="C670" s="66" t="s">
        <v>1803</v>
      </c>
      <c r="D670" s="52" t="s">
        <v>735</v>
      </c>
      <c r="E670" s="52" t="s">
        <v>736</v>
      </c>
      <c r="F670" s="53">
        <f>IFERROR(VLOOKUP(E670,Fornecedores!$A$2:$B$2700,2,FALSE),"")</f>
        <v>5</v>
      </c>
      <c r="G670" s="52" t="s">
        <v>988</v>
      </c>
      <c r="H670" s="54"/>
      <c r="I670" s="55">
        <f t="shared" si="247"/>
        <v>0</v>
      </c>
      <c r="J670" s="55">
        <v>0</v>
      </c>
      <c r="K670" s="55">
        <v>0</v>
      </c>
      <c r="L670" s="55">
        <v>0</v>
      </c>
      <c r="M670" s="55">
        <v>0</v>
      </c>
      <c r="N670" s="55">
        <f t="shared" si="248"/>
        <v>0</v>
      </c>
      <c r="O670" s="55">
        <v>0</v>
      </c>
      <c r="P670" s="55">
        <v>0</v>
      </c>
      <c r="Q670" s="55">
        <v>0</v>
      </c>
      <c r="R670" s="55">
        <f t="shared" si="249"/>
        <v>0</v>
      </c>
      <c r="S670" s="55">
        <v>0</v>
      </c>
      <c r="T670" s="55">
        <v>0</v>
      </c>
      <c r="U670" s="55">
        <v>0</v>
      </c>
      <c r="V670" s="55">
        <v>0</v>
      </c>
      <c r="W670" s="53">
        <v>0</v>
      </c>
      <c r="X670" s="53">
        <v>0</v>
      </c>
      <c r="Y670" s="55">
        <v>0</v>
      </c>
      <c r="Z670" s="55">
        <v>0</v>
      </c>
      <c r="AA670" s="53">
        <v>0</v>
      </c>
      <c r="AB670" s="53">
        <v>0</v>
      </c>
      <c r="AC670" s="55">
        <v>0</v>
      </c>
      <c r="AD670" s="55">
        <f t="shared" si="250"/>
        <v>0</v>
      </c>
      <c r="AE670" s="53">
        <v>0</v>
      </c>
      <c r="AF670" s="55">
        <v>0</v>
      </c>
      <c r="AG670" s="55">
        <v>0</v>
      </c>
      <c r="AH670" s="55">
        <f t="shared" si="251"/>
        <v>0</v>
      </c>
      <c r="AI670" s="55">
        <v>0</v>
      </c>
      <c r="AJ670" s="55">
        <v>0</v>
      </c>
      <c r="AK670" s="55">
        <v>0</v>
      </c>
      <c r="AL670" s="55">
        <f t="shared" si="252"/>
        <v>0</v>
      </c>
      <c r="AM670" s="55" t="s">
        <v>1912</v>
      </c>
      <c r="AN670" s="55">
        <v>0</v>
      </c>
      <c r="AO670" s="55">
        <v>0</v>
      </c>
      <c r="AP670" s="55">
        <f t="shared" si="241"/>
        <v>0</v>
      </c>
      <c r="AQ670" s="55">
        <f>IFERROR(VLOOKUP(A670,[1]SIIMPLES!$A$2:$F$418,6,FALSE),0)</f>
        <v>0</v>
      </c>
      <c r="AR670" s="55">
        <v>0</v>
      </c>
      <c r="AS670" s="55">
        <v>0</v>
      </c>
      <c r="AT670" s="55">
        <v>0</v>
      </c>
      <c r="AU670" s="55">
        <v>0</v>
      </c>
      <c r="AV670" s="55">
        <v>0</v>
      </c>
      <c r="AW670" s="55"/>
      <c r="AX670" s="55"/>
      <c r="AY670" s="56">
        <f t="shared" si="253"/>
        <v>0</v>
      </c>
      <c r="AZ670" s="55"/>
      <c r="BA670" s="56">
        <v>0.2</v>
      </c>
      <c r="BB670" s="41">
        <f t="shared" si="256"/>
        <v>-1</v>
      </c>
      <c r="BC670" s="7"/>
      <c r="BD670" s="35"/>
      <c r="BE670" s="13"/>
      <c r="BF670" s="16"/>
      <c r="BG670" s="17" t="str">
        <f t="shared" si="254"/>
        <v>0</v>
      </c>
      <c r="BH670" s="16">
        <f>ROUND(IFERROR(IF(F670=1,IF(BC670&lt;AY670*3,AY670*3-BC670,0),IF(BC670&lt;AY670,AY670*0.6-BC670,0)),""),0)</f>
        <v>0</v>
      </c>
    </row>
    <row r="671" spans="1:60" s="21" customFormat="1" ht="12.75" customHeight="1" x14ac:dyDescent="0.2">
      <c r="A671" s="51">
        <v>5428</v>
      </c>
      <c r="B671" s="51"/>
      <c r="C671" s="66" t="s">
        <v>1803</v>
      </c>
      <c r="D671" s="52" t="s">
        <v>735</v>
      </c>
      <c r="E671" s="52" t="s">
        <v>736</v>
      </c>
      <c r="F671" s="53">
        <f>IFERROR(VLOOKUP(E671,Fornecedores!$A$2:$B$2700,2,FALSE),"")</f>
        <v>5</v>
      </c>
      <c r="G671" s="52" t="s">
        <v>989</v>
      </c>
      <c r="H671" s="54"/>
      <c r="I671" s="55">
        <f t="shared" si="247"/>
        <v>0</v>
      </c>
      <c r="J671" s="55">
        <v>0</v>
      </c>
      <c r="K671" s="55">
        <v>0</v>
      </c>
      <c r="L671" s="55">
        <v>0</v>
      </c>
      <c r="M671" s="55">
        <v>0</v>
      </c>
      <c r="N671" s="55">
        <f t="shared" si="248"/>
        <v>0</v>
      </c>
      <c r="O671" s="55">
        <v>0</v>
      </c>
      <c r="P671" s="55">
        <v>0</v>
      </c>
      <c r="Q671" s="55">
        <v>0</v>
      </c>
      <c r="R671" s="55">
        <f t="shared" si="249"/>
        <v>0</v>
      </c>
      <c r="S671" s="55">
        <v>0</v>
      </c>
      <c r="T671" s="55">
        <v>0</v>
      </c>
      <c r="U671" s="55">
        <v>0</v>
      </c>
      <c r="V671" s="55">
        <v>0</v>
      </c>
      <c r="W671" s="53">
        <v>0</v>
      </c>
      <c r="X671" s="53">
        <v>0</v>
      </c>
      <c r="Y671" s="55">
        <v>0</v>
      </c>
      <c r="Z671" s="55">
        <v>0</v>
      </c>
      <c r="AA671" s="53">
        <v>0</v>
      </c>
      <c r="AB671" s="53">
        <v>0</v>
      </c>
      <c r="AC671" s="55">
        <v>0</v>
      </c>
      <c r="AD671" s="55">
        <f t="shared" si="250"/>
        <v>0</v>
      </c>
      <c r="AE671" s="53">
        <v>0</v>
      </c>
      <c r="AF671" s="55">
        <v>0</v>
      </c>
      <c r="AG671" s="55">
        <v>0</v>
      </c>
      <c r="AH671" s="55">
        <f t="shared" si="251"/>
        <v>0</v>
      </c>
      <c r="AI671" s="55">
        <v>0</v>
      </c>
      <c r="AJ671" s="55">
        <v>0</v>
      </c>
      <c r="AK671" s="55">
        <v>0</v>
      </c>
      <c r="AL671" s="55">
        <f t="shared" si="252"/>
        <v>0</v>
      </c>
      <c r="AM671" s="55" t="s">
        <v>1912</v>
      </c>
      <c r="AN671" s="55">
        <v>0</v>
      </c>
      <c r="AO671" s="55">
        <v>0</v>
      </c>
      <c r="AP671" s="55">
        <f t="shared" si="241"/>
        <v>0</v>
      </c>
      <c r="AQ671" s="55">
        <f>IFERROR(VLOOKUP(A671,[1]SIIMPLES!$A$2:$F$418,6,FALSE),0)</f>
        <v>0</v>
      </c>
      <c r="AR671" s="55">
        <v>0</v>
      </c>
      <c r="AS671" s="55">
        <v>0</v>
      </c>
      <c r="AT671" s="55">
        <v>0</v>
      </c>
      <c r="AU671" s="55">
        <v>0</v>
      </c>
      <c r="AV671" s="55">
        <v>0</v>
      </c>
      <c r="AW671" s="55"/>
      <c r="AX671" s="55"/>
      <c r="AY671" s="56">
        <f t="shared" si="253"/>
        <v>0</v>
      </c>
      <c r="AZ671" s="55"/>
      <c r="BA671" s="56">
        <v>0.2</v>
      </c>
      <c r="BB671" s="41">
        <f t="shared" si="256"/>
        <v>-1</v>
      </c>
      <c r="BC671" s="7"/>
      <c r="BD671" s="35"/>
      <c r="BE671" s="13"/>
      <c r="BF671" s="16"/>
      <c r="BG671" s="17" t="str">
        <f t="shared" si="254"/>
        <v>0</v>
      </c>
      <c r="BH671" s="16">
        <f>IFERROR(IF(F671=1,IF(BC671&lt;AY671*3,AY671*3-BC671,0),IF(BC671&lt;AY671,AY671-BC671,0)),"")</f>
        <v>0</v>
      </c>
    </row>
    <row r="672" spans="1:60" s="21" customFormat="1" ht="12.75" customHeight="1" x14ac:dyDescent="0.2">
      <c r="A672" s="51">
        <v>5433</v>
      </c>
      <c r="B672" s="51"/>
      <c r="C672" s="66" t="s">
        <v>1803</v>
      </c>
      <c r="D672" s="52" t="s">
        <v>735</v>
      </c>
      <c r="E672" s="52" t="s">
        <v>736</v>
      </c>
      <c r="F672" s="53">
        <f>IFERROR(VLOOKUP(E672,Fornecedores!$A$2:$B$2700,2,FALSE),"")</f>
        <v>5</v>
      </c>
      <c r="G672" s="52" t="s">
        <v>958</v>
      </c>
      <c r="H672" s="54"/>
      <c r="I672" s="55">
        <f t="shared" si="247"/>
        <v>0</v>
      </c>
      <c r="J672" s="55">
        <v>0</v>
      </c>
      <c r="K672" s="55">
        <v>0</v>
      </c>
      <c r="L672" s="55">
        <v>0</v>
      </c>
      <c r="M672" s="55">
        <v>0</v>
      </c>
      <c r="N672" s="55">
        <f t="shared" si="248"/>
        <v>0</v>
      </c>
      <c r="O672" s="55">
        <v>0</v>
      </c>
      <c r="P672" s="55">
        <v>0</v>
      </c>
      <c r="Q672" s="55">
        <v>0</v>
      </c>
      <c r="R672" s="55">
        <f t="shared" si="249"/>
        <v>0</v>
      </c>
      <c r="S672" s="55">
        <v>0</v>
      </c>
      <c r="T672" s="55">
        <v>0</v>
      </c>
      <c r="U672" s="55">
        <v>0</v>
      </c>
      <c r="V672" s="55">
        <v>0</v>
      </c>
      <c r="W672" s="53">
        <v>0</v>
      </c>
      <c r="X672" s="53">
        <v>0</v>
      </c>
      <c r="Y672" s="55">
        <v>0</v>
      </c>
      <c r="Z672" s="55">
        <v>0</v>
      </c>
      <c r="AA672" s="53">
        <v>0</v>
      </c>
      <c r="AB672" s="53">
        <v>0</v>
      </c>
      <c r="AC672" s="55">
        <v>0</v>
      </c>
      <c r="AD672" s="55">
        <f t="shared" si="250"/>
        <v>0</v>
      </c>
      <c r="AE672" s="53">
        <v>0</v>
      </c>
      <c r="AF672" s="55">
        <v>0</v>
      </c>
      <c r="AG672" s="55">
        <v>0</v>
      </c>
      <c r="AH672" s="55">
        <f t="shared" si="251"/>
        <v>0</v>
      </c>
      <c r="AI672" s="55">
        <v>0</v>
      </c>
      <c r="AJ672" s="55">
        <v>0</v>
      </c>
      <c r="AK672" s="55">
        <v>0</v>
      </c>
      <c r="AL672" s="55">
        <f t="shared" si="252"/>
        <v>0</v>
      </c>
      <c r="AM672" s="55" t="s">
        <v>1912</v>
      </c>
      <c r="AN672" s="55">
        <v>0</v>
      </c>
      <c r="AO672" s="55">
        <v>0</v>
      </c>
      <c r="AP672" s="55">
        <f t="shared" si="241"/>
        <v>0</v>
      </c>
      <c r="AQ672" s="55">
        <f>IFERROR(VLOOKUP(A672,[1]SIIMPLES!$A$2:$F$418,6,FALSE),0)</f>
        <v>0</v>
      </c>
      <c r="AR672" s="55">
        <v>0</v>
      </c>
      <c r="AS672" s="55">
        <v>0</v>
      </c>
      <c r="AT672" s="55">
        <v>0</v>
      </c>
      <c r="AU672" s="55">
        <v>0</v>
      </c>
      <c r="AV672" s="55">
        <v>0</v>
      </c>
      <c r="AW672" s="55"/>
      <c r="AX672" s="55"/>
      <c r="AY672" s="56">
        <f t="shared" si="253"/>
        <v>0</v>
      </c>
      <c r="AZ672" s="55"/>
      <c r="BA672" s="56">
        <v>0</v>
      </c>
      <c r="BB672" s="41" t="str">
        <f t="shared" si="256"/>
        <v/>
      </c>
      <c r="BC672" s="7"/>
      <c r="BD672" s="35"/>
      <c r="BE672" s="13"/>
      <c r="BF672" s="16"/>
      <c r="BG672" s="17" t="str">
        <f t="shared" si="254"/>
        <v>0</v>
      </c>
      <c r="BH672" s="16">
        <f>IFERROR(IF(F672=1,IF(BC672&lt;AY672*3,AY672*3-BC672,0),IF(BC672&lt;AY672,AY672-BC672,0)),"")</f>
        <v>0</v>
      </c>
    </row>
    <row r="673" spans="1:60" s="21" customFormat="1" ht="12.75" customHeight="1" x14ac:dyDescent="0.2">
      <c r="A673" s="51">
        <v>5500</v>
      </c>
      <c r="B673" s="51"/>
      <c r="C673" s="66" t="s">
        <v>1803</v>
      </c>
      <c r="D673" s="52" t="s">
        <v>735</v>
      </c>
      <c r="E673" s="52" t="s">
        <v>736</v>
      </c>
      <c r="F673" s="53">
        <f>IFERROR(VLOOKUP(E673,Fornecedores!$A$2:$B$2700,2,FALSE),"")</f>
        <v>5</v>
      </c>
      <c r="G673" s="52" t="s">
        <v>960</v>
      </c>
      <c r="H673" s="54"/>
      <c r="I673" s="55">
        <f t="shared" si="247"/>
        <v>0</v>
      </c>
      <c r="J673" s="55">
        <v>0</v>
      </c>
      <c r="K673" s="55">
        <v>0</v>
      </c>
      <c r="L673" s="55">
        <v>0</v>
      </c>
      <c r="M673" s="55">
        <v>0</v>
      </c>
      <c r="N673" s="55">
        <f t="shared" si="248"/>
        <v>0</v>
      </c>
      <c r="O673" s="55">
        <v>0</v>
      </c>
      <c r="P673" s="55">
        <v>0</v>
      </c>
      <c r="Q673" s="55">
        <v>0</v>
      </c>
      <c r="R673" s="55">
        <f t="shared" si="249"/>
        <v>0</v>
      </c>
      <c r="S673" s="55">
        <v>0</v>
      </c>
      <c r="T673" s="55">
        <v>0</v>
      </c>
      <c r="U673" s="55">
        <v>0</v>
      </c>
      <c r="V673" s="55">
        <v>0</v>
      </c>
      <c r="W673" s="53">
        <v>0</v>
      </c>
      <c r="X673" s="53">
        <v>0</v>
      </c>
      <c r="Y673" s="55">
        <v>0</v>
      </c>
      <c r="Z673" s="55">
        <v>0</v>
      </c>
      <c r="AA673" s="53">
        <v>0</v>
      </c>
      <c r="AB673" s="53">
        <v>0</v>
      </c>
      <c r="AC673" s="55">
        <v>0</v>
      </c>
      <c r="AD673" s="55">
        <f t="shared" si="250"/>
        <v>0</v>
      </c>
      <c r="AE673" s="53">
        <v>0</v>
      </c>
      <c r="AF673" s="55">
        <v>0</v>
      </c>
      <c r="AG673" s="55">
        <v>0</v>
      </c>
      <c r="AH673" s="55">
        <f t="shared" si="251"/>
        <v>0</v>
      </c>
      <c r="AI673" s="55">
        <v>0</v>
      </c>
      <c r="AJ673" s="55">
        <v>0</v>
      </c>
      <c r="AK673" s="55">
        <v>0</v>
      </c>
      <c r="AL673" s="55">
        <f t="shared" si="252"/>
        <v>0</v>
      </c>
      <c r="AM673" s="55" t="s">
        <v>1912</v>
      </c>
      <c r="AN673" s="55">
        <v>0</v>
      </c>
      <c r="AO673" s="55">
        <v>0</v>
      </c>
      <c r="AP673" s="55">
        <f t="shared" si="241"/>
        <v>0</v>
      </c>
      <c r="AQ673" s="55">
        <f>IFERROR(VLOOKUP(A673,[1]SIIMPLES!$A$2:$F$418,6,FALSE),0)</f>
        <v>0</v>
      </c>
      <c r="AR673" s="55">
        <v>0</v>
      </c>
      <c r="AS673" s="55">
        <v>0</v>
      </c>
      <c r="AT673" s="55">
        <v>0</v>
      </c>
      <c r="AU673" s="55">
        <v>0</v>
      </c>
      <c r="AV673" s="55">
        <v>0</v>
      </c>
      <c r="AW673" s="55"/>
      <c r="AX673" s="55"/>
      <c r="AY673" s="56">
        <f t="shared" si="253"/>
        <v>0</v>
      </c>
      <c r="AZ673" s="55"/>
      <c r="BA673" s="56">
        <v>0</v>
      </c>
      <c r="BB673" s="41" t="str">
        <f t="shared" si="256"/>
        <v/>
      </c>
      <c r="BC673" s="7"/>
      <c r="BD673" s="36"/>
      <c r="BE673" s="7"/>
      <c r="BF673" s="7"/>
      <c r="BG673" s="7"/>
      <c r="BH673" s="7"/>
    </row>
    <row r="674" spans="1:60" s="21" customFormat="1" ht="12.75" customHeight="1" x14ac:dyDescent="0.2">
      <c r="A674" s="51">
        <v>5501</v>
      </c>
      <c r="B674" s="51"/>
      <c r="C674" s="66" t="s">
        <v>1803</v>
      </c>
      <c r="D674" s="52" t="s">
        <v>735</v>
      </c>
      <c r="E674" s="52" t="s">
        <v>736</v>
      </c>
      <c r="F674" s="53">
        <f>IFERROR(VLOOKUP(E674,Fornecedores!$A$2:$B$2700,2,FALSE),"")</f>
        <v>5</v>
      </c>
      <c r="G674" s="52" t="s">
        <v>145</v>
      </c>
      <c r="H674" s="54"/>
      <c r="I674" s="55">
        <f t="shared" si="247"/>
        <v>0</v>
      </c>
      <c r="J674" s="55">
        <v>0</v>
      </c>
      <c r="K674" s="55">
        <v>0</v>
      </c>
      <c r="L674" s="55">
        <v>0</v>
      </c>
      <c r="M674" s="55">
        <v>0</v>
      </c>
      <c r="N674" s="55">
        <f t="shared" si="248"/>
        <v>0</v>
      </c>
      <c r="O674" s="55">
        <v>0</v>
      </c>
      <c r="P674" s="55">
        <v>0</v>
      </c>
      <c r="Q674" s="55">
        <v>0</v>
      </c>
      <c r="R674" s="55">
        <f t="shared" si="249"/>
        <v>0</v>
      </c>
      <c r="S674" s="55">
        <v>0</v>
      </c>
      <c r="T674" s="55">
        <v>0</v>
      </c>
      <c r="U674" s="55">
        <v>0</v>
      </c>
      <c r="V674" s="55">
        <v>0</v>
      </c>
      <c r="W674" s="53">
        <v>0</v>
      </c>
      <c r="X674" s="53">
        <v>0</v>
      </c>
      <c r="Y674" s="55">
        <v>0</v>
      </c>
      <c r="Z674" s="55">
        <v>0</v>
      </c>
      <c r="AA674" s="53">
        <v>0</v>
      </c>
      <c r="AB674" s="53">
        <v>0</v>
      </c>
      <c r="AC674" s="55">
        <v>0</v>
      </c>
      <c r="AD674" s="55">
        <f t="shared" si="250"/>
        <v>0</v>
      </c>
      <c r="AE674" s="53">
        <v>0</v>
      </c>
      <c r="AF674" s="55">
        <v>0</v>
      </c>
      <c r="AG674" s="55">
        <v>0</v>
      </c>
      <c r="AH674" s="55">
        <f t="shared" si="251"/>
        <v>0</v>
      </c>
      <c r="AI674" s="55">
        <v>0</v>
      </c>
      <c r="AJ674" s="55">
        <v>0</v>
      </c>
      <c r="AK674" s="55">
        <v>0</v>
      </c>
      <c r="AL674" s="55">
        <f t="shared" si="252"/>
        <v>0</v>
      </c>
      <c r="AM674" s="55" t="s">
        <v>1912</v>
      </c>
      <c r="AN674" s="55">
        <v>0</v>
      </c>
      <c r="AO674" s="55">
        <v>0</v>
      </c>
      <c r="AP674" s="55">
        <f t="shared" si="241"/>
        <v>0</v>
      </c>
      <c r="AQ674" s="55">
        <f>IFERROR(VLOOKUP(A674,[1]SIIMPLES!$A$2:$F$418,6,FALSE),0)</f>
        <v>0</v>
      </c>
      <c r="AR674" s="55">
        <v>0</v>
      </c>
      <c r="AS674" s="55">
        <v>0</v>
      </c>
      <c r="AT674" s="55">
        <v>0</v>
      </c>
      <c r="AU674" s="55">
        <v>0</v>
      </c>
      <c r="AV674" s="55">
        <v>0</v>
      </c>
      <c r="AW674" s="55"/>
      <c r="AX674" s="55"/>
      <c r="AY674" s="56">
        <f t="shared" si="253"/>
        <v>0</v>
      </c>
      <c r="AZ674" s="55"/>
      <c r="BA674" s="56">
        <v>0</v>
      </c>
      <c r="BB674" s="41" t="str">
        <f t="shared" si="256"/>
        <v/>
      </c>
      <c r="BC674" s="10"/>
      <c r="BD674" s="35"/>
      <c r="BE674" s="7"/>
      <c r="BF674" s="16"/>
      <c r="BG674" s="17" t="str">
        <f t="shared" ref="BG674:BG705" si="257">IFERROR(BC674/AY674,"0")</f>
        <v>0</v>
      </c>
      <c r="BH674" s="16">
        <f t="shared" ref="BH674:BH688" si="258">IFERROR(IF(F674=1,IF(BC674&lt;AY674*3,AY674*3-BC674,0),IF(BC674&lt;AY674,AY674-BC674,0)),"")</f>
        <v>0</v>
      </c>
    </row>
    <row r="675" spans="1:60" s="21" customFormat="1" ht="12.75" customHeight="1" x14ac:dyDescent="0.2">
      <c r="A675" s="51">
        <v>5502</v>
      </c>
      <c r="B675" s="51"/>
      <c r="C675" s="66" t="s">
        <v>1803</v>
      </c>
      <c r="D675" s="52" t="s">
        <v>735</v>
      </c>
      <c r="E675" s="52" t="s">
        <v>736</v>
      </c>
      <c r="F675" s="53">
        <f>IFERROR(VLOOKUP(E675,Fornecedores!$A$2:$B$2700,2,FALSE),"")</f>
        <v>5</v>
      </c>
      <c r="G675" s="52" t="s">
        <v>976</v>
      </c>
      <c r="H675" s="54"/>
      <c r="I675" s="55">
        <f t="shared" si="247"/>
        <v>0</v>
      </c>
      <c r="J675" s="55">
        <v>0</v>
      </c>
      <c r="K675" s="55">
        <v>0</v>
      </c>
      <c r="L675" s="55">
        <v>0</v>
      </c>
      <c r="M675" s="55">
        <v>0</v>
      </c>
      <c r="N675" s="55">
        <f t="shared" si="248"/>
        <v>0</v>
      </c>
      <c r="O675" s="55">
        <v>0</v>
      </c>
      <c r="P675" s="55">
        <v>0</v>
      </c>
      <c r="Q675" s="55">
        <v>0</v>
      </c>
      <c r="R675" s="55">
        <f t="shared" si="249"/>
        <v>0</v>
      </c>
      <c r="S675" s="55">
        <v>0</v>
      </c>
      <c r="T675" s="55">
        <v>0</v>
      </c>
      <c r="U675" s="55">
        <v>0</v>
      </c>
      <c r="V675" s="55">
        <v>0</v>
      </c>
      <c r="W675" s="53">
        <v>0</v>
      </c>
      <c r="X675" s="53">
        <v>0</v>
      </c>
      <c r="Y675" s="55">
        <v>0</v>
      </c>
      <c r="Z675" s="55">
        <v>4</v>
      </c>
      <c r="AA675" s="53">
        <v>0</v>
      </c>
      <c r="AB675" s="53">
        <v>4</v>
      </c>
      <c r="AC675" s="55">
        <v>0</v>
      </c>
      <c r="AD675" s="55">
        <f t="shared" si="250"/>
        <v>0</v>
      </c>
      <c r="AE675" s="53">
        <v>0</v>
      </c>
      <c r="AF675" s="55">
        <v>0</v>
      </c>
      <c r="AG675" s="55">
        <v>0</v>
      </c>
      <c r="AH675" s="55">
        <f t="shared" si="251"/>
        <v>0</v>
      </c>
      <c r="AI675" s="55">
        <v>0</v>
      </c>
      <c r="AJ675" s="55">
        <v>0</v>
      </c>
      <c r="AK675" s="55">
        <v>0</v>
      </c>
      <c r="AL675" s="55">
        <f t="shared" si="252"/>
        <v>0</v>
      </c>
      <c r="AM675" s="55" t="s">
        <v>1912</v>
      </c>
      <c r="AN675" s="55">
        <v>0</v>
      </c>
      <c r="AO675" s="55">
        <v>0</v>
      </c>
      <c r="AP675" s="55">
        <f t="shared" si="241"/>
        <v>0</v>
      </c>
      <c r="AQ675" s="55">
        <f>IFERROR(VLOOKUP(A675,[1]SIIMPLES!$A$2:$F$418,6,FALSE),0)</f>
        <v>0</v>
      </c>
      <c r="AR675" s="55">
        <v>0</v>
      </c>
      <c r="AS675" s="55">
        <v>0</v>
      </c>
      <c r="AT675" s="55">
        <v>0</v>
      </c>
      <c r="AU675" s="55">
        <v>0</v>
      </c>
      <c r="AV675" s="55">
        <v>0</v>
      </c>
      <c r="AW675" s="55"/>
      <c r="AX675" s="55"/>
      <c r="AY675" s="56">
        <f t="shared" si="253"/>
        <v>0.4</v>
      </c>
      <c r="AZ675" s="55"/>
      <c r="BA675" s="56">
        <v>0.8</v>
      </c>
      <c r="BB675" s="41">
        <f t="shared" si="256"/>
        <v>-0.5</v>
      </c>
      <c r="BC675" s="13"/>
      <c r="BD675" s="35"/>
      <c r="BE675" s="13"/>
      <c r="BF675" s="16">
        <f>SUM(BC675:BE675)</f>
        <v>0</v>
      </c>
      <c r="BG675" s="17">
        <f t="shared" si="257"/>
        <v>0</v>
      </c>
      <c r="BH675" s="16">
        <f t="shared" si="258"/>
        <v>0.4</v>
      </c>
    </row>
    <row r="676" spans="1:60" s="21" customFormat="1" ht="12.75" customHeight="1" x14ac:dyDescent="0.2">
      <c r="A676" s="50">
        <v>5507</v>
      </c>
      <c r="B676" s="51"/>
      <c r="C676" s="51" t="s">
        <v>1803</v>
      </c>
      <c r="D676" s="52" t="s">
        <v>735</v>
      </c>
      <c r="E676" s="52" t="s">
        <v>736</v>
      </c>
      <c r="F676" s="53">
        <f>IFERROR(VLOOKUP(E676,Fornecedores!$A$2:$B$2700,2,FALSE),"")</f>
        <v>5</v>
      </c>
      <c r="G676" s="52" t="s">
        <v>974</v>
      </c>
      <c r="H676" s="54"/>
      <c r="I676" s="55">
        <f t="shared" si="247"/>
        <v>0</v>
      </c>
      <c r="J676" s="55">
        <v>0</v>
      </c>
      <c r="K676" s="55">
        <v>0</v>
      </c>
      <c r="L676" s="55">
        <v>0</v>
      </c>
      <c r="M676" s="55">
        <v>0</v>
      </c>
      <c r="N676" s="55">
        <f t="shared" si="248"/>
        <v>0</v>
      </c>
      <c r="O676" s="55">
        <v>0</v>
      </c>
      <c r="P676" s="55">
        <v>0</v>
      </c>
      <c r="Q676" s="55">
        <v>0</v>
      </c>
      <c r="R676" s="55">
        <f t="shared" si="249"/>
        <v>0</v>
      </c>
      <c r="S676" s="55">
        <v>0</v>
      </c>
      <c r="T676" s="55">
        <v>0</v>
      </c>
      <c r="U676" s="55">
        <v>0</v>
      </c>
      <c r="V676" s="55">
        <v>0</v>
      </c>
      <c r="W676" s="53">
        <v>0</v>
      </c>
      <c r="X676" s="53">
        <v>0</v>
      </c>
      <c r="Y676" s="55">
        <v>0</v>
      </c>
      <c r="Z676" s="55">
        <v>0</v>
      </c>
      <c r="AA676" s="53">
        <v>0</v>
      </c>
      <c r="AB676" s="53">
        <v>0</v>
      </c>
      <c r="AC676" s="55">
        <v>0</v>
      </c>
      <c r="AD676" s="55">
        <f t="shared" si="250"/>
        <v>0</v>
      </c>
      <c r="AE676" s="53">
        <f>IFERROR(VLOOKUP(A676,[4]simples!$A$1:$B$281,2,FALSE),0)</f>
        <v>0</v>
      </c>
      <c r="AF676" s="55">
        <v>0</v>
      </c>
      <c r="AG676" s="55">
        <v>0</v>
      </c>
      <c r="AH676" s="55">
        <f t="shared" si="251"/>
        <v>0</v>
      </c>
      <c r="AI676" s="55"/>
      <c r="AJ676" s="55">
        <v>0</v>
      </c>
      <c r="AK676" s="55"/>
      <c r="AL676" s="55">
        <f t="shared" si="252"/>
        <v>0</v>
      </c>
      <c r="AM676" s="55" t="s">
        <v>1912</v>
      </c>
      <c r="AN676" s="55">
        <v>0</v>
      </c>
      <c r="AO676" s="55">
        <v>0</v>
      </c>
      <c r="AP676" s="55">
        <f t="shared" si="241"/>
        <v>0</v>
      </c>
      <c r="AQ676" s="55">
        <f>IFERROR(VLOOKUP(A676,[1]SIIMPLES!$A$2:$F$418,6,FALSE),0)</f>
        <v>0</v>
      </c>
      <c r="AR676" s="55">
        <v>0</v>
      </c>
      <c r="AS676" s="55">
        <v>0</v>
      </c>
      <c r="AT676" s="55">
        <v>0</v>
      </c>
      <c r="AU676" s="55">
        <v>0</v>
      </c>
      <c r="AV676" s="55">
        <v>0</v>
      </c>
      <c r="AW676" s="55"/>
      <c r="AX676" s="55"/>
      <c r="AY676" s="56">
        <f t="shared" si="253"/>
        <v>0</v>
      </c>
      <c r="AZ676" s="55"/>
      <c r="BA676" s="56">
        <v>0</v>
      </c>
      <c r="BB676" s="41" t="str">
        <f t="shared" si="256"/>
        <v/>
      </c>
      <c r="BC676" s="13"/>
      <c r="BD676" s="35"/>
      <c r="BE676" s="13"/>
      <c r="BF676" s="16">
        <f>SUM(BC676:BE676)</f>
        <v>0</v>
      </c>
      <c r="BG676" s="17" t="str">
        <f t="shared" si="257"/>
        <v>0</v>
      </c>
      <c r="BH676" s="16">
        <f t="shared" si="258"/>
        <v>0</v>
      </c>
    </row>
    <row r="677" spans="1:60" s="21" customFormat="1" ht="12.75" customHeight="1" x14ac:dyDescent="0.2">
      <c r="A677" s="51">
        <v>5508</v>
      </c>
      <c r="B677" s="51"/>
      <c r="C677" s="66" t="s">
        <v>1803</v>
      </c>
      <c r="D677" s="52" t="s">
        <v>735</v>
      </c>
      <c r="E677" s="52" t="s">
        <v>736</v>
      </c>
      <c r="F677" s="53">
        <f>IFERROR(VLOOKUP(E677,Fornecedores!$A$2:$B$2700,2,FALSE),"")</f>
        <v>5</v>
      </c>
      <c r="G677" s="52" t="s">
        <v>975</v>
      </c>
      <c r="H677" s="54"/>
      <c r="I677" s="55">
        <f t="shared" si="247"/>
        <v>0</v>
      </c>
      <c r="J677" s="55">
        <v>0</v>
      </c>
      <c r="K677" s="55">
        <v>0</v>
      </c>
      <c r="L677" s="55">
        <v>0</v>
      </c>
      <c r="M677" s="55">
        <v>0</v>
      </c>
      <c r="N677" s="55">
        <f t="shared" si="248"/>
        <v>0</v>
      </c>
      <c r="O677" s="55">
        <v>0</v>
      </c>
      <c r="P677" s="55">
        <v>0</v>
      </c>
      <c r="Q677" s="55">
        <v>0</v>
      </c>
      <c r="R677" s="55">
        <f t="shared" si="249"/>
        <v>0</v>
      </c>
      <c r="S677" s="55">
        <v>0</v>
      </c>
      <c r="T677" s="55">
        <v>0</v>
      </c>
      <c r="U677" s="55">
        <v>0</v>
      </c>
      <c r="V677" s="55">
        <v>0</v>
      </c>
      <c r="W677" s="53">
        <v>0</v>
      </c>
      <c r="X677" s="53">
        <v>0</v>
      </c>
      <c r="Y677" s="55">
        <v>0</v>
      </c>
      <c r="Z677" s="55">
        <v>0</v>
      </c>
      <c r="AA677" s="53">
        <v>0</v>
      </c>
      <c r="AB677" s="53">
        <v>0</v>
      </c>
      <c r="AC677" s="55">
        <v>0</v>
      </c>
      <c r="AD677" s="55">
        <f t="shared" si="250"/>
        <v>0</v>
      </c>
      <c r="AE677" s="53">
        <v>0</v>
      </c>
      <c r="AF677" s="55">
        <v>0</v>
      </c>
      <c r="AG677" s="55">
        <v>0</v>
      </c>
      <c r="AH677" s="55">
        <f t="shared" si="251"/>
        <v>0</v>
      </c>
      <c r="AI677" s="55">
        <v>0</v>
      </c>
      <c r="AJ677" s="55">
        <v>0</v>
      </c>
      <c r="AK677" s="55">
        <v>0</v>
      </c>
      <c r="AL677" s="55">
        <f t="shared" si="252"/>
        <v>0</v>
      </c>
      <c r="AM677" s="55" t="s">
        <v>1912</v>
      </c>
      <c r="AN677" s="55">
        <v>0</v>
      </c>
      <c r="AO677" s="55">
        <v>0</v>
      </c>
      <c r="AP677" s="55">
        <f t="shared" si="241"/>
        <v>0</v>
      </c>
      <c r="AQ677" s="55">
        <f>IFERROR(VLOOKUP(A677,[1]SIIMPLES!$A$2:$F$418,6,FALSE),0)</f>
        <v>0</v>
      </c>
      <c r="AR677" s="55">
        <v>0</v>
      </c>
      <c r="AS677" s="55">
        <v>0</v>
      </c>
      <c r="AT677" s="55">
        <v>0</v>
      </c>
      <c r="AU677" s="55">
        <v>0</v>
      </c>
      <c r="AV677" s="55">
        <v>0</v>
      </c>
      <c r="AW677" s="55"/>
      <c r="AX677" s="55"/>
      <c r="AY677" s="56">
        <f t="shared" si="253"/>
        <v>0</v>
      </c>
      <c r="AZ677" s="55"/>
      <c r="BA677" s="56">
        <v>0</v>
      </c>
      <c r="BB677" s="41" t="str">
        <f t="shared" si="256"/>
        <v/>
      </c>
      <c r="BC677" s="13"/>
      <c r="BD677" s="35"/>
      <c r="BE677" s="13"/>
      <c r="BF677" s="16"/>
      <c r="BG677" s="17" t="str">
        <f t="shared" si="257"/>
        <v>0</v>
      </c>
      <c r="BH677" s="16">
        <f t="shared" si="258"/>
        <v>0</v>
      </c>
    </row>
    <row r="678" spans="1:60" s="21" customFormat="1" ht="12.75" customHeight="1" x14ac:dyDescent="0.2">
      <c r="A678" s="50">
        <v>5509</v>
      </c>
      <c r="B678" s="51" t="s">
        <v>1077</v>
      </c>
      <c r="C678" s="51" t="s">
        <v>1803</v>
      </c>
      <c r="D678" s="52" t="s">
        <v>735</v>
      </c>
      <c r="E678" s="52" t="s">
        <v>736</v>
      </c>
      <c r="F678" s="53">
        <f>IFERROR(VLOOKUP(E678,Fornecedores!$A$2:$B$2700,2,FALSE),"")</f>
        <v>5</v>
      </c>
      <c r="G678" s="52" t="s">
        <v>876</v>
      </c>
      <c r="H678" s="54"/>
      <c r="I678" s="55">
        <f t="shared" si="247"/>
        <v>0</v>
      </c>
      <c r="J678" s="55">
        <v>0</v>
      </c>
      <c r="K678" s="55">
        <v>0</v>
      </c>
      <c r="L678" s="55">
        <v>0</v>
      </c>
      <c r="M678" s="55">
        <v>0</v>
      </c>
      <c r="N678" s="55">
        <f t="shared" si="248"/>
        <v>0</v>
      </c>
      <c r="O678" s="55">
        <v>0</v>
      </c>
      <c r="P678" s="55">
        <v>0</v>
      </c>
      <c r="Q678" s="55">
        <v>0</v>
      </c>
      <c r="R678" s="55">
        <f t="shared" si="249"/>
        <v>0</v>
      </c>
      <c r="S678" s="55">
        <v>0</v>
      </c>
      <c r="T678" s="55">
        <v>0</v>
      </c>
      <c r="U678" s="55">
        <v>0</v>
      </c>
      <c r="V678" s="55">
        <v>0</v>
      </c>
      <c r="W678" s="53">
        <v>0</v>
      </c>
      <c r="X678" s="53">
        <v>0</v>
      </c>
      <c r="Y678" s="55">
        <v>0</v>
      </c>
      <c r="Z678" s="55">
        <v>0</v>
      </c>
      <c r="AA678" s="53">
        <v>0</v>
      </c>
      <c r="AB678" s="53">
        <v>0</v>
      </c>
      <c r="AC678" s="55">
        <v>0</v>
      </c>
      <c r="AD678" s="55">
        <f t="shared" si="250"/>
        <v>0</v>
      </c>
      <c r="AE678" s="53">
        <f>IFERROR(VLOOKUP(A678,[4]simples!$A$1:$B$281,2,FALSE),0)</f>
        <v>0</v>
      </c>
      <c r="AF678" s="55">
        <v>0</v>
      </c>
      <c r="AG678" s="55">
        <v>0</v>
      </c>
      <c r="AH678" s="55">
        <f t="shared" si="251"/>
        <v>0</v>
      </c>
      <c r="AI678" s="55"/>
      <c r="AJ678" s="55">
        <v>0</v>
      </c>
      <c r="AK678" s="55"/>
      <c r="AL678" s="55">
        <f t="shared" si="252"/>
        <v>0</v>
      </c>
      <c r="AM678" s="55" t="s">
        <v>1912</v>
      </c>
      <c r="AN678" s="55">
        <v>0</v>
      </c>
      <c r="AO678" s="55">
        <v>0</v>
      </c>
      <c r="AP678" s="55">
        <f t="shared" si="241"/>
        <v>0</v>
      </c>
      <c r="AQ678" s="55">
        <f>IFERROR(VLOOKUP(A678,[1]SIIMPLES!$A$2:$F$418,6,FALSE),0)</f>
        <v>0</v>
      </c>
      <c r="AR678" s="55">
        <v>0</v>
      </c>
      <c r="AS678" s="55">
        <v>0</v>
      </c>
      <c r="AT678" s="55">
        <v>0</v>
      </c>
      <c r="AU678" s="55">
        <v>0</v>
      </c>
      <c r="AV678" s="55">
        <v>0</v>
      </c>
      <c r="AW678" s="55"/>
      <c r="AX678" s="55"/>
      <c r="AY678" s="56">
        <f t="shared" si="253"/>
        <v>0</v>
      </c>
      <c r="AZ678" s="55"/>
      <c r="BA678" s="56">
        <v>1.2</v>
      </c>
      <c r="BB678" s="41">
        <f t="shared" si="256"/>
        <v>-1</v>
      </c>
      <c r="BC678" s="13"/>
      <c r="BD678" s="35"/>
      <c r="BE678" s="13"/>
      <c r="BF678" s="16">
        <f>SUM(BC678:BE678)</f>
        <v>0</v>
      </c>
      <c r="BG678" s="17" t="str">
        <f t="shared" si="257"/>
        <v>0</v>
      </c>
      <c r="BH678" s="16">
        <f t="shared" si="258"/>
        <v>0</v>
      </c>
    </row>
    <row r="679" spans="1:60" s="21" customFormat="1" ht="12.75" customHeight="1" x14ac:dyDescent="0.2">
      <c r="A679" s="50">
        <v>5510</v>
      </c>
      <c r="B679" s="51"/>
      <c r="C679" s="51" t="s">
        <v>1803</v>
      </c>
      <c r="D679" s="52" t="s">
        <v>735</v>
      </c>
      <c r="E679" s="52" t="s">
        <v>736</v>
      </c>
      <c r="F679" s="53">
        <f>IFERROR(VLOOKUP(E679,Fornecedores!$A$2:$B$2700,2,FALSE),"")</f>
        <v>5</v>
      </c>
      <c r="G679" s="52" t="s">
        <v>1001</v>
      </c>
      <c r="H679" s="54"/>
      <c r="I679" s="55">
        <f t="shared" si="247"/>
        <v>0</v>
      </c>
      <c r="J679" s="55">
        <v>0</v>
      </c>
      <c r="K679" s="55">
        <v>0</v>
      </c>
      <c r="L679" s="55">
        <v>0</v>
      </c>
      <c r="M679" s="55">
        <v>0</v>
      </c>
      <c r="N679" s="55">
        <f t="shared" si="248"/>
        <v>0</v>
      </c>
      <c r="O679" s="55">
        <v>0</v>
      </c>
      <c r="P679" s="55">
        <v>0</v>
      </c>
      <c r="Q679" s="55">
        <v>0</v>
      </c>
      <c r="R679" s="55">
        <f t="shared" si="249"/>
        <v>0</v>
      </c>
      <c r="S679" s="55">
        <v>0</v>
      </c>
      <c r="T679" s="55">
        <v>0</v>
      </c>
      <c r="U679" s="55">
        <v>0</v>
      </c>
      <c r="V679" s="55">
        <v>0</v>
      </c>
      <c r="W679" s="53">
        <v>0</v>
      </c>
      <c r="X679" s="53">
        <v>0</v>
      </c>
      <c r="Y679" s="55">
        <v>0</v>
      </c>
      <c r="Z679" s="55">
        <v>0</v>
      </c>
      <c r="AA679" s="53">
        <v>0</v>
      </c>
      <c r="AB679" s="53">
        <v>0</v>
      </c>
      <c r="AC679" s="55">
        <v>0</v>
      </c>
      <c r="AD679" s="55">
        <f t="shared" si="250"/>
        <v>0</v>
      </c>
      <c r="AE679" s="53">
        <f>IFERROR(VLOOKUP(A679,[4]simples!$A$1:$B$281,2,FALSE),0)</f>
        <v>0</v>
      </c>
      <c r="AF679" s="55">
        <v>0</v>
      </c>
      <c r="AG679" s="55">
        <v>0</v>
      </c>
      <c r="AH679" s="55">
        <f t="shared" si="251"/>
        <v>0</v>
      </c>
      <c r="AI679" s="55"/>
      <c r="AJ679" s="55">
        <v>0</v>
      </c>
      <c r="AK679" s="55"/>
      <c r="AL679" s="55">
        <f t="shared" si="252"/>
        <v>0</v>
      </c>
      <c r="AM679" s="55" t="s">
        <v>1912</v>
      </c>
      <c r="AN679" s="55">
        <v>0</v>
      </c>
      <c r="AO679" s="55">
        <v>0</v>
      </c>
      <c r="AP679" s="55">
        <f t="shared" si="241"/>
        <v>0</v>
      </c>
      <c r="AQ679" s="55">
        <f>IFERROR(VLOOKUP(A679,[1]SIIMPLES!$A$2:$F$418,6,FALSE),0)</f>
        <v>0</v>
      </c>
      <c r="AR679" s="55">
        <v>0</v>
      </c>
      <c r="AS679" s="55">
        <v>0</v>
      </c>
      <c r="AT679" s="55">
        <v>0</v>
      </c>
      <c r="AU679" s="55">
        <v>0</v>
      </c>
      <c r="AV679" s="55">
        <v>0</v>
      </c>
      <c r="AW679" s="55"/>
      <c r="AX679" s="55"/>
      <c r="AY679" s="56">
        <f t="shared" si="253"/>
        <v>0</v>
      </c>
      <c r="AZ679" s="55"/>
      <c r="BA679" s="56">
        <v>0</v>
      </c>
      <c r="BB679" s="41" t="str">
        <f t="shared" si="256"/>
        <v/>
      </c>
      <c r="BC679" s="13"/>
      <c r="BD679" s="35"/>
      <c r="BE679" s="13"/>
      <c r="BF679" s="16"/>
      <c r="BG679" s="17" t="str">
        <f t="shared" si="257"/>
        <v>0</v>
      </c>
      <c r="BH679" s="16">
        <f t="shared" si="258"/>
        <v>0</v>
      </c>
    </row>
    <row r="680" spans="1:60" s="21" customFormat="1" ht="12.75" customHeight="1" x14ac:dyDescent="0.2">
      <c r="A680" s="51">
        <v>5520</v>
      </c>
      <c r="B680" s="51"/>
      <c r="C680" s="66" t="s">
        <v>1803</v>
      </c>
      <c r="D680" s="52" t="s">
        <v>735</v>
      </c>
      <c r="E680" s="52" t="s">
        <v>736</v>
      </c>
      <c r="F680" s="53">
        <f>IFERROR(VLOOKUP(E680,Fornecedores!$A$2:$B$2700,2,FALSE),"")</f>
        <v>5</v>
      </c>
      <c r="G680" s="52" t="s">
        <v>8</v>
      </c>
      <c r="H680" s="54"/>
      <c r="I680" s="55">
        <f t="shared" si="247"/>
        <v>0</v>
      </c>
      <c r="J680" s="55">
        <v>0</v>
      </c>
      <c r="K680" s="55">
        <v>0</v>
      </c>
      <c r="L680" s="55">
        <v>0</v>
      </c>
      <c r="M680" s="55">
        <v>0</v>
      </c>
      <c r="N680" s="55">
        <f t="shared" si="248"/>
        <v>0</v>
      </c>
      <c r="O680" s="55">
        <v>0</v>
      </c>
      <c r="P680" s="55">
        <v>0</v>
      </c>
      <c r="Q680" s="55">
        <v>0</v>
      </c>
      <c r="R680" s="55">
        <f t="shared" si="249"/>
        <v>0</v>
      </c>
      <c r="S680" s="55">
        <v>0</v>
      </c>
      <c r="T680" s="55">
        <v>0</v>
      </c>
      <c r="U680" s="55">
        <v>0</v>
      </c>
      <c r="V680" s="55">
        <v>0</v>
      </c>
      <c r="W680" s="53">
        <v>0</v>
      </c>
      <c r="X680" s="53">
        <v>0</v>
      </c>
      <c r="Y680" s="55">
        <v>0</v>
      </c>
      <c r="Z680" s="55">
        <v>0</v>
      </c>
      <c r="AA680" s="53">
        <v>0</v>
      </c>
      <c r="AB680" s="53">
        <v>0</v>
      </c>
      <c r="AC680" s="55">
        <v>0</v>
      </c>
      <c r="AD680" s="55">
        <f t="shared" si="250"/>
        <v>0</v>
      </c>
      <c r="AE680" s="53">
        <v>0</v>
      </c>
      <c r="AF680" s="55">
        <v>0</v>
      </c>
      <c r="AG680" s="55">
        <v>0</v>
      </c>
      <c r="AH680" s="55">
        <f t="shared" si="251"/>
        <v>0</v>
      </c>
      <c r="AI680" s="55">
        <v>0</v>
      </c>
      <c r="AJ680" s="55">
        <v>0</v>
      </c>
      <c r="AK680" s="55">
        <v>0</v>
      </c>
      <c r="AL680" s="55">
        <f t="shared" si="252"/>
        <v>0</v>
      </c>
      <c r="AM680" s="55" t="s">
        <v>1912</v>
      </c>
      <c r="AN680" s="55">
        <v>0</v>
      </c>
      <c r="AO680" s="55">
        <v>0</v>
      </c>
      <c r="AP680" s="55">
        <f t="shared" si="241"/>
        <v>0</v>
      </c>
      <c r="AQ680" s="55">
        <f>IFERROR(VLOOKUP(A680,[1]SIIMPLES!$A$2:$F$418,6,FALSE),0)</f>
        <v>0</v>
      </c>
      <c r="AR680" s="55">
        <v>0</v>
      </c>
      <c r="AS680" s="55">
        <v>0</v>
      </c>
      <c r="AT680" s="55">
        <v>0</v>
      </c>
      <c r="AU680" s="55">
        <v>0</v>
      </c>
      <c r="AV680" s="55">
        <v>0</v>
      </c>
      <c r="AW680" s="55"/>
      <c r="AX680" s="55"/>
      <c r="AY680" s="56">
        <f t="shared" si="253"/>
        <v>0</v>
      </c>
      <c r="AZ680" s="55"/>
      <c r="BA680" s="56">
        <v>0.33333333333333331</v>
      </c>
      <c r="BB680" s="41">
        <f t="shared" si="256"/>
        <v>-1</v>
      </c>
      <c r="BC680" s="10"/>
      <c r="BD680" s="35"/>
      <c r="BE680" s="7"/>
      <c r="BF680" s="16"/>
      <c r="BG680" s="17" t="str">
        <f t="shared" si="257"/>
        <v>0</v>
      </c>
      <c r="BH680" s="16">
        <f t="shared" si="258"/>
        <v>0</v>
      </c>
    </row>
    <row r="681" spans="1:60" s="21" customFormat="1" ht="12.75" customHeight="1" x14ac:dyDescent="0.2">
      <c r="A681" s="51">
        <v>5607</v>
      </c>
      <c r="B681" s="51" t="s">
        <v>1077</v>
      </c>
      <c r="C681" s="66" t="s">
        <v>1803</v>
      </c>
      <c r="D681" s="52" t="s">
        <v>735</v>
      </c>
      <c r="E681" s="52" t="s">
        <v>736</v>
      </c>
      <c r="F681" s="53">
        <f>IFERROR(VLOOKUP(E681,Fornecedores!$A$2:$B$2700,2,FALSE),"")</f>
        <v>5</v>
      </c>
      <c r="G681" s="52" t="s">
        <v>184</v>
      </c>
      <c r="H681" s="54"/>
      <c r="I681" s="55">
        <f t="shared" si="247"/>
        <v>20</v>
      </c>
      <c r="J681" s="55">
        <v>1</v>
      </c>
      <c r="K681" s="55">
        <v>18</v>
      </c>
      <c r="L681" s="55">
        <v>0</v>
      </c>
      <c r="M681" s="55">
        <v>1</v>
      </c>
      <c r="N681" s="55">
        <f t="shared" si="248"/>
        <v>6</v>
      </c>
      <c r="O681" s="55">
        <v>0</v>
      </c>
      <c r="P681" s="55">
        <v>6</v>
      </c>
      <c r="Q681" s="55">
        <v>0</v>
      </c>
      <c r="R681" s="55">
        <f t="shared" si="249"/>
        <v>2</v>
      </c>
      <c r="S681" s="55">
        <v>0</v>
      </c>
      <c r="T681" s="55">
        <v>2</v>
      </c>
      <c r="U681" s="55">
        <v>0</v>
      </c>
      <c r="V681" s="55">
        <v>5</v>
      </c>
      <c r="W681" s="53">
        <v>1</v>
      </c>
      <c r="X681" s="53">
        <v>4</v>
      </c>
      <c r="Y681" s="55">
        <v>0</v>
      </c>
      <c r="Z681" s="55">
        <v>8</v>
      </c>
      <c r="AA681" s="53">
        <v>0</v>
      </c>
      <c r="AB681" s="53">
        <v>8</v>
      </c>
      <c r="AC681" s="55">
        <v>0</v>
      </c>
      <c r="AD681" s="55">
        <f t="shared" si="250"/>
        <v>45</v>
      </c>
      <c r="AE681" s="53">
        <v>1</v>
      </c>
      <c r="AF681" s="55">
        <v>4</v>
      </c>
      <c r="AG681" s="55">
        <v>40</v>
      </c>
      <c r="AH681" s="55">
        <f t="shared" si="251"/>
        <v>101</v>
      </c>
      <c r="AI681" s="55">
        <v>0</v>
      </c>
      <c r="AJ681" s="55">
        <v>0</v>
      </c>
      <c r="AK681" s="55">
        <v>101</v>
      </c>
      <c r="AL681" s="55">
        <f t="shared" si="252"/>
        <v>0</v>
      </c>
      <c r="AM681" s="55" t="s">
        <v>1912</v>
      </c>
      <c r="AN681" s="55">
        <v>0</v>
      </c>
      <c r="AO681" s="55">
        <v>0</v>
      </c>
      <c r="AP681" s="55">
        <f t="shared" si="241"/>
        <v>0</v>
      </c>
      <c r="AQ681" s="55">
        <f>IFERROR(VLOOKUP(A681,[1]SIIMPLES!$A$2:$F$418,6,FALSE),0)</f>
        <v>0</v>
      </c>
      <c r="AR681" s="55">
        <v>0</v>
      </c>
      <c r="AS681" s="55">
        <v>64</v>
      </c>
      <c r="AT681" s="55">
        <v>0</v>
      </c>
      <c r="AU681" s="55">
        <v>0</v>
      </c>
      <c r="AV681" s="55">
        <v>64</v>
      </c>
      <c r="AW681" s="55"/>
      <c r="AX681" s="55"/>
      <c r="AY681" s="56">
        <f t="shared" si="253"/>
        <v>25.1</v>
      </c>
      <c r="AZ681" s="55"/>
      <c r="BA681" s="56">
        <v>60.333333333333336</v>
      </c>
      <c r="BB681" s="41">
        <f t="shared" si="256"/>
        <v>-0.58397790055248611</v>
      </c>
      <c r="BC681" s="13"/>
      <c r="BD681" s="35"/>
      <c r="BE681" s="13"/>
      <c r="BF681" s="16"/>
      <c r="BG681" s="17">
        <f t="shared" si="257"/>
        <v>0</v>
      </c>
      <c r="BH681" s="16">
        <f t="shared" si="258"/>
        <v>25.1</v>
      </c>
    </row>
    <row r="682" spans="1:60" s="21" customFormat="1" ht="12.75" customHeight="1" x14ac:dyDescent="0.2">
      <c r="A682" s="51">
        <v>5608</v>
      </c>
      <c r="B682" s="51"/>
      <c r="C682" s="66" t="s">
        <v>1803</v>
      </c>
      <c r="D682" s="52" t="s">
        <v>735</v>
      </c>
      <c r="E682" s="52" t="s">
        <v>736</v>
      </c>
      <c r="F682" s="53">
        <f>IFERROR(VLOOKUP(E682,Fornecedores!$A$2:$B$2700,2,FALSE),"")</f>
        <v>5</v>
      </c>
      <c r="G682" s="52" t="s">
        <v>527</v>
      </c>
      <c r="H682" s="54"/>
      <c r="I682" s="55">
        <f t="shared" si="247"/>
        <v>2</v>
      </c>
      <c r="J682" s="55">
        <v>0</v>
      </c>
      <c r="K682" s="55">
        <v>2</v>
      </c>
      <c r="L682" s="55">
        <v>0</v>
      </c>
      <c r="M682" s="55">
        <v>0</v>
      </c>
      <c r="N682" s="55">
        <f t="shared" si="248"/>
        <v>0</v>
      </c>
      <c r="O682" s="55">
        <v>0</v>
      </c>
      <c r="P682" s="55">
        <v>0</v>
      </c>
      <c r="Q682" s="55">
        <v>0</v>
      </c>
      <c r="R682" s="55">
        <f t="shared" si="249"/>
        <v>0</v>
      </c>
      <c r="S682" s="55">
        <v>0</v>
      </c>
      <c r="T682" s="55">
        <v>0</v>
      </c>
      <c r="U682" s="55">
        <v>0</v>
      </c>
      <c r="V682" s="55">
        <v>0</v>
      </c>
      <c r="W682" s="53">
        <v>0</v>
      </c>
      <c r="X682" s="53">
        <v>0</v>
      </c>
      <c r="Y682" s="55">
        <v>0</v>
      </c>
      <c r="Z682" s="55">
        <v>4</v>
      </c>
      <c r="AA682" s="53">
        <v>0</v>
      </c>
      <c r="AB682" s="53">
        <v>4</v>
      </c>
      <c r="AC682" s="55">
        <v>0</v>
      </c>
      <c r="AD682" s="55">
        <f t="shared" si="250"/>
        <v>0</v>
      </c>
      <c r="AE682" s="53">
        <v>0</v>
      </c>
      <c r="AF682" s="55">
        <v>0</v>
      </c>
      <c r="AG682" s="55">
        <v>0</v>
      </c>
      <c r="AH682" s="55">
        <f t="shared" si="251"/>
        <v>0</v>
      </c>
      <c r="AI682" s="55">
        <v>0</v>
      </c>
      <c r="AJ682" s="55">
        <v>0</v>
      </c>
      <c r="AK682" s="55">
        <v>0</v>
      </c>
      <c r="AL682" s="55">
        <f t="shared" si="252"/>
        <v>2</v>
      </c>
      <c r="AM682" s="55" t="s">
        <v>1912</v>
      </c>
      <c r="AN682" s="55">
        <v>2</v>
      </c>
      <c r="AO682" s="55">
        <v>0</v>
      </c>
      <c r="AP682" s="55">
        <f t="shared" si="241"/>
        <v>0</v>
      </c>
      <c r="AQ682" s="55">
        <f>IFERROR(VLOOKUP(A682,[1]SIIMPLES!$A$2:$F$418,6,FALSE),0)</f>
        <v>0</v>
      </c>
      <c r="AR682" s="55">
        <v>0</v>
      </c>
      <c r="AS682" s="55">
        <v>0</v>
      </c>
      <c r="AT682" s="55">
        <v>0</v>
      </c>
      <c r="AU682" s="55">
        <v>0</v>
      </c>
      <c r="AV682" s="55">
        <v>0</v>
      </c>
      <c r="AW682" s="55"/>
      <c r="AX682" s="55"/>
      <c r="AY682" s="56">
        <f t="shared" si="253"/>
        <v>0.8</v>
      </c>
      <c r="AZ682" s="55"/>
      <c r="BA682" s="56">
        <v>1.3333333333333333</v>
      </c>
      <c r="BB682" s="41">
        <f t="shared" si="256"/>
        <v>-0.39999999999999991</v>
      </c>
      <c r="BC682" s="10"/>
      <c r="BD682" s="35"/>
      <c r="BE682" s="13"/>
      <c r="BF682" s="16">
        <f>SUM(BC682:BE682)</f>
        <v>0</v>
      </c>
      <c r="BG682" s="17">
        <f t="shared" si="257"/>
        <v>0</v>
      </c>
      <c r="BH682" s="16">
        <f t="shared" si="258"/>
        <v>0.8</v>
      </c>
    </row>
    <row r="683" spans="1:60" s="21" customFormat="1" ht="12.75" customHeight="1" x14ac:dyDescent="0.2">
      <c r="A683" s="50">
        <v>5611</v>
      </c>
      <c r="B683" s="51"/>
      <c r="C683" s="51" t="s">
        <v>1803</v>
      </c>
      <c r="D683" s="52" t="s">
        <v>735</v>
      </c>
      <c r="E683" s="52" t="s">
        <v>736</v>
      </c>
      <c r="F683" s="53">
        <f>IFERROR(VLOOKUP(E683,Fornecedores!$A$2:$B$2700,2,FALSE),"")</f>
        <v>5</v>
      </c>
      <c r="G683" s="52" t="s">
        <v>1002</v>
      </c>
      <c r="H683" s="54"/>
      <c r="I683" s="55">
        <f t="shared" si="247"/>
        <v>0</v>
      </c>
      <c r="J683" s="55">
        <v>0</v>
      </c>
      <c r="K683" s="55">
        <v>0</v>
      </c>
      <c r="L683" s="55">
        <v>0</v>
      </c>
      <c r="M683" s="55">
        <v>0</v>
      </c>
      <c r="N683" s="55">
        <f t="shared" si="248"/>
        <v>0</v>
      </c>
      <c r="O683" s="55">
        <v>0</v>
      </c>
      <c r="P683" s="55">
        <v>0</v>
      </c>
      <c r="Q683" s="55">
        <v>0</v>
      </c>
      <c r="R683" s="55">
        <f t="shared" si="249"/>
        <v>0</v>
      </c>
      <c r="S683" s="55">
        <v>0</v>
      </c>
      <c r="T683" s="55">
        <v>0</v>
      </c>
      <c r="U683" s="55">
        <v>0</v>
      </c>
      <c r="V683" s="55">
        <v>0</v>
      </c>
      <c r="W683" s="53">
        <v>0</v>
      </c>
      <c r="X683" s="53">
        <v>0</v>
      </c>
      <c r="Y683" s="55">
        <v>0</v>
      </c>
      <c r="Z683" s="55">
        <v>0</v>
      </c>
      <c r="AA683" s="53">
        <v>0</v>
      </c>
      <c r="AB683" s="53">
        <v>0</v>
      </c>
      <c r="AC683" s="55">
        <v>0</v>
      </c>
      <c r="AD683" s="55">
        <f t="shared" si="250"/>
        <v>0</v>
      </c>
      <c r="AE683" s="53">
        <f>IFERROR(VLOOKUP(A683,[4]simples!$A$1:$B$281,2,FALSE),0)</f>
        <v>0</v>
      </c>
      <c r="AF683" s="55">
        <v>0</v>
      </c>
      <c r="AG683" s="55">
        <v>0</v>
      </c>
      <c r="AH683" s="55">
        <f t="shared" si="251"/>
        <v>0</v>
      </c>
      <c r="AI683" s="55"/>
      <c r="AJ683" s="55">
        <v>0</v>
      </c>
      <c r="AK683" s="55"/>
      <c r="AL683" s="55">
        <f t="shared" si="252"/>
        <v>0</v>
      </c>
      <c r="AM683" s="55" t="s">
        <v>1912</v>
      </c>
      <c r="AN683" s="55">
        <v>0</v>
      </c>
      <c r="AO683" s="55">
        <v>0</v>
      </c>
      <c r="AP683" s="55">
        <f t="shared" si="241"/>
        <v>0</v>
      </c>
      <c r="AQ683" s="55">
        <f>IFERROR(VLOOKUP(A683,[1]SIIMPLES!$A$2:$F$418,6,FALSE),0)</f>
        <v>0</v>
      </c>
      <c r="AR683" s="55">
        <v>0</v>
      </c>
      <c r="AS683" s="55">
        <v>0</v>
      </c>
      <c r="AT683" s="55">
        <v>0</v>
      </c>
      <c r="AU683" s="55">
        <v>0</v>
      </c>
      <c r="AV683" s="55">
        <v>0</v>
      </c>
      <c r="AW683" s="55"/>
      <c r="AX683" s="55"/>
      <c r="AY683" s="56">
        <f t="shared" si="253"/>
        <v>0</v>
      </c>
      <c r="AZ683" s="55" t="s">
        <v>1619</v>
      </c>
      <c r="BA683" s="56">
        <v>0</v>
      </c>
      <c r="BB683" s="41" t="str">
        <f t="shared" si="256"/>
        <v/>
      </c>
      <c r="BC683" s="13"/>
      <c r="BD683" s="35"/>
      <c r="BE683" s="7"/>
      <c r="BF683" s="16"/>
      <c r="BG683" s="17" t="str">
        <f t="shared" si="257"/>
        <v>0</v>
      </c>
      <c r="BH683" s="16">
        <f t="shared" si="258"/>
        <v>0</v>
      </c>
    </row>
    <row r="684" spans="1:60" s="21" customFormat="1" ht="12.75" customHeight="1" x14ac:dyDescent="0.2">
      <c r="A684" s="50">
        <v>5612</v>
      </c>
      <c r="B684" s="51"/>
      <c r="C684" s="51" t="s">
        <v>1803</v>
      </c>
      <c r="D684" s="52" t="s">
        <v>735</v>
      </c>
      <c r="E684" s="52" t="s">
        <v>736</v>
      </c>
      <c r="F684" s="53">
        <f>IFERROR(VLOOKUP(E684,Fornecedores!$A$2:$B$2700,2,FALSE),"")</f>
        <v>5</v>
      </c>
      <c r="G684" s="52" t="s">
        <v>973</v>
      </c>
      <c r="H684" s="54"/>
      <c r="I684" s="55">
        <f t="shared" si="247"/>
        <v>0</v>
      </c>
      <c r="J684" s="55">
        <v>0</v>
      </c>
      <c r="K684" s="55">
        <v>0</v>
      </c>
      <c r="L684" s="55">
        <v>0</v>
      </c>
      <c r="M684" s="55">
        <v>0</v>
      </c>
      <c r="N684" s="55">
        <f t="shared" si="248"/>
        <v>0</v>
      </c>
      <c r="O684" s="55">
        <v>0</v>
      </c>
      <c r="P684" s="55">
        <v>0</v>
      </c>
      <c r="Q684" s="55">
        <v>0</v>
      </c>
      <c r="R684" s="55">
        <f t="shared" si="249"/>
        <v>0</v>
      </c>
      <c r="S684" s="55">
        <v>0</v>
      </c>
      <c r="T684" s="55">
        <v>0</v>
      </c>
      <c r="U684" s="55">
        <v>0</v>
      </c>
      <c r="V684" s="55">
        <v>0</v>
      </c>
      <c r="W684" s="53">
        <v>0</v>
      </c>
      <c r="X684" s="53">
        <v>0</v>
      </c>
      <c r="Y684" s="55">
        <v>0</v>
      </c>
      <c r="Z684" s="55">
        <v>0</v>
      </c>
      <c r="AA684" s="53">
        <v>0</v>
      </c>
      <c r="AB684" s="53">
        <v>0</v>
      </c>
      <c r="AC684" s="55">
        <v>0</v>
      </c>
      <c r="AD684" s="55">
        <f t="shared" si="250"/>
        <v>0</v>
      </c>
      <c r="AE684" s="53">
        <f>IFERROR(VLOOKUP(A684,[4]simples!$A$1:$B$281,2,FALSE),0)</f>
        <v>0</v>
      </c>
      <c r="AF684" s="55">
        <v>0</v>
      </c>
      <c r="AG684" s="55">
        <v>0</v>
      </c>
      <c r="AH684" s="55">
        <f t="shared" si="251"/>
        <v>0</v>
      </c>
      <c r="AI684" s="55"/>
      <c r="AJ684" s="55">
        <v>0</v>
      </c>
      <c r="AK684" s="55"/>
      <c r="AL684" s="55">
        <f t="shared" si="252"/>
        <v>0</v>
      </c>
      <c r="AM684" s="55" t="s">
        <v>1912</v>
      </c>
      <c r="AN684" s="55">
        <v>0</v>
      </c>
      <c r="AO684" s="55">
        <v>0</v>
      </c>
      <c r="AP684" s="55">
        <f t="shared" si="241"/>
        <v>0</v>
      </c>
      <c r="AQ684" s="55">
        <f>IFERROR(VLOOKUP(A684,[1]SIIMPLES!$A$2:$F$418,6,FALSE),0)</f>
        <v>0</v>
      </c>
      <c r="AR684" s="55">
        <v>0</v>
      </c>
      <c r="AS684" s="55">
        <v>0</v>
      </c>
      <c r="AT684" s="55">
        <v>0</v>
      </c>
      <c r="AU684" s="55">
        <v>0</v>
      </c>
      <c r="AV684" s="55">
        <v>0</v>
      </c>
      <c r="AW684" s="55"/>
      <c r="AX684" s="55"/>
      <c r="AY684" s="56">
        <f t="shared" si="253"/>
        <v>0</v>
      </c>
      <c r="AZ684" s="55"/>
      <c r="BA684" s="56">
        <v>0</v>
      </c>
      <c r="BB684" s="41" t="str">
        <f t="shared" si="256"/>
        <v/>
      </c>
      <c r="BC684" s="13"/>
      <c r="BD684" s="35"/>
      <c r="BE684" s="13"/>
      <c r="BF684" s="16"/>
      <c r="BG684" s="17" t="str">
        <f t="shared" si="257"/>
        <v>0</v>
      </c>
      <c r="BH684" s="16">
        <f t="shared" si="258"/>
        <v>0</v>
      </c>
    </row>
    <row r="685" spans="1:60" s="21" customFormat="1" ht="12.75" customHeight="1" x14ac:dyDescent="0.2">
      <c r="A685" s="51">
        <v>5613</v>
      </c>
      <c r="B685" s="51"/>
      <c r="C685" s="66" t="s">
        <v>1803</v>
      </c>
      <c r="D685" s="52" t="s">
        <v>735</v>
      </c>
      <c r="E685" s="52" t="s">
        <v>736</v>
      </c>
      <c r="F685" s="53">
        <f>IFERROR(VLOOKUP(E685,Fornecedores!$A$2:$B$2700,2,FALSE),"")</f>
        <v>5</v>
      </c>
      <c r="G685" s="52" t="s">
        <v>598</v>
      </c>
      <c r="H685" s="54"/>
      <c r="I685" s="55">
        <f t="shared" si="247"/>
        <v>2</v>
      </c>
      <c r="J685" s="55">
        <v>0</v>
      </c>
      <c r="K685" s="55">
        <v>2</v>
      </c>
      <c r="L685" s="55">
        <v>0</v>
      </c>
      <c r="M685" s="55">
        <v>0</v>
      </c>
      <c r="N685" s="55">
        <f t="shared" si="248"/>
        <v>2</v>
      </c>
      <c r="O685" s="55">
        <v>0</v>
      </c>
      <c r="P685" s="55">
        <v>2</v>
      </c>
      <c r="Q685" s="55">
        <v>0</v>
      </c>
      <c r="R685" s="55">
        <f t="shared" si="249"/>
        <v>0</v>
      </c>
      <c r="S685" s="55">
        <v>0</v>
      </c>
      <c r="T685" s="55">
        <v>0</v>
      </c>
      <c r="U685" s="55">
        <v>0</v>
      </c>
      <c r="V685" s="55">
        <v>0</v>
      </c>
      <c r="W685" s="53">
        <v>0</v>
      </c>
      <c r="X685" s="53">
        <v>0</v>
      </c>
      <c r="Y685" s="55">
        <v>0</v>
      </c>
      <c r="Z685" s="55">
        <v>2</v>
      </c>
      <c r="AA685" s="53">
        <v>0</v>
      </c>
      <c r="AB685" s="53">
        <v>2</v>
      </c>
      <c r="AC685" s="55">
        <v>0</v>
      </c>
      <c r="AD685" s="55">
        <f t="shared" si="250"/>
        <v>0</v>
      </c>
      <c r="AE685" s="53">
        <v>0</v>
      </c>
      <c r="AF685" s="55">
        <v>0</v>
      </c>
      <c r="AG685" s="55">
        <v>0</v>
      </c>
      <c r="AH685" s="55">
        <f t="shared" si="251"/>
        <v>0</v>
      </c>
      <c r="AI685" s="55">
        <v>0</v>
      </c>
      <c r="AJ685" s="55">
        <v>0</v>
      </c>
      <c r="AK685" s="55">
        <v>0</v>
      </c>
      <c r="AL685" s="55">
        <f t="shared" si="252"/>
        <v>2</v>
      </c>
      <c r="AM685" s="55" t="s">
        <v>1912</v>
      </c>
      <c r="AN685" s="55">
        <v>2</v>
      </c>
      <c r="AO685" s="55">
        <v>0</v>
      </c>
      <c r="AP685" s="55">
        <f t="shared" si="241"/>
        <v>0</v>
      </c>
      <c r="AQ685" s="55">
        <f>IFERROR(VLOOKUP(A685,[1]SIIMPLES!$A$2:$F$418,6,FALSE),0)</f>
        <v>0</v>
      </c>
      <c r="AR685" s="55">
        <v>0</v>
      </c>
      <c r="AS685" s="55">
        <v>6</v>
      </c>
      <c r="AT685" s="55">
        <v>0</v>
      </c>
      <c r="AU685" s="55">
        <v>0</v>
      </c>
      <c r="AV685" s="55">
        <v>6</v>
      </c>
      <c r="AW685" s="55"/>
      <c r="AX685" s="55"/>
      <c r="AY685" s="56">
        <f t="shared" si="253"/>
        <v>1.4</v>
      </c>
      <c r="AZ685" s="55"/>
      <c r="BA685" s="56">
        <v>0.33333333333333331</v>
      </c>
      <c r="BB685" s="41">
        <f t="shared" si="256"/>
        <v>3.2</v>
      </c>
      <c r="BC685" s="13"/>
      <c r="BD685" s="35"/>
      <c r="BE685" s="13"/>
      <c r="BF685" s="16">
        <f>SUM(BC685:BE685)</f>
        <v>0</v>
      </c>
      <c r="BG685" s="17">
        <f t="shared" si="257"/>
        <v>0</v>
      </c>
      <c r="BH685" s="16">
        <f t="shared" si="258"/>
        <v>1.4</v>
      </c>
    </row>
    <row r="686" spans="1:60" s="21" customFormat="1" ht="12.75" customHeight="1" x14ac:dyDescent="0.2">
      <c r="A686" s="51">
        <v>5614</v>
      </c>
      <c r="B686" s="51"/>
      <c r="C686" s="66" t="s">
        <v>1803</v>
      </c>
      <c r="D686" s="52" t="s">
        <v>735</v>
      </c>
      <c r="E686" s="52" t="s">
        <v>736</v>
      </c>
      <c r="F686" s="53">
        <f>IFERROR(VLOOKUP(E686,Fornecedores!$A$2:$B$2700,2,FALSE),"")</f>
        <v>5</v>
      </c>
      <c r="G686" s="52" t="s">
        <v>164</v>
      </c>
      <c r="H686" s="54"/>
      <c r="I686" s="55">
        <f t="shared" si="247"/>
        <v>0</v>
      </c>
      <c r="J686" s="55">
        <v>0</v>
      </c>
      <c r="K686" s="55">
        <v>0</v>
      </c>
      <c r="L686" s="55">
        <v>0</v>
      </c>
      <c r="M686" s="55">
        <v>0</v>
      </c>
      <c r="N686" s="55">
        <f t="shared" si="248"/>
        <v>0</v>
      </c>
      <c r="O686" s="55">
        <v>0</v>
      </c>
      <c r="P686" s="55">
        <v>0</v>
      </c>
      <c r="Q686" s="55">
        <v>0</v>
      </c>
      <c r="R686" s="55">
        <f t="shared" si="249"/>
        <v>0</v>
      </c>
      <c r="S686" s="55">
        <v>0</v>
      </c>
      <c r="T686" s="55">
        <v>0</v>
      </c>
      <c r="U686" s="55">
        <v>0</v>
      </c>
      <c r="V686" s="55">
        <v>0</v>
      </c>
      <c r="W686" s="53">
        <v>0</v>
      </c>
      <c r="X686" s="53">
        <v>0</v>
      </c>
      <c r="Y686" s="55">
        <v>0</v>
      </c>
      <c r="Z686" s="55">
        <v>0</v>
      </c>
      <c r="AA686" s="53">
        <v>0</v>
      </c>
      <c r="AB686" s="53">
        <v>0</v>
      </c>
      <c r="AC686" s="55">
        <v>0</v>
      </c>
      <c r="AD686" s="55">
        <f t="shared" si="250"/>
        <v>0</v>
      </c>
      <c r="AE686" s="53">
        <v>0</v>
      </c>
      <c r="AF686" s="55">
        <v>0</v>
      </c>
      <c r="AG686" s="55">
        <v>0</v>
      </c>
      <c r="AH686" s="55">
        <f t="shared" si="251"/>
        <v>0</v>
      </c>
      <c r="AI686" s="55">
        <v>0</v>
      </c>
      <c r="AJ686" s="55">
        <v>0</v>
      </c>
      <c r="AK686" s="55">
        <v>0</v>
      </c>
      <c r="AL686" s="55">
        <f t="shared" si="252"/>
        <v>0</v>
      </c>
      <c r="AM686" s="55" t="s">
        <v>1912</v>
      </c>
      <c r="AN686" s="55">
        <v>0</v>
      </c>
      <c r="AO686" s="55">
        <v>0</v>
      </c>
      <c r="AP686" s="55">
        <f t="shared" si="241"/>
        <v>0</v>
      </c>
      <c r="AQ686" s="55">
        <f>IFERROR(VLOOKUP(A686,[1]SIIMPLES!$A$2:$F$418,6,FALSE),0)</f>
        <v>0</v>
      </c>
      <c r="AR686" s="55">
        <v>0</v>
      </c>
      <c r="AS686" s="55">
        <v>0</v>
      </c>
      <c r="AT686" s="55">
        <v>0</v>
      </c>
      <c r="AU686" s="55">
        <v>0</v>
      </c>
      <c r="AV686" s="55">
        <v>0</v>
      </c>
      <c r="AW686" s="55"/>
      <c r="AX686" s="55"/>
      <c r="AY686" s="56">
        <f t="shared" si="253"/>
        <v>0</v>
      </c>
      <c r="AZ686" s="55"/>
      <c r="BA686" s="56">
        <v>0</v>
      </c>
      <c r="BB686" s="41" t="str">
        <f t="shared" si="256"/>
        <v/>
      </c>
      <c r="BC686" s="13"/>
      <c r="BD686" s="35"/>
      <c r="BE686" s="13"/>
      <c r="BF686" s="16">
        <f>SUM(BC686:BE686)</f>
        <v>0</v>
      </c>
      <c r="BG686" s="17" t="str">
        <f t="shared" si="257"/>
        <v>0</v>
      </c>
      <c r="BH686" s="16">
        <f t="shared" si="258"/>
        <v>0</v>
      </c>
    </row>
    <row r="687" spans="1:60" s="21" customFormat="1" ht="12.75" customHeight="1" x14ac:dyDescent="0.2">
      <c r="A687" s="51">
        <v>5615</v>
      </c>
      <c r="B687" s="51" t="s">
        <v>1077</v>
      </c>
      <c r="C687" s="66" t="s">
        <v>1803</v>
      </c>
      <c r="D687" s="52" t="s">
        <v>735</v>
      </c>
      <c r="E687" s="52" t="s">
        <v>736</v>
      </c>
      <c r="F687" s="53">
        <f>IFERROR(VLOOKUP(E687,Fornecedores!$A$2:$B$2700,2,FALSE),"")</f>
        <v>5</v>
      </c>
      <c r="G687" s="52" t="s">
        <v>149</v>
      </c>
      <c r="H687" s="54"/>
      <c r="I687" s="55">
        <f t="shared" si="247"/>
        <v>0</v>
      </c>
      <c r="J687" s="55">
        <v>0</v>
      </c>
      <c r="K687" s="55">
        <v>0</v>
      </c>
      <c r="L687" s="55">
        <v>0</v>
      </c>
      <c r="M687" s="55">
        <v>0</v>
      </c>
      <c r="N687" s="55">
        <f t="shared" si="248"/>
        <v>2</v>
      </c>
      <c r="O687" s="55">
        <v>0</v>
      </c>
      <c r="P687" s="55">
        <v>2</v>
      </c>
      <c r="Q687" s="55">
        <v>0</v>
      </c>
      <c r="R687" s="55">
        <f t="shared" si="249"/>
        <v>0</v>
      </c>
      <c r="S687" s="55">
        <v>0</v>
      </c>
      <c r="T687" s="55">
        <v>0</v>
      </c>
      <c r="U687" s="55">
        <v>0</v>
      </c>
      <c r="V687" s="55">
        <v>0</v>
      </c>
      <c r="W687" s="53">
        <v>0</v>
      </c>
      <c r="X687" s="53">
        <v>0</v>
      </c>
      <c r="Y687" s="55">
        <v>0</v>
      </c>
      <c r="Z687" s="55">
        <v>0</v>
      </c>
      <c r="AA687" s="53">
        <v>0</v>
      </c>
      <c r="AB687" s="53">
        <v>0</v>
      </c>
      <c r="AC687" s="55">
        <v>0</v>
      </c>
      <c r="AD687" s="55">
        <f t="shared" si="250"/>
        <v>0</v>
      </c>
      <c r="AE687" s="53">
        <v>0</v>
      </c>
      <c r="AF687" s="55">
        <v>0</v>
      </c>
      <c r="AG687" s="55">
        <v>0</v>
      </c>
      <c r="AH687" s="55">
        <f t="shared" si="251"/>
        <v>0</v>
      </c>
      <c r="AI687" s="55">
        <v>0</v>
      </c>
      <c r="AJ687" s="55">
        <v>0</v>
      </c>
      <c r="AK687" s="55">
        <v>0</v>
      </c>
      <c r="AL687" s="55">
        <f t="shared" si="252"/>
        <v>0</v>
      </c>
      <c r="AM687" s="55" t="s">
        <v>1912</v>
      </c>
      <c r="AN687" s="55">
        <v>0</v>
      </c>
      <c r="AO687" s="55">
        <v>0</v>
      </c>
      <c r="AP687" s="55">
        <f t="shared" si="241"/>
        <v>0</v>
      </c>
      <c r="AQ687" s="55">
        <f>IFERROR(VLOOKUP(A687,[1]SIIMPLES!$A$2:$F$418,6,FALSE),0)</f>
        <v>0</v>
      </c>
      <c r="AR687" s="55">
        <v>0</v>
      </c>
      <c r="AS687" s="55">
        <v>0</v>
      </c>
      <c r="AT687" s="55">
        <v>0</v>
      </c>
      <c r="AU687" s="55">
        <v>0</v>
      </c>
      <c r="AV687" s="55">
        <v>0</v>
      </c>
      <c r="AW687" s="55"/>
      <c r="AX687" s="55"/>
      <c r="AY687" s="56">
        <f t="shared" si="253"/>
        <v>0.2</v>
      </c>
      <c r="AZ687" s="55"/>
      <c r="BA687" s="56">
        <v>0.83333333333333337</v>
      </c>
      <c r="BB687" s="41">
        <f t="shared" si="256"/>
        <v>-0.76</v>
      </c>
      <c r="BC687" s="13"/>
      <c r="BD687" s="35"/>
      <c r="BE687" s="13"/>
      <c r="BF687" s="16">
        <f>SUM(BC687:BE687)</f>
        <v>0</v>
      </c>
      <c r="BG687" s="17">
        <f t="shared" si="257"/>
        <v>0</v>
      </c>
      <c r="BH687" s="16">
        <f t="shared" si="258"/>
        <v>0.2</v>
      </c>
    </row>
    <row r="688" spans="1:60" s="21" customFormat="1" ht="12.75" customHeight="1" x14ac:dyDescent="0.2">
      <c r="A688" s="50">
        <v>5617</v>
      </c>
      <c r="B688" s="51"/>
      <c r="C688" s="51" t="s">
        <v>1803</v>
      </c>
      <c r="D688" s="52" t="s">
        <v>735</v>
      </c>
      <c r="E688" s="52" t="s">
        <v>736</v>
      </c>
      <c r="F688" s="53">
        <f>IFERROR(VLOOKUP(E688,Fornecedores!$A$2:$B$2700,2,FALSE),"")</f>
        <v>5</v>
      </c>
      <c r="G688" s="52" t="s">
        <v>953</v>
      </c>
      <c r="H688" s="54"/>
      <c r="I688" s="55">
        <f t="shared" si="247"/>
        <v>0</v>
      </c>
      <c r="J688" s="55">
        <v>0</v>
      </c>
      <c r="K688" s="55">
        <v>0</v>
      </c>
      <c r="L688" s="55">
        <v>0</v>
      </c>
      <c r="M688" s="55">
        <v>0</v>
      </c>
      <c r="N688" s="55">
        <f t="shared" si="248"/>
        <v>0</v>
      </c>
      <c r="O688" s="55">
        <v>0</v>
      </c>
      <c r="P688" s="55">
        <v>0</v>
      </c>
      <c r="Q688" s="55">
        <v>0</v>
      </c>
      <c r="R688" s="55">
        <f t="shared" si="249"/>
        <v>0</v>
      </c>
      <c r="S688" s="55">
        <v>0</v>
      </c>
      <c r="T688" s="55">
        <v>0</v>
      </c>
      <c r="U688" s="55">
        <v>0</v>
      </c>
      <c r="V688" s="55">
        <v>0</v>
      </c>
      <c r="W688" s="53">
        <v>0</v>
      </c>
      <c r="X688" s="53">
        <v>0</v>
      </c>
      <c r="Y688" s="55">
        <v>0</v>
      </c>
      <c r="Z688" s="55">
        <v>0</v>
      </c>
      <c r="AA688" s="53">
        <v>0</v>
      </c>
      <c r="AB688" s="53">
        <v>0</v>
      </c>
      <c r="AC688" s="55">
        <v>0</v>
      </c>
      <c r="AD688" s="55">
        <f t="shared" si="250"/>
        <v>0</v>
      </c>
      <c r="AE688" s="53">
        <f>IFERROR(VLOOKUP(A688,[4]simples!$A$1:$B$281,2,FALSE),0)</f>
        <v>0</v>
      </c>
      <c r="AF688" s="55">
        <v>0</v>
      </c>
      <c r="AG688" s="55">
        <v>0</v>
      </c>
      <c r="AH688" s="55">
        <f t="shared" si="251"/>
        <v>0</v>
      </c>
      <c r="AI688" s="55"/>
      <c r="AJ688" s="55">
        <v>0</v>
      </c>
      <c r="AK688" s="55"/>
      <c r="AL688" s="55">
        <f t="shared" si="252"/>
        <v>0</v>
      </c>
      <c r="AM688" s="55" t="s">
        <v>1912</v>
      </c>
      <c r="AN688" s="55">
        <v>0</v>
      </c>
      <c r="AO688" s="55">
        <v>0</v>
      </c>
      <c r="AP688" s="55">
        <f t="shared" si="241"/>
        <v>0</v>
      </c>
      <c r="AQ688" s="55">
        <f>IFERROR(VLOOKUP(A688,[1]SIIMPLES!$A$2:$F$418,6,FALSE),0)</f>
        <v>0</v>
      </c>
      <c r="AR688" s="55">
        <v>0</v>
      </c>
      <c r="AS688" s="55">
        <v>0</v>
      </c>
      <c r="AT688" s="55">
        <v>0</v>
      </c>
      <c r="AU688" s="55">
        <v>0</v>
      </c>
      <c r="AV688" s="55">
        <v>0</v>
      </c>
      <c r="AW688" s="55"/>
      <c r="AX688" s="55"/>
      <c r="AY688" s="56">
        <f t="shared" si="253"/>
        <v>0</v>
      </c>
      <c r="AZ688" s="55"/>
      <c r="BA688" s="56">
        <v>0</v>
      </c>
      <c r="BB688" s="41" t="str">
        <f t="shared" si="256"/>
        <v/>
      </c>
      <c r="BC688" s="13"/>
      <c r="BD688" s="35"/>
      <c r="BE688" s="13"/>
      <c r="BF688" s="16"/>
      <c r="BG688" s="17" t="str">
        <f t="shared" si="257"/>
        <v>0</v>
      </c>
      <c r="BH688" s="16">
        <f t="shared" si="258"/>
        <v>0</v>
      </c>
    </row>
    <row r="689" spans="1:60" s="21" customFormat="1" ht="12.75" customHeight="1" x14ac:dyDescent="0.2">
      <c r="A689" s="50">
        <v>5618</v>
      </c>
      <c r="B689" s="51"/>
      <c r="C689" s="51" t="s">
        <v>1803</v>
      </c>
      <c r="D689" s="52" t="s">
        <v>735</v>
      </c>
      <c r="E689" s="52" t="s">
        <v>736</v>
      </c>
      <c r="F689" s="53">
        <f>IFERROR(VLOOKUP(E689,Fornecedores!$A$2:$B$2700,2,FALSE),"")</f>
        <v>5</v>
      </c>
      <c r="G689" s="52" t="s">
        <v>954</v>
      </c>
      <c r="H689" s="54"/>
      <c r="I689" s="55">
        <f t="shared" si="247"/>
        <v>0</v>
      </c>
      <c r="J689" s="55">
        <v>0</v>
      </c>
      <c r="K689" s="55">
        <v>0</v>
      </c>
      <c r="L689" s="55">
        <v>0</v>
      </c>
      <c r="M689" s="55">
        <v>0</v>
      </c>
      <c r="N689" s="55">
        <f t="shared" si="248"/>
        <v>0</v>
      </c>
      <c r="O689" s="55">
        <v>0</v>
      </c>
      <c r="P689" s="55">
        <v>0</v>
      </c>
      <c r="Q689" s="55">
        <v>0</v>
      </c>
      <c r="R689" s="55">
        <f t="shared" si="249"/>
        <v>0</v>
      </c>
      <c r="S689" s="55">
        <v>0</v>
      </c>
      <c r="T689" s="55">
        <v>0</v>
      </c>
      <c r="U689" s="55">
        <v>0</v>
      </c>
      <c r="V689" s="55">
        <v>0</v>
      </c>
      <c r="W689" s="53">
        <v>0</v>
      </c>
      <c r="X689" s="53">
        <v>0</v>
      </c>
      <c r="Y689" s="55">
        <v>0</v>
      </c>
      <c r="Z689" s="55">
        <v>0</v>
      </c>
      <c r="AA689" s="53">
        <v>0</v>
      </c>
      <c r="AB689" s="53">
        <v>0</v>
      </c>
      <c r="AC689" s="55">
        <v>0</v>
      </c>
      <c r="AD689" s="55">
        <f t="shared" si="250"/>
        <v>0</v>
      </c>
      <c r="AE689" s="53">
        <f>IFERROR(VLOOKUP(A689,[4]simples!$A$1:$B$281,2,FALSE),0)</f>
        <v>0</v>
      </c>
      <c r="AF689" s="55">
        <v>0</v>
      </c>
      <c r="AG689" s="55">
        <v>0</v>
      </c>
      <c r="AH689" s="55">
        <f t="shared" si="251"/>
        <v>0</v>
      </c>
      <c r="AI689" s="55"/>
      <c r="AJ689" s="55">
        <v>0</v>
      </c>
      <c r="AK689" s="55"/>
      <c r="AL689" s="55">
        <f t="shared" si="252"/>
        <v>0</v>
      </c>
      <c r="AM689" s="55" t="s">
        <v>1912</v>
      </c>
      <c r="AN689" s="55">
        <v>0</v>
      </c>
      <c r="AO689" s="55">
        <v>0</v>
      </c>
      <c r="AP689" s="55">
        <f t="shared" si="241"/>
        <v>0</v>
      </c>
      <c r="AQ689" s="55">
        <f>IFERROR(VLOOKUP(A689,[1]SIIMPLES!$A$2:$F$418,6,FALSE),0)</f>
        <v>0</v>
      </c>
      <c r="AR689" s="55">
        <v>0</v>
      </c>
      <c r="AS689" s="55">
        <v>0</v>
      </c>
      <c r="AT689" s="55">
        <v>0</v>
      </c>
      <c r="AU689" s="55">
        <v>0</v>
      </c>
      <c r="AV689" s="55">
        <v>0</v>
      </c>
      <c r="AW689" s="55"/>
      <c r="AX689" s="55"/>
      <c r="AY689" s="56">
        <f t="shared" si="253"/>
        <v>0</v>
      </c>
      <c r="AZ689" s="55"/>
      <c r="BA689" s="56">
        <v>0</v>
      </c>
      <c r="BB689" s="41" t="str">
        <f t="shared" si="256"/>
        <v/>
      </c>
      <c r="BC689" s="13"/>
      <c r="BD689" s="35"/>
      <c r="BE689" s="7"/>
      <c r="BF689" s="16"/>
      <c r="BG689" s="17" t="str">
        <f t="shared" si="257"/>
        <v>0</v>
      </c>
      <c r="BH689" s="16">
        <f>ROUND(IFERROR(IF(F689=1,IF(BC689&lt;AY689*3,AY689*3-BC689,0),IF(BC689&lt;AY689,AY689*0.6-BC689,0)),""),0)</f>
        <v>0</v>
      </c>
    </row>
    <row r="690" spans="1:60" s="21" customFormat="1" ht="12.75" customHeight="1" x14ac:dyDescent="0.2">
      <c r="A690" s="51">
        <v>5619</v>
      </c>
      <c r="B690" s="51"/>
      <c r="C690" s="66" t="s">
        <v>1803</v>
      </c>
      <c r="D690" s="52" t="s">
        <v>735</v>
      </c>
      <c r="E690" s="52" t="s">
        <v>736</v>
      </c>
      <c r="F690" s="53">
        <f>IFERROR(VLOOKUP(E690,Fornecedores!$A$2:$B$2700,2,FALSE),"")</f>
        <v>5</v>
      </c>
      <c r="G690" s="52" t="s">
        <v>163</v>
      </c>
      <c r="H690" s="54"/>
      <c r="I690" s="55">
        <f t="shared" si="247"/>
        <v>0</v>
      </c>
      <c r="J690" s="55">
        <v>0</v>
      </c>
      <c r="K690" s="55">
        <v>0</v>
      </c>
      <c r="L690" s="55">
        <v>0</v>
      </c>
      <c r="M690" s="55">
        <v>0</v>
      </c>
      <c r="N690" s="55">
        <f t="shared" si="248"/>
        <v>0</v>
      </c>
      <c r="O690" s="55">
        <v>0</v>
      </c>
      <c r="P690" s="55">
        <v>0</v>
      </c>
      <c r="Q690" s="55">
        <v>0</v>
      </c>
      <c r="R690" s="55">
        <f t="shared" si="249"/>
        <v>0</v>
      </c>
      <c r="S690" s="55">
        <v>0</v>
      </c>
      <c r="T690" s="55">
        <v>0</v>
      </c>
      <c r="U690" s="55">
        <v>0</v>
      </c>
      <c r="V690" s="55">
        <v>0</v>
      </c>
      <c r="W690" s="53">
        <v>0</v>
      </c>
      <c r="X690" s="53">
        <v>0</v>
      </c>
      <c r="Y690" s="55">
        <v>0</v>
      </c>
      <c r="Z690" s="55">
        <v>0</v>
      </c>
      <c r="AA690" s="53">
        <v>0</v>
      </c>
      <c r="AB690" s="53">
        <v>0</v>
      </c>
      <c r="AC690" s="55">
        <v>0</v>
      </c>
      <c r="AD690" s="55">
        <f t="shared" si="250"/>
        <v>0</v>
      </c>
      <c r="AE690" s="53">
        <v>0</v>
      </c>
      <c r="AF690" s="55">
        <v>0</v>
      </c>
      <c r="AG690" s="55">
        <v>0</v>
      </c>
      <c r="AH690" s="55">
        <f t="shared" si="251"/>
        <v>0</v>
      </c>
      <c r="AI690" s="55">
        <v>0</v>
      </c>
      <c r="AJ690" s="55">
        <v>0</v>
      </c>
      <c r="AK690" s="55">
        <v>0</v>
      </c>
      <c r="AL690" s="55">
        <f t="shared" si="252"/>
        <v>0</v>
      </c>
      <c r="AM690" s="55" t="s">
        <v>1912</v>
      </c>
      <c r="AN690" s="55">
        <v>0</v>
      </c>
      <c r="AO690" s="55">
        <v>0</v>
      </c>
      <c r="AP690" s="55">
        <f t="shared" si="241"/>
        <v>0</v>
      </c>
      <c r="AQ690" s="55">
        <f>IFERROR(VLOOKUP(A690,[1]SIIMPLES!$A$2:$F$418,6,FALSE),0)</f>
        <v>0</v>
      </c>
      <c r="AR690" s="55">
        <v>0</v>
      </c>
      <c r="AS690" s="55">
        <v>0</v>
      </c>
      <c r="AT690" s="55">
        <v>0</v>
      </c>
      <c r="AU690" s="55">
        <v>0</v>
      </c>
      <c r="AV690" s="55">
        <v>0</v>
      </c>
      <c r="AW690" s="55"/>
      <c r="AX690" s="55"/>
      <c r="AY690" s="56">
        <f t="shared" si="253"/>
        <v>0</v>
      </c>
      <c r="AZ690" s="55"/>
      <c r="BA690" s="56">
        <v>0</v>
      </c>
      <c r="BB690" s="41" t="str">
        <f t="shared" si="256"/>
        <v/>
      </c>
      <c r="BC690" s="13"/>
      <c r="BD690" s="35"/>
      <c r="BE690" s="13"/>
      <c r="BF690" s="16"/>
      <c r="BG690" s="17" t="str">
        <f t="shared" si="257"/>
        <v>0</v>
      </c>
      <c r="BH690" s="16">
        <f>ROUND(IFERROR(IF(F690=1,IF(BC690&lt;AY690*3,AY690*3-BC690,0),IF(BC690&lt;AY690,AY690*0.6-BC690,0)),""),0)</f>
        <v>0</v>
      </c>
    </row>
    <row r="691" spans="1:60" s="21" customFormat="1" ht="12.75" customHeight="1" x14ac:dyDescent="0.2">
      <c r="A691" s="51">
        <v>5623</v>
      </c>
      <c r="B691" s="51"/>
      <c r="C691" s="66" t="s">
        <v>1803</v>
      </c>
      <c r="D691" s="52" t="s">
        <v>735</v>
      </c>
      <c r="E691" s="52" t="s">
        <v>736</v>
      </c>
      <c r="F691" s="53">
        <f>IFERROR(VLOOKUP(E691,Fornecedores!$A$2:$B$2700,2,FALSE),"")</f>
        <v>5</v>
      </c>
      <c r="G691" s="52" t="s">
        <v>18</v>
      </c>
      <c r="H691" s="54"/>
      <c r="I691" s="55">
        <f t="shared" ref="I691" si="259">SUM(J691:M691)</f>
        <v>0</v>
      </c>
      <c r="J691" s="55">
        <v>0</v>
      </c>
      <c r="K691" s="55">
        <v>0</v>
      </c>
      <c r="L691" s="55">
        <v>0</v>
      </c>
      <c r="M691" s="55">
        <v>0</v>
      </c>
      <c r="N691" s="55">
        <f t="shared" ref="N691" si="260">SUM(O691:Q691)</f>
        <v>0</v>
      </c>
      <c r="O691" s="55">
        <v>0</v>
      </c>
      <c r="P691" s="55">
        <v>0</v>
      </c>
      <c r="Q691" s="55">
        <v>0</v>
      </c>
      <c r="R691" s="55">
        <f t="shared" ref="R691" si="261">SUM(S691:U691)</f>
        <v>0</v>
      </c>
      <c r="S691" s="55">
        <v>0</v>
      </c>
      <c r="T691" s="55">
        <v>0</v>
      </c>
      <c r="U691" s="55">
        <v>0</v>
      </c>
      <c r="V691" s="55">
        <v>0</v>
      </c>
      <c r="W691" s="53">
        <v>0</v>
      </c>
      <c r="X691" s="53">
        <v>0</v>
      </c>
      <c r="Y691" s="55">
        <v>0</v>
      </c>
      <c r="Z691" s="55">
        <v>0</v>
      </c>
      <c r="AA691" s="53">
        <v>0</v>
      </c>
      <c r="AB691" s="53">
        <v>0</v>
      </c>
      <c r="AC691" s="55">
        <v>0</v>
      </c>
      <c r="AD691" s="55">
        <f t="shared" si="250"/>
        <v>0</v>
      </c>
      <c r="AE691" s="53">
        <v>0</v>
      </c>
      <c r="AF691" s="55">
        <v>0</v>
      </c>
      <c r="AG691" s="55">
        <v>0</v>
      </c>
      <c r="AH691" s="55">
        <f t="shared" si="251"/>
        <v>0</v>
      </c>
      <c r="AI691" s="55">
        <v>0</v>
      </c>
      <c r="AJ691" s="55">
        <v>0</v>
      </c>
      <c r="AK691" s="55">
        <v>0</v>
      </c>
      <c r="AL691" s="55">
        <f t="shared" si="252"/>
        <v>0</v>
      </c>
      <c r="AM691" s="55" t="s">
        <v>1912</v>
      </c>
      <c r="AN691" s="55">
        <v>0</v>
      </c>
      <c r="AO691" s="55">
        <v>0</v>
      </c>
      <c r="AP691" s="55">
        <f t="shared" si="241"/>
        <v>0</v>
      </c>
      <c r="AQ691" s="55">
        <f>IFERROR(VLOOKUP(A691,[1]SIIMPLES!$A$2:$F$418,6,FALSE),0)</f>
        <v>0</v>
      </c>
      <c r="AR691" s="55">
        <v>0</v>
      </c>
      <c r="AS691" s="55">
        <v>0</v>
      </c>
      <c r="AT691" s="55">
        <v>0</v>
      </c>
      <c r="AU691" s="55">
        <v>0</v>
      </c>
      <c r="AV691" s="55">
        <v>0</v>
      </c>
      <c r="AW691" s="55"/>
      <c r="AX691" s="55"/>
      <c r="AY691" s="56">
        <f t="shared" si="253"/>
        <v>0</v>
      </c>
      <c r="AZ691" s="55"/>
      <c r="BA691" s="56">
        <v>0</v>
      </c>
      <c r="BB691" s="41" t="str">
        <f t="shared" si="256"/>
        <v/>
      </c>
      <c r="BC691" s="13"/>
      <c r="BD691" s="35"/>
      <c r="BE691" s="13"/>
      <c r="BF691" s="16">
        <f>SUM(BC691:BE691)</f>
        <v>0</v>
      </c>
      <c r="BG691" s="17" t="str">
        <f t="shared" si="257"/>
        <v>0</v>
      </c>
      <c r="BH691" s="16">
        <f t="shared" ref="BH691:BH700" si="262">IFERROR(IF(F691=1,IF(BC691&lt;AY691*3,AY691*3-BC691,0),IF(BC691&lt;AY691,AY691-BC691,0)),"")</f>
        <v>0</v>
      </c>
    </row>
    <row r="692" spans="1:60" s="21" customFormat="1" ht="12.75" customHeight="1" x14ac:dyDescent="0.2">
      <c r="A692" s="51">
        <v>5678</v>
      </c>
      <c r="B692" s="51"/>
      <c r="C692" s="66" t="s">
        <v>1803</v>
      </c>
      <c r="D692" s="65" t="s">
        <v>733</v>
      </c>
      <c r="E692" s="52" t="str">
        <f>VLOOKUP(A692,[2]CMV!$A$1:$E$2043,5,FALSE)</f>
        <v>LT CORREA</v>
      </c>
      <c r="F692" s="53"/>
      <c r="G692" s="52" t="str">
        <f>VLOOKUP(A692,[2]CMV!$A$1:$F$2043,6,FALSE)</f>
        <v>Par Coxim E Trava Superior Do Radiador New Fiesta 2012 Diant</v>
      </c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3">
        <v>0</v>
      </c>
      <c r="Y692" s="57"/>
      <c r="Z692" s="55">
        <v>4</v>
      </c>
      <c r="AA692" s="53">
        <v>4</v>
      </c>
      <c r="AB692" s="53">
        <v>0</v>
      </c>
      <c r="AC692" s="55">
        <v>0</v>
      </c>
      <c r="AD692" s="55">
        <f t="shared" si="250"/>
        <v>1</v>
      </c>
      <c r="AE692" s="53">
        <v>1</v>
      </c>
      <c r="AF692" s="55">
        <v>0</v>
      </c>
      <c r="AG692" s="55">
        <v>0</v>
      </c>
      <c r="AH692" s="55">
        <f t="shared" si="251"/>
        <v>0</v>
      </c>
      <c r="AI692" s="55">
        <v>0</v>
      </c>
      <c r="AJ692" s="55">
        <v>0</v>
      </c>
      <c r="AK692" s="55">
        <v>0</v>
      </c>
      <c r="AL692" s="55">
        <f t="shared" si="252"/>
        <v>1</v>
      </c>
      <c r="AM692" s="55">
        <v>1</v>
      </c>
      <c r="AN692" s="55">
        <v>0</v>
      </c>
      <c r="AO692" s="55">
        <v>0</v>
      </c>
      <c r="AP692" s="55">
        <f t="shared" ref="AP692:AP755" si="263">SUM(AQ692:AR692)</f>
        <v>0</v>
      </c>
      <c r="AQ692" s="55">
        <f>IFERROR(VLOOKUP(A692,[1]SIIMPLES!$A$2:$F$418,6,FALSE),0)</f>
        <v>0</v>
      </c>
      <c r="AR692" s="55">
        <v>0</v>
      </c>
      <c r="AS692" s="55">
        <v>0</v>
      </c>
      <c r="AT692" s="55">
        <v>0</v>
      </c>
      <c r="AU692" s="55">
        <v>0</v>
      </c>
      <c r="AV692" s="55">
        <v>0</v>
      </c>
      <c r="AW692" s="57"/>
      <c r="AX692" s="57"/>
      <c r="AY692" s="56">
        <f t="shared" si="253"/>
        <v>1</v>
      </c>
      <c r="AZ692" s="57"/>
      <c r="BA692" s="57"/>
      <c r="BB692" s="41" t="str">
        <f t="shared" si="256"/>
        <v/>
      </c>
      <c r="BC692" s="10"/>
      <c r="BD692" s="35"/>
      <c r="BE692" s="13"/>
      <c r="BF692" s="16">
        <f>SUM(BC692:BE692)</f>
        <v>0</v>
      </c>
      <c r="BG692" s="17">
        <f t="shared" si="257"/>
        <v>0</v>
      </c>
      <c r="BH692" s="16">
        <f t="shared" si="262"/>
        <v>1</v>
      </c>
    </row>
    <row r="693" spans="1:60" s="21" customFormat="1" ht="12.75" customHeight="1" x14ac:dyDescent="0.2">
      <c r="A693" s="51">
        <v>5700</v>
      </c>
      <c r="B693" s="51" t="s">
        <v>1077</v>
      </c>
      <c r="C693" s="66" t="s">
        <v>1803</v>
      </c>
      <c r="D693" s="52" t="s">
        <v>735</v>
      </c>
      <c r="E693" s="52" t="s">
        <v>736</v>
      </c>
      <c r="F693" s="53">
        <f>IFERROR(VLOOKUP(E693,Fornecedores!$A$2:$B$2700,2,FALSE),"")</f>
        <v>5</v>
      </c>
      <c r="G693" s="52" t="s">
        <v>883</v>
      </c>
      <c r="H693" s="54"/>
      <c r="I693" s="55">
        <f t="shared" ref="I693:I724" si="264">SUM(J693:M693)</f>
        <v>0</v>
      </c>
      <c r="J693" s="55">
        <v>0</v>
      </c>
      <c r="K693" s="55">
        <v>0</v>
      </c>
      <c r="L693" s="55">
        <v>0</v>
      </c>
      <c r="M693" s="55">
        <v>0</v>
      </c>
      <c r="N693" s="55">
        <f t="shared" ref="N693:N724" si="265">SUM(O693:Q693)</f>
        <v>0</v>
      </c>
      <c r="O693" s="55">
        <v>0</v>
      </c>
      <c r="P693" s="55">
        <v>0</v>
      </c>
      <c r="Q693" s="55">
        <v>0</v>
      </c>
      <c r="R693" s="55">
        <f t="shared" ref="R693:R724" si="266">SUM(S693:U693)</f>
        <v>0</v>
      </c>
      <c r="S693" s="55">
        <v>0</v>
      </c>
      <c r="T693" s="55">
        <v>0</v>
      </c>
      <c r="U693" s="55">
        <v>0</v>
      </c>
      <c r="V693" s="55">
        <v>0</v>
      </c>
      <c r="W693" s="53">
        <v>0</v>
      </c>
      <c r="X693" s="53">
        <v>0</v>
      </c>
      <c r="Y693" s="55">
        <v>0</v>
      </c>
      <c r="Z693" s="55">
        <v>1</v>
      </c>
      <c r="AA693" s="53">
        <v>1</v>
      </c>
      <c r="AB693" s="53">
        <v>0</v>
      </c>
      <c r="AC693" s="55">
        <v>0</v>
      </c>
      <c r="AD693" s="55">
        <f t="shared" si="250"/>
        <v>1</v>
      </c>
      <c r="AE693" s="53">
        <v>1</v>
      </c>
      <c r="AF693" s="55">
        <v>0</v>
      </c>
      <c r="AG693" s="55">
        <v>0</v>
      </c>
      <c r="AH693" s="55">
        <f t="shared" si="251"/>
        <v>0</v>
      </c>
      <c r="AI693" s="55">
        <v>0</v>
      </c>
      <c r="AJ693" s="55">
        <v>0</v>
      </c>
      <c r="AK693" s="55">
        <v>0</v>
      </c>
      <c r="AL693" s="55">
        <f t="shared" si="252"/>
        <v>0</v>
      </c>
      <c r="AM693" s="55" t="s">
        <v>1912</v>
      </c>
      <c r="AN693" s="55">
        <v>0</v>
      </c>
      <c r="AO693" s="55">
        <v>0</v>
      </c>
      <c r="AP693" s="55">
        <f t="shared" si="263"/>
        <v>0</v>
      </c>
      <c r="AQ693" s="55">
        <f>IFERROR(VLOOKUP(A693,[1]SIIMPLES!$A$2:$F$418,6,FALSE),0)</f>
        <v>0</v>
      </c>
      <c r="AR693" s="55">
        <v>0</v>
      </c>
      <c r="AS693" s="55">
        <v>0</v>
      </c>
      <c r="AT693" s="55">
        <v>0</v>
      </c>
      <c r="AU693" s="55">
        <v>0</v>
      </c>
      <c r="AV693" s="55">
        <v>0</v>
      </c>
      <c r="AW693" s="55"/>
      <c r="AX693" s="55"/>
      <c r="AY693" s="56">
        <f t="shared" si="253"/>
        <v>0.2</v>
      </c>
      <c r="AZ693" s="55"/>
      <c r="BA693" s="56">
        <v>0.33333333333333331</v>
      </c>
      <c r="BB693" s="41">
        <f t="shared" si="256"/>
        <v>-0.39999999999999991</v>
      </c>
      <c r="BC693" s="13"/>
      <c r="BD693" s="35"/>
      <c r="BE693" s="13"/>
      <c r="BF693" s="16">
        <f>SUM(BC693:BE693)</f>
        <v>0</v>
      </c>
      <c r="BG693" s="17">
        <f t="shared" si="257"/>
        <v>0</v>
      </c>
      <c r="BH693" s="16">
        <f t="shared" si="262"/>
        <v>0.2</v>
      </c>
    </row>
    <row r="694" spans="1:60" s="21" customFormat="1" ht="12.75" customHeight="1" x14ac:dyDescent="0.2">
      <c r="A694" s="51">
        <v>5716</v>
      </c>
      <c r="B694" s="51"/>
      <c r="C694" s="66" t="s">
        <v>1803</v>
      </c>
      <c r="D694" s="52" t="s">
        <v>735</v>
      </c>
      <c r="E694" s="52" t="s">
        <v>736</v>
      </c>
      <c r="F694" s="53">
        <f>IFERROR(VLOOKUP(E694,Fornecedores!$A$2:$B$2700,2,FALSE),"")</f>
        <v>5</v>
      </c>
      <c r="G694" s="52" t="s">
        <v>373</v>
      </c>
      <c r="H694" s="54"/>
      <c r="I694" s="55">
        <f t="shared" si="264"/>
        <v>0</v>
      </c>
      <c r="J694" s="55">
        <v>0</v>
      </c>
      <c r="K694" s="55">
        <v>0</v>
      </c>
      <c r="L694" s="55">
        <v>0</v>
      </c>
      <c r="M694" s="55">
        <v>0</v>
      </c>
      <c r="N694" s="55">
        <f t="shared" si="265"/>
        <v>0</v>
      </c>
      <c r="O694" s="55">
        <v>0</v>
      </c>
      <c r="P694" s="55">
        <v>0</v>
      </c>
      <c r="Q694" s="55">
        <v>0</v>
      </c>
      <c r="R694" s="55">
        <f t="shared" si="266"/>
        <v>0</v>
      </c>
      <c r="S694" s="55">
        <v>0</v>
      </c>
      <c r="T694" s="55">
        <v>0</v>
      </c>
      <c r="U694" s="55">
        <v>0</v>
      </c>
      <c r="V694" s="55">
        <v>0</v>
      </c>
      <c r="W694" s="53">
        <v>0</v>
      </c>
      <c r="X694" s="53">
        <v>0</v>
      </c>
      <c r="Y694" s="55">
        <v>0</v>
      </c>
      <c r="Z694" s="55">
        <v>0</v>
      </c>
      <c r="AA694" s="53">
        <v>0</v>
      </c>
      <c r="AB694" s="53">
        <v>0</v>
      </c>
      <c r="AC694" s="55">
        <v>0</v>
      </c>
      <c r="AD694" s="55">
        <f t="shared" si="250"/>
        <v>0</v>
      </c>
      <c r="AE694" s="53">
        <v>0</v>
      </c>
      <c r="AF694" s="55">
        <v>0</v>
      </c>
      <c r="AG694" s="55">
        <v>0</v>
      </c>
      <c r="AH694" s="55">
        <f t="shared" si="251"/>
        <v>0</v>
      </c>
      <c r="AI694" s="55">
        <v>0</v>
      </c>
      <c r="AJ694" s="55">
        <v>0</v>
      </c>
      <c r="AK694" s="55">
        <v>0</v>
      </c>
      <c r="AL694" s="55">
        <f t="shared" si="252"/>
        <v>0</v>
      </c>
      <c r="AM694" s="55" t="s">
        <v>1912</v>
      </c>
      <c r="AN694" s="55">
        <v>0</v>
      </c>
      <c r="AO694" s="55">
        <v>0</v>
      </c>
      <c r="AP694" s="55">
        <f t="shared" si="263"/>
        <v>0</v>
      </c>
      <c r="AQ694" s="55">
        <f>IFERROR(VLOOKUP(A694,[1]SIIMPLES!$A$2:$F$418,6,FALSE),0)</f>
        <v>0</v>
      </c>
      <c r="AR694" s="55">
        <v>0</v>
      </c>
      <c r="AS694" s="55">
        <v>0</v>
      </c>
      <c r="AT694" s="55">
        <v>0</v>
      </c>
      <c r="AU694" s="55">
        <v>0</v>
      </c>
      <c r="AV694" s="55">
        <v>0</v>
      </c>
      <c r="AW694" s="55"/>
      <c r="AX694" s="55"/>
      <c r="AY694" s="56">
        <f t="shared" si="253"/>
        <v>0</v>
      </c>
      <c r="AZ694" s="55"/>
      <c r="BA694" s="56">
        <v>0</v>
      </c>
      <c r="BB694" s="41" t="str">
        <f t="shared" si="256"/>
        <v/>
      </c>
      <c r="BC694" s="13"/>
      <c r="BD694" s="35"/>
      <c r="BE694" s="13"/>
      <c r="BF694" s="16"/>
      <c r="BG694" s="17" t="str">
        <f t="shared" si="257"/>
        <v>0</v>
      </c>
      <c r="BH694" s="16">
        <f t="shared" si="262"/>
        <v>0</v>
      </c>
    </row>
    <row r="695" spans="1:60" s="21" customFormat="1" ht="12.75" customHeight="1" x14ac:dyDescent="0.2">
      <c r="A695" s="51">
        <v>5717</v>
      </c>
      <c r="B695" s="51" t="s">
        <v>1077</v>
      </c>
      <c r="C695" s="66" t="s">
        <v>1803</v>
      </c>
      <c r="D695" s="52" t="s">
        <v>735</v>
      </c>
      <c r="E695" s="52" t="s">
        <v>736</v>
      </c>
      <c r="F695" s="53">
        <f>IFERROR(VLOOKUP(E695,Fornecedores!$A$2:$B$2700,2,FALSE),"")</f>
        <v>5</v>
      </c>
      <c r="G695" s="52" t="s">
        <v>179</v>
      </c>
      <c r="H695" s="54"/>
      <c r="I695" s="55">
        <f t="shared" si="264"/>
        <v>4</v>
      </c>
      <c r="J695" s="55">
        <v>0</v>
      </c>
      <c r="K695" s="55">
        <v>4</v>
      </c>
      <c r="L695" s="55">
        <v>0</v>
      </c>
      <c r="M695" s="55">
        <v>0</v>
      </c>
      <c r="N695" s="55">
        <f t="shared" si="265"/>
        <v>0</v>
      </c>
      <c r="O695" s="55">
        <v>0</v>
      </c>
      <c r="P695" s="55">
        <v>0</v>
      </c>
      <c r="Q695" s="55">
        <v>0</v>
      </c>
      <c r="R695" s="55">
        <f t="shared" si="266"/>
        <v>0</v>
      </c>
      <c r="S695" s="55">
        <v>0</v>
      </c>
      <c r="T695" s="55">
        <v>0</v>
      </c>
      <c r="U695" s="55">
        <v>0</v>
      </c>
      <c r="V695" s="55">
        <v>0</v>
      </c>
      <c r="W695" s="53">
        <v>0</v>
      </c>
      <c r="X695" s="53">
        <v>0</v>
      </c>
      <c r="Y695" s="55">
        <v>0</v>
      </c>
      <c r="Z695" s="55">
        <v>0</v>
      </c>
      <c r="AA695" s="53">
        <v>0</v>
      </c>
      <c r="AB695" s="53">
        <v>0</v>
      </c>
      <c r="AC695" s="55">
        <v>0</v>
      </c>
      <c r="AD695" s="55">
        <f t="shared" si="250"/>
        <v>0</v>
      </c>
      <c r="AE695" s="53">
        <v>0</v>
      </c>
      <c r="AF695" s="55">
        <v>0</v>
      </c>
      <c r="AG695" s="55">
        <v>0</v>
      </c>
      <c r="AH695" s="55">
        <f t="shared" si="251"/>
        <v>0</v>
      </c>
      <c r="AI695" s="55">
        <v>0</v>
      </c>
      <c r="AJ695" s="55">
        <v>0</v>
      </c>
      <c r="AK695" s="55">
        <v>0</v>
      </c>
      <c r="AL695" s="55">
        <f t="shared" si="252"/>
        <v>0</v>
      </c>
      <c r="AM695" s="55" t="s">
        <v>1912</v>
      </c>
      <c r="AN695" s="55">
        <v>0</v>
      </c>
      <c r="AO695" s="55">
        <v>0</v>
      </c>
      <c r="AP695" s="55">
        <f t="shared" si="263"/>
        <v>0</v>
      </c>
      <c r="AQ695" s="55">
        <f>IFERROR(VLOOKUP(A695,[1]SIIMPLES!$A$2:$F$418,6,FALSE),0)</f>
        <v>0</v>
      </c>
      <c r="AR695" s="55">
        <v>0</v>
      </c>
      <c r="AS695" s="55">
        <v>2</v>
      </c>
      <c r="AT695" s="55">
        <v>2</v>
      </c>
      <c r="AU695" s="55">
        <v>0</v>
      </c>
      <c r="AV695" s="55">
        <v>0</v>
      </c>
      <c r="AW695" s="55"/>
      <c r="AX695" s="55"/>
      <c r="AY695" s="56">
        <f t="shared" si="253"/>
        <v>0.6</v>
      </c>
      <c r="AZ695" s="55"/>
      <c r="BA695" s="56">
        <v>16.333333333333332</v>
      </c>
      <c r="BB695" s="41">
        <f t="shared" si="256"/>
        <v>-0.96326530612244898</v>
      </c>
      <c r="BC695" s="7"/>
      <c r="BD695" s="35"/>
      <c r="BE695" s="13"/>
      <c r="BF695" s="16">
        <f>SUM(BC695:BE695)</f>
        <v>0</v>
      </c>
      <c r="BG695" s="17">
        <f t="shared" si="257"/>
        <v>0</v>
      </c>
      <c r="BH695" s="16">
        <f t="shared" si="262"/>
        <v>0.6</v>
      </c>
    </row>
    <row r="696" spans="1:60" s="21" customFormat="1" ht="12.75" customHeight="1" x14ac:dyDescent="0.2">
      <c r="A696" s="51">
        <v>5900</v>
      </c>
      <c r="B696" s="51"/>
      <c r="C696" s="66" t="s">
        <v>1803</v>
      </c>
      <c r="D696" s="52" t="s">
        <v>735</v>
      </c>
      <c r="E696" s="52" t="s">
        <v>736</v>
      </c>
      <c r="F696" s="53">
        <f>IFERROR(VLOOKUP(E696,Fornecedores!$A$2:$B$2700,2,FALSE),"")</f>
        <v>5</v>
      </c>
      <c r="G696" s="52" t="s">
        <v>1012</v>
      </c>
      <c r="H696" s="57"/>
      <c r="I696" s="55">
        <f t="shared" si="264"/>
        <v>0</v>
      </c>
      <c r="J696" s="55">
        <v>0</v>
      </c>
      <c r="K696" s="55">
        <v>0</v>
      </c>
      <c r="L696" s="55">
        <v>0</v>
      </c>
      <c r="M696" s="55">
        <v>0</v>
      </c>
      <c r="N696" s="55">
        <f t="shared" si="265"/>
        <v>0</v>
      </c>
      <c r="O696" s="55">
        <v>0</v>
      </c>
      <c r="P696" s="55">
        <v>0</v>
      </c>
      <c r="Q696" s="55">
        <v>0</v>
      </c>
      <c r="R696" s="55">
        <f t="shared" si="266"/>
        <v>0</v>
      </c>
      <c r="S696" s="55">
        <v>0</v>
      </c>
      <c r="T696" s="55">
        <v>0</v>
      </c>
      <c r="U696" s="55">
        <v>0</v>
      </c>
      <c r="V696" s="55">
        <v>0</v>
      </c>
      <c r="W696" s="53">
        <v>0</v>
      </c>
      <c r="X696" s="53">
        <v>0</v>
      </c>
      <c r="Y696" s="55">
        <v>0</v>
      </c>
      <c r="Z696" s="55">
        <v>0</v>
      </c>
      <c r="AA696" s="53">
        <v>0</v>
      </c>
      <c r="AB696" s="53">
        <v>0</v>
      </c>
      <c r="AC696" s="55">
        <v>0</v>
      </c>
      <c r="AD696" s="55">
        <f t="shared" si="250"/>
        <v>0</v>
      </c>
      <c r="AE696" s="53">
        <v>0</v>
      </c>
      <c r="AF696" s="55">
        <v>0</v>
      </c>
      <c r="AG696" s="55">
        <v>0</v>
      </c>
      <c r="AH696" s="55">
        <f t="shared" si="251"/>
        <v>0</v>
      </c>
      <c r="AI696" s="55">
        <v>0</v>
      </c>
      <c r="AJ696" s="55">
        <v>0</v>
      </c>
      <c r="AK696" s="55">
        <v>0</v>
      </c>
      <c r="AL696" s="55">
        <f t="shared" si="252"/>
        <v>0</v>
      </c>
      <c r="AM696" s="55" t="s">
        <v>1912</v>
      </c>
      <c r="AN696" s="55">
        <v>0</v>
      </c>
      <c r="AO696" s="55">
        <v>0</v>
      </c>
      <c r="AP696" s="55">
        <f t="shared" si="263"/>
        <v>0</v>
      </c>
      <c r="AQ696" s="55">
        <f>IFERROR(VLOOKUP(A696,[1]SIIMPLES!$A$2:$F$418,6,FALSE),0)</f>
        <v>0</v>
      </c>
      <c r="AR696" s="55">
        <v>0</v>
      </c>
      <c r="AS696" s="55">
        <v>0</v>
      </c>
      <c r="AT696" s="55">
        <v>0</v>
      </c>
      <c r="AU696" s="55">
        <v>0</v>
      </c>
      <c r="AV696" s="55">
        <v>0</v>
      </c>
      <c r="AW696" s="55"/>
      <c r="AX696" s="55"/>
      <c r="AY696" s="56">
        <f t="shared" si="253"/>
        <v>0</v>
      </c>
      <c r="AZ696" s="55"/>
      <c r="BA696" s="56">
        <v>0</v>
      </c>
      <c r="BB696" s="41" t="str">
        <f t="shared" si="256"/>
        <v/>
      </c>
      <c r="BC696" s="7"/>
      <c r="BD696" s="35"/>
      <c r="BE696" s="13"/>
      <c r="BF696" s="16">
        <f>SUM(BC696:BE696)</f>
        <v>0</v>
      </c>
      <c r="BG696" s="17" t="str">
        <f t="shared" si="257"/>
        <v>0</v>
      </c>
      <c r="BH696" s="16">
        <f t="shared" si="262"/>
        <v>0</v>
      </c>
    </row>
    <row r="697" spans="1:60" s="21" customFormat="1" ht="12.75" customHeight="1" x14ac:dyDescent="0.2">
      <c r="A697" s="50">
        <v>5902</v>
      </c>
      <c r="B697" s="51"/>
      <c r="C697" s="51" t="s">
        <v>1803</v>
      </c>
      <c r="D697" s="52" t="s">
        <v>735</v>
      </c>
      <c r="E697" s="52" t="s">
        <v>736</v>
      </c>
      <c r="F697" s="53">
        <f>IFERROR(VLOOKUP(E697,Fornecedores!$A$2:$B$2700,2,FALSE),"")</f>
        <v>5</v>
      </c>
      <c r="G697" s="52" t="s">
        <v>1013</v>
      </c>
      <c r="H697" s="57"/>
      <c r="I697" s="55">
        <f t="shared" si="264"/>
        <v>0</v>
      </c>
      <c r="J697" s="55">
        <v>0</v>
      </c>
      <c r="K697" s="55">
        <v>0</v>
      </c>
      <c r="L697" s="55">
        <v>0</v>
      </c>
      <c r="M697" s="55">
        <v>0</v>
      </c>
      <c r="N697" s="55">
        <f t="shared" si="265"/>
        <v>0</v>
      </c>
      <c r="O697" s="55">
        <v>0</v>
      </c>
      <c r="P697" s="55">
        <v>0</v>
      </c>
      <c r="Q697" s="55">
        <v>0</v>
      </c>
      <c r="R697" s="55">
        <f t="shared" si="266"/>
        <v>0</v>
      </c>
      <c r="S697" s="55">
        <v>0</v>
      </c>
      <c r="T697" s="55">
        <v>0</v>
      </c>
      <c r="U697" s="55">
        <v>0</v>
      </c>
      <c r="V697" s="55">
        <v>0</v>
      </c>
      <c r="W697" s="53">
        <v>0</v>
      </c>
      <c r="X697" s="53">
        <v>0</v>
      </c>
      <c r="Y697" s="55">
        <v>0</v>
      </c>
      <c r="Z697" s="55">
        <v>0</v>
      </c>
      <c r="AA697" s="53">
        <v>0</v>
      </c>
      <c r="AB697" s="53">
        <v>0</v>
      </c>
      <c r="AC697" s="55">
        <v>0</v>
      </c>
      <c r="AD697" s="55">
        <f t="shared" si="250"/>
        <v>0</v>
      </c>
      <c r="AE697" s="53">
        <f>IFERROR(VLOOKUP(A697,[4]simples!$A$1:$B$281,2,FALSE),0)</f>
        <v>0</v>
      </c>
      <c r="AF697" s="55">
        <v>0</v>
      </c>
      <c r="AG697" s="55">
        <v>0</v>
      </c>
      <c r="AH697" s="55">
        <f t="shared" si="251"/>
        <v>0</v>
      </c>
      <c r="AI697" s="55"/>
      <c r="AJ697" s="55">
        <v>0</v>
      </c>
      <c r="AK697" s="55"/>
      <c r="AL697" s="55">
        <f t="shared" si="252"/>
        <v>0</v>
      </c>
      <c r="AM697" s="55" t="s">
        <v>1912</v>
      </c>
      <c r="AN697" s="55">
        <v>0</v>
      </c>
      <c r="AO697" s="55">
        <v>0</v>
      </c>
      <c r="AP697" s="55">
        <f t="shared" si="263"/>
        <v>0</v>
      </c>
      <c r="AQ697" s="55">
        <f>IFERROR(VLOOKUP(A697,[1]SIIMPLES!$A$2:$F$418,6,FALSE),0)</f>
        <v>0</v>
      </c>
      <c r="AR697" s="55">
        <v>0</v>
      </c>
      <c r="AS697" s="55">
        <v>0</v>
      </c>
      <c r="AT697" s="55">
        <v>0</v>
      </c>
      <c r="AU697" s="55">
        <v>0</v>
      </c>
      <c r="AV697" s="55">
        <v>0</v>
      </c>
      <c r="AW697" s="55"/>
      <c r="AX697" s="55"/>
      <c r="AY697" s="56">
        <f t="shared" si="253"/>
        <v>0</v>
      </c>
      <c r="AZ697" s="55"/>
      <c r="BA697" s="56">
        <v>0</v>
      </c>
      <c r="BB697" s="41" t="str">
        <f t="shared" si="256"/>
        <v/>
      </c>
      <c r="BC697" s="13"/>
      <c r="BD697" s="35"/>
      <c r="BE697" s="13"/>
      <c r="BF697" s="16">
        <f>SUM(BC697:BE697)</f>
        <v>0</v>
      </c>
      <c r="BG697" s="17" t="str">
        <f t="shared" si="257"/>
        <v>0</v>
      </c>
      <c r="BH697" s="16">
        <f t="shared" si="262"/>
        <v>0</v>
      </c>
    </row>
    <row r="698" spans="1:60" s="21" customFormat="1" ht="12.75" customHeight="1" x14ac:dyDescent="0.2">
      <c r="A698" s="50">
        <v>5903</v>
      </c>
      <c r="B698" s="51"/>
      <c r="C698" s="51" t="s">
        <v>1803</v>
      </c>
      <c r="D698" s="52" t="s">
        <v>735</v>
      </c>
      <c r="E698" s="52" t="s">
        <v>736</v>
      </c>
      <c r="F698" s="53">
        <f>IFERROR(VLOOKUP(E698,Fornecedores!$A$2:$B$2700,2,FALSE),"")</f>
        <v>5</v>
      </c>
      <c r="G698" s="52" t="s">
        <v>1014</v>
      </c>
      <c r="H698" s="57"/>
      <c r="I698" s="55">
        <f t="shared" si="264"/>
        <v>0</v>
      </c>
      <c r="J698" s="55">
        <v>0</v>
      </c>
      <c r="K698" s="55">
        <v>0</v>
      </c>
      <c r="L698" s="55">
        <v>0</v>
      </c>
      <c r="M698" s="55">
        <v>0</v>
      </c>
      <c r="N698" s="55">
        <f t="shared" si="265"/>
        <v>0</v>
      </c>
      <c r="O698" s="55">
        <v>0</v>
      </c>
      <c r="P698" s="55">
        <v>0</v>
      </c>
      <c r="Q698" s="55">
        <v>0</v>
      </c>
      <c r="R698" s="55">
        <f t="shared" si="266"/>
        <v>0</v>
      </c>
      <c r="S698" s="55">
        <v>0</v>
      </c>
      <c r="T698" s="55">
        <v>0</v>
      </c>
      <c r="U698" s="55">
        <v>0</v>
      </c>
      <c r="V698" s="55">
        <v>0</v>
      </c>
      <c r="W698" s="53">
        <v>0</v>
      </c>
      <c r="X698" s="53">
        <v>0</v>
      </c>
      <c r="Y698" s="55">
        <v>0</v>
      </c>
      <c r="Z698" s="55">
        <v>0</v>
      </c>
      <c r="AA698" s="53">
        <v>0</v>
      </c>
      <c r="AB698" s="53">
        <v>0</v>
      </c>
      <c r="AC698" s="55">
        <v>0</v>
      </c>
      <c r="AD698" s="55">
        <f t="shared" si="250"/>
        <v>0</v>
      </c>
      <c r="AE698" s="53">
        <f>IFERROR(VLOOKUP(A698,[4]simples!$A$1:$B$281,2,FALSE),0)</f>
        <v>0</v>
      </c>
      <c r="AF698" s="55">
        <v>0</v>
      </c>
      <c r="AG698" s="55">
        <v>0</v>
      </c>
      <c r="AH698" s="55">
        <f t="shared" si="251"/>
        <v>0</v>
      </c>
      <c r="AI698" s="55"/>
      <c r="AJ698" s="55">
        <v>0</v>
      </c>
      <c r="AK698" s="55"/>
      <c r="AL698" s="55">
        <f t="shared" si="252"/>
        <v>0</v>
      </c>
      <c r="AM698" s="55" t="s">
        <v>1912</v>
      </c>
      <c r="AN698" s="55">
        <v>0</v>
      </c>
      <c r="AO698" s="55">
        <v>0</v>
      </c>
      <c r="AP698" s="55">
        <f t="shared" si="263"/>
        <v>0</v>
      </c>
      <c r="AQ698" s="55">
        <f>IFERROR(VLOOKUP(A698,[1]SIIMPLES!$A$2:$F$418,6,FALSE),0)</f>
        <v>0</v>
      </c>
      <c r="AR698" s="55">
        <v>0</v>
      </c>
      <c r="AS698" s="55">
        <v>0</v>
      </c>
      <c r="AT698" s="55">
        <v>0</v>
      </c>
      <c r="AU698" s="55">
        <v>0</v>
      </c>
      <c r="AV698" s="55">
        <v>0</v>
      </c>
      <c r="AW698" s="55"/>
      <c r="AX698" s="55"/>
      <c r="AY698" s="56">
        <f t="shared" si="253"/>
        <v>0</v>
      </c>
      <c r="AZ698" s="55"/>
      <c r="BA698" s="56">
        <v>0</v>
      </c>
      <c r="BB698" s="41" t="str">
        <f t="shared" si="256"/>
        <v/>
      </c>
      <c r="BC698" s="13"/>
      <c r="BD698" s="35"/>
      <c r="BE698" s="13"/>
      <c r="BF698" s="16">
        <f>SUM(BC698:BE698)</f>
        <v>0</v>
      </c>
      <c r="BG698" s="17" t="str">
        <f t="shared" si="257"/>
        <v>0</v>
      </c>
      <c r="BH698" s="16">
        <f t="shared" si="262"/>
        <v>0</v>
      </c>
    </row>
    <row r="699" spans="1:60" s="21" customFormat="1" ht="12.75" customHeight="1" x14ac:dyDescent="0.2">
      <c r="A699" s="50">
        <v>5904</v>
      </c>
      <c r="B699" s="51"/>
      <c r="C699" s="51" t="s">
        <v>1803</v>
      </c>
      <c r="D699" s="52" t="s">
        <v>735</v>
      </c>
      <c r="E699" s="52" t="s">
        <v>736</v>
      </c>
      <c r="F699" s="53">
        <f>IFERROR(VLOOKUP(E699,Fornecedores!$A$2:$B$2700,2,FALSE),"")</f>
        <v>5</v>
      </c>
      <c r="G699" s="52" t="s">
        <v>1015</v>
      </c>
      <c r="H699" s="57"/>
      <c r="I699" s="55">
        <f t="shared" si="264"/>
        <v>0</v>
      </c>
      <c r="J699" s="55">
        <v>0</v>
      </c>
      <c r="K699" s="55">
        <v>0</v>
      </c>
      <c r="L699" s="55">
        <v>0</v>
      </c>
      <c r="M699" s="55">
        <v>0</v>
      </c>
      <c r="N699" s="55">
        <f t="shared" si="265"/>
        <v>0</v>
      </c>
      <c r="O699" s="55">
        <v>0</v>
      </c>
      <c r="P699" s="55">
        <v>0</v>
      </c>
      <c r="Q699" s="55">
        <v>0</v>
      </c>
      <c r="R699" s="55">
        <f t="shared" si="266"/>
        <v>0</v>
      </c>
      <c r="S699" s="55">
        <v>0</v>
      </c>
      <c r="T699" s="55">
        <v>0</v>
      </c>
      <c r="U699" s="55">
        <v>0</v>
      </c>
      <c r="V699" s="55">
        <v>0</v>
      </c>
      <c r="W699" s="53">
        <v>0</v>
      </c>
      <c r="X699" s="53">
        <v>0</v>
      </c>
      <c r="Y699" s="55">
        <v>0</v>
      </c>
      <c r="Z699" s="55">
        <v>0</v>
      </c>
      <c r="AA699" s="53">
        <v>0</v>
      </c>
      <c r="AB699" s="53">
        <v>0</v>
      </c>
      <c r="AC699" s="55">
        <v>0</v>
      </c>
      <c r="AD699" s="55">
        <f t="shared" si="250"/>
        <v>0</v>
      </c>
      <c r="AE699" s="53">
        <f>IFERROR(VLOOKUP(A699,[4]simples!$A$1:$B$281,2,FALSE),0)</f>
        <v>0</v>
      </c>
      <c r="AF699" s="55">
        <v>0</v>
      </c>
      <c r="AG699" s="55">
        <v>0</v>
      </c>
      <c r="AH699" s="55">
        <f t="shared" si="251"/>
        <v>0</v>
      </c>
      <c r="AI699" s="55"/>
      <c r="AJ699" s="55">
        <v>0</v>
      </c>
      <c r="AK699" s="55"/>
      <c r="AL699" s="55">
        <f t="shared" si="252"/>
        <v>0</v>
      </c>
      <c r="AM699" s="55" t="s">
        <v>1912</v>
      </c>
      <c r="AN699" s="55">
        <v>0</v>
      </c>
      <c r="AO699" s="55">
        <v>0</v>
      </c>
      <c r="AP699" s="55">
        <f t="shared" si="263"/>
        <v>0</v>
      </c>
      <c r="AQ699" s="55">
        <f>IFERROR(VLOOKUP(A699,[1]SIIMPLES!$A$2:$F$418,6,FALSE),0)</f>
        <v>0</v>
      </c>
      <c r="AR699" s="55">
        <v>0</v>
      </c>
      <c r="AS699" s="55">
        <v>0</v>
      </c>
      <c r="AT699" s="55">
        <v>0</v>
      </c>
      <c r="AU699" s="55">
        <v>0</v>
      </c>
      <c r="AV699" s="55">
        <v>0</v>
      </c>
      <c r="AW699" s="55"/>
      <c r="AX699" s="55"/>
      <c r="AY699" s="56">
        <f t="shared" si="253"/>
        <v>0</v>
      </c>
      <c r="AZ699" s="55"/>
      <c r="BA699" s="56">
        <v>0</v>
      </c>
      <c r="BB699" s="41" t="str">
        <f t="shared" si="256"/>
        <v/>
      </c>
      <c r="BC699" s="13"/>
      <c r="BD699" s="35"/>
      <c r="BE699" s="7"/>
      <c r="BF699" s="16"/>
      <c r="BG699" s="17" t="str">
        <f t="shared" si="257"/>
        <v>0</v>
      </c>
      <c r="BH699" s="16">
        <f t="shared" si="262"/>
        <v>0</v>
      </c>
    </row>
    <row r="700" spans="1:60" s="21" customFormat="1" ht="12.75" customHeight="1" x14ac:dyDescent="0.2">
      <c r="A700" s="50">
        <v>5905</v>
      </c>
      <c r="B700" s="51"/>
      <c r="C700" s="51" t="s">
        <v>1803</v>
      </c>
      <c r="D700" s="52" t="s">
        <v>735</v>
      </c>
      <c r="E700" s="52" t="s">
        <v>736</v>
      </c>
      <c r="F700" s="53">
        <f>IFERROR(VLOOKUP(E700,Fornecedores!$A$2:$B$2700,2,FALSE),"")</f>
        <v>5</v>
      </c>
      <c r="G700" s="52" t="s">
        <v>1016</v>
      </c>
      <c r="H700" s="57"/>
      <c r="I700" s="55">
        <f t="shared" si="264"/>
        <v>0</v>
      </c>
      <c r="J700" s="55">
        <v>0</v>
      </c>
      <c r="K700" s="55">
        <v>0</v>
      </c>
      <c r="L700" s="55">
        <v>0</v>
      </c>
      <c r="M700" s="55">
        <v>0</v>
      </c>
      <c r="N700" s="55">
        <f t="shared" si="265"/>
        <v>0</v>
      </c>
      <c r="O700" s="55">
        <v>0</v>
      </c>
      <c r="P700" s="55">
        <v>0</v>
      </c>
      <c r="Q700" s="55">
        <v>0</v>
      </c>
      <c r="R700" s="55">
        <f t="shared" si="266"/>
        <v>0</v>
      </c>
      <c r="S700" s="55">
        <v>0</v>
      </c>
      <c r="T700" s="55">
        <v>0</v>
      </c>
      <c r="U700" s="55">
        <v>0</v>
      </c>
      <c r="V700" s="55">
        <v>0</v>
      </c>
      <c r="W700" s="53">
        <v>0</v>
      </c>
      <c r="X700" s="53">
        <v>0</v>
      </c>
      <c r="Y700" s="55">
        <v>0</v>
      </c>
      <c r="Z700" s="55">
        <v>0</v>
      </c>
      <c r="AA700" s="53">
        <v>0</v>
      </c>
      <c r="AB700" s="53">
        <v>0</v>
      </c>
      <c r="AC700" s="55">
        <v>0</v>
      </c>
      <c r="AD700" s="55">
        <f t="shared" si="250"/>
        <v>0</v>
      </c>
      <c r="AE700" s="53">
        <f>IFERROR(VLOOKUP(A700,[4]simples!$A$1:$B$281,2,FALSE),0)</f>
        <v>0</v>
      </c>
      <c r="AF700" s="55">
        <v>0</v>
      </c>
      <c r="AG700" s="55">
        <v>0</v>
      </c>
      <c r="AH700" s="55">
        <f t="shared" si="251"/>
        <v>0</v>
      </c>
      <c r="AI700" s="55"/>
      <c r="AJ700" s="55">
        <v>0</v>
      </c>
      <c r="AK700" s="55"/>
      <c r="AL700" s="55">
        <f t="shared" si="252"/>
        <v>0</v>
      </c>
      <c r="AM700" s="55" t="s">
        <v>1912</v>
      </c>
      <c r="AN700" s="55">
        <v>0</v>
      </c>
      <c r="AO700" s="55">
        <v>0</v>
      </c>
      <c r="AP700" s="55">
        <f t="shared" si="263"/>
        <v>0</v>
      </c>
      <c r="AQ700" s="55">
        <f>IFERROR(VLOOKUP(A700,[1]SIIMPLES!$A$2:$F$418,6,FALSE),0)</f>
        <v>0</v>
      </c>
      <c r="AR700" s="55">
        <v>0</v>
      </c>
      <c r="AS700" s="55">
        <v>0</v>
      </c>
      <c r="AT700" s="55">
        <v>0</v>
      </c>
      <c r="AU700" s="55">
        <v>0</v>
      </c>
      <c r="AV700" s="55">
        <v>0</v>
      </c>
      <c r="AW700" s="55"/>
      <c r="AX700" s="55"/>
      <c r="AY700" s="56">
        <f t="shared" si="253"/>
        <v>0</v>
      </c>
      <c r="AZ700" s="55"/>
      <c r="BA700" s="56">
        <v>0</v>
      </c>
      <c r="BB700" s="41" t="str">
        <f t="shared" ref="BB700:BB731" si="267">IFERROR(AY700/BA700-1,"")</f>
        <v/>
      </c>
      <c r="BC700" s="13"/>
      <c r="BD700" s="35"/>
      <c r="BE700" s="7"/>
      <c r="BF700" s="16"/>
      <c r="BG700" s="17" t="str">
        <f t="shared" si="257"/>
        <v>0</v>
      </c>
      <c r="BH700" s="16">
        <f t="shared" si="262"/>
        <v>0</v>
      </c>
    </row>
    <row r="701" spans="1:60" s="21" customFormat="1" ht="12.75" customHeight="1" x14ac:dyDescent="0.2">
      <c r="A701" s="50">
        <v>5906</v>
      </c>
      <c r="B701" s="51"/>
      <c r="C701" s="51" t="s">
        <v>1803</v>
      </c>
      <c r="D701" s="52" t="s">
        <v>735</v>
      </c>
      <c r="E701" s="52" t="s">
        <v>736</v>
      </c>
      <c r="F701" s="53">
        <f>IFERROR(VLOOKUP(E701,Fornecedores!$A$2:$B$2700,2,FALSE),"")</f>
        <v>5</v>
      </c>
      <c r="G701" s="52" t="s">
        <v>1017</v>
      </c>
      <c r="H701" s="57"/>
      <c r="I701" s="55">
        <f t="shared" si="264"/>
        <v>0</v>
      </c>
      <c r="J701" s="55">
        <v>0</v>
      </c>
      <c r="K701" s="55">
        <v>0</v>
      </c>
      <c r="L701" s="55">
        <v>0</v>
      </c>
      <c r="M701" s="55">
        <v>0</v>
      </c>
      <c r="N701" s="55">
        <f t="shared" si="265"/>
        <v>0</v>
      </c>
      <c r="O701" s="55">
        <v>0</v>
      </c>
      <c r="P701" s="55">
        <v>0</v>
      </c>
      <c r="Q701" s="55">
        <v>0</v>
      </c>
      <c r="R701" s="55">
        <f t="shared" si="266"/>
        <v>0</v>
      </c>
      <c r="S701" s="55">
        <v>0</v>
      </c>
      <c r="T701" s="55">
        <v>0</v>
      </c>
      <c r="U701" s="55">
        <v>0</v>
      </c>
      <c r="V701" s="55">
        <v>0</v>
      </c>
      <c r="W701" s="53">
        <v>0</v>
      </c>
      <c r="X701" s="53">
        <v>0</v>
      </c>
      <c r="Y701" s="55">
        <v>0</v>
      </c>
      <c r="Z701" s="55">
        <v>0</v>
      </c>
      <c r="AA701" s="53">
        <v>0</v>
      </c>
      <c r="AB701" s="53">
        <v>0</v>
      </c>
      <c r="AC701" s="55">
        <v>0</v>
      </c>
      <c r="AD701" s="55">
        <f t="shared" si="250"/>
        <v>0</v>
      </c>
      <c r="AE701" s="53">
        <f>IFERROR(VLOOKUP(A701,[4]simples!$A$1:$B$281,2,FALSE),0)</f>
        <v>0</v>
      </c>
      <c r="AF701" s="55">
        <v>0</v>
      </c>
      <c r="AG701" s="55">
        <v>0</v>
      </c>
      <c r="AH701" s="55">
        <f t="shared" si="251"/>
        <v>0</v>
      </c>
      <c r="AI701" s="55"/>
      <c r="AJ701" s="55">
        <v>0</v>
      </c>
      <c r="AK701" s="55"/>
      <c r="AL701" s="55">
        <f t="shared" si="252"/>
        <v>0</v>
      </c>
      <c r="AM701" s="55" t="s">
        <v>1912</v>
      </c>
      <c r="AN701" s="55">
        <v>0</v>
      </c>
      <c r="AO701" s="55">
        <v>0</v>
      </c>
      <c r="AP701" s="55">
        <f t="shared" si="263"/>
        <v>0</v>
      </c>
      <c r="AQ701" s="55">
        <f>IFERROR(VLOOKUP(A701,[1]SIIMPLES!$A$2:$F$418,6,FALSE),0)</f>
        <v>0</v>
      </c>
      <c r="AR701" s="55">
        <v>0</v>
      </c>
      <c r="AS701" s="55">
        <v>0</v>
      </c>
      <c r="AT701" s="55">
        <v>0</v>
      </c>
      <c r="AU701" s="55">
        <v>0</v>
      </c>
      <c r="AV701" s="55">
        <v>0</v>
      </c>
      <c r="AW701" s="55"/>
      <c r="AX701" s="55"/>
      <c r="AY701" s="56">
        <f t="shared" si="253"/>
        <v>0</v>
      </c>
      <c r="AZ701" s="55"/>
      <c r="BA701" s="56">
        <v>0</v>
      </c>
      <c r="BB701" s="41" t="str">
        <f t="shared" si="267"/>
        <v/>
      </c>
      <c r="BC701" s="13"/>
      <c r="BD701" s="35"/>
      <c r="BE701" s="13"/>
      <c r="BF701" s="16"/>
      <c r="BG701" s="17" t="str">
        <f t="shared" si="257"/>
        <v>0</v>
      </c>
      <c r="BH701" s="16">
        <f>ROUND(IFERROR(IF(F701=1,IF(BC701&lt;AY701*3,AY701*3-BC701,0),IF(BC701&lt;AY701,AY701*0.6-BC701,0)),""),0)</f>
        <v>0</v>
      </c>
    </row>
    <row r="702" spans="1:60" s="21" customFormat="1" ht="12.75" customHeight="1" x14ac:dyDescent="0.2">
      <c r="A702" s="50">
        <v>5907</v>
      </c>
      <c r="B702" s="51"/>
      <c r="C702" s="51" t="s">
        <v>1803</v>
      </c>
      <c r="D702" s="52" t="s">
        <v>735</v>
      </c>
      <c r="E702" s="52" t="s">
        <v>736</v>
      </c>
      <c r="F702" s="53">
        <f>IFERROR(VLOOKUP(E702,Fornecedores!$A$2:$B$2700,2,FALSE),"")</f>
        <v>5</v>
      </c>
      <c r="G702" s="52" t="s">
        <v>884</v>
      </c>
      <c r="H702" s="57"/>
      <c r="I702" s="55">
        <f t="shared" si="264"/>
        <v>0</v>
      </c>
      <c r="J702" s="55">
        <v>0</v>
      </c>
      <c r="K702" s="55">
        <v>0</v>
      </c>
      <c r="L702" s="55">
        <v>0</v>
      </c>
      <c r="M702" s="55">
        <v>0</v>
      </c>
      <c r="N702" s="55">
        <f t="shared" si="265"/>
        <v>0</v>
      </c>
      <c r="O702" s="55">
        <v>0</v>
      </c>
      <c r="P702" s="55">
        <v>0</v>
      </c>
      <c r="Q702" s="55">
        <v>0</v>
      </c>
      <c r="R702" s="55">
        <f t="shared" si="266"/>
        <v>0</v>
      </c>
      <c r="S702" s="55">
        <v>0</v>
      </c>
      <c r="T702" s="55">
        <v>0</v>
      </c>
      <c r="U702" s="55">
        <v>0</v>
      </c>
      <c r="V702" s="55">
        <v>0</v>
      </c>
      <c r="W702" s="53">
        <v>0</v>
      </c>
      <c r="X702" s="53">
        <v>0</v>
      </c>
      <c r="Y702" s="55">
        <v>0</v>
      </c>
      <c r="Z702" s="55">
        <v>0</v>
      </c>
      <c r="AA702" s="53">
        <v>0</v>
      </c>
      <c r="AB702" s="53">
        <v>0</v>
      </c>
      <c r="AC702" s="55">
        <v>0</v>
      </c>
      <c r="AD702" s="55">
        <f t="shared" si="250"/>
        <v>0</v>
      </c>
      <c r="AE702" s="53">
        <f>IFERROR(VLOOKUP(A702,[4]simples!$A$1:$B$281,2,FALSE),0)</f>
        <v>0</v>
      </c>
      <c r="AF702" s="55">
        <v>0</v>
      </c>
      <c r="AG702" s="55">
        <v>0</v>
      </c>
      <c r="AH702" s="55">
        <f t="shared" si="251"/>
        <v>0</v>
      </c>
      <c r="AI702" s="55"/>
      <c r="AJ702" s="55">
        <v>0</v>
      </c>
      <c r="AK702" s="55"/>
      <c r="AL702" s="55">
        <f t="shared" si="252"/>
        <v>0</v>
      </c>
      <c r="AM702" s="55" t="s">
        <v>1912</v>
      </c>
      <c r="AN702" s="55">
        <v>0</v>
      </c>
      <c r="AO702" s="55">
        <v>0</v>
      </c>
      <c r="AP702" s="55">
        <f t="shared" si="263"/>
        <v>0</v>
      </c>
      <c r="AQ702" s="55">
        <f>IFERROR(VLOOKUP(A702,[1]SIIMPLES!$A$2:$F$418,6,FALSE),0)</f>
        <v>0</v>
      </c>
      <c r="AR702" s="55">
        <v>0</v>
      </c>
      <c r="AS702" s="55">
        <v>0</v>
      </c>
      <c r="AT702" s="55">
        <v>0</v>
      </c>
      <c r="AU702" s="55">
        <v>0</v>
      </c>
      <c r="AV702" s="55">
        <v>0</v>
      </c>
      <c r="AW702" s="55"/>
      <c r="AX702" s="55"/>
      <c r="AY702" s="56">
        <f t="shared" si="253"/>
        <v>0</v>
      </c>
      <c r="AZ702" s="55"/>
      <c r="BA702" s="56">
        <v>0</v>
      </c>
      <c r="BB702" s="41" t="str">
        <f t="shared" si="267"/>
        <v/>
      </c>
      <c r="BC702" s="13"/>
      <c r="BD702" s="35"/>
      <c r="BE702" s="13"/>
      <c r="BF702" s="16"/>
      <c r="BG702" s="17" t="str">
        <f t="shared" si="257"/>
        <v>0</v>
      </c>
      <c r="BH702" s="16">
        <f t="shared" ref="BH702:BH708" si="268">IFERROR(IF(F702=1,IF(BC702&lt;AY702*3,AY702*3-BC702,0),IF(BC702&lt;AY702,AY702-BC702,0)),"")</f>
        <v>0</v>
      </c>
    </row>
    <row r="703" spans="1:60" s="21" customFormat="1" ht="12.75" customHeight="1" x14ac:dyDescent="0.2">
      <c r="A703" s="50">
        <v>5908</v>
      </c>
      <c r="B703" s="51"/>
      <c r="C703" s="51" t="s">
        <v>1803</v>
      </c>
      <c r="D703" s="52" t="s">
        <v>735</v>
      </c>
      <c r="E703" s="52" t="s">
        <v>736</v>
      </c>
      <c r="F703" s="53">
        <f>IFERROR(VLOOKUP(E703,Fornecedores!$A$2:$B$2700,2,FALSE),"")</f>
        <v>5</v>
      </c>
      <c r="G703" s="52" t="s">
        <v>885</v>
      </c>
      <c r="H703" s="57"/>
      <c r="I703" s="55">
        <f t="shared" si="264"/>
        <v>0</v>
      </c>
      <c r="J703" s="55">
        <v>0</v>
      </c>
      <c r="K703" s="55">
        <v>0</v>
      </c>
      <c r="L703" s="55">
        <v>0</v>
      </c>
      <c r="M703" s="55">
        <v>0</v>
      </c>
      <c r="N703" s="55">
        <f t="shared" si="265"/>
        <v>0</v>
      </c>
      <c r="O703" s="55">
        <v>0</v>
      </c>
      <c r="P703" s="55">
        <v>0</v>
      </c>
      <c r="Q703" s="55">
        <v>0</v>
      </c>
      <c r="R703" s="55">
        <f t="shared" si="266"/>
        <v>0</v>
      </c>
      <c r="S703" s="55">
        <v>0</v>
      </c>
      <c r="T703" s="55">
        <v>0</v>
      </c>
      <c r="U703" s="55">
        <v>0</v>
      </c>
      <c r="V703" s="55">
        <v>0</v>
      </c>
      <c r="W703" s="53">
        <v>0</v>
      </c>
      <c r="X703" s="53">
        <v>0</v>
      </c>
      <c r="Y703" s="55">
        <v>0</v>
      </c>
      <c r="Z703" s="55">
        <v>0</v>
      </c>
      <c r="AA703" s="53">
        <v>0</v>
      </c>
      <c r="AB703" s="53">
        <v>0</v>
      </c>
      <c r="AC703" s="55">
        <v>0</v>
      </c>
      <c r="AD703" s="55">
        <f t="shared" si="250"/>
        <v>0</v>
      </c>
      <c r="AE703" s="53">
        <f>IFERROR(VLOOKUP(A703,[4]simples!$A$1:$B$281,2,FALSE),0)</f>
        <v>0</v>
      </c>
      <c r="AF703" s="55">
        <v>0</v>
      </c>
      <c r="AG703" s="55">
        <v>0</v>
      </c>
      <c r="AH703" s="55">
        <f t="shared" si="251"/>
        <v>0</v>
      </c>
      <c r="AI703" s="55"/>
      <c r="AJ703" s="55">
        <v>0</v>
      </c>
      <c r="AK703" s="55"/>
      <c r="AL703" s="55">
        <f t="shared" si="252"/>
        <v>0</v>
      </c>
      <c r="AM703" s="55" t="s">
        <v>1912</v>
      </c>
      <c r="AN703" s="55">
        <v>0</v>
      </c>
      <c r="AO703" s="55">
        <v>0</v>
      </c>
      <c r="AP703" s="55">
        <f t="shared" si="263"/>
        <v>0</v>
      </c>
      <c r="AQ703" s="55">
        <f>IFERROR(VLOOKUP(A703,[1]SIIMPLES!$A$2:$F$418,6,FALSE),0)</f>
        <v>0</v>
      </c>
      <c r="AR703" s="55">
        <v>0</v>
      </c>
      <c r="AS703" s="55">
        <v>0</v>
      </c>
      <c r="AT703" s="55">
        <v>0</v>
      </c>
      <c r="AU703" s="55">
        <v>0</v>
      </c>
      <c r="AV703" s="55">
        <v>0</v>
      </c>
      <c r="AW703" s="55"/>
      <c r="AX703" s="55"/>
      <c r="AY703" s="56">
        <f t="shared" si="253"/>
        <v>0</v>
      </c>
      <c r="AZ703" s="55"/>
      <c r="BA703" s="56">
        <v>0</v>
      </c>
      <c r="BB703" s="41" t="str">
        <f t="shared" si="267"/>
        <v/>
      </c>
      <c r="BC703" s="13"/>
      <c r="BD703" s="35"/>
      <c r="BE703" s="13"/>
      <c r="BF703" s="16">
        <f>SUM(BC703:BE703)</f>
        <v>0</v>
      </c>
      <c r="BG703" s="17" t="str">
        <f t="shared" si="257"/>
        <v>0</v>
      </c>
      <c r="BH703" s="16">
        <f t="shared" si="268"/>
        <v>0</v>
      </c>
    </row>
    <row r="704" spans="1:60" s="21" customFormat="1" ht="12.75" customHeight="1" x14ac:dyDescent="0.2">
      <c r="A704" s="51">
        <v>5909</v>
      </c>
      <c r="B704" s="51"/>
      <c r="C704" s="66" t="s">
        <v>1803</v>
      </c>
      <c r="D704" s="52" t="s">
        <v>735</v>
      </c>
      <c r="E704" s="52" t="s">
        <v>736</v>
      </c>
      <c r="F704" s="53">
        <f>IFERROR(VLOOKUP(E704,Fornecedores!$A$2:$B$2700,2,FALSE),"")</f>
        <v>5</v>
      </c>
      <c r="G704" s="52" t="s">
        <v>1018</v>
      </c>
      <c r="H704" s="57"/>
      <c r="I704" s="55">
        <f t="shared" si="264"/>
        <v>0</v>
      </c>
      <c r="J704" s="55">
        <v>0</v>
      </c>
      <c r="K704" s="55">
        <v>0</v>
      </c>
      <c r="L704" s="55">
        <v>0</v>
      </c>
      <c r="M704" s="55">
        <v>0</v>
      </c>
      <c r="N704" s="55">
        <f t="shared" si="265"/>
        <v>0</v>
      </c>
      <c r="O704" s="55">
        <v>0</v>
      </c>
      <c r="P704" s="55">
        <v>0</v>
      </c>
      <c r="Q704" s="55">
        <v>0</v>
      </c>
      <c r="R704" s="55">
        <f t="shared" si="266"/>
        <v>0</v>
      </c>
      <c r="S704" s="55">
        <v>0</v>
      </c>
      <c r="T704" s="55">
        <v>0</v>
      </c>
      <c r="U704" s="55">
        <v>0</v>
      </c>
      <c r="V704" s="55">
        <v>0</v>
      </c>
      <c r="W704" s="53">
        <v>0</v>
      </c>
      <c r="X704" s="53">
        <v>0</v>
      </c>
      <c r="Y704" s="55">
        <v>0</v>
      </c>
      <c r="Z704" s="55">
        <v>0</v>
      </c>
      <c r="AA704" s="53">
        <v>0</v>
      </c>
      <c r="AB704" s="53">
        <v>0</v>
      </c>
      <c r="AC704" s="55">
        <v>0</v>
      </c>
      <c r="AD704" s="55">
        <f t="shared" si="250"/>
        <v>0</v>
      </c>
      <c r="AE704" s="53">
        <v>0</v>
      </c>
      <c r="AF704" s="55">
        <v>0</v>
      </c>
      <c r="AG704" s="55">
        <v>0</v>
      </c>
      <c r="AH704" s="55">
        <f t="shared" si="251"/>
        <v>0</v>
      </c>
      <c r="AI704" s="55">
        <v>0</v>
      </c>
      <c r="AJ704" s="55">
        <v>0</v>
      </c>
      <c r="AK704" s="55">
        <v>0</v>
      </c>
      <c r="AL704" s="55">
        <f t="shared" si="252"/>
        <v>0</v>
      </c>
      <c r="AM704" s="55" t="s">
        <v>1912</v>
      </c>
      <c r="AN704" s="55">
        <v>0</v>
      </c>
      <c r="AO704" s="55">
        <v>0</v>
      </c>
      <c r="AP704" s="55">
        <f t="shared" si="263"/>
        <v>0</v>
      </c>
      <c r="AQ704" s="55">
        <f>IFERROR(VLOOKUP(A704,[1]SIIMPLES!$A$2:$F$418,6,FALSE),0)</f>
        <v>0</v>
      </c>
      <c r="AR704" s="55">
        <v>0</v>
      </c>
      <c r="AS704" s="55">
        <v>0</v>
      </c>
      <c r="AT704" s="55">
        <v>0</v>
      </c>
      <c r="AU704" s="55">
        <v>0</v>
      </c>
      <c r="AV704" s="55">
        <v>0</v>
      </c>
      <c r="AW704" s="55"/>
      <c r="AX704" s="55"/>
      <c r="AY704" s="56">
        <f t="shared" si="253"/>
        <v>0</v>
      </c>
      <c r="AZ704" s="55"/>
      <c r="BA704" s="56">
        <v>0.16666666666666666</v>
      </c>
      <c r="BB704" s="41">
        <f t="shared" si="267"/>
        <v>-1</v>
      </c>
      <c r="BC704" s="13"/>
      <c r="BD704" s="35"/>
      <c r="BE704" s="13"/>
      <c r="BF704" s="16"/>
      <c r="BG704" s="17" t="str">
        <f t="shared" si="257"/>
        <v>0</v>
      </c>
      <c r="BH704" s="16">
        <f t="shared" si="268"/>
        <v>0</v>
      </c>
    </row>
    <row r="705" spans="1:60" s="21" customFormat="1" ht="12.75" customHeight="1" x14ac:dyDescent="0.2">
      <c r="A705" s="50">
        <v>5910</v>
      </c>
      <c r="B705" s="51"/>
      <c r="C705" s="51" t="s">
        <v>1803</v>
      </c>
      <c r="D705" s="52" t="s">
        <v>735</v>
      </c>
      <c r="E705" s="52" t="s">
        <v>736</v>
      </c>
      <c r="F705" s="53">
        <f>IFERROR(VLOOKUP(E705,Fornecedores!$A$2:$B$2700,2,FALSE),"")</f>
        <v>5</v>
      </c>
      <c r="G705" s="52" t="s">
        <v>1019</v>
      </c>
      <c r="H705" s="57"/>
      <c r="I705" s="55">
        <f t="shared" si="264"/>
        <v>0</v>
      </c>
      <c r="J705" s="55">
        <v>0</v>
      </c>
      <c r="K705" s="55">
        <v>0</v>
      </c>
      <c r="L705" s="55">
        <v>0</v>
      </c>
      <c r="M705" s="55">
        <v>0</v>
      </c>
      <c r="N705" s="55">
        <f t="shared" si="265"/>
        <v>0</v>
      </c>
      <c r="O705" s="55">
        <v>0</v>
      </c>
      <c r="P705" s="55">
        <v>0</v>
      </c>
      <c r="Q705" s="55">
        <v>0</v>
      </c>
      <c r="R705" s="55">
        <f t="shared" si="266"/>
        <v>0</v>
      </c>
      <c r="S705" s="55">
        <v>0</v>
      </c>
      <c r="T705" s="55">
        <v>0</v>
      </c>
      <c r="U705" s="55">
        <v>0</v>
      </c>
      <c r="V705" s="55">
        <v>0</v>
      </c>
      <c r="W705" s="53">
        <v>0</v>
      </c>
      <c r="X705" s="53">
        <v>0</v>
      </c>
      <c r="Y705" s="55">
        <v>0</v>
      </c>
      <c r="Z705" s="55">
        <v>0</v>
      </c>
      <c r="AA705" s="53">
        <v>0</v>
      </c>
      <c r="AB705" s="53">
        <v>0</v>
      </c>
      <c r="AC705" s="55">
        <v>0</v>
      </c>
      <c r="AD705" s="55">
        <f t="shared" si="250"/>
        <v>0</v>
      </c>
      <c r="AE705" s="53">
        <f>IFERROR(VLOOKUP(A705,[4]simples!$A$1:$B$281,2,FALSE),0)</f>
        <v>0</v>
      </c>
      <c r="AF705" s="55">
        <v>0</v>
      </c>
      <c r="AG705" s="55">
        <v>0</v>
      </c>
      <c r="AH705" s="55">
        <f t="shared" si="251"/>
        <v>0</v>
      </c>
      <c r="AI705" s="55"/>
      <c r="AJ705" s="55">
        <v>0</v>
      </c>
      <c r="AK705" s="55"/>
      <c r="AL705" s="55">
        <f t="shared" si="252"/>
        <v>0</v>
      </c>
      <c r="AM705" s="55" t="s">
        <v>1912</v>
      </c>
      <c r="AN705" s="55">
        <v>0</v>
      </c>
      <c r="AO705" s="55">
        <v>0</v>
      </c>
      <c r="AP705" s="55">
        <f t="shared" si="263"/>
        <v>0</v>
      </c>
      <c r="AQ705" s="55">
        <f>IFERROR(VLOOKUP(A705,[1]SIIMPLES!$A$2:$F$418,6,FALSE),0)</f>
        <v>0</v>
      </c>
      <c r="AR705" s="55">
        <v>0</v>
      </c>
      <c r="AS705" s="55">
        <v>0</v>
      </c>
      <c r="AT705" s="55">
        <v>0</v>
      </c>
      <c r="AU705" s="55">
        <v>0</v>
      </c>
      <c r="AV705" s="55">
        <v>0</v>
      </c>
      <c r="AW705" s="55"/>
      <c r="AX705" s="55"/>
      <c r="AY705" s="56">
        <f t="shared" si="253"/>
        <v>0</v>
      </c>
      <c r="AZ705" s="55"/>
      <c r="BA705" s="56">
        <v>0</v>
      </c>
      <c r="BB705" s="41" t="str">
        <f t="shared" si="267"/>
        <v/>
      </c>
      <c r="BC705" s="13"/>
      <c r="BD705" s="35"/>
      <c r="BE705" s="13"/>
      <c r="BF705" s="16">
        <f>SUM(BC705:BE705)</f>
        <v>0</v>
      </c>
      <c r="BG705" s="17" t="str">
        <f t="shared" si="257"/>
        <v>0</v>
      </c>
      <c r="BH705" s="16">
        <f t="shared" si="268"/>
        <v>0</v>
      </c>
    </row>
    <row r="706" spans="1:60" s="21" customFormat="1" ht="12.75" customHeight="1" x14ac:dyDescent="0.2">
      <c r="A706" s="50">
        <v>5911</v>
      </c>
      <c r="B706" s="51"/>
      <c r="C706" s="51" t="s">
        <v>1803</v>
      </c>
      <c r="D706" s="52" t="s">
        <v>735</v>
      </c>
      <c r="E706" s="52" t="s">
        <v>736</v>
      </c>
      <c r="F706" s="53">
        <f>IFERROR(VLOOKUP(E706,Fornecedores!$A$2:$B$2700,2,FALSE),"")</f>
        <v>5</v>
      </c>
      <c r="G706" s="52" t="s">
        <v>1020</v>
      </c>
      <c r="H706" s="57"/>
      <c r="I706" s="55">
        <f t="shared" si="264"/>
        <v>0</v>
      </c>
      <c r="J706" s="55">
        <v>0</v>
      </c>
      <c r="K706" s="55">
        <v>0</v>
      </c>
      <c r="L706" s="55">
        <v>0</v>
      </c>
      <c r="M706" s="55">
        <v>0</v>
      </c>
      <c r="N706" s="55">
        <f t="shared" si="265"/>
        <v>0</v>
      </c>
      <c r="O706" s="55">
        <v>0</v>
      </c>
      <c r="P706" s="55">
        <v>0</v>
      </c>
      <c r="Q706" s="55">
        <v>0</v>
      </c>
      <c r="R706" s="55">
        <f t="shared" si="266"/>
        <v>0</v>
      </c>
      <c r="S706" s="55">
        <v>0</v>
      </c>
      <c r="T706" s="55">
        <v>0</v>
      </c>
      <c r="U706" s="55">
        <v>0</v>
      </c>
      <c r="V706" s="55">
        <v>0</v>
      </c>
      <c r="W706" s="53">
        <v>0</v>
      </c>
      <c r="X706" s="53">
        <v>0</v>
      </c>
      <c r="Y706" s="55">
        <v>0</v>
      </c>
      <c r="Z706" s="55">
        <v>0</v>
      </c>
      <c r="AA706" s="53">
        <v>0</v>
      </c>
      <c r="AB706" s="53">
        <v>0</v>
      </c>
      <c r="AC706" s="55">
        <v>0</v>
      </c>
      <c r="AD706" s="55">
        <f t="shared" si="250"/>
        <v>0</v>
      </c>
      <c r="AE706" s="53">
        <f>IFERROR(VLOOKUP(A706,[4]simples!$A$1:$B$281,2,FALSE),0)</f>
        <v>0</v>
      </c>
      <c r="AF706" s="55">
        <v>0</v>
      </c>
      <c r="AG706" s="55">
        <v>0</v>
      </c>
      <c r="AH706" s="55">
        <f t="shared" si="251"/>
        <v>0</v>
      </c>
      <c r="AI706" s="55"/>
      <c r="AJ706" s="55">
        <v>0</v>
      </c>
      <c r="AK706" s="55"/>
      <c r="AL706" s="55">
        <f t="shared" si="252"/>
        <v>0</v>
      </c>
      <c r="AM706" s="55" t="s">
        <v>1912</v>
      </c>
      <c r="AN706" s="55">
        <v>0</v>
      </c>
      <c r="AO706" s="55">
        <v>0</v>
      </c>
      <c r="AP706" s="55">
        <f t="shared" si="263"/>
        <v>0</v>
      </c>
      <c r="AQ706" s="55">
        <f>IFERROR(VLOOKUP(A706,[1]SIIMPLES!$A$2:$F$418,6,FALSE),0)</f>
        <v>0</v>
      </c>
      <c r="AR706" s="55">
        <v>0</v>
      </c>
      <c r="AS706" s="55">
        <v>0</v>
      </c>
      <c r="AT706" s="55">
        <v>0</v>
      </c>
      <c r="AU706" s="55">
        <v>0</v>
      </c>
      <c r="AV706" s="55">
        <v>0</v>
      </c>
      <c r="AW706" s="55"/>
      <c r="AX706" s="55"/>
      <c r="AY706" s="56">
        <f t="shared" si="253"/>
        <v>0</v>
      </c>
      <c r="AZ706" s="55"/>
      <c r="BA706" s="56">
        <v>0</v>
      </c>
      <c r="BB706" s="41" t="str">
        <f t="shared" si="267"/>
        <v/>
      </c>
      <c r="BC706" s="13"/>
      <c r="BD706" s="35"/>
      <c r="BE706" s="13"/>
      <c r="BF706" s="16"/>
      <c r="BG706" s="17" t="str">
        <f t="shared" ref="BG706:BG737" si="269">IFERROR(BC706/AY706,"0")</f>
        <v>0</v>
      </c>
      <c r="BH706" s="16">
        <f t="shared" si="268"/>
        <v>0</v>
      </c>
    </row>
    <row r="707" spans="1:60" s="21" customFormat="1" ht="12.75" customHeight="1" x14ac:dyDescent="0.2">
      <c r="A707" s="51">
        <v>5913</v>
      </c>
      <c r="B707" s="51"/>
      <c r="C707" s="66" t="s">
        <v>1803</v>
      </c>
      <c r="D707" s="52" t="s">
        <v>735</v>
      </c>
      <c r="E707" s="52" t="s">
        <v>736</v>
      </c>
      <c r="F707" s="53">
        <f>IFERROR(VLOOKUP(E707,Fornecedores!$A$2:$B$2700,2,FALSE),"")</f>
        <v>5</v>
      </c>
      <c r="G707" s="52" t="s">
        <v>143</v>
      </c>
      <c r="H707" s="54"/>
      <c r="I707" s="55">
        <f t="shared" si="264"/>
        <v>0</v>
      </c>
      <c r="J707" s="55">
        <v>0</v>
      </c>
      <c r="K707" s="55">
        <v>0</v>
      </c>
      <c r="L707" s="55">
        <v>0</v>
      </c>
      <c r="M707" s="55">
        <v>0</v>
      </c>
      <c r="N707" s="55">
        <f t="shared" si="265"/>
        <v>0</v>
      </c>
      <c r="O707" s="55">
        <v>0</v>
      </c>
      <c r="P707" s="55">
        <v>0</v>
      </c>
      <c r="Q707" s="55">
        <v>0</v>
      </c>
      <c r="R707" s="55">
        <f t="shared" si="266"/>
        <v>0</v>
      </c>
      <c r="S707" s="55">
        <v>0</v>
      </c>
      <c r="T707" s="55">
        <v>0</v>
      </c>
      <c r="U707" s="55">
        <v>0</v>
      </c>
      <c r="V707" s="55">
        <v>0</v>
      </c>
      <c r="W707" s="53">
        <v>0</v>
      </c>
      <c r="X707" s="53">
        <v>0</v>
      </c>
      <c r="Y707" s="55">
        <v>0</v>
      </c>
      <c r="Z707" s="55">
        <v>0</v>
      </c>
      <c r="AA707" s="53">
        <v>0</v>
      </c>
      <c r="AB707" s="53">
        <v>0</v>
      </c>
      <c r="AC707" s="55">
        <v>0</v>
      </c>
      <c r="AD707" s="55">
        <f t="shared" si="250"/>
        <v>0</v>
      </c>
      <c r="AE707" s="53">
        <v>0</v>
      </c>
      <c r="AF707" s="55">
        <v>0</v>
      </c>
      <c r="AG707" s="55">
        <v>0</v>
      </c>
      <c r="AH707" s="55">
        <f t="shared" si="251"/>
        <v>0</v>
      </c>
      <c r="AI707" s="55">
        <v>0</v>
      </c>
      <c r="AJ707" s="55">
        <v>0</v>
      </c>
      <c r="AK707" s="55">
        <v>0</v>
      </c>
      <c r="AL707" s="55">
        <f t="shared" si="252"/>
        <v>0</v>
      </c>
      <c r="AM707" s="55" t="s">
        <v>1912</v>
      </c>
      <c r="AN707" s="55">
        <v>0</v>
      </c>
      <c r="AO707" s="55">
        <v>0</v>
      </c>
      <c r="AP707" s="55">
        <f t="shared" si="263"/>
        <v>0</v>
      </c>
      <c r="AQ707" s="55">
        <f>IFERROR(VLOOKUP(A707,[1]SIIMPLES!$A$2:$F$418,6,FALSE),0)</f>
        <v>0</v>
      </c>
      <c r="AR707" s="55">
        <v>0</v>
      </c>
      <c r="AS707" s="55">
        <v>0</v>
      </c>
      <c r="AT707" s="55">
        <v>0</v>
      </c>
      <c r="AU707" s="55">
        <v>0</v>
      </c>
      <c r="AV707" s="55">
        <v>0</v>
      </c>
      <c r="AW707" s="55"/>
      <c r="AX707" s="55"/>
      <c r="AY707" s="56">
        <f t="shared" si="253"/>
        <v>0</v>
      </c>
      <c r="AZ707" s="55"/>
      <c r="BA707" s="56">
        <v>0</v>
      </c>
      <c r="BB707" s="41" t="str">
        <f t="shared" si="267"/>
        <v/>
      </c>
      <c r="BC707" s="13"/>
      <c r="BD707" s="35"/>
      <c r="BE707" s="13"/>
      <c r="BF707" s="16">
        <f>SUM(BC707:BE707)</f>
        <v>0</v>
      </c>
      <c r="BG707" s="17" t="str">
        <f t="shared" si="269"/>
        <v>0</v>
      </c>
      <c r="BH707" s="16">
        <f t="shared" si="268"/>
        <v>0</v>
      </c>
    </row>
    <row r="708" spans="1:60" s="21" customFormat="1" ht="12.75" customHeight="1" x14ac:dyDescent="0.2">
      <c r="A708" s="51">
        <v>5914</v>
      </c>
      <c r="B708" s="51" t="s">
        <v>1077</v>
      </c>
      <c r="C708" s="66" t="s">
        <v>1803</v>
      </c>
      <c r="D708" s="52" t="s">
        <v>735</v>
      </c>
      <c r="E708" s="52" t="s">
        <v>736</v>
      </c>
      <c r="F708" s="53">
        <f>IFERROR(VLOOKUP(E708,Fornecedores!$A$2:$B$2700,2,FALSE),"")</f>
        <v>5</v>
      </c>
      <c r="G708" s="52" t="s">
        <v>151</v>
      </c>
      <c r="H708" s="54"/>
      <c r="I708" s="55">
        <f t="shared" si="264"/>
        <v>1</v>
      </c>
      <c r="J708" s="55">
        <v>1</v>
      </c>
      <c r="K708" s="55">
        <v>0</v>
      </c>
      <c r="L708" s="55">
        <v>0</v>
      </c>
      <c r="M708" s="55">
        <v>0</v>
      </c>
      <c r="N708" s="55">
        <f t="shared" si="265"/>
        <v>0</v>
      </c>
      <c r="O708" s="55">
        <v>0</v>
      </c>
      <c r="P708" s="55">
        <v>0</v>
      </c>
      <c r="Q708" s="55">
        <v>0</v>
      </c>
      <c r="R708" s="55">
        <f t="shared" si="266"/>
        <v>0</v>
      </c>
      <c r="S708" s="55">
        <v>0</v>
      </c>
      <c r="T708" s="55">
        <v>0</v>
      </c>
      <c r="U708" s="55">
        <v>0</v>
      </c>
      <c r="V708" s="55">
        <v>0</v>
      </c>
      <c r="W708" s="53">
        <v>0</v>
      </c>
      <c r="X708" s="53">
        <v>0</v>
      </c>
      <c r="Y708" s="55">
        <v>0</v>
      </c>
      <c r="Z708" s="55">
        <v>0</v>
      </c>
      <c r="AA708" s="53">
        <v>0</v>
      </c>
      <c r="AB708" s="53">
        <v>0</v>
      </c>
      <c r="AC708" s="55">
        <v>0</v>
      </c>
      <c r="AD708" s="55">
        <f t="shared" si="250"/>
        <v>0</v>
      </c>
      <c r="AE708" s="53">
        <v>0</v>
      </c>
      <c r="AF708" s="55">
        <v>0</v>
      </c>
      <c r="AG708" s="55">
        <v>0</v>
      </c>
      <c r="AH708" s="55">
        <f t="shared" si="251"/>
        <v>0</v>
      </c>
      <c r="AI708" s="55">
        <v>0</v>
      </c>
      <c r="AJ708" s="55">
        <v>0</v>
      </c>
      <c r="AK708" s="55">
        <v>0</v>
      </c>
      <c r="AL708" s="55">
        <f t="shared" si="252"/>
        <v>0</v>
      </c>
      <c r="AM708" s="55" t="s">
        <v>1912</v>
      </c>
      <c r="AN708" s="55">
        <v>0</v>
      </c>
      <c r="AO708" s="55">
        <v>0</v>
      </c>
      <c r="AP708" s="55">
        <f t="shared" si="263"/>
        <v>0</v>
      </c>
      <c r="AQ708" s="55">
        <f>IFERROR(VLOOKUP(A708,[1]SIIMPLES!$A$2:$F$418,6,FALSE),0)</f>
        <v>0</v>
      </c>
      <c r="AR708" s="55">
        <v>0</v>
      </c>
      <c r="AS708" s="55">
        <v>0</v>
      </c>
      <c r="AT708" s="55">
        <v>0</v>
      </c>
      <c r="AU708" s="55">
        <v>0</v>
      </c>
      <c r="AV708" s="55">
        <v>0</v>
      </c>
      <c r="AW708" s="55"/>
      <c r="AX708" s="55"/>
      <c r="AY708" s="56">
        <f t="shared" si="253"/>
        <v>0.1</v>
      </c>
      <c r="AZ708" s="55"/>
      <c r="BA708" s="56">
        <v>0.16666666666666666</v>
      </c>
      <c r="BB708" s="41">
        <f t="shared" si="267"/>
        <v>-0.39999999999999991</v>
      </c>
      <c r="BC708" s="10"/>
      <c r="BD708" s="35"/>
      <c r="BE708" s="13"/>
      <c r="BF708" s="16">
        <f>SUM(BC708:BE708)</f>
        <v>0</v>
      </c>
      <c r="BG708" s="17">
        <f t="shared" si="269"/>
        <v>0</v>
      </c>
      <c r="BH708" s="16">
        <f t="shared" si="268"/>
        <v>0.1</v>
      </c>
    </row>
    <row r="709" spans="1:60" s="21" customFormat="1" ht="12.75" customHeight="1" x14ac:dyDescent="0.2">
      <c r="A709" s="50">
        <v>5915</v>
      </c>
      <c r="B709" s="51"/>
      <c r="C709" s="51" t="s">
        <v>1803</v>
      </c>
      <c r="D709" s="52" t="s">
        <v>735</v>
      </c>
      <c r="E709" s="52" t="s">
        <v>736</v>
      </c>
      <c r="F709" s="53">
        <f>IFERROR(VLOOKUP(E709,Fornecedores!$A$2:$B$2700,2,FALSE),"")</f>
        <v>5</v>
      </c>
      <c r="G709" s="52" t="s">
        <v>1021</v>
      </c>
      <c r="H709" s="57"/>
      <c r="I709" s="55">
        <f t="shared" si="264"/>
        <v>0</v>
      </c>
      <c r="J709" s="55">
        <v>0</v>
      </c>
      <c r="K709" s="55">
        <v>0</v>
      </c>
      <c r="L709" s="55">
        <v>0</v>
      </c>
      <c r="M709" s="55">
        <v>0</v>
      </c>
      <c r="N709" s="55">
        <f t="shared" si="265"/>
        <v>0</v>
      </c>
      <c r="O709" s="55">
        <v>0</v>
      </c>
      <c r="P709" s="55">
        <v>0</v>
      </c>
      <c r="Q709" s="55">
        <v>0</v>
      </c>
      <c r="R709" s="55">
        <f t="shared" si="266"/>
        <v>0</v>
      </c>
      <c r="S709" s="55">
        <v>0</v>
      </c>
      <c r="T709" s="55">
        <v>0</v>
      </c>
      <c r="U709" s="55">
        <v>0</v>
      </c>
      <c r="V709" s="55">
        <v>0</v>
      </c>
      <c r="W709" s="53">
        <v>0</v>
      </c>
      <c r="X709" s="53">
        <v>0</v>
      </c>
      <c r="Y709" s="55">
        <v>0</v>
      </c>
      <c r="Z709" s="55">
        <v>0</v>
      </c>
      <c r="AA709" s="53">
        <v>0</v>
      </c>
      <c r="AB709" s="53">
        <v>0</v>
      </c>
      <c r="AC709" s="55">
        <v>0</v>
      </c>
      <c r="AD709" s="55">
        <f t="shared" si="250"/>
        <v>0</v>
      </c>
      <c r="AE709" s="53">
        <f>IFERROR(VLOOKUP(A709,[4]simples!$A$1:$B$281,2,FALSE),0)</f>
        <v>0</v>
      </c>
      <c r="AF709" s="55">
        <v>0</v>
      </c>
      <c r="AG709" s="55">
        <v>0</v>
      </c>
      <c r="AH709" s="55">
        <f t="shared" si="251"/>
        <v>0</v>
      </c>
      <c r="AI709" s="55"/>
      <c r="AJ709" s="55">
        <v>0</v>
      </c>
      <c r="AK709" s="55"/>
      <c r="AL709" s="55">
        <f t="shared" si="252"/>
        <v>0</v>
      </c>
      <c r="AM709" s="55" t="s">
        <v>1912</v>
      </c>
      <c r="AN709" s="55">
        <v>0</v>
      </c>
      <c r="AO709" s="55">
        <v>0</v>
      </c>
      <c r="AP709" s="55">
        <f t="shared" si="263"/>
        <v>0</v>
      </c>
      <c r="AQ709" s="55">
        <f>IFERROR(VLOOKUP(A709,[1]SIIMPLES!$A$2:$F$418,6,FALSE),0)</f>
        <v>0</v>
      </c>
      <c r="AR709" s="55">
        <v>0</v>
      </c>
      <c r="AS709" s="55">
        <v>0</v>
      </c>
      <c r="AT709" s="55">
        <v>0</v>
      </c>
      <c r="AU709" s="55">
        <v>0</v>
      </c>
      <c r="AV709" s="55">
        <v>0</v>
      </c>
      <c r="AW709" s="55"/>
      <c r="AX709" s="55"/>
      <c r="AY709" s="56">
        <f t="shared" si="253"/>
        <v>0</v>
      </c>
      <c r="AZ709" s="55"/>
      <c r="BA709" s="56">
        <v>0</v>
      </c>
      <c r="BB709" s="41" t="str">
        <f t="shared" si="267"/>
        <v/>
      </c>
      <c r="BC709" s="13"/>
      <c r="BD709" s="35"/>
      <c r="BE709" s="13"/>
      <c r="BF709" s="16"/>
      <c r="BG709" s="17" t="str">
        <f t="shared" si="269"/>
        <v>0</v>
      </c>
      <c r="BH709" s="16">
        <f>ROUND(IFERROR(IF(F709=1,IF(BC709&lt;AY709*3,AY709*3-BC709,0),IF(BC709&lt;AY709,AY709*0.6-BC709,0)),""),0)</f>
        <v>0</v>
      </c>
    </row>
    <row r="710" spans="1:60" s="21" customFormat="1" ht="12.75" customHeight="1" x14ac:dyDescent="0.2">
      <c r="A710" s="50">
        <v>5917</v>
      </c>
      <c r="B710" s="51"/>
      <c r="C710" s="51" t="s">
        <v>1803</v>
      </c>
      <c r="D710" s="52" t="s">
        <v>735</v>
      </c>
      <c r="E710" s="52" t="s">
        <v>736</v>
      </c>
      <c r="F710" s="53">
        <f>IFERROR(VLOOKUP(E710,Fornecedores!$A$2:$B$2700,2,FALSE),"")</f>
        <v>5</v>
      </c>
      <c r="G710" s="52" t="s">
        <v>1022</v>
      </c>
      <c r="H710" s="57"/>
      <c r="I710" s="55">
        <f t="shared" si="264"/>
        <v>0</v>
      </c>
      <c r="J710" s="55">
        <v>0</v>
      </c>
      <c r="K710" s="55">
        <v>0</v>
      </c>
      <c r="L710" s="55">
        <v>0</v>
      </c>
      <c r="M710" s="55">
        <v>0</v>
      </c>
      <c r="N710" s="55">
        <f t="shared" si="265"/>
        <v>0</v>
      </c>
      <c r="O710" s="55">
        <v>0</v>
      </c>
      <c r="P710" s="55">
        <v>0</v>
      </c>
      <c r="Q710" s="55">
        <v>0</v>
      </c>
      <c r="R710" s="55">
        <f t="shared" si="266"/>
        <v>0</v>
      </c>
      <c r="S710" s="55">
        <v>0</v>
      </c>
      <c r="T710" s="55">
        <v>0</v>
      </c>
      <c r="U710" s="55">
        <v>0</v>
      </c>
      <c r="V710" s="55">
        <v>0</v>
      </c>
      <c r="W710" s="53">
        <v>0</v>
      </c>
      <c r="X710" s="53">
        <v>0</v>
      </c>
      <c r="Y710" s="55">
        <v>0</v>
      </c>
      <c r="Z710" s="55">
        <v>0</v>
      </c>
      <c r="AA710" s="53">
        <v>0</v>
      </c>
      <c r="AB710" s="53">
        <v>0</v>
      </c>
      <c r="AC710" s="55">
        <v>0</v>
      </c>
      <c r="AD710" s="55">
        <f t="shared" si="250"/>
        <v>0</v>
      </c>
      <c r="AE710" s="53">
        <f>IFERROR(VLOOKUP(A710,[4]simples!$A$1:$B$281,2,FALSE),0)</f>
        <v>0</v>
      </c>
      <c r="AF710" s="55">
        <v>0</v>
      </c>
      <c r="AG710" s="55">
        <v>0</v>
      </c>
      <c r="AH710" s="55">
        <f t="shared" si="251"/>
        <v>0</v>
      </c>
      <c r="AI710" s="55"/>
      <c r="AJ710" s="55">
        <v>0</v>
      </c>
      <c r="AK710" s="55"/>
      <c r="AL710" s="55">
        <f t="shared" si="252"/>
        <v>0</v>
      </c>
      <c r="AM710" s="55" t="s">
        <v>1912</v>
      </c>
      <c r="AN710" s="55">
        <v>0</v>
      </c>
      <c r="AO710" s="55">
        <v>0</v>
      </c>
      <c r="AP710" s="55">
        <f t="shared" si="263"/>
        <v>0</v>
      </c>
      <c r="AQ710" s="55">
        <f>IFERROR(VLOOKUP(A710,[1]SIIMPLES!$A$2:$F$418,6,FALSE),0)</f>
        <v>0</v>
      </c>
      <c r="AR710" s="55">
        <v>0</v>
      </c>
      <c r="AS710" s="55">
        <v>0</v>
      </c>
      <c r="AT710" s="55">
        <v>0</v>
      </c>
      <c r="AU710" s="55">
        <v>0</v>
      </c>
      <c r="AV710" s="55">
        <v>0</v>
      </c>
      <c r="AW710" s="55"/>
      <c r="AX710" s="55"/>
      <c r="AY710" s="56">
        <f t="shared" si="253"/>
        <v>0</v>
      </c>
      <c r="AZ710" s="55"/>
      <c r="BA710" s="56">
        <v>0</v>
      </c>
      <c r="BB710" s="41" t="str">
        <f t="shared" si="267"/>
        <v/>
      </c>
      <c r="BC710" s="13"/>
      <c r="BD710" s="35"/>
      <c r="BE710" s="13"/>
      <c r="BF710" s="16"/>
      <c r="BG710" s="17" t="str">
        <f t="shared" si="269"/>
        <v>0</v>
      </c>
      <c r="BH710" s="16">
        <f>IFERROR(IF(F710=1,IF(BC710&lt;AY710*3,AY710*3-BC710,0),IF(BC710&lt;AY710,AY710-BC710,0)),"")</f>
        <v>0</v>
      </c>
    </row>
    <row r="711" spans="1:60" s="21" customFormat="1" ht="12.75" customHeight="1" x14ac:dyDescent="0.2">
      <c r="A711" s="50">
        <v>5918</v>
      </c>
      <c r="B711" s="51"/>
      <c r="C711" s="51" t="s">
        <v>1803</v>
      </c>
      <c r="D711" s="52" t="s">
        <v>735</v>
      </c>
      <c r="E711" s="52" t="s">
        <v>736</v>
      </c>
      <c r="F711" s="53">
        <f>IFERROR(VLOOKUP(E711,Fornecedores!$A$2:$B$2700,2,FALSE),"")</f>
        <v>5</v>
      </c>
      <c r="G711" s="52" t="s">
        <v>1023</v>
      </c>
      <c r="H711" s="57"/>
      <c r="I711" s="55">
        <f t="shared" si="264"/>
        <v>0</v>
      </c>
      <c r="J711" s="55">
        <v>0</v>
      </c>
      <c r="K711" s="55">
        <v>0</v>
      </c>
      <c r="L711" s="55">
        <v>0</v>
      </c>
      <c r="M711" s="55">
        <v>0</v>
      </c>
      <c r="N711" s="55">
        <f t="shared" si="265"/>
        <v>0</v>
      </c>
      <c r="O711" s="55">
        <v>0</v>
      </c>
      <c r="P711" s="55">
        <v>0</v>
      </c>
      <c r="Q711" s="55">
        <v>0</v>
      </c>
      <c r="R711" s="55">
        <f t="shared" si="266"/>
        <v>0</v>
      </c>
      <c r="S711" s="55">
        <v>0</v>
      </c>
      <c r="T711" s="55">
        <v>0</v>
      </c>
      <c r="U711" s="55">
        <v>0</v>
      </c>
      <c r="V711" s="55">
        <v>0</v>
      </c>
      <c r="W711" s="53">
        <v>0</v>
      </c>
      <c r="X711" s="53">
        <v>0</v>
      </c>
      <c r="Y711" s="55">
        <v>0</v>
      </c>
      <c r="Z711" s="55">
        <v>0</v>
      </c>
      <c r="AA711" s="53">
        <v>0</v>
      </c>
      <c r="AB711" s="53">
        <v>0</v>
      </c>
      <c r="AC711" s="55">
        <v>0</v>
      </c>
      <c r="AD711" s="55">
        <f t="shared" si="250"/>
        <v>0</v>
      </c>
      <c r="AE711" s="53">
        <f>IFERROR(VLOOKUP(A711,[4]simples!$A$1:$B$281,2,FALSE),0)</f>
        <v>0</v>
      </c>
      <c r="AF711" s="55">
        <v>0</v>
      </c>
      <c r="AG711" s="55">
        <v>0</v>
      </c>
      <c r="AH711" s="55">
        <f t="shared" si="251"/>
        <v>0</v>
      </c>
      <c r="AI711" s="55"/>
      <c r="AJ711" s="55">
        <v>0</v>
      </c>
      <c r="AK711" s="55"/>
      <c r="AL711" s="55">
        <f t="shared" si="252"/>
        <v>0</v>
      </c>
      <c r="AM711" s="55" t="s">
        <v>1912</v>
      </c>
      <c r="AN711" s="55">
        <v>0</v>
      </c>
      <c r="AO711" s="55">
        <v>0</v>
      </c>
      <c r="AP711" s="55">
        <f t="shared" si="263"/>
        <v>0</v>
      </c>
      <c r="AQ711" s="55">
        <f>IFERROR(VLOOKUP(A711,[1]SIIMPLES!$A$2:$F$418,6,FALSE),0)</f>
        <v>0</v>
      </c>
      <c r="AR711" s="55">
        <v>0</v>
      </c>
      <c r="AS711" s="55">
        <v>0</v>
      </c>
      <c r="AT711" s="55">
        <v>0</v>
      </c>
      <c r="AU711" s="55">
        <v>0</v>
      </c>
      <c r="AV711" s="55">
        <v>0</v>
      </c>
      <c r="AW711" s="55"/>
      <c r="AX711" s="55"/>
      <c r="AY711" s="56">
        <f t="shared" si="253"/>
        <v>0</v>
      </c>
      <c r="AZ711" s="55"/>
      <c r="BA711" s="56">
        <v>0</v>
      </c>
      <c r="BB711" s="41" t="str">
        <f t="shared" si="267"/>
        <v/>
      </c>
      <c r="BC711" s="13"/>
      <c r="BD711" s="35"/>
      <c r="BE711" s="13"/>
      <c r="BF711" s="16"/>
      <c r="BG711" s="17" t="str">
        <f t="shared" si="269"/>
        <v>0</v>
      </c>
      <c r="BH711" s="16">
        <f>IFERROR(IF(F711=1,IF(BC711&lt;AY711*3,AY711*3-BC711,0),IF(BC711&lt;AY711,AY711-BC711,0)),"")</f>
        <v>0</v>
      </c>
    </row>
    <row r="712" spans="1:60" s="21" customFormat="1" ht="12.75" customHeight="1" x14ac:dyDescent="0.2">
      <c r="A712" s="51">
        <v>5921</v>
      </c>
      <c r="B712" s="51"/>
      <c r="C712" s="66" t="s">
        <v>1803</v>
      </c>
      <c r="D712" s="52" t="s">
        <v>735</v>
      </c>
      <c r="E712" s="52" t="s">
        <v>736</v>
      </c>
      <c r="F712" s="53">
        <f>IFERROR(VLOOKUP(E712,Fornecedores!$A$2:$B$2700,2,FALSE),"")</f>
        <v>5</v>
      </c>
      <c r="G712" s="52" t="s">
        <v>1024</v>
      </c>
      <c r="H712" s="57"/>
      <c r="I712" s="55">
        <f t="shared" si="264"/>
        <v>0</v>
      </c>
      <c r="J712" s="55">
        <v>0</v>
      </c>
      <c r="K712" s="55">
        <v>0</v>
      </c>
      <c r="L712" s="55">
        <v>0</v>
      </c>
      <c r="M712" s="55">
        <v>0</v>
      </c>
      <c r="N712" s="55">
        <f t="shared" si="265"/>
        <v>2</v>
      </c>
      <c r="O712" s="55">
        <v>0</v>
      </c>
      <c r="P712" s="55">
        <v>2</v>
      </c>
      <c r="Q712" s="55">
        <v>0</v>
      </c>
      <c r="R712" s="55">
        <f t="shared" si="266"/>
        <v>0</v>
      </c>
      <c r="S712" s="55">
        <v>0</v>
      </c>
      <c r="T712" s="55">
        <v>0</v>
      </c>
      <c r="U712" s="55">
        <v>0</v>
      </c>
      <c r="V712" s="55">
        <v>0</v>
      </c>
      <c r="W712" s="53">
        <v>0</v>
      </c>
      <c r="X712" s="53">
        <v>0</v>
      </c>
      <c r="Y712" s="55">
        <v>0</v>
      </c>
      <c r="Z712" s="55">
        <v>2</v>
      </c>
      <c r="AA712" s="53">
        <v>0</v>
      </c>
      <c r="AB712" s="53">
        <v>2</v>
      </c>
      <c r="AC712" s="55">
        <v>0</v>
      </c>
      <c r="AD712" s="55">
        <f t="shared" si="250"/>
        <v>0</v>
      </c>
      <c r="AE712" s="53">
        <v>0</v>
      </c>
      <c r="AF712" s="55">
        <v>0</v>
      </c>
      <c r="AG712" s="55">
        <v>0</v>
      </c>
      <c r="AH712" s="55">
        <f t="shared" si="251"/>
        <v>0</v>
      </c>
      <c r="AI712" s="55">
        <v>0</v>
      </c>
      <c r="AJ712" s="55">
        <v>0</v>
      </c>
      <c r="AK712" s="55">
        <v>0</v>
      </c>
      <c r="AL712" s="55">
        <f t="shared" si="252"/>
        <v>0</v>
      </c>
      <c r="AM712" s="55" t="s">
        <v>1912</v>
      </c>
      <c r="AN712" s="55">
        <v>0</v>
      </c>
      <c r="AO712" s="55">
        <v>0</v>
      </c>
      <c r="AP712" s="55">
        <f t="shared" si="263"/>
        <v>0</v>
      </c>
      <c r="AQ712" s="55">
        <f>IFERROR(VLOOKUP(A712,[1]SIIMPLES!$A$2:$F$418,6,FALSE),0)</f>
        <v>0</v>
      </c>
      <c r="AR712" s="55">
        <v>0</v>
      </c>
      <c r="AS712" s="55">
        <v>0</v>
      </c>
      <c r="AT712" s="55">
        <v>0</v>
      </c>
      <c r="AU712" s="55">
        <v>0</v>
      </c>
      <c r="AV712" s="55">
        <v>0</v>
      </c>
      <c r="AW712" s="55"/>
      <c r="AX712" s="55"/>
      <c r="AY712" s="56">
        <f t="shared" si="253"/>
        <v>0.4</v>
      </c>
      <c r="AZ712" s="55"/>
      <c r="BA712" s="56">
        <v>0.33333333333333331</v>
      </c>
      <c r="BB712" s="41">
        <f t="shared" si="267"/>
        <v>0.20000000000000018</v>
      </c>
      <c r="BC712" s="13"/>
      <c r="BD712" s="37"/>
      <c r="BE712" s="13"/>
      <c r="BF712" s="16">
        <f>SUM(BC712:BE712)</f>
        <v>0</v>
      </c>
      <c r="BG712" s="17">
        <f t="shared" si="269"/>
        <v>0</v>
      </c>
      <c r="BH712" s="16">
        <f>IFERROR(IF(F712=1,IF(BC712&lt;AY712*3,AY712*3-BC712,0),IF(BC712&lt;AY712,AY712-BC712,0)),"")</f>
        <v>0.4</v>
      </c>
    </row>
    <row r="713" spans="1:60" s="21" customFormat="1" ht="12.75" customHeight="1" x14ac:dyDescent="0.2">
      <c r="A713" s="50">
        <v>5922</v>
      </c>
      <c r="B713" s="51"/>
      <c r="C713" s="51" t="s">
        <v>1803</v>
      </c>
      <c r="D713" s="52" t="s">
        <v>735</v>
      </c>
      <c r="E713" s="52" t="s">
        <v>736</v>
      </c>
      <c r="F713" s="53">
        <f>IFERROR(VLOOKUP(E713,Fornecedores!$A$2:$B$2700,2,FALSE),"")</f>
        <v>5</v>
      </c>
      <c r="G713" s="52" t="s">
        <v>1025</v>
      </c>
      <c r="H713" s="57"/>
      <c r="I713" s="55">
        <f t="shared" si="264"/>
        <v>0</v>
      </c>
      <c r="J713" s="55">
        <v>0</v>
      </c>
      <c r="K713" s="55">
        <v>0</v>
      </c>
      <c r="L713" s="55">
        <v>0</v>
      </c>
      <c r="M713" s="55">
        <v>0</v>
      </c>
      <c r="N713" s="55">
        <f t="shared" si="265"/>
        <v>0</v>
      </c>
      <c r="O713" s="55">
        <v>0</v>
      </c>
      <c r="P713" s="55">
        <v>0</v>
      </c>
      <c r="Q713" s="55">
        <v>0</v>
      </c>
      <c r="R713" s="55">
        <f t="shared" si="266"/>
        <v>0</v>
      </c>
      <c r="S713" s="55">
        <v>0</v>
      </c>
      <c r="T713" s="55">
        <v>0</v>
      </c>
      <c r="U713" s="55">
        <v>0</v>
      </c>
      <c r="V713" s="55">
        <v>0</v>
      </c>
      <c r="W713" s="53">
        <v>0</v>
      </c>
      <c r="X713" s="53">
        <v>0</v>
      </c>
      <c r="Y713" s="55">
        <v>0</v>
      </c>
      <c r="Z713" s="55">
        <v>0</v>
      </c>
      <c r="AA713" s="53">
        <v>0</v>
      </c>
      <c r="AB713" s="53">
        <v>0</v>
      </c>
      <c r="AC713" s="55">
        <v>0</v>
      </c>
      <c r="AD713" s="55">
        <f t="shared" si="250"/>
        <v>0</v>
      </c>
      <c r="AE713" s="53">
        <f>IFERROR(VLOOKUP(A713,[4]simples!$A$1:$B$281,2,FALSE),0)</f>
        <v>0</v>
      </c>
      <c r="AF713" s="55">
        <v>0</v>
      </c>
      <c r="AG713" s="55">
        <v>0</v>
      </c>
      <c r="AH713" s="55">
        <f t="shared" si="251"/>
        <v>0</v>
      </c>
      <c r="AI713" s="55"/>
      <c r="AJ713" s="55">
        <v>0</v>
      </c>
      <c r="AK713" s="55"/>
      <c r="AL713" s="55">
        <f t="shared" si="252"/>
        <v>0</v>
      </c>
      <c r="AM713" s="55" t="s">
        <v>1912</v>
      </c>
      <c r="AN713" s="55">
        <v>0</v>
      </c>
      <c r="AO713" s="55">
        <v>0</v>
      </c>
      <c r="AP713" s="55">
        <f t="shared" si="263"/>
        <v>0</v>
      </c>
      <c r="AQ713" s="55">
        <f>IFERROR(VLOOKUP(A713,[1]SIIMPLES!$A$2:$F$418,6,FALSE),0)</f>
        <v>0</v>
      </c>
      <c r="AR713" s="55">
        <v>0</v>
      </c>
      <c r="AS713" s="55">
        <v>0</v>
      </c>
      <c r="AT713" s="55">
        <v>0</v>
      </c>
      <c r="AU713" s="55">
        <v>0</v>
      </c>
      <c r="AV713" s="55">
        <v>0</v>
      </c>
      <c r="AW713" s="55"/>
      <c r="AX713" s="55"/>
      <c r="AY713" s="56">
        <f t="shared" si="253"/>
        <v>0</v>
      </c>
      <c r="AZ713" s="55"/>
      <c r="BA713" s="56">
        <v>0</v>
      </c>
      <c r="BB713" s="41" t="str">
        <f t="shared" si="267"/>
        <v/>
      </c>
      <c r="BC713" s="13"/>
      <c r="BD713" s="35"/>
      <c r="BE713" s="7"/>
      <c r="BF713" s="16"/>
      <c r="BG713" s="17" t="str">
        <f t="shared" si="269"/>
        <v>0</v>
      </c>
      <c r="BH713" s="16">
        <f>ROUND(IFERROR(IF(F713=1,IF(BC713&lt;AY713*3,AY713*3-BC713,0),IF(BC713&lt;AY713,AY713*0.6-BC713,0)),""),0)</f>
        <v>0</v>
      </c>
    </row>
    <row r="714" spans="1:60" s="21" customFormat="1" ht="12.75" customHeight="1" x14ac:dyDescent="0.2">
      <c r="A714" s="51">
        <v>5924</v>
      </c>
      <c r="B714" s="51"/>
      <c r="C714" s="66" t="s">
        <v>1803</v>
      </c>
      <c r="D714" s="52" t="s">
        <v>735</v>
      </c>
      <c r="E714" s="52" t="s">
        <v>736</v>
      </c>
      <c r="F714" s="53">
        <f>IFERROR(VLOOKUP(E714,Fornecedores!$A$2:$B$2700,2,FALSE),"")</f>
        <v>5</v>
      </c>
      <c r="G714" s="52" t="s">
        <v>142</v>
      </c>
      <c r="H714" s="54"/>
      <c r="I714" s="55">
        <f t="shared" si="264"/>
        <v>2</v>
      </c>
      <c r="J714" s="55">
        <v>1</v>
      </c>
      <c r="K714" s="55">
        <v>1</v>
      </c>
      <c r="L714" s="55">
        <v>0</v>
      </c>
      <c r="M714" s="55">
        <v>0</v>
      </c>
      <c r="N714" s="55">
        <f t="shared" si="265"/>
        <v>0</v>
      </c>
      <c r="O714" s="55">
        <v>0</v>
      </c>
      <c r="P714" s="55">
        <v>0</v>
      </c>
      <c r="Q714" s="55">
        <v>0</v>
      </c>
      <c r="R714" s="55">
        <f t="shared" si="266"/>
        <v>0</v>
      </c>
      <c r="S714" s="55">
        <v>0</v>
      </c>
      <c r="T714" s="55">
        <v>0</v>
      </c>
      <c r="U714" s="55">
        <v>0</v>
      </c>
      <c r="V714" s="55">
        <v>0</v>
      </c>
      <c r="W714" s="53">
        <v>0</v>
      </c>
      <c r="X714" s="53">
        <v>0</v>
      </c>
      <c r="Y714" s="55">
        <v>0</v>
      </c>
      <c r="Z714" s="55">
        <v>1</v>
      </c>
      <c r="AA714" s="53">
        <v>1</v>
      </c>
      <c r="AB714" s="53">
        <v>0</v>
      </c>
      <c r="AC714" s="55">
        <v>0</v>
      </c>
      <c r="AD714" s="55">
        <f t="shared" si="250"/>
        <v>0</v>
      </c>
      <c r="AE714" s="53">
        <v>0</v>
      </c>
      <c r="AF714" s="55">
        <v>0</v>
      </c>
      <c r="AG714" s="55">
        <v>0</v>
      </c>
      <c r="AH714" s="55">
        <f t="shared" si="251"/>
        <v>0</v>
      </c>
      <c r="AI714" s="55">
        <v>0</v>
      </c>
      <c r="AJ714" s="55">
        <v>0</v>
      </c>
      <c r="AK714" s="55">
        <v>0</v>
      </c>
      <c r="AL714" s="55">
        <f t="shared" si="252"/>
        <v>2</v>
      </c>
      <c r="AM714" s="55">
        <v>2</v>
      </c>
      <c r="AN714" s="55">
        <v>0</v>
      </c>
      <c r="AO714" s="55">
        <v>0</v>
      </c>
      <c r="AP714" s="55">
        <f t="shared" si="263"/>
        <v>0</v>
      </c>
      <c r="AQ714" s="55">
        <f>IFERROR(VLOOKUP(A714,[1]SIIMPLES!$A$2:$F$418,6,FALSE),0)</f>
        <v>0</v>
      </c>
      <c r="AR714" s="55">
        <v>0</v>
      </c>
      <c r="AS714" s="55">
        <v>0</v>
      </c>
      <c r="AT714" s="55">
        <v>0</v>
      </c>
      <c r="AU714" s="55">
        <v>0</v>
      </c>
      <c r="AV714" s="55">
        <v>0</v>
      </c>
      <c r="AW714" s="55"/>
      <c r="AX714" s="55"/>
      <c r="AY714" s="56">
        <f t="shared" si="253"/>
        <v>0.5</v>
      </c>
      <c r="AZ714" s="55"/>
      <c r="BA714" s="56">
        <v>0.16666666666666666</v>
      </c>
      <c r="BB714" s="41">
        <f t="shared" si="267"/>
        <v>2</v>
      </c>
      <c r="BC714" s="7"/>
      <c r="BD714" s="35"/>
      <c r="BE714" s="13"/>
      <c r="BF714" s="16">
        <f>SUM(BC714:BE714)</f>
        <v>0</v>
      </c>
      <c r="BG714" s="17">
        <f t="shared" si="269"/>
        <v>0</v>
      </c>
      <c r="BH714" s="16">
        <f t="shared" ref="BH714:BH721" si="270">IFERROR(IF(F714=1,IF(BC714&lt;AY714*3,AY714*3-BC714,0),IF(BC714&lt;AY714,AY714-BC714,0)),"")</f>
        <v>0.5</v>
      </c>
    </row>
    <row r="715" spans="1:60" s="21" customFormat="1" ht="12.75" customHeight="1" x14ac:dyDescent="0.2">
      <c r="A715" s="50">
        <v>5925</v>
      </c>
      <c r="B715" s="51"/>
      <c r="C715" s="51" t="s">
        <v>1803</v>
      </c>
      <c r="D715" s="52" t="s">
        <v>735</v>
      </c>
      <c r="E715" s="52" t="s">
        <v>736</v>
      </c>
      <c r="F715" s="53">
        <f>IFERROR(VLOOKUP(E715,Fornecedores!$A$2:$B$2700,2,FALSE),"")</f>
        <v>5</v>
      </c>
      <c r="G715" s="52" t="s">
        <v>982</v>
      </c>
      <c r="H715" s="54"/>
      <c r="I715" s="55">
        <f t="shared" si="264"/>
        <v>1</v>
      </c>
      <c r="J715" s="55">
        <v>0</v>
      </c>
      <c r="K715" s="55">
        <v>1</v>
      </c>
      <c r="L715" s="55">
        <v>0</v>
      </c>
      <c r="M715" s="55">
        <v>0</v>
      </c>
      <c r="N715" s="55">
        <f t="shared" si="265"/>
        <v>0</v>
      </c>
      <c r="O715" s="55">
        <v>0</v>
      </c>
      <c r="P715" s="55">
        <v>0</v>
      </c>
      <c r="Q715" s="55">
        <v>0</v>
      </c>
      <c r="R715" s="55">
        <f t="shared" si="266"/>
        <v>0</v>
      </c>
      <c r="S715" s="55">
        <v>0</v>
      </c>
      <c r="T715" s="55">
        <v>0</v>
      </c>
      <c r="U715" s="55">
        <v>0</v>
      </c>
      <c r="V715" s="55">
        <v>0</v>
      </c>
      <c r="W715" s="53">
        <v>0</v>
      </c>
      <c r="X715" s="53">
        <v>0</v>
      </c>
      <c r="Y715" s="55">
        <v>0</v>
      </c>
      <c r="Z715" s="55">
        <v>0</v>
      </c>
      <c r="AA715" s="53">
        <v>0</v>
      </c>
      <c r="AB715" s="53">
        <v>0</v>
      </c>
      <c r="AC715" s="55">
        <v>0</v>
      </c>
      <c r="AD715" s="55">
        <f t="shared" si="250"/>
        <v>0</v>
      </c>
      <c r="AE715" s="53">
        <f>IFERROR(VLOOKUP(A715,[4]simples!$A$1:$B$281,2,FALSE),0)</f>
        <v>0</v>
      </c>
      <c r="AF715" s="55">
        <v>0</v>
      </c>
      <c r="AG715" s="55">
        <v>0</v>
      </c>
      <c r="AH715" s="55">
        <f t="shared" si="251"/>
        <v>0</v>
      </c>
      <c r="AI715" s="55"/>
      <c r="AJ715" s="55">
        <v>0</v>
      </c>
      <c r="AK715" s="55"/>
      <c r="AL715" s="55">
        <f t="shared" si="252"/>
        <v>0</v>
      </c>
      <c r="AM715" s="55" t="s">
        <v>1912</v>
      </c>
      <c r="AN715" s="55">
        <v>0</v>
      </c>
      <c r="AO715" s="55">
        <v>0</v>
      </c>
      <c r="AP715" s="55">
        <f t="shared" si="263"/>
        <v>0</v>
      </c>
      <c r="AQ715" s="55">
        <f>IFERROR(VLOOKUP(A715,[1]SIIMPLES!$A$2:$F$418,6,FALSE),0)</f>
        <v>0</v>
      </c>
      <c r="AR715" s="55">
        <v>0</v>
      </c>
      <c r="AS715" s="55">
        <v>0</v>
      </c>
      <c r="AT715" s="55">
        <v>0</v>
      </c>
      <c r="AU715" s="55">
        <v>0</v>
      </c>
      <c r="AV715" s="55">
        <v>0</v>
      </c>
      <c r="AW715" s="55"/>
      <c r="AX715" s="55"/>
      <c r="AY715" s="56">
        <f t="shared" si="253"/>
        <v>0.1</v>
      </c>
      <c r="AZ715" s="55"/>
      <c r="BA715" s="56">
        <v>0</v>
      </c>
      <c r="BB715" s="41" t="str">
        <f t="shared" si="267"/>
        <v/>
      </c>
      <c r="BC715" s="7"/>
      <c r="BD715" s="35"/>
      <c r="BE715" s="13"/>
      <c r="BF715" s="16"/>
      <c r="BG715" s="17">
        <f t="shared" si="269"/>
        <v>0</v>
      </c>
      <c r="BH715" s="16">
        <f t="shared" si="270"/>
        <v>0.1</v>
      </c>
    </row>
    <row r="716" spans="1:60" s="21" customFormat="1" ht="12.75" customHeight="1" x14ac:dyDescent="0.2">
      <c r="A716" s="51">
        <v>6001</v>
      </c>
      <c r="B716" s="51"/>
      <c r="C716" s="66" t="s">
        <v>1803</v>
      </c>
      <c r="D716" s="52" t="s">
        <v>735</v>
      </c>
      <c r="E716" s="52" t="s">
        <v>736</v>
      </c>
      <c r="F716" s="53">
        <f>IFERROR(VLOOKUP(E716,Fornecedores!$A$2:$B$2700,2,FALSE),"")</f>
        <v>5</v>
      </c>
      <c r="G716" s="52" t="s">
        <v>153</v>
      </c>
      <c r="H716" s="54"/>
      <c r="I716" s="55">
        <f t="shared" si="264"/>
        <v>0</v>
      </c>
      <c r="J716" s="55">
        <v>0</v>
      </c>
      <c r="K716" s="55">
        <v>0</v>
      </c>
      <c r="L716" s="55">
        <v>0</v>
      </c>
      <c r="M716" s="55">
        <v>0</v>
      </c>
      <c r="N716" s="55">
        <f t="shared" si="265"/>
        <v>0</v>
      </c>
      <c r="O716" s="55">
        <v>0</v>
      </c>
      <c r="P716" s="55">
        <v>0</v>
      </c>
      <c r="Q716" s="55">
        <v>0</v>
      </c>
      <c r="R716" s="55">
        <f t="shared" si="266"/>
        <v>0</v>
      </c>
      <c r="S716" s="55">
        <v>0</v>
      </c>
      <c r="T716" s="55">
        <v>0</v>
      </c>
      <c r="U716" s="55">
        <v>0</v>
      </c>
      <c r="V716" s="55">
        <v>0</v>
      </c>
      <c r="W716" s="53">
        <v>0</v>
      </c>
      <c r="X716" s="53">
        <v>0</v>
      </c>
      <c r="Y716" s="55">
        <v>0</v>
      </c>
      <c r="Z716" s="55">
        <v>0</v>
      </c>
      <c r="AA716" s="53">
        <v>0</v>
      </c>
      <c r="AB716" s="53">
        <v>0</v>
      </c>
      <c r="AC716" s="55">
        <v>0</v>
      </c>
      <c r="AD716" s="55">
        <f t="shared" si="250"/>
        <v>2</v>
      </c>
      <c r="AE716" s="53">
        <v>0</v>
      </c>
      <c r="AF716" s="55">
        <v>2</v>
      </c>
      <c r="AG716" s="55">
        <v>0</v>
      </c>
      <c r="AH716" s="55">
        <f t="shared" si="251"/>
        <v>0</v>
      </c>
      <c r="AI716" s="55">
        <v>0</v>
      </c>
      <c r="AJ716" s="55">
        <v>0</v>
      </c>
      <c r="AK716" s="55">
        <v>0</v>
      </c>
      <c r="AL716" s="55">
        <f t="shared" si="252"/>
        <v>0</v>
      </c>
      <c r="AM716" s="55" t="s">
        <v>1912</v>
      </c>
      <c r="AN716" s="55">
        <v>0</v>
      </c>
      <c r="AO716" s="55">
        <v>0</v>
      </c>
      <c r="AP716" s="55">
        <f t="shared" si="263"/>
        <v>0</v>
      </c>
      <c r="AQ716" s="55">
        <f>IFERROR(VLOOKUP(A716,[1]SIIMPLES!$A$2:$F$418,6,FALSE),0)</f>
        <v>0</v>
      </c>
      <c r="AR716" s="55">
        <v>0</v>
      </c>
      <c r="AS716" s="55">
        <v>8</v>
      </c>
      <c r="AT716" s="55">
        <v>0</v>
      </c>
      <c r="AU716" s="55">
        <v>0</v>
      </c>
      <c r="AV716" s="55">
        <v>8</v>
      </c>
      <c r="AW716" s="55"/>
      <c r="AX716" s="55"/>
      <c r="AY716" s="56">
        <f t="shared" si="253"/>
        <v>1</v>
      </c>
      <c r="AZ716" s="55"/>
      <c r="BA716" s="56">
        <v>0.66666666666666663</v>
      </c>
      <c r="BB716" s="41">
        <f t="shared" si="267"/>
        <v>0.5</v>
      </c>
      <c r="BC716" s="13"/>
      <c r="BD716" s="35"/>
      <c r="BE716" s="13"/>
      <c r="BF716" s="16">
        <f t="shared" ref="BF716:BF721" si="271">SUM(BC716:BE716)</f>
        <v>0</v>
      </c>
      <c r="BG716" s="17">
        <f t="shared" si="269"/>
        <v>0</v>
      </c>
      <c r="BH716" s="16">
        <f t="shared" si="270"/>
        <v>1</v>
      </c>
    </row>
    <row r="717" spans="1:60" s="21" customFormat="1" ht="12.75" customHeight="1" x14ac:dyDescent="0.2">
      <c r="A717" s="50">
        <v>6002</v>
      </c>
      <c r="B717" s="51"/>
      <c r="C717" s="51" t="s">
        <v>1803</v>
      </c>
      <c r="D717" s="52" t="s">
        <v>735</v>
      </c>
      <c r="E717" s="52" t="s">
        <v>736</v>
      </c>
      <c r="F717" s="53">
        <f>IFERROR(VLOOKUP(E717,Fornecedores!$A$2:$B$2700,2,FALSE),"")</f>
        <v>5</v>
      </c>
      <c r="G717" s="52" t="s">
        <v>1026</v>
      </c>
      <c r="H717" s="57"/>
      <c r="I717" s="55">
        <f t="shared" si="264"/>
        <v>0</v>
      </c>
      <c r="J717" s="55">
        <v>0</v>
      </c>
      <c r="K717" s="55">
        <v>0</v>
      </c>
      <c r="L717" s="55">
        <v>0</v>
      </c>
      <c r="M717" s="55">
        <v>0</v>
      </c>
      <c r="N717" s="55">
        <f t="shared" si="265"/>
        <v>0</v>
      </c>
      <c r="O717" s="55">
        <v>0</v>
      </c>
      <c r="P717" s="55">
        <v>0</v>
      </c>
      <c r="Q717" s="55">
        <v>0</v>
      </c>
      <c r="R717" s="55">
        <f t="shared" si="266"/>
        <v>0</v>
      </c>
      <c r="S717" s="55">
        <v>0</v>
      </c>
      <c r="T717" s="55">
        <v>0</v>
      </c>
      <c r="U717" s="55">
        <v>0</v>
      </c>
      <c r="V717" s="55">
        <v>0</v>
      </c>
      <c r="W717" s="53">
        <v>0</v>
      </c>
      <c r="X717" s="53">
        <v>0</v>
      </c>
      <c r="Y717" s="55">
        <v>0</v>
      </c>
      <c r="Z717" s="55">
        <v>0</v>
      </c>
      <c r="AA717" s="53">
        <v>0</v>
      </c>
      <c r="AB717" s="53">
        <v>0</v>
      </c>
      <c r="AC717" s="55">
        <v>0</v>
      </c>
      <c r="AD717" s="55">
        <f t="shared" si="250"/>
        <v>0</v>
      </c>
      <c r="AE717" s="53">
        <f>IFERROR(VLOOKUP(A717,[4]simples!$A$1:$B$281,2,FALSE),0)</f>
        <v>0</v>
      </c>
      <c r="AF717" s="55">
        <v>0</v>
      </c>
      <c r="AG717" s="55">
        <v>0</v>
      </c>
      <c r="AH717" s="55">
        <f t="shared" si="251"/>
        <v>0</v>
      </c>
      <c r="AI717" s="55"/>
      <c r="AJ717" s="55">
        <v>0</v>
      </c>
      <c r="AK717" s="55"/>
      <c r="AL717" s="55">
        <f t="shared" si="252"/>
        <v>0</v>
      </c>
      <c r="AM717" s="55" t="s">
        <v>1912</v>
      </c>
      <c r="AN717" s="55">
        <v>0</v>
      </c>
      <c r="AO717" s="55">
        <v>0</v>
      </c>
      <c r="AP717" s="55">
        <f t="shared" si="263"/>
        <v>0</v>
      </c>
      <c r="AQ717" s="55">
        <f>IFERROR(VLOOKUP(A717,[1]SIIMPLES!$A$2:$F$418,6,FALSE),0)</f>
        <v>0</v>
      </c>
      <c r="AR717" s="55">
        <v>0</v>
      </c>
      <c r="AS717" s="55">
        <v>0</v>
      </c>
      <c r="AT717" s="55">
        <v>0</v>
      </c>
      <c r="AU717" s="55">
        <v>0</v>
      </c>
      <c r="AV717" s="55">
        <v>0</v>
      </c>
      <c r="AW717" s="55"/>
      <c r="AX717" s="55"/>
      <c r="AY717" s="56">
        <f t="shared" si="253"/>
        <v>0</v>
      </c>
      <c r="AZ717" s="55"/>
      <c r="BA717" s="56">
        <v>0</v>
      </c>
      <c r="BB717" s="41" t="str">
        <f t="shared" si="267"/>
        <v/>
      </c>
      <c r="BC717" s="13"/>
      <c r="BD717" s="35"/>
      <c r="BE717" s="13"/>
      <c r="BF717" s="16">
        <f t="shared" si="271"/>
        <v>0</v>
      </c>
      <c r="BG717" s="17" t="str">
        <f t="shared" si="269"/>
        <v>0</v>
      </c>
      <c r="BH717" s="16">
        <f t="shared" si="270"/>
        <v>0</v>
      </c>
    </row>
    <row r="718" spans="1:60" s="21" customFormat="1" ht="12.75" customHeight="1" x14ac:dyDescent="0.2">
      <c r="A718" s="50">
        <v>6003</v>
      </c>
      <c r="B718" s="51"/>
      <c r="C718" s="51" t="s">
        <v>1803</v>
      </c>
      <c r="D718" s="52" t="s">
        <v>735</v>
      </c>
      <c r="E718" s="52" t="s">
        <v>736</v>
      </c>
      <c r="F718" s="53">
        <f>IFERROR(VLOOKUP(E718,Fornecedores!$A$2:$B$2700,2,FALSE),"")</f>
        <v>5</v>
      </c>
      <c r="G718" s="52" t="s">
        <v>1027</v>
      </c>
      <c r="H718" s="57"/>
      <c r="I718" s="55">
        <f t="shared" si="264"/>
        <v>0</v>
      </c>
      <c r="J718" s="55">
        <v>0</v>
      </c>
      <c r="K718" s="55">
        <v>0</v>
      </c>
      <c r="L718" s="55">
        <v>0</v>
      </c>
      <c r="M718" s="55">
        <v>0</v>
      </c>
      <c r="N718" s="55">
        <f t="shared" si="265"/>
        <v>0</v>
      </c>
      <c r="O718" s="55">
        <v>0</v>
      </c>
      <c r="P718" s="55">
        <v>0</v>
      </c>
      <c r="Q718" s="55">
        <v>0</v>
      </c>
      <c r="R718" s="55">
        <f t="shared" si="266"/>
        <v>0</v>
      </c>
      <c r="S718" s="55">
        <v>0</v>
      </c>
      <c r="T718" s="55">
        <v>0</v>
      </c>
      <c r="U718" s="55">
        <v>0</v>
      </c>
      <c r="V718" s="55">
        <v>0</v>
      </c>
      <c r="W718" s="53">
        <v>0</v>
      </c>
      <c r="X718" s="53">
        <v>0</v>
      </c>
      <c r="Y718" s="55">
        <v>0</v>
      </c>
      <c r="Z718" s="55">
        <v>0</v>
      </c>
      <c r="AA718" s="53">
        <v>0</v>
      </c>
      <c r="AB718" s="53">
        <v>0</v>
      </c>
      <c r="AC718" s="55">
        <v>0</v>
      </c>
      <c r="AD718" s="55">
        <f t="shared" si="250"/>
        <v>0</v>
      </c>
      <c r="AE718" s="53">
        <f>IFERROR(VLOOKUP(A718,[4]simples!$A$1:$B$281,2,FALSE),0)</f>
        <v>0</v>
      </c>
      <c r="AF718" s="55">
        <v>0</v>
      </c>
      <c r="AG718" s="55">
        <v>0</v>
      </c>
      <c r="AH718" s="55">
        <f t="shared" si="251"/>
        <v>0</v>
      </c>
      <c r="AI718" s="55"/>
      <c r="AJ718" s="55">
        <v>0</v>
      </c>
      <c r="AK718" s="55"/>
      <c r="AL718" s="55">
        <f t="shared" si="252"/>
        <v>0</v>
      </c>
      <c r="AM718" s="55" t="s">
        <v>1912</v>
      </c>
      <c r="AN718" s="55">
        <v>0</v>
      </c>
      <c r="AO718" s="55">
        <v>0</v>
      </c>
      <c r="AP718" s="55">
        <f t="shared" si="263"/>
        <v>0</v>
      </c>
      <c r="AQ718" s="55">
        <f>IFERROR(VLOOKUP(A718,[1]SIIMPLES!$A$2:$F$418,6,FALSE),0)</f>
        <v>0</v>
      </c>
      <c r="AR718" s="55">
        <v>0</v>
      </c>
      <c r="AS718" s="55">
        <v>0</v>
      </c>
      <c r="AT718" s="55">
        <v>0</v>
      </c>
      <c r="AU718" s="55">
        <v>0</v>
      </c>
      <c r="AV718" s="55">
        <v>0</v>
      </c>
      <c r="AW718" s="55"/>
      <c r="AX718" s="55"/>
      <c r="AY718" s="56">
        <f t="shared" si="253"/>
        <v>0</v>
      </c>
      <c r="AZ718" s="55"/>
      <c r="BA718" s="56">
        <v>0</v>
      </c>
      <c r="BB718" s="41" t="str">
        <f t="shared" si="267"/>
        <v/>
      </c>
      <c r="BC718" s="13"/>
      <c r="BD718" s="35"/>
      <c r="BE718" s="13"/>
      <c r="BF718" s="16">
        <f t="shared" si="271"/>
        <v>0</v>
      </c>
      <c r="BG718" s="17" t="str">
        <f t="shared" si="269"/>
        <v>0</v>
      </c>
      <c r="BH718" s="16">
        <f t="shared" si="270"/>
        <v>0</v>
      </c>
    </row>
    <row r="719" spans="1:60" s="21" customFormat="1" ht="12.75" customHeight="1" x14ac:dyDescent="0.2">
      <c r="A719" s="51">
        <v>6005</v>
      </c>
      <c r="B719" s="51"/>
      <c r="C719" s="66" t="s">
        <v>1803</v>
      </c>
      <c r="D719" s="52" t="s">
        <v>735</v>
      </c>
      <c r="E719" s="52" t="s">
        <v>736</v>
      </c>
      <c r="F719" s="53">
        <f>IFERROR(VLOOKUP(E719,Fornecedores!$A$2:$B$2700,2,FALSE),"")</f>
        <v>5</v>
      </c>
      <c r="G719" s="52" t="s">
        <v>886</v>
      </c>
      <c r="H719" s="57"/>
      <c r="I719" s="55">
        <f t="shared" si="264"/>
        <v>0</v>
      </c>
      <c r="J719" s="55">
        <v>0</v>
      </c>
      <c r="K719" s="55">
        <v>0</v>
      </c>
      <c r="L719" s="55">
        <v>0</v>
      </c>
      <c r="M719" s="55">
        <v>0</v>
      </c>
      <c r="N719" s="55">
        <f t="shared" si="265"/>
        <v>0</v>
      </c>
      <c r="O719" s="55">
        <v>0</v>
      </c>
      <c r="P719" s="55">
        <v>0</v>
      </c>
      <c r="Q719" s="55">
        <v>0</v>
      </c>
      <c r="R719" s="55">
        <f t="shared" si="266"/>
        <v>0</v>
      </c>
      <c r="S719" s="55">
        <v>0</v>
      </c>
      <c r="T719" s="55">
        <v>0</v>
      </c>
      <c r="U719" s="55">
        <v>0</v>
      </c>
      <c r="V719" s="55">
        <v>3</v>
      </c>
      <c r="W719" s="53">
        <v>3</v>
      </c>
      <c r="X719" s="53">
        <v>0</v>
      </c>
      <c r="Y719" s="55">
        <v>0</v>
      </c>
      <c r="Z719" s="55">
        <v>0</v>
      </c>
      <c r="AA719" s="53">
        <v>0</v>
      </c>
      <c r="AB719" s="53">
        <v>0</v>
      </c>
      <c r="AC719" s="55">
        <v>0</v>
      </c>
      <c r="AD719" s="55">
        <f t="shared" si="250"/>
        <v>0</v>
      </c>
      <c r="AE719" s="53">
        <v>0</v>
      </c>
      <c r="AF719" s="55">
        <v>0</v>
      </c>
      <c r="AG719" s="55">
        <v>0</v>
      </c>
      <c r="AH719" s="55">
        <f t="shared" si="251"/>
        <v>0</v>
      </c>
      <c r="AI719" s="55">
        <v>0</v>
      </c>
      <c r="AJ719" s="55">
        <v>0</v>
      </c>
      <c r="AK719" s="55">
        <v>0</v>
      </c>
      <c r="AL719" s="55">
        <f t="shared" si="252"/>
        <v>0</v>
      </c>
      <c r="AM719" s="55" t="s">
        <v>1912</v>
      </c>
      <c r="AN719" s="55">
        <v>0</v>
      </c>
      <c r="AO719" s="55">
        <v>0</v>
      </c>
      <c r="AP719" s="55">
        <f t="shared" si="263"/>
        <v>0</v>
      </c>
      <c r="AQ719" s="55">
        <f>IFERROR(VLOOKUP(A719,[1]SIIMPLES!$A$2:$F$418,6,FALSE),0)</f>
        <v>0</v>
      </c>
      <c r="AR719" s="55">
        <v>0</v>
      </c>
      <c r="AS719" s="55">
        <v>0</v>
      </c>
      <c r="AT719" s="55">
        <v>0</v>
      </c>
      <c r="AU719" s="55">
        <v>0</v>
      </c>
      <c r="AV719" s="55">
        <v>0</v>
      </c>
      <c r="AW719" s="55"/>
      <c r="AX719" s="55"/>
      <c r="AY719" s="56">
        <f t="shared" si="253"/>
        <v>0.3</v>
      </c>
      <c r="AZ719" s="55"/>
      <c r="BA719" s="56">
        <v>1.3333333333333333</v>
      </c>
      <c r="BB719" s="41">
        <f t="shared" si="267"/>
        <v>-0.77500000000000002</v>
      </c>
      <c r="BC719" s="7"/>
      <c r="BD719" s="35"/>
      <c r="BE719" s="13"/>
      <c r="BF719" s="16">
        <f t="shared" si="271"/>
        <v>0</v>
      </c>
      <c r="BG719" s="17">
        <f t="shared" si="269"/>
        <v>0</v>
      </c>
      <c r="BH719" s="16">
        <f t="shared" si="270"/>
        <v>0.3</v>
      </c>
    </row>
    <row r="720" spans="1:60" s="21" customFormat="1" ht="12.75" customHeight="1" x14ac:dyDescent="0.2">
      <c r="A720" s="51">
        <v>6009</v>
      </c>
      <c r="B720" s="51"/>
      <c r="C720" s="66" t="s">
        <v>1803</v>
      </c>
      <c r="D720" s="52" t="s">
        <v>735</v>
      </c>
      <c r="E720" s="52" t="s">
        <v>736</v>
      </c>
      <c r="F720" s="53">
        <f>IFERROR(VLOOKUP(E720,Fornecedores!$A$2:$B$2700,2,FALSE),"")</f>
        <v>5</v>
      </c>
      <c r="G720" s="52" t="s">
        <v>1585</v>
      </c>
      <c r="H720" s="57"/>
      <c r="I720" s="55">
        <f t="shared" si="264"/>
        <v>2</v>
      </c>
      <c r="J720" s="57" t="s">
        <v>1282</v>
      </c>
      <c r="K720" s="55">
        <v>2</v>
      </c>
      <c r="L720" s="55">
        <v>0</v>
      </c>
      <c r="M720" s="55">
        <v>0</v>
      </c>
      <c r="N720" s="55">
        <f t="shared" si="265"/>
        <v>0</v>
      </c>
      <c r="O720" s="55">
        <v>0</v>
      </c>
      <c r="P720" s="55">
        <v>0</v>
      </c>
      <c r="Q720" s="55">
        <v>0</v>
      </c>
      <c r="R720" s="55">
        <f t="shared" si="266"/>
        <v>0</v>
      </c>
      <c r="S720" s="55">
        <v>0</v>
      </c>
      <c r="T720" s="55">
        <v>0</v>
      </c>
      <c r="U720" s="55">
        <v>0</v>
      </c>
      <c r="V720" s="55">
        <v>0</v>
      </c>
      <c r="W720" s="53">
        <v>0</v>
      </c>
      <c r="X720" s="53">
        <v>0</v>
      </c>
      <c r="Y720" s="55">
        <v>0</v>
      </c>
      <c r="Z720" s="55">
        <v>1</v>
      </c>
      <c r="AA720" s="53">
        <v>1</v>
      </c>
      <c r="AB720" s="53">
        <v>0</v>
      </c>
      <c r="AC720" s="55">
        <v>0</v>
      </c>
      <c r="AD720" s="55">
        <f t="shared" si="250"/>
        <v>0</v>
      </c>
      <c r="AE720" s="53">
        <v>0</v>
      </c>
      <c r="AF720" s="55">
        <v>0</v>
      </c>
      <c r="AG720" s="55">
        <v>0</v>
      </c>
      <c r="AH720" s="55">
        <f t="shared" si="251"/>
        <v>0</v>
      </c>
      <c r="AI720" s="55">
        <v>0</v>
      </c>
      <c r="AJ720" s="55">
        <v>0</v>
      </c>
      <c r="AK720" s="55">
        <v>0</v>
      </c>
      <c r="AL720" s="55">
        <f t="shared" si="252"/>
        <v>0</v>
      </c>
      <c r="AM720" s="55" t="s">
        <v>1912</v>
      </c>
      <c r="AN720" s="55">
        <v>0</v>
      </c>
      <c r="AO720" s="55">
        <v>0</v>
      </c>
      <c r="AP720" s="55">
        <f t="shared" si="263"/>
        <v>0</v>
      </c>
      <c r="AQ720" s="55">
        <f>IFERROR(VLOOKUP(A720,[1]SIIMPLES!$A$2:$F$418,6,FALSE),0)</f>
        <v>0</v>
      </c>
      <c r="AR720" s="55">
        <v>0</v>
      </c>
      <c r="AS720" s="55">
        <v>0</v>
      </c>
      <c r="AT720" s="55">
        <v>0</v>
      </c>
      <c r="AU720" s="55">
        <v>0</v>
      </c>
      <c r="AV720" s="55">
        <v>0</v>
      </c>
      <c r="AW720" s="57"/>
      <c r="AX720" s="57"/>
      <c r="AY720" s="56">
        <f t="shared" si="253"/>
        <v>0.3</v>
      </c>
      <c r="AZ720" s="55"/>
      <c r="BA720" s="56" t="s">
        <v>1912</v>
      </c>
      <c r="BB720" s="41" t="str">
        <f t="shared" si="267"/>
        <v/>
      </c>
      <c r="BC720" s="7"/>
      <c r="BD720" s="35"/>
      <c r="BE720" s="13"/>
      <c r="BF720" s="16">
        <f t="shared" si="271"/>
        <v>0</v>
      </c>
      <c r="BG720" s="17">
        <f t="shared" si="269"/>
        <v>0</v>
      </c>
      <c r="BH720" s="16">
        <f t="shared" si="270"/>
        <v>0.3</v>
      </c>
    </row>
    <row r="721" spans="1:60" s="21" customFormat="1" ht="12.75" customHeight="1" x14ac:dyDescent="0.2">
      <c r="A721" s="50">
        <v>6012</v>
      </c>
      <c r="B721" s="51"/>
      <c r="C721" s="51" t="s">
        <v>1803</v>
      </c>
      <c r="D721" s="52" t="s">
        <v>735</v>
      </c>
      <c r="E721" s="52" t="s">
        <v>736</v>
      </c>
      <c r="F721" s="53">
        <f>IFERROR(VLOOKUP(E721,Fornecedores!$A$2:$B$2700,2,FALSE),"")</f>
        <v>5</v>
      </c>
      <c r="G721" s="52" t="s">
        <v>1028</v>
      </c>
      <c r="H721" s="57"/>
      <c r="I721" s="55">
        <f t="shared" si="264"/>
        <v>0</v>
      </c>
      <c r="J721" s="55">
        <v>0</v>
      </c>
      <c r="K721" s="55">
        <v>0</v>
      </c>
      <c r="L721" s="55">
        <v>0</v>
      </c>
      <c r="M721" s="55">
        <v>0</v>
      </c>
      <c r="N721" s="55">
        <f t="shared" si="265"/>
        <v>0</v>
      </c>
      <c r="O721" s="55">
        <v>0</v>
      </c>
      <c r="P721" s="55">
        <v>0</v>
      </c>
      <c r="Q721" s="55">
        <v>0</v>
      </c>
      <c r="R721" s="55">
        <f t="shared" si="266"/>
        <v>0</v>
      </c>
      <c r="S721" s="55">
        <v>0</v>
      </c>
      <c r="T721" s="55">
        <v>0</v>
      </c>
      <c r="U721" s="55">
        <v>0</v>
      </c>
      <c r="V721" s="55">
        <v>0</v>
      </c>
      <c r="W721" s="53">
        <v>0</v>
      </c>
      <c r="X721" s="53">
        <v>0</v>
      </c>
      <c r="Y721" s="55">
        <v>0</v>
      </c>
      <c r="Z721" s="55">
        <v>0</v>
      </c>
      <c r="AA721" s="53">
        <v>0</v>
      </c>
      <c r="AB721" s="53">
        <v>0</v>
      </c>
      <c r="AC721" s="55">
        <v>0</v>
      </c>
      <c r="AD721" s="55">
        <f t="shared" si="250"/>
        <v>0</v>
      </c>
      <c r="AE721" s="53">
        <f>IFERROR(VLOOKUP(A721,[4]simples!$A$1:$B$281,2,FALSE),0)</f>
        <v>0</v>
      </c>
      <c r="AF721" s="55">
        <v>0</v>
      </c>
      <c r="AG721" s="55">
        <v>0</v>
      </c>
      <c r="AH721" s="55">
        <f t="shared" si="251"/>
        <v>0</v>
      </c>
      <c r="AI721" s="55"/>
      <c r="AJ721" s="55">
        <v>0</v>
      </c>
      <c r="AK721" s="55"/>
      <c r="AL721" s="55">
        <f t="shared" si="252"/>
        <v>0</v>
      </c>
      <c r="AM721" s="55" t="s">
        <v>1912</v>
      </c>
      <c r="AN721" s="55">
        <v>0</v>
      </c>
      <c r="AO721" s="55">
        <v>0</v>
      </c>
      <c r="AP721" s="55">
        <f t="shared" si="263"/>
        <v>0</v>
      </c>
      <c r="AQ721" s="55">
        <f>IFERROR(VLOOKUP(A721,[1]SIIMPLES!$A$2:$F$418,6,FALSE),0)</f>
        <v>0</v>
      </c>
      <c r="AR721" s="55">
        <v>0</v>
      </c>
      <c r="AS721" s="55">
        <v>0</v>
      </c>
      <c r="AT721" s="55">
        <v>0</v>
      </c>
      <c r="AU721" s="55">
        <v>0</v>
      </c>
      <c r="AV721" s="55">
        <v>0</v>
      </c>
      <c r="AW721" s="55"/>
      <c r="AX721" s="55"/>
      <c r="AY721" s="56">
        <f t="shared" si="253"/>
        <v>0</v>
      </c>
      <c r="AZ721" s="55"/>
      <c r="BA721" s="56">
        <v>0</v>
      </c>
      <c r="BB721" s="41" t="str">
        <f t="shared" si="267"/>
        <v/>
      </c>
      <c r="BC721" s="13"/>
      <c r="BD721" s="35"/>
      <c r="BE721" s="13"/>
      <c r="BF721" s="16">
        <f t="shared" si="271"/>
        <v>0</v>
      </c>
      <c r="BG721" s="17" t="str">
        <f t="shared" si="269"/>
        <v>0</v>
      </c>
      <c r="BH721" s="16">
        <f t="shared" si="270"/>
        <v>0</v>
      </c>
    </row>
    <row r="722" spans="1:60" s="21" customFormat="1" ht="12.75" customHeight="1" x14ac:dyDescent="0.2">
      <c r="A722" s="51">
        <v>6201</v>
      </c>
      <c r="B722" s="51"/>
      <c r="C722" s="66" t="s">
        <v>1803</v>
      </c>
      <c r="D722" s="52" t="s">
        <v>735</v>
      </c>
      <c r="E722" s="52" t="s">
        <v>736</v>
      </c>
      <c r="F722" s="53">
        <f>IFERROR(VLOOKUP(E722,Fornecedores!$A$2:$B$2700,2,FALSE),"")</f>
        <v>5</v>
      </c>
      <c r="G722" s="52" t="s">
        <v>1029</v>
      </c>
      <c r="H722" s="57"/>
      <c r="I722" s="55">
        <f t="shared" si="264"/>
        <v>0</v>
      </c>
      <c r="J722" s="55">
        <v>0</v>
      </c>
      <c r="K722" s="55">
        <v>0</v>
      </c>
      <c r="L722" s="55">
        <v>0</v>
      </c>
      <c r="M722" s="55">
        <v>0</v>
      </c>
      <c r="N722" s="55">
        <f t="shared" si="265"/>
        <v>0</v>
      </c>
      <c r="O722" s="55">
        <v>0</v>
      </c>
      <c r="P722" s="55">
        <v>0</v>
      </c>
      <c r="Q722" s="55">
        <v>0</v>
      </c>
      <c r="R722" s="55">
        <f t="shared" si="266"/>
        <v>0</v>
      </c>
      <c r="S722" s="55">
        <v>0</v>
      </c>
      <c r="T722" s="55">
        <v>0</v>
      </c>
      <c r="U722" s="55">
        <v>0</v>
      </c>
      <c r="V722" s="55">
        <v>0</v>
      </c>
      <c r="W722" s="53">
        <v>0</v>
      </c>
      <c r="X722" s="53">
        <v>0</v>
      </c>
      <c r="Y722" s="55">
        <v>0</v>
      </c>
      <c r="Z722" s="55">
        <v>0</v>
      </c>
      <c r="AA722" s="53">
        <v>0</v>
      </c>
      <c r="AB722" s="53">
        <v>0</v>
      </c>
      <c r="AC722" s="55">
        <v>0</v>
      </c>
      <c r="AD722" s="55">
        <f t="shared" si="250"/>
        <v>0</v>
      </c>
      <c r="AE722" s="53">
        <v>0</v>
      </c>
      <c r="AF722" s="55">
        <v>0</v>
      </c>
      <c r="AG722" s="55">
        <v>0</v>
      </c>
      <c r="AH722" s="55">
        <f t="shared" si="251"/>
        <v>0</v>
      </c>
      <c r="AI722" s="55">
        <v>0</v>
      </c>
      <c r="AJ722" s="55">
        <v>0</v>
      </c>
      <c r="AK722" s="55">
        <v>0</v>
      </c>
      <c r="AL722" s="55">
        <f t="shared" si="252"/>
        <v>0</v>
      </c>
      <c r="AM722" s="55" t="s">
        <v>1912</v>
      </c>
      <c r="AN722" s="55">
        <v>0</v>
      </c>
      <c r="AO722" s="55">
        <v>0</v>
      </c>
      <c r="AP722" s="55">
        <f t="shared" si="263"/>
        <v>0</v>
      </c>
      <c r="AQ722" s="55">
        <f>IFERROR(VLOOKUP(A722,[1]SIIMPLES!$A$2:$F$418,6,FALSE),0)</f>
        <v>0</v>
      </c>
      <c r="AR722" s="55">
        <v>0</v>
      </c>
      <c r="AS722" s="55">
        <v>0</v>
      </c>
      <c r="AT722" s="55">
        <v>0</v>
      </c>
      <c r="AU722" s="55">
        <v>0</v>
      </c>
      <c r="AV722" s="55">
        <v>0</v>
      </c>
      <c r="AW722" s="55"/>
      <c r="AX722" s="55"/>
      <c r="AY722" s="56">
        <f t="shared" si="253"/>
        <v>0</v>
      </c>
      <c r="AZ722" s="55"/>
      <c r="BA722" s="56">
        <v>0</v>
      </c>
      <c r="BB722" s="41" t="str">
        <f t="shared" si="267"/>
        <v/>
      </c>
      <c r="BC722" s="13"/>
      <c r="BD722" s="35"/>
      <c r="BE722" s="13"/>
      <c r="BF722" s="16"/>
      <c r="BG722" s="17" t="str">
        <f t="shared" si="269"/>
        <v>0</v>
      </c>
      <c r="BH722" s="16">
        <f>ROUND(IFERROR(IF(F722=1,IF(BC722&lt;AY722*3,AY722*3-BC722,0),IF(BC722&lt;AY722,AY722*0.6-BC722,0)),""),0)</f>
        <v>0</v>
      </c>
    </row>
    <row r="723" spans="1:60" s="21" customFormat="1" ht="12.75" customHeight="1" x14ac:dyDescent="0.2">
      <c r="A723" s="51">
        <v>6204</v>
      </c>
      <c r="B723" s="51"/>
      <c r="C723" s="66" t="s">
        <v>1803</v>
      </c>
      <c r="D723" s="52" t="s">
        <v>735</v>
      </c>
      <c r="E723" s="52" t="s">
        <v>736</v>
      </c>
      <c r="F723" s="53">
        <f>IFERROR(VLOOKUP(E723,Fornecedores!$A$2:$B$2700,2,FALSE),"")</f>
        <v>5</v>
      </c>
      <c r="G723" s="52" t="s">
        <v>1031</v>
      </c>
      <c r="H723" s="57"/>
      <c r="I723" s="55">
        <f t="shared" si="264"/>
        <v>0</v>
      </c>
      <c r="J723" s="55">
        <v>0</v>
      </c>
      <c r="K723" s="55">
        <v>0</v>
      </c>
      <c r="L723" s="55">
        <v>0</v>
      </c>
      <c r="M723" s="55">
        <v>0</v>
      </c>
      <c r="N723" s="55">
        <f t="shared" si="265"/>
        <v>0</v>
      </c>
      <c r="O723" s="55">
        <v>0</v>
      </c>
      <c r="P723" s="55">
        <v>0</v>
      </c>
      <c r="Q723" s="55">
        <v>0</v>
      </c>
      <c r="R723" s="55">
        <f t="shared" si="266"/>
        <v>0</v>
      </c>
      <c r="S723" s="55">
        <v>0</v>
      </c>
      <c r="T723" s="55">
        <v>0</v>
      </c>
      <c r="U723" s="55">
        <v>0</v>
      </c>
      <c r="V723" s="55">
        <v>0</v>
      </c>
      <c r="W723" s="53">
        <v>0</v>
      </c>
      <c r="X723" s="53">
        <v>0</v>
      </c>
      <c r="Y723" s="55">
        <v>0</v>
      </c>
      <c r="Z723" s="55">
        <v>0</v>
      </c>
      <c r="AA723" s="53">
        <v>0</v>
      </c>
      <c r="AB723" s="53">
        <v>0</v>
      </c>
      <c r="AC723" s="55">
        <v>0</v>
      </c>
      <c r="AD723" s="55">
        <f t="shared" ref="AD723:AD786" si="272">SUM(AE723:AG723)</f>
        <v>0</v>
      </c>
      <c r="AE723" s="53">
        <v>0</v>
      </c>
      <c r="AF723" s="55">
        <v>0</v>
      </c>
      <c r="AG723" s="55">
        <v>0</v>
      </c>
      <c r="AH723" s="55">
        <f t="shared" ref="AH723:AH786" si="273">SUM(AI723:AK723)</f>
        <v>0</v>
      </c>
      <c r="AI723" s="55">
        <v>0</v>
      </c>
      <c r="AJ723" s="55">
        <v>0</v>
      </c>
      <c r="AK723" s="55">
        <v>0</v>
      </c>
      <c r="AL723" s="55">
        <f t="shared" ref="AL723:AL786" si="274">SUM(AM723:AO723)</f>
        <v>0</v>
      </c>
      <c r="AM723" s="55" t="s">
        <v>1912</v>
      </c>
      <c r="AN723" s="55">
        <v>0</v>
      </c>
      <c r="AO723" s="55">
        <v>0</v>
      </c>
      <c r="AP723" s="55">
        <f t="shared" si="263"/>
        <v>0</v>
      </c>
      <c r="AQ723" s="55">
        <f>IFERROR(VLOOKUP(A723,[1]SIIMPLES!$A$2:$F$418,6,FALSE),0)</f>
        <v>0</v>
      </c>
      <c r="AR723" s="55">
        <v>0</v>
      </c>
      <c r="AS723" s="55">
        <v>0</v>
      </c>
      <c r="AT723" s="55">
        <v>0</v>
      </c>
      <c r="AU723" s="55">
        <v>0</v>
      </c>
      <c r="AV723" s="55">
        <v>0</v>
      </c>
      <c r="AW723" s="55"/>
      <c r="AX723" s="55"/>
      <c r="AY723" s="56">
        <f t="shared" ref="AY723:AY786" si="275">IFERROR(AVERAGE(I723,N723,R723,V723,Z723,AD723,AH723,AL723,AP723,AS723,AW723,AX723),"-")</f>
        <v>0</v>
      </c>
      <c r="AZ723" s="55"/>
      <c r="BA723" s="56">
        <v>0</v>
      </c>
      <c r="BB723" s="41" t="str">
        <f t="shared" si="267"/>
        <v/>
      </c>
      <c r="BC723" s="7"/>
      <c r="BD723" s="35"/>
      <c r="BE723" s="13"/>
      <c r="BF723" s="16"/>
      <c r="BG723" s="17" t="str">
        <f t="shared" si="269"/>
        <v>0</v>
      </c>
      <c r="BH723" s="16">
        <f>ROUND(IFERROR(IF(F723=1,IF(BC723&lt;AY723*3,AY723*3-BC723,0),IF(BC723&lt;AY723,AY723*0.6-BC723,0)),""),0)</f>
        <v>0</v>
      </c>
    </row>
    <row r="724" spans="1:60" s="21" customFormat="1" ht="12.75" customHeight="1" x14ac:dyDescent="0.2">
      <c r="A724" s="51">
        <v>6205</v>
      </c>
      <c r="B724" s="51"/>
      <c r="C724" s="66" t="s">
        <v>1803</v>
      </c>
      <c r="D724" s="52" t="s">
        <v>735</v>
      </c>
      <c r="E724" s="52" t="s">
        <v>736</v>
      </c>
      <c r="F724" s="53">
        <f>IFERROR(VLOOKUP(E724,Fornecedores!$A$2:$B$2700,2,FALSE),"")</f>
        <v>5</v>
      </c>
      <c r="G724" s="52" t="s">
        <v>1032</v>
      </c>
      <c r="H724" s="57"/>
      <c r="I724" s="55">
        <f t="shared" si="264"/>
        <v>0</v>
      </c>
      <c r="J724" s="55">
        <v>0</v>
      </c>
      <c r="K724" s="55">
        <v>0</v>
      </c>
      <c r="L724" s="55">
        <v>0</v>
      </c>
      <c r="M724" s="55">
        <v>0</v>
      </c>
      <c r="N724" s="55">
        <f t="shared" si="265"/>
        <v>0</v>
      </c>
      <c r="O724" s="55">
        <v>0</v>
      </c>
      <c r="P724" s="55">
        <v>0</v>
      </c>
      <c r="Q724" s="55">
        <v>0</v>
      </c>
      <c r="R724" s="55">
        <f t="shared" si="266"/>
        <v>0</v>
      </c>
      <c r="S724" s="55">
        <v>0</v>
      </c>
      <c r="T724" s="55">
        <v>0</v>
      </c>
      <c r="U724" s="55">
        <v>0</v>
      </c>
      <c r="V724" s="55">
        <v>0</v>
      </c>
      <c r="W724" s="53">
        <v>0</v>
      </c>
      <c r="X724" s="53">
        <v>0</v>
      </c>
      <c r="Y724" s="55">
        <v>0</v>
      </c>
      <c r="Z724" s="55">
        <v>0</v>
      </c>
      <c r="AA724" s="53">
        <v>0</v>
      </c>
      <c r="AB724" s="53">
        <v>0</v>
      </c>
      <c r="AC724" s="55">
        <v>0</v>
      </c>
      <c r="AD724" s="55">
        <f t="shared" si="272"/>
        <v>0</v>
      </c>
      <c r="AE724" s="53">
        <v>0</v>
      </c>
      <c r="AF724" s="55">
        <v>0</v>
      </c>
      <c r="AG724" s="55">
        <v>0</v>
      </c>
      <c r="AH724" s="55">
        <f t="shared" si="273"/>
        <v>0</v>
      </c>
      <c r="AI724" s="55">
        <v>0</v>
      </c>
      <c r="AJ724" s="55">
        <v>0</v>
      </c>
      <c r="AK724" s="55">
        <v>0</v>
      </c>
      <c r="AL724" s="55">
        <f t="shared" si="274"/>
        <v>0</v>
      </c>
      <c r="AM724" s="55" t="s">
        <v>1912</v>
      </c>
      <c r="AN724" s="55">
        <v>0</v>
      </c>
      <c r="AO724" s="55">
        <v>0</v>
      </c>
      <c r="AP724" s="55">
        <f t="shared" si="263"/>
        <v>0</v>
      </c>
      <c r="AQ724" s="55">
        <f>IFERROR(VLOOKUP(A724,[1]SIIMPLES!$A$2:$F$418,6,FALSE),0)</f>
        <v>0</v>
      </c>
      <c r="AR724" s="55">
        <v>0</v>
      </c>
      <c r="AS724" s="55">
        <v>0</v>
      </c>
      <c r="AT724" s="55">
        <v>0</v>
      </c>
      <c r="AU724" s="55">
        <v>0</v>
      </c>
      <c r="AV724" s="55">
        <v>0</v>
      </c>
      <c r="AW724" s="55"/>
      <c r="AX724" s="55"/>
      <c r="AY724" s="56">
        <f t="shared" si="275"/>
        <v>0</v>
      </c>
      <c r="AZ724" s="55"/>
      <c r="BA724" s="56">
        <v>0</v>
      </c>
      <c r="BB724" s="41" t="str">
        <f t="shared" si="267"/>
        <v/>
      </c>
      <c r="BC724" s="13"/>
      <c r="BD724" s="35"/>
      <c r="BE724" s="13"/>
      <c r="BF724" s="16"/>
      <c r="BG724" s="17" t="str">
        <f t="shared" si="269"/>
        <v>0</v>
      </c>
      <c r="BH724" s="16">
        <f>IFERROR(IF(F724=1,IF(BC724&lt;AY724*3,AY724*3-BC724,0),IF(BC724&lt;AY724,AY724-BC724,0)),"")</f>
        <v>0</v>
      </c>
    </row>
    <row r="725" spans="1:60" s="21" customFormat="1" ht="12.75" customHeight="1" x14ac:dyDescent="0.2">
      <c r="A725" s="51">
        <v>6206</v>
      </c>
      <c r="B725" s="51"/>
      <c r="C725" s="66" t="s">
        <v>1803</v>
      </c>
      <c r="D725" s="52" t="s">
        <v>735</v>
      </c>
      <c r="E725" s="52" t="s">
        <v>736</v>
      </c>
      <c r="F725" s="53">
        <f>IFERROR(VLOOKUP(E725,Fornecedores!$A$2:$B$2700,2,FALSE),"")</f>
        <v>5</v>
      </c>
      <c r="G725" s="52" t="s">
        <v>1033</v>
      </c>
      <c r="H725" s="57"/>
      <c r="I725" s="55">
        <f t="shared" ref="I725:I756" si="276">SUM(J725:M725)</f>
        <v>0</v>
      </c>
      <c r="J725" s="55">
        <v>0</v>
      </c>
      <c r="K725" s="55">
        <v>0</v>
      </c>
      <c r="L725" s="55">
        <v>0</v>
      </c>
      <c r="M725" s="55">
        <v>0</v>
      </c>
      <c r="N725" s="55">
        <f t="shared" ref="N725:N756" si="277">SUM(O725:Q725)</f>
        <v>0</v>
      </c>
      <c r="O725" s="55">
        <v>0</v>
      </c>
      <c r="P725" s="55">
        <v>0</v>
      </c>
      <c r="Q725" s="55">
        <v>0</v>
      </c>
      <c r="R725" s="55">
        <f t="shared" ref="R725:R756" si="278">SUM(S725:U725)</f>
        <v>0</v>
      </c>
      <c r="S725" s="55">
        <v>0</v>
      </c>
      <c r="T725" s="55">
        <v>0</v>
      </c>
      <c r="U725" s="55">
        <v>0</v>
      </c>
      <c r="V725" s="55">
        <v>0</v>
      </c>
      <c r="W725" s="53">
        <v>0</v>
      </c>
      <c r="X725" s="53">
        <v>0</v>
      </c>
      <c r="Y725" s="55">
        <v>0</v>
      </c>
      <c r="Z725" s="55">
        <v>0</v>
      </c>
      <c r="AA725" s="53">
        <v>0</v>
      </c>
      <c r="AB725" s="53">
        <v>0</v>
      </c>
      <c r="AC725" s="55">
        <v>0</v>
      </c>
      <c r="AD725" s="55">
        <f t="shared" si="272"/>
        <v>0</v>
      </c>
      <c r="AE725" s="53">
        <v>0</v>
      </c>
      <c r="AF725" s="55">
        <v>0</v>
      </c>
      <c r="AG725" s="55">
        <v>0</v>
      </c>
      <c r="AH725" s="55">
        <f t="shared" si="273"/>
        <v>0</v>
      </c>
      <c r="AI725" s="55">
        <v>0</v>
      </c>
      <c r="AJ725" s="55">
        <v>0</v>
      </c>
      <c r="AK725" s="55">
        <v>0</v>
      </c>
      <c r="AL725" s="55">
        <f t="shared" si="274"/>
        <v>0</v>
      </c>
      <c r="AM725" s="55" t="s">
        <v>1912</v>
      </c>
      <c r="AN725" s="55">
        <v>0</v>
      </c>
      <c r="AO725" s="55">
        <v>0</v>
      </c>
      <c r="AP725" s="55">
        <f t="shared" si="263"/>
        <v>0</v>
      </c>
      <c r="AQ725" s="55">
        <f>IFERROR(VLOOKUP(A725,[1]SIIMPLES!$A$2:$F$418,6,FALSE),0)</f>
        <v>0</v>
      </c>
      <c r="AR725" s="55">
        <v>0</v>
      </c>
      <c r="AS725" s="55">
        <v>0</v>
      </c>
      <c r="AT725" s="55">
        <v>0</v>
      </c>
      <c r="AU725" s="55">
        <v>0</v>
      </c>
      <c r="AV725" s="55">
        <v>0</v>
      </c>
      <c r="AW725" s="55"/>
      <c r="AX725" s="55"/>
      <c r="AY725" s="56">
        <f t="shared" si="275"/>
        <v>0</v>
      </c>
      <c r="AZ725" s="55"/>
      <c r="BA725" s="56">
        <v>0</v>
      </c>
      <c r="BB725" s="41" t="str">
        <f t="shared" si="267"/>
        <v/>
      </c>
      <c r="BC725" s="13"/>
      <c r="BD725" s="35"/>
      <c r="BE725" s="13"/>
      <c r="BF725" s="16"/>
      <c r="BG725" s="17" t="str">
        <f t="shared" si="269"/>
        <v>0</v>
      </c>
      <c r="BH725" s="16">
        <f>IFERROR(IF(F725=1,IF(BC725&lt;AY725*3,AY725*3-BC725,0),IF(BC725&lt;AY725,AY725-BC725,0)),"")</f>
        <v>0</v>
      </c>
    </row>
    <row r="726" spans="1:60" s="21" customFormat="1" ht="12.75" customHeight="1" x14ac:dyDescent="0.2">
      <c r="A726" s="51">
        <v>6209</v>
      </c>
      <c r="B726" s="51"/>
      <c r="C726" s="66" t="s">
        <v>1803</v>
      </c>
      <c r="D726" s="52" t="s">
        <v>735</v>
      </c>
      <c r="E726" s="52" t="s">
        <v>736</v>
      </c>
      <c r="F726" s="53">
        <f>IFERROR(VLOOKUP(E726,Fornecedores!$A$2:$B$2700,2,FALSE),"")</f>
        <v>5</v>
      </c>
      <c r="G726" s="52" t="s">
        <v>1034</v>
      </c>
      <c r="H726" s="57"/>
      <c r="I726" s="55">
        <f t="shared" si="276"/>
        <v>2</v>
      </c>
      <c r="J726" s="55">
        <v>2</v>
      </c>
      <c r="K726" s="55">
        <v>0</v>
      </c>
      <c r="L726" s="55">
        <v>0</v>
      </c>
      <c r="M726" s="55">
        <v>0</v>
      </c>
      <c r="N726" s="55">
        <f t="shared" si="277"/>
        <v>8</v>
      </c>
      <c r="O726" s="55">
        <v>0</v>
      </c>
      <c r="P726" s="55">
        <v>8</v>
      </c>
      <c r="Q726" s="55">
        <v>0</v>
      </c>
      <c r="R726" s="55">
        <f t="shared" si="278"/>
        <v>0</v>
      </c>
      <c r="S726" s="55">
        <v>0</v>
      </c>
      <c r="T726" s="55">
        <v>0</v>
      </c>
      <c r="U726" s="55">
        <v>0</v>
      </c>
      <c r="V726" s="55">
        <v>0</v>
      </c>
      <c r="W726" s="53">
        <v>0</v>
      </c>
      <c r="X726" s="53">
        <v>0</v>
      </c>
      <c r="Y726" s="55">
        <v>0</v>
      </c>
      <c r="Z726" s="55">
        <v>3</v>
      </c>
      <c r="AA726" s="53">
        <v>1</v>
      </c>
      <c r="AB726" s="53">
        <v>2</v>
      </c>
      <c r="AC726" s="55">
        <v>0</v>
      </c>
      <c r="AD726" s="55">
        <f t="shared" si="272"/>
        <v>0</v>
      </c>
      <c r="AE726" s="53">
        <v>0</v>
      </c>
      <c r="AF726" s="55">
        <v>0</v>
      </c>
      <c r="AG726" s="55">
        <v>0</v>
      </c>
      <c r="AH726" s="55">
        <f t="shared" si="273"/>
        <v>2</v>
      </c>
      <c r="AI726" s="55">
        <v>0</v>
      </c>
      <c r="AJ726" s="55">
        <v>2</v>
      </c>
      <c r="AK726" s="55">
        <v>0</v>
      </c>
      <c r="AL726" s="55">
        <f t="shared" si="274"/>
        <v>0</v>
      </c>
      <c r="AM726" s="55" t="s">
        <v>1912</v>
      </c>
      <c r="AN726" s="55">
        <v>0</v>
      </c>
      <c r="AO726" s="55">
        <v>0</v>
      </c>
      <c r="AP726" s="55">
        <f t="shared" si="263"/>
        <v>0</v>
      </c>
      <c r="AQ726" s="55">
        <f>IFERROR(VLOOKUP(A726,[1]SIIMPLES!$A$2:$F$418,6,FALSE),0)</f>
        <v>0</v>
      </c>
      <c r="AR726" s="55">
        <v>0</v>
      </c>
      <c r="AS726" s="55">
        <v>0</v>
      </c>
      <c r="AT726" s="55">
        <v>0</v>
      </c>
      <c r="AU726" s="55">
        <v>0</v>
      </c>
      <c r="AV726" s="55">
        <v>0</v>
      </c>
      <c r="AW726" s="55"/>
      <c r="AX726" s="55"/>
      <c r="AY726" s="56">
        <f t="shared" si="275"/>
        <v>1.5</v>
      </c>
      <c r="AZ726" s="55"/>
      <c r="BA726" s="56">
        <v>1</v>
      </c>
      <c r="BB726" s="41">
        <f t="shared" si="267"/>
        <v>0.5</v>
      </c>
      <c r="BC726" s="13"/>
      <c r="BD726" s="35"/>
      <c r="BE726" s="13"/>
      <c r="BF726" s="16"/>
      <c r="BG726" s="17">
        <f t="shared" si="269"/>
        <v>0</v>
      </c>
      <c r="BH726" s="16">
        <f>ROUND(IFERROR(IF(F726=1,IF(BC726&lt;AY726*3,AY726*3-BC726,0),IF(BC726&lt;AY726,AY726*0.6-BC726,0)),""),0)</f>
        <v>1</v>
      </c>
    </row>
    <row r="727" spans="1:60" s="21" customFormat="1" ht="12.75" customHeight="1" x14ac:dyDescent="0.2">
      <c r="A727" s="51">
        <v>6210</v>
      </c>
      <c r="B727" s="51"/>
      <c r="C727" s="66" t="s">
        <v>1803</v>
      </c>
      <c r="D727" s="52" t="s">
        <v>735</v>
      </c>
      <c r="E727" s="52" t="s">
        <v>736</v>
      </c>
      <c r="F727" s="53">
        <f>IFERROR(VLOOKUP(E727,Fornecedores!$A$2:$B$2700,2,FALSE),"")</f>
        <v>5</v>
      </c>
      <c r="G727" s="52" t="s">
        <v>96</v>
      </c>
      <c r="H727" s="54"/>
      <c r="I727" s="55">
        <f t="shared" si="276"/>
        <v>1</v>
      </c>
      <c r="J727" s="55">
        <v>1</v>
      </c>
      <c r="K727" s="55">
        <v>0</v>
      </c>
      <c r="L727" s="55">
        <v>0</v>
      </c>
      <c r="M727" s="55">
        <v>0</v>
      </c>
      <c r="N727" s="55">
        <f t="shared" si="277"/>
        <v>3</v>
      </c>
      <c r="O727" s="55">
        <v>0</v>
      </c>
      <c r="P727" s="55">
        <v>3</v>
      </c>
      <c r="Q727" s="55">
        <v>0</v>
      </c>
      <c r="R727" s="55">
        <f t="shared" si="278"/>
        <v>0</v>
      </c>
      <c r="S727" s="55">
        <v>0</v>
      </c>
      <c r="T727" s="55">
        <v>0</v>
      </c>
      <c r="U727" s="55">
        <v>0</v>
      </c>
      <c r="V727" s="55">
        <v>1</v>
      </c>
      <c r="W727" s="53">
        <v>0</v>
      </c>
      <c r="X727" s="53">
        <v>1</v>
      </c>
      <c r="Y727" s="55">
        <v>0</v>
      </c>
      <c r="Z727" s="55">
        <v>1</v>
      </c>
      <c r="AA727" s="53">
        <v>0</v>
      </c>
      <c r="AB727" s="53">
        <v>1</v>
      </c>
      <c r="AC727" s="55">
        <v>0</v>
      </c>
      <c r="AD727" s="55">
        <f t="shared" si="272"/>
        <v>3</v>
      </c>
      <c r="AE727" s="53">
        <v>0</v>
      </c>
      <c r="AF727" s="55">
        <v>3</v>
      </c>
      <c r="AG727" s="55">
        <v>0</v>
      </c>
      <c r="AH727" s="55">
        <f t="shared" si="273"/>
        <v>1</v>
      </c>
      <c r="AI727" s="55">
        <v>0</v>
      </c>
      <c r="AJ727" s="55">
        <v>1</v>
      </c>
      <c r="AK727" s="55">
        <v>0</v>
      </c>
      <c r="AL727" s="55">
        <f t="shared" si="274"/>
        <v>1</v>
      </c>
      <c r="AM727" s="55" t="s">
        <v>1912</v>
      </c>
      <c r="AN727" s="55">
        <v>1</v>
      </c>
      <c r="AO727" s="55">
        <v>0</v>
      </c>
      <c r="AP727" s="55">
        <f t="shared" si="263"/>
        <v>0</v>
      </c>
      <c r="AQ727" s="55">
        <f>IFERROR(VLOOKUP(A727,[1]SIIMPLES!$A$2:$F$418,6,FALSE),0)</f>
        <v>0</v>
      </c>
      <c r="AR727" s="55">
        <v>0</v>
      </c>
      <c r="AS727" s="55">
        <v>0</v>
      </c>
      <c r="AT727" s="55">
        <v>0</v>
      </c>
      <c r="AU727" s="55">
        <v>0</v>
      </c>
      <c r="AV727" s="55">
        <v>0</v>
      </c>
      <c r="AW727" s="55"/>
      <c r="AX727" s="55"/>
      <c r="AY727" s="56">
        <f t="shared" si="275"/>
        <v>1.1000000000000001</v>
      </c>
      <c r="AZ727" s="55"/>
      <c r="BA727" s="56">
        <v>2</v>
      </c>
      <c r="BB727" s="41">
        <f t="shared" si="267"/>
        <v>-0.44999999999999996</v>
      </c>
      <c r="BC727" s="13"/>
      <c r="BD727" s="35"/>
      <c r="BE727" s="13"/>
      <c r="BF727" s="16"/>
      <c r="BG727" s="17">
        <f t="shared" si="269"/>
        <v>0</v>
      </c>
      <c r="BH727" s="16">
        <f>IFERROR(IF(F727=1,IF(BC727&lt;AY727*3,AY727*3-BC727,0),IF(BC727&lt;AY727,AY727-BC727,0)),"")</f>
        <v>1.1000000000000001</v>
      </c>
    </row>
    <row r="728" spans="1:60" s="21" customFormat="1" ht="12.75" customHeight="1" x14ac:dyDescent="0.2">
      <c r="A728" s="51">
        <v>6211</v>
      </c>
      <c r="B728" s="51"/>
      <c r="C728" s="66" t="s">
        <v>1803</v>
      </c>
      <c r="D728" s="52" t="s">
        <v>735</v>
      </c>
      <c r="E728" s="52" t="s">
        <v>736</v>
      </c>
      <c r="F728" s="53">
        <f>IFERROR(VLOOKUP(E728,Fornecedores!$A$2:$B$2700,2,FALSE),"")</f>
        <v>5</v>
      </c>
      <c r="G728" s="52" t="s">
        <v>99</v>
      </c>
      <c r="H728" s="54"/>
      <c r="I728" s="55">
        <f t="shared" si="276"/>
        <v>0</v>
      </c>
      <c r="J728" s="55">
        <v>0</v>
      </c>
      <c r="K728" s="55">
        <v>0</v>
      </c>
      <c r="L728" s="55">
        <v>0</v>
      </c>
      <c r="M728" s="55">
        <v>0</v>
      </c>
      <c r="N728" s="55">
        <f t="shared" si="277"/>
        <v>3</v>
      </c>
      <c r="O728" s="55">
        <v>0</v>
      </c>
      <c r="P728" s="55">
        <v>3</v>
      </c>
      <c r="Q728" s="55">
        <v>0</v>
      </c>
      <c r="R728" s="55">
        <f t="shared" si="278"/>
        <v>0</v>
      </c>
      <c r="S728" s="55">
        <v>0</v>
      </c>
      <c r="T728" s="55">
        <v>0</v>
      </c>
      <c r="U728" s="55">
        <v>0</v>
      </c>
      <c r="V728" s="55">
        <v>1</v>
      </c>
      <c r="W728" s="53">
        <v>0</v>
      </c>
      <c r="X728" s="53">
        <v>1</v>
      </c>
      <c r="Y728" s="55">
        <v>0</v>
      </c>
      <c r="Z728" s="55">
        <v>1</v>
      </c>
      <c r="AA728" s="53">
        <v>0</v>
      </c>
      <c r="AB728" s="53">
        <v>1</v>
      </c>
      <c r="AC728" s="55">
        <v>0</v>
      </c>
      <c r="AD728" s="55">
        <f t="shared" si="272"/>
        <v>3</v>
      </c>
      <c r="AE728" s="53">
        <v>0</v>
      </c>
      <c r="AF728" s="55">
        <v>3</v>
      </c>
      <c r="AG728" s="55">
        <v>0</v>
      </c>
      <c r="AH728" s="55">
        <f t="shared" si="273"/>
        <v>1</v>
      </c>
      <c r="AI728" s="55">
        <v>0</v>
      </c>
      <c r="AJ728" s="55">
        <v>1</v>
      </c>
      <c r="AK728" s="55">
        <v>0</v>
      </c>
      <c r="AL728" s="55">
        <f t="shared" si="274"/>
        <v>1</v>
      </c>
      <c r="AM728" s="55" t="s">
        <v>1912</v>
      </c>
      <c r="AN728" s="55">
        <v>1</v>
      </c>
      <c r="AO728" s="55">
        <v>0</v>
      </c>
      <c r="AP728" s="55">
        <f t="shared" si="263"/>
        <v>0</v>
      </c>
      <c r="AQ728" s="55">
        <f>IFERROR(VLOOKUP(A728,[1]SIIMPLES!$A$2:$F$418,6,FALSE),0)</f>
        <v>0</v>
      </c>
      <c r="AR728" s="55">
        <v>0</v>
      </c>
      <c r="AS728" s="55">
        <v>0</v>
      </c>
      <c r="AT728" s="55">
        <v>0</v>
      </c>
      <c r="AU728" s="55">
        <v>0</v>
      </c>
      <c r="AV728" s="55">
        <v>0</v>
      </c>
      <c r="AW728" s="55"/>
      <c r="AX728" s="55"/>
      <c r="AY728" s="56">
        <f t="shared" si="275"/>
        <v>1</v>
      </c>
      <c r="AZ728" s="55"/>
      <c r="BA728" s="56">
        <v>2.5</v>
      </c>
      <c r="BB728" s="41">
        <f t="shared" si="267"/>
        <v>-0.6</v>
      </c>
      <c r="BC728" s="13"/>
      <c r="BD728" s="35"/>
      <c r="BE728" s="13"/>
      <c r="BF728" s="16"/>
      <c r="BG728" s="17">
        <f t="shared" si="269"/>
        <v>0</v>
      </c>
      <c r="BH728" s="16">
        <f>IFERROR(IF(F728=1,IF(BC728&lt;AY728*3,AY728*3-BC728,0),IF(BC728&lt;AY728,AY728-BC728,0)),"")</f>
        <v>1</v>
      </c>
    </row>
    <row r="729" spans="1:60" s="21" customFormat="1" ht="12.75" customHeight="1" x14ac:dyDescent="0.2">
      <c r="A729" s="51">
        <v>6310</v>
      </c>
      <c r="B729" s="51"/>
      <c r="C729" s="66" t="s">
        <v>1803</v>
      </c>
      <c r="D729" s="52" t="s">
        <v>735</v>
      </c>
      <c r="E729" s="52" t="s">
        <v>736</v>
      </c>
      <c r="F729" s="53">
        <f>IFERROR(VLOOKUP(E729,Fornecedores!$A$2:$B$2700,2,FALSE),"")</f>
        <v>5</v>
      </c>
      <c r="G729" s="52" t="s">
        <v>52</v>
      </c>
      <c r="H729" s="54"/>
      <c r="I729" s="55">
        <f t="shared" si="276"/>
        <v>0</v>
      </c>
      <c r="J729" s="55">
        <v>0</v>
      </c>
      <c r="K729" s="55">
        <v>0</v>
      </c>
      <c r="L729" s="55">
        <v>0</v>
      </c>
      <c r="M729" s="55">
        <v>0</v>
      </c>
      <c r="N729" s="55">
        <f t="shared" si="277"/>
        <v>0</v>
      </c>
      <c r="O729" s="55">
        <v>0</v>
      </c>
      <c r="P729" s="55">
        <v>0</v>
      </c>
      <c r="Q729" s="55">
        <v>0</v>
      </c>
      <c r="R729" s="55">
        <f t="shared" si="278"/>
        <v>0</v>
      </c>
      <c r="S729" s="55">
        <v>0</v>
      </c>
      <c r="T729" s="55">
        <v>0</v>
      </c>
      <c r="U729" s="55">
        <v>0</v>
      </c>
      <c r="V729" s="55">
        <v>0</v>
      </c>
      <c r="W729" s="53">
        <v>0</v>
      </c>
      <c r="X729" s="53">
        <v>0</v>
      </c>
      <c r="Y729" s="55">
        <v>0</v>
      </c>
      <c r="Z729" s="55">
        <v>0</v>
      </c>
      <c r="AA729" s="53">
        <v>0</v>
      </c>
      <c r="AB729" s="53">
        <v>0</v>
      </c>
      <c r="AC729" s="55">
        <v>0</v>
      </c>
      <c r="AD729" s="55">
        <f t="shared" si="272"/>
        <v>0</v>
      </c>
      <c r="AE729" s="53">
        <v>0</v>
      </c>
      <c r="AF729" s="55">
        <v>0</v>
      </c>
      <c r="AG729" s="55">
        <v>0</v>
      </c>
      <c r="AH729" s="55">
        <f t="shared" si="273"/>
        <v>1</v>
      </c>
      <c r="AI729" s="55">
        <v>1</v>
      </c>
      <c r="AJ729" s="55">
        <v>0</v>
      </c>
      <c r="AK729" s="55">
        <v>0</v>
      </c>
      <c r="AL729" s="55">
        <f t="shared" si="274"/>
        <v>1</v>
      </c>
      <c r="AM729" s="55">
        <v>1</v>
      </c>
      <c r="AN729" s="55">
        <v>0</v>
      </c>
      <c r="AO729" s="55">
        <v>0</v>
      </c>
      <c r="AP729" s="55">
        <f t="shared" si="263"/>
        <v>0</v>
      </c>
      <c r="AQ729" s="55">
        <f>IFERROR(VLOOKUP(A729,[1]SIIMPLES!$A$2:$F$418,6,FALSE),0)</f>
        <v>0</v>
      </c>
      <c r="AR729" s="55">
        <v>0</v>
      </c>
      <c r="AS729" s="55">
        <v>0</v>
      </c>
      <c r="AT729" s="55">
        <v>0</v>
      </c>
      <c r="AU729" s="55">
        <v>0</v>
      </c>
      <c r="AV729" s="55">
        <v>0</v>
      </c>
      <c r="AW729" s="55"/>
      <c r="AX729" s="55"/>
      <c r="AY729" s="56">
        <f t="shared" si="275"/>
        <v>0.2</v>
      </c>
      <c r="AZ729" s="55"/>
      <c r="BA729" s="56">
        <v>0.16666666666666666</v>
      </c>
      <c r="BB729" s="41">
        <f t="shared" si="267"/>
        <v>0.20000000000000018</v>
      </c>
      <c r="BC729" s="13"/>
      <c r="BD729" s="35"/>
      <c r="BE729" s="13"/>
      <c r="BF729" s="16"/>
      <c r="BG729" s="17">
        <f t="shared" si="269"/>
        <v>0</v>
      </c>
      <c r="BH729" s="16"/>
    </row>
    <row r="730" spans="1:60" s="21" customFormat="1" ht="12.75" customHeight="1" x14ac:dyDescent="0.2">
      <c r="A730" s="51">
        <v>6311</v>
      </c>
      <c r="B730" s="51"/>
      <c r="C730" s="66" t="s">
        <v>1803</v>
      </c>
      <c r="D730" s="52" t="s">
        <v>735</v>
      </c>
      <c r="E730" s="52" t="s">
        <v>736</v>
      </c>
      <c r="F730" s="53">
        <f>IFERROR(VLOOKUP(E730,Fornecedores!$A$2:$B$2700,2,FALSE),"")</f>
        <v>5</v>
      </c>
      <c r="G730" s="52" t="s">
        <v>40</v>
      </c>
      <c r="H730" s="54"/>
      <c r="I730" s="55">
        <f t="shared" si="276"/>
        <v>0</v>
      </c>
      <c r="J730" s="55">
        <v>0</v>
      </c>
      <c r="K730" s="55">
        <v>0</v>
      </c>
      <c r="L730" s="55">
        <v>0</v>
      </c>
      <c r="M730" s="55">
        <v>0</v>
      </c>
      <c r="N730" s="55">
        <f t="shared" si="277"/>
        <v>0</v>
      </c>
      <c r="O730" s="55">
        <v>0</v>
      </c>
      <c r="P730" s="55">
        <v>0</v>
      </c>
      <c r="Q730" s="55">
        <v>0</v>
      </c>
      <c r="R730" s="55">
        <f t="shared" si="278"/>
        <v>0</v>
      </c>
      <c r="S730" s="55">
        <v>0</v>
      </c>
      <c r="T730" s="55">
        <v>0</v>
      </c>
      <c r="U730" s="55">
        <v>0</v>
      </c>
      <c r="V730" s="55">
        <v>0</v>
      </c>
      <c r="W730" s="53">
        <v>0</v>
      </c>
      <c r="X730" s="53">
        <v>0</v>
      </c>
      <c r="Y730" s="55">
        <v>0</v>
      </c>
      <c r="Z730" s="55">
        <v>0</v>
      </c>
      <c r="AA730" s="53">
        <v>0</v>
      </c>
      <c r="AB730" s="53">
        <v>0</v>
      </c>
      <c r="AC730" s="55">
        <v>0</v>
      </c>
      <c r="AD730" s="55">
        <f t="shared" si="272"/>
        <v>0</v>
      </c>
      <c r="AE730" s="53">
        <v>0</v>
      </c>
      <c r="AF730" s="55">
        <v>0</v>
      </c>
      <c r="AG730" s="55">
        <v>0</v>
      </c>
      <c r="AH730" s="55">
        <f t="shared" si="273"/>
        <v>0</v>
      </c>
      <c r="AI730" s="55">
        <v>0</v>
      </c>
      <c r="AJ730" s="55">
        <v>0</v>
      </c>
      <c r="AK730" s="55">
        <v>0</v>
      </c>
      <c r="AL730" s="55">
        <f t="shared" si="274"/>
        <v>0</v>
      </c>
      <c r="AM730" s="55" t="s">
        <v>1912</v>
      </c>
      <c r="AN730" s="55">
        <v>0</v>
      </c>
      <c r="AO730" s="55">
        <v>0</v>
      </c>
      <c r="AP730" s="55">
        <f t="shared" si="263"/>
        <v>0</v>
      </c>
      <c r="AQ730" s="55">
        <f>IFERROR(VLOOKUP(A730,[1]SIIMPLES!$A$2:$F$418,6,FALSE),0)</f>
        <v>0</v>
      </c>
      <c r="AR730" s="55">
        <v>0</v>
      </c>
      <c r="AS730" s="55">
        <v>0</v>
      </c>
      <c r="AT730" s="55">
        <v>0</v>
      </c>
      <c r="AU730" s="55">
        <v>0</v>
      </c>
      <c r="AV730" s="55">
        <v>0</v>
      </c>
      <c r="AW730" s="55"/>
      <c r="AX730" s="55"/>
      <c r="AY730" s="56">
        <f t="shared" si="275"/>
        <v>0</v>
      </c>
      <c r="AZ730" s="55"/>
      <c r="BA730" s="56">
        <v>0</v>
      </c>
      <c r="BB730" s="41" t="str">
        <f t="shared" si="267"/>
        <v/>
      </c>
      <c r="BC730" s="13"/>
      <c r="BD730" s="35"/>
      <c r="BE730" s="13"/>
      <c r="BF730" s="16"/>
      <c r="BG730" s="17" t="str">
        <f t="shared" si="269"/>
        <v>0</v>
      </c>
      <c r="BH730" s="7"/>
    </row>
    <row r="731" spans="1:60" s="21" customFormat="1" ht="12.75" customHeight="1" x14ac:dyDescent="0.2">
      <c r="A731" s="51">
        <v>6312</v>
      </c>
      <c r="B731" s="51"/>
      <c r="C731" s="66" t="s">
        <v>1803</v>
      </c>
      <c r="D731" s="52" t="s">
        <v>735</v>
      </c>
      <c r="E731" s="52" t="s">
        <v>736</v>
      </c>
      <c r="F731" s="53">
        <f>IFERROR(VLOOKUP(E731,Fornecedores!$A$2:$B$2700,2,FALSE),"")</f>
        <v>5</v>
      </c>
      <c r="G731" s="52" t="s">
        <v>146</v>
      </c>
      <c r="H731" s="54"/>
      <c r="I731" s="55">
        <f t="shared" si="276"/>
        <v>0</v>
      </c>
      <c r="J731" s="55">
        <v>0</v>
      </c>
      <c r="K731" s="55">
        <v>0</v>
      </c>
      <c r="L731" s="55">
        <v>0</v>
      </c>
      <c r="M731" s="55">
        <v>0</v>
      </c>
      <c r="N731" s="55">
        <f t="shared" si="277"/>
        <v>0</v>
      </c>
      <c r="O731" s="55">
        <v>0</v>
      </c>
      <c r="P731" s="55">
        <v>0</v>
      </c>
      <c r="Q731" s="55">
        <v>0</v>
      </c>
      <c r="R731" s="55">
        <f t="shared" si="278"/>
        <v>0</v>
      </c>
      <c r="S731" s="55">
        <v>0</v>
      </c>
      <c r="T731" s="55">
        <v>0</v>
      </c>
      <c r="U731" s="55">
        <v>0</v>
      </c>
      <c r="V731" s="55">
        <v>0</v>
      </c>
      <c r="W731" s="53">
        <v>0</v>
      </c>
      <c r="X731" s="53">
        <v>0</v>
      </c>
      <c r="Y731" s="55">
        <v>0</v>
      </c>
      <c r="Z731" s="55">
        <v>2</v>
      </c>
      <c r="AA731" s="53">
        <v>0</v>
      </c>
      <c r="AB731" s="53">
        <v>2</v>
      </c>
      <c r="AC731" s="55">
        <v>0</v>
      </c>
      <c r="AD731" s="55">
        <f t="shared" si="272"/>
        <v>1</v>
      </c>
      <c r="AE731" s="53">
        <v>1</v>
      </c>
      <c r="AF731" s="55">
        <v>0</v>
      </c>
      <c r="AG731" s="55">
        <v>0</v>
      </c>
      <c r="AH731" s="55">
        <f t="shared" si="273"/>
        <v>0</v>
      </c>
      <c r="AI731" s="55">
        <v>0</v>
      </c>
      <c r="AJ731" s="55">
        <v>0</v>
      </c>
      <c r="AK731" s="55">
        <v>0</v>
      </c>
      <c r="AL731" s="55">
        <f t="shared" si="274"/>
        <v>2</v>
      </c>
      <c r="AM731" s="55" t="s">
        <v>1912</v>
      </c>
      <c r="AN731" s="55">
        <v>2</v>
      </c>
      <c r="AO731" s="55">
        <v>0</v>
      </c>
      <c r="AP731" s="55">
        <f t="shared" si="263"/>
        <v>0</v>
      </c>
      <c r="AQ731" s="55">
        <f>IFERROR(VLOOKUP(A731,[1]SIIMPLES!$A$2:$F$418,6,FALSE),0)</f>
        <v>0</v>
      </c>
      <c r="AR731" s="55">
        <v>0</v>
      </c>
      <c r="AS731" s="55">
        <v>0</v>
      </c>
      <c r="AT731" s="55">
        <v>0</v>
      </c>
      <c r="AU731" s="55">
        <v>0</v>
      </c>
      <c r="AV731" s="55">
        <v>0</v>
      </c>
      <c r="AW731" s="55"/>
      <c r="AX731" s="55"/>
      <c r="AY731" s="56">
        <f t="shared" si="275"/>
        <v>0.5</v>
      </c>
      <c r="AZ731" s="55"/>
      <c r="BA731" s="56">
        <v>1</v>
      </c>
      <c r="BB731" s="41">
        <f t="shared" si="267"/>
        <v>-0.5</v>
      </c>
      <c r="BC731" s="13"/>
      <c r="BD731" s="35"/>
      <c r="BE731" s="13"/>
      <c r="BF731" s="16"/>
      <c r="BG731" s="17">
        <f t="shared" si="269"/>
        <v>0</v>
      </c>
      <c r="BH731" s="7"/>
    </row>
    <row r="732" spans="1:60" s="21" customFormat="1" ht="12.75" customHeight="1" x14ac:dyDescent="0.2">
      <c r="A732" s="51">
        <v>6316</v>
      </c>
      <c r="B732" s="51" t="s">
        <v>1077</v>
      </c>
      <c r="C732" s="66" t="s">
        <v>1803</v>
      </c>
      <c r="D732" s="52" t="s">
        <v>735</v>
      </c>
      <c r="E732" s="52" t="s">
        <v>736</v>
      </c>
      <c r="F732" s="53">
        <f>IFERROR(VLOOKUP(E732,Fornecedores!$A$2:$B$2700,2,FALSE),"")</f>
        <v>5</v>
      </c>
      <c r="G732" s="52" t="s">
        <v>888</v>
      </c>
      <c r="H732" s="57"/>
      <c r="I732" s="55">
        <f t="shared" si="276"/>
        <v>0</v>
      </c>
      <c r="J732" s="55">
        <v>0</v>
      </c>
      <c r="K732" s="55">
        <v>0</v>
      </c>
      <c r="L732" s="55">
        <v>0</v>
      </c>
      <c r="M732" s="55">
        <v>0</v>
      </c>
      <c r="N732" s="55">
        <f t="shared" si="277"/>
        <v>0</v>
      </c>
      <c r="O732" s="55">
        <v>0</v>
      </c>
      <c r="P732" s="55">
        <v>0</v>
      </c>
      <c r="Q732" s="55">
        <v>0</v>
      </c>
      <c r="R732" s="55">
        <f t="shared" si="278"/>
        <v>0</v>
      </c>
      <c r="S732" s="55">
        <v>0</v>
      </c>
      <c r="T732" s="55">
        <v>0</v>
      </c>
      <c r="U732" s="55">
        <v>0</v>
      </c>
      <c r="V732" s="55">
        <v>2</v>
      </c>
      <c r="W732" s="53">
        <v>0</v>
      </c>
      <c r="X732" s="53">
        <v>2</v>
      </c>
      <c r="Y732" s="55">
        <v>0</v>
      </c>
      <c r="Z732" s="55">
        <v>0</v>
      </c>
      <c r="AA732" s="53">
        <v>0</v>
      </c>
      <c r="AB732" s="53">
        <v>0</v>
      </c>
      <c r="AC732" s="55">
        <v>0</v>
      </c>
      <c r="AD732" s="55">
        <f t="shared" si="272"/>
        <v>0</v>
      </c>
      <c r="AE732" s="53">
        <v>0</v>
      </c>
      <c r="AF732" s="55">
        <v>0</v>
      </c>
      <c r="AG732" s="55">
        <v>0</v>
      </c>
      <c r="AH732" s="55">
        <f t="shared" si="273"/>
        <v>0</v>
      </c>
      <c r="AI732" s="55">
        <v>0</v>
      </c>
      <c r="AJ732" s="55">
        <v>0</v>
      </c>
      <c r="AK732" s="55">
        <v>0</v>
      </c>
      <c r="AL732" s="55">
        <f t="shared" si="274"/>
        <v>0</v>
      </c>
      <c r="AM732" s="55" t="s">
        <v>1912</v>
      </c>
      <c r="AN732" s="55">
        <v>0</v>
      </c>
      <c r="AO732" s="55">
        <v>0</v>
      </c>
      <c r="AP732" s="55">
        <f t="shared" si="263"/>
        <v>0</v>
      </c>
      <c r="AQ732" s="55">
        <f>IFERROR(VLOOKUP(A732,[1]SIIMPLES!$A$2:$F$418,6,FALSE),0)</f>
        <v>0</v>
      </c>
      <c r="AR732" s="55">
        <v>0</v>
      </c>
      <c r="AS732" s="55">
        <v>0</v>
      </c>
      <c r="AT732" s="55">
        <v>0</v>
      </c>
      <c r="AU732" s="55">
        <v>0</v>
      </c>
      <c r="AV732" s="55">
        <v>0</v>
      </c>
      <c r="AW732" s="55"/>
      <c r="AX732" s="55"/>
      <c r="AY732" s="56">
        <f t="shared" si="275"/>
        <v>0.2</v>
      </c>
      <c r="AZ732" s="55"/>
      <c r="BA732" s="56">
        <v>0.16666666666666666</v>
      </c>
      <c r="BB732" s="41">
        <f t="shared" ref="BB732:BB763" si="279">IFERROR(AY732/BA732-1,"")</f>
        <v>0.20000000000000018</v>
      </c>
      <c r="BC732" s="13"/>
      <c r="BD732" s="35"/>
      <c r="BE732" s="13"/>
      <c r="BF732" s="16"/>
      <c r="BG732" s="17">
        <f t="shared" si="269"/>
        <v>0</v>
      </c>
      <c r="BH732" s="20">
        <f>ROUND(IFERROR(IF(F732=1,IF(BC732&lt;AY732*3,AY732*3-BC732,0),IF(BC732&lt;AY732,AY732*0.6-BC732,0)),""),0)</f>
        <v>0</v>
      </c>
    </row>
    <row r="733" spans="1:60" s="21" customFormat="1" ht="12.75" customHeight="1" x14ac:dyDescent="0.2">
      <c r="A733" s="51">
        <v>6401</v>
      </c>
      <c r="B733" s="51" t="s">
        <v>1077</v>
      </c>
      <c r="C733" s="66" t="s">
        <v>1803</v>
      </c>
      <c r="D733" s="52" t="s">
        <v>735</v>
      </c>
      <c r="E733" s="52" t="s">
        <v>736</v>
      </c>
      <c r="F733" s="53">
        <f>IFERROR(VLOOKUP(E733,Fornecedores!$A$2:$B$2700,2,FALSE),"")</f>
        <v>5</v>
      </c>
      <c r="G733" s="52" t="s">
        <v>611</v>
      </c>
      <c r="H733" s="54"/>
      <c r="I733" s="55">
        <f t="shared" si="276"/>
        <v>0</v>
      </c>
      <c r="J733" s="55">
        <v>0</v>
      </c>
      <c r="K733" s="55">
        <v>0</v>
      </c>
      <c r="L733" s="55">
        <v>0</v>
      </c>
      <c r="M733" s="55">
        <v>0</v>
      </c>
      <c r="N733" s="55">
        <f t="shared" si="277"/>
        <v>2</v>
      </c>
      <c r="O733" s="55">
        <v>2</v>
      </c>
      <c r="P733" s="55">
        <v>0</v>
      </c>
      <c r="Q733" s="55">
        <v>0</v>
      </c>
      <c r="R733" s="55">
        <f t="shared" si="278"/>
        <v>3</v>
      </c>
      <c r="S733" s="55">
        <v>3</v>
      </c>
      <c r="T733" s="55">
        <v>0</v>
      </c>
      <c r="U733" s="55">
        <v>0</v>
      </c>
      <c r="V733" s="55">
        <v>0</v>
      </c>
      <c r="W733" s="53">
        <v>0</v>
      </c>
      <c r="X733" s="53">
        <v>0</v>
      </c>
      <c r="Y733" s="55">
        <v>0</v>
      </c>
      <c r="Z733" s="55">
        <v>0</v>
      </c>
      <c r="AA733" s="53">
        <v>0</v>
      </c>
      <c r="AB733" s="53">
        <v>0</v>
      </c>
      <c r="AC733" s="55">
        <v>0</v>
      </c>
      <c r="AD733" s="55">
        <f t="shared" si="272"/>
        <v>0</v>
      </c>
      <c r="AE733" s="53">
        <v>0</v>
      </c>
      <c r="AF733" s="55">
        <v>0</v>
      </c>
      <c r="AG733" s="55">
        <v>0</v>
      </c>
      <c r="AH733" s="55">
        <f t="shared" si="273"/>
        <v>2</v>
      </c>
      <c r="AI733" s="55">
        <v>0</v>
      </c>
      <c r="AJ733" s="55">
        <v>2</v>
      </c>
      <c r="AK733" s="55">
        <v>0</v>
      </c>
      <c r="AL733" s="55">
        <f t="shared" si="274"/>
        <v>0</v>
      </c>
      <c r="AM733" s="55" t="s">
        <v>1912</v>
      </c>
      <c r="AN733" s="55">
        <v>0</v>
      </c>
      <c r="AO733" s="55">
        <v>0</v>
      </c>
      <c r="AP733" s="55">
        <f t="shared" si="263"/>
        <v>0</v>
      </c>
      <c r="AQ733" s="55">
        <f>IFERROR(VLOOKUP(A733,[1]SIIMPLES!$A$2:$F$418,6,FALSE),0)</f>
        <v>0</v>
      </c>
      <c r="AR733" s="55">
        <v>0</v>
      </c>
      <c r="AS733" s="55">
        <v>0</v>
      </c>
      <c r="AT733" s="55">
        <v>0</v>
      </c>
      <c r="AU733" s="55">
        <v>0</v>
      </c>
      <c r="AV733" s="55">
        <v>0</v>
      </c>
      <c r="AW733" s="55"/>
      <c r="AX733" s="55"/>
      <c r="AY733" s="56">
        <f t="shared" si="275"/>
        <v>0.7</v>
      </c>
      <c r="AZ733" s="55"/>
      <c r="BA733" s="56">
        <v>2</v>
      </c>
      <c r="BB733" s="41">
        <f t="shared" si="279"/>
        <v>-0.65</v>
      </c>
      <c r="BC733" s="13"/>
      <c r="BD733" s="35"/>
      <c r="BE733" s="13"/>
      <c r="BF733" s="16">
        <f>SUM(BC733:BE733)</f>
        <v>0</v>
      </c>
      <c r="BG733" s="17">
        <f t="shared" si="269"/>
        <v>0</v>
      </c>
      <c r="BH733" s="16">
        <f t="shared" ref="BH733:BH738" si="280">IFERROR(IF(F733=1,IF(BC733&lt;AY733*3,AY733*3-BC733,0),IF(BC733&lt;AY733,AY733-BC733,0)),"")</f>
        <v>0.7</v>
      </c>
    </row>
    <row r="734" spans="1:60" s="21" customFormat="1" ht="12.75" customHeight="1" x14ac:dyDescent="0.2">
      <c r="A734" s="51">
        <v>6408</v>
      </c>
      <c r="B734" s="51"/>
      <c r="C734" s="66" t="s">
        <v>1803</v>
      </c>
      <c r="D734" s="52" t="s">
        <v>735</v>
      </c>
      <c r="E734" s="52" t="s">
        <v>736</v>
      </c>
      <c r="F734" s="53">
        <f>IFERROR(VLOOKUP(E734,Fornecedores!$A$2:$B$2700,2,FALSE),"")</f>
        <v>5</v>
      </c>
      <c r="G734" s="52" t="s">
        <v>360</v>
      </c>
      <c r="H734" s="54"/>
      <c r="I734" s="55">
        <f t="shared" si="276"/>
        <v>0</v>
      </c>
      <c r="J734" s="55">
        <v>0</v>
      </c>
      <c r="K734" s="55">
        <v>0</v>
      </c>
      <c r="L734" s="55">
        <v>0</v>
      </c>
      <c r="M734" s="55">
        <v>0</v>
      </c>
      <c r="N734" s="55">
        <f t="shared" si="277"/>
        <v>0</v>
      </c>
      <c r="O734" s="55">
        <v>0</v>
      </c>
      <c r="P734" s="55">
        <v>0</v>
      </c>
      <c r="Q734" s="55">
        <v>0</v>
      </c>
      <c r="R734" s="55">
        <f t="shared" si="278"/>
        <v>0</v>
      </c>
      <c r="S734" s="55">
        <v>0</v>
      </c>
      <c r="T734" s="55">
        <v>0</v>
      </c>
      <c r="U734" s="55">
        <v>0</v>
      </c>
      <c r="V734" s="55">
        <v>0</v>
      </c>
      <c r="W734" s="53">
        <v>0</v>
      </c>
      <c r="X734" s="53">
        <v>0</v>
      </c>
      <c r="Y734" s="55">
        <v>0</v>
      </c>
      <c r="Z734" s="55">
        <v>0</v>
      </c>
      <c r="AA734" s="53">
        <v>0</v>
      </c>
      <c r="AB734" s="53">
        <v>0</v>
      </c>
      <c r="AC734" s="55">
        <v>0</v>
      </c>
      <c r="AD734" s="55">
        <f t="shared" si="272"/>
        <v>0</v>
      </c>
      <c r="AE734" s="53">
        <v>0</v>
      </c>
      <c r="AF734" s="55">
        <v>0</v>
      </c>
      <c r="AG734" s="55">
        <v>0</v>
      </c>
      <c r="AH734" s="55">
        <f t="shared" si="273"/>
        <v>0</v>
      </c>
      <c r="AI734" s="55">
        <v>0</v>
      </c>
      <c r="AJ734" s="55">
        <v>0</v>
      </c>
      <c r="AK734" s="55">
        <v>0</v>
      </c>
      <c r="AL734" s="55">
        <f t="shared" si="274"/>
        <v>0</v>
      </c>
      <c r="AM734" s="55" t="s">
        <v>1912</v>
      </c>
      <c r="AN734" s="55">
        <v>0</v>
      </c>
      <c r="AO734" s="55">
        <v>0</v>
      </c>
      <c r="AP734" s="55">
        <f t="shared" si="263"/>
        <v>0</v>
      </c>
      <c r="AQ734" s="55">
        <f>IFERROR(VLOOKUP(A734,[1]SIIMPLES!$A$2:$F$418,6,FALSE),0)</f>
        <v>0</v>
      </c>
      <c r="AR734" s="55">
        <v>0</v>
      </c>
      <c r="AS734" s="55">
        <v>0</v>
      </c>
      <c r="AT734" s="55">
        <v>0</v>
      </c>
      <c r="AU734" s="55">
        <v>0</v>
      </c>
      <c r="AV734" s="55">
        <v>0</v>
      </c>
      <c r="AW734" s="55"/>
      <c r="AX734" s="55"/>
      <c r="AY734" s="56">
        <f t="shared" si="275"/>
        <v>0</v>
      </c>
      <c r="AZ734" s="55"/>
      <c r="BA734" s="56">
        <v>0</v>
      </c>
      <c r="BB734" s="41" t="str">
        <f t="shared" si="279"/>
        <v/>
      </c>
      <c r="BC734" s="13"/>
      <c r="BD734" s="35"/>
      <c r="BE734" s="7"/>
      <c r="BF734" s="16"/>
      <c r="BG734" s="17" t="str">
        <f t="shared" si="269"/>
        <v>0</v>
      </c>
      <c r="BH734" s="16">
        <f t="shared" si="280"/>
        <v>0</v>
      </c>
    </row>
    <row r="735" spans="1:60" s="21" customFormat="1" ht="12.75" customHeight="1" x14ac:dyDescent="0.2">
      <c r="A735" s="51">
        <v>6502</v>
      </c>
      <c r="B735" s="51"/>
      <c r="C735" s="66" t="s">
        <v>1803</v>
      </c>
      <c r="D735" s="52" t="s">
        <v>735</v>
      </c>
      <c r="E735" s="52" t="s">
        <v>736</v>
      </c>
      <c r="F735" s="53">
        <f>IFERROR(VLOOKUP(E735,Fornecedores!$A$2:$B$2700,2,FALSE),"")</f>
        <v>5</v>
      </c>
      <c r="G735" s="52" t="s">
        <v>1035</v>
      </c>
      <c r="H735" s="57"/>
      <c r="I735" s="55">
        <f t="shared" si="276"/>
        <v>0</v>
      </c>
      <c r="J735" s="55">
        <v>0</v>
      </c>
      <c r="K735" s="55">
        <v>0</v>
      </c>
      <c r="L735" s="55">
        <v>0</v>
      </c>
      <c r="M735" s="55">
        <v>0</v>
      </c>
      <c r="N735" s="55">
        <f t="shared" si="277"/>
        <v>0</v>
      </c>
      <c r="O735" s="55">
        <v>0</v>
      </c>
      <c r="P735" s="55">
        <v>0</v>
      </c>
      <c r="Q735" s="55">
        <v>0</v>
      </c>
      <c r="R735" s="55">
        <f t="shared" si="278"/>
        <v>0</v>
      </c>
      <c r="S735" s="55">
        <v>0</v>
      </c>
      <c r="T735" s="55">
        <v>0</v>
      </c>
      <c r="U735" s="55">
        <v>0</v>
      </c>
      <c r="V735" s="55">
        <v>0</v>
      </c>
      <c r="W735" s="53">
        <v>0</v>
      </c>
      <c r="X735" s="53">
        <v>0</v>
      </c>
      <c r="Y735" s="55">
        <v>0</v>
      </c>
      <c r="Z735" s="55">
        <v>0</v>
      </c>
      <c r="AA735" s="53">
        <v>0</v>
      </c>
      <c r="AB735" s="53">
        <v>0</v>
      </c>
      <c r="AC735" s="55">
        <v>0</v>
      </c>
      <c r="AD735" s="55">
        <f t="shared" si="272"/>
        <v>0</v>
      </c>
      <c r="AE735" s="53">
        <v>0</v>
      </c>
      <c r="AF735" s="55">
        <v>0</v>
      </c>
      <c r="AG735" s="55">
        <v>0</v>
      </c>
      <c r="AH735" s="55">
        <f t="shared" si="273"/>
        <v>0</v>
      </c>
      <c r="AI735" s="55">
        <v>0</v>
      </c>
      <c r="AJ735" s="55">
        <v>0</v>
      </c>
      <c r="AK735" s="55">
        <v>0</v>
      </c>
      <c r="AL735" s="55">
        <f t="shared" si="274"/>
        <v>0</v>
      </c>
      <c r="AM735" s="55" t="s">
        <v>1912</v>
      </c>
      <c r="AN735" s="55">
        <v>0</v>
      </c>
      <c r="AO735" s="55">
        <v>0</v>
      </c>
      <c r="AP735" s="55">
        <f t="shared" si="263"/>
        <v>0</v>
      </c>
      <c r="AQ735" s="55">
        <f>IFERROR(VLOOKUP(A735,[1]SIIMPLES!$A$2:$F$418,6,FALSE),0)</f>
        <v>0</v>
      </c>
      <c r="AR735" s="55">
        <v>0</v>
      </c>
      <c r="AS735" s="55">
        <v>0</v>
      </c>
      <c r="AT735" s="55">
        <v>0</v>
      </c>
      <c r="AU735" s="55">
        <v>0</v>
      </c>
      <c r="AV735" s="55">
        <v>0</v>
      </c>
      <c r="AW735" s="55"/>
      <c r="AX735" s="55"/>
      <c r="AY735" s="56">
        <f t="shared" si="275"/>
        <v>0</v>
      </c>
      <c r="AZ735" s="55"/>
      <c r="BA735" s="56">
        <v>0</v>
      </c>
      <c r="BB735" s="41" t="str">
        <f t="shared" si="279"/>
        <v/>
      </c>
      <c r="BC735" s="13"/>
      <c r="BD735" s="35"/>
      <c r="BE735" s="7"/>
      <c r="BF735" s="16"/>
      <c r="BG735" s="17" t="str">
        <f t="shared" si="269"/>
        <v>0</v>
      </c>
      <c r="BH735" s="16">
        <f t="shared" si="280"/>
        <v>0</v>
      </c>
    </row>
    <row r="736" spans="1:60" s="21" customFormat="1" ht="12.75" customHeight="1" x14ac:dyDescent="0.2">
      <c r="A736" s="51">
        <v>6503</v>
      </c>
      <c r="B736" s="51"/>
      <c r="C736" s="66" t="s">
        <v>1803</v>
      </c>
      <c r="D736" s="52" t="s">
        <v>735</v>
      </c>
      <c r="E736" s="52" t="s">
        <v>736</v>
      </c>
      <c r="F736" s="53">
        <f>IFERROR(VLOOKUP(E736,Fornecedores!$A$2:$B$2700,2,FALSE),"")</f>
        <v>5</v>
      </c>
      <c r="G736" s="52" t="s">
        <v>1036</v>
      </c>
      <c r="H736" s="57"/>
      <c r="I736" s="55">
        <f t="shared" si="276"/>
        <v>0</v>
      </c>
      <c r="J736" s="55">
        <v>0</v>
      </c>
      <c r="K736" s="55">
        <v>0</v>
      </c>
      <c r="L736" s="55">
        <v>0</v>
      </c>
      <c r="M736" s="55">
        <v>0</v>
      </c>
      <c r="N736" s="55">
        <f t="shared" si="277"/>
        <v>0</v>
      </c>
      <c r="O736" s="55">
        <v>0</v>
      </c>
      <c r="P736" s="55">
        <v>0</v>
      </c>
      <c r="Q736" s="55">
        <v>0</v>
      </c>
      <c r="R736" s="55">
        <f t="shared" si="278"/>
        <v>0</v>
      </c>
      <c r="S736" s="55">
        <v>0</v>
      </c>
      <c r="T736" s="55">
        <v>0</v>
      </c>
      <c r="U736" s="55">
        <v>0</v>
      </c>
      <c r="V736" s="55">
        <v>0</v>
      </c>
      <c r="W736" s="53">
        <v>0</v>
      </c>
      <c r="X736" s="53">
        <v>0</v>
      </c>
      <c r="Y736" s="55">
        <v>0</v>
      </c>
      <c r="Z736" s="55">
        <v>0</v>
      </c>
      <c r="AA736" s="53">
        <v>0</v>
      </c>
      <c r="AB736" s="53">
        <v>0</v>
      </c>
      <c r="AC736" s="55">
        <v>0</v>
      </c>
      <c r="AD736" s="55">
        <f t="shared" si="272"/>
        <v>0</v>
      </c>
      <c r="AE736" s="53">
        <v>0</v>
      </c>
      <c r="AF736" s="55">
        <v>0</v>
      </c>
      <c r="AG736" s="55">
        <v>0</v>
      </c>
      <c r="AH736" s="55">
        <f t="shared" si="273"/>
        <v>0</v>
      </c>
      <c r="AI736" s="55">
        <v>0</v>
      </c>
      <c r="AJ736" s="55">
        <v>0</v>
      </c>
      <c r="AK736" s="55">
        <v>0</v>
      </c>
      <c r="AL736" s="55">
        <f t="shared" si="274"/>
        <v>0</v>
      </c>
      <c r="AM736" s="55" t="s">
        <v>1912</v>
      </c>
      <c r="AN736" s="55">
        <v>0</v>
      </c>
      <c r="AO736" s="55">
        <v>0</v>
      </c>
      <c r="AP736" s="55">
        <f t="shared" si="263"/>
        <v>0</v>
      </c>
      <c r="AQ736" s="55">
        <f>IFERROR(VLOOKUP(A736,[1]SIIMPLES!$A$2:$F$418,6,FALSE),0)</f>
        <v>0</v>
      </c>
      <c r="AR736" s="55">
        <v>0</v>
      </c>
      <c r="AS736" s="55">
        <v>0</v>
      </c>
      <c r="AT736" s="55">
        <v>0</v>
      </c>
      <c r="AU736" s="55">
        <v>0</v>
      </c>
      <c r="AV736" s="55">
        <v>0</v>
      </c>
      <c r="AW736" s="55"/>
      <c r="AX736" s="55"/>
      <c r="AY736" s="56">
        <f t="shared" si="275"/>
        <v>0</v>
      </c>
      <c r="AZ736" s="55"/>
      <c r="BA736" s="56">
        <v>0</v>
      </c>
      <c r="BB736" s="41" t="str">
        <f t="shared" si="279"/>
        <v/>
      </c>
      <c r="BC736" s="13"/>
      <c r="BD736" s="35"/>
      <c r="BE736" s="7"/>
      <c r="BF736" s="16"/>
      <c r="BG736" s="17" t="str">
        <f t="shared" si="269"/>
        <v>0</v>
      </c>
      <c r="BH736" s="16">
        <f t="shared" si="280"/>
        <v>0</v>
      </c>
    </row>
    <row r="737" spans="1:60" s="21" customFormat="1" ht="12.75" customHeight="1" x14ac:dyDescent="0.2">
      <c r="A737" s="51">
        <v>6509</v>
      </c>
      <c r="B737" s="51"/>
      <c r="C737" s="66" t="s">
        <v>1803</v>
      </c>
      <c r="D737" s="52" t="s">
        <v>735</v>
      </c>
      <c r="E737" s="52" t="s">
        <v>736</v>
      </c>
      <c r="F737" s="53">
        <f>IFERROR(VLOOKUP(E737,Fornecedores!$A$2:$B$2700,2,FALSE),"")</f>
        <v>5</v>
      </c>
      <c r="G737" s="52" t="s">
        <v>141</v>
      </c>
      <c r="H737" s="54"/>
      <c r="I737" s="55">
        <f t="shared" si="276"/>
        <v>1</v>
      </c>
      <c r="J737" s="55">
        <v>0</v>
      </c>
      <c r="K737" s="55">
        <v>1</v>
      </c>
      <c r="L737" s="55">
        <v>0</v>
      </c>
      <c r="M737" s="55">
        <v>0</v>
      </c>
      <c r="N737" s="55">
        <f t="shared" si="277"/>
        <v>0</v>
      </c>
      <c r="O737" s="55">
        <v>0</v>
      </c>
      <c r="P737" s="55">
        <v>0</v>
      </c>
      <c r="Q737" s="55">
        <v>0</v>
      </c>
      <c r="R737" s="55">
        <f t="shared" si="278"/>
        <v>0</v>
      </c>
      <c r="S737" s="55">
        <v>0</v>
      </c>
      <c r="T737" s="55">
        <v>0</v>
      </c>
      <c r="U737" s="55">
        <v>0</v>
      </c>
      <c r="V737" s="55">
        <v>0</v>
      </c>
      <c r="W737" s="53">
        <v>0</v>
      </c>
      <c r="X737" s="53">
        <v>0</v>
      </c>
      <c r="Y737" s="55">
        <v>0</v>
      </c>
      <c r="Z737" s="55">
        <v>0</v>
      </c>
      <c r="AA737" s="53">
        <v>0</v>
      </c>
      <c r="AB737" s="53">
        <v>0</v>
      </c>
      <c r="AC737" s="55">
        <v>0</v>
      </c>
      <c r="AD737" s="55">
        <f t="shared" si="272"/>
        <v>0</v>
      </c>
      <c r="AE737" s="53">
        <v>0</v>
      </c>
      <c r="AF737" s="55">
        <v>0</v>
      </c>
      <c r="AG737" s="55">
        <v>0</v>
      </c>
      <c r="AH737" s="55">
        <f t="shared" si="273"/>
        <v>0</v>
      </c>
      <c r="AI737" s="55">
        <v>0</v>
      </c>
      <c r="AJ737" s="55">
        <v>0</v>
      </c>
      <c r="AK737" s="55">
        <v>0</v>
      </c>
      <c r="AL737" s="55">
        <f t="shared" si="274"/>
        <v>0</v>
      </c>
      <c r="AM737" s="55" t="s">
        <v>1912</v>
      </c>
      <c r="AN737" s="55">
        <v>0</v>
      </c>
      <c r="AO737" s="55">
        <v>0</v>
      </c>
      <c r="AP737" s="55">
        <f t="shared" si="263"/>
        <v>0</v>
      </c>
      <c r="AQ737" s="55">
        <f>IFERROR(VLOOKUP(A737,[1]SIIMPLES!$A$2:$F$418,6,FALSE),0)</f>
        <v>0</v>
      </c>
      <c r="AR737" s="55">
        <v>0</v>
      </c>
      <c r="AS737" s="55">
        <v>0</v>
      </c>
      <c r="AT737" s="55">
        <v>0</v>
      </c>
      <c r="AU737" s="55">
        <v>0</v>
      </c>
      <c r="AV737" s="55">
        <v>0</v>
      </c>
      <c r="AW737" s="55"/>
      <c r="AX737" s="55"/>
      <c r="AY737" s="56">
        <f t="shared" si="275"/>
        <v>0.1</v>
      </c>
      <c r="AZ737" s="55"/>
      <c r="BA737" s="56">
        <v>0.16666666666666666</v>
      </c>
      <c r="BB737" s="41">
        <f t="shared" si="279"/>
        <v>-0.39999999999999991</v>
      </c>
      <c r="BC737" s="13"/>
      <c r="BD737" s="35"/>
      <c r="BE737" s="7"/>
      <c r="BF737" s="16"/>
      <c r="BG737" s="17">
        <f t="shared" si="269"/>
        <v>0</v>
      </c>
      <c r="BH737" s="16">
        <f t="shared" si="280"/>
        <v>0.1</v>
      </c>
    </row>
    <row r="738" spans="1:60" s="21" customFormat="1" ht="12.75" customHeight="1" x14ac:dyDescent="0.2">
      <c r="A738" s="51">
        <v>6510</v>
      </c>
      <c r="B738" s="51"/>
      <c r="C738" s="66" t="s">
        <v>1803</v>
      </c>
      <c r="D738" s="52" t="s">
        <v>735</v>
      </c>
      <c r="E738" s="52" t="s">
        <v>736</v>
      </c>
      <c r="F738" s="53">
        <f>IFERROR(VLOOKUP(E738,Fornecedores!$A$2:$B$2700,2,FALSE),"")</f>
        <v>5</v>
      </c>
      <c r="G738" s="52" t="s">
        <v>159</v>
      </c>
      <c r="H738" s="54"/>
      <c r="I738" s="55">
        <f t="shared" si="276"/>
        <v>1</v>
      </c>
      <c r="J738" s="55">
        <v>0</v>
      </c>
      <c r="K738" s="55">
        <v>1</v>
      </c>
      <c r="L738" s="55">
        <v>0</v>
      </c>
      <c r="M738" s="55">
        <v>0</v>
      </c>
      <c r="N738" s="55">
        <f t="shared" si="277"/>
        <v>0</v>
      </c>
      <c r="O738" s="55">
        <v>0</v>
      </c>
      <c r="P738" s="55">
        <v>0</v>
      </c>
      <c r="Q738" s="55">
        <v>0</v>
      </c>
      <c r="R738" s="55">
        <f t="shared" si="278"/>
        <v>0</v>
      </c>
      <c r="S738" s="55">
        <v>0</v>
      </c>
      <c r="T738" s="55">
        <v>0</v>
      </c>
      <c r="U738" s="55">
        <v>0</v>
      </c>
      <c r="V738" s="55">
        <v>0</v>
      </c>
      <c r="W738" s="53">
        <v>0</v>
      </c>
      <c r="X738" s="53">
        <v>0</v>
      </c>
      <c r="Y738" s="55">
        <v>0</v>
      </c>
      <c r="Z738" s="55">
        <v>0</v>
      </c>
      <c r="AA738" s="53">
        <v>0</v>
      </c>
      <c r="AB738" s="53">
        <v>0</v>
      </c>
      <c r="AC738" s="55">
        <v>0</v>
      </c>
      <c r="AD738" s="55">
        <f t="shared" si="272"/>
        <v>0</v>
      </c>
      <c r="AE738" s="53">
        <v>0</v>
      </c>
      <c r="AF738" s="55">
        <v>0</v>
      </c>
      <c r="AG738" s="55">
        <v>0</v>
      </c>
      <c r="AH738" s="55">
        <f t="shared" si="273"/>
        <v>0</v>
      </c>
      <c r="AI738" s="55">
        <v>0</v>
      </c>
      <c r="AJ738" s="55">
        <v>0</v>
      </c>
      <c r="AK738" s="55">
        <v>0</v>
      </c>
      <c r="AL738" s="55">
        <f t="shared" si="274"/>
        <v>0</v>
      </c>
      <c r="AM738" s="55" t="s">
        <v>1912</v>
      </c>
      <c r="AN738" s="55">
        <v>0</v>
      </c>
      <c r="AO738" s="55">
        <v>0</v>
      </c>
      <c r="AP738" s="55">
        <f t="shared" si="263"/>
        <v>0</v>
      </c>
      <c r="AQ738" s="55">
        <f>IFERROR(VLOOKUP(A738,[1]SIIMPLES!$A$2:$F$418,6,FALSE),0)</f>
        <v>0</v>
      </c>
      <c r="AR738" s="55">
        <v>0</v>
      </c>
      <c r="AS738" s="55">
        <v>0</v>
      </c>
      <c r="AT738" s="55">
        <v>0</v>
      </c>
      <c r="AU738" s="55">
        <v>0</v>
      </c>
      <c r="AV738" s="55">
        <v>0</v>
      </c>
      <c r="AW738" s="55"/>
      <c r="AX738" s="55"/>
      <c r="AY738" s="56">
        <f t="shared" si="275"/>
        <v>0.1</v>
      </c>
      <c r="AZ738" s="55"/>
      <c r="BA738" s="56">
        <v>0.16666666666666666</v>
      </c>
      <c r="BB738" s="41">
        <f t="shared" si="279"/>
        <v>-0.39999999999999991</v>
      </c>
      <c r="BC738" s="13"/>
      <c r="BD738" s="35"/>
      <c r="BE738" s="7"/>
      <c r="BF738" s="16"/>
      <c r="BG738" s="17">
        <f t="shared" ref="BG738:BG769" si="281">IFERROR(BC738/AY738,"0")</f>
        <v>0</v>
      </c>
      <c r="BH738" s="16">
        <f t="shared" si="280"/>
        <v>0.1</v>
      </c>
    </row>
    <row r="739" spans="1:60" s="21" customFormat="1" ht="12.75" customHeight="1" x14ac:dyDescent="0.2">
      <c r="A739" s="51">
        <v>6515</v>
      </c>
      <c r="B739" s="51"/>
      <c r="C739" s="66" t="s">
        <v>1803</v>
      </c>
      <c r="D739" s="52" t="s">
        <v>735</v>
      </c>
      <c r="E739" s="52" t="s">
        <v>736</v>
      </c>
      <c r="F739" s="53">
        <f>IFERROR(VLOOKUP(E739,Fornecedores!$A$2:$B$2700,2,FALSE),"")</f>
        <v>5</v>
      </c>
      <c r="G739" s="52" t="s">
        <v>1037</v>
      </c>
      <c r="H739" s="57"/>
      <c r="I739" s="55">
        <f t="shared" si="276"/>
        <v>0</v>
      </c>
      <c r="J739" s="55">
        <v>0</v>
      </c>
      <c r="K739" s="55">
        <v>0</v>
      </c>
      <c r="L739" s="55">
        <v>0</v>
      </c>
      <c r="M739" s="55">
        <v>0</v>
      </c>
      <c r="N739" s="55">
        <f t="shared" si="277"/>
        <v>0</v>
      </c>
      <c r="O739" s="55">
        <v>0</v>
      </c>
      <c r="P739" s="55">
        <v>0</v>
      </c>
      <c r="Q739" s="55">
        <v>0</v>
      </c>
      <c r="R739" s="55">
        <f t="shared" si="278"/>
        <v>0</v>
      </c>
      <c r="S739" s="55">
        <v>0</v>
      </c>
      <c r="T739" s="55">
        <v>0</v>
      </c>
      <c r="U739" s="55">
        <v>0</v>
      </c>
      <c r="V739" s="55">
        <v>4</v>
      </c>
      <c r="W739" s="53">
        <v>2</v>
      </c>
      <c r="X739" s="53">
        <v>2</v>
      </c>
      <c r="Y739" s="55">
        <v>0</v>
      </c>
      <c r="Z739" s="55">
        <v>0</v>
      </c>
      <c r="AA739" s="53">
        <v>0</v>
      </c>
      <c r="AB739" s="53">
        <v>0</v>
      </c>
      <c r="AC739" s="55">
        <v>0</v>
      </c>
      <c r="AD739" s="55">
        <f t="shared" si="272"/>
        <v>0</v>
      </c>
      <c r="AE739" s="53">
        <v>0</v>
      </c>
      <c r="AF739" s="55">
        <v>0</v>
      </c>
      <c r="AG739" s="55">
        <v>0</v>
      </c>
      <c r="AH739" s="55">
        <f t="shared" si="273"/>
        <v>0</v>
      </c>
      <c r="AI739" s="55">
        <v>0</v>
      </c>
      <c r="AJ739" s="55">
        <v>0</v>
      </c>
      <c r="AK739" s="55">
        <v>0</v>
      </c>
      <c r="AL739" s="55">
        <f t="shared" si="274"/>
        <v>1</v>
      </c>
      <c r="AM739" s="55" t="s">
        <v>1912</v>
      </c>
      <c r="AN739" s="55">
        <v>1</v>
      </c>
      <c r="AO739" s="55">
        <v>0</v>
      </c>
      <c r="AP739" s="55">
        <f t="shared" si="263"/>
        <v>0</v>
      </c>
      <c r="AQ739" s="55">
        <f>IFERROR(VLOOKUP(A739,[1]SIIMPLES!$A$2:$F$418,6,FALSE),0)</f>
        <v>0</v>
      </c>
      <c r="AR739" s="55">
        <v>0</v>
      </c>
      <c r="AS739" s="55">
        <v>1</v>
      </c>
      <c r="AT739" s="55">
        <v>1</v>
      </c>
      <c r="AU739" s="55">
        <v>0</v>
      </c>
      <c r="AV739" s="55">
        <v>0</v>
      </c>
      <c r="AW739" s="55"/>
      <c r="AX739" s="55"/>
      <c r="AY739" s="56">
        <f t="shared" si="275"/>
        <v>0.6</v>
      </c>
      <c r="AZ739" s="55"/>
      <c r="BA739" s="56">
        <v>0</v>
      </c>
      <c r="BB739" s="41" t="str">
        <f t="shared" si="279"/>
        <v/>
      </c>
      <c r="BC739" s="13"/>
      <c r="BD739" s="35"/>
      <c r="BE739" s="13"/>
      <c r="BF739" s="16"/>
      <c r="BG739" s="17">
        <f t="shared" si="281"/>
        <v>0</v>
      </c>
      <c r="BH739" s="16">
        <f>ROUND(IFERROR(IF(F739=1,IF(BC739&lt;AY739*3,AY739*3-BC739,0),IF(BC739&lt;AY739,AY739*0.6-BC739,0)),""),0)</f>
        <v>0</v>
      </c>
    </row>
    <row r="740" spans="1:60" s="21" customFormat="1" ht="12.75" customHeight="1" x14ac:dyDescent="0.2">
      <c r="A740" s="51">
        <v>6516</v>
      </c>
      <c r="B740" s="51"/>
      <c r="C740" s="66" t="s">
        <v>1803</v>
      </c>
      <c r="D740" s="52" t="s">
        <v>735</v>
      </c>
      <c r="E740" s="52" t="s">
        <v>736</v>
      </c>
      <c r="F740" s="53">
        <f>IFERROR(VLOOKUP(E740,Fornecedores!$A$2:$B$2700,2,FALSE),"")</f>
        <v>5</v>
      </c>
      <c r="G740" s="52" t="s">
        <v>1038</v>
      </c>
      <c r="H740" s="57"/>
      <c r="I740" s="55">
        <f t="shared" si="276"/>
        <v>0</v>
      </c>
      <c r="J740" s="55">
        <v>0</v>
      </c>
      <c r="K740" s="55">
        <v>0</v>
      </c>
      <c r="L740" s="55">
        <v>0</v>
      </c>
      <c r="M740" s="55">
        <v>0</v>
      </c>
      <c r="N740" s="55">
        <f t="shared" si="277"/>
        <v>0</v>
      </c>
      <c r="O740" s="55">
        <v>0</v>
      </c>
      <c r="P740" s="55">
        <v>0</v>
      </c>
      <c r="Q740" s="55">
        <v>0</v>
      </c>
      <c r="R740" s="55">
        <f t="shared" si="278"/>
        <v>0</v>
      </c>
      <c r="S740" s="55">
        <v>0</v>
      </c>
      <c r="T740" s="55">
        <v>0</v>
      </c>
      <c r="U740" s="55">
        <v>0</v>
      </c>
      <c r="V740" s="55">
        <v>4</v>
      </c>
      <c r="W740" s="53">
        <v>2</v>
      </c>
      <c r="X740" s="53">
        <v>2</v>
      </c>
      <c r="Y740" s="55">
        <v>0</v>
      </c>
      <c r="Z740" s="55">
        <v>0</v>
      </c>
      <c r="AA740" s="53">
        <v>0</v>
      </c>
      <c r="AB740" s="53">
        <v>0</v>
      </c>
      <c r="AC740" s="55">
        <v>0</v>
      </c>
      <c r="AD740" s="55">
        <f t="shared" si="272"/>
        <v>0</v>
      </c>
      <c r="AE740" s="53">
        <v>0</v>
      </c>
      <c r="AF740" s="55">
        <v>0</v>
      </c>
      <c r="AG740" s="55">
        <v>0</v>
      </c>
      <c r="AH740" s="55">
        <f t="shared" si="273"/>
        <v>0</v>
      </c>
      <c r="AI740" s="55">
        <v>0</v>
      </c>
      <c r="AJ740" s="55">
        <v>0</v>
      </c>
      <c r="AK740" s="55">
        <v>0</v>
      </c>
      <c r="AL740" s="55">
        <f t="shared" si="274"/>
        <v>1</v>
      </c>
      <c r="AM740" s="55" t="s">
        <v>1912</v>
      </c>
      <c r="AN740" s="55">
        <v>1</v>
      </c>
      <c r="AO740" s="55">
        <v>0</v>
      </c>
      <c r="AP740" s="55">
        <f t="shared" si="263"/>
        <v>0</v>
      </c>
      <c r="AQ740" s="55">
        <f>IFERROR(VLOOKUP(A740,[1]SIIMPLES!$A$2:$F$418,6,FALSE),0)</f>
        <v>0</v>
      </c>
      <c r="AR740" s="55">
        <v>0</v>
      </c>
      <c r="AS740" s="55">
        <v>0</v>
      </c>
      <c r="AT740" s="55">
        <v>0</v>
      </c>
      <c r="AU740" s="55">
        <v>0</v>
      </c>
      <c r="AV740" s="55">
        <v>0</v>
      </c>
      <c r="AW740" s="55"/>
      <c r="AX740" s="55"/>
      <c r="AY740" s="56">
        <f t="shared" si="275"/>
        <v>0.5</v>
      </c>
      <c r="AZ740" s="55"/>
      <c r="BA740" s="56">
        <v>0</v>
      </c>
      <c r="BB740" s="41" t="str">
        <f t="shared" si="279"/>
        <v/>
      </c>
      <c r="BC740" s="13"/>
      <c r="BD740" s="35"/>
      <c r="BE740" s="13"/>
      <c r="BF740" s="16"/>
      <c r="BG740" s="17">
        <f t="shared" si="281"/>
        <v>0</v>
      </c>
      <c r="BH740" s="16">
        <f>ROUND(IFERROR(IF(F740=1,IF(BC740&lt;AY740*3,AY740*3-BC740,0),IF(BC740&lt;AY740,AY740*0.6-BC740,0)),""),0)</f>
        <v>0</v>
      </c>
    </row>
    <row r="741" spans="1:60" s="21" customFormat="1" ht="12.75" customHeight="1" x14ac:dyDescent="0.2">
      <c r="A741" s="51">
        <v>6616</v>
      </c>
      <c r="B741" s="51" t="s">
        <v>1077</v>
      </c>
      <c r="C741" s="66" t="s">
        <v>1803</v>
      </c>
      <c r="D741" s="52" t="s">
        <v>735</v>
      </c>
      <c r="E741" s="52" t="s">
        <v>736</v>
      </c>
      <c r="F741" s="53">
        <f>IFERROR(VLOOKUP(E741,Fornecedores!$A$2:$B$2700,2,FALSE),"")</f>
        <v>5</v>
      </c>
      <c r="G741" s="52" t="s">
        <v>887</v>
      </c>
      <c r="H741" s="57"/>
      <c r="I741" s="55">
        <f t="shared" si="276"/>
        <v>0</v>
      </c>
      <c r="J741" s="55">
        <v>0</v>
      </c>
      <c r="K741" s="55">
        <v>0</v>
      </c>
      <c r="L741" s="55">
        <v>0</v>
      </c>
      <c r="M741" s="55">
        <v>0</v>
      </c>
      <c r="N741" s="55">
        <f t="shared" si="277"/>
        <v>0</v>
      </c>
      <c r="O741" s="55">
        <v>0</v>
      </c>
      <c r="P741" s="55">
        <v>0</v>
      </c>
      <c r="Q741" s="55">
        <v>0</v>
      </c>
      <c r="R741" s="55">
        <f t="shared" si="278"/>
        <v>0</v>
      </c>
      <c r="S741" s="55">
        <v>0</v>
      </c>
      <c r="T741" s="55">
        <v>0</v>
      </c>
      <c r="U741" s="55">
        <v>0</v>
      </c>
      <c r="V741" s="55">
        <v>1</v>
      </c>
      <c r="W741" s="53">
        <v>0</v>
      </c>
      <c r="X741" s="53">
        <v>1</v>
      </c>
      <c r="Y741" s="55">
        <v>0</v>
      </c>
      <c r="Z741" s="55">
        <v>2</v>
      </c>
      <c r="AA741" s="53">
        <v>1</v>
      </c>
      <c r="AB741" s="53">
        <v>1</v>
      </c>
      <c r="AC741" s="55">
        <v>0</v>
      </c>
      <c r="AD741" s="55">
        <f t="shared" si="272"/>
        <v>1</v>
      </c>
      <c r="AE741" s="53">
        <v>1</v>
      </c>
      <c r="AF741" s="55">
        <v>0</v>
      </c>
      <c r="AG741" s="55">
        <v>0</v>
      </c>
      <c r="AH741" s="55">
        <f t="shared" si="273"/>
        <v>0</v>
      </c>
      <c r="AI741" s="55">
        <v>0</v>
      </c>
      <c r="AJ741" s="55">
        <v>0</v>
      </c>
      <c r="AK741" s="55">
        <v>0</v>
      </c>
      <c r="AL741" s="55">
        <f t="shared" si="274"/>
        <v>0</v>
      </c>
      <c r="AM741" s="55" t="s">
        <v>1912</v>
      </c>
      <c r="AN741" s="55">
        <v>0</v>
      </c>
      <c r="AO741" s="55">
        <v>0</v>
      </c>
      <c r="AP741" s="55">
        <f t="shared" si="263"/>
        <v>0</v>
      </c>
      <c r="AQ741" s="55">
        <f>IFERROR(VLOOKUP(A741,[1]SIIMPLES!$A$2:$F$418,6,FALSE),0)</f>
        <v>0</v>
      </c>
      <c r="AR741" s="55">
        <v>0</v>
      </c>
      <c r="AS741" s="55">
        <v>1</v>
      </c>
      <c r="AT741" s="55">
        <v>0</v>
      </c>
      <c r="AU741" s="55">
        <v>1</v>
      </c>
      <c r="AV741" s="55">
        <v>0</v>
      </c>
      <c r="AW741" s="55"/>
      <c r="AX741" s="55"/>
      <c r="AY741" s="56">
        <f t="shared" si="275"/>
        <v>0.5</v>
      </c>
      <c r="AZ741" s="55"/>
      <c r="BA741" s="56">
        <v>0.5</v>
      </c>
      <c r="BB741" s="41">
        <f t="shared" si="279"/>
        <v>0</v>
      </c>
      <c r="BC741" s="13"/>
      <c r="BD741" s="35"/>
      <c r="BE741" s="7"/>
      <c r="BF741" s="16"/>
      <c r="BG741" s="17">
        <f t="shared" si="281"/>
        <v>0</v>
      </c>
      <c r="BH741" s="16">
        <f>IFERROR(IF(F741=1,IF(BC741&lt;AY741*3,AY741*3-BC741,0),IF(BC741&lt;AY741,AY741-BC741,0)),"")</f>
        <v>0.5</v>
      </c>
    </row>
    <row r="742" spans="1:60" s="21" customFormat="1" ht="12.75" customHeight="1" x14ac:dyDescent="0.2">
      <c r="A742" s="51">
        <v>7300</v>
      </c>
      <c r="B742" s="51"/>
      <c r="C742" s="66" t="s">
        <v>1803</v>
      </c>
      <c r="D742" s="52" t="s">
        <v>735</v>
      </c>
      <c r="E742" s="52" t="s">
        <v>736</v>
      </c>
      <c r="F742" s="53">
        <f>IFERROR(VLOOKUP(E742,Fornecedores!$A$2:$B$2700,2,FALSE),"")</f>
        <v>5</v>
      </c>
      <c r="G742" s="52" t="s">
        <v>264</v>
      </c>
      <c r="H742" s="54"/>
      <c r="I742" s="55">
        <f t="shared" si="276"/>
        <v>0</v>
      </c>
      <c r="J742" s="55">
        <v>0</v>
      </c>
      <c r="K742" s="55">
        <v>0</v>
      </c>
      <c r="L742" s="55">
        <v>0</v>
      </c>
      <c r="M742" s="55">
        <v>0</v>
      </c>
      <c r="N742" s="55">
        <f t="shared" si="277"/>
        <v>0</v>
      </c>
      <c r="O742" s="55">
        <v>0</v>
      </c>
      <c r="P742" s="55">
        <v>0</v>
      </c>
      <c r="Q742" s="55">
        <v>0</v>
      </c>
      <c r="R742" s="55">
        <f t="shared" si="278"/>
        <v>1</v>
      </c>
      <c r="S742" s="55">
        <v>1</v>
      </c>
      <c r="T742" s="55">
        <v>0</v>
      </c>
      <c r="U742" s="55">
        <v>0</v>
      </c>
      <c r="V742" s="55">
        <v>0</v>
      </c>
      <c r="W742" s="53">
        <v>0</v>
      </c>
      <c r="X742" s="53">
        <v>0</v>
      </c>
      <c r="Y742" s="55">
        <v>0</v>
      </c>
      <c r="Z742" s="55">
        <v>0</v>
      </c>
      <c r="AA742" s="53">
        <v>0</v>
      </c>
      <c r="AB742" s="53">
        <v>0</v>
      </c>
      <c r="AC742" s="55">
        <v>0</v>
      </c>
      <c r="AD742" s="55">
        <f t="shared" si="272"/>
        <v>0</v>
      </c>
      <c r="AE742" s="53">
        <v>0</v>
      </c>
      <c r="AF742" s="55">
        <v>0</v>
      </c>
      <c r="AG742" s="55">
        <v>0</v>
      </c>
      <c r="AH742" s="55">
        <f t="shared" si="273"/>
        <v>0</v>
      </c>
      <c r="AI742" s="55">
        <v>0</v>
      </c>
      <c r="AJ742" s="55">
        <v>0</v>
      </c>
      <c r="AK742" s="55">
        <v>0</v>
      </c>
      <c r="AL742" s="55">
        <f t="shared" si="274"/>
        <v>0</v>
      </c>
      <c r="AM742" s="55" t="s">
        <v>1912</v>
      </c>
      <c r="AN742" s="55">
        <v>0</v>
      </c>
      <c r="AO742" s="55">
        <v>0</v>
      </c>
      <c r="AP742" s="55">
        <f t="shared" si="263"/>
        <v>0</v>
      </c>
      <c r="AQ742" s="55">
        <f>IFERROR(VLOOKUP(A742,[1]SIIMPLES!$A$2:$F$418,6,FALSE),0)</f>
        <v>0</v>
      </c>
      <c r="AR742" s="55">
        <v>0</v>
      </c>
      <c r="AS742" s="55">
        <v>0</v>
      </c>
      <c r="AT742" s="55">
        <v>0</v>
      </c>
      <c r="AU742" s="55">
        <v>0</v>
      </c>
      <c r="AV742" s="55">
        <v>0</v>
      </c>
      <c r="AW742" s="55"/>
      <c r="AX742" s="55"/>
      <c r="AY742" s="56">
        <f t="shared" si="275"/>
        <v>0.1</v>
      </c>
      <c r="AZ742" s="55"/>
      <c r="BA742" s="56">
        <v>0.33333333333333331</v>
      </c>
      <c r="BB742" s="41">
        <f t="shared" si="279"/>
        <v>-0.7</v>
      </c>
      <c r="BC742" s="7"/>
      <c r="BD742" s="35"/>
      <c r="BE742" s="13"/>
      <c r="BF742" s="16"/>
      <c r="BG742" s="17">
        <f t="shared" si="281"/>
        <v>0</v>
      </c>
      <c r="BH742" s="16">
        <f>ROUND(IFERROR(IF(F742=1,IF(BC742&lt;AY742*3,AY742*3-BC742,0),IF(BC742&lt;AY742,AY742*0.6-BC742,0)),""),0)</f>
        <v>0</v>
      </c>
    </row>
    <row r="743" spans="1:60" s="21" customFormat="1" ht="12.75" customHeight="1" x14ac:dyDescent="0.2">
      <c r="A743" s="51">
        <v>7800</v>
      </c>
      <c r="B743" s="51"/>
      <c r="C743" s="66" t="s">
        <v>1803</v>
      </c>
      <c r="D743" s="52" t="s">
        <v>735</v>
      </c>
      <c r="E743" s="52" t="s">
        <v>736</v>
      </c>
      <c r="F743" s="53">
        <f>IFERROR(VLOOKUP(E743,Fornecedores!$A$2:$B$2700,2,FALSE),"")</f>
        <v>5</v>
      </c>
      <c r="G743" s="52" t="s">
        <v>364</v>
      </c>
      <c r="H743" s="54"/>
      <c r="I743" s="55">
        <f t="shared" si="276"/>
        <v>0</v>
      </c>
      <c r="J743" s="55">
        <v>0</v>
      </c>
      <c r="K743" s="55">
        <v>0</v>
      </c>
      <c r="L743" s="55">
        <v>0</v>
      </c>
      <c r="M743" s="55">
        <v>0</v>
      </c>
      <c r="N743" s="55">
        <f t="shared" si="277"/>
        <v>0</v>
      </c>
      <c r="O743" s="55">
        <v>0</v>
      </c>
      <c r="P743" s="55">
        <v>0</v>
      </c>
      <c r="Q743" s="55">
        <v>0</v>
      </c>
      <c r="R743" s="55">
        <f t="shared" si="278"/>
        <v>0</v>
      </c>
      <c r="S743" s="55">
        <v>0</v>
      </c>
      <c r="T743" s="55">
        <v>0</v>
      </c>
      <c r="U743" s="55">
        <v>0</v>
      </c>
      <c r="V743" s="55">
        <v>0</v>
      </c>
      <c r="W743" s="53">
        <v>0</v>
      </c>
      <c r="X743" s="53">
        <v>0</v>
      </c>
      <c r="Y743" s="55">
        <v>0</v>
      </c>
      <c r="Z743" s="55">
        <v>0</v>
      </c>
      <c r="AA743" s="53">
        <v>0</v>
      </c>
      <c r="AB743" s="53">
        <v>0</v>
      </c>
      <c r="AC743" s="55">
        <v>0</v>
      </c>
      <c r="AD743" s="55">
        <f t="shared" si="272"/>
        <v>0</v>
      </c>
      <c r="AE743" s="53">
        <v>0</v>
      </c>
      <c r="AF743" s="55">
        <v>0</v>
      </c>
      <c r="AG743" s="55">
        <v>0</v>
      </c>
      <c r="AH743" s="55">
        <f t="shared" si="273"/>
        <v>0</v>
      </c>
      <c r="AI743" s="55">
        <v>0</v>
      </c>
      <c r="AJ743" s="55">
        <v>0</v>
      </c>
      <c r="AK743" s="55">
        <v>0</v>
      </c>
      <c r="AL743" s="55">
        <f t="shared" si="274"/>
        <v>0</v>
      </c>
      <c r="AM743" s="55" t="s">
        <v>1912</v>
      </c>
      <c r="AN743" s="55">
        <v>0</v>
      </c>
      <c r="AO743" s="55">
        <v>0</v>
      </c>
      <c r="AP743" s="55">
        <f t="shared" si="263"/>
        <v>0</v>
      </c>
      <c r="AQ743" s="55">
        <f>IFERROR(VLOOKUP(A743,[1]SIIMPLES!$A$2:$F$418,6,FALSE),0)</f>
        <v>0</v>
      </c>
      <c r="AR743" s="55">
        <v>0</v>
      </c>
      <c r="AS743" s="55">
        <v>0</v>
      </c>
      <c r="AT743" s="55">
        <v>0</v>
      </c>
      <c r="AU743" s="55">
        <v>0</v>
      </c>
      <c r="AV743" s="55">
        <v>0</v>
      </c>
      <c r="AW743" s="55"/>
      <c r="AX743" s="55"/>
      <c r="AY743" s="56">
        <f t="shared" si="275"/>
        <v>0</v>
      </c>
      <c r="AZ743" s="55"/>
      <c r="BA743" s="56">
        <v>0</v>
      </c>
      <c r="BB743" s="41" t="str">
        <f t="shared" si="279"/>
        <v/>
      </c>
      <c r="BC743" s="7"/>
      <c r="BD743" s="36"/>
      <c r="BE743" s="7"/>
      <c r="BF743" s="7"/>
      <c r="BG743" s="17" t="str">
        <f t="shared" si="281"/>
        <v>0</v>
      </c>
      <c r="BH743" s="7"/>
    </row>
    <row r="744" spans="1:60" s="21" customFormat="1" ht="12.75" customHeight="1" x14ac:dyDescent="0.2">
      <c r="A744" s="51">
        <v>7801</v>
      </c>
      <c r="B744" s="51"/>
      <c r="C744" s="66" t="s">
        <v>1803</v>
      </c>
      <c r="D744" s="52" t="s">
        <v>735</v>
      </c>
      <c r="E744" s="52" t="s">
        <v>736</v>
      </c>
      <c r="F744" s="53">
        <f>IFERROR(VLOOKUP(E744,Fornecedores!$A$2:$B$2700,2,FALSE),"")</f>
        <v>5</v>
      </c>
      <c r="G744" s="52" t="s">
        <v>366</v>
      </c>
      <c r="H744" s="54"/>
      <c r="I744" s="55">
        <f t="shared" si="276"/>
        <v>0</v>
      </c>
      <c r="J744" s="55">
        <v>0</v>
      </c>
      <c r="K744" s="55">
        <v>0</v>
      </c>
      <c r="L744" s="55">
        <v>0</v>
      </c>
      <c r="M744" s="55">
        <v>0</v>
      </c>
      <c r="N744" s="55">
        <f t="shared" si="277"/>
        <v>0</v>
      </c>
      <c r="O744" s="55">
        <v>0</v>
      </c>
      <c r="P744" s="55">
        <v>0</v>
      </c>
      <c r="Q744" s="55">
        <v>0</v>
      </c>
      <c r="R744" s="55">
        <f t="shared" si="278"/>
        <v>0</v>
      </c>
      <c r="S744" s="55">
        <v>0</v>
      </c>
      <c r="T744" s="55">
        <v>0</v>
      </c>
      <c r="U744" s="55">
        <v>0</v>
      </c>
      <c r="V744" s="55">
        <v>0</v>
      </c>
      <c r="W744" s="53">
        <v>0</v>
      </c>
      <c r="X744" s="53">
        <v>0</v>
      </c>
      <c r="Y744" s="55">
        <v>0</v>
      </c>
      <c r="Z744" s="55">
        <v>0</v>
      </c>
      <c r="AA744" s="53">
        <v>0</v>
      </c>
      <c r="AB744" s="53">
        <v>0</v>
      </c>
      <c r="AC744" s="55">
        <v>0</v>
      </c>
      <c r="AD744" s="55">
        <f t="shared" si="272"/>
        <v>0</v>
      </c>
      <c r="AE744" s="53">
        <v>0</v>
      </c>
      <c r="AF744" s="55">
        <v>0</v>
      </c>
      <c r="AG744" s="55">
        <v>0</v>
      </c>
      <c r="AH744" s="55">
        <f t="shared" si="273"/>
        <v>0</v>
      </c>
      <c r="AI744" s="55">
        <v>0</v>
      </c>
      <c r="AJ744" s="55">
        <v>0</v>
      </c>
      <c r="AK744" s="55">
        <v>0</v>
      </c>
      <c r="AL744" s="55">
        <f t="shared" si="274"/>
        <v>0</v>
      </c>
      <c r="AM744" s="55" t="s">
        <v>1912</v>
      </c>
      <c r="AN744" s="55">
        <v>0</v>
      </c>
      <c r="AO744" s="55">
        <v>0</v>
      </c>
      <c r="AP744" s="55">
        <f t="shared" si="263"/>
        <v>0</v>
      </c>
      <c r="AQ744" s="55">
        <f>IFERROR(VLOOKUP(A744,[1]SIIMPLES!$A$2:$F$418,6,FALSE),0)</f>
        <v>0</v>
      </c>
      <c r="AR744" s="55">
        <v>0</v>
      </c>
      <c r="AS744" s="55">
        <v>6</v>
      </c>
      <c r="AT744" s="55">
        <v>0</v>
      </c>
      <c r="AU744" s="55">
        <v>0</v>
      </c>
      <c r="AV744" s="55">
        <v>6</v>
      </c>
      <c r="AW744" s="55"/>
      <c r="AX744" s="55"/>
      <c r="AY744" s="56">
        <f t="shared" si="275"/>
        <v>0.6</v>
      </c>
      <c r="AZ744" s="55"/>
      <c r="BA744" s="56">
        <v>0</v>
      </c>
      <c r="BB744" s="41" t="str">
        <f t="shared" si="279"/>
        <v/>
      </c>
      <c r="BC744" s="13"/>
      <c r="BD744" s="35"/>
      <c r="BE744" s="13"/>
      <c r="BF744" s="16"/>
      <c r="BG744" s="17">
        <f t="shared" si="281"/>
        <v>0</v>
      </c>
      <c r="BH744" s="16">
        <f>IFERROR(IF(F744=1,IF(BC744&lt;AY744*3,AY744*3-BC744,0),IF(BC744&lt;AY744,AY744-BC744,0)),"")</f>
        <v>0.6</v>
      </c>
    </row>
    <row r="745" spans="1:60" s="21" customFormat="1" ht="12.75" customHeight="1" x14ac:dyDescent="0.2">
      <c r="A745" s="51">
        <v>7802</v>
      </c>
      <c r="B745" s="51"/>
      <c r="C745" s="66" t="s">
        <v>1803</v>
      </c>
      <c r="D745" s="52" t="s">
        <v>735</v>
      </c>
      <c r="E745" s="52" t="s">
        <v>736</v>
      </c>
      <c r="F745" s="53">
        <f>IFERROR(VLOOKUP(E745,Fornecedores!$A$2:$B$2700,2,FALSE),"")</f>
        <v>5</v>
      </c>
      <c r="G745" s="52" t="s">
        <v>523</v>
      </c>
      <c r="H745" s="54"/>
      <c r="I745" s="55">
        <f t="shared" si="276"/>
        <v>0</v>
      </c>
      <c r="J745" s="55">
        <v>0</v>
      </c>
      <c r="K745" s="55">
        <v>0</v>
      </c>
      <c r="L745" s="55">
        <v>0</v>
      </c>
      <c r="M745" s="55">
        <v>0</v>
      </c>
      <c r="N745" s="55">
        <f t="shared" si="277"/>
        <v>0</v>
      </c>
      <c r="O745" s="55">
        <v>0</v>
      </c>
      <c r="P745" s="55">
        <v>0</v>
      </c>
      <c r="Q745" s="55">
        <v>0</v>
      </c>
      <c r="R745" s="55">
        <f t="shared" si="278"/>
        <v>0</v>
      </c>
      <c r="S745" s="55">
        <v>0</v>
      </c>
      <c r="T745" s="55">
        <v>0</v>
      </c>
      <c r="U745" s="55">
        <v>0</v>
      </c>
      <c r="V745" s="55">
        <v>0</v>
      </c>
      <c r="W745" s="53">
        <v>0</v>
      </c>
      <c r="X745" s="53">
        <v>0</v>
      </c>
      <c r="Y745" s="55">
        <v>0</v>
      </c>
      <c r="Z745" s="55">
        <v>0</v>
      </c>
      <c r="AA745" s="53">
        <v>0</v>
      </c>
      <c r="AB745" s="53">
        <v>0</v>
      </c>
      <c r="AC745" s="55">
        <v>0</v>
      </c>
      <c r="AD745" s="55">
        <f t="shared" si="272"/>
        <v>0</v>
      </c>
      <c r="AE745" s="53">
        <v>0</v>
      </c>
      <c r="AF745" s="55">
        <v>0</v>
      </c>
      <c r="AG745" s="55">
        <v>0</v>
      </c>
      <c r="AH745" s="55">
        <f t="shared" si="273"/>
        <v>0</v>
      </c>
      <c r="AI745" s="55">
        <v>0</v>
      </c>
      <c r="AJ745" s="55">
        <v>0</v>
      </c>
      <c r="AK745" s="55">
        <v>0</v>
      </c>
      <c r="AL745" s="55">
        <f t="shared" si="274"/>
        <v>0</v>
      </c>
      <c r="AM745" s="55" t="s">
        <v>1912</v>
      </c>
      <c r="AN745" s="55">
        <v>0</v>
      </c>
      <c r="AO745" s="55">
        <v>0</v>
      </c>
      <c r="AP745" s="55">
        <f t="shared" si="263"/>
        <v>0</v>
      </c>
      <c r="AQ745" s="55">
        <f>IFERROR(VLOOKUP(A745,[1]SIIMPLES!$A$2:$F$418,6,FALSE),0)</f>
        <v>0</v>
      </c>
      <c r="AR745" s="55">
        <v>0</v>
      </c>
      <c r="AS745" s="55">
        <v>0</v>
      </c>
      <c r="AT745" s="55">
        <v>0</v>
      </c>
      <c r="AU745" s="55">
        <v>0</v>
      </c>
      <c r="AV745" s="55">
        <v>0</v>
      </c>
      <c r="AW745" s="55"/>
      <c r="AX745" s="55"/>
      <c r="AY745" s="56">
        <f t="shared" si="275"/>
        <v>0</v>
      </c>
      <c r="AZ745" s="55"/>
      <c r="BA745" s="56">
        <v>0</v>
      </c>
      <c r="BB745" s="41" t="str">
        <f t="shared" si="279"/>
        <v/>
      </c>
      <c r="BC745" s="7"/>
      <c r="BD745" s="35"/>
      <c r="BE745" s="7"/>
      <c r="BF745" s="16"/>
      <c r="BG745" s="17" t="str">
        <f t="shared" si="281"/>
        <v>0</v>
      </c>
      <c r="BH745" s="16">
        <f>IFERROR(IF(F745=1,IF(BC745&lt;AY745*3,AY745*3-BC745,0),IF(BC745&lt;AY745,AY745-BC745,0)),"")</f>
        <v>0</v>
      </c>
    </row>
    <row r="746" spans="1:60" s="21" customFormat="1" ht="12.75" customHeight="1" x14ac:dyDescent="0.2">
      <c r="A746" s="51">
        <v>8000</v>
      </c>
      <c r="B746" s="51"/>
      <c r="C746" s="66" t="s">
        <v>1803</v>
      </c>
      <c r="D746" s="52" t="s">
        <v>735</v>
      </c>
      <c r="E746" s="52" t="s">
        <v>736</v>
      </c>
      <c r="F746" s="53">
        <f>IFERROR(VLOOKUP(E746,Fornecedores!$A$2:$B$2700,2,FALSE),"")</f>
        <v>5</v>
      </c>
      <c r="G746" s="52" t="s">
        <v>80</v>
      </c>
      <c r="H746" s="54"/>
      <c r="I746" s="55">
        <f t="shared" si="276"/>
        <v>0</v>
      </c>
      <c r="J746" s="55">
        <v>0</v>
      </c>
      <c r="K746" s="55">
        <v>0</v>
      </c>
      <c r="L746" s="55">
        <v>0</v>
      </c>
      <c r="M746" s="55">
        <v>0</v>
      </c>
      <c r="N746" s="55">
        <f t="shared" si="277"/>
        <v>0</v>
      </c>
      <c r="O746" s="55">
        <v>0</v>
      </c>
      <c r="P746" s="55">
        <v>0</v>
      </c>
      <c r="Q746" s="55">
        <v>0</v>
      </c>
      <c r="R746" s="55">
        <f t="shared" si="278"/>
        <v>0</v>
      </c>
      <c r="S746" s="55">
        <v>0</v>
      </c>
      <c r="T746" s="55">
        <v>0</v>
      </c>
      <c r="U746" s="55">
        <v>0</v>
      </c>
      <c r="V746" s="55">
        <v>0</v>
      </c>
      <c r="W746" s="53">
        <v>0</v>
      </c>
      <c r="X746" s="53">
        <v>0</v>
      </c>
      <c r="Y746" s="55">
        <v>0</v>
      </c>
      <c r="Z746" s="55">
        <v>0</v>
      </c>
      <c r="AA746" s="53">
        <v>0</v>
      </c>
      <c r="AB746" s="53">
        <v>0</v>
      </c>
      <c r="AC746" s="55">
        <v>0</v>
      </c>
      <c r="AD746" s="55">
        <f t="shared" si="272"/>
        <v>0</v>
      </c>
      <c r="AE746" s="53">
        <v>0</v>
      </c>
      <c r="AF746" s="55">
        <v>0</v>
      </c>
      <c r="AG746" s="55">
        <v>0</v>
      </c>
      <c r="AH746" s="55">
        <f t="shared" si="273"/>
        <v>0</v>
      </c>
      <c r="AI746" s="55">
        <v>0</v>
      </c>
      <c r="AJ746" s="55">
        <v>0</v>
      </c>
      <c r="AK746" s="55">
        <v>0</v>
      </c>
      <c r="AL746" s="55">
        <f t="shared" si="274"/>
        <v>0</v>
      </c>
      <c r="AM746" s="55" t="s">
        <v>1912</v>
      </c>
      <c r="AN746" s="55">
        <v>0</v>
      </c>
      <c r="AO746" s="55">
        <v>0</v>
      </c>
      <c r="AP746" s="55">
        <f t="shared" si="263"/>
        <v>0</v>
      </c>
      <c r="AQ746" s="55">
        <f>IFERROR(VLOOKUP(A746,[1]SIIMPLES!$A$2:$F$418,6,FALSE),0)</f>
        <v>0</v>
      </c>
      <c r="AR746" s="55">
        <v>0</v>
      </c>
      <c r="AS746" s="55">
        <v>1</v>
      </c>
      <c r="AT746" s="55">
        <v>1</v>
      </c>
      <c r="AU746" s="55">
        <v>0</v>
      </c>
      <c r="AV746" s="55">
        <v>0</v>
      </c>
      <c r="AW746" s="55"/>
      <c r="AX746" s="55"/>
      <c r="AY746" s="56">
        <f t="shared" si="275"/>
        <v>0.1</v>
      </c>
      <c r="AZ746" s="55"/>
      <c r="BA746" s="56">
        <v>0</v>
      </c>
      <c r="BB746" s="41" t="str">
        <f t="shared" si="279"/>
        <v/>
      </c>
      <c r="BC746" s="7"/>
      <c r="BD746" s="36"/>
      <c r="BE746" s="7"/>
      <c r="BF746" s="7"/>
      <c r="BG746" s="17">
        <f t="shared" si="281"/>
        <v>0</v>
      </c>
      <c r="BH746" s="7"/>
    </row>
    <row r="747" spans="1:60" s="21" customFormat="1" ht="12.75" customHeight="1" x14ac:dyDescent="0.2">
      <c r="A747" s="51">
        <v>8001</v>
      </c>
      <c r="B747" s="51"/>
      <c r="C747" s="66" t="s">
        <v>1803</v>
      </c>
      <c r="D747" s="52" t="s">
        <v>735</v>
      </c>
      <c r="E747" s="52" t="s">
        <v>736</v>
      </c>
      <c r="F747" s="53">
        <f>IFERROR(VLOOKUP(E747,Fornecedores!$A$2:$B$2700,2,FALSE),"")</f>
        <v>5</v>
      </c>
      <c r="G747" s="52" t="s">
        <v>365</v>
      </c>
      <c r="H747" s="54"/>
      <c r="I747" s="55">
        <f t="shared" si="276"/>
        <v>2</v>
      </c>
      <c r="J747" s="55">
        <v>0</v>
      </c>
      <c r="K747" s="55">
        <v>2</v>
      </c>
      <c r="L747" s="55">
        <v>0</v>
      </c>
      <c r="M747" s="55">
        <v>0</v>
      </c>
      <c r="N747" s="55">
        <f t="shared" si="277"/>
        <v>0</v>
      </c>
      <c r="O747" s="55">
        <v>0</v>
      </c>
      <c r="P747" s="55">
        <v>0</v>
      </c>
      <c r="Q747" s="55">
        <v>0</v>
      </c>
      <c r="R747" s="55">
        <f t="shared" si="278"/>
        <v>2</v>
      </c>
      <c r="S747" s="55">
        <v>0</v>
      </c>
      <c r="T747" s="55">
        <v>2</v>
      </c>
      <c r="U747" s="55">
        <v>0</v>
      </c>
      <c r="V747" s="55">
        <v>0</v>
      </c>
      <c r="W747" s="53">
        <v>0</v>
      </c>
      <c r="X747" s="53">
        <v>0</v>
      </c>
      <c r="Y747" s="55">
        <v>0</v>
      </c>
      <c r="Z747" s="55">
        <v>2</v>
      </c>
      <c r="AA747" s="53">
        <v>0</v>
      </c>
      <c r="AB747" s="53">
        <v>2</v>
      </c>
      <c r="AC747" s="55">
        <v>0</v>
      </c>
      <c r="AD747" s="55">
        <f t="shared" si="272"/>
        <v>2</v>
      </c>
      <c r="AE747" s="53">
        <v>0</v>
      </c>
      <c r="AF747" s="55">
        <v>2</v>
      </c>
      <c r="AG747" s="55">
        <v>0</v>
      </c>
      <c r="AH747" s="55">
        <f t="shared" si="273"/>
        <v>4</v>
      </c>
      <c r="AI747" s="55">
        <v>0</v>
      </c>
      <c r="AJ747" s="55">
        <v>4</v>
      </c>
      <c r="AK747" s="55">
        <v>0</v>
      </c>
      <c r="AL747" s="55">
        <f t="shared" si="274"/>
        <v>4</v>
      </c>
      <c r="AM747" s="55" t="s">
        <v>1912</v>
      </c>
      <c r="AN747" s="55">
        <v>4</v>
      </c>
      <c r="AO747" s="55">
        <v>0</v>
      </c>
      <c r="AP747" s="55">
        <f t="shared" si="263"/>
        <v>0</v>
      </c>
      <c r="AQ747" s="55">
        <f>IFERROR(VLOOKUP(A747,[1]SIIMPLES!$A$2:$F$418,6,FALSE),0)</f>
        <v>0</v>
      </c>
      <c r="AR747" s="55">
        <v>0</v>
      </c>
      <c r="AS747" s="55">
        <v>0</v>
      </c>
      <c r="AT747" s="55">
        <v>0</v>
      </c>
      <c r="AU747" s="55">
        <v>0</v>
      </c>
      <c r="AV747" s="55">
        <v>0</v>
      </c>
      <c r="AW747" s="55"/>
      <c r="AX747" s="55"/>
      <c r="AY747" s="56">
        <f t="shared" si="275"/>
        <v>1.6</v>
      </c>
      <c r="AZ747" s="55"/>
      <c r="BA747" s="56">
        <v>2</v>
      </c>
      <c r="BB747" s="41">
        <f t="shared" si="279"/>
        <v>-0.19999999999999996</v>
      </c>
      <c r="BC747" s="7"/>
      <c r="BD747" s="35"/>
      <c r="BE747" s="7"/>
      <c r="BF747" s="16"/>
      <c r="BG747" s="17">
        <f t="shared" si="281"/>
        <v>0</v>
      </c>
      <c r="BH747" s="16">
        <f t="shared" ref="BH747:BH768" si="282">IFERROR(IF(F747=1,IF(BC747&lt;AY747*3,AY747*3-BC747,0),IF(BC747&lt;AY747,AY747-BC747,0)),"")</f>
        <v>1.6</v>
      </c>
    </row>
    <row r="748" spans="1:60" s="21" customFormat="1" ht="12.75" customHeight="1" x14ac:dyDescent="0.2">
      <c r="A748" s="51">
        <v>8002</v>
      </c>
      <c r="B748" s="51"/>
      <c r="C748" s="66" t="s">
        <v>1803</v>
      </c>
      <c r="D748" s="52" t="s">
        <v>735</v>
      </c>
      <c r="E748" s="52" t="s">
        <v>736</v>
      </c>
      <c r="F748" s="53">
        <f>IFERROR(VLOOKUP(E748,Fornecedores!$A$2:$B$2700,2,FALSE),"")</f>
        <v>5</v>
      </c>
      <c r="G748" s="52" t="s">
        <v>1040</v>
      </c>
      <c r="H748" s="57"/>
      <c r="I748" s="55">
        <f t="shared" si="276"/>
        <v>0</v>
      </c>
      <c r="J748" s="55">
        <v>0</v>
      </c>
      <c r="K748" s="55">
        <v>0</v>
      </c>
      <c r="L748" s="55">
        <v>0</v>
      </c>
      <c r="M748" s="55">
        <v>0</v>
      </c>
      <c r="N748" s="55">
        <f t="shared" si="277"/>
        <v>0</v>
      </c>
      <c r="O748" s="55">
        <v>0</v>
      </c>
      <c r="P748" s="55">
        <v>0</v>
      </c>
      <c r="Q748" s="55">
        <v>0</v>
      </c>
      <c r="R748" s="55">
        <f t="shared" si="278"/>
        <v>0</v>
      </c>
      <c r="S748" s="55">
        <v>0</v>
      </c>
      <c r="T748" s="55">
        <v>0</v>
      </c>
      <c r="U748" s="55">
        <v>0</v>
      </c>
      <c r="V748" s="55">
        <v>0</v>
      </c>
      <c r="W748" s="53">
        <v>0</v>
      </c>
      <c r="X748" s="53">
        <v>0</v>
      </c>
      <c r="Y748" s="55">
        <v>0</v>
      </c>
      <c r="Z748" s="55">
        <v>0</v>
      </c>
      <c r="AA748" s="53">
        <v>0</v>
      </c>
      <c r="AB748" s="53">
        <v>0</v>
      </c>
      <c r="AC748" s="55">
        <v>0</v>
      </c>
      <c r="AD748" s="55">
        <f t="shared" si="272"/>
        <v>0</v>
      </c>
      <c r="AE748" s="53">
        <v>0</v>
      </c>
      <c r="AF748" s="55">
        <v>0</v>
      </c>
      <c r="AG748" s="55">
        <v>0</v>
      </c>
      <c r="AH748" s="55">
        <f t="shared" si="273"/>
        <v>0</v>
      </c>
      <c r="AI748" s="55">
        <v>0</v>
      </c>
      <c r="AJ748" s="55">
        <v>0</v>
      </c>
      <c r="AK748" s="55">
        <v>0</v>
      </c>
      <c r="AL748" s="55">
        <f t="shared" si="274"/>
        <v>0</v>
      </c>
      <c r="AM748" s="55" t="s">
        <v>1912</v>
      </c>
      <c r="AN748" s="55">
        <v>0</v>
      </c>
      <c r="AO748" s="55">
        <v>0</v>
      </c>
      <c r="AP748" s="55">
        <f t="shared" si="263"/>
        <v>0</v>
      </c>
      <c r="AQ748" s="55">
        <f>IFERROR(VLOOKUP(A748,[1]SIIMPLES!$A$2:$F$418,6,FALSE),0)</f>
        <v>0</v>
      </c>
      <c r="AR748" s="55">
        <v>0</v>
      </c>
      <c r="AS748" s="55">
        <v>0</v>
      </c>
      <c r="AT748" s="55">
        <v>0</v>
      </c>
      <c r="AU748" s="55">
        <v>0</v>
      </c>
      <c r="AV748" s="55">
        <v>0</v>
      </c>
      <c r="AW748" s="55"/>
      <c r="AX748" s="55"/>
      <c r="AY748" s="56">
        <f t="shared" si="275"/>
        <v>0</v>
      </c>
      <c r="AZ748" s="55"/>
      <c r="BA748" s="56">
        <v>0</v>
      </c>
      <c r="BB748" s="41" t="str">
        <f t="shared" si="279"/>
        <v/>
      </c>
      <c r="BC748" s="7"/>
      <c r="BD748" s="35"/>
      <c r="BE748" s="13"/>
      <c r="BF748" s="16">
        <f>SUM(BC748:BE748)</f>
        <v>0</v>
      </c>
      <c r="BG748" s="17" t="str">
        <f t="shared" si="281"/>
        <v>0</v>
      </c>
      <c r="BH748" s="16">
        <f t="shared" si="282"/>
        <v>0</v>
      </c>
    </row>
    <row r="749" spans="1:60" s="21" customFormat="1" ht="12.75" customHeight="1" x14ac:dyDescent="0.2">
      <c r="A749" s="51">
        <v>8003</v>
      </c>
      <c r="B749" s="51"/>
      <c r="C749" s="66" t="s">
        <v>1803</v>
      </c>
      <c r="D749" s="52" t="s">
        <v>735</v>
      </c>
      <c r="E749" s="52" t="s">
        <v>736</v>
      </c>
      <c r="F749" s="53">
        <f>IFERROR(VLOOKUP(E749,Fornecedores!$A$2:$B$2700,2,FALSE),"")</f>
        <v>5</v>
      </c>
      <c r="G749" s="52" t="s">
        <v>1041</v>
      </c>
      <c r="H749" s="57"/>
      <c r="I749" s="55">
        <f t="shared" si="276"/>
        <v>0</v>
      </c>
      <c r="J749" s="55">
        <v>0</v>
      </c>
      <c r="K749" s="55">
        <v>0</v>
      </c>
      <c r="L749" s="55">
        <v>0</v>
      </c>
      <c r="M749" s="55">
        <v>0</v>
      </c>
      <c r="N749" s="55">
        <f t="shared" si="277"/>
        <v>0</v>
      </c>
      <c r="O749" s="55">
        <v>0</v>
      </c>
      <c r="P749" s="55">
        <v>0</v>
      </c>
      <c r="Q749" s="55">
        <v>0</v>
      </c>
      <c r="R749" s="55">
        <f t="shared" si="278"/>
        <v>3</v>
      </c>
      <c r="S749" s="55">
        <v>1</v>
      </c>
      <c r="T749" s="55">
        <v>2</v>
      </c>
      <c r="U749" s="55">
        <v>0</v>
      </c>
      <c r="V749" s="55">
        <v>0</v>
      </c>
      <c r="W749" s="53">
        <v>0</v>
      </c>
      <c r="X749" s="53">
        <v>0</v>
      </c>
      <c r="Y749" s="55">
        <v>0</v>
      </c>
      <c r="Z749" s="55">
        <v>0</v>
      </c>
      <c r="AA749" s="53">
        <v>0</v>
      </c>
      <c r="AB749" s="53">
        <v>0</v>
      </c>
      <c r="AC749" s="55">
        <v>0</v>
      </c>
      <c r="AD749" s="55">
        <f t="shared" si="272"/>
        <v>2</v>
      </c>
      <c r="AE749" s="53">
        <v>0</v>
      </c>
      <c r="AF749" s="55">
        <v>2</v>
      </c>
      <c r="AG749" s="55">
        <v>0</v>
      </c>
      <c r="AH749" s="55">
        <f t="shared" si="273"/>
        <v>0</v>
      </c>
      <c r="AI749" s="55">
        <v>0</v>
      </c>
      <c r="AJ749" s="55">
        <v>0</v>
      </c>
      <c r="AK749" s="55">
        <v>0</v>
      </c>
      <c r="AL749" s="55">
        <f t="shared" si="274"/>
        <v>0</v>
      </c>
      <c r="AM749" s="55" t="s">
        <v>1912</v>
      </c>
      <c r="AN749" s="55">
        <v>0</v>
      </c>
      <c r="AO749" s="55">
        <v>0</v>
      </c>
      <c r="AP749" s="55">
        <f t="shared" si="263"/>
        <v>0</v>
      </c>
      <c r="AQ749" s="55">
        <f>IFERROR(VLOOKUP(A749,[1]SIIMPLES!$A$2:$F$418,6,FALSE),0)</f>
        <v>0</v>
      </c>
      <c r="AR749" s="55">
        <v>0</v>
      </c>
      <c r="AS749" s="55">
        <v>0</v>
      </c>
      <c r="AT749" s="55">
        <v>0</v>
      </c>
      <c r="AU749" s="55">
        <v>0</v>
      </c>
      <c r="AV749" s="55">
        <v>0</v>
      </c>
      <c r="AW749" s="55"/>
      <c r="AX749" s="55"/>
      <c r="AY749" s="56">
        <f t="shared" si="275"/>
        <v>0.5</v>
      </c>
      <c r="AZ749" s="55"/>
      <c r="BA749" s="56">
        <v>0.33333333333333331</v>
      </c>
      <c r="BB749" s="41">
        <f t="shared" si="279"/>
        <v>0.5</v>
      </c>
      <c r="BC749" s="13"/>
      <c r="BD749" s="35"/>
      <c r="BE749" s="13"/>
      <c r="BF749" s="16">
        <f>SUM(BC749:BE749)</f>
        <v>0</v>
      </c>
      <c r="BG749" s="17">
        <f t="shared" si="281"/>
        <v>0</v>
      </c>
      <c r="BH749" s="16">
        <f t="shared" si="282"/>
        <v>0.5</v>
      </c>
    </row>
    <row r="750" spans="1:60" s="21" customFormat="1" ht="12.75" customHeight="1" x14ac:dyDescent="0.2">
      <c r="A750" s="51">
        <v>8004</v>
      </c>
      <c r="B750" s="51"/>
      <c r="C750" s="66" t="s">
        <v>1803</v>
      </c>
      <c r="D750" s="52" t="s">
        <v>735</v>
      </c>
      <c r="E750" s="52" t="s">
        <v>736</v>
      </c>
      <c r="F750" s="53">
        <f>IFERROR(VLOOKUP(E750,Fornecedores!$A$2:$B$2700,2,FALSE),"")</f>
        <v>5</v>
      </c>
      <c r="G750" s="52" t="s">
        <v>1042</v>
      </c>
      <c r="H750" s="57"/>
      <c r="I750" s="55">
        <f t="shared" si="276"/>
        <v>4</v>
      </c>
      <c r="J750" s="55">
        <v>0</v>
      </c>
      <c r="K750" s="55">
        <v>4</v>
      </c>
      <c r="L750" s="55">
        <v>0</v>
      </c>
      <c r="M750" s="55">
        <v>0</v>
      </c>
      <c r="N750" s="55">
        <f t="shared" si="277"/>
        <v>2</v>
      </c>
      <c r="O750" s="55">
        <v>0</v>
      </c>
      <c r="P750" s="55">
        <v>2</v>
      </c>
      <c r="Q750" s="55">
        <v>0</v>
      </c>
      <c r="R750" s="55">
        <f t="shared" si="278"/>
        <v>2</v>
      </c>
      <c r="S750" s="55">
        <v>0</v>
      </c>
      <c r="T750" s="55">
        <v>2</v>
      </c>
      <c r="U750" s="55">
        <v>0</v>
      </c>
      <c r="V750" s="55">
        <v>2</v>
      </c>
      <c r="W750" s="53">
        <v>0</v>
      </c>
      <c r="X750" s="53">
        <v>2</v>
      </c>
      <c r="Y750" s="55">
        <v>0</v>
      </c>
      <c r="Z750" s="55">
        <v>2</v>
      </c>
      <c r="AA750" s="53">
        <v>0</v>
      </c>
      <c r="AB750" s="53">
        <v>2</v>
      </c>
      <c r="AC750" s="55">
        <v>0</v>
      </c>
      <c r="AD750" s="55">
        <f t="shared" si="272"/>
        <v>2</v>
      </c>
      <c r="AE750" s="53">
        <v>0</v>
      </c>
      <c r="AF750" s="55">
        <v>2</v>
      </c>
      <c r="AG750" s="55">
        <v>0</v>
      </c>
      <c r="AH750" s="55">
        <f t="shared" si="273"/>
        <v>0</v>
      </c>
      <c r="AI750" s="55">
        <v>0</v>
      </c>
      <c r="AJ750" s="55">
        <v>0</v>
      </c>
      <c r="AK750" s="55">
        <v>0</v>
      </c>
      <c r="AL750" s="55">
        <f t="shared" si="274"/>
        <v>0</v>
      </c>
      <c r="AM750" s="55" t="s">
        <v>1912</v>
      </c>
      <c r="AN750" s="55">
        <v>0</v>
      </c>
      <c r="AO750" s="55">
        <v>0</v>
      </c>
      <c r="AP750" s="55">
        <f t="shared" si="263"/>
        <v>0</v>
      </c>
      <c r="AQ750" s="55">
        <f>IFERROR(VLOOKUP(A750,[1]SIIMPLES!$A$2:$F$418,6,FALSE),0)</f>
        <v>0</v>
      </c>
      <c r="AR750" s="55">
        <v>0</v>
      </c>
      <c r="AS750" s="55">
        <v>0</v>
      </c>
      <c r="AT750" s="55">
        <v>0</v>
      </c>
      <c r="AU750" s="55">
        <v>0</v>
      </c>
      <c r="AV750" s="55">
        <v>0</v>
      </c>
      <c r="AW750" s="55"/>
      <c r="AX750" s="55"/>
      <c r="AY750" s="56">
        <f t="shared" si="275"/>
        <v>1.4</v>
      </c>
      <c r="AZ750" s="55"/>
      <c r="BA750" s="56">
        <v>0.33333333333333331</v>
      </c>
      <c r="BB750" s="41">
        <f t="shared" si="279"/>
        <v>3.2</v>
      </c>
      <c r="BC750" s="7"/>
      <c r="BD750" s="35"/>
      <c r="BE750" s="13"/>
      <c r="BF750" s="16">
        <f>SUM(BC750:BE750)</f>
        <v>0</v>
      </c>
      <c r="BG750" s="17">
        <f t="shared" si="281"/>
        <v>0</v>
      </c>
      <c r="BH750" s="16">
        <f t="shared" si="282"/>
        <v>1.4</v>
      </c>
    </row>
    <row r="751" spans="1:60" s="21" customFormat="1" ht="12.75" customHeight="1" x14ac:dyDescent="0.2">
      <c r="A751" s="51">
        <v>8005</v>
      </c>
      <c r="B751" s="51"/>
      <c r="C751" s="66" t="s">
        <v>1803</v>
      </c>
      <c r="D751" s="52" t="s">
        <v>735</v>
      </c>
      <c r="E751" s="52" t="s">
        <v>736</v>
      </c>
      <c r="F751" s="53">
        <f>IFERROR(VLOOKUP(E751,Fornecedores!$A$2:$B$2700,2,FALSE),"")</f>
        <v>5</v>
      </c>
      <c r="G751" s="52" t="s">
        <v>1043</v>
      </c>
      <c r="H751" s="57"/>
      <c r="I751" s="55">
        <f t="shared" si="276"/>
        <v>0</v>
      </c>
      <c r="J751" s="55">
        <v>0</v>
      </c>
      <c r="K751" s="55">
        <v>0</v>
      </c>
      <c r="L751" s="55">
        <v>0</v>
      </c>
      <c r="M751" s="55">
        <v>0</v>
      </c>
      <c r="N751" s="55">
        <f t="shared" si="277"/>
        <v>0</v>
      </c>
      <c r="O751" s="55">
        <v>0</v>
      </c>
      <c r="P751" s="55">
        <v>0</v>
      </c>
      <c r="Q751" s="55">
        <v>0</v>
      </c>
      <c r="R751" s="55">
        <f t="shared" si="278"/>
        <v>0</v>
      </c>
      <c r="S751" s="55">
        <v>0</v>
      </c>
      <c r="T751" s="55">
        <v>0</v>
      </c>
      <c r="U751" s="55">
        <v>0</v>
      </c>
      <c r="V751" s="55">
        <v>0</v>
      </c>
      <c r="W751" s="53">
        <v>0</v>
      </c>
      <c r="X751" s="53">
        <v>0</v>
      </c>
      <c r="Y751" s="55">
        <v>0</v>
      </c>
      <c r="Z751" s="55">
        <v>0</v>
      </c>
      <c r="AA751" s="53">
        <v>0</v>
      </c>
      <c r="AB751" s="53">
        <v>0</v>
      </c>
      <c r="AC751" s="55">
        <v>0</v>
      </c>
      <c r="AD751" s="55">
        <f t="shared" si="272"/>
        <v>0</v>
      </c>
      <c r="AE751" s="53">
        <v>0</v>
      </c>
      <c r="AF751" s="55">
        <v>0</v>
      </c>
      <c r="AG751" s="55">
        <v>0</v>
      </c>
      <c r="AH751" s="55">
        <f t="shared" si="273"/>
        <v>0</v>
      </c>
      <c r="AI751" s="55">
        <v>0</v>
      </c>
      <c r="AJ751" s="55">
        <v>0</v>
      </c>
      <c r="AK751" s="55">
        <v>0</v>
      </c>
      <c r="AL751" s="55">
        <f t="shared" si="274"/>
        <v>0</v>
      </c>
      <c r="AM751" s="55" t="s">
        <v>1912</v>
      </c>
      <c r="AN751" s="55">
        <v>0</v>
      </c>
      <c r="AO751" s="55">
        <v>0</v>
      </c>
      <c r="AP751" s="55">
        <f t="shared" si="263"/>
        <v>0</v>
      </c>
      <c r="AQ751" s="55">
        <f>IFERROR(VLOOKUP(A751,[1]SIIMPLES!$A$2:$F$418,6,FALSE),0)</f>
        <v>0</v>
      </c>
      <c r="AR751" s="55">
        <v>0</v>
      </c>
      <c r="AS751" s="55">
        <v>0</v>
      </c>
      <c r="AT751" s="55">
        <v>0</v>
      </c>
      <c r="AU751" s="55">
        <v>0</v>
      </c>
      <c r="AV751" s="55">
        <v>0</v>
      </c>
      <c r="AW751" s="55"/>
      <c r="AX751" s="55"/>
      <c r="AY751" s="56">
        <f t="shared" si="275"/>
        <v>0</v>
      </c>
      <c r="AZ751" s="55"/>
      <c r="BA751" s="56">
        <v>0</v>
      </c>
      <c r="BB751" s="41" t="str">
        <f t="shared" si="279"/>
        <v/>
      </c>
      <c r="BC751" s="7"/>
      <c r="BD751" s="36"/>
      <c r="BE751" s="7"/>
      <c r="BF751" s="16"/>
      <c r="BG751" s="17" t="str">
        <f t="shared" si="281"/>
        <v>0</v>
      </c>
      <c r="BH751" s="16">
        <f t="shared" si="282"/>
        <v>0</v>
      </c>
    </row>
    <row r="752" spans="1:60" s="21" customFormat="1" ht="12.75" customHeight="1" x14ac:dyDescent="0.2">
      <c r="A752" s="51">
        <v>8106</v>
      </c>
      <c r="B752" s="51"/>
      <c r="C752" s="66" t="s">
        <v>1803</v>
      </c>
      <c r="D752" s="52" t="s">
        <v>735</v>
      </c>
      <c r="E752" s="52" t="s">
        <v>736</v>
      </c>
      <c r="F752" s="53">
        <f>IFERROR(VLOOKUP(E752,Fornecedores!$A$2:$B$2700,2,FALSE),"")</f>
        <v>5</v>
      </c>
      <c r="G752" s="52" t="s">
        <v>304</v>
      </c>
      <c r="H752" s="54"/>
      <c r="I752" s="55">
        <f t="shared" si="276"/>
        <v>2</v>
      </c>
      <c r="J752" s="55">
        <v>0</v>
      </c>
      <c r="K752" s="55">
        <v>2</v>
      </c>
      <c r="L752" s="55">
        <v>0</v>
      </c>
      <c r="M752" s="55">
        <v>0</v>
      </c>
      <c r="N752" s="55">
        <f t="shared" si="277"/>
        <v>0</v>
      </c>
      <c r="O752" s="55">
        <v>0</v>
      </c>
      <c r="P752" s="55">
        <v>0</v>
      </c>
      <c r="Q752" s="55">
        <v>0</v>
      </c>
      <c r="R752" s="55">
        <f t="shared" si="278"/>
        <v>2</v>
      </c>
      <c r="S752" s="55">
        <v>0</v>
      </c>
      <c r="T752" s="55">
        <v>2</v>
      </c>
      <c r="U752" s="55">
        <v>0</v>
      </c>
      <c r="V752" s="55">
        <v>0</v>
      </c>
      <c r="W752" s="53">
        <v>0</v>
      </c>
      <c r="X752" s="53">
        <v>0</v>
      </c>
      <c r="Y752" s="55">
        <v>0</v>
      </c>
      <c r="Z752" s="55">
        <v>0</v>
      </c>
      <c r="AA752" s="53">
        <v>0</v>
      </c>
      <c r="AB752" s="53">
        <v>0</v>
      </c>
      <c r="AC752" s="55">
        <v>0</v>
      </c>
      <c r="AD752" s="55">
        <f t="shared" si="272"/>
        <v>8</v>
      </c>
      <c r="AE752" s="53">
        <v>2</v>
      </c>
      <c r="AF752" s="55">
        <v>6</v>
      </c>
      <c r="AG752" s="55">
        <v>0</v>
      </c>
      <c r="AH752" s="55">
        <f t="shared" si="273"/>
        <v>0</v>
      </c>
      <c r="AI752" s="55">
        <v>0</v>
      </c>
      <c r="AJ752" s="55">
        <v>0</v>
      </c>
      <c r="AK752" s="55">
        <v>0</v>
      </c>
      <c r="AL752" s="55">
        <f t="shared" si="274"/>
        <v>0</v>
      </c>
      <c r="AM752" s="55" t="s">
        <v>1912</v>
      </c>
      <c r="AN752" s="55">
        <v>0</v>
      </c>
      <c r="AO752" s="55">
        <v>0</v>
      </c>
      <c r="AP752" s="55">
        <f t="shared" si="263"/>
        <v>0</v>
      </c>
      <c r="AQ752" s="55">
        <f>IFERROR(VLOOKUP(A752,[1]SIIMPLES!$A$2:$F$418,6,FALSE),0)</f>
        <v>0</v>
      </c>
      <c r="AR752" s="55">
        <v>0</v>
      </c>
      <c r="AS752" s="55">
        <v>2</v>
      </c>
      <c r="AT752" s="55">
        <v>0</v>
      </c>
      <c r="AU752" s="55">
        <v>2</v>
      </c>
      <c r="AV752" s="55">
        <v>0</v>
      </c>
      <c r="AW752" s="55"/>
      <c r="AX752" s="55"/>
      <c r="AY752" s="56">
        <f t="shared" si="275"/>
        <v>1.4</v>
      </c>
      <c r="AZ752" s="55"/>
      <c r="BA752" s="56">
        <v>3.6666666666666665</v>
      </c>
      <c r="BB752" s="41">
        <f t="shared" si="279"/>
        <v>-0.61818181818181817</v>
      </c>
      <c r="BC752" s="7"/>
      <c r="BD752" s="35"/>
      <c r="BE752" s="13"/>
      <c r="BF752" s="16">
        <f t="shared" ref="BF752:BF757" si="283">SUM(BC752:BE752)</f>
        <v>0</v>
      </c>
      <c r="BG752" s="17">
        <f t="shared" si="281"/>
        <v>0</v>
      </c>
      <c r="BH752" s="16">
        <f t="shared" si="282"/>
        <v>1.4</v>
      </c>
    </row>
    <row r="753" spans="1:60" s="21" customFormat="1" ht="12.75" customHeight="1" x14ac:dyDescent="0.2">
      <c r="A753" s="51">
        <v>8402</v>
      </c>
      <c r="B753" s="51"/>
      <c r="C753" s="66" t="s">
        <v>1803</v>
      </c>
      <c r="D753" s="52" t="s">
        <v>735</v>
      </c>
      <c r="E753" s="52" t="s">
        <v>736</v>
      </c>
      <c r="F753" s="53">
        <f>IFERROR(VLOOKUP(E753,Fornecedores!$A$2:$B$2700,2,FALSE),"")</f>
        <v>5</v>
      </c>
      <c r="G753" s="52" t="s">
        <v>1044</v>
      </c>
      <c r="H753" s="57"/>
      <c r="I753" s="55">
        <f t="shared" si="276"/>
        <v>0</v>
      </c>
      <c r="J753" s="55">
        <v>0</v>
      </c>
      <c r="K753" s="55">
        <v>0</v>
      </c>
      <c r="L753" s="55">
        <v>0</v>
      </c>
      <c r="M753" s="55">
        <v>0</v>
      </c>
      <c r="N753" s="55">
        <f t="shared" si="277"/>
        <v>0</v>
      </c>
      <c r="O753" s="55">
        <v>0</v>
      </c>
      <c r="P753" s="55">
        <v>0</v>
      </c>
      <c r="Q753" s="55">
        <v>0</v>
      </c>
      <c r="R753" s="55">
        <f t="shared" si="278"/>
        <v>0</v>
      </c>
      <c r="S753" s="55">
        <v>0</v>
      </c>
      <c r="T753" s="55">
        <v>0</v>
      </c>
      <c r="U753" s="55">
        <v>0</v>
      </c>
      <c r="V753" s="55">
        <v>0</v>
      </c>
      <c r="W753" s="53">
        <v>0</v>
      </c>
      <c r="X753" s="53">
        <v>0</v>
      </c>
      <c r="Y753" s="55">
        <v>0</v>
      </c>
      <c r="Z753" s="55">
        <v>0</v>
      </c>
      <c r="AA753" s="53">
        <v>0</v>
      </c>
      <c r="AB753" s="53">
        <v>0</v>
      </c>
      <c r="AC753" s="55">
        <v>0</v>
      </c>
      <c r="AD753" s="55">
        <f t="shared" si="272"/>
        <v>0</v>
      </c>
      <c r="AE753" s="53">
        <v>0</v>
      </c>
      <c r="AF753" s="55">
        <v>0</v>
      </c>
      <c r="AG753" s="55">
        <v>0</v>
      </c>
      <c r="AH753" s="55">
        <f t="shared" si="273"/>
        <v>2</v>
      </c>
      <c r="AI753" s="55">
        <v>0</v>
      </c>
      <c r="AJ753" s="55">
        <v>2</v>
      </c>
      <c r="AK753" s="55">
        <v>0</v>
      </c>
      <c r="AL753" s="55">
        <f t="shared" si="274"/>
        <v>0</v>
      </c>
      <c r="AM753" s="55" t="s">
        <v>1912</v>
      </c>
      <c r="AN753" s="55">
        <v>0</v>
      </c>
      <c r="AO753" s="55">
        <v>0</v>
      </c>
      <c r="AP753" s="55">
        <f t="shared" si="263"/>
        <v>0</v>
      </c>
      <c r="AQ753" s="55">
        <f>IFERROR(VLOOKUP(A753,[1]SIIMPLES!$A$2:$F$418,6,FALSE),0)</f>
        <v>0</v>
      </c>
      <c r="AR753" s="55">
        <v>0</v>
      </c>
      <c r="AS753" s="55">
        <v>0</v>
      </c>
      <c r="AT753" s="55">
        <v>0</v>
      </c>
      <c r="AU753" s="55">
        <v>0</v>
      </c>
      <c r="AV753" s="55">
        <v>0</v>
      </c>
      <c r="AW753" s="55"/>
      <c r="AX753" s="55"/>
      <c r="AY753" s="56">
        <f t="shared" si="275"/>
        <v>0.2</v>
      </c>
      <c r="AZ753" s="55"/>
      <c r="BA753" s="56">
        <v>0</v>
      </c>
      <c r="BB753" s="41" t="str">
        <f t="shared" si="279"/>
        <v/>
      </c>
      <c r="BC753" s="13"/>
      <c r="BD753" s="35"/>
      <c r="BE753" s="13"/>
      <c r="BF753" s="16">
        <f t="shared" si="283"/>
        <v>0</v>
      </c>
      <c r="BG753" s="17">
        <f t="shared" si="281"/>
        <v>0</v>
      </c>
      <c r="BH753" s="16">
        <f t="shared" si="282"/>
        <v>0.2</v>
      </c>
    </row>
    <row r="754" spans="1:60" s="21" customFormat="1" ht="12.75" customHeight="1" x14ac:dyDescent="0.2">
      <c r="A754" s="51">
        <v>8502</v>
      </c>
      <c r="B754" s="51"/>
      <c r="C754" s="66" t="s">
        <v>1803</v>
      </c>
      <c r="D754" s="52" t="s">
        <v>735</v>
      </c>
      <c r="E754" s="52" t="s">
        <v>736</v>
      </c>
      <c r="F754" s="53">
        <f>IFERROR(VLOOKUP(E754,Fornecedores!$A$2:$B$2700,2,FALSE),"")</f>
        <v>5</v>
      </c>
      <c r="G754" s="52" t="s">
        <v>147</v>
      </c>
      <c r="H754" s="54"/>
      <c r="I754" s="55">
        <f t="shared" si="276"/>
        <v>0</v>
      </c>
      <c r="J754" s="55">
        <v>0</v>
      </c>
      <c r="K754" s="55">
        <v>0</v>
      </c>
      <c r="L754" s="55">
        <v>0</v>
      </c>
      <c r="M754" s="55">
        <v>0</v>
      </c>
      <c r="N754" s="55">
        <f t="shared" si="277"/>
        <v>0</v>
      </c>
      <c r="O754" s="55">
        <v>0</v>
      </c>
      <c r="P754" s="55">
        <v>0</v>
      </c>
      <c r="Q754" s="55">
        <v>0</v>
      </c>
      <c r="R754" s="55">
        <f t="shared" si="278"/>
        <v>0</v>
      </c>
      <c r="S754" s="55">
        <v>0</v>
      </c>
      <c r="T754" s="55">
        <v>0</v>
      </c>
      <c r="U754" s="55">
        <v>0</v>
      </c>
      <c r="V754" s="55">
        <v>0</v>
      </c>
      <c r="W754" s="53">
        <v>0</v>
      </c>
      <c r="X754" s="53">
        <v>0</v>
      </c>
      <c r="Y754" s="55">
        <v>0</v>
      </c>
      <c r="Z754" s="55">
        <v>0</v>
      </c>
      <c r="AA754" s="53">
        <v>0</v>
      </c>
      <c r="AB754" s="53">
        <v>0</v>
      </c>
      <c r="AC754" s="55">
        <v>0</v>
      </c>
      <c r="AD754" s="55">
        <f t="shared" si="272"/>
        <v>0</v>
      </c>
      <c r="AE754" s="53">
        <v>0</v>
      </c>
      <c r="AF754" s="55">
        <v>0</v>
      </c>
      <c r="AG754" s="55">
        <v>0</v>
      </c>
      <c r="AH754" s="55">
        <f t="shared" si="273"/>
        <v>0</v>
      </c>
      <c r="AI754" s="55">
        <v>0</v>
      </c>
      <c r="AJ754" s="55">
        <v>0</v>
      </c>
      <c r="AK754" s="55">
        <v>0</v>
      </c>
      <c r="AL754" s="55">
        <f t="shared" si="274"/>
        <v>2</v>
      </c>
      <c r="AM754" s="55" t="s">
        <v>1912</v>
      </c>
      <c r="AN754" s="55">
        <v>2</v>
      </c>
      <c r="AO754" s="55">
        <v>0</v>
      </c>
      <c r="AP754" s="55">
        <f t="shared" si="263"/>
        <v>0</v>
      </c>
      <c r="AQ754" s="55">
        <f>IFERROR(VLOOKUP(A754,[1]SIIMPLES!$A$2:$F$418,6,FALSE),0)</f>
        <v>0</v>
      </c>
      <c r="AR754" s="55">
        <v>0</v>
      </c>
      <c r="AS754" s="55">
        <v>4</v>
      </c>
      <c r="AT754" s="55">
        <v>0</v>
      </c>
      <c r="AU754" s="55">
        <v>4</v>
      </c>
      <c r="AV754" s="55">
        <v>0</v>
      </c>
      <c r="AW754" s="55"/>
      <c r="AX754" s="55"/>
      <c r="AY754" s="56">
        <f t="shared" si="275"/>
        <v>0.6</v>
      </c>
      <c r="AZ754" s="55"/>
      <c r="BA754" s="56">
        <v>0</v>
      </c>
      <c r="BB754" s="41" t="str">
        <f t="shared" si="279"/>
        <v/>
      </c>
      <c r="BC754" s="10"/>
      <c r="BD754" s="35"/>
      <c r="BE754" s="13"/>
      <c r="BF754" s="16">
        <f t="shared" si="283"/>
        <v>0</v>
      </c>
      <c r="BG754" s="17">
        <f t="shared" si="281"/>
        <v>0</v>
      </c>
      <c r="BH754" s="16">
        <f t="shared" si="282"/>
        <v>0.6</v>
      </c>
    </row>
    <row r="755" spans="1:60" s="21" customFormat="1" ht="12.75" customHeight="1" x14ac:dyDescent="0.2">
      <c r="A755" s="51">
        <v>8503</v>
      </c>
      <c r="B755" s="51"/>
      <c r="C755" s="66" t="s">
        <v>1803</v>
      </c>
      <c r="D755" s="52" t="s">
        <v>735</v>
      </c>
      <c r="E755" s="52" t="s">
        <v>736</v>
      </c>
      <c r="F755" s="53">
        <f>IFERROR(VLOOKUP(E755,Fornecedores!$A$2:$B$2700,2,FALSE),"")</f>
        <v>5</v>
      </c>
      <c r="G755" s="52" t="s">
        <v>3</v>
      </c>
      <c r="H755" s="54"/>
      <c r="I755" s="55">
        <f t="shared" si="276"/>
        <v>0</v>
      </c>
      <c r="J755" s="55">
        <v>0</v>
      </c>
      <c r="K755" s="55">
        <v>0</v>
      </c>
      <c r="L755" s="55">
        <v>0</v>
      </c>
      <c r="M755" s="55">
        <v>0</v>
      </c>
      <c r="N755" s="55">
        <f t="shared" si="277"/>
        <v>0</v>
      </c>
      <c r="O755" s="55">
        <v>0</v>
      </c>
      <c r="P755" s="55">
        <v>0</v>
      </c>
      <c r="Q755" s="55">
        <v>0</v>
      </c>
      <c r="R755" s="55">
        <f t="shared" si="278"/>
        <v>0</v>
      </c>
      <c r="S755" s="55">
        <v>0</v>
      </c>
      <c r="T755" s="55">
        <v>0</v>
      </c>
      <c r="U755" s="55">
        <v>0</v>
      </c>
      <c r="V755" s="55">
        <v>0</v>
      </c>
      <c r="W755" s="53">
        <v>0</v>
      </c>
      <c r="X755" s="53">
        <v>0</v>
      </c>
      <c r="Y755" s="55">
        <v>0</v>
      </c>
      <c r="Z755" s="55">
        <v>0</v>
      </c>
      <c r="AA755" s="53">
        <v>0</v>
      </c>
      <c r="AB755" s="53">
        <v>0</v>
      </c>
      <c r="AC755" s="55">
        <v>0</v>
      </c>
      <c r="AD755" s="55">
        <f t="shared" si="272"/>
        <v>0</v>
      </c>
      <c r="AE755" s="53">
        <v>0</v>
      </c>
      <c r="AF755" s="55">
        <v>0</v>
      </c>
      <c r="AG755" s="55">
        <v>0</v>
      </c>
      <c r="AH755" s="55">
        <f t="shared" si="273"/>
        <v>0</v>
      </c>
      <c r="AI755" s="55">
        <v>0</v>
      </c>
      <c r="AJ755" s="55">
        <v>0</v>
      </c>
      <c r="AK755" s="55">
        <v>0</v>
      </c>
      <c r="AL755" s="55">
        <f t="shared" si="274"/>
        <v>0</v>
      </c>
      <c r="AM755" s="55" t="s">
        <v>1912</v>
      </c>
      <c r="AN755" s="55">
        <v>0</v>
      </c>
      <c r="AO755" s="55">
        <v>0</v>
      </c>
      <c r="AP755" s="55">
        <f t="shared" si="263"/>
        <v>0</v>
      </c>
      <c r="AQ755" s="55">
        <f>IFERROR(VLOOKUP(A755,[1]SIIMPLES!$A$2:$F$418,6,FALSE),0)</f>
        <v>0</v>
      </c>
      <c r="AR755" s="55">
        <v>0</v>
      </c>
      <c r="AS755" s="55">
        <v>0</v>
      </c>
      <c r="AT755" s="55">
        <v>0</v>
      </c>
      <c r="AU755" s="55">
        <v>0</v>
      </c>
      <c r="AV755" s="55">
        <v>0</v>
      </c>
      <c r="AW755" s="55"/>
      <c r="AX755" s="55"/>
      <c r="AY755" s="56">
        <f t="shared" si="275"/>
        <v>0</v>
      </c>
      <c r="AZ755" s="55"/>
      <c r="BA755" s="56">
        <v>0</v>
      </c>
      <c r="BB755" s="41" t="str">
        <f t="shared" si="279"/>
        <v/>
      </c>
      <c r="BC755" s="13"/>
      <c r="BD755" s="35"/>
      <c r="BE755" s="13"/>
      <c r="BF755" s="16">
        <f t="shared" si="283"/>
        <v>0</v>
      </c>
      <c r="BG755" s="17" t="str">
        <f t="shared" si="281"/>
        <v>0</v>
      </c>
      <c r="BH755" s="16">
        <f t="shared" si="282"/>
        <v>0</v>
      </c>
    </row>
    <row r="756" spans="1:60" s="21" customFormat="1" ht="12.75" customHeight="1" x14ac:dyDescent="0.2">
      <c r="A756" s="51">
        <v>10128</v>
      </c>
      <c r="B756" s="51" t="s">
        <v>1077</v>
      </c>
      <c r="C756" s="66" t="s">
        <v>1803</v>
      </c>
      <c r="D756" s="52" t="s">
        <v>754</v>
      </c>
      <c r="E756" s="52" t="s">
        <v>741</v>
      </c>
      <c r="F756" s="53">
        <f>IFERROR(VLOOKUP(E756,Fornecedores!$A$2:$B$2700,2,FALSE),"")</f>
        <v>7</v>
      </c>
      <c r="G756" s="52" t="s">
        <v>564</v>
      </c>
      <c r="H756" s="54"/>
      <c r="I756" s="55">
        <f t="shared" si="276"/>
        <v>2</v>
      </c>
      <c r="J756" s="55">
        <v>0</v>
      </c>
      <c r="K756" s="55">
        <v>0</v>
      </c>
      <c r="L756" s="55">
        <v>0</v>
      </c>
      <c r="M756" s="55">
        <v>2</v>
      </c>
      <c r="N756" s="55">
        <f t="shared" si="277"/>
        <v>0</v>
      </c>
      <c r="O756" s="55">
        <v>0</v>
      </c>
      <c r="P756" s="55">
        <v>0</v>
      </c>
      <c r="Q756" s="55">
        <v>0</v>
      </c>
      <c r="R756" s="55">
        <f t="shared" si="278"/>
        <v>0</v>
      </c>
      <c r="S756" s="55">
        <v>0</v>
      </c>
      <c r="T756" s="55">
        <v>0</v>
      </c>
      <c r="U756" s="55">
        <v>0</v>
      </c>
      <c r="V756" s="55">
        <v>0</v>
      </c>
      <c r="W756" s="53">
        <v>0</v>
      </c>
      <c r="X756" s="53">
        <v>0</v>
      </c>
      <c r="Y756" s="55">
        <v>0</v>
      </c>
      <c r="Z756" s="55">
        <v>0</v>
      </c>
      <c r="AA756" s="53">
        <v>0</v>
      </c>
      <c r="AB756" s="53">
        <v>0</v>
      </c>
      <c r="AC756" s="55">
        <v>0</v>
      </c>
      <c r="AD756" s="55">
        <f t="shared" si="272"/>
        <v>0</v>
      </c>
      <c r="AE756" s="53">
        <v>0</v>
      </c>
      <c r="AF756" s="55">
        <v>0</v>
      </c>
      <c r="AG756" s="55">
        <v>0</v>
      </c>
      <c r="AH756" s="55">
        <f t="shared" si="273"/>
        <v>0</v>
      </c>
      <c r="AI756" s="55">
        <v>0</v>
      </c>
      <c r="AJ756" s="55">
        <v>0</v>
      </c>
      <c r="AK756" s="55">
        <v>0</v>
      </c>
      <c r="AL756" s="55">
        <f t="shared" si="274"/>
        <v>0</v>
      </c>
      <c r="AM756" s="55" t="s">
        <v>1912</v>
      </c>
      <c r="AN756" s="55">
        <v>0</v>
      </c>
      <c r="AO756" s="55">
        <v>0</v>
      </c>
      <c r="AP756" s="55">
        <f t="shared" ref="AP756:AP819" si="284">SUM(AQ756:AR756)</f>
        <v>0</v>
      </c>
      <c r="AQ756" s="55">
        <f>IFERROR(VLOOKUP(A756,[1]SIIMPLES!$A$2:$F$418,6,FALSE),0)</f>
        <v>0</v>
      </c>
      <c r="AR756" s="55">
        <v>0</v>
      </c>
      <c r="AS756" s="55">
        <v>0</v>
      </c>
      <c r="AT756" s="55">
        <v>0</v>
      </c>
      <c r="AU756" s="55">
        <v>0</v>
      </c>
      <c r="AV756" s="55">
        <v>0</v>
      </c>
      <c r="AW756" s="55"/>
      <c r="AX756" s="55"/>
      <c r="AY756" s="56">
        <f t="shared" si="275"/>
        <v>0.2</v>
      </c>
      <c r="AZ756" s="55"/>
      <c r="BA756" s="56">
        <v>1.5</v>
      </c>
      <c r="BB756" s="41">
        <f t="shared" si="279"/>
        <v>-0.8666666666666667</v>
      </c>
      <c r="BC756" s="13"/>
      <c r="BD756" s="35"/>
      <c r="BE756" s="13"/>
      <c r="BF756" s="16">
        <f t="shared" si="283"/>
        <v>0</v>
      </c>
      <c r="BG756" s="17">
        <f t="shared" si="281"/>
        <v>0</v>
      </c>
      <c r="BH756" s="16">
        <f t="shared" si="282"/>
        <v>0.2</v>
      </c>
    </row>
    <row r="757" spans="1:60" s="21" customFormat="1" ht="12.75" customHeight="1" x14ac:dyDescent="0.2">
      <c r="A757" s="51">
        <v>10132</v>
      </c>
      <c r="B757" s="51" t="s">
        <v>1077</v>
      </c>
      <c r="C757" s="66" t="s">
        <v>1803</v>
      </c>
      <c r="D757" s="52" t="s">
        <v>754</v>
      </c>
      <c r="E757" s="52" t="s">
        <v>741</v>
      </c>
      <c r="F757" s="53">
        <f>IFERROR(VLOOKUP(E757,Fornecedores!$A$2:$B$2700,2,FALSE),"")</f>
        <v>7</v>
      </c>
      <c r="G757" s="52" t="s">
        <v>674</v>
      </c>
      <c r="H757" s="54"/>
      <c r="I757" s="55">
        <f t="shared" ref="I757:I763" si="285">SUM(J757:M757)</f>
        <v>0</v>
      </c>
      <c r="J757" s="55">
        <v>0</v>
      </c>
      <c r="K757" s="55">
        <v>0</v>
      </c>
      <c r="L757" s="55">
        <v>0</v>
      </c>
      <c r="M757" s="55">
        <v>0</v>
      </c>
      <c r="N757" s="55">
        <f t="shared" ref="N757:N763" si="286">SUM(O757:Q757)</f>
        <v>0</v>
      </c>
      <c r="O757" s="55">
        <v>0</v>
      </c>
      <c r="P757" s="55">
        <v>0</v>
      </c>
      <c r="Q757" s="55">
        <v>0</v>
      </c>
      <c r="R757" s="55">
        <f t="shared" ref="R757:R763" si="287">SUM(S757:U757)</f>
        <v>1</v>
      </c>
      <c r="S757" s="55">
        <v>1</v>
      </c>
      <c r="T757" s="55">
        <v>0</v>
      </c>
      <c r="U757" s="55">
        <v>0</v>
      </c>
      <c r="V757" s="55">
        <v>0</v>
      </c>
      <c r="W757" s="53">
        <v>0</v>
      </c>
      <c r="X757" s="53">
        <v>0</v>
      </c>
      <c r="Y757" s="55">
        <v>0</v>
      </c>
      <c r="Z757" s="55">
        <v>0</v>
      </c>
      <c r="AA757" s="53">
        <v>0</v>
      </c>
      <c r="AB757" s="53">
        <v>0</v>
      </c>
      <c r="AC757" s="55">
        <v>0</v>
      </c>
      <c r="AD757" s="55">
        <f t="shared" si="272"/>
        <v>0</v>
      </c>
      <c r="AE757" s="53">
        <v>0</v>
      </c>
      <c r="AF757" s="55">
        <v>0</v>
      </c>
      <c r="AG757" s="55">
        <v>0</v>
      </c>
      <c r="AH757" s="55">
        <f t="shared" si="273"/>
        <v>0</v>
      </c>
      <c r="AI757" s="55">
        <v>0</v>
      </c>
      <c r="AJ757" s="55">
        <v>0</v>
      </c>
      <c r="AK757" s="55">
        <v>0</v>
      </c>
      <c r="AL757" s="55">
        <f t="shared" si="274"/>
        <v>0</v>
      </c>
      <c r="AM757" s="55" t="s">
        <v>1912</v>
      </c>
      <c r="AN757" s="55">
        <v>0</v>
      </c>
      <c r="AO757" s="55">
        <v>0</v>
      </c>
      <c r="AP757" s="55">
        <f t="shared" si="284"/>
        <v>0</v>
      </c>
      <c r="AQ757" s="55">
        <f>IFERROR(VLOOKUP(A757,[1]SIIMPLES!$A$2:$F$418,6,FALSE),0)</f>
        <v>0</v>
      </c>
      <c r="AR757" s="55">
        <v>0</v>
      </c>
      <c r="AS757" s="55">
        <v>0</v>
      </c>
      <c r="AT757" s="55">
        <v>0</v>
      </c>
      <c r="AU757" s="55">
        <v>0</v>
      </c>
      <c r="AV757" s="55">
        <v>0</v>
      </c>
      <c r="AW757" s="55"/>
      <c r="AX757" s="55"/>
      <c r="AY757" s="56">
        <f t="shared" si="275"/>
        <v>0.1</v>
      </c>
      <c r="AZ757" s="55"/>
      <c r="BA757" s="56">
        <v>0.33333333333333331</v>
      </c>
      <c r="BB757" s="41">
        <f t="shared" si="279"/>
        <v>-0.7</v>
      </c>
      <c r="BC757" s="7"/>
      <c r="BD757" s="35"/>
      <c r="BE757" s="13"/>
      <c r="BF757" s="16">
        <f t="shared" si="283"/>
        <v>0</v>
      </c>
      <c r="BG757" s="17">
        <f t="shared" si="281"/>
        <v>0</v>
      </c>
      <c r="BH757" s="16">
        <f t="shared" si="282"/>
        <v>0.1</v>
      </c>
    </row>
    <row r="758" spans="1:60" s="21" customFormat="1" ht="12.75" customHeight="1" x14ac:dyDescent="0.2">
      <c r="A758" s="51">
        <v>10135</v>
      </c>
      <c r="B758" s="51" t="s">
        <v>1077</v>
      </c>
      <c r="C758" s="66" t="s">
        <v>1803</v>
      </c>
      <c r="D758" s="52" t="s">
        <v>754</v>
      </c>
      <c r="E758" s="52" t="s">
        <v>741</v>
      </c>
      <c r="F758" s="53">
        <f>IFERROR(VLOOKUP(E758,Fornecedores!$A$2:$B$2700,2,FALSE),"")</f>
        <v>7</v>
      </c>
      <c r="G758" s="52" t="s">
        <v>82</v>
      </c>
      <c r="H758" s="54"/>
      <c r="I758" s="55">
        <f t="shared" si="285"/>
        <v>1</v>
      </c>
      <c r="J758" s="55">
        <v>1</v>
      </c>
      <c r="K758" s="55">
        <v>0</v>
      </c>
      <c r="L758" s="55">
        <v>0</v>
      </c>
      <c r="M758" s="55">
        <v>0</v>
      </c>
      <c r="N758" s="55">
        <f t="shared" si="286"/>
        <v>0</v>
      </c>
      <c r="O758" s="55">
        <v>0</v>
      </c>
      <c r="P758" s="55">
        <v>0</v>
      </c>
      <c r="Q758" s="55">
        <v>0</v>
      </c>
      <c r="R758" s="55">
        <f t="shared" si="287"/>
        <v>0</v>
      </c>
      <c r="S758" s="55">
        <v>0</v>
      </c>
      <c r="T758" s="55">
        <v>0</v>
      </c>
      <c r="U758" s="55">
        <v>0</v>
      </c>
      <c r="V758" s="55">
        <v>0</v>
      </c>
      <c r="W758" s="53">
        <v>0</v>
      </c>
      <c r="X758" s="53">
        <v>0</v>
      </c>
      <c r="Y758" s="55">
        <v>0</v>
      </c>
      <c r="Z758" s="55">
        <v>0</v>
      </c>
      <c r="AA758" s="53">
        <v>0</v>
      </c>
      <c r="AB758" s="53">
        <v>0</v>
      </c>
      <c r="AC758" s="55">
        <v>0</v>
      </c>
      <c r="AD758" s="55">
        <f t="shared" si="272"/>
        <v>0</v>
      </c>
      <c r="AE758" s="53">
        <v>0</v>
      </c>
      <c r="AF758" s="55">
        <v>0</v>
      </c>
      <c r="AG758" s="55">
        <v>0</v>
      </c>
      <c r="AH758" s="55">
        <f t="shared" si="273"/>
        <v>0</v>
      </c>
      <c r="AI758" s="55">
        <v>0</v>
      </c>
      <c r="AJ758" s="55">
        <v>0</v>
      </c>
      <c r="AK758" s="55">
        <v>0</v>
      </c>
      <c r="AL758" s="55">
        <f t="shared" si="274"/>
        <v>0</v>
      </c>
      <c r="AM758" s="55" t="s">
        <v>1912</v>
      </c>
      <c r="AN758" s="55">
        <v>0</v>
      </c>
      <c r="AO758" s="55">
        <v>0</v>
      </c>
      <c r="AP758" s="55">
        <f t="shared" si="284"/>
        <v>0</v>
      </c>
      <c r="AQ758" s="55">
        <f>IFERROR(VLOOKUP(A758,[1]SIIMPLES!$A$2:$F$418,6,FALSE),0)</f>
        <v>0</v>
      </c>
      <c r="AR758" s="55">
        <v>0</v>
      </c>
      <c r="AS758" s="55">
        <v>2</v>
      </c>
      <c r="AT758" s="55">
        <v>2</v>
      </c>
      <c r="AU758" s="55">
        <v>0</v>
      </c>
      <c r="AV758" s="55">
        <v>0</v>
      </c>
      <c r="AW758" s="55"/>
      <c r="AX758" s="55"/>
      <c r="AY758" s="56">
        <f t="shared" si="275"/>
        <v>0.3</v>
      </c>
      <c r="AZ758" s="55"/>
      <c r="BA758" s="56">
        <v>0</v>
      </c>
      <c r="BB758" s="41" t="str">
        <f t="shared" si="279"/>
        <v/>
      </c>
      <c r="BC758" s="13"/>
      <c r="BD758" s="35"/>
      <c r="BE758" s="13"/>
      <c r="BF758" s="16"/>
      <c r="BG758" s="17">
        <f t="shared" si="281"/>
        <v>0</v>
      </c>
      <c r="BH758" s="16">
        <f t="shared" si="282"/>
        <v>0.3</v>
      </c>
    </row>
    <row r="759" spans="1:60" s="21" customFormat="1" ht="12.75" customHeight="1" x14ac:dyDescent="0.2">
      <c r="A759" s="51">
        <v>11042</v>
      </c>
      <c r="B759" s="51"/>
      <c r="C759" s="66" t="s">
        <v>1803</v>
      </c>
      <c r="D759" s="52" t="s">
        <v>747</v>
      </c>
      <c r="E759" s="52" t="str">
        <f>VLOOKUP(A759,[3]CMV!$A$1:$E$1988,5,FALSE)</f>
        <v>Fabreck</v>
      </c>
      <c r="F759" s="53">
        <f>IFERROR(VLOOKUP(E759,Fornecedores!$A$2:$B$2700,2,FALSE),"")</f>
        <v>16</v>
      </c>
      <c r="G759" s="52" t="s">
        <v>1576</v>
      </c>
      <c r="H759" s="57"/>
      <c r="I759" s="55">
        <f t="shared" si="285"/>
        <v>3</v>
      </c>
      <c r="J759" s="55">
        <v>3</v>
      </c>
      <c r="K759" s="55">
        <v>0</v>
      </c>
      <c r="L759" s="55">
        <v>0</v>
      </c>
      <c r="M759" s="55">
        <v>0</v>
      </c>
      <c r="N759" s="55">
        <f t="shared" si="286"/>
        <v>4</v>
      </c>
      <c r="O759" s="55">
        <v>4</v>
      </c>
      <c r="P759" s="55">
        <v>0</v>
      </c>
      <c r="Q759" s="55">
        <v>0</v>
      </c>
      <c r="R759" s="55">
        <f t="shared" si="287"/>
        <v>1</v>
      </c>
      <c r="S759" s="55">
        <v>1</v>
      </c>
      <c r="T759" s="55">
        <v>0</v>
      </c>
      <c r="U759" s="55">
        <v>0</v>
      </c>
      <c r="V759" s="55">
        <v>0</v>
      </c>
      <c r="W759" s="53">
        <v>0</v>
      </c>
      <c r="X759" s="53">
        <v>0</v>
      </c>
      <c r="Y759" s="55">
        <v>0</v>
      </c>
      <c r="Z759" s="55">
        <v>0</v>
      </c>
      <c r="AA759" s="53">
        <v>0</v>
      </c>
      <c r="AB759" s="53">
        <v>0</v>
      </c>
      <c r="AC759" s="55">
        <v>0</v>
      </c>
      <c r="AD759" s="55">
        <f t="shared" si="272"/>
        <v>3</v>
      </c>
      <c r="AE759" s="53">
        <v>3</v>
      </c>
      <c r="AF759" s="55">
        <v>0</v>
      </c>
      <c r="AG759" s="55">
        <v>0</v>
      </c>
      <c r="AH759" s="55">
        <f t="shared" si="273"/>
        <v>5</v>
      </c>
      <c r="AI759" s="55">
        <v>5</v>
      </c>
      <c r="AJ759" s="55">
        <v>0</v>
      </c>
      <c r="AK759" s="55">
        <v>0</v>
      </c>
      <c r="AL759" s="55">
        <f t="shared" si="274"/>
        <v>1</v>
      </c>
      <c r="AM759" s="55">
        <v>1</v>
      </c>
      <c r="AN759" s="55">
        <v>0</v>
      </c>
      <c r="AO759" s="55">
        <v>0</v>
      </c>
      <c r="AP759" s="55">
        <f t="shared" si="284"/>
        <v>0</v>
      </c>
      <c r="AQ759" s="55">
        <f>IFERROR(VLOOKUP(A759,[1]SIIMPLES!$A$2:$F$418,6,FALSE),0)</f>
        <v>0</v>
      </c>
      <c r="AR759" s="55">
        <v>0</v>
      </c>
      <c r="AS759" s="55">
        <v>0</v>
      </c>
      <c r="AT759" s="55">
        <v>0</v>
      </c>
      <c r="AU759" s="55">
        <v>0</v>
      </c>
      <c r="AV759" s="55">
        <v>0</v>
      </c>
      <c r="AW759" s="57"/>
      <c r="AX759" s="55"/>
      <c r="AY759" s="56">
        <f t="shared" si="275"/>
        <v>1.7</v>
      </c>
      <c r="AZ759" s="55"/>
      <c r="BA759" s="56">
        <v>5</v>
      </c>
      <c r="BB759" s="41">
        <f t="shared" si="279"/>
        <v>-0.66</v>
      </c>
      <c r="BC759" s="13"/>
      <c r="BD759" s="35"/>
      <c r="BE759" s="13"/>
      <c r="BF759" s="16"/>
      <c r="BG759" s="17">
        <f t="shared" si="281"/>
        <v>0</v>
      </c>
      <c r="BH759" s="16">
        <f t="shared" si="282"/>
        <v>1.7</v>
      </c>
    </row>
    <row r="760" spans="1:60" s="21" customFormat="1" ht="12.75" customHeight="1" x14ac:dyDescent="0.2">
      <c r="A760" s="51">
        <v>11095</v>
      </c>
      <c r="B760" s="51"/>
      <c r="C760" s="66" t="s">
        <v>1803</v>
      </c>
      <c r="D760" s="52" t="s">
        <v>747</v>
      </c>
      <c r="E760" s="52" t="s">
        <v>758</v>
      </c>
      <c r="F760" s="53">
        <f>IFERROR(VLOOKUP(E760,Fornecedores!$A$2:$B$2700,2,FALSE),"")</f>
        <v>16</v>
      </c>
      <c r="G760" s="52" t="s">
        <v>493</v>
      </c>
      <c r="H760" s="54"/>
      <c r="I760" s="55">
        <f t="shared" si="285"/>
        <v>1</v>
      </c>
      <c r="J760" s="55">
        <v>1</v>
      </c>
      <c r="K760" s="55">
        <v>0</v>
      </c>
      <c r="L760" s="55">
        <v>0</v>
      </c>
      <c r="M760" s="55">
        <v>0</v>
      </c>
      <c r="N760" s="55">
        <f t="shared" si="286"/>
        <v>0</v>
      </c>
      <c r="O760" s="55">
        <v>0</v>
      </c>
      <c r="P760" s="55">
        <v>0</v>
      </c>
      <c r="Q760" s="55">
        <v>0</v>
      </c>
      <c r="R760" s="55">
        <f t="shared" si="287"/>
        <v>0</v>
      </c>
      <c r="S760" s="55">
        <v>0</v>
      </c>
      <c r="T760" s="55">
        <v>0</v>
      </c>
      <c r="U760" s="55">
        <v>0</v>
      </c>
      <c r="V760" s="55">
        <v>0</v>
      </c>
      <c r="W760" s="53">
        <v>0</v>
      </c>
      <c r="X760" s="53">
        <v>0</v>
      </c>
      <c r="Y760" s="55">
        <v>0</v>
      </c>
      <c r="Z760" s="55">
        <v>0</v>
      </c>
      <c r="AA760" s="53">
        <v>0</v>
      </c>
      <c r="AB760" s="53">
        <v>0</v>
      </c>
      <c r="AC760" s="55">
        <v>0</v>
      </c>
      <c r="AD760" s="55">
        <f t="shared" si="272"/>
        <v>0</v>
      </c>
      <c r="AE760" s="53">
        <v>0</v>
      </c>
      <c r="AF760" s="55">
        <v>0</v>
      </c>
      <c r="AG760" s="55">
        <v>0</v>
      </c>
      <c r="AH760" s="55">
        <f t="shared" si="273"/>
        <v>3</v>
      </c>
      <c r="AI760" s="55">
        <v>3</v>
      </c>
      <c r="AJ760" s="55">
        <v>0</v>
      </c>
      <c r="AK760" s="55">
        <v>0</v>
      </c>
      <c r="AL760" s="55">
        <f t="shared" si="274"/>
        <v>5</v>
      </c>
      <c r="AM760" s="55">
        <v>5</v>
      </c>
      <c r="AN760" s="55">
        <v>0</v>
      </c>
      <c r="AO760" s="55">
        <v>0</v>
      </c>
      <c r="AP760" s="55">
        <f t="shared" si="284"/>
        <v>0</v>
      </c>
      <c r="AQ760" s="55">
        <f>IFERROR(VLOOKUP(A760,[1]SIIMPLES!$A$2:$F$418,6,FALSE),0)</f>
        <v>0</v>
      </c>
      <c r="AR760" s="55">
        <v>0</v>
      </c>
      <c r="AS760" s="55">
        <v>0</v>
      </c>
      <c r="AT760" s="55">
        <v>0</v>
      </c>
      <c r="AU760" s="55">
        <v>0</v>
      </c>
      <c r="AV760" s="55">
        <v>0</v>
      </c>
      <c r="AW760" s="55"/>
      <c r="AX760" s="55"/>
      <c r="AY760" s="56">
        <f t="shared" si="275"/>
        <v>0.9</v>
      </c>
      <c r="AZ760" s="55"/>
      <c r="BA760" s="56">
        <v>0.33333333333333331</v>
      </c>
      <c r="BB760" s="41">
        <f t="shared" si="279"/>
        <v>1.7000000000000002</v>
      </c>
      <c r="BC760" s="13"/>
      <c r="BD760" s="35"/>
      <c r="BE760" s="13"/>
      <c r="BF760" s="16"/>
      <c r="BG760" s="17">
        <f t="shared" si="281"/>
        <v>0</v>
      </c>
      <c r="BH760" s="16">
        <f t="shared" si="282"/>
        <v>0.9</v>
      </c>
    </row>
    <row r="761" spans="1:60" s="21" customFormat="1" ht="12.75" customHeight="1" x14ac:dyDescent="0.2">
      <c r="A761" s="51">
        <v>11104</v>
      </c>
      <c r="B761" s="51"/>
      <c r="C761" s="66" t="s">
        <v>1803</v>
      </c>
      <c r="D761" s="52" t="s">
        <v>747</v>
      </c>
      <c r="E761" s="52" t="str">
        <f>VLOOKUP(A761,[3]CMV!$A$1:$E$1988,5,FALSE)</f>
        <v>Fabreck</v>
      </c>
      <c r="F761" s="53">
        <f>IFERROR(VLOOKUP(E761,Fornecedores!$A$2:$B$2700,2,FALSE),"")</f>
        <v>16</v>
      </c>
      <c r="G761" s="52" t="s">
        <v>1574</v>
      </c>
      <c r="H761" s="57"/>
      <c r="I761" s="55">
        <f t="shared" si="285"/>
        <v>3</v>
      </c>
      <c r="J761" s="55">
        <v>3</v>
      </c>
      <c r="K761" s="55">
        <v>0</v>
      </c>
      <c r="L761" s="55">
        <v>0</v>
      </c>
      <c r="M761" s="55">
        <v>0</v>
      </c>
      <c r="N761" s="55">
        <f t="shared" si="286"/>
        <v>4</v>
      </c>
      <c r="O761" s="55">
        <v>4</v>
      </c>
      <c r="P761" s="55">
        <v>0</v>
      </c>
      <c r="Q761" s="55">
        <v>0</v>
      </c>
      <c r="R761" s="55">
        <f t="shared" si="287"/>
        <v>2</v>
      </c>
      <c r="S761" s="55">
        <v>2</v>
      </c>
      <c r="T761" s="55">
        <v>0</v>
      </c>
      <c r="U761" s="55">
        <v>0</v>
      </c>
      <c r="V761" s="55">
        <v>0</v>
      </c>
      <c r="W761" s="53">
        <v>0</v>
      </c>
      <c r="X761" s="53">
        <v>0</v>
      </c>
      <c r="Y761" s="55">
        <v>0</v>
      </c>
      <c r="Z761" s="55">
        <v>0</v>
      </c>
      <c r="AA761" s="53">
        <v>0</v>
      </c>
      <c r="AB761" s="53">
        <v>0</v>
      </c>
      <c r="AC761" s="55">
        <v>0</v>
      </c>
      <c r="AD761" s="55">
        <f t="shared" si="272"/>
        <v>0</v>
      </c>
      <c r="AE761" s="53">
        <v>0</v>
      </c>
      <c r="AF761" s="55">
        <v>0</v>
      </c>
      <c r="AG761" s="55">
        <v>0</v>
      </c>
      <c r="AH761" s="55">
        <f t="shared" si="273"/>
        <v>0</v>
      </c>
      <c r="AI761" s="55">
        <v>0</v>
      </c>
      <c r="AJ761" s="55">
        <v>0</v>
      </c>
      <c r="AK761" s="55">
        <v>0</v>
      </c>
      <c r="AL761" s="55">
        <f t="shared" si="274"/>
        <v>0</v>
      </c>
      <c r="AM761" s="55" t="s">
        <v>1912</v>
      </c>
      <c r="AN761" s="55">
        <v>0</v>
      </c>
      <c r="AO761" s="55">
        <v>0</v>
      </c>
      <c r="AP761" s="55">
        <f t="shared" si="284"/>
        <v>0</v>
      </c>
      <c r="AQ761" s="55">
        <f>IFERROR(VLOOKUP(A761,[1]SIIMPLES!$A$2:$F$418,6,FALSE),0)</f>
        <v>0</v>
      </c>
      <c r="AR761" s="55">
        <v>0</v>
      </c>
      <c r="AS761" s="55">
        <v>0</v>
      </c>
      <c r="AT761" s="55">
        <v>0</v>
      </c>
      <c r="AU761" s="55">
        <v>0</v>
      </c>
      <c r="AV761" s="55">
        <v>0</v>
      </c>
      <c r="AW761" s="57"/>
      <c r="AX761" s="55"/>
      <c r="AY761" s="56">
        <f t="shared" si="275"/>
        <v>0.9</v>
      </c>
      <c r="AZ761" s="55"/>
      <c r="BA761" s="56">
        <v>0</v>
      </c>
      <c r="BB761" s="41" t="str">
        <f t="shared" si="279"/>
        <v/>
      </c>
      <c r="BC761" s="13"/>
      <c r="BD761" s="35"/>
      <c r="BE761" s="7"/>
      <c r="BF761" s="16"/>
      <c r="BG761" s="17">
        <f t="shared" si="281"/>
        <v>0</v>
      </c>
      <c r="BH761" s="16">
        <f t="shared" si="282"/>
        <v>0.9</v>
      </c>
    </row>
    <row r="762" spans="1:60" s="21" customFormat="1" ht="12.75" customHeight="1" x14ac:dyDescent="0.2">
      <c r="A762" s="51">
        <v>11193</v>
      </c>
      <c r="B762" s="51"/>
      <c r="C762" s="66" t="s">
        <v>1803</v>
      </c>
      <c r="D762" s="52" t="s">
        <v>747</v>
      </c>
      <c r="E762" s="52" t="str">
        <f>VLOOKUP(A762,[3]CMV!$A$1:$E$1988,5,FALSE)</f>
        <v>Fabreck</v>
      </c>
      <c r="F762" s="53">
        <f>IFERROR(VLOOKUP(E762,Fornecedores!$A$2:$B$2700,2,FALSE),"")</f>
        <v>16</v>
      </c>
      <c r="G762" s="52" t="s">
        <v>1575</v>
      </c>
      <c r="H762" s="57"/>
      <c r="I762" s="55">
        <f t="shared" si="285"/>
        <v>3</v>
      </c>
      <c r="J762" s="55">
        <v>3</v>
      </c>
      <c r="K762" s="55">
        <v>0</v>
      </c>
      <c r="L762" s="55">
        <v>0</v>
      </c>
      <c r="M762" s="55">
        <v>0</v>
      </c>
      <c r="N762" s="55">
        <f t="shared" si="286"/>
        <v>0</v>
      </c>
      <c r="O762" s="55">
        <v>0</v>
      </c>
      <c r="P762" s="55">
        <v>0</v>
      </c>
      <c r="Q762" s="55">
        <v>0</v>
      </c>
      <c r="R762" s="55">
        <f t="shared" si="287"/>
        <v>0</v>
      </c>
      <c r="S762" s="55">
        <v>0</v>
      </c>
      <c r="T762" s="55">
        <v>0</v>
      </c>
      <c r="U762" s="55">
        <v>0</v>
      </c>
      <c r="V762" s="55">
        <v>0</v>
      </c>
      <c r="W762" s="53">
        <v>0</v>
      </c>
      <c r="X762" s="53">
        <v>0</v>
      </c>
      <c r="Y762" s="55">
        <v>0</v>
      </c>
      <c r="Z762" s="55">
        <v>0</v>
      </c>
      <c r="AA762" s="53">
        <v>0</v>
      </c>
      <c r="AB762" s="53">
        <v>0</v>
      </c>
      <c r="AC762" s="55">
        <v>0</v>
      </c>
      <c r="AD762" s="55">
        <f t="shared" si="272"/>
        <v>0</v>
      </c>
      <c r="AE762" s="53">
        <v>0</v>
      </c>
      <c r="AF762" s="55">
        <v>0</v>
      </c>
      <c r="AG762" s="55">
        <v>0</v>
      </c>
      <c r="AH762" s="55">
        <f t="shared" si="273"/>
        <v>0</v>
      </c>
      <c r="AI762" s="55">
        <v>0</v>
      </c>
      <c r="AJ762" s="55">
        <v>0</v>
      </c>
      <c r="AK762" s="55">
        <v>0</v>
      </c>
      <c r="AL762" s="55">
        <f t="shared" si="274"/>
        <v>0</v>
      </c>
      <c r="AM762" s="55" t="s">
        <v>1912</v>
      </c>
      <c r="AN762" s="55">
        <v>0</v>
      </c>
      <c r="AO762" s="55">
        <v>0</v>
      </c>
      <c r="AP762" s="55">
        <f t="shared" si="284"/>
        <v>0</v>
      </c>
      <c r="AQ762" s="55">
        <f>IFERROR(VLOOKUP(A762,[1]SIIMPLES!$A$2:$F$418,6,FALSE),0)</f>
        <v>0</v>
      </c>
      <c r="AR762" s="55">
        <v>0</v>
      </c>
      <c r="AS762" s="55">
        <v>0</v>
      </c>
      <c r="AT762" s="55">
        <v>0</v>
      </c>
      <c r="AU762" s="55">
        <v>0</v>
      </c>
      <c r="AV762" s="55">
        <v>0</v>
      </c>
      <c r="AW762" s="55"/>
      <c r="AX762" s="55"/>
      <c r="AY762" s="56">
        <f t="shared" si="275"/>
        <v>0.3</v>
      </c>
      <c r="AZ762" s="55"/>
      <c r="BA762" s="56">
        <v>0.5</v>
      </c>
      <c r="BB762" s="41">
        <f t="shared" si="279"/>
        <v>-0.4</v>
      </c>
      <c r="BC762" s="13"/>
      <c r="BD762" s="35"/>
      <c r="BE762" s="7"/>
      <c r="BF762" s="16"/>
      <c r="BG762" s="17">
        <f t="shared" si="281"/>
        <v>0</v>
      </c>
      <c r="BH762" s="16">
        <f t="shared" si="282"/>
        <v>0.3</v>
      </c>
    </row>
    <row r="763" spans="1:60" ht="12.75" customHeight="1" x14ac:dyDescent="0.2">
      <c r="A763" s="51">
        <v>11230</v>
      </c>
      <c r="B763" s="51"/>
      <c r="C763" s="66" t="s">
        <v>1803</v>
      </c>
      <c r="D763" s="52" t="s">
        <v>747</v>
      </c>
      <c r="E763" s="52" t="s">
        <v>758</v>
      </c>
      <c r="F763" s="53">
        <f>IFERROR(VLOOKUP(E763,Fornecedores!$A$2:$B$2700,2,FALSE),"")</f>
        <v>16</v>
      </c>
      <c r="G763" s="52" t="s">
        <v>562</v>
      </c>
      <c r="H763" s="54"/>
      <c r="I763" s="55">
        <f t="shared" si="285"/>
        <v>1</v>
      </c>
      <c r="J763" s="55">
        <v>1</v>
      </c>
      <c r="K763" s="55">
        <v>0</v>
      </c>
      <c r="L763" s="55">
        <v>0</v>
      </c>
      <c r="M763" s="55">
        <v>0</v>
      </c>
      <c r="N763" s="55">
        <f t="shared" si="286"/>
        <v>0</v>
      </c>
      <c r="O763" s="55">
        <v>0</v>
      </c>
      <c r="P763" s="55">
        <v>0</v>
      </c>
      <c r="Q763" s="55">
        <v>0</v>
      </c>
      <c r="R763" s="55">
        <f t="shared" si="287"/>
        <v>0</v>
      </c>
      <c r="S763" s="55">
        <v>0</v>
      </c>
      <c r="T763" s="55">
        <v>0</v>
      </c>
      <c r="U763" s="55">
        <v>0</v>
      </c>
      <c r="V763" s="55">
        <v>0</v>
      </c>
      <c r="W763" s="53">
        <v>0</v>
      </c>
      <c r="X763" s="53">
        <v>0</v>
      </c>
      <c r="Y763" s="55">
        <v>0</v>
      </c>
      <c r="Z763" s="55">
        <v>0</v>
      </c>
      <c r="AA763" s="53">
        <v>0</v>
      </c>
      <c r="AB763" s="53">
        <v>0</v>
      </c>
      <c r="AC763" s="55">
        <v>0</v>
      </c>
      <c r="AD763" s="55">
        <f t="shared" si="272"/>
        <v>0</v>
      </c>
      <c r="AE763" s="53">
        <v>0</v>
      </c>
      <c r="AF763" s="55">
        <v>0</v>
      </c>
      <c r="AG763" s="55">
        <v>0</v>
      </c>
      <c r="AH763" s="55">
        <f t="shared" si="273"/>
        <v>0</v>
      </c>
      <c r="AI763" s="55">
        <v>0</v>
      </c>
      <c r="AJ763" s="55">
        <v>0</v>
      </c>
      <c r="AK763" s="55">
        <v>0</v>
      </c>
      <c r="AL763" s="55">
        <f t="shared" si="274"/>
        <v>1</v>
      </c>
      <c r="AM763" s="55" t="s">
        <v>1912</v>
      </c>
      <c r="AN763" s="55">
        <v>0</v>
      </c>
      <c r="AO763" s="55">
        <v>1</v>
      </c>
      <c r="AP763" s="55">
        <f t="shared" si="284"/>
        <v>0</v>
      </c>
      <c r="AQ763" s="55">
        <f>IFERROR(VLOOKUP(A763,[1]SIIMPLES!$A$2:$F$418,6,FALSE),0)</f>
        <v>0</v>
      </c>
      <c r="AR763" s="55">
        <v>0</v>
      </c>
      <c r="AS763" s="55">
        <v>0</v>
      </c>
      <c r="AT763" s="55">
        <v>0</v>
      </c>
      <c r="AU763" s="55">
        <v>0</v>
      </c>
      <c r="AV763" s="55">
        <v>0</v>
      </c>
      <c r="AW763" s="55"/>
      <c r="AX763" s="55"/>
      <c r="AY763" s="56">
        <f t="shared" si="275"/>
        <v>0.2</v>
      </c>
      <c r="AZ763" s="55"/>
      <c r="BA763" s="56">
        <v>1.5</v>
      </c>
      <c r="BB763" s="41">
        <f t="shared" si="279"/>
        <v>-0.8666666666666667</v>
      </c>
      <c r="BC763" s="13"/>
      <c r="BD763" s="35"/>
      <c r="BE763" s="7"/>
      <c r="BF763" s="16"/>
      <c r="BG763" s="17">
        <f t="shared" si="281"/>
        <v>0</v>
      </c>
      <c r="BH763" s="16">
        <f t="shared" si="282"/>
        <v>0.2</v>
      </c>
    </row>
    <row r="764" spans="1:60" ht="12.75" customHeight="1" x14ac:dyDescent="0.2">
      <c r="A764" s="51">
        <v>11398</v>
      </c>
      <c r="B764" s="51"/>
      <c r="C764" s="66" t="s">
        <v>1803</v>
      </c>
      <c r="D764" s="52" t="s">
        <v>1922</v>
      </c>
      <c r="E764" s="52">
        <v>0</v>
      </c>
      <c r="F764" s="53" t="str">
        <f>IFERROR(VLOOKUP(E764,Fornecedores!$A$2:$B$2700,2,FALSE),"")</f>
        <v/>
      </c>
      <c r="G764" s="67" t="s">
        <v>1923</v>
      </c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5">
        <f t="shared" si="272"/>
        <v>1</v>
      </c>
      <c r="AE764" s="53">
        <v>1</v>
      </c>
      <c r="AF764" s="55">
        <v>0</v>
      </c>
      <c r="AG764" s="55">
        <v>0</v>
      </c>
      <c r="AH764" s="55">
        <f t="shared" si="273"/>
        <v>1</v>
      </c>
      <c r="AI764" s="55">
        <v>1</v>
      </c>
      <c r="AJ764" s="55">
        <v>0</v>
      </c>
      <c r="AK764" s="55">
        <v>0</v>
      </c>
      <c r="AL764" s="55">
        <f t="shared" si="274"/>
        <v>0</v>
      </c>
      <c r="AM764" s="55" t="s">
        <v>1912</v>
      </c>
      <c r="AN764" s="55">
        <v>0</v>
      </c>
      <c r="AO764" s="55">
        <v>0</v>
      </c>
      <c r="AP764" s="55">
        <f t="shared" si="284"/>
        <v>0</v>
      </c>
      <c r="AQ764" s="55">
        <f>IFERROR(VLOOKUP(A764,[1]SIIMPLES!$A$2:$F$418,6,FALSE),0)</f>
        <v>0</v>
      </c>
      <c r="AR764" s="55">
        <v>0</v>
      </c>
      <c r="AS764" s="55">
        <v>0</v>
      </c>
      <c r="AT764" s="55">
        <v>0</v>
      </c>
      <c r="AU764" s="55">
        <v>0</v>
      </c>
      <c r="AV764" s="55">
        <v>0</v>
      </c>
      <c r="AW764" s="57"/>
      <c r="AX764" s="57"/>
      <c r="AY764" s="74">
        <f t="shared" si="275"/>
        <v>0.4</v>
      </c>
      <c r="AZ764" s="57"/>
      <c r="BA764" s="57"/>
      <c r="BB764" s="41" t="str">
        <f t="shared" ref="BB764:BB794" si="288">IFERROR(AY764/BA764-1,"")</f>
        <v/>
      </c>
      <c r="BC764" s="13"/>
      <c r="BD764" s="35"/>
      <c r="BE764" s="7"/>
      <c r="BF764" s="16"/>
      <c r="BG764" s="17">
        <f t="shared" si="281"/>
        <v>0</v>
      </c>
      <c r="BH764" s="16">
        <f t="shared" si="282"/>
        <v>0.4</v>
      </c>
    </row>
    <row r="765" spans="1:60" ht="12.75" customHeight="1" x14ac:dyDescent="0.2">
      <c r="A765" s="51">
        <v>11407</v>
      </c>
      <c r="B765" s="51"/>
      <c r="C765" s="66" t="s">
        <v>1803</v>
      </c>
      <c r="D765" s="52" t="s">
        <v>747</v>
      </c>
      <c r="E765" s="52" t="str">
        <f>VLOOKUP(A765,[3]CMV!$A$1:$E$1988,5,FALSE)</f>
        <v>Fabreck</v>
      </c>
      <c r="F765" s="53">
        <f>IFERROR(VLOOKUP(E765,Fornecedores!$A$2:$B$2700,2,FALSE),"")</f>
        <v>16</v>
      </c>
      <c r="G765" s="52" t="s">
        <v>1237</v>
      </c>
      <c r="H765" s="54"/>
      <c r="I765" s="55">
        <f>SUM(J765:M765)</f>
        <v>0</v>
      </c>
      <c r="J765" s="55">
        <v>0</v>
      </c>
      <c r="K765" s="55">
        <v>0</v>
      </c>
      <c r="L765" s="55">
        <v>0</v>
      </c>
      <c r="M765" s="55">
        <v>0</v>
      </c>
      <c r="N765" s="55">
        <f>SUM(O765:Q765)</f>
        <v>0</v>
      </c>
      <c r="O765" s="55">
        <v>0</v>
      </c>
      <c r="P765" s="55">
        <v>0</v>
      </c>
      <c r="Q765" s="55">
        <v>0</v>
      </c>
      <c r="R765" s="55">
        <f>SUM(S765:U765)</f>
        <v>0</v>
      </c>
      <c r="S765" s="55">
        <v>0</v>
      </c>
      <c r="T765" s="55">
        <v>0</v>
      </c>
      <c r="U765" s="55">
        <v>0</v>
      </c>
      <c r="V765" s="55">
        <v>0</v>
      </c>
      <c r="W765" s="53">
        <v>0</v>
      </c>
      <c r="X765" s="53">
        <v>0</v>
      </c>
      <c r="Y765" s="55">
        <v>0</v>
      </c>
      <c r="Z765" s="55">
        <v>0</v>
      </c>
      <c r="AA765" s="53">
        <v>0</v>
      </c>
      <c r="AB765" s="53">
        <v>0</v>
      </c>
      <c r="AC765" s="55">
        <v>0</v>
      </c>
      <c r="AD765" s="55">
        <f t="shared" si="272"/>
        <v>0</v>
      </c>
      <c r="AE765" s="53">
        <v>0</v>
      </c>
      <c r="AF765" s="55">
        <v>0</v>
      </c>
      <c r="AG765" s="55">
        <v>0</v>
      </c>
      <c r="AH765" s="55">
        <f t="shared" si="273"/>
        <v>0</v>
      </c>
      <c r="AI765" s="55">
        <v>0</v>
      </c>
      <c r="AJ765" s="55">
        <v>0</v>
      </c>
      <c r="AK765" s="55">
        <v>0</v>
      </c>
      <c r="AL765" s="55">
        <f t="shared" si="274"/>
        <v>0</v>
      </c>
      <c r="AM765" s="55" t="s">
        <v>1912</v>
      </c>
      <c r="AN765" s="55">
        <v>0</v>
      </c>
      <c r="AO765" s="55">
        <v>0</v>
      </c>
      <c r="AP765" s="55">
        <f t="shared" si="284"/>
        <v>0</v>
      </c>
      <c r="AQ765" s="55">
        <f>IFERROR(VLOOKUP(A765,[1]SIIMPLES!$A$2:$F$418,6,FALSE),0)</f>
        <v>0</v>
      </c>
      <c r="AR765" s="55">
        <v>0</v>
      </c>
      <c r="AS765" s="55">
        <v>0</v>
      </c>
      <c r="AT765" s="55">
        <v>0</v>
      </c>
      <c r="AU765" s="55">
        <v>0</v>
      </c>
      <c r="AV765" s="55">
        <v>0</v>
      </c>
      <c r="AW765" s="55"/>
      <c r="AX765" s="55"/>
      <c r="AY765" s="56">
        <f t="shared" si="275"/>
        <v>0</v>
      </c>
      <c r="AZ765" s="55"/>
      <c r="BA765" s="56">
        <v>0.66666666666666663</v>
      </c>
      <c r="BB765" s="41">
        <f t="shared" si="288"/>
        <v>-1</v>
      </c>
      <c r="BC765" s="13"/>
      <c r="BD765" s="35"/>
      <c r="BE765" s="7"/>
      <c r="BF765" s="16"/>
      <c r="BG765" s="17" t="str">
        <f t="shared" si="281"/>
        <v>0</v>
      </c>
      <c r="BH765" s="16">
        <f t="shared" si="282"/>
        <v>0</v>
      </c>
    </row>
    <row r="766" spans="1:60" ht="12.75" customHeight="1" x14ac:dyDescent="0.2">
      <c r="A766" s="51">
        <v>11410</v>
      </c>
      <c r="B766" s="51"/>
      <c r="C766" s="66" t="s">
        <v>1803</v>
      </c>
      <c r="D766" s="52" t="s">
        <v>747</v>
      </c>
      <c r="E766" s="52" t="str">
        <f>VLOOKUP(A766,[3]CMV!$A$1:$E$1988,5,FALSE)</f>
        <v>Fabreck</v>
      </c>
      <c r="F766" s="53">
        <f>IFERROR(VLOOKUP(E766,Fornecedores!$A$2:$B$2700,2,FALSE),"")</f>
        <v>16</v>
      </c>
      <c r="G766" s="52" t="s">
        <v>1579</v>
      </c>
      <c r="H766" s="57"/>
      <c r="I766" s="55">
        <f>SUM(J766:M766)</f>
        <v>2</v>
      </c>
      <c r="J766" s="55">
        <v>2</v>
      </c>
      <c r="K766" s="55">
        <v>0</v>
      </c>
      <c r="L766" s="55">
        <v>0</v>
      </c>
      <c r="M766" s="55">
        <v>0</v>
      </c>
      <c r="N766" s="55">
        <f>SUM(O766:Q766)</f>
        <v>0</v>
      </c>
      <c r="O766" s="55">
        <v>0</v>
      </c>
      <c r="P766" s="55">
        <v>0</v>
      </c>
      <c r="Q766" s="55">
        <v>0</v>
      </c>
      <c r="R766" s="55">
        <f>SUM(S766:U766)</f>
        <v>2</v>
      </c>
      <c r="S766" s="55">
        <v>2</v>
      </c>
      <c r="T766" s="55">
        <v>0</v>
      </c>
      <c r="U766" s="55">
        <v>0</v>
      </c>
      <c r="V766" s="55">
        <v>3</v>
      </c>
      <c r="W766" s="53">
        <v>3</v>
      </c>
      <c r="X766" s="53">
        <v>0</v>
      </c>
      <c r="Y766" s="55">
        <v>0</v>
      </c>
      <c r="Z766" s="55">
        <v>0</v>
      </c>
      <c r="AA766" s="53">
        <v>0</v>
      </c>
      <c r="AB766" s="53">
        <v>0</v>
      </c>
      <c r="AC766" s="55">
        <v>0</v>
      </c>
      <c r="AD766" s="55">
        <f t="shared" si="272"/>
        <v>1</v>
      </c>
      <c r="AE766" s="53">
        <v>1</v>
      </c>
      <c r="AF766" s="55">
        <v>0</v>
      </c>
      <c r="AG766" s="55">
        <v>0</v>
      </c>
      <c r="AH766" s="55">
        <f t="shared" si="273"/>
        <v>0</v>
      </c>
      <c r="AI766" s="55">
        <v>0</v>
      </c>
      <c r="AJ766" s="55">
        <v>0</v>
      </c>
      <c r="AK766" s="55">
        <v>0</v>
      </c>
      <c r="AL766" s="55">
        <f t="shared" si="274"/>
        <v>0</v>
      </c>
      <c r="AM766" s="55" t="s">
        <v>1912</v>
      </c>
      <c r="AN766" s="55">
        <v>0</v>
      </c>
      <c r="AO766" s="55">
        <v>0</v>
      </c>
      <c r="AP766" s="55">
        <f t="shared" si="284"/>
        <v>0</v>
      </c>
      <c r="AQ766" s="55">
        <f>IFERROR(VLOOKUP(A766,[1]SIIMPLES!$A$2:$F$418,6,FALSE),0)</f>
        <v>0</v>
      </c>
      <c r="AR766" s="55">
        <v>0</v>
      </c>
      <c r="AS766" s="55">
        <v>0</v>
      </c>
      <c r="AT766" s="55">
        <v>0</v>
      </c>
      <c r="AU766" s="55">
        <v>0</v>
      </c>
      <c r="AV766" s="55">
        <v>0</v>
      </c>
      <c r="AW766" s="55"/>
      <c r="AX766" s="55"/>
      <c r="AY766" s="56">
        <f t="shared" si="275"/>
        <v>0.8</v>
      </c>
      <c r="AZ766" s="55"/>
      <c r="BA766" s="56">
        <v>2</v>
      </c>
      <c r="BB766" s="41">
        <f t="shared" si="288"/>
        <v>-0.6</v>
      </c>
      <c r="BC766" s="13"/>
      <c r="BD766" s="35"/>
      <c r="BE766" s="13"/>
      <c r="BF766" s="16"/>
      <c r="BG766" s="17">
        <f t="shared" si="281"/>
        <v>0</v>
      </c>
      <c r="BH766" s="16">
        <f t="shared" si="282"/>
        <v>0.8</v>
      </c>
    </row>
    <row r="767" spans="1:60" ht="12.75" customHeight="1" x14ac:dyDescent="0.2">
      <c r="A767" s="51">
        <v>11418</v>
      </c>
      <c r="B767" s="51"/>
      <c r="C767" s="66" t="s">
        <v>1803</v>
      </c>
      <c r="D767" s="52" t="s">
        <v>747</v>
      </c>
      <c r="E767" s="52" t="str">
        <f>VLOOKUP(A767,[3]CMV!$A$1:$E$1988,5,FALSE)</f>
        <v>Fabreck</v>
      </c>
      <c r="F767" s="53">
        <f>IFERROR(VLOOKUP(E767,Fornecedores!$A$2:$B$2700,2,FALSE),"")</f>
        <v>16</v>
      </c>
      <c r="G767" s="52" t="s">
        <v>1749</v>
      </c>
      <c r="H767" s="57"/>
      <c r="I767" s="55">
        <f>SUM(J767:M767)</f>
        <v>0</v>
      </c>
      <c r="J767" s="55">
        <v>0</v>
      </c>
      <c r="K767" s="55">
        <v>0</v>
      </c>
      <c r="L767" s="55">
        <v>0</v>
      </c>
      <c r="M767" s="55">
        <v>0</v>
      </c>
      <c r="N767" s="55">
        <f>SUM(O767:Q767)</f>
        <v>1</v>
      </c>
      <c r="O767" s="55">
        <v>1</v>
      </c>
      <c r="P767" s="55">
        <v>0</v>
      </c>
      <c r="Q767" s="55">
        <v>0</v>
      </c>
      <c r="R767" s="55">
        <f>SUM(S767:U767)</f>
        <v>1</v>
      </c>
      <c r="S767" s="55">
        <v>1</v>
      </c>
      <c r="T767" s="55">
        <v>0</v>
      </c>
      <c r="U767" s="55">
        <v>0</v>
      </c>
      <c r="V767" s="55">
        <v>3</v>
      </c>
      <c r="W767" s="53">
        <v>3</v>
      </c>
      <c r="X767" s="53">
        <v>0</v>
      </c>
      <c r="Y767" s="55">
        <v>0</v>
      </c>
      <c r="Z767" s="55">
        <v>0</v>
      </c>
      <c r="AA767" s="53">
        <v>0</v>
      </c>
      <c r="AB767" s="53">
        <v>0</v>
      </c>
      <c r="AC767" s="55">
        <v>0</v>
      </c>
      <c r="AD767" s="55">
        <f t="shared" si="272"/>
        <v>0</v>
      </c>
      <c r="AE767" s="53">
        <v>0</v>
      </c>
      <c r="AF767" s="55">
        <v>0</v>
      </c>
      <c r="AG767" s="55">
        <v>0</v>
      </c>
      <c r="AH767" s="55">
        <f t="shared" si="273"/>
        <v>1</v>
      </c>
      <c r="AI767" s="55">
        <v>1</v>
      </c>
      <c r="AJ767" s="55">
        <v>0</v>
      </c>
      <c r="AK767" s="55">
        <v>0</v>
      </c>
      <c r="AL767" s="55">
        <f t="shared" si="274"/>
        <v>0</v>
      </c>
      <c r="AM767" s="55" t="s">
        <v>1912</v>
      </c>
      <c r="AN767" s="55">
        <v>0</v>
      </c>
      <c r="AO767" s="55">
        <v>0</v>
      </c>
      <c r="AP767" s="55">
        <f t="shared" si="284"/>
        <v>0</v>
      </c>
      <c r="AQ767" s="55">
        <f>IFERROR(VLOOKUP(A767,[1]SIIMPLES!$A$2:$F$418,6,FALSE),0)</f>
        <v>0</v>
      </c>
      <c r="AR767" s="55">
        <v>0</v>
      </c>
      <c r="AS767" s="55">
        <v>0</v>
      </c>
      <c r="AT767" s="55">
        <v>0</v>
      </c>
      <c r="AU767" s="55">
        <v>0</v>
      </c>
      <c r="AV767" s="55">
        <v>0</v>
      </c>
      <c r="AW767" s="55"/>
      <c r="AX767" s="55"/>
      <c r="AY767" s="56">
        <f t="shared" si="275"/>
        <v>0.6</v>
      </c>
      <c r="AZ767" s="55"/>
      <c r="BA767" s="56">
        <v>3.5</v>
      </c>
      <c r="BB767" s="41">
        <f t="shared" si="288"/>
        <v>-0.82857142857142851</v>
      </c>
      <c r="BC767" s="13"/>
      <c r="BD767" s="35"/>
      <c r="BE767" s="7"/>
      <c r="BF767" s="16"/>
      <c r="BG767" s="17">
        <f t="shared" si="281"/>
        <v>0</v>
      </c>
      <c r="BH767" s="16">
        <f t="shared" si="282"/>
        <v>0.6</v>
      </c>
    </row>
    <row r="768" spans="1:60" ht="12.75" customHeight="1" x14ac:dyDescent="0.2">
      <c r="A768" s="51">
        <v>11419</v>
      </c>
      <c r="B768" s="51" t="s">
        <v>1077</v>
      </c>
      <c r="C768" s="66" t="s">
        <v>1803</v>
      </c>
      <c r="D768" s="52" t="s">
        <v>747</v>
      </c>
      <c r="E768" s="52" t="s">
        <v>779</v>
      </c>
      <c r="F768" s="53">
        <f>IFERROR(VLOOKUP(E768,Fornecedores!$A$2:$B$2700,2,FALSE),"")</f>
        <v>21</v>
      </c>
      <c r="G768" s="52" t="s">
        <v>434</v>
      </c>
      <c r="H768" s="54"/>
      <c r="I768" s="55">
        <f>SUM(J768:M768)</f>
        <v>1</v>
      </c>
      <c r="J768" s="55">
        <v>1</v>
      </c>
      <c r="K768" s="55">
        <v>0</v>
      </c>
      <c r="L768" s="55">
        <v>0</v>
      </c>
      <c r="M768" s="55">
        <v>0</v>
      </c>
      <c r="N768" s="55">
        <f>SUM(O768:Q768)</f>
        <v>0</v>
      </c>
      <c r="O768" s="55">
        <v>0</v>
      </c>
      <c r="P768" s="55">
        <v>0</v>
      </c>
      <c r="Q768" s="55">
        <v>0</v>
      </c>
      <c r="R768" s="55">
        <f>SUM(S768:U768)</f>
        <v>3</v>
      </c>
      <c r="S768" s="55">
        <v>3</v>
      </c>
      <c r="T768" s="55">
        <v>0</v>
      </c>
      <c r="U768" s="55">
        <v>0</v>
      </c>
      <c r="V768" s="55">
        <v>8</v>
      </c>
      <c r="W768" s="53">
        <v>8</v>
      </c>
      <c r="X768" s="53">
        <v>0</v>
      </c>
      <c r="Y768" s="55">
        <v>0</v>
      </c>
      <c r="Z768" s="55">
        <v>0</v>
      </c>
      <c r="AA768" s="53">
        <v>0</v>
      </c>
      <c r="AB768" s="53">
        <v>0</v>
      </c>
      <c r="AC768" s="55">
        <v>0</v>
      </c>
      <c r="AD768" s="55">
        <f t="shared" si="272"/>
        <v>0</v>
      </c>
      <c r="AE768" s="53">
        <v>0</v>
      </c>
      <c r="AF768" s="55">
        <v>0</v>
      </c>
      <c r="AG768" s="55">
        <v>0</v>
      </c>
      <c r="AH768" s="55">
        <f t="shared" si="273"/>
        <v>0</v>
      </c>
      <c r="AI768" s="55">
        <v>0</v>
      </c>
      <c r="AJ768" s="55">
        <v>0</v>
      </c>
      <c r="AK768" s="55">
        <v>0</v>
      </c>
      <c r="AL768" s="55">
        <f t="shared" si="274"/>
        <v>0</v>
      </c>
      <c r="AM768" s="55" t="s">
        <v>1912</v>
      </c>
      <c r="AN768" s="55">
        <v>0</v>
      </c>
      <c r="AO768" s="55">
        <v>0</v>
      </c>
      <c r="AP768" s="55">
        <f t="shared" si="284"/>
        <v>0</v>
      </c>
      <c r="AQ768" s="55">
        <f>IFERROR(VLOOKUP(A768,[1]SIIMPLES!$A$2:$F$418,6,FALSE),0)</f>
        <v>0</v>
      </c>
      <c r="AR768" s="55">
        <v>0</v>
      </c>
      <c r="AS768" s="55">
        <v>0</v>
      </c>
      <c r="AT768" s="55">
        <v>0</v>
      </c>
      <c r="AU768" s="55">
        <v>0</v>
      </c>
      <c r="AV768" s="55">
        <v>0</v>
      </c>
      <c r="AW768" s="55"/>
      <c r="AX768" s="55"/>
      <c r="AY768" s="56">
        <f t="shared" si="275"/>
        <v>1.2</v>
      </c>
      <c r="AZ768" s="55"/>
      <c r="BA768" s="56">
        <v>0.5</v>
      </c>
      <c r="BB768" s="41">
        <f t="shared" si="288"/>
        <v>1.4</v>
      </c>
      <c r="BC768" s="7"/>
      <c r="BD768" s="35"/>
      <c r="BE768" s="13"/>
      <c r="BF768" s="16"/>
      <c r="BG768" s="17">
        <f t="shared" si="281"/>
        <v>0</v>
      </c>
      <c r="BH768" s="16">
        <f t="shared" si="282"/>
        <v>1.2</v>
      </c>
    </row>
    <row r="769" spans="1:60" ht="12.75" customHeight="1" x14ac:dyDescent="0.2">
      <c r="A769" s="51">
        <v>13377</v>
      </c>
      <c r="B769" s="51"/>
      <c r="C769" s="66" t="s">
        <v>1803</v>
      </c>
      <c r="D769" s="52" t="s">
        <v>766</v>
      </c>
      <c r="E769" s="52" t="s">
        <v>780</v>
      </c>
      <c r="F769" s="53">
        <f>IFERROR(VLOOKUP(E769,Fornecedores!$A$2:$B$2700,2,FALSE),"")</f>
        <v>2</v>
      </c>
      <c r="G769" s="52" t="s">
        <v>678</v>
      </c>
      <c r="H769" s="54"/>
      <c r="I769" s="55">
        <f>SUM(J769:M769)</f>
        <v>0</v>
      </c>
      <c r="J769" s="55">
        <v>0</v>
      </c>
      <c r="K769" s="55">
        <v>0</v>
      </c>
      <c r="L769" s="55">
        <v>0</v>
      </c>
      <c r="M769" s="55">
        <v>0</v>
      </c>
      <c r="N769" s="55">
        <f>SUM(O769:Q769)</f>
        <v>0</v>
      </c>
      <c r="O769" s="55">
        <v>0</v>
      </c>
      <c r="P769" s="55">
        <v>0</v>
      </c>
      <c r="Q769" s="55">
        <v>0</v>
      </c>
      <c r="R769" s="55">
        <f>SUM(S769:U769)</f>
        <v>0</v>
      </c>
      <c r="S769" s="55">
        <v>0</v>
      </c>
      <c r="T769" s="55">
        <v>0</v>
      </c>
      <c r="U769" s="55">
        <v>0</v>
      </c>
      <c r="V769" s="55">
        <v>0</v>
      </c>
      <c r="W769" s="53">
        <v>0</v>
      </c>
      <c r="X769" s="53">
        <v>0</v>
      </c>
      <c r="Y769" s="55">
        <v>0</v>
      </c>
      <c r="Z769" s="55">
        <v>0</v>
      </c>
      <c r="AA769" s="53">
        <v>0</v>
      </c>
      <c r="AB769" s="53">
        <v>0</v>
      </c>
      <c r="AC769" s="55">
        <v>0</v>
      </c>
      <c r="AD769" s="55">
        <f t="shared" si="272"/>
        <v>0</v>
      </c>
      <c r="AE769" s="53">
        <v>0</v>
      </c>
      <c r="AF769" s="55">
        <v>0</v>
      </c>
      <c r="AG769" s="55">
        <v>0</v>
      </c>
      <c r="AH769" s="55">
        <f t="shared" si="273"/>
        <v>0</v>
      </c>
      <c r="AI769" s="55">
        <v>0</v>
      </c>
      <c r="AJ769" s="55">
        <v>0</v>
      </c>
      <c r="AK769" s="55">
        <v>0</v>
      </c>
      <c r="AL769" s="55">
        <f t="shared" si="274"/>
        <v>0</v>
      </c>
      <c r="AM769" s="55" t="s">
        <v>1912</v>
      </c>
      <c r="AN769" s="55">
        <v>0</v>
      </c>
      <c r="AO769" s="55">
        <v>0</v>
      </c>
      <c r="AP769" s="55">
        <f t="shared" si="284"/>
        <v>0</v>
      </c>
      <c r="AQ769" s="55">
        <f>IFERROR(VLOOKUP(A769,[1]SIIMPLES!$A$2:$F$418,6,FALSE),0)</f>
        <v>0</v>
      </c>
      <c r="AR769" s="55">
        <v>0</v>
      </c>
      <c r="AS769" s="55">
        <v>0</v>
      </c>
      <c r="AT769" s="55">
        <v>0</v>
      </c>
      <c r="AU769" s="55">
        <v>0</v>
      </c>
      <c r="AV769" s="55">
        <v>0</v>
      </c>
      <c r="AW769" s="55"/>
      <c r="AX769" s="55"/>
      <c r="AY769" s="56">
        <f t="shared" si="275"/>
        <v>0</v>
      </c>
      <c r="AZ769" s="55"/>
      <c r="BA769" s="56">
        <v>0</v>
      </c>
      <c r="BB769" s="41" t="str">
        <f t="shared" si="288"/>
        <v/>
      </c>
      <c r="BC769" s="7"/>
      <c r="BD769" s="35"/>
      <c r="BE769" s="13"/>
      <c r="BF769" s="16"/>
      <c r="BG769" s="17" t="str">
        <f t="shared" si="281"/>
        <v>0</v>
      </c>
      <c r="BH769" s="16">
        <f>ROUND(IFERROR(IF(F769=1,IF(BC769&lt;AY769*3,AY769*3-BC769,0),IF(BC769&lt;AY769,AY769*0.6-BC769,0)),""),0)</f>
        <v>0</v>
      </c>
    </row>
    <row r="770" spans="1:60" ht="12.75" customHeight="1" x14ac:dyDescent="0.2">
      <c r="A770" s="51">
        <v>20475</v>
      </c>
      <c r="B770" s="51"/>
      <c r="C770" s="66" t="s">
        <v>1803</v>
      </c>
      <c r="D770" s="52" t="s">
        <v>1899</v>
      </c>
      <c r="E770" s="52" t="str">
        <f>VLOOKUP(A770,[2]CMV!$A$1:$E$2043,5,FALSE)</f>
        <v>POLO</v>
      </c>
      <c r="F770" s="53"/>
      <c r="G770" s="52" t="str">
        <f>VLOOKUP(A770,[2]CMV!$A$1:$F$2043,6,FALSE)</f>
        <v>Motor De Partida March 1.6 10 Dentes 2013 A 2016</v>
      </c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3">
        <v>0</v>
      </c>
      <c r="Y770" s="57"/>
      <c r="Z770" s="55">
        <v>1</v>
      </c>
      <c r="AA770" s="53">
        <v>1</v>
      </c>
      <c r="AB770" s="53">
        <v>0</v>
      </c>
      <c r="AC770" s="55">
        <v>0</v>
      </c>
      <c r="AD770" s="55">
        <f t="shared" si="272"/>
        <v>0</v>
      </c>
      <c r="AE770" s="53">
        <v>0</v>
      </c>
      <c r="AF770" s="55">
        <v>0</v>
      </c>
      <c r="AG770" s="55">
        <v>0</v>
      </c>
      <c r="AH770" s="55">
        <f t="shared" si="273"/>
        <v>1</v>
      </c>
      <c r="AI770" s="55">
        <v>1</v>
      </c>
      <c r="AJ770" s="55">
        <v>0</v>
      </c>
      <c r="AK770" s="55">
        <v>0</v>
      </c>
      <c r="AL770" s="55">
        <f t="shared" si="274"/>
        <v>1</v>
      </c>
      <c r="AM770" s="55">
        <v>1</v>
      </c>
      <c r="AN770" s="55">
        <v>0</v>
      </c>
      <c r="AO770" s="55">
        <v>0</v>
      </c>
      <c r="AP770" s="55">
        <f t="shared" si="284"/>
        <v>0</v>
      </c>
      <c r="AQ770" s="55">
        <f>IFERROR(VLOOKUP(A770,[1]SIIMPLES!$A$2:$F$418,6,FALSE),0)</f>
        <v>0</v>
      </c>
      <c r="AR770" s="55">
        <v>0</v>
      </c>
      <c r="AS770" s="55">
        <v>0</v>
      </c>
      <c r="AT770" s="55">
        <v>0</v>
      </c>
      <c r="AU770" s="55">
        <v>0</v>
      </c>
      <c r="AV770" s="55">
        <v>0</v>
      </c>
      <c r="AW770" s="57"/>
      <c r="AX770" s="57"/>
      <c r="AY770" s="56">
        <f t="shared" si="275"/>
        <v>0.5</v>
      </c>
      <c r="AZ770" s="57"/>
      <c r="BA770" s="57"/>
      <c r="BB770" s="41" t="str">
        <f t="shared" si="288"/>
        <v/>
      </c>
      <c r="BC770" s="13"/>
      <c r="BD770" s="35"/>
      <c r="BE770" s="13"/>
      <c r="BF770" s="16">
        <f>SUM(BC770:BE770)</f>
        <v>0</v>
      </c>
      <c r="BG770" s="17">
        <f t="shared" ref="BG770:BG800" si="289">IFERROR(BC770/AY770,"0")</f>
        <v>0</v>
      </c>
      <c r="BH770" s="16">
        <f>IFERROR(IF(F770=1,IF(BC770&lt;AY770*3,AY770*3-BC770,0),IF(BC770&lt;AY770,AY770-BC770,0)),"")</f>
        <v>0.5</v>
      </c>
    </row>
    <row r="771" spans="1:60" ht="12.75" customHeight="1" x14ac:dyDescent="0.2">
      <c r="A771" s="51">
        <v>22114</v>
      </c>
      <c r="B771" s="51"/>
      <c r="C771" s="66" t="s">
        <v>1803</v>
      </c>
      <c r="D771" s="52" t="s">
        <v>1498</v>
      </c>
      <c r="E771" s="52" t="s">
        <v>1499</v>
      </c>
      <c r="F771" s="53">
        <f>IFERROR(VLOOKUP(E771,Fornecedores!$A$2:$B$2700,2,FALSE),"")</f>
        <v>21</v>
      </c>
      <c r="G771" s="52" t="s">
        <v>1500</v>
      </c>
      <c r="H771" s="57"/>
      <c r="I771" s="55">
        <f t="shared" ref="I771:I802" si="290">SUM(J771:M771)</f>
        <v>0</v>
      </c>
      <c r="J771" s="55">
        <v>0</v>
      </c>
      <c r="K771" s="55">
        <v>0</v>
      </c>
      <c r="L771" s="55">
        <v>0</v>
      </c>
      <c r="M771" s="55">
        <v>0</v>
      </c>
      <c r="N771" s="55">
        <f t="shared" ref="N771:N802" si="291">SUM(O771:Q771)</f>
        <v>0</v>
      </c>
      <c r="O771" s="55">
        <v>0</v>
      </c>
      <c r="P771" s="55">
        <v>0</v>
      </c>
      <c r="Q771" s="55">
        <v>0</v>
      </c>
      <c r="R771" s="55">
        <f t="shared" ref="R771:R802" si="292">SUM(S771:U771)</f>
        <v>0</v>
      </c>
      <c r="S771" s="55">
        <v>0</v>
      </c>
      <c r="T771" s="55">
        <v>0</v>
      </c>
      <c r="U771" s="55">
        <v>0</v>
      </c>
      <c r="V771" s="55">
        <v>1</v>
      </c>
      <c r="W771" s="53">
        <v>1</v>
      </c>
      <c r="X771" s="53">
        <v>0</v>
      </c>
      <c r="Y771" s="55">
        <v>0</v>
      </c>
      <c r="Z771" s="55">
        <v>0</v>
      </c>
      <c r="AA771" s="53">
        <v>0</v>
      </c>
      <c r="AB771" s="53">
        <v>0</v>
      </c>
      <c r="AC771" s="55">
        <v>0</v>
      </c>
      <c r="AD771" s="55">
        <f t="shared" si="272"/>
        <v>0</v>
      </c>
      <c r="AE771" s="53">
        <v>0</v>
      </c>
      <c r="AF771" s="55">
        <v>0</v>
      </c>
      <c r="AG771" s="55">
        <v>0</v>
      </c>
      <c r="AH771" s="55">
        <f t="shared" si="273"/>
        <v>0</v>
      </c>
      <c r="AI771" s="55">
        <v>0</v>
      </c>
      <c r="AJ771" s="55">
        <v>0</v>
      </c>
      <c r="AK771" s="55">
        <v>0</v>
      </c>
      <c r="AL771" s="55">
        <f t="shared" si="274"/>
        <v>0</v>
      </c>
      <c r="AM771" s="55" t="s">
        <v>1912</v>
      </c>
      <c r="AN771" s="55">
        <v>0</v>
      </c>
      <c r="AO771" s="55">
        <v>0</v>
      </c>
      <c r="AP771" s="55">
        <f t="shared" si="284"/>
        <v>0</v>
      </c>
      <c r="AQ771" s="55">
        <f>IFERROR(VLOOKUP(A771,[1]SIIMPLES!$A$2:$F$418,6,FALSE),0)</f>
        <v>0</v>
      </c>
      <c r="AR771" s="55">
        <v>0</v>
      </c>
      <c r="AS771" s="55">
        <v>0</v>
      </c>
      <c r="AT771" s="55">
        <v>0</v>
      </c>
      <c r="AU771" s="55">
        <v>0</v>
      </c>
      <c r="AV771" s="55">
        <v>0</v>
      </c>
      <c r="AW771" s="57"/>
      <c r="AX771" s="57"/>
      <c r="AY771" s="56">
        <f t="shared" si="275"/>
        <v>0.1</v>
      </c>
      <c r="AZ771" s="55"/>
      <c r="BA771" s="56" t="s">
        <v>1912</v>
      </c>
      <c r="BB771" s="41" t="str">
        <f t="shared" si="288"/>
        <v/>
      </c>
      <c r="BC771" s="13"/>
      <c r="BD771" s="35"/>
      <c r="BE771" s="13"/>
      <c r="BF771" s="16">
        <f>SUM(BC771:BE771)</f>
        <v>0</v>
      </c>
      <c r="BG771" s="17">
        <f t="shared" si="289"/>
        <v>0</v>
      </c>
      <c r="BH771" s="16">
        <f>IFERROR(IF(F771=1,IF(BC771&lt;AY771*3,AY771*3-BC771,0),IF(BC771&lt;AY771,AY771-BC771,0)),"")</f>
        <v>0.1</v>
      </c>
    </row>
    <row r="772" spans="1:60" ht="12.75" customHeight="1" x14ac:dyDescent="0.2">
      <c r="A772" s="51">
        <v>22132</v>
      </c>
      <c r="B772" s="51"/>
      <c r="C772" s="66" t="s">
        <v>1803</v>
      </c>
      <c r="D772" s="65" t="s">
        <v>1478</v>
      </c>
      <c r="E772" s="67" t="s">
        <v>727</v>
      </c>
      <c r="F772" s="53">
        <f>IFERROR(VLOOKUP(E772,Fornecedores!$A$2:$B$2700,2,FALSE),"")</f>
        <v>1</v>
      </c>
      <c r="G772" s="52" t="s">
        <v>1766</v>
      </c>
      <c r="H772" s="57"/>
      <c r="I772" s="55">
        <f t="shared" si="290"/>
        <v>0</v>
      </c>
      <c r="J772" s="55">
        <v>0</v>
      </c>
      <c r="K772" s="55">
        <v>0</v>
      </c>
      <c r="L772" s="55">
        <v>0</v>
      </c>
      <c r="M772" s="55">
        <v>0</v>
      </c>
      <c r="N772" s="55">
        <f t="shared" si="291"/>
        <v>0</v>
      </c>
      <c r="O772" s="55">
        <v>0</v>
      </c>
      <c r="P772" s="55">
        <v>0</v>
      </c>
      <c r="Q772" s="55">
        <v>0</v>
      </c>
      <c r="R772" s="55">
        <f t="shared" si="292"/>
        <v>0</v>
      </c>
      <c r="S772" s="55">
        <v>0</v>
      </c>
      <c r="T772" s="55">
        <v>0</v>
      </c>
      <c r="U772" s="55">
        <v>0</v>
      </c>
      <c r="V772" s="55">
        <v>0</v>
      </c>
      <c r="W772" s="53">
        <v>0</v>
      </c>
      <c r="X772" s="53">
        <v>0</v>
      </c>
      <c r="Y772" s="55">
        <v>0</v>
      </c>
      <c r="Z772" s="55">
        <v>0</v>
      </c>
      <c r="AA772" s="53">
        <v>0</v>
      </c>
      <c r="AB772" s="53">
        <v>0</v>
      </c>
      <c r="AC772" s="55">
        <v>0</v>
      </c>
      <c r="AD772" s="55">
        <f t="shared" si="272"/>
        <v>0</v>
      </c>
      <c r="AE772" s="53">
        <v>0</v>
      </c>
      <c r="AF772" s="55">
        <v>0</v>
      </c>
      <c r="AG772" s="55">
        <v>0</v>
      </c>
      <c r="AH772" s="55">
        <f t="shared" si="273"/>
        <v>0</v>
      </c>
      <c r="AI772" s="55">
        <v>0</v>
      </c>
      <c r="AJ772" s="55">
        <v>0</v>
      </c>
      <c r="AK772" s="55">
        <v>0</v>
      </c>
      <c r="AL772" s="55">
        <f t="shared" si="274"/>
        <v>0</v>
      </c>
      <c r="AM772" s="55" t="s">
        <v>1912</v>
      </c>
      <c r="AN772" s="55">
        <v>0</v>
      </c>
      <c r="AO772" s="55">
        <v>0</v>
      </c>
      <c r="AP772" s="55">
        <f t="shared" si="284"/>
        <v>0</v>
      </c>
      <c r="AQ772" s="55">
        <f>IFERROR(VLOOKUP(A772,[1]SIIMPLES!$A$2:$F$418,6,FALSE),0)</f>
        <v>0</v>
      </c>
      <c r="AR772" s="55">
        <v>0</v>
      </c>
      <c r="AS772" s="55">
        <v>0</v>
      </c>
      <c r="AT772" s="55">
        <v>0</v>
      </c>
      <c r="AU772" s="55">
        <v>0</v>
      </c>
      <c r="AV772" s="55">
        <v>0</v>
      </c>
      <c r="AW772" s="57"/>
      <c r="AX772" s="55"/>
      <c r="AY772" s="56">
        <f t="shared" si="275"/>
        <v>0</v>
      </c>
      <c r="AZ772" s="55"/>
      <c r="BA772" s="56">
        <v>1</v>
      </c>
      <c r="BB772" s="41">
        <f t="shared" si="288"/>
        <v>-1</v>
      </c>
      <c r="BC772" s="13"/>
      <c r="BD772" s="35"/>
      <c r="BE772" s="13"/>
      <c r="BF772" s="16">
        <f>SUM(BC772:BE772)</f>
        <v>0</v>
      </c>
      <c r="BG772" s="17" t="str">
        <f t="shared" si="289"/>
        <v>0</v>
      </c>
      <c r="BH772" s="16">
        <f>IFERROR(IF(F772=1,IF(BC772&lt;AY772*3,AY772*3-BC772,0),IF(BC772&lt;AY772,AY772-BC772,0)),"")</f>
        <v>0</v>
      </c>
    </row>
    <row r="773" spans="1:60" ht="12.75" customHeight="1" x14ac:dyDescent="0.2">
      <c r="A773" s="51">
        <v>22187</v>
      </c>
      <c r="B773" s="51"/>
      <c r="C773" s="66" t="s">
        <v>1803</v>
      </c>
      <c r="D773" s="52" t="s">
        <v>747</v>
      </c>
      <c r="E773" s="52" t="str">
        <f>VLOOKUP(A773,[3]CMV!$A$1:$E$1988,5,FALSE)</f>
        <v>BrasFreio</v>
      </c>
      <c r="F773" s="53">
        <f>IFERROR(VLOOKUP(E773,Fornecedores!$A$2:$B$2700,2,FALSE),"")</f>
        <v>21</v>
      </c>
      <c r="G773" s="52" t="s">
        <v>1586</v>
      </c>
      <c r="H773" s="57"/>
      <c r="I773" s="55">
        <f t="shared" si="290"/>
        <v>1</v>
      </c>
      <c r="J773" s="55">
        <v>1</v>
      </c>
      <c r="K773" s="55">
        <v>0</v>
      </c>
      <c r="L773" s="55">
        <v>0</v>
      </c>
      <c r="M773" s="55">
        <v>0</v>
      </c>
      <c r="N773" s="55">
        <f t="shared" si="291"/>
        <v>2</v>
      </c>
      <c r="O773" s="55">
        <v>2</v>
      </c>
      <c r="P773" s="55">
        <v>0</v>
      </c>
      <c r="Q773" s="55">
        <v>0</v>
      </c>
      <c r="R773" s="55">
        <f t="shared" si="292"/>
        <v>2</v>
      </c>
      <c r="S773" s="55">
        <v>2</v>
      </c>
      <c r="T773" s="55">
        <v>0</v>
      </c>
      <c r="U773" s="55">
        <v>0</v>
      </c>
      <c r="V773" s="55">
        <v>2</v>
      </c>
      <c r="W773" s="53">
        <v>2</v>
      </c>
      <c r="X773" s="53">
        <v>0</v>
      </c>
      <c r="Y773" s="55">
        <v>0</v>
      </c>
      <c r="Z773" s="55">
        <v>1</v>
      </c>
      <c r="AA773" s="53">
        <v>1</v>
      </c>
      <c r="AB773" s="53">
        <v>0</v>
      </c>
      <c r="AC773" s="55">
        <v>0</v>
      </c>
      <c r="AD773" s="55">
        <f t="shared" si="272"/>
        <v>0</v>
      </c>
      <c r="AE773" s="53">
        <v>0</v>
      </c>
      <c r="AF773" s="55">
        <v>0</v>
      </c>
      <c r="AG773" s="55">
        <v>0</v>
      </c>
      <c r="AH773" s="55">
        <f t="shared" si="273"/>
        <v>0</v>
      </c>
      <c r="AI773" s="55">
        <v>0</v>
      </c>
      <c r="AJ773" s="55">
        <v>0</v>
      </c>
      <c r="AK773" s="55">
        <v>0</v>
      </c>
      <c r="AL773" s="55">
        <f t="shared" si="274"/>
        <v>0</v>
      </c>
      <c r="AM773" s="55" t="s">
        <v>1912</v>
      </c>
      <c r="AN773" s="55">
        <v>0</v>
      </c>
      <c r="AO773" s="55">
        <v>0</v>
      </c>
      <c r="AP773" s="55">
        <f t="shared" si="284"/>
        <v>0</v>
      </c>
      <c r="AQ773" s="55">
        <f>IFERROR(VLOOKUP(A773,[1]SIIMPLES!$A$2:$F$418,6,FALSE),0)</f>
        <v>0</v>
      </c>
      <c r="AR773" s="55">
        <v>0</v>
      </c>
      <c r="AS773" s="55">
        <v>0</v>
      </c>
      <c r="AT773" s="55">
        <v>0</v>
      </c>
      <c r="AU773" s="55">
        <v>0</v>
      </c>
      <c r="AV773" s="55">
        <v>0</v>
      </c>
      <c r="AW773" s="57"/>
      <c r="AX773" s="55"/>
      <c r="AY773" s="56">
        <f t="shared" si="275"/>
        <v>0.8</v>
      </c>
      <c r="AZ773" s="55"/>
      <c r="BA773" s="56">
        <v>0</v>
      </c>
      <c r="BB773" s="41" t="str">
        <f t="shared" si="288"/>
        <v/>
      </c>
      <c r="BC773" s="13"/>
      <c r="BD773" s="35"/>
      <c r="BE773" s="13"/>
      <c r="BF773" s="16"/>
      <c r="BG773" s="17">
        <f t="shared" si="289"/>
        <v>0</v>
      </c>
      <c r="BH773" s="16">
        <f>ROUND(IFERROR(IF(F773=1,IF(BC773&lt;AY773*3,AY773*3-BC773,0),IF(BC773&lt;AY773,AY773*0.6-BC773,0)),""),0)</f>
        <v>0</v>
      </c>
    </row>
    <row r="774" spans="1:60" ht="12.75" customHeight="1" x14ac:dyDescent="0.2">
      <c r="A774" s="51">
        <v>22383</v>
      </c>
      <c r="B774" s="51"/>
      <c r="C774" s="66" t="s">
        <v>1803</v>
      </c>
      <c r="D774" s="52" t="s">
        <v>747</v>
      </c>
      <c r="E774" s="52" t="str">
        <f>VLOOKUP(A774,[3]CMV!$A$1:$E$1988,5,FALSE)</f>
        <v>BRASFREIO</v>
      </c>
      <c r="F774" s="53">
        <f>IFERROR(VLOOKUP(E774,Fornecedores!$A$2:$B$2700,2,FALSE),"")</f>
        <v>21</v>
      </c>
      <c r="G774" s="52" t="s">
        <v>1235</v>
      </c>
      <c r="H774" s="54"/>
      <c r="I774" s="55">
        <f t="shared" si="290"/>
        <v>0</v>
      </c>
      <c r="J774" s="55">
        <v>0</v>
      </c>
      <c r="K774" s="55">
        <v>0</v>
      </c>
      <c r="L774" s="55">
        <v>0</v>
      </c>
      <c r="M774" s="55">
        <v>0</v>
      </c>
      <c r="N774" s="55">
        <f t="shared" si="291"/>
        <v>0</v>
      </c>
      <c r="O774" s="55">
        <v>0</v>
      </c>
      <c r="P774" s="55">
        <v>0</v>
      </c>
      <c r="Q774" s="55">
        <v>0</v>
      </c>
      <c r="R774" s="55">
        <f t="shared" si="292"/>
        <v>0</v>
      </c>
      <c r="S774" s="55">
        <v>0</v>
      </c>
      <c r="T774" s="55">
        <v>0</v>
      </c>
      <c r="U774" s="55">
        <v>0</v>
      </c>
      <c r="V774" s="55">
        <v>0</v>
      </c>
      <c r="W774" s="53">
        <v>0</v>
      </c>
      <c r="X774" s="53">
        <v>0</v>
      </c>
      <c r="Y774" s="55">
        <v>0</v>
      </c>
      <c r="Z774" s="55">
        <v>1</v>
      </c>
      <c r="AA774" s="53">
        <v>1</v>
      </c>
      <c r="AB774" s="53">
        <v>0</v>
      </c>
      <c r="AC774" s="55">
        <v>0</v>
      </c>
      <c r="AD774" s="55">
        <f t="shared" si="272"/>
        <v>1</v>
      </c>
      <c r="AE774" s="53">
        <v>1</v>
      </c>
      <c r="AF774" s="55">
        <v>0</v>
      </c>
      <c r="AG774" s="55">
        <v>0</v>
      </c>
      <c r="AH774" s="55">
        <f t="shared" si="273"/>
        <v>2</v>
      </c>
      <c r="AI774" s="55">
        <v>2</v>
      </c>
      <c r="AJ774" s="55">
        <v>0</v>
      </c>
      <c r="AK774" s="55">
        <v>0</v>
      </c>
      <c r="AL774" s="55">
        <f t="shared" si="274"/>
        <v>0</v>
      </c>
      <c r="AM774" s="55" t="s">
        <v>1912</v>
      </c>
      <c r="AN774" s="55">
        <v>0</v>
      </c>
      <c r="AO774" s="55">
        <v>0</v>
      </c>
      <c r="AP774" s="55">
        <f t="shared" si="284"/>
        <v>0</v>
      </c>
      <c r="AQ774" s="55">
        <f>IFERROR(VLOOKUP(A774,[1]SIIMPLES!$A$2:$F$418,6,FALSE),0)</f>
        <v>0</v>
      </c>
      <c r="AR774" s="55">
        <v>0</v>
      </c>
      <c r="AS774" s="55">
        <v>0</v>
      </c>
      <c r="AT774" s="55">
        <v>0</v>
      </c>
      <c r="AU774" s="55">
        <v>0</v>
      </c>
      <c r="AV774" s="55">
        <v>0</v>
      </c>
      <c r="AW774" s="55"/>
      <c r="AX774" s="55"/>
      <c r="AY774" s="56">
        <f t="shared" si="275"/>
        <v>0.4</v>
      </c>
      <c r="AZ774" s="55"/>
      <c r="BA774" s="56">
        <v>0.66666666666666663</v>
      </c>
      <c r="BB774" s="41">
        <f t="shared" si="288"/>
        <v>-0.39999999999999991</v>
      </c>
      <c r="BC774" s="13"/>
      <c r="BD774" s="35"/>
      <c r="BE774" s="7"/>
      <c r="BF774" s="16"/>
      <c r="BG774" s="17">
        <f t="shared" si="289"/>
        <v>0</v>
      </c>
      <c r="BH774" s="16">
        <f>ROUND(IFERROR(IF(F774=1,IF(BC774&lt;AY774*3,AY774*3-BC774,0),IF(BC774&lt;AY774,AY774*0.6-BC774,0)),""),0)</f>
        <v>0</v>
      </c>
    </row>
    <row r="775" spans="1:60" ht="12.75" customHeight="1" x14ac:dyDescent="0.2">
      <c r="A775" s="51">
        <v>23100</v>
      </c>
      <c r="B775" s="51"/>
      <c r="C775" s="66" t="s">
        <v>1803</v>
      </c>
      <c r="D775" s="52" t="s">
        <v>749</v>
      </c>
      <c r="E775" s="52" t="s">
        <v>750</v>
      </c>
      <c r="F775" s="53">
        <f>IFERROR(VLOOKUP(E775,Fornecedores!$A$2:$B$2700,2,FALSE),"")</f>
        <v>4</v>
      </c>
      <c r="G775" s="52" t="s">
        <v>137</v>
      </c>
      <c r="H775" s="54"/>
      <c r="I775" s="55">
        <f t="shared" si="290"/>
        <v>0</v>
      </c>
      <c r="J775" s="55">
        <v>0</v>
      </c>
      <c r="K775" s="55">
        <v>0</v>
      </c>
      <c r="L775" s="55">
        <v>0</v>
      </c>
      <c r="M775" s="55">
        <v>0</v>
      </c>
      <c r="N775" s="55">
        <f t="shared" si="291"/>
        <v>0</v>
      </c>
      <c r="O775" s="55">
        <v>0</v>
      </c>
      <c r="P775" s="55">
        <v>0</v>
      </c>
      <c r="Q775" s="55">
        <v>0</v>
      </c>
      <c r="R775" s="55">
        <f t="shared" si="292"/>
        <v>0</v>
      </c>
      <c r="S775" s="55">
        <v>0</v>
      </c>
      <c r="T775" s="55">
        <v>0</v>
      </c>
      <c r="U775" s="55">
        <v>0</v>
      </c>
      <c r="V775" s="55">
        <v>0</v>
      </c>
      <c r="W775" s="53">
        <v>0</v>
      </c>
      <c r="X775" s="53">
        <v>0</v>
      </c>
      <c r="Y775" s="55">
        <v>0</v>
      </c>
      <c r="Z775" s="55">
        <v>0</v>
      </c>
      <c r="AA775" s="53">
        <v>0</v>
      </c>
      <c r="AB775" s="53">
        <v>0</v>
      </c>
      <c r="AC775" s="55">
        <v>0</v>
      </c>
      <c r="AD775" s="55">
        <f t="shared" si="272"/>
        <v>0</v>
      </c>
      <c r="AE775" s="53">
        <v>0</v>
      </c>
      <c r="AF775" s="55">
        <v>0</v>
      </c>
      <c r="AG775" s="55">
        <v>0</v>
      </c>
      <c r="AH775" s="55">
        <f t="shared" si="273"/>
        <v>0</v>
      </c>
      <c r="AI775" s="55">
        <v>0</v>
      </c>
      <c r="AJ775" s="55">
        <v>0</v>
      </c>
      <c r="AK775" s="55">
        <v>0</v>
      </c>
      <c r="AL775" s="55">
        <f t="shared" si="274"/>
        <v>0</v>
      </c>
      <c r="AM775" s="55" t="s">
        <v>1912</v>
      </c>
      <c r="AN775" s="55">
        <v>0</v>
      </c>
      <c r="AO775" s="55">
        <v>0</v>
      </c>
      <c r="AP775" s="55">
        <f t="shared" si="284"/>
        <v>0</v>
      </c>
      <c r="AQ775" s="55">
        <f>IFERROR(VLOOKUP(A775,[1]SIIMPLES!$A$2:$F$418,6,FALSE),0)</f>
        <v>0</v>
      </c>
      <c r="AR775" s="55">
        <v>0</v>
      </c>
      <c r="AS775" s="55">
        <v>0</v>
      </c>
      <c r="AT775" s="55">
        <v>0</v>
      </c>
      <c r="AU775" s="55">
        <v>0</v>
      </c>
      <c r="AV775" s="55">
        <v>0</v>
      </c>
      <c r="AW775" s="55"/>
      <c r="AX775" s="55"/>
      <c r="AY775" s="56">
        <f t="shared" si="275"/>
        <v>0</v>
      </c>
      <c r="AZ775" s="55"/>
      <c r="BA775" s="56">
        <v>0</v>
      </c>
      <c r="BB775" s="41" t="str">
        <f t="shared" si="288"/>
        <v/>
      </c>
      <c r="BC775" s="13"/>
      <c r="BD775" s="35"/>
      <c r="BE775" s="13"/>
      <c r="BF775" s="16">
        <f>SUM(BC775:BE775)</f>
        <v>0</v>
      </c>
      <c r="BG775" s="17" t="str">
        <f t="shared" si="289"/>
        <v>0</v>
      </c>
      <c r="BH775" s="16">
        <f t="shared" ref="BH775:BH788" si="293">IFERROR(IF(F775=1,IF(BC775&lt;AY775*3,AY775*3-BC775,0),IF(BC775&lt;AY775,AY775-BC775,0)),"")</f>
        <v>0</v>
      </c>
    </row>
    <row r="776" spans="1:60" ht="12.75" customHeight="1" x14ac:dyDescent="0.2">
      <c r="A776" s="51">
        <v>23125</v>
      </c>
      <c r="B776" s="51" t="s">
        <v>1077</v>
      </c>
      <c r="C776" s="66" t="s">
        <v>1803</v>
      </c>
      <c r="D776" s="52" t="s">
        <v>749</v>
      </c>
      <c r="E776" s="52" t="s">
        <v>750</v>
      </c>
      <c r="F776" s="53">
        <f>IFERROR(VLOOKUP(E776,Fornecedores!$A$2:$B$2700,2,FALSE),"")</f>
        <v>4</v>
      </c>
      <c r="G776" s="52" t="s">
        <v>618</v>
      </c>
      <c r="H776" s="54"/>
      <c r="I776" s="55">
        <f t="shared" si="290"/>
        <v>7</v>
      </c>
      <c r="J776" s="55">
        <v>5</v>
      </c>
      <c r="K776" s="55">
        <v>2</v>
      </c>
      <c r="L776" s="55">
        <v>0</v>
      </c>
      <c r="M776" s="55">
        <v>0</v>
      </c>
      <c r="N776" s="55">
        <f t="shared" si="291"/>
        <v>1</v>
      </c>
      <c r="O776" s="55">
        <v>1</v>
      </c>
      <c r="P776" s="55">
        <v>0</v>
      </c>
      <c r="Q776" s="55">
        <v>0</v>
      </c>
      <c r="R776" s="55">
        <f t="shared" si="292"/>
        <v>2</v>
      </c>
      <c r="S776" s="55">
        <v>0</v>
      </c>
      <c r="T776" s="55">
        <v>2</v>
      </c>
      <c r="U776" s="55">
        <v>0</v>
      </c>
      <c r="V776" s="55">
        <v>0</v>
      </c>
      <c r="W776" s="53">
        <v>0</v>
      </c>
      <c r="X776" s="53">
        <v>0</v>
      </c>
      <c r="Y776" s="55">
        <v>0</v>
      </c>
      <c r="Z776" s="55">
        <v>2</v>
      </c>
      <c r="AA776" s="53">
        <v>2</v>
      </c>
      <c r="AB776" s="53">
        <v>0</v>
      </c>
      <c r="AC776" s="55">
        <v>0</v>
      </c>
      <c r="AD776" s="55">
        <f t="shared" si="272"/>
        <v>4</v>
      </c>
      <c r="AE776" s="53">
        <v>4</v>
      </c>
      <c r="AF776" s="55">
        <v>0</v>
      </c>
      <c r="AG776" s="55">
        <v>0</v>
      </c>
      <c r="AH776" s="55">
        <f t="shared" si="273"/>
        <v>4</v>
      </c>
      <c r="AI776" s="55">
        <v>2</v>
      </c>
      <c r="AJ776" s="55">
        <v>2</v>
      </c>
      <c r="AK776" s="55">
        <v>0</v>
      </c>
      <c r="AL776" s="55">
        <f t="shared" si="274"/>
        <v>5</v>
      </c>
      <c r="AM776" s="55">
        <v>3</v>
      </c>
      <c r="AN776" s="55">
        <v>2</v>
      </c>
      <c r="AO776" s="55">
        <v>0</v>
      </c>
      <c r="AP776" s="55">
        <f t="shared" si="284"/>
        <v>0</v>
      </c>
      <c r="AQ776" s="55">
        <f>IFERROR(VLOOKUP(A776,[1]SIIMPLES!$A$2:$F$418,6,FALSE),0)</f>
        <v>0</v>
      </c>
      <c r="AR776" s="55">
        <v>0</v>
      </c>
      <c r="AS776" s="55">
        <v>2</v>
      </c>
      <c r="AT776" s="55">
        <v>0</v>
      </c>
      <c r="AU776" s="55">
        <v>2</v>
      </c>
      <c r="AV776" s="55">
        <v>0</v>
      </c>
      <c r="AW776" s="55"/>
      <c r="AX776" s="55"/>
      <c r="AY776" s="56">
        <f t="shared" si="275"/>
        <v>2.7</v>
      </c>
      <c r="AZ776" s="55"/>
      <c r="BA776" s="56">
        <v>2.8333333333333335</v>
      </c>
      <c r="BB776" s="41">
        <f t="shared" si="288"/>
        <v>-4.7058823529411709E-2</v>
      </c>
      <c r="BC776" s="13"/>
      <c r="BD776" s="35"/>
      <c r="BE776" s="7"/>
      <c r="BF776" s="16"/>
      <c r="BG776" s="17">
        <f t="shared" si="289"/>
        <v>0</v>
      </c>
      <c r="BH776" s="16">
        <f t="shared" si="293"/>
        <v>2.7</v>
      </c>
    </row>
    <row r="777" spans="1:60" ht="12.75" customHeight="1" x14ac:dyDescent="0.2">
      <c r="A777" s="51">
        <v>23129</v>
      </c>
      <c r="B777" s="51" t="s">
        <v>1077</v>
      </c>
      <c r="C777" s="66" t="s">
        <v>1803</v>
      </c>
      <c r="D777" s="52" t="s">
        <v>749</v>
      </c>
      <c r="E777" s="52" t="s">
        <v>750</v>
      </c>
      <c r="F777" s="53">
        <f>IFERROR(VLOOKUP(E777,Fornecedores!$A$2:$B$2700,2,FALSE),"")</f>
        <v>4</v>
      </c>
      <c r="G777" s="52" t="s">
        <v>617</v>
      </c>
      <c r="H777" s="54"/>
      <c r="I777" s="55">
        <f t="shared" si="290"/>
        <v>2</v>
      </c>
      <c r="J777" s="55">
        <v>0</v>
      </c>
      <c r="K777" s="55">
        <v>2</v>
      </c>
      <c r="L777" s="55">
        <v>0</v>
      </c>
      <c r="M777" s="55">
        <v>0</v>
      </c>
      <c r="N777" s="55">
        <f t="shared" si="291"/>
        <v>5</v>
      </c>
      <c r="O777" s="55">
        <v>1</v>
      </c>
      <c r="P777" s="55">
        <v>4</v>
      </c>
      <c r="Q777" s="55">
        <v>0</v>
      </c>
      <c r="R777" s="55">
        <f t="shared" si="292"/>
        <v>0</v>
      </c>
      <c r="S777" s="55">
        <v>0</v>
      </c>
      <c r="T777" s="55">
        <v>0</v>
      </c>
      <c r="U777" s="55">
        <v>0</v>
      </c>
      <c r="V777" s="55">
        <v>0</v>
      </c>
      <c r="W777" s="53">
        <v>0</v>
      </c>
      <c r="X777" s="53">
        <v>0</v>
      </c>
      <c r="Y777" s="55">
        <v>0</v>
      </c>
      <c r="Z777" s="55">
        <v>0</v>
      </c>
      <c r="AA777" s="53">
        <v>0</v>
      </c>
      <c r="AB777" s="53">
        <v>0</v>
      </c>
      <c r="AC777" s="55">
        <v>0</v>
      </c>
      <c r="AD777" s="55">
        <f t="shared" si="272"/>
        <v>4</v>
      </c>
      <c r="AE777" s="53">
        <v>4</v>
      </c>
      <c r="AF777" s="55">
        <v>0</v>
      </c>
      <c r="AG777" s="55">
        <v>0</v>
      </c>
      <c r="AH777" s="55">
        <f t="shared" si="273"/>
        <v>0</v>
      </c>
      <c r="AI777" s="55">
        <v>0</v>
      </c>
      <c r="AJ777" s="55">
        <v>0</v>
      </c>
      <c r="AK777" s="55">
        <v>0</v>
      </c>
      <c r="AL777" s="55">
        <f t="shared" si="274"/>
        <v>0</v>
      </c>
      <c r="AM777" s="55" t="s">
        <v>1912</v>
      </c>
      <c r="AN777" s="55">
        <v>0</v>
      </c>
      <c r="AO777" s="55">
        <v>0</v>
      </c>
      <c r="AP777" s="55">
        <f t="shared" si="284"/>
        <v>0</v>
      </c>
      <c r="AQ777" s="55">
        <f>IFERROR(VLOOKUP(A777,[1]SIIMPLES!$A$2:$F$418,6,FALSE),0)</f>
        <v>0</v>
      </c>
      <c r="AR777" s="55">
        <v>0</v>
      </c>
      <c r="AS777" s="55">
        <v>0</v>
      </c>
      <c r="AT777" s="55">
        <v>0</v>
      </c>
      <c r="AU777" s="55">
        <v>0</v>
      </c>
      <c r="AV777" s="55">
        <v>0</v>
      </c>
      <c r="AW777" s="55"/>
      <c r="AX777" s="55"/>
      <c r="AY777" s="56">
        <f t="shared" si="275"/>
        <v>1.1000000000000001</v>
      </c>
      <c r="AZ777" s="55"/>
      <c r="BA777" s="56">
        <v>1.5</v>
      </c>
      <c r="BB777" s="41">
        <f t="shared" si="288"/>
        <v>-0.26666666666666661</v>
      </c>
      <c r="BC777" s="10"/>
      <c r="BD777" s="35"/>
      <c r="BE777" s="13"/>
      <c r="BF777" s="16"/>
      <c r="BG777" s="17">
        <f t="shared" si="289"/>
        <v>0</v>
      </c>
      <c r="BH777" s="16">
        <f t="shared" si="293"/>
        <v>1.1000000000000001</v>
      </c>
    </row>
    <row r="778" spans="1:60" ht="12.75" customHeight="1" x14ac:dyDescent="0.2">
      <c r="A778" s="51">
        <v>33820</v>
      </c>
      <c r="B778" s="51"/>
      <c r="C778" s="66" t="s">
        <v>1803</v>
      </c>
      <c r="D778" s="65" t="s">
        <v>752</v>
      </c>
      <c r="E778" s="52" t="s">
        <v>732</v>
      </c>
      <c r="F778" s="53">
        <f>IFERROR(VLOOKUP(E778,Fornecedores!$A$2:$B$2700,2,FALSE),"")</f>
        <v>6</v>
      </c>
      <c r="G778" s="52" t="s">
        <v>592</v>
      </c>
      <c r="H778" s="54"/>
      <c r="I778" s="55">
        <f t="shared" si="290"/>
        <v>0</v>
      </c>
      <c r="J778" s="55">
        <v>0</v>
      </c>
      <c r="K778" s="55">
        <v>0</v>
      </c>
      <c r="L778" s="55">
        <v>0</v>
      </c>
      <c r="M778" s="55">
        <v>0</v>
      </c>
      <c r="N778" s="55">
        <f t="shared" si="291"/>
        <v>0</v>
      </c>
      <c r="O778" s="55">
        <v>0</v>
      </c>
      <c r="P778" s="55">
        <v>0</v>
      </c>
      <c r="Q778" s="55">
        <v>0</v>
      </c>
      <c r="R778" s="55">
        <f t="shared" si="292"/>
        <v>0</v>
      </c>
      <c r="S778" s="55">
        <v>0</v>
      </c>
      <c r="T778" s="55">
        <v>0</v>
      </c>
      <c r="U778" s="55">
        <v>0</v>
      </c>
      <c r="V778" s="55">
        <v>0</v>
      </c>
      <c r="W778" s="53">
        <v>0</v>
      </c>
      <c r="X778" s="53">
        <v>0</v>
      </c>
      <c r="Y778" s="55">
        <v>0</v>
      </c>
      <c r="Z778" s="55">
        <v>0</v>
      </c>
      <c r="AA778" s="53">
        <v>0</v>
      </c>
      <c r="AB778" s="53">
        <v>0</v>
      </c>
      <c r="AC778" s="55">
        <v>0</v>
      </c>
      <c r="AD778" s="55">
        <f t="shared" si="272"/>
        <v>6</v>
      </c>
      <c r="AE778" s="53">
        <v>0</v>
      </c>
      <c r="AF778" s="55">
        <v>6</v>
      </c>
      <c r="AG778" s="55">
        <v>0</v>
      </c>
      <c r="AH778" s="55">
        <f t="shared" si="273"/>
        <v>0</v>
      </c>
      <c r="AI778" s="55">
        <v>0</v>
      </c>
      <c r="AJ778" s="55">
        <v>0</v>
      </c>
      <c r="AK778" s="55">
        <v>0</v>
      </c>
      <c r="AL778" s="55">
        <f t="shared" si="274"/>
        <v>0</v>
      </c>
      <c r="AM778" s="55" t="s">
        <v>1912</v>
      </c>
      <c r="AN778" s="55">
        <v>0</v>
      </c>
      <c r="AO778" s="55">
        <v>0</v>
      </c>
      <c r="AP778" s="55">
        <f t="shared" si="284"/>
        <v>0</v>
      </c>
      <c r="AQ778" s="55">
        <f>IFERROR(VLOOKUP(A778,[1]SIIMPLES!$A$2:$F$418,6,FALSE),0)</f>
        <v>0</v>
      </c>
      <c r="AR778" s="55">
        <v>0</v>
      </c>
      <c r="AS778" s="55">
        <v>0</v>
      </c>
      <c r="AT778" s="55">
        <v>0</v>
      </c>
      <c r="AU778" s="55">
        <v>0</v>
      </c>
      <c r="AV778" s="55">
        <v>0</v>
      </c>
      <c r="AW778" s="55"/>
      <c r="AX778" s="55"/>
      <c r="AY778" s="56">
        <f t="shared" si="275"/>
        <v>0.6</v>
      </c>
      <c r="AZ778" s="55"/>
      <c r="BA778" s="56">
        <v>0.66666666666666663</v>
      </c>
      <c r="BB778" s="41">
        <f t="shared" si="288"/>
        <v>-9.9999999999999978E-2</v>
      </c>
      <c r="BC778" s="10"/>
      <c r="BD778" s="35"/>
      <c r="BE778" s="13"/>
      <c r="BF778" s="16">
        <f t="shared" ref="BF778:BF788" si="294">SUM(BC778:BE778)</f>
        <v>0</v>
      </c>
      <c r="BG778" s="17">
        <f t="shared" si="289"/>
        <v>0</v>
      </c>
      <c r="BH778" s="16">
        <f t="shared" si="293"/>
        <v>0.6</v>
      </c>
    </row>
    <row r="779" spans="1:60" ht="12.75" customHeight="1" x14ac:dyDescent="0.2">
      <c r="A779" s="51">
        <v>55006</v>
      </c>
      <c r="B779" s="51"/>
      <c r="C779" s="66" t="s">
        <v>1803</v>
      </c>
      <c r="D779" s="65" t="s">
        <v>726</v>
      </c>
      <c r="E779" s="52" t="s">
        <v>732</v>
      </c>
      <c r="F779" s="53">
        <f>IFERROR(VLOOKUP(E779,Fornecedores!$A$2:$B$2700,2,FALSE),"")</f>
        <v>6</v>
      </c>
      <c r="G779" s="52" t="s">
        <v>244</v>
      </c>
      <c r="H779" s="54"/>
      <c r="I779" s="55">
        <f t="shared" si="290"/>
        <v>1</v>
      </c>
      <c r="J779" s="55">
        <v>1</v>
      </c>
      <c r="K779" s="55">
        <v>0</v>
      </c>
      <c r="L779" s="55">
        <v>0</v>
      </c>
      <c r="M779" s="55">
        <v>0</v>
      </c>
      <c r="N779" s="55">
        <f t="shared" si="291"/>
        <v>1</v>
      </c>
      <c r="O779" s="55">
        <v>1</v>
      </c>
      <c r="P779" s="55">
        <v>0</v>
      </c>
      <c r="Q779" s="55">
        <v>0</v>
      </c>
      <c r="R779" s="55">
        <f t="shared" si="292"/>
        <v>0</v>
      </c>
      <c r="S779" s="55">
        <v>0</v>
      </c>
      <c r="T779" s="55">
        <v>0</v>
      </c>
      <c r="U779" s="55">
        <v>0</v>
      </c>
      <c r="V779" s="55">
        <v>6</v>
      </c>
      <c r="W779" s="53">
        <v>6</v>
      </c>
      <c r="X779" s="53">
        <v>0</v>
      </c>
      <c r="Y779" s="55">
        <v>0</v>
      </c>
      <c r="Z779" s="55">
        <v>0</v>
      </c>
      <c r="AA779" s="53">
        <v>0</v>
      </c>
      <c r="AB779" s="53">
        <v>0</v>
      </c>
      <c r="AC779" s="55">
        <v>0</v>
      </c>
      <c r="AD779" s="55">
        <f t="shared" si="272"/>
        <v>0</v>
      </c>
      <c r="AE779" s="53">
        <v>0</v>
      </c>
      <c r="AF779" s="55">
        <v>0</v>
      </c>
      <c r="AG779" s="55">
        <v>0</v>
      </c>
      <c r="AH779" s="55">
        <f t="shared" si="273"/>
        <v>0</v>
      </c>
      <c r="AI779" s="55">
        <v>0</v>
      </c>
      <c r="AJ779" s="55">
        <v>0</v>
      </c>
      <c r="AK779" s="55">
        <v>0</v>
      </c>
      <c r="AL779" s="55">
        <f t="shared" si="274"/>
        <v>0</v>
      </c>
      <c r="AM779" s="55" t="s">
        <v>1912</v>
      </c>
      <c r="AN779" s="55">
        <v>0</v>
      </c>
      <c r="AO779" s="55">
        <v>0</v>
      </c>
      <c r="AP779" s="55">
        <f t="shared" si="284"/>
        <v>0</v>
      </c>
      <c r="AQ779" s="55">
        <f>IFERROR(VLOOKUP(A779,[1]SIIMPLES!$A$2:$F$418,6,FALSE),0)</f>
        <v>0</v>
      </c>
      <c r="AR779" s="55">
        <v>0</v>
      </c>
      <c r="AS779" s="55">
        <v>0</v>
      </c>
      <c r="AT779" s="55">
        <v>0</v>
      </c>
      <c r="AU779" s="55">
        <v>0</v>
      </c>
      <c r="AV779" s="55">
        <v>0</v>
      </c>
      <c r="AW779" s="55"/>
      <c r="AX779" s="55"/>
      <c r="AY779" s="56">
        <f t="shared" si="275"/>
        <v>0.8</v>
      </c>
      <c r="AZ779" s="55"/>
      <c r="BA779" s="56">
        <v>0.16666666666666666</v>
      </c>
      <c r="BB779" s="41">
        <f t="shared" si="288"/>
        <v>3.8000000000000007</v>
      </c>
      <c r="BC779" s="13"/>
      <c r="BD779" s="35"/>
      <c r="BE779" s="13"/>
      <c r="BF779" s="16">
        <f t="shared" si="294"/>
        <v>0</v>
      </c>
      <c r="BG779" s="17">
        <f t="shared" si="289"/>
        <v>0</v>
      </c>
      <c r="BH779" s="16">
        <f t="shared" si="293"/>
        <v>0.8</v>
      </c>
    </row>
    <row r="780" spans="1:60" ht="12.75" customHeight="1" x14ac:dyDescent="0.2">
      <c r="A780" s="51">
        <v>55026</v>
      </c>
      <c r="B780" s="51"/>
      <c r="C780" s="66" t="s">
        <v>1803</v>
      </c>
      <c r="D780" s="65" t="s">
        <v>726</v>
      </c>
      <c r="E780" s="52" t="s">
        <v>732</v>
      </c>
      <c r="F780" s="53">
        <f>IFERROR(VLOOKUP(E780,Fornecedores!$A$2:$B$2700,2,FALSE),"")</f>
        <v>6</v>
      </c>
      <c r="G780" s="52" t="s">
        <v>228</v>
      </c>
      <c r="H780" s="54"/>
      <c r="I780" s="55">
        <f t="shared" si="290"/>
        <v>0</v>
      </c>
      <c r="J780" s="55">
        <v>0</v>
      </c>
      <c r="K780" s="55">
        <v>0</v>
      </c>
      <c r="L780" s="55">
        <v>0</v>
      </c>
      <c r="M780" s="55">
        <v>0</v>
      </c>
      <c r="N780" s="55">
        <f t="shared" si="291"/>
        <v>0</v>
      </c>
      <c r="O780" s="55">
        <v>0</v>
      </c>
      <c r="P780" s="55">
        <v>0</v>
      </c>
      <c r="Q780" s="55">
        <v>0</v>
      </c>
      <c r="R780" s="55">
        <f t="shared" si="292"/>
        <v>0</v>
      </c>
      <c r="S780" s="55">
        <v>0</v>
      </c>
      <c r="T780" s="55">
        <v>0</v>
      </c>
      <c r="U780" s="55">
        <v>0</v>
      </c>
      <c r="V780" s="55">
        <v>0</v>
      </c>
      <c r="W780" s="53">
        <v>0</v>
      </c>
      <c r="X780" s="53">
        <v>0</v>
      </c>
      <c r="Y780" s="55">
        <v>0</v>
      </c>
      <c r="Z780" s="55">
        <v>0</v>
      </c>
      <c r="AA780" s="53">
        <v>0</v>
      </c>
      <c r="AB780" s="53">
        <v>0</v>
      </c>
      <c r="AC780" s="55">
        <v>0</v>
      </c>
      <c r="AD780" s="55">
        <f t="shared" si="272"/>
        <v>0</v>
      </c>
      <c r="AE780" s="53">
        <v>0</v>
      </c>
      <c r="AF780" s="55">
        <v>0</v>
      </c>
      <c r="AG780" s="55">
        <v>0</v>
      </c>
      <c r="AH780" s="55">
        <f t="shared" si="273"/>
        <v>0</v>
      </c>
      <c r="AI780" s="55">
        <v>0</v>
      </c>
      <c r="AJ780" s="55">
        <v>0</v>
      </c>
      <c r="AK780" s="55">
        <v>0</v>
      </c>
      <c r="AL780" s="55">
        <f t="shared" si="274"/>
        <v>0</v>
      </c>
      <c r="AM780" s="55" t="s">
        <v>1912</v>
      </c>
      <c r="AN780" s="55">
        <v>0</v>
      </c>
      <c r="AO780" s="55">
        <v>0</v>
      </c>
      <c r="AP780" s="55">
        <f t="shared" si="284"/>
        <v>0</v>
      </c>
      <c r="AQ780" s="55">
        <f>IFERROR(VLOOKUP(A780,[1]SIIMPLES!$A$2:$F$418,6,FALSE),0)</f>
        <v>0</v>
      </c>
      <c r="AR780" s="55">
        <v>0</v>
      </c>
      <c r="AS780" s="55">
        <v>0</v>
      </c>
      <c r="AT780" s="55">
        <v>0</v>
      </c>
      <c r="AU780" s="55">
        <v>0</v>
      </c>
      <c r="AV780" s="55">
        <v>0</v>
      </c>
      <c r="AW780" s="55"/>
      <c r="AX780" s="55"/>
      <c r="AY780" s="56">
        <f t="shared" si="275"/>
        <v>0</v>
      </c>
      <c r="AZ780" s="55"/>
      <c r="BA780" s="56">
        <v>0.16666666666666666</v>
      </c>
      <c r="BB780" s="41">
        <f t="shared" si="288"/>
        <v>-1</v>
      </c>
      <c r="BC780" s="10"/>
      <c r="BD780" s="37"/>
      <c r="BE780" s="13"/>
      <c r="BF780" s="16">
        <f t="shared" si="294"/>
        <v>0</v>
      </c>
      <c r="BG780" s="17" t="str">
        <f t="shared" si="289"/>
        <v>0</v>
      </c>
      <c r="BH780" s="16">
        <f t="shared" si="293"/>
        <v>0</v>
      </c>
    </row>
    <row r="781" spans="1:60" ht="12.75" customHeight="1" x14ac:dyDescent="0.2">
      <c r="A781" s="51">
        <v>55028</v>
      </c>
      <c r="B781" s="51"/>
      <c r="C781" s="66" t="s">
        <v>1803</v>
      </c>
      <c r="D781" s="65" t="s">
        <v>726</v>
      </c>
      <c r="E781" s="52" t="s">
        <v>732</v>
      </c>
      <c r="F781" s="53">
        <f>IFERROR(VLOOKUP(E781,Fornecedores!$A$2:$B$2700,2,FALSE),"")</f>
        <v>6</v>
      </c>
      <c r="G781" s="52" t="s">
        <v>223</v>
      </c>
      <c r="H781" s="54"/>
      <c r="I781" s="55">
        <f t="shared" si="290"/>
        <v>0</v>
      </c>
      <c r="J781" s="55">
        <v>0</v>
      </c>
      <c r="K781" s="55">
        <v>0</v>
      </c>
      <c r="L781" s="55">
        <v>0</v>
      </c>
      <c r="M781" s="55">
        <v>0</v>
      </c>
      <c r="N781" s="55">
        <f t="shared" si="291"/>
        <v>0</v>
      </c>
      <c r="O781" s="55">
        <v>0</v>
      </c>
      <c r="P781" s="55">
        <v>0</v>
      </c>
      <c r="Q781" s="55">
        <v>0</v>
      </c>
      <c r="R781" s="55">
        <f t="shared" si="292"/>
        <v>0</v>
      </c>
      <c r="S781" s="55">
        <v>0</v>
      </c>
      <c r="T781" s="55">
        <v>0</v>
      </c>
      <c r="U781" s="55">
        <v>0</v>
      </c>
      <c r="V781" s="55">
        <v>0</v>
      </c>
      <c r="W781" s="53">
        <v>0</v>
      </c>
      <c r="X781" s="53">
        <v>0</v>
      </c>
      <c r="Y781" s="55">
        <v>0</v>
      </c>
      <c r="Z781" s="55">
        <v>0</v>
      </c>
      <c r="AA781" s="53">
        <v>0</v>
      </c>
      <c r="AB781" s="53">
        <v>0</v>
      </c>
      <c r="AC781" s="55">
        <v>0</v>
      </c>
      <c r="AD781" s="55">
        <f t="shared" si="272"/>
        <v>0</v>
      </c>
      <c r="AE781" s="53">
        <v>0</v>
      </c>
      <c r="AF781" s="55">
        <v>0</v>
      </c>
      <c r="AG781" s="55">
        <v>0</v>
      </c>
      <c r="AH781" s="55">
        <f t="shared" si="273"/>
        <v>0</v>
      </c>
      <c r="AI781" s="55">
        <v>0</v>
      </c>
      <c r="AJ781" s="55">
        <v>0</v>
      </c>
      <c r="AK781" s="55">
        <v>0</v>
      </c>
      <c r="AL781" s="55">
        <f t="shared" si="274"/>
        <v>0</v>
      </c>
      <c r="AM781" s="55" t="s">
        <v>1912</v>
      </c>
      <c r="AN781" s="55">
        <v>0</v>
      </c>
      <c r="AO781" s="55">
        <v>0</v>
      </c>
      <c r="AP781" s="55">
        <f t="shared" si="284"/>
        <v>0</v>
      </c>
      <c r="AQ781" s="55">
        <f>IFERROR(VLOOKUP(A781,[1]SIIMPLES!$A$2:$F$418,6,FALSE),0)</f>
        <v>0</v>
      </c>
      <c r="AR781" s="55">
        <v>0</v>
      </c>
      <c r="AS781" s="55">
        <v>0</v>
      </c>
      <c r="AT781" s="55">
        <v>0</v>
      </c>
      <c r="AU781" s="55">
        <v>0</v>
      </c>
      <c r="AV781" s="55">
        <v>0</v>
      </c>
      <c r="AW781" s="55"/>
      <c r="AX781" s="55"/>
      <c r="AY781" s="56">
        <f t="shared" si="275"/>
        <v>0</v>
      </c>
      <c r="AZ781" s="55"/>
      <c r="BA781" s="56">
        <v>0</v>
      </c>
      <c r="BB781" s="41" t="str">
        <f t="shared" si="288"/>
        <v/>
      </c>
      <c r="BC781" s="13"/>
      <c r="BD781" s="35"/>
      <c r="BE781" s="13"/>
      <c r="BF781" s="16">
        <f t="shared" si="294"/>
        <v>0</v>
      </c>
      <c r="BG781" s="17" t="str">
        <f t="shared" si="289"/>
        <v>0</v>
      </c>
      <c r="BH781" s="16">
        <f t="shared" si="293"/>
        <v>0</v>
      </c>
    </row>
    <row r="782" spans="1:60" ht="12.75" customHeight="1" x14ac:dyDescent="0.2">
      <c r="A782" s="51">
        <v>55064</v>
      </c>
      <c r="B782" s="51"/>
      <c r="C782" s="66" t="s">
        <v>1803</v>
      </c>
      <c r="D782" s="65" t="s">
        <v>1478</v>
      </c>
      <c r="E782" s="52" t="s">
        <v>732</v>
      </c>
      <c r="F782" s="53">
        <f>IFERROR(VLOOKUP(E782,Fornecedores!$A$2:$B$2700,2,FALSE),"")</f>
        <v>6</v>
      </c>
      <c r="G782" s="52" t="s">
        <v>1443</v>
      </c>
      <c r="H782" s="57"/>
      <c r="I782" s="55">
        <f t="shared" si="290"/>
        <v>0</v>
      </c>
      <c r="J782" s="55">
        <v>0</v>
      </c>
      <c r="K782" s="55">
        <v>0</v>
      </c>
      <c r="L782" s="55">
        <v>0</v>
      </c>
      <c r="M782" s="55">
        <v>0</v>
      </c>
      <c r="N782" s="55">
        <f t="shared" si="291"/>
        <v>1</v>
      </c>
      <c r="O782" s="55">
        <v>1</v>
      </c>
      <c r="P782" s="55">
        <v>0</v>
      </c>
      <c r="Q782" s="55">
        <v>0</v>
      </c>
      <c r="R782" s="55">
        <f t="shared" si="292"/>
        <v>0</v>
      </c>
      <c r="S782" s="55">
        <v>0</v>
      </c>
      <c r="T782" s="55">
        <v>0</v>
      </c>
      <c r="U782" s="55">
        <v>0</v>
      </c>
      <c r="V782" s="55">
        <v>0</v>
      </c>
      <c r="W782" s="53">
        <v>0</v>
      </c>
      <c r="X782" s="53">
        <v>0</v>
      </c>
      <c r="Y782" s="55">
        <v>0</v>
      </c>
      <c r="Z782" s="55">
        <v>0</v>
      </c>
      <c r="AA782" s="53">
        <v>0</v>
      </c>
      <c r="AB782" s="53">
        <v>0</v>
      </c>
      <c r="AC782" s="55">
        <v>0</v>
      </c>
      <c r="AD782" s="55">
        <f t="shared" si="272"/>
        <v>2</v>
      </c>
      <c r="AE782" s="53">
        <v>2</v>
      </c>
      <c r="AF782" s="55">
        <v>0</v>
      </c>
      <c r="AG782" s="55">
        <v>0</v>
      </c>
      <c r="AH782" s="55">
        <f t="shared" si="273"/>
        <v>0</v>
      </c>
      <c r="AI782" s="55">
        <v>0</v>
      </c>
      <c r="AJ782" s="55">
        <v>0</v>
      </c>
      <c r="AK782" s="55">
        <v>0</v>
      </c>
      <c r="AL782" s="55">
        <f t="shared" si="274"/>
        <v>0</v>
      </c>
      <c r="AM782" s="55" t="s">
        <v>1912</v>
      </c>
      <c r="AN782" s="55">
        <v>0</v>
      </c>
      <c r="AO782" s="55">
        <v>0</v>
      </c>
      <c r="AP782" s="55">
        <f t="shared" si="284"/>
        <v>0</v>
      </c>
      <c r="AQ782" s="55">
        <f>IFERROR(VLOOKUP(A782,[1]SIIMPLES!$A$2:$F$418,6,FALSE),0)</f>
        <v>0</v>
      </c>
      <c r="AR782" s="55">
        <v>0</v>
      </c>
      <c r="AS782" s="55">
        <v>0</v>
      </c>
      <c r="AT782" s="55">
        <v>0</v>
      </c>
      <c r="AU782" s="55">
        <v>0</v>
      </c>
      <c r="AV782" s="55">
        <v>0</v>
      </c>
      <c r="AW782" s="57"/>
      <c r="AX782" s="55"/>
      <c r="AY782" s="56">
        <f t="shared" si="275"/>
        <v>0.3</v>
      </c>
      <c r="AZ782" s="55"/>
      <c r="BA782" s="56">
        <v>0</v>
      </c>
      <c r="BB782" s="41" t="str">
        <f t="shared" si="288"/>
        <v/>
      </c>
      <c r="BC782" s="13"/>
      <c r="BD782" s="35"/>
      <c r="BE782" s="13"/>
      <c r="BF782" s="16">
        <f t="shared" si="294"/>
        <v>0</v>
      </c>
      <c r="BG782" s="17">
        <f t="shared" si="289"/>
        <v>0</v>
      </c>
      <c r="BH782" s="16">
        <f t="shared" si="293"/>
        <v>0.3</v>
      </c>
    </row>
    <row r="783" spans="1:60" ht="12.75" customHeight="1" x14ac:dyDescent="0.2">
      <c r="A783" s="51">
        <v>55110</v>
      </c>
      <c r="B783" s="51" t="s">
        <v>1077</v>
      </c>
      <c r="C783" s="66" t="s">
        <v>1803</v>
      </c>
      <c r="D783" s="65" t="s">
        <v>1778</v>
      </c>
      <c r="E783" s="52" t="s">
        <v>732</v>
      </c>
      <c r="F783" s="53">
        <f>IFERROR(VLOOKUP(E783,Fornecedores!$A$2:$B$2700,2,FALSE),"")</f>
        <v>6</v>
      </c>
      <c r="G783" s="52" t="s">
        <v>322</v>
      </c>
      <c r="H783" s="54"/>
      <c r="I783" s="55">
        <f t="shared" si="290"/>
        <v>2</v>
      </c>
      <c r="J783" s="55">
        <v>2</v>
      </c>
      <c r="K783" s="55">
        <v>0</v>
      </c>
      <c r="L783" s="55">
        <v>0</v>
      </c>
      <c r="M783" s="55">
        <v>0</v>
      </c>
      <c r="N783" s="55">
        <f t="shared" si="291"/>
        <v>1</v>
      </c>
      <c r="O783" s="55">
        <v>1</v>
      </c>
      <c r="P783" s="55">
        <v>0</v>
      </c>
      <c r="Q783" s="55">
        <v>0</v>
      </c>
      <c r="R783" s="55">
        <f t="shared" si="292"/>
        <v>0</v>
      </c>
      <c r="S783" s="55">
        <v>0</v>
      </c>
      <c r="T783" s="55">
        <v>0</v>
      </c>
      <c r="U783" s="55">
        <v>0</v>
      </c>
      <c r="V783" s="55">
        <v>0</v>
      </c>
      <c r="W783" s="53">
        <v>0</v>
      </c>
      <c r="X783" s="53">
        <v>0</v>
      </c>
      <c r="Y783" s="55">
        <v>0</v>
      </c>
      <c r="Z783" s="55">
        <v>0</v>
      </c>
      <c r="AA783" s="53">
        <v>0</v>
      </c>
      <c r="AB783" s="53">
        <v>0</v>
      </c>
      <c r="AC783" s="55">
        <v>0</v>
      </c>
      <c r="AD783" s="55">
        <f t="shared" si="272"/>
        <v>1</v>
      </c>
      <c r="AE783" s="53">
        <v>1</v>
      </c>
      <c r="AF783" s="55">
        <v>0</v>
      </c>
      <c r="AG783" s="55">
        <v>0</v>
      </c>
      <c r="AH783" s="55">
        <f t="shared" si="273"/>
        <v>1</v>
      </c>
      <c r="AI783" s="55">
        <v>1</v>
      </c>
      <c r="AJ783" s="55">
        <v>0</v>
      </c>
      <c r="AK783" s="55">
        <v>0</v>
      </c>
      <c r="AL783" s="55">
        <f t="shared" si="274"/>
        <v>0</v>
      </c>
      <c r="AM783" s="55" t="s">
        <v>1912</v>
      </c>
      <c r="AN783" s="55">
        <v>0</v>
      </c>
      <c r="AO783" s="55">
        <v>0</v>
      </c>
      <c r="AP783" s="55">
        <f t="shared" si="284"/>
        <v>0</v>
      </c>
      <c r="AQ783" s="55">
        <f>IFERROR(VLOOKUP(A783,[1]SIIMPLES!$A$2:$F$418,6,FALSE),0)</f>
        <v>0</v>
      </c>
      <c r="AR783" s="55">
        <v>0</v>
      </c>
      <c r="AS783" s="55">
        <v>0</v>
      </c>
      <c r="AT783" s="55">
        <v>0</v>
      </c>
      <c r="AU783" s="55">
        <v>0</v>
      </c>
      <c r="AV783" s="55">
        <v>0</v>
      </c>
      <c r="AW783" s="55"/>
      <c r="AX783" s="55"/>
      <c r="AY783" s="56">
        <f t="shared" si="275"/>
        <v>0.5</v>
      </c>
      <c r="AZ783" s="55"/>
      <c r="BA783" s="56">
        <v>2</v>
      </c>
      <c r="BB783" s="41">
        <f t="shared" si="288"/>
        <v>-0.75</v>
      </c>
      <c r="BC783" s="13"/>
      <c r="BD783" s="37"/>
      <c r="BE783" s="13"/>
      <c r="BF783" s="16">
        <f t="shared" si="294"/>
        <v>0</v>
      </c>
      <c r="BG783" s="17">
        <f t="shared" si="289"/>
        <v>0</v>
      </c>
      <c r="BH783" s="16">
        <f t="shared" si="293"/>
        <v>0.5</v>
      </c>
    </row>
    <row r="784" spans="1:60" ht="12.75" customHeight="1" x14ac:dyDescent="0.2">
      <c r="A784" s="51">
        <v>55120</v>
      </c>
      <c r="B784" s="51" t="s">
        <v>1077</v>
      </c>
      <c r="C784" s="66" t="s">
        <v>1803</v>
      </c>
      <c r="D784" s="65" t="s">
        <v>1779</v>
      </c>
      <c r="E784" s="52" t="s">
        <v>732</v>
      </c>
      <c r="F784" s="53">
        <f>IFERROR(VLOOKUP(E784,Fornecedores!$A$2:$B$2700,2,FALSE),"")</f>
        <v>6</v>
      </c>
      <c r="G784" s="52" t="s">
        <v>509</v>
      </c>
      <c r="H784" s="54"/>
      <c r="I784" s="55">
        <f t="shared" si="290"/>
        <v>4</v>
      </c>
      <c r="J784" s="55">
        <v>0</v>
      </c>
      <c r="K784" s="55">
        <v>4</v>
      </c>
      <c r="L784" s="55">
        <v>0</v>
      </c>
      <c r="M784" s="55">
        <v>0</v>
      </c>
      <c r="N784" s="55">
        <f t="shared" si="291"/>
        <v>0</v>
      </c>
      <c r="O784" s="55">
        <v>0</v>
      </c>
      <c r="P784" s="55">
        <v>0</v>
      </c>
      <c r="Q784" s="55">
        <v>0</v>
      </c>
      <c r="R784" s="55">
        <f t="shared" si="292"/>
        <v>0</v>
      </c>
      <c r="S784" s="55">
        <v>0</v>
      </c>
      <c r="T784" s="55">
        <v>0</v>
      </c>
      <c r="U784" s="55">
        <v>0</v>
      </c>
      <c r="V784" s="55">
        <v>9</v>
      </c>
      <c r="W784" s="53">
        <v>3</v>
      </c>
      <c r="X784" s="53">
        <v>6</v>
      </c>
      <c r="Y784" s="55">
        <v>0</v>
      </c>
      <c r="Z784" s="55">
        <v>3</v>
      </c>
      <c r="AA784" s="53">
        <v>1</v>
      </c>
      <c r="AB784" s="53">
        <v>2</v>
      </c>
      <c r="AC784" s="55">
        <v>0</v>
      </c>
      <c r="AD784" s="55">
        <f t="shared" si="272"/>
        <v>5</v>
      </c>
      <c r="AE784" s="53">
        <v>1</v>
      </c>
      <c r="AF784" s="55">
        <v>4</v>
      </c>
      <c r="AG784" s="55">
        <v>0</v>
      </c>
      <c r="AH784" s="55">
        <f t="shared" si="273"/>
        <v>8</v>
      </c>
      <c r="AI784" s="55">
        <v>2</v>
      </c>
      <c r="AJ784" s="55">
        <v>6</v>
      </c>
      <c r="AK784" s="55">
        <v>0</v>
      </c>
      <c r="AL784" s="55">
        <f t="shared" si="274"/>
        <v>4</v>
      </c>
      <c r="AM784" s="55" t="s">
        <v>1912</v>
      </c>
      <c r="AN784" s="55">
        <v>4</v>
      </c>
      <c r="AO784" s="55">
        <v>0</v>
      </c>
      <c r="AP784" s="55">
        <f t="shared" si="284"/>
        <v>0</v>
      </c>
      <c r="AQ784" s="55">
        <f>IFERROR(VLOOKUP(A784,[1]SIIMPLES!$A$2:$F$418,6,FALSE),0)</f>
        <v>0</v>
      </c>
      <c r="AR784" s="55">
        <v>0</v>
      </c>
      <c r="AS784" s="55">
        <v>8</v>
      </c>
      <c r="AT784" s="55">
        <v>0</v>
      </c>
      <c r="AU784" s="55">
        <v>8</v>
      </c>
      <c r="AV784" s="55">
        <v>0</v>
      </c>
      <c r="AW784" s="55"/>
      <c r="AX784" s="55"/>
      <c r="AY784" s="56">
        <f t="shared" si="275"/>
        <v>4.0999999999999996</v>
      </c>
      <c r="AZ784" s="55"/>
      <c r="BA784" s="56">
        <v>4.333333333333333</v>
      </c>
      <c r="BB784" s="41">
        <f t="shared" si="288"/>
        <v>-5.3846153846153877E-2</v>
      </c>
      <c r="BC784" s="7"/>
      <c r="BD784" s="35"/>
      <c r="BE784" s="13"/>
      <c r="BF784" s="16">
        <f t="shared" si="294"/>
        <v>0</v>
      </c>
      <c r="BG784" s="17">
        <f t="shared" si="289"/>
        <v>0</v>
      </c>
      <c r="BH784" s="16">
        <f t="shared" si="293"/>
        <v>4.0999999999999996</v>
      </c>
    </row>
    <row r="785" spans="1:60" ht="12.75" customHeight="1" x14ac:dyDescent="0.2">
      <c r="A785" s="51">
        <v>55131</v>
      </c>
      <c r="B785" s="51" t="s">
        <v>1077</v>
      </c>
      <c r="C785" s="66" t="s">
        <v>1803</v>
      </c>
      <c r="D785" s="65" t="s">
        <v>1478</v>
      </c>
      <c r="E785" s="67" t="s">
        <v>727</v>
      </c>
      <c r="F785" s="53">
        <f>IFERROR(VLOOKUP(E785,Fornecedores!$A$2:$B$2700,2,FALSE),"")</f>
        <v>1</v>
      </c>
      <c r="G785" s="52" t="s">
        <v>1774</v>
      </c>
      <c r="H785" s="54"/>
      <c r="I785" s="55">
        <f t="shared" si="290"/>
        <v>0</v>
      </c>
      <c r="J785" s="55">
        <v>0</v>
      </c>
      <c r="K785" s="55">
        <v>0</v>
      </c>
      <c r="L785" s="55">
        <v>0</v>
      </c>
      <c r="M785" s="55">
        <v>0</v>
      </c>
      <c r="N785" s="55">
        <f t="shared" si="291"/>
        <v>0</v>
      </c>
      <c r="O785" s="55">
        <v>0</v>
      </c>
      <c r="P785" s="55">
        <v>0</v>
      </c>
      <c r="Q785" s="55">
        <v>0</v>
      </c>
      <c r="R785" s="55">
        <f t="shared" si="292"/>
        <v>0</v>
      </c>
      <c r="S785" s="55">
        <v>0</v>
      </c>
      <c r="T785" s="55">
        <v>0</v>
      </c>
      <c r="U785" s="55">
        <v>0</v>
      </c>
      <c r="V785" s="55">
        <v>0</v>
      </c>
      <c r="W785" s="53">
        <v>0</v>
      </c>
      <c r="X785" s="53">
        <v>0</v>
      </c>
      <c r="Y785" s="55">
        <v>0</v>
      </c>
      <c r="Z785" s="55">
        <v>0</v>
      </c>
      <c r="AA785" s="53">
        <v>0</v>
      </c>
      <c r="AB785" s="53">
        <v>0</v>
      </c>
      <c r="AC785" s="55">
        <v>0</v>
      </c>
      <c r="AD785" s="55">
        <f t="shared" si="272"/>
        <v>0</v>
      </c>
      <c r="AE785" s="53">
        <v>0</v>
      </c>
      <c r="AF785" s="55">
        <v>0</v>
      </c>
      <c r="AG785" s="55">
        <v>0</v>
      </c>
      <c r="AH785" s="55">
        <f t="shared" si="273"/>
        <v>0</v>
      </c>
      <c r="AI785" s="55">
        <v>0</v>
      </c>
      <c r="AJ785" s="55">
        <v>0</v>
      </c>
      <c r="AK785" s="55">
        <v>0</v>
      </c>
      <c r="AL785" s="55">
        <f t="shared" si="274"/>
        <v>0</v>
      </c>
      <c r="AM785" s="55" t="s">
        <v>1912</v>
      </c>
      <c r="AN785" s="55">
        <v>0</v>
      </c>
      <c r="AO785" s="55">
        <v>0</v>
      </c>
      <c r="AP785" s="55">
        <f t="shared" si="284"/>
        <v>0</v>
      </c>
      <c r="AQ785" s="55">
        <f>IFERROR(VLOOKUP(A785,[1]SIIMPLES!$A$2:$F$418,6,FALSE),0)</f>
        <v>0</v>
      </c>
      <c r="AR785" s="55">
        <v>0</v>
      </c>
      <c r="AS785" s="55">
        <v>4</v>
      </c>
      <c r="AT785" s="55">
        <v>4</v>
      </c>
      <c r="AU785" s="55">
        <v>0</v>
      </c>
      <c r="AV785" s="55">
        <v>0</v>
      </c>
      <c r="AW785" s="55"/>
      <c r="AX785" s="55"/>
      <c r="AY785" s="56">
        <f t="shared" si="275"/>
        <v>0.4</v>
      </c>
      <c r="AZ785" s="55"/>
      <c r="BA785" s="56">
        <v>4.833333333333333</v>
      </c>
      <c r="BB785" s="41">
        <f t="shared" si="288"/>
        <v>-0.91724137931034477</v>
      </c>
      <c r="BC785" s="7"/>
      <c r="BD785" s="35"/>
      <c r="BE785" s="13"/>
      <c r="BF785" s="16">
        <f t="shared" si="294"/>
        <v>0</v>
      </c>
      <c r="BG785" s="17">
        <f t="shared" si="289"/>
        <v>0</v>
      </c>
      <c r="BH785" s="16">
        <f t="shared" si="293"/>
        <v>1.2000000000000002</v>
      </c>
    </row>
    <row r="786" spans="1:60" ht="12.75" customHeight="1" x14ac:dyDescent="0.2">
      <c r="A786" s="51">
        <v>55312</v>
      </c>
      <c r="B786" s="51" t="s">
        <v>1077</v>
      </c>
      <c r="C786" s="66" t="s">
        <v>1803</v>
      </c>
      <c r="D786" s="65" t="s">
        <v>1778</v>
      </c>
      <c r="E786" s="52" t="s">
        <v>732</v>
      </c>
      <c r="F786" s="53">
        <f>IFERROR(VLOOKUP(E786,Fornecedores!$A$2:$B$2700,2,FALSE),"")</f>
        <v>6</v>
      </c>
      <c r="G786" s="52" t="s">
        <v>397</v>
      </c>
      <c r="H786" s="54"/>
      <c r="I786" s="55">
        <f t="shared" si="290"/>
        <v>6</v>
      </c>
      <c r="J786" s="55">
        <v>6</v>
      </c>
      <c r="K786" s="55">
        <v>0</v>
      </c>
      <c r="L786" s="55">
        <v>0</v>
      </c>
      <c r="M786" s="55">
        <v>0</v>
      </c>
      <c r="N786" s="55">
        <f t="shared" si="291"/>
        <v>5</v>
      </c>
      <c r="O786" s="55">
        <v>5</v>
      </c>
      <c r="P786" s="55">
        <v>0</v>
      </c>
      <c r="Q786" s="55">
        <v>0</v>
      </c>
      <c r="R786" s="55">
        <f t="shared" si="292"/>
        <v>1</v>
      </c>
      <c r="S786" s="55">
        <v>1</v>
      </c>
      <c r="T786" s="55">
        <v>0</v>
      </c>
      <c r="U786" s="55">
        <v>0</v>
      </c>
      <c r="V786" s="55">
        <v>0</v>
      </c>
      <c r="W786" s="53">
        <v>0</v>
      </c>
      <c r="X786" s="53">
        <v>0</v>
      </c>
      <c r="Y786" s="55">
        <v>0</v>
      </c>
      <c r="Z786" s="55">
        <v>2</v>
      </c>
      <c r="AA786" s="53">
        <v>2</v>
      </c>
      <c r="AB786" s="53">
        <v>0</v>
      </c>
      <c r="AC786" s="55">
        <v>0</v>
      </c>
      <c r="AD786" s="55">
        <f t="shared" si="272"/>
        <v>3</v>
      </c>
      <c r="AE786" s="53">
        <v>3</v>
      </c>
      <c r="AF786" s="55">
        <v>0</v>
      </c>
      <c r="AG786" s="55">
        <v>0</v>
      </c>
      <c r="AH786" s="55">
        <f t="shared" si="273"/>
        <v>0</v>
      </c>
      <c r="AI786" s="55">
        <v>0</v>
      </c>
      <c r="AJ786" s="55">
        <v>0</v>
      </c>
      <c r="AK786" s="55">
        <v>0</v>
      </c>
      <c r="AL786" s="55">
        <f t="shared" si="274"/>
        <v>5</v>
      </c>
      <c r="AM786" s="55">
        <v>5</v>
      </c>
      <c r="AN786" s="55">
        <v>0</v>
      </c>
      <c r="AO786" s="55">
        <v>0</v>
      </c>
      <c r="AP786" s="55">
        <f t="shared" si="284"/>
        <v>0</v>
      </c>
      <c r="AQ786" s="55">
        <f>IFERROR(VLOOKUP(A786,[1]SIIMPLES!$A$2:$F$418,6,FALSE),0)</f>
        <v>0</v>
      </c>
      <c r="AR786" s="55">
        <v>0</v>
      </c>
      <c r="AS786" s="55">
        <v>0</v>
      </c>
      <c r="AT786" s="55">
        <v>0</v>
      </c>
      <c r="AU786" s="55">
        <v>0</v>
      </c>
      <c r="AV786" s="55">
        <v>0</v>
      </c>
      <c r="AW786" s="55"/>
      <c r="AX786" s="55"/>
      <c r="AY786" s="56">
        <f t="shared" si="275"/>
        <v>2.2000000000000002</v>
      </c>
      <c r="AZ786" s="55"/>
      <c r="BA786" s="56">
        <v>5.5</v>
      </c>
      <c r="BB786" s="41">
        <f t="shared" si="288"/>
        <v>-0.6</v>
      </c>
      <c r="BC786" s="13"/>
      <c r="BD786" s="37"/>
      <c r="BE786" s="13"/>
      <c r="BF786" s="16">
        <f t="shared" si="294"/>
        <v>0</v>
      </c>
      <c r="BG786" s="17">
        <f t="shared" si="289"/>
        <v>0</v>
      </c>
      <c r="BH786" s="16">
        <f t="shared" si="293"/>
        <v>2.2000000000000002</v>
      </c>
    </row>
    <row r="787" spans="1:60" ht="12.75" customHeight="1" x14ac:dyDescent="0.2">
      <c r="A787" s="51">
        <v>55351</v>
      </c>
      <c r="B787" s="51"/>
      <c r="C787" s="66" t="s">
        <v>1803</v>
      </c>
      <c r="D787" s="65" t="s">
        <v>752</v>
      </c>
      <c r="E787" s="52" t="s">
        <v>732</v>
      </c>
      <c r="F787" s="53">
        <f>IFERROR(VLOOKUP(E787,Fornecedores!$A$2:$B$2700,2,FALSE),"")</f>
        <v>6</v>
      </c>
      <c r="G787" s="52" t="s">
        <v>344</v>
      </c>
      <c r="H787" s="54"/>
      <c r="I787" s="55">
        <f t="shared" si="290"/>
        <v>0</v>
      </c>
      <c r="J787" s="55">
        <v>0</v>
      </c>
      <c r="K787" s="55">
        <v>0</v>
      </c>
      <c r="L787" s="55">
        <v>0</v>
      </c>
      <c r="M787" s="55">
        <v>0</v>
      </c>
      <c r="N787" s="55">
        <f t="shared" si="291"/>
        <v>0</v>
      </c>
      <c r="O787" s="55">
        <v>0</v>
      </c>
      <c r="P787" s="55">
        <v>0</v>
      </c>
      <c r="Q787" s="55">
        <v>0</v>
      </c>
      <c r="R787" s="55">
        <f t="shared" si="292"/>
        <v>0</v>
      </c>
      <c r="S787" s="55">
        <v>0</v>
      </c>
      <c r="T787" s="55">
        <v>0</v>
      </c>
      <c r="U787" s="55">
        <v>0</v>
      </c>
      <c r="V787" s="55">
        <v>4</v>
      </c>
      <c r="W787" s="53">
        <v>0</v>
      </c>
      <c r="X787" s="53">
        <v>4</v>
      </c>
      <c r="Y787" s="55">
        <v>0</v>
      </c>
      <c r="Z787" s="55">
        <v>2</v>
      </c>
      <c r="AA787" s="53">
        <v>0</v>
      </c>
      <c r="AB787" s="53">
        <v>2</v>
      </c>
      <c r="AC787" s="55">
        <v>0</v>
      </c>
      <c r="AD787" s="55">
        <f t="shared" ref="AD787:AD820" si="295">SUM(AE787:AG787)</f>
        <v>0</v>
      </c>
      <c r="AE787" s="53">
        <v>0</v>
      </c>
      <c r="AF787" s="55">
        <v>0</v>
      </c>
      <c r="AG787" s="55">
        <v>0</v>
      </c>
      <c r="AH787" s="55">
        <f t="shared" ref="AH787:AH850" si="296">SUM(AI787:AK787)</f>
        <v>0</v>
      </c>
      <c r="AI787" s="55">
        <v>0</v>
      </c>
      <c r="AJ787" s="55">
        <v>0</v>
      </c>
      <c r="AK787" s="55">
        <v>0</v>
      </c>
      <c r="AL787" s="55">
        <f t="shared" ref="AL787:AL850" si="297">SUM(AM787:AO787)</f>
        <v>2</v>
      </c>
      <c r="AM787" s="55" t="s">
        <v>1912</v>
      </c>
      <c r="AN787" s="55">
        <v>2</v>
      </c>
      <c r="AO787" s="55">
        <v>0</v>
      </c>
      <c r="AP787" s="55">
        <f t="shared" si="284"/>
        <v>0</v>
      </c>
      <c r="AQ787" s="55">
        <f>IFERROR(VLOOKUP(A787,[1]SIIMPLES!$A$2:$F$418,6,FALSE),0)</f>
        <v>0</v>
      </c>
      <c r="AR787" s="55">
        <v>0</v>
      </c>
      <c r="AS787" s="55">
        <v>0</v>
      </c>
      <c r="AT787" s="55">
        <v>0</v>
      </c>
      <c r="AU787" s="55">
        <v>0</v>
      </c>
      <c r="AV787" s="55">
        <v>0</v>
      </c>
      <c r="AW787" s="55"/>
      <c r="AX787" s="55"/>
      <c r="AY787" s="56">
        <f t="shared" ref="AY787:AY820" si="298">IFERROR(AVERAGE(I787,N787,R787,V787,Z787,AD787,AH787,AL787,AP787,AS787,AW787,AX787),"-")</f>
        <v>0.8</v>
      </c>
      <c r="AZ787" s="55"/>
      <c r="BA787" s="56">
        <v>0.33333333333333331</v>
      </c>
      <c r="BB787" s="41">
        <f t="shared" si="288"/>
        <v>1.4000000000000004</v>
      </c>
      <c r="BC787" s="13"/>
      <c r="BD787" s="35"/>
      <c r="BE787" s="13"/>
      <c r="BF787" s="16">
        <f t="shared" si="294"/>
        <v>0</v>
      </c>
      <c r="BG787" s="17">
        <f t="shared" si="289"/>
        <v>0</v>
      </c>
      <c r="BH787" s="16">
        <f t="shared" si="293"/>
        <v>0.8</v>
      </c>
    </row>
    <row r="788" spans="1:60" ht="12.75" customHeight="1" x14ac:dyDescent="0.2">
      <c r="A788" s="50">
        <v>60039</v>
      </c>
      <c r="B788" s="51" t="s">
        <v>1077</v>
      </c>
      <c r="C788" s="51" t="s">
        <v>1803</v>
      </c>
      <c r="D788" s="65" t="s">
        <v>768</v>
      </c>
      <c r="E788" s="52" t="s">
        <v>730</v>
      </c>
      <c r="F788" s="53">
        <f>IFERROR(VLOOKUP(E788,Fornecedores!$A$2:$B$2700,2,FALSE),"")</f>
        <v>3</v>
      </c>
      <c r="G788" s="52" t="s">
        <v>531</v>
      </c>
      <c r="H788" s="54"/>
      <c r="I788" s="55">
        <f t="shared" si="290"/>
        <v>0</v>
      </c>
      <c r="J788" s="55">
        <v>0</v>
      </c>
      <c r="K788" s="55">
        <v>0</v>
      </c>
      <c r="L788" s="55">
        <v>0</v>
      </c>
      <c r="M788" s="55">
        <v>0</v>
      </c>
      <c r="N788" s="55">
        <f t="shared" si="291"/>
        <v>0</v>
      </c>
      <c r="O788" s="55">
        <v>0</v>
      </c>
      <c r="P788" s="55">
        <v>0</v>
      </c>
      <c r="Q788" s="55">
        <v>0</v>
      </c>
      <c r="R788" s="55">
        <f t="shared" si="292"/>
        <v>0</v>
      </c>
      <c r="S788" s="55">
        <v>0</v>
      </c>
      <c r="T788" s="55">
        <v>0</v>
      </c>
      <c r="U788" s="55">
        <v>0</v>
      </c>
      <c r="V788" s="55">
        <v>0</v>
      </c>
      <c r="W788" s="53">
        <v>0</v>
      </c>
      <c r="X788" s="53">
        <v>0</v>
      </c>
      <c r="Y788" s="55">
        <v>0</v>
      </c>
      <c r="Z788" s="55">
        <v>0</v>
      </c>
      <c r="AA788" s="53">
        <v>0</v>
      </c>
      <c r="AB788" s="53">
        <v>0</v>
      </c>
      <c r="AC788" s="55">
        <v>0</v>
      </c>
      <c r="AD788" s="55">
        <f t="shared" si="295"/>
        <v>0</v>
      </c>
      <c r="AE788" s="53">
        <f>IFERROR(VLOOKUP(A788,[4]simples!$A$1:$B$281,2,FALSE),0)</f>
        <v>0</v>
      </c>
      <c r="AF788" s="55">
        <v>0</v>
      </c>
      <c r="AG788" s="55">
        <v>0</v>
      </c>
      <c r="AH788" s="55">
        <f t="shared" si="296"/>
        <v>0</v>
      </c>
      <c r="AI788" s="55"/>
      <c r="AJ788" s="55">
        <v>0</v>
      </c>
      <c r="AK788" s="55"/>
      <c r="AL788" s="55">
        <f t="shared" si="297"/>
        <v>0</v>
      </c>
      <c r="AM788" s="55" t="s">
        <v>1912</v>
      </c>
      <c r="AN788" s="55">
        <v>0</v>
      </c>
      <c r="AO788" s="55">
        <v>0</v>
      </c>
      <c r="AP788" s="55">
        <f t="shared" si="284"/>
        <v>0</v>
      </c>
      <c r="AQ788" s="55">
        <f>IFERROR(VLOOKUP(A788,[1]SIIMPLES!$A$2:$F$418,6,FALSE),0)</f>
        <v>0</v>
      </c>
      <c r="AR788" s="55">
        <v>0</v>
      </c>
      <c r="AS788" s="55">
        <v>0</v>
      </c>
      <c r="AT788" s="55">
        <v>0</v>
      </c>
      <c r="AU788" s="55">
        <v>0</v>
      </c>
      <c r="AV788" s="55">
        <v>0</v>
      </c>
      <c r="AW788" s="55"/>
      <c r="AX788" s="55"/>
      <c r="AY788" s="56">
        <f t="shared" si="298"/>
        <v>0</v>
      </c>
      <c r="AZ788" s="55"/>
      <c r="BA788" s="56">
        <v>0.16666666666666666</v>
      </c>
      <c r="BB788" s="41">
        <f t="shared" si="288"/>
        <v>-1</v>
      </c>
      <c r="BC788" s="13"/>
      <c r="BD788" s="35"/>
      <c r="BE788" s="13"/>
      <c r="BF788" s="16">
        <f t="shared" si="294"/>
        <v>0</v>
      </c>
      <c r="BG788" s="17" t="str">
        <f t="shared" si="289"/>
        <v>0</v>
      </c>
      <c r="BH788" s="16">
        <f t="shared" si="293"/>
        <v>0</v>
      </c>
    </row>
    <row r="789" spans="1:60" ht="12.75" customHeight="1" x14ac:dyDescent="0.2">
      <c r="A789" s="51">
        <v>66031</v>
      </c>
      <c r="B789" s="51"/>
      <c r="C789" s="66" t="s">
        <v>1803</v>
      </c>
      <c r="D789" s="65" t="s">
        <v>1779</v>
      </c>
      <c r="E789" s="52" t="s">
        <v>732</v>
      </c>
      <c r="F789" s="53">
        <f>IFERROR(VLOOKUP(E789,Fornecedores!$A$2:$B$2700,2,FALSE),"")</f>
        <v>6</v>
      </c>
      <c r="G789" s="52" t="s">
        <v>520</v>
      </c>
      <c r="H789" s="54"/>
      <c r="I789" s="55">
        <f t="shared" si="290"/>
        <v>0</v>
      </c>
      <c r="J789" s="55">
        <v>0</v>
      </c>
      <c r="K789" s="55">
        <v>0</v>
      </c>
      <c r="L789" s="55">
        <v>0</v>
      </c>
      <c r="M789" s="55">
        <v>0</v>
      </c>
      <c r="N789" s="55">
        <f t="shared" si="291"/>
        <v>0</v>
      </c>
      <c r="O789" s="55">
        <v>0</v>
      </c>
      <c r="P789" s="55">
        <v>0</v>
      </c>
      <c r="Q789" s="55">
        <v>0</v>
      </c>
      <c r="R789" s="55">
        <f t="shared" si="292"/>
        <v>0</v>
      </c>
      <c r="S789" s="55">
        <v>0</v>
      </c>
      <c r="T789" s="55">
        <v>0</v>
      </c>
      <c r="U789" s="55">
        <v>0</v>
      </c>
      <c r="V789" s="55">
        <v>0</v>
      </c>
      <c r="W789" s="53">
        <v>0</v>
      </c>
      <c r="X789" s="53">
        <v>0</v>
      </c>
      <c r="Y789" s="55">
        <v>0</v>
      </c>
      <c r="Z789" s="55">
        <v>0</v>
      </c>
      <c r="AA789" s="53">
        <v>0</v>
      </c>
      <c r="AB789" s="53">
        <v>0</v>
      </c>
      <c r="AC789" s="55">
        <v>0</v>
      </c>
      <c r="AD789" s="55">
        <f t="shared" si="295"/>
        <v>0</v>
      </c>
      <c r="AE789" s="53">
        <v>0</v>
      </c>
      <c r="AF789" s="55">
        <v>0</v>
      </c>
      <c r="AG789" s="55">
        <v>0</v>
      </c>
      <c r="AH789" s="55">
        <f t="shared" si="296"/>
        <v>0</v>
      </c>
      <c r="AI789" s="55">
        <v>0</v>
      </c>
      <c r="AJ789" s="55">
        <v>0</v>
      </c>
      <c r="AK789" s="55">
        <v>0</v>
      </c>
      <c r="AL789" s="55">
        <f t="shared" si="297"/>
        <v>0</v>
      </c>
      <c r="AM789" s="55" t="s">
        <v>1912</v>
      </c>
      <c r="AN789" s="55">
        <v>0</v>
      </c>
      <c r="AO789" s="55">
        <v>0</v>
      </c>
      <c r="AP789" s="55">
        <f t="shared" si="284"/>
        <v>0</v>
      </c>
      <c r="AQ789" s="55">
        <f>IFERROR(VLOOKUP(A789,[1]SIIMPLES!$A$2:$F$418,6,FALSE),0)</f>
        <v>0</v>
      </c>
      <c r="AR789" s="55">
        <v>0</v>
      </c>
      <c r="AS789" s="55">
        <v>2</v>
      </c>
      <c r="AT789" s="55">
        <v>2</v>
      </c>
      <c r="AU789" s="55">
        <v>0</v>
      </c>
      <c r="AV789" s="55">
        <v>0</v>
      </c>
      <c r="AW789" s="55"/>
      <c r="AX789" s="55"/>
      <c r="AY789" s="56">
        <f t="shared" si="298"/>
        <v>0.2</v>
      </c>
      <c r="AZ789" s="55"/>
      <c r="BA789" s="56">
        <v>0</v>
      </c>
      <c r="BB789" s="41" t="str">
        <f t="shared" si="288"/>
        <v/>
      </c>
      <c r="BC789" s="13"/>
      <c r="BD789" s="36"/>
      <c r="BE789" s="7"/>
      <c r="BF789" s="7"/>
      <c r="BG789" s="17">
        <f t="shared" si="289"/>
        <v>0</v>
      </c>
      <c r="BH789" s="7"/>
    </row>
    <row r="790" spans="1:60" ht="12.75" customHeight="1" x14ac:dyDescent="0.2">
      <c r="A790" s="51">
        <v>66080</v>
      </c>
      <c r="B790" s="51" t="s">
        <v>1077</v>
      </c>
      <c r="C790" s="66" t="s">
        <v>1803</v>
      </c>
      <c r="D790" s="65" t="s">
        <v>1778</v>
      </c>
      <c r="E790" s="52" t="s">
        <v>732</v>
      </c>
      <c r="F790" s="53">
        <f>IFERROR(VLOOKUP(E790,Fornecedores!$A$2:$B$2700,2,FALSE),"")</f>
        <v>6</v>
      </c>
      <c r="G790" s="52" t="s">
        <v>219</v>
      </c>
      <c r="H790" s="54"/>
      <c r="I790" s="55">
        <f t="shared" si="290"/>
        <v>4</v>
      </c>
      <c r="J790" s="55">
        <v>4</v>
      </c>
      <c r="K790" s="55">
        <v>0</v>
      </c>
      <c r="L790" s="55">
        <v>0</v>
      </c>
      <c r="M790" s="55">
        <v>0</v>
      </c>
      <c r="N790" s="55">
        <f t="shared" si="291"/>
        <v>0</v>
      </c>
      <c r="O790" s="55">
        <v>0</v>
      </c>
      <c r="P790" s="55">
        <v>0</v>
      </c>
      <c r="Q790" s="55">
        <v>0</v>
      </c>
      <c r="R790" s="55">
        <f t="shared" si="292"/>
        <v>0</v>
      </c>
      <c r="S790" s="55">
        <v>0</v>
      </c>
      <c r="T790" s="55">
        <v>0</v>
      </c>
      <c r="U790" s="55">
        <v>0</v>
      </c>
      <c r="V790" s="55">
        <v>0</v>
      </c>
      <c r="W790" s="53">
        <v>0</v>
      </c>
      <c r="X790" s="53">
        <v>0</v>
      </c>
      <c r="Y790" s="55">
        <v>0</v>
      </c>
      <c r="Z790" s="55">
        <v>5</v>
      </c>
      <c r="AA790" s="53">
        <v>5</v>
      </c>
      <c r="AB790" s="53">
        <v>0</v>
      </c>
      <c r="AC790" s="55">
        <v>0</v>
      </c>
      <c r="AD790" s="55">
        <f t="shared" si="295"/>
        <v>0</v>
      </c>
      <c r="AE790" s="53">
        <v>0</v>
      </c>
      <c r="AF790" s="55">
        <v>0</v>
      </c>
      <c r="AG790" s="55">
        <v>0</v>
      </c>
      <c r="AH790" s="55">
        <f t="shared" si="296"/>
        <v>1</v>
      </c>
      <c r="AI790" s="55">
        <v>1</v>
      </c>
      <c r="AJ790" s="55">
        <v>0</v>
      </c>
      <c r="AK790" s="55">
        <v>0</v>
      </c>
      <c r="AL790" s="55">
        <f t="shared" si="297"/>
        <v>2</v>
      </c>
      <c r="AM790" s="55">
        <v>2</v>
      </c>
      <c r="AN790" s="55">
        <v>0</v>
      </c>
      <c r="AO790" s="55">
        <v>0</v>
      </c>
      <c r="AP790" s="55">
        <f t="shared" si="284"/>
        <v>0</v>
      </c>
      <c r="AQ790" s="55">
        <f>IFERROR(VLOOKUP(A790,[1]SIIMPLES!$A$2:$F$418,6,FALSE),0)</f>
        <v>0</v>
      </c>
      <c r="AR790" s="55">
        <v>0</v>
      </c>
      <c r="AS790" s="55">
        <v>5</v>
      </c>
      <c r="AT790" s="55">
        <v>5</v>
      </c>
      <c r="AU790" s="55">
        <v>0</v>
      </c>
      <c r="AV790" s="55">
        <v>0</v>
      </c>
      <c r="AW790" s="55"/>
      <c r="AX790" s="55"/>
      <c r="AY790" s="56">
        <f t="shared" si="298"/>
        <v>1.7</v>
      </c>
      <c r="AZ790" s="55"/>
      <c r="BA790" s="56">
        <v>1.6666666666666667</v>
      </c>
      <c r="BB790" s="41">
        <f t="shared" si="288"/>
        <v>2.0000000000000018E-2</v>
      </c>
      <c r="BC790" s="13"/>
      <c r="BD790" s="35"/>
      <c r="BE790" s="13"/>
      <c r="BF790" s="16">
        <f t="shared" ref="BF790:BF795" si="299">SUM(BC790:BE790)</f>
        <v>0</v>
      </c>
      <c r="BG790" s="17">
        <f t="shared" si="289"/>
        <v>0</v>
      </c>
      <c r="BH790" s="16">
        <f t="shared" ref="BH790:BH796" si="300">IFERROR(IF(F790=1,IF(BC790&lt;AY790*3,AY790*3-BC790,0),IF(BC790&lt;AY790,AY790-BC790,0)),"")</f>
        <v>1.7</v>
      </c>
    </row>
    <row r="791" spans="1:60" ht="12.75" customHeight="1" x14ac:dyDescent="0.2">
      <c r="A791" s="51">
        <v>66081</v>
      </c>
      <c r="B791" s="51" t="s">
        <v>1077</v>
      </c>
      <c r="C791" s="66" t="s">
        <v>1803</v>
      </c>
      <c r="D791" s="65" t="s">
        <v>1778</v>
      </c>
      <c r="E791" s="52" t="s">
        <v>732</v>
      </c>
      <c r="F791" s="53">
        <f>IFERROR(VLOOKUP(E791,Fornecedores!$A$2:$B$2700,2,FALSE),"")</f>
        <v>6</v>
      </c>
      <c r="G791" s="52" t="s">
        <v>349</v>
      </c>
      <c r="H791" s="54"/>
      <c r="I791" s="55">
        <f t="shared" si="290"/>
        <v>1</v>
      </c>
      <c r="J791" s="55">
        <v>1</v>
      </c>
      <c r="K791" s="55">
        <v>0</v>
      </c>
      <c r="L791" s="55">
        <v>0</v>
      </c>
      <c r="M791" s="55">
        <v>0</v>
      </c>
      <c r="N791" s="55">
        <f t="shared" si="291"/>
        <v>0</v>
      </c>
      <c r="O791" s="55">
        <v>0</v>
      </c>
      <c r="P791" s="55">
        <v>0</v>
      </c>
      <c r="Q791" s="55">
        <v>0</v>
      </c>
      <c r="R791" s="55">
        <f t="shared" si="292"/>
        <v>0</v>
      </c>
      <c r="S791" s="55">
        <v>0</v>
      </c>
      <c r="T791" s="55">
        <v>0</v>
      </c>
      <c r="U791" s="55">
        <v>0</v>
      </c>
      <c r="V791" s="55">
        <v>0</v>
      </c>
      <c r="W791" s="53">
        <v>0</v>
      </c>
      <c r="X791" s="53">
        <v>0</v>
      </c>
      <c r="Y791" s="55">
        <v>0</v>
      </c>
      <c r="Z791" s="55">
        <v>1</v>
      </c>
      <c r="AA791" s="53">
        <v>1</v>
      </c>
      <c r="AB791" s="53">
        <v>0</v>
      </c>
      <c r="AC791" s="55">
        <v>0</v>
      </c>
      <c r="AD791" s="55">
        <f t="shared" si="295"/>
        <v>0</v>
      </c>
      <c r="AE791" s="53">
        <v>0</v>
      </c>
      <c r="AF791" s="55">
        <v>0</v>
      </c>
      <c r="AG791" s="55">
        <v>0</v>
      </c>
      <c r="AH791" s="55">
        <f t="shared" si="296"/>
        <v>1</v>
      </c>
      <c r="AI791" s="55">
        <v>1</v>
      </c>
      <c r="AJ791" s="55">
        <v>0</v>
      </c>
      <c r="AK791" s="55">
        <v>0</v>
      </c>
      <c r="AL791" s="55">
        <f t="shared" si="297"/>
        <v>1</v>
      </c>
      <c r="AM791" s="55">
        <v>1</v>
      </c>
      <c r="AN791" s="55">
        <v>0</v>
      </c>
      <c r="AO791" s="55">
        <v>0</v>
      </c>
      <c r="AP791" s="55">
        <f t="shared" si="284"/>
        <v>0</v>
      </c>
      <c r="AQ791" s="55">
        <f>IFERROR(VLOOKUP(A791,[1]SIIMPLES!$A$2:$F$418,6,FALSE),0)</f>
        <v>0</v>
      </c>
      <c r="AR791" s="55">
        <v>0</v>
      </c>
      <c r="AS791" s="55">
        <v>0</v>
      </c>
      <c r="AT791" s="55">
        <v>0</v>
      </c>
      <c r="AU791" s="55">
        <v>0</v>
      </c>
      <c r="AV791" s="55">
        <v>0</v>
      </c>
      <c r="AW791" s="55"/>
      <c r="AX791" s="55"/>
      <c r="AY791" s="56">
        <f t="shared" si="298"/>
        <v>0.4</v>
      </c>
      <c r="AZ791" s="55"/>
      <c r="BA791" s="56">
        <v>1</v>
      </c>
      <c r="BB791" s="41">
        <f t="shared" si="288"/>
        <v>-0.6</v>
      </c>
      <c r="BC791" s="13"/>
      <c r="BD791" s="35"/>
      <c r="BE791" s="13"/>
      <c r="BF791" s="16">
        <f t="shared" si="299"/>
        <v>0</v>
      </c>
      <c r="BG791" s="17">
        <f t="shared" si="289"/>
        <v>0</v>
      </c>
      <c r="BH791" s="16">
        <f t="shared" si="300"/>
        <v>0.4</v>
      </c>
    </row>
    <row r="792" spans="1:60" ht="12.75" customHeight="1" x14ac:dyDescent="0.2">
      <c r="A792" s="51">
        <v>66084</v>
      </c>
      <c r="B792" s="51"/>
      <c r="C792" s="66" t="s">
        <v>1803</v>
      </c>
      <c r="D792" s="65" t="s">
        <v>1778</v>
      </c>
      <c r="E792" s="67" t="s">
        <v>727</v>
      </c>
      <c r="F792" s="53">
        <f>IFERROR(VLOOKUP(E792,Fornecedores!$A$2:$B$2700,2,FALSE),"")</f>
        <v>1</v>
      </c>
      <c r="G792" s="52" t="s">
        <v>544</v>
      </c>
      <c r="H792" s="54"/>
      <c r="I792" s="55">
        <f t="shared" si="290"/>
        <v>0</v>
      </c>
      <c r="J792" s="55">
        <v>0</v>
      </c>
      <c r="K792" s="55">
        <v>0</v>
      </c>
      <c r="L792" s="55">
        <v>0</v>
      </c>
      <c r="M792" s="55">
        <v>0</v>
      </c>
      <c r="N792" s="55">
        <f t="shared" si="291"/>
        <v>0</v>
      </c>
      <c r="O792" s="55">
        <v>0</v>
      </c>
      <c r="P792" s="55">
        <v>0</v>
      </c>
      <c r="Q792" s="55">
        <v>0</v>
      </c>
      <c r="R792" s="55">
        <f t="shared" si="292"/>
        <v>0</v>
      </c>
      <c r="S792" s="55">
        <v>0</v>
      </c>
      <c r="T792" s="55">
        <v>0</v>
      </c>
      <c r="U792" s="55">
        <v>0</v>
      </c>
      <c r="V792" s="55">
        <v>0</v>
      </c>
      <c r="W792" s="53">
        <v>0</v>
      </c>
      <c r="X792" s="53">
        <v>0</v>
      </c>
      <c r="Y792" s="55">
        <v>0</v>
      </c>
      <c r="Z792" s="55">
        <v>0</v>
      </c>
      <c r="AA792" s="53">
        <v>0</v>
      </c>
      <c r="AB792" s="53">
        <v>0</v>
      </c>
      <c r="AC792" s="55">
        <v>0</v>
      </c>
      <c r="AD792" s="55">
        <f t="shared" si="295"/>
        <v>0</v>
      </c>
      <c r="AE792" s="53">
        <v>0</v>
      </c>
      <c r="AF792" s="55">
        <v>0</v>
      </c>
      <c r="AG792" s="55">
        <v>0</v>
      </c>
      <c r="AH792" s="55">
        <f t="shared" si="296"/>
        <v>0</v>
      </c>
      <c r="AI792" s="55">
        <v>0</v>
      </c>
      <c r="AJ792" s="55">
        <v>0</v>
      </c>
      <c r="AK792" s="55">
        <v>0</v>
      </c>
      <c r="AL792" s="55">
        <f t="shared" si="297"/>
        <v>1</v>
      </c>
      <c r="AM792" s="55">
        <v>1</v>
      </c>
      <c r="AN792" s="55">
        <v>0</v>
      </c>
      <c r="AO792" s="55">
        <v>0</v>
      </c>
      <c r="AP792" s="55">
        <f t="shared" si="284"/>
        <v>0</v>
      </c>
      <c r="AQ792" s="55">
        <f>IFERROR(VLOOKUP(A792,[1]SIIMPLES!$A$2:$F$418,6,FALSE),0)</f>
        <v>0</v>
      </c>
      <c r="AR792" s="55">
        <v>0</v>
      </c>
      <c r="AS792" s="55">
        <v>0</v>
      </c>
      <c r="AT792" s="55">
        <v>0</v>
      </c>
      <c r="AU792" s="55">
        <v>0</v>
      </c>
      <c r="AV792" s="55">
        <v>0</v>
      </c>
      <c r="AW792" s="55"/>
      <c r="AX792" s="55"/>
      <c r="AY792" s="56">
        <f t="shared" si="298"/>
        <v>0.1</v>
      </c>
      <c r="AZ792" s="55"/>
      <c r="BA792" s="56">
        <v>0</v>
      </c>
      <c r="BB792" s="41" t="str">
        <f t="shared" si="288"/>
        <v/>
      </c>
      <c r="BC792" s="13"/>
      <c r="BD792" s="35"/>
      <c r="BE792" s="13"/>
      <c r="BF792" s="16">
        <f t="shared" si="299"/>
        <v>0</v>
      </c>
      <c r="BG792" s="17">
        <f t="shared" si="289"/>
        <v>0</v>
      </c>
      <c r="BH792" s="16">
        <f t="shared" si="300"/>
        <v>0.30000000000000004</v>
      </c>
    </row>
    <row r="793" spans="1:60" ht="12.75" customHeight="1" x14ac:dyDescent="0.2">
      <c r="A793" s="51">
        <v>66260</v>
      </c>
      <c r="B793" s="51"/>
      <c r="C793" s="66" t="s">
        <v>1803</v>
      </c>
      <c r="D793" s="52" t="s">
        <v>747</v>
      </c>
      <c r="E793" s="52" t="s">
        <v>779</v>
      </c>
      <c r="F793" s="53">
        <f>IFERROR(VLOOKUP(E793,Fornecedores!$A$2:$B$2700,2,FALSE),"")</f>
        <v>21</v>
      </c>
      <c r="G793" s="52" t="s">
        <v>433</v>
      </c>
      <c r="H793" s="54"/>
      <c r="I793" s="55">
        <f t="shared" si="290"/>
        <v>0</v>
      </c>
      <c r="J793" s="55">
        <v>0</v>
      </c>
      <c r="K793" s="55">
        <v>0</v>
      </c>
      <c r="L793" s="55">
        <v>0</v>
      </c>
      <c r="M793" s="55">
        <v>0</v>
      </c>
      <c r="N793" s="55">
        <f t="shared" si="291"/>
        <v>0</v>
      </c>
      <c r="O793" s="55">
        <v>0</v>
      </c>
      <c r="P793" s="55">
        <v>0</v>
      </c>
      <c r="Q793" s="55">
        <v>0</v>
      </c>
      <c r="R793" s="55">
        <f t="shared" si="292"/>
        <v>0</v>
      </c>
      <c r="S793" s="55">
        <v>0</v>
      </c>
      <c r="T793" s="55">
        <v>0</v>
      </c>
      <c r="U793" s="55">
        <v>0</v>
      </c>
      <c r="V793" s="55">
        <v>0</v>
      </c>
      <c r="W793" s="53">
        <v>0</v>
      </c>
      <c r="X793" s="53">
        <v>0</v>
      </c>
      <c r="Y793" s="55">
        <v>0</v>
      </c>
      <c r="Z793" s="55">
        <v>0</v>
      </c>
      <c r="AA793" s="53">
        <v>0</v>
      </c>
      <c r="AB793" s="53">
        <v>0</v>
      </c>
      <c r="AC793" s="55">
        <v>0</v>
      </c>
      <c r="AD793" s="55">
        <f t="shared" si="295"/>
        <v>2</v>
      </c>
      <c r="AE793" s="53">
        <v>2</v>
      </c>
      <c r="AF793" s="55">
        <v>0</v>
      </c>
      <c r="AG793" s="55">
        <v>0</v>
      </c>
      <c r="AH793" s="55">
        <f t="shared" si="296"/>
        <v>0</v>
      </c>
      <c r="AI793" s="55">
        <v>0</v>
      </c>
      <c r="AJ793" s="55">
        <v>0</v>
      </c>
      <c r="AK793" s="55">
        <v>0</v>
      </c>
      <c r="AL793" s="55">
        <f t="shared" si="297"/>
        <v>0</v>
      </c>
      <c r="AM793" s="55" t="s">
        <v>1912</v>
      </c>
      <c r="AN793" s="55">
        <v>0</v>
      </c>
      <c r="AO793" s="55">
        <v>0</v>
      </c>
      <c r="AP793" s="55">
        <f t="shared" si="284"/>
        <v>0</v>
      </c>
      <c r="AQ793" s="55">
        <f>IFERROR(VLOOKUP(A793,[1]SIIMPLES!$A$2:$F$418,6,FALSE),0)</f>
        <v>0</v>
      </c>
      <c r="AR793" s="55">
        <v>0</v>
      </c>
      <c r="AS793" s="55">
        <v>0</v>
      </c>
      <c r="AT793" s="55">
        <v>0</v>
      </c>
      <c r="AU793" s="55">
        <v>0</v>
      </c>
      <c r="AV793" s="55">
        <v>0</v>
      </c>
      <c r="AW793" s="55"/>
      <c r="AX793" s="55"/>
      <c r="AY793" s="56">
        <f t="shared" si="298"/>
        <v>0.2</v>
      </c>
      <c r="AZ793" s="55"/>
      <c r="BA793" s="56">
        <v>0.66666666666666663</v>
      </c>
      <c r="BB793" s="41">
        <f t="shared" si="288"/>
        <v>-0.7</v>
      </c>
      <c r="BC793" s="13"/>
      <c r="BD793" s="35"/>
      <c r="BE793" s="13"/>
      <c r="BF793" s="16">
        <f t="shared" si="299"/>
        <v>0</v>
      </c>
      <c r="BG793" s="17">
        <f t="shared" si="289"/>
        <v>0</v>
      </c>
      <c r="BH793" s="16">
        <f t="shared" si="300"/>
        <v>0.2</v>
      </c>
    </row>
    <row r="794" spans="1:60" ht="12.75" customHeight="1" x14ac:dyDescent="0.2">
      <c r="A794" s="51">
        <v>66300</v>
      </c>
      <c r="B794" s="51"/>
      <c r="C794" s="66" t="s">
        <v>1803</v>
      </c>
      <c r="D794" s="65" t="s">
        <v>1779</v>
      </c>
      <c r="E794" s="52" t="s">
        <v>732</v>
      </c>
      <c r="F794" s="53">
        <f>IFERROR(VLOOKUP(E794,Fornecedores!$A$2:$B$2700,2,FALSE),"")</f>
        <v>6</v>
      </c>
      <c r="G794" s="52" t="s">
        <v>522</v>
      </c>
      <c r="H794" s="54"/>
      <c r="I794" s="55">
        <f t="shared" si="290"/>
        <v>1</v>
      </c>
      <c r="J794" s="55">
        <v>0</v>
      </c>
      <c r="K794" s="55">
        <v>1</v>
      </c>
      <c r="L794" s="55">
        <v>0</v>
      </c>
      <c r="M794" s="55">
        <v>0</v>
      </c>
      <c r="N794" s="55">
        <f t="shared" si="291"/>
        <v>2</v>
      </c>
      <c r="O794" s="55">
        <v>0</v>
      </c>
      <c r="P794" s="55">
        <v>2</v>
      </c>
      <c r="Q794" s="55">
        <v>0</v>
      </c>
      <c r="R794" s="55">
        <f t="shared" si="292"/>
        <v>0</v>
      </c>
      <c r="S794" s="55">
        <v>0</v>
      </c>
      <c r="T794" s="55">
        <v>0</v>
      </c>
      <c r="U794" s="55">
        <v>0</v>
      </c>
      <c r="V794" s="55">
        <v>1</v>
      </c>
      <c r="W794" s="53">
        <v>1</v>
      </c>
      <c r="X794" s="53">
        <v>0</v>
      </c>
      <c r="Y794" s="55">
        <v>0</v>
      </c>
      <c r="Z794" s="55">
        <v>3</v>
      </c>
      <c r="AA794" s="53">
        <v>1</v>
      </c>
      <c r="AB794" s="53">
        <v>2</v>
      </c>
      <c r="AC794" s="55">
        <v>0</v>
      </c>
      <c r="AD794" s="55">
        <f t="shared" si="295"/>
        <v>0</v>
      </c>
      <c r="AE794" s="53">
        <v>0</v>
      </c>
      <c r="AF794" s="55">
        <v>0</v>
      </c>
      <c r="AG794" s="55">
        <v>0</v>
      </c>
      <c r="AH794" s="55">
        <f t="shared" si="296"/>
        <v>0</v>
      </c>
      <c r="AI794" s="55">
        <v>0</v>
      </c>
      <c r="AJ794" s="55">
        <v>0</v>
      </c>
      <c r="AK794" s="55">
        <v>0</v>
      </c>
      <c r="AL794" s="55">
        <f t="shared" si="297"/>
        <v>0</v>
      </c>
      <c r="AM794" s="55" t="s">
        <v>1912</v>
      </c>
      <c r="AN794" s="55">
        <v>0</v>
      </c>
      <c r="AO794" s="55">
        <v>0</v>
      </c>
      <c r="AP794" s="55">
        <f t="shared" si="284"/>
        <v>0</v>
      </c>
      <c r="AQ794" s="55">
        <f>IFERROR(VLOOKUP(A794,[1]SIIMPLES!$A$2:$F$418,6,FALSE),0)</f>
        <v>0</v>
      </c>
      <c r="AR794" s="55">
        <v>0</v>
      </c>
      <c r="AS794" s="55">
        <v>2</v>
      </c>
      <c r="AT794" s="55">
        <v>0</v>
      </c>
      <c r="AU794" s="55">
        <v>2</v>
      </c>
      <c r="AV794" s="55">
        <v>0</v>
      </c>
      <c r="AW794" s="55"/>
      <c r="AX794" s="55"/>
      <c r="AY794" s="56">
        <f t="shared" si="298"/>
        <v>0.9</v>
      </c>
      <c r="AZ794" s="55"/>
      <c r="BA794" s="56">
        <v>1.5</v>
      </c>
      <c r="BB794" s="41">
        <f t="shared" si="288"/>
        <v>-0.4</v>
      </c>
      <c r="BC794" s="13"/>
      <c r="BD794" s="35"/>
      <c r="BE794" s="13"/>
      <c r="BF794" s="16">
        <f t="shared" si="299"/>
        <v>0</v>
      </c>
      <c r="BG794" s="17">
        <f t="shared" si="289"/>
        <v>0</v>
      </c>
      <c r="BH794" s="16">
        <f t="shared" si="300"/>
        <v>0.9</v>
      </c>
    </row>
    <row r="795" spans="1:60" ht="12.75" customHeight="1" x14ac:dyDescent="0.2">
      <c r="A795" s="51">
        <v>66301</v>
      </c>
      <c r="B795" s="51"/>
      <c r="C795" s="66" t="s">
        <v>1803</v>
      </c>
      <c r="D795" s="65" t="s">
        <v>1779</v>
      </c>
      <c r="E795" s="52" t="s">
        <v>732</v>
      </c>
      <c r="F795" s="53">
        <f>IFERROR(VLOOKUP(E795,Fornecedores!$A$2:$B$2700,2,FALSE),"")</f>
        <v>6</v>
      </c>
      <c r="G795" s="52" t="s">
        <v>519</v>
      </c>
      <c r="H795" s="54"/>
      <c r="I795" s="55">
        <f t="shared" si="290"/>
        <v>1</v>
      </c>
      <c r="J795" s="55">
        <v>0</v>
      </c>
      <c r="K795" s="55">
        <v>1</v>
      </c>
      <c r="L795" s="55">
        <v>0</v>
      </c>
      <c r="M795" s="55">
        <v>0</v>
      </c>
      <c r="N795" s="55">
        <f t="shared" si="291"/>
        <v>2</v>
      </c>
      <c r="O795" s="55">
        <v>0</v>
      </c>
      <c r="P795" s="55">
        <v>2</v>
      </c>
      <c r="Q795" s="55">
        <v>0</v>
      </c>
      <c r="R795" s="55">
        <f t="shared" si="292"/>
        <v>0</v>
      </c>
      <c r="S795" s="55">
        <v>0</v>
      </c>
      <c r="T795" s="55">
        <v>0</v>
      </c>
      <c r="U795" s="55">
        <v>0</v>
      </c>
      <c r="V795" s="55">
        <v>0</v>
      </c>
      <c r="W795" s="53">
        <v>0</v>
      </c>
      <c r="X795" s="53">
        <v>0</v>
      </c>
      <c r="Y795" s="55">
        <v>0</v>
      </c>
      <c r="Z795" s="55">
        <v>2</v>
      </c>
      <c r="AA795" s="53">
        <v>0</v>
      </c>
      <c r="AB795" s="53">
        <v>2</v>
      </c>
      <c r="AC795" s="55">
        <v>0</v>
      </c>
      <c r="AD795" s="55">
        <f t="shared" si="295"/>
        <v>0</v>
      </c>
      <c r="AE795" s="53">
        <v>0</v>
      </c>
      <c r="AF795" s="55">
        <v>0</v>
      </c>
      <c r="AG795" s="55">
        <v>0</v>
      </c>
      <c r="AH795" s="55">
        <f t="shared" si="296"/>
        <v>0</v>
      </c>
      <c r="AI795" s="55">
        <v>0</v>
      </c>
      <c r="AJ795" s="55">
        <v>0</v>
      </c>
      <c r="AK795" s="55">
        <v>0</v>
      </c>
      <c r="AL795" s="55">
        <f t="shared" si="297"/>
        <v>0</v>
      </c>
      <c r="AM795" s="55" t="s">
        <v>1912</v>
      </c>
      <c r="AN795" s="55">
        <v>0</v>
      </c>
      <c r="AO795" s="55">
        <v>0</v>
      </c>
      <c r="AP795" s="55">
        <f t="shared" si="284"/>
        <v>0</v>
      </c>
      <c r="AQ795" s="55">
        <f>IFERROR(VLOOKUP(A795,[1]SIIMPLES!$A$2:$F$418,6,FALSE),0)</f>
        <v>0</v>
      </c>
      <c r="AR795" s="55">
        <v>0</v>
      </c>
      <c r="AS795" s="55">
        <v>2</v>
      </c>
      <c r="AT795" s="55">
        <v>0</v>
      </c>
      <c r="AU795" s="55">
        <v>2</v>
      </c>
      <c r="AV795" s="55">
        <v>0</v>
      </c>
      <c r="AW795" s="55"/>
      <c r="AX795" s="55"/>
      <c r="AY795" s="56">
        <f t="shared" si="298"/>
        <v>0.7</v>
      </c>
      <c r="AZ795" s="55"/>
      <c r="BA795" s="56">
        <v>1.6666666666666667</v>
      </c>
      <c r="BB795" s="41">
        <f t="shared" ref="BB795:BB826" si="301">IFERROR(AY795/BA795-1,"")</f>
        <v>-0.58000000000000007</v>
      </c>
      <c r="BC795" s="13"/>
      <c r="BD795" s="35"/>
      <c r="BE795" s="13"/>
      <c r="BF795" s="16">
        <f t="shared" si="299"/>
        <v>0</v>
      </c>
      <c r="BG795" s="17">
        <f t="shared" si="289"/>
        <v>0</v>
      </c>
      <c r="BH795" s="16">
        <f t="shared" si="300"/>
        <v>0.7</v>
      </c>
    </row>
    <row r="796" spans="1:60" ht="12.75" customHeight="1" x14ac:dyDescent="0.2">
      <c r="A796" s="51">
        <v>66419</v>
      </c>
      <c r="B796" s="51" t="s">
        <v>1077</v>
      </c>
      <c r="C796" s="66" t="s">
        <v>1803</v>
      </c>
      <c r="D796" s="65" t="s">
        <v>726</v>
      </c>
      <c r="E796" s="52" t="s">
        <v>732</v>
      </c>
      <c r="F796" s="53">
        <f>IFERROR(VLOOKUP(E796,Fornecedores!$A$2:$B$2700,2,FALSE),"")</f>
        <v>6</v>
      </c>
      <c r="G796" s="52" t="s">
        <v>199</v>
      </c>
      <c r="H796" s="54"/>
      <c r="I796" s="55">
        <f t="shared" si="290"/>
        <v>0</v>
      </c>
      <c r="J796" s="55">
        <v>0</v>
      </c>
      <c r="K796" s="55">
        <v>0</v>
      </c>
      <c r="L796" s="55">
        <v>0</v>
      </c>
      <c r="M796" s="55">
        <v>0</v>
      </c>
      <c r="N796" s="55">
        <f t="shared" si="291"/>
        <v>0</v>
      </c>
      <c r="O796" s="55">
        <v>0</v>
      </c>
      <c r="P796" s="55">
        <v>0</v>
      </c>
      <c r="Q796" s="55">
        <v>0</v>
      </c>
      <c r="R796" s="55">
        <f t="shared" si="292"/>
        <v>0</v>
      </c>
      <c r="S796" s="55">
        <v>0</v>
      </c>
      <c r="T796" s="55">
        <v>0</v>
      </c>
      <c r="U796" s="55">
        <v>0</v>
      </c>
      <c r="V796" s="55">
        <v>2</v>
      </c>
      <c r="W796" s="53">
        <v>2</v>
      </c>
      <c r="X796" s="53">
        <v>0</v>
      </c>
      <c r="Y796" s="55">
        <v>0</v>
      </c>
      <c r="Z796" s="55">
        <v>0</v>
      </c>
      <c r="AA796" s="53">
        <v>0</v>
      </c>
      <c r="AB796" s="53">
        <v>0</v>
      </c>
      <c r="AC796" s="55">
        <v>0</v>
      </c>
      <c r="AD796" s="55">
        <f t="shared" si="295"/>
        <v>0</v>
      </c>
      <c r="AE796" s="53">
        <v>0</v>
      </c>
      <c r="AF796" s="55">
        <v>0</v>
      </c>
      <c r="AG796" s="55">
        <v>0</v>
      </c>
      <c r="AH796" s="55">
        <f t="shared" si="296"/>
        <v>2</v>
      </c>
      <c r="AI796" s="55">
        <v>2</v>
      </c>
      <c r="AJ796" s="55">
        <v>0</v>
      </c>
      <c r="AK796" s="55">
        <v>0</v>
      </c>
      <c r="AL796" s="55">
        <f t="shared" si="297"/>
        <v>0</v>
      </c>
      <c r="AM796" s="55" t="s">
        <v>1912</v>
      </c>
      <c r="AN796" s="55">
        <v>0</v>
      </c>
      <c r="AO796" s="55">
        <v>0</v>
      </c>
      <c r="AP796" s="55">
        <f t="shared" si="284"/>
        <v>0</v>
      </c>
      <c r="AQ796" s="55">
        <f>IFERROR(VLOOKUP(A796,[1]SIIMPLES!$A$2:$F$418,6,FALSE),0)</f>
        <v>0</v>
      </c>
      <c r="AR796" s="55">
        <v>0</v>
      </c>
      <c r="AS796" s="55">
        <v>4</v>
      </c>
      <c r="AT796" s="55">
        <v>4</v>
      </c>
      <c r="AU796" s="55">
        <v>0</v>
      </c>
      <c r="AV796" s="55">
        <v>0</v>
      </c>
      <c r="AW796" s="55"/>
      <c r="AX796" s="55"/>
      <c r="AY796" s="56">
        <f t="shared" si="298"/>
        <v>0.8</v>
      </c>
      <c r="AZ796" s="55"/>
      <c r="BA796" s="56">
        <v>0.33333333333333331</v>
      </c>
      <c r="BB796" s="41">
        <f t="shared" si="301"/>
        <v>1.4000000000000004</v>
      </c>
      <c r="BC796" s="10"/>
      <c r="BD796" s="35"/>
      <c r="BE796" s="13"/>
      <c r="BF796" s="16"/>
      <c r="BG796" s="17">
        <f t="shared" si="289"/>
        <v>0</v>
      </c>
      <c r="BH796" s="16">
        <f t="shared" si="300"/>
        <v>0.8</v>
      </c>
    </row>
    <row r="797" spans="1:60" ht="12.75" customHeight="1" x14ac:dyDescent="0.2">
      <c r="A797" s="51">
        <v>66508</v>
      </c>
      <c r="B797" s="51" t="s">
        <v>1077</v>
      </c>
      <c r="C797" s="66" t="s">
        <v>1803</v>
      </c>
      <c r="D797" s="65" t="s">
        <v>1778</v>
      </c>
      <c r="E797" s="52" t="s">
        <v>732</v>
      </c>
      <c r="F797" s="53">
        <f>IFERROR(VLOOKUP(E797,Fornecedores!$A$2:$B$2700,2,FALSE),"")</f>
        <v>6</v>
      </c>
      <c r="G797" s="52" t="s">
        <v>518</v>
      </c>
      <c r="H797" s="54"/>
      <c r="I797" s="55">
        <f t="shared" si="290"/>
        <v>2</v>
      </c>
      <c r="J797" s="55">
        <v>2</v>
      </c>
      <c r="K797" s="55">
        <v>0</v>
      </c>
      <c r="L797" s="55">
        <v>0</v>
      </c>
      <c r="M797" s="55">
        <v>0</v>
      </c>
      <c r="N797" s="55">
        <f t="shared" si="291"/>
        <v>3</v>
      </c>
      <c r="O797" s="55">
        <v>3</v>
      </c>
      <c r="P797" s="55">
        <v>0</v>
      </c>
      <c r="Q797" s="55">
        <v>0</v>
      </c>
      <c r="R797" s="55">
        <f t="shared" si="292"/>
        <v>3</v>
      </c>
      <c r="S797" s="55">
        <v>3</v>
      </c>
      <c r="T797" s="55">
        <v>0</v>
      </c>
      <c r="U797" s="55">
        <v>0</v>
      </c>
      <c r="V797" s="55">
        <v>0</v>
      </c>
      <c r="W797" s="53">
        <v>0</v>
      </c>
      <c r="X797" s="53">
        <v>0</v>
      </c>
      <c r="Y797" s="55">
        <v>0</v>
      </c>
      <c r="Z797" s="55">
        <v>1</v>
      </c>
      <c r="AA797" s="53">
        <v>1</v>
      </c>
      <c r="AB797" s="53">
        <v>0</v>
      </c>
      <c r="AC797" s="55">
        <v>0</v>
      </c>
      <c r="AD797" s="55">
        <f t="shared" si="295"/>
        <v>2</v>
      </c>
      <c r="AE797" s="53">
        <v>2</v>
      </c>
      <c r="AF797" s="55">
        <v>0</v>
      </c>
      <c r="AG797" s="55">
        <v>0</v>
      </c>
      <c r="AH797" s="55">
        <f t="shared" si="296"/>
        <v>5</v>
      </c>
      <c r="AI797" s="55">
        <v>5</v>
      </c>
      <c r="AJ797" s="55">
        <v>0</v>
      </c>
      <c r="AK797" s="55">
        <v>0</v>
      </c>
      <c r="AL797" s="55">
        <f t="shared" si="297"/>
        <v>0</v>
      </c>
      <c r="AM797" s="55" t="s">
        <v>1912</v>
      </c>
      <c r="AN797" s="55">
        <v>0</v>
      </c>
      <c r="AO797" s="55">
        <v>0</v>
      </c>
      <c r="AP797" s="55">
        <f t="shared" si="284"/>
        <v>0</v>
      </c>
      <c r="AQ797" s="55">
        <f>IFERROR(VLOOKUP(A797,[1]SIIMPLES!$A$2:$F$418,6,FALSE),0)</f>
        <v>0</v>
      </c>
      <c r="AR797" s="55">
        <v>0</v>
      </c>
      <c r="AS797" s="55">
        <v>0</v>
      </c>
      <c r="AT797" s="55">
        <v>0</v>
      </c>
      <c r="AU797" s="55">
        <v>0</v>
      </c>
      <c r="AV797" s="55">
        <v>0</v>
      </c>
      <c r="AW797" s="55"/>
      <c r="AX797" s="55"/>
      <c r="AY797" s="56">
        <f t="shared" si="298"/>
        <v>1.6</v>
      </c>
      <c r="AZ797" s="55"/>
      <c r="BA797" s="56">
        <v>3.1666666666666665</v>
      </c>
      <c r="BB797" s="41">
        <f t="shared" si="301"/>
        <v>-0.49473684210526314</v>
      </c>
      <c r="BC797" s="13"/>
      <c r="BD797" s="35"/>
      <c r="BE797" s="13"/>
      <c r="BF797" s="16"/>
      <c r="BG797" s="17">
        <f t="shared" si="289"/>
        <v>0</v>
      </c>
      <c r="BH797" s="16">
        <f>ROUND(IFERROR(IF(F797=1,IF(BC797&lt;AY797*3,AY797*3-BC797,0),IF(BC797&lt;AY797,AY797*0.6-BC797,0)),""),0)</f>
        <v>1</v>
      </c>
    </row>
    <row r="798" spans="1:60" ht="12.75" customHeight="1" x14ac:dyDescent="0.2">
      <c r="A798" s="51">
        <v>66604</v>
      </c>
      <c r="B798" s="51"/>
      <c r="C798" s="66" t="s">
        <v>1803</v>
      </c>
      <c r="D798" s="65" t="s">
        <v>737</v>
      </c>
      <c r="E798" s="67" t="s">
        <v>727</v>
      </c>
      <c r="F798" s="53">
        <f>IFERROR(VLOOKUP(E798,Fornecedores!$A$2:$B$2700,2,FALSE),"")</f>
        <v>1</v>
      </c>
      <c r="G798" s="52" t="s">
        <v>1560</v>
      </c>
      <c r="H798" s="57"/>
      <c r="I798" s="55">
        <f t="shared" si="290"/>
        <v>2</v>
      </c>
      <c r="J798" s="57" t="s">
        <v>1278</v>
      </c>
      <c r="K798" s="55">
        <v>0</v>
      </c>
      <c r="L798" s="55">
        <v>2</v>
      </c>
      <c r="M798" s="55">
        <v>0</v>
      </c>
      <c r="N798" s="55">
        <f t="shared" si="291"/>
        <v>0</v>
      </c>
      <c r="O798" s="55">
        <v>0</v>
      </c>
      <c r="P798" s="55">
        <v>0</v>
      </c>
      <c r="Q798" s="55">
        <v>0</v>
      </c>
      <c r="R798" s="55">
        <f t="shared" si="292"/>
        <v>0</v>
      </c>
      <c r="S798" s="55">
        <v>0</v>
      </c>
      <c r="T798" s="55">
        <v>0</v>
      </c>
      <c r="U798" s="55">
        <v>0</v>
      </c>
      <c r="V798" s="55">
        <v>0</v>
      </c>
      <c r="W798" s="53">
        <v>0</v>
      </c>
      <c r="X798" s="53">
        <v>0</v>
      </c>
      <c r="Y798" s="55">
        <v>0</v>
      </c>
      <c r="Z798" s="55">
        <v>0</v>
      </c>
      <c r="AA798" s="53">
        <v>0</v>
      </c>
      <c r="AB798" s="53">
        <v>0</v>
      </c>
      <c r="AC798" s="55">
        <v>0</v>
      </c>
      <c r="AD798" s="55">
        <f t="shared" si="295"/>
        <v>0</v>
      </c>
      <c r="AE798" s="53">
        <v>0</v>
      </c>
      <c r="AF798" s="55">
        <v>0</v>
      </c>
      <c r="AG798" s="55">
        <v>0</v>
      </c>
      <c r="AH798" s="55">
        <f t="shared" si="296"/>
        <v>0</v>
      </c>
      <c r="AI798" s="55">
        <v>0</v>
      </c>
      <c r="AJ798" s="55">
        <v>0</v>
      </c>
      <c r="AK798" s="55">
        <v>0</v>
      </c>
      <c r="AL798" s="55">
        <f t="shared" si="297"/>
        <v>1</v>
      </c>
      <c r="AM798" s="55" t="s">
        <v>1912</v>
      </c>
      <c r="AN798" s="55">
        <v>0</v>
      </c>
      <c r="AO798" s="55">
        <v>1</v>
      </c>
      <c r="AP798" s="55">
        <f t="shared" si="284"/>
        <v>0</v>
      </c>
      <c r="AQ798" s="55">
        <f>IFERROR(VLOOKUP(A798,[1]SIIMPLES!$A$2:$F$418,6,FALSE),0)</f>
        <v>0</v>
      </c>
      <c r="AR798" s="55">
        <v>0</v>
      </c>
      <c r="AS798" s="55">
        <v>0</v>
      </c>
      <c r="AT798" s="55">
        <v>0</v>
      </c>
      <c r="AU798" s="55">
        <v>0</v>
      </c>
      <c r="AV798" s="55">
        <v>0</v>
      </c>
      <c r="AW798" s="57"/>
      <c r="AX798" s="57"/>
      <c r="AY798" s="56">
        <f t="shared" si="298"/>
        <v>0.3</v>
      </c>
      <c r="AZ798" s="55"/>
      <c r="BA798" s="56" t="s">
        <v>1912</v>
      </c>
      <c r="BB798" s="41" t="str">
        <f t="shared" si="301"/>
        <v/>
      </c>
      <c r="BC798" s="7"/>
      <c r="BD798" s="35"/>
      <c r="BE798" s="13"/>
      <c r="BF798" s="16"/>
      <c r="BG798" s="17">
        <f t="shared" si="289"/>
        <v>0</v>
      </c>
      <c r="BH798" s="16">
        <f>ROUND(IFERROR(IF(F798=1,IF(BC798&lt;AY798*3,AY798*3-BC798,0),IF(BC798&lt;AY798,AY798*0.6-BC798,0)),""),0)</f>
        <v>1</v>
      </c>
    </row>
    <row r="799" spans="1:60" ht="12.75" customHeight="1" x14ac:dyDescent="0.2">
      <c r="A799" s="51">
        <v>66628</v>
      </c>
      <c r="B799" s="51"/>
      <c r="C799" s="66" t="s">
        <v>1803</v>
      </c>
      <c r="D799" s="65" t="s">
        <v>737</v>
      </c>
      <c r="E799" s="67" t="s">
        <v>727</v>
      </c>
      <c r="F799" s="53">
        <f>IFERROR(VLOOKUP(E799,Fornecedores!$A$2:$B$2700,2,FALSE),"")</f>
        <v>1</v>
      </c>
      <c r="G799" s="52" t="s">
        <v>1561</v>
      </c>
      <c r="H799" s="57"/>
      <c r="I799" s="55">
        <f t="shared" si="290"/>
        <v>4</v>
      </c>
      <c r="J799" s="57" t="s">
        <v>1280</v>
      </c>
      <c r="K799" s="55">
        <v>0</v>
      </c>
      <c r="L799" s="55">
        <v>4</v>
      </c>
      <c r="M799" s="55">
        <v>0</v>
      </c>
      <c r="N799" s="55">
        <f t="shared" si="291"/>
        <v>0</v>
      </c>
      <c r="O799" s="55">
        <v>0</v>
      </c>
      <c r="P799" s="55">
        <v>0</v>
      </c>
      <c r="Q799" s="55">
        <v>0</v>
      </c>
      <c r="R799" s="55">
        <f t="shared" si="292"/>
        <v>0</v>
      </c>
      <c r="S799" s="55">
        <v>0</v>
      </c>
      <c r="T799" s="55">
        <v>0</v>
      </c>
      <c r="U799" s="55">
        <v>0</v>
      </c>
      <c r="V799" s="55">
        <v>0</v>
      </c>
      <c r="W799" s="53">
        <v>0</v>
      </c>
      <c r="X799" s="53">
        <v>0</v>
      </c>
      <c r="Y799" s="55">
        <v>0</v>
      </c>
      <c r="Z799" s="55">
        <v>0</v>
      </c>
      <c r="AA799" s="53">
        <v>0</v>
      </c>
      <c r="AB799" s="53">
        <v>0</v>
      </c>
      <c r="AC799" s="55">
        <v>0</v>
      </c>
      <c r="AD799" s="55">
        <f t="shared" si="295"/>
        <v>0</v>
      </c>
      <c r="AE799" s="53">
        <v>0</v>
      </c>
      <c r="AF799" s="55">
        <v>0</v>
      </c>
      <c r="AG799" s="55">
        <v>0</v>
      </c>
      <c r="AH799" s="55">
        <f t="shared" si="296"/>
        <v>0</v>
      </c>
      <c r="AI799" s="55">
        <v>0</v>
      </c>
      <c r="AJ799" s="55">
        <v>0</v>
      </c>
      <c r="AK799" s="55">
        <v>0</v>
      </c>
      <c r="AL799" s="55">
        <f t="shared" si="297"/>
        <v>2</v>
      </c>
      <c r="AM799" s="55" t="s">
        <v>1912</v>
      </c>
      <c r="AN799" s="55">
        <v>0</v>
      </c>
      <c r="AO799" s="55">
        <v>2</v>
      </c>
      <c r="AP799" s="55">
        <f t="shared" si="284"/>
        <v>0</v>
      </c>
      <c r="AQ799" s="55">
        <f>IFERROR(VLOOKUP(A799,[1]SIIMPLES!$A$2:$F$418,6,FALSE),0)</f>
        <v>0</v>
      </c>
      <c r="AR799" s="55">
        <v>0</v>
      </c>
      <c r="AS799" s="55">
        <v>0</v>
      </c>
      <c r="AT799" s="55">
        <v>0</v>
      </c>
      <c r="AU799" s="55">
        <v>0</v>
      </c>
      <c r="AV799" s="55">
        <v>0</v>
      </c>
      <c r="AW799" s="57"/>
      <c r="AX799" s="57"/>
      <c r="AY799" s="56">
        <f t="shared" si="298"/>
        <v>0.6</v>
      </c>
      <c r="AZ799" s="55"/>
      <c r="BA799" s="56" t="s">
        <v>1912</v>
      </c>
      <c r="BB799" s="41" t="str">
        <f t="shared" si="301"/>
        <v/>
      </c>
      <c r="BC799" s="13"/>
      <c r="BD799" s="35"/>
      <c r="BE799" s="13"/>
      <c r="BF799" s="16"/>
      <c r="BG799" s="17">
        <f t="shared" si="289"/>
        <v>0</v>
      </c>
      <c r="BH799" s="16">
        <f>IFERROR(IF(F799=1,IF(BC799&lt;AY799*3,AY799*3-BC799,0),IF(BC799&lt;AY799,AY799-BC799,0)),"")</f>
        <v>1.7999999999999998</v>
      </c>
    </row>
    <row r="800" spans="1:60" ht="12.75" customHeight="1" x14ac:dyDescent="0.2">
      <c r="A800" s="51">
        <v>66642</v>
      </c>
      <c r="B800" s="51" t="s">
        <v>1077</v>
      </c>
      <c r="C800" s="66" t="s">
        <v>1803</v>
      </c>
      <c r="D800" s="65" t="s">
        <v>737</v>
      </c>
      <c r="E800" s="67" t="s">
        <v>727</v>
      </c>
      <c r="F800" s="53">
        <f>IFERROR(VLOOKUP(E800,Fornecedores!$A$2:$B$2700,2,FALSE),"")</f>
        <v>1</v>
      </c>
      <c r="G800" s="52" t="s">
        <v>488</v>
      </c>
      <c r="H800" s="54"/>
      <c r="I800" s="55">
        <f t="shared" si="290"/>
        <v>22</v>
      </c>
      <c r="J800" s="55">
        <v>1</v>
      </c>
      <c r="K800" s="55">
        <v>16</v>
      </c>
      <c r="L800" s="55">
        <v>5</v>
      </c>
      <c r="M800" s="55">
        <v>0</v>
      </c>
      <c r="N800" s="55">
        <f t="shared" si="291"/>
        <v>19</v>
      </c>
      <c r="O800" s="55">
        <v>3</v>
      </c>
      <c r="P800" s="55">
        <v>16</v>
      </c>
      <c r="Q800" s="55">
        <v>0</v>
      </c>
      <c r="R800" s="55">
        <f t="shared" si="292"/>
        <v>26</v>
      </c>
      <c r="S800" s="55">
        <v>2</v>
      </c>
      <c r="T800" s="55">
        <v>24</v>
      </c>
      <c r="U800" s="55">
        <v>0</v>
      </c>
      <c r="V800" s="55">
        <v>60</v>
      </c>
      <c r="W800" s="53">
        <v>4</v>
      </c>
      <c r="X800" s="53">
        <v>45</v>
      </c>
      <c r="Y800" s="55">
        <v>11</v>
      </c>
      <c r="Z800" s="55">
        <v>32</v>
      </c>
      <c r="AA800" s="53">
        <v>2</v>
      </c>
      <c r="AB800" s="53">
        <v>30</v>
      </c>
      <c r="AC800" s="55">
        <v>0</v>
      </c>
      <c r="AD800" s="55">
        <f t="shared" si="295"/>
        <v>2</v>
      </c>
      <c r="AE800" s="53">
        <v>1</v>
      </c>
      <c r="AF800" s="55">
        <v>1</v>
      </c>
      <c r="AG800" s="55">
        <v>0</v>
      </c>
      <c r="AH800" s="55">
        <f t="shared" si="296"/>
        <v>5</v>
      </c>
      <c r="AI800" s="55">
        <v>0</v>
      </c>
      <c r="AJ800" s="55">
        <v>1</v>
      </c>
      <c r="AK800" s="55">
        <v>4</v>
      </c>
      <c r="AL800" s="55">
        <f t="shared" si="297"/>
        <v>1</v>
      </c>
      <c r="AM800" s="55" t="s">
        <v>1912</v>
      </c>
      <c r="AN800" s="55">
        <v>0</v>
      </c>
      <c r="AO800" s="55">
        <v>1</v>
      </c>
      <c r="AP800" s="55">
        <f t="shared" si="284"/>
        <v>0</v>
      </c>
      <c r="AQ800" s="55">
        <f>IFERROR(VLOOKUP(A800,[1]SIIMPLES!$A$2:$F$418,6,FALSE),0)</f>
        <v>0</v>
      </c>
      <c r="AR800" s="55">
        <v>0</v>
      </c>
      <c r="AS800" s="55">
        <v>0</v>
      </c>
      <c r="AT800" s="55">
        <v>0</v>
      </c>
      <c r="AU800" s="55">
        <v>0</v>
      </c>
      <c r="AV800" s="55">
        <v>0</v>
      </c>
      <c r="AW800" s="55"/>
      <c r="AX800" s="55"/>
      <c r="AY800" s="56">
        <f t="shared" si="298"/>
        <v>16.7</v>
      </c>
      <c r="AZ800" s="55"/>
      <c r="BA800" s="56">
        <v>5.833333333333333</v>
      </c>
      <c r="BB800" s="41">
        <f t="shared" si="301"/>
        <v>1.862857142857143</v>
      </c>
      <c r="BC800" s="13"/>
      <c r="BD800" s="35"/>
      <c r="BE800" s="13"/>
      <c r="BF800" s="16"/>
      <c r="BG800" s="17">
        <f t="shared" si="289"/>
        <v>0</v>
      </c>
      <c r="BH800" s="16">
        <f>IFERROR(IF(F800=1,IF(BC800&lt;AY800*3,AY800*3-BC800,0),IF(BC800&lt;AY800,AY800-BC800,0)),"")</f>
        <v>50.099999999999994</v>
      </c>
    </row>
    <row r="801" spans="1:60" ht="12.75" customHeight="1" x14ac:dyDescent="0.2">
      <c r="A801" s="51">
        <v>66643</v>
      </c>
      <c r="B801" s="51" t="s">
        <v>1077</v>
      </c>
      <c r="C801" s="66" t="s">
        <v>1803</v>
      </c>
      <c r="D801" s="65" t="s">
        <v>737</v>
      </c>
      <c r="E801" s="67" t="s">
        <v>727</v>
      </c>
      <c r="F801" s="53">
        <f>IFERROR(VLOOKUP(E801,Fornecedores!$A$2:$B$2700,2,FALSE),"")</f>
        <v>1</v>
      </c>
      <c r="G801" s="52" t="s">
        <v>491</v>
      </c>
      <c r="H801" s="54"/>
      <c r="I801" s="55">
        <f t="shared" si="290"/>
        <v>24</v>
      </c>
      <c r="J801" s="55">
        <v>3</v>
      </c>
      <c r="K801" s="55">
        <v>16</v>
      </c>
      <c r="L801" s="55">
        <v>5</v>
      </c>
      <c r="M801" s="55">
        <v>0</v>
      </c>
      <c r="N801" s="55">
        <f t="shared" si="291"/>
        <v>17</v>
      </c>
      <c r="O801" s="55">
        <v>1</v>
      </c>
      <c r="P801" s="55">
        <v>16</v>
      </c>
      <c r="Q801" s="55">
        <v>0</v>
      </c>
      <c r="R801" s="55">
        <f t="shared" si="292"/>
        <v>26</v>
      </c>
      <c r="S801" s="55">
        <v>2</v>
      </c>
      <c r="T801" s="55">
        <v>24</v>
      </c>
      <c r="U801" s="55">
        <v>0</v>
      </c>
      <c r="V801" s="55">
        <v>46</v>
      </c>
      <c r="W801" s="53">
        <v>1</v>
      </c>
      <c r="X801" s="53">
        <v>45</v>
      </c>
      <c r="Y801" s="55">
        <v>0</v>
      </c>
      <c r="Z801" s="55">
        <v>31</v>
      </c>
      <c r="AA801" s="53">
        <v>1</v>
      </c>
      <c r="AB801" s="53">
        <v>30</v>
      </c>
      <c r="AC801" s="55">
        <v>0</v>
      </c>
      <c r="AD801" s="55">
        <f t="shared" si="295"/>
        <v>4</v>
      </c>
      <c r="AE801" s="53">
        <v>3</v>
      </c>
      <c r="AF801" s="55">
        <v>1</v>
      </c>
      <c r="AG801" s="55">
        <v>0</v>
      </c>
      <c r="AH801" s="55">
        <f t="shared" si="296"/>
        <v>4</v>
      </c>
      <c r="AI801" s="55">
        <v>3</v>
      </c>
      <c r="AJ801" s="55">
        <v>1</v>
      </c>
      <c r="AK801" s="55">
        <v>0</v>
      </c>
      <c r="AL801" s="55">
        <f t="shared" si="297"/>
        <v>4</v>
      </c>
      <c r="AM801" s="55">
        <v>3</v>
      </c>
      <c r="AN801" s="55">
        <v>0</v>
      </c>
      <c r="AO801" s="55">
        <v>1</v>
      </c>
      <c r="AP801" s="55">
        <f t="shared" si="284"/>
        <v>0</v>
      </c>
      <c r="AQ801" s="55">
        <f>IFERROR(VLOOKUP(A801,[1]SIIMPLES!$A$2:$F$418,6,FALSE),0)</f>
        <v>0</v>
      </c>
      <c r="AR801" s="55">
        <v>0</v>
      </c>
      <c r="AS801" s="55">
        <v>0</v>
      </c>
      <c r="AT801" s="55">
        <v>0</v>
      </c>
      <c r="AU801" s="55">
        <v>0</v>
      </c>
      <c r="AV801" s="55">
        <v>0</v>
      </c>
      <c r="AW801" s="55"/>
      <c r="AX801" s="55"/>
      <c r="AY801" s="56">
        <f t="shared" si="298"/>
        <v>15.6</v>
      </c>
      <c r="AZ801" s="55"/>
      <c r="BA801" s="56">
        <v>6</v>
      </c>
      <c r="BB801" s="41">
        <f t="shared" si="301"/>
        <v>1.6</v>
      </c>
      <c r="BC801" s="13"/>
      <c r="BD801" s="35"/>
      <c r="BE801" s="7"/>
      <c r="BF801" s="16"/>
      <c r="BG801" s="17">
        <f t="shared" ref="BG801:BG832" si="302">IFERROR(BC801/AY801,"0")</f>
        <v>0</v>
      </c>
      <c r="BH801" s="16"/>
    </row>
    <row r="802" spans="1:60" ht="12.75" customHeight="1" x14ac:dyDescent="0.2">
      <c r="A802" s="51">
        <v>66656</v>
      </c>
      <c r="B802" s="51"/>
      <c r="C802" s="66" t="s">
        <v>1803</v>
      </c>
      <c r="D802" s="65" t="s">
        <v>737</v>
      </c>
      <c r="E802" s="67" t="s">
        <v>727</v>
      </c>
      <c r="F802" s="53">
        <f>IFERROR(VLOOKUP(E802,Fornecedores!$A$2:$B$2700,2,FALSE),"")</f>
        <v>1</v>
      </c>
      <c r="G802" s="52" t="s">
        <v>1559</v>
      </c>
      <c r="H802" s="57"/>
      <c r="I802" s="55">
        <f t="shared" si="290"/>
        <v>1</v>
      </c>
      <c r="J802" s="57" t="s">
        <v>1284</v>
      </c>
      <c r="K802" s="55">
        <v>0</v>
      </c>
      <c r="L802" s="55">
        <v>1</v>
      </c>
      <c r="M802" s="55">
        <v>0</v>
      </c>
      <c r="N802" s="55">
        <f t="shared" si="291"/>
        <v>0</v>
      </c>
      <c r="O802" s="55">
        <v>0</v>
      </c>
      <c r="P802" s="55">
        <v>0</v>
      </c>
      <c r="Q802" s="55">
        <v>0</v>
      </c>
      <c r="R802" s="55">
        <f t="shared" si="292"/>
        <v>0</v>
      </c>
      <c r="S802" s="55">
        <v>0</v>
      </c>
      <c r="T802" s="55">
        <v>0</v>
      </c>
      <c r="U802" s="55">
        <v>0</v>
      </c>
      <c r="V802" s="55">
        <v>0</v>
      </c>
      <c r="W802" s="53">
        <v>0</v>
      </c>
      <c r="X802" s="53">
        <v>0</v>
      </c>
      <c r="Y802" s="55">
        <v>0</v>
      </c>
      <c r="Z802" s="55">
        <v>0</v>
      </c>
      <c r="AA802" s="53">
        <v>0</v>
      </c>
      <c r="AB802" s="53">
        <v>0</v>
      </c>
      <c r="AC802" s="55">
        <v>0</v>
      </c>
      <c r="AD802" s="55">
        <f t="shared" si="295"/>
        <v>0</v>
      </c>
      <c r="AE802" s="53">
        <v>0</v>
      </c>
      <c r="AF802" s="55">
        <v>0</v>
      </c>
      <c r="AG802" s="55">
        <v>0</v>
      </c>
      <c r="AH802" s="55">
        <f t="shared" si="296"/>
        <v>0</v>
      </c>
      <c r="AI802" s="55">
        <v>0</v>
      </c>
      <c r="AJ802" s="55">
        <v>0</v>
      </c>
      <c r="AK802" s="55">
        <v>0</v>
      </c>
      <c r="AL802" s="55">
        <f t="shared" si="297"/>
        <v>2</v>
      </c>
      <c r="AM802" s="55" t="s">
        <v>1912</v>
      </c>
      <c r="AN802" s="55">
        <v>0</v>
      </c>
      <c r="AO802" s="55">
        <v>2</v>
      </c>
      <c r="AP802" s="55">
        <f t="shared" si="284"/>
        <v>0</v>
      </c>
      <c r="AQ802" s="55">
        <f>IFERROR(VLOOKUP(A802,[1]SIIMPLES!$A$2:$F$418,6,FALSE),0)</f>
        <v>0</v>
      </c>
      <c r="AR802" s="55">
        <v>0</v>
      </c>
      <c r="AS802" s="55">
        <v>0</v>
      </c>
      <c r="AT802" s="55">
        <v>0</v>
      </c>
      <c r="AU802" s="55">
        <v>0</v>
      </c>
      <c r="AV802" s="55">
        <v>0</v>
      </c>
      <c r="AW802" s="57"/>
      <c r="AX802" s="57"/>
      <c r="AY802" s="56">
        <f t="shared" si="298"/>
        <v>0.3</v>
      </c>
      <c r="AZ802" s="55"/>
      <c r="BA802" s="56" t="s">
        <v>1912</v>
      </c>
      <c r="BB802" s="41" t="str">
        <f t="shared" si="301"/>
        <v/>
      </c>
      <c r="BC802" s="7"/>
      <c r="BD802" s="35"/>
      <c r="BE802" s="7"/>
      <c r="BF802" s="16"/>
      <c r="BG802" s="17">
        <f t="shared" si="302"/>
        <v>0</v>
      </c>
      <c r="BH802" s="16">
        <f>IFERROR(IF(F802=1,IF(BC802&lt;AY802*3,AY802*3-BC802,0),IF(BC802&lt;AY802,AY802-BC802,0)),"")</f>
        <v>0.89999999999999991</v>
      </c>
    </row>
    <row r="803" spans="1:60" ht="12.75" customHeight="1" x14ac:dyDescent="0.2">
      <c r="A803" s="51">
        <v>77003</v>
      </c>
      <c r="B803" s="51"/>
      <c r="C803" s="66" t="s">
        <v>1803</v>
      </c>
      <c r="D803" s="65" t="s">
        <v>726</v>
      </c>
      <c r="E803" s="52" t="s">
        <v>732</v>
      </c>
      <c r="F803" s="53">
        <f>IFERROR(VLOOKUP(E803,Fornecedores!$A$2:$B$2700,2,FALSE),"")</f>
        <v>6</v>
      </c>
      <c r="G803" s="52" t="s">
        <v>124</v>
      </c>
      <c r="H803" s="54"/>
      <c r="I803" s="55">
        <f t="shared" ref="I803:I820" si="303">SUM(J803:M803)</f>
        <v>0</v>
      </c>
      <c r="J803" s="55">
        <v>0</v>
      </c>
      <c r="K803" s="55">
        <v>0</v>
      </c>
      <c r="L803" s="55">
        <v>0</v>
      </c>
      <c r="M803" s="55">
        <v>0</v>
      </c>
      <c r="N803" s="55">
        <f t="shared" ref="N803:N820" si="304">SUM(O803:Q803)</f>
        <v>0</v>
      </c>
      <c r="O803" s="55">
        <v>0</v>
      </c>
      <c r="P803" s="55">
        <v>0</v>
      </c>
      <c r="Q803" s="55">
        <v>0</v>
      </c>
      <c r="R803" s="55">
        <f t="shared" ref="R803:R820" si="305">SUM(S803:U803)</f>
        <v>0</v>
      </c>
      <c r="S803" s="55">
        <v>0</v>
      </c>
      <c r="T803" s="55">
        <v>0</v>
      </c>
      <c r="U803" s="55">
        <v>0</v>
      </c>
      <c r="V803" s="55">
        <v>0</v>
      </c>
      <c r="W803" s="53">
        <v>0</v>
      </c>
      <c r="X803" s="53">
        <v>0</v>
      </c>
      <c r="Y803" s="55">
        <v>0</v>
      </c>
      <c r="Z803" s="55">
        <v>0</v>
      </c>
      <c r="AA803" s="53">
        <v>0</v>
      </c>
      <c r="AB803" s="53">
        <v>0</v>
      </c>
      <c r="AC803" s="55">
        <v>0</v>
      </c>
      <c r="AD803" s="55">
        <f t="shared" si="295"/>
        <v>0</v>
      </c>
      <c r="AE803" s="53">
        <v>0</v>
      </c>
      <c r="AF803" s="55">
        <v>0</v>
      </c>
      <c r="AG803" s="55">
        <v>0</v>
      </c>
      <c r="AH803" s="55">
        <f t="shared" si="296"/>
        <v>0</v>
      </c>
      <c r="AI803" s="55">
        <v>0</v>
      </c>
      <c r="AJ803" s="55">
        <v>0</v>
      </c>
      <c r="AK803" s="55">
        <v>0</v>
      </c>
      <c r="AL803" s="55">
        <f t="shared" si="297"/>
        <v>0</v>
      </c>
      <c r="AM803" s="55" t="s">
        <v>1912</v>
      </c>
      <c r="AN803" s="55">
        <v>0</v>
      </c>
      <c r="AO803" s="55">
        <v>0</v>
      </c>
      <c r="AP803" s="55">
        <f t="shared" si="284"/>
        <v>0</v>
      </c>
      <c r="AQ803" s="55">
        <f>IFERROR(VLOOKUP(A803,[1]SIIMPLES!$A$2:$F$418,6,FALSE),0)</f>
        <v>0</v>
      </c>
      <c r="AR803" s="55">
        <v>0</v>
      </c>
      <c r="AS803" s="55">
        <v>0</v>
      </c>
      <c r="AT803" s="55">
        <v>0</v>
      </c>
      <c r="AU803" s="55">
        <v>0</v>
      </c>
      <c r="AV803" s="55">
        <v>0</v>
      </c>
      <c r="AW803" s="55"/>
      <c r="AX803" s="55"/>
      <c r="AY803" s="56">
        <f t="shared" si="298"/>
        <v>0</v>
      </c>
      <c r="AZ803" s="55"/>
      <c r="BA803" s="56">
        <v>0</v>
      </c>
      <c r="BB803" s="41" t="str">
        <f t="shared" si="301"/>
        <v/>
      </c>
      <c r="BC803" s="7"/>
      <c r="BD803" s="35"/>
      <c r="BE803" s="13"/>
      <c r="BF803" s="16"/>
      <c r="BG803" s="17" t="str">
        <f t="shared" si="302"/>
        <v>0</v>
      </c>
      <c r="BH803" s="16">
        <f>IFERROR(IF(F803=1,IF(BC803&lt;AY803*3,AY803*3-BC803,0),IF(BC803&lt;AY803,AY803-BC803,0)),"")</f>
        <v>0</v>
      </c>
    </row>
    <row r="804" spans="1:60" ht="12.75" customHeight="1" x14ac:dyDescent="0.2">
      <c r="A804" s="51">
        <v>77157</v>
      </c>
      <c r="B804" s="51" t="s">
        <v>1077</v>
      </c>
      <c r="C804" s="66" t="s">
        <v>1803</v>
      </c>
      <c r="D804" s="65" t="s">
        <v>1778</v>
      </c>
      <c r="E804" s="52" t="s">
        <v>732</v>
      </c>
      <c r="F804" s="53">
        <f>IFERROR(VLOOKUP(E804,Fornecedores!$A$2:$B$2700,2,FALSE),"")</f>
        <v>6</v>
      </c>
      <c r="G804" s="52" t="s">
        <v>242</v>
      </c>
      <c r="H804" s="54"/>
      <c r="I804" s="55">
        <f t="shared" si="303"/>
        <v>7</v>
      </c>
      <c r="J804" s="55">
        <v>7</v>
      </c>
      <c r="K804" s="55">
        <v>0</v>
      </c>
      <c r="L804" s="55">
        <v>0</v>
      </c>
      <c r="M804" s="55">
        <v>0</v>
      </c>
      <c r="N804" s="55">
        <f t="shared" si="304"/>
        <v>0</v>
      </c>
      <c r="O804" s="55">
        <v>0</v>
      </c>
      <c r="P804" s="55">
        <v>0</v>
      </c>
      <c r="Q804" s="55">
        <v>0</v>
      </c>
      <c r="R804" s="55">
        <f t="shared" si="305"/>
        <v>0</v>
      </c>
      <c r="S804" s="55">
        <v>0</v>
      </c>
      <c r="T804" s="55">
        <v>0</v>
      </c>
      <c r="U804" s="55">
        <v>0</v>
      </c>
      <c r="V804" s="55">
        <v>0</v>
      </c>
      <c r="W804" s="53">
        <v>0</v>
      </c>
      <c r="X804" s="53">
        <v>0</v>
      </c>
      <c r="Y804" s="55">
        <v>0</v>
      </c>
      <c r="Z804" s="55">
        <v>0</v>
      </c>
      <c r="AA804" s="53">
        <v>0</v>
      </c>
      <c r="AB804" s="53">
        <v>0</v>
      </c>
      <c r="AC804" s="55">
        <v>0</v>
      </c>
      <c r="AD804" s="55">
        <f t="shared" si="295"/>
        <v>0</v>
      </c>
      <c r="AE804" s="53">
        <v>0</v>
      </c>
      <c r="AF804" s="55">
        <v>0</v>
      </c>
      <c r="AG804" s="55">
        <v>0</v>
      </c>
      <c r="AH804" s="55">
        <f t="shared" si="296"/>
        <v>0</v>
      </c>
      <c r="AI804" s="55">
        <v>0</v>
      </c>
      <c r="AJ804" s="55">
        <v>0</v>
      </c>
      <c r="AK804" s="55">
        <v>0</v>
      </c>
      <c r="AL804" s="55">
        <f t="shared" si="297"/>
        <v>1</v>
      </c>
      <c r="AM804" s="55">
        <v>1</v>
      </c>
      <c r="AN804" s="55">
        <v>0</v>
      </c>
      <c r="AO804" s="55">
        <v>0</v>
      </c>
      <c r="AP804" s="55">
        <f t="shared" si="284"/>
        <v>0</v>
      </c>
      <c r="AQ804" s="55">
        <f>IFERROR(VLOOKUP(A804,[1]SIIMPLES!$A$2:$F$418,6,FALSE),0)</f>
        <v>0</v>
      </c>
      <c r="AR804" s="55">
        <v>0</v>
      </c>
      <c r="AS804" s="55">
        <v>0</v>
      </c>
      <c r="AT804" s="55">
        <v>0</v>
      </c>
      <c r="AU804" s="55">
        <v>0</v>
      </c>
      <c r="AV804" s="55">
        <v>0</v>
      </c>
      <c r="AW804" s="55"/>
      <c r="AX804" s="55"/>
      <c r="AY804" s="56">
        <f t="shared" si="298"/>
        <v>0.8</v>
      </c>
      <c r="AZ804" s="55"/>
      <c r="BA804" s="56">
        <v>4.666666666666667</v>
      </c>
      <c r="BB804" s="41">
        <f t="shared" si="301"/>
        <v>-0.82857142857142851</v>
      </c>
      <c r="BC804" s="13"/>
      <c r="BD804" s="35"/>
      <c r="BE804" s="13"/>
      <c r="BF804" s="16"/>
      <c r="BG804" s="17">
        <f t="shared" si="302"/>
        <v>0</v>
      </c>
      <c r="BH804" s="16"/>
    </row>
    <row r="805" spans="1:60" ht="12.75" customHeight="1" x14ac:dyDescent="0.2">
      <c r="A805" s="51">
        <v>77158</v>
      </c>
      <c r="B805" s="51" t="s">
        <v>1077</v>
      </c>
      <c r="C805" s="66" t="s">
        <v>1803</v>
      </c>
      <c r="D805" s="65" t="s">
        <v>1778</v>
      </c>
      <c r="E805" s="52" t="s">
        <v>732</v>
      </c>
      <c r="F805" s="53">
        <f>IFERROR(VLOOKUP(E805,Fornecedores!$A$2:$B$2700,2,FALSE),"")</f>
        <v>6</v>
      </c>
      <c r="G805" s="52" t="s">
        <v>345</v>
      </c>
      <c r="H805" s="54"/>
      <c r="I805" s="55">
        <f t="shared" si="303"/>
        <v>0</v>
      </c>
      <c r="J805" s="55">
        <v>0</v>
      </c>
      <c r="K805" s="55">
        <v>0</v>
      </c>
      <c r="L805" s="55">
        <v>0</v>
      </c>
      <c r="M805" s="55">
        <v>0</v>
      </c>
      <c r="N805" s="55">
        <f t="shared" si="304"/>
        <v>2</v>
      </c>
      <c r="O805" s="55">
        <v>2</v>
      </c>
      <c r="P805" s="55">
        <v>0</v>
      </c>
      <c r="Q805" s="55">
        <v>0</v>
      </c>
      <c r="R805" s="55">
        <f t="shared" si="305"/>
        <v>0</v>
      </c>
      <c r="S805" s="55">
        <v>0</v>
      </c>
      <c r="T805" s="55">
        <v>0</v>
      </c>
      <c r="U805" s="55">
        <v>0</v>
      </c>
      <c r="V805" s="55">
        <v>0</v>
      </c>
      <c r="W805" s="53">
        <v>0</v>
      </c>
      <c r="X805" s="53">
        <v>0</v>
      </c>
      <c r="Y805" s="55">
        <v>0</v>
      </c>
      <c r="Z805" s="55">
        <v>0</v>
      </c>
      <c r="AA805" s="53">
        <v>0</v>
      </c>
      <c r="AB805" s="53">
        <v>0</v>
      </c>
      <c r="AC805" s="55">
        <v>0</v>
      </c>
      <c r="AD805" s="55">
        <f t="shared" si="295"/>
        <v>1</v>
      </c>
      <c r="AE805" s="53">
        <v>1</v>
      </c>
      <c r="AF805" s="55">
        <v>0</v>
      </c>
      <c r="AG805" s="55">
        <v>0</v>
      </c>
      <c r="AH805" s="55">
        <f t="shared" si="296"/>
        <v>0</v>
      </c>
      <c r="AI805" s="55">
        <v>0</v>
      </c>
      <c r="AJ805" s="55">
        <v>0</v>
      </c>
      <c r="AK805" s="55">
        <v>0</v>
      </c>
      <c r="AL805" s="55">
        <f t="shared" si="297"/>
        <v>0</v>
      </c>
      <c r="AM805" s="55" t="s">
        <v>1912</v>
      </c>
      <c r="AN805" s="55">
        <v>0</v>
      </c>
      <c r="AO805" s="55">
        <v>0</v>
      </c>
      <c r="AP805" s="55">
        <f t="shared" si="284"/>
        <v>0</v>
      </c>
      <c r="AQ805" s="55">
        <f>IFERROR(VLOOKUP(A805,[1]SIIMPLES!$A$2:$F$418,6,FALSE),0)</f>
        <v>0</v>
      </c>
      <c r="AR805" s="55">
        <v>0</v>
      </c>
      <c r="AS805" s="55">
        <v>0</v>
      </c>
      <c r="AT805" s="55">
        <v>0</v>
      </c>
      <c r="AU805" s="55">
        <v>0</v>
      </c>
      <c r="AV805" s="55">
        <v>0</v>
      </c>
      <c r="AW805" s="55"/>
      <c r="AX805" s="55"/>
      <c r="AY805" s="56">
        <f t="shared" si="298"/>
        <v>0.3</v>
      </c>
      <c r="AZ805" s="55"/>
      <c r="BA805" s="56">
        <v>1.6666666666666667</v>
      </c>
      <c r="BB805" s="41">
        <f t="shared" si="301"/>
        <v>-0.82000000000000006</v>
      </c>
      <c r="BC805" s="13"/>
      <c r="BD805" s="35"/>
      <c r="BE805" s="13"/>
      <c r="BF805" s="16"/>
      <c r="BG805" s="17">
        <f t="shared" si="302"/>
        <v>0</v>
      </c>
      <c r="BH805" s="16"/>
    </row>
    <row r="806" spans="1:60" ht="12.75" customHeight="1" x14ac:dyDescent="0.2">
      <c r="A806" s="51">
        <v>77169</v>
      </c>
      <c r="B806" s="51"/>
      <c r="C806" s="66" t="s">
        <v>1803</v>
      </c>
      <c r="D806" s="65" t="s">
        <v>1778</v>
      </c>
      <c r="E806" s="52" t="s">
        <v>732</v>
      </c>
      <c r="F806" s="53">
        <f>IFERROR(VLOOKUP(E806,Fornecedores!$A$2:$B$2700,2,FALSE),"")</f>
        <v>6</v>
      </c>
      <c r="G806" s="52" t="s">
        <v>663</v>
      </c>
      <c r="H806" s="54"/>
      <c r="I806" s="55">
        <f t="shared" si="303"/>
        <v>0</v>
      </c>
      <c r="J806" s="55">
        <v>0</v>
      </c>
      <c r="K806" s="55">
        <v>0</v>
      </c>
      <c r="L806" s="55">
        <v>0</v>
      </c>
      <c r="M806" s="55">
        <v>0</v>
      </c>
      <c r="N806" s="55">
        <f t="shared" si="304"/>
        <v>0</v>
      </c>
      <c r="O806" s="55">
        <v>0</v>
      </c>
      <c r="P806" s="55">
        <v>0</v>
      </c>
      <c r="Q806" s="55">
        <v>0</v>
      </c>
      <c r="R806" s="55">
        <f t="shared" si="305"/>
        <v>0</v>
      </c>
      <c r="S806" s="55">
        <v>0</v>
      </c>
      <c r="T806" s="55">
        <v>0</v>
      </c>
      <c r="U806" s="55">
        <v>0</v>
      </c>
      <c r="V806" s="55">
        <v>0</v>
      </c>
      <c r="W806" s="53">
        <v>0</v>
      </c>
      <c r="X806" s="53">
        <v>0</v>
      </c>
      <c r="Y806" s="55">
        <v>0</v>
      </c>
      <c r="Z806" s="55">
        <v>0</v>
      </c>
      <c r="AA806" s="53">
        <v>0</v>
      </c>
      <c r="AB806" s="53">
        <v>0</v>
      </c>
      <c r="AC806" s="55">
        <v>0</v>
      </c>
      <c r="AD806" s="55">
        <f t="shared" si="295"/>
        <v>0</v>
      </c>
      <c r="AE806" s="53">
        <v>0</v>
      </c>
      <c r="AF806" s="55">
        <v>0</v>
      </c>
      <c r="AG806" s="55">
        <v>0</v>
      </c>
      <c r="AH806" s="55">
        <f t="shared" si="296"/>
        <v>0</v>
      </c>
      <c r="AI806" s="55">
        <v>0</v>
      </c>
      <c r="AJ806" s="55">
        <v>0</v>
      </c>
      <c r="AK806" s="55">
        <v>0</v>
      </c>
      <c r="AL806" s="55">
        <f t="shared" si="297"/>
        <v>0</v>
      </c>
      <c r="AM806" s="55" t="s">
        <v>1912</v>
      </c>
      <c r="AN806" s="55">
        <v>0</v>
      </c>
      <c r="AO806" s="55">
        <v>0</v>
      </c>
      <c r="AP806" s="55">
        <f t="shared" si="284"/>
        <v>0</v>
      </c>
      <c r="AQ806" s="55">
        <f>IFERROR(VLOOKUP(A806,[1]SIIMPLES!$A$2:$F$418,6,FALSE),0)</f>
        <v>0</v>
      </c>
      <c r="AR806" s="55">
        <v>0</v>
      </c>
      <c r="AS806" s="55">
        <v>0</v>
      </c>
      <c r="AT806" s="55">
        <v>0</v>
      </c>
      <c r="AU806" s="55">
        <v>0</v>
      </c>
      <c r="AV806" s="55">
        <v>0</v>
      </c>
      <c r="AW806" s="55"/>
      <c r="AX806" s="55"/>
      <c r="AY806" s="56">
        <f t="shared" si="298"/>
        <v>0</v>
      </c>
      <c r="AZ806" s="55"/>
      <c r="BA806" s="56">
        <v>0</v>
      </c>
      <c r="BB806" s="41" t="str">
        <f t="shared" si="301"/>
        <v/>
      </c>
      <c r="BC806" s="7"/>
      <c r="BD806" s="35"/>
      <c r="BE806" s="13"/>
      <c r="BF806" s="16"/>
      <c r="BG806" s="17" t="str">
        <f t="shared" si="302"/>
        <v>0</v>
      </c>
      <c r="BH806" s="16">
        <f t="shared" ref="BH806:BH817" si="306">IFERROR(IF(F806=1,IF(BC806&lt;AY806*3,AY806*3-BC806,0),IF(BC806&lt;AY806,AY806-BC806,0)),"")</f>
        <v>0</v>
      </c>
    </row>
    <row r="807" spans="1:60" ht="12.75" customHeight="1" x14ac:dyDescent="0.2">
      <c r="A807" s="51">
        <v>77171</v>
      </c>
      <c r="B807" s="51"/>
      <c r="C807" s="66" t="s">
        <v>1803</v>
      </c>
      <c r="D807" s="65" t="s">
        <v>752</v>
      </c>
      <c r="E807" s="52" t="s">
        <v>732</v>
      </c>
      <c r="F807" s="53">
        <f>IFERROR(VLOOKUP(E807,Fornecedores!$A$2:$B$2700,2,FALSE),"")</f>
        <v>6</v>
      </c>
      <c r="G807" s="52" t="s">
        <v>229</v>
      </c>
      <c r="H807" s="54"/>
      <c r="I807" s="55">
        <f t="shared" si="303"/>
        <v>0</v>
      </c>
      <c r="J807" s="55">
        <v>0</v>
      </c>
      <c r="K807" s="55">
        <v>0</v>
      </c>
      <c r="L807" s="55">
        <v>0</v>
      </c>
      <c r="M807" s="55">
        <v>0</v>
      </c>
      <c r="N807" s="55">
        <f t="shared" si="304"/>
        <v>0</v>
      </c>
      <c r="O807" s="55">
        <v>0</v>
      </c>
      <c r="P807" s="55">
        <v>0</v>
      </c>
      <c r="Q807" s="55">
        <v>0</v>
      </c>
      <c r="R807" s="55">
        <f t="shared" si="305"/>
        <v>0</v>
      </c>
      <c r="S807" s="55">
        <v>0</v>
      </c>
      <c r="T807" s="55">
        <v>0</v>
      </c>
      <c r="U807" s="55">
        <v>0</v>
      </c>
      <c r="V807" s="55">
        <v>0</v>
      </c>
      <c r="W807" s="53">
        <v>0</v>
      </c>
      <c r="X807" s="53">
        <v>0</v>
      </c>
      <c r="Y807" s="55">
        <v>0</v>
      </c>
      <c r="Z807" s="55">
        <v>0</v>
      </c>
      <c r="AA807" s="53">
        <v>0</v>
      </c>
      <c r="AB807" s="53">
        <v>0</v>
      </c>
      <c r="AC807" s="55">
        <v>0</v>
      </c>
      <c r="AD807" s="55">
        <f t="shared" si="295"/>
        <v>0</v>
      </c>
      <c r="AE807" s="53">
        <v>0</v>
      </c>
      <c r="AF807" s="55">
        <v>0</v>
      </c>
      <c r="AG807" s="55">
        <v>0</v>
      </c>
      <c r="AH807" s="55">
        <f t="shared" si="296"/>
        <v>0</v>
      </c>
      <c r="AI807" s="55">
        <v>0</v>
      </c>
      <c r="AJ807" s="55">
        <v>0</v>
      </c>
      <c r="AK807" s="55">
        <v>0</v>
      </c>
      <c r="AL807" s="55">
        <f t="shared" si="297"/>
        <v>0</v>
      </c>
      <c r="AM807" s="55" t="s">
        <v>1912</v>
      </c>
      <c r="AN807" s="55">
        <v>0</v>
      </c>
      <c r="AO807" s="55">
        <v>0</v>
      </c>
      <c r="AP807" s="55">
        <f t="shared" si="284"/>
        <v>0</v>
      </c>
      <c r="AQ807" s="55">
        <f>IFERROR(VLOOKUP(A807,[1]SIIMPLES!$A$2:$F$418,6,FALSE),0)</f>
        <v>0</v>
      </c>
      <c r="AR807" s="55">
        <v>0</v>
      </c>
      <c r="AS807" s="55">
        <v>1</v>
      </c>
      <c r="AT807" s="55">
        <v>1</v>
      </c>
      <c r="AU807" s="55">
        <v>0</v>
      </c>
      <c r="AV807" s="55">
        <v>0</v>
      </c>
      <c r="AW807" s="55"/>
      <c r="AX807" s="55"/>
      <c r="AY807" s="56">
        <f t="shared" si="298"/>
        <v>0.1</v>
      </c>
      <c r="AZ807" s="55"/>
      <c r="BA807" s="56">
        <v>0</v>
      </c>
      <c r="BB807" s="41" t="str">
        <f t="shared" si="301"/>
        <v/>
      </c>
      <c r="BC807" s="7"/>
      <c r="BD807" s="35"/>
      <c r="BE807" s="13"/>
      <c r="BF807" s="16"/>
      <c r="BG807" s="17">
        <f t="shared" si="302"/>
        <v>0</v>
      </c>
      <c r="BH807" s="16">
        <f t="shared" si="306"/>
        <v>0.1</v>
      </c>
    </row>
    <row r="808" spans="1:60" ht="12.75" customHeight="1" x14ac:dyDescent="0.2">
      <c r="A808" s="51">
        <v>77351</v>
      </c>
      <c r="B808" s="51"/>
      <c r="C808" s="66" t="s">
        <v>1803</v>
      </c>
      <c r="D808" s="65" t="s">
        <v>737</v>
      </c>
      <c r="E808" s="67" t="s">
        <v>727</v>
      </c>
      <c r="F808" s="53">
        <f>IFERROR(VLOOKUP(E808,Fornecedores!$A$2:$B$2700,2,FALSE),"")</f>
        <v>1</v>
      </c>
      <c r="G808" s="52" t="s">
        <v>454</v>
      </c>
      <c r="H808" s="54"/>
      <c r="I808" s="55">
        <f t="shared" si="303"/>
        <v>9</v>
      </c>
      <c r="J808" s="55">
        <v>9</v>
      </c>
      <c r="K808" s="55">
        <v>0</v>
      </c>
      <c r="L808" s="55">
        <v>0</v>
      </c>
      <c r="M808" s="55">
        <v>0</v>
      </c>
      <c r="N808" s="55">
        <f t="shared" si="304"/>
        <v>22</v>
      </c>
      <c r="O808" s="55">
        <v>9</v>
      </c>
      <c r="P808" s="55">
        <v>3</v>
      </c>
      <c r="Q808" s="55">
        <v>10</v>
      </c>
      <c r="R808" s="55">
        <f t="shared" si="305"/>
        <v>21</v>
      </c>
      <c r="S808" s="55">
        <v>6</v>
      </c>
      <c r="T808" s="55">
        <v>0</v>
      </c>
      <c r="U808" s="55">
        <v>15</v>
      </c>
      <c r="V808" s="55">
        <v>47</v>
      </c>
      <c r="W808" s="53">
        <v>16</v>
      </c>
      <c r="X808" s="53">
        <v>1</v>
      </c>
      <c r="Y808" s="55">
        <v>30</v>
      </c>
      <c r="Z808" s="55">
        <v>12</v>
      </c>
      <c r="AA808" s="53">
        <v>11</v>
      </c>
      <c r="AB808" s="53">
        <v>1</v>
      </c>
      <c r="AC808" s="55">
        <v>0</v>
      </c>
      <c r="AD808" s="55">
        <f t="shared" si="295"/>
        <v>5</v>
      </c>
      <c r="AE808" s="53">
        <v>5</v>
      </c>
      <c r="AF808" s="55">
        <v>0</v>
      </c>
      <c r="AG808" s="55">
        <v>0</v>
      </c>
      <c r="AH808" s="55">
        <f t="shared" si="296"/>
        <v>14</v>
      </c>
      <c r="AI808" s="55">
        <v>4</v>
      </c>
      <c r="AJ808" s="55">
        <v>0</v>
      </c>
      <c r="AK808" s="55">
        <v>10</v>
      </c>
      <c r="AL808" s="55">
        <f t="shared" si="297"/>
        <v>8</v>
      </c>
      <c r="AM808" s="55">
        <v>1</v>
      </c>
      <c r="AN808" s="55">
        <v>0</v>
      </c>
      <c r="AO808" s="55">
        <v>7</v>
      </c>
      <c r="AP808" s="55">
        <f t="shared" si="284"/>
        <v>0</v>
      </c>
      <c r="AQ808" s="55">
        <f>IFERROR(VLOOKUP(A808,[1]SIIMPLES!$A$2:$F$418,6,FALSE),0)</f>
        <v>0</v>
      </c>
      <c r="AR808" s="55">
        <v>0</v>
      </c>
      <c r="AS808" s="55">
        <v>0</v>
      </c>
      <c r="AT808" s="55">
        <v>0</v>
      </c>
      <c r="AU808" s="55">
        <v>0</v>
      </c>
      <c r="AV808" s="55">
        <v>0</v>
      </c>
      <c r="AW808" s="55"/>
      <c r="AX808" s="55"/>
      <c r="AY808" s="56">
        <f t="shared" si="298"/>
        <v>13.8</v>
      </c>
      <c r="AZ808" s="55"/>
      <c r="BA808" s="56">
        <v>5</v>
      </c>
      <c r="BB808" s="41">
        <f t="shared" si="301"/>
        <v>1.7600000000000002</v>
      </c>
      <c r="BC808" s="13"/>
      <c r="BD808" s="35"/>
      <c r="BE808" s="13"/>
      <c r="BF808" s="16"/>
      <c r="BG808" s="17">
        <f t="shared" si="302"/>
        <v>0</v>
      </c>
      <c r="BH808" s="16">
        <f t="shared" si="306"/>
        <v>41.400000000000006</v>
      </c>
    </row>
    <row r="809" spans="1:60" ht="12.75" customHeight="1" x14ac:dyDescent="0.2">
      <c r="A809" s="51">
        <v>77366</v>
      </c>
      <c r="B809" s="51" t="s">
        <v>1077</v>
      </c>
      <c r="C809" s="66" t="s">
        <v>1803</v>
      </c>
      <c r="D809" s="65" t="s">
        <v>737</v>
      </c>
      <c r="E809" s="67" t="s">
        <v>727</v>
      </c>
      <c r="F809" s="53">
        <f>IFERROR(VLOOKUP(E809,Fornecedores!$A$2:$B$2700,2,FALSE),"")</f>
        <v>1</v>
      </c>
      <c r="G809" s="52" t="s">
        <v>647</v>
      </c>
      <c r="H809" s="54"/>
      <c r="I809" s="55">
        <f t="shared" si="303"/>
        <v>1</v>
      </c>
      <c r="J809" s="55">
        <v>1</v>
      </c>
      <c r="K809" s="55">
        <v>0</v>
      </c>
      <c r="L809" s="55">
        <v>0</v>
      </c>
      <c r="M809" s="55">
        <v>0</v>
      </c>
      <c r="N809" s="55">
        <f t="shared" si="304"/>
        <v>0</v>
      </c>
      <c r="O809" s="55">
        <v>0</v>
      </c>
      <c r="P809" s="55">
        <v>0</v>
      </c>
      <c r="Q809" s="55">
        <v>0</v>
      </c>
      <c r="R809" s="55">
        <f t="shared" si="305"/>
        <v>0</v>
      </c>
      <c r="S809" s="55">
        <v>0</v>
      </c>
      <c r="T809" s="55">
        <v>0</v>
      </c>
      <c r="U809" s="55">
        <v>0</v>
      </c>
      <c r="V809" s="55">
        <v>0</v>
      </c>
      <c r="W809" s="53">
        <v>0</v>
      </c>
      <c r="X809" s="53">
        <v>0</v>
      </c>
      <c r="Y809" s="55">
        <v>0</v>
      </c>
      <c r="Z809" s="55">
        <v>0</v>
      </c>
      <c r="AA809" s="53">
        <v>0</v>
      </c>
      <c r="AB809" s="53">
        <v>0</v>
      </c>
      <c r="AC809" s="55">
        <v>0</v>
      </c>
      <c r="AD809" s="55">
        <f t="shared" si="295"/>
        <v>0</v>
      </c>
      <c r="AE809" s="53">
        <v>0</v>
      </c>
      <c r="AF809" s="55">
        <v>0</v>
      </c>
      <c r="AG809" s="55">
        <v>0</v>
      </c>
      <c r="AH809" s="55">
        <f t="shared" si="296"/>
        <v>0</v>
      </c>
      <c r="AI809" s="55">
        <v>0</v>
      </c>
      <c r="AJ809" s="55">
        <v>0</v>
      </c>
      <c r="AK809" s="55">
        <v>0</v>
      </c>
      <c r="AL809" s="55">
        <f t="shared" si="297"/>
        <v>0</v>
      </c>
      <c r="AM809" s="55" t="s">
        <v>1912</v>
      </c>
      <c r="AN809" s="55">
        <v>0</v>
      </c>
      <c r="AO809" s="55">
        <v>0</v>
      </c>
      <c r="AP809" s="55">
        <f t="shared" si="284"/>
        <v>0</v>
      </c>
      <c r="AQ809" s="55">
        <f>IFERROR(VLOOKUP(A809,[1]SIIMPLES!$A$2:$F$418,6,FALSE),0)</f>
        <v>0</v>
      </c>
      <c r="AR809" s="55">
        <v>0</v>
      </c>
      <c r="AS809" s="55">
        <v>1</v>
      </c>
      <c r="AT809" s="55">
        <v>1</v>
      </c>
      <c r="AU809" s="55">
        <v>0</v>
      </c>
      <c r="AV809" s="55">
        <v>0</v>
      </c>
      <c r="AW809" s="55"/>
      <c r="AX809" s="55"/>
      <c r="AY809" s="56">
        <f t="shared" si="298"/>
        <v>0.2</v>
      </c>
      <c r="AZ809" s="55"/>
      <c r="BA809" s="56">
        <v>2.1666666666666665</v>
      </c>
      <c r="BB809" s="41">
        <f t="shared" si="301"/>
        <v>-0.90769230769230769</v>
      </c>
      <c r="BC809" s="13"/>
      <c r="BD809" s="35"/>
      <c r="BE809" s="13"/>
      <c r="BF809" s="16"/>
      <c r="BG809" s="17">
        <f t="shared" si="302"/>
        <v>0</v>
      </c>
      <c r="BH809" s="16">
        <f t="shared" si="306"/>
        <v>0.60000000000000009</v>
      </c>
    </row>
    <row r="810" spans="1:60" ht="12.75" customHeight="1" x14ac:dyDescent="0.2">
      <c r="A810" s="51">
        <v>88652</v>
      </c>
      <c r="B810" s="51"/>
      <c r="C810" s="66" t="s">
        <v>1803</v>
      </c>
      <c r="D810" s="65" t="s">
        <v>1779</v>
      </c>
      <c r="E810" s="67" t="str">
        <f>VLOOKUP(A810,[3]CMV!$A$1:$E$1988,5,FALSE)</f>
        <v>Importação</v>
      </c>
      <c r="F810" s="53">
        <f>IFERROR(VLOOKUP(E810,Fornecedores!$A$2:$B$2700,2,FALSE),"")</f>
        <v>1</v>
      </c>
      <c r="G810" s="52" t="s">
        <v>1748</v>
      </c>
      <c r="H810" s="57"/>
      <c r="I810" s="55">
        <f t="shared" si="303"/>
        <v>0</v>
      </c>
      <c r="J810" s="55">
        <v>0</v>
      </c>
      <c r="K810" s="55">
        <v>0</v>
      </c>
      <c r="L810" s="55">
        <v>0</v>
      </c>
      <c r="M810" s="55">
        <v>0</v>
      </c>
      <c r="N810" s="55">
        <f t="shared" si="304"/>
        <v>0</v>
      </c>
      <c r="O810" s="55">
        <v>0</v>
      </c>
      <c r="P810" s="55">
        <v>0</v>
      </c>
      <c r="Q810" s="55">
        <v>0</v>
      </c>
      <c r="R810" s="55">
        <f t="shared" si="305"/>
        <v>0</v>
      </c>
      <c r="S810" s="55">
        <v>0</v>
      </c>
      <c r="T810" s="55">
        <v>0</v>
      </c>
      <c r="U810" s="55">
        <v>0</v>
      </c>
      <c r="V810" s="55">
        <v>0</v>
      </c>
      <c r="W810" s="53">
        <v>0</v>
      </c>
      <c r="X810" s="53">
        <v>0</v>
      </c>
      <c r="Y810" s="55">
        <v>0</v>
      </c>
      <c r="Z810" s="55">
        <v>1</v>
      </c>
      <c r="AA810" s="53">
        <v>1</v>
      </c>
      <c r="AB810" s="53">
        <v>0</v>
      </c>
      <c r="AC810" s="55">
        <v>0</v>
      </c>
      <c r="AD810" s="55">
        <f t="shared" si="295"/>
        <v>0</v>
      </c>
      <c r="AE810" s="53">
        <v>0</v>
      </c>
      <c r="AF810" s="55">
        <v>0</v>
      </c>
      <c r="AG810" s="55">
        <v>0</v>
      </c>
      <c r="AH810" s="55">
        <f t="shared" si="296"/>
        <v>0</v>
      </c>
      <c r="AI810" s="55">
        <v>0</v>
      </c>
      <c r="AJ810" s="55">
        <v>0</v>
      </c>
      <c r="AK810" s="55">
        <v>0</v>
      </c>
      <c r="AL810" s="55">
        <f t="shared" si="297"/>
        <v>0</v>
      </c>
      <c r="AM810" s="55" t="s">
        <v>1912</v>
      </c>
      <c r="AN810" s="55">
        <v>0</v>
      </c>
      <c r="AO810" s="55">
        <v>0</v>
      </c>
      <c r="AP810" s="55">
        <f t="shared" si="284"/>
        <v>0</v>
      </c>
      <c r="AQ810" s="55">
        <f>IFERROR(VLOOKUP(A810,[1]SIIMPLES!$A$2:$F$418,6,FALSE),0)</f>
        <v>0</v>
      </c>
      <c r="AR810" s="55">
        <v>0</v>
      </c>
      <c r="AS810" s="55">
        <v>0</v>
      </c>
      <c r="AT810" s="55">
        <v>0</v>
      </c>
      <c r="AU810" s="55">
        <v>0</v>
      </c>
      <c r="AV810" s="55">
        <v>0</v>
      </c>
      <c r="AW810" s="57"/>
      <c r="AX810" s="55"/>
      <c r="AY810" s="56">
        <f t="shared" si="298"/>
        <v>0.1</v>
      </c>
      <c r="AZ810" s="55"/>
      <c r="BA810" s="56">
        <v>0</v>
      </c>
      <c r="BB810" s="41" t="str">
        <f t="shared" si="301"/>
        <v/>
      </c>
      <c r="BC810" s="13"/>
      <c r="BD810" s="35"/>
      <c r="BE810" s="13"/>
      <c r="BF810" s="16"/>
      <c r="BG810" s="17">
        <f t="shared" si="302"/>
        <v>0</v>
      </c>
      <c r="BH810" s="16">
        <f t="shared" si="306"/>
        <v>0.30000000000000004</v>
      </c>
    </row>
    <row r="811" spans="1:60" ht="12.75" customHeight="1" x14ac:dyDescent="0.2">
      <c r="A811" s="51">
        <v>88665</v>
      </c>
      <c r="B811" s="51" t="s">
        <v>1077</v>
      </c>
      <c r="C811" s="66" t="s">
        <v>1803</v>
      </c>
      <c r="D811" s="65" t="s">
        <v>1779</v>
      </c>
      <c r="E811" s="67" t="s">
        <v>727</v>
      </c>
      <c r="F811" s="53">
        <f>IFERROR(VLOOKUP(E811,Fornecedores!$A$2:$B$2700,2,FALSE),"")</f>
        <v>1</v>
      </c>
      <c r="G811" s="52" t="s">
        <v>410</v>
      </c>
      <c r="H811" s="54"/>
      <c r="I811" s="55">
        <f t="shared" si="303"/>
        <v>1</v>
      </c>
      <c r="J811" s="55">
        <v>1</v>
      </c>
      <c r="K811" s="55">
        <v>0</v>
      </c>
      <c r="L811" s="55">
        <v>0</v>
      </c>
      <c r="M811" s="55">
        <v>0</v>
      </c>
      <c r="N811" s="55">
        <f t="shared" si="304"/>
        <v>1</v>
      </c>
      <c r="O811" s="55">
        <v>1</v>
      </c>
      <c r="P811" s="55">
        <v>0</v>
      </c>
      <c r="Q811" s="55">
        <v>0</v>
      </c>
      <c r="R811" s="55">
        <f t="shared" si="305"/>
        <v>2</v>
      </c>
      <c r="S811" s="55">
        <v>2</v>
      </c>
      <c r="T811" s="55">
        <v>0</v>
      </c>
      <c r="U811" s="55">
        <v>0</v>
      </c>
      <c r="V811" s="55">
        <v>1</v>
      </c>
      <c r="W811" s="53">
        <v>1</v>
      </c>
      <c r="X811" s="53">
        <v>0</v>
      </c>
      <c r="Y811" s="55">
        <v>0</v>
      </c>
      <c r="Z811" s="55">
        <v>0</v>
      </c>
      <c r="AA811" s="53">
        <v>0</v>
      </c>
      <c r="AB811" s="53">
        <v>0</v>
      </c>
      <c r="AC811" s="55">
        <v>0</v>
      </c>
      <c r="AD811" s="55">
        <f t="shared" si="295"/>
        <v>0</v>
      </c>
      <c r="AE811" s="53">
        <v>0</v>
      </c>
      <c r="AF811" s="55">
        <v>0</v>
      </c>
      <c r="AG811" s="55">
        <v>0</v>
      </c>
      <c r="AH811" s="55">
        <f t="shared" si="296"/>
        <v>0</v>
      </c>
      <c r="AI811" s="55">
        <v>0</v>
      </c>
      <c r="AJ811" s="55">
        <v>0</v>
      </c>
      <c r="AK811" s="55">
        <v>0</v>
      </c>
      <c r="AL811" s="55">
        <f t="shared" si="297"/>
        <v>0</v>
      </c>
      <c r="AM811" s="55" t="s">
        <v>1912</v>
      </c>
      <c r="AN811" s="55">
        <v>0</v>
      </c>
      <c r="AO811" s="55">
        <v>0</v>
      </c>
      <c r="AP811" s="55">
        <f t="shared" si="284"/>
        <v>0</v>
      </c>
      <c r="AQ811" s="55">
        <f>IFERROR(VLOOKUP(A811,[1]SIIMPLES!$A$2:$F$418,6,FALSE),0)</f>
        <v>0</v>
      </c>
      <c r="AR811" s="55">
        <v>0</v>
      </c>
      <c r="AS811" s="55">
        <v>0</v>
      </c>
      <c r="AT811" s="55">
        <v>0</v>
      </c>
      <c r="AU811" s="55">
        <v>0</v>
      </c>
      <c r="AV811" s="55">
        <v>0</v>
      </c>
      <c r="AW811" s="55"/>
      <c r="AX811" s="55"/>
      <c r="AY811" s="56">
        <f t="shared" si="298"/>
        <v>0.5</v>
      </c>
      <c r="AZ811" s="55"/>
      <c r="BA811" s="56">
        <v>0.83333333333333337</v>
      </c>
      <c r="BB811" s="41">
        <f t="shared" si="301"/>
        <v>-0.4</v>
      </c>
      <c r="BC811" s="13"/>
      <c r="BD811" s="35"/>
      <c r="BE811" s="13"/>
      <c r="BF811" s="16"/>
      <c r="BG811" s="17">
        <f t="shared" si="302"/>
        <v>0</v>
      </c>
      <c r="BH811" s="16">
        <f t="shared" si="306"/>
        <v>1.5</v>
      </c>
    </row>
    <row r="812" spans="1:60" ht="12.75" customHeight="1" x14ac:dyDescent="0.2">
      <c r="A812" s="68">
        <v>91009</v>
      </c>
      <c r="B812" s="51"/>
      <c r="C812" s="66" t="s">
        <v>1803</v>
      </c>
      <c r="D812" s="52" t="s">
        <v>1762</v>
      </c>
      <c r="E812" s="52" t="s">
        <v>1763</v>
      </c>
      <c r="F812" s="53" t="str">
        <f>IFERROR(VLOOKUP(E812,Fornecedores!$A$2:$B$2700,2,FALSE),"")</f>
        <v/>
      </c>
      <c r="G812" s="52" t="s">
        <v>1747</v>
      </c>
      <c r="H812" s="57"/>
      <c r="I812" s="55">
        <f t="shared" si="303"/>
        <v>0</v>
      </c>
      <c r="J812" s="55">
        <v>0</v>
      </c>
      <c r="K812" s="55">
        <v>0</v>
      </c>
      <c r="L812" s="55">
        <v>0</v>
      </c>
      <c r="M812" s="55">
        <v>0</v>
      </c>
      <c r="N812" s="55">
        <f t="shared" si="304"/>
        <v>0</v>
      </c>
      <c r="O812" s="55">
        <v>0</v>
      </c>
      <c r="P812" s="55">
        <v>0</v>
      </c>
      <c r="Q812" s="55">
        <v>0</v>
      </c>
      <c r="R812" s="55">
        <f t="shared" si="305"/>
        <v>0</v>
      </c>
      <c r="S812" s="55">
        <v>0</v>
      </c>
      <c r="T812" s="55">
        <v>0</v>
      </c>
      <c r="U812" s="55">
        <v>0</v>
      </c>
      <c r="V812" s="55">
        <v>0</v>
      </c>
      <c r="W812" s="53">
        <v>0</v>
      </c>
      <c r="X812" s="53">
        <v>0</v>
      </c>
      <c r="Y812" s="55">
        <v>0</v>
      </c>
      <c r="Z812" s="55">
        <v>0</v>
      </c>
      <c r="AA812" s="53">
        <v>0</v>
      </c>
      <c r="AB812" s="53">
        <v>0</v>
      </c>
      <c r="AC812" s="55">
        <v>0</v>
      </c>
      <c r="AD812" s="55">
        <f t="shared" si="295"/>
        <v>0</v>
      </c>
      <c r="AE812" s="53">
        <v>0</v>
      </c>
      <c r="AF812" s="55">
        <v>0</v>
      </c>
      <c r="AG812" s="55">
        <v>0</v>
      </c>
      <c r="AH812" s="55">
        <f t="shared" si="296"/>
        <v>0</v>
      </c>
      <c r="AI812" s="55">
        <v>0</v>
      </c>
      <c r="AJ812" s="55">
        <v>0</v>
      </c>
      <c r="AK812" s="55">
        <v>0</v>
      </c>
      <c r="AL812" s="55">
        <f t="shared" si="297"/>
        <v>2</v>
      </c>
      <c r="AM812" s="55" t="s">
        <v>1912</v>
      </c>
      <c r="AN812" s="55">
        <v>0</v>
      </c>
      <c r="AO812" s="55">
        <v>2</v>
      </c>
      <c r="AP812" s="55">
        <f t="shared" si="284"/>
        <v>0</v>
      </c>
      <c r="AQ812" s="55">
        <f>IFERROR(VLOOKUP(A812,[1]SIIMPLES!$A$2:$F$418,6,FALSE),0)</f>
        <v>0</v>
      </c>
      <c r="AR812" s="55">
        <v>0</v>
      </c>
      <c r="AS812" s="55">
        <v>0</v>
      </c>
      <c r="AT812" s="55">
        <v>0</v>
      </c>
      <c r="AU812" s="55">
        <v>0</v>
      </c>
      <c r="AV812" s="55">
        <v>0</v>
      </c>
      <c r="AW812" s="55"/>
      <c r="AX812" s="55"/>
      <c r="AY812" s="56">
        <f t="shared" si="298"/>
        <v>0.2</v>
      </c>
      <c r="AZ812" s="55"/>
      <c r="BA812" s="56">
        <v>0</v>
      </c>
      <c r="BB812" s="41" t="str">
        <f t="shared" si="301"/>
        <v/>
      </c>
      <c r="BC812" s="13"/>
      <c r="BD812" s="35"/>
      <c r="BE812" s="13"/>
      <c r="BF812" s="16"/>
      <c r="BG812" s="17">
        <f t="shared" si="302"/>
        <v>0</v>
      </c>
      <c r="BH812" s="16">
        <f t="shared" si="306"/>
        <v>0.2</v>
      </c>
    </row>
    <row r="813" spans="1:60" ht="12.75" customHeight="1" x14ac:dyDescent="0.2">
      <c r="A813" s="51">
        <v>93006</v>
      </c>
      <c r="B813" s="51"/>
      <c r="C813" s="66" t="s">
        <v>1803</v>
      </c>
      <c r="D813" s="52" t="s">
        <v>1762</v>
      </c>
      <c r="E813" s="52" t="s">
        <v>1763</v>
      </c>
      <c r="F813" s="53" t="str">
        <f>IFERROR(VLOOKUP(E813,Fornecedores!$A$2:$B$2700,2,FALSE),"")</f>
        <v/>
      </c>
      <c r="G813" s="52" t="s">
        <v>1746</v>
      </c>
      <c r="H813" s="57"/>
      <c r="I813" s="55">
        <f t="shared" si="303"/>
        <v>0</v>
      </c>
      <c r="J813" s="55">
        <v>0</v>
      </c>
      <c r="K813" s="55">
        <v>0</v>
      </c>
      <c r="L813" s="55">
        <v>0</v>
      </c>
      <c r="M813" s="55">
        <v>0</v>
      </c>
      <c r="N813" s="55">
        <f t="shared" si="304"/>
        <v>0</v>
      </c>
      <c r="O813" s="55">
        <v>0</v>
      </c>
      <c r="P813" s="55">
        <v>0</v>
      </c>
      <c r="Q813" s="55">
        <v>0</v>
      </c>
      <c r="R813" s="55">
        <f t="shared" si="305"/>
        <v>0</v>
      </c>
      <c r="S813" s="55">
        <v>0</v>
      </c>
      <c r="T813" s="55">
        <v>0</v>
      </c>
      <c r="U813" s="55">
        <v>0</v>
      </c>
      <c r="V813" s="55">
        <v>0</v>
      </c>
      <c r="W813" s="53">
        <v>0</v>
      </c>
      <c r="X813" s="53">
        <v>0</v>
      </c>
      <c r="Y813" s="55">
        <v>0</v>
      </c>
      <c r="Z813" s="55">
        <v>0</v>
      </c>
      <c r="AA813" s="53">
        <v>0</v>
      </c>
      <c r="AB813" s="53">
        <v>0</v>
      </c>
      <c r="AC813" s="55">
        <v>0</v>
      </c>
      <c r="AD813" s="55">
        <f t="shared" si="295"/>
        <v>2</v>
      </c>
      <c r="AE813" s="53">
        <v>0</v>
      </c>
      <c r="AF813" s="55">
        <v>2</v>
      </c>
      <c r="AG813" s="55">
        <v>0</v>
      </c>
      <c r="AH813" s="55">
        <f t="shared" si="296"/>
        <v>0</v>
      </c>
      <c r="AI813" s="55">
        <v>0</v>
      </c>
      <c r="AJ813" s="55">
        <v>0</v>
      </c>
      <c r="AK813" s="55">
        <v>0</v>
      </c>
      <c r="AL813" s="55">
        <f t="shared" si="297"/>
        <v>0</v>
      </c>
      <c r="AM813" s="55" t="s">
        <v>1912</v>
      </c>
      <c r="AN813" s="55">
        <v>0</v>
      </c>
      <c r="AO813" s="55">
        <v>0</v>
      </c>
      <c r="AP813" s="55">
        <f t="shared" si="284"/>
        <v>0</v>
      </c>
      <c r="AQ813" s="55">
        <f>IFERROR(VLOOKUP(A813,[1]SIIMPLES!$A$2:$F$418,6,FALSE),0)</f>
        <v>0</v>
      </c>
      <c r="AR813" s="55">
        <v>0</v>
      </c>
      <c r="AS813" s="55">
        <v>0</v>
      </c>
      <c r="AT813" s="55">
        <v>0</v>
      </c>
      <c r="AU813" s="55">
        <v>0</v>
      </c>
      <c r="AV813" s="55">
        <v>0</v>
      </c>
      <c r="AW813" s="57"/>
      <c r="AX813" s="55"/>
      <c r="AY813" s="56">
        <f t="shared" si="298"/>
        <v>0.2</v>
      </c>
      <c r="AZ813" s="55"/>
      <c r="BA813" s="56">
        <v>6</v>
      </c>
      <c r="BB813" s="41">
        <f t="shared" si="301"/>
        <v>-0.96666666666666667</v>
      </c>
      <c r="BC813" s="10"/>
      <c r="BD813" s="35"/>
      <c r="BE813" s="13"/>
      <c r="BF813" s="16"/>
      <c r="BG813" s="17">
        <f t="shared" si="302"/>
        <v>0</v>
      </c>
      <c r="BH813" s="16">
        <f t="shared" si="306"/>
        <v>0.2</v>
      </c>
    </row>
    <row r="814" spans="1:60" ht="12.75" customHeight="1" x14ac:dyDescent="0.2">
      <c r="A814" s="51">
        <v>100293</v>
      </c>
      <c r="B814" s="51" t="s">
        <v>1077</v>
      </c>
      <c r="C814" s="66" t="s">
        <v>1803</v>
      </c>
      <c r="D814" s="65" t="s">
        <v>731</v>
      </c>
      <c r="E814" s="52" t="s">
        <v>730</v>
      </c>
      <c r="F814" s="53">
        <f>IFERROR(VLOOKUP(E814,Fornecedores!$A$2:$B$2700,2,FALSE),"")</f>
        <v>3</v>
      </c>
      <c r="G814" s="52" t="s">
        <v>573</v>
      </c>
      <c r="H814" s="54"/>
      <c r="I814" s="55">
        <f t="shared" si="303"/>
        <v>0</v>
      </c>
      <c r="J814" s="55">
        <v>0</v>
      </c>
      <c r="K814" s="55">
        <v>0</v>
      </c>
      <c r="L814" s="55">
        <v>0</v>
      </c>
      <c r="M814" s="55">
        <v>0</v>
      </c>
      <c r="N814" s="55">
        <f t="shared" si="304"/>
        <v>0</v>
      </c>
      <c r="O814" s="55">
        <v>0</v>
      </c>
      <c r="P814" s="55">
        <v>0</v>
      </c>
      <c r="Q814" s="55">
        <v>0</v>
      </c>
      <c r="R814" s="55">
        <f t="shared" si="305"/>
        <v>0</v>
      </c>
      <c r="S814" s="55">
        <v>0</v>
      </c>
      <c r="T814" s="55">
        <v>0</v>
      </c>
      <c r="U814" s="55">
        <v>0</v>
      </c>
      <c r="V814" s="55">
        <v>0</v>
      </c>
      <c r="W814" s="53">
        <v>0</v>
      </c>
      <c r="X814" s="53">
        <v>0</v>
      </c>
      <c r="Y814" s="55">
        <v>0</v>
      </c>
      <c r="Z814" s="55">
        <v>0</v>
      </c>
      <c r="AA814" s="53">
        <v>0</v>
      </c>
      <c r="AB814" s="53">
        <v>0</v>
      </c>
      <c r="AC814" s="55">
        <v>0</v>
      </c>
      <c r="AD814" s="55">
        <f t="shared" si="295"/>
        <v>0</v>
      </c>
      <c r="AE814" s="53">
        <v>0</v>
      </c>
      <c r="AF814" s="55">
        <v>0</v>
      </c>
      <c r="AG814" s="55">
        <v>0</v>
      </c>
      <c r="AH814" s="55">
        <f t="shared" si="296"/>
        <v>0</v>
      </c>
      <c r="AI814" s="55">
        <v>0</v>
      </c>
      <c r="AJ814" s="55">
        <v>0</v>
      </c>
      <c r="AK814" s="55">
        <v>0</v>
      </c>
      <c r="AL814" s="55">
        <f t="shared" si="297"/>
        <v>0</v>
      </c>
      <c r="AM814" s="55" t="s">
        <v>1912</v>
      </c>
      <c r="AN814" s="55">
        <v>0</v>
      </c>
      <c r="AO814" s="55">
        <v>0</v>
      </c>
      <c r="AP814" s="55">
        <f t="shared" si="284"/>
        <v>0</v>
      </c>
      <c r="AQ814" s="55">
        <f>IFERROR(VLOOKUP(A814,[1]SIIMPLES!$A$2:$F$418,6,FALSE),0)</f>
        <v>0</v>
      </c>
      <c r="AR814" s="55">
        <v>0</v>
      </c>
      <c r="AS814" s="55">
        <v>0</v>
      </c>
      <c r="AT814" s="55">
        <v>0</v>
      </c>
      <c r="AU814" s="55">
        <v>0</v>
      </c>
      <c r="AV814" s="55">
        <v>0</v>
      </c>
      <c r="AW814" s="55"/>
      <c r="AX814" s="55"/>
      <c r="AY814" s="56">
        <f t="shared" si="298"/>
        <v>0</v>
      </c>
      <c r="AZ814" s="55"/>
      <c r="BA814" s="56">
        <v>0</v>
      </c>
      <c r="BB814" s="41" t="str">
        <f t="shared" si="301"/>
        <v/>
      </c>
      <c r="BC814" s="7"/>
      <c r="BD814" s="35"/>
      <c r="BE814" s="13"/>
      <c r="BF814" s="16"/>
      <c r="BG814" s="17" t="str">
        <f t="shared" si="302"/>
        <v>0</v>
      </c>
      <c r="BH814" s="16">
        <f t="shared" si="306"/>
        <v>0</v>
      </c>
    </row>
    <row r="815" spans="1:60" ht="12.75" customHeight="1" x14ac:dyDescent="0.2">
      <c r="A815" s="51">
        <v>110601</v>
      </c>
      <c r="B815" s="51"/>
      <c r="C815" s="66" t="s">
        <v>1803</v>
      </c>
      <c r="D815" s="52">
        <v>0</v>
      </c>
      <c r="E815" s="52">
        <f>VLOOKUP(A815,[2]CMV!$A$1:$E$2043,5,FALSE)</f>
        <v>0</v>
      </c>
      <c r="F815" s="53" t="str">
        <f>IFERROR(VLOOKUP(E815,Fornecedores!$A$2:$B$2700,2,FALSE),"")</f>
        <v/>
      </c>
      <c r="G815" s="52">
        <f>VLOOKUP(A815,[2]CMV!$A$1:$F$2043,6,FALSE)</f>
        <v>0</v>
      </c>
      <c r="H815" s="57"/>
      <c r="I815" s="55">
        <f t="shared" si="303"/>
        <v>0</v>
      </c>
      <c r="J815" s="55">
        <v>0</v>
      </c>
      <c r="K815" s="55">
        <v>0</v>
      </c>
      <c r="L815" s="55">
        <v>0</v>
      </c>
      <c r="M815" s="55">
        <v>0</v>
      </c>
      <c r="N815" s="55">
        <f t="shared" si="304"/>
        <v>0</v>
      </c>
      <c r="O815" s="55">
        <v>0</v>
      </c>
      <c r="P815" s="55">
        <v>0</v>
      </c>
      <c r="Q815" s="55">
        <v>0</v>
      </c>
      <c r="R815" s="55">
        <f t="shared" si="305"/>
        <v>0</v>
      </c>
      <c r="S815" s="55">
        <v>0</v>
      </c>
      <c r="T815" s="55">
        <v>0</v>
      </c>
      <c r="U815" s="55">
        <v>0</v>
      </c>
      <c r="V815" s="55">
        <v>0</v>
      </c>
      <c r="W815" s="53">
        <v>0</v>
      </c>
      <c r="X815" s="53">
        <v>0</v>
      </c>
      <c r="Y815" s="55">
        <v>0</v>
      </c>
      <c r="Z815" s="55">
        <v>0</v>
      </c>
      <c r="AA815" s="53">
        <v>0</v>
      </c>
      <c r="AB815" s="53">
        <v>0</v>
      </c>
      <c r="AC815" s="55">
        <v>0</v>
      </c>
      <c r="AD815" s="55">
        <f t="shared" si="295"/>
        <v>0</v>
      </c>
      <c r="AE815" s="53">
        <v>0</v>
      </c>
      <c r="AF815" s="55">
        <v>0</v>
      </c>
      <c r="AG815" s="55">
        <v>0</v>
      </c>
      <c r="AH815" s="55">
        <f t="shared" si="296"/>
        <v>0</v>
      </c>
      <c r="AI815" s="55">
        <v>0</v>
      </c>
      <c r="AJ815" s="55">
        <v>0</v>
      </c>
      <c r="AK815" s="55">
        <v>0</v>
      </c>
      <c r="AL815" s="55">
        <f t="shared" si="297"/>
        <v>0</v>
      </c>
      <c r="AM815" s="55" t="s">
        <v>1912</v>
      </c>
      <c r="AN815" s="55">
        <v>0</v>
      </c>
      <c r="AO815" s="55">
        <v>0</v>
      </c>
      <c r="AP815" s="55">
        <f t="shared" si="284"/>
        <v>0</v>
      </c>
      <c r="AQ815" s="55">
        <f>IFERROR(VLOOKUP(A815,[1]SIIMPLES!$A$2:$F$418,6,FALSE),0)</f>
        <v>0</v>
      </c>
      <c r="AR815" s="55">
        <v>0</v>
      </c>
      <c r="AS815" s="55">
        <v>0</v>
      </c>
      <c r="AT815" s="55">
        <v>0</v>
      </c>
      <c r="AU815" s="55">
        <v>0</v>
      </c>
      <c r="AV815" s="55">
        <v>0</v>
      </c>
      <c r="AW815" s="57"/>
      <c r="AX815" s="55"/>
      <c r="AY815" s="56">
        <f t="shared" si="298"/>
        <v>0</v>
      </c>
      <c r="AZ815" s="55"/>
      <c r="BA815" s="56">
        <v>0</v>
      </c>
      <c r="BB815" s="41" t="str">
        <f t="shared" si="301"/>
        <v/>
      </c>
      <c r="BC815" s="7"/>
      <c r="BD815" s="35"/>
      <c r="BE815" s="7"/>
      <c r="BF815" s="16"/>
      <c r="BG815" s="17" t="str">
        <f t="shared" si="302"/>
        <v>0</v>
      </c>
      <c r="BH815" s="16">
        <f t="shared" si="306"/>
        <v>0</v>
      </c>
    </row>
    <row r="816" spans="1:60" ht="12.75" customHeight="1" x14ac:dyDescent="0.2">
      <c r="A816" s="51">
        <v>110914</v>
      </c>
      <c r="B816" s="51" t="s">
        <v>1077</v>
      </c>
      <c r="C816" s="66" t="s">
        <v>1803</v>
      </c>
      <c r="D816" s="65" t="s">
        <v>737</v>
      </c>
      <c r="E816" s="67" t="s">
        <v>727</v>
      </c>
      <c r="F816" s="53">
        <f>IFERROR(VLOOKUP(E816,Fornecedores!$A$2:$B$2700,2,FALSE),"")</f>
        <v>1</v>
      </c>
      <c r="G816" s="52" t="s">
        <v>772</v>
      </c>
      <c r="H816" s="54"/>
      <c r="I816" s="55">
        <f t="shared" si="303"/>
        <v>25</v>
      </c>
      <c r="J816" s="55">
        <v>25</v>
      </c>
      <c r="K816" s="55">
        <v>0</v>
      </c>
      <c r="L816" s="55">
        <v>0</v>
      </c>
      <c r="M816" s="55">
        <v>0</v>
      </c>
      <c r="N816" s="55">
        <f t="shared" si="304"/>
        <v>22</v>
      </c>
      <c r="O816" s="55">
        <v>22</v>
      </c>
      <c r="P816" s="55">
        <v>0</v>
      </c>
      <c r="Q816" s="55">
        <v>0</v>
      </c>
      <c r="R816" s="55">
        <f t="shared" si="305"/>
        <v>37</v>
      </c>
      <c r="S816" s="55">
        <v>37</v>
      </c>
      <c r="T816" s="55">
        <v>0</v>
      </c>
      <c r="U816" s="55">
        <v>0</v>
      </c>
      <c r="V816" s="55">
        <v>25</v>
      </c>
      <c r="W816" s="53">
        <v>25</v>
      </c>
      <c r="X816" s="53">
        <v>0</v>
      </c>
      <c r="Y816" s="55">
        <v>0</v>
      </c>
      <c r="Z816" s="55">
        <v>38</v>
      </c>
      <c r="AA816" s="53">
        <v>38</v>
      </c>
      <c r="AB816" s="53">
        <v>0</v>
      </c>
      <c r="AC816" s="55">
        <v>0</v>
      </c>
      <c r="AD816" s="55">
        <f t="shared" si="295"/>
        <v>33</v>
      </c>
      <c r="AE816" s="53">
        <v>33</v>
      </c>
      <c r="AF816" s="55">
        <v>0</v>
      </c>
      <c r="AG816" s="55">
        <v>0</v>
      </c>
      <c r="AH816" s="55">
        <f t="shared" si="296"/>
        <v>42</v>
      </c>
      <c r="AI816" s="55">
        <v>42</v>
      </c>
      <c r="AJ816" s="55">
        <v>0</v>
      </c>
      <c r="AK816" s="55">
        <v>0</v>
      </c>
      <c r="AL816" s="55">
        <f t="shared" si="297"/>
        <v>5</v>
      </c>
      <c r="AM816" s="55">
        <v>5</v>
      </c>
      <c r="AN816" s="55">
        <v>0</v>
      </c>
      <c r="AO816" s="55">
        <v>0</v>
      </c>
      <c r="AP816" s="55">
        <f t="shared" si="284"/>
        <v>0</v>
      </c>
      <c r="AQ816" s="55">
        <f>IFERROR(VLOOKUP(A816,[1]SIIMPLES!$A$2:$F$418,6,FALSE),0)</f>
        <v>0</v>
      </c>
      <c r="AR816" s="55">
        <v>0</v>
      </c>
      <c r="AS816" s="55">
        <v>0</v>
      </c>
      <c r="AT816" s="55">
        <v>0</v>
      </c>
      <c r="AU816" s="55">
        <v>0</v>
      </c>
      <c r="AV816" s="55">
        <v>0</v>
      </c>
      <c r="AW816" s="55"/>
      <c r="AX816" s="55"/>
      <c r="AY816" s="56">
        <f t="shared" si="298"/>
        <v>22.7</v>
      </c>
      <c r="AZ816" s="55"/>
      <c r="BA816" s="56">
        <v>22</v>
      </c>
      <c r="BB816" s="41">
        <f t="shared" si="301"/>
        <v>3.1818181818181746E-2</v>
      </c>
      <c r="BC816" s="13"/>
      <c r="BD816" s="35"/>
      <c r="BE816" s="13"/>
      <c r="BF816" s="16"/>
      <c r="BG816" s="17">
        <f t="shared" si="302"/>
        <v>0</v>
      </c>
      <c r="BH816" s="16">
        <f t="shared" si="306"/>
        <v>68.099999999999994</v>
      </c>
    </row>
    <row r="817" spans="1:60" ht="12.75" customHeight="1" x14ac:dyDescent="0.2">
      <c r="A817" s="51">
        <v>442084</v>
      </c>
      <c r="B817" s="51" t="s">
        <v>1077</v>
      </c>
      <c r="C817" s="66" t="s">
        <v>1803</v>
      </c>
      <c r="D817" s="52" t="s">
        <v>728</v>
      </c>
      <c r="E817" s="65" t="s">
        <v>780</v>
      </c>
      <c r="F817" s="53">
        <f>IFERROR(VLOOKUP(E817,Fornecedores!$A$2:$B$2700,2,FALSE),"")</f>
        <v>2</v>
      </c>
      <c r="G817" s="52" t="s">
        <v>601</v>
      </c>
      <c r="H817" s="57"/>
      <c r="I817" s="55">
        <f t="shared" si="303"/>
        <v>8</v>
      </c>
      <c r="J817" s="55">
        <v>3</v>
      </c>
      <c r="K817" s="55">
        <v>5</v>
      </c>
      <c r="L817" s="55">
        <v>0</v>
      </c>
      <c r="M817" s="55">
        <v>0</v>
      </c>
      <c r="N817" s="55">
        <f t="shared" si="304"/>
        <v>3</v>
      </c>
      <c r="O817" s="55">
        <v>1</v>
      </c>
      <c r="P817" s="55">
        <v>2</v>
      </c>
      <c r="Q817" s="55">
        <v>0</v>
      </c>
      <c r="R817" s="55">
        <f t="shared" si="305"/>
        <v>1</v>
      </c>
      <c r="S817" s="55">
        <v>1</v>
      </c>
      <c r="T817" s="55">
        <v>0</v>
      </c>
      <c r="U817" s="55">
        <v>0</v>
      </c>
      <c r="V817" s="55">
        <v>0</v>
      </c>
      <c r="W817" s="53">
        <v>0</v>
      </c>
      <c r="X817" s="53">
        <v>0</v>
      </c>
      <c r="Y817" s="55">
        <v>0</v>
      </c>
      <c r="Z817" s="55">
        <v>0</v>
      </c>
      <c r="AA817" s="53">
        <v>0</v>
      </c>
      <c r="AB817" s="53">
        <v>0</v>
      </c>
      <c r="AC817" s="55">
        <v>0</v>
      </c>
      <c r="AD817" s="55">
        <f t="shared" si="295"/>
        <v>4</v>
      </c>
      <c r="AE817" s="53">
        <v>2</v>
      </c>
      <c r="AF817" s="55">
        <v>2</v>
      </c>
      <c r="AG817" s="55">
        <v>0</v>
      </c>
      <c r="AH817" s="55">
        <f t="shared" si="296"/>
        <v>6</v>
      </c>
      <c r="AI817" s="55">
        <v>2</v>
      </c>
      <c r="AJ817" s="55">
        <v>4</v>
      </c>
      <c r="AK817" s="55">
        <v>0</v>
      </c>
      <c r="AL817" s="55">
        <f t="shared" si="297"/>
        <v>0</v>
      </c>
      <c r="AM817" s="55" t="s">
        <v>1912</v>
      </c>
      <c r="AN817" s="55">
        <v>0</v>
      </c>
      <c r="AO817" s="55">
        <v>0</v>
      </c>
      <c r="AP817" s="55">
        <f t="shared" si="284"/>
        <v>0</v>
      </c>
      <c r="AQ817" s="55">
        <f>IFERROR(VLOOKUP(A817,[1]SIIMPLES!$A$2:$F$418,6,FALSE),0)</f>
        <v>0</v>
      </c>
      <c r="AR817" s="55">
        <v>0</v>
      </c>
      <c r="AS817" s="55">
        <v>0</v>
      </c>
      <c r="AT817" s="55">
        <v>0</v>
      </c>
      <c r="AU817" s="55">
        <v>0</v>
      </c>
      <c r="AV817" s="55">
        <v>0</v>
      </c>
      <c r="AW817" s="55"/>
      <c r="AX817" s="55"/>
      <c r="AY817" s="56">
        <f t="shared" si="298"/>
        <v>2.2000000000000002</v>
      </c>
      <c r="AZ817" s="55"/>
      <c r="BA817" s="56">
        <v>1</v>
      </c>
      <c r="BB817" s="41">
        <f t="shared" si="301"/>
        <v>1.2000000000000002</v>
      </c>
      <c r="BC817" s="13"/>
      <c r="BD817" s="35"/>
      <c r="BE817" s="13"/>
      <c r="BF817" s="16"/>
      <c r="BG817" s="17">
        <f t="shared" si="302"/>
        <v>0</v>
      </c>
      <c r="BH817" s="16">
        <f t="shared" si="306"/>
        <v>2.2000000000000002</v>
      </c>
    </row>
    <row r="818" spans="1:60" ht="12.75" customHeight="1" x14ac:dyDescent="0.2">
      <c r="A818" s="51">
        <v>332002</v>
      </c>
      <c r="B818" s="51" t="s">
        <v>1077</v>
      </c>
      <c r="C818" s="66" t="s">
        <v>1803</v>
      </c>
      <c r="D818" s="52" t="s">
        <v>728</v>
      </c>
      <c r="E818" s="65" t="s">
        <v>780</v>
      </c>
      <c r="F818" s="53">
        <f>IFERROR(VLOOKUP(E818,Fornecedores!$A$2:$B$2700,2,FALSE),"")</f>
        <v>2</v>
      </c>
      <c r="G818" s="52" t="s">
        <v>407</v>
      </c>
      <c r="H818" s="57"/>
      <c r="I818" s="55">
        <f t="shared" si="303"/>
        <v>1</v>
      </c>
      <c r="J818" s="55">
        <v>0</v>
      </c>
      <c r="K818" s="55">
        <v>1</v>
      </c>
      <c r="L818" s="55">
        <v>0</v>
      </c>
      <c r="M818" s="55">
        <v>0</v>
      </c>
      <c r="N818" s="55">
        <f t="shared" si="304"/>
        <v>0</v>
      </c>
      <c r="O818" s="55">
        <v>0</v>
      </c>
      <c r="P818" s="55">
        <v>0</v>
      </c>
      <c r="Q818" s="55">
        <v>0</v>
      </c>
      <c r="R818" s="55">
        <f t="shared" si="305"/>
        <v>1</v>
      </c>
      <c r="S818" s="55">
        <v>1</v>
      </c>
      <c r="T818" s="55">
        <v>0</v>
      </c>
      <c r="U818" s="55">
        <v>0</v>
      </c>
      <c r="V818" s="55">
        <v>0</v>
      </c>
      <c r="W818" s="53">
        <v>0</v>
      </c>
      <c r="X818" s="53">
        <v>0</v>
      </c>
      <c r="Y818" s="55">
        <v>0</v>
      </c>
      <c r="Z818" s="55">
        <v>0</v>
      </c>
      <c r="AA818" s="53">
        <v>0</v>
      </c>
      <c r="AB818" s="53">
        <v>0</v>
      </c>
      <c r="AC818" s="55">
        <v>0</v>
      </c>
      <c r="AD818" s="55">
        <f t="shared" si="295"/>
        <v>0</v>
      </c>
      <c r="AE818" s="53">
        <v>0</v>
      </c>
      <c r="AF818" s="55">
        <v>0</v>
      </c>
      <c r="AG818" s="55">
        <v>0</v>
      </c>
      <c r="AH818" s="55">
        <f t="shared" si="296"/>
        <v>5</v>
      </c>
      <c r="AI818" s="55">
        <v>2</v>
      </c>
      <c r="AJ818" s="55">
        <v>3</v>
      </c>
      <c r="AK818" s="55">
        <v>0</v>
      </c>
      <c r="AL818" s="55">
        <f t="shared" si="297"/>
        <v>2</v>
      </c>
      <c r="AM818" s="55" t="s">
        <v>1912</v>
      </c>
      <c r="AN818" s="55">
        <v>2</v>
      </c>
      <c r="AO818" s="55">
        <v>0</v>
      </c>
      <c r="AP818" s="55">
        <f t="shared" si="284"/>
        <v>0</v>
      </c>
      <c r="AQ818" s="55">
        <f>IFERROR(VLOOKUP(A818,[1]SIIMPLES!$A$2:$F$418,6,FALSE),0)</f>
        <v>0</v>
      </c>
      <c r="AR818" s="55">
        <v>0</v>
      </c>
      <c r="AS818" s="55">
        <v>0</v>
      </c>
      <c r="AT818" s="55">
        <v>0</v>
      </c>
      <c r="AU818" s="55">
        <v>0</v>
      </c>
      <c r="AV818" s="55">
        <v>0</v>
      </c>
      <c r="AW818" s="55"/>
      <c r="AX818" s="55"/>
      <c r="AY818" s="56">
        <f t="shared" si="298"/>
        <v>0.9</v>
      </c>
      <c r="AZ818" s="55"/>
      <c r="BA818" s="56">
        <v>2.5</v>
      </c>
      <c r="BB818" s="41">
        <f t="shared" si="301"/>
        <v>-0.64</v>
      </c>
      <c r="BC818" s="10"/>
      <c r="BD818" s="35"/>
      <c r="BE818" s="13"/>
      <c r="BF818" s="16"/>
      <c r="BG818" s="17">
        <f t="shared" si="302"/>
        <v>0</v>
      </c>
      <c r="BH818" s="16">
        <f>ROUND(IFERROR(IF(F818=1,IF(BC818&lt;AY818*3,AY818*3-BC818,0),IF(BC818&lt;AY818,AY818*0.6-BC818,0)),""),0)</f>
        <v>1</v>
      </c>
    </row>
    <row r="819" spans="1:60" ht="12.75" customHeight="1" x14ac:dyDescent="0.2">
      <c r="A819" s="51">
        <v>205051</v>
      </c>
      <c r="B819" s="51"/>
      <c r="C819" s="66" t="s">
        <v>1803</v>
      </c>
      <c r="D819" s="52">
        <v>0</v>
      </c>
      <c r="E819" s="52">
        <f>VLOOKUP(A819,[2]CMV!$A$1:$E$2043,5,FALSE)</f>
        <v>0</v>
      </c>
      <c r="F819" s="53" t="str">
        <f>IFERROR(VLOOKUP(E819,Fornecedores!$A$2:$B$2700,2,FALSE),"")</f>
        <v/>
      </c>
      <c r="G819" s="52">
        <f>VLOOKUP(A819,[2]CMV!$A$1:$F$2043,6,FALSE)</f>
        <v>0</v>
      </c>
      <c r="H819" s="57"/>
      <c r="I819" s="55">
        <f t="shared" si="303"/>
        <v>0</v>
      </c>
      <c r="J819" s="55">
        <v>0</v>
      </c>
      <c r="K819" s="55">
        <v>0</v>
      </c>
      <c r="L819" s="55">
        <v>0</v>
      </c>
      <c r="M819" s="55">
        <v>0</v>
      </c>
      <c r="N819" s="55">
        <f t="shared" si="304"/>
        <v>0</v>
      </c>
      <c r="O819" s="57"/>
      <c r="P819" s="57"/>
      <c r="Q819" s="57"/>
      <c r="R819" s="55">
        <f t="shared" si="305"/>
        <v>1</v>
      </c>
      <c r="S819" s="55">
        <v>0</v>
      </c>
      <c r="T819" s="55">
        <v>0</v>
      </c>
      <c r="U819" s="55">
        <v>1</v>
      </c>
      <c r="V819" s="55">
        <v>0</v>
      </c>
      <c r="W819" s="53">
        <v>0</v>
      </c>
      <c r="X819" s="53">
        <v>0</v>
      </c>
      <c r="Y819" s="55">
        <v>0</v>
      </c>
      <c r="Z819" s="55">
        <v>0</v>
      </c>
      <c r="AA819" s="53">
        <v>0</v>
      </c>
      <c r="AB819" s="53">
        <v>0</v>
      </c>
      <c r="AC819" s="55">
        <v>0</v>
      </c>
      <c r="AD819" s="55">
        <f t="shared" si="295"/>
        <v>0</v>
      </c>
      <c r="AE819" s="53">
        <v>0</v>
      </c>
      <c r="AF819" s="55">
        <v>0</v>
      </c>
      <c r="AG819" s="55">
        <v>0</v>
      </c>
      <c r="AH819" s="55">
        <f t="shared" si="296"/>
        <v>0</v>
      </c>
      <c r="AI819" s="55">
        <v>0</v>
      </c>
      <c r="AJ819" s="55">
        <v>0</v>
      </c>
      <c r="AK819" s="55">
        <v>0</v>
      </c>
      <c r="AL819" s="55">
        <f t="shared" si="297"/>
        <v>0</v>
      </c>
      <c r="AM819" s="55" t="s">
        <v>1912</v>
      </c>
      <c r="AN819" s="55">
        <v>0</v>
      </c>
      <c r="AO819" s="55">
        <v>0</v>
      </c>
      <c r="AP819" s="55">
        <f t="shared" si="284"/>
        <v>0</v>
      </c>
      <c r="AQ819" s="55">
        <f>IFERROR(VLOOKUP(A819,[1]SIIMPLES!$A$2:$F$418,6,FALSE),0)</f>
        <v>0</v>
      </c>
      <c r="AR819" s="55">
        <v>0</v>
      </c>
      <c r="AS819" s="55">
        <v>2</v>
      </c>
      <c r="AT819" s="55">
        <v>2</v>
      </c>
      <c r="AU819" s="55">
        <v>0</v>
      </c>
      <c r="AV819" s="55">
        <v>0</v>
      </c>
      <c r="AW819" s="57"/>
      <c r="AX819" s="57"/>
      <c r="AY819" s="56">
        <f t="shared" si="298"/>
        <v>0.3</v>
      </c>
      <c r="AZ819" s="57"/>
      <c r="BA819" s="56" t="s">
        <v>1912</v>
      </c>
      <c r="BB819" s="41" t="str">
        <f t="shared" si="301"/>
        <v/>
      </c>
      <c r="BC819" s="13"/>
      <c r="BD819" s="35"/>
      <c r="BE819" s="13"/>
      <c r="BF819" s="16">
        <f>SUM(BC819:BE819)</f>
        <v>0</v>
      </c>
      <c r="BG819" s="17">
        <f t="shared" si="302"/>
        <v>0</v>
      </c>
      <c r="BH819" s="16">
        <f t="shared" ref="BH819:BH849" si="307">IFERROR(IF(F819=1,IF(BC819&lt;AY819*3,AY819*3-BC819,0),IF(BC819&lt;AY819,AY819-BC819,0)),"")</f>
        <v>0.3</v>
      </c>
    </row>
    <row r="820" spans="1:60" ht="12.75" customHeight="1" x14ac:dyDescent="0.2">
      <c r="A820" s="51">
        <v>221142</v>
      </c>
      <c r="B820" s="51" t="s">
        <v>1077</v>
      </c>
      <c r="C820" s="66" t="s">
        <v>1803</v>
      </c>
      <c r="D820" s="65" t="s">
        <v>1778</v>
      </c>
      <c r="E820" s="52" t="s">
        <v>732</v>
      </c>
      <c r="F820" s="53">
        <f>IFERROR(VLOOKUP(E820,Fornecedores!$A$2:$B$2700,2,FALSE),"")</f>
        <v>6</v>
      </c>
      <c r="G820" s="52" t="s">
        <v>511</v>
      </c>
      <c r="H820" s="54"/>
      <c r="I820" s="55">
        <f t="shared" si="303"/>
        <v>8</v>
      </c>
      <c r="J820" s="55">
        <v>8</v>
      </c>
      <c r="K820" s="55">
        <v>0</v>
      </c>
      <c r="L820" s="55">
        <v>0</v>
      </c>
      <c r="M820" s="55">
        <v>0</v>
      </c>
      <c r="N820" s="55">
        <f t="shared" si="304"/>
        <v>5</v>
      </c>
      <c r="O820" s="55">
        <v>5</v>
      </c>
      <c r="P820" s="55">
        <v>0</v>
      </c>
      <c r="Q820" s="55">
        <v>0</v>
      </c>
      <c r="R820" s="55">
        <f t="shared" si="305"/>
        <v>0</v>
      </c>
      <c r="S820" s="55">
        <v>0</v>
      </c>
      <c r="T820" s="55">
        <v>0</v>
      </c>
      <c r="U820" s="55">
        <v>0</v>
      </c>
      <c r="V820" s="55">
        <v>0</v>
      </c>
      <c r="W820" s="53">
        <v>0</v>
      </c>
      <c r="X820" s="53">
        <v>0</v>
      </c>
      <c r="Y820" s="55">
        <v>0</v>
      </c>
      <c r="Z820" s="55">
        <v>2</v>
      </c>
      <c r="AA820" s="53">
        <v>2</v>
      </c>
      <c r="AB820" s="53">
        <v>0</v>
      </c>
      <c r="AC820" s="55">
        <v>0</v>
      </c>
      <c r="AD820" s="55">
        <f t="shared" si="295"/>
        <v>2</v>
      </c>
      <c r="AE820" s="53">
        <v>2</v>
      </c>
      <c r="AF820" s="55">
        <v>0</v>
      </c>
      <c r="AG820" s="55">
        <v>0</v>
      </c>
      <c r="AH820" s="55">
        <f t="shared" si="296"/>
        <v>2</v>
      </c>
      <c r="AI820" s="55">
        <v>2</v>
      </c>
      <c r="AJ820" s="55">
        <v>0</v>
      </c>
      <c r="AK820" s="55">
        <v>0</v>
      </c>
      <c r="AL820" s="55">
        <f t="shared" si="297"/>
        <v>3</v>
      </c>
      <c r="AM820" s="55">
        <v>3</v>
      </c>
      <c r="AN820" s="55">
        <v>0</v>
      </c>
      <c r="AO820" s="55">
        <v>0</v>
      </c>
      <c r="AP820" s="55">
        <f t="shared" ref="AP820:AP883" si="308">SUM(AQ820:AR820)</f>
        <v>0</v>
      </c>
      <c r="AQ820" s="55">
        <f>IFERROR(VLOOKUP(A820,[1]SIIMPLES!$A$2:$F$418,6,FALSE),0)</f>
        <v>0</v>
      </c>
      <c r="AR820" s="55">
        <v>0</v>
      </c>
      <c r="AS820" s="55">
        <v>0</v>
      </c>
      <c r="AT820" s="55">
        <v>0</v>
      </c>
      <c r="AU820" s="55">
        <v>0</v>
      </c>
      <c r="AV820" s="55">
        <v>0</v>
      </c>
      <c r="AW820" s="55"/>
      <c r="AX820" s="55"/>
      <c r="AY820" s="56">
        <f t="shared" si="298"/>
        <v>2.2000000000000002</v>
      </c>
      <c r="AZ820" s="55"/>
      <c r="BA820" s="56">
        <v>5.333333333333333</v>
      </c>
      <c r="BB820" s="41">
        <f t="shared" si="301"/>
        <v>-0.58749999999999991</v>
      </c>
      <c r="BC820" s="13"/>
      <c r="BD820" s="35"/>
      <c r="BE820" s="13"/>
      <c r="BF820" s="16"/>
      <c r="BG820" s="17">
        <f t="shared" si="302"/>
        <v>0</v>
      </c>
      <c r="BH820" s="16">
        <f t="shared" si="307"/>
        <v>2.2000000000000002</v>
      </c>
    </row>
    <row r="821" spans="1:60" ht="12.75" customHeight="1" x14ac:dyDescent="0.2">
      <c r="A821" s="82">
        <v>112054</v>
      </c>
      <c r="B821" s="28"/>
      <c r="C821" s="28" t="s">
        <v>1803</v>
      </c>
      <c r="D821" s="83" t="s">
        <v>1917</v>
      </c>
      <c r="E821" s="83" t="s">
        <v>780</v>
      </c>
      <c r="F821" s="84"/>
      <c r="G821" s="85" t="s">
        <v>2022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3">
        <f t="shared" si="296"/>
        <v>3</v>
      </c>
      <c r="AI821" s="7"/>
      <c r="AJ821" s="7"/>
      <c r="AK821" s="55">
        <v>3</v>
      </c>
      <c r="AL821" s="55">
        <f t="shared" si="297"/>
        <v>0</v>
      </c>
      <c r="AM821" s="55" t="s">
        <v>1912</v>
      </c>
      <c r="AN821" s="55">
        <v>0</v>
      </c>
      <c r="AO821" s="55">
        <v>0</v>
      </c>
      <c r="AP821" s="55">
        <f t="shared" si="308"/>
        <v>0</v>
      </c>
      <c r="AQ821" s="55">
        <f>IFERROR(VLOOKUP(A821,[1]SIIMPLES!$A$2:$F$418,6,FALSE),0)</f>
        <v>0</v>
      </c>
      <c r="AR821" s="55">
        <v>0</v>
      </c>
      <c r="AS821" s="55">
        <v>0</v>
      </c>
      <c r="AT821" s="55">
        <v>0</v>
      </c>
      <c r="AU821" s="55">
        <v>0</v>
      </c>
      <c r="AV821" s="55">
        <v>0</v>
      </c>
      <c r="AW821" s="7"/>
      <c r="AX821" s="7"/>
      <c r="AY821" s="7"/>
      <c r="AZ821" s="7"/>
      <c r="BA821" s="7"/>
      <c r="BB821" s="41" t="str">
        <f t="shared" si="301"/>
        <v/>
      </c>
      <c r="BC821" s="7"/>
      <c r="BD821" s="35"/>
      <c r="BE821" s="13"/>
      <c r="BF821" s="16"/>
      <c r="BG821" s="17" t="str">
        <f t="shared" si="302"/>
        <v>0</v>
      </c>
      <c r="BH821" s="16">
        <f t="shared" si="307"/>
        <v>0</v>
      </c>
    </row>
    <row r="822" spans="1:60" ht="12.75" customHeight="1" x14ac:dyDescent="0.2">
      <c r="A822" s="82">
        <v>112055</v>
      </c>
      <c r="B822" s="28"/>
      <c r="C822" s="28" t="s">
        <v>1803</v>
      </c>
      <c r="D822" s="83" t="s">
        <v>1917</v>
      </c>
      <c r="E822" s="83" t="s">
        <v>780</v>
      </c>
      <c r="F822" s="84"/>
      <c r="G822" s="85" t="s">
        <v>2021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3">
        <f t="shared" si="296"/>
        <v>3</v>
      </c>
      <c r="AI822" s="7"/>
      <c r="AJ822" s="7"/>
      <c r="AK822" s="55">
        <v>3</v>
      </c>
      <c r="AL822" s="55">
        <f t="shared" si="297"/>
        <v>0</v>
      </c>
      <c r="AM822" s="55" t="s">
        <v>1912</v>
      </c>
      <c r="AN822" s="55">
        <v>0</v>
      </c>
      <c r="AO822" s="55">
        <v>0</v>
      </c>
      <c r="AP822" s="55">
        <f t="shared" si="308"/>
        <v>0</v>
      </c>
      <c r="AQ822" s="55">
        <f>IFERROR(VLOOKUP(A822,[1]SIIMPLES!$A$2:$F$418,6,FALSE),0)</f>
        <v>0</v>
      </c>
      <c r="AR822" s="55">
        <v>0</v>
      </c>
      <c r="AS822" s="55">
        <v>0</v>
      </c>
      <c r="AT822" s="55">
        <v>0</v>
      </c>
      <c r="AU822" s="55">
        <v>0</v>
      </c>
      <c r="AV822" s="55">
        <v>0</v>
      </c>
      <c r="AW822" s="7"/>
      <c r="AX822" s="7"/>
      <c r="AY822" s="7"/>
      <c r="AZ822" s="7"/>
      <c r="BA822" s="7"/>
      <c r="BB822" s="41" t="str">
        <f t="shared" si="301"/>
        <v/>
      </c>
      <c r="BC822" s="7"/>
      <c r="BD822" s="35"/>
      <c r="BE822" s="13"/>
      <c r="BF822" s="16">
        <f t="shared" ref="BF822:BF828" si="309">SUM(BC822:BE822)</f>
        <v>0</v>
      </c>
      <c r="BG822" s="17" t="str">
        <f t="shared" si="302"/>
        <v>0</v>
      </c>
      <c r="BH822" s="16">
        <f t="shared" si="307"/>
        <v>0</v>
      </c>
    </row>
    <row r="823" spans="1:60" ht="12.75" customHeight="1" x14ac:dyDescent="0.2">
      <c r="A823" s="51">
        <v>112093</v>
      </c>
      <c r="B823" s="51"/>
      <c r="C823" s="66" t="s">
        <v>1803</v>
      </c>
      <c r="D823" s="52" t="s">
        <v>728</v>
      </c>
      <c r="E823" s="65" t="s">
        <v>780</v>
      </c>
      <c r="F823" s="53">
        <f>IFERROR(VLOOKUP(E823,Fornecedores!$A$2:$B$2700,2,FALSE),"")</f>
        <v>2</v>
      </c>
      <c r="G823" s="52" t="s">
        <v>1808</v>
      </c>
      <c r="H823" s="57"/>
      <c r="I823" s="55">
        <f t="shared" ref="I823:I863" si="310">SUM(J823:M823)</f>
        <v>0</v>
      </c>
      <c r="J823" s="55">
        <v>0</v>
      </c>
      <c r="K823" s="55">
        <v>0</v>
      </c>
      <c r="L823" s="55">
        <v>0</v>
      </c>
      <c r="M823" s="55">
        <v>0</v>
      </c>
      <c r="N823" s="55">
        <f t="shared" ref="N823:N863" si="311">SUM(O823:Q823)</f>
        <v>3</v>
      </c>
      <c r="O823" s="55">
        <v>3</v>
      </c>
      <c r="P823" s="55">
        <v>0</v>
      </c>
      <c r="Q823" s="55">
        <v>0</v>
      </c>
      <c r="R823" s="55">
        <f t="shared" ref="R823:R863" si="312">SUM(S823:U823)</f>
        <v>3</v>
      </c>
      <c r="S823" s="55">
        <v>3</v>
      </c>
      <c r="T823" s="55">
        <v>0</v>
      </c>
      <c r="U823" s="55">
        <v>0</v>
      </c>
      <c r="V823" s="55">
        <v>3</v>
      </c>
      <c r="W823" s="53">
        <v>3</v>
      </c>
      <c r="X823" s="53">
        <v>0</v>
      </c>
      <c r="Y823" s="55">
        <v>0</v>
      </c>
      <c r="Z823" s="55">
        <v>0</v>
      </c>
      <c r="AA823" s="53">
        <v>0</v>
      </c>
      <c r="AB823" s="53">
        <v>0</v>
      </c>
      <c r="AC823" s="55">
        <v>0</v>
      </c>
      <c r="AD823" s="55">
        <f t="shared" ref="AD823:AD863" si="313">SUM(AE823:AG823)</f>
        <v>3</v>
      </c>
      <c r="AE823" s="53">
        <v>3</v>
      </c>
      <c r="AF823" s="55">
        <v>0</v>
      </c>
      <c r="AG823" s="55">
        <v>0</v>
      </c>
      <c r="AH823" s="55">
        <f t="shared" si="296"/>
        <v>3</v>
      </c>
      <c r="AI823" s="55">
        <v>3</v>
      </c>
      <c r="AJ823" s="55">
        <v>0</v>
      </c>
      <c r="AK823" s="55">
        <v>0</v>
      </c>
      <c r="AL823" s="55">
        <f t="shared" si="297"/>
        <v>3</v>
      </c>
      <c r="AM823" s="55">
        <v>3</v>
      </c>
      <c r="AN823" s="55">
        <v>0</v>
      </c>
      <c r="AO823" s="55">
        <v>0</v>
      </c>
      <c r="AP823" s="55">
        <f t="shared" si="308"/>
        <v>0</v>
      </c>
      <c r="AQ823" s="55">
        <f>IFERROR(VLOOKUP(A823,[1]SIIMPLES!$A$2:$F$418,6,FALSE),0)</f>
        <v>0</v>
      </c>
      <c r="AR823" s="55">
        <v>0</v>
      </c>
      <c r="AS823" s="55">
        <v>0</v>
      </c>
      <c r="AT823" s="55">
        <v>0</v>
      </c>
      <c r="AU823" s="55">
        <v>0</v>
      </c>
      <c r="AV823" s="55">
        <v>0</v>
      </c>
      <c r="AW823" s="55"/>
      <c r="AX823" s="55"/>
      <c r="AY823" s="56">
        <f t="shared" ref="AY823:AY886" si="314">IFERROR(AVERAGE(I823,N823,R823,V823,Z823,AD823,AH823,AL823,AP823,AS823,AW823,AX823),"-")</f>
        <v>1.8</v>
      </c>
      <c r="AZ823" s="55"/>
      <c r="BA823" s="56">
        <v>8</v>
      </c>
      <c r="BB823" s="41">
        <f t="shared" si="301"/>
        <v>-0.77500000000000002</v>
      </c>
      <c r="BC823" s="13"/>
      <c r="BD823" s="35"/>
      <c r="BE823" s="13"/>
      <c r="BF823" s="16">
        <f t="shared" si="309"/>
        <v>0</v>
      </c>
      <c r="BG823" s="17">
        <f t="shared" si="302"/>
        <v>0</v>
      </c>
      <c r="BH823" s="16">
        <f t="shared" si="307"/>
        <v>1.8</v>
      </c>
    </row>
    <row r="824" spans="1:60" ht="12.75" customHeight="1" x14ac:dyDescent="0.2">
      <c r="A824" s="51">
        <v>332003</v>
      </c>
      <c r="B824" s="51" t="s">
        <v>1077</v>
      </c>
      <c r="C824" s="66" t="s">
        <v>1803</v>
      </c>
      <c r="D824" s="52" t="s">
        <v>728</v>
      </c>
      <c r="E824" s="65" t="s">
        <v>780</v>
      </c>
      <c r="F824" s="53">
        <f>IFERROR(VLOOKUP(E824,Fornecedores!$A$2:$B$2700,2,FALSE),"")</f>
        <v>2</v>
      </c>
      <c r="G824" s="52" t="s">
        <v>401</v>
      </c>
      <c r="H824" s="57"/>
      <c r="I824" s="55">
        <f t="shared" si="310"/>
        <v>1</v>
      </c>
      <c r="J824" s="55">
        <v>0</v>
      </c>
      <c r="K824" s="55">
        <v>1</v>
      </c>
      <c r="L824" s="55">
        <v>0</v>
      </c>
      <c r="M824" s="55">
        <v>0</v>
      </c>
      <c r="N824" s="55">
        <f t="shared" si="311"/>
        <v>1</v>
      </c>
      <c r="O824" s="55">
        <v>1</v>
      </c>
      <c r="P824" s="55">
        <v>0</v>
      </c>
      <c r="Q824" s="55">
        <v>0</v>
      </c>
      <c r="R824" s="55">
        <f t="shared" si="312"/>
        <v>0</v>
      </c>
      <c r="S824" s="55">
        <v>0</v>
      </c>
      <c r="T824" s="55">
        <v>0</v>
      </c>
      <c r="U824" s="55">
        <v>0</v>
      </c>
      <c r="V824" s="55">
        <v>0</v>
      </c>
      <c r="W824" s="53">
        <v>0</v>
      </c>
      <c r="X824" s="53">
        <v>0</v>
      </c>
      <c r="Y824" s="55">
        <v>0</v>
      </c>
      <c r="Z824" s="55">
        <v>0</v>
      </c>
      <c r="AA824" s="53">
        <v>0</v>
      </c>
      <c r="AB824" s="53">
        <v>0</v>
      </c>
      <c r="AC824" s="55">
        <v>0</v>
      </c>
      <c r="AD824" s="55">
        <f t="shared" si="313"/>
        <v>0</v>
      </c>
      <c r="AE824" s="53">
        <v>0</v>
      </c>
      <c r="AF824" s="55">
        <v>0</v>
      </c>
      <c r="AG824" s="55">
        <v>0</v>
      </c>
      <c r="AH824" s="55">
        <f t="shared" si="296"/>
        <v>3</v>
      </c>
      <c r="AI824" s="55">
        <v>0</v>
      </c>
      <c r="AJ824" s="55">
        <v>3</v>
      </c>
      <c r="AK824" s="55">
        <v>0</v>
      </c>
      <c r="AL824" s="55">
        <f t="shared" si="297"/>
        <v>2</v>
      </c>
      <c r="AM824" s="55" t="s">
        <v>1912</v>
      </c>
      <c r="AN824" s="55">
        <v>2</v>
      </c>
      <c r="AO824" s="55">
        <v>0</v>
      </c>
      <c r="AP824" s="55">
        <f t="shared" si="308"/>
        <v>0</v>
      </c>
      <c r="AQ824" s="55">
        <f>IFERROR(VLOOKUP(A824,[1]SIIMPLES!$A$2:$F$418,6,FALSE),0)</f>
        <v>0</v>
      </c>
      <c r="AR824" s="55">
        <v>0</v>
      </c>
      <c r="AS824" s="55">
        <v>0</v>
      </c>
      <c r="AT824" s="55">
        <v>0</v>
      </c>
      <c r="AU824" s="55">
        <v>0</v>
      </c>
      <c r="AV824" s="55">
        <v>0</v>
      </c>
      <c r="AW824" s="55"/>
      <c r="AX824" s="55"/>
      <c r="AY824" s="56">
        <f t="shared" si="314"/>
        <v>0.7</v>
      </c>
      <c r="AZ824" s="55"/>
      <c r="BA824" s="56">
        <v>3</v>
      </c>
      <c r="BB824" s="41">
        <f t="shared" si="301"/>
        <v>-0.76666666666666672</v>
      </c>
      <c r="BC824" s="13"/>
      <c r="BD824" s="35"/>
      <c r="BE824" s="13"/>
      <c r="BF824" s="16">
        <f t="shared" si="309"/>
        <v>0</v>
      </c>
      <c r="BG824" s="17">
        <f t="shared" si="302"/>
        <v>0</v>
      </c>
      <c r="BH824" s="16">
        <f t="shared" si="307"/>
        <v>0.7</v>
      </c>
    </row>
    <row r="825" spans="1:60" ht="12.75" customHeight="1" x14ac:dyDescent="0.2">
      <c r="A825" s="51">
        <v>772146</v>
      </c>
      <c r="B825" s="51" t="s">
        <v>1077</v>
      </c>
      <c r="C825" s="66" t="s">
        <v>1803</v>
      </c>
      <c r="D825" s="52" t="s">
        <v>728</v>
      </c>
      <c r="E825" s="65" t="s">
        <v>780</v>
      </c>
      <c r="F825" s="53">
        <f>IFERROR(VLOOKUP(E825,Fornecedores!$A$2:$B$2700,2,FALSE),"")</f>
        <v>2</v>
      </c>
      <c r="G825" s="52" t="s">
        <v>558</v>
      </c>
      <c r="H825" s="57"/>
      <c r="I825" s="55">
        <f t="shared" si="310"/>
        <v>1</v>
      </c>
      <c r="J825" s="55">
        <v>1</v>
      </c>
      <c r="K825" s="55">
        <v>0</v>
      </c>
      <c r="L825" s="55">
        <v>0</v>
      </c>
      <c r="M825" s="55">
        <v>0</v>
      </c>
      <c r="N825" s="55">
        <f t="shared" si="311"/>
        <v>0</v>
      </c>
      <c r="O825" s="55">
        <v>0</v>
      </c>
      <c r="P825" s="55">
        <v>0</v>
      </c>
      <c r="Q825" s="55">
        <v>0</v>
      </c>
      <c r="R825" s="55">
        <f t="shared" si="312"/>
        <v>5</v>
      </c>
      <c r="S825" s="55">
        <v>5</v>
      </c>
      <c r="T825" s="55">
        <v>0</v>
      </c>
      <c r="U825" s="55">
        <v>0</v>
      </c>
      <c r="V825" s="55">
        <v>4</v>
      </c>
      <c r="W825" s="53">
        <v>1</v>
      </c>
      <c r="X825" s="53">
        <v>3</v>
      </c>
      <c r="Y825" s="55">
        <v>0</v>
      </c>
      <c r="Z825" s="55">
        <v>0</v>
      </c>
      <c r="AA825" s="53">
        <v>0</v>
      </c>
      <c r="AB825" s="53">
        <v>0</v>
      </c>
      <c r="AC825" s="55">
        <v>0</v>
      </c>
      <c r="AD825" s="55">
        <f t="shared" si="313"/>
        <v>0</v>
      </c>
      <c r="AE825" s="53">
        <v>0</v>
      </c>
      <c r="AF825" s="55">
        <v>0</v>
      </c>
      <c r="AG825" s="55">
        <v>0</v>
      </c>
      <c r="AH825" s="55">
        <f t="shared" si="296"/>
        <v>3</v>
      </c>
      <c r="AI825" s="55">
        <v>2</v>
      </c>
      <c r="AJ825" s="55">
        <v>1</v>
      </c>
      <c r="AK825" s="55">
        <v>0</v>
      </c>
      <c r="AL825" s="55">
        <f t="shared" si="297"/>
        <v>1</v>
      </c>
      <c r="AM825" s="55" t="s">
        <v>1912</v>
      </c>
      <c r="AN825" s="55">
        <v>1</v>
      </c>
      <c r="AO825" s="55">
        <v>0</v>
      </c>
      <c r="AP825" s="55">
        <f t="shared" si="308"/>
        <v>0</v>
      </c>
      <c r="AQ825" s="55">
        <f>IFERROR(VLOOKUP(A825,[1]SIIMPLES!$A$2:$F$418,6,FALSE),0)</f>
        <v>0</v>
      </c>
      <c r="AR825" s="55">
        <v>0</v>
      </c>
      <c r="AS825" s="55">
        <v>1</v>
      </c>
      <c r="AT825" s="55">
        <v>0</v>
      </c>
      <c r="AU825" s="55">
        <v>1</v>
      </c>
      <c r="AV825" s="55">
        <v>0</v>
      </c>
      <c r="AW825" s="55"/>
      <c r="AX825" s="55"/>
      <c r="AY825" s="56">
        <f t="shared" si="314"/>
        <v>1.5</v>
      </c>
      <c r="AZ825" s="55"/>
      <c r="BA825" s="56">
        <v>1.3333333333333333</v>
      </c>
      <c r="BB825" s="41">
        <f t="shared" si="301"/>
        <v>0.125</v>
      </c>
      <c r="BC825" s="13"/>
      <c r="BD825" s="35"/>
      <c r="BE825" s="13"/>
      <c r="BF825" s="16">
        <f t="shared" si="309"/>
        <v>0</v>
      </c>
      <c r="BG825" s="17">
        <f t="shared" si="302"/>
        <v>0</v>
      </c>
      <c r="BH825" s="16">
        <f t="shared" si="307"/>
        <v>1.5</v>
      </c>
    </row>
    <row r="826" spans="1:60" ht="12.75" customHeight="1" x14ac:dyDescent="0.2">
      <c r="A826" s="51">
        <v>222016</v>
      </c>
      <c r="B826" s="51" t="s">
        <v>1077</v>
      </c>
      <c r="C826" s="66" t="s">
        <v>1803</v>
      </c>
      <c r="D826" s="52" t="s">
        <v>728</v>
      </c>
      <c r="E826" s="65" t="s">
        <v>780</v>
      </c>
      <c r="F826" s="53">
        <f>IFERROR(VLOOKUP(E826,Fornecedores!$A$2:$B$2700,2,FALSE),"")</f>
        <v>2</v>
      </c>
      <c r="G826" s="52" t="s">
        <v>1810</v>
      </c>
      <c r="H826" s="57"/>
      <c r="I826" s="55">
        <f t="shared" si="310"/>
        <v>0</v>
      </c>
      <c r="J826" s="55">
        <v>0</v>
      </c>
      <c r="K826" s="55">
        <v>0</v>
      </c>
      <c r="L826" s="55">
        <v>0</v>
      </c>
      <c r="M826" s="55">
        <v>0</v>
      </c>
      <c r="N826" s="55">
        <f t="shared" si="311"/>
        <v>0</v>
      </c>
      <c r="O826" s="55">
        <v>0</v>
      </c>
      <c r="P826" s="55">
        <v>0</v>
      </c>
      <c r="Q826" s="55">
        <v>0</v>
      </c>
      <c r="R826" s="55">
        <f t="shared" si="312"/>
        <v>0</v>
      </c>
      <c r="S826" s="55">
        <v>0</v>
      </c>
      <c r="T826" s="55">
        <v>0</v>
      </c>
      <c r="U826" s="55">
        <v>0</v>
      </c>
      <c r="V826" s="55">
        <v>2</v>
      </c>
      <c r="W826" s="53">
        <v>1</v>
      </c>
      <c r="X826" s="53">
        <v>1</v>
      </c>
      <c r="Y826" s="55">
        <v>0</v>
      </c>
      <c r="Z826" s="55">
        <v>0</v>
      </c>
      <c r="AA826" s="53">
        <v>0</v>
      </c>
      <c r="AB826" s="53">
        <v>0</v>
      </c>
      <c r="AC826" s="55">
        <v>0</v>
      </c>
      <c r="AD826" s="55">
        <f t="shared" si="313"/>
        <v>0</v>
      </c>
      <c r="AE826" s="53">
        <v>0</v>
      </c>
      <c r="AF826" s="55">
        <v>0</v>
      </c>
      <c r="AG826" s="55">
        <v>0</v>
      </c>
      <c r="AH826" s="55">
        <f t="shared" si="296"/>
        <v>2</v>
      </c>
      <c r="AI826" s="55">
        <v>2</v>
      </c>
      <c r="AJ826" s="55">
        <v>0</v>
      </c>
      <c r="AK826" s="55">
        <v>0</v>
      </c>
      <c r="AL826" s="55">
        <f t="shared" si="297"/>
        <v>0</v>
      </c>
      <c r="AM826" s="55" t="s">
        <v>1912</v>
      </c>
      <c r="AN826" s="55">
        <v>0</v>
      </c>
      <c r="AO826" s="55">
        <v>0</v>
      </c>
      <c r="AP826" s="55">
        <f t="shared" si="308"/>
        <v>0</v>
      </c>
      <c r="AQ826" s="55">
        <f>IFERROR(VLOOKUP(A826,[1]SIIMPLES!$A$2:$F$418,6,FALSE),0)</f>
        <v>0</v>
      </c>
      <c r="AR826" s="55">
        <v>0</v>
      </c>
      <c r="AS826" s="55">
        <v>4</v>
      </c>
      <c r="AT826" s="55">
        <v>2</v>
      </c>
      <c r="AU826" s="55">
        <v>2</v>
      </c>
      <c r="AV826" s="55">
        <v>0</v>
      </c>
      <c r="AW826" s="55"/>
      <c r="AX826" s="55"/>
      <c r="AY826" s="56">
        <f t="shared" si="314"/>
        <v>0.8</v>
      </c>
      <c r="AZ826" s="55"/>
      <c r="BA826" s="56">
        <v>1</v>
      </c>
      <c r="BB826" s="41">
        <f t="shared" si="301"/>
        <v>-0.19999999999999996</v>
      </c>
      <c r="BC826" s="13"/>
      <c r="BD826" s="35"/>
      <c r="BE826" s="13"/>
      <c r="BF826" s="16">
        <f t="shared" si="309"/>
        <v>0</v>
      </c>
      <c r="BG826" s="17">
        <f t="shared" si="302"/>
        <v>0</v>
      </c>
      <c r="BH826" s="16">
        <f t="shared" si="307"/>
        <v>0.8</v>
      </c>
    </row>
    <row r="827" spans="1:60" ht="12.75" customHeight="1" x14ac:dyDescent="0.2">
      <c r="A827" s="51">
        <v>222099</v>
      </c>
      <c r="B827" s="51" t="s">
        <v>1077</v>
      </c>
      <c r="C827" s="66" t="s">
        <v>1803</v>
      </c>
      <c r="D827" s="52" t="s">
        <v>728</v>
      </c>
      <c r="E827" s="65" t="s">
        <v>780</v>
      </c>
      <c r="F827" s="53">
        <f>IFERROR(VLOOKUP(E827,Fornecedores!$A$2:$B$2700,2,FALSE),"")</f>
        <v>2</v>
      </c>
      <c r="G827" s="52" t="s">
        <v>1299</v>
      </c>
      <c r="H827" s="57"/>
      <c r="I827" s="55">
        <f t="shared" si="310"/>
        <v>0</v>
      </c>
      <c r="J827" s="55">
        <v>0</v>
      </c>
      <c r="K827" s="55">
        <v>0</v>
      </c>
      <c r="L827" s="55">
        <v>0</v>
      </c>
      <c r="M827" s="55">
        <v>0</v>
      </c>
      <c r="N827" s="55">
        <f t="shared" si="311"/>
        <v>4</v>
      </c>
      <c r="O827" s="55">
        <v>0</v>
      </c>
      <c r="P827" s="55">
        <v>4</v>
      </c>
      <c r="Q827" s="55">
        <v>0</v>
      </c>
      <c r="R827" s="55">
        <f t="shared" si="312"/>
        <v>2</v>
      </c>
      <c r="S827" s="55">
        <v>0</v>
      </c>
      <c r="T827" s="55">
        <v>2</v>
      </c>
      <c r="U827" s="55">
        <v>0</v>
      </c>
      <c r="V827" s="55">
        <v>0</v>
      </c>
      <c r="W827" s="53">
        <v>0</v>
      </c>
      <c r="X827" s="53">
        <v>0</v>
      </c>
      <c r="Y827" s="55">
        <v>0</v>
      </c>
      <c r="Z827" s="55">
        <v>0</v>
      </c>
      <c r="AA827" s="53">
        <v>0</v>
      </c>
      <c r="AB827" s="53">
        <v>0</v>
      </c>
      <c r="AC827" s="55">
        <v>0</v>
      </c>
      <c r="AD827" s="55">
        <f t="shared" si="313"/>
        <v>0</v>
      </c>
      <c r="AE827" s="53">
        <v>0</v>
      </c>
      <c r="AF827" s="55">
        <v>0</v>
      </c>
      <c r="AG827" s="55">
        <v>0</v>
      </c>
      <c r="AH827" s="55">
        <f t="shared" si="296"/>
        <v>2</v>
      </c>
      <c r="AI827" s="55">
        <v>0</v>
      </c>
      <c r="AJ827" s="55">
        <v>2</v>
      </c>
      <c r="AK827" s="55">
        <v>0</v>
      </c>
      <c r="AL827" s="55">
        <f t="shared" si="297"/>
        <v>0</v>
      </c>
      <c r="AM827" s="55" t="s">
        <v>1912</v>
      </c>
      <c r="AN827" s="55">
        <v>0</v>
      </c>
      <c r="AO827" s="55">
        <v>0</v>
      </c>
      <c r="AP827" s="55">
        <f t="shared" si="308"/>
        <v>0</v>
      </c>
      <c r="AQ827" s="55">
        <f>IFERROR(VLOOKUP(A827,[1]SIIMPLES!$A$2:$F$418,6,FALSE),0)</f>
        <v>0</v>
      </c>
      <c r="AR827" s="55">
        <v>0</v>
      </c>
      <c r="AS827" s="55">
        <v>5</v>
      </c>
      <c r="AT827" s="55">
        <v>1</v>
      </c>
      <c r="AU827" s="55">
        <v>4</v>
      </c>
      <c r="AV827" s="55">
        <v>0</v>
      </c>
      <c r="AW827" s="55"/>
      <c r="AX827" s="55"/>
      <c r="AY827" s="56">
        <f t="shared" si="314"/>
        <v>1.3</v>
      </c>
      <c r="AZ827" s="55"/>
      <c r="BA827" s="56">
        <v>2.3333333333333335</v>
      </c>
      <c r="BB827" s="41">
        <f t="shared" ref="BB827:BB841" si="315">IFERROR(AY827/BA827-1,"")</f>
        <v>-0.44285714285714284</v>
      </c>
      <c r="BC827" s="13"/>
      <c r="BD827" s="35"/>
      <c r="BE827" s="13"/>
      <c r="BF827" s="16">
        <f t="shared" si="309"/>
        <v>0</v>
      </c>
      <c r="BG827" s="17">
        <f t="shared" si="302"/>
        <v>0</v>
      </c>
      <c r="BH827" s="16">
        <f t="shared" si="307"/>
        <v>1.3</v>
      </c>
    </row>
    <row r="828" spans="1:60" ht="12.75" customHeight="1" x14ac:dyDescent="0.2">
      <c r="A828" s="51">
        <v>332074</v>
      </c>
      <c r="B828" s="51"/>
      <c r="C828" s="66" t="s">
        <v>1803</v>
      </c>
      <c r="D828" s="52" t="s">
        <v>728</v>
      </c>
      <c r="E828" s="65" t="s">
        <v>780</v>
      </c>
      <c r="F828" s="53">
        <f>IFERROR(VLOOKUP(E828,Fornecedores!$A$2:$B$2700,2,FALSE),"")</f>
        <v>2</v>
      </c>
      <c r="G828" s="52" t="s">
        <v>1308</v>
      </c>
      <c r="H828" s="57"/>
      <c r="I828" s="55">
        <f t="shared" si="310"/>
        <v>0</v>
      </c>
      <c r="J828" s="55">
        <v>0</v>
      </c>
      <c r="K828" s="55">
        <v>0</v>
      </c>
      <c r="L828" s="55">
        <v>0</v>
      </c>
      <c r="M828" s="55">
        <v>0</v>
      </c>
      <c r="N828" s="55">
        <f t="shared" si="311"/>
        <v>1</v>
      </c>
      <c r="O828" s="55">
        <v>1</v>
      </c>
      <c r="P828" s="55">
        <v>0</v>
      </c>
      <c r="Q828" s="55">
        <v>0</v>
      </c>
      <c r="R828" s="55">
        <f t="shared" si="312"/>
        <v>0</v>
      </c>
      <c r="S828" s="55">
        <v>0</v>
      </c>
      <c r="T828" s="55">
        <v>0</v>
      </c>
      <c r="U828" s="55">
        <v>0</v>
      </c>
      <c r="V828" s="55">
        <v>0</v>
      </c>
      <c r="W828" s="53">
        <v>0</v>
      </c>
      <c r="X828" s="53">
        <v>0</v>
      </c>
      <c r="Y828" s="55">
        <v>0</v>
      </c>
      <c r="Z828" s="55">
        <v>0</v>
      </c>
      <c r="AA828" s="53">
        <v>0</v>
      </c>
      <c r="AB828" s="53">
        <v>0</v>
      </c>
      <c r="AC828" s="55">
        <v>0</v>
      </c>
      <c r="AD828" s="55">
        <f t="shared" si="313"/>
        <v>0</v>
      </c>
      <c r="AE828" s="53">
        <v>0</v>
      </c>
      <c r="AF828" s="55">
        <v>0</v>
      </c>
      <c r="AG828" s="55">
        <v>0</v>
      </c>
      <c r="AH828" s="55">
        <f t="shared" si="296"/>
        <v>2</v>
      </c>
      <c r="AI828" s="55">
        <v>1</v>
      </c>
      <c r="AJ828" s="55">
        <v>1</v>
      </c>
      <c r="AK828" s="55">
        <v>0</v>
      </c>
      <c r="AL828" s="55">
        <f t="shared" si="297"/>
        <v>1</v>
      </c>
      <c r="AM828" s="55" t="s">
        <v>1912</v>
      </c>
      <c r="AN828" s="55">
        <v>1</v>
      </c>
      <c r="AO828" s="55">
        <v>0</v>
      </c>
      <c r="AP828" s="55">
        <f t="shared" si="308"/>
        <v>0</v>
      </c>
      <c r="AQ828" s="55">
        <f>IFERROR(VLOOKUP(A828,[1]SIIMPLES!$A$2:$F$418,6,FALSE),0)</f>
        <v>0</v>
      </c>
      <c r="AR828" s="55">
        <v>0</v>
      </c>
      <c r="AS828" s="55">
        <v>0</v>
      </c>
      <c r="AT828" s="55">
        <v>0</v>
      </c>
      <c r="AU828" s="55">
        <v>0</v>
      </c>
      <c r="AV828" s="55">
        <v>0</v>
      </c>
      <c r="AW828" s="55"/>
      <c r="AX828" s="55"/>
      <c r="AY828" s="56">
        <f t="shared" si="314"/>
        <v>0.4</v>
      </c>
      <c r="AZ828" s="55"/>
      <c r="BA828" s="56">
        <v>0</v>
      </c>
      <c r="BB828" s="41" t="str">
        <f t="shared" si="315"/>
        <v/>
      </c>
      <c r="BC828" s="13"/>
      <c r="BD828" s="35"/>
      <c r="BE828" s="13"/>
      <c r="BF828" s="16">
        <f t="shared" si="309"/>
        <v>0</v>
      </c>
      <c r="BG828" s="17">
        <f t="shared" si="302"/>
        <v>0</v>
      </c>
      <c r="BH828" s="16">
        <f t="shared" si="307"/>
        <v>0.4</v>
      </c>
    </row>
    <row r="829" spans="1:60" ht="12.75" customHeight="1" x14ac:dyDescent="0.2">
      <c r="A829" s="51">
        <v>332077</v>
      </c>
      <c r="B829" s="51"/>
      <c r="C829" s="66" t="s">
        <v>1803</v>
      </c>
      <c r="D829" s="52" t="s">
        <v>728</v>
      </c>
      <c r="E829" s="65" t="s">
        <v>780</v>
      </c>
      <c r="F829" s="53">
        <f>IFERROR(VLOOKUP(E829,Fornecedores!$A$2:$B$2700,2,FALSE),"")</f>
        <v>2</v>
      </c>
      <c r="G829" s="52" t="s">
        <v>1311</v>
      </c>
      <c r="H829" s="57"/>
      <c r="I829" s="55">
        <f t="shared" si="310"/>
        <v>0</v>
      </c>
      <c r="J829" s="55">
        <v>0</v>
      </c>
      <c r="K829" s="55">
        <v>0</v>
      </c>
      <c r="L829" s="55">
        <v>0</v>
      </c>
      <c r="M829" s="55">
        <v>0</v>
      </c>
      <c r="N829" s="55">
        <f t="shared" si="311"/>
        <v>0</v>
      </c>
      <c r="O829" s="55">
        <v>0</v>
      </c>
      <c r="P829" s="55">
        <v>0</v>
      </c>
      <c r="Q829" s="55">
        <v>0</v>
      </c>
      <c r="R829" s="55">
        <f t="shared" si="312"/>
        <v>0</v>
      </c>
      <c r="S829" s="55">
        <v>0</v>
      </c>
      <c r="T829" s="55">
        <v>0</v>
      </c>
      <c r="U829" s="55">
        <v>0</v>
      </c>
      <c r="V829" s="55">
        <v>0</v>
      </c>
      <c r="W829" s="53">
        <v>0</v>
      </c>
      <c r="X829" s="53">
        <v>0</v>
      </c>
      <c r="Y829" s="55">
        <v>0</v>
      </c>
      <c r="Z829" s="55">
        <v>0</v>
      </c>
      <c r="AA829" s="53">
        <v>0</v>
      </c>
      <c r="AB829" s="53">
        <v>0</v>
      </c>
      <c r="AC829" s="55">
        <v>0</v>
      </c>
      <c r="AD829" s="55">
        <f t="shared" si="313"/>
        <v>2</v>
      </c>
      <c r="AE829" s="53">
        <v>2</v>
      </c>
      <c r="AF829" s="55">
        <v>0</v>
      </c>
      <c r="AG829" s="55">
        <v>0</v>
      </c>
      <c r="AH829" s="55">
        <f t="shared" si="296"/>
        <v>2</v>
      </c>
      <c r="AI829" s="55">
        <v>2</v>
      </c>
      <c r="AJ829" s="55">
        <v>0</v>
      </c>
      <c r="AK829" s="55">
        <v>0</v>
      </c>
      <c r="AL829" s="55">
        <f t="shared" si="297"/>
        <v>1</v>
      </c>
      <c r="AM829" s="55" t="s">
        <v>1912</v>
      </c>
      <c r="AN829" s="55">
        <v>1</v>
      </c>
      <c r="AO829" s="55">
        <v>0</v>
      </c>
      <c r="AP829" s="55">
        <f t="shared" si="308"/>
        <v>0</v>
      </c>
      <c r="AQ829" s="55">
        <f>IFERROR(VLOOKUP(A829,[1]SIIMPLES!$A$2:$F$418,6,FALSE),0)</f>
        <v>0</v>
      </c>
      <c r="AR829" s="55">
        <v>0</v>
      </c>
      <c r="AS829" s="55">
        <v>2</v>
      </c>
      <c r="AT829" s="55">
        <v>1</v>
      </c>
      <c r="AU829" s="55">
        <v>0</v>
      </c>
      <c r="AV829" s="55">
        <v>1</v>
      </c>
      <c r="AW829" s="55"/>
      <c r="AX829" s="55"/>
      <c r="AY829" s="56">
        <f t="shared" si="314"/>
        <v>0.7</v>
      </c>
      <c r="AZ829" s="55"/>
      <c r="BA829" s="56">
        <v>0</v>
      </c>
      <c r="BB829" s="41" t="str">
        <f t="shared" si="315"/>
        <v/>
      </c>
      <c r="BC829" s="13"/>
      <c r="BD829" s="35"/>
      <c r="BE829" s="13"/>
      <c r="BF829" s="16"/>
      <c r="BG829" s="17">
        <f t="shared" si="302"/>
        <v>0</v>
      </c>
      <c r="BH829" s="16">
        <f t="shared" si="307"/>
        <v>0.7</v>
      </c>
    </row>
    <row r="830" spans="1:60" ht="12.75" customHeight="1" x14ac:dyDescent="0.2">
      <c r="A830" s="51">
        <v>332153</v>
      </c>
      <c r="B830" s="51" t="s">
        <v>1077</v>
      </c>
      <c r="C830" s="66" t="s">
        <v>1803</v>
      </c>
      <c r="D830" s="52" t="s">
        <v>728</v>
      </c>
      <c r="E830" s="65" t="s">
        <v>780</v>
      </c>
      <c r="F830" s="53">
        <f>IFERROR(VLOOKUP(E830,Fornecedores!$A$2:$B$2700,2,FALSE),"")</f>
        <v>2</v>
      </c>
      <c r="G830" s="52" t="s">
        <v>1322</v>
      </c>
      <c r="H830" s="57"/>
      <c r="I830" s="55">
        <f t="shared" si="310"/>
        <v>0</v>
      </c>
      <c r="J830" s="55">
        <v>0</v>
      </c>
      <c r="K830" s="55">
        <v>0</v>
      </c>
      <c r="L830" s="55">
        <v>0</v>
      </c>
      <c r="M830" s="55">
        <v>0</v>
      </c>
      <c r="N830" s="55">
        <f t="shared" si="311"/>
        <v>0</v>
      </c>
      <c r="O830" s="55">
        <v>0</v>
      </c>
      <c r="P830" s="55">
        <v>0</v>
      </c>
      <c r="Q830" s="55">
        <v>0</v>
      </c>
      <c r="R830" s="55">
        <f t="shared" si="312"/>
        <v>1</v>
      </c>
      <c r="S830" s="55">
        <v>1</v>
      </c>
      <c r="T830" s="55">
        <v>0</v>
      </c>
      <c r="U830" s="55">
        <v>0</v>
      </c>
      <c r="V830" s="55">
        <v>0</v>
      </c>
      <c r="W830" s="53">
        <v>0</v>
      </c>
      <c r="X830" s="53">
        <v>0</v>
      </c>
      <c r="Y830" s="55">
        <v>0</v>
      </c>
      <c r="Z830" s="55">
        <v>1</v>
      </c>
      <c r="AA830" s="53">
        <v>1</v>
      </c>
      <c r="AB830" s="53">
        <v>0</v>
      </c>
      <c r="AC830" s="55">
        <v>0</v>
      </c>
      <c r="AD830" s="55">
        <f t="shared" si="313"/>
        <v>2</v>
      </c>
      <c r="AE830" s="53">
        <v>2</v>
      </c>
      <c r="AF830" s="55">
        <v>0</v>
      </c>
      <c r="AG830" s="55">
        <v>0</v>
      </c>
      <c r="AH830" s="55">
        <f t="shared" si="296"/>
        <v>2</v>
      </c>
      <c r="AI830" s="55">
        <v>2</v>
      </c>
      <c r="AJ830" s="55">
        <v>0</v>
      </c>
      <c r="AK830" s="55">
        <v>0</v>
      </c>
      <c r="AL830" s="55">
        <f t="shared" si="297"/>
        <v>1</v>
      </c>
      <c r="AM830" s="55">
        <v>1</v>
      </c>
      <c r="AN830" s="55">
        <v>0</v>
      </c>
      <c r="AO830" s="55">
        <v>0</v>
      </c>
      <c r="AP830" s="55">
        <f t="shared" si="308"/>
        <v>0</v>
      </c>
      <c r="AQ830" s="55">
        <f>IFERROR(VLOOKUP(A830,[1]SIIMPLES!$A$2:$F$418,6,FALSE),0)</f>
        <v>0</v>
      </c>
      <c r="AR830" s="55">
        <v>0</v>
      </c>
      <c r="AS830" s="55">
        <v>0</v>
      </c>
      <c r="AT830" s="55">
        <v>0</v>
      </c>
      <c r="AU830" s="55">
        <v>0</v>
      </c>
      <c r="AV830" s="55">
        <v>0</v>
      </c>
      <c r="AW830" s="55"/>
      <c r="AX830" s="55"/>
      <c r="AY830" s="56">
        <f t="shared" si="314"/>
        <v>0.7</v>
      </c>
      <c r="AZ830" s="55"/>
      <c r="BA830" s="56">
        <v>0</v>
      </c>
      <c r="BB830" s="41" t="str">
        <f t="shared" si="315"/>
        <v/>
      </c>
      <c r="BC830" s="13"/>
      <c r="BD830" s="35"/>
      <c r="BE830" s="13"/>
      <c r="BF830" s="16"/>
      <c r="BG830" s="17">
        <f t="shared" si="302"/>
        <v>0</v>
      </c>
      <c r="BH830" s="16">
        <f t="shared" si="307"/>
        <v>0.7</v>
      </c>
    </row>
    <row r="831" spans="1:60" ht="12.75" customHeight="1" x14ac:dyDescent="0.2">
      <c r="A831" s="51">
        <v>442083</v>
      </c>
      <c r="B831" s="51" t="s">
        <v>1077</v>
      </c>
      <c r="C831" s="66" t="s">
        <v>1803</v>
      </c>
      <c r="D831" s="52" t="s">
        <v>728</v>
      </c>
      <c r="E831" s="65" t="s">
        <v>780</v>
      </c>
      <c r="F831" s="53">
        <f>IFERROR(VLOOKUP(E831,Fornecedores!$A$2:$B$2700,2,FALSE),"")</f>
        <v>2</v>
      </c>
      <c r="G831" s="52" t="s">
        <v>626</v>
      </c>
      <c r="H831" s="57"/>
      <c r="I831" s="55">
        <f t="shared" si="310"/>
        <v>0</v>
      </c>
      <c r="J831" s="55">
        <v>0</v>
      </c>
      <c r="K831" s="55">
        <v>0</v>
      </c>
      <c r="L831" s="55">
        <v>0</v>
      </c>
      <c r="M831" s="55">
        <v>0</v>
      </c>
      <c r="N831" s="55">
        <f t="shared" si="311"/>
        <v>2</v>
      </c>
      <c r="O831" s="55">
        <v>2</v>
      </c>
      <c r="P831" s="55">
        <v>0</v>
      </c>
      <c r="Q831" s="55">
        <v>0</v>
      </c>
      <c r="R831" s="55">
        <f t="shared" si="312"/>
        <v>1</v>
      </c>
      <c r="S831" s="55">
        <v>1</v>
      </c>
      <c r="T831" s="55">
        <v>0</v>
      </c>
      <c r="U831" s="55">
        <v>0</v>
      </c>
      <c r="V831" s="55">
        <v>0</v>
      </c>
      <c r="W831" s="53">
        <v>0</v>
      </c>
      <c r="X831" s="53">
        <v>0</v>
      </c>
      <c r="Y831" s="55">
        <v>0</v>
      </c>
      <c r="Z831" s="55">
        <v>10</v>
      </c>
      <c r="AA831" s="53">
        <v>2</v>
      </c>
      <c r="AB831" s="53">
        <v>4</v>
      </c>
      <c r="AC831" s="55">
        <v>4</v>
      </c>
      <c r="AD831" s="55">
        <f t="shared" si="313"/>
        <v>1</v>
      </c>
      <c r="AE831" s="53">
        <v>1</v>
      </c>
      <c r="AF831" s="55">
        <v>0</v>
      </c>
      <c r="AG831" s="55">
        <v>0</v>
      </c>
      <c r="AH831" s="55">
        <f t="shared" si="296"/>
        <v>2</v>
      </c>
      <c r="AI831" s="55">
        <v>0</v>
      </c>
      <c r="AJ831" s="55">
        <v>2</v>
      </c>
      <c r="AK831" s="55">
        <v>0</v>
      </c>
      <c r="AL831" s="55">
        <f t="shared" si="297"/>
        <v>10</v>
      </c>
      <c r="AM831" s="55" t="s">
        <v>1912</v>
      </c>
      <c r="AN831" s="55">
        <v>0</v>
      </c>
      <c r="AO831" s="55">
        <v>10</v>
      </c>
      <c r="AP831" s="55">
        <f t="shared" si="308"/>
        <v>0</v>
      </c>
      <c r="AQ831" s="55">
        <f>IFERROR(VLOOKUP(A831,[1]SIIMPLES!$A$2:$F$418,6,FALSE),0)</f>
        <v>0</v>
      </c>
      <c r="AR831" s="55">
        <v>0</v>
      </c>
      <c r="AS831" s="55">
        <v>0</v>
      </c>
      <c r="AT831" s="55">
        <v>0</v>
      </c>
      <c r="AU831" s="55">
        <v>0</v>
      </c>
      <c r="AV831" s="55">
        <v>0</v>
      </c>
      <c r="AW831" s="55"/>
      <c r="AX831" s="55"/>
      <c r="AY831" s="56">
        <f t="shared" si="314"/>
        <v>2.6</v>
      </c>
      <c r="AZ831" s="55"/>
      <c r="BA831" s="56">
        <v>11.333333333333334</v>
      </c>
      <c r="BB831" s="41">
        <f t="shared" si="315"/>
        <v>-0.77058823529411768</v>
      </c>
      <c r="BC831" s="7"/>
      <c r="BD831" s="35"/>
      <c r="BE831" s="13"/>
      <c r="BF831" s="16">
        <f t="shared" ref="BF831:BF849" si="316">SUM(BC831:BE831)</f>
        <v>0</v>
      </c>
      <c r="BG831" s="17">
        <f t="shared" si="302"/>
        <v>0</v>
      </c>
      <c r="BH831" s="16">
        <f t="shared" si="307"/>
        <v>2.6</v>
      </c>
    </row>
    <row r="832" spans="1:60" ht="12.75" customHeight="1" x14ac:dyDescent="0.2">
      <c r="A832" s="51">
        <v>662022</v>
      </c>
      <c r="B832" s="51"/>
      <c r="C832" s="66" t="s">
        <v>1803</v>
      </c>
      <c r="D832" s="52" t="s">
        <v>728</v>
      </c>
      <c r="E832" s="65" t="s">
        <v>780</v>
      </c>
      <c r="F832" s="53">
        <f>IFERROR(VLOOKUP(E832,Fornecedores!$A$2:$B$2700,2,FALSE),"")</f>
        <v>2</v>
      </c>
      <c r="G832" s="52" t="s">
        <v>1340</v>
      </c>
      <c r="H832" s="57"/>
      <c r="I832" s="55">
        <f t="shared" si="310"/>
        <v>0</v>
      </c>
      <c r="J832" s="55">
        <v>0</v>
      </c>
      <c r="K832" s="55">
        <v>0</v>
      </c>
      <c r="L832" s="55">
        <v>0</v>
      </c>
      <c r="M832" s="55">
        <v>0</v>
      </c>
      <c r="N832" s="55">
        <f t="shared" si="311"/>
        <v>0</v>
      </c>
      <c r="O832" s="55">
        <v>0</v>
      </c>
      <c r="P832" s="55">
        <v>0</v>
      </c>
      <c r="Q832" s="55">
        <v>0</v>
      </c>
      <c r="R832" s="55">
        <f t="shared" si="312"/>
        <v>0</v>
      </c>
      <c r="S832" s="55">
        <v>0</v>
      </c>
      <c r="T832" s="55">
        <v>0</v>
      </c>
      <c r="U832" s="55">
        <v>0</v>
      </c>
      <c r="V832" s="55">
        <v>2</v>
      </c>
      <c r="W832" s="53">
        <v>0</v>
      </c>
      <c r="X832" s="53">
        <v>0</v>
      </c>
      <c r="Y832" s="55">
        <v>2</v>
      </c>
      <c r="Z832" s="55">
        <v>0</v>
      </c>
      <c r="AA832" s="53">
        <v>0</v>
      </c>
      <c r="AB832" s="53">
        <v>0</v>
      </c>
      <c r="AC832" s="55">
        <v>0</v>
      </c>
      <c r="AD832" s="55">
        <f t="shared" si="313"/>
        <v>1</v>
      </c>
      <c r="AE832" s="53">
        <v>0</v>
      </c>
      <c r="AF832" s="55">
        <v>1</v>
      </c>
      <c r="AG832" s="55">
        <v>0</v>
      </c>
      <c r="AH832" s="55">
        <f t="shared" si="296"/>
        <v>2</v>
      </c>
      <c r="AI832" s="55">
        <v>0</v>
      </c>
      <c r="AJ832" s="55">
        <v>2</v>
      </c>
      <c r="AK832" s="55">
        <v>0</v>
      </c>
      <c r="AL832" s="55">
        <f t="shared" si="297"/>
        <v>2</v>
      </c>
      <c r="AM832" s="55" t="s">
        <v>1912</v>
      </c>
      <c r="AN832" s="55">
        <v>1</v>
      </c>
      <c r="AO832" s="55">
        <v>1</v>
      </c>
      <c r="AP832" s="55">
        <f t="shared" si="308"/>
        <v>0</v>
      </c>
      <c r="AQ832" s="55">
        <f>IFERROR(VLOOKUP(A832,[1]SIIMPLES!$A$2:$F$418,6,FALSE),0)</f>
        <v>0</v>
      </c>
      <c r="AR832" s="55">
        <v>0</v>
      </c>
      <c r="AS832" s="55">
        <v>3</v>
      </c>
      <c r="AT832" s="55">
        <v>0</v>
      </c>
      <c r="AU832" s="55">
        <v>3</v>
      </c>
      <c r="AV832" s="55">
        <v>0</v>
      </c>
      <c r="AW832" s="55"/>
      <c r="AX832" s="55"/>
      <c r="AY832" s="56">
        <f t="shared" si="314"/>
        <v>1</v>
      </c>
      <c r="AZ832" s="55"/>
      <c r="BA832" s="56">
        <v>0.33333333333333331</v>
      </c>
      <c r="BB832" s="41">
        <f t="shared" si="315"/>
        <v>2</v>
      </c>
      <c r="BC832" s="13"/>
      <c r="BD832" s="35"/>
      <c r="BE832" s="13"/>
      <c r="BF832" s="16">
        <f t="shared" si="316"/>
        <v>0</v>
      </c>
      <c r="BG832" s="17">
        <f t="shared" si="302"/>
        <v>0</v>
      </c>
      <c r="BH832" s="16">
        <f t="shared" si="307"/>
        <v>1</v>
      </c>
    </row>
    <row r="833" spans="1:60" ht="12.75" customHeight="1" x14ac:dyDescent="0.2">
      <c r="A833" s="51">
        <v>662023</v>
      </c>
      <c r="B833" s="51"/>
      <c r="C833" s="66" t="s">
        <v>1803</v>
      </c>
      <c r="D833" s="52" t="s">
        <v>728</v>
      </c>
      <c r="E833" s="65" t="s">
        <v>780</v>
      </c>
      <c r="F833" s="53">
        <f>IFERROR(VLOOKUP(E833,Fornecedores!$A$2:$B$2700,2,FALSE),"")</f>
        <v>2</v>
      </c>
      <c r="G833" s="52" t="s">
        <v>1341</v>
      </c>
      <c r="H833" s="57"/>
      <c r="I833" s="55">
        <f t="shared" si="310"/>
        <v>0</v>
      </c>
      <c r="J833" s="55">
        <v>0</v>
      </c>
      <c r="K833" s="55">
        <v>0</v>
      </c>
      <c r="L833" s="55">
        <v>0</v>
      </c>
      <c r="M833" s="55">
        <v>0</v>
      </c>
      <c r="N833" s="55">
        <f t="shared" si="311"/>
        <v>0</v>
      </c>
      <c r="O833" s="55">
        <v>0</v>
      </c>
      <c r="P833" s="55">
        <v>0</v>
      </c>
      <c r="Q833" s="55">
        <v>0</v>
      </c>
      <c r="R833" s="55">
        <f t="shared" si="312"/>
        <v>0</v>
      </c>
      <c r="S833" s="55">
        <v>0</v>
      </c>
      <c r="T833" s="55">
        <v>0</v>
      </c>
      <c r="U833" s="55">
        <v>0</v>
      </c>
      <c r="V833" s="55">
        <v>2</v>
      </c>
      <c r="W833" s="53">
        <v>0</v>
      </c>
      <c r="X833" s="53">
        <v>0</v>
      </c>
      <c r="Y833" s="55">
        <v>2</v>
      </c>
      <c r="Z833" s="55">
        <v>0</v>
      </c>
      <c r="AA833" s="53">
        <v>0</v>
      </c>
      <c r="AB833" s="53">
        <v>0</v>
      </c>
      <c r="AC833" s="55">
        <v>0</v>
      </c>
      <c r="AD833" s="55">
        <f t="shared" si="313"/>
        <v>1</v>
      </c>
      <c r="AE833" s="53">
        <v>0</v>
      </c>
      <c r="AF833" s="55">
        <v>1</v>
      </c>
      <c r="AG833" s="55">
        <v>0</v>
      </c>
      <c r="AH833" s="55">
        <f t="shared" si="296"/>
        <v>2</v>
      </c>
      <c r="AI833" s="55">
        <v>0</v>
      </c>
      <c r="AJ833" s="55">
        <v>2</v>
      </c>
      <c r="AK833" s="55">
        <v>0</v>
      </c>
      <c r="AL833" s="55">
        <f t="shared" si="297"/>
        <v>2</v>
      </c>
      <c r="AM833" s="55" t="s">
        <v>1912</v>
      </c>
      <c r="AN833" s="55">
        <v>1</v>
      </c>
      <c r="AO833" s="55">
        <v>1</v>
      </c>
      <c r="AP833" s="55">
        <f t="shared" si="308"/>
        <v>0</v>
      </c>
      <c r="AQ833" s="55">
        <f>IFERROR(VLOOKUP(A833,[1]SIIMPLES!$A$2:$F$418,6,FALSE),0)</f>
        <v>0</v>
      </c>
      <c r="AR833" s="55">
        <v>0</v>
      </c>
      <c r="AS833" s="55">
        <v>3</v>
      </c>
      <c r="AT833" s="55">
        <v>0</v>
      </c>
      <c r="AU833" s="55">
        <v>3</v>
      </c>
      <c r="AV833" s="55">
        <v>0</v>
      </c>
      <c r="AW833" s="55"/>
      <c r="AX833" s="55"/>
      <c r="AY833" s="56">
        <f t="shared" si="314"/>
        <v>1</v>
      </c>
      <c r="AZ833" s="55"/>
      <c r="BA833" s="56">
        <v>0.33333333333333331</v>
      </c>
      <c r="BB833" s="41">
        <f t="shared" si="315"/>
        <v>2</v>
      </c>
      <c r="BC833" s="13"/>
      <c r="BD833" s="35"/>
      <c r="BE833" s="13"/>
      <c r="BF833" s="16">
        <f t="shared" si="316"/>
        <v>0</v>
      </c>
      <c r="BG833" s="17">
        <f t="shared" ref="BG833:BG849" si="317">IFERROR(BC833/AY833,"0")</f>
        <v>0</v>
      </c>
      <c r="BH833" s="16">
        <f t="shared" si="307"/>
        <v>1</v>
      </c>
    </row>
    <row r="834" spans="1:60" ht="12.75" customHeight="1" x14ac:dyDescent="0.2">
      <c r="A834" s="51">
        <v>662061</v>
      </c>
      <c r="B834" s="51" t="s">
        <v>1077</v>
      </c>
      <c r="C834" s="66" t="s">
        <v>1803</v>
      </c>
      <c r="D834" s="52" t="s">
        <v>728</v>
      </c>
      <c r="E834" s="65" t="s">
        <v>780</v>
      </c>
      <c r="F834" s="53">
        <f>IFERROR(VLOOKUP(E834,Fornecedores!$A$2:$B$2700,2,FALSE),"")</f>
        <v>2</v>
      </c>
      <c r="G834" s="52" t="s">
        <v>688</v>
      </c>
      <c r="H834" s="57"/>
      <c r="I834" s="55">
        <f t="shared" si="310"/>
        <v>0</v>
      </c>
      <c r="J834" s="55">
        <v>0</v>
      </c>
      <c r="K834" s="55">
        <v>0</v>
      </c>
      <c r="L834" s="55">
        <v>0</v>
      </c>
      <c r="M834" s="55">
        <v>0</v>
      </c>
      <c r="N834" s="55">
        <f t="shared" si="311"/>
        <v>0</v>
      </c>
      <c r="O834" s="55">
        <v>0</v>
      </c>
      <c r="P834" s="55">
        <v>0</v>
      </c>
      <c r="Q834" s="55">
        <v>0</v>
      </c>
      <c r="R834" s="55">
        <f t="shared" si="312"/>
        <v>0</v>
      </c>
      <c r="S834" s="55">
        <v>0</v>
      </c>
      <c r="T834" s="55">
        <v>0</v>
      </c>
      <c r="U834" s="55">
        <v>0</v>
      </c>
      <c r="V834" s="55">
        <v>0</v>
      </c>
      <c r="W834" s="53">
        <v>0</v>
      </c>
      <c r="X834" s="53">
        <v>0</v>
      </c>
      <c r="Y834" s="55">
        <v>0</v>
      </c>
      <c r="Z834" s="55">
        <v>3</v>
      </c>
      <c r="AA834" s="53">
        <v>1</v>
      </c>
      <c r="AB834" s="53">
        <v>2</v>
      </c>
      <c r="AC834" s="55">
        <v>0</v>
      </c>
      <c r="AD834" s="55">
        <f t="shared" si="313"/>
        <v>0</v>
      </c>
      <c r="AE834" s="53">
        <v>0</v>
      </c>
      <c r="AF834" s="55">
        <v>0</v>
      </c>
      <c r="AG834" s="55">
        <v>0</v>
      </c>
      <c r="AH834" s="55">
        <f t="shared" si="296"/>
        <v>2</v>
      </c>
      <c r="AI834" s="55">
        <v>2</v>
      </c>
      <c r="AJ834" s="55">
        <v>0</v>
      </c>
      <c r="AK834" s="55">
        <v>0</v>
      </c>
      <c r="AL834" s="55">
        <f t="shared" si="297"/>
        <v>1</v>
      </c>
      <c r="AM834" s="55">
        <v>1</v>
      </c>
      <c r="AN834" s="55">
        <v>0</v>
      </c>
      <c r="AO834" s="55">
        <v>0</v>
      </c>
      <c r="AP834" s="55">
        <f t="shared" si="308"/>
        <v>0</v>
      </c>
      <c r="AQ834" s="55">
        <f>IFERROR(VLOOKUP(A834,[1]SIIMPLES!$A$2:$F$418,6,FALSE),0)</f>
        <v>0</v>
      </c>
      <c r="AR834" s="55">
        <v>0</v>
      </c>
      <c r="AS834" s="55">
        <v>0</v>
      </c>
      <c r="AT834" s="55">
        <v>0</v>
      </c>
      <c r="AU834" s="55">
        <v>0</v>
      </c>
      <c r="AV834" s="55">
        <v>0</v>
      </c>
      <c r="AW834" s="55"/>
      <c r="AX834" s="55"/>
      <c r="AY834" s="56">
        <f t="shared" si="314"/>
        <v>0.6</v>
      </c>
      <c r="AZ834" s="55"/>
      <c r="BA834" s="56">
        <v>3</v>
      </c>
      <c r="BB834" s="41">
        <f t="shared" si="315"/>
        <v>-0.8</v>
      </c>
      <c r="BC834" s="13"/>
      <c r="BD834" s="35"/>
      <c r="BE834" s="13"/>
      <c r="BF834" s="16">
        <f t="shared" si="316"/>
        <v>0</v>
      </c>
      <c r="BG834" s="17">
        <f t="shared" si="317"/>
        <v>0</v>
      </c>
      <c r="BH834" s="16">
        <f t="shared" si="307"/>
        <v>0.6</v>
      </c>
    </row>
    <row r="835" spans="1:60" ht="12.75" customHeight="1" x14ac:dyDescent="0.2">
      <c r="A835" s="51">
        <v>772139</v>
      </c>
      <c r="B835" s="51" t="s">
        <v>1077</v>
      </c>
      <c r="C835" s="66" t="s">
        <v>1803</v>
      </c>
      <c r="D835" s="52" t="s">
        <v>728</v>
      </c>
      <c r="E835" s="65" t="s">
        <v>780</v>
      </c>
      <c r="F835" s="53">
        <f>IFERROR(VLOOKUP(E835,Fornecedores!$A$2:$B$2700,2,FALSE),"")</f>
        <v>2</v>
      </c>
      <c r="G835" s="52" t="s">
        <v>717</v>
      </c>
      <c r="H835" s="57"/>
      <c r="I835" s="55">
        <f t="shared" si="310"/>
        <v>0</v>
      </c>
      <c r="J835" s="55">
        <v>0</v>
      </c>
      <c r="K835" s="55">
        <v>0</v>
      </c>
      <c r="L835" s="55">
        <v>0</v>
      </c>
      <c r="M835" s="55">
        <v>0</v>
      </c>
      <c r="N835" s="55">
        <f t="shared" si="311"/>
        <v>0</v>
      </c>
      <c r="O835" s="55">
        <v>0</v>
      </c>
      <c r="P835" s="55">
        <v>0</v>
      </c>
      <c r="Q835" s="55">
        <v>0</v>
      </c>
      <c r="R835" s="55">
        <f t="shared" si="312"/>
        <v>0</v>
      </c>
      <c r="S835" s="55">
        <v>0</v>
      </c>
      <c r="T835" s="55">
        <v>0</v>
      </c>
      <c r="U835" s="55">
        <v>0</v>
      </c>
      <c r="V835" s="55">
        <v>0</v>
      </c>
      <c r="W835" s="53">
        <v>0</v>
      </c>
      <c r="X835" s="53">
        <v>0</v>
      </c>
      <c r="Y835" s="55">
        <v>0</v>
      </c>
      <c r="Z835" s="55">
        <v>1</v>
      </c>
      <c r="AA835" s="53">
        <v>1</v>
      </c>
      <c r="AB835" s="53">
        <v>0</v>
      </c>
      <c r="AC835" s="55">
        <v>0</v>
      </c>
      <c r="AD835" s="55">
        <f t="shared" si="313"/>
        <v>0</v>
      </c>
      <c r="AE835" s="53">
        <v>0</v>
      </c>
      <c r="AF835" s="55">
        <v>0</v>
      </c>
      <c r="AG835" s="55">
        <v>0</v>
      </c>
      <c r="AH835" s="55">
        <f t="shared" si="296"/>
        <v>2</v>
      </c>
      <c r="AI835" s="55">
        <v>1</v>
      </c>
      <c r="AJ835" s="55">
        <v>1</v>
      </c>
      <c r="AK835" s="55">
        <v>0</v>
      </c>
      <c r="AL835" s="55">
        <f t="shared" si="297"/>
        <v>0</v>
      </c>
      <c r="AM835" s="55" t="s">
        <v>1912</v>
      </c>
      <c r="AN835" s="55">
        <v>0</v>
      </c>
      <c r="AO835" s="55">
        <v>0</v>
      </c>
      <c r="AP835" s="55">
        <f t="shared" si="308"/>
        <v>0</v>
      </c>
      <c r="AQ835" s="55">
        <f>IFERROR(VLOOKUP(A835,[1]SIIMPLES!$A$2:$F$418,6,FALSE),0)</f>
        <v>0</v>
      </c>
      <c r="AR835" s="55">
        <v>0</v>
      </c>
      <c r="AS835" s="55">
        <v>0</v>
      </c>
      <c r="AT835" s="55">
        <v>0</v>
      </c>
      <c r="AU835" s="55">
        <v>0</v>
      </c>
      <c r="AV835" s="55">
        <v>0</v>
      </c>
      <c r="AW835" s="55"/>
      <c r="AX835" s="55"/>
      <c r="AY835" s="56">
        <f t="shared" si="314"/>
        <v>0.3</v>
      </c>
      <c r="AZ835" s="55"/>
      <c r="BA835" s="56">
        <v>0.83333333333333337</v>
      </c>
      <c r="BB835" s="41">
        <f t="shared" si="315"/>
        <v>-0.64</v>
      </c>
      <c r="BC835" s="10"/>
      <c r="BD835" s="35"/>
      <c r="BE835" s="13"/>
      <c r="BF835" s="16">
        <f t="shared" si="316"/>
        <v>0</v>
      </c>
      <c r="BG835" s="17">
        <f t="shared" si="317"/>
        <v>0</v>
      </c>
      <c r="BH835" s="16">
        <f t="shared" si="307"/>
        <v>0.3</v>
      </c>
    </row>
    <row r="836" spans="1:60" ht="12.75" customHeight="1" x14ac:dyDescent="0.2">
      <c r="A836" s="51">
        <v>222021</v>
      </c>
      <c r="B836" s="51" t="s">
        <v>1077</v>
      </c>
      <c r="C836" s="66" t="s">
        <v>1803</v>
      </c>
      <c r="D836" s="52" t="s">
        <v>728</v>
      </c>
      <c r="E836" s="65" t="s">
        <v>780</v>
      </c>
      <c r="F836" s="53">
        <f>IFERROR(VLOOKUP(E836,Fornecedores!$A$2:$B$2700,2,FALSE),"")</f>
        <v>2</v>
      </c>
      <c r="G836" s="52" t="s">
        <v>545</v>
      </c>
      <c r="H836" s="57"/>
      <c r="I836" s="55">
        <f t="shared" si="310"/>
        <v>1</v>
      </c>
      <c r="J836" s="55">
        <v>1</v>
      </c>
      <c r="K836" s="55">
        <v>0</v>
      </c>
      <c r="L836" s="55">
        <v>0</v>
      </c>
      <c r="M836" s="55">
        <v>0</v>
      </c>
      <c r="N836" s="55">
        <f t="shared" si="311"/>
        <v>0</v>
      </c>
      <c r="O836" s="55">
        <v>0</v>
      </c>
      <c r="P836" s="55">
        <v>0</v>
      </c>
      <c r="Q836" s="55">
        <v>0</v>
      </c>
      <c r="R836" s="55">
        <f t="shared" si="312"/>
        <v>0</v>
      </c>
      <c r="S836" s="55">
        <v>0</v>
      </c>
      <c r="T836" s="55">
        <v>0</v>
      </c>
      <c r="U836" s="55">
        <v>0</v>
      </c>
      <c r="V836" s="55">
        <v>1</v>
      </c>
      <c r="W836" s="53">
        <v>1</v>
      </c>
      <c r="X836" s="53">
        <v>0</v>
      </c>
      <c r="Y836" s="55">
        <v>0</v>
      </c>
      <c r="Z836" s="55">
        <v>1</v>
      </c>
      <c r="AA836" s="53">
        <v>1</v>
      </c>
      <c r="AB836" s="53">
        <v>0</v>
      </c>
      <c r="AC836" s="55">
        <v>0</v>
      </c>
      <c r="AD836" s="55">
        <f t="shared" si="313"/>
        <v>1</v>
      </c>
      <c r="AE836" s="53">
        <v>1</v>
      </c>
      <c r="AF836" s="55">
        <v>0</v>
      </c>
      <c r="AG836" s="55">
        <v>0</v>
      </c>
      <c r="AH836" s="55">
        <f t="shared" si="296"/>
        <v>1</v>
      </c>
      <c r="AI836" s="55">
        <v>1</v>
      </c>
      <c r="AJ836" s="55">
        <v>0</v>
      </c>
      <c r="AK836" s="55">
        <v>0</v>
      </c>
      <c r="AL836" s="55">
        <f t="shared" si="297"/>
        <v>0</v>
      </c>
      <c r="AM836" s="55" t="s">
        <v>1912</v>
      </c>
      <c r="AN836" s="55">
        <v>0</v>
      </c>
      <c r="AO836" s="55">
        <v>0</v>
      </c>
      <c r="AP836" s="55">
        <f t="shared" si="308"/>
        <v>0</v>
      </c>
      <c r="AQ836" s="55">
        <f>IFERROR(VLOOKUP(A836,[1]SIIMPLES!$A$2:$F$418,6,FALSE),0)</f>
        <v>0</v>
      </c>
      <c r="AR836" s="55">
        <v>0</v>
      </c>
      <c r="AS836" s="55">
        <v>0</v>
      </c>
      <c r="AT836" s="55">
        <v>0</v>
      </c>
      <c r="AU836" s="55">
        <v>0</v>
      </c>
      <c r="AV836" s="55">
        <v>0</v>
      </c>
      <c r="AW836" s="55"/>
      <c r="AX836" s="55"/>
      <c r="AY836" s="56">
        <f t="shared" si="314"/>
        <v>0.5</v>
      </c>
      <c r="AZ836" s="55"/>
      <c r="BA836" s="56">
        <v>1.3333333333333333</v>
      </c>
      <c r="BB836" s="41">
        <f t="shared" si="315"/>
        <v>-0.625</v>
      </c>
      <c r="BC836" s="10"/>
      <c r="BD836" s="35"/>
      <c r="BE836" s="13"/>
      <c r="BF836" s="16">
        <f t="shared" si="316"/>
        <v>0</v>
      </c>
      <c r="BG836" s="17">
        <f t="shared" si="317"/>
        <v>0</v>
      </c>
      <c r="BH836" s="16">
        <f t="shared" si="307"/>
        <v>0.5</v>
      </c>
    </row>
    <row r="837" spans="1:60" ht="12.75" customHeight="1" x14ac:dyDescent="0.2">
      <c r="A837" s="51">
        <v>222037</v>
      </c>
      <c r="B837" s="51" t="s">
        <v>1077</v>
      </c>
      <c r="C837" s="66" t="s">
        <v>1803</v>
      </c>
      <c r="D837" s="52" t="s">
        <v>728</v>
      </c>
      <c r="E837" s="65" t="s">
        <v>780</v>
      </c>
      <c r="F837" s="53">
        <f>IFERROR(VLOOKUP(E837,Fornecedores!$A$2:$B$2700,2,FALSE),"")</f>
        <v>2</v>
      </c>
      <c r="G837" s="52" t="s">
        <v>532</v>
      </c>
      <c r="H837" s="57"/>
      <c r="I837" s="55">
        <f t="shared" si="310"/>
        <v>0</v>
      </c>
      <c r="J837" s="55">
        <v>0</v>
      </c>
      <c r="K837" s="55">
        <v>0</v>
      </c>
      <c r="L837" s="55">
        <v>0</v>
      </c>
      <c r="M837" s="55">
        <v>0</v>
      </c>
      <c r="N837" s="55">
        <f t="shared" si="311"/>
        <v>0</v>
      </c>
      <c r="O837" s="55">
        <v>0</v>
      </c>
      <c r="P837" s="55">
        <v>0</v>
      </c>
      <c r="Q837" s="55">
        <v>0</v>
      </c>
      <c r="R837" s="55">
        <f t="shared" si="312"/>
        <v>0</v>
      </c>
      <c r="S837" s="55">
        <v>0</v>
      </c>
      <c r="T837" s="55">
        <v>0</v>
      </c>
      <c r="U837" s="55">
        <v>0</v>
      </c>
      <c r="V837" s="55">
        <v>0</v>
      </c>
      <c r="W837" s="53">
        <v>0</v>
      </c>
      <c r="X837" s="53">
        <v>0</v>
      </c>
      <c r="Y837" s="55">
        <v>0</v>
      </c>
      <c r="Z837" s="55">
        <v>0</v>
      </c>
      <c r="AA837" s="53">
        <v>0</v>
      </c>
      <c r="AB837" s="53">
        <v>0</v>
      </c>
      <c r="AC837" s="55">
        <v>0</v>
      </c>
      <c r="AD837" s="55">
        <f t="shared" si="313"/>
        <v>0</v>
      </c>
      <c r="AE837" s="53">
        <v>0</v>
      </c>
      <c r="AF837" s="55">
        <v>0</v>
      </c>
      <c r="AG837" s="55">
        <v>0</v>
      </c>
      <c r="AH837" s="55">
        <f t="shared" si="296"/>
        <v>1</v>
      </c>
      <c r="AI837" s="55">
        <v>1</v>
      </c>
      <c r="AJ837" s="55">
        <v>0</v>
      </c>
      <c r="AK837" s="55">
        <v>0</v>
      </c>
      <c r="AL837" s="55">
        <f t="shared" si="297"/>
        <v>0</v>
      </c>
      <c r="AM837" s="55" t="s">
        <v>1912</v>
      </c>
      <c r="AN837" s="55">
        <v>0</v>
      </c>
      <c r="AO837" s="55">
        <v>0</v>
      </c>
      <c r="AP837" s="55">
        <f t="shared" si="308"/>
        <v>0</v>
      </c>
      <c r="AQ837" s="55">
        <f>IFERROR(VLOOKUP(A837,[1]SIIMPLES!$A$2:$F$418,6,FALSE),0)</f>
        <v>0</v>
      </c>
      <c r="AR837" s="55">
        <v>0</v>
      </c>
      <c r="AS837" s="55">
        <v>0</v>
      </c>
      <c r="AT837" s="55">
        <v>0</v>
      </c>
      <c r="AU837" s="55">
        <v>0</v>
      </c>
      <c r="AV837" s="55">
        <v>0</v>
      </c>
      <c r="AW837" s="55"/>
      <c r="AX837" s="55"/>
      <c r="AY837" s="56">
        <f t="shared" si="314"/>
        <v>0.1</v>
      </c>
      <c r="AZ837" s="55"/>
      <c r="BA837" s="56">
        <v>0</v>
      </c>
      <c r="BB837" s="41" t="str">
        <f t="shared" si="315"/>
        <v/>
      </c>
      <c r="BC837" s="13"/>
      <c r="BD837" s="35"/>
      <c r="BE837" s="13"/>
      <c r="BF837" s="16">
        <f t="shared" si="316"/>
        <v>0</v>
      </c>
      <c r="BG837" s="17">
        <f t="shared" si="317"/>
        <v>0</v>
      </c>
      <c r="BH837" s="16">
        <f t="shared" si="307"/>
        <v>0.1</v>
      </c>
    </row>
    <row r="838" spans="1:60" ht="12.75" customHeight="1" x14ac:dyDescent="0.2">
      <c r="A838" s="51">
        <v>222073</v>
      </c>
      <c r="B838" s="51" t="s">
        <v>1077</v>
      </c>
      <c r="C838" s="66" t="s">
        <v>1803</v>
      </c>
      <c r="D838" s="52" t="s">
        <v>728</v>
      </c>
      <c r="E838" s="65" t="s">
        <v>780</v>
      </c>
      <c r="F838" s="53">
        <f>IFERROR(VLOOKUP(E838,Fornecedores!$A$2:$B$2700,2,FALSE),"")</f>
        <v>2</v>
      </c>
      <c r="G838" s="52" t="s">
        <v>1080</v>
      </c>
      <c r="H838" s="57"/>
      <c r="I838" s="55">
        <f t="shared" si="310"/>
        <v>0</v>
      </c>
      <c r="J838" s="55">
        <v>0</v>
      </c>
      <c r="K838" s="55">
        <v>0</v>
      </c>
      <c r="L838" s="55">
        <v>0</v>
      </c>
      <c r="M838" s="55">
        <v>0</v>
      </c>
      <c r="N838" s="55">
        <f t="shared" si="311"/>
        <v>1</v>
      </c>
      <c r="O838" s="55">
        <v>1</v>
      </c>
      <c r="P838" s="55">
        <v>0</v>
      </c>
      <c r="Q838" s="55">
        <v>0</v>
      </c>
      <c r="R838" s="55">
        <f t="shared" si="312"/>
        <v>0</v>
      </c>
      <c r="S838" s="55">
        <v>0</v>
      </c>
      <c r="T838" s="55">
        <v>0</v>
      </c>
      <c r="U838" s="55">
        <v>0</v>
      </c>
      <c r="V838" s="55">
        <v>1</v>
      </c>
      <c r="W838" s="53">
        <v>1</v>
      </c>
      <c r="X838" s="53">
        <v>0</v>
      </c>
      <c r="Y838" s="55">
        <v>0</v>
      </c>
      <c r="Z838" s="55">
        <v>0</v>
      </c>
      <c r="AA838" s="53">
        <v>0</v>
      </c>
      <c r="AB838" s="53">
        <v>0</v>
      </c>
      <c r="AC838" s="55">
        <v>0</v>
      </c>
      <c r="AD838" s="55">
        <f t="shared" si="313"/>
        <v>0</v>
      </c>
      <c r="AE838" s="53">
        <v>0</v>
      </c>
      <c r="AF838" s="55">
        <v>0</v>
      </c>
      <c r="AG838" s="55">
        <v>0</v>
      </c>
      <c r="AH838" s="55">
        <f t="shared" si="296"/>
        <v>1</v>
      </c>
      <c r="AI838" s="55">
        <v>1</v>
      </c>
      <c r="AJ838" s="55">
        <v>0</v>
      </c>
      <c r="AK838" s="55">
        <v>0</v>
      </c>
      <c r="AL838" s="55">
        <f t="shared" si="297"/>
        <v>0</v>
      </c>
      <c r="AM838" s="55" t="s">
        <v>1912</v>
      </c>
      <c r="AN838" s="55">
        <v>0</v>
      </c>
      <c r="AO838" s="55">
        <v>0</v>
      </c>
      <c r="AP838" s="55">
        <f t="shared" si="308"/>
        <v>0</v>
      </c>
      <c r="AQ838" s="55">
        <f>IFERROR(VLOOKUP(A838,[1]SIIMPLES!$A$2:$F$418,6,FALSE),0)</f>
        <v>0</v>
      </c>
      <c r="AR838" s="55">
        <v>0</v>
      </c>
      <c r="AS838" s="55">
        <v>1</v>
      </c>
      <c r="AT838" s="55">
        <v>0</v>
      </c>
      <c r="AU838" s="55">
        <v>0</v>
      </c>
      <c r="AV838" s="55">
        <v>1</v>
      </c>
      <c r="AW838" s="55"/>
      <c r="AX838" s="55"/>
      <c r="AY838" s="56">
        <f t="shared" si="314"/>
        <v>0.4</v>
      </c>
      <c r="AZ838" s="55"/>
      <c r="BA838" s="56">
        <v>0.16666666666666666</v>
      </c>
      <c r="BB838" s="41">
        <f t="shared" si="315"/>
        <v>1.4000000000000004</v>
      </c>
      <c r="BC838" s="13"/>
      <c r="BD838" s="35"/>
      <c r="BE838" s="13"/>
      <c r="BF838" s="16">
        <f t="shared" si="316"/>
        <v>0</v>
      </c>
      <c r="BG838" s="17">
        <f t="shared" si="317"/>
        <v>0</v>
      </c>
      <c r="BH838" s="16">
        <f t="shared" si="307"/>
        <v>0.4</v>
      </c>
    </row>
    <row r="839" spans="1:60" ht="12.75" customHeight="1" x14ac:dyDescent="0.2">
      <c r="A839" s="51">
        <v>332068</v>
      </c>
      <c r="B839" s="51" t="s">
        <v>1077</v>
      </c>
      <c r="C839" s="66" t="s">
        <v>1803</v>
      </c>
      <c r="D839" s="52" t="s">
        <v>728</v>
      </c>
      <c r="E839" s="65" t="s">
        <v>780</v>
      </c>
      <c r="F839" s="53">
        <f>IFERROR(VLOOKUP(E839,Fornecedores!$A$2:$B$2700,2,FALSE),"")</f>
        <v>2</v>
      </c>
      <c r="G839" s="52" t="s">
        <v>566</v>
      </c>
      <c r="H839" s="57"/>
      <c r="I839" s="55">
        <f t="shared" si="310"/>
        <v>9</v>
      </c>
      <c r="J839" s="55">
        <v>2</v>
      </c>
      <c r="K839" s="55">
        <v>6</v>
      </c>
      <c r="L839" s="55">
        <v>0</v>
      </c>
      <c r="M839" s="55">
        <v>1</v>
      </c>
      <c r="N839" s="55">
        <f t="shared" si="311"/>
        <v>1</v>
      </c>
      <c r="O839" s="55">
        <v>1</v>
      </c>
      <c r="P839" s="55">
        <v>0</v>
      </c>
      <c r="Q839" s="55">
        <v>0</v>
      </c>
      <c r="R839" s="55">
        <f t="shared" si="312"/>
        <v>2</v>
      </c>
      <c r="S839" s="55">
        <v>2</v>
      </c>
      <c r="T839" s="55">
        <v>0</v>
      </c>
      <c r="U839" s="55">
        <v>0</v>
      </c>
      <c r="V839" s="55">
        <v>5</v>
      </c>
      <c r="W839" s="53">
        <v>1</v>
      </c>
      <c r="X839" s="53">
        <v>4</v>
      </c>
      <c r="Y839" s="55">
        <v>0</v>
      </c>
      <c r="Z839" s="55">
        <v>2</v>
      </c>
      <c r="AA839" s="53">
        <v>0</v>
      </c>
      <c r="AB839" s="53">
        <v>2</v>
      </c>
      <c r="AC839" s="55">
        <v>0</v>
      </c>
      <c r="AD839" s="55">
        <f t="shared" si="313"/>
        <v>3</v>
      </c>
      <c r="AE839" s="53">
        <v>0</v>
      </c>
      <c r="AF839" s="55">
        <v>3</v>
      </c>
      <c r="AG839" s="55">
        <v>0</v>
      </c>
      <c r="AH839" s="55">
        <f t="shared" si="296"/>
        <v>1</v>
      </c>
      <c r="AI839" s="55">
        <v>0</v>
      </c>
      <c r="AJ839" s="55">
        <v>1</v>
      </c>
      <c r="AK839" s="55">
        <v>0</v>
      </c>
      <c r="AL839" s="55">
        <f t="shared" si="297"/>
        <v>12</v>
      </c>
      <c r="AM839" s="55" t="s">
        <v>1912</v>
      </c>
      <c r="AN839" s="55">
        <v>2</v>
      </c>
      <c r="AO839" s="55">
        <v>10</v>
      </c>
      <c r="AP839" s="55">
        <f t="shared" si="308"/>
        <v>0</v>
      </c>
      <c r="AQ839" s="55">
        <f>IFERROR(VLOOKUP(A839,[1]SIIMPLES!$A$2:$F$418,6,FALSE),0)</f>
        <v>0</v>
      </c>
      <c r="AR839" s="55">
        <v>0</v>
      </c>
      <c r="AS839" s="55">
        <v>0</v>
      </c>
      <c r="AT839" s="55">
        <v>0</v>
      </c>
      <c r="AU839" s="55">
        <v>0</v>
      </c>
      <c r="AV839" s="55">
        <v>0</v>
      </c>
      <c r="AW839" s="55"/>
      <c r="AX839" s="55"/>
      <c r="AY839" s="56">
        <f t="shared" si="314"/>
        <v>3.5</v>
      </c>
      <c r="AZ839" s="55"/>
      <c r="BA839" s="56">
        <v>4.833333333333333</v>
      </c>
      <c r="BB839" s="41">
        <f t="shared" si="315"/>
        <v>-0.27586206896551724</v>
      </c>
      <c r="BC839" s="10"/>
      <c r="BD839" s="35"/>
      <c r="BE839" s="13"/>
      <c r="BF839" s="16">
        <f t="shared" si="316"/>
        <v>0</v>
      </c>
      <c r="BG839" s="17">
        <f t="shared" si="317"/>
        <v>0</v>
      </c>
      <c r="BH839" s="16">
        <f t="shared" si="307"/>
        <v>3.5</v>
      </c>
    </row>
    <row r="840" spans="1:60" ht="12.75" customHeight="1" x14ac:dyDescent="0.2">
      <c r="A840" s="51">
        <v>332075</v>
      </c>
      <c r="B840" s="51"/>
      <c r="C840" s="66" t="s">
        <v>1803</v>
      </c>
      <c r="D840" s="52" t="s">
        <v>728</v>
      </c>
      <c r="E840" s="65" t="s">
        <v>780</v>
      </c>
      <c r="F840" s="53">
        <f>IFERROR(VLOOKUP(E840,Fornecedores!$A$2:$B$2700,2,FALSE),"")</f>
        <v>2</v>
      </c>
      <c r="G840" s="52" t="s">
        <v>1309</v>
      </c>
      <c r="H840" s="57"/>
      <c r="I840" s="55">
        <f t="shared" si="310"/>
        <v>0</v>
      </c>
      <c r="J840" s="55">
        <v>0</v>
      </c>
      <c r="K840" s="55">
        <v>0</v>
      </c>
      <c r="L840" s="55">
        <v>0</v>
      </c>
      <c r="M840" s="55">
        <v>0</v>
      </c>
      <c r="N840" s="55">
        <f t="shared" si="311"/>
        <v>0</v>
      </c>
      <c r="O840" s="55">
        <v>0</v>
      </c>
      <c r="P840" s="55">
        <v>0</v>
      </c>
      <c r="Q840" s="55">
        <v>0</v>
      </c>
      <c r="R840" s="55">
        <f t="shared" si="312"/>
        <v>0</v>
      </c>
      <c r="S840" s="55">
        <v>0</v>
      </c>
      <c r="T840" s="55">
        <v>0</v>
      </c>
      <c r="U840" s="55">
        <v>0</v>
      </c>
      <c r="V840" s="55">
        <v>0</v>
      </c>
      <c r="W840" s="53">
        <v>0</v>
      </c>
      <c r="X840" s="53">
        <v>0</v>
      </c>
      <c r="Y840" s="55">
        <v>0</v>
      </c>
      <c r="Z840" s="55">
        <v>0</v>
      </c>
      <c r="AA840" s="53">
        <v>0</v>
      </c>
      <c r="AB840" s="53">
        <v>0</v>
      </c>
      <c r="AC840" s="55">
        <v>0</v>
      </c>
      <c r="AD840" s="55">
        <f t="shared" si="313"/>
        <v>0</v>
      </c>
      <c r="AE840" s="53">
        <v>0</v>
      </c>
      <c r="AF840" s="55">
        <v>0</v>
      </c>
      <c r="AG840" s="55">
        <v>0</v>
      </c>
      <c r="AH840" s="55">
        <f t="shared" si="296"/>
        <v>1</v>
      </c>
      <c r="AI840" s="55">
        <v>0</v>
      </c>
      <c r="AJ840" s="55">
        <v>1</v>
      </c>
      <c r="AK840" s="55">
        <v>0</v>
      </c>
      <c r="AL840" s="55">
        <f t="shared" si="297"/>
        <v>1</v>
      </c>
      <c r="AM840" s="55" t="s">
        <v>1912</v>
      </c>
      <c r="AN840" s="55">
        <v>1</v>
      </c>
      <c r="AO840" s="55">
        <v>0</v>
      </c>
      <c r="AP840" s="55">
        <f t="shared" si="308"/>
        <v>0</v>
      </c>
      <c r="AQ840" s="55">
        <f>IFERROR(VLOOKUP(A840,[1]SIIMPLES!$A$2:$F$418,6,FALSE),0)</f>
        <v>0</v>
      </c>
      <c r="AR840" s="55">
        <v>0</v>
      </c>
      <c r="AS840" s="55">
        <v>0</v>
      </c>
      <c r="AT840" s="55">
        <v>0</v>
      </c>
      <c r="AU840" s="55">
        <v>0</v>
      </c>
      <c r="AV840" s="55">
        <v>0</v>
      </c>
      <c r="AW840" s="55"/>
      <c r="AX840" s="55"/>
      <c r="AY840" s="56">
        <f t="shared" si="314"/>
        <v>0.2</v>
      </c>
      <c r="AZ840" s="55"/>
      <c r="BA840" s="56">
        <v>0</v>
      </c>
      <c r="BB840" s="41" t="str">
        <f t="shared" si="315"/>
        <v/>
      </c>
      <c r="BC840" s="13"/>
      <c r="BD840" s="35"/>
      <c r="BE840" s="13"/>
      <c r="BF840" s="16">
        <f t="shared" si="316"/>
        <v>0</v>
      </c>
      <c r="BG840" s="17">
        <f t="shared" si="317"/>
        <v>0</v>
      </c>
      <c r="BH840" s="16">
        <f t="shared" si="307"/>
        <v>0.2</v>
      </c>
    </row>
    <row r="841" spans="1:60" ht="12.75" customHeight="1" x14ac:dyDescent="0.2">
      <c r="A841" s="51">
        <v>332076</v>
      </c>
      <c r="B841" s="51"/>
      <c r="C841" s="66" t="s">
        <v>1803</v>
      </c>
      <c r="D841" s="52" t="s">
        <v>728</v>
      </c>
      <c r="E841" s="65" t="s">
        <v>780</v>
      </c>
      <c r="F841" s="53">
        <f>IFERROR(VLOOKUP(E841,Fornecedores!$A$2:$B$2700,2,FALSE),"")</f>
        <v>2</v>
      </c>
      <c r="G841" s="52" t="s">
        <v>1310</v>
      </c>
      <c r="H841" s="57"/>
      <c r="I841" s="55">
        <f t="shared" si="310"/>
        <v>0</v>
      </c>
      <c r="J841" s="55">
        <v>0</v>
      </c>
      <c r="K841" s="55">
        <v>0</v>
      </c>
      <c r="L841" s="55">
        <v>0</v>
      </c>
      <c r="M841" s="55">
        <v>0</v>
      </c>
      <c r="N841" s="55">
        <f t="shared" si="311"/>
        <v>0</v>
      </c>
      <c r="O841" s="55">
        <v>0</v>
      </c>
      <c r="P841" s="55">
        <v>0</v>
      </c>
      <c r="Q841" s="55">
        <v>0</v>
      </c>
      <c r="R841" s="55">
        <f t="shared" si="312"/>
        <v>0</v>
      </c>
      <c r="S841" s="55">
        <v>0</v>
      </c>
      <c r="T841" s="55">
        <v>0</v>
      </c>
      <c r="U841" s="55">
        <v>0</v>
      </c>
      <c r="V841" s="55">
        <v>0</v>
      </c>
      <c r="W841" s="53">
        <v>0</v>
      </c>
      <c r="X841" s="53">
        <v>0</v>
      </c>
      <c r="Y841" s="55">
        <v>0</v>
      </c>
      <c r="Z841" s="55">
        <v>0</v>
      </c>
      <c r="AA841" s="53">
        <v>0</v>
      </c>
      <c r="AB841" s="53">
        <v>0</v>
      </c>
      <c r="AC841" s="55">
        <v>0</v>
      </c>
      <c r="AD841" s="55">
        <f t="shared" si="313"/>
        <v>0</v>
      </c>
      <c r="AE841" s="53">
        <v>0</v>
      </c>
      <c r="AF841" s="55">
        <v>0</v>
      </c>
      <c r="AG841" s="55">
        <v>0</v>
      </c>
      <c r="AH841" s="55">
        <f t="shared" si="296"/>
        <v>1</v>
      </c>
      <c r="AI841" s="55">
        <v>1</v>
      </c>
      <c r="AJ841" s="55">
        <v>0</v>
      </c>
      <c r="AK841" s="55">
        <v>0</v>
      </c>
      <c r="AL841" s="55">
        <f t="shared" si="297"/>
        <v>1</v>
      </c>
      <c r="AM841" s="55" t="s">
        <v>1912</v>
      </c>
      <c r="AN841" s="55">
        <v>1</v>
      </c>
      <c r="AO841" s="55">
        <v>0</v>
      </c>
      <c r="AP841" s="55">
        <f t="shared" si="308"/>
        <v>0</v>
      </c>
      <c r="AQ841" s="55">
        <f>IFERROR(VLOOKUP(A841,[1]SIIMPLES!$A$2:$F$418,6,FALSE),0)</f>
        <v>0</v>
      </c>
      <c r="AR841" s="55">
        <v>0</v>
      </c>
      <c r="AS841" s="55">
        <v>1</v>
      </c>
      <c r="AT841" s="55">
        <v>0</v>
      </c>
      <c r="AU841" s="55">
        <v>0</v>
      </c>
      <c r="AV841" s="55">
        <v>1</v>
      </c>
      <c r="AW841" s="55"/>
      <c r="AX841" s="55"/>
      <c r="AY841" s="56">
        <f t="shared" si="314"/>
        <v>0.3</v>
      </c>
      <c r="AZ841" s="55"/>
      <c r="BA841" s="56">
        <v>0.33333333333333331</v>
      </c>
      <c r="BB841" s="41">
        <f t="shared" si="315"/>
        <v>-9.9999999999999978E-2</v>
      </c>
      <c r="BC841" s="13"/>
      <c r="BD841" s="35"/>
      <c r="BE841" s="13"/>
      <c r="BF841" s="16">
        <f t="shared" si="316"/>
        <v>0</v>
      </c>
      <c r="BG841" s="17">
        <f t="shared" si="317"/>
        <v>0</v>
      </c>
      <c r="BH841" s="16">
        <f t="shared" si="307"/>
        <v>0.3</v>
      </c>
    </row>
    <row r="842" spans="1:60" ht="12.75" customHeight="1" x14ac:dyDescent="0.2">
      <c r="A842" s="51">
        <v>227201</v>
      </c>
      <c r="B842" s="51" t="s">
        <v>1077</v>
      </c>
      <c r="C842" s="66" t="s">
        <v>1803</v>
      </c>
      <c r="D842" s="65" t="s">
        <v>726</v>
      </c>
      <c r="E842" s="67" t="s">
        <v>727</v>
      </c>
      <c r="F842" s="53">
        <f>IFERROR(VLOOKUP(E842,Fornecedores!$A$2:$B$2700,2,FALSE),"")</f>
        <v>1</v>
      </c>
      <c r="G842" s="52" t="s">
        <v>581</v>
      </c>
      <c r="H842" s="54"/>
      <c r="I842" s="55">
        <f t="shared" si="310"/>
        <v>2</v>
      </c>
      <c r="J842" s="55">
        <v>2</v>
      </c>
      <c r="K842" s="55">
        <v>0</v>
      </c>
      <c r="L842" s="55">
        <v>0</v>
      </c>
      <c r="M842" s="55">
        <v>0</v>
      </c>
      <c r="N842" s="55">
        <f t="shared" si="311"/>
        <v>4</v>
      </c>
      <c r="O842" s="55">
        <v>4</v>
      </c>
      <c r="P842" s="55">
        <v>0</v>
      </c>
      <c r="Q842" s="55">
        <v>0</v>
      </c>
      <c r="R842" s="55">
        <f t="shared" si="312"/>
        <v>0</v>
      </c>
      <c r="S842" s="55">
        <v>0</v>
      </c>
      <c r="T842" s="55">
        <v>0</v>
      </c>
      <c r="U842" s="55">
        <v>0</v>
      </c>
      <c r="V842" s="55">
        <v>1</v>
      </c>
      <c r="W842" s="53">
        <v>1</v>
      </c>
      <c r="X842" s="53">
        <v>0</v>
      </c>
      <c r="Y842" s="55">
        <v>0</v>
      </c>
      <c r="Z842" s="55">
        <v>1</v>
      </c>
      <c r="AA842" s="53">
        <v>1</v>
      </c>
      <c r="AB842" s="53">
        <v>0</v>
      </c>
      <c r="AC842" s="55">
        <v>0</v>
      </c>
      <c r="AD842" s="55">
        <f t="shared" si="313"/>
        <v>1</v>
      </c>
      <c r="AE842" s="53">
        <v>1</v>
      </c>
      <c r="AF842" s="55">
        <v>0</v>
      </c>
      <c r="AG842" s="55">
        <v>0</v>
      </c>
      <c r="AH842" s="55">
        <f t="shared" si="296"/>
        <v>2</v>
      </c>
      <c r="AI842" s="55">
        <v>2</v>
      </c>
      <c r="AJ842" s="55">
        <v>0</v>
      </c>
      <c r="AK842" s="55">
        <v>0</v>
      </c>
      <c r="AL842" s="55">
        <f t="shared" si="297"/>
        <v>0</v>
      </c>
      <c r="AM842" s="55" t="s">
        <v>1912</v>
      </c>
      <c r="AN842" s="55">
        <v>0</v>
      </c>
      <c r="AO842" s="55">
        <v>0</v>
      </c>
      <c r="AP842" s="55">
        <f t="shared" si="308"/>
        <v>0</v>
      </c>
      <c r="AQ842" s="55">
        <f>IFERROR(VLOOKUP(A842,[1]SIIMPLES!$A$2:$F$418,6,FALSE),0)</f>
        <v>0</v>
      </c>
      <c r="AR842" s="55">
        <v>0</v>
      </c>
      <c r="AS842" s="55">
        <v>0</v>
      </c>
      <c r="AT842" s="55">
        <v>0</v>
      </c>
      <c r="AU842" s="55">
        <v>0</v>
      </c>
      <c r="AV842" s="55">
        <v>0</v>
      </c>
      <c r="AW842" s="55"/>
      <c r="AX842" s="55"/>
      <c r="AY842" s="56">
        <f t="shared" si="314"/>
        <v>1.1000000000000001</v>
      </c>
      <c r="AZ842" s="55"/>
      <c r="BA842" s="56">
        <v>11.5</v>
      </c>
      <c r="BB842" s="41">
        <f t="shared" ref="BB842:BB858" si="318">IFERROR(AY842/BA842-1,"")</f>
        <v>-0.90434782608695652</v>
      </c>
      <c r="BC842" s="13"/>
      <c r="BD842" s="35"/>
      <c r="BE842" s="13"/>
      <c r="BF842" s="16">
        <f t="shared" si="316"/>
        <v>0</v>
      </c>
      <c r="BG842" s="17">
        <f t="shared" si="317"/>
        <v>0</v>
      </c>
      <c r="BH842" s="16">
        <f t="shared" si="307"/>
        <v>3.3000000000000003</v>
      </c>
    </row>
    <row r="843" spans="1:60" ht="12.75" customHeight="1" x14ac:dyDescent="0.2">
      <c r="A843" s="51">
        <v>227206</v>
      </c>
      <c r="B843" s="51"/>
      <c r="C843" s="66" t="s">
        <v>1803</v>
      </c>
      <c r="D843" s="65" t="s">
        <v>726</v>
      </c>
      <c r="E843" s="67" t="s">
        <v>727</v>
      </c>
      <c r="F843" s="53">
        <f>IFERROR(VLOOKUP(E843,Fornecedores!$A$2:$B$2700,2,FALSE),"")</f>
        <v>1</v>
      </c>
      <c r="G843" s="52" t="s">
        <v>186</v>
      </c>
      <c r="H843" s="54"/>
      <c r="I843" s="55">
        <f t="shared" si="310"/>
        <v>0</v>
      </c>
      <c r="J843" s="55">
        <v>0</v>
      </c>
      <c r="K843" s="55">
        <v>0</v>
      </c>
      <c r="L843" s="55">
        <v>0</v>
      </c>
      <c r="M843" s="55">
        <v>0</v>
      </c>
      <c r="N843" s="55">
        <f t="shared" si="311"/>
        <v>1</v>
      </c>
      <c r="O843" s="55">
        <v>1</v>
      </c>
      <c r="P843" s="55">
        <v>0</v>
      </c>
      <c r="Q843" s="55">
        <v>0</v>
      </c>
      <c r="R843" s="55">
        <f t="shared" si="312"/>
        <v>2</v>
      </c>
      <c r="S843" s="55">
        <v>2</v>
      </c>
      <c r="T843" s="55">
        <v>0</v>
      </c>
      <c r="U843" s="55">
        <v>0</v>
      </c>
      <c r="V843" s="55">
        <v>0</v>
      </c>
      <c r="W843" s="53">
        <v>0</v>
      </c>
      <c r="X843" s="53">
        <v>0</v>
      </c>
      <c r="Y843" s="55">
        <v>0</v>
      </c>
      <c r="Z843" s="55">
        <v>1</v>
      </c>
      <c r="AA843" s="53">
        <v>1</v>
      </c>
      <c r="AB843" s="53">
        <v>0</v>
      </c>
      <c r="AC843" s="55">
        <v>0</v>
      </c>
      <c r="AD843" s="55">
        <f t="shared" si="313"/>
        <v>0</v>
      </c>
      <c r="AE843" s="53">
        <v>0</v>
      </c>
      <c r="AF843" s="55">
        <v>0</v>
      </c>
      <c r="AG843" s="55">
        <v>0</v>
      </c>
      <c r="AH843" s="55">
        <f t="shared" si="296"/>
        <v>0</v>
      </c>
      <c r="AI843" s="55">
        <v>0</v>
      </c>
      <c r="AJ843" s="55">
        <v>0</v>
      </c>
      <c r="AK843" s="55">
        <v>0</v>
      </c>
      <c r="AL843" s="55">
        <f t="shared" si="297"/>
        <v>0</v>
      </c>
      <c r="AM843" s="55" t="s">
        <v>1912</v>
      </c>
      <c r="AN843" s="55">
        <v>0</v>
      </c>
      <c r="AO843" s="55">
        <v>0</v>
      </c>
      <c r="AP843" s="55">
        <f t="shared" si="308"/>
        <v>0</v>
      </c>
      <c r="AQ843" s="55">
        <f>IFERROR(VLOOKUP(A843,[1]SIIMPLES!$A$2:$F$418,6,FALSE),0)</f>
        <v>0</v>
      </c>
      <c r="AR843" s="55">
        <v>0</v>
      </c>
      <c r="AS843" s="55">
        <v>0</v>
      </c>
      <c r="AT843" s="55">
        <v>0</v>
      </c>
      <c r="AU843" s="55">
        <v>0</v>
      </c>
      <c r="AV843" s="55">
        <v>0</v>
      </c>
      <c r="AW843" s="55"/>
      <c r="AX843" s="55"/>
      <c r="AY843" s="56">
        <f t="shared" si="314"/>
        <v>0.4</v>
      </c>
      <c r="AZ843" s="55"/>
      <c r="BA843" s="56">
        <v>0.5</v>
      </c>
      <c r="BB843" s="41">
        <f t="shared" si="318"/>
        <v>-0.19999999999999996</v>
      </c>
      <c r="BC843" s="10"/>
      <c r="BD843" s="35"/>
      <c r="BE843" s="13"/>
      <c r="BF843" s="16">
        <f t="shared" si="316"/>
        <v>0</v>
      </c>
      <c r="BG843" s="17">
        <f t="shared" si="317"/>
        <v>0</v>
      </c>
      <c r="BH843" s="16">
        <f t="shared" si="307"/>
        <v>1.2000000000000002</v>
      </c>
    </row>
    <row r="844" spans="1:60" ht="12.75" customHeight="1" x14ac:dyDescent="0.2">
      <c r="A844" s="51">
        <v>229012</v>
      </c>
      <c r="B844" s="51"/>
      <c r="C844" s="66" t="s">
        <v>1803</v>
      </c>
      <c r="D844" s="65" t="s">
        <v>1780</v>
      </c>
      <c r="E844" s="67" t="s">
        <v>727</v>
      </c>
      <c r="F844" s="53">
        <f>IFERROR(VLOOKUP(E844,Fornecedores!$A$2:$B$2700,2,FALSE),"")</f>
        <v>1</v>
      </c>
      <c r="G844" s="52" t="s">
        <v>411</v>
      </c>
      <c r="H844" s="54"/>
      <c r="I844" s="55">
        <f t="shared" si="310"/>
        <v>0</v>
      </c>
      <c r="J844" s="55">
        <v>0</v>
      </c>
      <c r="K844" s="55">
        <v>0</v>
      </c>
      <c r="L844" s="55">
        <v>0</v>
      </c>
      <c r="M844" s="55">
        <v>0</v>
      </c>
      <c r="N844" s="55">
        <f t="shared" si="311"/>
        <v>0</v>
      </c>
      <c r="O844" s="55">
        <v>0</v>
      </c>
      <c r="P844" s="55">
        <v>0</v>
      </c>
      <c r="Q844" s="55">
        <v>0</v>
      </c>
      <c r="R844" s="55">
        <f t="shared" si="312"/>
        <v>0</v>
      </c>
      <c r="S844" s="55">
        <v>0</v>
      </c>
      <c r="T844" s="55">
        <v>0</v>
      </c>
      <c r="U844" s="55">
        <v>0</v>
      </c>
      <c r="V844" s="55">
        <v>0</v>
      </c>
      <c r="W844" s="53">
        <v>0</v>
      </c>
      <c r="X844" s="53">
        <v>0</v>
      </c>
      <c r="Y844" s="55">
        <v>0</v>
      </c>
      <c r="Z844" s="55">
        <v>0</v>
      </c>
      <c r="AA844" s="53">
        <v>0</v>
      </c>
      <c r="AB844" s="53">
        <v>0</v>
      </c>
      <c r="AC844" s="55">
        <v>0</v>
      </c>
      <c r="AD844" s="55">
        <f t="shared" si="313"/>
        <v>0</v>
      </c>
      <c r="AE844" s="53">
        <v>0</v>
      </c>
      <c r="AF844" s="55">
        <v>0</v>
      </c>
      <c r="AG844" s="55">
        <v>0</v>
      </c>
      <c r="AH844" s="55">
        <f t="shared" si="296"/>
        <v>0</v>
      </c>
      <c r="AI844" s="55">
        <v>0</v>
      </c>
      <c r="AJ844" s="55">
        <v>0</v>
      </c>
      <c r="AK844" s="55">
        <v>0</v>
      </c>
      <c r="AL844" s="55">
        <f t="shared" si="297"/>
        <v>0</v>
      </c>
      <c r="AM844" s="55" t="s">
        <v>1912</v>
      </c>
      <c r="AN844" s="55">
        <v>0</v>
      </c>
      <c r="AO844" s="55">
        <v>0</v>
      </c>
      <c r="AP844" s="55">
        <f t="shared" si="308"/>
        <v>0</v>
      </c>
      <c r="AQ844" s="55">
        <f>IFERROR(VLOOKUP(A844,[1]SIIMPLES!$A$2:$F$418,6,FALSE),0)</f>
        <v>0</v>
      </c>
      <c r="AR844" s="55">
        <v>0</v>
      </c>
      <c r="AS844" s="55">
        <v>0</v>
      </c>
      <c r="AT844" s="55">
        <v>0</v>
      </c>
      <c r="AU844" s="55">
        <v>0</v>
      </c>
      <c r="AV844" s="55">
        <v>0</v>
      </c>
      <c r="AW844" s="55"/>
      <c r="AX844" s="55"/>
      <c r="AY844" s="56">
        <f t="shared" si="314"/>
        <v>0</v>
      </c>
      <c r="AZ844" s="55"/>
      <c r="BA844" s="56">
        <v>0</v>
      </c>
      <c r="BB844" s="41" t="str">
        <f t="shared" si="318"/>
        <v/>
      </c>
      <c r="BC844" s="13"/>
      <c r="BD844" s="35"/>
      <c r="BE844" s="13"/>
      <c r="BF844" s="16">
        <f t="shared" si="316"/>
        <v>0</v>
      </c>
      <c r="BG844" s="17" t="str">
        <f t="shared" si="317"/>
        <v>0</v>
      </c>
      <c r="BH844" s="16">
        <f t="shared" si="307"/>
        <v>0</v>
      </c>
    </row>
    <row r="845" spans="1:60" ht="12.75" customHeight="1" x14ac:dyDescent="0.2">
      <c r="A845" s="51">
        <v>330074</v>
      </c>
      <c r="B845" s="51"/>
      <c r="C845" s="66" t="s">
        <v>1803</v>
      </c>
      <c r="D845" s="52" t="s">
        <v>766</v>
      </c>
      <c r="E845" s="52" t="s">
        <v>780</v>
      </c>
      <c r="F845" s="53">
        <f>IFERROR(VLOOKUP(E845,Fornecedores!$A$2:$B$2700,2,FALSE),"")</f>
        <v>2</v>
      </c>
      <c r="G845" s="52" t="s">
        <v>1598</v>
      </c>
      <c r="H845" s="57"/>
      <c r="I845" s="55">
        <f t="shared" si="310"/>
        <v>1</v>
      </c>
      <c r="J845" s="55">
        <v>0</v>
      </c>
      <c r="K845" s="55">
        <v>1</v>
      </c>
      <c r="L845" s="55">
        <v>0</v>
      </c>
      <c r="M845" s="55">
        <v>0</v>
      </c>
      <c r="N845" s="55">
        <f t="shared" si="311"/>
        <v>0</v>
      </c>
      <c r="O845" s="55">
        <v>0</v>
      </c>
      <c r="P845" s="55">
        <v>0</v>
      </c>
      <c r="Q845" s="55">
        <v>0</v>
      </c>
      <c r="R845" s="55">
        <f t="shared" si="312"/>
        <v>0</v>
      </c>
      <c r="S845" s="55">
        <v>0</v>
      </c>
      <c r="T845" s="55">
        <v>0</v>
      </c>
      <c r="U845" s="55">
        <v>0</v>
      </c>
      <c r="V845" s="55">
        <v>0</v>
      </c>
      <c r="W845" s="53">
        <v>0</v>
      </c>
      <c r="X845" s="53">
        <v>0</v>
      </c>
      <c r="Y845" s="55">
        <v>0</v>
      </c>
      <c r="Z845" s="55">
        <v>0</v>
      </c>
      <c r="AA845" s="53">
        <v>0</v>
      </c>
      <c r="AB845" s="53">
        <v>0</v>
      </c>
      <c r="AC845" s="55">
        <v>0</v>
      </c>
      <c r="AD845" s="55">
        <f t="shared" si="313"/>
        <v>0</v>
      </c>
      <c r="AE845" s="53">
        <v>0</v>
      </c>
      <c r="AF845" s="55">
        <v>0</v>
      </c>
      <c r="AG845" s="55">
        <v>0</v>
      </c>
      <c r="AH845" s="55">
        <f t="shared" si="296"/>
        <v>0</v>
      </c>
      <c r="AI845" s="55">
        <v>0</v>
      </c>
      <c r="AJ845" s="55">
        <v>0</v>
      </c>
      <c r="AK845" s="55">
        <v>0</v>
      </c>
      <c r="AL845" s="55">
        <f t="shared" si="297"/>
        <v>0</v>
      </c>
      <c r="AM845" s="55" t="s">
        <v>1912</v>
      </c>
      <c r="AN845" s="55">
        <v>0</v>
      </c>
      <c r="AO845" s="55">
        <v>0</v>
      </c>
      <c r="AP845" s="55">
        <f t="shared" si="308"/>
        <v>0</v>
      </c>
      <c r="AQ845" s="55">
        <f>IFERROR(VLOOKUP(A845,[1]SIIMPLES!$A$2:$F$418,6,FALSE),0)</f>
        <v>0</v>
      </c>
      <c r="AR845" s="55">
        <v>0</v>
      </c>
      <c r="AS845" s="55">
        <v>0</v>
      </c>
      <c r="AT845" s="55">
        <v>0</v>
      </c>
      <c r="AU845" s="55">
        <v>0</v>
      </c>
      <c r="AV845" s="55">
        <v>0</v>
      </c>
      <c r="AW845" s="57"/>
      <c r="AX845" s="55"/>
      <c r="AY845" s="56">
        <f t="shared" si="314"/>
        <v>0.1</v>
      </c>
      <c r="AZ845" s="55"/>
      <c r="BA845" s="56">
        <v>3</v>
      </c>
      <c r="BB845" s="41">
        <f t="shared" si="318"/>
        <v>-0.96666666666666667</v>
      </c>
      <c r="BC845" s="13"/>
      <c r="BD845" s="35"/>
      <c r="BE845" s="13"/>
      <c r="BF845" s="16">
        <f t="shared" si="316"/>
        <v>0</v>
      </c>
      <c r="BG845" s="17">
        <f t="shared" si="317"/>
        <v>0</v>
      </c>
      <c r="BH845" s="16">
        <f t="shared" si="307"/>
        <v>0.1</v>
      </c>
    </row>
    <row r="846" spans="1:60" ht="12.75" customHeight="1" x14ac:dyDescent="0.2">
      <c r="A846" s="50">
        <v>330100</v>
      </c>
      <c r="B846" s="51"/>
      <c r="C846" s="51" t="s">
        <v>1803</v>
      </c>
      <c r="D846" s="52" t="s">
        <v>1904</v>
      </c>
      <c r="E846" s="52">
        <f>VLOOKUP(A846,[2]CMV!$A$1:$E$2043,5,FALSE)</f>
        <v>0</v>
      </c>
      <c r="F846" s="53"/>
      <c r="G846" s="52">
        <f>VLOOKUP(A846,[2]CMV!$A$1:$F$2043,6,FALSE)</f>
        <v>0</v>
      </c>
      <c r="H846" s="57"/>
      <c r="I846" s="55">
        <f t="shared" si="310"/>
        <v>0</v>
      </c>
      <c r="J846" s="55">
        <v>0</v>
      </c>
      <c r="K846" s="55">
        <v>0</v>
      </c>
      <c r="L846" s="55">
        <v>0</v>
      </c>
      <c r="M846" s="55">
        <v>0</v>
      </c>
      <c r="N846" s="55">
        <f t="shared" si="311"/>
        <v>0</v>
      </c>
      <c r="O846" s="57"/>
      <c r="P846" s="57"/>
      <c r="Q846" s="57"/>
      <c r="R846" s="55">
        <f t="shared" si="312"/>
        <v>0</v>
      </c>
      <c r="S846" s="57"/>
      <c r="T846" s="57"/>
      <c r="U846" s="57"/>
      <c r="V846" s="55">
        <v>0</v>
      </c>
      <c r="W846" s="53">
        <v>0</v>
      </c>
      <c r="X846" s="53">
        <v>0</v>
      </c>
      <c r="Y846" s="55">
        <v>0</v>
      </c>
      <c r="Z846" s="55">
        <v>0</v>
      </c>
      <c r="AA846" s="53"/>
      <c r="AB846" s="53">
        <v>0</v>
      </c>
      <c r="AC846" s="55">
        <v>0</v>
      </c>
      <c r="AD846" s="55">
        <f t="shared" si="313"/>
        <v>0</v>
      </c>
      <c r="AE846" s="53">
        <f>IFERROR(VLOOKUP(A846,[4]simples!$A$1:$B$281,2,FALSE),0)</f>
        <v>0</v>
      </c>
      <c r="AF846" s="55">
        <v>0</v>
      </c>
      <c r="AG846" s="55">
        <v>0</v>
      </c>
      <c r="AH846" s="55">
        <f t="shared" si="296"/>
        <v>0</v>
      </c>
      <c r="AI846" s="57"/>
      <c r="AJ846" s="55">
        <v>0</v>
      </c>
      <c r="AK846" s="57"/>
      <c r="AL846" s="55">
        <f t="shared" si="297"/>
        <v>0</v>
      </c>
      <c r="AM846" s="55" t="s">
        <v>1912</v>
      </c>
      <c r="AN846" s="55">
        <v>0</v>
      </c>
      <c r="AO846" s="55">
        <v>0</v>
      </c>
      <c r="AP846" s="55">
        <f t="shared" si="308"/>
        <v>0</v>
      </c>
      <c r="AQ846" s="55">
        <f>IFERROR(VLOOKUP(A846,[1]SIIMPLES!$A$2:$F$418,6,FALSE),0)</f>
        <v>0</v>
      </c>
      <c r="AR846" s="55">
        <v>0</v>
      </c>
      <c r="AS846" s="55">
        <v>0</v>
      </c>
      <c r="AT846" s="55">
        <v>0</v>
      </c>
      <c r="AU846" s="55">
        <v>0</v>
      </c>
      <c r="AV846" s="55">
        <v>0</v>
      </c>
      <c r="AW846" s="57"/>
      <c r="AX846" s="57"/>
      <c r="AY846" s="56">
        <f t="shared" si="314"/>
        <v>0</v>
      </c>
      <c r="AZ846" s="57"/>
      <c r="BA846" s="56">
        <v>1</v>
      </c>
      <c r="BB846" s="41">
        <f t="shared" si="318"/>
        <v>-1</v>
      </c>
      <c r="BC846" s="10"/>
      <c r="BD846" s="35"/>
      <c r="BE846" s="13"/>
      <c r="BF846" s="16">
        <f t="shared" si="316"/>
        <v>0</v>
      </c>
      <c r="BG846" s="17" t="str">
        <f t="shared" si="317"/>
        <v>0</v>
      </c>
      <c r="BH846" s="16">
        <f t="shared" si="307"/>
        <v>0</v>
      </c>
    </row>
    <row r="847" spans="1:60" ht="12.75" customHeight="1" x14ac:dyDescent="0.2">
      <c r="A847" s="50">
        <v>330101</v>
      </c>
      <c r="B847" s="51"/>
      <c r="C847" s="51" t="s">
        <v>1803</v>
      </c>
      <c r="D847" s="52" t="s">
        <v>1904</v>
      </c>
      <c r="E847" s="52">
        <f>VLOOKUP(A847,[2]CMV!$A$1:$E$2043,5,FALSE)</f>
        <v>0</v>
      </c>
      <c r="F847" s="53"/>
      <c r="G847" s="52">
        <f>VLOOKUP(A847,[2]CMV!$A$1:$F$2043,6,FALSE)</f>
        <v>0</v>
      </c>
      <c r="H847" s="57"/>
      <c r="I847" s="55">
        <f t="shared" si="310"/>
        <v>0</v>
      </c>
      <c r="J847" s="55">
        <v>0</v>
      </c>
      <c r="K847" s="55">
        <v>0</v>
      </c>
      <c r="L847" s="55">
        <v>0</v>
      </c>
      <c r="M847" s="55">
        <v>0</v>
      </c>
      <c r="N847" s="55">
        <f t="shared" si="311"/>
        <v>0</v>
      </c>
      <c r="O847" s="57"/>
      <c r="P847" s="57"/>
      <c r="Q847" s="57"/>
      <c r="R847" s="55">
        <f t="shared" si="312"/>
        <v>0</v>
      </c>
      <c r="S847" s="57"/>
      <c r="T847" s="57"/>
      <c r="U847" s="57"/>
      <c r="V847" s="55">
        <v>0</v>
      </c>
      <c r="W847" s="53">
        <v>0</v>
      </c>
      <c r="X847" s="53">
        <v>0</v>
      </c>
      <c r="Y847" s="55">
        <v>0</v>
      </c>
      <c r="Z847" s="55">
        <v>0</v>
      </c>
      <c r="AA847" s="53"/>
      <c r="AB847" s="53">
        <v>0</v>
      </c>
      <c r="AC847" s="55">
        <v>0</v>
      </c>
      <c r="AD847" s="55">
        <f t="shared" si="313"/>
        <v>0</v>
      </c>
      <c r="AE847" s="53">
        <f>IFERROR(VLOOKUP(A847,[4]simples!$A$1:$B$281,2,FALSE),0)</f>
        <v>0</v>
      </c>
      <c r="AF847" s="55">
        <v>0</v>
      </c>
      <c r="AG847" s="55">
        <v>0</v>
      </c>
      <c r="AH847" s="55">
        <f t="shared" si="296"/>
        <v>0</v>
      </c>
      <c r="AI847" s="57"/>
      <c r="AJ847" s="55">
        <v>0</v>
      </c>
      <c r="AK847" s="57"/>
      <c r="AL847" s="55">
        <f t="shared" si="297"/>
        <v>0</v>
      </c>
      <c r="AM847" s="55" t="s">
        <v>1912</v>
      </c>
      <c r="AN847" s="55">
        <v>0</v>
      </c>
      <c r="AO847" s="55">
        <v>0</v>
      </c>
      <c r="AP847" s="55">
        <f t="shared" si="308"/>
        <v>0</v>
      </c>
      <c r="AQ847" s="55">
        <f>IFERROR(VLOOKUP(A847,[1]SIIMPLES!$A$2:$F$418,6,FALSE),0)</f>
        <v>0</v>
      </c>
      <c r="AR847" s="55">
        <v>0</v>
      </c>
      <c r="AS847" s="55">
        <v>0</v>
      </c>
      <c r="AT847" s="55">
        <v>0</v>
      </c>
      <c r="AU847" s="55">
        <v>0</v>
      </c>
      <c r="AV847" s="55">
        <v>0</v>
      </c>
      <c r="AW847" s="57"/>
      <c r="AX847" s="57"/>
      <c r="AY847" s="56">
        <f t="shared" si="314"/>
        <v>0</v>
      </c>
      <c r="AZ847" s="57"/>
      <c r="BA847" s="56">
        <v>1</v>
      </c>
      <c r="BB847" s="41">
        <f t="shared" si="318"/>
        <v>-1</v>
      </c>
      <c r="BC847" s="10"/>
      <c r="BD847" s="35"/>
      <c r="BE847" s="13"/>
      <c r="BF847" s="16">
        <f t="shared" si="316"/>
        <v>0</v>
      </c>
      <c r="BG847" s="17" t="str">
        <f t="shared" si="317"/>
        <v>0</v>
      </c>
      <c r="BH847" s="16">
        <f t="shared" si="307"/>
        <v>0</v>
      </c>
    </row>
    <row r="848" spans="1:60" ht="12.75" customHeight="1" x14ac:dyDescent="0.2">
      <c r="A848" s="51">
        <v>330112</v>
      </c>
      <c r="B848" s="51"/>
      <c r="C848" s="66" t="s">
        <v>1803</v>
      </c>
      <c r="D848" s="52" t="s">
        <v>766</v>
      </c>
      <c r="E848" s="52" t="s">
        <v>780</v>
      </c>
      <c r="F848" s="53">
        <f>IFERROR(VLOOKUP(E848,Fornecedores!$A$2:$B$2700,2,FALSE),"")</f>
        <v>2</v>
      </c>
      <c r="G848" s="52" t="s">
        <v>1695</v>
      </c>
      <c r="H848" s="57"/>
      <c r="I848" s="55">
        <f t="shared" si="310"/>
        <v>0</v>
      </c>
      <c r="J848" s="57"/>
      <c r="K848" s="57"/>
      <c r="L848" s="57"/>
      <c r="M848" s="57"/>
      <c r="N848" s="55">
        <f t="shared" si="311"/>
        <v>2</v>
      </c>
      <c r="O848" s="55">
        <v>2</v>
      </c>
      <c r="P848" s="55">
        <v>0</v>
      </c>
      <c r="Q848" s="55">
        <v>0</v>
      </c>
      <c r="R848" s="55">
        <f t="shared" si="312"/>
        <v>0</v>
      </c>
      <c r="S848" s="55">
        <v>0</v>
      </c>
      <c r="T848" s="55">
        <v>0</v>
      </c>
      <c r="U848" s="55">
        <v>0</v>
      </c>
      <c r="V848" s="55">
        <v>0</v>
      </c>
      <c r="W848" s="53">
        <v>0</v>
      </c>
      <c r="X848" s="53">
        <v>0</v>
      </c>
      <c r="Y848" s="55">
        <v>0</v>
      </c>
      <c r="Z848" s="55">
        <v>0</v>
      </c>
      <c r="AA848" s="53">
        <v>0</v>
      </c>
      <c r="AB848" s="53">
        <v>0</v>
      </c>
      <c r="AC848" s="55">
        <v>0</v>
      </c>
      <c r="AD848" s="55">
        <f t="shared" si="313"/>
        <v>0</v>
      </c>
      <c r="AE848" s="53">
        <v>0</v>
      </c>
      <c r="AF848" s="55">
        <v>0</v>
      </c>
      <c r="AG848" s="55">
        <v>0</v>
      </c>
      <c r="AH848" s="55">
        <f t="shared" si="296"/>
        <v>0</v>
      </c>
      <c r="AI848" s="55">
        <v>0</v>
      </c>
      <c r="AJ848" s="55">
        <v>0</v>
      </c>
      <c r="AK848" s="55">
        <v>0</v>
      </c>
      <c r="AL848" s="55">
        <f t="shared" si="297"/>
        <v>0</v>
      </c>
      <c r="AM848" s="55" t="s">
        <v>1912</v>
      </c>
      <c r="AN848" s="55">
        <v>0</v>
      </c>
      <c r="AO848" s="55">
        <v>0</v>
      </c>
      <c r="AP848" s="55">
        <f t="shared" si="308"/>
        <v>0</v>
      </c>
      <c r="AQ848" s="55">
        <f>IFERROR(VLOOKUP(A848,[1]SIIMPLES!$A$2:$F$418,6,FALSE),0)</f>
        <v>0</v>
      </c>
      <c r="AR848" s="55">
        <v>0</v>
      </c>
      <c r="AS848" s="55">
        <v>2</v>
      </c>
      <c r="AT848" s="55">
        <v>0</v>
      </c>
      <c r="AU848" s="55">
        <v>0</v>
      </c>
      <c r="AV848" s="55">
        <v>2</v>
      </c>
      <c r="AW848" s="57"/>
      <c r="AX848" s="57"/>
      <c r="AY848" s="56">
        <f t="shared" si="314"/>
        <v>0.4</v>
      </c>
      <c r="AZ848" s="57"/>
      <c r="BA848" s="56">
        <v>2</v>
      </c>
      <c r="BB848" s="41">
        <f t="shared" si="318"/>
        <v>-0.8</v>
      </c>
      <c r="BC848" s="13"/>
      <c r="BD848" s="35"/>
      <c r="BE848" s="13"/>
      <c r="BF848" s="16">
        <f t="shared" si="316"/>
        <v>0</v>
      </c>
      <c r="BG848" s="17">
        <f t="shared" si="317"/>
        <v>0</v>
      </c>
      <c r="BH848" s="16">
        <f t="shared" si="307"/>
        <v>0.4</v>
      </c>
    </row>
    <row r="849" spans="1:60" ht="12.75" customHeight="1" x14ac:dyDescent="0.2">
      <c r="A849" s="50">
        <v>330178</v>
      </c>
      <c r="B849" s="51"/>
      <c r="C849" s="51" t="s">
        <v>1803</v>
      </c>
      <c r="D849" s="52" t="s">
        <v>1904</v>
      </c>
      <c r="E849" s="52">
        <f>VLOOKUP(A849,[2]CMV!$A$1:$E$2043,5,FALSE)</f>
        <v>0</v>
      </c>
      <c r="F849" s="53"/>
      <c r="G849" s="52">
        <f>VLOOKUP(A849,[2]CMV!$A$1:$F$2043,6,FALSE)</f>
        <v>0</v>
      </c>
      <c r="H849" s="57"/>
      <c r="I849" s="55">
        <f t="shared" si="310"/>
        <v>0</v>
      </c>
      <c r="J849" s="55">
        <v>0</v>
      </c>
      <c r="K849" s="55">
        <v>0</v>
      </c>
      <c r="L849" s="55">
        <v>0</v>
      </c>
      <c r="M849" s="55">
        <v>0</v>
      </c>
      <c r="N849" s="55">
        <f t="shared" si="311"/>
        <v>0</v>
      </c>
      <c r="O849" s="57"/>
      <c r="P849" s="57"/>
      <c r="Q849" s="57"/>
      <c r="R849" s="55">
        <f t="shared" si="312"/>
        <v>0</v>
      </c>
      <c r="S849" s="57"/>
      <c r="T849" s="57"/>
      <c r="U849" s="57"/>
      <c r="V849" s="55">
        <v>0</v>
      </c>
      <c r="W849" s="53">
        <v>0</v>
      </c>
      <c r="X849" s="53">
        <v>0</v>
      </c>
      <c r="Y849" s="55">
        <v>0</v>
      </c>
      <c r="Z849" s="55">
        <v>0</v>
      </c>
      <c r="AA849" s="53"/>
      <c r="AB849" s="53">
        <v>0</v>
      </c>
      <c r="AC849" s="55">
        <v>0</v>
      </c>
      <c r="AD849" s="55">
        <f t="shared" si="313"/>
        <v>0</v>
      </c>
      <c r="AE849" s="53">
        <f>IFERROR(VLOOKUP(A849,[4]simples!$A$1:$B$281,2,FALSE),0)</f>
        <v>0</v>
      </c>
      <c r="AF849" s="55">
        <v>0</v>
      </c>
      <c r="AG849" s="55">
        <v>0</v>
      </c>
      <c r="AH849" s="55">
        <f t="shared" si="296"/>
        <v>0</v>
      </c>
      <c r="AI849" s="57"/>
      <c r="AJ849" s="55">
        <v>0</v>
      </c>
      <c r="AK849" s="57"/>
      <c r="AL849" s="55">
        <f t="shared" si="297"/>
        <v>0</v>
      </c>
      <c r="AM849" s="55" t="s">
        <v>1912</v>
      </c>
      <c r="AN849" s="55">
        <v>0</v>
      </c>
      <c r="AO849" s="55">
        <v>0</v>
      </c>
      <c r="AP849" s="55">
        <f t="shared" si="308"/>
        <v>0</v>
      </c>
      <c r="AQ849" s="55">
        <f>IFERROR(VLOOKUP(A849,[1]SIIMPLES!$A$2:$F$418,6,FALSE),0)</f>
        <v>0</v>
      </c>
      <c r="AR849" s="55">
        <v>0</v>
      </c>
      <c r="AS849" s="55">
        <v>0</v>
      </c>
      <c r="AT849" s="55">
        <v>0</v>
      </c>
      <c r="AU849" s="55">
        <v>0</v>
      </c>
      <c r="AV849" s="55">
        <v>0</v>
      </c>
      <c r="AW849" s="57"/>
      <c r="AX849" s="57"/>
      <c r="AY849" s="56">
        <f t="shared" si="314"/>
        <v>0</v>
      </c>
      <c r="AZ849" s="57"/>
      <c r="BA849" s="56">
        <v>0.5</v>
      </c>
      <c r="BB849" s="41">
        <f t="shared" si="318"/>
        <v>-1</v>
      </c>
      <c r="BC849" s="13"/>
      <c r="BD849" s="35"/>
      <c r="BE849" s="13"/>
      <c r="BF849" s="16">
        <f t="shared" si="316"/>
        <v>0</v>
      </c>
      <c r="BG849" s="17" t="str">
        <f t="shared" si="317"/>
        <v>0</v>
      </c>
      <c r="BH849" s="16">
        <f t="shared" si="307"/>
        <v>0</v>
      </c>
    </row>
    <row r="850" spans="1:60" ht="12.75" customHeight="1" x14ac:dyDescent="0.2">
      <c r="A850" s="50">
        <v>330179</v>
      </c>
      <c r="B850" s="51"/>
      <c r="C850" s="51" t="s">
        <v>1803</v>
      </c>
      <c r="D850" s="52" t="s">
        <v>1904</v>
      </c>
      <c r="E850" s="52">
        <f>VLOOKUP(A850,[2]CMV!$A$1:$E$2043,5,FALSE)</f>
        <v>0</v>
      </c>
      <c r="F850" s="53"/>
      <c r="G850" s="52">
        <f>VLOOKUP(A850,[2]CMV!$A$1:$F$2043,6,FALSE)</f>
        <v>0</v>
      </c>
      <c r="H850" s="57"/>
      <c r="I850" s="55">
        <f t="shared" si="310"/>
        <v>0</v>
      </c>
      <c r="J850" s="55">
        <v>0</v>
      </c>
      <c r="K850" s="55">
        <v>0</v>
      </c>
      <c r="L850" s="55">
        <v>0</v>
      </c>
      <c r="M850" s="55">
        <v>0</v>
      </c>
      <c r="N850" s="55">
        <f t="shared" si="311"/>
        <v>0</v>
      </c>
      <c r="O850" s="57"/>
      <c r="P850" s="57"/>
      <c r="Q850" s="57"/>
      <c r="R850" s="55">
        <f t="shared" si="312"/>
        <v>0</v>
      </c>
      <c r="S850" s="57"/>
      <c r="T850" s="57"/>
      <c r="U850" s="57"/>
      <c r="V850" s="55">
        <v>0</v>
      </c>
      <c r="W850" s="53">
        <v>0</v>
      </c>
      <c r="X850" s="53">
        <v>0</v>
      </c>
      <c r="Y850" s="55">
        <v>0</v>
      </c>
      <c r="Z850" s="55">
        <v>0</v>
      </c>
      <c r="AA850" s="53"/>
      <c r="AB850" s="53">
        <v>0</v>
      </c>
      <c r="AC850" s="55">
        <v>0</v>
      </c>
      <c r="AD850" s="55">
        <f t="shared" si="313"/>
        <v>0</v>
      </c>
      <c r="AE850" s="53">
        <f>IFERROR(VLOOKUP(A850,[4]simples!$A$1:$B$281,2,FALSE),0)</f>
        <v>0</v>
      </c>
      <c r="AF850" s="55">
        <v>0</v>
      </c>
      <c r="AG850" s="55">
        <v>0</v>
      </c>
      <c r="AH850" s="55">
        <f t="shared" si="296"/>
        <v>0</v>
      </c>
      <c r="AI850" s="57"/>
      <c r="AJ850" s="55">
        <v>0</v>
      </c>
      <c r="AK850" s="57"/>
      <c r="AL850" s="55">
        <f t="shared" si="297"/>
        <v>0</v>
      </c>
      <c r="AM850" s="55" t="s">
        <v>1912</v>
      </c>
      <c r="AN850" s="55">
        <v>0</v>
      </c>
      <c r="AO850" s="55">
        <v>0</v>
      </c>
      <c r="AP850" s="55">
        <f t="shared" si="308"/>
        <v>0</v>
      </c>
      <c r="AQ850" s="55">
        <f>IFERROR(VLOOKUP(A850,[1]SIIMPLES!$A$2:$F$418,6,FALSE),0)</f>
        <v>0</v>
      </c>
      <c r="AR850" s="55">
        <v>0</v>
      </c>
      <c r="AS850" s="55">
        <v>0</v>
      </c>
      <c r="AT850" s="55">
        <v>0</v>
      </c>
      <c r="AU850" s="55">
        <v>0</v>
      </c>
      <c r="AV850" s="55">
        <v>0</v>
      </c>
      <c r="AW850" s="57"/>
      <c r="AX850" s="57"/>
      <c r="AY850" s="56">
        <f t="shared" si="314"/>
        <v>0</v>
      </c>
      <c r="AZ850" s="57"/>
      <c r="BA850" s="56">
        <v>0.5</v>
      </c>
      <c r="BB850" s="41">
        <f t="shared" si="318"/>
        <v>-1</v>
      </c>
      <c r="BC850" s="13"/>
      <c r="BD850" s="36"/>
      <c r="BE850" s="7"/>
      <c r="BF850" s="7"/>
      <c r="BG850" s="7"/>
      <c r="BH850" s="7"/>
    </row>
    <row r="851" spans="1:60" ht="12.75" customHeight="1" x14ac:dyDescent="0.2">
      <c r="A851" s="50">
        <v>330214</v>
      </c>
      <c r="B851" s="51"/>
      <c r="C851" s="51" t="s">
        <v>1803</v>
      </c>
      <c r="D851" s="52" t="s">
        <v>1904</v>
      </c>
      <c r="E851" s="52" t="str">
        <f>VLOOKUP(A851,[3]CMV!$A$1:$E$1988,5,FALSE)</f>
        <v>SPARE</v>
      </c>
      <c r="F851" s="53"/>
      <c r="G851" s="52" t="s">
        <v>1892</v>
      </c>
      <c r="H851" s="57"/>
      <c r="I851" s="55">
        <f t="shared" si="310"/>
        <v>0</v>
      </c>
      <c r="J851" s="55">
        <v>0</v>
      </c>
      <c r="K851" s="55">
        <v>0</v>
      </c>
      <c r="L851" s="55">
        <v>0</v>
      </c>
      <c r="M851" s="55">
        <v>0</v>
      </c>
      <c r="N851" s="55">
        <f t="shared" si="311"/>
        <v>0</v>
      </c>
      <c r="O851" s="57"/>
      <c r="P851" s="57"/>
      <c r="Q851" s="57"/>
      <c r="R851" s="55">
        <f t="shared" si="312"/>
        <v>0</v>
      </c>
      <c r="S851" s="57"/>
      <c r="T851" s="57"/>
      <c r="U851" s="57"/>
      <c r="V851" s="55">
        <v>0</v>
      </c>
      <c r="W851" s="53">
        <v>0</v>
      </c>
      <c r="X851" s="53">
        <v>0</v>
      </c>
      <c r="Y851" s="55">
        <v>0</v>
      </c>
      <c r="Z851" s="55">
        <v>0</v>
      </c>
      <c r="AA851" s="53"/>
      <c r="AB851" s="53">
        <v>0</v>
      </c>
      <c r="AC851" s="55">
        <v>0</v>
      </c>
      <c r="AD851" s="55">
        <f t="shared" si="313"/>
        <v>0</v>
      </c>
      <c r="AE851" s="53">
        <f>IFERROR(VLOOKUP(A851,[4]simples!$A$1:$B$281,2,FALSE),0)</f>
        <v>0</v>
      </c>
      <c r="AF851" s="55">
        <v>0</v>
      </c>
      <c r="AG851" s="55">
        <v>0</v>
      </c>
      <c r="AH851" s="55">
        <f t="shared" ref="AH851:AH914" si="319">SUM(AI851:AK851)</f>
        <v>0</v>
      </c>
      <c r="AI851" s="57"/>
      <c r="AJ851" s="55">
        <v>0</v>
      </c>
      <c r="AK851" s="57"/>
      <c r="AL851" s="55">
        <f t="shared" ref="AL851:AL914" si="320">SUM(AM851:AO851)</f>
        <v>0</v>
      </c>
      <c r="AM851" s="55" t="s">
        <v>1912</v>
      </c>
      <c r="AN851" s="55">
        <v>0</v>
      </c>
      <c r="AO851" s="55">
        <v>0</v>
      </c>
      <c r="AP851" s="55">
        <f t="shared" si="308"/>
        <v>0</v>
      </c>
      <c r="AQ851" s="55">
        <f>IFERROR(VLOOKUP(A851,[1]SIIMPLES!$A$2:$F$418,6,FALSE),0)</f>
        <v>0</v>
      </c>
      <c r="AR851" s="55">
        <v>0</v>
      </c>
      <c r="AS851" s="55">
        <v>0</v>
      </c>
      <c r="AT851" s="55">
        <v>0</v>
      </c>
      <c r="AU851" s="55">
        <v>0</v>
      </c>
      <c r="AV851" s="55">
        <v>0</v>
      </c>
      <c r="AW851" s="57"/>
      <c r="AX851" s="57"/>
      <c r="AY851" s="56">
        <f t="shared" si="314"/>
        <v>0</v>
      </c>
      <c r="AZ851" s="57"/>
      <c r="BA851" s="56">
        <v>1</v>
      </c>
      <c r="BB851" s="41">
        <f t="shared" si="318"/>
        <v>-1</v>
      </c>
      <c r="BC851" s="13"/>
      <c r="BD851" s="35"/>
      <c r="BE851" s="13"/>
      <c r="BF851" s="16">
        <f>SUM(BC851:BE851)</f>
        <v>0</v>
      </c>
      <c r="BG851" s="17" t="str">
        <f t="shared" ref="BG851:BG882" si="321">IFERROR(BC851/AY851,"0")</f>
        <v>0</v>
      </c>
      <c r="BH851" s="16">
        <f>IFERROR(IF(F851=1,IF(BC851&lt;AY851*3,AY851*3-BC851,0),IF(BC851&lt;AY851,AY851-BC851,0)),"")</f>
        <v>0</v>
      </c>
    </row>
    <row r="852" spans="1:60" ht="12.75" customHeight="1" x14ac:dyDescent="0.2">
      <c r="A852" s="51">
        <v>330254</v>
      </c>
      <c r="B852" s="51"/>
      <c r="C852" s="66" t="s">
        <v>1803</v>
      </c>
      <c r="D852" s="65" t="s">
        <v>755</v>
      </c>
      <c r="E852" s="67" t="s">
        <v>727</v>
      </c>
      <c r="F852" s="53">
        <f>IFERROR(VLOOKUP(E852,Fornecedores!$A$2:$B$2700,2,FALSE),"")</f>
        <v>1</v>
      </c>
      <c r="G852" s="52" t="s">
        <v>1745</v>
      </c>
      <c r="H852" s="57"/>
      <c r="I852" s="55">
        <f t="shared" si="310"/>
        <v>0</v>
      </c>
      <c r="J852" s="57" t="s">
        <v>1282</v>
      </c>
      <c r="K852" s="55">
        <v>0</v>
      </c>
      <c r="L852" s="55">
        <v>0</v>
      </c>
      <c r="M852" s="55">
        <v>0</v>
      </c>
      <c r="N852" s="55">
        <f t="shared" si="311"/>
        <v>0</v>
      </c>
      <c r="O852" s="55">
        <v>0</v>
      </c>
      <c r="P852" s="55">
        <v>0</v>
      </c>
      <c r="Q852" s="55">
        <v>0</v>
      </c>
      <c r="R852" s="55">
        <f t="shared" si="312"/>
        <v>0</v>
      </c>
      <c r="S852" s="55">
        <v>0</v>
      </c>
      <c r="T852" s="55">
        <v>0</v>
      </c>
      <c r="U852" s="55">
        <v>0</v>
      </c>
      <c r="V852" s="55">
        <v>0</v>
      </c>
      <c r="W852" s="53">
        <v>0</v>
      </c>
      <c r="X852" s="53">
        <v>0</v>
      </c>
      <c r="Y852" s="55">
        <v>0</v>
      </c>
      <c r="Z852" s="55">
        <v>0</v>
      </c>
      <c r="AA852" s="53">
        <v>0</v>
      </c>
      <c r="AB852" s="53">
        <v>0</v>
      </c>
      <c r="AC852" s="55">
        <v>0</v>
      </c>
      <c r="AD852" s="55">
        <f t="shared" si="313"/>
        <v>0</v>
      </c>
      <c r="AE852" s="53">
        <v>0</v>
      </c>
      <c r="AF852" s="55">
        <v>0</v>
      </c>
      <c r="AG852" s="55">
        <v>0</v>
      </c>
      <c r="AH852" s="55">
        <f t="shared" si="319"/>
        <v>0</v>
      </c>
      <c r="AI852" s="55">
        <v>0</v>
      </c>
      <c r="AJ852" s="55">
        <v>0</v>
      </c>
      <c r="AK852" s="55">
        <v>0</v>
      </c>
      <c r="AL852" s="55">
        <f t="shared" si="320"/>
        <v>0</v>
      </c>
      <c r="AM852" s="55" t="s">
        <v>1912</v>
      </c>
      <c r="AN852" s="55">
        <v>0</v>
      </c>
      <c r="AO852" s="55">
        <v>0</v>
      </c>
      <c r="AP852" s="55">
        <f t="shared" si="308"/>
        <v>0</v>
      </c>
      <c r="AQ852" s="55">
        <f>IFERROR(VLOOKUP(A852,[1]SIIMPLES!$A$2:$F$418,6,FALSE),0)</f>
        <v>0</v>
      </c>
      <c r="AR852" s="55">
        <v>0</v>
      </c>
      <c r="AS852" s="55">
        <v>0</v>
      </c>
      <c r="AT852" s="55">
        <v>0</v>
      </c>
      <c r="AU852" s="55">
        <v>0</v>
      </c>
      <c r="AV852" s="55">
        <v>0</v>
      </c>
      <c r="AW852" s="57"/>
      <c r="AX852" s="57"/>
      <c r="AY852" s="56">
        <f t="shared" si="314"/>
        <v>0</v>
      </c>
      <c r="AZ852" s="55"/>
      <c r="BA852" s="56" t="s">
        <v>1912</v>
      </c>
      <c r="BB852" s="41" t="str">
        <f t="shared" si="318"/>
        <v/>
      </c>
      <c r="BC852" s="13"/>
      <c r="BD852" s="35"/>
      <c r="BE852" s="13"/>
      <c r="BF852" s="16"/>
      <c r="BG852" s="17" t="str">
        <f t="shared" si="321"/>
        <v>0</v>
      </c>
      <c r="BH852" s="16">
        <f>IFERROR(IF(F852=1,IF(BC852&lt;AY852*3,AY852*3-BC852,0),IF(BC852&lt;AY852,AY852-BC852,0)),"")</f>
        <v>0</v>
      </c>
    </row>
    <row r="853" spans="1:60" ht="12.75" customHeight="1" x14ac:dyDescent="0.2">
      <c r="A853" s="51">
        <v>330314</v>
      </c>
      <c r="B853" s="51"/>
      <c r="C853" s="66" t="s">
        <v>1803</v>
      </c>
      <c r="D853" s="52" t="s">
        <v>766</v>
      </c>
      <c r="E853" s="52" t="s">
        <v>780</v>
      </c>
      <c r="F853" s="53">
        <f>IFERROR(VLOOKUP(E853,Fornecedores!$A$2:$B$2700,2,FALSE),"")</f>
        <v>2</v>
      </c>
      <c r="G853" s="52" t="s">
        <v>1660</v>
      </c>
      <c r="H853" s="57"/>
      <c r="I853" s="55">
        <f t="shared" si="310"/>
        <v>0</v>
      </c>
      <c r="J853" s="55">
        <v>0</v>
      </c>
      <c r="K853" s="55">
        <v>0</v>
      </c>
      <c r="L853" s="55">
        <v>0</v>
      </c>
      <c r="M853" s="55">
        <v>0</v>
      </c>
      <c r="N853" s="55">
        <f t="shared" si="311"/>
        <v>0</v>
      </c>
      <c r="O853" s="55">
        <v>0</v>
      </c>
      <c r="P853" s="55">
        <v>0</v>
      </c>
      <c r="Q853" s="55">
        <v>0</v>
      </c>
      <c r="R853" s="55">
        <f t="shared" si="312"/>
        <v>0</v>
      </c>
      <c r="S853" s="55">
        <v>0</v>
      </c>
      <c r="T853" s="55">
        <v>0</v>
      </c>
      <c r="U853" s="55">
        <v>0</v>
      </c>
      <c r="V853" s="55">
        <v>0</v>
      </c>
      <c r="W853" s="53">
        <v>0</v>
      </c>
      <c r="X853" s="53">
        <v>0</v>
      </c>
      <c r="Y853" s="55">
        <v>0</v>
      </c>
      <c r="Z853" s="55">
        <v>0</v>
      </c>
      <c r="AA853" s="53">
        <v>0</v>
      </c>
      <c r="AB853" s="53">
        <v>0</v>
      </c>
      <c r="AC853" s="55">
        <v>0</v>
      </c>
      <c r="AD853" s="55">
        <f t="shared" si="313"/>
        <v>0</v>
      </c>
      <c r="AE853" s="53">
        <v>0</v>
      </c>
      <c r="AF853" s="55">
        <v>0</v>
      </c>
      <c r="AG853" s="55">
        <v>0</v>
      </c>
      <c r="AH853" s="55">
        <f t="shared" si="319"/>
        <v>0</v>
      </c>
      <c r="AI853" s="55">
        <v>0</v>
      </c>
      <c r="AJ853" s="55">
        <v>0</v>
      </c>
      <c r="AK853" s="55">
        <v>0</v>
      </c>
      <c r="AL853" s="55">
        <f t="shared" si="320"/>
        <v>0</v>
      </c>
      <c r="AM853" s="55" t="s">
        <v>1912</v>
      </c>
      <c r="AN853" s="55">
        <v>0</v>
      </c>
      <c r="AO853" s="55">
        <v>0</v>
      </c>
      <c r="AP853" s="55">
        <f t="shared" si="308"/>
        <v>0</v>
      </c>
      <c r="AQ853" s="55">
        <f>IFERROR(VLOOKUP(A853,[1]SIIMPLES!$A$2:$F$418,6,FALSE),0)</f>
        <v>0</v>
      </c>
      <c r="AR853" s="55">
        <v>0</v>
      </c>
      <c r="AS853" s="55">
        <v>0</v>
      </c>
      <c r="AT853" s="55">
        <v>0</v>
      </c>
      <c r="AU853" s="55">
        <v>0</v>
      </c>
      <c r="AV853" s="55">
        <v>0</v>
      </c>
      <c r="AW853" s="55"/>
      <c r="AX853" s="55"/>
      <c r="AY853" s="56">
        <f t="shared" si="314"/>
        <v>0</v>
      </c>
      <c r="AZ853" s="55"/>
      <c r="BA853" s="56">
        <v>0</v>
      </c>
      <c r="BB853" s="41" t="str">
        <f t="shared" si="318"/>
        <v/>
      </c>
      <c r="BC853" s="13"/>
      <c r="BD853" s="35"/>
      <c r="BE853" s="13"/>
      <c r="BF853" s="16"/>
      <c r="BG853" s="17" t="str">
        <f t="shared" si="321"/>
        <v>0</v>
      </c>
      <c r="BH853" s="16"/>
    </row>
    <row r="854" spans="1:60" ht="12.75" customHeight="1" x14ac:dyDescent="0.2">
      <c r="A854" s="51">
        <v>330351</v>
      </c>
      <c r="B854" s="51"/>
      <c r="C854" s="66" t="s">
        <v>1803</v>
      </c>
      <c r="D854" s="65">
        <v>0</v>
      </c>
      <c r="E854" s="67" t="s">
        <v>1758</v>
      </c>
      <c r="F854" s="53">
        <f>IFERROR(VLOOKUP(E854,Fornecedores!$A$2:$B$2700,2,FALSE),"")</f>
        <v>1</v>
      </c>
      <c r="G854" s="52">
        <f>VLOOKUP(A854,[2]CMV!$A$1:$F$2043,6,FALSE)</f>
        <v>0</v>
      </c>
      <c r="H854" s="57"/>
      <c r="I854" s="55">
        <f t="shared" si="310"/>
        <v>0</v>
      </c>
      <c r="J854" s="57" t="s">
        <v>1282</v>
      </c>
      <c r="K854" s="55">
        <v>0</v>
      </c>
      <c r="L854" s="55">
        <v>0</v>
      </c>
      <c r="M854" s="55">
        <v>0</v>
      </c>
      <c r="N854" s="55">
        <f t="shared" si="311"/>
        <v>0</v>
      </c>
      <c r="O854" s="55">
        <v>0</v>
      </c>
      <c r="P854" s="55">
        <v>0</v>
      </c>
      <c r="Q854" s="55">
        <v>0</v>
      </c>
      <c r="R854" s="55">
        <f t="shared" si="312"/>
        <v>0</v>
      </c>
      <c r="S854" s="55">
        <v>0</v>
      </c>
      <c r="T854" s="55">
        <v>0</v>
      </c>
      <c r="U854" s="55">
        <v>0</v>
      </c>
      <c r="V854" s="55">
        <v>0</v>
      </c>
      <c r="W854" s="53">
        <v>0</v>
      </c>
      <c r="X854" s="53">
        <v>0</v>
      </c>
      <c r="Y854" s="55">
        <v>0</v>
      </c>
      <c r="Z854" s="55">
        <v>0</v>
      </c>
      <c r="AA854" s="53">
        <v>0</v>
      </c>
      <c r="AB854" s="53">
        <v>0</v>
      </c>
      <c r="AC854" s="55">
        <v>0</v>
      </c>
      <c r="AD854" s="55">
        <f t="shared" si="313"/>
        <v>0</v>
      </c>
      <c r="AE854" s="53">
        <v>0</v>
      </c>
      <c r="AF854" s="55">
        <v>0</v>
      </c>
      <c r="AG854" s="55">
        <v>0</v>
      </c>
      <c r="AH854" s="55">
        <f t="shared" si="319"/>
        <v>0</v>
      </c>
      <c r="AI854" s="55">
        <v>0</v>
      </c>
      <c r="AJ854" s="55">
        <v>0</v>
      </c>
      <c r="AK854" s="55">
        <v>0</v>
      </c>
      <c r="AL854" s="55">
        <f t="shared" si="320"/>
        <v>0</v>
      </c>
      <c r="AM854" s="55" t="s">
        <v>1912</v>
      </c>
      <c r="AN854" s="55">
        <v>0</v>
      </c>
      <c r="AO854" s="55">
        <v>0</v>
      </c>
      <c r="AP854" s="55">
        <f t="shared" si="308"/>
        <v>0</v>
      </c>
      <c r="AQ854" s="55">
        <f>IFERROR(VLOOKUP(A854,[1]SIIMPLES!$A$2:$F$418,6,FALSE),0)</f>
        <v>0</v>
      </c>
      <c r="AR854" s="55">
        <v>0</v>
      </c>
      <c r="AS854" s="55">
        <v>0</v>
      </c>
      <c r="AT854" s="55">
        <v>0</v>
      </c>
      <c r="AU854" s="55">
        <v>0</v>
      </c>
      <c r="AV854" s="55">
        <v>0</v>
      </c>
      <c r="AW854" s="57"/>
      <c r="AX854" s="57"/>
      <c r="AY854" s="56">
        <f t="shared" si="314"/>
        <v>0</v>
      </c>
      <c r="AZ854" s="55"/>
      <c r="BA854" s="56" t="s">
        <v>1912</v>
      </c>
      <c r="BB854" s="41" t="str">
        <f t="shared" si="318"/>
        <v/>
      </c>
      <c r="BC854" s="13"/>
      <c r="BD854" s="35"/>
      <c r="BE854" s="7"/>
      <c r="BF854" s="16"/>
      <c r="BG854" s="17" t="str">
        <f t="shared" si="321"/>
        <v>0</v>
      </c>
      <c r="BH854" s="16"/>
    </row>
    <row r="855" spans="1:60" ht="12.75" customHeight="1" x14ac:dyDescent="0.2">
      <c r="A855" s="51">
        <v>331050</v>
      </c>
      <c r="B855" s="51"/>
      <c r="C855" s="66" t="s">
        <v>1803</v>
      </c>
      <c r="D855" s="52" t="s">
        <v>1779</v>
      </c>
      <c r="E855" s="52">
        <f>VLOOKUP(A855,[2]CMV!$A$1:$E$2043,5,FALSE)</f>
        <v>0</v>
      </c>
      <c r="F855" s="53" t="str">
        <f>IFERROR(VLOOKUP(E855,Fornecedores!$A$2:$B$2700,2,FALSE),"")</f>
        <v/>
      </c>
      <c r="G855" s="52" t="s">
        <v>1743</v>
      </c>
      <c r="H855" s="57"/>
      <c r="I855" s="55">
        <f t="shared" si="310"/>
        <v>0</v>
      </c>
      <c r="J855" s="57" t="s">
        <v>1282</v>
      </c>
      <c r="K855" s="55">
        <v>0</v>
      </c>
      <c r="L855" s="55">
        <v>0</v>
      </c>
      <c r="M855" s="55">
        <v>0</v>
      </c>
      <c r="N855" s="55">
        <f t="shared" si="311"/>
        <v>0</v>
      </c>
      <c r="O855" s="55">
        <v>0</v>
      </c>
      <c r="P855" s="55">
        <v>0</v>
      </c>
      <c r="Q855" s="55">
        <v>0</v>
      </c>
      <c r="R855" s="55">
        <f t="shared" si="312"/>
        <v>0</v>
      </c>
      <c r="S855" s="55">
        <v>0</v>
      </c>
      <c r="T855" s="55">
        <v>0</v>
      </c>
      <c r="U855" s="55">
        <v>0</v>
      </c>
      <c r="V855" s="55">
        <v>0</v>
      </c>
      <c r="W855" s="53">
        <v>0</v>
      </c>
      <c r="X855" s="53">
        <v>0</v>
      </c>
      <c r="Y855" s="55">
        <v>0</v>
      </c>
      <c r="Z855" s="55">
        <v>0</v>
      </c>
      <c r="AA855" s="53">
        <v>0</v>
      </c>
      <c r="AB855" s="53">
        <v>0</v>
      </c>
      <c r="AC855" s="55">
        <v>0</v>
      </c>
      <c r="AD855" s="55">
        <f t="shared" si="313"/>
        <v>5</v>
      </c>
      <c r="AE855" s="53">
        <v>0</v>
      </c>
      <c r="AF855" s="55">
        <v>5</v>
      </c>
      <c r="AG855" s="55">
        <v>0</v>
      </c>
      <c r="AH855" s="55">
        <f t="shared" si="319"/>
        <v>1</v>
      </c>
      <c r="AI855" s="55">
        <v>0</v>
      </c>
      <c r="AJ855" s="55">
        <v>1</v>
      </c>
      <c r="AK855" s="55">
        <v>0</v>
      </c>
      <c r="AL855" s="55">
        <f t="shared" si="320"/>
        <v>3</v>
      </c>
      <c r="AM855" s="55" t="s">
        <v>1912</v>
      </c>
      <c r="AN855" s="55">
        <v>3</v>
      </c>
      <c r="AO855" s="55">
        <v>0</v>
      </c>
      <c r="AP855" s="55">
        <f t="shared" si="308"/>
        <v>0</v>
      </c>
      <c r="AQ855" s="55">
        <f>IFERROR(VLOOKUP(A855,[1]SIIMPLES!$A$2:$F$418,6,FALSE),0)</f>
        <v>0</v>
      </c>
      <c r="AR855" s="55">
        <v>0</v>
      </c>
      <c r="AS855" s="55">
        <v>0</v>
      </c>
      <c r="AT855" s="55">
        <v>0</v>
      </c>
      <c r="AU855" s="55">
        <v>0</v>
      </c>
      <c r="AV855" s="55">
        <v>0</v>
      </c>
      <c r="AW855" s="57"/>
      <c r="AX855" s="57"/>
      <c r="AY855" s="56">
        <f t="shared" si="314"/>
        <v>0.9</v>
      </c>
      <c r="AZ855" s="55"/>
      <c r="BA855" s="56" t="s">
        <v>1912</v>
      </c>
      <c r="BB855" s="41" t="str">
        <f t="shared" si="318"/>
        <v/>
      </c>
      <c r="BC855" s="13"/>
      <c r="BD855" s="35"/>
      <c r="BE855" s="13"/>
      <c r="BF855" s="16"/>
      <c r="BG855" s="17">
        <f t="shared" si="321"/>
        <v>0</v>
      </c>
      <c r="BH855" s="16"/>
    </row>
    <row r="856" spans="1:60" ht="12.75" customHeight="1" x14ac:dyDescent="0.2">
      <c r="A856" s="51">
        <v>331051</v>
      </c>
      <c r="B856" s="51"/>
      <c r="C856" s="66" t="s">
        <v>1803</v>
      </c>
      <c r="D856" s="52" t="s">
        <v>1779</v>
      </c>
      <c r="E856" s="52">
        <f>VLOOKUP(A856,[2]CMV!$A$1:$E$2043,5,FALSE)</f>
        <v>0</v>
      </c>
      <c r="F856" s="53" t="str">
        <f>IFERROR(VLOOKUP(E856,Fornecedores!$A$2:$B$2700,2,FALSE),"")</f>
        <v/>
      </c>
      <c r="G856" s="52" t="s">
        <v>1742</v>
      </c>
      <c r="H856" s="57"/>
      <c r="I856" s="55">
        <f t="shared" si="310"/>
        <v>0</v>
      </c>
      <c r="J856" s="57" t="s">
        <v>1282</v>
      </c>
      <c r="K856" s="55">
        <v>0</v>
      </c>
      <c r="L856" s="55">
        <v>0</v>
      </c>
      <c r="M856" s="55">
        <v>0</v>
      </c>
      <c r="N856" s="55">
        <f t="shared" si="311"/>
        <v>0</v>
      </c>
      <c r="O856" s="55">
        <v>0</v>
      </c>
      <c r="P856" s="55">
        <v>0</v>
      </c>
      <c r="Q856" s="55">
        <v>0</v>
      </c>
      <c r="R856" s="55">
        <f t="shared" si="312"/>
        <v>0</v>
      </c>
      <c r="S856" s="55">
        <v>0</v>
      </c>
      <c r="T856" s="55">
        <v>0</v>
      </c>
      <c r="U856" s="55">
        <v>0</v>
      </c>
      <c r="V856" s="55">
        <v>0</v>
      </c>
      <c r="W856" s="53">
        <v>0</v>
      </c>
      <c r="X856" s="53">
        <v>0</v>
      </c>
      <c r="Y856" s="55">
        <v>0</v>
      </c>
      <c r="Z856" s="55">
        <v>0</v>
      </c>
      <c r="AA856" s="53">
        <v>0</v>
      </c>
      <c r="AB856" s="53">
        <v>0</v>
      </c>
      <c r="AC856" s="55">
        <v>0</v>
      </c>
      <c r="AD856" s="55">
        <f t="shared" si="313"/>
        <v>5</v>
      </c>
      <c r="AE856" s="53">
        <v>0</v>
      </c>
      <c r="AF856" s="55">
        <v>5</v>
      </c>
      <c r="AG856" s="55">
        <v>0</v>
      </c>
      <c r="AH856" s="55">
        <f t="shared" si="319"/>
        <v>1</v>
      </c>
      <c r="AI856" s="55">
        <v>0</v>
      </c>
      <c r="AJ856" s="55">
        <v>1</v>
      </c>
      <c r="AK856" s="55">
        <v>0</v>
      </c>
      <c r="AL856" s="55">
        <f t="shared" si="320"/>
        <v>3</v>
      </c>
      <c r="AM856" s="55" t="s">
        <v>1912</v>
      </c>
      <c r="AN856" s="55">
        <v>3</v>
      </c>
      <c r="AO856" s="55">
        <v>0</v>
      </c>
      <c r="AP856" s="55">
        <f t="shared" si="308"/>
        <v>0</v>
      </c>
      <c r="AQ856" s="55">
        <f>IFERROR(VLOOKUP(A856,[1]SIIMPLES!$A$2:$F$418,6,FALSE),0)</f>
        <v>0</v>
      </c>
      <c r="AR856" s="55">
        <v>0</v>
      </c>
      <c r="AS856" s="55">
        <v>0</v>
      </c>
      <c r="AT856" s="55">
        <v>0</v>
      </c>
      <c r="AU856" s="55">
        <v>0</v>
      </c>
      <c r="AV856" s="55">
        <v>0</v>
      </c>
      <c r="AW856" s="57"/>
      <c r="AX856" s="57"/>
      <c r="AY856" s="56">
        <f t="shared" si="314"/>
        <v>0.9</v>
      </c>
      <c r="AZ856" s="55"/>
      <c r="BA856" s="56" t="s">
        <v>1912</v>
      </c>
      <c r="BB856" s="41" t="str">
        <f t="shared" si="318"/>
        <v/>
      </c>
      <c r="BC856" s="13"/>
      <c r="BD856" s="36"/>
      <c r="BE856" s="7"/>
      <c r="BF856" s="7"/>
      <c r="BG856" s="17">
        <f t="shared" si="321"/>
        <v>0</v>
      </c>
      <c r="BH856" s="7"/>
    </row>
    <row r="857" spans="1:60" ht="12.75" customHeight="1" x14ac:dyDescent="0.2">
      <c r="A857" s="51">
        <v>332115</v>
      </c>
      <c r="B857" s="51" t="s">
        <v>1077</v>
      </c>
      <c r="C857" s="66" t="s">
        <v>1803</v>
      </c>
      <c r="D857" s="52" t="s">
        <v>728</v>
      </c>
      <c r="E857" s="65" t="s">
        <v>780</v>
      </c>
      <c r="F857" s="53">
        <f>IFERROR(VLOOKUP(E857,Fornecedores!$A$2:$B$2700,2,FALSE),"")</f>
        <v>2</v>
      </c>
      <c r="G857" s="52" t="s">
        <v>867</v>
      </c>
      <c r="H857" s="57"/>
      <c r="I857" s="55">
        <f t="shared" si="310"/>
        <v>1</v>
      </c>
      <c r="J857" s="55">
        <v>1</v>
      </c>
      <c r="K857" s="55">
        <v>0</v>
      </c>
      <c r="L857" s="55">
        <v>0</v>
      </c>
      <c r="M857" s="55">
        <v>0</v>
      </c>
      <c r="N857" s="55">
        <f t="shared" si="311"/>
        <v>0</v>
      </c>
      <c r="O857" s="55">
        <v>0</v>
      </c>
      <c r="P857" s="55">
        <v>0</v>
      </c>
      <c r="Q857" s="55">
        <v>0</v>
      </c>
      <c r="R857" s="55">
        <f t="shared" si="312"/>
        <v>0</v>
      </c>
      <c r="S857" s="55">
        <v>0</v>
      </c>
      <c r="T857" s="55">
        <v>0</v>
      </c>
      <c r="U857" s="55">
        <v>0</v>
      </c>
      <c r="V857" s="55">
        <v>0</v>
      </c>
      <c r="W857" s="53">
        <v>0</v>
      </c>
      <c r="X857" s="53">
        <v>0</v>
      </c>
      <c r="Y857" s="55">
        <v>0</v>
      </c>
      <c r="Z857" s="55">
        <v>0</v>
      </c>
      <c r="AA857" s="53">
        <v>0</v>
      </c>
      <c r="AB857" s="53">
        <v>0</v>
      </c>
      <c r="AC857" s="55">
        <v>0</v>
      </c>
      <c r="AD857" s="55">
        <f t="shared" si="313"/>
        <v>0</v>
      </c>
      <c r="AE857" s="53">
        <v>0</v>
      </c>
      <c r="AF857" s="55">
        <v>0</v>
      </c>
      <c r="AG857" s="55">
        <v>0</v>
      </c>
      <c r="AH857" s="55">
        <f t="shared" si="319"/>
        <v>1</v>
      </c>
      <c r="AI857" s="55">
        <v>1</v>
      </c>
      <c r="AJ857" s="55">
        <v>0</v>
      </c>
      <c r="AK857" s="55">
        <v>0</v>
      </c>
      <c r="AL857" s="55">
        <f t="shared" si="320"/>
        <v>0</v>
      </c>
      <c r="AM857" s="55" t="s">
        <v>1912</v>
      </c>
      <c r="AN857" s="55">
        <v>0</v>
      </c>
      <c r="AO857" s="55">
        <v>0</v>
      </c>
      <c r="AP857" s="55">
        <f t="shared" si="308"/>
        <v>0</v>
      </c>
      <c r="AQ857" s="55">
        <f>IFERROR(VLOOKUP(A857,[1]SIIMPLES!$A$2:$F$418,6,FALSE),0)</f>
        <v>0</v>
      </c>
      <c r="AR857" s="55">
        <v>0</v>
      </c>
      <c r="AS857" s="55">
        <v>0</v>
      </c>
      <c r="AT857" s="55">
        <v>0</v>
      </c>
      <c r="AU857" s="55">
        <v>0</v>
      </c>
      <c r="AV857" s="55">
        <v>0</v>
      </c>
      <c r="AW857" s="55"/>
      <c r="AX857" s="55"/>
      <c r="AY857" s="56">
        <f t="shared" si="314"/>
        <v>0.2</v>
      </c>
      <c r="AZ857" s="55"/>
      <c r="BA857" s="56">
        <v>0.5</v>
      </c>
      <c r="BB857" s="41">
        <f t="shared" si="318"/>
        <v>-0.6</v>
      </c>
      <c r="BC857" s="13"/>
      <c r="BD857" s="35"/>
      <c r="BE857" s="13"/>
      <c r="BF857" s="16"/>
      <c r="BG857" s="17">
        <f t="shared" si="321"/>
        <v>0</v>
      </c>
      <c r="BH857" s="16">
        <f>IFERROR(IF(F857=1,IF(BC857&lt;AY857*3,AY857*3-BC857,0),IF(BC857&lt;AY857,AY857-BC857,0)),"")</f>
        <v>0.2</v>
      </c>
    </row>
    <row r="858" spans="1:60" ht="12.75" customHeight="1" x14ac:dyDescent="0.2">
      <c r="A858" s="51">
        <v>442067</v>
      </c>
      <c r="B858" s="51" t="s">
        <v>1077</v>
      </c>
      <c r="C858" s="66" t="s">
        <v>1803</v>
      </c>
      <c r="D858" s="52" t="s">
        <v>728</v>
      </c>
      <c r="E858" s="65" t="s">
        <v>780</v>
      </c>
      <c r="F858" s="53">
        <f>IFERROR(VLOOKUP(E858,Fornecedores!$A$2:$B$2700,2,FALSE),"")</f>
        <v>2</v>
      </c>
      <c r="G858" s="52" t="s">
        <v>95</v>
      </c>
      <c r="H858" s="57"/>
      <c r="I858" s="55">
        <f t="shared" si="310"/>
        <v>0</v>
      </c>
      <c r="J858" s="55">
        <v>0</v>
      </c>
      <c r="K858" s="55">
        <v>0</v>
      </c>
      <c r="L858" s="55">
        <v>0</v>
      </c>
      <c r="M858" s="55">
        <v>0</v>
      </c>
      <c r="N858" s="55">
        <f t="shared" si="311"/>
        <v>0</v>
      </c>
      <c r="O858" s="55">
        <v>0</v>
      </c>
      <c r="P858" s="55">
        <v>0</v>
      </c>
      <c r="Q858" s="55">
        <v>0</v>
      </c>
      <c r="R858" s="55">
        <f t="shared" si="312"/>
        <v>1</v>
      </c>
      <c r="S858" s="55">
        <v>1</v>
      </c>
      <c r="T858" s="55">
        <v>0</v>
      </c>
      <c r="U858" s="55">
        <v>0</v>
      </c>
      <c r="V858" s="55">
        <v>0</v>
      </c>
      <c r="W858" s="53">
        <v>0</v>
      </c>
      <c r="X858" s="53">
        <v>0</v>
      </c>
      <c r="Y858" s="55">
        <v>0</v>
      </c>
      <c r="Z858" s="55">
        <v>0</v>
      </c>
      <c r="AA858" s="53">
        <v>0</v>
      </c>
      <c r="AB858" s="53">
        <v>0</v>
      </c>
      <c r="AC858" s="55">
        <v>0</v>
      </c>
      <c r="AD858" s="55">
        <f t="shared" si="313"/>
        <v>2</v>
      </c>
      <c r="AE858" s="53">
        <v>2</v>
      </c>
      <c r="AF858" s="55">
        <v>0</v>
      </c>
      <c r="AG858" s="55">
        <v>0</v>
      </c>
      <c r="AH858" s="55">
        <f t="shared" si="319"/>
        <v>1</v>
      </c>
      <c r="AI858" s="55">
        <v>1</v>
      </c>
      <c r="AJ858" s="55">
        <v>0</v>
      </c>
      <c r="AK858" s="55">
        <v>0</v>
      </c>
      <c r="AL858" s="55">
        <f t="shared" si="320"/>
        <v>0</v>
      </c>
      <c r="AM858" s="55" t="s">
        <v>1912</v>
      </c>
      <c r="AN858" s="55">
        <v>0</v>
      </c>
      <c r="AO858" s="55">
        <v>0</v>
      </c>
      <c r="AP858" s="55">
        <f t="shared" si="308"/>
        <v>0</v>
      </c>
      <c r="AQ858" s="55">
        <f>IFERROR(VLOOKUP(A858,[1]SIIMPLES!$A$2:$F$418,6,FALSE),0)</f>
        <v>0</v>
      </c>
      <c r="AR858" s="55">
        <v>0</v>
      </c>
      <c r="AS858" s="55">
        <v>0</v>
      </c>
      <c r="AT858" s="55">
        <v>0</v>
      </c>
      <c r="AU858" s="55">
        <v>0</v>
      </c>
      <c r="AV858" s="55">
        <v>0</v>
      </c>
      <c r="AW858" s="55"/>
      <c r="AX858" s="55"/>
      <c r="AY858" s="56">
        <f t="shared" si="314"/>
        <v>0.4</v>
      </c>
      <c r="AZ858" s="55"/>
      <c r="BA858" s="56">
        <v>0.5</v>
      </c>
      <c r="BB858" s="41">
        <f t="shared" si="318"/>
        <v>-0.19999999999999996</v>
      </c>
      <c r="BC858" s="13"/>
      <c r="BD858" s="35"/>
      <c r="BE858" s="13"/>
      <c r="BF858" s="16"/>
      <c r="BG858" s="17">
        <f t="shared" si="321"/>
        <v>0</v>
      </c>
      <c r="BH858" s="16">
        <f>IFERROR(IF(F858=1,IF(BC858&lt;AY858*3,AY858*3-BC858,0),IF(BC858&lt;AY858,AY858-BC858,0)),"")</f>
        <v>0.4</v>
      </c>
    </row>
    <row r="859" spans="1:60" ht="12.75" customHeight="1" x14ac:dyDescent="0.2">
      <c r="A859" s="51">
        <v>442068</v>
      </c>
      <c r="B859" s="51" t="s">
        <v>1077</v>
      </c>
      <c r="C859" s="66" t="s">
        <v>1803</v>
      </c>
      <c r="D859" s="52" t="s">
        <v>728</v>
      </c>
      <c r="E859" s="65" t="s">
        <v>780</v>
      </c>
      <c r="F859" s="53">
        <f>IFERROR(VLOOKUP(E859,Fornecedores!$A$2:$B$2700,2,FALSE),"")</f>
        <v>2</v>
      </c>
      <c r="G859" s="52" t="s">
        <v>435</v>
      </c>
      <c r="H859" s="57"/>
      <c r="I859" s="55">
        <f t="shared" si="310"/>
        <v>0</v>
      </c>
      <c r="J859" s="55">
        <v>0</v>
      </c>
      <c r="K859" s="55">
        <v>0</v>
      </c>
      <c r="L859" s="55">
        <v>0</v>
      </c>
      <c r="M859" s="55">
        <v>0</v>
      </c>
      <c r="N859" s="55">
        <f t="shared" si="311"/>
        <v>0</v>
      </c>
      <c r="O859" s="55">
        <v>0</v>
      </c>
      <c r="P859" s="55">
        <v>0</v>
      </c>
      <c r="Q859" s="55">
        <v>0</v>
      </c>
      <c r="R859" s="55">
        <f t="shared" si="312"/>
        <v>0</v>
      </c>
      <c r="S859" s="55">
        <v>0</v>
      </c>
      <c r="T859" s="55">
        <v>0</v>
      </c>
      <c r="U859" s="55">
        <v>0</v>
      </c>
      <c r="V859" s="55">
        <v>0</v>
      </c>
      <c r="W859" s="53">
        <v>0</v>
      </c>
      <c r="X859" s="53">
        <v>0</v>
      </c>
      <c r="Y859" s="55">
        <v>0</v>
      </c>
      <c r="Z859" s="55">
        <v>0</v>
      </c>
      <c r="AA859" s="53">
        <v>0</v>
      </c>
      <c r="AB859" s="53">
        <v>0</v>
      </c>
      <c r="AC859" s="55">
        <v>0</v>
      </c>
      <c r="AD859" s="55">
        <f t="shared" si="313"/>
        <v>0</v>
      </c>
      <c r="AE859" s="53">
        <v>0</v>
      </c>
      <c r="AF859" s="55">
        <v>0</v>
      </c>
      <c r="AG859" s="55">
        <v>0</v>
      </c>
      <c r="AH859" s="55">
        <f t="shared" si="319"/>
        <v>1</v>
      </c>
      <c r="AI859" s="55">
        <v>1</v>
      </c>
      <c r="AJ859" s="55">
        <v>0</v>
      </c>
      <c r="AK859" s="55">
        <v>0</v>
      </c>
      <c r="AL859" s="55">
        <f t="shared" si="320"/>
        <v>0</v>
      </c>
      <c r="AM859" s="55" t="s">
        <v>1912</v>
      </c>
      <c r="AN859" s="55">
        <v>0</v>
      </c>
      <c r="AO859" s="55">
        <v>0</v>
      </c>
      <c r="AP859" s="55">
        <f t="shared" si="308"/>
        <v>0</v>
      </c>
      <c r="AQ859" s="55">
        <f>IFERROR(VLOOKUP(A859,[1]SIIMPLES!$A$2:$F$418,6,FALSE),0)</f>
        <v>0</v>
      </c>
      <c r="AR859" s="55">
        <v>0</v>
      </c>
      <c r="AS859" s="55">
        <v>0</v>
      </c>
      <c r="AT859" s="55">
        <v>0</v>
      </c>
      <c r="AU859" s="55">
        <v>0</v>
      </c>
      <c r="AV859" s="55">
        <v>0</v>
      </c>
      <c r="AW859" s="55"/>
      <c r="AX859" s="55"/>
      <c r="AY859" s="56">
        <f t="shared" si="314"/>
        <v>0.1</v>
      </c>
      <c r="AZ859" s="55"/>
      <c r="BA859" s="56">
        <v>0.16666666666666666</v>
      </c>
      <c r="BB859" s="41">
        <f t="shared" ref="BB859:BB922" si="322">IFERROR(AY859/BA859-1,"")</f>
        <v>-0.39999999999999991</v>
      </c>
      <c r="BC859" s="13"/>
      <c r="BD859" s="35"/>
      <c r="BE859" s="13"/>
      <c r="BF859" s="16"/>
      <c r="BG859" s="17">
        <f t="shared" si="321"/>
        <v>0</v>
      </c>
      <c r="BH859" s="16">
        <f>IFERROR(IF(F859=1,IF(BC859&lt;AY859*3,AY859*3-BC859,0),IF(BC859&lt;AY859,AY859-BC859,0)),"")</f>
        <v>0.1</v>
      </c>
    </row>
    <row r="860" spans="1:60" ht="12.75" customHeight="1" x14ac:dyDescent="0.2">
      <c r="A860" s="51">
        <v>442081</v>
      </c>
      <c r="B860" s="51" t="s">
        <v>1077</v>
      </c>
      <c r="C860" s="66" t="s">
        <v>1803</v>
      </c>
      <c r="D860" s="52" t="s">
        <v>728</v>
      </c>
      <c r="E860" s="65" t="s">
        <v>780</v>
      </c>
      <c r="F860" s="53">
        <f>IFERROR(VLOOKUP(E860,Fornecedores!$A$2:$B$2700,2,FALSE),"")</f>
        <v>2</v>
      </c>
      <c r="G860" s="52" t="s">
        <v>102</v>
      </c>
      <c r="H860" s="57"/>
      <c r="I860" s="55">
        <f t="shared" si="310"/>
        <v>2</v>
      </c>
      <c r="J860" s="55">
        <v>1</v>
      </c>
      <c r="K860" s="55">
        <v>1</v>
      </c>
      <c r="L860" s="55">
        <v>0</v>
      </c>
      <c r="M860" s="55">
        <v>0</v>
      </c>
      <c r="N860" s="55">
        <f t="shared" si="311"/>
        <v>1</v>
      </c>
      <c r="O860" s="55">
        <v>1</v>
      </c>
      <c r="P860" s="55">
        <v>0</v>
      </c>
      <c r="Q860" s="55">
        <v>0</v>
      </c>
      <c r="R860" s="55">
        <f t="shared" si="312"/>
        <v>0</v>
      </c>
      <c r="S860" s="55">
        <v>0</v>
      </c>
      <c r="T860" s="55">
        <v>0</v>
      </c>
      <c r="U860" s="55">
        <v>0</v>
      </c>
      <c r="V860" s="55">
        <v>0</v>
      </c>
      <c r="W860" s="53">
        <v>0</v>
      </c>
      <c r="X860" s="53">
        <v>0</v>
      </c>
      <c r="Y860" s="55">
        <v>0</v>
      </c>
      <c r="Z860" s="55">
        <v>1</v>
      </c>
      <c r="AA860" s="53">
        <v>0</v>
      </c>
      <c r="AB860" s="53">
        <v>1</v>
      </c>
      <c r="AC860" s="55">
        <v>0</v>
      </c>
      <c r="AD860" s="55">
        <f t="shared" si="313"/>
        <v>4</v>
      </c>
      <c r="AE860" s="53">
        <v>2</v>
      </c>
      <c r="AF860" s="55">
        <v>2</v>
      </c>
      <c r="AG860" s="55">
        <v>0</v>
      </c>
      <c r="AH860" s="55">
        <f t="shared" si="319"/>
        <v>1</v>
      </c>
      <c r="AI860" s="55">
        <v>1</v>
      </c>
      <c r="AJ860" s="55">
        <v>0</v>
      </c>
      <c r="AK860" s="55">
        <v>0</v>
      </c>
      <c r="AL860" s="55">
        <f t="shared" si="320"/>
        <v>1</v>
      </c>
      <c r="AM860" s="55" t="s">
        <v>1912</v>
      </c>
      <c r="AN860" s="55">
        <v>1</v>
      </c>
      <c r="AO860" s="55">
        <v>0</v>
      </c>
      <c r="AP860" s="55">
        <f t="shared" si="308"/>
        <v>0</v>
      </c>
      <c r="AQ860" s="55">
        <f>IFERROR(VLOOKUP(A860,[1]SIIMPLES!$A$2:$F$418,6,FALSE),0)</f>
        <v>0</v>
      </c>
      <c r="AR860" s="55">
        <v>0</v>
      </c>
      <c r="AS860" s="55">
        <v>0</v>
      </c>
      <c r="AT860" s="55">
        <v>0</v>
      </c>
      <c r="AU860" s="55">
        <v>0</v>
      </c>
      <c r="AV860" s="55">
        <v>0</v>
      </c>
      <c r="AW860" s="55"/>
      <c r="AX860" s="55"/>
      <c r="AY860" s="56">
        <f t="shared" si="314"/>
        <v>1</v>
      </c>
      <c r="AZ860" s="55"/>
      <c r="BA860" s="56">
        <v>1.6666666666666667</v>
      </c>
      <c r="BB860" s="41">
        <f t="shared" si="322"/>
        <v>-0.4</v>
      </c>
      <c r="BC860" s="13"/>
      <c r="BD860" s="35"/>
      <c r="BE860" s="13"/>
      <c r="BF860" s="16"/>
      <c r="BG860" s="17">
        <f t="shared" si="321"/>
        <v>0</v>
      </c>
      <c r="BH860" s="16">
        <f>IFERROR(IF(F860=1,IF(BC860&lt;AY860*3,AY860*3-BC860,0),IF(BC860&lt;AY860,AY860-BC860,0)),"")</f>
        <v>1</v>
      </c>
    </row>
    <row r="861" spans="1:60" ht="12.75" customHeight="1" x14ac:dyDescent="0.2">
      <c r="A861" s="51">
        <v>442114</v>
      </c>
      <c r="B861" s="51"/>
      <c r="C861" s="66" t="s">
        <v>1803</v>
      </c>
      <c r="D861" s="52" t="s">
        <v>728</v>
      </c>
      <c r="E861" s="65" t="s">
        <v>780</v>
      </c>
      <c r="F861" s="53">
        <f>IFERROR(VLOOKUP(E861,Fornecedores!$A$2:$B$2700,2,FALSE),"")</f>
        <v>2</v>
      </c>
      <c r="G861" s="52" t="s">
        <v>1334</v>
      </c>
      <c r="H861" s="57"/>
      <c r="I861" s="55">
        <f t="shared" si="310"/>
        <v>0</v>
      </c>
      <c r="J861" s="55">
        <v>0</v>
      </c>
      <c r="K861" s="55">
        <v>0</v>
      </c>
      <c r="L861" s="55">
        <v>0</v>
      </c>
      <c r="M861" s="55">
        <v>0</v>
      </c>
      <c r="N861" s="55">
        <f t="shared" si="311"/>
        <v>0</v>
      </c>
      <c r="O861" s="55">
        <v>0</v>
      </c>
      <c r="P861" s="55">
        <v>0</v>
      </c>
      <c r="Q861" s="55">
        <v>0</v>
      </c>
      <c r="R861" s="55">
        <f t="shared" si="312"/>
        <v>0</v>
      </c>
      <c r="S861" s="55">
        <v>0</v>
      </c>
      <c r="T861" s="55">
        <v>0</v>
      </c>
      <c r="U861" s="55">
        <v>0</v>
      </c>
      <c r="V861" s="55">
        <v>0</v>
      </c>
      <c r="W861" s="53">
        <v>0</v>
      </c>
      <c r="X861" s="53">
        <v>0</v>
      </c>
      <c r="Y861" s="55">
        <v>0</v>
      </c>
      <c r="Z861" s="55">
        <v>0</v>
      </c>
      <c r="AA861" s="53">
        <v>0</v>
      </c>
      <c r="AB861" s="53">
        <v>0</v>
      </c>
      <c r="AC861" s="55">
        <v>0</v>
      </c>
      <c r="AD861" s="55">
        <f t="shared" si="313"/>
        <v>0</v>
      </c>
      <c r="AE861" s="53">
        <v>0</v>
      </c>
      <c r="AF861" s="55">
        <v>0</v>
      </c>
      <c r="AG861" s="55">
        <v>0</v>
      </c>
      <c r="AH861" s="55">
        <f t="shared" si="319"/>
        <v>1</v>
      </c>
      <c r="AI861" s="55">
        <v>1</v>
      </c>
      <c r="AJ861" s="55">
        <v>0</v>
      </c>
      <c r="AK861" s="55">
        <v>0</v>
      </c>
      <c r="AL861" s="55">
        <f t="shared" si="320"/>
        <v>0</v>
      </c>
      <c r="AM861" s="55" t="s">
        <v>1912</v>
      </c>
      <c r="AN861" s="55">
        <v>0</v>
      </c>
      <c r="AO861" s="55">
        <v>0</v>
      </c>
      <c r="AP861" s="55">
        <f t="shared" si="308"/>
        <v>0</v>
      </c>
      <c r="AQ861" s="55">
        <f>IFERROR(VLOOKUP(A861,[1]SIIMPLES!$A$2:$F$418,6,FALSE),0)</f>
        <v>0</v>
      </c>
      <c r="AR861" s="55">
        <v>0</v>
      </c>
      <c r="AS861" s="55">
        <v>0</v>
      </c>
      <c r="AT861" s="55">
        <v>0</v>
      </c>
      <c r="AU861" s="55">
        <v>0</v>
      </c>
      <c r="AV861" s="55">
        <v>0</v>
      </c>
      <c r="AW861" s="55"/>
      <c r="AX861" s="55"/>
      <c r="AY861" s="56">
        <f t="shared" si="314"/>
        <v>0.1</v>
      </c>
      <c r="AZ861" s="55"/>
      <c r="BA861" s="56">
        <v>0</v>
      </c>
      <c r="BB861" s="41" t="str">
        <f t="shared" si="322"/>
        <v/>
      </c>
      <c r="BC861" s="10"/>
      <c r="BD861" s="35"/>
      <c r="BE861" s="13"/>
      <c r="BF861" s="16"/>
      <c r="BG861" s="17">
        <f t="shared" si="321"/>
        <v>0</v>
      </c>
      <c r="BH861" s="16">
        <f>ROUND(IFERROR(IF(F861=1,IF(BC861&lt;AY861*3,AY861*3-BC861,0),IF(BC861&lt;AY861,AY861*0.6-BC861,0)),""),0)</f>
        <v>0</v>
      </c>
    </row>
    <row r="862" spans="1:60" ht="12.75" customHeight="1" x14ac:dyDescent="0.2">
      <c r="A862" s="51">
        <v>442118</v>
      </c>
      <c r="B862" s="51" t="s">
        <v>1077</v>
      </c>
      <c r="C862" s="66" t="s">
        <v>1803</v>
      </c>
      <c r="D862" s="52" t="s">
        <v>728</v>
      </c>
      <c r="E862" s="65" t="s">
        <v>780</v>
      </c>
      <c r="F862" s="53">
        <f>IFERROR(VLOOKUP(E862,Fornecedores!$A$2:$B$2700,2,FALSE),"")</f>
        <v>2</v>
      </c>
      <c r="G862" s="52" t="s">
        <v>684</v>
      </c>
      <c r="H862" s="57"/>
      <c r="I862" s="55">
        <f t="shared" si="310"/>
        <v>0</v>
      </c>
      <c r="J862" s="55">
        <v>0</v>
      </c>
      <c r="K862" s="55">
        <v>0</v>
      </c>
      <c r="L862" s="55">
        <v>0</v>
      </c>
      <c r="M862" s="55">
        <v>0</v>
      </c>
      <c r="N862" s="55">
        <f t="shared" si="311"/>
        <v>1</v>
      </c>
      <c r="O862" s="55">
        <v>0</v>
      </c>
      <c r="P862" s="55">
        <v>1</v>
      </c>
      <c r="Q862" s="55">
        <v>0</v>
      </c>
      <c r="R862" s="55">
        <f t="shared" si="312"/>
        <v>0</v>
      </c>
      <c r="S862" s="55">
        <v>0</v>
      </c>
      <c r="T862" s="55">
        <v>0</v>
      </c>
      <c r="U862" s="55">
        <v>0</v>
      </c>
      <c r="V862" s="55">
        <v>0</v>
      </c>
      <c r="W862" s="53">
        <v>0</v>
      </c>
      <c r="X862" s="53">
        <v>0</v>
      </c>
      <c r="Y862" s="55">
        <v>0</v>
      </c>
      <c r="Z862" s="55">
        <v>0</v>
      </c>
      <c r="AA862" s="53">
        <v>0</v>
      </c>
      <c r="AB862" s="53">
        <v>0</v>
      </c>
      <c r="AC862" s="55">
        <v>0</v>
      </c>
      <c r="AD862" s="55">
        <f t="shared" si="313"/>
        <v>0</v>
      </c>
      <c r="AE862" s="53">
        <v>0</v>
      </c>
      <c r="AF862" s="55">
        <v>0</v>
      </c>
      <c r="AG862" s="55">
        <v>0</v>
      </c>
      <c r="AH862" s="55">
        <f t="shared" si="319"/>
        <v>1</v>
      </c>
      <c r="AI862" s="55">
        <v>0</v>
      </c>
      <c r="AJ862" s="55">
        <v>1</v>
      </c>
      <c r="AK862" s="55">
        <v>0</v>
      </c>
      <c r="AL862" s="55">
        <f t="shared" si="320"/>
        <v>2</v>
      </c>
      <c r="AM862" s="55">
        <v>2</v>
      </c>
      <c r="AN862" s="55">
        <v>0</v>
      </c>
      <c r="AO862" s="55">
        <v>0</v>
      </c>
      <c r="AP862" s="55">
        <f t="shared" si="308"/>
        <v>0</v>
      </c>
      <c r="AQ862" s="55">
        <f>IFERROR(VLOOKUP(A862,[1]SIIMPLES!$A$2:$F$418,6,FALSE),0)</f>
        <v>0</v>
      </c>
      <c r="AR862" s="55">
        <v>0</v>
      </c>
      <c r="AS862" s="55">
        <v>0</v>
      </c>
      <c r="AT862" s="55">
        <v>0</v>
      </c>
      <c r="AU862" s="55">
        <v>0</v>
      </c>
      <c r="AV862" s="55">
        <v>0</v>
      </c>
      <c r="AW862" s="55"/>
      <c r="AX862" s="55"/>
      <c r="AY862" s="56">
        <f t="shared" si="314"/>
        <v>0.4</v>
      </c>
      <c r="AZ862" s="55"/>
      <c r="BA862" s="56">
        <v>0.33333333333333331</v>
      </c>
      <c r="BB862" s="41">
        <f t="shared" si="322"/>
        <v>0.20000000000000018</v>
      </c>
      <c r="BC862" s="13"/>
      <c r="BD862" s="35"/>
      <c r="BE862" s="13"/>
      <c r="BF862" s="16"/>
      <c r="BG862" s="17">
        <f t="shared" si="321"/>
        <v>0</v>
      </c>
      <c r="BH862" s="16">
        <f>IFERROR(IF(F862=1,IF(BC862&lt;AY862*3,AY862*3-BC862,0),IF(BC862&lt;AY862,AY862-BC862,0)),"")</f>
        <v>0.4</v>
      </c>
    </row>
    <row r="863" spans="1:60" ht="12.75" customHeight="1" x14ac:dyDescent="0.2">
      <c r="A863" s="51">
        <v>442119</v>
      </c>
      <c r="B863" s="51" t="s">
        <v>1077</v>
      </c>
      <c r="C863" s="66" t="s">
        <v>1803</v>
      </c>
      <c r="D863" s="52" t="s">
        <v>728</v>
      </c>
      <c r="E863" s="65" t="s">
        <v>780</v>
      </c>
      <c r="F863" s="53">
        <f>IFERROR(VLOOKUP(E863,Fornecedores!$A$2:$B$2700,2,FALSE),"")</f>
        <v>2</v>
      </c>
      <c r="G863" s="52" t="s">
        <v>607</v>
      </c>
      <c r="H863" s="57"/>
      <c r="I863" s="55">
        <f t="shared" si="310"/>
        <v>0</v>
      </c>
      <c r="J863" s="55">
        <v>0</v>
      </c>
      <c r="K863" s="55">
        <v>0</v>
      </c>
      <c r="L863" s="55">
        <v>0</v>
      </c>
      <c r="M863" s="55">
        <v>0</v>
      </c>
      <c r="N863" s="55">
        <f t="shared" si="311"/>
        <v>1</v>
      </c>
      <c r="O863" s="55">
        <v>0</v>
      </c>
      <c r="P863" s="55">
        <v>1</v>
      </c>
      <c r="Q863" s="55">
        <v>0</v>
      </c>
      <c r="R863" s="55">
        <f t="shared" si="312"/>
        <v>0</v>
      </c>
      <c r="S863" s="55">
        <v>0</v>
      </c>
      <c r="T863" s="55">
        <v>0</v>
      </c>
      <c r="U863" s="55">
        <v>0</v>
      </c>
      <c r="V863" s="55">
        <v>0</v>
      </c>
      <c r="W863" s="53">
        <v>0</v>
      </c>
      <c r="X863" s="53">
        <v>0</v>
      </c>
      <c r="Y863" s="55">
        <v>0</v>
      </c>
      <c r="Z863" s="55">
        <v>0</v>
      </c>
      <c r="AA863" s="53">
        <v>0</v>
      </c>
      <c r="AB863" s="53">
        <v>0</v>
      </c>
      <c r="AC863" s="55">
        <v>0</v>
      </c>
      <c r="AD863" s="55">
        <f t="shared" si="313"/>
        <v>0</v>
      </c>
      <c r="AE863" s="53">
        <v>0</v>
      </c>
      <c r="AF863" s="55">
        <v>0</v>
      </c>
      <c r="AG863" s="55">
        <v>0</v>
      </c>
      <c r="AH863" s="55">
        <f t="shared" si="319"/>
        <v>1</v>
      </c>
      <c r="AI863" s="55">
        <v>0</v>
      </c>
      <c r="AJ863" s="55">
        <v>1</v>
      </c>
      <c r="AK863" s="55">
        <v>0</v>
      </c>
      <c r="AL863" s="55">
        <f t="shared" si="320"/>
        <v>0</v>
      </c>
      <c r="AM863" s="55" t="s">
        <v>1912</v>
      </c>
      <c r="AN863" s="55">
        <v>0</v>
      </c>
      <c r="AO863" s="55">
        <v>0</v>
      </c>
      <c r="AP863" s="55">
        <f t="shared" si="308"/>
        <v>0</v>
      </c>
      <c r="AQ863" s="55">
        <f>IFERROR(VLOOKUP(A863,[1]SIIMPLES!$A$2:$F$418,6,FALSE),0)</f>
        <v>0</v>
      </c>
      <c r="AR863" s="55">
        <v>0</v>
      </c>
      <c r="AS863" s="55">
        <v>0</v>
      </c>
      <c r="AT863" s="55">
        <v>0</v>
      </c>
      <c r="AU863" s="55">
        <v>0</v>
      </c>
      <c r="AV863" s="55">
        <v>0</v>
      </c>
      <c r="AW863" s="55"/>
      <c r="AX863" s="55"/>
      <c r="AY863" s="56">
        <f t="shared" si="314"/>
        <v>0.2</v>
      </c>
      <c r="AZ863" s="55"/>
      <c r="BA863" s="56">
        <v>0.5</v>
      </c>
      <c r="BB863" s="41">
        <f t="shared" si="322"/>
        <v>-0.6</v>
      </c>
      <c r="BC863" s="13"/>
      <c r="BD863" s="35"/>
      <c r="BE863" s="13"/>
      <c r="BF863" s="16"/>
      <c r="BG863" s="17">
        <f t="shared" si="321"/>
        <v>0</v>
      </c>
      <c r="BH863" s="16">
        <f>IFERROR(IF(F863=1,IF(BC863&lt;AY863*3,AY863*3-BC863,0),IF(BC863&lt;AY863,AY863-BC863,0)),"")</f>
        <v>0.2</v>
      </c>
    </row>
    <row r="864" spans="1:60" ht="12.75" customHeight="1" x14ac:dyDescent="0.2">
      <c r="A864" s="76">
        <v>442124</v>
      </c>
      <c r="B864" s="66"/>
      <c r="C864" s="66" t="s">
        <v>1803</v>
      </c>
      <c r="D864" s="65" t="s">
        <v>1917</v>
      </c>
      <c r="E864" s="65" t="s">
        <v>780</v>
      </c>
      <c r="F864" s="54" t="s">
        <v>642</v>
      </c>
      <c r="G864" s="65" t="s">
        <v>642</v>
      </c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3">
        <f t="shared" si="319"/>
        <v>1</v>
      </c>
      <c r="AI864" s="55">
        <v>1</v>
      </c>
      <c r="AJ864" s="55">
        <v>0</v>
      </c>
      <c r="AK864" s="55">
        <v>0</v>
      </c>
      <c r="AL864" s="55">
        <f t="shared" si="320"/>
        <v>0</v>
      </c>
      <c r="AM864" s="55" t="s">
        <v>1912</v>
      </c>
      <c r="AN864" s="55">
        <v>0</v>
      </c>
      <c r="AO864" s="55">
        <v>0</v>
      </c>
      <c r="AP864" s="55">
        <f t="shared" si="308"/>
        <v>0</v>
      </c>
      <c r="AQ864" s="55">
        <f>IFERROR(VLOOKUP(A864,[1]SIIMPLES!$A$2:$F$418,6,FALSE),0)</f>
        <v>0</v>
      </c>
      <c r="AR864" s="55">
        <v>0</v>
      </c>
      <c r="AS864" s="55">
        <v>0</v>
      </c>
      <c r="AT864" s="55">
        <v>0</v>
      </c>
      <c r="AU864" s="55">
        <v>0</v>
      </c>
      <c r="AV864" s="55">
        <v>0</v>
      </c>
      <c r="AW864" s="72"/>
      <c r="AX864" s="72"/>
      <c r="AY864" s="74">
        <f t="shared" si="314"/>
        <v>0.25</v>
      </c>
      <c r="AZ864" s="72"/>
      <c r="BA864" s="72"/>
      <c r="BB864" s="41" t="str">
        <f t="shared" si="322"/>
        <v/>
      </c>
      <c r="BC864" s="13"/>
      <c r="BD864" s="35"/>
      <c r="BE864" s="13"/>
      <c r="BF864" s="16"/>
      <c r="BG864" s="17">
        <f t="shared" si="321"/>
        <v>0</v>
      </c>
      <c r="BH864" s="16">
        <f>IFERROR(IF(F864=1,IF(BC864&lt;AY864*3,AY864*3-BC864,0),IF(BC864&lt;AY864,AY864-BC864,0)),"")</f>
        <v>0.25</v>
      </c>
    </row>
    <row r="865" spans="1:60" ht="12.75" customHeight="1" x14ac:dyDescent="0.2">
      <c r="A865" s="51">
        <v>442147</v>
      </c>
      <c r="B865" s="51"/>
      <c r="C865" s="66" t="s">
        <v>1803</v>
      </c>
      <c r="D865" s="52" t="s">
        <v>728</v>
      </c>
      <c r="E865" s="65" t="s">
        <v>780</v>
      </c>
      <c r="F865" s="53">
        <f>IFERROR(VLOOKUP(E865,Fornecedores!$A$2:$B$2700,2,FALSE),"")</f>
        <v>2</v>
      </c>
      <c r="G865" s="52" t="s">
        <v>1338</v>
      </c>
      <c r="H865" s="57"/>
      <c r="I865" s="55">
        <f t="shared" ref="I865:I896" si="323">SUM(J865:M865)</f>
        <v>0</v>
      </c>
      <c r="J865" s="55">
        <v>0</v>
      </c>
      <c r="K865" s="55">
        <v>0</v>
      </c>
      <c r="L865" s="55">
        <v>0</v>
      </c>
      <c r="M865" s="55">
        <v>0</v>
      </c>
      <c r="N865" s="55">
        <f t="shared" ref="N865:N896" si="324">SUM(O865:Q865)</f>
        <v>0</v>
      </c>
      <c r="O865" s="55">
        <v>0</v>
      </c>
      <c r="P865" s="55">
        <v>0</v>
      </c>
      <c r="Q865" s="55">
        <v>0</v>
      </c>
      <c r="R865" s="55">
        <f t="shared" ref="R865:R896" si="325">SUM(S865:U865)</f>
        <v>0</v>
      </c>
      <c r="S865" s="55">
        <v>0</v>
      </c>
      <c r="T865" s="55">
        <v>0</v>
      </c>
      <c r="U865" s="55">
        <v>0</v>
      </c>
      <c r="V865" s="55">
        <v>0</v>
      </c>
      <c r="W865" s="53">
        <v>0</v>
      </c>
      <c r="X865" s="53">
        <v>0</v>
      </c>
      <c r="Y865" s="55">
        <v>0</v>
      </c>
      <c r="Z865" s="55">
        <v>0</v>
      </c>
      <c r="AA865" s="53">
        <v>0</v>
      </c>
      <c r="AB865" s="53">
        <v>0</v>
      </c>
      <c r="AC865" s="55">
        <v>0</v>
      </c>
      <c r="AD865" s="55">
        <f t="shared" ref="AD865:AD928" si="326">SUM(AE865:AG865)</f>
        <v>0</v>
      </c>
      <c r="AE865" s="53">
        <v>0</v>
      </c>
      <c r="AF865" s="55">
        <v>0</v>
      </c>
      <c r="AG865" s="55">
        <v>0</v>
      </c>
      <c r="AH865" s="55">
        <f t="shared" si="319"/>
        <v>1</v>
      </c>
      <c r="AI865" s="55">
        <v>1</v>
      </c>
      <c r="AJ865" s="55">
        <v>0</v>
      </c>
      <c r="AK865" s="55">
        <v>0</v>
      </c>
      <c r="AL865" s="55">
        <f t="shared" si="320"/>
        <v>0</v>
      </c>
      <c r="AM865" s="55" t="s">
        <v>1912</v>
      </c>
      <c r="AN865" s="55">
        <v>0</v>
      </c>
      <c r="AO865" s="55">
        <v>0</v>
      </c>
      <c r="AP865" s="55">
        <f t="shared" si="308"/>
        <v>0</v>
      </c>
      <c r="AQ865" s="55">
        <f>IFERROR(VLOOKUP(A865,[1]SIIMPLES!$A$2:$F$418,6,FALSE),0)</f>
        <v>0</v>
      </c>
      <c r="AR865" s="55">
        <v>0</v>
      </c>
      <c r="AS865" s="55">
        <v>1</v>
      </c>
      <c r="AT865" s="55">
        <v>1</v>
      </c>
      <c r="AU865" s="55">
        <v>0</v>
      </c>
      <c r="AV865" s="55">
        <v>0</v>
      </c>
      <c r="AW865" s="55"/>
      <c r="AX865" s="55"/>
      <c r="AY865" s="56">
        <f t="shared" si="314"/>
        <v>0.2</v>
      </c>
      <c r="AZ865" s="55"/>
      <c r="BA865" s="56">
        <v>0.33333333333333331</v>
      </c>
      <c r="BB865" s="41">
        <f t="shared" si="322"/>
        <v>-0.39999999999999991</v>
      </c>
      <c r="BC865" s="10"/>
      <c r="BD865" s="35"/>
      <c r="BE865" s="7"/>
      <c r="BF865" s="16"/>
      <c r="BG865" s="17">
        <f t="shared" si="321"/>
        <v>0</v>
      </c>
      <c r="BH865" s="16">
        <f>IFERROR(IF(F865=1,IF(BC865&lt;AY865*3,AY865*3-BC865,0),IF(BC865&lt;AY865,AY865-BC865,0)),"")</f>
        <v>0.2</v>
      </c>
    </row>
    <row r="866" spans="1:60" ht="12.75" customHeight="1" x14ac:dyDescent="0.2">
      <c r="A866" s="51">
        <v>662069</v>
      </c>
      <c r="B866" s="51" t="s">
        <v>1077</v>
      </c>
      <c r="C866" s="66" t="s">
        <v>1803</v>
      </c>
      <c r="D866" s="52" t="s">
        <v>728</v>
      </c>
      <c r="E866" s="65" t="s">
        <v>780</v>
      </c>
      <c r="F866" s="53">
        <f>IFERROR(VLOOKUP(E866,Fornecedores!$A$2:$B$2700,2,FALSE),"")</f>
        <v>2</v>
      </c>
      <c r="G866" s="52" t="s">
        <v>110</v>
      </c>
      <c r="H866" s="57"/>
      <c r="I866" s="55">
        <f t="shared" si="323"/>
        <v>1</v>
      </c>
      <c r="J866" s="55">
        <v>1</v>
      </c>
      <c r="K866" s="55">
        <v>0</v>
      </c>
      <c r="L866" s="55">
        <v>0</v>
      </c>
      <c r="M866" s="55">
        <v>0</v>
      </c>
      <c r="N866" s="55">
        <f t="shared" si="324"/>
        <v>0</v>
      </c>
      <c r="O866" s="55">
        <v>0</v>
      </c>
      <c r="P866" s="55">
        <v>0</v>
      </c>
      <c r="Q866" s="55">
        <v>0</v>
      </c>
      <c r="R866" s="55">
        <f t="shared" si="325"/>
        <v>2</v>
      </c>
      <c r="S866" s="55">
        <v>0</v>
      </c>
      <c r="T866" s="55">
        <v>2</v>
      </c>
      <c r="U866" s="55">
        <v>0</v>
      </c>
      <c r="V866" s="55">
        <v>4</v>
      </c>
      <c r="W866" s="53">
        <v>0</v>
      </c>
      <c r="X866" s="53">
        <v>4</v>
      </c>
      <c r="Y866" s="55">
        <v>0</v>
      </c>
      <c r="Z866" s="55">
        <v>1</v>
      </c>
      <c r="AA866" s="53">
        <v>1</v>
      </c>
      <c r="AB866" s="53">
        <v>0</v>
      </c>
      <c r="AC866" s="55">
        <v>0</v>
      </c>
      <c r="AD866" s="55">
        <f t="shared" si="326"/>
        <v>0</v>
      </c>
      <c r="AE866" s="53">
        <v>0</v>
      </c>
      <c r="AF866" s="55">
        <v>0</v>
      </c>
      <c r="AG866" s="55">
        <v>0</v>
      </c>
      <c r="AH866" s="55">
        <f t="shared" si="319"/>
        <v>1</v>
      </c>
      <c r="AI866" s="55">
        <v>0</v>
      </c>
      <c r="AJ866" s="55">
        <v>1</v>
      </c>
      <c r="AK866" s="55">
        <v>0</v>
      </c>
      <c r="AL866" s="55">
        <f t="shared" si="320"/>
        <v>0</v>
      </c>
      <c r="AM866" s="55" t="s">
        <v>1912</v>
      </c>
      <c r="AN866" s="55">
        <v>0</v>
      </c>
      <c r="AO866" s="55">
        <v>0</v>
      </c>
      <c r="AP866" s="55">
        <f t="shared" si="308"/>
        <v>0</v>
      </c>
      <c r="AQ866" s="55">
        <f>IFERROR(VLOOKUP(A866,[1]SIIMPLES!$A$2:$F$418,6,FALSE),0)</f>
        <v>0</v>
      </c>
      <c r="AR866" s="55">
        <v>0</v>
      </c>
      <c r="AS866" s="55">
        <v>3</v>
      </c>
      <c r="AT866" s="55">
        <v>2</v>
      </c>
      <c r="AU866" s="55">
        <v>1</v>
      </c>
      <c r="AV866" s="55">
        <v>0</v>
      </c>
      <c r="AW866" s="55"/>
      <c r="AX866" s="55"/>
      <c r="AY866" s="56">
        <f t="shared" si="314"/>
        <v>1.2</v>
      </c>
      <c r="AZ866" s="55"/>
      <c r="BA866" s="56">
        <v>0.5</v>
      </c>
      <c r="BB866" s="41">
        <f t="shared" si="322"/>
        <v>1.4</v>
      </c>
      <c r="BC866" s="13"/>
      <c r="BD866" s="35"/>
      <c r="BE866" s="13"/>
      <c r="BF866" s="16"/>
      <c r="BG866" s="17">
        <f t="shared" si="321"/>
        <v>0</v>
      </c>
      <c r="BH866" s="16">
        <f>ROUND(IFERROR(IF(F866=1,IF(BC866&lt;AY866*3,AY866*3-BC866,0),IF(BC866&lt;AY866,AY866*0.6-BC866,0)),""),0)</f>
        <v>1</v>
      </c>
    </row>
    <row r="867" spans="1:60" ht="12.75" customHeight="1" x14ac:dyDescent="0.2">
      <c r="A867" s="51">
        <v>772021</v>
      </c>
      <c r="B867" s="51" t="s">
        <v>1077</v>
      </c>
      <c r="C867" s="66" t="s">
        <v>1803</v>
      </c>
      <c r="D867" s="52" t="s">
        <v>728</v>
      </c>
      <c r="E867" s="65" t="s">
        <v>780</v>
      </c>
      <c r="F867" s="53">
        <f>IFERROR(VLOOKUP(E867,Fornecedores!$A$2:$B$2700,2,FALSE),"")</f>
        <v>2</v>
      </c>
      <c r="G867" s="52" t="s">
        <v>1344</v>
      </c>
      <c r="H867" s="57"/>
      <c r="I867" s="55">
        <f t="shared" si="323"/>
        <v>0</v>
      </c>
      <c r="J867" s="55">
        <v>0</v>
      </c>
      <c r="K867" s="55">
        <v>0</v>
      </c>
      <c r="L867" s="55">
        <v>0</v>
      </c>
      <c r="M867" s="55">
        <v>0</v>
      </c>
      <c r="N867" s="55">
        <f t="shared" si="324"/>
        <v>2</v>
      </c>
      <c r="O867" s="55">
        <v>2</v>
      </c>
      <c r="P867" s="55">
        <v>0</v>
      </c>
      <c r="Q867" s="55">
        <v>0</v>
      </c>
      <c r="R867" s="55">
        <f t="shared" si="325"/>
        <v>1</v>
      </c>
      <c r="S867" s="55">
        <v>1</v>
      </c>
      <c r="T867" s="55">
        <v>0</v>
      </c>
      <c r="U867" s="55">
        <v>0</v>
      </c>
      <c r="V867" s="55">
        <v>2</v>
      </c>
      <c r="W867" s="53">
        <v>2</v>
      </c>
      <c r="X867" s="53">
        <v>0</v>
      </c>
      <c r="Y867" s="55">
        <v>0</v>
      </c>
      <c r="Z867" s="55">
        <v>1</v>
      </c>
      <c r="AA867" s="53">
        <v>1</v>
      </c>
      <c r="AB867" s="53">
        <v>0</v>
      </c>
      <c r="AC867" s="55">
        <v>0</v>
      </c>
      <c r="AD867" s="55">
        <f t="shared" si="326"/>
        <v>0</v>
      </c>
      <c r="AE867" s="53">
        <v>0</v>
      </c>
      <c r="AF867" s="55">
        <v>0</v>
      </c>
      <c r="AG867" s="55">
        <v>0</v>
      </c>
      <c r="AH867" s="55">
        <f t="shared" si="319"/>
        <v>1</v>
      </c>
      <c r="AI867" s="55">
        <v>1</v>
      </c>
      <c r="AJ867" s="55">
        <v>0</v>
      </c>
      <c r="AK867" s="55">
        <v>0</v>
      </c>
      <c r="AL867" s="55">
        <f t="shared" si="320"/>
        <v>2</v>
      </c>
      <c r="AM867" s="55">
        <v>1</v>
      </c>
      <c r="AN867" s="55">
        <v>1</v>
      </c>
      <c r="AO867" s="55">
        <v>0</v>
      </c>
      <c r="AP867" s="55">
        <f t="shared" si="308"/>
        <v>0</v>
      </c>
      <c r="AQ867" s="55">
        <f>IFERROR(VLOOKUP(A867,[1]SIIMPLES!$A$2:$F$418,6,FALSE),0)</f>
        <v>0</v>
      </c>
      <c r="AR867" s="55">
        <v>0</v>
      </c>
      <c r="AS867" s="55">
        <v>0</v>
      </c>
      <c r="AT867" s="55">
        <v>0</v>
      </c>
      <c r="AU867" s="55">
        <v>0</v>
      </c>
      <c r="AV867" s="55">
        <v>0</v>
      </c>
      <c r="AW867" s="55"/>
      <c r="AX867" s="55"/>
      <c r="AY867" s="56">
        <f t="shared" si="314"/>
        <v>0.9</v>
      </c>
      <c r="AZ867" s="55"/>
      <c r="BA867" s="56">
        <v>0.16666666666666666</v>
      </c>
      <c r="BB867" s="41">
        <f t="shared" si="322"/>
        <v>4.4000000000000004</v>
      </c>
      <c r="BC867" s="13"/>
      <c r="BD867" s="35"/>
      <c r="BE867" s="13"/>
      <c r="BF867" s="16"/>
      <c r="BG867" s="17">
        <f t="shared" si="321"/>
        <v>0</v>
      </c>
      <c r="BH867" s="7"/>
    </row>
    <row r="868" spans="1:60" ht="12.75" customHeight="1" x14ac:dyDescent="0.2">
      <c r="A868" s="51">
        <v>772025</v>
      </c>
      <c r="B868" s="51" t="s">
        <v>1077</v>
      </c>
      <c r="C868" s="66" t="s">
        <v>1803</v>
      </c>
      <c r="D868" s="52" t="s">
        <v>728</v>
      </c>
      <c r="E868" s="65" t="s">
        <v>780</v>
      </c>
      <c r="F868" s="53">
        <f>IFERROR(VLOOKUP(E868,Fornecedores!$A$2:$B$2700,2,FALSE),"")</f>
        <v>2</v>
      </c>
      <c r="G868" s="52" t="s">
        <v>694</v>
      </c>
      <c r="H868" s="57"/>
      <c r="I868" s="55">
        <f t="shared" si="323"/>
        <v>1</v>
      </c>
      <c r="J868" s="55">
        <v>1</v>
      </c>
      <c r="K868" s="55">
        <v>0</v>
      </c>
      <c r="L868" s="55">
        <v>0</v>
      </c>
      <c r="M868" s="55">
        <v>0</v>
      </c>
      <c r="N868" s="55">
        <f t="shared" si="324"/>
        <v>0</v>
      </c>
      <c r="O868" s="55">
        <v>0</v>
      </c>
      <c r="P868" s="55">
        <v>0</v>
      </c>
      <c r="Q868" s="55">
        <v>0</v>
      </c>
      <c r="R868" s="55">
        <f t="shared" si="325"/>
        <v>0</v>
      </c>
      <c r="S868" s="55">
        <v>0</v>
      </c>
      <c r="T868" s="55">
        <v>0</v>
      </c>
      <c r="U868" s="55">
        <v>0</v>
      </c>
      <c r="V868" s="55">
        <v>3</v>
      </c>
      <c r="W868" s="53">
        <v>3</v>
      </c>
      <c r="X868" s="53">
        <v>0</v>
      </c>
      <c r="Y868" s="55">
        <v>0</v>
      </c>
      <c r="Z868" s="55">
        <v>1</v>
      </c>
      <c r="AA868" s="53">
        <v>1</v>
      </c>
      <c r="AB868" s="53">
        <v>0</v>
      </c>
      <c r="AC868" s="55">
        <v>0</v>
      </c>
      <c r="AD868" s="55">
        <f t="shared" si="326"/>
        <v>0</v>
      </c>
      <c r="AE868" s="53">
        <v>0</v>
      </c>
      <c r="AF868" s="55">
        <v>0</v>
      </c>
      <c r="AG868" s="55">
        <v>0</v>
      </c>
      <c r="AH868" s="55">
        <f t="shared" si="319"/>
        <v>1</v>
      </c>
      <c r="AI868" s="55">
        <v>1</v>
      </c>
      <c r="AJ868" s="55">
        <v>0</v>
      </c>
      <c r="AK868" s="55">
        <v>0</v>
      </c>
      <c r="AL868" s="55">
        <f t="shared" si="320"/>
        <v>0</v>
      </c>
      <c r="AM868" s="55" t="s">
        <v>1912</v>
      </c>
      <c r="AN868" s="55">
        <v>0</v>
      </c>
      <c r="AO868" s="55">
        <v>0</v>
      </c>
      <c r="AP868" s="55">
        <f t="shared" si="308"/>
        <v>0</v>
      </c>
      <c r="AQ868" s="55">
        <f>IFERROR(VLOOKUP(A868,[1]SIIMPLES!$A$2:$F$418,6,FALSE),0)</f>
        <v>0</v>
      </c>
      <c r="AR868" s="55">
        <v>0</v>
      </c>
      <c r="AS868" s="55">
        <v>1</v>
      </c>
      <c r="AT868" s="55">
        <v>1</v>
      </c>
      <c r="AU868" s="55">
        <v>0</v>
      </c>
      <c r="AV868" s="55">
        <v>0</v>
      </c>
      <c r="AW868" s="55"/>
      <c r="AX868" s="55"/>
      <c r="AY868" s="56">
        <f t="shared" si="314"/>
        <v>0.7</v>
      </c>
      <c r="AZ868" s="55"/>
      <c r="BA868" s="56">
        <v>0.16666666666666666</v>
      </c>
      <c r="BB868" s="41">
        <f t="shared" si="322"/>
        <v>3.2</v>
      </c>
      <c r="BC868" s="13"/>
      <c r="BD868" s="36"/>
      <c r="BE868" s="7"/>
      <c r="BF868" s="7"/>
      <c r="BG868" s="17">
        <f t="shared" si="321"/>
        <v>0</v>
      </c>
      <c r="BH868" s="16">
        <f>IFERROR(IF(F868=1,IF(BC868&lt;AY868*3,AY868*3-BC868,0),IF(BC868&lt;AY868,AY868-BC868,0)),"")</f>
        <v>0.7</v>
      </c>
    </row>
    <row r="869" spans="1:60" ht="12.75" customHeight="1" x14ac:dyDescent="0.2">
      <c r="A869" s="51">
        <v>772026</v>
      </c>
      <c r="B869" s="51" t="s">
        <v>1077</v>
      </c>
      <c r="C869" s="66" t="s">
        <v>1803</v>
      </c>
      <c r="D869" s="52" t="s">
        <v>728</v>
      </c>
      <c r="E869" s="65" t="s">
        <v>780</v>
      </c>
      <c r="F869" s="53">
        <f>IFERROR(VLOOKUP(E869,Fornecedores!$A$2:$B$2700,2,FALSE),"")</f>
        <v>2</v>
      </c>
      <c r="G869" s="52" t="s">
        <v>687</v>
      </c>
      <c r="H869" s="57"/>
      <c r="I869" s="55">
        <f t="shared" si="323"/>
        <v>0</v>
      </c>
      <c r="J869" s="55">
        <v>0</v>
      </c>
      <c r="K869" s="55">
        <v>0</v>
      </c>
      <c r="L869" s="55">
        <v>0</v>
      </c>
      <c r="M869" s="55">
        <v>0</v>
      </c>
      <c r="N869" s="55">
        <f t="shared" si="324"/>
        <v>0</v>
      </c>
      <c r="O869" s="55">
        <v>0</v>
      </c>
      <c r="P869" s="55">
        <v>0</v>
      </c>
      <c r="Q869" s="55">
        <v>0</v>
      </c>
      <c r="R869" s="55">
        <f t="shared" si="325"/>
        <v>2</v>
      </c>
      <c r="S869" s="55">
        <v>2</v>
      </c>
      <c r="T869" s="55">
        <v>0</v>
      </c>
      <c r="U869" s="55">
        <v>0</v>
      </c>
      <c r="V869" s="55">
        <v>0</v>
      </c>
      <c r="W869" s="53">
        <v>0</v>
      </c>
      <c r="X869" s="53">
        <v>0</v>
      </c>
      <c r="Y869" s="55">
        <v>0</v>
      </c>
      <c r="Z869" s="55">
        <v>0</v>
      </c>
      <c r="AA869" s="53">
        <v>0</v>
      </c>
      <c r="AB869" s="53">
        <v>0</v>
      </c>
      <c r="AC869" s="55">
        <v>0</v>
      </c>
      <c r="AD869" s="55">
        <f t="shared" si="326"/>
        <v>1</v>
      </c>
      <c r="AE869" s="53">
        <v>0</v>
      </c>
      <c r="AF869" s="55">
        <v>1</v>
      </c>
      <c r="AG869" s="55">
        <v>0</v>
      </c>
      <c r="AH869" s="55">
        <f t="shared" si="319"/>
        <v>1</v>
      </c>
      <c r="AI869" s="55">
        <v>0</v>
      </c>
      <c r="AJ869" s="55">
        <v>1</v>
      </c>
      <c r="AK869" s="55">
        <v>0</v>
      </c>
      <c r="AL869" s="55">
        <f t="shared" si="320"/>
        <v>1</v>
      </c>
      <c r="AM869" s="55" t="s">
        <v>1912</v>
      </c>
      <c r="AN869" s="55">
        <v>1</v>
      </c>
      <c r="AO869" s="55">
        <v>0</v>
      </c>
      <c r="AP869" s="55">
        <f t="shared" si="308"/>
        <v>0</v>
      </c>
      <c r="AQ869" s="55">
        <f>IFERROR(VLOOKUP(A869,[1]SIIMPLES!$A$2:$F$418,6,FALSE),0)</f>
        <v>0</v>
      </c>
      <c r="AR869" s="55">
        <v>0</v>
      </c>
      <c r="AS869" s="55">
        <v>0</v>
      </c>
      <c r="AT869" s="55">
        <v>0</v>
      </c>
      <c r="AU869" s="55">
        <v>0</v>
      </c>
      <c r="AV869" s="55">
        <v>0</v>
      </c>
      <c r="AW869" s="55"/>
      <c r="AX869" s="55"/>
      <c r="AY869" s="56">
        <f t="shared" si="314"/>
        <v>0.5</v>
      </c>
      <c r="AZ869" s="55"/>
      <c r="BA869" s="56">
        <v>0.66666666666666663</v>
      </c>
      <c r="BB869" s="41">
        <f t="shared" si="322"/>
        <v>-0.25</v>
      </c>
      <c r="BC869" s="10"/>
      <c r="BD869" s="36"/>
      <c r="BE869" s="7"/>
      <c r="BF869" s="7"/>
      <c r="BG869" s="17">
        <f t="shared" si="321"/>
        <v>0</v>
      </c>
      <c r="BH869" s="16">
        <f>IFERROR(IF(F869=1,IF(BC869&lt;AY869*3,AY869*3-BC869,0),IF(BC869&lt;AY869,AY869-BC869,0)),"")</f>
        <v>0.5</v>
      </c>
    </row>
    <row r="870" spans="1:60" ht="12.75" customHeight="1" x14ac:dyDescent="0.2">
      <c r="A870" s="51">
        <v>772027</v>
      </c>
      <c r="B870" s="51" t="s">
        <v>1077</v>
      </c>
      <c r="C870" s="66" t="s">
        <v>1803</v>
      </c>
      <c r="D870" s="52" t="s">
        <v>728</v>
      </c>
      <c r="E870" s="65" t="s">
        <v>780</v>
      </c>
      <c r="F870" s="53">
        <f>IFERROR(VLOOKUP(E870,Fornecedores!$A$2:$B$2700,2,FALSE),"")</f>
        <v>2</v>
      </c>
      <c r="G870" s="52" t="s">
        <v>479</v>
      </c>
      <c r="H870" s="57"/>
      <c r="I870" s="55">
        <f t="shared" si="323"/>
        <v>0</v>
      </c>
      <c r="J870" s="55">
        <v>0</v>
      </c>
      <c r="K870" s="55">
        <v>0</v>
      </c>
      <c r="L870" s="55">
        <v>0</v>
      </c>
      <c r="M870" s="55">
        <v>0</v>
      </c>
      <c r="N870" s="55">
        <f t="shared" si="324"/>
        <v>0</v>
      </c>
      <c r="O870" s="55">
        <v>0</v>
      </c>
      <c r="P870" s="55">
        <v>0</v>
      </c>
      <c r="Q870" s="55">
        <v>0</v>
      </c>
      <c r="R870" s="55">
        <f t="shared" si="325"/>
        <v>0</v>
      </c>
      <c r="S870" s="55">
        <v>0</v>
      </c>
      <c r="T870" s="55">
        <v>0</v>
      </c>
      <c r="U870" s="55">
        <v>0</v>
      </c>
      <c r="V870" s="55">
        <v>0</v>
      </c>
      <c r="W870" s="53">
        <v>0</v>
      </c>
      <c r="X870" s="53">
        <v>0</v>
      </c>
      <c r="Y870" s="55">
        <v>0</v>
      </c>
      <c r="Z870" s="55">
        <v>0</v>
      </c>
      <c r="AA870" s="53">
        <v>0</v>
      </c>
      <c r="AB870" s="53">
        <v>0</v>
      </c>
      <c r="AC870" s="55">
        <v>0</v>
      </c>
      <c r="AD870" s="55">
        <f t="shared" si="326"/>
        <v>1</v>
      </c>
      <c r="AE870" s="53">
        <v>0</v>
      </c>
      <c r="AF870" s="55">
        <v>1</v>
      </c>
      <c r="AG870" s="55">
        <v>0</v>
      </c>
      <c r="AH870" s="55">
        <f t="shared" si="319"/>
        <v>1</v>
      </c>
      <c r="AI870" s="55">
        <v>0</v>
      </c>
      <c r="AJ870" s="55">
        <v>1</v>
      </c>
      <c r="AK870" s="55">
        <v>0</v>
      </c>
      <c r="AL870" s="55">
        <f t="shared" si="320"/>
        <v>1</v>
      </c>
      <c r="AM870" s="55" t="s">
        <v>1912</v>
      </c>
      <c r="AN870" s="55">
        <v>1</v>
      </c>
      <c r="AO870" s="55">
        <v>0</v>
      </c>
      <c r="AP870" s="55">
        <f t="shared" si="308"/>
        <v>0</v>
      </c>
      <c r="AQ870" s="55">
        <f>IFERROR(VLOOKUP(A870,[1]SIIMPLES!$A$2:$F$418,6,FALSE),0)</f>
        <v>0</v>
      </c>
      <c r="AR870" s="55">
        <v>0</v>
      </c>
      <c r="AS870" s="55">
        <v>0</v>
      </c>
      <c r="AT870" s="55">
        <v>0</v>
      </c>
      <c r="AU870" s="55">
        <v>0</v>
      </c>
      <c r="AV870" s="55">
        <v>0</v>
      </c>
      <c r="AW870" s="55"/>
      <c r="AX870" s="55"/>
      <c r="AY870" s="56">
        <f t="shared" si="314"/>
        <v>0.3</v>
      </c>
      <c r="AZ870" s="55"/>
      <c r="BA870" s="56">
        <v>0.83333333333333337</v>
      </c>
      <c r="BB870" s="41">
        <f t="shared" si="322"/>
        <v>-0.64</v>
      </c>
      <c r="BC870" s="10"/>
      <c r="BD870" s="36"/>
      <c r="BE870" s="7"/>
      <c r="BF870" s="7"/>
      <c r="BG870" s="17">
        <f t="shared" si="321"/>
        <v>0</v>
      </c>
      <c r="BH870" s="16">
        <f>IFERROR(IF(F870=1,IF(BC870&lt;AY870*3,AY870*3-BC870,0),IF(BC870&lt;AY870,AY870-BC870,0)),"")</f>
        <v>0.3</v>
      </c>
    </row>
    <row r="871" spans="1:60" ht="12.75" customHeight="1" x14ac:dyDescent="0.2">
      <c r="A871" s="51">
        <v>772074</v>
      </c>
      <c r="B871" s="51"/>
      <c r="C871" s="66" t="s">
        <v>1803</v>
      </c>
      <c r="D871" s="52" t="s">
        <v>728</v>
      </c>
      <c r="E871" s="65" t="s">
        <v>780</v>
      </c>
      <c r="F871" s="53">
        <f>IFERROR(VLOOKUP(E871,Fornecedores!$A$2:$B$2700,2,FALSE),"")</f>
        <v>2</v>
      </c>
      <c r="G871" s="52" t="s">
        <v>1139</v>
      </c>
      <c r="H871" s="57"/>
      <c r="I871" s="55">
        <f t="shared" si="323"/>
        <v>0</v>
      </c>
      <c r="J871" s="55">
        <v>0</v>
      </c>
      <c r="K871" s="55">
        <v>0</v>
      </c>
      <c r="L871" s="55">
        <v>0</v>
      </c>
      <c r="M871" s="55">
        <v>0</v>
      </c>
      <c r="N871" s="55">
        <f t="shared" si="324"/>
        <v>0</v>
      </c>
      <c r="O871" s="55">
        <v>0</v>
      </c>
      <c r="P871" s="55">
        <v>0</v>
      </c>
      <c r="Q871" s="55">
        <v>0</v>
      </c>
      <c r="R871" s="55">
        <f t="shared" si="325"/>
        <v>0</v>
      </c>
      <c r="S871" s="55">
        <v>0</v>
      </c>
      <c r="T871" s="55">
        <v>0</v>
      </c>
      <c r="U871" s="55">
        <v>0</v>
      </c>
      <c r="V871" s="55">
        <v>0</v>
      </c>
      <c r="W871" s="53">
        <v>0</v>
      </c>
      <c r="X871" s="53">
        <v>0</v>
      </c>
      <c r="Y871" s="55">
        <v>0</v>
      </c>
      <c r="Z871" s="55">
        <v>1</v>
      </c>
      <c r="AA871" s="53">
        <v>1</v>
      </c>
      <c r="AB871" s="53">
        <v>0</v>
      </c>
      <c r="AC871" s="55">
        <v>0</v>
      </c>
      <c r="AD871" s="55">
        <f t="shared" si="326"/>
        <v>0</v>
      </c>
      <c r="AE871" s="53">
        <v>0</v>
      </c>
      <c r="AF871" s="55">
        <v>0</v>
      </c>
      <c r="AG871" s="55">
        <v>0</v>
      </c>
      <c r="AH871" s="55">
        <f t="shared" si="319"/>
        <v>1</v>
      </c>
      <c r="AI871" s="55">
        <v>1</v>
      </c>
      <c r="AJ871" s="55">
        <v>0</v>
      </c>
      <c r="AK871" s="55">
        <v>0</v>
      </c>
      <c r="AL871" s="55">
        <f t="shared" si="320"/>
        <v>0</v>
      </c>
      <c r="AM871" s="55" t="s">
        <v>1912</v>
      </c>
      <c r="AN871" s="55">
        <v>0</v>
      </c>
      <c r="AO871" s="55">
        <v>0</v>
      </c>
      <c r="AP871" s="55">
        <f t="shared" si="308"/>
        <v>0</v>
      </c>
      <c r="AQ871" s="55">
        <f>IFERROR(VLOOKUP(A871,[1]SIIMPLES!$A$2:$F$418,6,FALSE),0)</f>
        <v>0</v>
      </c>
      <c r="AR871" s="55">
        <v>0</v>
      </c>
      <c r="AS871" s="55">
        <v>0</v>
      </c>
      <c r="AT871" s="55">
        <v>0</v>
      </c>
      <c r="AU871" s="55">
        <v>0</v>
      </c>
      <c r="AV871" s="55">
        <v>0</v>
      </c>
      <c r="AW871" s="55"/>
      <c r="AX871" s="55"/>
      <c r="AY871" s="56">
        <f t="shared" si="314"/>
        <v>0.2</v>
      </c>
      <c r="AZ871" s="55"/>
      <c r="BA871" s="56">
        <v>0</v>
      </c>
      <c r="BB871" s="41" t="str">
        <f t="shared" si="322"/>
        <v/>
      </c>
      <c r="BC871" s="13"/>
      <c r="BD871" s="35"/>
      <c r="BE871" s="13"/>
      <c r="BF871" s="16"/>
      <c r="BG871" s="17">
        <f t="shared" si="321"/>
        <v>0</v>
      </c>
      <c r="BH871" s="16">
        <f>ROUND(IFERROR(IF(F871=1,IF(BC871&lt;AY871*3,AY871*3-BC871,0),IF(BC871&lt;AY871,AY871*0.6-BC871,0)),""),0)</f>
        <v>0</v>
      </c>
    </row>
    <row r="872" spans="1:60" ht="12.75" customHeight="1" x14ac:dyDescent="0.2">
      <c r="A872" s="51">
        <v>772138</v>
      </c>
      <c r="B872" s="51" t="s">
        <v>1077</v>
      </c>
      <c r="C872" s="66" t="s">
        <v>1803</v>
      </c>
      <c r="D872" s="52" t="s">
        <v>728</v>
      </c>
      <c r="E872" s="65" t="s">
        <v>780</v>
      </c>
      <c r="F872" s="53">
        <f>IFERROR(VLOOKUP(E872,Fornecedores!$A$2:$B$2700,2,FALSE),"")</f>
        <v>2</v>
      </c>
      <c r="G872" s="52" t="s">
        <v>122</v>
      </c>
      <c r="H872" s="57"/>
      <c r="I872" s="55">
        <f t="shared" si="323"/>
        <v>0</v>
      </c>
      <c r="J872" s="55">
        <v>0</v>
      </c>
      <c r="K872" s="55">
        <v>0</v>
      </c>
      <c r="L872" s="55">
        <v>0</v>
      </c>
      <c r="M872" s="55">
        <v>0</v>
      </c>
      <c r="N872" s="55">
        <f t="shared" si="324"/>
        <v>0</v>
      </c>
      <c r="O872" s="55">
        <v>0</v>
      </c>
      <c r="P872" s="55">
        <v>0</v>
      </c>
      <c r="Q872" s="55">
        <v>0</v>
      </c>
      <c r="R872" s="55">
        <f t="shared" si="325"/>
        <v>0</v>
      </c>
      <c r="S872" s="55">
        <v>0</v>
      </c>
      <c r="T872" s="55">
        <v>0</v>
      </c>
      <c r="U872" s="55">
        <v>0</v>
      </c>
      <c r="V872" s="55">
        <v>1</v>
      </c>
      <c r="W872" s="53">
        <v>1</v>
      </c>
      <c r="X872" s="53">
        <v>0</v>
      </c>
      <c r="Y872" s="55">
        <v>0</v>
      </c>
      <c r="Z872" s="55">
        <v>0</v>
      </c>
      <c r="AA872" s="53">
        <v>0</v>
      </c>
      <c r="AB872" s="53">
        <v>0</v>
      </c>
      <c r="AC872" s="55">
        <v>0</v>
      </c>
      <c r="AD872" s="55">
        <f t="shared" si="326"/>
        <v>0</v>
      </c>
      <c r="AE872" s="53">
        <v>0</v>
      </c>
      <c r="AF872" s="55">
        <v>0</v>
      </c>
      <c r="AG872" s="55">
        <v>0</v>
      </c>
      <c r="AH872" s="55">
        <f t="shared" si="319"/>
        <v>1</v>
      </c>
      <c r="AI872" s="55">
        <v>0</v>
      </c>
      <c r="AJ872" s="55">
        <v>1</v>
      </c>
      <c r="AK872" s="55">
        <v>0</v>
      </c>
      <c r="AL872" s="55">
        <f t="shared" si="320"/>
        <v>1</v>
      </c>
      <c r="AM872" s="55">
        <v>1</v>
      </c>
      <c r="AN872" s="55">
        <v>0</v>
      </c>
      <c r="AO872" s="55">
        <v>0</v>
      </c>
      <c r="AP872" s="55">
        <f t="shared" si="308"/>
        <v>0</v>
      </c>
      <c r="AQ872" s="55">
        <f>IFERROR(VLOOKUP(A872,[1]SIIMPLES!$A$2:$F$418,6,FALSE),0)</f>
        <v>0</v>
      </c>
      <c r="AR872" s="55">
        <v>0</v>
      </c>
      <c r="AS872" s="55">
        <v>0</v>
      </c>
      <c r="AT872" s="55">
        <v>0</v>
      </c>
      <c r="AU872" s="55">
        <v>0</v>
      </c>
      <c r="AV872" s="55">
        <v>0</v>
      </c>
      <c r="AW872" s="55"/>
      <c r="AX872" s="55"/>
      <c r="AY872" s="56">
        <f t="shared" si="314"/>
        <v>0.3</v>
      </c>
      <c r="AZ872" s="55"/>
      <c r="BA872" s="56">
        <v>0.5</v>
      </c>
      <c r="BB872" s="41">
        <f t="shared" si="322"/>
        <v>-0.4</v>
      </c>
      <c r="BC872" s="13"/>
      <c r="BD872" s="35"/>
      <c r="BE872" s="13"/>
      <c r="BF872" s="16">
        <f>SUM(BC872:BE872)</f>
        <v>0</v>
      </c>
      <c r="BG872" s="17">
        <f t="shared" si="321"/>
        <v>0</v>
      </c>
      <c r="BH872" s="16">
        <f>IFERROR(IF(F872=1,IF(BC872&lt;AY872*3,AY872*3-BC872,0),IF(BC872&lt;AY872,AY872-BC872,0)),"")</f>
        <v>0.3</v>
      </c>
    </row>
    <row r="873" spans="1:60" ht="12.75" customHeight="1" x14ac:dyDescent="0.2">
      <c r="A873" s="51">
        <v>772140</v>
      </c>
      <c r="B873" s="51"/>
      <c r="C873" s="66" t="s">
        <v>1803</v>
      </c>
      <c r="D873" s="52" t="s">
        <v>728</v>
      </c>
      <c r="E873" s="65" t="s">
        <v>780</v>
      </c>
      <c r="F873" s="53">
        <f>IFERROR(VLOOKUP(E873,Fornecedores!$A$2:$B$2700,2,FALSE),"")</f>
        <v>2</v>
      </c>
      <c r="G873" s="52" t="s">
        <v>1358</v>
      </c>
      <c r="H873" s="57"/>
      <c r="I873" s="55">
        <f t="shared" si="323"/>
        <v>1</v>
      </c>
      <c r="J873" s="55">
        <v>1</v>
      </c>
      <c r="K873" s="55">
        <v>0</v>
      </c>
      <c r="L873" s="55">
        <v>0</v>
      </c>
      <c r="M873" s="55">
        <v>0</v>
      </c>
      <c r="N873" s="55">
        <f t="shared" si="324"/>
        <v>2</v>
      </c>
      <c r="O873" s="55">
        <v>2</v>
      </c>
      <c r="P873" s="55">
        <v>0</v>
      </c>
      <c r="Q873" s="55">
        <v>0</v>
      </c>
      <c r="R873" s="55">
        <f t="shared" si="325"/>
        <v>0</v>
      </c>
      <c r="S873" s="55">
        <v>0</v>
      </c>
      <c r="T873" s="55">
        <v>0</v>
      </c>
      <c r="U873" s="55">
        <v>0</v>
      </c>
      <c r="V873" s="55">
        <v>1</v>
      </c>
      <c r="W873" s="53">
        <v>1</v>
      </c>
      <c r="X873" s="53">
        <v>0</v>
      </c>
      <c r="Y873" s="55">
        <v>0</v>
      </c>
      <c r="Z873" s="55">
        <v>1</v>
      </c>
      <c r="AA873" s="53">
        <v>1</v>
      </c>
      <c r="AB873" s="53">
        <v>0</v>
      </c>
      <c r="AC873" s="55">
        <v>0</v>
      </c>
      <c r="AD873" s="55">
        <f t="shared" si="326"/>
        <v>0</v>
      </c>
      <c r="AE873" s="53">
        <v>0</v>
      </c>
      <c r="AF873" s="55">
        <v>0</v>
      </c>
      <c r="AG873" s="55">
        <v>0</v>
      </c>
      <c r="AH873" s="55">
        <f t="shared" si="319"/>
        <v>1</v>
      </c>
      <c r="AI873" s="55">
        <v>1</v>
      </c>
      <c r="AJ873" s="55">
        <v>0</v>
      </c>
      <c r="AK873" s="55">
        <v>0</v>
      </c>
      <c r="AL873" s="55">
        <f t="shared" si="320"/>
        <v>1</v>
      </c>
      <c r="AM873" s="55">
        <v>1</v>
      </c>
      <c r="AN873" s="55">
        <v>0</v>
      </c>
      <c r="AO873" s="55">
        <v>0</v>
      </c>
      <c r="AP873" s="55">
        <f t="shared" si="308"/>
        <v>0</v>
      </c>
      <c r="AQ873" s="55">
        <f>IFERROR(VLOOKUP(A873,[1]SIIMPLES!$A$2:$F$418,6,FALSE),0)</f>
        <v>0</v>
      </c>
      <c r="AR873" s="55">
        <v>0</v>
      </c>
      <c r="AS873" s="55">
        <v>0</v>
      </c>
      <c r="AT873" s="55">
        <v>0</v>
      </c>
      <c r="AU873" s="55">
        <v>0</v>
      </c>
      <c r="AV873" s="55">
        <v>0</v>
      </c>
      <c r="AW873" s="55"/>
      <c r="AX873" s="55"/>
      <c r="AY873" s="56">
        <f t="shared" si="314"/>
        <v>0.7</v>
      </c>
      <c r="AZ873" s="55"/>
      <c r="BA873" s="56">
        <v>0</v>
      </c>
      <c r="BB873" s="41" t="str">
        <f t="shared" si="322"/>
        <v/>
      </c>
      <c r="BC873" s="13"/>
      <c r="BD873" s="35"/>
      <c r="BE873" s="13"/>
      <c r="BF873" s="16"/>
      <c r="BG873" s="17">
        <f t="shared" si="321"/>
        <v>0</v>
      </c>
      <c r="BH873" s="16">
        <f>IFERROR(IF(F873=1,IF(BC873&lt;AY873*3,AY873*3-BC873,0),IF(BC873&lt;AY873,AY873-BC873,0)),"")</f>
        <v>0.7</v>
      </c>
    </row>
    <row r="874" spans="1:60" ht="12.75" customHeight="1" x14ac:dyDescent="0.2">
      <c r="A874" s="51">
        <v>772145</v>
      </c>
      <c r="B874" s="51" t="s">
        <v>1077</v>
      </c>
      <c r="C874" s="66" t="s">
        <v>1803</v>
      </c>
      <c r="D874" s="52" t="s">
        <v>728</v>
      </c>
      <c r="E874" s="65" t="s">
        <v>780</v>
      </c>
      <c r="F874" s="53">
        <f>IFERROR(VLOOKUP(E874,Fornecedores!$A$2:$B$2700,2,FALSE),"")</f>
        <v>2</v>
      </c>
      <c r="G874" s="52" t="s">
        <v>239</v>
      </c>
      <c r="H874" s="57"/>
      <c r="I874" s="55">
        <f t="shared" si="323"/>
        <v>0</v>
      </c>
      <c r="J874" s="55">
        <v>0</v>
      </c>
      <c r="K874" s="55">
        <v>0</v>
      </c>
      <c r="L874" s="55">
        <v>0</v>
      </c>
      <c r="M874" s="55">
        <v>0</v>
      </c>
      <c r="N874" s="55">
        <f t="shared" si="324"/>
        <v>0</v>
      </c>
      <c r="O874" s="55">
        <v>0</v>
      </c>
      <c r="P874" s="55">
        <v>0</v>
      </c>
      <c r="Q874" s="55">
        <v>0</v>
      </c>
      <c r="R874" s="55">
        <f t="shared" si="325"/>
        <v>0</v>
      </c>
      <c r="S874" s="55">
        <v>0</v>
      </c>
      <c r="T874" s="55">
        <v>0</v>
      </c>
      <c r="U874" s="55">
        <v>0</v>
      </c>
      <c r="V874" s="55">
        <v>0</v>
      </c>
      <c r="W874" s="53">
        <v>0</v>
      </c>
      <c r="X874" s="53">
        <v>0</v>
      </c>
      <c r="Y874" s="55">
        <v>0</v>
      </c>
      <c r="Z874" s="55">
        <v>0</v>
      </c>
      <c r="AA874" s="53">
        <v>0</v>
      </c>
      <c r="AB874" s="53">
        <v>0</v>
      </c>
      <c r="AC874" s="55">
        <v>0</v>
      </c>
      <c r="AD874" s="55">
        <f t="shared" si="326"/>
        <v>0</v>
      </c>
      <c r="AE874" s="53">
        <v>0</v>
      </c>
      <c r="AF874" s="55">
        <v>0</v>
      </c>
      <c r="AG874" s="55">
        <v>0</v>
      </c>
      <c r="AH874" s="55">
        <f t="shared" si="319"/>
        <v>1</v>
      </c>
      <c r="AI874" s="55">
        <v>1</v>
      </c>
      <c r="AJ874" s="55">
        <v>0</v>
      </c>
      <c r="AK874" s="55">
        <v>0</v>
      </c>
      <c r="AL874" s="55">
        <f t="shared" si="320"/>
        <v>0</v>
      </c>
      <c r="AM874" s="55" t="s">
        <v>1912</v>
      </c>
      <c r="AN874" s="55">
        <v>0</v>
      </c>
      <c r="AO874" s="55">
        <v>0</v>
      </c>
      <c r="AP874" s="55">
        <f t="shared" si="308"/>
        <v>0</v>
      </c>
      <c r="AQ874" s="55">
        <f>IFERROR(VLOOKUP(A874,[1]SIIMPLES!$A$2:$F$418,6,FALSE),0)</f>
        <v>0</v>
      </c>
      <c r="AR874" s="55">
        <v>0</v>
      </c>
      <c r="AS874" s="55">
        <v>0</v>
      </c>
      <c r="AT874" s="55">
        <v>0</v>
      </c>
      <c r="AU874" s="55">
        <v>0</v>
      </c>
      <c r="AV874" s="55">
        <v>0</v>
      </c>
      <c r="AW874" s="55"/>
      <c r="AX874" s="55"/>
      <c r="AY874" s="56">
        <f t="shared" si="314"/>
        <v>0.1</v>
      </c>
      <c r="AZ874" s="55"/>
      <c r="BA874" s="56">
        <v>0.16666666666666666</v>
      </c>
      <c r="BB874" s="41">
        <f t="shared" si="322"/>
        <v>-0.39999999999999991</v>
      </c>
      <c r="BC874" s="13"/>
      <c r="BD874" s="35"/>
      <c r="BE874" s="13"/>
      <c r="BF874" s="16"/>
      <c r="BG874" s="17">
        <f t="shared" si="321"/>
        <v>0</v>
      </c>
      <c r="BH874" s="16">
        <f>IFERROR(IF(F874=1,IF(BC874&lt;AY874*3,AY874*3-BC874,0),IF(BC874&lt;AY874,AY874-BC874,0)),"")</f>
        <v>0.1</v>
      </c>
    </row>
    <row r="875" spans="1:60" ht="12.75" customHeight="1" x14ac:dyDescent="0.2">
      <c r="A875" s="51">
        <v>772161</v>
      </c>
      <c r="B875" s="51" t="s">
        <v>1077</v>
      </c>
      <c r="C875" s="66" t="s">
        <v>1803</v>
      </c>
      <c r="D875" s="52" t="s">
        <v>728</v>
      </c>
      <c r="E875" s="65" t="s">
        <v>780</v>
      </c>
      <c r="F875" s="53">
        <f>IFERROR(VLOOKUP(E875,Fornecedores!$A$2:$B$2700,2,FALSE),"")</f>
        <v>2</v>
      </c>
      <c r="G875" s="52" t="s">
        <v>1360</v>
      </c>
      <c r="H875" s="57"/>
      <c r="I875" s="55">
        <f t="shared" si="323"/>
        <v>0</v>
      </c>
      <c r="J875" s="55">
        <v>0</v>
      </c>
      <c r="K875" s="55">
        <v>0</v>
      </c>
      <c r="L875" s="55">
        <v>0</v>
      </c>
      <c r="M875" s="55">
        <v>0</v>
      </c>
      <c r="N875" s="55">
        <f t="shared" si="324"/>
        <v>0</v>
      </c>
      <c r="O875" s="55">
        <v>0</v>
      </c>
      <c r="P875" s="55">
        <v>0</v>
      </c>
      <c r="Q875" s="55">
        <v>0</v>
      </c>
      <c r="R875" s="55">
        <f t="shared" si="325"/>
        <v>1</v>
      </c>
      <c r="S875" s="55">
        <v>1</v>
      </c>
      <c r="T875" s="55">
        <v>0</v>
      </c>
      <c r="U875" s="55">
        <v>0</v>
      </c>
      <c r="V875" s="55">
        <v>1</v>
      </c>
      <c r="W875" s="53">
        <v>1</v>
      </c>
      <c r="X875" s="53">
        <v>0</v>
      </c>
      <c r="Y875" s="55">
        <v>0</v>
      </c>
      <c r="Z875" s="55">
        <v>0</v>
      </c>
      <c r="AA875" s="53">
        <v>0</v>
      </c>
      <c r="AB875" s="53">
        <v>0</v>
      </c>
      <c r="AC875" s="55">
        <v>0</v>
      </c>
      <c r="AD875" s="55">
        <f t="shared" si="326"/>
        <v>0</v>
      </c>
      <c r="AE875" s="53">
        <v>0</v>
      </c>
      <c r="AF875" s="55">
        <v>0</v>
      </c>
      <c r="AG875" s="55">
        <v>0</v>
      </c>
      <c r="AH875" s="55">
        <f t="shared" si="319"/>
        <v>1</v>
      </c>
      <c r="AI875" s="55">
        <v>1</v>
      </c>
      <c r="AJ875" s="55">
        <v>0</v>
      </c>
      <c r="AK875" s="55">
        <v>0</v>
      </c>
      <c r="AL875" s="55">
        <f t="shared" si="320"/>
        <v>0</v>
      </c>
      <c r="AM875" s="55" t="s">
        <v>1912</v>
      </c>
      <c r="AN875" s="55">
        <v>0</v>
      </c>
      <c r="AO875" s="55">
        <v>0</v>
      </c>
      <c r="AP875" s="55">
        <f t="shared" si="308"/>
        <v>0</v>
      </c>
      <c r="AQ875" s="55">
        <f>IFERROR(VLOOKUP(A875,[1]SIIMPLES!$A$2:$F$418,6,FALSE),0)</f>
        <v>0</v>
      </c>
      <c r="AR875" s="55">
        <v>0</v>
      </c>
      <c r="AS875" s="55">
        <v>0</v>
      </c>
      <c r="AT875" s="55">
        <v>0</v>
      </c>
      <c r="AU875" s="55">
        <v>0</v>
      </c>
      <c r="AV875" s="55">
        <v>0</v>
      </c>
      <c r="AW875" s="55"/>
      <c r="AX875" s="55"/>
      <c r="AY875" s="56">
        <f t="shared" si="314"/>
        <v>0.3</v>
      </c>
      <c r="AZ875" s="55"/>
      <c r="BA875" s="56">
        <v>0</v>
      </c>
      <c r="BB875" s="41" t="str">
        <f t="shared" si="322"/>
        <v/>
      </c>
      <c r="BC875" s="13"/>
      <c r="BD875" s="35"/>
      <c r="BE875" s="13"/>
      <c r="BF875" s="16"/>
      <c r="BG875" s="17">
        <f t="shared" si="321"/>
        <v>0</v>
      </c>
      <c r="BH875" s="16">
        <f>IFERROR(IF(F875=1,IF(BC875&lt;AY875*3,AY875*3-BC875,0),IF(BC875&lt;AY875,AY875-BC875,0)),"")</f>
        <v>0.3</v>
      </c>
    </row>
    <row r="876" spans="1:60" ht="12.75" customHeight="1" x14ac:dyDescent="0.2">
      <c r="A876" s="51">
        <v>772205</v>
      </c>
      <c r="B876" s="51"/>
      <c r="C876" s="66" t="s">
        <v>1803</v>
      </c>
      <c r="D876" s="52" t="s">
        <v>728</v>
      </c>
      <c r="E876" s="65" t="s">
        <v>780</v>
      </c>
      <c r="F876" s="53">
        <f>IFERROR(VLOOKUP(E876,Fornecedores!$A$2:$B$2700,2,FALSE),"")</f>
        <v>2</v>
      </c>
      <c r="G876" s="52" t="s">
        <v>1371</v>
      </c>
      <c r="H876" s="57"/>
      <c r="I876" s="55">
        <f t="shared" si="323"/>
        <v>1</v>
      </c>
      <c r="J876" s="55">
        <v>0</v>
      </c>
      <c r="K876" s="55">
        <v>1</v>
      </c>
      <c r="L876" s="55">
        <v>0</v>
      </c>
      <c r="M876" s="55">
        <v>0</v>
      </c>
      <c r="N876" s="55">
        <f t="shared" si="324"/>
        <v>0</v>
      </c>
      <c r="O876" s="55">
        <v>0</v>
      </c>
      <c r="P876" s="55">
        <v>0</v>
      </c>
      <c r="Q876" s="55">
        <v>0</v>
      </c>
      <c r="R876" s="55">
        <f t="shared" si="325"/>
        <v>0</v>
      </c>
      <c r="S876" s="55">
        <v>0</v>
      </c>
      <c r="T876" s="55">
        <v>0</v>
      </c>
      <c r="U876" s="55">
        <v>0</v>
      </c>
      <c r="V876" s="55">
        <v>0</v>
      </c>
      <c r="W876" s="53">
        <v>0</v>
      </c>
      <c r="X876" s="53">
        <v>0</v>
      </c>
      <c r="Y876" s="55">
        <v>0</v>
      </c>
      <c r="Z876" s="55">
        <v>0</v>
      </c>
      <c r="AA876" s="53">
        <v>0</v>
      </c>
      <c r="AB876" s="53">
        <v>0</v>
      </c>
      <c r="AC876" s="55">
        <v>0</v>
      </c>
      <c r="AD876" s="55">
        <f t="shared" si="326"/>
        <v>0</v>
      </c>
      <c r="AE876" s="53">
        <v>0</v>
      </c>
      <c r="AF876" s="55">
        <v>0</v>
      </c>
      <c r="AG876" s="55">
        <v>0</v>
      </c>
      <c r="AH876" s="55">
        <f t="shared" si="319"/>
        <v>1</v>
      </c>
      <c r="AI876" s="55">
        <v>1</v>
      </c>
      <c r="AJ876" s="55">
        <v>0</v>
      </c>
      <c r="AK876" s="55">
        <v>0</v>
      </c>
      <c r="AL876" s="55">
        <f t="shared" si="320"/>
        <v>0</v>
      </c>
      <c r="AM876" s="55" t="s">
        <v>1912</v>
      </c>
      <c r="AN876" s="55">
        <v>0</v>
      </c>
      <c r="AO876" s="55">
        <v>0</v>
      </c>
      <c r="AP876" s="55">
        <f t="shared" si="308"/>
        <v>0</v>
      </c>
      <c r="AQ876" s="55">
        <f>IFERROR(VLOOKUP(A876,[1]SIIMPLES!$A$2:$F$418,6,FALSE),0)</f>
        <v>0</v>
      </c>
      <c r="AR876" s="55">
        <v>0</v>
      </c>
      <c r="AS876" s="55">
        <v>0</v>
      </c>
      <c r="AT876" s="55">
        <v>0</v>
      </c>
      <c r="AU876" s="55">
        <v>0</v>
      </c>
      <c r="AV876" s="55">
        <v>0</v>
      </c>
      <c r="AW876" s="55"/>
      <c r="AX876" s="55"/>
      <c r="AY876" s="56">
        <f t="shared" si="314"/>
        <v>0.2</v>
      </c>
      <c r="AZ876" s="55"/>
      <c r="BA876" s="56">
        <v>0</v>
      </c>
      <c r="BB876" s="41" t="str">
        <f t="shared" si="322"/>
        <v/>
      </c>
      <c r="BC876" s="13"/>
      <c r="BD876" s="35"/>
      <c r="BE876" s="13"/>
      <c r="BF876" s="16"/>
      <c r="BG876" s="17">
        <f t="shared" si="321"/>
        <v>0</v>
      </c>
      <c r="BH876" s="16">
        <f>ROUND(IFERROR(IF(F876=1,IF(BC876&lt;AY876*3,AY876*3-BC876,0),IF(BC876&lt;AY876,AY876*0.6-BC876,0)),""),0)</f>
        <v>0</v>
      </c>
    </row>
    <row r="877" spans="1:60" ht="12.75" customHeight="1" x14ac:dyDescent="0.2">
      <c r="A877" s="51">
        <v>772254</v>
      </c>
      <c r="B877" s="51" t="s">
        <v>1077</v>
      </c>
      <c r="C877" s="66" t="s">
        <v>1803</v>
      </c>
      <c r="D877" s="52" t="s">
        <v>728</v>
      </c>
      <c r="E877" s="65" t="s">
        <v>780</v>
      </c>
      <c r="F877" s="53">
        <f>IFERROR(VLOOKUP(E877,Fornecedores!$A$2:$B$2700,2,FALSE),"")</f>
        <v>2</v>
      </c>
      <c r="G877" s="52" t="s">
        <v>58</v>
      </c>
      <c r="H877" s="57"/>
      <c r="I877" s="55">
        <f t="shared" si="323"/>
        <v>0</v>
      </c>
      <c r="J877" s="55">
        <v>0</v>
      </c>
      <c r="K877" s="55">
        <v>0</v>
      </c>
      <c r="L877" s="55">
        <v>0</v>
      </c>
      <c r="M877" s="55">
        <v>0</v>
      </c>
      <c r="N877" s="55">
        <f t="shared" si="324"/>
        <v>0</v>
      </c>
      <c r="O877" s="55">
        <v>0</v>
      </c>
      <c r="P877" s="55">
        <v>0</v>
      </c>
      <c r="Q877" s="55">
        <v>0</v>
      </c>
      <c r="R877" s="55">
        <f t="shared" si="325"/>
        <v>0</v>
      </c>
      <c r="S877" s="55">
        <v>0</v>
      </c>
      <c r="T877" s="55">
        <v>0</v>
      </c>
      <c r="U877" s="55">
        <v>0</v>
      </c>
      <c r="V877" s="55">
        <v>2</v>
      </c>
      <c r="W877" s="53">
        <v>0</v>
      </c>
      <c r="X877" s="53">
        <v>2</v>
      </c>
      <c r="Y877" s="55">
        <v>0</v>
      </c>
      <c r="Z877" s="55">
        <v>0</v>
      </c>
      <c r="AA877" s="53">
        <v>0</v>
      </c>
      <c r="AB877" s="53">
        <v>0</v>
      </c>
      <c r="AC877" s="55">
        <v>0</v>
      </c>
      <c r="AD877" s="55">
        <f t="shared" si="326"/>
        <v>0</v>
      </c>
      <c r="AE877" s="53">
        <v>0</v>
      </c>
      <c r="AF877" s="55">
        <v>0</v>
      </c>
      <c r="AG877" s="55">
        <v>0</v>
      </c>
      <c r="AH877" s="55">
        <f t="shared" si="319"/>
        <v>1</v>
      </c>
      <c r="AI877" s="55">
        <v>0</v>
      </c>
      <c r="AJ877" s="55">
        <v>1</v>
      </c>
      <c r="AK877" s="55">
        <v>0</v>
      </c>
      <c r="AL877" s="55">
        <f t="shared" si="320"/>
        <v>3</v>
      </c>
      <c r="AM877" s="55" t="s">
        <v>1912</v>
      </c>
      <c r="AN877" s="55">
        <v>3</v>
      </c>
      <c r="AO877" s="55">
        <v>0</v>
      </c>
      <c r="AP877" s="55">
        <f t="shared" si="308"/>
        <v>0</v>
      </c>
      <c r="AQ877" s="55">
        <f>IFERROR(VLOOKUP(A877,[1]SIIMPLES!$A$2:$F$418,6,FALSE),0)</f>
        <v>0</v>
      </c>
      <c r="AR877" s="55">
        <v>0</v>
      </c>
      <c r="AS877" s="55">
        <v>2</v>
      </c>
      <c r="AT877" s="55">
        <v>2</v>
      </c>
      <c r="AU877" s="55">
        <v>0</v>
      </c>
      <c r="AV877" s="55">
        <v>0</v>
      </c>
      <c r="AW877" s="55"/>
      <c r="AX877" s="55"/>
      <c r="AY877" s="56">
        <f t="shared" si="314"/>
        <v>0.8</v>
      </c>
      <c r="AZ877" s="55"/>
      <c r="BA877" s="56">
        <v>0.16666666666666666</v>
      </c>
      <c r="BB877" s="41">
        <f t="shared" si="322"/>
        <v>3.8000000000000007</v>
      </c>
      <c r="BC877" s="13"/>
      <c r="BD877" s="35"/>
      <c r="BE877" s="13"/>
      <c r="BF877" s="16"/>
      <c r="BG877" s="17">
        <f t="shared" si="321"/>
        <v>0</v>
      </c>
      <c r="BH877" s="16">
        <f>ROUND(IFERROR(IF(F877=1,IF(BC877&lt;AY877*3,AY877*3-BC877,0),IF(BC877&lt;AY877,AY877*0.6-BC877,0)),""),0)</f>
        <v>0</v>
      </c>
    </row>
    <row r="878" spans="1:60" ht="12.75" customHeight="1" x14ac:dyDescent="0.2">
      <c r="A878" s="51">
        <v>772255</v>
      </c>
      <c r="B878" s="51" t="s">
        <v>1077</v>
      </c>
      <c r="C878" s="66" t="s">
        <v>1803</v>
      </c>
      <c r="D878" s="52" t="s">
        <v>728</v>
      </c>
      <c r="E878" s="65" t="s">
        <v>780</v>
      </c>
      <c r="F878" s="53">
        <f>IFERROR(VLOOKUP(E878,Fornecedores!$A$2:$B$2700,2,FALSE),"")</f>
        <v>2</v>
      </c>
      <c r="G878" s="52" t="s">
        <v>74</v>
      </c>
      <c r="H878" s="57"/>
      <c r="I878" s="55">
        <f t="shared" si="323"/>
        <v>0</v>
      </c>
      <c r="J878" s="55">
        <v>0</v>
      </c>
      <c r="K878" s="55">
        <v>0</v>
      </c>
      <c r="L878" s="55">
        <v>0</v>
      </c>
      <c r="M878" s="55">
        <v>0</v>
      </c>
      <c r="N878" s="55">
        <f t="shared" si="324"/>
        <v>0</v>
      </c>
      <c r="O878" s="55">
        <v>0</v>
      </c>
      <c r="P878" s="55">
        <v>0</v>
      </c>
      <c r="Q878" s="55">
        <v>0</v>
      </c>
      <c r="R878" s="55">
        <f t="shared" si="325"/>
        <v>0</v>
      </c>
      <c r="S878" s="55">
        <v>0</v>
      </c>
      <c r="T878" s="55">
        <v>0</v>
      </c>
      <c r="U878" s="55">
        <v>0</v>
      </c>
      <c r="V878" s="55">
        <v>2</v>
      </c>
      <c r="W878" s="53">
        <v>0</v>
      </c>
      <c r="X878" s="53">
        <v>2</v>
      </c>
      <c r="Y878" s="55">
        <v>0</v>
      </c>
      <c r="Z878" s="55">
        <v>0</v>
      </c>
      <c r="AA878" s="53">
        <v>0</v>
      </c>
      <c r="AB878" s="53">
        <v>0</v>
      </c>
      <c r="AC878" s="55">
        <v>0</v>
      </c>
      <c r="AD878" s="55">
        <f t="shared" si="326"/>
        <v>0</v>
      </c>
      <c r="AE878" s="53">
        <v>0</v>
      </c>
      <c r="AF878" s="55">
        <v>0</v>
      </c>
      <c r="AG878" s="55">
        <v>0</v>
      </c>
      <c r="AH878" s="55">
        <f t="shared" si="319"/>
        <v>1</v>
      </c>
      <c r="AI878" s="55">
        <v>0</v>
      </c>
      <c r="AJ878" s="55">
        <v>1</v>
      </c>
      <c r="AK878" s="55">
        <v>0</v>
      </c>
      <c r="AL878" s="55">
        <f t="shared" si="320"/>
        <v>6</v>
      </c>
      <c r="AM878" s="55">
        <v>3</v>
      </c>
      <c r="AN878" s="55">
        <v>3</v>
      </c>
      <c r="AO878" s="55">
        <v>0</v>
      </c>
      <c r="AP878" s="55">
        <f t="shared" si="308"/>
        <v>0</v>
      </c>
      <c r="AQ878" s="55">
        <f>IFERROR(VLOOKUP(A878,[1]SIIMPLES!$A$2:$F$418,6,FALSE),0)</f>
        <v>0</v>
      </c>
      <c r="AR878" s="55">
        <v>0</v>
      </c>
      <c r="AS878" s="55">
        <v>0</v>
      </c>
      <c r="AT878" s="55">
        <v>0</v>
      </c>
      <c r="AU878" s="55">
        <v>0</v>
      </c>
      <c r="AV878" s="55">
        <v>0</v>
      </c>
      <c r="AW878" s="55"/>
      <c r="AX878" s="55"/>
      <c r="AY878" s="56">
        <f t="shared" si="314"/>
        <v>0.9</v>
      </c>
      <c r="AZ878" s="55"/>
      <c r="BA878" s="56">
        <v>0.33333333333333331</v>
      </c>
      <c r="BB878" s="41">
        <f t="shared" si="322"/>
        <v>1.7000000000000002</v>
      </c>
      <c r="BC878" s="10"/>
      <c r="BD878" s="35"/>
      <c r="BE878" s="13"/>
      <c r="BF878" s="16">
        <f>SUM(BC878:BE878)</f>
        <v>0</v>
      </c>
      <c r="BG878" s="17">
        <f t="shared" si="321"/>
        <v>0</v>
      </c>
      <c r="BH878" s="16">
        <f t="shared" ref="BH878:BH891" si="327">IFERROR(IF(F878=1,IF(BC878&lt;AY878*3,AY878*3-BC878,0),IF(BC878&lt;AY878,AY878-BC878,0)),"")</f>
        <v>0.9</v>
      </c>
    </row>
    <row r="879" spans="1:60" ht="12.75" customHeight="1" x14ac:dyDescent="0.2">
      <c r="A879" s="51">
        <v>882002</v>
      </c>
      <c r="B879" s="51" t="s">
        <v>1077</v>
      </c>
      <c r="C879" s="66" t="s">
        <v>1803</v>
      </c>
      <c r="D879" s="52" t="s">
        <v>728</v>
      </c>
      <c r="E879" s="65" t="s">
        <v>780</v>
      </c>
      <c r="F879" s="53">
        <f>IFERROR(VLOOKUP(E879,Fornecedores!$A$2:$B$2700,2,FALSE),"")</f>
        <v>2</v>
      </c>
      <c r="G879" s="52" t="s">
        <v>421</v>
      </c>
      <c r="H879" s="57"/>
      <c r="I879" s="55">
        <f t="shared" si="323"/>
        <v>1</v>
      </c>
      <c r="J879" s="55">
        <v>0</v>
      </c>
      <c r="K879" s="55">
        <v>1</v>
      </c>
      <c r="L879" s="55">
        <v>0</v>
      </c>
      <c r="M879" s="55">
        <v>0</v>
      </c>
      <c r="N879" s="55">
        <f t="shared" si="324"/>
        <v>0</v>
      </c>
      <c r="O879" s="55">
        <v>0</v>
      </c>
      <c r="P879" s="55">
        <v>0</v>
      </c>
      <c r="Q879" s="55">
        <v>0</v>
      </c>
      <c r="R879" s="55">
        <f t="shared" si="325"/>
        <v>0</v>
      </c>
      <c r="S879" s="55">
        <v>0</v>
      </c>
      <c r="T879" s="55">
        <v>0</v>
      </c>
      <c r="U879" s="55">
        <v>0</v>
      </c>
      <c r="V879" s="55">
        <v>1</v>
      </c>
      <c r="W879" s="53">
        <v>0</v>
      </c>
      <c r="X879" s="53">
        <v>1</v>
      </c>
      <c r="Y879" s="55">
        <v>0</v>
      </c>
      <c r="Z879" s="55">
        <v>0</v>
      </c>
      <c r="AA879" s="53">
        <v>0</v>
      </c>
      <c r="AB879" s="53">
        <v>0</v>
      </c>
      <c r="AC879" s="55">
        <v>0</v>
      </c>
      <c r="AD879" s="55">
        <f t="shared" si="326"/>
        <v>0</v>
      </c>
      <c r="AE879" s="53">
        <v>0</v>
      </c>
      <c r="AF879" s="55">
        <v>0</v>
      </c>
      <c r="AG879" s="55">
        <v>0</v>
      </c>
      <c r="AH879" s="55">
        <f t="shared" si="319"/>
        <v>1</v>
      </c>
      <c r="AI879" s="55">
        <v>0</v>
      </c>
      <c r="AJ879" s="55">
        <v>1</v>
      </c>
      <c r="AK879" s="55">
        <v>0</v>
      </c>
      <c r="AL879" s="55">
        <f t="shared" si="320"/>
        <v>0</v>
      </c>
      <c r="AM879" s="55" t="s">
        <v>1912</v>
      </c>
      <c r="AN879" s="55">
        <v>0</v>
      </c>
      <c r="AO879" s="55">
        <v>0</v>
      </c>
      <c r="AP879" s="55">
        <f t="shared" si="308"/>
        <v>0</v>
      </c>
      <c r="AQ879" s="55">
        <f>IFERROR(VLOOKUP(A879,[1]SIIMPLES!$A$2:$F$418,6,FALSE),0)</f>
        <v>0</v>
      </c>
      <c r="AR879" s="55">
        <v>0</v>
      </c>
      <c r="AS879" s="55">
        <v>0</v>
      </c>
      <c r="AT879" s="55">
        <v>0</v>
      </c>
      <c r="AU879" s="55">
        <v>0</v>
      </c>
      <c r="AV879" s="55">
        <v>0</v>
      </c>
      <c r="AW879" s="55"/>
      <c r="AX879" s="55"/>
      <c r="AY879" s="56">
        <f t="shared" si="314"/>
        <v>0.3</v>
      </c>
      <c r="AZ879" s="55"/>
      <c r="BA879" s="56">
        <v>1.3333333333333333</v>
      </c>
      <c r="BB879" s="41">
        <f t="shared" si="322"/>
        <v>-0.77500000000000002</v>
      </c>
      <c r="BC879" s="10"/>
      <c r="BD879" s="35"/>
      <c r="BE879" s="13"/>
      <c r="BF879" s="16">
        <f>SUM(BC879:BE879)</f>
        <v>0</v>
      </c>
      <c r="BG879" s="17">
        <f t="shared" si="321"/>
        <v>0</v>
      </c>
      <c r="BH879" s="16">
        <f t="shared" si="327"/>
        <v>0.3</v>
      </c>
    </row>
    <row r="880" spans="1:60" ht="12.75" customHeight="1" x14ac:dyDescent="0.2">
      <c r="A880" s="51" t="s">
        <v>692</v>
      </c>
      <c r="B880" s="51" t="s">
        <v>1077</v>
      </c>
      <c r="C880" s="66" t="s">
        <v>1803</v>
      </c>
      <c r="D880" s="52" t="s">
        <v>728</v>
      </c>
      <c r="E880" s="65" t="s">
        <v>780</v>
      </c>
      <c r="F880" s="53">
        <f>IFERROR(VLOOKUP(E880,Fornecedores!$A$2:$B$2700,2,FALSE),"")</f>
        <v>2</v>
      </c>
      <c r="G880" s="52" t="s">
        <v>693</v>
      </c>
      <c r="H880" s="57"/>
      <c r="I880" s="55">
        <f t="shared" si="323"/>
        <v>0</v>
      </c>
      <c r="J880" s="55">
        <v>0</v>
      </c>
      <c r="K880" s="55">
        <v>0</v>
      </c>
      <c r="L880" s="55">
        <v>0</v>
      </c>
      <c r="M880" s="55">
        <v>0</v>
      </c>
      <c r="N880" s="55">
        <f t="shared" si="324"/>
        <v>0</v>
      </c>
      <c r="O880" s="55">
        <v>0</v>
      </c>
      <c r="P880" s="55">
        <v>0</v>
      </c>
      <c r="Q880" s="55">
        <v>0</v>
      </c>
      <c r="R880" s="55">
        <f t="shared" si="325"/>
        <v>1</v>
      </c>
      <c r="S880" s="55">
        <v>1</v>
      </c>
      <c r="T880" s="55">
        <v>0</v>
      </c>
      <c r="U880" s="55">
        <v>0</v>
      </c>
      <c r="V880" s="55">
        <v>0</v>
      </c>
      <c r="W880" s="53">
        <v>0</v>
      </c>
      <c r="X880" s="53">
        <v>0</v>
      </c>
      <c r="Y880" s="55">
        <v>0</v>
      </c>
      <c r="Z880" s="55">
        <v>0</v>
      </c>
      <c r="AA880" s="53">
        <v>0</v>
      </c>
      <c r="AB880" s="53">
        <v>0</v>
      </c>
      <c r="AC880" s="55">
        <v>0</v>
      </c>
      <c r="AD880" s="55">
        <f t="shared" si="326"/>
        <v>0</v>
      </c>
      <c r="AE880" s="53">
        <v>0</v>
      </c>
      <c r="AF880" s="55">
        <v>0</v>
      </c>
      <c r="AG880" s="55">
        <v>0</v>
      </c>
      <c r="AH880" s="55">
        <f t="shared" si="319"/>
        <v>1</v>
      </c>
      <c r="AI880" s="55">
        <v>1</v>
      </c>
      <c r="AJ880" s="55">
        <v>0</v>
      </c>
      <c r="AK880" s="55">
        <v>0</v>
      </c>
      <c r="AL880" s="55">
        <f t="shared" si="320"/>
        <v>0</v>
      </c>
      <c r="AM880" s="55" t="s">
        <v>1912</v>
      </c>
      <c r="AN880" s="55">
        <v>0</v>
      </c>
      <c r="AO880" s="55">
        <v>0</v>
      </c>
      <c r="AP880" s="55">
        <f t="shared" si="308"/>
        <v>0</v>
      </c>
      <c r="AQ880" s="55">
        <f>IFERROR(VLOOKUP(A880,[1]SIIMPLES!$A$2:$F$418,6,FALSE),0)</f>
        <v>0</v>
      </c>
      <c r="AR880" s="55">
        <v>0</v>
      </c>
      <c r="AS880" s="55">
        <v>0</v>
      </c>
      <c r="AT880" s="55">
        <v>0</v>
      </c>
      <c r="AU880" s="55">
        <v>0</v>
      </c>
      <c r="AV880" s="55">
        <v>0</v>
      </c>
      <c r="AW880" s="55"/>
      <c r="AX880" s="55"/>
      <c r="AY880" s="56">
        <f t="shared" si="314"/>
        <v>0.2</v>
      </c>
      <c r="AZ880" s="55"/>
      <c r="BA880" s="56">
        <v>2</v>
      </c>
      <c r="BB880" s="41">
        <f t="shared" si="322"/>
        <v>-0.9</v>
      </c>
      <c r="BC880" s="13"/>
      <c r="BD880" s="35"/>
      <c r="BE880" s="13"/>
      <c r="BF880" s="16">
        <f>SUM(BC880:BE880)</f>
        <v>0</v>
      </c>
      <c r="BG880" s="17">
        <f t="shared" si="321"/>
        <v>0</v>
      </c>
      <c r="BH880" s="16">
        <f t="shared" si="327"/>
        <v>0.2</v>
      </c>
    </row>
    <row r="881" spans="1:60" ht="12.75" customHeight="1" x14ac:dyDescent="0.2">
      <c r="A881" s="51">
        <v>102011</v>
      </c>
      <c r="B881" s="51" t="s">
        <v>1086</v>
      </c>
      <c r="C881" s="66" t="s">
        <v>1803</v>
      </c>
      <c r="D881" s="52" t="s">
        <v>728</v>
      </c>
      <c r="E881" s="65" t="s">
        <v>780</v>
      </c>
      <c r="F881" s="53">
        <f>IFERROR(VLOOKUP(E881,Fornecedores!$A$2:$B$2700,2,FALSE),"")</f>
        <v>2</v>
      </c>
      <c r="G881" s="52" t="s">
        <v>703</v>
      </c>
      <c r="H881" s="57"/>
      <c r="I881" s="55">
        <f t="shared" si="323"/>
        <v>0</v>
      </c>
      <c r="J881" s="55">
        <v>0</v>
      </c>
      <c r="K881" s="55">
        <v>0</v>
      </c>
      <c r="L881" s="55">
        <v>0</v>
      </c>
      <c r="M881" s="55">
        <v>0</v>
      </c>
      <c r="N881" s="55">
        <f t="shared" si="324"/>
        <v>0</v>
      </c>
      <c r="O881" s="55">
        <v>0</v>
      </c>
      <c r="P881" s="55">
        <v>0</v>
      </c>
      <c r="Q881" s="55">
        <v>0</v>
      </c>
      <c r="R881" s="55">
        <f t="shared" si="325"/>
        <v>0</v>
      </c>
      <c r="S881" s="55">
        <v>0</v>
      </c>
      <c r="T881" s="55">
        <v>0</v>
      </c>
      <c r="U881" s="55">
        <v>0</v>
      </c>
      <c r="V881" s="55">
        <v>0</v>
      </c>
      <c r="W881" s="53">
        <v>0</v>
      </c>
      <c r="X881" s="53">
        <v>0</v>
      </c>
      <c r="Y881" s="55">
        <v>0</v>
      </c>
      <c r="Z881" s="55">
        <v>0</v>
      </c>
      <c r="AA881" s="53">
        <v>0</v>
      </c>
      <c r="AB881" s="53">
        <v>0</v>
      </c>
      <c r="AC881" s="55">
        <v>0</v>
      </c>
      <c r="AD881" s="55">
        <f t="shared" si="326"/>
        <v>0</v>
      </c>
      <c r="AE881" s="53">
        <v>0</v>
      </c>
      <c r="AF881" s="55">
        <v>0</v>
      </c>
      <c r="AG881" s="55">
        <v>0</v>
      </c>
      <c r="AH881" s="55">
        <f t="shared" si="319"/>
        <v>0</v>
      </c>
      <c r="AI881" s="55">
        <v>0</v>
      </c>
      <c r="AJ881" s="55">
        <v>0</v>
      </c>
      <c r="AK881" s="55">
        <v>0</v>
      </c>
      <c r="AL881" s="55">
        <f t="shared" si="320"/>
        <v>0</v>
      </c>
      <c r="AM881" s="55" t="s">
        <v>1912</v>
      </c>
      <c r="AN881" s="55">
        <v>0</v>
      </c>
      <c r="AO881" s="55">
        <v>0</v>
      </c>
      <c r="AP881" s="55">
        <f t="shared" si="308"/>
        <v>0</v>
      </c>
      <c r="AQ881" s="55">
        <f>IFERROR(VLOOKUP(A881,[1]SIIMPLES!$A$2:$F$418,6,FALSE),0)</f>
        <v>0</v>
      </c>
      <c r="AR881" s="55">
        <v>0</v>
      </c>
      <c r="AS881" s="55">
        <v>0</v>
      </c>
      <c r="AT881" s="55">
        <v>0</v>
      </c>
      <c r="AU881" s="55">
        <v>0</v>
      </c>
      <c r="AV881" s="55">
        <v>0</v>
      </c>
      <c r="AW881" s="55"/>
      <c r="AX881" s="55"/>
      <c r="AY881" s="56">
        <f t="shared" si="314"/>
        <v>0</v>
      </c>
      <c r="AZ881" s="55"/>
      <c r="BA881" s="56">
        <v>0</v>
      </c>
      <c r="BB881" s="41" t="str">
        <f t="shared" si="322"/>
        <v/>
      </c>
      <c r="BC881" s="13"/>
      <c r="BD881" s="35"/>
      <c r="BE881" s="7"/>
      <c r="BF881" s="16"/>
      <c r="BG881" s="17" t="str">
        <f t="shared" si="321"/>
        <v>0</v>
      </c>
      <c r="BH881" s="16">
        <f t="shared" si="327"/>
        <v>0</v>
      </c>
    </row>
    <row r="882" spans="1:60" ht="12.75" customHeight="1" x14ac:dyDescent="0.2">
      <c r="A882" s="51">
        <v>112004</v>
      </c>
      <c r="B882" s="51" t="s">
        <v>1077</v>
      </c>
      <c r="C882" s="66" t="s">
        <v>1803</v>
      </c>
      <c r="D882" s="52" t="s">
        <v>728</v>
      </c>
      <c r="E882" s="65" t="s">
        <v>780</v>
      </c>
      <c r="F882" s="53">
        <f>IFERROR(VLOOKUP(E882,Fornecedores!$A$2:$B$2700,2,FALSE),"")</f>
        <v>2</v>
      </c>
      <c r="G882" s="52" t="s">
        <v>689</v>
      </c>
      <c r="H882" s="57"/>
      <c r="I882" s="55">
        <f t="shared" si="323"/>
        <v>0</v>
      </c>
      <c r="J882" s="55">
        <v>0</v>
      </c>
      <c r="K882" s="55">
        <v>0</v>
      </c>
      <c r="L882" s="55">
        <v>0</v>
      </c>
      <c r="M882" s="55">
        <v>0</v>
      </c>
      <c r="N882" s="55">
        <f t="shared" si="324"/>
        <v>0</v>
      </c>
      <c r="O882" s="55">
        <v>0</v>
      </c>
      <c r="P882" s="55">
        <v>0</v>
      </c>
      <c r="Q882" s="55">
        <v>0</v>
      </c>
      <c r="R882" s="55">
        <f t="shared" si="325"/>
        <v>0</v>
      </c>
      <c r="S882" s="55">
        <v>0</v>
      </c>
      <c r="T882" s="55">
        <v>0</v>
      </c>
      <c r="U882" s="55">
        <v>0</v>
      </c>
      <c r="V882" s="55">
        <v>0</v>
      </c>
      <c r="W882" s="53">
        <v>0</v>
      </c>
      <c r="X882" s="53">
        <v>0</v>
      </c>
      <c r="Y882" s="55">
        <v>0</v>
      </c>
      <c r="Z882" s="55">
        <v>0</v>
      </c>
      <c r="AA882" s="53">
        <v>0</v>
      </c>
      <c r="AB882" s="53">
        <v>0</v>
      </c>
      <c r="AC882" s="55">
        <v>0</v>
      </c>
      <c r="AD882" s="55">
        <f t="shared" si="326"/>
        <v>0</v>
      </c>
      <c r="AE882" s="53">
        <v>0</v>
      </c>
      <c r="AF882" s="55">
        <v>0</v>
      </c>
      <c r="AG882" s="55">
        <v>0</v>
      </c>
      <c r="AH882" s="55">
        <f t="shared" si="319"/>
        <v>0</v>
      </c>
      <c r="AI882" s="55">
        <v>0</v>
      </c>
      <c r="AJ882" s="55">
        <v>0</v>
      </c>
      <c r="AK882" s="55">
        <v>0</v>
      </c>
      <c r="AL882" s="55">
        <f t="shared" si="320"/>
        <v>0</v>
      </c>
      <c r="AM882" s="55" t="s">
        <v>1912</v>
      </c>
      <c r="AN882" s="55">
        <v>0</v>
      </c>
      <c r="AO882" s="55">
        <v>0</v>
      </c>
      <c r="AP882" s="55">
        <f t="shared" si="308"/>
        <v>0</v>
      </c>
      <c r="AQ882" s="55">
        <f>IFERROR(VLOOKUP(A882,[1]SIIMPLES!$A$2:$F$418,6,FALSE),0)</f>
        <v>0</v>
      </c>
      <c r="AR882" s="55">
        <v>0</v>
      </c>
      <c r="AS882" s="55">
        <v>0</v>
      </c>
      <c r="AT882" s="55">
        <v>0</v>
      </c>
      <c r="AU882" s="55">
        <v>0</v>
      </c>
      <c r="AV882" s="55">
        <v>0</v>
      </c>
      <c r="AW882" s="55"/>
      <c r="AX882" s="55"/>
      <c r="AY882" s="56">
        <f t="shared" si="314"/>
        <v>0</v>
      </c>
      <c r="AZ882" s="55"/>
      <c r="BA882" s="56">
        <v>0.83333333333333337</v>
      </c>
      <c r="BB882" s="41">
        <f t="shared" si="322"/>
        <v>-1</v>
      </c>
      <c r="BC882" s="13"/>
      <c r="BD882" s="35"/>
      <c r="BE882" s="13"/>
      <c r="BF882" s="16"/>
      <c r="BG882" s="17" t="str">
        <f t="shared" si="321"/>
        <v>0</v>
      </c>
      <c r="BH882" s="16">
        <f t="shared" si="327"/>
        <v>0</v>
      </c>
    </row>
    <row r="883" spans="1:60" ht="12.75" customHeight="1" x14ac:dyDescent="0.2">
      <c r="A883" s="51">
        <v>112006</v>
      </c>
      <c r="B883" s="51" t="s">
        <v>1077</v>
      </c>
      <c r="C883" s="66" t="s">
        <v>1803</v>
      </c>
      <c r="D883" s="52" t="s">
        <v>728</v>
      </c>
      <c r="E883" s="65" t="s">
        <v>780</v>
      </c>
      <c r="F883" s="53">
        <f>IFERROR(VLOOKUP(E883,Fornecedores!$A$2:$B$2700,2,FALSE),"")</f>
        <v>2</v>
      </c>
      <c r="G883" s="52" t="s">
        <v>552</v>
      </c>
      <c r="H883" s="57"/>
      <c r="I883" s="55">
        <f t="shared" si="323"/>
        <v>0</v>
      </c>
      <c r="J883" s="55">
        <v>0</v>
      </c>
      <c r="K883" s="55">
        <v>0</v>
      </c>
      <c r="L883" s="55">
        <v>0</v>
      </c>
      <c r="M883" s="55">
        <v>0</v>
      </c>
      <c r="N883" s="55">
        <f t="shared" si="324"/>
        <v>0</v>
      </c>
      <c r="O883" s="55">
        <v>0</v>
      </c>
      <c r="P883" s="55">
        <v>0</v>
      </c>
      <c r="Q883" s="55">
        <v>0</v>
      </c>
      <c r="R883" s="55">
        <f t="shared" si="325"/>
        <v>0</v>
      </c>
      <c r="S883" s="55">
        <v>0</v>
      </c>
      <c r="T883" s="55">
        <v>0</v>
      </c>
      <c r="U883" s="55">
        <v>0</v>
      </c>
      <c r="V883" s="55">
        <v>0</v>
      </c>
      <c r="W883" s="53">
        <v>0</v>
      </c>
      <c r="X883" s="53">
        <v>0</v>
      </c>
      <c r="Y883" s="55">
        <v>0</v>
      </c>
      <c r="Z883" s="55">
        <v>0</v>
      </c>
      <c r="AA883" s="53">
        <v>0</v>
      </c>
      <c r="AB883" s="53">
        <v>0</v>
      </c>
      <c r="AC883" s="55">
        <v>0</v>
      </c>
      <c r="AD883" s="55">
        <f t="shared" si="326"/>
        <v>0</v>
      </c>
      <c r="AE883" s="53">
        <v>0</v>
      </c>
      <c r="AF883" s="55">
        <v>0</v>
      </c>
      <c r="AG883" s="55">
        <v>0</v>
      </c>
      <c r="AH883" s="55">
        <f t="shared" si="319"/>
        <v>0</v>
      </c>
      <c r="AI883" s="55">
        <v>0</v>
      </c>
      <c r="AJ883" s="55">
        <v>0</v>
      </c>
      <c r="AK883" s="55">
        <v>0</v>
      </c>
      <c r="AL883" s="55">
        <f t="shared" si="320"/>
        <v>0</v>
      </c>
      <c r="AM883" s="55" t="s">
        <v>1912</v>
      </c>
      <c r="AN883" s="55">
        <v>0</v>
      </c>
      <c r="AO883" s="55">
        <v>0</v>
      </c>
      <c r="AP883" s="55">
        <f t="shared" si="308"/>
        <v>0</v>
      </c>
      <c r="AQ883" s="55">
        <f>IFERROR(VLOOKUP(A883,[1]SIIMPLES!$A$2:$F$418,6,FALSE),0)</f>
        <v>0</v>
      </c>
      <c r="AR883" s="55">
        <v>0</v>
      </c>
      <c r="AS883" s="55">
        <v>0</v>
      </c>
      <c r="AT883" s="55">
        <v>0</v>
      </c>
      <c r="AU883" s="55">
        <v>0</v>
      </c>
      <c r="AV883" s="55">
        <v>0</v>
      </c>
      <c r="AW883" s="55"/>
      <c r="AX883" s="55"/>
      <c r="AY883" s="56">
        <f t="shared" si="314"/>
        <v>0</v>
      </c>
      <c r="AZ883" s="55"/>
      <c r="BA883" s="56">
        <v>0.33333333333333331</v>
      </c>
      <c r="BB883" s="41">
        <f t="shared" si="322"/>
        <v>-1</v>
      </c>
      <c r="BC883" s="13"/>
      <c r="BD883" s="35"/>
      <c r="BE883" s="13"/>
      <c r="BF883" s="16"/>
      <c r="BG883" s="17" t="str">
        <f t="shared" ref="BG883:BG914" si="328">IFERROR(BC883/AY883,"0")</f>
        <v>0</v>
      </c>
      <c r="BH883" s="16">
        <f t="shared" si="327"/>
        <v>0</v>
      </c>
    </row>
    <row r="884" spans="1:60" ht="12.75" customHeight="1" x14ac:dyDescent="0.2">
      <c r="A884" s="51">
        <v>112007</v>
      </c>
      <c r="B884" s="51" t="s">
        <v>1077</v>
      </c>
      <c r="C884" s="66" t="s">
        <v>1803</v>
      </c>
      <c r="D884" s="52" t="s">
        <v>728</v>
      </c>
      <c r="E884" s="65" t="s">
        <v>780</v>
      </c>
      <c r="F884" s="53">
        <f>IFERROR(VLOOKUP(E884,Fornecedores!$A$2:$B$2700,2,FALSE),"")</f>
        <v>2</v>
      </c>
      <c r="G884" s="52" t="s">
        <v>193</v>
      </c>
      <c r="H884" s="57"/>
      <c r="I884" s="55">
        <f t="shared" si="323"/>
        <v>0</v>
      </c>
      <c r="J884" s="55">
        <v>0</v>
      </c>
      <c r="K884" s="55">
        <v>0</v>
      </c>
      <c r="L884" s="55">
        <v>0</v>
      </c>
      <c r="M884" s="55">
        <v>0</v>
      </c>
      <c r="N884" s="55">
        <f t="shared" si="324"/>
        <v>0</v>
      </c>
      <c r="O884" s="55">
        <v>0</v>
      </c>
      <c r="P884" s="55">
        <v>0</v>
      </c>
      <c r="Q884" s="55">
        <v>0</v>
      </c>
      <c r="R884" s="55">
        <f t="shared" si="325"/>
        <v>0</v>
      </c>
      <c r="S884" s="55">
        <v>0</v>
      </c>
      <c r="T884" s="55">
        <v>0</v>
      </c>
      <c r="U884" s="55">
        <v>0</v>
      </c>
      <c r="V884" s="55">
        <v>0</v>
      </c>
      <c r="W884" s="53">
        <v>0</v>
      </c>
      <c r="X884" s="53">
        <v>0</v>
      </c>
      <c r="Y884" s="55">
        <v>0</v>
      </c>
      <c r="Z884" s="55">
        <v>0</v>
      </c>
      <c r="AA884" s="53">
        <v>0</v>
      </c>
      <c r="AB884" s="53">
        <v>0</v>
      </c>
      <c r="AC884" s="55">
        <v>0</v>
      </c>
      <c r="AD884" s="55">
        <f t="shared" si="326"/>
        <v>0</v>
      </c>
      <c r="AE884" s="53">
        <v>0</v>
      </c>
      <c r="AF884" s="55">
        <v>0</v>
      </c>
      <c r="AG884" s="55">
        <v>0</v>
      </c>
      <c r="AH884" s="55">
        <f t="shared" si="319"/>
        <v>0</v>
      </c>
      <c r="AI884" s="55">
        <v>0</v>
      </c>
      <c r="AJ884" s="55">
        <v>0</v>
      </c>
      <c r="AK884" s="55">
        <v>0</v>
      </c>
      <c r="AL884" s="55">
        <f t="shared" si="320"/>
        <v>0</v>
      </c>
      <c r="AM884" s="55" t="s">
        <v>1912</v>
      </c>
      <c r="AN884" s="55">
        <v>0</v>
      </c>
      <c r="AO884" s="55">
        <v>0</v>
      </c>
      <c r="AP884" s="55">
        <f t="shared" ref="AP884:AP947" si="329">SUM(AQ884:AR884)</f>
        <v>0</v>
      </c>
      <c r="AQ884" s="55">
        <f>IFERROR(VLOOKUP(A884,[1]SIIMPLES!$A$2:$F$418,6,FALSE),0)</f>
        <v>0</v>
      </c>
      <c r="AR884" s="55">
        <v>0</v>
      </c>
      <c r="AS884" s="55">
        <v>0</v>
      </c>
      <c r="AT884" s="55">
        <v>0</v>
      </c>
      <c r="AU884" s="55">
        <v>0</v>
      </c>
      <c r="AV884" s="55">
        <v>0</v>
      </c>
      <c r="AW884" s="55"/>
      <c r="AX884" s="55"/>
      <c r="AY884" s="56">
        <f t="shared" si="314"/>
        <v>0</v>
      </c>
      <c r="AZ884" s="55"/>
      <c r="BA884" s="56">
        <v>0.83333333333333337</v>
      </c>
      <c r="BB884" s="41">
        <f t="shared" si="322"/>
        <v>-1</v>
      </c>
      <c r="BC884" s="13"/>
      <c r="BD884" s="35"/>
      <c r="BE884" s="13"/>
      <c r="BF884" s="16"/>
      <c r="BG884" s="17" t="str">
        <f t="shared" si="328"/>
        <v>0</v>
      </c>
      <c r="BH884" s="16">
        <f t="shared" si="327"/>
        <v>0</v>
      </c>
    </row>
    <row r="885" spans="1:60" ht="12.75" customHeight="1" x14ac:dyDescent="0.2">
      <c r="A885" s="51">
        <v>112008</v>
      </c>
      <c r="B885" s="51" t="s">
        <v>1077</v>
      </c>
      <c r="C885" s="66" t="s">
        <v>1803</v>
      </c>
      <c r="D885" s="52" t="s">
        <v>728</v>
      </c>
      <c r="E885" s="65" t="s">
        <v>780</v>
      </c>
      <c r="F885" s="53">
        <f>IFERROR(VLOOKUP(E885,Fornecedores!$A$2:$B$2700,2,FALSE),"")</f>
        <v>2</v>
      </c>
      <c r="G885" s="52" t="s">
        <v>369</v>
      </c>
      <c r="H885" s="57"/>
      <c r="I885" s="55">
        <f t="shared" si="323"/>
        <v>0</v>
      </c>
      <c r="J885" s="55">
        <v>0</v>
      </c>
      <c r="K885" s="55">
        <v>0</v>
      </c>
      <c r="L885" s="55">
        <v>0</v>
      </c>
      <c r="M885" s="55">
        <v>0</v>
      </c>
      <c r="N885" s="55">
        <f t="shared" si="324"/>
        <v>0</v>
      </c>
      <c r="O885" s="55">
        <v>0</v>
      </c>
      <c r="P885" s="55">
        <v>0</v>
      </c>
      <c r="Q885" s="55">
        <v>0</v>
      </c>
      <c r="R885" s="55">
        <f t="shared" si="325"/>
        <v>0</v>
      </c>
      <c r="S885" s="55">
        <v>0</v>
      </c>
      <c r="T885" s="55">
        <v>0</v>
      </c>
      <c r="U885" s="55">
        <v>0</v>
      </c>
      <c r="V885" s="55">
        <v>0</v>
      </c>
      <c r="W885" s="53">
        <v>0</v>
      </c>
      <c r="X885" s="53">
        <v>0</v>
      </c>
      <c r="Y885" s="55">
        <v>0</v>
      </c>
      <c r="Z885" s="55">
        <v>0</v>
      </c>
      <c r="AA885" s="53">
        <v>0</v>
      </c>
      <c r="AB885" s="53">
        <v>0</v>
      </c>
      <c r="AC885" s="55">
        <v>0</v>
      </c>
      <c r="AD885" s="55">
        <f t="shared" si="326"/>
        <v>0</v>
      </c>
      <c r="AE885" s="53">
        <v>0</v>
      </c>
      <c r="AF885" s="55">
        <v>0</v>
      </c>
      <c r="AG885" s="55">
        <v>0</v>
      </c>
      <c r="AH885" s="55">
        <f t="shared" si="319"/>
        <v>0</v>
      </c>
      <c r="AI885" s="55">
        <v>0</v>
      </c>
      <c r="AJ885" s="55">
        <v>0</v>
      </c>
      <c r="AK885" s="55">
        <v>0</v>
      </c>
      <c r="AL885" s="55">
        <f t="shared" si="320"/>
        <v>0</v>
      </c>
      <c r="AM885" s="55" t="s">
        <v>1912</v>
      </c>
      <c r="AN885" s="55">
        <v>0</v>
      </c>
      <c r="AO885" s="55">
        <v>0</v>
      </c>
      <c r="AP885" s="55">
        <f t="shared" si="329"/>
        <v>0</v>
      </c>
      <c r="AQ885" s="55">
        <f>IFERROR(VLOOKUP(A885,[1]SIIMPLES!$A$2:$F$418,6,FALSE),0)</f>
        <v>0</v>
      </c>
      <c r="AR885" s="55">
        <v>0</v>
      </c>
      <c r="AS885" s="55">
        <v>0</v>
      </c>
      <c r="AT885" s="55">
        <v>0</v>
      </c>
      <c r="AU885" s="55">
        <v>0</v>
      </c>
      <c r="AV885" s="55">
        <v>0</v>
      </c>
      <c r="AW885" s="55"/>
      <c r="AX885" s="55"/>
      <c r="AY885" s="56">
        <f t="shared" si="314"/>
        <v>0</v>
      </c>
      <c r="AZ885" s="55"/>
      <c r="BA885" s="56">
        <v>0.16666666666666666</v>
      </c>
      <c r="BB885" s="41">
        <f t="shared" si="322"/>
        <v>-1</v>
      </c>
      <c r="BC885" s="13"/>
      <c r="BD885" s="35"/>
      <c r="BE885" s="7"/>
      <c r="BF885" s="16"/>
      <c r="BG885" s="17" t="str">
        <f t="shared" si="328"/>
        <v>0</v>
      </c>
      <c r="BH885" s="16">
        <f t="shared" si="327"/>
        <v>0</v>
      </c>
    </row>
    <row r="886" spans="1:60" ht="12.75" customHeight="1" x14ac:dyDescent="0.2">
      <c r="A886" s="51">
        <v>112009</v>
      </c>
      <c r="B886" s="51" t="s">
        <v>1077</v>
      </c>
      <c r="C886" s="66" t="s">
        <v>1803</v>
      </c>
      <c r="D886" s="52" t="s">
        <v>728</v>
      </c>
      <c r="E886" s="65" t="s">
        <v>780</v>
      </c>
      <c r="F886" s="53">
        <f>IFERROR(VLOOKUP(E886,Fornecedores!$A$2:$B$2700,2,FALSE),"")</f>
        <v>2</v>
      </c>
      <c r="G886" s="52" t="s">
        <v>557</v>
      </c>
      <c r="H886" s="57"/>
      <c r="I886" s="55">
        <f t="shared" si="323"/>
        <v>0</v>
      </c>
      <c r="J886" s="55">
        <v>0</v>
      </c>
      <c r="K886" s="55">
        <v>0</v>
      </c>
      <c r="L886" s="55">
        <v>0</v>
      </c>
      <c r="M886" s="55">
        <v>0</v>
      </c>
      <c r="N886" s="55">
        <f t="shared" si="324"/>
        <v>0</v>
      </c>
      <c r="O886" s="55">
        <v>0</v>
      </c>
      <c r="P886" s="55">
        <v>0</v>
      </c>
      <c r="Q886" s="55">
        <v>0</v>
      </c>
      <c r="R886" s="55">
        <f t="shared" si="325"/>
        <v>0</v>
      </c>
      <c r="S886" s="55">
        <v>0</v>
      </c>
      <c r="T886" s="55">
        <v>0</v>
      </c>
      <c r="U886" s="55">
        <v>0</v>
      </c>
      <c r="V886" s="55">
        <v>0</v>
      </c>
      <c r="W886" s="53">
        <v>0</v>
      </c>
      <c r="X886" s="53">
        <v>0</v>
      </c>
      <c r="Y886" s="55">
        <v>0</v>
      </c>
      <c r="Z886" s="55">
        <v>0</v>
      </c>
      <c r="AA886" s="53">
        <v>0</v>
      </c>
      <c r="AB886" s="53">
        <v>0</v>
      </c>
      <c r="AC886" s="55">
        <v>0</v>
      </c>
      <c r="AD886" s="55">
        <f t="shared" si="326"/>
        <v>0</v>
      </c>
      <c r="AE886" s="53">
        <v>0</v>
      </c>
      <c r="AF886" s="55">
        <v>0</v>
      </c>
      <c r="AG886" s="55">
        <v>0</v>
      </c>
      <c r="AH886" s="55">
        <f t="shared" si="319"/>
        <v>0</v>
      </c>
      <c r="AI886" s="55">
        <v>0</v>
      </c>
      <c r="AJ886" s="55">
        <v>0</v>
      </c>
      <c r="AK886" s="55">
        <v>0</v>
      </c>
      <c r="AL886" s="55">
        <f t="shared" si="320"/>
        <v>0</v>
      </c>
      <c r="AM886" s="55" t="s">
        <v>1912</v>
      </c>
      <c r="AN886" s="55">
        <v>0</v>
      </c>
      <c r="AO886" s="55">
        <v>0</v>
      </c>
      <c r="AP886" s="55">
        <f t="shared" si="329"/>
        <v>0</v>
      </c>
      <c r="AQ886" s="55">
        <f>IFERROR(VLOOKUP(A886,[1]SIIMPLES!$A$2:$F$418,6,FALSE),0)</f>
        <v>0</v>
      </c>
      <c r="AR886" s="55">
        <v>0</v>
      </c>
      <c r="AS886" s="55">
        <v>0</v>
      </c>
      <c r="AT886" s="55">
        <v>0</v>
      </c>
      <c r="AU886" s="55">
        <v>0</v>
      </c>
      <c r="AV886" s="55">
        <v>0</v>
      </c>
      <c r="AW886" s="55"/>
      <c r="AX886" s="55"/>
      <c r="AY886" s="56">
        <f t="shared" si="314"/>
        <v>0</v>
      </c>
      <c r="AZ886" s="55"/>
      <c r="BA886" s="56">
        <v>0.83333333333333337</v>
      </c>
      <c r="BB886" s="41">
        <f t="shared" si="322"/>
        <v>-1</v>
      </c>
      <c r="BC886" s="10"/>
      <c r="BD886" s="35"/>
      <c r="BE886" s="13"/>
      <c r="BF886" s="16">
        <f t="shared" ref="BF886:BF896" si="330">SUM(BC886:BE886)</f>
        <v>0</v>
      </c>
      <c r="BG886" s="17" t="str">
        <f t="shared" si="328"/>
        <v>0</v>
      </c>
      <c r="BH886" s="16">
        <f t="shared" si="327"/>
        <v>0</v>
      </c>
    </row>
    <row r="887" spans="1:60" ht="12.75" customHeight="1" x14ac:dyDescent="0.2">
      <c r="A887" s="51">
        <v>112017</v>
      </c>
      <c r="B887" s="51" t="s">
        <v>1077</v>
      </c>
      <c r="C887" s="66" t="s">
        <v>1803</v>
      </c>
      <c r="D887" s="52" t="s">
        <v>728</v>
      </c>
      <c r="E887" s="65" t="s">
        <v>780</v>
      </c>
      <c r="F887" s="53">
        <f>IFERROR(VLOOKUP(E887,Fornecedores!$A$2:$B$2700,2,FALSE),"")</f>
        <v>2</v>
      </c>
      <c r="G887" s="52" t="s">
        <v>1288</v>
      </c>
      <c r="H887" s="57"/>
      <c r="I887" s="55">
        <f t="shared" si="323"/>
        <v>0</v>
      </c>
      <c r="J887" s="55">
        <v>0</v>
      </c>
      <c r="K887" s="55">
        <v>0</v>
      </c>
      <c r="L887" s="55">
        <v>0</v>
      </c>
      <c r="M887" s="55">
        <v>0</v>
      </c>
      <c r="N887" s="55">
        <f t="shared" si="324"/>
        <v>0</v>
      </c>
      <c r="O887" s="55">
        <v>0</v>
      </c>
      <c r="P887" s="55">
        <v>0</v>
      </c>
      <c r="Q887" s="55">
        <v>0</v>
      </c>
      <c r="R887" s="55">
        <f t="shared" si="325"/>
        <v>0</v>
      </c>
      <c r="S887" s="55">
        <v>0</v>
      </c>
      <c r="T887" s="55">
        <v>0</v>
      </c>
      <c r="U887" s="55">
        <v>0</v>
      </c>
      <c r="V887" s="55">
        <v>1</v>
      </c>
      <c r="W887" s="53">
        <v>0</v>
      </c>
      <c r="X887" s="53">
        <v>1</v>
      </c>
      <c r="Y887" s="55">
        <v>0</v>
      </c>
      <c r="Z887" s="55">
        <v>0</v>
      </c>
      <c r="AA887" s="53">
        <v>0</v>
      </c>
      <c r="AB887" s="53">
        <v>0</v>
      </c>
      <c r="AC887" s="55">
        <v>0</v>
      </c>
      <c r="AD887" s="55">
        <f t="shared" si="326"/>
        <v>2</v>
      </c>
      <c r="AE887" s="53">
        <v>2</v>
      </c>
      <c r="AF887" s="55">
        <v>0</v>
      </c>
      <c r="AG887" s="55">
        <v>0</v>
      </c>
      <c r="AH887" s="55">
        <f t="shared" si="319"/>
        <v>0</v>
      </c>
      <c r="AI887" s="55">
        <v>0</v>
      </c>
      <c r="AJ887" s="55">
        <v>0</v>
      </c>
      <c r="AK887" s="55">
        <v>0</v>
      </c>
      <c r="AL887" s="55">
        <f t="shared" si="320"/>
        <v>0</v>
      </c>
      <c r="AM887" s="55" t="s">
        <v>1912</v>
      </c>
      <c r="AN887" s="55">
        <v>0</v>
      </c>
      <c r="AO887" s="55">
        <v>0</v>
      </c>
      <c r="AP887" s="55">
        <f t="shared" si="329"/>
        <v>0</v>
      </c>
      <c r="AQ887" s="55">
        <f>IFERROR(VLOOKUP(A887,[1]SIIMPLES!$A$2:$F$418,6,FALSE),0)</f>
        <v>0</v>
      </c>
      <c r="AR887" s="55">
        <v>0</v>
      </c>
      <c r="AS887" s="55">
        <v>0</v>
      </c>
      <c r="AT887" s="55">
        <v>0</v>
      </c>
      <c r="AU887" s="55">
        <v>0</v>
      </c>
      <c r="AV887" s="55">
        <v>0</v>
      </c>
      <c r="AW887" s="55"/>
      <c r="AX887" s="55"/>
      <c r="AY887" s="56">
        <f t="shared" ref="AY887:AY950" si="331">IFERROR(AVERAGE(I887,N887,R887,V887,Z887,AD887,AH887,AL887,AP887,AS887,AW887,AX887),"-")</f>
        <v>0.3</v>
      </c>
      <c r="AZ887" s="55"/>
      <c r="BA887" s="56">
        <v>0.5</v>
      </c>
      <c r="BB887" s="41">
        <f t="shared" si="322"/>
        <v>-0.4</v>
      </c>
      <c r="BC887" s="13"/>
      <c r="BD887" s="35"/>
      <c r="BE887" s="13"/>
      <c r="BF887" s="16">
        <f t="shared" si="330"/>
        <v>0</v>
      </c>
      <c r="BG887" s="17">
        <f t="shared" si="328"/>
        <v>0</v>
      </c>
      <c r="BH887" s="16">
        <f t="shared" si="327"/>
        <v>0.3</v>
      </c>
    </row>
    <row r="888" spans="1:60" ht="12.75" customHeight="1" x14ac:dyDescent="0.2">
      <c r="A888" s="51">
        <v>112048</v>
      </c>
      <c r="B888" s="51" t="s">
        <v>1086</v>
      </c>
      <c r="C888" s="66" t="s">
        <v>1803</v>
      </c>
      <c r="D888" s="52" t="s">
        <v>728</v>
      </c>
      <c r="E888" s="65" t="s">
        <v>780</v>
      </c>
      <c r="F888" s="53">
        <f>IFERROR(VLOOKUP(E888,Fornecedores!$A$2:$B$2700,2,FALSE),"")</f>
        <v>2</v>
      </c>
      <c r="G888" s="52">
        <f>VLOOKUP(A888,[2]CMV!$A$1:$F$2043,6,FALSE)</f>
        <v>0</v>
      </c>
      <c r="H888" s="57"/>
      <c r="I888" s="55">
        <f t="shared" si="323"/>
        <v>0</v>
      </c>
      <c r="J888" s="55">
        <v>0</v>
      </c>
      <c r="K888" s="55">
        <v>0</v>
      </c>
      <c r="L888" s="55">
        <v>0</v>
      </c>
      <c r="M888" s="55">
        <v>0</v>
      </c>
      <c r="N888" s="55">
        <f t="shared" si="324"/>
        <v>0</v>
      </c>
      <c r="O888" s="55">
        <v>0</v>
      </c>
      <c r="P888" s="55">
        <v>0</v>
      </c>
      <c r="Q888" s="55">
        <v>0</v>
      </c>
      <c r="R888" s="55">
        <f t="shared" si="325"/>
        <v>0</v>
      </c>
      <c r="S888" s="55">
        <v>0</v>
      </c>
      <c r="T888" s="55">
        <v>0</v>
      </c>
      <c r="U888" s="55">
        <v>0</v>
      </c>
      <c r="V888" s="55">
        <v>1</v>
      </c>
      <c r="W888" s="53">
        <v>0</v>
      </c>
      <c r="X888" s="53">
        <v>1</v>
      </c>
      <c r="Y888" s="55">
        <v>0</v>
      </c>
      <c r="Z888" s="55">
        <v>0</v>
      </c>
      <c r="AA888" s="53">
        <v>0</v>
      </c>
      <c r="AB888" s="53">
        <v>0</v>
      </c>
      <c r="AC888" s="55">
        <v>0</v>
      </c>
      <c r="AD888" s="55">
        <f t="shared" si="326"/>
        <v>0</v>
      </c>
      <c r="AE888" s="53">
        <v>0</v>
      </c>
      <c r="AF888" s="55">
        <v>0</v>
      </c>
      <c r="AG888" s="55">
        <v>0</v>
      </c>
      <c r="AH888" s="55">
        <f t="shared" si="319"/>
        <v>0</v>
      </c>
      <c r="AI888" s="55">
        <v>0</v>
      </c>
      <c r="AJ888" s="55">
        <v>0</v>
      </c>
      <c r="AK888" s="55">
        <v>0</v>
      </c>
      <c r="AL888" s="55">
        <f t="shared" si="320"/>
        <v>1</v>
      </c>
      <c r="AM888" s="55" t="s">
        <v>1912</v>
      </c>
      <c r="AN888" s="55">
        <v>1</v>
      </c>
      <c r="AO888" s="55">
        <v>0</v>
      </c>
      <c r="AP888" s="55">
        <f t="shared" si="329"/>
        <v>0</v>
      </c>
      <c r="AQ888" s="55">
        <f>IFERROR(VLOOKUP(A888,[1]SIIMPLES!$A$2:$F$418,6,FALSE),0)</f>
        <v>0</v>
      </c>
      <c r="AR888" s="55">
        <v>0</v>
      </c>
      <c r="AS888" s="55">
        <v>0</v>
      </c>
      <c r="AT888" s="55">
        <v>0</v>
      </c>
      <c r="AU888" s="55">
        <v>0</v>
      </c>
      <c r="AV888" s="55">
        <v>0</v>
      </c>
      <c r="AW888" s="55"/>
      <c r="AX888" s="55"/>
      <c r="AY888" s="56">
        <f t="shared" si="331"/>
        <v>0.2</v>
      </c>
      <c r="AZ888" s="55"/>
      <c r="BA888" s="56">
        <v>0</v>
      </c>
      <c r="BB888" s="41" t="str">
        <f t="shared" si="322"/>
        <v/>
      </c>
      <c r="BC888" s="13"/>
      <c r="BD888" s="35"/>
      <c r="BE888" s="13"/>
      <c r="BF888" s="16">
        <f t="shared" si="330"/>
        <v>0</v>
      </c>
      <c r="BG888" s="17">
        <f t="shared" si="328"/>
        <v>0</v>
      </c>
      <c r="BH888" s="16">
        <f t="shared" si="327"/>
        <v>0.2</v>
      </c>
    </row>
    <row r="889" spans="1:60" ht="12.75" customHeight="1" x14ac:dyDescent="0.2">
      <c r="A889" s="51">
        <v>112049</v>
      </c>
      <c r="B889" s="51" t="s">
        <v>1086</v>
      </c>
      <c r="C889" s="66" t="s">
        <v>1803</v>
      </c>
      <c r="D889" s="52" t="s">
        <v>728</v>
      </c>
      <c r="E889" s="65" t="s">
        <v>780</v>
      </c>
      <c r="F889" s="53">
        <f>IFERROR(VLOOKUP(E889,Fornecedores!$A$2:$B$2700,2,FALSE),"")</f>
        <v>2</v>
      </c>
      <c r="G889" s="52">
        <f>VLOOKUP(A889,[2]CMV!$A$1:$F$2043,6,FALSE)</f>
        <v>0</v>
      </c>
      <c r="H889" s="57"/>
      <c r="I889" s="55">
        <f t="shared" si="323"/>
        <v>0</v>
      </c>
      <c r="J889" s="55">
        <v>0</v>
      </c>
      <c r="K889" s="55">
        <v>0</v>
      </c>
      <c r="L889" s="55">
        <v>0</v>
      </c>
      <c r="M889" s="55">
        <v>0</v>
      </c>
      <c r="N889" s="55">
        <f t="shared" si="324"/>
        <v>0</v>
      </c>
      <c r="O889" s="55">
        <v>0</v>
      </c>
      <c r="P889" s="55">
        <v>0</v>
      </c>
      <c r="Q889" s="55">
        <v>0</v>
      </c>
      <c r="R889" s="55">
        <f t="shared" si="325"/>
        <v>0</v>
      </c>
      <c r="S889" s="55">
        <v>0</v>
      </c>
      <c r="T889" s="55">
        <v>0</v>
      </c>
      <c r="U889" s="55">
        <v>0</v>
      </c>
      <c r="V889" s="55">
        <v>1</v>
      </c>
      <c r="W889" s="53">
        <v>0</v>
      </c>
      <c r="X889" s="53">
        <v>1</v>
      </c>
      <c r="Y889" s="55">
        <v>0</v>
      </c>
      <c r="Z889" s="55">
        <v>0</v>
      </c>
      <c r="AA889" s="53">
        <v>0</v>
      </c>
      <c r="AB889" s="53">
        <v>0</v>
      </c>
      <c r="AC889" s="55">
        <v>0</v>
      </c>
      <c r="AD889" s="55">
        <f t="shared" si="326"/>
        <v>0</v>
      </c>
      <c r="AE889" s="53">
        <v>0</v>
      </c>
      <c r="AF889" s="55">
        <v>0</v>
      </c>
      <c r="AG889" s="55">
        <v>0</v>
      </c>
      <c r="AH889" s="55">
        <f t="shared" si="319"/>
        <v>0</v>
      </c>
      <c r="AI889" s="55">
        <v>0</v>
      </c>
      <c r="AJ889" s="55">
        <v>0</v>
      </c>
      <c r="AK889" s="55">
        <v>0</v>
      </c>
      <c r="AL889" s="55">
        <f t="shared" si="320"/>
        <v>1</v>
      </c>
      <c r="AM889" s="55" t="s">
        <v>1912</v>
      </c>
      <c r="AN889" s="55">
        <v>1</v>
      </c>
      <c r="AO889" s="55">
        <v>0</v>
      </c>
      <c r="AP889" s="55">
        <f t="shared" si="329"/>
        <v>0</v>
      </c>
      <c r="AQ889" s="55">
        <f>IFERROR(VLOOKUP(A889,[1]SIIMPLES!$A$2:$F$418,6,FALSE),0)</f>
        <v>0</v>
      </c>
      <c r="AR889" s="55">
        <v>0</v>
      </c>
      <c r="AS889" s="55">
        <v>0</v>
      </c>
      <c r="AT889" s="55">
        <v>0</v>
      </c>
      <c r="AU889" s="55">
        <v>0</v>
      </c>
      <c r="AV889" s="55">
        <v>0</v>
      </c>
      <c r="AW889" s="55"/>
      <c r="AX889" s="55"/>
      <c r="AY889" s="56">
        <f t="shared" si="331"/>
        <v>0.2</v>
      </c>
      <c r="AZ889" s="55"/>
      <c r="BA889" s="56">
        <v>0</v>
      </c>
      <c r="BB889" s="41" t="str">
        <f t="shared" si="322"/>
        <v/>
      </c>
      <c r="BC889" s="13"/>
      <c r="BD889" s="35"/>
      <c r="BE889" s="13"/>
      <c r="BF889" s="16">
        <f t="shared" si="330"/>
        <v>0</v>
      </c>
      <c r="BG889" s="17">
        <f t="shared" si="328"/>
        <v>0</v>
      </c>
      <c r="BH889" s="16">
        <f t="shared" si="327"/>
        <v>0.2</v>
      </c>
    </row>
    <row r="890" spans="1:60" ht="12.75" customHeight="1" x14ac:dyDescent="0.2">
      <c r="A890" s="51">
        <v>112062</v>
      </c>
      <c r="B890" s="51" t="s">
        <v>1077</v>
      </c>
      <c r="C890" s="66" t="s">
        <v>1803</v>
      </c>
      <c r="D890" s="52" t="s">
        <v>728</v>
      </c>
      <c r="E890" s="65" t="s">
        <v>780</v>
      </c>
      <c r="F890" s="53">
        <f>IFERROR(VLOOKUP(E890,Fornecedores!$A$2:$B$2700,2,FALSE),"")</f>
        <v>2</v>
      </c>
      <c r="G890" s="52" t="s">
        <v>67</v>
      </c>
      <c r="H890" s="57"/>
      <c r="I890" s="55">
        <f t="shared" si="323"/>
        <v>0</v>
      </c>
      <c r="J890" s="55">
        <v>0</v>
      </c>
      <c r="K890" s="55">
        <v>0</v>
      </c>
      <c r="L890" s="55">
        <v>0</v>
      </c>
      <c r="M890" s="55">
        <v>0</v>
      </c>
      <c r="N890" s="55">
        <f t="shared" si="324"/>
        <v>0</v>
      </c>
      <c r="O890" s="55">
        <v>0</v>
      </c>
      <c r="P890" s="55">
        <v>0</v>
      </c>
      <c r="Q890" s="55">
        <v>0</v>
      </c>
      <c r="R890" s="55">
        <f t="shared" si="325"/>
        <v>0</v>
      </c>
      <c r="S890" s="55">
        <v>0</v>
      </c>
      <c r="T890" s="55">
        <v>0</v>
      </c>
      <c r="U890" s="55">
        <v>0</v>
      </c>
      <c r="V890" s="55">
        <v>0</v>
      </c>
      <c r="W890" s="53">
        <v>0</v>
      </c>
      <c r="X890" s="53">
        <v>0</v>
      </c>
      <c r="Y890" s="55">
        <v>0</v>
      </c>
      <c r="Z890" s="55">
        <v>0</v>
      </c>
      <c r="AA890" s="53">
        <v>0</v>
      </c>
      <c r="AB890" s="53">
        <v>0</v>
      </c>
      <c r="AC890" s="55">
        <v>0</v>
      </c>
      <c r="AD890" s="55">
        <f t="shared" si="326"/>
        <v>0</v>
      </c>
      <c r="AE890" s="53">
        <v>0</v>
      </c>
      <c r="AF890" s="55">
        <v>0</v>
      </c>
      <c r="AG890" s="55">
        <v>0</v>
      </c>
      <c r="AH890" s="55">
        <f t="shared" si="319"/>
        <v>0</v>
      </c>
      <c r="AI890" s="55">
        <v>0</v>
      </c>
      <c r="AJ890" s="55">
        <v>0</v>
      </c>
      <c r="AK890" s="55">
        <v>0</v>
      </c>
      <c r="AL890" s="55">
        <f t="shared" si="320"/>
        <v>0</v>
      </c>
      <c r="AM890" s="55" t="s">
        <v>1912</v>
      </c>
      <c r="AN890" s="55">
        <v>0</v>
      </c>
      <c r="AO890" s="55">
        <v>0</v>
      </c>
      <c r="AP890" s="55">
        <f t="shared" si="329"/>
        <v>0</v>
      </c>
      <c r="AQ890" s="55">
        <f>IFERROR(VLOOKUP(A890,[1]SIIMPLES!$A$2:$F$418,6,FALSE),0)</f>
        <v>0</v>
      </c>
      <c r="AR890" s="55">
        <v>0</v>
      </c>
      <c r="AS890" s="55">
        <v>0</v>
      </c>
      <c r="AT890" s="55">
        <v>0</v>
      </c>
      <c r="AU890" s="55">
        <v>0</v>
      </c>
      <c r="AV890" s="55">
        <v>0</v>
      </c>
      <c r="AW890" s="55"/>
      <c r="AX890" s="55"/>
      <c r="AY890" s="56">
        <f t="shared" si="331"/>
        <v>0</v>
      </c>
      <c r="AZ890" s="55"/>
      <c r="BA890" s="56">
        <v>0</v>
      </c>
      <c r="BB890" s="41" t="str">
        <f t="shared" si="322"/>
        <v/>
      </c>
      <c r="BC890" s="13"/>
      <c r="BD890" s="35"/>
      <c r="BE890" s="13"/>
      <c r="BF890" s="16">
        <f t="shared" si="330"/>
        <v>0</v>
      </c>
      <c r="BG890" s="17" t="str">
        <f t="shared" si="328"/>
        <v>0</v>
      </c>
      <c r="BH890" s="16">
        <f t="shared" si="327"/>
        <v>0</v>
      </c>
    </row>
    <row r="891" spans="1:60" ht="12.75" customHeight="1" x14ac:dyDescent="0.2">
      <c r="A891" s="51">
        <v>112063</v>
      </c>
      <c r="B891" s="51" t="s">
        <v>1077</v>
      </c>
      <c r="C891" s="66" t="s">
        <v>1803</v>
      </c>
      <c r="D891" s="52" t="s">
        <v>728</v>
      </c>
      <c r="E891" s="65" t="s">
        <v>780</v>
      </c>
      <c r="F891" s="53">
        <f>IFERROR(VLOOKUP(E891,Fornecedores!$A$2:$B$2700,2,FALSE),"")</f>
        <v>2</v>
      </c>
      <c r="G891" s="52" t="s">
        <v>85</v>
      </c>
      <c r="H891" s="57"/>
      <c r="I891" s="55">
        <f t="shared" si="323"/>
        <v>0</v>
      </c>
      <c r="J891" s="55">
        <v>0</v>
      </c>
      <c r="K891" s="55">
        <v>0</v>
      </c>
      <c r="L891" s="55">
        <v>0</v>
      </c>
      <c r="M891" s="55">
        <v>0</v>
      </c>
      <c r="N891" s="55">
        <f t="shared" si="324"/>
        <v>0</v>
      </c>
      <c r="O891" s="55">
        <v>0</v>
      </c>
      <c r="P891" s="55">
        <v>0</v>
      </c>
      <c r="Q891" s="55">
        <v>0</v>
      </c>
      <c r="R891" s="55">
        <f t="shared" si="325"/>
        <v>0</v>
      </c>
      <c r="S891" s="55">
        <v>0</v>
      </c>
      <c r="T891" s="55">
        <v>0</v>
      </c>
      <c r="U891" s="55">
        <v>0</v>
      </c>
      <c r="V891" s="55">
        <v>0</v>
      </c>
      <c r="W891" s="53">
        <v>0</v>
      </c>
      <c r="X891" s="53">
        <v>0</v>
      </c>
      <c r="Y891" s="55">
        <v>0</v>
      </c>
      <c r="Z891" s="55">
        <v>0</v>
      </c>
      <c r="AA891" s="53">
        <v>0</v>
      </c>
      <c r="AB891" s="53">
        <v>0</v>
      </c>
      <c r="AC891" s="55">
        <v>0</v>
      </c>
      <c r="AD891" s="55">
        <f t="shared" si="326"/>
        <v>0</v>
      </c>
      <c r="AE891" s="53">
        <v>0</v>
      </c>
      <c r="AF891" s="55">
        <v>0</v>
      </c>
      <c r="AG891" s="55">
        <v>0</v>
      </c>
      <c r="AH891" s="55">
        <f t="shared" si="319"/>
        <v>0</v>
      </c>
      <c r="AI891" s="55">
        <v>0</v>
      </c>
      <c r="AJ891" s="55">
        <v>0</v>
      </c>
      <c r="AK891" s="55">
        <v>0</v>
      </c>
      <c r="AL891" s="55">
        <f t="shared" si="320"/>
        <v>0</v>
      </c>
      <c r="AM891" s="55" t="s">
        <v>1912</v>
      </c>
      <c r="AN891" s="55">
        <v>0</v>
      </c>
      <c r="AO891" s="55">
        <v>0</v>
      </c>
      <c r="AP891" s="55">
        <f t="shared" si="329"/>
        <v>0</v>
      </c>
      <c r="AQ891" s="55">
        <f>IFERROR(VLOOKUP(A891,[1]SIIMPLES!$A$2:$F$418,6,FALSE),0)</f>
        <v>0</v>
      </c>
      <c r="AR891" s="55">
        <v>0</v>
      </c>
      <c r="AS891" s="55">
        <v>0</v>
      </c>
      <c r="AT891" s="55">
        <v>0</v>
      </c>
      <c r="AU891" s="55">
        <v>0</v>
      </c>
      <c r="AV891" s="55">
        <v>0</v>
      </c>
      <c r="AW891" s="55"/>
      <c r="AX891" s="55"/>
      <c r="AY891" s="56">
        <f t="shared" si="331"/>
        <v>0</v>
      </c>
      <c r="AZ891" s="55"/>
      <c r="BA891" s="56">
        <v>0</v>
      </c>
      <c r="BB891" s="41" t="str">
        <f t="shared" si="322"/>
        <v/>
      </c>
      <c r="BC891" s="13"/>
      <c r="BD891" s="35"/>
      <c r="BE891" s="13"/>
      <c r="BF891" s="16">
        <f t="shared" si="330"/>
        <v>0</v>
      </c>
      <c r="BG891" s="17" t="str">
        <f t="shared" si="328"/>
        <v>0</v>
      </c>
      <c r="BH891" s="16">
        <f t="shared" si="327"/>
        <v>0</v>
      </c>
    </row>
    <row r="892" spans="1:60" ht="12.75" customHeight="1" x14ac:dyDescent="0.2">
      <c r="A892" s="51">
        <v>112064</v>
      </c>
      <c r="B892" s="51"/>
      <c r="C892" s="66" t="s">
        <v>1803</v>
      </c>
      <c r="D892" s="52" t="s">
        <v>728</v>
      </c>
      <c r="E892" s="65" t="s">
        <v>780</v>
      </c>
      <c r="F892" s="53">
        <f>IFERROR(VLOOKUP(E892,Fornecedores!$A$2:$B$2700,2,FALSE),"")</f>
        <v>2</v>
      </c>
      <c r="G892" s="52" t="s">
        <v>1289</v>
      </c>
      <c r="H892" s="57"/>
      <c r="I892" s="55">
        <f t="shared" si="323"/>
        <v>0</v>
      </c>
      <c r="J892" s="55">
        <v>0</v>
      </c>
      <c r="K892" s="55">
        <v>0</v>
      </c>
      <c r="L892" s="55">
        <v>0</v>
      </c>
      <c r="M892" s="55">
        <v>0</v>
      </c>
      <c r="N892" s="55">
        <f t="shared" si="324"/>
        <v>0</v>
      </c>
      <c r="O892" s="55">
        <v>0</v>
      </c>
      <c r="P892" s="55">
        <v>0</v>
      </c>
      <c r="Q892" s="55">
        <v>0</v>
      </c>
      <c r="R892" s="55">
        <f t="shared" si="325"/>
        <v>1</v>
      </c>
      <c r="S892" s="55">
        <v>0</v>
      </c>
      <c r="T892" s="55">
        <v>1</v>
      </c>
      <c r="U892" s="55">
        <v>0</v>
      </c>
      <c r="V892" s="55">
        <v>1</v>
      </c>
      <c r="W892" s="53">
        <v>0</v>
      </c>
      <c r="X892" s="53">
        <v>1</v>
      </c>
      <c r="Y892" s="55">
        <v>0</v>
      </c>
      <c r="Z892" s="55">
        <v>0</v>
      </c>
      <c r="AA892" s="53">
        <v>0</v>
      </c>
      <c r="AB892" s="53">
        <v>0</v>
      </c>
      <c r="AC892" s="55">
        <v>0</v>
      </c>
      <c r="AD892" s="55">
        <f t="shared" si="326"/>
        <v>1</v>
      </c>
      <c r="AE892" s="53">
        <v>0</v>
      </c>
      <c r="AF892" s="55">
        <v>1</v>
      </c>
      <c r="AG892" s="55">
        <v>0</v>
      </c>
      <c r="AH892" s="55">
        <f t="shared" si="319"/>
        <v>0</v>
      </c>
      <c r="AI892" s="55">
        <v>0</v>
      </c>
      <c r="AJ892" s="55">
        <v>0</v>
      </c>
      <c r="AK892" s="55">
        <v>0</v>
      </c>
      <c r="AL892" s="55">
        <f t="shared" si="320"/>
        <v>0</v>
      </c>
      <c r="AM892" s="55" t="s">
        <v>1912</v>
      </c>
      <c r="AN892" s="55">
        <v>0</v>
      </c>
      <c r="AO892" s="55">
        <v>0</v>
      </c>
      <c r="AP892" s="55">
        <f t="shared" si="329"/>
        <v>0</v>
      </c>
      <c r="AQ892" s="55">
        <f>IFERROR(VLOOKUP(A892,[1]SIIMPLES!$A$2:$F$418,6,FALSE),0)</f>
        <v>0</v>
      </c>
      <c r="AR892" s="55">
        <v>0</v>
      </c>
      <c r="AS892" s="55">
        <v>0</v>
      </c>
      <c r="AT892" s="55">
        <v>0</v>
      </c>
      <c r="AU892" s="55">
        <v>0</v>
      </c>
      <c r="AV892" s="55">
        <v>0</v>
      </c>
      <c r="AW892" s="55"/>
      <c r="AX892" s="55"/>
      <c r="AY892" s="56">
        <f t="shared" si="331"/>
        <v>0.3</v>
      </c>
      <c r="AZ892" s="55"/>
      <c r="BA892" s="56">
        <v>0</v>
      </c>
      <c r="BB892" s="41" t="str">
        <f t="shared" si="322"/>
        <v/>
      </c>
      <c r="BC892" s="13"/>
      <c r="BD892" s="35"/>
      <c r="BE892" s="13"/>
      <c r="BF892" s="16">
        <f t="shared" si="330"/>
        <v>0</v>
      </c>
      <c r="BG892" s="17">
        <f t="shared" si="328"/>
        <v>0</v>
      </c>
      <c r="BH892" s="16">
        <f>ROUND(IFERROR(IF(F892=1,IF(BC892&lt;AY892*3,AY892*3-BC892,0),IF(BC892&lt;AY892,AY892*0.6-BC892,0)),""),0)</f>
        <v>0</v>
      </c>
    </row>
    <row r="893" spans="1:60" ht="12.75" customHeight="1" x14ac:dyDescent="0.2">
      <c r="A893" s="51">
        <v>112065</v>
      </c>
      <c r="B893" s="51"/>
      <c r="C893" s="66" t="s">
        <v>1803</v>
      </c>
      <c r="D893" s="52" t="s">
        <v>728</v>
      </c>
      <c r="E893" s="65" t="s">
        <v>780</v>
      </c>
      <c r="F893" s="53">
        <f>IFERROR(VLOOKUP(E893,Fornecedores!$A$2:$B$2700,2,FALSE),"")</f>
        <v>2</v>
      </c>
      <c r="G893" s="52" t="s">
        <v>1290</v>
      </c>
      <c r="H893" s="57"/>
      <c r="I893" s="55">
        <f t="shared" si="323"/>
        <v>0</v>
      </c>
      <c r="J893" s="55">
        <v>0</v>
      </c>
      <c r="K893" s="55">
        <v>0</v>
      </c>
      <c r="L893" s="55">
        <v>0</v>
      </c>
      <c r="M893" s="55">
        <v>0</v>
      </c>
      <c r="N893" s="55">
        <f t="shared" si="324"/>
        <v>0</v>
      </c>
      <c r="O893" s="55">
        <v>0</v>
      </c>
      <c r="P893" s="55">
        <v>0</v>
      </c>
      <c r="Q893" s="55">
        <v>0</v>
      </c>
      <c r="R893" s="55">
        <f t="shared" si="325"/>
        <v>1</v>
      </c>
      <c r="S893" s="55">
        <v>0</v>
      </c>
      <c r="T893" s="55">
        <v>1</v>
      </c>
      <c r="U893" s="55">
        <v>0</v>
      </c>
      <c r="V893" s="55">
        <v>1</v>
      </c>
      <c r="W893" s="53">
        <v>0</v>
      </c>
      <c r="X893" s="53">
        <v>1</v>
      </c>
      <c r="Y893" s="55">
        <v>0</v>
      </c>
      <c r="Z893" s="55">
        <v>0</v>
      </c>
      <c r="AA893" s="53">
        <v>0</v>
      </c>
      <c r="AB893" s="53">
        <v>0</v>
      </c>
      <c r="AC893" s="55">
        <v>0</v>
      </c>
      <c r="AD893" s="55">
        <f t="shared" si="326"/>
        <v>1</v>
      </c>
      <c r="AE893" s="53">
        <v>0</v>
      </c>
      <c r="AF893" s="55">
        <v>1</v>
      </c>
      <c r="AG893" s="55">
        <v>0</v>
      </c>
      <c r="AH893" s="55">
        <f t="shared" si="319"/>
        <v>0</v>
      </c>
      <c r="AI893" s="55">
        <v>0</v>
      </c>
      <c r="AJ893" s="55">
        <v>0</v>
      </c>
      <c r="AK893" s="55">
        <v>0</v>
      </c>
      <c r="AL893" s="55">
        <f t="shared" si="320"/>
        <v>0</v>
      </c>
      <c r="AM893" s="55" t="s">
        <v>1912</v>
      </c>
      <c r="AN893" s="55">
        <v>0</v>
      </c>
      <c r="AO893" s="55">
        <v>0</v>
      </c>
      <c r="AP893" s="55">
        <f t="shared" si="329"/>
        <v>0</v>
      </c>
      <c r="AQ893" s="55">
        <f>IFERROR(VLOOKUP(A893,[1]SIIMPLES!$A$2:$F$418,6,FALSE),0)</f>
        <v>0</v>
      </c>
      <c r="AR893" s="55">
        <v>0</v>
      </c>
      <c r="AS893" s="55">
        <v>0</v>
      </c>
      <c r="AT893" s="55">
        <v>0</v>
      </c>
      <c r="AU893" s="55">
        <v>0</v>
      </c>
      <c r="AV893" s="55">
        <v>0</v>
      </c>
      <c r="AW893" s="55"/>
      <c r="AX893" s="55"/>
      <c r="AY893" s="56">
        <f t="shared" si="331"/>
        <v>0.3</v>
      </c>
      <c r="AZ893" s="55"/>
      <c r="BA893" s="56">
        <v>0</v>
      </c>
      <c r="BB893" s="41" t="str">
        <f t="shared" si="322"/>
        <v/>
      </c>
      <c r="BC893" s="13"/>
      <c r="BD893" s="35"/>
      <c r="BE893" s="13"/>
      <c r="BF893" s="16">
        <f t="shared" si="330"/>
        <v>0</v>
      </c>
      <c r="BG893" s="17">
        <f t="shared" si="328"/>
        <v>0</v>
      </c>
      <c r="BH893" s="16">
        <f t="shared" ref="BH893:BH924" si="332">IFERROR(IF(F893=1,IF(BC893&lt;AY893*3,AY893*3-BC893,0),IF(BC893&lt;AY893,AY893-BC893,0)),"")</f>
        <v>0.3</v>
      </c>
    </row>
    <row r="894" spans="1:60" ht="12.75" customHeight="1" x14ac:dyDescent="0.2">
      <c r="A894" s="51">
        <v>112100</v>
      </c>
      <c r="B894" s="51" t="s">
        <v>1077</v>
      </c>
      <c r="C894" s="66" t="s">
        <v>1803</v>
      </c>
      <c r="D894" s="52" t="s">
        <v>728</v>
      </c>
      <c r="E894" s="65" t="s">
        <v>780</v>
      </c>
      <c r="F894" s="53">
        <f>IFERROR(VLOOKUP(E894,Fornecedores!$A$2:$B$2700,2,FALSE),"")</f>
        <v>2</v>
      </c>
      <c r="G894" s="52" t="s">
        <v>667</v>
      </c>
      <c r="H894" s="57"/>
      <c r="I894" s="55">
        <f t="shared" si="323"/>
        <v>0</v>
      </c>
      <c r="J894" s="55">
        <v>0</v>
      </c>
      <c r="K894" s="55">
        <v>0</v>
      </c>
      <c r="L894" s="55">
        <v>0</v>
      </c>
      <c r="M894" s="55">
        <v>0</v>
      </c>
      <c r="N894" s="55">
        <f t="shared" si="324"/>
        <v>0</v>
      </c>
      <c r="O894" s="55">
        <v>0</v>
      </c>
      <c r="P894" s="55">
        <v>0</v>
      </c>
      <c r="Q894" s="55">
        <v>0</v>
      </c>
      <c r="R894" s="55">
        <f t="shared" si="325"/>
        <v>0</v>
      </c>
      <c r="S894" s="55">
        <v>0</v>
      </c>
      <c r="T894" s="55">
        <v>0</v>
      </c>
      <c r="U894" s="55">
        <v>0</v>
      </c>
      <c r="V894" s="55">
        <v>1</v>
      </c>
      <c r="W894" s="53">
        <v>1</v>
      </c>
      <c r="X894" s="53">
        <v>0</v>
      </c>
      <c r="Y894" s="55">
        <v>0</v>
      </c>
      <c r="Z894" s="55">
        <v>0</v>
      </c>
      <c r="AA894" s="53">
        <v>0</v>
      </c>
      <c r="AB894" s="53">
        <v>0</v>
      </c>
      <c r="AC894" s="55">
        <v>0</v>
      </c>
      <c r="AD894" s="55">
        <f t="shared" si="326"/>
        <v>0</v>
      </c>
      <c r="AE894" s="53">
        <v>0</v>
      </c>
      <c r="AF894" s="55">
        <v>0</v>
      </c>
      <c r="AG894" s="55">
        <v>0</v>
      </c>
      <c r="AH894" s="55">
        <f t="shared" si="319"/>
        <v>0</v>
      </c>
      <c r="AI894" s="55">
        <v>0</v>
      </c>
      <c r="AJ894" s="55">
        <v>0</v>
      </c>
      <c r="AK894" s="55">
        <v>0</v>
      </c>
      <c r="AL894" s="55">
        <f t="shared" si="320"/>
        <v>0</v>
      </c>
      <c r="AM894" s="55" t="s">
        <v>1912</v>
      </c>
      <c r="AN894" s="55">
        <v>0</v>
      </c>
      <c r="AO894" s="55">
        <v>0</v>
      </c>
      <c r="AP894" s="55">
        <f t="shared" si="329"/>
        <v>0</v>
      </c>
      <c r="AQ894" s="55">
        <f>IFERROR(VLOOKUP(A894,[1]SIIMPLES!$A$2:$F$418,6,FALSE),0)</f>
        <v>0</v>
      </c>
      <c r="AR894" s="55">
        <v>0</v>
      </c>
      <c r="AS894" s="55">
        <v>0</v>
      </c>
      <c r="AT894" s="55">
        <v>0</v>
      </c>
      <c r="AU894" s="55">
        <v>0</v>
      </c>
      <c r="AV894" s="55">
        <v>0</v>
      </c>
      <c r="AW894" s="55"/>
      <c r="AX894" s="55"/>
      <c r="AY894" s="56">
        <f t="shared" si="331"/>
        <v>0.1</v>
      </c>
      <c r="AZ894" s="55"/>
      <c r="BA894" s="56">
        <v>0.16666666666666666</v>
      </c>
      <c r="BB894" s="41">
        <f t="shared" si="322"/>
        <v>-0.39999999999999991</v>
      </c>
      <c r="BC894" s="13"/>
      <c r="BD894" s="35"/>
      <c r="BE894" s="13"/>
      <c r="BF894" s="16">
        <f t="shared" si="330"/>
        <v>0</v>
      </c>
      <c r="BG894" s="17">
        <f t="shared" si="328"/>
        <v>0</v>
      </c>
      <c r="BH894" s="16">
        <f t="shared" si="332"/>
        <v>0.1</v>
      </c>
    </row>
    <row r="895" spans="1:60" ht="12.75" customHeight="1" x14ac:dyDescent="0.2">
      <c r="A895" s="51">
        <v>112104</v>
      </c>
      <c r="B895" s="51"/>
      <c r="C895" s="66" t="s">
        <v>1803</v>
      </c>
      <c r="D895" s="52" t="s">
        <v>728</v>
      </c>
      <c r="E895" s="65" t="str">
        <f>VLOOKUP(A895,[3]CMV!$A$1:$E$1988,5,FALSE)</f>
        <v>SPARE</v>
      </c>
      <c r="F895" s="53"/>
      <c r="G895" s="52" t="s">
        <v>1889</v>
      </c>
      <c r="H895" s="57"/>
      <c r="I895" s="55">
        <f t="shared" si="323"/>
        <v>0</v>
      </c>
      <c r="J895" s="55">
        <v>0</v>
      </c>
      <c r="K895" s="55">
        <v>0</v>
      </c>
      <c r="L895" s="55">
        <v>0</v>
      </c>
      <c r="M895" s="55">
        <v>0</v>
      </c>
      <c r="N895" s="55">
        <f t="shared" si="324"/>
        <v>0</v>
      </c>
      <c r="O895" s="57"/>
      <c r="P895" s="57"/>
      <c r="Q895" s="57"/>
      <c r="R895" s="55">
        <f t="shared" si="325"/>
        <v>0</v>
      </c>
      <c r="S895" s="57"/>
      <c r="T895" s="57"/>
      <c r="U895" s="57"/>
      <c r="V895" s="55">
        <v>1</v>
      </c>
      <c r="W895" s="57"/>
      <c r="X895" s="53">
        <v>0</v>
      </c>
      <c r="Y895" s="55">
        <v>1</v>
      </c>
      <c r="Z895" s="55">
        <v>0</v>
      </c>
      <c r="AA895" s="53">
        <v>0</v>
      </c>
      <c r="AB895" s="53">
        <v>0</v>
      </c>
      <c r="AC895" s="55">
        <v>0</v>
      </c>
      <c r="AD895" s="55">
        <f t="shared" si="326"/>
        <v>0</v>
      </c>
      <c r="AE895" s="53">
        <v>0</v>
      </c>
      <c r="AF895" s="55">
        <v>0</v>
      </c>
      <c r="AG895" s="55">
        <v>0</v>
      </c>
      <c r="AH895" s="55">
        <f t="shared" si="319"/>
        <v>0</v>
      </c>
      <c r="AI895" s="55">
        <v>0</v>
      </c>
      <c r="AJ895" s="55">
        <v>0</v>
      </c>
      <c r="AK895" s="55">
        <v>0</v>
      </c>
      <c r="AL895" s="55">
        <f t="shared" si="320"/>
        <v>0</v>
      </c>
      <c r="AM895" s="55" t="s">
        <v>1912</v>
      </c>
      <c r="AN895" s="55">
        <v>0</v>
      </c>
      <c r="AO895" s="55">
        <v>0</v>
      </c>
      <c r="AP895" s="55">
        <f t="shared" si="329"/>
        <v>0</v>
      </c>
      <c r="AQ895" s="55">
        <f>IFERROR(VLOOKUP(A895,[1]SIIMPLES!$A$2:$F$418,6,FALSE),0)</f>
        <v>0</v>
      </c>
      <c r="AR895" s="55">
        <v>0</v>
      </c>
      <c r="AS895" s="55">
        <v>0</v>
      </c>
      <c r="AT895" s="55">
        <v>0</v>
      </c>
      <c r="AU895" s="55">
        <v>0</v>
      </c>
      <c r="AV895" s="55">
        <v>0</v>
      </c>
      <c r="AW895" s="57"/>
      <c r="AX895" s="57"/>
      <c r="AY895" s="56">
        <f t="shared" si="331"/>
        <v>0.1</v>
      </c>
      <c r="AZ895" s="57"/>
      <c r="BA895" s="56" t="s">
        <v>1912</v>
      </c>
      <c r="BB895" s="41" t="str">
        <f t="shared" si="322"/>
        <v/>
      </c>
      <c r="BC895" s="13"/>
      <c r="BD895" s="35"/>
      <c r="BE895" s="13"/>
      <c r="BF895" s="16">
        <f t="shared" si="330"/>
        <v>0</v>
      </c>
      <c r="BG895" s="17">
        <f t="shared" si="328"/>
        <v>0</v>
      </c>
      <c r="BH895" s="16">
        <f t="shared" si="332"/>
        <v>0.1</v>
      </c>
    </row>
    <row r="896" spans="1:60" ht="12.75" customHeight="1" x14ac:dyDescent="0.2">
      <c r="A896" s="51">
        <v>112105</v>
      </c>
      <c r="B896" s="51"/>
      <c r="C896" s="66" t="s">
        <v>1803</v>
      </c>
      <c r="D896" s="52" t="s">
        <v>728</v>
      </c>
      <c r="E896" s="65" t="str">
        <f>VLOOKUP(A896,[3]CMV!$A$1:$E$1988,5,FALSE)</f>
        <v>SPARE</v>
      </c>
      <c r="F896" s="53"/>
      <c r="G896" s="52" t="s">
        <v>1890</v>
      </c>
      <c r="H896" s="57"/>
      <c r="I896" s="55">
        <f t="shared" si="323"/>
        <v>0</v>
      </c>
      <c r="J896" s="55">
        <v>0</v>
      </c>
      <c r="K896" s="55">
        <v>0</v>
      </c>
      <c r="L896" s="55">
        <v>0</v>
      </c>
      <c r="M896" s="55">
        <v>0</v>
      </c>
      <c r="N896" s="55">
        <f t="shared" si="324"/>
        <v>0</v>
      </c>
      <c r="O896" s="57"/>
      <c r="P896" s="57"/>
      <c r="Q896" s="57"/>
      <c r="R896" s="55">
        <f t="shared" si="325"/>
        <v>0</v>
      </c>
      <c r="S896" s="57"/>
      <c r="T896" s="57"/>
      <c r="U896" s="57"/>
      <c r="V896" s="55">
        <v>1</v>
      </c>
      <c r="W896" s="57"/>
      <c r="X896" s="53">
        <v>0</v>
      </c>
      <c r="Y896" s="55">
        <v>1</v>
      </c>
      <c r="Z896" s="55">
        <v>0</v>
      </c>
      <c r="AA896" s="53">
        <v>0</v>
      </c>
      <c r="AB896" s="53">
        <v>0</v>
      </c>
      <c r="AC896" s="55">
        <v>0</v>
      </c>
      <c r="AD896" s="55">
        <f t="shared" si="326"/>
        <v>0</v>
      </c>
      <c r="AE896" s="53">
        <v>0</v>
      </c>
      <c r="AF896" s="55">
        <v>0</v>
      </c>
      <c r="AG896" s="55">
        <v>0</v>
      </c>
      <c r="AH896" s="55">
        <f t="shared" si="319"/>
        <v>0</v>
      </c>
      <c r="AI896" s="55">
        <v>0</v>
      </c>
      <c r="AJ896" s="55">
        <v>0</v>
      </c>
      <c r="AK896" s="55">
        <v>0</v>
      </c>
      <c r="AL896" s="55">
        <f t="shared" si="320"/>
        <v>0</v>
      </c>
      <c r="AM896" s="55" t="s">
        <v>1912</v>
      </c>
      <c r="AN896" s="55">
        <v>0</v>
      </c>
      <c r="AO896" s="55">
        <v>0</v>
      </c>
      <c r="AP896" s="55">
        <f t="shared" si="329"/>
        <v>0</v>
      </c>
      <c r="AQ896" s="55">
        <f>IFERROR(VLOOKUP(A896,[1]SIIMPLES!$A$2:$F$418,6,FALSE),0)</f>
        <v>0</v>
      </c>
      <c r="AR896" s="55">
        <v>0</v>
      </c>
      <c r="AS896" s="55">
        <v>0</v>
      </c>
      <c r="AT896" s="55">
        <v>0</v>
      </c>
      <c r="AU896" s="55">
        <v>0</v>
      </c>
      <c r="AV896" s="55">
        <v>0</v>
      </c>
      <c r="AW896" s="57"/>
      <c r="AX896" s="57"/>
      <c r="AY896" s="56">
        <f t="shared" si="331"/>
        <v>0.1</v>
      </c>
      <c r="AZ896" s="57"/>
      <c r="BA896" s="56" t="s">
        <v>1912</v>
      </c>
      <c r="BB896" s="41" t="str">
        <f t="shared" si="322"/>
        <v/>
      </c>
      <c r="BC896" s="13"/>
      <c r="BD896" s="35"/>
      <c r="BE896" s="13"/>
      <c r="BF896" s="16">
        <f t="shared" si="330"/>
        <v>0</v>
      </c>
      <c r="BG896" s="17">
        <f t="shared" si="328"/>
        <v>0</v>
      </c>
      <c r="BH896" s="16">
        <f t="shared" si="332"/>
        <v>0.1</v>
      </c>
    </row>
    <row r="897" spans="1:60" ht="12.75" customHeight="1" x14ac:dyDescent="0.2">
      <c r="A897" s="68">
        <v>112110</v>
      </c>
      <c r="B897" s="51"/>
      <c r="C897" s="66" t="str">
        <f>VLOOKUP(A897,[2]CMV!$A$1:$B$2115,2,FALSE)</f>
        <v>AUTOMOTIVO</v>
      </c>
      <c r="D897" s="52" t="str">
        <f>VLOOKUP(A897,[2]CMV!$A$1:$C$2115,3,FALSE)</f>
        <v>BANDEJA</v>
      </c>
      <c r="E897" s="52" t="str">
        <f>VLOOKUP(A897,[2]CMV!$A$1:$E$2115,5,FALSE)</f>
        <v>SPARE</v>
      </c>
      <c r="F897" s="53"/>
      <c r="G897" s="67" t="str">
        <f>VLOOKUP(A897,[2]CMV!$A$1:$F$2115,6,FALSE)</f>
        <v>MERIVA S/pivô L/E</v>
      </c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5">
        <f t="shared" si="326"/>
        <v>2</v>
      </c>
      <c r="AE897" s="57"/>
      <c r="AF897" s="57"/>
      <c r="AG897" s="55">
        <v>2</v>
      </c>
      <c r="AH897" s="55">
        <f t="shared" si="319"/>
        <v>0</v>
      </c>
      <c r="AI897" s="55">
        <v>0</v>
      </c>
      <c r="AJ897" s="55">
        <v>0</v>
      </c>
      <c r="AK897" s="55">
        <v>0</v>
      </c>
      <c r="AL897" s="55">
        <f t="shared" si="320"/>
        <v>0</v>
      </c>
      <c r="AM897" s="55" t="s">
        <v>1912</v>
      </c>
      <c r="AN897" s="55">
        <v>0</v>
      </c>
      <c r="AO897" s="55">
        <v>0</v>
      </c>
      <c r="AP897" s="55">
        <f t="shared" si="329"/>
        <v>0</v>
      </c>
      <c r="AQ897" s="55">
        <f>IFERROR(VLOOKUP(A897,[1]SIIMPLES!$A$2:$F$418,6,FALSE),0)</f>
        <v>0</v>
      </c>
      <c r="AR897" s="55">
        <v>0</v>
      </c>
      <c r="AS897" s="55">
        <v>0</v>
      </c>
      <c r="AT897" s="55">
        <v>0</v>
      </c>
      <c r="AU897" s="55">
        <v>0</v>
      </c>
      <c r="AV897" s="55">
        <v>0</v>
      </c>
      <c r="AW897" s="57"/>
      <c r="AX897" s="57"/>
      <c r="AY897" s="74">
        <f t="shared" si="331"/>
        <v>0.4</v>
      </c>
      <c r="AZ897" s="57"/>
      <c r="BA897" s="57"/>
      <c r="BB897" s="41" t="str">
        <f t="shared" si="322"/>
        <v/>
      </c>
      <c r="BC897" s="13"/>
      <c r="BD897" s="35"/>
      <c r="BE897" s="13"/>
      <c r="BF897" s="16"/>
      <c r="BG897" s="17">
        <f t="shared" si="328"/>
        <v>0</v>
      </c>
      <c r="BH897" s="16">
        <f t="shared" si="332"/>
        <v>0.4</v>
      </c>
    </row>
    <row r="898" spans="1:60" ht="12.75" customHeight="1" x14ac:dyDescent="0.2">
      <c r="A898" s="68">
        <v>112111</v>
      </c>
      <c r="B898" s="51"/>
      <c r="C898" s="66" t="str">
        <f>VLOOKUP(A898,[2]CMV!$A$1:$B$2115,2,FALSE)</f>
        <v>AUTOMOTIVO</v>
      </c>
      <c r="D898" s="52" t="str">
        <f>VLOOKUP(A898,[2]CMV!$A$1:$C$2115,3,FALSE)</f>
        <v>BANDEJA</v>
      </c>
      <c r="E898" s="52" t="str">
        <f>VLOOKUP(A898,[2]CMV!$A$1:$E$2115,5,FALSE)</f>
        <v>SPARE</v>
      </c>
      <c r="F898" s="53"/>
      <c r="G898" s="67" t="str">
        <f>VLOOKUP(A898,[2]CMV!$A$1:$F$2115,6,FALSE)</f>
        <v>MERIVA S/pivô L/D</v>
      </c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5">
        <f t="shared" si="326"/>
        <v>2</v>
      </c>
      <c r="AE898" s="57"/>
      <c r="AF898" s="57"/>
      <c r="AG898" s="55">
        <v>2</v>
      </c>
      <c r="AH898" s="55">
        <f t="shared" si="319"/>
        <v>0</v>
      </c>
      <c r="AI898" s="55">
        <v>0</v>
      </c>
      <c r="AJ898" s="55">
        <v>0</v>
      </c>
      <c r="AK898" s="55">
        <v>0</v>
      </c>
      <c r="AL898" s="55">
        <f t="shared" si="320"/>
        <v>0</v>
      </c>
      <c r="AM898" s="55" t="s">
        <v>1912</v>
      </c>
      <c r="AN898" s="55">
        <v>0</v>
      </c>
      <c r="AO898" s="55">
        <v>0</v>
      </c>
      <c r="AP898" s="55">
        <f t="shared" si="329"/>
        <v>0</v>
      </c>
      <c r="AQ898" s="55">
        <f>IFERROR(VLOOKUP(A898,[1]SIIMPLES!$A$2:$F$418,6,FALSE),0)</f>
        <v>0</v>
      </c>
      <c r="AR898" s="55">
        <v>0</v>
      </c>
      <c r="AS898" s="55">
        <v>0</v>
      </c>
      <c r="AT898" s="55">
        <v>0</v>
      </c>
      <c r="AU898" s="55">
        <v>0</v>
      </c>
      <c r="AV898" s="55">
        <v>0</v>
      </c>
      <c r="AW898" s="57"/>
      <c r="AX898" s="57"/>
      <c r="AY898" s="74">
        <f t="shared" si="331"/>
        <v>0.4</v>
      </c>
      <c r="AZ898" s="57"/>
      <c r="BA898" s="57"/>
      <c r="BB898" s="41" t="str">
        <f t="shared" si="322"/>
        <v/>
      </c>
      <c r="BC898" s="13"/>
      <c r="BD898" s="36"/>
      <c r="BE898" s="7"/>
      <c r="BF898" s="16"/>
      <c r="BG898" s="17">
        <f t="shared" si="328"/>
        <v>0</v>
      </c>
      <c r="BH898" s="16">
        <f t="shared" si="332"/>
        <v>0.4</v>
      </c>
    </row>
    <row r="899" spans="1:60" ht="12.75" customHeight="1" x14ac:dyDescent="0.2">
      <c r="A899" s="51">
        <v>112113</v>
      </c>
      <c r="B899" s="51" t="s">
        <v>1086</v>
      </c>
      <c r="C899" s="66" t="s">
        <v>1803</v>
      </c>
      <c r="D899" s="52" t="s">
        <v>728</v>
      </c>
      <c r="E899" s="65" t="s">
        <v>780</v>
      </c>
      <c r="F899" s="53">
        <f>IFERROR(VLOOKUP(E899,Fornecedores!$A$2:$B$2700,2,FALSE),"")</f>
        <v>2</v>
      </c>
      <c r="G899" s="52">
        <f>VLOOKUP(A899,[2]CMV!$A$1:$F$2043,6,FALSE)</f>
        <v>0</v>
      </c>
      <c r="H899" s="57"/>
      <c r="I899" s="55">
        <f t="shared" ref="I899:I962" si="333">SUM(J899:M899)</f>
        <v>0</v>
      </c>
      <c r="J899" s="55">
        <v>0</v>
      </c>
      <c r="K899" s="55">
        <v>0</v>
      </c>
      <c r="L899" s="55">
        <v>0</v>
      </c>
      <c r="M899" s="55">
        <v>0</v>
      </c>
      <c r="N899" s="55">
        <f t="shared" ref="N899:N962" si="334">SUM(O899:Q899)</f>
        <v>0</v>
      </c>
      <c r="O899" s="55">
        <v>0</v>
      </c>
      <c r="P899" s="55">
        <v>0</v>
      </c>
      <c r="Q899" s="55">
        <v>0</v>
      </c>
      <c r="R899" s="55">
        <f t="shared" ref="R899:R962" si="335">SUM(S899:U899)</f>
        <v>0</v>
      </c>
      <c r="S899" s="55">
        <v>0</v>
      </c>
      <c r="T899" s="55">
        <v>0</v>
      </c>
      <c r="U899" s="55">
        <v>0</v>
      </c>
      <c r="V899" s="55">
        <v>0</v>
      </c>
      <c r="W899" s="53">
        <v>0</v>
      </c>
      <c r="X899" s="53">
        <v>0</v>
      </c>
      <c r="Y899" s="55">
        <v>0</v>
      </c>
      <c r="Z899" s="55">
        <v>0</v>
      </c>
      <c r="AA899" s="53">
        <v>0</v>
      </c>
      <c r="AB899" s="53">
        <v>0</v>
      </c>
      <c r="AC899" s="55">
        <v>0</v>
      </c>
      <c r="AD899" s="55">
        <f t="shared" si="326"/>
        <v>0</v>
      </c>
      <c r="AE899" s="53">
        <v>0</v>
      </c>
      <c r="AF899" s="55">
        <v>0</v>
      </c>
      <c r="AG899" s="55">
        <v>0</v>
      </c>
      <c r="AH899" s="55">
        <f t="shared" si="319"/>
        <v>0</v>
      </c>
      <c r="AI899" s="55">
        <v>0</v>
      </c>
      <c r="AJ899" s="55">
        <v>0</v>
      </c>
      <c r="AK899" s="55">
        <v>0</v>
      </c>
      <c r="AL899" s="55">
        <f t="shared" si="320"/>
        <v>0</v>
      </c>
      <c r="AM899" s="55" t="s">
        <v>1912</v>
      </c>
      <c r="AN899" s="55">
        <v>0</v>
      </c>
      <c r="AO899" s="55">
        <v>0</v>
      </c>
      <c r="AP899" s="55">
        <f t="shared" si="329"/>
        <v>0</v>
      </c>
      <c r="AQ899" s="55">
        <f>IFERROR(VLOOKUP(A899,[1]SIIMPLES!$A$2:$F$418,6,FALSE),0)</f>
        <v>0</v>
      </c>
      <c r="AR899" s="55">
        <v>0</v>
      </c>
      <c r="AS899" s="55">
        <v>0</v>
      </c>
      <c r="AT899" s="55">
        <v>0</v>
      </c>
      <c r="AU899" s="55">
        <v>0</v>
      </c>
      <c r="AV899" s="55">
        <v>0</v>
      </c>
      <c r="AW899" s="55"/>
      <c r="AX899" s="55"/>
      <c r="AY899" s="56">
        <f t="shared" si="331"/>
        <v>0</v>
      </c>
      <c r="AZ899" s="55"/>
      <c r="BA899" s="56">
        <v>0</v>
      </c>
      <c r="BB899" s="41" t="str">
        <f t="shared" si="322"/>
        <v/>
      </c>
      <c r="BC899" s="13"/>
      <c r="BD899" s="35"/>
      <c r="BE899" s="13"/>
      <c r="BF899" s="16"/>
      <c r="BG899" s="17" t="str">
        <f t="shared" si="328"/>
        <v>0</v>
      </c>
      <c r="BH899" s="16">
        <f t="shared" si="332"/>
        <v>0</v>
      </c>
    </row>
    <row r="900" spans="1:60" ht="12.75" customHeight="1" x14ac:dyDescent="0.2">
      <c r="A900" s="51">
        <v>112114</v>
      </c>
      <c r="B900" s="51" t="s">
        <v>1086</v>
      </c>
      <c r="C900" s="66" t="s">
        <v>1803</v>
      </c>
      <c r="D900" s="52" t="s">
        <v>728</v>
      </c>
      <c r="E900" s="65" t="s">
        <v>780</v>
      </c>
      <c r="F900" s="53">
        <f>IFERROR(VLOOKUP(E900,Fornecedores!$A$2:$B$2700,2,FALSE),"")</f>
        <v>2</v>
      </c>
      <c r="G900" s="52">
        <f>VLOOKUP(A900,[2]CMV!$A$1:$F$2043,6,FALSE)</f>
        <v>0</v>
      </c>
      <c r="H900" s="57"/>
      <c r="I900" s="55">
        <f t="shared" si="333"/>
        <v>0</v>
      </c>
      <c r="J900" s="55">
        <v>0</v>
      </c>
      <c r="K900" s="55">
        <v>0</v>
      </c>
      <c r="L900" s="55">
        <v>0</v>
      </c>
      <c r="M900" s="55">
        <v>0</v>
      </c>
      <c r="N900" s="55">
        <f t="shared" si="334"/>
        <v>0</v>
      </c>
      <c r="O900" s="55">
        <v>0</v>
      </c>
      <c r="P900" s="55">
        <v>0</v>
      </c>
      <c r="Q900" s="55">
        <v>0</v>
      </c>
      <c r="R900" s="55">
        <f t="shared" si="335"/>
        <v>0</v>
      </c>
      <c r="S900" s="55">
        <v>0</v>
      </c>
      <c r="T900" s="55">
        <v>0</v>
      </c>
      <c r="U900" s="55">
        <v>0</v>
      </c>
      <c r="V900" s="55">
        <v>0</v>
      </c>
      <c r="W900" s="53">
        <v>0</v>
      </c>
      <c r="X900" s="53">
        <v>0</v>
      </c>
      <c r="Y900" s="55">
        <v>0</v>
      </c>
      <c r="Z900" s="55">
        <v>0</v>
      </c>
      <c r="AA900" s="53">
        <v>0</v>
      </c>
      <c r="AB900" s="53">
        <v>0</v>
      </c>
      <c r="AC900" s="55">
        <v>0</v>
      </c>
      <c r="AD900" s="55">
        <f t="shared" si="326"/>
        <v>0</v>
      </c>
      <c r="AE900" s="53">
        <v>0</v>
      </c>
      <c r="AF900" s="55">
        <v>0</v>
      </c>
      <c r="AG900" s="55">
        <v>0</v>
      </c>
      <c r="AH900" s="55">
        <f t="shared" si="319"/>
        <v>0</v>
      </c>
      <c r="AI900" s="55">
        <v>0</v>
      </c>
      <c r="AJ900" s="55">
        <v>0</v>
      </c>
      <c r="AK900" s="55">
        <v>0</v>
      </c>
      <c r="AL900" s="55">
        <f t="shared" si="320"/>
        <v>0</v>
      </c>
      <c r="AM900" s="55" t="s">
        <v>1912</v>
      </c>
      <c r="AN900" s="55">
        <v>0</v>
      </c>
      <c r="AO900" s="55">
        <v>0</v>
      </c>
      <c r="AP900" s="55">
        <f t="shared" si="329"/>
        <v>0</v>
      </c>
      <c r="AQ900" s="55">
        <f>IFERROR(VLOOKUP(A900,[1]SIIMPLES!$A$2:$F$418,6,FALSE),0)</f>
        <v>0</v>
      </c>
      <c r="AR900" s="55">
        <v>0</v>
      </c>
      <c r="AS900" s="55">
        <v>0</v>
      </c>
      <c r="AT900" s="55">
        <v>0</v>
      </c>
      <c r="AU900" s="55">
        <v>0</v>
      </c>
      <c r="AV900" s="55">
        <v>0</v>
      </c>
      <c r="AW900" s="55"/>
      <c r="AX900" s="55"/>
      <c r="AY900" s="56">
        <f t="shared" si="331"/>
        <v>0</v>
      </c>
      <c r="AZ900" s="55"/>
      <c r="BA900" s="56">
        <v>0</v>
      </c>
      <c r="BB900" s="41" t="str">
        <f t="shared" si="322"/>
        <v/>
      </c>
      <c r="BC900" s="13"/>
      <c r="BD900" s="35"/>
      <c r="BE900" s="13"/>
      <c r="BF900" s="16"/>
      <c r="BG900" s="17" t="str">
        <f t="shared" si="328"/>
        <v>0</v>
      </c>
      <c r="BH900" s="16">
        <f t="shared" si="332"/>
        <v>0</v>
      </c>
    </row>
    <row r="901" spans="1:60" ht="12.75" customHeight="1" x14ac:dyDescent="0.2">
      <c r="A901" s="51">
        <v>112115</v>
      </c>
      <c r="B901" s="51" t="s">
        <v>1086</v>
      </c>
      <c r="C901" s="66" t="s">
        <v>1803</v>
      </c>
      <c r="D901" s="52" t="s">
        <v>728</v>
      </c>
      <c r="E901" s="65" t="s">
        <v>780</v>
      </c>
      <c r="F901" s="53">
        <f>IFERROR(VLOOKUP(E901,Fornecedores!$A$2:$B$2700,2,FALSE),"")</f>
        <v>2</v>
      </c>
      <c r="G901" s="52" t="s">
        <v>53</v>
      </c>
      <c r="H901" s="57"/>
      <c r="I901" s="55">
        <f t="shared" si="333"/>
        <v>0</v>
      </c>
      <c r="J901" s="55">
        <v>0</v>
      </c>
      <c r="K901" s="55">
        <v>0</v>
      </c>
      <c r="L901" s="55">
        <v>0</v>
      </c>
      <c r="M901" s="55">
        <v>0</v>
      </c>
      <c r="N901" s="55">
        <f t="shared" si="334"/>
        <v>0</v>
      </c>
      <c r="O901" s="55">
        <v>0</v>
      </c>
      <c r="P901" s="55">
        <v>0</v>
      </c>
      <c r="Q901" s="55">
        <v>0</v>
      </c>
      <c r="R901" s="55">
        <f t="shared" si="335"/>
        <v>0</v>
      </c>
      <c r="S901" s="55">
        <v>0</v>
      </c>
      <c r="T901" s="55">
        <v>0</v>
      </c>
      <c r="U901" s="55">
        <v>0</v>
      </c>
      <c r="V901" s="55">
        <v>0</v>
      </c>
      <c r="W901" s="53">
        <v>0</v>
      </c>
      <c r="X901" s="53">
        <v>0</v>
      </c>
      <c r="Y901" s="55">
        <v>0</v>
      </c>
      <c r="Z901" s="55">
        <v>0</v>
      </c>
      <c r="AA901" s="53">
        <v>0</v>
      </c>
      <c r="AB901" s="53">
        <v>0</v>
      </c>
      <c r="AC901" s="55">
        <v>0</v>
      </c>
      <c r="AD901" s="55">
        <f t="shared" si="326"/>
        <v>0</v>
      </c>
      <c r="AE901" s="53">
        <v>0</v>
      </c>
      <c r="AF901" s="55">
        <v>0</v>
      </c>
      <c r="AG901" s="55">
        <v>0</v>
      </c>
      <c r="AH901" s="55">
        <f t="shared" si="319"/>
        <v>0</v>
      </c>
      <c r="AI901" s="55">
        <v>0</v>
      </c>
      <c r="AJ901" s="55">
        <v>0</v>
      </c>
      <c r="AK901" s="55">
        <v>0</v>
      </c>
      <c r="AL901" s="55">
        <f t="shared" si="320"/>
        <v>0</v>
      </c>
      <c r="AM901" s="55" t="s">
        <v>1912</v>
      </c>
      <c r="AN901" s="55">
        <v>0</v>
      </c>
      <c r="AO901" s="55">
        <v>0</v>
      </c>
      <c r="AP901" s="55">
        <f t="shared" si="329"/>
        <v>0</v>
      </c>
      <c r="AQ901" s="55">
        <f>IFERROR(VLOOKUP(A901,[1]SIIMPLES!$A$2:$F$418,6,FALSE),0)</f>
        <v>0</v>
      </c>
      <c r="AR901" s="55">
        <v>0</v>
      </c>
      <c r="AS901" s="55">
        <v>1</v>
      </c>
      <c r="AT901" s="55">
        <v>1</v>
      </c>
      <c r="AU901" s="55">
        <v>0</v>
      </c>
      <c r="AV901" s="55">
        <v>0</v>
      </c>
      <c r="AW901" s="55"/>
      <c r="AX901" s="55"/>
      <c r="AY901" s="56">
        <f t="shared" si="331"/>
        <v>0.1</v>
      </c>
      <c r="AZ901" s="55"/>
      <c r="BA901" s="56">
        <v>0</v>
      </c>
      <c r="BB901" s="41" t="str">
        <f t="shared" si="322"/>
        <v/>
      </c>
      <c r="BC901" s="13"/>
      <c r="BD901" s="35"/>
      <c r="BE901" s="13"/>
      <c r="BF901" s="16">
        <f t="shared" ref="BF901:BF926" si="336">SUM(BC901:BE901)</f>
        <v>0</v>
      </c>
      <c r="BG901" s="17">
        <f t="shared" si="328"/>
        <v>0</v>
      </c>
      <c r="BH901" s="16">
        <f t="shared" si="332"/>
        <v>0.1</v>
      </c>
    </row>
    <row r="902" spans="1:60" ht="12.75" customHeight="1" x14ac:dyDescent="0.2">
      <c r="A902" s="51">
        <v>112116</v>
      </c>
      <c r="B902" s="51" t="s">
        <v>1077</v>
      </c>
      <c r="C902" s="66" t="s">
        <v>1803</v>
      </c>
      <c r="D902" s="52" t="s">
        <v>728</v>
      </c>
      <c r="E902" s="65" t="s">
        <v>780</v>
      </c>
      <c r="F902" s="53">
        <f>IFERROR(VLOOKUP(E902,Fornecedores!$A$2:$B$2700,2,FALSE),"")</f>
        <v>2</v>
      </c>
      <c r="G902" s="52" t="s">
        <v>661</v>
      </c>
      <c r="H902" s="57"/>
      <c r="I902" s="55">
        <f t="shared" si="333"/>
        <v>1</v>
      </c>
      <c r="J902" s="55">
        <v>1</v>
      </c>
      <c r="K902" s="55">
        <v>0</v>
      </c>
      <c r="L902" s="55">
        <v>0</v>
      </c>
      <c r="M902" s="55">
        <v>0</v>
      </c>
      <c r="N902" s="55">
        <f t="shared" si="334"/>
        <v>2</v>
      </c>
      <c r="O902" s="55">
        <v>0</v>
      </c>
      <c r="P902" s="55">
        <v>2</v>
      </c>
      <c r="Q902" s="55">
        <v>0</v>
      </c>
      <c r="R902" s="55">
        <f t="shared" si="335"/>
        <v>5</v>
      </c>
      <c r="S902" s="55">
        <v>1</v>
      </c>
      <c r="T902" s="55">
        <v>4</v>
      </c>
      <c r="U902" s="55">
        <v>0</v>
      </c>
      <c r="V902" s="55">
        <v>3</v>
      </c>
      <c r="W902" s="53">
        <v>1</v>
      </c>
      <c r="X902" s="53">
        <v>2</v>
      </c>
      <c r="Y902" s="55">
        <v>0</v>
      </c>
      <c r="Z902" s="55">
        <v>0</v>
      </c>
      <c r="AA902" s="53">
        <v>0</v>
      </c>
      <c r="AB902" s="53">
        <v>0</v>
      </c>
      <c r="AC902" s="55">
        <v>0</v>
      </c>
      <c r="AD902" s="55">
        <f t="shared" si="326"/>
        <v>4</v>
      </c>
      <c r="AE902" s="53">
        <v>0</v>
      </c>
      <c r="AF902" s="55">
        <v>4</v>
      </c>
      <c r="AG902" s="55">
        <v>0</v>
      </c>
      <c r="AH902" s="55">
        <f t="shared" si="319"/>
        <v>0</v>
      </c>
      <c r="AI902" s="55">
        <v>0</v>
      </c>
      <c r="AJ902" s="55">
        <v>0</v>
      </c>
      <c r="AK902" s="55">
        <v>0</v>
      </c>
      <c r="AL902" s="55">
        <f t="shared" si="320"/>
        <v>0</v>
      </c>
      <c r="AM902" s="55" t="s">
        <v>1912</v>
      </c>
      <c r="AN902" s="55">
        <v>0</v>
      </c>
      <c r="AO902" s="55">
        <v>0</v>
      </c>
      <c r="AP902" s="55">
        <f t="shared" si="329"/>
        <v>0</v>
      </c>
      <c r="AQ902" s="55">
        <f>IFERROR(VLOOKUP(A902,[1]SIIMPLES!$A$2:$F$418,6,FALSE),0)</f>
        <v>0</v>
      </c>
      <c r="AR902" s="55">
        <v>0</v>
      </c>
      <c r="AS902" s="55">
        <v>0</v>
      </c>
      <c r="AT902" s="55">
        <v>0</v>
      </c>
      <c r="AU902" s="55">
        <v>0</v>
      </c>
      <c r="AV902" s="55">
        <v>0</v>
      </c>
      <c r="AW902" s="55"/>
      <c r="AX902" s="55"/>
      <c r="AY902" s="56">
        <f t="shared" si="331"/>
        <v>1.5</v>
      </c>
      <c r="AZ902" s="55"/>
      <c r="BA902" s="56">
        <v>0</v>
      </c>
      <c r="BB902" s="41" t="str">
        <f t="shared" si="322"/>
        <v/>
      </c>
      <c r="BC902" s="13"/>
      <c r="BD902" s="35"/>
      <c r="BE902" s="13"/>
      <c r="BF902" s="16">
        <f t="shared" si="336"/>
        <v>0</v>
      </c>
      <c r="BG902" s="17">
        <f t="shared" si="328"/>
        <v>0</v>
      </c>
      <c r="BH902" s="16">
        <f t="shared" si="332"/>
        <v>1.5</v>
      </c>
    </row>
    <row r="903" spans="1:60" ht="12.75" customHeight="1" x14ac:dyDescent="0.2">
      <c r="A903" s="51">
        <v>112120</v>
      </c>
      <c r="B903" s="51" t="s">
        <v>1086</v>
      </c>
      <c r="C903" s="66" t="s">
        <v>1803</v>
      </c>
      <c r="D903" s="52" t="s">
        <v>728</v>
      </c>
      <c r="E903" s="65" t="s">
        <v>780</v>
      </c>
      <c r="F903" s="53">
        <f>IFERROR(VLOOKUP(E903,Fornecedores!$A$2:$B$2700,2,FALSE),"")</f>
        <v>2</v>
      </c>
      <c r="G903" s="52" t="s">
        <v>1823</v>
      </c>
      <c r="H903" s="57"/>
      <c r="I903" s="55">
        <f t="shared" si="333"/>
        <v>0</v>
      </c>
      <c r="J903" s="55">
        <v>0</v>
      </c>
      <c r="K903" s="55">
        <v>0</v>
      </c>
      <c r="L903" s="55">
        <v>0</v>
      </c>
      <c r="M903" s="55">
        <v>0</v>
      </c>
      <c r="N903" s="55">
        <f t="shared" si="334"/>
        <v>0</v>
      </c>
      <c r="O903" s="55">
        <v>0</v>
      </c>
      <c r="P903" s="55">
        <v>0</v>
      </c>
      <c r="Q903" s="55">
        <v>0</v>
      </c>
      <c r="R903" s="55">
        <f t="shared" si="335"/>
        <v>0</v>
      </c>
      <c r="S903" s="55">
        <v>0</v>
      </c>
      <c r="T903" s="55">
        <v>0</v>
      </c>
      <c r="U903" s="55">
        <v>0</v>
      </c>
      <c r="V903" s="55">
        <v>0</v>
      </c>
      <c r="W903" s="53">
        <v>0</v>
      </c>
      <c r="X903" s="53">
        <v>0</v>
      </c>
      <c r="Y903" s="55">
        <v>0</v>
      </c>
      <c r="Z903" s="55">
        <v>0</v>
      </c>
      <c r="AA903" s="53">
        <v>0</v>
      </c>
      <c r="AB903" s="53">
        <v>0</v>
      </c>
      <c r="AC903" s="55">
        <v>0</v>
      </c>
      <c r="AD903" s="55">
        <f t="shared" si="326"/>
        <v>0</v>
      </c>
      <c r="AE903" s="53">
        <v>0</v>
      </c>
      <c r="AF903" s="55">
        <v>0</v>
      </c>
      <c r="AG903" s="55">
        <v>0</v>
      </c>
      <c r="AH903" s="55">
        <f t="shared" si="319"/>
        <v>0</v>
      </c>
      <c r="AI903" s="55">
        <v>0</v>
      </c>
      <c r="AJ903" s="55">
        <v>0</v>
      </c>
      <c r="AK903" s="55">
        <v>0</v>
      </c>
      <c r="AL903" s="55">
        <f t="shared" si="320"/>
        <v>0</v>
      </c>
      <c r="AM903" s="55" t="s">
        <v>1912</v>
      </c>
      <c r="AN903" s="55">
        <v>0</v>
      </c>
      <c r="AO903" s="55">
        <v>0</v>
      </c>
      <c r="AP903" s="55">
        <f t="shared" si="329"/>
        <v>0</v>
      </c>
      <c r="AQ903" s="55">
        <f>IFERROR(VLOOKUP(A903,[1]SIIMPLES!$A$2:$F$418,6,FALSE),0)</f>
        <v>0</v>
      </c>
      <c r="AR903" s="55">
        <v>0</v>
      </c>
      <c r="AS903" s="55">
        <v>0</v>
      </c>
      <c r="AT903" s="55">
        <v>0</v>
      </c>
      <c r="AU903" s="55">
        <v>0</v>
      </c>
      <c r="AV903" s="55">
        <v>0</v>
      </c>
      <c r="AW903" s="55"/>
      <c r="AX903" s="55"/>
      <c r="AY903" s="56">
        <f t="shared" si="331"/>
        <v>0</v>
      </c>
      <c r="AZ903" s="55"/>
      <c r="BA903" s="56">
        <v>0</v>
      </c>
      <c r="BB903" s="41" t="str">
        <f t="shared" si="322"/>
        <v/>
      </c>
      <c r="BC903" s="10"/>
      <c r="BD903" s="35"/>
      <c r="BE903" s="13"/>
      <c r="BF903" s="16">
        <f t="shared" si="336"/>
        <v>0</v>
      </c>
      <c r="BG903" s="17" t="str">
        <f t="shared" si="328"/>
        <v>0</v>
      </c>
      <c r="BH903" s="16">
        <f t="shared" si="332"/>
        <v>0</v>
      </c>
    </row>
    <row r="904" spans="1:60" ht="12.75" customHeight="1" x14ac:dyDescent="0.2">
      <c r="A904" s="51">
        <v>112121</v>
      </c>
      <c r="B904" s="51" t="s">
        <v>1086</v>
      </c>
      <c r="C904" s="66" t="s">
        <v>1803</v>
      </c>
      <c r="D904" s="52" t="s">
        <v>728</v>
      </c>
      <c r="E904" s="65" t="s">
        <v>780</v>
      </c>
      <c r="F904" s="53">
        <f>IFERROR(VLOOKUP(E904,Fornecedores!$A$2:$B$2700,2,FALSE),"")</f>
        <v>2</v>
      </c>
      <c r="G904" s="52" t="s">
        <v>1824</v>
      </c>
      <c r="H904" s="57"/>
      <c r="I904" s="55">
        <f t="shared" si="333"/>
        <v>0</v>
      </c>
      <c r="J904" s="55">
        <v>0</v>
      </c>
      <c r="K904" s="55">
        <v>0</v>
      </c>
      <c r="L904" s="55">
        <v>0</v>
      </c>
      <c r="M904" s="55">
        <v>0</v>
      </c>
      <c r="N904" s="55">
        <f t="shared" si="334"/>
        <v>0</v>
      </c>
      <c r="O904" s="55">
        <v>0</v>
      </c>
      <c r="P904" s="55">
        <v>0</v>
      </c>
      <c r="Q904" s="55">
        <v>0</v>
      </c>
      <c r="R904" s="55">
        <f t="shared" si="335"/>
        <v>0</v>
      </c>
      <c r="S904" s="55">
        <v>0</v>
      </c>
      <c r="T904" s="55">
        <v>0</v>
      </c>
      <c r="U904" s="55">
        <v>0</v>
      </c>
      <c r="V904" s="55">
        <v>0</v>
      </c>
      <c r="W904" s="53">
        <v>0</v>
      </c>
      <c r="X904" s="53">
        <v>0</v>
      </c>
      <c r="Y904" s="55">
        <v>0</v>
      </c>
      <c r="Z904" s="55">
        <v>0</v>
      </c>
      <c r="AA904" s="53">
        <v>0</v>
      </c>
      <c r="AB904" s="53">
        <v>0</v>
      </c>
      <c r="AC904" s="55">
        <v>0</v>
      </c>
      <c r="AD904" s="55">
        <f t="shared" si="326"/>
        <v>0</v>
      </c>
      <c r="AE904" s="53">
        <v>0</v>
      </c>
      <c r="AF904" s="55">
        <v>0</v>
      </c>
      <c r="AG904" s="55">
        <v>0</v>
      </c>
      <c r="AH904" s="55">
        <f t="shared" si="319"/>
        <v>0</v>
      </c>
      <c r="AI904" s="55">
        <v>0</v>
      </c>
      <c r="AJ904" s="55">
        <v>0</v>
      </c>
      <c r="AK904" s="55">
        <v>0</v>
      </c>
      <c r="AL904" s="55">
        <f t="shared" si="320"/>
        <v>0</v>
      </c>
      <c r="AM904" s="55" t="s">
        <v>1912</v>
      </c>
      <c r="AN904" s="55">
        <v>0</v>
      </c>
      <c r="AO904" s="55">
        <v>0</v>
      </c>
      <c r="AP904" s="55">
        <f t="shared" si="329"/>
        <v>0</v>
      </c>
      <c r="AQ904" s="55">
        <f>IFERROR(VLOOKUP(A904,[1]SIIMPLES!$A$2:$F$418,6,FALSE),0)</f>
        <v>0</v>
      </c>
      <c r="AR904" s="55">
        <v>0</v>
      </c>
      <c r="AS904" s="55">
        <v>0</v>
      </c>
      <c r="AT904" s="55">
        <v>0</v>
      </c>
      <c r="AU904" s="55">
        <v>0</v>
      </c>
      <c r="AV904" s="55">
        <v>0</v>
      </c>
      <c r="AW904" s="55"/>
      <c r="AX904" s="55"/>
      <c r="AY904" s="56">
        <f t="shared" si="331"/>
        <v>0</v>
      </c>
      <c r="AZ904" s="55"/>
      <c r="BA904" s="56">
        <v>0</v>
      </c>
      <c r="BB904" s="41" t="str">
        <f t="shared" si="322"/>
        <v/>
      </c>
      <c r="BC904" s="13"/>
      <c r="BD904" s="35"/>
      <c r="BE904" s="13"/>
      <c r="BF904" s="16">
        <f t="shared" si="336"/>
        <v>0</v>
      </c>
      <c r="BG904" s="17" t="str">
        <f t="shared" si="328"/>
        <v>0</v>
      </c>
      <c r="BH904" s="16">
        <f t="shared" si="332"/>
        <v>0</v>
      </c>
    </row>
    <row r="905" spans="1:60" ht="12.75" customHeight="1" x14ac:dyDescent="0.2">
      <c r="A905" s="51">
        <v>112132</v>
      </c>
      <c r="B905" s="51" t="s">
        <v>1077</v>
      </c>
      <c r="C905" s="66" t="s">
        <v>1803</v>
      </c>
      <c r="D905" s="52" t="s">
        <v>728</v>
      </c>
      <c r="E905" s="65" t="s">
        <v>780</v>
      </c>
      <c r="F905" s="53">
        <f>IFERROR(VLOOKUP(E905,Fornecedores!$A$2:$B$2700,2,FALSE),"")</f>
        <v>2</v>
      </c>
      <c r="G905" s="52" t="s">
        <v>492</v>
      </c>
      <c r="H905" s="57"/>
      <c r="I905" s="55">
        <f t="shared" si="333"/>
        <v>0</v>
      </c>
      <c r="J905" s="55">
        <v>0</v>
      </c>
      <c r="K905" s="55">
        <v>0</v>
      </c>
      <c r="L905" s="55">
        <v>0</v>
      </c>
      <c r="M905" s="55">
        <v>0</v>
      </c>
      <c r="N905" s="55">
        <f t="shared" si="334"/>
        <v>2</v>
      </c>
      <c r="O905" s="55">
        <v>1</v>
      </c>
      <c r="P905" s="55">
        <v>1</v>
      </c>
      <c r="Q905" s="55">
        <v>0</v>
      </c>
      <c r="R905" s="55">
        <f t="shared" si="335"/>
        <v>0</v>
      </c>
      <c r="S905" s="55">
        <v>0</v>
      </c>
      <c r="T905" s="55">
        <v>0</v>
      </c>
      <c r="U905" s="55">
        <v>0</v>
      </c>
      <c r="V905" s="55">
        <v>0</v>
      </c>
      <c r="W905" s="53">
        <v>0</v>
      </c>
      <c r="X905" s="53">
        <v>0</v>
      </c>
      <c r="Y905" s="55">
        <v>0</v>
      </c>
      <c r="Z905" s="55">
        <v>0</v>
      </c>
      <c r="AA905" s="53">
        <v>0</v>
      </c>
      <c r="AB905" s="53">
        <v>0</v>
      </c>
      <c r="AC905" s="55">
        <v>0</v>
      </c>
      <c r="AD905" s="55">
        <f t="shared" si="326"/>
        <v>0</v>
      </c>
      <c r="AE905" s="53">
        <v>0</v>
      </c>
      <c r="AF905" s="55">
        <v>0</v>
      </c>
      <c r="AG905" s="55">
        <v>0</v>
      </c>
      <c r="AH905" s="55">
        <f t="shared" si="319"/>
        <v>0</v>
      </c>
      <c r="AI905" s="55">
        <v>0</v>
      </c>
      <c r="AJ905" s="55">
        <v>0</v>
      </c>
      <c r="AK905" s="55">
        <v>0</v>
      </c>
      <c r="AL905" s="55">
        <f t="shared" si="320"/>
        <v>0</v>
      </c>
      <c r="AM905" s="55" t="s">
        <v>1912</v>
      </c>
      <c r="AN905" s="55">
        <v>0</v>
      </c>
      <c r="AO905" s="55">
        <v>0</v>
      </c>
      <c r="AP905" s="55">
        <f t="shared" si="329"/>
        <v>0</v>
      </c>
      <c r="AQ905" s="55">
        <f>IFERROR(VLOOKUP(A905,[1]SIIMPLES!$A$2:$F$418,6,FALSE),0)</f>
        <v>0</v>
      </c>
      <c r="AR905" s="55">
        <v>0</v>
      </c>
      <c r="AS905" s="55">
        <v>0</v>
      </c>
      <c r="AT905" s="55">
        <v>0</v>
      </c>
      <c r="AU905" s="55">
        <v>0</v>
      </c>
      <c r="AV905" s="55">
        <v>0</v>
      </c>
      <c r="AW905" s="55"/>
      <c r="AX905" s="55"/>
      <c r="AY905" s="56">
        <f t="shared" si="331"/>
        <v>0.2</v>
      </c>
      <c r="AZ905" s="55"/>
      <c r="BA905" s="56">
        <v>0.66666666666666663</v>
      </c>
      <c r="BB905" s="41">
        <f t="shared" si="322"/>
        <v>-0.7</v>
      </c>
      <c r="BC905" s="13"/>
      <c r="BD905" s="35"/>
      <c r="BE905" s="13"/>
      <c r="BF905" s="16">
        <f t="shared" si="336"/>
        <v>0</v>
      </c>
      <c r="BG905" s="17">
        <f t="shared" si="328"/>
        <v>0</v>
      </c>
      <c r="BH905" s="16">
        <f t="shared" si="332"/>
        <v>0.2</v>
      </c>
    </row>
    <row r="906" spans="1:60" ht="12.75" customHeight="1" x14ac:dyDescent="0.2">
      <c r="A906" s="51">
        <v>222017</v>
      </c>
      <c r="B906" s="51" t="s">
        <v>1077</v>
      </c>
      <c r="C906" s="66" t="s">
        <v>1803</v>
      </c>
      <c r="D906" s="52" t="s">
        <v>728</v>
      </c>
      <c r="E906" s="65" t="s">
        <v>780</v>
      </c>
      <c r="F906" s="53">
        <f>IFERROR(VLOOKUP(E906,Fornecedores!$A$2:$B$2700,2,FALSE),"")</f>
        <v>2</v>
      </c>
      <c r="G906" s="52" t="s">
        <v>1811</v>
      </c>
      <c r="H906" s="57"/>
      <c r="I906" s="55">
        <f t="shared" si="333"/>
        <v>0</v>
      </c>
      <c r="J906" s="55">
        <v>0</v>
      </c>
      <c r="K906" s="55">
        <v>0</v>
      </c>
      <c r="L906" s="55">
        <v>0</v>
      </c>
      <c r="M906" s="55">
        <v>0</v>
      </c>
      <c r="N906" s="55">
        <f t="shared" si="334"/>
        <v>2</v>
      </c>
      <c r="O906" s="55">
        <v>2</v>
      </c>
      <c r="P906" s="55">
        <v>0</v>
      </c>
      <c r="Q906" s="55">
        <v>0</v>
      </c>
      <c r="R906" s="55">
        <f t="shared" si="335"/>
        <v>0</v>
      </c>
      <c r="S906" s="55">
        <v>0</v>
      </c>
      <c r="T906" s="55">
        <v>0</v>
      </c>
      <c r="U906" s="55">
        <v>0</v>
      </c>
      <c r="V906" s="55">
        <v>1</v>
      </c>
      <c r="W906" s="53">
        <v>0</v>
      </c>
      <c r="X906" s="53">
        <v>1</v>
      </c>
      <c r="Y906" s="55">
        <v>0</v>
      </c>
      <c r="Z906" s="55">
        <v>0</v>
      </c>
      <c r="AA906" s="53">
        <v>0</v>
      </c>
      <c r="AB906" s="53">
        <v>0</v>
      </c>
      <c r="AC906" s="55">
        <v>0</v>
      </c>
      <c r="AD906" s="55">
        <f t="shared" si="326"/>
        <v>0</v>
      </c>
      <c r="AE906" s="53">
        <v>0</v>
      </c>
      <c r="AF906" s="55">
        <v>0</v>
      </c>
      <c r="AG906" s="55">
        <v>0</v>
      </c>
      <c r="AH906" s="55">
        <f t="shared" si="319"/>
        <v>0</v>
      </c>
      <c r="AI906" s="55">
        <v>0</v>
      </c>
      <c r="AJ906" s="55">
        <v>0</v>
      </c>
      <c r="AK906" s="55">
        <v>0</v>
      </c>
      <c r="AL906" s="55">
        <f t="shared" si="320"/>
        <v>2</v>
      </c>
      <c r="AM906" s="55">
        <v>2</v>
      </c>
      <c r="AN906" s="55">
        <v>0</v>
      </c>
      <c r="AO906" s="55">
        <v>0</v>
      </c>
      <c r="AP906" s="55">
        <f t="shared" si="329"/>
        <v>0</v>
      </c>
      <c r="AQ906" s="55">
        <f>IFERROR(VLOOKUP(A906,[1]SIIMPLES!$A$2:$F$418,6,FALSE),0)</f>
        <v>0</v>
      </c>
      <c r="AR906" s="55">
        <v>0</v>
      </c>
      <c r="AS906" s="55">
        <v>2</v>
      </c>
      <c r="AT906" s="55">
        <v>0</v>
      </c>
      <c r="AU906" s="55">
        <v>2</v>
      </c>
      <c r="AV906" s="55">
        <v>0</v>
      </c>
      <c r="AW906" s="55"/>
      <c r="AX906" s="55"/>
      <c r="AY906" s="56">
        <f t="shared" si="331"/>
        <v>0.7</v>
      </c>
      <c r="AZ906" s="55"/>
      <c r="BA906" s="56">
        <v>1</v>
      </c>
      <c r="BB906" s="41">
        <f t="shared" si="322"/>
        <v>-0.30000000000000004</v>
      </c>
      <c r="BC906" s="10"/>
      <c r="BD906" s="35"/>
      <c r="BE906" s="13"/>
      <c r="BF906" s="16">
        <f t="shared" si="336"/>
        <v>0</v>
      </c>
      <c r="BG906" s="17">
        <f t="shared" si="328"/>
        <v>0</v>
      </c>
      <c r="BH906" s="16">
        <f t="shared" si="332"/>
        <v>0.7</v>
      </c>
    </row>
    <row r="907" spans="1:60" ht="12.75" customHeight="1" x14ac:dyDescent="0.2">
      <c r="A907" s="51">
        <v>222028</v>
      </c>
      <c r="B907" s="51" t="s">
        <v>1086</v>
      </c>
      <c r="C907" s="66" t="s">
        <v>1803</v>
      </c>
      <c r="D907" s="52" t="s">
        <v>728</v>
      </c>
      <c r="E907" s="65" t="s">
        <v>780</v>
      </c>
      <c r="F907" s="53">
        <f>IFERROR(VLOOKUP(E907,Fornecedores!$A$2:$B$2700,2,FALSE),"")</f>
        <v>2</v>
      </c>
      <c r="G907" s="52" t="s">
        <v>1828</v>
      </c>
      <c r="H907" s="57"/>
      <c r="I907" s="55">
        <f t="shared" si="333"/>
        <v>0</v>
      </c>
      <c r="J907" s="55">
        <v>0</v>
      </c>
      <c r="K907" s="55">
        <v>0</v>
      </c>
      <c r="L907" s="55">
        <v>0</v>
      </c>
      <c r="M907" s="55">
        <v>0</v>
      </c>
      <c r="N907" s="55">
        <f t="shared" si="334"/>
        <v>0</v>
      </c>
      <c r="O907" s="55">
        <v>0</v>
      </c>
      <c r="P907" s="55">
        <v>0</v>
      </c>
      <c r="Q907" s="55">
        <v>0</v>
      </c>
      <c r="R907" s="55">
        <f t="shared" si="335"/>
        <v>0</v>
      </c>
      <c r="S907" s="55">
        <v>0</v>
      </c>
      <c r="T907" s="55">
        <v>0</v>
      </c>
      <c r="U907" s="55">
        <v>0</v>
      </c>
      <c r="V907" s="55">
        <v>0</v>
      </c>
      <c r="W907" s="53">
        <v>0</v>
      </c>
      <c r="X907" s="53">
        <v>0</v>
      </c>
      <c r="Y907" s="55">
        <v>0</v>
      </c>
      <c r="Z907" s="55">
        <v>0</v>
      </c>
      <c r="AA907" s="53">
        <v>0</v>
      </c>
      <c r="AB907" s="53">
        <v>0</v>
      </c>
      <c r="AC907" s="55">
        <v>0</v>
      </c>
      <c r="AD907" s="55">
        <f t="shared" si="326"/>
        <v>0</v>
      </c>
      <c r="AE907" s="53">
        <v>0</v>
      </c>
      <c r="AF907" s="55">
        <v>0</v>
      </c>
      <c r="AG907" s="55">
        <v>0</v>
      </c>
      <c r="AH907" s="55">
        <f t="shared" si="319"/>
        <v>0</v>
      </c>
      <c r="AI907" s="55">
        <v>0</v>
      </c>
      <c r="AJ907" s="55">
        <v>0</v>
      </c>
      <c r="AK907" s="55">
        <v>0</v>
      </c>
      <c r="AL907" s="55">
        <f t="shared" si="320"/>
        <v>0</v>
      </c>
      <c r="AM907" s="55" t="s">
        <v>1912</v>
      </c>
      <c r="AN907" s="55">
        <v>0</v>
      </c>
      <c r="AO907" s="55">
        <v>0</v>
      </c>
      <c r="AP907" s="55">
        <f t="shared" si="329"/>
        <v>0</v>
      </c>
      <c r="AQ907" s="55">
        <f>IFERROR(VLOOKUP(A907,[1]SIIMPLES!$A$2:$F$418,6,FALSE),0)</f>
        <v>0</v>
      </c>
      <c r="AR907" s="55">
        <v>0</v>
      </c>
      <c r="AS907" s="55">
        <v>0</v>
      </c>
      <c r="AT907" s="55">
        <v>0</v>
      </c>
      <c r="AU907" s="55">
        <v>0</v>
      </c>
      <c r="AV907" s="55">
        <v>0</v>
      </c>
      <c r="AW907" s="55"/>
      <c r="AX907" s="55"/>
      <c r="AY907" s="56">
        <f t="shared" si="331"/>
        <v>0</v>
      </c>
      <c r="AZ907" s="55"/>
      <c r="BA907" s="56">
        <v>0</v>
      </c>
      <c r="BB907" s="41" t="str">
        <f t="shared" si="322"/>
        <v/>
      </c>
      <c r="BC907" s="13"/>
      <c r="BD907" s="35"/>
      <c r="BE907" s="13"/>
      <c r="BF907" s="16">
        <f t="shared" si="336"/>
        <v>0</v>
      </c>
      <c r="BG907" s="17" t="str">
        <f t="shared" si="328"/>
        <v>0</v>
      </c>
      <c r="BH907" s="16">
        <f t="shared" si="332"/>
        <v>0</v>
      </c>
    </row>
    <row r="908" spans="1:60" ht="12.75" customHeight="1" x14ac:dyDescent="0.2">
      <c r="A908" s="51">
        <v>222031</v>
      </c>
      <c r="B908" s="51" t="s">
        <v>1077</v>
      </c>
      <c r="C908" s="66" t="s">
        <v>1803</v>
      </c>
      <c r="D908" s="52" t="s">
        <v>728</v>
      </c>
      <c r="E908" s="65" t="s">
        <v>780</v>
      </c>
      <c r="F908" s="53">
        <f>IFERROR(VLOOKUP(E908,Fornecedores!$A$2:$B$2700,2,FALSE),"")</f>
        <v>2</v>
      </c>
      <c r="G908" s="52" t="s">
        <v>42</v>
      </c>
      <c r="H908" s="57"/>
      <c r="I908" s="55">
        <f t="shared" si="333"/>
        <v>0</v>
      </c>
      <c r="J908" s="55">
        <v>0</v>
      </c>
      <c r="K908" s="55">
        <v>0</v>
      </c>
      <c r="L908" s="55">
        <v>0</v>
      </c>
      <c r="M908" s="55">
        <v>0</v>
      </c>
      <c r="N908" s="55">
        <f t="shared" si="334"/>
        <v>0</v>
      </c>
      <c r="O908" s="55">
        <v>0</v>
      </c>
      <c r="P908" s="55">
        <v>0</v>
      </c>
      <c r="Q908" s="55">
        <v>0</v>
      </c>
      <c r="R908" s="55">
        <f t="shared" si="335"/>
        <v>0</v>
      </c>
      <c r="S908" s="55">
        <v>0</v>
      </c>
      <c r="T908" s="55">
        <v>0</v>
      </c>
      <c r="U908" s="55">
        <v>0</v>
      </c>
      <c r="V908" s="55">
        <v>0</v>
      </c>
      <c r="W908" s="53">
        <v>0</v>
      </c>
      <c r="X908" s="53">
        <v>0</v>
      </c>
      <c r="Y908" s="55">
        <v>0</v>
      </c>
      <c r="Z908" s="55">
        <v>0</v>
      </c>
      <c r="AA908" s="53">
        <v>0</v>
      </c>
      <c r="AB908" s="53">
        <v>0</v>
      </c>
      <c r="AC908" s="55">
        <v>0</v>
      </c>
      <c r="AD908" s="55">
        <f t="shared" si="326"/>
        <v>0</v>
      </c>
      <c r="AE908" s="53">
        <v>0</v>
      </c>
      <c r="AF908" s="55">
        <v>0</v>
      </c>
      <c r="AG908" s="55">
        <v>0</v>
      </c>
      <c r="AH908" s="55">
        <f t="shared" si="319"/>
        <v>0</v>
      </c>
      <c r="AI908" s="55">
        <v>0</v>
      </c>
      <c r="AJ908" s="55">
        <v>0</v>
      </c>
      <c r="AK908" s="55">
        <v>0</v>
      </c>
      <c r="AL908" s="55">
        <f t="shared" si="320"/>
        <v>0</v>
      </c>
      <c r="AM908" s="55" t="s">
        <v>1912</v>
      </c>
      <c r="AN908" s="55">
        <v>0</v>
      </c>
      <c r="AO908" s="55">
        <v>0</v>
      </c>
      <c r="AP908" s="55">
        <f t="shared" si="329"/>
        <v>0</v>
      </c>
      <c r="AQ908" s="55">
        <f>IFERROR(VLOOKUP(A908,[1]SIIMPLES!$A$2:$F$418,6,FALSE),0)</f>
        <v>0</v>
      </c>
      <c r="AR908" s="55">
        <v>0</v>
      </c>
      <c r="AS908" s="55">
        <v>3</v>
      </c>
      <c r="AT908" s="55">
        <v>0</v>
      </c>
      <c r="AU908" s="55">
        <v>0</v>
      </c>
      <c r="AV908" s="55">
        <v>3</v>
      </c>
      <c r="AW908" s="55"/>
      <c r="AX908" s="55"/>
      <c r="AY908" s="56">
        <f t="shared" si="331"/>
        <v>0.3</v>
      </c>
      <c r="AZ908" s="55"/>
      <c r="BA908" s="56">
        <v>0.33333333333333331</v>
      </c>
      <c r="BB908" s="41">
        <f t="shared" si="322"/>
        <v>-9.9999999999999978E-2</v>
      </c>
      <c r="BC908" s="13"/>
      <c r="BD908" s="35"/>
      <c r="BE908" s="13"/>
      <c r="BF908" s="16">
        <f t="shared" si="336"/>
        <v>0</v>
      </c>
      <c r="BG908" s="17">
        <f t="shared" si="328"/>
        <v>0</v>
      </c>
      <c r="BH908" s="16">
        <f t="shared" si="332"/>
        <v>0.3</v>
      </c>
    </row>
    <row r="909" spans="1:60" ht="12.75" customHeight="1" x14ac:dyDescent="0.2">
      <c r="A909" s="51">
        <v>222051</v>
      </c>
      <c r="B909" s="51" t="s">
        <v>1077</v>
      </c>
      <c r="C909" s="66" t="s">
        <v>1803</v>
      </c>
      <c r="D909" s="52" t="s">
        <v>728</v>
      </c>
      <c r="E909" s="65" t="s">
        <v>780</v>
      </c>
      <c r="F909" s="53">
        <f>IFERROR(VLOOKUP(E909,Fornecedores!$A$2:$B$2700,2,FALSE),"")</f>
        <v>2</v>
      </c>
      <c r="G909" s="52" t="s">
        <v>88</v>
      </c>
      <c r="H909" s="57"/>
      <c r="I909" s="55">
        <f t="shared" si="333"/>
        <v>0</v>
      </c>
      <c r="J909" s="55">
        <v>0</v>
      </c>
      <c r="K909" s="55">
        <v>0</v>
      </c>
      <c r="L909" s="55">
        <v>0</v>
      </c>
      <c r="M909" s="55">
        <v>0</v>
      </c>
      <c r="N909" s="55">
        <f t="shared" si="334"/>
        <v>0</v>
      </c>
      <c r="O909" s="55">
        <v>0</v>
      </c>
      <c r="P909" s="55">
        <v>0</v>
      </c>
      <c r="Q909" s="55">
        <v>0</v>
      </c>
      <c r="R909" s="55">
        <f t="shared" si="335"/>
        <v>0</v>
      </c>
      <c r="S909" s="55">
        <v>0</v>
      </c>
      <c r="T909" s="55">
        <v>0</v>
      </c>
      <c r="U909" s="55">
        <v>0</v>
      </c>
      <c r="V909" s="55">
        <v>0</v>
      </c>
      <c r="W909" s="53">
        <v>0</v>
      </c>
      <c r="X909" s="53">
        <v>0</v>
      </c>
      <c r="Y909" s="55">
        <v>0</v>
      </c>
      <c r="Z909" s="55">
        <v>0</v>
      </c>
      <c r="AA909" s="53">
        <v>0</v>
      </c>
      <c r="AB909" s="53">
        <v>0</v>
      </c>
      <c r="AC909" s="55">
        <v>0</v>
      </c>
      <c r="AD909" s="55">
        <f t="shared" si="326"/>
        <v>0</v>
      </c>
      <c r="AE909" s="53">
        <v>0</v>
      </c>
      <c r="AF909" s="55">
        <v>0</v>
      </c>
      <c r="AG909" s="55">
        <v>0</v>
      </c>
      <c r="AH909" s="55">
        <f t="shared" si="319"/>
        <v>0</v>
      </c>
      <c r="AI909" s="55">
        <v>0</v>
      </c>
      <c r="AJ909" s="55">
        <v>0</v>
      </c>
      <c r="AK909" s="55">
        <v>0</v>
      </c>
      <c r="AL909" s="55">
        <f t="shared" si="320"/>
        <v>0</v>
      </c>
      <c r="AM909" s="55" t="s">
        <v>1912</v>
      </c>
      <c r="AN909" s="55">
        <v>0</v>
      </c>
      <c r="AO909" s="55">
        <v>0</v>
      </c>
      <c r="AP909" s="55">
        <f t="shared" si="329"/>
        <v>0</v>
      </c>
      <c r="AQ909" s="55">
        <f>IFERROR(VLOOKUP(A909,[1]SIIMPLES!$A$2:$F$418,6,FALSE),0)</f>
        <v>0</v>
      </c>
      <c r="AR909" s="55">
        <v>0</v>
      </c>
      <c r="AS909" s="55">
        <v>4</v>
      </c>
      <c r="AT909" s="55">
        <v>0</v>
      </c>
      <c r="AU909" s="55">
        <v>0</v>
      </c>
      <c r="AV909" s="55">
        <v>4</v>
      </c>
      <c r="AW909" s="55"/>
      <c r="AX909" s="55"/>
      <c r="AY909" s="56">
        <f t="shared" si="331"/>
        <v>0.4</v>
      </c>
      <c r="AZ909" s="55"/>
      <c r="BA909" s="56">
        <v>5</v>
      </c>
      <c r="BB909" s="41">
        <f t="shared" si="322"/>
        <v>-0.92</v>
      </c>
      <c r="BC909" s="13"/>
      <c r="BD909" s="35"/>
      <c r="BE909" s="13"/>
      <c r="BF909" s="16">
        <f t="shared" si="336"/>
        <v>0</v>
      </c>
      <c r="BG909" s="17">
        <f t="shared" si="328"/>
        <v>0</v>
      </c>
      <c r="BH909" s="16">
        <f t="shared" si="332"/>
        <v>0.4</v>
      </c>
    </row>
    <row r="910" spans="1:60" ht="12.75" customHeight="1" x14ac:dyDescent="0.2">
      <c r="A910" s="51">
        <v>222052</v>
      </c>
      <c r="B910" s="51" t="s">
        <v>1077</v>
      </c>
      <c r="C910" s="66" t="s">
        <v>1803</v>
      </c>
      <c r="D910" s="52" t="s">
        <v>728</v>
      </c>
      <c r="E910" s="65" t="s">
        <v>780</v>
      </c>
      <c r="F910" s="53">
        <f>IFERROR(VLOOKUP(E910,Fornecedores!$A$2:$B$2700,2,FALSE),"")</f>
        <v>2</v>
      </c>
      <c r="G910" s="52" t="s">
        <v>92</v>
      </c>
      <c r="H910" s="57"/>
      <c r="I910" s="55">
        <f t="shared" si="333"/>
        <v>0</v>
      </c>
      <c r="J910" s="55">
        <v>0</v>
      </c>
      <c r="K910" s="55">
        <v>0</v>
      </c>
      <c r="L910" s="55">
        <v>0</v>
      </c>
      <c r="M910" s="55">
        <v>0</v>
      </c>
      <c r="N910" s="55">
        <f t="shared" si="334"/>
        <v>0</v>
      </c>
      <c r="O910" s="55">
        <v>0</v>
      </c>
      <c r="P910" s="55">
        <v>0</v>
      </c>
      <c r="Q910" s="55">
        <v>0</v>
      </c>
      <c r="R910" s="55">
        <f t="shared" si="335"/>
        <v>0</v>
      </c>
      <c r="S910" s="55">
        <v>0</v>
      </c>
      <c r="T910" s="55">
        <v>0</v>
      </c>
      <c r="U910" s="55">
        <v>0</v>
      </c>
      <c r="V910" s="55">
        <v>0</v>
      </c>
      <c r="W910" s="53">
        <v>0</v>
      </c>
      <c r="X910" s="53">
        <v>0</v>
      </c>
      <c r="Y910" s="55">
        <v>0</v>
      </c>
      <c r="Z910" s="55">
        <v>0</v>
      </c>
      <c r="AA910" s="53">
        <v>0</v>
      </c>
      <c r="AB910" s="53">
        <v>0</v>
      </c>
      <c r="AC910" s="55">
        <v>0</v>
      </c>
      <c r="AD910" s="55">
        <f t="shared" si="326"/>
        <v>2</v>
      </c>
      <c r="AE910" s="53">
        <v>0</v>
      </c>
      <c r="AF910" s="55">
        <v>0</v>
      </c>
      <c r="AG910" s="55">
        <v>2</v>
      </c>
      <c r="AH910" s="55">
        <f t="shared" si="319"/>
        <v>0</v>
      </c>
      <c r="AI910" s="55">
        <v>0</v>
      </c>
      <c r="AJ910" s="55">
        <v>0</v>
      </c>
      <c r="AK910" s="55">
        <v>0</v>
      </c>
      <c r="AL910" s="55">
        <f t="shared" si="320"/>
        <v>0</v>
      </c>
      <c r="AM910" s="55" t="s">
        <v>1912</v>
      </c>
      <c r="AN910" s="55">
        <v>0</v>
      </c>
      <c r="AO910" s="55">
        <v>0</v>
      </c>
      <c r="AP910" s="55">
        <f t="shared" si="329"/>
        <v>0</v>
      </c>
      <c r="AQ910" s="55">
        <f>IFERROR(VLOOKUP(A910,[1]SIIMPLES!$A$2:$F$418,6,FALSE),0)</f>
        <v>0</v>
      </c>
      <c r="AR910" s="55">
        <v>0</v>
      </c>
      <c r="AS910" s="55">
        <v>4</v>
      </c>
      <c r="AT910" s="55">
        <v>0</v>
      </c>
      <c r="AU910" s="55">
        <v>0</v>
      </c>
      <c r="AV910" s="55">
        <v>4</v>
      </c>
      <c r="AW910" s="55"/>
      <c r="AX910" s="55"/>
      <c r="AY910" s="56">
        <f t="shared" si="331"/>
        <v>0.6</v>
      </c>
      <c r="AZ910" s="55"/>
      <c r="BA910" s="56">
        <v>5.666666666666667</v>
      </c>
      <c r="BB910" s="41">
        <f t="shared" si="322"/>
        <v>-0.89411764705882357</v>
      </c>
      <c r="BC910" s="13"/>
      <c r="BD910" s="35"/>
      <c r="BE910" s="13"/>
      <c r="BF910" s="16">
        <f t="shared" si="336"/>
        <v>0</v>
      </c>
      <c r="BG910" s="17">
        <f t="shared" si="328"/>
        <v>0</v>
      </c>
      <c r="BH910" s="16">
        <f t="shared" si="332"/>
        <v>0.6</v>
      </c>
    </row>
    <row r="911" spans="1:60" ht="12.75" customHeight="1" x14ac:dyDescent="0.2">
      <c r="A911" s="51">
        <v>222061</v>
      </c>
      <c r="B911" s="51" t="s">
        <v>1077</v>
      </c>
      <c r="C911" s="66" t="s">
        <v>1803</v>
      </c>
      <c r="D911" s="52" t="s">
        <v>728</v>
      </c>
      <c r="E911" s="65" t="s">
        <v>780</v>
      </c>
      <c r="F911" s="53">
        <f>IFERROR(VLOOKUP(E911,Fornecedores!$A$2:$B$2700,2,FALSE),"")</f>
        <v>2</v>
      </c>
      <c r="G911" s="52" t="s">
        <v>671</v>
      </c>
      <c r="H911" s="57"/>
      <c r="I911" s="55">
        <f t="shared" si="333"/>
        <v>0</v>
      </c>
      <c r="J911" s="55">
        <v>0</v>
      </c>
      <c r="K911" s="55">
        <v>0</v>
      </c>
      <c r="L911" s="55">
        <v>0</v>
      </c>
      <c r="M911" s="55">
        <v>0</v>
      </c>
      <c r="N911" s="55">
        <f t="shared" si="334"/>
        <v>0</v>
      </c>
      <c r="O911" s="55">
        <v>0</v>
      </c>
      <c r="P911" s="55">
        <v>0</v>
      </c>
      <c r="Q911" s="55">
        <v>0</v>
      </c>
      <c r="R911" s="55">
        <f t="shared" si="335"/>
        <v>0</v>
      </c>
      <c r="S911" s="55">
        <v>0</v>
      </c>
      <c r="T911" s="55">
        <v>0</v>
      </c>
      <c r="U911" s="55">
        <v>0</v>
      </c>
      <c r="V911" s="55">
        <v>0</v>
      </c>
      <c r="W911" s="53">
        <v>0</v>
      </c>
      <c r="X911" s="53">
        <v>0</v>
      </c>
      <c r="Y911" s="55">
        <v>0</v>
      </c>
      <c r="Z911" s="55">
        <v>0</v>
      </c>
      <c r="AA911" s="53">
        <v>0</v>
      </c>
      <c r="AB911" s="53">
        <v>0</v>
      </c>
      <c r="AC911" s="55">
        <v>0</v>
      </c>
      <c r="AD911" s="55">
        <f t="shared" si="326"/>
        <v>0</v>
      </c>
      <c r="AE911" s="53">
        <v>0</v>
      </c>
      <c r="AF911" s="55">
        <v>0</v>
      </c>
      <c r="AG911" s="55">
        <v>0</v>
      </c>
      <c r="AH911" s="55">
        <f t="shared" si="319"/>
        <v>0</v>
      </c>
      <c r="AI911" s="55">
        <v>0</v>
      </c>
      <c r="AJ911" s="55">
        <v>0</v>
      </c>
      <c r="AK911" s="55">
        <v>0</v>
      </c>
      <c r="AL911" s="55">
        <f t="shared" si="320"/>
        <v>0</v>
      </c>
      <c r="AM911" s="55" t="s">
        <v>1912</v>
      </c>
      <c r="AN911" s="55">
        <v>0</v>
      </c>
      <c r="AO911" s="55">
        <v>0</v>
      </c>
      <c r="AP911" s="55">
        <f t="shared" si="329"/>
        <v>0</v>
      </c>
      <c r="AQ911" s="55">
        <f>IFERROR(VLOOKUP(A911,[1]SIIMPLES!$A$2:$F$418,6,FALSE),0)</f>
        <v>0</v>
      </c>
      <c r="AR911" s="55">
        <v>0</v>
      </c>
      <c r="AS911" s="55">
        <v>0</v>
      </c>
      <c r="AT911" s="55">
        <v>0</v>
      </c>
      <c r="AU911" s="55">
        <v>0</v>
      </c>
      <c r="AV911" s="55">
        <v>0</v>
      </c>
      <c r="AW911" s="55"/>
      <c r="AX911" s="55"/>
      <c r="AY911" s="56">
        <f t="shared" si="331"/>
        <v>0</v>
      </c>
      <c r="AZ911" s="55"/>
      <c r="BA911" s="56">
        <v>0</v>
      </c>
      <c r="BB911" s="41" t="str">
        <f t="shared" si="322"/>
        <v/>
      </c>
      <c r="BC911" s="13"/>
      <c r="BD911" s="35"/>
      <c r="BE911" s="13"/>
      <c r="BF911" s="16">
        <f t="shared" si="336"/>
        <v>0</v>
      </c>
      <c r="BG911" s="17" t="str">
        <f t="shared" si="328"/>
        <v>0</v>
      </c>
      <c r="BH911" s="16">
        <f t="shared" si="332"/>
        <v>0</v>
      </c>
    </row>
    <row r="912" spans="1:60" ht="12.75" customHeight="1" x14ac:dyDescent="0.2">
      <c r="A912" s="51">
        <v>222063</v>
      </c>
      <c r="B912" s="51" t="s">
        <v>1077</v>
      </c>
      <c r="C912" s="66" t="s">
        <v>1803</v>
      </c>
      <c r="D912" s="52" t="s">
        <v>728</v>
      </c>
      <c r="E912" s="65" t="s">
        <v>780</v>
      </c>
      <c r="F912" s="53">
        <f>IFERROR(VLOOKUP(E912,Fornecedores!$A$2:$B$2700,2,FALSE),"")</f>
        <v>2</v>
      </c>
      <c r="G912" s="52" t="s">
        <v>668</v>
      </c>
      <c r="H912" s="57"/>
      <c r="I912" s="55">
        <f t="shared" si="333"/>
        <v>0</v>
      </c>
      <c r="J912" s="55">
        <v>0</v>
      </c>
      <c r="K912" s="55">
        <v>0</v>
      </c>
      <c r="L912" s="55">
        <v>0</v>
      </c>
      <c r="M912" s="55">
        <v>0</v>
      </c>
      <c r="N912" s="55">
        <f t="shared" si="334"/>
        <v>0</v>
      </c>
      <c r="O912" s="55">
        <v>0</v>
      </c>
      <c r="P912" s="55">
        <v>0</v>
      </c>
      <c r="Q912" s="55">
        <v>0</v>
      </c>
      <c r="R912" s="55">
        <f t="shared" si="335"/>
        <v>0</v>
      </c>
      <c r="S912" s="55">
        <v>0</v>
      </c>
      <c r="T912" s="55">
        <v>0</v>
      </c>
      <c r="U912" s="55">
        <v>0</v>
      </c>
      <c r="V912" s="55">
        <v>0</v>
      </c>
      <c r="W912" s="53">
        <v>0</v>
      </c>
      <c r="X912" s="53">
        <v>0</v>
      </c>
      <c r="Y912" s="55">
        <v>0</v>
      </c>
      <c r="Z912" s="55">
        <v>0</v>
      </c>
      <c r="AA912" s="53">
        <v>0</v>
      </c>
      <c r="AB912" s="53">
        <v>0</v>
      </c>
      <c r="AC912" s="55">
        <v>0</v>
      </c>
      <c r="AD912" s="55">
        <f t="shared" si="326"/>
        <v>0</v>
      </c>
      <c r="AE912" s="53">
        <v>0</v>
      </c>
      <c r="AF912" s="55">
        <v>0</v>
      </c>
      <c r="AG912" s="55">
        <v>0</v>
      </c>
      <c r="AH912" s="55">
        <f t="shared" si="319"/>
        <v>0</v>
      </c>
      <c r="AI912" s="55">
        <v>0</v>
      </c>
      <c r="AJ912" s="55">
        <v>0</v>
      </c>
      <c r="AK912" s="55">
        <v>0</v>
      </c>
      <c r="AL912" s="55">
        <f t="shared" si="320"/>
        <v>0</v>
      </c>
      <c r="AM912" s="55" t="s">
        <v>1912</v>
      </c>
      <c r="AN912" s="55">
        <v>0</v>
      </c>
      <c r="AO912" s="55">
        <v>0</v>
      </c>
      <c r="AP912" s="55">
        <f t="shared" si="329"/>
        <v>0</v>
      </c>
      <c r="AQ912" s="55">
        <f>IFERROR(VLOOKUP(A912,[1]SIIMPLES!$A$2:$F$418,6,FALSE),0)</f>
        <v>0</v>
      </c>
      <c r="AR912" s="55">
        <v>0</v>
      </c>
      <c r="AS912" s="55">
        <v>0</v>
      </c>
      <c r="AT912" s="55">
        <v>0</v>
      </c>
      <c r="AU912" s="55">
        <v>0</v>
      </c>
      <c r="AV912" s="55">
        <v>0</v>
      </c>
      <c r="AW912" s="55"/>
      <c r="AX912" s="55"/>
      <c r="AY912" s="56">
        <f t="shared" si="331"/>
        <v>0</v>
      </c>
      <c r="AZ912" s="55"/>
      <c r="BA912" s="56">
        <v>0.5</v>
      </c>
      <c r="BB912" s="41">
        <f t="shared" si="322"/>
        <v>-1</v>
      </c>
      <c r="BC912" s="13"/>
      <c r="BD912" s="35"/>
      <c r="BE912" s="13"/>
      <c r="BF912" s="16">
        <f t="shared" si="336"/>
        <v>0</v>
      </c>
      <c r="BG912" s="17" t="str">
        <f t="shared" si="328"/>
        <v>0</v>
      </c>
      <c r="BH912" s="16">
        <f t="shared" si="332"/>
        <v>0</v>
      </c>
    </row>
    <row r="913" spans="1:60" ht="12.75" customHeight="1" x14ac:dyDescent="0.2">
      <c r="A913" s="51">
        <v>222064</v>
      </c>
      <c r="B913" s="51" t="s">
        <v>1077</v>
      </c>
      <c r="C913" s="66" t="s">
        <v>1803</v>
      </c>
      <c r="D913" s="52" t="s">
        <v>728</v>
      </c>
      <c r="E913" s="65" t="s">
        <v>780</v>
      </c>
      <c r="F913" s="53">
        <f>IFERROR(VLOOKUP(E913,Fornecedores!$A$2:$B$2700,2,FALSE),"")</f>
        <v>2</v>
      </c>
      <c r="G913" s="52" t="s">
        <v>673</v>
      </c>
      <c r="H913" s="57"/>
      <c r="I913" s="55">
        <f t="shared" si="333"/>
        <v>0</v>
      </c>
      <c r="J913" s="55">
        <v>0</v>
      </c>
      <c r="K913" s="55">
        <v>0</v>
      </c>
      <c r="L913" s="55">
        <v>0</v>
      </c>
      <c r="M913" s="55">
        <v>0</v>
      </c>
      <c r="N913" s="55">
        <f t="shared" si="334"/>
        <v>0</v>
      </c>
      <c r="O913" s="55">
        <v>0</v>
      </c>
      <c r="P913" s="55">
        <v>0</v>
      </c>
      <c r="Q913" s="55">
        <v>0</v>
      </c>
      <c r="R913" s="55">
        <f t="shared" si="335"/>
        <v>0</v>
      </c>
      <c r="S913" s="55">
        <v>0</v>
      </c>
      <c r="T913" s="55">
        <v>0</v>
      </c>
      <c r="U913" s="55">
        <v>0</v>
      </c>
      <c r="V913" s="55">
        <v>0</v>
      </c>
      <c r="W913" s="53">
        <v>0</v>
      </c>
      <c r="X913" s="53">
        <v>0</v>
      </c>
      <c r="Y913" s="55">
        <v>0</v>
      </c>
      <c r="Z913" s="55">
        <v>0</v>
      </c>
      <c r="AA913" s="53">
        <v>0</v>
      </c>
      <c r="AB913" s="53">
        <v>0</v>
      </c>
      <c r="AC913" s="55">
        <v>0</v>
      </c>
      <c r="AD913" s="55">
        <f t="shared" si="326"/>
        <v>0</v>
      </c>
      <c r="AE913" s="53">
        <v>0</v>
      </c>
      <c r="AF913" s="55">
        <v>0</v>
      </c>
      <c r="AG913" s="55">
        <v>0</v>
      </c>
      <c r="AH913" s="55">
        <f t="shared" si="319"/>
        <v>0</v>
      </c>
      <c r="AI913" s="55">
        <v>0</v>
      </c>
      <c r="AJ913" s="55">
        <v>0</v>
      </c>
      <c r="AK913" s="55">
        <v>0</v>
      </c>
      <c r="AL913" s="55">
        <f t="shared" si="320"/>
        <v>0</v>
      </c>
      <c r="AM913" s="55" t="s">
        <v>1912</v>
      </c>
      <c r="AN913" s="55">
        <v>0</v>
      </c>
      <c r="AO913" s="55">
        <v>0</v>
      </c>
      <c r="AP913" s="55">
        <f t="shared" si="329"/>
        <v>0</v>
      </c>
      <c r="AQ913" s="55">
        <f>IFERROR(VLOOKUP(A913,[1]SIIMPLES!$A$2:$F$418,6,FALSE),0)</f>
        <v>0</v>
      </c>
      <c r="AR913" s="55">
        <v>0</v>
      </c>
      <c r="AS913" s="55">
        <v>0</v>
      </c>
      <c r="AT913" s="55">
        <v>0</v>
      </c>
      <c r="AU913" s="55">
        <v>0</v>
      </c>
      <c r="AV913" s="55">
        <v>0</v>
      </c>
      <c r="AW913" s="55"/>
      <c r="AX913" s="55"/>
      <c r="AY913" s="56">
        <f t="shared" si="331"/>
        <v>0</v>
      </c>
      <c r="AZ913" s="55"/>
      <c r="BA913" s="56">
        <v>0.66666666666666663</v>
      </c>
      <c r="BB913" s="41">
        <f t="shared" si="322"/>
        <v>-1</v>
      </c>
      <c r="BC913" s="13"/>
      <c r="BD913" s="35"/>
      <c r="BE913" s="13"/>
      <c r="BF913" s="16">
        <f t="shared" si="336"/>
        <v>0</v>
      </c>
      <c r="BG913" s="17" t="str">
        <f t="shared" si="328"/>
        <v>0</v>
      </c>
      <c r="BH913" s="16">
        <f t="shared" si="332"/>
        <v>0</v>
      </c>
    </row>
    <row r="914" spans="1:60" ht="12.75" customHeight="1" x14ac:dyDescent="0.2">
      <c r="A914" s="51">
        <v>222067</v>
      </c>
      <c r="B914" s="51" t="s">
        <v>1077</v>
      </c>
      <c r="C914" s="66" t="s">
        <v>1803</v>
      </c>
      <c r="D914" s="52" t="s">
        <v>728</v>
      </c>
      <c r="E914" s="65" t="s">
        <v>780</v>
      </c>
      <c r="F914" s="53">
        <f>IFERROR(VLOOKUP(E914,Fornecedores!$A$2:$B$2700,2,FALSE),"")</f>
        <v>2</v>
      </c>
      <c r="G914" s="52" t="s">
        <v>1294</v>
      </c>
      <c r="H914" s="57"/>
      <c r="I914" s="55">
        <f t="shared" si="333"/>
        <v>1</v>
      </c>
      <c r="J914" s="55">
        <v>1</v>
      </c>
      <c r="K914" s="55">
        <v>0</v>
      </c>
      <c r="L914" s="55">
        <v>0</v>
      </c>
      <c r="M914" s="55">
        <v>0</v>
      </c>
      <c r="N914" s="55">
        <f t="shared" si="334"/>
        <v>0</v>
      </c>
      <c r="O914" s="55">
        <v>0</v>
      </c>
      <c r="P914" s="55">
        <v>0</v>
      </c>
      <c r="Q914" s="55">
        <v>0</v>
      </c>
      <c r="R914" s="55">
        <f t="shared" si="335"/>
        <v>0</v>
      </c>
      <c r="S914" s="55">
        <v>0</v>
      </c>
      <c r="T914" s="55">
        <v>0</v>
      </c>
      <c r="U914" s="55">
        <v>0</v>
      </c>
      <c r="V914" s="55">
        <v>0</v>
      </c>
      <c r="W914" s="53">
        <v>0</v>
      </c>
      <c r="X914" s="53">
        <v>0</v>
      </c>
      <c r="Y914" s="55">
        <v>0</v>
      </c>
      <c r="Z914" s="55">
        <v>0</v>
      </c>
      <c r="AA914" s="53">
        <v>0</v>
      </c>
      <c r="AB914" s="53">
        <v>0</v>
      </c>
      <c r="AC914" s="55">
        <v>0</v>
      </c>
      <c r="AD914" s="55">
        <f t="shared" si="326"/>
        <v>0</v>
      </c>
      <c r="AE914" s="53">
        <v>0</v>
      </c>
      <c r="AF914" s="55">
        <v>0</v>
      </c>
      <c r="AG914" s="55">
        <v>0</v>
      </c>
      <c r="AH914" s="55">
        <f t="shared" si="319"/>
        <v>0</v>
      </c>
      <c r="AI914" s="55">
        <v>0</v>
      </c>
      <c r="AJ914" s="55">
        <v>0</v>
      </c>
      <c r="AK914" s="55">
        <v>0</v>
      </c>
      <c r="AL914" s="55">
        <f t="shared" si="320"/>
        <v>0</v>
      </c>
      <c r="AM914" s="55" t="s">
        <v>1912</v>
      </c>
      <c r="AN914" s="55">
        <v>0</v>
      </c>
      <c r="AO914" s="55">
        <v>0</v>
      </c>
      <c r="AP914" s="55">
        <f t="shared" si="329"/>
        <v>0</v>
      </c>
      <c r="AQ914" s="55">
        <f>IFERROR(VLOOKUP(A914,[1]SIIMPLES!$A$2:$F$418,6,FALSE),0)</f>
        <v>0</v>
      </c>
      <c r="AR914" s="55">
        <v>0</v>
      </c>
      <c r="AS914" s="55">
        <v>0</v>
      </c>
      <c r="AT914" s="55">
        <v>0</v>
      </c>
      <c r="AU914" s="55">
        <v>0</v>
      </c>
      <c r="AV914" s="55">
        <v>0</v>
      </c>
      <c r="AW914" s="55"/>
      <c r="AX914" s="55"/>
      <c r="AY914" s="56">
        <f t="shared" si="331"/>
        <v>0.1</v>
      </c>
      <c r="AZ914" s="55"/>
      <c r="BA914" s="56">
        <v>0</v>
      </c>
      <c r="BB914" s="41" t="str">
        <f t="shared" si="322"/>
        <v/>
      </c>
      <c r="BC914" s="13"/>
      <c r="BD914" s="35"/>
      <c r="BE914" s="13"/>
      <c r="BF914" s="16">
        <f t="shared" si="336"/>
        <v>0</v>
      </c>
      <c r="BG914" s="17">
        <f t="shared" si="328"/>
        <v>0</v>
      </c>
      <c r="BH914" s="16">
        <f t="shared" si="332"/>
        <v>0.1</v>
      </c>
    </row>
    <row r="915" spans="1:60" ht="12.75" customHeight="1" x14ac:dyDescent="0.2">
      <c r="A915" s="51">
        <v>222068</v>
      </c>
      <c r="B915" s="51" t="s">
        <v>1077</v>
      </c>
      <c r="C915" s="66" t="s">
        <v>1803</v>
      </c>
      <c r="D915" s="52" t="s">
        <v>728</v>
      </c>
      <c r="E915" s="65" t="s">
        <v>780</v>
      </c>
      <c r="F915" s="53">
        <f>IFERROR(VLOOKUP(E915,Fornecedores!$A$2:$B$2700,2,FALSE),"")</f>
        <v>2</v>
      </c>
      <c r="G915" s="52" t="s">
        <v>1295</v>
      </c>
      <c r="H915" s="57"/>
      <c r="I915" s="55">
        <f t="shared" si="333"/>
        <v>0</v>
      </c>
      <c r="J915" s="55">
        <v>0</v>
      </c>
      <c r="K915" s="55">
        <v>0</v>
      </c>
      <c r="L915" s="55">
        <v>0</v>
      </c>
      <c r="M915" s="55">
        <v>0</v>
      </c>
      <c r="N915" s="55">
        <f t="shared" si="334"/>
        <v>0</v>
      </c>
      <c r="O915" s="55">
        <v>0</v>
      </c>
      <c r="P915" s="55">
        <v>0</v>
      </c>
      <c r="Q915" s="55">
        <v>0</v>
      </c>
      <c r="R915" s="55">
        <f t="shared" si="335"/>
        <v>0</v>
      </c>
      <c r="S915" s="55">
        <v>0</v>
      </c>
      <c r="T915" s="55">
        <v>0</v>
      </c>
      <c r="U915" s="55">
        <v>0</v>
      </c>
      <c r="V915" s="55">
        <v>0</v>
      </c>
      <c r="W915" s="53">
        <v>0</v>
      </c>
      <c r="X915" s="53">
        <v>0</v>
      </c>
      <c r="Y915" s="55">
        <v>0</v>
      </c>
      <c r="Z915" s="55">
        <v>0</v>
      </c>
      <c r="AA915" s="53">
        <v>0</v>
      </c>
      <c r="AB915" s="53">
        <v>0</v>
      </c>
      <c r="AC915" s="55">
        <v>0</v>
      </c>
      <c r="AD915" s="55">
        <f t="shared" si="326"/>
        <v>0</v>
      </c>
      <c r="AE915" s="53">
        <v>0</v>
      </c>
      <c r="AF915" s="55">
        <v>0</v>
      </c>
      <c r="AG915" s="55">
        <v>0</v>
      </c>
      <c r="AH915" s="55">
        <f t="shared" ref="AH915:AH978" si="337">SUM(AI915:AK915)</f>
        <v>0</v>
      </c>
      <c r="AI915" s="55">
        <v>0</v>
      </c>
      <c r="AJ915" s="55">
        <v>0</v>
      </c>
      <c r="AK915" s="55">
        <v>0</v>
      </c>
      <c r="AL915" s="55">
        <f t="shared" ref="AL915:AL978" si="338">SUM(AM915:AO915)</f>
        <v>0</v>
      </c>
      <c r="AM915" s="55" t="s">
        <v>1912</v>
      </c>
      <c r="AN915" s="55">
        <v>0</v>
      </c>
      <c r="AO915" s="55">
        <v>0</v>
      </c>
      <c r="AP915" s="55">
        <f t="shared" si="329"/>
        <v>0</v>
      </c>
      <c r="AQ915" s="55">
        <f>IFERROR(VLOOKUP(A915,[1]SIIMPLES!$A$2:$F$418,6,FALSE),0)</f>
        <v>0</v>
      </c>
      <c r="AR915" s="55">
        <v>0</v>
      </c>
      <c r="AS915" s="55">
        <v>0</v>
      </c>
      <c r="AT915" s="55">
        <v>0</v>
      </c>
      <c r="AU915" s="55">
        <v>0</v>
      </c>
      <c r="AV915" s="55">
        <v>0</v>
      </c>
      <c r="AW915" s="55"/>
      <c r="AX915" s="55"/>
      <c r="AY915" s="56">
        <f t="shared" si="331"/>
        <v>0</v>
      </c>
      <c r="AZ915" s="55"/>
      <c r="BA915" s="56">
        <v>0</v>
      </c>
      <c r="BB915" s="41" t="str">
        <f t="shared" si="322"/>
        <v/>
      </c>
      <c r="BC915" s="13"/>
      <c r="BD915" s="35"/>
      <c r="BE915" s="13"/>
      <c r="BF915" s="16">
        <f t="shared" si="336"/>
        <v>0</v>
      </c>
      <c r="BG915" s="17" t="str">
        <f t="shared" ref="BG915:BG948" si="339">IFERROR(BC915/AY915,"0")</f>
        <v>0</v>
      </c>
      <c r="BH915" s="16">
        <f t="shared" si="332"/>
        <v>0</v>
      </c>
    </row>
    <row r="916" spans="1:60" ht="12.75" customHeight="1" x14ac:dyDescent="0.2">
      <c r="A916" s="51">
        <v>222069</v>
      </c>
      <c r="B916" s="51"/>
      <c r="C916" s="66" t="s">
        <v>1803</v>
      </c>
      <c r="D916" s="52" t="s">
        <v>728</v>
      </c>
      <c r="E916" s="65" t="s">
        <v>780</v>
      </c>
      <c r="F916" s="53">
        <f>IFERROR(VLOOKUP(E916,Fornecedores!$A$2:$B$2700,2,FALSE),"")</f>
        <v>2</v>
      </c>
      <c r="G916" s="52" t="s">
        <v>1296</v>
      </c>
      <c r="H916" s="57"/>
      <c r="I916" s="55">
        <f t="shared" si="333"/>
        <v>0</v>
      </c>
      <c r="J916" s="55">
        <v>0</v>
      </c>
      <c r="K916" s="55">
        <v>0</v>
      </c>
      <c r="L916" s="55">
        <v>0</v>
      </c>
      <c r="M916" s="55">
        <v>0</v>
      </c>
      <c r="N916" s="55">
        <f t="shared" si="334"/>
        <v>0</v>
      </c>
      <c r="O916" s="55">
        <v>0</v>
      </c>
      <c r="P916" s="55">
        <v>0</v>
      </c>
      <c r="Q916" s="55">
        <v>0</v>
      </c>
      <c r="R916" s="55">
        <f t="shared" si="335"/>
        <v>0</v>
      </c>
      <c r="S916" s="55">
        <v>0</v>
      </c>
      <c r="T916" s="55">
        <v>0</v>
      </c>
      <c r="U916" s="55">
        <v>0</v>
      </c>
      <c r="V916" s="55">
        <v>0</v>
      </c>
      <c r="W916" s="53">
        <v>0</v>
      </c>
      <c r="X916" s="53">
        <v>0</v>
      </c>
      <c r="Y916" s="55">
        <v>0</v>
      </c>
      <c r="Z916" s="55">
        <v>0</v>
      </c>
      <c r="AA916" s="53">
        <v>0</v>
      </c>
      <c r="AB916" s="53">
        <v>0</v>
      </c>
      <c r="AC916" s="55">
        <v>0</v>
      </c>
      <c r="AD916" s="55">
        <f t="shared" si="326"/>
        <v>0</v>
      </c>
      <c r="AE916" s="53">
        <v>0</v>
      </c>
      <c r="AF916" s="55">
        <v>0</v>
      </c>
      <c r="AG916" s="55">
        <v>0</v>
      </c>
      <c r="AH916" s="55">
        <f t="shared" si="337"/>
        <v>0</v>
      </c>
      <c r="AI916" s="55">
        <v>0</v>
      </c>
      <c r="AJ916" s="55">
        <v>0</v>
      </c>
      <c r="AK916" s="55">
        <v>0</v>
      </c>
      <c r="AL916" s="55">
        <f t="shared" si="338"/>
        <v>0</v>
      </c>
      <c r="AM916" s="55" t="s">
        <v>1912</v>
      </c>
      <c r="AN916" s="55">
        <v>0</v>
      </c>
      <c r="AO916" s="55">
        <v>0</v>
      </c>
      <c r="AP916" s="55">
        <f t="shared" si="329"/>
        <v>0</v>
      </c>
      <c r="AQ916" s="55">
        <f>IFERROR(VLOOKUP(A916,[1]SIIMPLES!$A$2:$F$418,6,FALSE),0)</f>
        <v>0</v>
      </c>
      <c r="AR916" s="55">
        <v>0</v>
      </c>
      <c r="AS916" s="55">
        <v>0</v>
      </c>
      <c r="AT916" s="55">
        <v>0</v>
      </c>
      <c r="AU916" s="55">
        <v>0</v>
      </c>
      <c r="AV916" s="55">
        <v>0</v>
      </c>
      <c r="AW916" s="55"/>
      <c r="AX916" s="55"/>
      <c r="AY916" s="56">
        <f t="shared" si="331"/>
        <v>0</v>
      </c>
      <c r="AZ916" s="55"/>
      <c r="BA916" s="56">
        <v>0</v>
      </c>
      <c r="BB916" s="41" t="str">
        <f t="shared" si="322"/>
        <v/>
      </c>
      <c r="BC916" s="13"/>
      <c r="BD916" s="35"/>
      <c r="BE916" s="13"/>
      <c r="BF916" s="16">
        <f t="shared" si="336"/>
        <v>0</v>
      </c>
      <c r="BG916" s="17" t="str">
        <f t="shared" si="339"/>
        <v>0</v>
      </c>
      <c r="BH916" s="16">
        <f t="shared" si="332"/>
        <v>0</v>
      </c>
    </row>
    <row r="917" spans="1:60" ht="12.75" customHeight="1" x14ac:dyDescent="0.2">
      <c r="A917" s="51">
        <v>222070</v>
      </c>
      <c r="B917" s="51"/>
      <c r="C917" s="66" t="s">
        <v>1803</v>
      </c>
      <c r="D917" s="52" t="s">
        <v>728</v>
      </c>
      <c r="E917" s="65" t="s">
        <v>780</v>
      </c>
      <c r="F917" s="53">
        <f>IFERROR(VLOOKUP(E917,Fornecedores!$A$2:$B$2700,2,FALSE),"")</f>
        <v>2</v>
      </c>
      <c r="G917" s="52" t="s">
        <v>1297</v>
      </c>
      <c r="H917" s="57"/>
      <c r="I917" s="55">
        <f t="shared" si="333"/>
        <v>0</v>
      </c>
      <c r="J917" s="55">
        <v>0</v>
      </c>
      <c r="K917" s="55">
        <v>0</v>
      </c>
      <c r="L917" s="55">
        <v>0</v>
      </c>
      <c r="M917" s="55">
        <v>0</v>
      </c>
      <c r="N917" s="55">
        <f t="shared" si="334"/>
        <v>0</v>
      </c>
      <c r="O917" s="55">
        <v>0</v>
      </c>
      <c r="P917" s="55">
        <v>0</v>
      </c>
      <c r="Q917" s="55">
        <v>0</v>
      </c>
      <c r="R917" s="55">
        <f t="shared" si="335"/>
        <v>0</v>
      </c>
      <c r="S917" s="55">
        <v>0</v>
      </c>
      <c r="T917" s="55">
        <v>0</v>
      </c>
      <c r="U917" s="55">
        <v>0</v>
      </c>
      <c r="V917" s="55">
        <v>0</v>
      </c>
      <c r="W917" s="53">
        <v>0</v>
      </c>
      <c r="X917" s="53">
        <v>0</v>
      </c>
      <c r="Y917" s="55">
        <v>0</v>
      </c>
      <c r="Z917" s="55">
        <v>0</v>
      </c>
      <c r="AA917" s="53">
        <v>0</v>
      </c>
      <c r="AB917" s="53">
        <v>0</v>
      </c>
      <c r="AC917" s="55">
        <v>0</v>
      </c>
      <c r="AD917" s="55">
        <f t="shared" si="326"/>
        <v>0</v>
      </c>
      <c r="AE917" s="53">
        <v>0</v>
      </c>
      <c r="AF917" s="55">
        <v>0</v>
      </c>
      <c r="AG917" s="55">
        <v>0</v>
      </c>
      <c r="AH917" s="55">
        <f t="shared" si="337"/>
        <v>0</v>
      </c>
      <c r="AI917" s="55">
        <v>0</v>
      </c>
      <c r="AJ917" s="55">
        <v>0</v>
      </c>
      <c r="AK917" s="55">
        <v>0</v>
      </c>
      <c r="AL917" s="55">
        <f t="shared" si="338"/>
        <v>0</v>
      </c>
      <c r="AM917" s="55" t="s">
        <v>1912</v>
      </c>
      <c r="AN917" s="55">
        <v>0</v>
      </c>
      <c r="AO917" s="55">
        <v>0</v>
      </c>
      <c r="AP917" s="55">
        <f t="shared" si="329"/>
        <v>0</v>
      </c>
      <c r="AQ917" s="55">
        <f>IFERROR(VLOOKUP(A917,[1]SIIMPLES!$A$2:$F$418,6,FALSE),0)</f>
        <v>0</v>
      </c>
      <c r="AR917" s="55">
        <v>0</v>
      </c>
      <c r="AS917" s="55">
        <v>0</v>
      </c>
      <c r="AT917" s="55">
        <v>0</v>
      </c>
      <c r="AU917" s="55">
        <v>0</v>
      </c>
      <c r="AV917" s="55">
        <v>0</v>
      </c>
      <c r="AW917" s="55"/>
      <c r="AX917" s="55"/>
      <c r="AY917" s="56">
        <f t="shared" si="331"/>
        <v>0</v>
      </c>
      <c r="AZ917" s="55"/>
      <c r="BA917" s="56">
        <v>0</v>
      </c>
      <c r="BB917" s="41" t="str">
        <f t="shared" si="322"/>
        <v/>
      </c>
      <c r="BC917" s="13"/>
      <c r="BD917" s="35"/>
      <c r="BE917" s="13"/>
      <c r="BF917" s="16">
        <f t="shared" si="336"/>
        <v>0</v>
      </c>
      <c r="BG917" s="17" t="str">
        <f t="shared" si="339"/>
        <v>0</v>
      </c>
      <c r="BH917" s="16">
        <f t="shared" si="332"/>
        <v>0</v>
      </c>
    </row>
    <row r="918" spans="1:60" ht="12.75" customHeight="1" x14ac:dyDescent="0.2">
      <c r="A918" s="51">
        <v>222072</v>
      </c>
      <c r="B918" s="51" t="s">
        <v>1077</v>
      </c>
      <c r="C918" s="66" t="s">
        <v>1803</v>
      </c>
      <c r="D918" s="52" t="s">
        <v>728</v>
      </c>
      <c r="E918" s="65" t="s">
        <v>780</v>
      </c>
      <c r="F918" s="53">
        <f>IFERROR(VLOOKUP(E918,Fornecedores!$A$2:$B$2700,2,FALSE),"")</f>
        <v>2</v>
      </c>
      <c r="G918" s="52" t="s">
        <v>1081</v>
      </c>
      <c r="H918" s="57"/>
      <c r="I918" s="55">
        <f t="shared" si="333"/>
        <v>1</v>
      </c>
      <c r="J918" s="55">
        <v>1</v>
      </c>
      <c r="K918" s="55">
        <v>0</v>
      </c>
      <c r="L918" s="55">
        <v>0</v>
      </c>
      <c r="M918" s="55">
        <v>0</v>
      </c>
      <c r="N918" s="55">
        <f t="shared" si="334"/>
        <v>1</v>
      </c>
      <c r="O918" s="55">
        <v>1</v>
      </c>
      <c r="P918" s="55">
        <v>0</v>
      </c>
      <c r="Q918" s="55">
        <v>0</v>
      </c>
      <c r="R918" s="55">
        <f t="shared" si="335"/>
        <v>0</v>
      </c>
      <c r="S918" s="55">
        <v>0</v>
      </c>
      <c r="T918" s="55">
        <v>0</v>
      </c>
      <c r="U918" s="55">
        <v>0</v>
      </c>
      <c r="V918" s="55">
        <v>0</v>
      </c>
      <c r="W918" s="53">
        <v>0</v>
      </c>
      <c r="X918" s="53">
        <v>0</v>
      </c>
      <c r="Y918" s="55">
        <v>0</v>
      </c>
      <c r="Z918" s="55">
        <v>0</v>
      </c>
      <c r="AA918" s="53">
        <v>0</v>
      </c>
      <c r="AB918" s="53">
        <v>0</v>
      </c>
      <c r="AC918" s="55">
        <v>0</v>
      </c>
      <c r="AD918" s="55">
        <f t="shared" si="326"/>
        <v>0</v>
      </c>
      <c r="AE918" s="53">
        <v>0</v>
      </c>
      <c r="AF918" s="55">
        <v>0</v>
      </c>
      <c r="AG918" s="55">
        <v>0</v>
      </c>
      <c r="AH918" s="55">
        <f t="shared" si="337"/>
        <v>0</v>
      </c>
      <c r="AI918" s="55">
        <v>0</v>
      </c>
      <c r="AJ918" s="55">
        <v>0</v>
      </c>
      <c r="AK918" s="55">
        <v>0</v>
      </c>
      <c r="AL918" s="55">
        <f t="shared" si="338"/>
        <v>0</v>
      </c>
      <c r="AM918" s="55" t="s">
        <v>1912</v>
      </c>
      <c r="AN918" s="55">
        <v>0</v>
      </c>
      <c r="AO918" s="55">
        <v>0</v>
      </c>
      <c r="AP918" s="55">
        <f t="shared" si="329"/>
        <v>0</v>
      </c>
      <c r="AQ918" s="55">
        <f>IFERROR(VLOOKUP(A918,[1]SIIMPLES!$A$2:$F$418,6,FALSE),0)</f>
        <v>0</v>
      </c>
      <c r="AR918" s="55">
        <v>0</v>
      </c>
      <c r="AS918" s="55">
        <v>1</v>
      </c>
      <c r="AT918" s="55">
        <v>0</v>
      </c>
      <c r="AU918" s="55">
        <v>0</v>
      </c>
      <c r="AV918" s="55">
        <v>1</v>
      </c>
      <c r="AW918" s="55"/>
      <c r="AX918" s="55"/>
      <c r="AY918" s="56">
        <f t="shared" si="331"/>
        <v>0.3</v>
      </c>
      <c r="AZ918" s="55"/>
      <c r="BA918" s="56">
        <v>1.3333333333333333</v>
      </c>
      <c r="BB918" s="41">
        <f t="shared" si="322"/>
        <v>-0.77500000000000002</v>
      </c>
      <c r="BC918" s="13"/>
      <c r="BD918" s="35"/>
      <c r="BE918" s="13"/>
      <c r="BF918" s="16">
        <f t="shared" si="336"/>
        <v>0</v>
      </c>
      <c r="BG918" s="17">
        <f t="shared" si="339"/>
        <v>0</v>
      </c>
      <c r="BH918" s="16">
        <f t="shared" si="332"/>
        <v>0.3</v>
      </c>
    </row>
    <row r="919" spans="1:60" ht="12.75" customHeight="1" x14ac:dyDescent="0.2">
      <c r="A919" s="51">
        <v>222074</v>
      </c>
      <c r="B919" s="51" t="s">
        <v>1077</v>
      </c>
      <c r="C919" s="66" t="s">
        <v>1803</v>
      </c>
      <c r="D919" s="52" t="s">
        <v>728</v>
      </c>
      <c r="E919" s="65" t="s">
        <v>780</v>
      </c>
      <c r="F919" s="53">
        <f>IFERROR(VLOOKUP(E919,Fornecedores!$A$2:$B$2700,2,FALSE),"")</f>
        <v>2</v>
      </c>
      <c r="G919" s="52" t="s">
        <v>121</v>
      </c>
      <c r="H919" s="57"/>
      <c r="I919" s="55">
        <f t="shared" si="333"/>
        <v>0</v>
      </c>
      <c r="J919" s="55">
        <v>0</v>
      </c>
      <c r="K919" s="55">
        <v>0</v>
      </c>
      <c r="L919" s="55">
        <v>0</v>
      </c>
      <c r="M919" s="55">
        <v>0</v>
      </c>
      <c r="N919" s="55">
        <f t="shared" si="334"/>
        <v>0</v>
      </c>
      <c r="O919" s="55">
        <v>0</v>
      </c>
      <c r="P919" s="55">
        <v>0</v>
      </c>
      <c r="Q919" s="55">
        <v>0</v>
      </c>
      <c r="R919" s="55">
        <f t="shared" si="335"/>
        <v>0</v>
      </c>
      <c r="S919" s="55">
        <v>0</v>
      </c>
      <c r="T919" s="55">
        <v>0</v>
      </c>
      <c r="U919" s="55">
        <v>0</v>
      </c>
      <c r="V919" s="55">
        <v>0</v>
      </c>
      <c r="W919" s="53">
        <v>0</v>
      </c>
      <c r="X919" s="53">
        <v>0</v>
      </c>
      <c r="Y919" s="55">
        <v>0</v>
      </c>
      <c r="Z919" s="55">
        <v>0</v>
      </c>
      <c r="AA919" s="53">
        <v>0</v>
      </c>
      <c r="AB919" s="53">
        <v>0</v>
      </c>
      <c r="AC919" s="55">
        <v>0</v>
      </c>
      <c r="AD919" s="55">
        <f t="shared" si="326"/>
        <v>0</v>
      </c>
      <c r="AE919" s="53">
        <v>0</v>
      </c>
      <c r="AF919" s="55">
        <v>0</v>
      </c>
      <c r="AG919" s="55">
        <v>0</v>
      </c>
      <c r="AH919" s="55">
        <f t="shared" si="337"/>
        <v>0</v>
      </c>
      <c r="AI919" s="55">
        <v>0</v>
      </c>
      <c r="AJ919" s="55">
        <v>0</v>
      </c>
      <c r="AK919" s="55">
        <v>0</v>
      </c>
      <c r="AL919" s="55">
        <f t="shared" si="338"/>
        <v>0</v>
      </c>
      <c r="AM919" s="55" t="s">
        <v>1912</v>
      </c>
      <c r="AN919" s="55">
        <v>0</v>
      </c>
      <c r="AO919" s="55">
        <v>0</v>
      </c>
      <c r="AP919" s="55">
        <f t="shared" si="329"/>
        <v>0</v>
      </c>
      <c r="AQ919" s="55">
        <f>IFERROR(VLOOKUP(A919,[1]SIIMPLES!$A$2:$F$418,6,FALSE),0)</f>
        <v>0</v>
      </c>
      <c r="AR919" s="55">
        <v>0</v>
      </c>
      <c r="AS919" s="55">
        <v>0</v>
      </c>
      <c r="AT919" s="55">
        <v>0</v>
      </c>
      <c r="AU919" s="55">
        <v>0</v>
      </c>
      <c r="AV919" s="55">
        <v>0</v>
      </c>
      <c r="AW919" s="55"/>
      <c r="AX919" s="55"/>
      <c r="AY919" s="56">
        <f t="shared" si="331"/>
        <v>0</v>
      </c>
      <c r="AZ919" s="55"/>
      <c r="BA919" s="56">
        <v>0</v>
      </c>
      <c r="BB919" s="41" t="str">
        <f t="shared" si="322"/>
        <v/>
      </c>
      <c r="BC919" s="13"/>
      <c r="BD919" s="35"/>
      <c r="BE919" s="13"/>
      <c r="BF919" s="16">
        <f t="shared" si="336"/>
        <v>0</v>
      </c>
      <c r="BG919" s="17" t="str">
        <f t="shared" si="339"/>
        <v>0</v>
      </c>
      <c r="BH919" s="16">
        <f t="shared" si="332"/>
        <v>0</v>
      </c>
    </row>
    <row r="920" spans="1:60" ht="12.75" customHeight="1" x14ac:dyDescent="0.2">
      <c r="A920" s="51">
        <v>222075</v>
      </c>
      <c r="B920" s="51" t="s">
        <v>1077</v>
      </c>
      <c r="C920" s="66" t="s">
        <v>1803</v>
      </c>
      <c r="D920" s="52" t="s">
        <v>728</v>
      </c>
      <c r="E920" s="65" t="s">
        <v>780</v>
      </c>
      <c r="F920" s="53">
        <f>IFERROR(VLOOKUP(E920,Fornecedores!$A$2:$B$2700,2,FALSE),"")</f>
        <v>2</v>
      </c>
      <c r="G920" s="52" t="s">
        <v>547</v>
      </c>
      <c r="H920" s="57"/>
      <c r="I920" s="55">
        <f t="shared" si="333"/>
        <v>0</v>
      </c>
      <c r="J920" s="55">
        <v>0</v>
      </c>
      <c r="K920" s="55">
        <v>0</v>
      </c>
      <c r="L920" s="55">
        <v>0</v>
      </c>
      <c r="M920" s="55">
        <v>0</v>
      </c>
      <c r="N920" s="55">
        <f t="shared" si="334"/>
        <v>0</v>
      </c>
      <c r="O920" s="55">
        <v>0</v>
      </c>
      <c r="P920" s="55">
        <v>0</v>
      </c>
      <c r="Q920" s="55">
        <v>0</v>
      </c>
      <c r="R920" s="55">
        <f t="shared" si="335"/>
        <v>0</v>
      </c>
      <c r="S920" s="55">
        <v>0</v>
      </c>
      <c r="T920" s="55">
        <v>0</v>
      </c>
      <c r="U920" s="55">
        <v>0</v>
      </c>
      <c r="V920" s="55">
        <v>0</v>
      </c>
      <c r="W920" s="53">
        <v>0</v>
      </c>
      <c r="X920" s="53">
        <v>0</v>
      </c>
      <c r="Y920" s="55">
        <v>0</v>
      </c>
      <c r="Z920" s="55">
        <v>0</v>
      </c>
      <c r="AA920" s="53">
        <v>0</v>
      </c>
      <c r="AB920" s="53">
        <v>0</v>
      </c>
      <c r="AC920" s="55">
        <v>0</v>
      </c>
      <c r="AD920" s="55">
        <f t="shared" si="326"/>
        <v>0</v>
      </c>
      <c r="AE920" s="53">
        <v>0</v>
      </c>
      <c r="AF920" s="55">
        <v>0</v>
      </c>
      <c r="AG920" s="55">
        <v>0</v>
      </c>
      <c r="AH920" s="55">
        <f t="shared" si="337"/>
        <v>0</v>
      </c>
      <c r="AI920" s="55">
        <v>0</v>
      </c>
      <c r="AJ920" s="55">
        <v>0</v>
      </c>
      <c r="AK920" s="55">
        <v>0</v>
      </c>
      <c r="AL920" s="55">
        <f t="shared" si="338"/>
        <v>0</v>
      </c>
      <c r="AM920" s="55" t="s">
        <v>1912</v>
      </c>
      <c r="AN920" s="55">
        <v>0</v>
      </c>
      <c r="AO920" s="55">
        <v>0</v>
      </c>
      <c r="AP920" s="55">
        <f t="shared" si="329"/>
        <v>0</v>
      </c>
      <c r="AQ920" s="55">
        <f>IFERROR(VLOOKUP(A920,[1]SIIMPLES!$A$2:$F$418,6,FALSE),0)</f>
        <v>0</v>
      </c>
      <c r="AR920" s="55">
        <v>0</v>
      </c>
      <c r="AS920" s="55">
        <v>0</v>
      </c>
      <c r="AT920" s="55">
        <v>0</v>
      </c>
      <c r="AU920" s="55">
        <v>0</v>
      </c>
      <c r="AV920" s="55">
        <v>0</v>
      </c>
      <c r="AW920" s="55"/>
      <c r="AX920" s="55"/>
      <c r="AY920" s="56">
        <f t="shared" si="331"/>
        <v>0</v>
      </c>
      <c r="AZ920" s="55"/>
      <c r="BA920" s="56">
        <v>0</v>
      </c>
      <c r="BB920" s="41" t="str">
        <f t="shared" si="322"/>
        <v/>
      </c>
      <c r="BC920" s="13"/>
      <c r="BD920" s="35"/>
      <c r="BE920" s="13"/>
      <c r="BF920" s="16">
        <f t="shared" si="336"/>
        <v>0</v>
      </c>
      <c r="BG920" s="17" t="str">
        <f t="shared" si="339"/>
        <v>0</v>
      </c>
      <c r="BH920" s="16">
        <f t="shared" si="332"/>
        <v>0</v>
      </c>
    </row>
    <row r="921" spans="1:60" ht="12.75" customHeight="1" x14ac:dyDescent="0.2">
      <c r="A921" s="51">
        <v>222080</v>
      </c>
      <c r="B921" s="51" t="s">
        <v>1086</v>
      </c>
      <c r="C921" s="66" t="s">
        <v>1803</v>
      </c>
      <c r="D921" s="52" t="s">
        <v>728</v>
      </c>
      <c r="E921" s="65" t="s">
        <v>780</v>
      </c>
      <c r="F921" s="53">
        <f>IFERROR(VLOOKUP(E921,Fornecedores!$A$2:$B$2700,2,FALSE),"")</f>
        <v>2</v>
      </c>
      <c r="G921" s="52">
        <f>VLOOKUP(A921,[2]CMV!$A$1:$F$2043,6,FALSE)</f>
        <v>0</v>
      </c>
      <c r="H921" s="57"/>
      <c r="I921" s="55">
        <f t="shared" si="333"/>
        <v>0</v>
      </c>
      <c r="J921" s="55">
        <v>0</v>
      </c>
      <c r="K921" s="55">
        <v>0</v>
      </c>
      <c r="L921" s="55">
        <v>0</v>
      </c>
      <c r="M921" s="55">
        <v>0</v>
      </c>
      <c r="N921" s="55">
        <f t="shared" si="334"/>
        <v>0</v>
      </c>
      <c r="O921" s="55">
        <v>0</v>
      </c>
      <c r="P921" s="55">
        <v>0</v>
      </c>
      <c r="Q921" s="55">
        <v>0</v>
      </c>
      <c r="R921" s="55">
        <f t="shared" si="335"/>
        <v>0</v>
      </c>
      <c r="S921" s="55">
        <v>0</v>
      </c>
      <c r="T921" s="55">
        <v>0</v>
      </c>
      <c r="U921" s="55">
        <v>0</v>
      </c>
      <c r="V921" s="55">
        <v>0</v>
      </c>
      <c r="W921" s="53">
        <v>0</v>
      </c>
      <c r="X921" s="53">
        <v>0</v>
      </c>
      <c r="Y921" s="55">
        <v>0</v>
      </c>
      <c r="Z921" s="55">
        <v>0</v>
      </c>
      <c r="AA921" s="53">
        <v>0</v>
      </c>
      <c r="AB921" s="53">
        <v>0</v>
      </c>
      <c r="AC921" s="55">
        <v>0</v>
      </c>
      <c r="AD921" s="55">
        <f t="shared" si="326"/>
        <v>0</v>
      </c>
      <c r="AE921" s="53">
        <v>0</v>
      </c>
      <c r="AF921" s="55">
        <v>0</v>
      </c>
      <c r="AG921" s="55">
        <v>0</v>
      </c>
      <c r="AH921" s="55">
        <f t="shared" si="337"/>
        <v>0</v>
      </c>
      <c r="AI921" s="55">
        <v>0</v>
      </c>
      <c r="AJ921" s="55">
        <v>0</v>
      </c>
      <c r="AK921" s="55">
        <v>0</v>
      </c>
      <c r="AL921" s="55">
        <f t="shared" si="338"/>
        <v>0</v>
      </c>
      <c r="AM921" s="55" t="s">
        <v>1912</v>
      </c>
      <c r="AN921" s="55">
        <v>0</v>
      </c>
      <c r="AO921" s="55">
        <v>0</v>
      </c>
      <c r="AP921" s="55">
        <f t="shared" si="329"/>
        <v>0</v>
      </c>
      <c r="AQ921" s="55">
        <f>IFERROR(VLOOKUP(A921,[1]SIIMPLES!$A$2:$F$418,6,FALSE),0)</f>
        <v>0</v>
      </c>
      <c r="AR921" s="55">
        <v>0</v>
      </c>
      <c r="AS921" s="55">
        <v>0</v>
      </c>
      <c r="AT921" s="55">
        <v>0</v>
      </c>
      <c r="AU921" s="55">
        <v>0</v>
      </c>
      <c r="AV921" s="55">
        <v>0</v>
      </c>
      <c r="AW921" s="55"/>
      <c r="AX921" s="55"/>
      <c r="AY921" s="56">
        <f t="shared" si="331"/>
        <v>0</v>
      </c>
      <c r="AZ921" s="55"/>
      <c r="BA921" s="56">
        <v>0</v>
      </c>
      <c r="BB921" s="41" t="str">
        <f t="shared" si="322"/>
        <v/>
      </c>
      <c r="BC921" s="13"/>
      <c r="BD921" s="35"/>
      <c r="BE921" s="13"/>
      <c r="BF921" s="16">
        <f t="shared" si="336"/>
        <v>0</v>
      </c>
      <c r="BG921" s="17" t="str">
        <f t="shared" si="339"/>
        <v>0</v>
      </c>
      <c r="BH921" s="16">
        <f t="shared" si="332"/>
        <v>0</v>
      </c>
    </row>
    <row r="922" spans="1:60" ht="12.75" customHeight="1" x14ac:dyDescent="0.2">
      <c r="A922" s="51">
        <v>222081</v>
      </c>
      <c r="B922" s="51" t="s">
        <v>1086</v>
      </c>
      <c r="C922" s="66" t="s">
        <v>1803</v>
      </c>
      <c r="D922" s="52" t="s">
        <v>728</v>
      </c>
      <c r="E922" s="65" t="s">
        <v>780</v>
      </c>
      <c r="F922" s="53">
        <f>IFERROR(VLOOKUP(E922,Fornecedores!$A$2:$B$2700,2,FALSE),"")</f>
        <v>2</v>
      </c>
      <c r="G922" s="52">
        <f>VLOOKUP(A922,[2]CMV!$A$1:$F$2043,6,FALSE)</f>
        <v>0</v>
      </c>
      <c r="H922" s="57"/>
      <c r="I922" s="55">
        <f t="shared" si="333"/>
        <v>0</v>
      </c>
      <c r="J922" s="55">
        <v>0</v>
      </c>
      <c r="K922" s="55">
        <v>0</v>
      </c>
      <c r="L922" s="55">
        <v>0</v>
      </c>
      <c r="M922" s="55">
        <v>0</v>
      </c>
      <c r="N922" s="55">
        <f t="shared" si="334"/>
        <v>0</v>
      </c>
      <c r="O922" s="55">
        <v>0</v>
      </c>
      <c r="P922" s="55">
        <v>0</v>
      </c>
      <c r="Q922" s="55">
        <v>0</v>
      </c>
      <c r="R922" s="55">
        <f t="shared" si="335"/>
        <v>0</v>
      </c>
      <c r="S922" s="55">
        <v>0</v>
      </c>
      <c r="T922" s="55">
        <v>0</v>
      </c>
      <c r="U922" s="55">
        <v>0</v>
      </c>
      <c r="V922" s="55">
        <v>0</v>
      </c>
      <c r="W922" s="53">
        <v>0</v>
      </c>
      <c r="X922" s="53">
        <v>0</v>
      </c>
      <c r="Y922" s="55">
        <v>0</v>
      </c>
      <c r="Z922" s="55">
        <v>0</v>
      </c>
      <c r="AA922" s="53">
        <v>0</v>
      </c>
      <c r="AB922" s="53">
        <v>0</v>
      </c>
      <c r="AC922" s="55">
        <v>0</v>
      </c>
      <c r="AD922" s="55">
        <f t="shared" si="326"/>
        <v>0</v>
      </c>
      <c r="AE922" s="53">
        <v>0</v>
      </c>
      <c r="AF922" s="55">
        <v>0</v>
      </c>
      <c r="AG922" s="55">
        <v>0</v>
      </c>
      <c r="AH922" s="55">
        <f t="shared" si="337"/>
        <v>0</v>
      </c>
      <c r="AI922" s="55">
        <v>0</v>
      </c>
      <c r="AJ922" s="55">
        <v>0</v>
      </c>
      <c r="AK922" s="55">
        <v>0</v>
      </c>
      <c r="AL922" s="55">
        <f t="shared" si="338"/>
        <v>0</v>
      </c>
      <c r="AM922" s="55" t="s">
        <v>1912</v>
      </c>
      <c r="AN922" s="55">
        <v>0</v>
      </c>
      <c r="AO922" s="55">
        <v>0</v>
      </c>
      <c r="AP922" s="55">
        <f t="shared" si="329"/>
        <v>0</v>
      </c>
      <c r="AQ922" s="55">
        <f>IFERROR(VLOOKUP(A922,[1]SIIMPLES!$A$2:$F$418,6,FALSE),0)</f>
        <v>0</v>
      </c>
      <c r="AR922" s="55">
        <v>0</v>
      </c>
      <c r="AS922" s="55">
        <v>0</v>
      </c>
      <c r="AT922" s="55">
        <v>0</v>
      </c>
      <c r="AU922" s="55">
        <v>0</v>
      </c>
      <c r="AV922" s="55">
        <v>0</v>
      </c>
      <c r="AW922" s="55"/>
      <c r="AX922" s="55"/>
      <c r="AY922" s="56">
        <f t="shared" si="331"/>
        <v>0</v>
      </c>
      <c r="AZ922" s="55"/>
      <c r="BA922" s="56">
        <v>0</v>
      </c>
      <c r="BB922" s="41" t="str">
        <f t="shared" si="322"/>
        <v/>
      </c>
      <c r="BC922" s="13"/>
      <c r="BD922" s="35"/>
      <c r="BE922" s="13"/>
      <c r="BF922" s="16">
        <f t="shared" si="336"/>
        <v>0</v>
      </c>
      <c r="BG922" s="17" t="str">
        <f t="shared" si="339"/>
        <v>0</v>
      </c>
      <c r="BH922" s="16">
        <f t="shared" si="332"/>
        <v>0</v>
      </c>
    </row>
    <row r="923" spans="1:60" ht="12.75" customHeight="1" x14ac:dyDescent="0.2">
      <c r="A923" s="51">
        <v>222082</v>
      </c>
      <c r="B923" s="51" t="s">
        <v>1077</v>
      </c>
      <c r="C923" s="66" t="s">
        <v>1803</v>
      </c>
      <c r="D923" s="52" t="s">
        <v>728</v>
      </c>
      <c r="E923" s="65" t="s">
        <v>780</v>
      </c>
      <c r="F923" s="53">
        <f>IFERROR(VLOOKUP(E923,Fornecedores!$A$2:$B$2700,2,FALSE),"")</f>
        <v>2</v>
      </c>
      <c r="G923" s="52" t="s">
        <v>1298</v>
      </c>
      <c r="H923" s="57"/>
      <c r="I923" s="55">
        <f t="shared" si="333"/>
        <v>0</v>
      </c>
      <c r="J923" s="55">
        <v>0</v>
      </c>
      <c r="K923" s="55">
        <v>0</v>
      </c>
      <c r="L923" s="55">
        <v>0</v>
      </c>
      <c r="M923" s="55">
        <v>0</v>
      </c>
      <c r="N923" s="55">
        <f t="shared" si="334"/>
        <v>1</v>
      </c>
      <c r="O923" s="55">
        <v>1</v>
      </c>
      <c r="P923" s="55">
        <v>0</v>
      </c>
      <c r="Q923" s="55">
        <v>0</v>
      </c>
      <c r="R923" s="55">
        <f t="shared" si="335"/>
        <v>0</v>
      </c>
      <c r="S923" s="55">
        <v>0</v>
      </c>
      <c r="T923" s="55">
        <v>0</v>
      </c>
      <c r="U923" s="55">
        <v>0</v>
      </c>
      <c r="V923" s="55">
        <v>0</v>
      </c>
      <c r="W923" s="53">
        <v>0</v>
      </c>
      <c r="X923" s="53">
        <v>0</v>
      </c>
      <c r="Y923" s="55">
        <v>0</v>
      </c>
      <c r="Z923" s="55">
        <v>0</v>
      </c>
      <c r="AA923" s="53">
        <v>0</v>
      </c>
      <c r="AB923" s="53">
        <v>0</v>
      </c>
      <c r="AC923" s="55">
        <v>0</v>
      </c>
      <c r="AD923" s="55">
        <f t="shared" si="326"/>
        <v>0</v>
      </c>
      <c r="AE923" s="53">
        <v>0</v>
      </c>
      <c r="AF923" s="55">
        <v>0</v>
      </c>
      <c r="AG923" s="55">
        <v>0</v>
      </c>
      <c r="AH923" s="55">
        <f t="shared" si="337"/>
        <v>0</v>
      </c>
      <c r="AI923" s="55">
        <v>0</v>
      </c>
      <c r="AJ923" s="55">
        <v>0</v>
      </c>
      <c r="AK923" s="55">
        <v>0</v>
      </c>
      <c r="AL923" s="55">
        <f t="shared" si="338"/>
        <v>1</v>
      </c>
      <c r="AM923" s="55">
        <v>1</v>
      </c>
      <c r="AN923" s="55">
        <v>0</v>
      </c>
      <c r="AO923" s="55">
        <v>0</v>
      </c>
      <c r="AP923" s="55">
        <f t="shared" si="329"/>
        <v>0</v>
      </c>
      <c r="AQ923" s="55">
        <f>IFERROR(VLOOKUP(A923,[1]SIIMPLES!$A$2:$F$418,6,FALSE),0)</f>
        <v>0</v>
      </c>
      <c r="AR923" s="55">
        <v>0</v>
      </c>
      <c r="AS923" s="55">
        <v>0</v>
      </c>
      <c r="AT923" s="55">
        <v>0</v>
      </c>
      <c r="AU923" s="55">
        <v>0</v>
      </c>
      <c r="AV923" s="55">
        <v>0</v>
      </c>
      <c r="AW923" s="55"/>
      <c r="AX923" s="55"/>
      <c r="AY923" s="56">
        <f t="shared" si="331"/>
        <v>0.2</v>
      </c>
      <c r="AZ923" s="55"/>
      <c r="BA923" s="56">
        <v>0.66666666666666663</v>
      </c>
      <c r="BB923" s="41">
        <f t="shared" ref="BB923:BB982" si="340">IFERROR(AY923/BA923-1,"")</f>
        <v>-0.7</v>
      </c>
      <c r="BC923" s="13"/>
      <c r="BD923" s="35"/>
      <c r="BE923" s="13"/>
      <c r="BF923" s="16">
        <f t="shared" si="336"/>
        <v>0</v>
      </c>
      <c r="BG923" s="17">
        <f t="shared" si="339"/>
        <v>0</v>
      </c>
      <c r="BH923" s="16">
        <f t="shared" si="332"/>
        <v>0.2</v>
      </c>
    </row>
    <row r="924" spans="1:60" ht="12.75" customHeight="1" x14ac:dyDescent="0.2">
      <c r="A924" s="51">
        <v>222090</v>
      </c>
      <c r="B924" s="51" t="s">
        <v>1086</v>
      </c>
      <c r="C924" s="66" t="s">
        <v>1803</v>
      </c>
      <c r="D924" s="52" t="s">
        <v>728</v>
      </c>
      <c r="E924" s="65" t="s">
        <v>780</v>
      </c>
      <c r="F924" s="53">
        <f>IFERROR(VLOOKUP(E924,Fornecedores!$A$2:$B$2700,2,FALSE),"")</f>
        <v>2</v>
      </c>
      <c r="G924" s="52">
        <f>VLOOKUP(A924,[2]CMV!$A$1:$F$2043,6,FALSE)</f>
        <v>0</v>
      </c>
      <c r="H924" s="57"/>
      <c r="I924" s="55">
        <f t="shared" si="333"/>
        <v>0</v>
      </c>
      <c r="J924" s="55">
        <v>0</v>
      </c>
      <c r="K924" s="55">
        <v>0</v>
      </c>
      <c r="L924" s="55">
        <v>0</v>
      </c>
      <c r="M924" s="55">
        <v>0</v>
      </c>
      <c r="N924" s="55">
        <f t="shared" si="334"/>
        <v>0</v>
      </c>
      <c r="O924" s="55">
        <v>0</v>
      </c>
      <c r="P924" s="55">
        <v>0</v>
      </c>
      <c r="Q924" s="55">
        <v>0</v>
      </c>
      <c r="R924" s="55">
        <f t="shared" si="335"/>
        <v>0</v>
      </c>
      <c r="S924" s="55">
        <v>0</v>
      </c>
      <c r="T924" s="55">
        <v>0</v>
      </c>
      <c r="U924" s="55">
        <v>0</v>
      </c>
      <c r="V924" s="55">
        <v>0</v>
      </c>
      <c r="W924" s="53">
        <v>0</v>
      </c>
      <c r="X924" s="53">
        <v>0</v>
      </c>
      <c r="Y924" s="55">
        <v>0</v>
      </c>
      <c r="Z924" s="55">
        <v>0</v>
      </c>
      <c r="AA924" s="53">
        <v>0</v>
      </c>
      <c r="AB924" s="53">
        <v>0</v>
      </c>
      <c r="AC924" s="55">
        <v>0</v>
      </c>
      <c r="AD924" s="55">
        <f t="shared" si="326"/>
        <v>0</v>
      </c>
      <c r="AE924" s="53">
        <v>0</v>
      </c>
      <c r="AF924" s="55">
        <v>0</v>
      </c>
      <c r="AG924" s="55">
        <v>0</v>
      </c>
      <c r="AH924" s="55">
        <f t="shared" si="337"/>
        <v>0</v>
      </c>
      <c r="AI924" s="55">
        <v>0</v>
      </c>
      <c r="AJ924" s="55">
        <v>0</v>
      </c>
      <c r="AK924" s="55">
        <v>0</v>
      </c>
      <c r="AL924" s="55">
        <f t="shared" si="338"/>
        <v>0</v>
      </c>
      <c r="AM924" s="55" t="s">
        <v>1912</v>
      </c>
      <c r="AN924" s="55">
        <v>0</v>
      </c>
      <c r="AO924" s="55">
        <v>0</v>
      </c>
      <c r="AP924" s="55">
        <f t="shared" si="329"/>
        <v>0</v>
      </c>
      <c r="AQ924" s="55">
        <f>IFERROR(VLOOKUP(A924,[1]SIIMPLES!$A$2:$F$418,6,FALSE),0)</f>
        <v>0</v>
      </c>
      <c r="AR924" s="55">
        <v>0</v>
      </c>
      <c r="AS924" s="55">
        <v>0</v>
      </c>
      <c r="AT924" s="55">
        <v>0</v>
      </c>
      <c r="AU924" s="55">
        <v>0</v>
      </c>
      <c r="AV924" s="55">
        <v>0</v>
      </c>
      <c r="AW924" s="55"/>
      <c r="AX924" s="55"/>
      <c r="AY924" s="56">
        <f t="shared" si="331"/>
        <v>0</v>
      </c>
      <c r="AZ924" s="55"/>
      <c r="BA924" s="56">
        <v>0</v>
      </c>
      <c r="BB924" s="41" t="str">
        <f t="shared" si="340"/>
        <v/>
      </c>
      <c r="BC924" s="10"/>
      <c r="BD924" s="35"/>
      <c r="BE924" s="13"/>
      <c r="BF924" s="16">
        <f t="shared" si="336"/>
        <v>0</v>
      </c>
      <c r="BG924" s="17" t="str">
        <f t="shared" si="339"/>
        <v>0</v>
      </c>
      <c r="BH924" s="16">
        <f t="shared" si="332"/>
        <v>0</v>
      </c>
    </row>
    <row r="925" spans="1:60" ht="12.75" customHeight="1" x14ac:dyDescent="0.2">
      <c r="A925" s="51">
        <v>222091</v>
      </c>
      <c r="B925" s="51" t="s">
        <v>1086</v>
      </c>
      <c r="C925" s="66" t="s">
        <v>1803</v>
      </c>
      <c r="D925" s="52" t="s">
        <v>728</v>
      </c>
      <c r="E925" s="65" t="s">
        <v>780</v>
      </c>
      <c r="F925" s="53">
        <f>IFERROR(VLOOKUP(E925,Fornecedores!$A$2:$B$2700,2,FALSE),"")</f>
        <v>2</v>
      </c>
      <c r="G925" s="52">
        <f>VLOOKUP(A925,[2]CMV!$A$1:$F$2043,6,FALSE)</f>
        <v>0</v>
      </c>
      <c r="H925" s="57"/>
      <c r="I925" s="55">
        <f t="shared" si="333"/>
        <v>0</v>
      </c>
      <c r="J925" s="55">
        <v>0</v>
      </c>
      <c r="K925" s="55">
        <v>0</v>
      </c>
      <c r="L925" s="55">
        <v>0</v>
      </c>
      <c r="M925" s="55">
        <v>0</v>
      </c>
      <c r="N925" s="55">
        <f t="shared" si="334"/>
        <v>0</v>
      </c>
      <c r="O925" s="55">
        <v>0</v>
      </c>
      <c r="P925" s="55">
        <v>0</v>
      </c>
      <c r="Q925" s="55">
        <v>0</v>
      </c>
      <c r="R925" s="55">
        <f t="shared" si="335"/>
        <v>0</v>
      </c>
      <c r="S925" s="55">
        <v>0</v>
      </c>
      <c r="T925" s="55">
        <v>0</v>
      </c>
      <c r="U925" s="55">
        <v>0</v>
      </c>
      <c r="V925" s="55">
        <v>0</v>
      </c>
      <c r="W925" s="53">
        <v>0</v>
      </c>
      <c r="X925" s="53">
        <v>0</v>
      </c>
      <c r="Y925" s="55">
        <v>0</v>
      </c>
      <c r="Z925" s="55">
        <v>0</v>
      </c>
      <c r="AA925" s="53">
        <v>0</v>
      </c>
      <c r="AB925" s="53">
        <v>0</v>
      </c>
      <c r="AC925" s="55">
        <v>0</v>
      </c>
      <c r="AD925" s="55">
        <f t="shared" si="326"/>
        <v>0</v>
      </c>
      <c r="AE925" s="53">
        <v>0</v>
      </c>
      <c r="AF925" s="55">
        <v>0</v>
      </c>
      <c r="AG925" s="55">
        <v>0</v>
      </c>
      <c r="AH925" s="55">
        <f t="shared" si="337"/>
        <v>0</v>
      </c>
      <c r="AI925" s="55">
        <v>0</v>
      </c>
      <c r="AJ925" s="55">
        <v>0</v>
      </c>
      <c r="AK925" s="55">
        <v>0</v>
      </c>
      <c r="AL925" s="55">
        <f t="shared" si="338"/>
        <v>0</v>
      </c>
      <c r="AM925" s="55" t="s">
        <v>1912</v>
      </c>
      <c r="AN925" s="55">
        <v>0</v>
      </c>
      <c r="AO925" s="55">
        <v>0</v>
      </c>
      <c r="AP925" s="55">
        <f t="shared" si="329"/>
        <v>0</v>
      </c>
      <c r="AQ925" s="55">
        <f>IFERROR(VLOOKUP(A925,[1]SIIMPLES!$A$2:$F$418,6,FALSE),0)</f>
        <v>0</v>
      </c>
      <c r="AR925" s="55">
        <v>0</v>
      </c>
      <c r="AS925" s="55">
        <v>0</v>
      </c>
      <c r="AT925" s="55">
        <v>0</v>
      </c>
      <c r="AU925" s="55">
        <v>0</v>
      </c>
      <c r="AV925" s="55">
        <v>0</v>
      </c>
      <c r="AW925" s="55"/>
      <c r="AX925" s="55"/>
      <c r="AY925" s="56">
        <f t="shared" si="331"/>
        <v>0</v>
      </c>
      <c r="AZ925" s="55"/>
      <c r="BA925" s="56">
        <v>0</v>
      </c>
      <c r="BB925" s="41" t="str">
        <f t="shared" si="340"/>
        <v/>
      </c>
      <c r="BC925" s="13"/>
      <c r="BD925" s="35"/>
      <c r="BE925" s="13"/>
      <c r="BF925" s="16">
        <f t="shared" si="336"/>
        <v>0</v>
      </c>
      <c r="BG925" s="17" t="str">
        <f t="shared" si="339"/>
        <v>0</v>
      </c>
      <c r="BH925" s="16">
        <f t="shared" ref="BH925:BH948" si="341">IFERROR(IF(F925=1,IF(BC925&lt;AY925*3,AY925*3-BC925,0),IF(BC925&lt;AY925,AY925-BC925,0)),"")</f>
        <v>0</v>
      </c>
    </row>
    <row r="926" spans="1:60" ht="12.75" customHeight="1" x14ac:dyDescent="0.2">
      <c r="A926" s="51">
        <v>222092</v>
      </c>
      <c r="B926" s="51" t="s">
        <v>1086</v>
      </c>
      <c r="C926" s="66" t="s">
        <v>1803</v>
      </c>
      <c r="D926" s="52" t="s">
        <v>728</v>
      </c>
      <c r="E926" s="65" t="s">
        <v>780</v>
      </c>
      <c r="F926" s="53">
        <f>IFERROR(VLOOKUP(E926,Fornecedores!$A$2:$B$2700,2,FALSE),"")</f>
        <v>2</v>
      </c>
      <c r="G926" s="52">
        <f>VLOOKUP(A926,[2]CMV!$A$1:$F$2043,6,FALSE)</f>
        <v>0</v>
      </c>
      <c r="H926" s="57"/>
      <c r="I926" s="55">
        <f t="shared" si="333"/>
        <v>0</v>
      </c>
      <c r="J926" s="55">
        <v>0</v>
      </c>
      <c r="K926" s="55">
        <v>0</v>
      </c>
      <c r="L926" s="55">
        <v>0</v>
      </c>
      <c r="M926" s="55">
        <v>0</v>
      </c>
      <c r="N926" s="55">
        <f t="shared" si="334"/>
        <v>0</v>
      </c>
      <c r="O926" s="55">
        <v>0</v>
      </c>
      <c r="P926" s="55">
        <v>0</v>
      </c>
      <c r="Q926" s="55">
        <v>0</v>
      </c>
      <c r="R926" s="55">
        <f t="shared" si="335"/>
        <v>0</v>
      </c>
      <c r="S926" s="55">
        <v>0</v>
      </c>
      <c r="T926" s="55">
        <v>0</v>
      </c>
      <c r="U926" s="55">
        <v>0</v>
      </c>
      <c r="V926" s="55">
        <v>0</v>
      </c>
      <c r="W926" s="53">
        <v>0</v>
      </c>
      <c r="X926" s="53">
        <v>0</v>
      </c>
      <c r="Y926" s="55">
        <v>0</v>
      </c>
      <c r="Z926" s="55">
        <v>0</v>
      </c>
      <c r="AA926" s="53">
        <v>0</v>
      </c>
      <c r="AB926" s="53">
        <v>0</v>
      </c>
      <c r="AC926" s="55">
        <v>0</v>
      </c>
      <c r="AD926" s="55">
        <f t="shared" si="326"/>
        <v>0</v>
      </c>
      <c r="AE926" s="53">
        <v>0</v>
      </c>
      <c r="AF926" s="55">
        <v>0</v>
      </c>
      <c r="AG926" s="55">
        <v>0</v>
      </c>
      <c r="AH926" s="55">
        <f t="shared" si="337"/>
        <v>0</v>
      </c>
      <c r="AI926" s="55">
        <v>0</v>
      </c>
      <c r="AJ926" s="55">
        <v>0</v>
      </c>
      <c r="AK926" s="55">
        <v>0</v>
      </c>
      <c r="AL926" s="55">
        <f t="shared" si="338"/>
        <v>0</v>
      </c>
      <c r="AM926" s="55" t="s">
        <v>1912</v>
      </c>
      <c r="AN926" s="55">
        <v>0</v>
      </c>
      <c r="AO926" s="55">
        <v>0</v>
      </c>
      <c r="AP926" s="55">
        <f t="shared" si="329"/>
        <v>0</v>
      </c>
      <c r="AQ926" s="55">
        <f>IFERROR(VLOOKUP(A926,[1]SIIMPLES!$A$2:$F$418,6,FALSE),0)</f>
        <v>0</v>
      </c>
      <c r="AR926" s="55">
        <v>0</v>
      </c>
      <c r="AS926" s="55">
        <v>0</v>
      </c>
      <c r="AT926" s="55">
        <v>0</v>
      </c>
      <c r="AU926" s="55">
        <v>0</v>
      </c>
      <c r="AV926" s="55">
        <v>0</v>
      </c>
      <c r="AW926" s="55"/>
      <c r="AX926" s="55"/>
      <c r="AY926" s="56">
        <f t="shared" si="331"/>
        <v>0</v>
      </c>
      <c r="AZ926" s="55"/>
      <c r="BA926" s="56">
        <v>0</v>
      </c>
      <c r="BB926" s="41" t="str">
        <f t="shared" si="340"/>
        <v/>
      </c>
      <c r="BC926" s="13"/>
      <c r="BD926" s="35"/>
      <c r="BE926" s="13"/>
      <c r="BF926" s="16">
        <f t="shared" si="336"/>
        <v>0</v>
      </c>
      <c r="BG926" s="17" t="str">
        <f t="shared" si="339"/>
        <v>0</v>
      </c>
      <c r="BH926" s="16">
        <f t="shared" si="341"/>
        <v>0</v>
      </c>
    </row>
    <row r="927" spans="1:60" ht="12.75" customHeight="1" x14ac:dyDescent="0.2">
      <c r="A927" s="51">
        <v>222093</v>
      </c>
      <c r="B927" s="51" t="s">
        <v>1086</v>
      </c>
      <c r="C927" s="66" t="s">
        <v>1803</v>
      </c>
      <c r="D927" s="52" t="s">
        <v>728</v>
      </c>
      <c r="E927" s="65" t="s">
        <v>780</v>
      </c>
      <c r="F927" s="53">
        <f>IFERROR(VLOOKUP(E927,Fornecedores!$A$2:$B$2700,2,FALSE),"")</f>
        <v>2</v>
      </c>
      <c r="G927" s="52">
        <f>VLOOKUP(A927,[2]CMV!$A$1:$F$2043,6,FALSE)</f>
        <v>0</v>
      </c>
      <c r="H927" s="57"/>
      <c r="I927" s="55">
        <f t="shared" si="333"/>
        <v>0</v>
      </c>
      <c r="J927" s="55">
        <v>0</v>
      </c>
      <c r="K927" s="55">
        <v>0</v>
      </c>
      <c r="L927" s="55">
        <v>0</v>
      </c>
      <c r="M927" s="55">
        <v>0</v>
      </c>
      <c r="N927" s="55">
        <f t="shared" si="334"/>
        <v>0</v>
      </c>
      <c r="O927" s="55">
        <v>0</v>
      </c>
      <c r="P927" s="55">
        <v>0</v>
      </c>
      <c r="Q927" s="55">
        <v>0</v>
      </c>
      <c r="R927" s="55">
        <f t="shared" si="335"/>
        <v>0</v>
      </c>
      <c r="S927" s="55">
        <v>0</v>
      </c>
      <c r="T927" s="55">
        <v>0</v>
      </c>
      <c r="U927" s="55">
        <v>0</v>
      </c>
      <c r="V927" s="55">
        <v>0</v>
      </c>
      <c r="W927" s="53">
        <v>0</v>
      </c>
      <c r="X927" s="53">
        <v>0</v>
      </c>
      <c r="Y927" s="55">
        <v>0</v>
      </c>
      <c r="Z927" s="55">
        <v>0</v>
      </c>
      <c r="AA927" s="53">
        <v>0</v>
      </c>
      <c r="AB927" s="53">
        <v>0</v>
      </c>
      <c r="AC927" s="55">
        <v>0</v>
      </c>
      <c r="AD927" s="55">
        <f t="shared" si="326"/>
        <v>0</v>
      </c>
      <c r="AE927" s="53">
        <v>0</v>
      </c>
      <c r="AF927" s="55">
        <v>0</v>
      </c>
      <c r="AG927" s="55">
        <v>0</v>
      </c>
      <c r="AH927" s="55">
        <f t="shared" si="337"/>
        <v>0</v>
      </c>
      <c r="AI927" s="55">
        <v>0</v>
      </c>
      <c r="AJ927" s="55">
        <v>0</v>
      </c>
      <c r="AK927" s="55">
        <v>0</v>
      </c>
      <c r="AL927" s="55">
        <f t="shared" si="338"/>
        <v>0</v>
      </c>
      <c r="AM927" s="55" t="s">
        <v>1912</v>
      </c>
      <c r="AN927" s="55">
        <v>0</v>
      </c>
      <c r="AO927" s="55">
        <v>0</v>
      </c>
      <c r="AP927" s="55">
        <f t="shared" si="329"/>
        <v>0</v>
      </c>
      <c r="AQ927" s="55">
        <f>IFERROR(VLOOKUP(A927,[1]SIIMPLES!$A$2:$F$418,6,FALSE),0)</f>
        <v>0</v>
      </c>
      <c r="AR927" s="55">
        <v>0</v>
      </c>
      <c r="AS927" s="55">
        <v>0</v>
      </c>
      <c r="AT927" s="55">
        <v>0</v>
      </c>
      <c r="AU927" s="55">
        <v>0</v>
      </c>
      <c r="AV927" s="55">
        <v>0</v>
      </c>
      <c r="AW927" s="55"/>
      <c r="AX927" s="55"/>
      <c r="AY927" s="56">
        <f t="shared" si="331"/>
        <v>0</v>
      </c>
      <c r="AZ927" s="55"/>
      <c r="BA927" s="56">
        <v>0</v>
      </c>
      <c r="BB927" s="41" t="str">
        <f t="shared" si="340"/>
        <v/>
      </c>
      <c r="BC927" s="13"/>
      <c r="BD927" s="35"/>
      <c r="BE927" s="13"/>
      <c r="BF927" s="16"/>
      <c r="BG927" s="17" t="str">
        <f t="shared" si="339"/>
        <v>0</v>
      </c>
      <c r="BH927" s="16">
        <f t="shared" si="341"/>
        <v>0</v>
      </c>
    </row>
    <row r="928" spans="1:60" ht="12.75" customHeight="1" x14ac:dyDescent="0.2">
      <c r="A928" s="51">
        <v>222094</v>
      </c>
      <c r="B928" s="51" t="s">
        <v>1077</v>
      </c>
      <c r="C928" s="66" t="s">
        <v>1803</v>
      </c>
      <c r="D928" s="52" t="s">
        <v>728</v>
      </c>
      <c r="E928" s="65" t="s">
        <v>780</v>
      </c>
      <c r="F928" s="53">
        <f>IFERROR(VLOOKUP(E928,Fornecedores!$A$2:$B$2700,2,FALSE),"")</f>
        <v>2</v>
      </c>
      <c r="G928" s="52" t="s">
        <v>156</v>
      </c>
      <c r="H928" s="57"/>
      <c r="I928" s="55">
        <f t="shared" si="333"/>
        <v>0</v>
      </c>
      <c r="J928" s="55">
        <v>0</v>
      </c>
      <c r="K928" s="55">
        <v>0</v>
      </c>
      <c r="L928" s="55">
        <v>0</v>
      </c>
      <c r="M928" s="55">
        <v>0</v>
      </c>
      <c r="N928" s="55">
        <f t="shared" si="334"/>
        <v>0</v>
      </c>
      <c r="O928" s="55">
        <v>0</v>
      </c>
      <c r="P928" s="55">
        <v>0</v>
      </c>
      <c r="Q928" s="55">
        <v>0</v>
      </c>
      <c r="R928" s="55">
        <f t="shared" si="335"/>
        <v>0</v>
      </c>
      <c r="S928" s="55">
        <v>0</v>
      </c>
      <c r="T928" s="55">
        <v>0</v>
      </c>
      <c r="U928" s="55">
        <v>0</v>
      </c>
      <c r="V928" s="55">
        <v>0</v>
      </c>
      <c r="W928" s="53">
        <v>0</v>
      </c>
      <c r="X928" s="53">
        <v>0</v>
      </c>
      <c r="Y928" s="55">
        <v>0</v>
      </c>
      <c r="Z928" s="55">
        <v>0</v>
      </c>
      <c r="AA928" s="53">
        <v>0</v>
      </c>
      <c r="AB928" s="53">
        <v>0</v>
      </c>
      <c r="AC928" s="55">
        <v>0</v>
      </c>
      <c r="AD928" s="55">
        <f t="shared" si="326"/>
        <v>0</v>
      </c>
      <c r="AE928" s="53">
        <v>0</v>
      </c>
      <c r="AF928" s="55">
        <v>0</v>
      </c>
      <c r="AG928" s="55">
        <v>0</v>
      </c>
      <c r="AH928" s="55">
        <f t="shared" si="337"/>
        <v>0</v>
      </c>
      <c r="AI928" s="55">
        <v>0</v>
      </c>
      <c r="AJ928" s="55">
        <v>0</v>
      </c>
      <c r="AK928" s="55">
        <v>0</v>
      </c>
      <c r="AL928" s="55">
        <f t="shared" si="338"/>
        <v>0</v>
      </c>
      <c r="AM928" s="55" t="s">
        <v>1912</v>
      </c>
      <c r="AN928" s="55">
        <v>0</v>
      </c>
      <c r="AO928" s="55">
        <v>0</v>
      </c>
      <c r="AP928" s="55">
        <f t="shared" si="329"/>
        <v>0</v>
      </c>
      <c r="AQ928" s="55">
        <f>IFERROR(VLOOKUP(A928,[1]SIIMPLES!$A$2:$F$418,6,FALSE),0)</f>
        <v>0</v>
      </c>
      <c r="AR928" s="55">
        <v>0</v>
      </c>
      <c r="AS928" s="55">
        <v>0</v>
      </c>
      <c r="AT928" s="55">
        <v>0</v>
      </c>
      <c r="AU928" s="55">
        <v>0</v>
      </c>
      <c r="AV928" s="55">
        <v>0</v>
      </c>
      <c r="AW928" s="55"/>
      <c r="AX928" s="55"/>
      <c r="AY928" s="56">
        <f t="shared" si="331"/>
        <v>0</v>
      </c>
      <c r="AZ928" s="55"/>
      <c r="BA928" s="56">
        <v>0</v>
      </c>
      <c r="BB928" s="41" t="str">
        <f t="shared" si="340"/>
        <v/>
      </c>
      <c r="BC928" s="13"/>
      <c r="BD928" s="35"/>
      <c r="BE928" s="13"/>
      <c r="BF928" s="16">
        <f>SUM(BC928:BE928)</f>
        <v>0</v>
      </c>
      <c r="BG928" s="17" t="str">
        <f t="shared" si="339"/>
        <v>0</v>
      </c>
      <c r="BH928" s="16">
        <f t="shared" si="341"/>
        <v>0</v>
      </c>
    </row>
    <row r="929" spans="1:60" ht="12.75" customHeight="1" x14ac:dyDescent="0.2">
      <c r="A929" s="51">
        <v>222096</v>
      </c>
      <c r="B929" s="51" t="s">
        <v>1086</v>
      </c>
      <c r="C929" s="66" t="s">
        <v>1803</v>
      </c>
      <c r="D929" s="52" t="s">
        <v>728</v>
      </c>
      <c r="E929" s="65" t="s">
        <v>780</v>
      </c>
      <c r="F929" s="53">
        <f>IFERROR(VLOOKUP(E929,Fornecedores!$A$2:$B$2700,2,FALSE),"")</f>
        <v>2</v>
      </c>
      <c r="G929" s="52" t="s">
        <v>1837</v>
      </c>
      <c r="H929" s="57"/>
      <c r="I929" s="55">
        <f t="shared" si="333"/>
        <v>0</v>
      </c>
      <c r="J929" s="55">
        <v>0</v>
      </c>
      <c r="K929" s="55">
        <v>0</v>
      </c>
      <c r="L929" s="55">
        <v>0</v>
      </c>
      <c r="M929" s="55">
        <v>0</v>
      </c>
      <c r="N929" s="55">
        <f t="shared" si="334"/>
        <v>0</v>
      </c>
      <c r="O929" s="55">
        <v>0</v>
      </c>
      <c r="P929" s="55">
        <v>0</v>
      </c>
      <c r="Q929" s="55">
        <v>0</v>
      </c>
      <c r="R929" s="55">
        <f t="shared" si="335"/>
        <v>0</v>
      </c>
      <c r="S929" s="55">
        <v>0</v>
      </c>
      <c r="T929" s="55">
        <v>0</v>
      </c>
      <c r="U929" s="55">
        <v>0</v>
      </c>
      <c r="V929" s="55">
        <v>0</v>
      </c>
      <c r="W929" s="53">
        <v>0</v>
      </c>
      <c r="X929" s="53">
        <v>0</v>
      </c>
      <c r="Y929" s="55">
        <v>0</v>
      </c>
      <c r="Z929" s="55">
        <v>0</v>
      </c>
      <c r="AA929" s="53">
        <v>0</v>
      </c>
      <c r="AB929" s="53">
        <v>0</v>
      </c>
      <c r="AC929" s="55">
        <v>0</v>
      </c>
      <c r="AD929" s="55">
        <f t="shared" ref="AD929:AD992" si="342">SUM(AE929:AG929)</f>
        <v>0</v>
      </c>
      <c r="AE929" s="53">
        <v>0</v>
      </c>
      <c r="AF929" s="55">
        <v>0</v>
      </c>
      <c r="AG929" s="55">
        <v>0</v>
      </c>
      <c r="AH929" s="55">
        <f t="shared" si="337"/>
        <v>0</v>
      </c>
      <c r="AI929" s="55">
        <v>0</v>
      </c>
      <c r="AJ929" s="55">
        <v>0</v>
      </c>
      <c r="AK929" s="55">
        <v>0</v>
      </c>
      <c r="AL929" s="55">
        <f t="shared" si="338"/>
        <v>0</v>
      </c>
      <c r="AM929" s="55" t="s">
        <v>1912</v>
      </c>
      <c r="AN929" s="55">
        <v>0</v>
      </c>
      <c r="AO929" s="55">
        <v>0</v>
      </c>
      <c r="AP929" s="55">
        <f t="shared" si="329"/>
        <v>0</v>
      </c>
      <c r="AQ929" s="55">
        <f>IFERROR(VLOOKUP(A929,[1]SIIMPLES!$A$2:$F$418,6,FALSE),0)</f>
        <v>0</v>
      </c>
      <c r="AR929" s="55">
        <v>0</v>
      </c>
      <c r="AS929" s="55">
        <v>0</v>
      </c>
      <c r="AT929" s="55">
        <v>0</v>
      </c>
      <c r="AU929" s="55">
        <v>0</v>
      </c>
      <c r="AV929" s="55">
        <v>0</v>
      </c>
      <c r="AW929" s="55"/>
      <c r="AX929" s="55"/>
      <c r="AY929" s="56">
        <f t="shared" si="331"/>
        <v>0</v>
      </c>
      <c r="AZ929" s="55"/>
      <c r="BA929" s="56">
        <v>0</v>
      </c>
      <c r="BB929" s="41" t="str">
        <f t="shared" si="340"/>
        <v/>
      </c>
      <c r="BC929" s="13"/>
      <c r="BD929" s="35"/>
      <c r="BE929" s="13"/>
      <c r="BF929" s="16">
        <f>SUM(BC929:BE929)</f>
        <v>0</v>
      </c>
      <c r="BG929" s="17" t="str">
        <f t="shared" si="339"/>
        <v>0</v>
      </c>
      <c r="BH929" s="16">
        <f t="shared" si="341"/>
        <v>0</v>
      </c>
    </row>
    <row r="930" spans="1:60" ht="12.75" customHeight="1" x14ac:dyDescent="0.2">
      <c r="A930" s="51">
        <v>222097</v>
      </c>
      <c r="B930" s="51" t="s">
        <v>1086</v>
      </c>
      <c r="C930" s="66" t="s">
        <v>1803</v>
      </c>
      <c r="D930" s="52" t="s">
        <v>728</v>
      </c>
      <c r="E930" s="65" t="s">
        <v>780</v>
      </c>
      <c r="F930" s="53">
        <f>IFERROR(VLOOKUP(E930,Fornecedores!$A$2:$B$2700,2,FALSE),"")</f>
        <v>2</v>
      </c>
      <c r="G930" s="52" t="s">
        <v>1840</v>
      </c>
      <c r="H930" s="57"/>
      <c r="I930" s="55">
        <f t="shared" si="333"/>
        <v>0</v>
      </c>
      <c r="J930" s="55">
        <v>0</v>
      </c>
      <c r="K930" s="55">
        <v>0</v>
      </c>
      <c r="L930" s="55">
        <v>0</v>
      </c>
      <c r="M930" s="55">
        <v>0</v>
      </c>
      <c r="N930" s="55">
        <f t="shared" si="334"/>
        <v>0</v>
      </c>
      <c r="O930" s="55">
        <v>0</v>
      </c>
      <c r="P930" s="55">
        <v>0</v>
      </c>
      <c r="Q930" s="55">
        <v>0</v>
      </c>
      <c r="R930" s="55">
        <f t="shared" si="335"/>
        <v>0</v>
      </c>
      <c r="S930" s="55">
        <v>0</v>
      </c>
      <c r="T930" s="55">
        <v>0</v>
      </c>
      <c r="U930" s="55">
        <v>0</v>
      </c>
      <c r="V930" s="55">
        <v>0</v>
      </c>
      <c r="W930" s="53">
        <v>0</v>
      </c>
      <c r="X930" s="53">
        <v>0</v>
      </c>
      <c r="Y930" s="55">
        <v>0</v>
      </c>
      <c r="Z930" s="55">
        <v>0</v>
      </c>
      <c r="AA930" s="53">
        <v>0</v>
      </c>
      <c r="AB930" s="53">
        <v>0</v>
      </c>
      <c r="AC930" s="55">
        <v>0</v>
      </c>
      <c r="AD930" s="55">
        <f t="shared" si="342"/>
        <v>0</v>
      </c>
      <c r="AE930" s="53">
        <v>0</v>
      </c>
      <c r="AF930" s="55">
        <v>0</v>
      </c>
      <c r="AG930" s="55">
        <v>0</v>
      </c>
      <c r="AH930" s="55">
        <f t="shared" si="337"/>
        <v>0</v>
      </c>
      <c r="AI930" s="55">
        <v>0</v>
      </c>
      <c r="AJ930" s="55">
        <v>0</v>
      </c>
      <c r="AK930" s="55">
        <v>0</v>
      </c>
      <c r="AL930" s="55">
        <f t="shared" si="338"/>
        <v>0</v>
      </c>
      <c r="AM930" s="55" t="s">
        <v>1912</v>
      </c>
      <c r="AN930" s="55">
        <v>0</v>
      </c>
      <c r="AO930" s="55">
        <v>0</v>
      </c>
      <c r="AP930" s="55">
        <f t="shared" si="329"/>
        <v>0</v>
      </c>
      <c r="AQ930" s="55">
        <f>IFERROR(VLOOKUP(A930,[1]SIIMPLES!$A$2:$F$418,6,FALSE),0)</f>
        <v>0</v>
      </c>
      <c r="AR930" s="55">
        <v>0</v>
      </c>
      <c r="AS930" s="55">
        <v>0</v>
      </c>
      <c r="AT930" s="55">
        <v>0</v>
      </c>
      <c r="AU930" s="55">
        <v>0</v>
      </c>
      <c r="AV930" s="55">
        <v>0</v>
      </c>
      <c r="AW930" s="55"/>
      <c r="AX930" s="55"/>
      <c r="AY930" s="56">
        <f t="shared" si="331"/>
        <v>0</v>
      </c>
      <c r="AZ930" s="55"/>
      <c r="BA930" s="56">
        <v>0</v>
      </c>
      <c r="BB930" s="41" t="str">
        <f t="shared" si="340"/>
        <v/>
      </c>
      <c r="BC930" s="13"/>
      <c r="BD930" s="35"/>
      <c r="BE930" s="7"/>
      <c r="BF930" s="16"/>
      <c r="BG930" s="17" t="str">
        <f t="shared" si="339"/>
        <v>0</v>
      </c>
      <c r="BH930" s="16">
        <f t="shared" si="341"/>
        <v>0</v>
      </c>
    </row>
    <row r="931" spans="1:60" ht="12.75" customHeight="1" x14ac:dyDescent="0.2">
      <c r="A931" s="51">
        <v>222098</v>
      </c>
      <c r="B931" s="51" t="s">
        <v>1086</v>
      </c>
      <c r="C931" s="66" t="s">
        <v>1803</v>
      </c>
      <c r="D931" s="52" t="s">
        <v>728</v>
      </c>
      <c r="E931" s="65" t="s">
        <v>780</v>
      </c>
      <c r="F931" s="53">
        <f>IFERROR(VLOOKUP(E931,Fornecedores!$A$2:$B$2700,2,FALSE),"")</f>
        <v>2</v>
      </c>
      <c r="G931" s="52">
        <f>VLOOKUP(A931,[2]CMV!$A$1:$F$2043,6,FALSE)</f>
        <v>0</v>
      </c>
      <c r="H931" s="57"/>
      <c r="I931" s="55">
        <f t="shared" si="333"/>
        <v>0</v>
      </c>
      <c r="J931" s="55">
        <v>0</v>
      </c>
      <c r="K931" s="55">
        <v>0</v>
      </c>
      <c r="L931" s="55">
        <v>0</v>
      </c>
      <c r="M931" s="55">
        <v>0</v>
      </c>
      <c r="N931" s="55">
        <f t="shared" si="334"/>
        <v>0</v>
      </c>
      <c r="O931" s="55">
        <v>0</v>
      </c>
      <c r="P931" s="55">
        <v>0</v>
      </c>
      <c r="Q931" s="55">
        <v>0</v>
      </c>
      <c r="R931" s="55">
        <f t="shared" si="335"/>
        <v>0</v>
      </c>
      <c r="S931" s="55">
        <v>0</v>
      </c>
      <c r="T931" s="55">
        <v>0</v>
      </c>
      <c r="U931" s="55">
        <v>0</v>
      </c>
      <c r="V931" s="55">
        <v>0</v>
      </c>
      <c r="W931" s="53">
        <v>0</v>
      </c>
      <c r="X931" s="53">
        <v>0</v>
      </c>
      <c r="Y931" s="55">
        <v>0</v>
      </c>
      <c r="Z931" s="55">
        <v>0</v>
      </c>
      <c r="AA931" s="53">
        <v>0</v>
      </c>
      <c r="AB931" s="53">
        <v>0</v>
      </c>
      <c r="AC931" s="55">
        <v>0</v>
      </c>
      <c r="AD931" s="55">
        <f t="shared" si="342"/>
        <v>0</v>
      </c>
      <c r="AE931" s="53">
        <v>0</v>
      </c>
      <c r="AF931" s="55">
        <v>0</v>
      </c>
      <c r="AG931" s="55">
        <v>0</v>
      </c>
      <c r="AH931" s="55">
        <f t="shared" si="337"/>
        <v>0</v>
      </c>
      <c r="AI931" s="55">
        <v>0</v>
      </c>
      <c r="AJ931" s="55">
        <v>0</v>
      </c>
      <c r="AK931" s="55">
        <v>0</v>
      </c>
      <c r="AL931" s="55">
        <f t="shared" si="338"/>
        <v>0</v>
      </c>
      <c r="AM931" s="55" t="s">
        <v>1912</v>
      </c>
      <c r="AN931" s="55">
        <v>0</v>
      </c>
      <c r="AO931" s="55">
        <v>0</v>
      </c>
      <c r="AP931" s="55">
        <f t="shared" si="329"/>
        <v>0</v>
      </c>
      <c r="AQ931" s="55">
        <f>IFERROR(VLOOKUP(A931,[1]SIIMPLES!$A$2:$F$418,6,FALSE),0)</f>
        <v>0</v>
      </c>
      <c r="AR931" s="55">
        <v>0</v>
      </c>
      <c r="AS931" s="55">
        <v>2</v>
      </c>
      <c r="AT931" s="55">
        <v>2</v>
      </c>
      <c r="AU931" s="55">
        <v>0</v>
      </c>
      <c r="AV931" s="55">
        <v>0</v>
      </c>
      <c r="AW931" s="55"/>
      <c r="AX931" s="55"/>
      <c r="AY931" s="56">
        <f t="shared" si="331"/>
        <v>0.2</v>
      </c>
      <c r="AZ931" s="55"/>
      <c r="BA931" s="56">
        <v>0</v>
      </c>
      <c r="BB931" s="41" t="str">
        <f t="shared" si="340"/>
        <v/>
      </c>
      <c r="BC931" s="13"/>
      <c r="BD931" s="35"/>
      <c r="BE931" s="13"/>
      <c r="BF931" s="16">
        <f t="shared" ref="BF931:BF944" si="343">SUM(BC931:BE931)</f>
        <v>0</v>
      </c>
      <c r="BG931" s="17">
        <f t="shared" si="339"/>
        <v>0</v>
      </c>
      <c r="BH931" s="16">
        <f t="shared" si="341"/>
        <v>0.2</v>
      </c>
    </row>
    <row r="932" spans="1:60" ht="12.75" customHeight="1" x14ac:dyDescent="0.2">
      <c r="A932" s="51">
        <v>222108</v>
      </c>
      <c r="B932" s="51" t="s">
        <v>1077</v>
      </c>
      <c r="C932" s="66" t="s">
        <v>1803</v>
      </c>
      <c r="D932" s="52" t="s">
        <v>728</v>
      </c>
      <c r="E932" s="65" t="s">
        <v>780</v>
      </c>
      <c r="F932" s="53">
        <f>IFERROR(VLOOKUP(E932,Fornecedores!$A$2:$B$2700,2,FALSE),"")</f>
        <v>2</v>
      </c>
      <c r="G932" s="52" t="s">
        <v>851</v>
      </c>
      <c r="H932" s="57"/>
      <c r="I932" s="55">
        <f t="shared" si="333"/>
        <v>0</v>
      </c>
      <c r="J932" s="55">
        <v>0</v>
      </c>
      <c r="K932" s="55">
        <v>0</v>
      </c>
      <c r="L932" s="55">
        <v>0</v>
      </c>
      <c r="M932" s="55">
        <v>0</v>
      </c>
      <c r="N932" s="55">
        <f t="shared" si="334"/>
        <v>0</v>
      </c>
      <c r="O932" s="55">
        <v>0</v>
      </c>
      <c r="P932" s="55">
        <v>0</v>
      </c>
      <c r="Q932" s="55">
        <v>0</v>
      </c>
      <c r="R932" s="55">
        <f t="shared" si="335"/>
        <v>0</v>
      </c>
      <c r="S932" s="55">
        <v>0</v>
      </c>
      <c r="T932" s="55">
        <v>0</v>
      </c>
      <c r="U932" s="55">
        <v>0</v>
      </c>
      <c r="V932" s="55">
        <v>2</v>
      </c>
      <c r="W932" s="53">
        <v>2</v>
      </c>
      <c r="X932" s="53">
        <v>0</v>
      </c>
      <c r="Y932" s="55">
        <v>0</v>
      </c>
      <c r="Z932" s="55">
        <v>2</v>
      </c>
      <c r="AA932" s="53">
        <v>2</v>
      </c>
      <c r="AB932" s="53">
        <v>0</v>
      </c>
      <c r="AC932" s="55">
        <v>0</v>
      </c>
      <c r="AD932" s="55">
        <f t="shared" si="342"/>
        <v>0</v>
      </c>
      <c r="AE932" s="53">
        <v>0</v>
      </c>
      <c r="AF932" s="55">
        <v>0</v>
      </c>
      <c r="AG932" s="55">
        <v>0</v>
      </c>
      <c r="AH932" s="55">
        <f t="shared" si="337"/>
        <v>0</v>
      </c>
      <c r="AI932" s="55">
        <v>0</v>
      </c>
      <c r="AJ932" s="55">
        <v>0</v>
      </c>
      <c r="AK932" s="55">
        <v>0</v>
      </c>
      <c r="AL932" s="55">
        <f t="shared" si="338"/>
        <v>0</v>
      </c>
      <c r="AM932" s="55" t="s">
        <v>1912</v>
      </c>
      <c r="AN932" s="55">
        <v>0</v>
      </c>
      <c r="AO932" s="55">
        <v>0</v>
      </c>
      <c r="AP932" s="55">
        <f t="shared" si="329"/>
        <v>0</v>
      </c>
      <c r="AQ932" s="55">
        <f>IFERROR(VLOOKUP(A932,[1]SIIMPLES!$A$2:$F$418,6,FALSE),0)</f>
        <v>0</v>
      </c>
      <c r="AR932" s="55">
        <v>0</v>
      </c>
      <c r="AS932" s="55">
        <v>0</v>
      </c>
      <c r="AT932" s="55">
        <v>0</v>
      </c>
      <c r="AU932" s="55">
        <v>0</v>
      </c>
      <c r="AV932" s="55">
        <v>0</v>
      </c>
      <c r="AW932" s="55"/>
      <c r="AX932" s="55"/>
      <c r="AY932" s="56">
        <f t="shared" si="331"/>
        <v>0.4</v>
      </c>
      <c r="AZ932" s="55"/>
      <c r="BA932" s="56">
        <v>8.1666666666666661</v>
      </c>
      <c r="BB932" s="41">
        <f t="shared" si="340"/>
        <v>-0.95102040816326527</v>
      </c>
      <c r="BC932" s="13"/>
      <c r="BD932" s="35"/>
      <c r="BE932" s="13"/>
      <c r="BF932" s="16">
        <f t="shared" si="343"/>
        <v>0</v>
      </c>
      <c r="BG932" s="17">
        <f t="shared" si="339"/>
        <v>0</v>
      </c>
      <c r="BH932" s="16">
        <f t="shared" si="341"/>
        <v>0.4</v>
      </c>
    </row>
    <row r="933" spans="1:60" ht="12.75" customHeight="1" x14ac:dyDescent="0.2">
      <c r="A933" s="51">
        <v>222109</v>
      </c>
      <c r="B933" s="51" t="s">
        <v>1086</v>
      </c>
      <c r="C933" s="66" t="s">
        <v>1803</v>
      </c>
      <c r="D933" s="52" t="s">
        <v>728</v>
      </c>
      <c r="E933" s="65" t="s">
        <v>780</v>
      </c>
      <c r="F933" s="53">
        <f>IFERROR(VLOOKUP(E933,Fornecedores!$A$2:$B$2700,2,FALSE),"")</f>
        <v>2</v>
      </c>
      <c r="G933" s="52" t="s">
        <v>1588</v>
      </c>
      <c r="H933" s="57"/>
      <c r="I933" s="55">
        <f t="shared" si="333"/>
        <v>1</v>
      </c>
      <c r="J933" s="55">
        <v>1</v>
      </c>
      <c r="K933" s="55">
        <v>0</v>
      </c>
      <c r="L933" s="55">
        <v>0</v>
      </c>
      <c r="M933" s="55">
        <v>0</v>
      </c>
      <c r="N933" s="55">
        <f t="shared" si="334"/>
        <v>2</v>
      </c>
      <c r="O933" s="55">
        <v>1</v>
      </c>
      <c r="P933" s="55">
        <v>1</v>
      </c>
      <c r="Q933" s="55">
        <v>0</v>
      </c>
      <c r="R933" s="55">
        <f t="shared" si="335"/>
        <v>0</v>
      </c>
      <c r="S933" s="55">
        <v>0</v>
      </c>
      <c r="T933" s="55">
        <v>0</v>
      </c>
      <c r="U933" s="55">
        <v>0</v>
      </c>
      <c r="V933" s="55">
        <v>0</v>
      </c>
      <c r="W933" s="53">
        <v>0</v>
      </c>
      <c r="X933" s="53">
        <v>0</v>
      </c>
      <c r="Y933" s="55">
        <v>0</v>
      </c>
      <c r="Z933" s="55">
        <v>0</v>
      </c>
      <c r="AA933" s="53">
        <v>0</v>
      </c>
      <c r="AB933" s="53">
        <v>0</v>
      </c>
      <c r="AC933" s="55">
        <v>0</v>
      </c>
      <c r="AD933" s="55">
        <f t="shared" si="342"/>
        <v>0</v>
      </c>
      <c r="AE933" s="53">
        <v>0</v>
      </c>
      <c r="AF933" s="55">
        <v>0</v>
      </c>
      <c r="AG933" s="55">
        <v>0</v>
      </c>
      <c r="AH933" s="55">
        <f t="shared" si="337"/>
        <v>0</v>
      </c>
      <c r="AI933" s="55">
        <v>0</v>
      </c>
      <c r="AJ933" s="55">
        <v>0</v>
      </c>
      <c r="AK933" s="55">
        <v>0</v>
      </c>
      <c r="AL933" s="55">
        <f t="shared" si="338"/>
        <v>0</v>
      </c>
      <c r="AM933" s="55" t="s">
        <v>1912</v>
      </c>
      <c r="AN933" s="55">
        <v>0</v>
      </c>
      <c r="AO933" s="55">
        <v>0</v>
      </c>
      <c r="AP933" s="55">
        <f t="shared" si="329"/>
        <v>0</v>
      </c>
      <c r="AQ933" s="55">
        <f>IFERROR(VLOOKUP(A933,[1]SIIMPLES!$A$2:$F$418,6,FALSE),0)</f>
        <v>0</v>
      </c>
      <c r="AR933" s="55">
        <v>0</v>
      </c>
      <c r="AS933" s="55">
        <v>0</v>
      </c>
      <c r="AT933" s="55">
        <v>0</v>
      </c>
      <c r="AU933" s="55">
        <v>0</v>
      </c>
      <c r="AV933" s="55">
        <v>0</v>
      </c>
      <c r="AW933" s="55"/>
      <c r="AX933" s="55"/>
      <c r="AY933" s="56">
        <f t="shared" si="331"/>
        <v>0.3</v>
      </c>
      <c r="AZ933" s="55"/>
      <c r="BA933" s="56">
        <v>0.33333333333333331</v>
      </c>
      <c r="BB933" s="41">
        <f t="shared" si="340"/>
        <v>-9.9999999999999978E-2</v>
      </c>
      <c r="BC933" s="13"/>
      <c r="BD933" s="35"/>
      <c r="BE933" s="13"/>
      <c r="BF933" s="16">
        <f t="shared" si="343"/>
        <v>0</v>
      </c>
      <c r="BG933" s="17">
        <f t="shared" si="339"/>
        <v>0</v>
      </c>
      <c r="BH933" s="16">
        <f t="shared" si="341"/>
        <v>0.3</v>
      </c>
    </row>
    <row r="934" spans="1:60" ht="12.75" customHeight="1" x14ac:dyDescent="0.2">
      <c r="A934" s="51">
        <v>222110</v>
      </c>
      <c r="B934" s="51" t="s">
        <v>1086</v>
      </c>
      <c r="C934" s="66" t="s">
        <v>1803</v>
      </c>
      <c r="D934" s="52" t="s">
        <v>728</v>
      </c>
      <c r="E934" s="65" t="s">
        <v>780</v>
      </c>
      <c r="F934" s="53">
        <f>IFERROR(VLOOKUP(E934,Fornecedores!$A$2:$B$2700,2,FALSE),"")</f>
        <v>2</v>
      </c>
      <c r="G934" s="52" t="s">
        <v>1661</v>
      </c>
      <c r="H934" s="57"/>
      <c r="I934" s="55">
        <f t="shared" si="333"/>
        <v>0</v>
      </c>
      <c r="J934" s="55">
        <v>0</v>
      </c>
      <c r="K934" s="55">
        <v>0</v>
      </c>
      <c r="L934" s="55">
        <v>0</v>
      </c>
      <c r="M934" s="55">
        <v>0</v>
      </c>
      <c r="N934" s="55">
        <f t="shared" si="334"/>
        <v>1</v>
      </c>
      <c r="O934" s="55">
        <v>0</v>
      </c>
      <c r="P934" s="55">
        <v>1</v>
      </c>
      <c r="Q934" s="55">
        <v>0</v>
      </c>
      <c r="R934" s="55">
        <f t="shared" si="335"/>
        <v>0</v>
      </c>
      <c r="S934" s="55">
        <v>0</v>
      </c>
      <c r="T934" s="55">
        <v>0</v>
      </c>
      <c r="U934" s="55">
        <v>0</v>
      </c>
      <c r="V934" s="55">
        <v>0</v>
      </c>
      <c r="W934" s="53">
        <v>0</v>
      </c>
      <c r="X934" s="53">
        <v>0</v>
      </c>
      <c r="Y934" s="55">
        <v>0</v>
      </c>
      <c r="Z934" s="55">
        <v>0</v>
      </c>
      <c r="AA934" s="53">
        <v>0</v>
      </c>
      <c r="AB934" s="53">
        <v>0</v>
      </c>
      <c r="AC934" s="55">
        <v>0</v>
      </c>
      <c r="AD934" s="55">
        <f t="shared" si="342"/>
        <v>0</v>
      </c>
      <c r="AE934" s="53">
        <v>0</v>
      </c>
      <c r="AF934" s="55">
        <v>0</v>
      </c>
      <c r="AG934" s="55">
        <v>0</v>
      </c>
      <c r="AH934" s="55">
        <f t="shared" si="337"/>
        <v>0</v>
      </c>
      <c r="AI934" s="55">
        <v>0</v>
      </c>
      <c r="AJ934" s="55">
        <v>0</v>
      </c>
      <c r="AK934" s="55">
        <v>0</v>
      </c>
      <c r="AL934" s="55">
        <f t="shared" si="338"/>
        <v>0</v>
      </c>
      <c r="AM934" s="55" t="s">
        <v>1912</v>
      </c>
      <c r="AN934" s="55">
        <v>0</v>
      </c>
      <c r="AO934" s="55">
        <v>0</v>
      </c>
      <c r="AP934" s="55">
        <f t="shared" si="329"/>
        <v>0</v>
      </c>
      <c r="AQ934" s="55">
        <f>IFERROR(VLOOKUP(A934,[1]SIIMPLES!$A$2:$F$418,6,FALSE),0)</f>
        <v>0</v>
      </c>
      <c r="AR934" s="55">
        <v>0</v>
      </c>
      <c r="AS934" s="55">
        <v>0</v>
      </c>
      <c r="AT934" s="55">
        <v>0</v>
      </c>
      <c r="AU934" s="55">
        <v>0</v>
      </c>
      <c r="AV934" s="55">
        <v>0</v>
      </c>
      <c r="AW934" s="55"/>
      <c r="AX934" s="55"/>
      <c r="AY934" s="56">
        <f t="shared" si="331"/>
        <v>0.1</v>
      </c>
      <c r="AZ934" s="55"/>
      <c r="BA934" s="56">
        <v>0.66666666666666663</v>
      </c>
      <c r="BB934" s="41">
        <f t="shared" si="340"/>
        <v>-0.85</v>
      </c>
      <c r="BC934" s="13"/>
      <c r="BD934" s="37"/>
      <c r="BE934" s="13"/>
      <c r="BF934" s="16">
        <f t="shared" si="343"/>
        <v>0</v>
      </c>
      <c r="BG934" s="17">
        <f t="shared" si="339"/>
        <v>0</v>
      </c>
      <c r="BH934" s="16">
        <f t="shared" si="341"/>
        <v>0.1</v>
      </c>
    </row>
    <row r="935" spans="1:60" ht="12.75" customHeight="1" x14ac:dyDescent="0.2">
      <c r="A935" s="51">
        <v>222111</v>
      </c>
      <c r="B935" s="51" t="s">
        <v>1077</v>
      </c>
      <c r="C935" s="66" t="s">
        <v>1803</v>
      </c>
      <c r="D935" s="52" t="s">
        <v>728</v>
      </c>
      <c r="E935" s="65" t="s">
        <v>780</v>
      </c>
      <c r="F935" s="53">
        <f>IFERROR(VLOOKUP(E935,Fornecedores!$A$2:$B$2700,2,FALSE),"")</f>
        <v>2</v>
      </c>
      <c r="G935" s="52" t="s">
        <v>1046</v>
      </c>
      <c r="H935" s="57"/>
      <c r="I935" s="55">
        <f t="shared" si="333"/>
        <v>0</v>
      </c>
      <c r="J935" s="55">
        <v>0</v>
      </c>
      <c r="K935" s="55">
        <v>0</v>
      </c>
      <c r="L935" s="55">
        <v>0</v>
      </c>
      <c r="M935" s="55">
        <v>0</v>
      </c>
      <c r="N935" s="55">
        <f t="shared" si="334"/>
        <v>0</v>
      </c>
      <c r="O935" s="55">
        <v>0</v>
      </c>
      <c r="P935" s="55">
        <v>0</v>
      </c>
      <c r="Q935" s="55">
        <v>0</v>
      </c>
      <c r="R935" s="55">
        <f t="shared" si="335"/>
        <v>1</v>
      </c>
      <c r="S935" s="55">
        <v>1</v>
      </c>
      <c r="T935" s="55">
        <v>0</v>
      </c>
      <c r="U935" s="55">
        <v>0</v>
      </c>
      <c r="V935" s="55">
        <v>0</v>
      </c>
      <c r="W935" s="53">
        <v>0</v>
      </c>
      <c r="X935" s="53">
        <v>0</v>
      </c>
      <c r="Y935" s="55">
        <v>0</v>
      </c>
      <c r="Z935" s="55">
        <v>0</v>
      </c>
      <c r="AA935" s="53">
        <v>0</v>
      </c>
      <c r="AB935" s="53">
        <v>0</v>
      </c>
      <c r="AC935" s="55">
        <v>0</v>
      </c>
      <c r="AD935" s="55">
        <f t="shared" si="342"/>
        <v>0</v>
      </c>
      <c r="AE935" s="53">
        <v>0</v>
      </c>
      <c r="AF935" s="55">
        <v>0</v>
      </c>
      <c r="AG935" s="55">
        <v>0</v>
      </c>
      <c r="AH935" s="55">
        <f t="shared" si="337"/>
        <v>0</v>
      </c>
      <c r="AI935" s="55">
        <v>0</v>
      </c>
      <c r="AJ935" s="55">
        <v>0</v>
      </c>
      <c r="AK935" s="55">
        <v>0</v>
      </c>
      <c r="AL935" s="55">
        <f t="shared" si="338"/>
        <v>4</v>
      </c>
      <c r="AM935" s="55" t="s">
        <v>1912</v>
      </c>
      <c r="AN935" s="55">
        <v>4</v>
      </c>
      <c r="AO935" s="55">
        <v>0</v>
      </c>
      <c r="AP935" s="55">
        <f t="shared" si="329"/>
        <v>0</v>
      </c>
      <c r="AQ935" s="55">
        <f>IFERROR(VLOOKUP(A935,[1]SIIMPLES!$A$2:$F$418,6,FALSE),0)</f>
        <v>0</v>
      </c>
      <c r="AR935" s="55">
        <v>0</v>
      </c>
      <c r="AS935" s="55">
        <v>0</v>
      </c>
      <c r="AT935" s="55">
        <v>0</v>
      </c>
      <c r="AU935" s="55">
        <v>0</v>
      </c>
      <c r="AV935" s="55">
        <v>0</v>
      </c>
      <c r="AW935" s="55"/>
      <c r="AX935" s="55"/>
      <c r="AY935" s="56">
        <f t="shared" si="331"/>
        <v>0.5</v>
      </c>
      <c r="AZ935" s="55"/>
      <c r="BA935" s="56">
        <v>0</v>
      </c>
      <c r="BB935" s="41" t="str">
        <f t="shared" si="340"/>
        <v/>
      </c>
      <c r="BC935" s="13"/>
      <c r="BD935" s="35"/>
      <c r="BE935" s="13"/>
      <c r="BF935" s="16">
        <f t="shared" si="343"/>
        <v>0</v>
      </c>
      <c r="BG935" s="17">
        <f t="shared" si="339"/>
        <v>0</v>
      </c>
      <c r="BH935" s="16">
        <f t="shared" si="341"/>
        <v>0.5</v>
      </c>
    </row>
    <row r="936" spans="1:60" ht="12.75" customHeight="1" x14ac:dyDescent="0.2">
      <c r="A936" s="51">
        <v>222308</v>
      </c>
      <c r="B936" s="51" t="s">
        <v>1077</v>
      </c>
      <c r="C936" s="66" t="s">
        <v>1803</v>
      </c>
      <c r="D936" s="52" t="s">
        <v>728</v>
      </c>
      <c r="E936" s="65" t="s">
        <v>780</v>
      </c>
      <c r="F936" s="53">
        <f>IFERROR(VLOOKUP(E936,Fornecedores!$A$2:$B$2700,2,FALSE),"")</f>
        <v>2</v>
      </c>
      <c r="G936" s="52" t="s">
        <v>323</v>
      </c>
      <c r="H936" s="57"/>
      <c r="I936" s="55">
        <f t="shared" si="333"/>
        <v>0</v>
      </c>
      <c r="J936" s="55">
        <v>0</v>
      </c>
      <c r="K936" s="55">
        <v>0</v>
      </c>
      <c r="L936" s="55">
        <v>0</v>
      </c>
      <c r="M936" s="55">
        <v>0</v>
      </c>
      <c r="N936" s="55">
        <f t="shared" si="334"/>
        <v>0</v>
      </c>
      <c r="O936" s="55">
        <v>0</v>
      </c>
      <c r="P936" s="55">
        <v>0</v>
      </c>
      <c r="Q936" s="55">
        <v>0</v>
      </c>
      <c r="R936" s="55">
        <f t="shared" si="335"/>
        <v>0</v>
      </c>
      <c r="S936" s="55">
        <v>0</v>
      </c>
      <c r="T936" s="55">
        <v>0</v>
      </c>
      <c r="U936" s="55">
        <v>0</v>
      </c>
      <c r="V936" s="55">
        <v>0</v>
      </c>
      <c r="W936" s="53">
        <v>0</v>
      </c>
      <c r="X936" s="53">
        <v>0</v>
      </c>
      <c r="Y936" s="55">
        <v>0</v>
      </c>
      <c r="Z936" s="55">
        <v>0</v>
      </c>
      <c r="AA936" s="53">
        <v>0</v>
      </c>
      <c r="AB936" s="53">
        <v>0</v>
      </c>
      <c r="AC936" s="55">
        <v>0</v>
      </c>
      <c r="AD936" s="55">
        <f t="shared" si="342"/>
        <v>0</v>
      </c>
      <c r="AE936" s="53">
        <v>0</v>
      </c>
      <c r="AF936" s="55">
        <v>0</v>
      </c>
      <c r="AG936" s="55">
        <v>0</v>
      </c>
      <c r="AH936" s="55">
        <f t="shared" si="337"/>
        <v>0</v>
      </c>
      <c r="AI936" s="55">
        <v>0</v>
      </c>
      <c r="AJ936" s="55">
        <v>0</v>
      </c>
      <c r="AK936" s="55">
        <v>0</v>
      </c>
      <c r="AL936" s="55">
        <f t="shared" si="338"/>
        <v>0</v>
      </c>
      <c r="AM936" s="55" t="s">
        <v>1912</v>
      </c>
      <c r="AN936" s="55">
        <v>0</v>
      </c>
      <c r="AO936" s="55">
        <v>0</v>
      </c>
      <c r="AP936" s="55">
        <f t="shared" si="329"/>
        <v>0</v>
      </c>
      <c r="AQ936" s="55">
        <f>IFERROR(VLOOKUP(A936,[1]SIIMPLES!$A$2:$F$418,6,FALSE),0)</f>
        <v>0</v>
      </c>
      <c r="AR936" s="55">
        <v>0</v>
      </c>
      <c r="AS936" s="55">
        <v>0</v>
      </c>
      <c r="AT936" s="55">
        <v>0</v>
      </c>
      <c r="AU936" s="55">
        <v>0</v>
      </c>
      <c r="AV936" s="55">
        <v>0</v>
      </c>
      <c r="AW936" s="55"/>
      <c r="AX936" s="55"/>
      <c r="AY936" s="56">
        <f t="shared" si="331"/>
        <v>0</v>
      </c>
      <c r="AZ936" s="55"/>
      <c r="BA936" s="56">
        <v>0</v>
      </c>
      <c r="BB936" s="41" t="str">
        <f t="shared" si="340"/>
        <v/>
      </c>
      <c r="BC936" s="13"/>
      <c r="BD936" s="35"/>
      <c r="BE936" s="13"/>
      <c r="BF936" s="16">
        <f t="shared" si="343"/>
        <v>0</v>
      </c>
      <c r="BG936" s="17" t="str">
        <f t="shared" si="339"/>
        <v>0</v>
      </c>
      <c r="BH936" s="16">
        <f t="shared" si="341"/>
        <v>0</v>
      </c>
    </row>
    <row r="937" spans="1:60" ht="12.75" customHeight="1" x14ac:dyDescent="0.2">
      <c r="A937" s="51">
        <v>222309</v>
      </c>
      <c r="B937" s="51" t="s">
        <v>1077</v>
      </c>
      <c r="C937" s="66" t="s">
        <v>1803</v>
      </c>
      <c r="D937" s="52" t="s">
        <v>728</v>
      </c>
      <c r="E937" s="65" t="s">
        <v>780</v>
      </c>
      <c r="F937" s="53">
        <f>IFERROR(VLOOKUP(E937,Fornecedores!$A$2:$B$2700,2,FALSE),"")</f>
        <v>2</v>
      </c>
      <c r="G937" s="52" t="s">
        <v>335</v>
      </c>
      <c r="H937" s="57"/>
      <c r="I937" s="55">
        <f t="shared" si="333"/>
        <v>0</v>
      </c>
      <c r="J937" s="55">
        <v>0</v>
      </c>
      <c r="K937" s="55">
        <v>0</v>
      </c>
      <c r="L937" s="55">
        <v>0</v>
      </c>
      <c r="M937" s="55">
        <v>0</v>
      </c>
      <c r="N937" s="55">
        <f t="shared" si="334"/>
        <v>0</v>
      </c>
      <c r="O937" s="55">
        <v>0</v>
      </c>
      <c r="P937" s="55">
        <v>0</v>
      </c>
      <c r="Q937" s="55">
        <v>0</v>
      </c>
      <c r="R937" s="55">
        <f t="shared" si="335"/>
        <v>0</v>
      </c>
      <c r="S937" s="55">
        <v>0</v>
      </c>
      <c r="T937" s="55">
        <v>0</v>
      </c>
      <c r="U937" s="55">
        <v>0</v>
      </c>
      <c r="V937" s="55">
        <v>0</v>
      </c>
      <c r="W937" s="53">
        <v>0</v>
      </c>
      <c r="X937" s="53">
        <v>0</v>
      </c>
      <c r="Y937" s="55">
        <v>0</v>
      </c>
      <c r="Z937" s="55">
        <v>0</v>
      </c>
      <c r="AA937" s="53">
        <v>0</v>
      </c>
      <c r="AB937" s="53">
        <v>0</v>
      </c>
      <c r="AC937" s="55">
        <v>0</v>
      </c>
      <c r="AD937" s="55">
        <f t="shared" si="342"/>
        <v>0</v>
      </c>
      <c r="AE937" s="53">
        <v>0</v>
      </c>
      <c r="AF937" s="55">
        <v>0</v>
      </c>
      <c r="AG937" s="55">
        <v>0</v>
      </c>
      <c r="AH937" s="55">
        <f t="shared" si="337"/>
        <v>0</v>
      </c>
      <c r="AI937" s="55">
        <v>0</v>
      </c>
      <c r="AJ937" s="55">
        <v>0</v>
      </c>
      <c r="AK937" s="55">
        <v>0</v>
      </c>
      <c r="AL937" s="55">
        <f t="shared" si="338"/>
        <v>0</v>
      </c>
      <c r="AM937" s="55" t="s">
        <v>1912</v>
      </c>
      <c r="AN937" s="55">
        <v>0</v>
      </c>
      <c r="AO937" s="55">
        <v>0</v>
      </c>
      <c r="AP937" s="55">
        <f t="shared" si="329"/>
        <v>0</v>
      </c>
      <c r="AQ937" s="55">
        <f>IFERROR(VLOOKUP(A937,[1]SIIMPLES!$A$2:$F$418,6,FALSE),0)</f>
        <v>0</v>
      </c>
      <c r="AR937" s="55">
        <v>0</v>
      </c>
      <c r="AS937" s="55">
        <v>0</v>
      </c>
      <c r="AT937" s="55">
        <v>0</v>
      </c>
      <c r="AU937" s="55">
        <v>0</v>
      </c>
      <c r="AV937" s="55">
        <v>0</v>
      </c>
      <c r="AW937" s="55"/>
      <c r="AX937" s="55"/>
      <c r="AY937" s="56">
        <f t="shared" si="331"/>
        <v>0</v>
      </c>
      <c r="AZ937" s="55"/>
      <c r="BA937" s="56">
        <v>0</v>
      </c>
      <c r="BB937" s="41" t="str">
        <f t="shared" si="340"/>
        <v/>
      </c>
      <c r="BC937" s="13"/>
      <c r="BD937" s="37"/>
      <c r="BE937" s="13"/>
      <c r="BF937" s="16">
        <f t="shared" si="343"/>
        <v>0</v>
      </c>
      <c r="BG937" s="17" t="str">
        <f t="shared" si="339"/>
        <v>0</v>
      </c>
      <c r="BH937" s="16">
        <f t="shared" si="341"/>
        <v>0</v>
      </c>
    </row>
    <row r="938" spans="1:60" ht="12.75" customHeight="1" x14ac:dyDescent="0.2">
      <c r="A938" s="51">
        <v>222310</v>
      </c>
      <c r="B938" s="51"/>
      <c r="C938" s="66" t="s">
        <v>1803</v>
      </c>
      <c r="D938" s="52" t="s">
        <v>728</v>
      </c>
      <c r="E938" s="65" t="s">
        <v>780</v>
      </c>
      <c r="F938" s="53">
        <f>IFERROR(VLOOKUP(E938,Fornecedores!$A$2:$B$2700,2,FALSE),"")</f>
        <v>2</v>
      </c>
      <c r="G938" s="52" t="s">
        <v>1302</v>
      </c>
      <c r="H938" s="57"/>
      <c r="I938" s="55">
        <f t="shared" si="333"/>
        <v>0</v>
      </c>
      <c r="J938" s="55">
        <v>0</v>
      </c>
      <c r="K938" s="55">
        <v>0</v>
      </c>
      <c r="L938" s="55">
        <v>0</v>
      </c>
      <c r="M938" s="55">
        <v>0</v>
      </c>
      <c r="N938" s="55">
        <f t="shared" si="334"/>
        <v>0</v>
      </c>
      <c r="O938" s="55">
        <v>0</v>
      </c>
      <c r="P938" s="55">
        <v>0</v>
      </c>
      <c r="Q938" s="55">
        <v>0</v>
      </c>
      <c r="R938" s="55">
        <f t="shared" si="335"/>
        <v>0</v>
      </c>
      <c r="S938" s="55">
        <v>0</v>
      </c>
      <c r="T938" s="55">
        <v>0</v>
      </c>
      <c r="U938" s="55">
        <v>0</v>
      </c>
      <c r="V938" s="55">
        <v>0</v>
      </c>
      <c r="W938" s="53">
        <v>0</v>
      </c>
      <c r="X938" s="53">
        <v>0</v>
      </c>
      <c r="Y938" s="55">
        <v>0</v>
      </c>
      <c r="Z938" s="55">
        <v>0</v>
      </c>
      <c r="AA938" s="53">
        <v>0</v>
      </c>
      <c r="AB938" s="53">
        <v>0</v>
      </c>
      <c r="AC938" s="55">
        <v>0</v>
      </c>
      <c r="AD938" s="55">
        <f t="shared" si="342"/>
        <v>0</v>
      </c>
      <c r="AE938" s="53">
        <v>0</v>
      </c>
      <c r="AF938" s="55">
        <v>0</v>
      </c>
      <c r="AG938" s="55">
        <v>0</v>
      </c>
      <c r="AH938" s="55">
        <f t="shared" si="337"/>
        <v>0</v>
      </c>
      <c r="AI938" s="55">
        <v>0</v>
      </c>
      <c r="AJ938" s="55">
        <v>0</v>
      </c>
      <c r="AK938" s="55">
        <v>0</v>
      </c>
      <c r="AL938" s="55">
        <f t="shared" si="338"/>
        <v>0</v>
      </c>
      <c r="AM938" s="55" t="s">
        <v>1912</v>
      </c>
      <c r="AN938" s="55">
        <v>0</v>
      </c>
      <c r="AO938" s="55">
        <v>0</v>
      </c>
      <c r="AP938" s="55">
        <f t="shared" si="329"/>
        <v>0</v>
      </c>
      <c r="AQ938" s="55">
        <f>IFERROR(VLOOKUP(A938,[1]SIIMPLES!$A$2:$F$418,6,FALSE),0)</f>
        <v>0</v>
      </c>
      <c r="AR938" s="55">
        <v>0</v>
      </c>
      <c r="AS938" s="55">
        <v>0</v>
      </c>
      <c r="AT938" s="55">
        <v>0</v>
      </c>
      <c r="AU938" s="55">
        <v>0</v>
      </c>
      <c r="AV938" s="55">
        <v>0</v>
      </c>
      <c r="AW938" s="55"/>
      <c r="AX938" s="55"/>
      <c r="AY938" s="56">
        <f t="shared" si="331"/>
        <v>0</v>
      </c>
      <c r="AZ938" s="55"/>
      <c r="BA938" s="56">
        <v>0</v>
      </c>
      <c r="BB938" s="41" t="str">
        <f t="shared" si="340"/>
        <v/>
      </c>
      <c r="BC938" s="13"/>
      <c r="BD938" s="37"/>
      <c r="BE938" s="13"/>
      <c r="BF938" s="16">
        <f t="shared" si="343"/>
        <v>0</v>
      </c>
      <c r="BG938" s="17" t="str">
        <f t="shared" si="339"/>
        <v>0</v>
      </c>
      <c r="BH938" s="16">
        <f t="shared" si="341"/>
        <v>0</v>
      </c>
    </row>
    <row r="939" spans="1:60" ht="12.75" customHeight="1" x14ac:dyDescent="0.2">
      <c r="A939" s="51">
        <v>222311</v>
      </c>
      <c r="B939" s="51"/>
      <c r="C939" s="66" t="s">
        <v>1803</v>
      </c>
      <c r="D939" s="52" t="s">
        <v>728</v>
      </c>
      <c r="E939" s="65" t="s">
        <v>780</v>
      </c>
      <c r="F939" s="53">
        <f>IFERROR(VLOOKUP(E939,Fornecedores!$A$2:$B$2700,2,FALSE),"")</f>
        <v>2</v>
      </c>
      <c r="G939" s="52" t="s">
        <v>1303</v>
      </c>
      <c r="H939" s="57"/>
      <c r="I939" s="55">
        <f t="shared" si="333"/>
        <v>0</v>
      </c>
      <c r="J939" s="55">
        <v>0</v>
      </c>
      <c r="K939" s="55">
        <v>0</v>
      </c>
      <c r="L939" s="55">
        <v>0</v>
      </c>
      <c r="M939" s="55">
        <v>0</v>
      </c>
      <c r="N939" s="55">
        <f t="shared" si="334"/>
        <v>0</v>
      </c>
      <c r="O939" s="55">
        <v>0</v>
      </c>
      <c r="P939" s="55">
        <v>0</v>
      </c>
      <c r="Q939" s="55">
        <v>0</v>
      </c>
      <c r="R939" s="55">
        <f t="shared" si="335"/>
        <v>1</v>
      </c>
      <c r="S939" s="55">
        <v>1</v>
      </c>
      <c r="T939" s="55">
        <v>0</v>
      </c>
      <c r="U939" s="55">
        <v>0</v>
      </c>
      <c r="V939" s="55">
        <v>0</v>
      </c>
      <c r="W939" s="53">
        <v>0</v>
      </c>
      <c r="X939" s="53">
        <v>0</v>
      </c>
      <c r="Y939" s="55">
        <v>0</v>
      </c>
      <c r="Z939" s="55">
        <v>0</v>
      </c>
      <c r="AA939" s="53">
        <v>0</v>
      </c>
      <c r="AB939" s="53">
        <v>0</v>
      </c>
      <c r="AC939" s="55">
        <v>0</v>
      </c>
      <c r="AD939" s="55">
        <f t="shared" si="342"/>
        <v>0</v>
      </c>
      <c r="AE939" s="53">
        <v>0</v>
      </c>
      <c r="AF939" s="55">
        <v>0</v>
      </c>
      <c r="AG939" s="55">
        <v>0</v>
      </c>
      <c r="AH939" s="55">
        <f t="shared" si="337"/>
        <v>0</v>
      </c>
      <c r="AI939" s="55">
        <v>0</v>
      </c>
      <c r="AJ939" s="55">
        <v>0</v>
      </c>
      <c r="AK939" s="55">
        <v>0</v>
      </c>
      <c r="AL939" s="55">
        <f t="shared" si="338"/>
        <v>0</v>
      </c>
      <c r="AM939" s="55" t="s">
        <v>1912</v>
      </c>
      <c r="AN939" s="55">
        <v>0</v>
      </c>
      <c r="AO939" s="55">
        <v>0</v>
      </c>
      <c r="AP939" s="55">
        <f t="shared" si="329"/>
        <v>0</v>
      </c>
      <c r="AQ939" s="55">
        <f>IFERROR(VLOOKUP(A939,[1]SIIMPLES!$A$2:$F$418,6,FALSE),0)</f>
        <v>0</v>
      </c>
      <c r="AR939" s="55">
        <v>0</v>
      </c>
      <c r="AS939" s="55">
        <v>0</v>
      </c>
      <c r="AT939" s="55">
        <v>0</v>
      </c>
      <c r="AU939" s="55">
        <v>0</v>
      </c>
      <c r="AV939" s="55">
        <v>0</v>
      </c>
      <c r="AW939" s="55"/>
      <c r="AX939" s="55"/>
      <c r="AY939" s="56">
        <f t="shared" si="331"/>
        <v>0.1</v>
      </c>
      <c r="AZ939" s="55"/>
      <c r="BA939" s="56">
        <v>0</v>
      </c>
      <c r="BB939" s="41" t="str">
        <f t="shared" si="340"/>
        <v/>
      </c>
      <c r="BC939" s="13"/>
      <c r="BD939" s="35"/>
      <c r="BE939" s="13"/>
      <c r="BF939" s="16">
        <f t="shared" si="343"/>
        <v>0</v>
      </c>
      <c r="BG939" s="17">
        <f t="shared" si="339"/>
        <v>0</v>
      </c>
      <c r="BH939" s="16">
        <f t="shared" si="341"/>
        <v>0.1</v>
      </c>
    </row>
    <row r="940" spans="1:60" ht="12.75" customHeight="1" x14ac:dyDescent="0.2">
      <c r="A940" s="51">
        <v>222312</v>
      </c>
      <c r="B940" s="51"/>
      <c r="C940" s="66" t="s">
        <v>1803</v>
      </c>
      <c r="D940" s="52" t="s">
        <v>728</v>
      </c>
      <c r="E940" s="65" t="s">
        <v>780</v>
      </c>
      <c r="F940" s="53">
        <f>IFERROR(VLOOKUP(E940,Fornecedores!$A$2:$B$2700,2,FALSE),"")</f>
        <v>2</v>
      </c>
      <c r="G940" s="52" t="s">
        <v>1304</v>
      </c>
      <c r="H940" s="57"/>
      <c r="I940" s="55">
        <f t="shared" si="333"/>
        <v>0</v>
      </c>
      <c r="J940" s="55">
        <v>0</v>
      </c>
      <c r="K940" s="55">
        <v>0</v>
      </c>
      <c r="L940" s="55">
        <v>0</v>
      </c>
      <c r="M940" s="55">
        <v>0</v>
      </c>
      <c r="N940" s="55">
        <f t="shared" si="334"/>
        <v>0</v>
      </c>
      <c r="O940" s="55">
        <v>0</v>
      </c>
      <c r="P940" s="55">
        <v>0</v>
      </c>
      <c r="Q940" s="55">
        <v>0</v>
      </c>
      <c r="R940" s="55">
        <f t="shared" si="335"/>
        <v>0</v>
      </c>
      <c r="S940" s="55">
        <v>0</v>
      </c>
      <c r="T940" s="55">
        <v>0</v>
      </c>
      <c r="U940" s="55">
        <v>0</v>
      </c>
      <c r="V940" s="55">
        <v>0</v>
      </c>
      <c r="W940" s="53">
        <v>0</v>
      </c>
      <c r="X940" s="53">
        <v>0</v>
      </c>
      <c r="Y940" s="55">
        <v>0</v>
      </c>
      <c r="Z940" s="55">
        <v>1</v>
      </c>
      <c r="AA940" s="53">
        <v>0</v>
      </c>
      <c r="AB940" s="53">
        <v>1</v>
      </c>
      <c r="AC940" s="55">
        <v>0</v>
      </c>
      <c r="AD940" s="55">
        <f t="shared" si="342"/>
        <v>1</v>
      </c>
      <c r="AE940" s="53">
        <v>0</v>
      </c>
      <c r="AF940" s="55">
        <v>1</v>
      </c>
      <c r="AG940" s="55">
        <v>0</v>
      </c>
      <c r="AH940" s="55">
        <f t="shared" si="337"/>
        <v>0</v>
      </c>
      <c r="AI940" s="55">
        <v>0</v>
      </c>
      <c r="AJ940" s="55">
        <v>0</v>
      </c>
      <c r="AK940" s="55">
        <v>0</v>
      </c>
      <c r="AL940" s="55">
        <f t="shared" si="338"/>
        <v>0</v>
      </c>
      <c r="AM940" s="55" t="s">
        <v>1912</v>
      </c>
      <c r="AN940" s="55">
        <v>0</v>
      </c>
      <c r="AO940" s="55">
        <v>0</v>
      </c>
      <c r="AP940" s="55">
        <f t="shared" si="329"/>
        <v>0</v>
      </c>
      <c r="AQ940" s="55">
        <f>IFERROR(VLOOKUP(A940,[1]SIIMPLES!$A$2:$F$418,6,FALSE),0)</f>
        <v>0</v>
      </c>
      <c r="AR940" s="55">
        <v>0</v>
      </c>
      <c r="AS940" s="55">
        <v>0</v>
      </c>
      <c r="AT940" s="55">
        <v>0</v>
      </c>
      <c r="AU940" s="55">
        <v>0</v>
      </c>
      <c r="AV940" s="55">
        <v>0</v>
      </c>
      <c r="AW940" s="55"/>
      <c r="AX940" s="55"/>
      <c r="AY940" s="56">
        <f t="shared" si="331"/>
        <v>0.2</v>
      </c>
      <c r="AZ940" s="55"/>
      <c r="BA940" s="56">
        <v>0</v>
      </c>
      <c r="BB940" s="41" t="str">
        <f t="shared" si="340"/>
        <v/>
      </c>
      <c r="BC940" s="13"/>
      <c r="BD940" s="35"/>
      <c r="BE940" s="13"/>
      <c r="BF940" s="16">
        <f t="shared" si="343"/>
        <v>0</v>
      </c>
      <c r="BG940" s="17">
        <f t="shared" si="339"/>
        <v>0</v>
      </c>
      <c r="BH940" s="16">
        <f t="shared" si="341"/>
        <v>0.2</v>
      </c>
    </row>
    <row r="941" spans="1:60" ht="12.75" customHeight="1" x14ac:dyDescent="0.2">
      <c r="A941" s="51">
        <v>222313</v>
      </c>
      <c r="B941" s="51"/>
      <c r="C941" s="66" t="s">
        <v>1803</v>
      </c>
      <c r="D941" s="52" t="s">
        <v>728</v>
      </c>
      <c r="E941" s="65" t="s">
        <v>780</v>
      </c>
      <c r="F941" s="53">
        <f>IFERROR(VLOOKUP(E941,Fornecedores!$A$2:$B$2700,2,FALSE),"")</f>
        <v>2</v>
      </c>
      <c r="G941" s="52" t="s">
        <v>1305</v>
      </c>
      <c r="H941" s="57"/>
      <c r="I941" s="55">
        <f t="shared" si="333"/>
        <v>0</v>
      </c>
      <c r="J941" s="55">
        <v>0</v>
      </c>
      <c r="K941" s="55">
        <v>0</v>
      </c>
      <c r="L941" s="55">
        <v>0</v>
      </c>
      <c r="M941" s="55">
        <v>0</v>
      </c>
      <c r="N941" s="55">
        <f t="shared" si="334"/>
        <v>0</v>
      </c>
      <c r="O941" s="55">
        <v>0</v>
      </c>
      <c r="P941" s="55">
        <v>0</v>
      </c>
      <c r="Q941" s="55">
        <v>0</v>
      </c>
      <c r="R941" s="55">
        <f t="shared" si="335"/>
        <v>0</v>
      </c>
      <c r="S941" s="55">
        <v>0</v>
      </c>
      <c r="T941" s="55">
        <v>0</v>
      </c>
      <c r="U941" s="55">
        <v>0</v>
      </c>
      <c r="V941" s="55">
        <v>0</v>
      </c>
      <c r="W941" s="53">
        <v>0</v>
      </c>
      <c r="X941" s="53">
        <v>0</v>
      </c>
      <c r="Y941" s="55">
        <v>0</v>
      </c>
      <c r="Z941" s="55">
        <v>1</v>
      </c>
      <c r="AA941" s="53">
        <v>0</v>
      </c>
      <c r="AB941" s="53">
        <v>1</v>
      </c>
      <c r="AC941" s="55">
        <v>0</v>
      </c>
      <c r="AD941" s="55">
        <f t="shared" si="342"/>
        <v>1</v>
      </c>
      <c r="AE941" s="53">
        <v>0</v>
      </c>
      <c r="AF941" s="55">
        <v>1</v>
      </c>
      <c r="AG941" s="55">
        <v>0</v>
      </c>
      <c r="AH941" s="55">
        <f t="shared" si="337"/>
        <v>0</v>
      </c>
      <c r="AI941" s="55">
        <v>0</v>
      </c>
      <c r="AJ941" s="55">
        <v>0</v>
      </c>
      <c r="AK941" s="55">
        <v>0</v>
      </c>
      <c r="AL941" s="55">
        <f t="shared" si="338"/>
        <v>0</v>
      </c>
      <c r="AM941" s="55" t="s">
        <v>1912</v>
      </c>
      <c r="AN941" s="55">
        <v>0</v>
      </c>
      <c r="AO941" s="55">
        <v>0</v>
      </c>
      <c r="AP941" s="55">
        <f t="shared" si="329"/>
        <v>0</v>
      </c>
      <c r="AQ941" s="55">
        <f>IFERROR(VLOOKUP(A941,[1]SIIMPLES!$A$2:$F$418,6,FALSE),0)</f>
        <v>0</v>
      </c>
      <c r="AR941" s="55">
        <v>0</v>
      </c>
      <c r="AS941" s="55">
        <v>0</v>
      </c>
      <c r="AT941" s="55">
        <v>0</v>
      </c>
      <c r="AU941" s="55">
        <v>0</v>
      </c>
      <c r="AV941" s="55">
        <v>0</v>
      </c>
      <c r="AW941" s="55"/>
      <c r="AX941" s="55"/>
      <c r="AY941" s="56">
        <f t="shared" si="331"/>
        <v>0.2</v>
      </c>
      <c r="AZ941" s="55"/>
      <c r="BA941" s="56">
        <v>0</v>
      </c>
      <c r="BB941" s="41" t="str">
        <f t="shared" si="340"/>
        <v/>
      </c>
      <c r="BC941" s="13"/>
      <c r="BD941" s="37"/>
      <c r="BE941" s="13"/>
      <c r="BF941" s="16">
        <f t="shared" si="343"/>
        <v>0</v>
      </c>
      <c r="BG941" s="17">
        <f t="shared" si="339"/>
        <v>0</v>
      </c>
      <c r="BH941" s="16">
        <f t="shared" si="341"/>
        <v>0.2</v>
      </c>
    </row>
    <row r="942" spans="1:60" ht="12.75" customHeight="1" x14ac:dyDescent="0.2">
      <c r="A942" s="51">
        <v>222314</v>
      </c>
      <c r="B942" s="51"/>
      <c r="C942" s="66" t="s">
        <v>1803</v>
      </c>
      <c r="D942" s="52" t="s">
        <v>728</v>
      </c>
      <c r="E942" s="65" t="s">
        <v>780</v>
      </c>
      <c r="F942" s="53">
        <f>IFERROR(VLOOKUP(E942,Fornecedores!$A$2:$B$2700,2,FALSE),"")</f>
        <v>2</v>
      </c>
      <c r="G942" s="52" t="s">
        <v>1306</v>
      </c>
      <c r="H942" s="57"/>
      <c r="I942" s="55">
        <f t="shared" si="333"/>
        <v>0</v>
      </c>
      <c r="J942" s="55">
        <v>0</v>
      </c>
      <c r="K942" s="55">
        <v>0</v>
      </c>
      <c r="L942" s="55">
        <v>0</v>
      </c>
      <c r="M942" s="55">
        <v>0</v>
      </c>
      <c r="N942" s="55">
        <f t="shared" si="334"/>
        <v>0</v>
      </c>
      <c r="O942" s="55">
        <v>0</v>
      </c>
      <c r="P942" s="55">
        <v>0</v>
      </c>
      <c r="Q942" s="55">
        <v>0</v>
      </c>
      <c r="R942" s="55">
        <f t="shared" si="335"/>
        <v>0</v>
      </c>
      <c r="S942" s="55">
        <v>0</v>
      </c>
      <c r="T942" s="55">
        <v>0</v>
      </c>
      <c r="U942" s="55">
        <v>0</v>
      </c>
      <c r="V942" s="55">
        <v>0</v>
      </c>
      <c r="W942" s="53">
        <v>0</v>
      </c>
      <c r="X942" s="53">
        <v>0</v>
      </c>
      <c r="Y942" s="55">
        <v>0</v>
      </c>
      <c r="Z942" s="55">
        <v>0</v>
      </c>
      <c r="AA942" s="53">
        <v>0</v>
      </c>
      <c r="AB942" s="53">
        <v>0</v>
      </c>
      <c r="AC942" s="55">
        <v>0</v>
      </c>
      <c r="AD942" s="55">
        <f t="shared" si="342"/>
        <v>0</v>
      </c>
      <c r="AE942" s="53">
        <v>0</v>
      </c>
      <c r="AF942" s="55">
        <v>0</v>
      </c>
      <c r="AG942" s="55">
        <v>0</v>
      </c>
      <c r="AH942" s="55">
        <f t="shared" si="337"/>
        <v>0</v>
      </c>
      <c r="AI942" s="55">
        <v>0</v>
      </c>
      <c r="AJ942" s="55">
        <v>0</v>
      </c>
      <c r="AK942" s="55">
        <v>0</v>
      </c>
      <c r="AL942" s="55">
        <f t="shared" si="338"/>
        <v>0</v>
      </c>
      <c r="AM942" s="55" t="s">
        <v>1912</v>
      </c>
      <c r="AN942" s="55">
        <v>0</v>
      </c>
      <c r="AO942" s="55">
        <v>0</v>
      </c>
      <c r="AP942" s="55">
        <f t="shared" si="329"/>
        <v>0</v>
      </c>
      <c r="AQ942" s="55">
        <f>IFERROR(VLOOKUP(A942,[1]SIIMPLES!$A$2:$F$418,6,FALSE),0)</f>
        <v>0</v>
      </c>
      <c r="AR942" s="55">
        <v>0</v>
      </c>
      <c r="AS942" s="55">
        <v>0</v>
      </c>
      <c r="AT942" s="55">
        <v>0</v>
      </c>
      <c r="AU942" s="55">
        <v>0</v>
      </c>
      <c r="AV942" s="55">
        <v>0</v>
      </c>
      <c r="AW942" s="55"/>
      <c r="AX942" s="55"/>
      <c r="AY942" s="56">
        <f t="shared" si="331"/>
        <v>0</v>
      </c>
      <c r="AZ942" s="55"/>
      <c r="BA942" s="56">
        <v>0</v>
      </c>
      <c r="BB942" s="41" t="str">
        <f t="shared" si="340"/>
        <v/>
      </c>
      <c r="BC942" s="13"/>
      <c r="BD942" s="35"/>
      <c r="BE942" s="13"/>
      <c r="BF942" s="16">
        <f t="shared" si="343"/>
        <v>0</v>
      </c>
      <c r="BG942" s="17" t="str">
        <f t="shared" si="339"/>
        <v>0</v>
      </c>
      <c r="BH942" s="16">
        <f t="shared" si="341"/>
        <v>0</v>
      </c>
    </row>
    <row r="943" spans="1:60" ht="12.75" customHeight="1" x14ac:dyDescent="0.2">
      <c r="A943" s="51">
        <v>222315</v>
      </c>
      <c r="B943" s="51"/>
      <c r="C943" s="66" t="s">
        <v>1803</v>
      </c>
      <c r="D943" s="52" t="s">
        <v>728</v>
      </c>
      <c r="E943" s="65" t="s">
        <v>780</v>
      </c>
      <c r="F943" s="53">
        <f>IFERROR(VLOOKUP(E943,Fornecedores!$A$2:$B$2700,2,FALSE),"")</f>
        <v>2</v>
      </c>
      <c r="G943" s="52" t="s">
        <v>1307</v>
      </c>
      <c r="H943" s="57"/>
      <c r="I943" s="55">
        <f t="shared" si="333"/>
        <v>0</v>
      </c>
      <c r="J943" s="55">
        <v>0</v>
      </c>
      <c r="K943" s="55">
        <v>0</v>
      </c>
      <c r="L943" s="55">
        <v>0</v>
      </c>
      <c r="M943" s="55">
        <v>0</v>
      </c>
      <c r="N943" s="55">
        <f t="shared" si="334"/>
        <v>0</v>
      </c>
      <c r="O943" s="55">
        <v>0</v>
      </c>
      <c r="P943" s="55">
        <v>0</v>
      </c>
      <c r="Q943" s="55">
        <v>0</v>
      </c>
      <c r="R943" s="55">
        <f t="shared" si="335"/>
        <v>0</v>
      </c>
      <c r="S943" s="55">
        <v>0</v>
      </c>
      <c r="T943" s="55">
        <v>0</v>
      </c>
      <c r="U943" s="55">
        <v>0</v>
      </c>
      <c r="V943" s="55">
        <v>0</v>
      </c>
      <c r="W943" s="53">
        <v>0</v>
      </c>
      <c r="X943" s="53">
        <v>0</v>
      </c>
      <c r="Y943" s="55">
        <v>0</v>
      </c>
      <c r="Z943" s="55">
        <v>0</v>
      </c>
      <c r="AA943" s="53">
        <v>0</v>
      </c>
      <c r="AB943" s="53">
        <v>0</v>
      </c>
      <c r="AC943" s="55">
        <v>0</v>
      </c>
      <c r="AD943" s="55">
        <f t="shared" si="342"/>
        <v>0</v>
      </c>
      <c r="AE943" s="53">
        <v>0</v>
      </c>
      <c r="AF943" s="55">
        <v>0</v>
      </c>
      <c r="AG943" s="55">
        <v>0</v>
      </c>
      <c r="AH943" s="55">
        <f t="shared" si="337"/>
        <v>0</v>
      </c>
      <c r="AI943" s="55">
        <v>0</v>
      </c>
      <c r="AJ943" s="55">
        <v>0</v>
      </c>
      <c r="AK943" s="55">
        <v>0</v>
      </c>
      <c r="AL943" s="55">
        <f t="shared" si="338"/>
        <v>0</v>
      </c>
      <c r="AM943" s="55" t="s">
        <v>1912</v>
      </c>
      <c r="AN943" s="55">
        <v>0</v>
      </c>
      <c r="AO943" s="55">
        <v>0</v>
      </c>
      <c r="AP943" s="55">
        <f t="shared" si="329"/>
        <v>0</v>
      </c>
      <c r="AQ943" s="55">
        <f>IFERROR(VLOOKUP(A943,[1]SIIMPLES!$A$2:$F$418,6,FALSE),0)</f>
        <v>0</v>
      </c>
      <c r="AR943" s="55">
        <v>0</v>
      </c>
      <c r="AS943" s="55">
        <v>0</v>
      </c>
      <c r="AT943" s="55">
        <v>0</v>
      </c>
      <c r="AU943" s="55">
        <v>0</v>
      </c>
      <c r="AV943" s="55">
        <v>0</v>
      </c>
      <c r="AW943" s="55"/>
      <c r="AX943" s="55"/>
      <c r="AY943" s="56">
        <f t="shared" si="331"/>
        <v>0</v>
      </c>
      <c r="AZ943" s="55"/>
      <c r="BA943" s="56">
        <v>0</v>
      </c>
      <c r="BB943" s="41" t="str">
        <f t="shared" si="340"/>
        <v/>
      </c>
      <c r="BC943" s="13"/>
      <c r="BD943" s="35"/>
      <c r="BE943" s="13"/>
      <c r="BF943" s="16">
        <f t="shared" si="343"/>
        <v>0</v>
      </c>
      <c r="BG943" s="17" t="str">
        <f t="shared" si="339"/>
        <v>0</v>
      </c>
      <c r="BH943" s="16">
        <f t="shared" si="341"/>
        <v>0</v>
      </c>
    </row>
    <row r="944" spans="1:60" ht="12.75" customHeight="1" x14ac:dyDescent="0.2">
      <c r="A944" s="51">
        <v>302011</v>
      </c>
      <c r="B944" s="51" t="s">
        <v>1077</v>
      </c>
      <c r="C944" s="66" t="s">
        <v>1803</v>
      </c>
      <c r="D944" s="52" t="s">
        <v>728</v>
      </c>
      <c r="E944" s="65" t="s">
        <v>780</v>
      </c>
      <c r="F944" s="53">
        <f>IFERROR(VLOOKUP(E944,Fornecedores!$A$2:$B$2700,2,FALSE),"")</f>
        <v>2</v>
      </c>
      <c r="G944" s="52" t="s">
        <v>268</v>
      </c>
      <c r="H944" s="57"/>
      <c r="I944" s="55">
        <f t="shared" si="333"/>
        <v>0</v>
      </c>
      <c r="J944" s="55">
        <v>0</v>
      </c>
      <c r="K944" s="55">
        <v>0</v>
      </c>
      <c r="L944" s="55">
        <v>0</v>
      </c>
      <c r="M944" s="55">
        <v>0</v>
      </c>
      <c r="N944" s="55">
        <f t="shared" si="334"/>
        <v>0</v>
      </c>
      <c r="O944" s="55">
        <v>0</v>
      </c>
      <c r="P944" s="55">
        <v>0</v>
      </c>
      <c r="Q944" s="55">
        <v>0</v>
      </c>
      <c r="R944" s="55">
        <f t="shared" si="335"/>
        <v>0</v>
      </c>
      <c r="S944" s="55">
        <v>0</v>
      </c>
      <c r="T944" s="55">
        <v>0</v>
      </c>
      <c r="U944" s="55">
        <v>0</v>
      </c>
      <c r="V944" s="55">
        <v>0</v>
      </c>
      <c r="W944" s="53">
        <v>0</v>
      </c>
      <c r="X944" s="53">
        <v>0</v>
      </c>
      <c r="Y944" s="55">
        <v>0</v>
      </c>
      <c r="Z944" s="55">
        <v>0</v>
      </c>
      <c r="AA944" s="53">
        <v>0</v>
      </c>
      <c r="AB944" s="53">
        <v>0</v>
      </c>
      <c r="AC944" s="55">
        <v>0</v>
      </c>
      <c r="AD944" s="55">
        <f t="shared" si="342"/>
        <v>0</v>
      </c>
      <c r="AE944" s="53">
        <v>0</v>
      </c>
      <c r="AF944" s="55">
        <v>0</v>
      </c>
      <c r="AG944" s="55">
        <v>0</v>
      </c>
      <c r="AH944" s="55">
        <f t="shared" si="337"/>
        <v>0</v>
      </c>
      <c r="AI944" s="55">
        <v>0</v>
      </c>
      <c r="AJ944" s="55">
        <v>0</v>
      </c>
      <c r="AK944" s="55">
        <v>0</v>
      </c>
      <c r="AL944" s="55">
        <f t="shared" si="338"/>
        <v>0</v>
      </c>
      <c r="AM944" s="55" t="s">
        <v>1912</v>
      </c>
      <c r="AN944" s="55">
        <v>0</v>
      </c>
      <c r="AO944" s="55">
        <v>0</v>
      </c>
      <c r="AP944" s="55">
        <f t="shared" si="329"/>
        <v>0</v>
      </c>
      <c r="AQ944" s="55">
        <f>IFERROR(VLOOKUP(A944,[1]SIIMPLES!$A$2:$F$418,6,FALSE),0)</f>
        <v>0</v>
      </c>
      <c r="AR944" s="55">
        <v>0</v>
      </c>
      <c r="AS944" s="55">
        <v>0</v>
      </c>
      <c r="AT944" s="55">
        <v>0</v>
      </c>
      <c r="AU944" s="55">
        <v>0</v>
      </c>
      <c r="AV944" s="55">
        <v>0</v>
      </c>
      <c r="AW944" s="55"/>
      <c r="AX944" s="55"/>
      <c r="AY944" s="56">
        <f t="shared" si="331"/>
        <v>0</v>
      </c>
      <c r="AZ944" s="55"/>
      <c r="BA944" s="56">
        <v>0</v>
      </c>
      <c r="BB944" s="41" t="str">
        <f t="shared" si="340"/>
        <v/>
      </c>
      <c r="BC944" s="13"/>
      <c r="BD944" s="35"/>
      <c r="BE944" s="13"/>
      <c r="BF944" s="16">
        <f t="shared" si="343"/>
        <v>0</v>
      </c>
      <c r="BG944" s="17" t="str">
        <f t="shared" si="339"/>
        <v>0</v>
      </c>
      <c r="BH944" s="16">
        <f t="shared" si="341"/>
        <v>0</v>
      </c>
    </row>
    <row r="945" spans="1:60" ht="12.75" customHeight="1" x14ac:dyDescent="0.2">
      <c r="A945" s="51">
        <v>332000</v>
      </c>
      <c r="B945" s="51" t="s">
        <v>1077</v>
      </c>
      <c r="C945" s="66" t="s">
        <v>1803</v>
      </c>
      <c r="D945" s="52" t="s">
        <v>728</v>
      </c>
      <c r="E945" s="65" t="s">
        <v>780</v>
      </c>
      <c r="F945" s="53">
        <f>IFERROR(VLOOKUP(E945,Fornecedores!$A$2:$B$2700,2,FALSE),"")</f>
        <v>2</v>
      </c>
      <c r="G945" s="52" t="s">
        <v>856</v>
      </c>
      <c r="H945" s="57"/>
      <c r="I945" s="55">
        <f t="shared" si="333"/>
        <v>1</v>
      </c>
      <c r="J945" s="55">
        <v>1</v>
      </c>
      <c r="K945" s="55">
        <v>0</v>
      </c>
      <c r="L945" s="55">
        <v>0</v>
      </c>
      <c r="M945" s="55">
        <v>0</v>
      </c>
      <c r="N945" s="55">
        <f t="shared" si="334"/>
        <v>0</v>
      </c>
      <c r="O945" s="55">
        <v>0</v>
      </c>
      <c r="P945" s="55">
        <v>0</v>
      </c>
      <c r="Q945" s="55">
        <v>0</v>
      </c>
      <c r="R945" s="55">
        <f t="shared" si="335"/>
        <v>0</v>
      </c>
      <c r="S945" s="55">
        <v>0</v>
      </c>
      <c r="T945" s="55">
        <v>0</v>
      </c>
      <c r="U945" s="55">
        <v>0</v>
      </c>
      <c r="V945" s="55">
        <v>0</v>
      </c>
      <c r="W945" s="53">
        <v>0</v>
      </c>
      <c r="X945" s="53">
        <v>0</v>
      </c>
      <c r="Y945" s="55">
        <v>0</v>
      </c>
      <c r="Z945" s="55">
        <v>0</v>
      </c>
      <c r="AA945" s="53">
        <v>0</v>
      </c>
      <c r="AB945" s="53">
        <v>0</v>
      </c>
      <c r="AC945" s="55">
        <v>0</v>
      </c>
      <c r="AD945" s="55">
        <f t="shared" si="342"/>
        <v>0</v>
      </c>
      <c r="AE945" s="53">
        <v>0</v>
      </c>
      <c r="AF945" s="55">
        <v>0</v>
      </c>
      <c r="AG945" s="55">
        <v>0</v>
      </c>
      <c r="AH945" s="55">
        <f t="shared" si="337"/>
        <v>0</v>
      </c>
      <c r="AI945" s="55">
        <v>0</v>
      </c>
      <c r="AJ945" s="55">
        <v>0</v>
      </c>
      <c r="AK945" s="55">
        <v>0</v>
      </c>
      <c r="AL945" s="55">
        <f t="shared" si="338"/>
        <v>0</v>
      </c>
      <c r="AM945" s="55" t="s">
        <v>1912</v>
      </c>
      <c r="AN945" s="55">
        <v>0</v>
      </c>
      <c r="AO945" s="55">
        <v>0</v>
      </c>
      <c r="AP945" s="55">
        <f t="shared" si="329"/>
        <v>0</v>
      </c>
      <c r="AQ945" s="55">
        <f>IFERROR(VLOOKUP(A945,[1]SIIMPLES!$A$2:$F$418,6,FALSE),0)</f>
        <v>0</v>
      </c>
      <c r="AR945" s="55">
        <v>0</v>
      </c>
      <c r="AS945" s="55">
        <v>0</v>
      </c>
      <c r="AT945" s="55">
        <v>0</v>
      </c>
      <c r="AU945" s="55">
        <v>0</v>
      </c>
      <c r="AV945" s="55">
        <v>0</v>
      </c>
      <c r="AW945" s="55"/>
      <c r="AX945" s="55"/>
      <c r="AY945" s="56">
        <f t="shared" si="331"/>
        <v>0.1</v>
      </c>
      <c r="AZ945" s="55"/>
      <c r="BA945" s="56">
        <v>1.8333333333333333</v>
      </c>
      <c r="BB945" s="41">
        <f t="shared" si="340"/>
        <v>-0.94545454545454544</v>
      </c>
      <c r="BC945" s="13"/>
      <c r="BD945" s="35"/>
      <c r="BE945" s="13"/>
      <c r="BF945" s="16"/>
      <c r="BG945" s="17">
        <f t="shared" si="339"/>
        <v>0</v>
      </c>
      <c r="BH945" s="16">
        <f t="shared" si="341"/>
        <v>0.1</v>
      </c>
    </row>
    <row r="946" spans="1:60" ht="12.75" customHeight="1" x14ac:dyDescent="0.2">
      <c r="A946" s="51">
        <v>332001</v>
      </c>
      <c r="B946" s="51" t="s">
        <v>1077</v>
      </c>
      <c r="C946" s="66" t="s">
        <v>1803</v>
      </c>
      <c r="D946" s="52" t="s">
        <v>728</v>
      </c>
      <c r="E946" s="65" t="s">
        <v>780</v>
      </c>
      <c r="F946" s="53">
        <f>IFERROR(VLOOKUP(E946,Fornecedores!$A$2:$B$2700,2,FALSE),"")</f>
        <v>2</v>
      </c>
      <c r="G946" s="52" t="s">
        <v>862</v>
      </c>
      <c r="H946" s="57"/>
      <c r="I946" s="55">
        <f t="shared" si="333"/>
        <v>0</v>
      </c>
      <c r="J946" s="55">
        <v>0</v>
      </c>
      <c r="K946" s="55">
        <v>0</v>
      </c>
      <c r="L946" s="55">
        <v>0</v>
      </c>
      <c r="M946" s="55">
        <v>0</v>
      </c>
      <c r="N946" s="55">
        <f t="shared" si="334"/>
        <v>0</v>
      </c>
      <c r="O946" s="55">
        <v>0</v>
      </c>
      <c r="P946" s="55">
        <v>0</v>
      </c>
      <c r="Q946" s="55">
        <v>0</v>
      </c>
      <c r="R946" s="55">
        <f t="shared" si="335"/>
        <v>2</v>
      </c>
      <c r="S946" s="55">
        <v>0</v>
      </c>
      <c r="T946" s="55">
        <v>0</v>
      </c>
      <c r="U946" s="55">
        <v>2</v>
      </c>
      <c r="V946" s="55">
        <v>0</v>
      </c>
      <c r="W946" s="53">
        <v>0</v>
      </c>
      <c r="X946" s="53">
        <v>0</v>
      </c>
      <c r="Y946" s="55">
        <v>0</v>
      </c>
      <c r="Z946" s="55">
        <v>0</v>
      </c>
      <c r="AA946" s="53">
        <v>0</v>
      </c>
      <c r="AB946" s="53">
        <v>0</v>
      </c>
      <c r="AC946" s="55">
        <v>0</v>
      </c>
      <c r="AD946" s="55">
        <f t="shared" si="342"/>
        <v>0</v>
      </c>
      <c r="AE946" s="53">
        <v>0</v>
      </c>
      <c r="AF946" s="55">
        <v>0</v>
      </c>
      <c r="AG946" s="55">
        <v>0</v>
      </c>
      <c r="AH946" s="55">
        <f t="shared" si="337"/>
        <v>0</v>
      </c>
      <c r="AI946" s="55">
        <v>0</v>
      </c>
      <c r="AJ946" s="55">
        <v>0</v>
      </c>
      <c r="AK946" s="55">
        <v>0</v>
      </c>
      <c r="AL946" s="55">
        <f t="shared" si="338"/>
        <v>0</v>
      </c>
      <c r="AM946" s="55" t="s">
        <v>1912</v>
      </c>
      <c r="AN946" s="55">
        <v>0</v>
      </c>
      <c r="AO946" s="55">
        <v>0</v>
      </c>
      <c r="AP946" s="55">
        <f t="shared" si="329"/>
        <v>0</v>
      </c>
      <c r="AQ946" s="55">
        <f>IFERROR(VLOOKUP(A946,[1]SIIMPLES!$A$2:$F$418,6,FALSE),0)</f>
        <v>0</v>
      </c>
      <c r="AR946" s="55">
        <v>0</v>
      </c>
      <c r="AS946" s="55">
        <v>0</v>
      </c>
      <c r="AT946" s="55">
        <v>0</v>
      </c>
      <c r="AU946" s="55">
        <v>0</v>
      </c>
      <c r="AV946" s="55">
        <v>0</v>
      </c>
      <c r="AW946" s="55"/>
      <c r="AX946" s="55"/>
      <c r="AY946" s="56">
        <f t="shared" si="331"/>
        <v>0.2</v>
      </c>
      <c r="AZ946" s="55"/>
      <c r="BA946" s="56">
        <v>1.5</v>
      </c>
      <c r="BB946" s="41">
        <f t="shared" si="340"/>
        <v>-0.8666666666666667</v>
      </c>
      <c r="BC946" s="13"/>
      <c r="BD946" s="35"/>
      <c r="BE946" s="13"/>
      <c r="BF946" s="16">
        <f>SUM(BC946:BE946)</f>
        <v>0</v>
      </c>
      <c r="BG946" s="17">
        <f t="shared" si="339"/>
        <v>0</v>
      </c>
      <c r="BH946" s="16">
        <f t="shared" si="341"/>
        <v>0.2</v>
      </c>
    </row>
    <row r="947" spans="1:60" ht="12.75" customHeight="1" x14ac:dyDescent="0.2">
      <c r="A947" s="51">
        <v>332005</v>
      </c>
      <c r="B947" s="51" t="s">
        <v>1086</v>
      </c>
      <c r="C947" s="66" t="s">
        <v>1803</v>
      </c>
      <c r="D947" s="52" t="s">
        <v>728</v>
      </c>
      <c r="E947" s="65" t="s">
        <v>780</v>
      </c>
      <c r="F947" s="53">
        <f>IFERROR(VLOOKUP(E947,Fornecedores!$A$2:$B$2700,2,FALSE),"")</f>
        <v>2</v>
      </c>
      <c r="G947" s="52">
        <f>VLOOKUP(A947,[2]CMV!$A$1:$F$2043,6,FALSE)</f>
        <v>0</v>
      </c>
      <c r="H947" s="57"/>
      <c r="I947" s="55">
        <f t="shared" si="333"/>
        <v>0</v>
      </c>
      <c r="J947" s="55">
        <v>0</v>
      </c>
      <c r="K947" s="55">
        <v>0</v>
      </c>
      <c r="L947" s="55">
        <v>0</v>
      </c>
      <c r="M947" s="55">
        <v>0</v>
      </c>
      <c r="N947" s="55">
        <f t="shared" si="334"/>
        <v>0</v>
      </c>
      <c r="O947" s="55">
        <v>0</v>
      </c>
      <c r="P947" s="55">
        <v>0</v>
      </c>
      <c r="Q947" s="55">
        <v>0</v>
      </c>
      <c r="R947" s="55">
        <f t="shared" si="335"/>
        <v>0</v>
      </c>
      <c r="S947" s="55">
        <v>0</v>
      </c>
      <c r="T947" s="55">
        <v>0</v>
      </c>
      <c r="U947" s="55">
        <v>0</v>
      </c>
      <c r="V947" s="55">
        <v>0</v>
      </c>
      <c r="W947" s="53">
        <v>0</v>
      </c>
      <c r="X947" s="53">
        <v>0</v>
      </c>
      <c r="Y947" s="55">
        <v>0</v>
      </c>
      <c r="Z947" s="55">
        <v>0</v>
      </c>
      <c r="AA947" s="53">
        <v>0</v>
      </c>
      <c r="AB947" s="53">
        <v>0</v>
      </c>
      <c r="AC947" s="55">
        <v>0</v>
      </c>
      <c r="AD947" s="55">
        <f t="shared" si="342"/>
        <v>0</v>
      </c>
      <c r="AE947" s="53">
        <v>0</v>
      </c>
      <c r="AF947" s="55">
        <v>0</v>
      </c>
      <c r="AG947" s="55">
        <v>0</v>
      </c>
      <c r="AH947" s="55">
        <f t="shared" si="337"/>
        <v>0</v>
      </c>
      <c r="AI947" s="55">
        <v>0</v>
      </c>
      <c r="AJ947" s="55">
        <v>0</v>
      </c>
      <c r="AK947" s="55">
        <v>0</v>
      </c>
      <c r="AL947" s="55">
        <f t="shared" si="338"/>
        <v>0</v>
      </c>
      <c r="AM947" s="55" t="s">
        <v>1912</v>
      </c>
      <c r="AN947" s="55">
        <v>0</v>
      </c>
      <c r="AO947" s="55">
        <v>0</v>
      </c>
      <c r="AP947" s="55">
        <f t="shared" si="329"/>
        <v>0</v>
      </c>
      <c r="AQ947" s="55">
        <f>IFERROR(VLOOKUP(A947,[1]SIIMPLES!$A$2:$F$418,6,FALSE),0)</f>
        <v>0</v>
      </c>
      <c r="AR947" s="55">
        <v>0</v>
      </c>
      <c r="AS947" s="55">
        <v>0</v>
      </c>
      <c r="AT947" s="55">
        <v>0</v>
      </c>
      <c r="AU947" s="55">
        <v>0</v>
      </c>
      <c r="AV947" s="55">
        <v>0</v>
      </c>
      <c r="AW947" s="55"/>
      <c r="AX947" s="55"/>
      <c r="AY947" s="56">
        <f t="shared" si="331"/>
        <v>0</v>
      </c>
      <c r="AZ947" s="55"/>
      <c r="BA947" s="56">
        <v>0</v>
      </c>
      <c r="BB947" s="41" t="str">
        <f t="shared" si="340"/>
        <v/>
      </c>
      <c r="BC947" s="13"/>
      <c r="BD947" s="35"/>
      <c r="BE947" s="13"/>
      <c r="BF947" s="16">
        <f>SUM(BC947:BE947)</f>
        <v>0</v>
      </c>
      <c r="BG947" s="17" t="str">
        <f t="shared" si="339"/>
        <v>0</v>
      </c>
      <c r="BH947" s="16">
        <f t="shared" si="341"/>
        <v>0</v>
      </c>
    </row>
    <row r="948" spans="1:60" ht="12.75" customHeight="1" x14ac:dyDescent="0.2">
      <c r="A948" s="51">
        <v>332006</v>
      </c>
      <c r="B948" s="51" t="s">
        <v>1086</v>
      </c>
      <c r="C948" s="66" t="s">
        <v>1803</v>
      </c>
      <c r="D948" s="52" t="s">
        <v>728</v>
      </c>
      <c r="E948" s="65" t="s">
        <v>780</v>
      </c>
      <c r="F948" s="53">
        <f>IFERROR(VLOOKUP(E948,Fornecedores!$A$2:$B$2700,2,FALSE),"")</f>
        <v>2</v>
      </c>
      <c r="G948" s="52">
        <f>VLOOKUP(A948,[2]CMV!$A$1:$F$2043,6,FALSE)</f>
        <v>0</v>
      </c>
      <c r="H948" s="57"/>
      <c r="I948" s="55">
        <f t="shared" si="333"/>
        <v>0</v>
      </c>
      <c r="J948" s="55">
        <v>0</v>
      </c>
      <c r="K948" s="55">
        <v>0</v>
      </c>
      <c r="L948" s="55">
        <v>0</v>
      </c>
      <c r="M948" s="55">
        <v>0</v>
      </c>
      <c r="N948" s="55">
        <f t="shared" si="334"/>
        <v>0</v>
      </c>
      <c r="O948" s="55">
        <v>0</v>
      </c>
      <c r="P948" s="55">
        <v>0</v>
      </c>
      <c r="Q948" s="55">
        <v>0</v>
      </c>
      <c r="R948" s="55">
        <f t="shared" si="335"/>
        <v>0</v>
      </c>
      <c r="S948" s="55">
        <v>0</v>
      </c>
      <c r="T948" s="55">
        <v>0</v>
      </c>
      <c r="U948" s="55">
        <v>0</v>
      </c>
      <c r="V948" s="55">
        <v>0</v>
      </c>
      <c r="W948" s="53">
        <v>0</v>
      </c>
      <c r="X948" s="53">
        <v>0</v>
      </c>
      <c r="Y948" s="55">
        <v>0</v>
      </c>
      <c r="Z948" s="55">
        <v>0</v>
      </c>
      <c r="AA948" s="53">
        <v>0</v>
      </c>
      <c r="AB948" s="53">
        <v>0</v>
      </c>
      <c r="AC948" s="55">
        <v>0</v>
      </c>
      <c r="AD948" s="55">
        <f t="shared" si="342"/>
        <v>0</v>
      </c>
      <c r="AE948" s="53">
        <v>0</v>
      </c>
      <c r="AF948" s="55">
        <v>0</v>
      </c>
      <c r="AG948" s="55">
        <v>0</v>
      </c>
      <c r="AH948" s="55">
        <f t="shared" si="337"/>
        <v>0</v>
      </c>
      <c r="AI948" s="55">
        <v>0</v>
      </c>
      <c r="AJ948" s="55">
        <v>0</v>
      </c>
      <c r="AK948" s="55">
        <v>0</v>
      </c>
      <c r="AL948" s="55">
        <f t="shared" si="338"/>
        <v>0</v>
      </c>
      <c r="AM948" s="55" t="s">
        <v>1912</v>
      </c>
      <c r="AN948" s="55">
        <v>0</v>
      </c>
      <c r="AO948" s="55">
        <v>0</v>
      </c>
      <c r="AP948" s="55">
        <f t="shared" ref="AP948:AP1011" si="344">SUM(AQ948:AR948)</f>
        <v>0</v>
      </c>
      <c r="AQ948" s="55">
        <f>IFERROR(VLOOKUP(A948,[1]SIIMPLES!$A$2:$F$418,6,FALSE),0)</f>
        <v>0</v>
      </c>
      <c r="AR948" s="55">
        <v>0</v>
      </c>
      <c r="AS948" s="55">
        <v>0</v>
      </c>
      <c r="AT948" s="55">
        <v>0</v>
      </c>
      <c r="AU948" s="55">
        <v>0</v>
      </c>
      <c r="AV948" s="55">
        <v>0</v>
      </c>
      <c r="AW948" s="55"/>
      <c r="AX948" s="55"/>
      <c r="AY948" s="56">
        <f t="shared" si="331"/>
        <v>0</v>
      </c>
      <c r="AZ948" s="55"/>
      <c r="BA948" s="56">
        <v>0</v>
      </c>
      <c r="BB948" s="41" t="str">
        <f t="shared" si="340"/>
        <v/>
      </c>
      <c r="BC948" s="13"/>
      <c r="BD948" s="35"/>
      <c r="BE948" s="13"/>
      <c r="BF948" s="16">
        <f>SUM(BC948:BE948)</f>
        <v>0</v>
      </c>
      <c r="BG948" s="17" t="str">
        <f t="shared" si="339"/>
        <v>0</v>
      </c>
      <c r="BH948" s="16">
        <f t="shared" si="341"/>
        <v>0</v>
      </c>
    </row>
    <row r="949" spans="1:60" ht="12.75" customHeight="1" x14ac:dyDescent="0.2">
      <c r="A949" s="50">
        <v>550230</v>
      </c>
      <c r="B949" s="51"/>
      <c r="C949" s="51" t="s">
        <v>1803</v>
      </c>
      <c r="D949" s="52" t="s">
        <v>735</v>
      </c>
      <c r="E949" s="52" t="s">
        <v>736</v>
      </c>
      <c r="F949" s="53">
        <f>IFERROR(VLOOKUP(E949,Fornecedores!$A$2:$B$2700,2,FALSE),"")</f>
        <v>5</v>
      </c>
      <c r="G949" s="52" t="s">
        <v>966</v>
      </c>
      <c r="H949" s="54"/>
      <c r="I949" s="55">
        <f t="shared" si="333"/>
        <v>0</v>
      </c>
      <c r="J949" s="55">
        <v>0</v>
      </c>
      <c r="K949" s="55">
        <v>0</v>
      </c>
      <c r="L949" s="55">
        <v>0</v>
      </c>
      <c r="M949" s="55">
        <v>0</v>
      </c>
      <c r="N949" s="55">
        <f t="shared" si="334"/>
        <v>0</v>
      </c>
      <c r="O949" s="55">
        <v>0</v>
      </c>
      <c r="P949" s="55">
        <v>0</v>
      </c>
      <c r="Q949" s="55">
        <v>0</v>
      </c>
      <c r="R949" s="55">
        <f t="shared" si="335"/>
        <v>0</v>
      </c>
      <c r="S949" s="55">
        <v>0</v>
      </c>
      <c r="T949" s="55">
        <v>0</v>
      </c>
      <c r="U949" s="55">
        <v>0</v>
      </c>
      <c r="V949" s="55">
        <v>0</v>
      </c>
      <c r="W949" s="53">
        <v>0</v>
      </c>
      <c r="X949" s="53">
        <v>0</v>
      </c>
      <c r="Y949" s="55">
        <v>0</v>
      </c>
      <c r="Z949" s="55">
        <v>0</v>
      </c>
      <c r="AA949" s="53">
        <v>0</v>
      </c>
      <c r="AB949" s="53">
        <v>0</v>
      </c>
      <c r="AC949" s="55">
        <v>0</v>
      </c>
      <c r="AD949" s="55">
        <f t="shared" si="342"/>
        <v>0</v>
      </c>
      <c r="AE949" s="53">
        <f>IFERROR(VLOOKUP(A949,[4]simples!$A$1:$B$281,2,FALSE),0)</f>
        <v>0</v>
      </c>
      <c r="AF949" s="55">
        <v>0</v>
      </c>
      <c r="AG949" s="55">
        <v>0</v>
      </c>
      <c r="AH949" s="55">
        <f t="shared" si="337"/>
        <v>0</v>
      </c>
      <c r="AI949" s="55"/>
      <c r="AJ949" s="55">
        <v>0</v>
      </c>
      <c r="AK949" s="55"/>
      <c r="AL949" s="55">
        <f t="shared" si="338"/>
        <v>0</v>
      </c>
      <c r="AM949" s="55" t="s">
        <v>1912</v>
      </c>
      <c r="AN949" s="55">
        <v>0</v>
      </c>
      <c r="AO949" s="55">
        <v>0</v>
      </c>
      <c r="AP949" s="55">
        <f t="shared" si="344"/>
        <v>0</v>
      </c>
      <c r="AQ949" s="55">
        <f>IFERROR(VLOOKUP(A949,[1]SIIMPLES!$A$2:$F$418,6,FALSE),0)</f>
        <v>0</v>
      </c>
      <c r="AR949" s="55">
        <v>0</v>
      </c>
      <c r="AS949" s="55">
        <v>0</v>
      </c>
      <c r="AT949" s="55">
        <v>0</v>
      </c>
      <c r="AU949" s="55">
        <v>0</v>
      </c>
      <c r="AV949" s="55">
        <v>0</v>
      </c>
      <c r="AW949" s="55"/>
      <c r="AX949" s="55"/>
      <c r="AY949" s="56">
        <f t="shared" si="331"/>
        <v>0</v>
      </c>
      <c r="AZ949" s="55"/>
      <c r="BA949" s="56">
        <v>0</v>
      </c>
      <c r="BB949" s="41" t="str">
        <f t="shared" si="340"/>
        <v/>
      </c>
      <c r="BC949" s="13"/>
      <c r="BD949" s="36"/>
      <c r="BE949" s="7"/>
      <c r="BF949" s="7"/>
      <c r="BG949" s="7"/>
      <c r="BH949" s="7"/>
    </row>
    <row r="950" spans="1:60" ht="12.75" customHeight="1" x14ac:dyDescent="0.2">
      <c r="A950" s="51">
        <v>550291</v>
      </c>
      <c r="B950" s="51" t="s">
        <v>1077</v>
      </c>
      <c r="C950" s="66" t="s">
        <v>1803</v>
      </c>
      <c r="D950" s="65" t="s">
        <v>726</v>
      </c>
      <c r="E950" s="52" t="s">
        <v>732</v>
      </c>
      <c r="F950" s="53">
        <f>IFERROR(VLOOKUP(E950,Fornecedores!$A$2:$B$2700,2,FALSE),"")</f>
        <v>6</v>
      </c>
      <c r="G950" s="52" t="s">
        <v>594</v>
      </c>
      <c r="H950" s="54"/>
      <c r="I950" s="55">
        <f t="shared" si="333"/>
        <v>0</v>
      </c>
      <c r="J950" s="55">
        <v>0</v>
      </c>
      <c r="K950" s="55">
        <v>0</v>
      </c>
      <c r="L950" s="55">
        <v>0</v>
      </c>
      <c r="M950" s="55">
        <v>0</v>
      </c>
      <c r="N950" s="55">
        <f t="shared" si="334"/>
        <v>0</v>
      </c>
      <c r="O950" s="55">
        <v>0</v>
      </c>
      <c r="P950" s="55">
        <v>0</v>
      </c>
      <c r="Q950" s="55">
        <v>0</v>
      </c>
      <c r="R950" s="55">
        <f t="shared" si="335"/>
        <v>0</v>
      </c>
      <c r="S950" s="55">
        <v>0</v>
      </c>
      <c r="T950" s="55">
        <v>0</v>
      </c>
      <c r="U950" s="55">
        <v>0</v>
      </c>
      <c r="V950" s="55">
        <v>1</v>
      </c>
      <c r="W950" s="53">
        <v>1</v>
      </c>
      <c r="X950" s="53">
        <v>0</v>
      </c>
      <c r="Y950" s="55">
        <v>0</v>
      </c>
      <c r="Z950" s="55">
        <v>0</v>
      </c>
      <c r="AA950" s="53">
        <v>0</v>
      </c>
      <c r="AB950" s="53">
        <v>0</v>
      </c>
      <c r="AC950" s="55">
        <v>0</v>
      </c>
      <c r="AD950" s="55">
        <f t="shared" si="342"/>
        <v>0</v>
      </c>
      <c r="AE950" s="53">
        <v>0</v>
      </c>
      <c r="AF950" s="55">
        <v>0</v>
      </c>
      <c r="AG950" s="55">
        <v>0</v>
      </c>
      <c r="AH950" s="55">
        <f t="shared" si="337"/>
        <v>0</v>
      </c>
      <c r="AI950" s="55">
        <v>0</v>
      </c>
      <c r="AJ950" s="55">
        <v>0</v>
      </c>
      <c r="AK950" s="55">
        <v>0</v>
      </c>
      <c r="AL950" s="55">
        <f t="shared" si="338"/>
        <v>0</v>
      </c>
      <c r="AM950" s="55" t="s">
        <v>1912</v>
      </c>
      <c r="AN950" s="55">
        <v>0</v>
      </c>
      <c r="AO950" s="55">
        <v>0</v>
      </c>
      <c r="AP950" s="55">
        <f t="shared" si="344"/>
        <v>0</v>
      </c>
      <c r="AQ950" s="55">
        <f>IFERROR(VLOOKUP(A950,[1]SIIMPLES!$A$2:$F$418,6,FALSE),0)</f>
        <v>0</v>
      </c>
      <c r="AR950" s="55">
        <v>0</v>
      </c>
      <c r="AS950" s="55">
        <v>0</v>
      </c>
      <c r="AT950" s="55">
        <v>0</v>
      </c>
      <c r="AU950" s="55">
        <v>0</v>
      </c>
      <c r="AV950" s="55">
        <v>0</v>
      </c>
      <c r="AW950" s="55"/>
      <c r="AX950" s="55"/>
      <c r="AY950" s="56">
        <f t="shared" si="331"/>
        <v>0.1</v>
      </c>
      <c r="AZ950" s="55"/>
      <c r="BA950" s="56">
        <v>0.5</v>
      </c>
      <c r="BB950" s="41">
        <f t="shared" si="340"/>
        <v>-0.8</v>
      </c>
      <c r="BC950" s="13"/>
      <c r="BD950" s="35"/>
      <c r="BE950" s="13"/>
      <c r="BF950" s="16">
        <f t="shared" ref="BF950:BF964" si="345">SUM(BC950:BE950)</f>
        <v>0</v>
      </c>
      <c r="BG950" s="17">
        <f t="shared" ref="BG950:BG978" si="346">IFERROR(BC950/AY950,"0")</f>
        <v>0</v>
      </c>
      <c r="BH950" s="16">
        <f t="shared" ref="BH950:BH964" si="347">IFERROR(IF(F950=1,IF(BC950&lt;AY950*3,AY950*3-BC950,0),IF(BC950&lt;AY950,AY950-BC950,0)),"")</f>
        <v>0.1</v>
      </c>
    </row>
    <row r="951" spans="1:60" ht="12.75" customHeight="1" x14ac:dyDescent="0.2">
      <c r="A951" s="51">
        <v>551311</v>
      </c>
      <c r="B951" s="51"/>
      <c r="C951" s="66" t="s">
        <v>1803</v>
      </c>
      <c r="D951" s="65" t="s">
        <v>1779</v>
      </c>
      <c r="E951" s="52" t="str">
        <f>VLOOKUP(A951,[3]CMV!$A$1:$E$1988,5,FALSE)</f>
        <v>MundiFlex</v>
      </c>
      <c r="F951" s="53">
        <f>IFERROR(VLOOKUP(E951,Fornecedores!$A$2:$B$2700,2,FALSE),"")</f>
        <v>6</v>
      </c>
      <c r="G951" s="52" t="s">
        <v>1587</v>
      </c>
      <c r="H951" s="57"/>
      <c r="I951" s="55">
        <f t="shared" si="333"/>
        <v>1</v>
      </c>
      <c r="J951" s="55">
        <v>1</v>
      </c>
      <c r="K951" s="55">
        <v>0</v>
      </c>
      <c r="L951" s="55">
        <v>0</v>
      </c>
      <c r="M951" s="55">
        <v>0</v>
      </c>
      <c r="N951" s="55">
        <f t="shared" si="334"/>
        <v>0</v>
      </c>
      <c r="O951" s="55">
        <v>0</v>
      </c>
      <c r="P951" s="55">
        <v>0</v>
      </c>
      <c r="Q951" s="55">
        <v>0</v>
      </c>
      <c r="R951" s="55">
        <f t="shared" si="335"/>
        <v>0</v>
      </c>
      <c r="S951" s="55">
        <v>0</v>
      </c>
      <c r="T951" s="55">
        <v>0</v>
      </c>
      <c r="U951" s="55">
        <v>0</v>
      </c>
      <c r="V951" s="55">
        <v>2</v>
      </c>
      <c r="W951" s="53">
        <v>2</v>
      </c>
      <c r="X951" s="53">
        <v>0</v>
      </c>
      <c r="Y951" s="55">
        <v>0</v>
      </c>
      <c r="Z951" s="55">
        <v>3</v>
      </c>
      <c r="AA951" s="53">
        <v>3</v>
      </c>
      <c r="AB951" s="53">
        <v>0</v>
      </c>
      <c r="AC951" s="55">
        <v>0</v>
      </c>
      <c r="AD951" s="55">
        <f t="shared" si="342"/>
        <v>2</v>
      </c>
      <c r="AE951" s="53">
        <v>2</v>
      </c>
      <c r="AF951" s="55">
        <v>0</v>
      </c>
      <c r="AG951" s="55">
        <v>0</v>
      </c>
      <c r="AH951" s="55">
        <f t="shared" si="337"/>
        <v>1</v>
      </c>
      <c r="AI951" s="55">
        <v>1</v>
      </c>
      <c r="AJ951" s="55">
        <v>0</v>
      </c>
      <c r="AK951" s="55">
        <v>0</v>
      </c>
      <c r="AL951" s="55">
        <f t="shared" si="338"/>
        <v>4</v>
      </c>
      <c r="AM951" s="55">
        <v>4</v>
      </c>
      <c r="AN951" s="55">
        <v>0</v>
      </c>
      <c r="AO951" s="55">
        <v>0</v>
      </c>
      <c r="AP951" s="55">
        <f t="shared" si="344"/>
        <v>0</v>
      </c>
      <c r="AQ951" s="55">
        <f>IFERROR(VLOOKUP(A951,[1]SIIMPLES!$A$2:$F$418,6,FALSE),0)</f>
        <v>0</v>
      </c>
      <c r="AR951" s="55">
        <v>0</v>
      </c>
      <c r="AS951" s="55">
        <v>1</v>
      </c>
      <c r="AT951" s="55">
        <v>1</v>
      </c>
      <c r="AU951" s="55">
        <v>0</v>
      </c>
      <c r="AV951" s="55">
        <v>0</v>
      </c>
      <c r="AW951" s="57"/>
      <c r="AX951" s="55"/>
      <c r="AY951" s="56">
        <f t="shared" ref="AY951:AY1014" si="348">IFERROR(AVERAGE(I951,N951,R951,V951,Z951,AD951,AH951,AL951,AP951,AS951,AW951,AX951),"-")</f>
        <v>1.4</v>
      </c>
      <c r="AZ951" s="55"/>
      <c r="BA951" s="56">
        <v>0</v>
      </c>
      <c r="BB951" s="41" t="str">
        <f t="shared" si="340"/>
        <v/>
      </c>
      <c r="BC951" s="13"/>
      <c r="BD951" s="35"/>
      <c r="BE951" s="13"/>
      <c r="BF951" s="16">
        <f t="shared" si="345"/>
        <v>0</v>
      </c>
      <c r="BG951" s="17">
        <f t="shared" si="346"/>
        <v>0</v>
      </c>
      <c r="BH951" s="16">
        <f t="shared" si="347"/>
        <v>1.4</v>
      </c>
    </row>
    <row r="952" spans="1:60" ht="12.75" customHeight="1" x14ac:dyDescent="0.2">
      <c r="A952" s="51">
        <v>332023</v>
      </c>
      <c r="B952" s="51" t="s">
        <v>1077</v>
      </c>
      <c r="C952" s="66" t="s">
        <v>1803</v>
      </c>
      <c r="D952" s="52" t="s">
        <v>728</v>
      </c>
      <c r="E952" s="65" t="s">
        <v>780</v>
      </c>
      <c r="F952" s="53">
        <f>IFERROR(VLOOKUP(E952,Fornecedores!$A$2:$B$2700,2,FALSE),"")</f>
        <v>2</v>
      </c>
      <c r="G952" s="52" t="s">
        <v>864</v>
      </c>
      <c r="H952" s="57"/>
      <c r="I952" s="55">
        <f t="shared" si="333"/>
        <v>1</v>
      </c>
      <c r="J952" s="55">
        <v>1</v>
      </c>
      <c r="K952" s="55">
        <v>0</v>
      </c>
      <c r="L952" s="55">
        <v>0</v>
      </c>
      <c r="M952" s="55">
        <v>0</v>
      </c>
      <c r="N952" s="55">
        <f t="shared" si="334"/>
        <v>0</v>
      </c>
      <c r="O952" s="55">
        <v>0</v>
      </c>
      <c r="P952" s="55">
        <v>0</v>
      </c>
      <c r="Q952" s="55">
        <v>0</v>
      </c>
      <c r="R952" s="55">
        <f t="shared" si="335"/>
        <v>0</v>
      </c>
      <c r="S952" s="55">
        <v>0</v>
      </c>
      <c r="T952" s="55">
        <v>0</v>
      </c>
      <c r="U952" s="55">
        <v>0</v>
      </c>
      <c r="V952" s="55">
        <v>0</v>
      </c>
      <c r="W952" s="53">
        <v>0</v>
      </c>
      <c r="X952" s="53">
        <v>0</v>
      </c>
      <c r="Y952" s="55">
        <v>0</v>
      </c>
      <c r="Z952" s="55">
        <v>0</v>
      </c>
      <c r="AA952" s="53">
        <v>0</v>
      </c>
      <c r="AB952" s="53">
        <v>0</v>
      </c>
      <c r="AC952" s="55">
        <v>0</v>
      </c>
      <c r="AD952" s="55">
        <f t="shared" si="342"/>
        <v>0</v>
      </c>
      <c r="AE952" s="53">
        <v>0</v>
      </c>
      <c r="AF952" s="55">
        <v>0</v>
      </c>
      <c r="AG952" s="55">
        <v>0</v>
      </c>
      <c r="AH952" s="55">
        <f t="shared" si="337"/>
        <v>0</v>
      </c>
      <c r="AI952" s="55">
        <v>0</v>
      </c>
      <c r="AJ952" s="55">
        <v>0</v>
      </c>
      <c r="AK952" s="55">
        <v>0</v>
      </c>
      <c r="AL952" s="55">
        <f t="shared" si="338"/>
        <v>1</v>
      </c>
      <c r="AM952" s="55">
        <v>1</v>
      </c>
      <c r="AN952" s="55">
        <v>0</v>
      </c>
      <c r="AO952" s="55">
        <v>0</v>
      </c>
      <c r="AP952" s="55">
        <f t="shared" si="344"/>
        <v>0</v>
      </c>
      <c r="AQ952" s="55">
        <f>IFERROR(VLOOKUP(A952,[1]SIIMPLES!$A$2:$F$418,6,FALSE),0)</f>
        <v>0</v>
      </c>
      <c r="AR952" s="55">
        <v>0</v>
      </c>
      <c r="AS952" s="55">
        <v>0</v>
      </c>
      <c r="AT952" s="55">
        <v>0</v>
      </c>
      <c r="AU952" s="55">
        <v>0</v>
      </c>
      <c r="AV952" s="55">
        <v>0</v>
      </c>
      <c r="AW952" s="55"/>
      <c r="AX952" s="55"/>
      <c r="AY952" s="56">
        <f t="shared" si="348"/>
        <v>0.2</v>
      </c>
      <c r="AZ952" s="55"/>
      <c r="BA952" s="56">
        <v>0.33333333333333331</v>
      </c>
      <c r="BB952" s="41">
        <f t="shared" si="340"/>
        <v>-0.39999999999999991</v>
      </c>
      <c r="BC952" s="7"/>
      <c r="BD952" s="35"/>
      <c r="BE952" s="13"/>
      <c r="BF952" s="16">
        <f t="shared" si="345"/>
        <v>0</v>
      </c>
      <c r="BG952" s="17">
        <f t="shared" si="346"/>
        <v>0</v>
      </c>
      <c r="BH952" s="16">
        <f t="shared" si="347"/>
        <v>0.2</v>
      </c>
    </row>
    <row r="953" spans="1:60" ht="12.75" customHeight="1" x14ac:dyDescent="0.2">
      <c r="A953" s="51">
        <v>332024</v>
      </c>
      <c r="B953" s="51" t="s">
        <v>1077</v>
      </c>
      <c r="C953" s="66" t="s">
        <v>1803</v>
      </c>
      <c r="D953" s="52" t="s">
        <v>728</v>
      </c>
      <c r="E953" s="65" t="s">
        <v>780</v>
      </c>
      <c r="F953" s="53">
        <f>IFERROR(VLOOKUP(E953,Fornecedores!$A$2:$B$2700,2,FALSE),"")</f>
        <v>2</v>
      </c>
      <c r="G953" s="52" t="s">
        <v>865</v>
      </c>
      <c r="H953" s="57"/>
      <c r="I953" s="55">
        <f t="shared" si="333"/>
        <v>0</v>
      </c>
      <c r="J953" s="55">
        <v>0</v>
      </c>
      <c r="K953" s="55">
        <v>0</v>
      </c>
      <c r="L953" s="55">
        <v>0</v>
      </c>
      <c r="M953" s="55">
        <v>0</v>
      </c>
      <c r="N953" s="55">
        <f t="shared" si="334"/>
        <v>0</v>
      </c>
      <c r="O953" s="55">
        <v>0</v>
      </c>
      <c r="P953" s="55">
        <v>0</v>
      </c>
      <c r="Q953" s="55">
        <v>0</v>
      </c>
      <c r="R953" s="55">
        <f t="shared" si="335"/>
        <v>1</v>
      </c>
      <c r="S953" s="55">
        <v>1</v>
      </c>
      <c r="T953" s="55">
        <v>0</v>
      </c>
      <c r="U953" s="55">
        <v>0</v>
      </c>
      <c r="V953" s="55">
        <v>1</v>
      </c>
      <c r="W953" s="53">
        <v>1</v>
      </c>
      <c r="X953" s="53">
        <v>0</v>
      </c>
      <c r="Y953" s="55">
        <v>0</v>
      </c>
      <c r="Z953" s="55">
        <v>0</v>
      </c>
      <c r="AA953" s="53">
        <v>0</v>
      </c>
      <c r="AB953" s="53">
        <v>0</v>
      </c>
      <c r="AC953" s="55">
        <v>0</v>
      </c>
      <c r="AD953" s="55">
        <f t="shared" si="342"/>
        <v>0</v>
      </c>
      <c r="AE953" s="53">
        <v>0</v>
      </c>
      <c r="AF953" s="55">
        <v>0</v>
      </c>
      <c r="AG953" s="55">
        <v>0</v>
      </c>
      <c r="AH953" s="55">
        <f t="shared" si="337"/>
        <v>0</v>
      </c>
      <c r="AI953" s="55">
        <v>0</v>
      </c>
      <c r="AJ953" s="55">
        <v>0</v>
      </c>
      <c r="AK953" s="55">
        <v>0</v>
      </c>
      <c r="AL953" s="55">
        <f t="shared" si="338"/>
        <v>2</v>
      </c>
      <c r="AM953" s="55" t="s">
        <v>1912</v>
      </c>
      <c r="AN953" s="55">
        <v>2</v>
      </c>
      <c r="AO953" s="55">
        <v>0</v>
      </c>
      <c r="AP953" s="55">
        <f t="shared" si="344"/>
        <v>0</v>
      </c>
      <c r="AQ953" s="55">
        <f>IFERROR(VLOOKUP(A953,[1]SIIMPLES!$A$2:$F$418,6,FALSE),0)</f>
        <v>0</v>
      </c>
      <c r="AR953" s="55">
        <v>0</v>
      </c>
      <c r="AS953" s="55">
        <v>0</v>
      </c>
      <c r="AT953" s="55">
        <v>0</v>
      </c>
      <c r="AU953" s="55">
        <v>0</v>
      </c>
      <c r="AV953" s="55">
        <v>0</v>
      </c>
      <c r="AW953" s="55"/>
      <c r="AX953" s="55"/>
      <c r="AY953" s="56">
        <f t="shared" si="348"/>
        <v>0.4</v>
      </c>
      <c r="AZ953" s="55"/>
      <c r="BA953" s="56">
        <v>1.1666666666666667</v>
      </c>
      <c r="BB953" s="41">
        <f t="shared" si="340"/>
        <v>-0.65714285714285714</v>
      </c>
      <c r="BC953" s="13"/>
      <c r="BD953" s="35"/>
      <c r="BE953" s="13"/>
      <c r="BF953" s="16">
        <f t="shared" si="345"/>
        <v>0</v>
      </c>
      <c r="BG953" s="17">
        <f t="shared" si="346"/>
        <v>0</v>
      </c>
      <c r="BH953" s="16">
        <f t="shared" si="347"/>
        <v>0.4</v>
      </c>
    </row>
    <row r="954" spans="1:60" ht="12.75" customHeight="1" x14ac:dyDescent="0.2">
      <c r="A954" s="51">
        <v>332090</v>
      </c>
      <c r="B954" s="51" t="s">
        <v>1077</v>
      </c>
      <c r="C954" s="66" t="s">
        <v>1803</v>
      </c>
      <c r="D954" s="52" t="s">
        <v>728</v>
      </c>
      <c r="E954" s="65" t="s">
        <v>780</v>
      </c>
      <c r="F954" s="53">
        <f>IFERROR(VLOOKUP(E954,Fornecedores!$A$2:$B$2700,2,FALSE),"")</f>
        <v>2</v>
      </c>
      <c r="G954" s="52" t="s">
        <v>474</v>
      </c>
      <c r="H954" s="57"/>
      <c r="I954" s="55">
        <f t="shared" si="333"/>
        <v>0</v>
      </c>
      <c r="J954" s="55">
        <v>0</v>
      </c>
      <c r="K954" s="55">
        <v>0</v>
      </c>
      <c r="L954" s="55">
        <v>0</v>
      </c>
      <c r="M954" s="55">
        <v>0</v>
      </c>
      <c r="N954" s="55">
        <f t="shared" si="334"/>
        <v>0</v>
      </c>
      <c r="O954" s="55">
        <v>0</v>
      </c>
      <c r="P954" s="55">
        <v>0</v>
      </c>
      <c r="Q954" s="55">
        <v>0</v>
      </c>
      <c r="R954" s="55">
        <f t="shared" si="335"/>
        <v>1</v>
      </c>
      <c r="S954" s="55">
        <v>1</v>
      </c>
      <c r="T954" s="55">
        <v>0</v>
      </c>
      <c r="U954" s="55">
        <v>0</v>
      </c>
      <c r="V954" s="55">
        <v>0</v>
      </c>
      <c r="W954" s="53">
        <v>0</v>
      </c>
      <c r="X954" s="53">
        <v>0</v>
      </c>
      <c r="Y954" s="55">
        <v>0</v>
      </c>
      <c r="Z954" s="55">
        <v>0</v>
      </c>
      <c r="AA954" s="53">
        <v>0</v>
      </c>
      <c r="AB954" s="53">
        <v>0</v>
      </c>
      <c r="AC954" s="55">
        <v>0</v>
      </c>
      <c r="AD954" s="55">
        <f t="shared" si="342"/>
        <v>0</v>
      </c>
      <c r="AE954" s="53">
        <v>0</v>
      </c>
      <c r="AF954" s="55">
        <v>0</v>
      </c>
      <c r="AG954" s="55">
        <v>0</v>
      </c>
      <c r="AH954" s="55">
        <f t="shared" si="337"/>
        <v>0</v>
      </c>
      <c r="AI954" s="55">
        <v>0</v>
      </c>
      <c r="AJ954" s="55">
        <v>0</v>
      </c>
      <c r="AK954" s="55">
        <v>0</v>
      </c>
      <c r="AL954" s="55">
        <f t="shared" si="338"/>
        <v>0</v>
      </c>
      <c r="AM954" s="55" t="s">
        <v>1912</v>
      </c>
      <c r="AN954" s="55">
        <v>0</v>
      </c>
      <c r="AO954" s="55">
        <v>0</v>
      </c>
      <c r="AP954" s="55">
        <f t="shared" si="344"/>
        <v>0</v>
      </c>
      <c r="AQ954" s="55">
        <f>IFERROR(VLOOKUP(A954,[1]SIIMPLES!$A$2:$F$418,6,FALSE),0)</f>
        <v>0</v>
      </c>
      <c r="AR954" s="55">
        <v>0</v>
      </c>
      <c r="AS954" s="55">
        <v>0</v>
      </c>
      <c r="AT954" s="55">
        <v>0</v>
      </c>
      <c r="AU954" s="55">
        <v>0</v>
      </c>
      <c r="AV954" s="55">
        <v>0</v>
      </c>
      <c r="AW954" s="55"/>
      <c r="AX954" s="55"/>
      <c r="AY954" s="56">
        <f t="shared" si="348"/>
        <v>0.1</v>
      </c>
      <c r="AZ954" s="55"/>
      <c r="BA954" s="56">
        <v>3</v>
      </c>
      <c r="BB954" s="41">
        <f t="shared" si="340"/>
        <v>-0.96666666666666667</v>
      </c>
      <c r="BC954" s="13"/>
      <c r="BD954" s="35"/>
      <c r="BE954" s="13"/>
      <c r="BF954" s="16">
        <f t="shared" si="345"/>
        <v>0</v>
      </c>
      <c r="BG954" s="17">
        <f t="shared" si="346"/>
        <v>0</v>
      </c>
      <c r="BH954" s="16">
        <f t="shared" si="347"/>
        <v>0.1</v>
      </c>
    </row>
    <row r="955" spans="1:60" ht="12.75" customHeight="1" x14ac:dyDescent="0.2">
      <c r="A955" s="51">
        <v>332091</v>
      </c>
      <c r="B955" s="51" t="s">
        <v>1077</v>
      </c>
      <c r="C955" s="66" t="s">
        <v>1803</v>
      </c>
      <c r="D955" s="52" t="s">
        <v>728</v>
      </c>
      <c r="E955" s="65" t="s">
        <v>780</v>
      </c>
      <c r="F955" s="53">
        <f>IFERROR(VLOOKUP(E955,Fornecedores!$A$2:$B$2700,2,FALSE),"")</f>
        <v>2</v>
      </c>
      <c r="G955" s="52" t="s">
        <v>466</v>
      </c>
      <c r="H955" s="57"/>
      <c r="I955" s="55">
        <f t="shared" si="333"/>
        <v>0</v>
      </c>
      <c r="J955" s="55">
        <v>0</v>
      </c>
      <c r="K955" s="55">
        <v>0</v>
      </c>
      <c r="L955" s="55">
        <v>0</v>
      </c>
      <c r="M955" s="55">
        <v>0</v>
      </c>
      <c r="N955" s="55">
        <f t="shared" si="334"/>
        <v>0</v>
      </c>
      <c r="O955" s="55">
        <v>0</v>
      </c>
      <c r="P955" s="55">
        <v>0</v>
      </c>
      <c r="Q955" s="55">
        <v>0</v>
      </c>
      <c r="R955" s="55">
        <f t="shared" si="335"/>
        <v>0</v>
      </c>
      <c r="S955" s="55">
        <v>0</v>
      </c>
      <c r="T955" s="55">
        <v>0</v>
      </c>
      <c r="U955" s="55">
        <v>0</v>
      </c>
      <c r="V955" s="55">
        <v>0</v>
      </c>
      <c r="W955" s="53">
        <v>0</v>
      </c>
      <c r="X955" s="53">
        <v>0</v>
      </c>
      <c r="Y955" s="55">
        <v>0</v>
      </c>
      <c r="Z955" s="55">
        <v>0</v>
      </c>
      <c r="AA955" s="53">
        <v>0</v>
      </c>
      <c r="AB955" s="53">
        <v>0</v>
      </c>
      <c r="AC955" s="55">
        <v>0</v>
      </c>
      <c r="AD955" s="55">
        <f t="shared" si="342"/>
        <v>1</v>
      </c>
      <c r="AE955" s="53">
        <v>0</v>
      </c>
      <c r="AF955" s="55">
        <v>1</v>
      </c>
      <c r="AG955" s="55">
        <v>0</v>
      </c>
      <c r="AH955" s="55">
        <f t="shared" si="337"/>
        <v>0</v>
      </c>
      <c r="AI955" s="55">
        <v>0</v>
      </c>
      <c r="AJ955" s="55">
        <v>0</v>
      </c>
      <c r="AK955" s="55">
        <v>0</v>
      </c>
      <c r="AL955" s="55">
        <f t="shared" si="338"/>
        <v>0</v>
      </c>
      <c r="AM955" s="55" t="s">
        <v>1912</v>
      </c>
      <c r="AN955" s="55">
        <v>0</v>
      </c>
      <c r="AO955" s="55">
        <v>0</v>
      </c>
      <c r="AP955" s="55">
        <f t="shared" si="344"/>
        <v>0</v>
      </c>
      <c r="AQ955" s="55">
        <f>IFERROR(VLOOKUP(A955,[1]SIIMPLES!$A$2:$F$418,6,FALSE),0)</f>
        <v>0</v>
      </c>
      <c r="AR955" s="55">
        <v>0</v>
      </c>
      <c r="AS955" s="55">
        <v>0</v>
      </c>
      <c r="AT955" s="55">
        <v>0</v>
      </c>
      <c r="AU955" s="55">
        <v>0</v>
      </c>
      <c r="AV955" s="55">
        <v>0</v>
      </c>
      <c r="AW955" s="55"/>
      <c r="AX955" s="55"/>
      <c r="AY955" s="56">
        <f t="shared" si="348"/>
        <v>0.1</v>
      </c>
      <c r="AZ955" s="55"/>
      <c r="BA955" s="56">
        <v>1.5</v>
      </c>
      <c r="BB955" s="41">
        <f t="shared" si="340"/>
        <v>-0.93333333333333335</v>
      </c>
      <c r="BC955" s="13"/>
      <c r="BD955" s="35"/>
      <c r="BE955" s="13"/>
      <c r="BF955" s="16">
        <f t="shared" si="345"/>
        <v>0</v>
      </c>
      <c r="BG955" s="17">
        <f t="shared" si="346"/>
        <v>0</v>
      </c>
      <c r="BH955" s="16">
        <f t="shared" si="347"/>
        <v>0.1</v>
      </c>
    </row>
    <row r="956" spans="1:60" ht="12.75" customHeight="1" x14ac:dyDescent="0.2">
      <c r="A956" s="51">
        <v>332103</v>
      </c>
      <c r="B956" s="51" t="s">
        <v>1086</v>
      </c>
      <c r="C956" s="66" t="s">
        <v>1803</v>
      </c>
      <c r="D956" s="52" t="s">
        <v>728</v>
      </c>
      <c r="E956" s="65" t="s">
        <v>780</v>
      </c>
      <c r="F956" s="53">
        <f>IFERROR(VLOOKUP(E956,Fornecedores!$A$2:$B$2700,2,FALSE),"")</f>
        <v>2</v>
      </c>
      <c r="G956" s="52" t="s">
        <v>1313</v>
      </c>
      <c r="H956" s="57"/>
      <c r="I956" s="55">
        <f t="shared" si="333"/>
        <v>0</v>
      </c>
      <c r="J956" s="55">
        <v>0</v>
      </c>
      <c r="K956" s="55">
        <v>0</v>
      </c>
      <c r="L956" s="55">
        <v>0</v>
      </c>
      <c r="M956" s="55">
        <v>0</v>
      </c>
      <c r="N956" s="55">
        <f t="shared" si="334"/>
        <v>0</v>
      </c>
      <c r="O956" s="55">
        <v>0</v>
      </c>
      <c r="P956" s="55">
        <v>0</v>
      </c>
      <c r="Q956" s="55">
        <v>0</v>
      </c>
      <c r="R956" s="55">
        <f t="shared" si="335"/>
        <v>0</v>
      </c>
      <c r="S956" s="55">
        <v>0</v>
      </c>
      <c r="T956" s="55">
        <v>0</v>
      </c>
      <c r="U956" s="55">
        <v>0</v>
      </c>
      <c r="V956" s="55">
        <v>0</v>
      </c>
      <c r="W956" s="53">
        <v>0</v>
      </c>
      <c r="X956" s="53">
        <v>0</v>
      </c>
      <c r="Y956" s="55">
        <v>0</v>
      </c>
      <c r="Z956" s="55">
        <v>0</v>
      </c>
      <c r="AA956" s="53">
        <v>0</v>
      </c>
      <c r="AB956" s="53">
        <v>0</v>
      </c>
      <c r="AC956" s="55">
        <v>0</v>
      </c>
      <c r="AD956" s="55">
        <f t="shared" si="342"/>
        <v>0</v>
      </c>
      <c r="AE956" s="53">
        <v>0</v>
      </c>
      <c r="AF956" s="55">
        <v>0</v>
      </c>
      <c r="AG956" s="55">
        <v>0</v>
      </c>
      <c r="AH956" s="55">
        <f t="shared" si="337"/>
        <v>0</v>
      </c>
      <c r="AI956" s="55">
        <v>0</v>
      </c>
      <c r="AJ956" s="55">
        <v>0</v>
      </c>
      <c r="AK956" s="55">
        <v>0</v>
      </c>
      <c r="AL956" s="55">
        <f t="shared" si="338"/>
        <v>0</v>
      </c>
      <c r="AM956" s="55" t="s">
        <v>1912</v>
      </c>
      <c r="AN956" s="55">
        <v>0</v>
      </c>
      <c r="AO956" s="55">
        <v>0</v>
      </c>
      <c r="AP956" s="55">
        <f t="shared" si="344"/>
        <v>0</v>
      </c>
      <c r="AQ956" s="55">
        <f>IFERROR(VLOOKUP(A956,[1]SIIMPLES!$A$2:$F$418,6,FALSE),0)</f>
        <v>0</v>
      </c>
      <c r="AR956" s="55">
        <v>0</v>
      </c>
      <c r="AS956" s="55">
        <v>0</v>
      </c>
      <c r="AT956" s="55">
        <v>0</v>
      </c>
      <c r="AU956" s="55">
        <v>0</v>
      </c>
      <c r="AV956" s="55">
        <v>0</v>
      </c>
      <c r="AW956" s="55"/>
      <c r="AX956" s="55"/>
      <c r="AY956" s="56">
        <f t="shared" si="348"/>
        <v>0</v>
      </c>
      <c r="AZ956" s="55"/>
      <c r="BA956" s="56">
        <v>0</v>
      </c>
      <c r="BB956" s="41" t="str">
        <f t="shared" si="340"/>
        <v/>
      </c>
      <c r="BC956" s="13"/>
      <c r="BD956" s="35"/>
      <c r="BE956" s="13"/>
      <c r="BF956" s="16">
        <f t="shared" si="345"/>
        <v>0</v>
      </c>
      <c r="BG956" s="17" t="str">
        <f t="shared" si="346"/>
        <v>0</v>
      </c>
      <c r="BH956" s="16">
        <f t="shared" si="347"/>
        <v>0</v>
      </c>
    </row>
    <row r="957" spans="1:60" ht="12.75" customHeight="1" x14ac:dyDescent="0.2">
      <c r="A957" s="51">
        <v>332108</v>
      </c>
      <c r="B957" s="51" t="s">
        <v>1077</v>
      </c>
      <c r="C957" s="66" t="s">
        <v>1803</v>
      </c>
      <c r="D957" s="52" t="s">
        <v>728</v>
      </c>
      <c r="E957" s="65" t="s">
        <v>780</v>
      </c>
      <c r="F957" s="53">
        <f>IFERROR(VLOOKUP(E957,Fornecedores!$A$2:$B$2700,2,FALSE),"")</f>
        <v>2</v>
      </c>
      <c r="G957" s="52" t="s">
        <v>1819</v>
      </c>
      <c r="H957" s="57"/>
      <c r="I957" s="55">
        <f t="shared" si="333"/>
        <v>0</v>
      </c>
      <c r="J957" s="55">
        <v>0</v>
      </c>
      <c r="K957" s="55">
        <v>0</v>
      </c>
      <c r="L957" s="55">
        <v>0</v>
      </c>
      <c r="M957" s="55">
        <v>0</v>
      </c>
      <c r="N957" s="55">
        <f t="shared" si="334"/>
        <v>0</v>
      </c>
      <c r="O957" s="55">
        <v>0</v>
      </c>
      <c r="P957" s="55">
        <v>0</v>
      </c>
      <c r="Q957" s="55">
        <v>0</v>
      </c>
      <c r="R957" s="55">
        <f t="shared" si="335"/>
        <v>0</v>
      </c>
      <c r="S957" s="55">
        <v>0</v>
      </c>
      <c r="T957" s="55">
        <v>0</v>
      </c>
      <c r="U957" s="55">
        <v>0</v>
      </c>
      <c r="V957" s="55">
        <v>0</v>
      </c>
      <c r="W957" s="53">
        <v>0</v>
      </c>
      <c r="X957" s="53">
        <v>0</v>
      </c>
      <c r="Y957" s="55">
        <v>0</v>
      </c>
      <c r="Z957" s="55">
        <v>0</v>
      </c>
      <c r="AA957" s="53">
        <v>0</v>
      </c>
      <c r="AB957" s="53">
        <v>0</v>
      </c>
      <c r="AC957" s="55">
        <v>0</v>
      </c>
      <c r="AD957" s="55">
        <f t="shared" si="342"/>
        <v>0</v>
      </c>
      <c r="AE957" s="53">
        <v>0</v>
      </c>
      <c r="AF957" s="55">
        <v>0</v>
      </c>
      <c r="AG957" s="55">
        <v>0</v>
      </c>
      <c r="AH957" s="55">
        <f t="shared" si="337"/>
        <v>0</v>
      </c>
      <c r="AI957" s="55">
        <v>0</v>
      </c>
      <c r="AJ957" s="55">
        <v>0</v>
      </c>
      <c r="AK957" s="55">
        <v>0</v>
      </c>
      <c r="AL957" s="55">
        <f t="shared" si="338"/>
        <v>0</v>
      </c>
      <c r="AM957" s="55" t="s">
        <v>1912</v>
      </c>
      <c r="AN957" s="55">
        <v>0</v>
      </c>
      <c r="AO957" s="55">
        <v>0</v>
      </c>
      <c r="AP957" s="55">
        <f t="shared" si="344"/>
        <v>0</v>
      </c>
      <c r="AQ957" s="55">
        <f>IFERROR(VLOOKUP(A957,[1]SIIMPLES!$A$2:$F$418,6,FALSE),0)</f>
        <v>0</v>
      </c>
      <c r="AR957" s="55">
        <v>0</v>
      </c>
      <c r="AS957" s="55">
        <v>0</v>
      </c>
      <c r="AT957" s="55">
        <v>0</v>
      </c>
      <c r="AU957" s="55">
        <v>0</v>
      </c>
      <c r="AV957" s="55">
        <v>0</v>
      </c>
      <c r="AW957" s="55"/>
      <c r="AX957" s="55"/>
      <c r="AY957" s="56">
        <f t="shared" si="348"/>
        <v>0</v>
      </c>
      <c r="AZ957" s="55"/>
      <c r="BA957" s="56">
        <v>0</v>
      </c>
      <c r="BB957" s="41" t="str">
        <f t="shared" si="340"/>
        <v/>
      </c>
      <c r="BC957" s="13"/>
      <c r="BD957" s="35"/>
      <c r="BE957" s="13"/>
      <c r="BF957" s="16">
        <f t="shared" si="345"/>
        <v>0</v>
      </c>
      <c r="BG957" s="17" t="str">
        <f t="shared" si="346"/>
        <v>0</v>
      </c>
      <c r="BH957" s="16">
        <f t="shared" si="347"/>
        <v>0</v>
      </c>
    </row>
    <row r="958" spans="1:60" ht="12.75" customHeight="1" x14ac:dyDescent="0.2">
      <c r="A958" s="51">
        <v>332109</v>
      </c>
      <c r="B958" s="51" t="s">
        <v>1077</v>
      </c>
      <c r="C958" s="66" t="s">
        <v>1803</v>
      </c>
      <c r="D958" s="52" t="s">
        <v>728</v>
      </c>
      <c r="E958" s="65" t="s">
        <v>780</v>
      </c>
      <c r="F958" s="53">
        <f>IFERROR(VLOOKUP(E958,Fornecedores!$A$2:$B$2700,2,FALSE),"")</f>
        <v>2</v>
      </c>
      <c r="G958" s="52" t="s">
        <v>1820</v>
      </c>
      <c r="H958" s="57"/>
      <c r="I958" s="55">
        <f t="shared" si="333"/>
        <v>0</v>
      </c>
      <c r="J958" s="55">
        <v>0</v>
      </c>
      <c r="K958" s="55">
        <v>0</v>
      </c>
      <c r="L958" s="55">
        <v>0</v>
      </c>
      <c r="M958" s="55">
        <v>0</v>
      </c>
      <c r="N958" s="55">
        <f t="shared" si="334"/>
        <v>0</v>
      </c>
      <c r="O958" s="55">
        <v>0</v>
      </c>
      <c r="P958" s="55">
        <v>0</v>
      </c>
      <c r="Q958" s="55">
        <v>0</v>
      </c>
      <c r="R958" s="55">
        <f t="shared" si="335"/>
        <v>0</v>
      </c>
      <c r="S958" s="55">
        <v>0</v>
      </c>
      <c r="T958" s="55">
        <v>0</v>
      </c>
      <c r="U958" s="55">
        <v>0</v>
      </c>
      <c r="V958" s="55">
        <v>0</v>
      </c>
      <c r="W958" s="53">
        <v>0</v>
      </c>
      <c r="X958" s="53">
        <v>0</v>
      </c>
      <c r="Y958" s="55">
        <v>0</v>
      </c>
      <c r="Z958" s="55">
        <v>0</v>
      </c>
      <c r="AA958" s="53">
        <v>0</v>
      </c>
      <c r="AB958" s="53">
        <v>0</v>
      </c>
      <c r="AC958" s="55">
        <v>0</v>
      </c>
      <c r="AD958" s="55">
        <f t="shared" si="342"/>
        <v>0</v>
      </c>
      <c r="AE958" s="53">
        <v>0</v>
      </c>
      <c r="AF958" s="55">
        <v>0</v>
      </c>
      <c r="AG958" s="55">
        <v>0</v>
      </c>
      <c r="AH958" s="55">
        <f t="shared" si="337"/>
        <v>0</v>
      </c>
      <c r="AI958" s="55">
        <v>0</v>
      </c>
      <c r="AJ958" s="55">
        <v>0</v>
      </c>
      <c r="AK958" s="55">
        <v>0</v>
      </c>
      <c r="AL958" s="55">
        <f t="shared" si="338"/>
        <v>0</v>
      </c>
      <c r="AM958" s="55" t="s">
        <v>1912</v>
      </c>
      <c r="AN958" s="55">
        <v>0</v>
      </c>
      <c r="AO958" s="55">
        <v>0</v>
      </c>
      <c r="AP958" s="55">
        <f t="shared" si="344"/>
        <v>0</v>
      </c>
      <c r="AQ958" s="55">
        <f>IFERROR(VLOOKUP(A958,[1]SIIMPLES!$A$2:$F$418,6,FALSE),0)</f>
        <v>0</v>
      </c>
      <c r="AR958" s="55">
        <v>0</v>
      </c>
      <c r="AS958" s="55">
        <v>0</v>
      </c>
      <c r="AT958" s="55">
        <v>0</v>
      </c>
      <c r="AU958" s="55">
        <v>0</v>
      </c>
      <c r="AV958" s="55">
        <v>0</v>
      </c>
      <c r="AW958" s="55"/>
      <c r="AX958" s="55"/>
      <c r="AY958" s="56">
        <f t="shared" si="348"/>
        <v>0</v>
      </c>
      <c r="AZ958" s="55"/>
      <c r="BA958" s="56">
        <v>0</v>
      </c>
      <c r="BB958" s="41" t="str">
        <f t="shared" si="340"/>
        <v/>
      </c>
      <c r="BC958" s="13"/>
      <c r="BD958" s="35"/>
      <c r="BE958" s="13"/>
      <c r="BF958" s="16">
        <f t="shared" si="345"/>
        <v>0</v>
      </c>
      <c r="BG958" s="17" t="str">
        <f t="shared" si="346"/>
        <v>0</v>
      </c>
      <c r="BH958" s="16">
        <f t="shared" si="347"/>
        <v>0</v>
      </c>
    </row>
    <row r="959" spans="1:60" ht="12.75" customHeight="1" x14ac:dyDescent="0.2">
      <c r="A959" s="51">
        <v>332112</v>
      </c>
      <c r="B959" s="51" t="s">
        <v>1086</v>
      </c>
      <c r="C959" s="66" t="s">
        <v>1803</v>
      </c>
      <c r="D959" s="52" t="s">
        <v>728</v>
      </c>
      <c r="E959" s="65" t="s">
        <v>780</v>
      </c>
      <c r="F959" s="53">
        <f>IFERROR(VLOOKUP(E959,Fornecedores!$A$2:$B$2700,2,FALSE),"")</f>
        <v>2</v>
      </c>
      <c r="G959" s="52" t="s">
        <v>1814</v>
      </c>
      <c r="H959" s="57"/>
      <c r="I959" s="55">
        <f t="shared" si="333"/>
        <v>1</v>
      </c>
      <c r="J959" s="55">
        <v>0</v>
      </c>
      <c r="K959" s="55">
        <v>1</v>
      </c>
      <c r="L959" s="55">
        <v>0</v>
      </c>
      <c r="M959" s="55">
        <v>0</v>
      </c>
      <c r="N959" s="55">
        <f t="shared" si="334"/>
        <v>0</v>
      </c>
      <c r="O959" s="55">
        <v>0</v>
      </c>
      <c r="P959" s="55">
        <v>0</v>
      </c>
      <c r="Q959" s="55">
        <v>0</v>
      </c>
      <c r="R959" s="55">
        <f t="shared" si="335"/>
        <v>0</v>
      </c>
      <c r="S959" s="55">
        <v>0</v>
      </c>
      <c r="T959" s="55">
        <v>0</v>
      </c>
      <c r="U959" s="55">
        <v>0</v>
      </c>
      <c r="V959" s="55">
        <v>0</v>
      </c>
      <c r="W959" s="53">
        <v>0</v>
      </c>
      <c r="X959" s="53">
        <v>0</v>
      </c>
      <c r="Y959" s="55">
        <v>0</v>
      </c>
      <c r="Z959" s="55">
        <v>0</v>
      </c>
      <c r="AA959" s="53">
        <v>0</v>
      </c>
      <c r="AB959" s="53">
        <v>0</v>
      </c>
      <c r="AC959" s="55">
        <v>0</v>
      </c>
      <c r="AD959" s="55">
        <f t="shared" si="342"/>
        <v>0</v>
      </c>
      <c r="AE959" s="53">
        <v>0</v>
      </c>
      <c r="AF959" s="55">
        <v>0</v>
      </c>
      <c r="AG959" s="55">
        <v>0</v>
      </c>
      <c r="AH959" s="55">
        <f t="shared" si="337"/>
        <v>0</v>
      </c>
      <c r="AI959" s="55">
        <v>0</v>
      </c>
      <c r="AJ959" s="55">
        <v>0</v>
      </c>
      <c r="AK959" s="55">
        <v>0</v>
      </c>
      <c r="AL959" s="55">
        <f t="shared" si="338"/>
        <v>0</v>
      </c>
      <c r="AM959" s="55" t="s">
        <v>1912</v>
      </c>
      <c r="AN959" s="55">
        <v>0</v>
      </c>
      <c r="AO959" s="55">
        <v>0</v>
      </c>
      <c r="AP959" s="55">
        <f t="shared" si="344"/>
        <v>0</v>
      </c>
      <c r="AQ959" s="55">
        <f>IFERROR(VLOOKUP(A959,[1]SIIMPLES!$A$2:$F$418,6,FALSE),0)</f>
        <v>0</v>
      </c>
      <c r="AR959" s="55">
        <v>0</v>
      </c>
      <c r="AS959" s="55">
        <v>0</v>
      </c>
      <c r="AT959" s="55">
        <v>0</v>
      </c>
      <c r="AU959" s="55">
        <v>0</v>
      </c>
      <c r="AV959" s="55">
        <v>0</v>
      </c>
      <c r="AW959" s="55"/>
      <c r="AX959" s="55"/>
      <c r="AY959" s="56">
        <f t="shared" si="348"/>
        <v>0.1</v>
      </c>
      <c r="AZ959" s="55"/>
      <c r="BA959" s="56">
        <v>1.6666666666666667</v>
      </c>
      <c r="BB959" s="41">
        <f t="shared" si="340"/>
        <v>-0.94</v>
      </c>
      <c r="BC959" s="13"/>
      <c r="BD959" s="35"/>
      <c r="BE959" s="13"/>
      <c r="BF959" s="16">
        <f t="shared" si="345"/>
        <v>0</v>
      </c>
      <c r="BG959" s="17">
        <f t="shared" si="346"/>
        <v>0</v>
      </c>
      <c r="BH959" s="16">
        <f t="shared" si="347"/>
        <v>0.1</v>
      </c>
    </row>
    <row r="960" spans="1:60" ht="12.75" customHeight="1" x14ac:dyDescent="0.2">
      <c r="A960" s="51">
        <v>332113</v>
      </c>
      <c r="B960" s="51" t="s">
        <v>1086</v>
      </c>
      <c r="C960" s="66" t="s">
        <v>1803</v>
      </c>
      <c r="D960" s="52" t="s">
        <v>728</v>
      </c>
      <c r="E960" s="65" t="s">
        <v>780</v>
      </c>
      <c r="F960" s="53">
        <f>IFERROR(VLOOKUP(E960,Fornecedores!$A$2:$B$2700,2,FALSE),"")</f>
        <v>2</v>
      </c>
      <c r="G960" s="52" t="s">
        <v>1816</v>
      </c>
      <c r="H960" s="57"/>
      <c r="I960" s="55">
        <f t="shared" si="333"/>
        <v>1</v>
      </c>
      <c r="J960" s="55">
        <v>0</v>
      </c>
      <c r="K960" s="55">
        <v>1</v>
      </c>
      <c r="L960" s="55">
        <v>0</v>
      </c>
      <c r="M960" s="55">
        <v>0</v>
      </c>
      <c r="N960" s="55">
        <f t="shared" si="334"/>
        <v>0</v>
      </c>
      <c r="O960" s="55">
        <v>0</v>
      </c>
      <c r="P960" s="55">
        <v>0</v>
      </c>
      <c r="Q960" s="55">
        <v>0</v>
      </c>
      <c r="R960" s="55">
        <f t="shared" si="335"/>
        <v>0</v>
      </c>
      <c r="S960" s="55">
        <v>0</v>
      </c>
      <c r="T960" s="55">
        <v>0</v>
      </c>
      <c r="U960" s="55">
        <v>0</v>
      </c>
      <c r="V960" s="55">
        <v>0</v>
      </c>
      <c r="W960" s="53">
        <v>0</v>
      </c>
      <c r="X960" s="53">
        <v>0</v>
      </c>
      <c r="Y960" s="55">
        <v>0</v>
      </c>
      <c r="Z960" s="55">
        <v>0</v>
      </c>
      <c r="AA960" s="53">
        <v>0</v>
      </c>
      <c r="AB960" s="53">
        <v>0</v>
      </c>
      <c r="AC960" s="55">
        <v>0</v>
      </c>
      <c r="AD960" s="55">
        <f t="shared" si="342"/>
        <v>0</v>
      </c>
      <c r="AE960" s="53">
        <v>0</v>
      </c>
      <c r="AF960" s="55">
        <v>0</v>
      </c>
      <c r="AG960" s="55">
        <v>0</v>
      </c>
      <c r="AH960" s="55">
        <f t="shared" si="337"/>
        <v>0</v>
      </c>
      <c r="AI960" s="55">
        <v>0</v>
      </c>
      <c r="AJ960" s="55">
        <v>0</v>
      </c>
      <c r="AK960" s="55">
        <v>0</v>
      </c>
      <c r="AL960" s="55">
        <f t="shared" si="338"/>
        <v>0</v>
      </c>
      <c r="AM960" s="55" t="s">
        <v>1912</v>
      </c>
      <c r="AN960" s="55">
        <v>0</v>
      </c>
      <c r="AO960" s="55">
        <v>0</v>
      </c>
      <c r="AP960" s="55">
        <f t="shared" si="344"/>
        <v>0</v>
      </c>
      <c r="AQ960" s="55">
        <f>IFERROR(VLOOKUP(A960,[1]SIIMPLES!$A$2:$F$418,6,FALSE),0)</f>
        <v>0</v>
      </c>
      <c r="AR960" s="55">
        <v>0</v>
      </c>
      <c r="AS960" s="55">
        <v>0</v>
      </c>
      <c r="AT960" s="55">
        <v>0</v>
      </c>
      <c r="AU960" s="55">
        <v>0</v>
      </c>
      <c r="AV960" s="55">
        <v>0</v>
      </c>
      <c r="AW960" s="55"/>
      <c r="AX960" s="55"/>
      <c r="AY960" s="56">
        <f t="shared" si="348"/>
        <v>0.1</v>
      </c>
      <c r="AZ960" s="55"/>
      <c r="BA960" s="56">
        <v>1.6666666666666667</v>
      </c>
      <c r="BB960" s="41">
        <f t="shared" si="340"/>
        <v>-0.94</v>
      </c>
      <c r="BC960" s="13"/>
      <c r="BD960" s="35"/>
      <c r="BE960" s="13"/>
      <c r="BF960" s="16">
        <f t="shared" si="345"/>
        <v>0</v>
      </c>
      <c r="BG960" s="17">
        <f t="shared" si="346"/>
        <v>0</v>
      </c>
      <c r="BH960" s="16">
        <f t="shared" si="347"/>
        <v>0.1</v>
      </c>
    </row>
    <row r="961" spans="1:60" ht="12.75" customHeight="1" x14ac:dyDescent="0.2">
      <c r="A961" s="51">
        <v>332114</v>
      </c>
      <c r="B961" s="51" t="s">
        <v>1077</v>
      </c>
      <c r="C961" s="66" t="s">
        <v>1803</v>
      </c>
      <c r="D961" s="52" t="s">
        <v>728</v>
      </c>
      <c r="E961" s="65" t="s">
        <v>780</v>
      </c>
      <c r="F961" s="53">
        <f>IFERROR(VLOOKUP(E961,Fornecedores!$A$2:$B$2700,2,FALSE),"")</f>
        <v>2</v>
      </c>
      <c r="G961" s="52" t="s">
        <v>866</v>
      </c>
      <c r="H961" s="57"/>
      <c r="I961" s="55">
        <f t="shared" si="333"/>
        <v>0</v>
      </c>
      <c r="J961" s="55">
        <v>0</v>
      </c>
      <c r="K961" s="55">
        <v>0</v>
      </c>
      <c r="L961" s="55">
        <v>0</v>
      </c>
      <c r="M961" s="55">
        <v>0</v>
      </c>
      <c r="N961" s="55">
        <f t="shared" si="334"/>
        <v>0</v>
      </c>
      <c r="O961" s="55">
        <v>0</v>
      </c>
      <c r="P961" s="55">
        <v>0</v>
      </c>
      <c r="Q961" s="55">
        <v>0</v>
      </c>
      <c r="R961" s="55">
        <f t="shared" si="335"/>
        <v>0</v>
      </c>
      <c r="S961" s="55">
        <v>0</v>
      </c>
      <c r="T961" s="55">
        <v>0</v>
      </c>
      <c r="U961" s="55">
        <v>0</v>
      </c>
      <c r="V961" s="55">
        <v>0</v>
      </c>
      <c r="W961" s="53">
        <v>0</v>
      </c>
      <c r="X961" s="53">
        <v>0</v>
      </c>
      <c r="Y961" s="55">
        <v>0</v>
      </c>
      <c r="Z961" s="55">
        <v>0</v>
      </c>
      <c r="AA961" s="53">
        <v>0</v>
      </c>
      <c r="AB961" s="53">
        <v>0</v>
      </c>
      <c r="AC961" s="55">
        <v>0</v>
      </c>
      <c r="AD961" s="55">
        <f t="shared" si="342"/>
        <v>0</v>
      </c>
      <c r="AE961" s="53">
        <v>0</v>
      </c>
      <c r="AF961" s="55">
        <v>0</v>
      </c>
      <c r="AG961" s="55">
        <v>0</v>
      </c>
      <c r="AH961" s="55">
        <f t="shared" si="337"/>
        <v>0</v>
      </c>
      <c r="AI961" s="55">
        <v>0</v>
      </c>
      <c r="AJ961" s="55">
        <v>0</v>
      </c>
      <c r="AK961" s="55">
        <v>0</v>
      </c>
      <c r="AL961" s="55">
        <f t="shared" si="338"/>
        <v>0</v>
      </c>
      <c r="AM961" s="55" t="s">
        <v>1912</v>
      </c>
      <c r="AN961" s="55">
        <v>0</v>
      </c>
      <c r="AO961" s="55">
        <v>0</v>
      </c>
      <c r="AP961" s="55">
        <f t="shared" si="344"/>
        <v>0</v>
      </c>
      <c r="AQ961" s="55">
        <f>IFERROR(VLOOKUP(A961,[1]SIIMPLES!$A$2:$F$418,6,FALSE),0)</f>
        <v>0</v>
      </c>
      <c r="AR961" s="55">
        <v>0</v>
      </c>
      <c r="AS961" s="55">
        <v>1</v>
      </c>
      <c r="AT961" s="55">
        <v>1</v>
      </c>
      <c r="AU961" s="55">
        <v>0</v>
      </c>
      <c r="AV961" s="55">
        <v>0</v>
      </c>
      <c r="AW961" s="55"/>
      <c r="AX961" s="55"/>
      <c r="AY961" s="56">
        <f t="shared" si="348"/>
        <v>0.1</v>
      </c>
      <c r="AZ961" s="55"/>
      <c r="BA961" s="56">
        <v>0.5</v>
      </c>
      <c r="BB961" s="41">
        <f t="shared" si="340"/>
        <v>-0.8</v>
      </c>
      <c r="BC961" s="13"/>
      <c r="BD961" s="35"/>
      <c r="BE961" s="13"/>
      <c r="BF961" s="16">
        <f t="shared" si="345"/>
        <v>0</v>
      </c>
      <c r="BG961" s="17">
        <f t="shared" si="346"/>
        <v>0</v>
      </c>
      <c r="BH961" s="16">
        <f t="shared" si="347"/>
        <v>0.1</v>
      </c>
    </row>
    <row r="962" spans="1:60" ht="12.75" customHeight="1" x14ac:dyDescent="0.2">
      <c r="A962" s="51">
        <v>332118</v>
      </c>
      <c r="B962" s="51" t="s">
        <v>1077</v>
      </c>
      <c r="C962" s="66" t="s">
        <v>1803</v>
      </c>
      <c r="D962" s="52" t="s">
        <v>728</v>
      </c>
      <c r="E962" s="65" t="s">
        <v>780</v>
      </c>
      <c r="F962" s="53">
        <f>IFERROR(VLOOKUP(E962,Fornecedores!$A$2:$B$2700,2,FALSE),"")</f>
        <v>2</v>
      </c>
      <c r="G962" s="52" t="s">
        <v>1314</v>
      </c>
      <c r="H962" s="57"/>
      <c r="I962" s="55">
        <f t="shared" si="333"/>
        <v>0</v>
      </c>
      <c r="J962" s="55">
        <v>0</v>
      </c>
      <c r="K962" s="55">
        <v>0</v>
      </c>
      <c r="L962" s="55">
        <v>0</v>
      </c>
      <c r="M962" s="55">
        <v>0</v>
      </c>
      <c r="N962" s="55">
        <f t="shared" si="334"/>
        <v>1</v>
      </c>
      <c r="O962" s="55">
        <v>0</v>
      </c>
      <c r="P962" s="55">
        <v>1</v>
      </c>
      <c r="Q962" s="55">
        <v>0</v>
      </c>
      <c r="R962" s="55">
        <f t="shared" si="335"/>
        <v>0</v>
      </c>
      <c r="S962" s="55">
        <v>0</v>
      </c>
      <c r="T962" s="55">
        <v>0</v>
      </c>
      <c r="U962" s="55">
        <v>0</v>
      </c>
      <c r="V962" s="55">
        <v>0</v>
      </c>
      <c r="W962" s="53">
        <v>0</v>
      </c>
      <c r="X962" s="53">
        <v>0</v>
      </c>
      <c r="Y962" s="55">
        <v>0</v>
      </c>
      <c r="Z962" s="55">
        <v>1</v>
      </c>
      <c r="AA962" s="53">
        <v>0</v>
      </c>
      <c r="AB962" s="53">
        <v>1</v>
      </c>
      <c r="AC962" s="55">
        <v>0</v>
      </c>
      <c r="AD962" s="55">
        <f t="shared" si="342"/>
        <v>0</v>
      </c>
      <c r="AE962" s="53">
        <v>0</v>
      </c>
      <c r="AF962" s="55">
        <v>0</v>
      </c>
      <c r="AG962" s="55">
        <v>0</v>
      </c>
      <c r="AH962" s="55">
        <f t="shared" si="337"/>
        <v>0</v>
      </c>
      <c r="AI962" s="55">
        <v>0</v>
      </c>
      <c r="AJ962" s="55">
        <v>0</v>
      </c>
      <c r="AK962" s="55">
        <v>0</v>
      </c>
      <c r="AL962" s="55">
        <f t="shared" si="338"/>
        <v>0</v>
      </c>
      <c r="AM962" s="55" t="s">
        <v>1912</v>
      </c>
      <c r="AN962" s="55">
        <v>0</v>
      </c>
      <c r="AO962" s="55">
        <v>0</v>
      </c>
      <c r="AP962" s="55">
        <f t="shared" si="344"/>
        <v>0</v>
      </c>
      <c r="AQ962" s="55">
        <f>IFERROR(VLOOKUP(A962,[1]SIIMPLES!$A$2:$F$418,6,FALSE),0)</f>
        <v>0</v>
      </c>
      <c r="AR962" s="55">
        <v>0</v>
      </c>
      <c r="AS962" s="55">
        <v>0</v>
      </c>
      <c r="AT962" s="55">
        <v>0</v>
      </c>
      <c r="AU962" s="55">
        <v>0</v>
      </c>
      <c r="AV962" s="55">
        <v>0</v>
      </c>
      <c r="AW962" s="55"/>
      <c r="AX962" s="55"/>
      <c r="AY962" s="56">
        <f t="shared" si="348"/>
        <v>0.2</v>
      </c>
      <c r="AZ962" s="55"/>
      <c r="BA962" s="56">
        <v>0</v>
      </c>
      <c r="BB962" s="41" t="str">
        <f t="shared" si="340"/>
        <v/>
      </c>
      <c r="BC962" s="13"/>
      <c r="BD962" s="37"/>
      <c r="BE962" s="13"/>
      <c r="BF962" s="16">
        <f t="shared" si="345"/>
        <v>0</v>
      </c>
      <c r="BG962" s="17">
        <f t="shared" si="346"/>
        <v>0</v>
      </c>
      <c r="BH962" s="16">
        <f t="shared" si="347"/>
        <v>0.2</v>
      </c>
    </row>
    <row r="963" spans="1:60" ht="12.75" customHeight="1" x14ac:dyDescent="0.2">
      <c r="A963" s="51">
        <v>332119</v>
      </c>
      <c r="B963" s="51" t="s">
        <v>1077</v>
      </c>
      <c r="C963" s="66" t="s">
        <v>1803</v>
      </c>
      <c r="D963" s="52" t="s">
        <v>728</v>
      </c>
      <c r="E963" s="65" t="s">
        <v>780</v>
      </c>
      <c r="F963" s="53">
        <f>IFERROR(VLOOKUP(E963,Fornecedores!$A$2:$B$2700,2,FALSE),"")</f>
        <v>2</v>
      </c>
      <c r="G963" s="52" t="s">
        <v>1315</v>
      </c>
      <c r="H963" s="57"/>
      <c r="I963" s="55">
        <f t="shared" ref="I963:I1026" si="349">SUM(J963:M963)</f>
        <v>0</v>
      </c>
      <c r="J963" s="55">
        <v>0</v>
      </c>
      <c r="K963" s="55">
        <v>0</v>
      </c>
      <c r="L963" s="55">
        <v>0</v>
      </c>
      <c r="M963" s="55">
        <v>0</v>
      </c>
      <c r="N963" s="55">
        <f t="shared" ref="N963:N1026" si="350">SUM(O963:Q963)</f>
        <v>1</v>
      </c>
      <c r="O963" s="55">
        <v>0</v>
      </c>
      <c r="P963" s="55">
        <v>1</v>
      </c>
      <c r="Q963" s="55">
        <v>0</v>
      </c>
      <c r="R963" s="55">
        <f t="shared" ref="R963:R1026" si="351">SUM(S963:U963)</f>
        <v>0</v>
      </c>
      <c r="S963" s="55">
        <v>0</v>
      </c>
      <c r="T963" s="55">
        <v>0</v>
      </c>
      <c r="U963" s="55">
        <v>0</v>
      </c>
      <c r="V963" s="55">
        <v>0</v>
      </c>
      <c r="W963" s="53">
        <v>0</v>
      </c>
      <c r="X963" s="53">
        <v>0</v>
      </c>
      <c r="Y963" s="55">
        <v>0</v>
      </c>
      <c r="Z963" s="55">
        <v>1</v>
      </c>
      <c r="AA963" s="53">
        <v>0</v>
      </c>
      <c r="AB963" s="53">
        <v>1</v>
      </c>
      <c r="AC963" s="55">
        <v>0</v>
      </c>
      <c r="AD963" s="55">
        <f t="shared" si="342"/>
        <v>0</v>
      </c>
      <c r="AE963" s="53">
        <v>0</v>
      </c>
      <c r="AF963" s="55">
        <v>0</v>
      </c>
      <c r="AG963" s="55">
        <v>0</v>
      </c>
      <c r="AH963" s="55">
        <f t="shared" si="337"/>
        <v>0</v>
      </c>
      <c r="AI963" s="55">
        <v>0</v>
      </c>
      <c r="AJ963" s="55">
        <v>0</v>
      </c>
      <c r="AK963" s="55">
        <v>0</v>
      </c>
      <c r="AL963" s="55">
        <f t="shared" si="338"/>
        <v>0</v>
      </c>
      <c r="AM963" s="55" t="s">
        <v>1912</v>
      </c>
      <c r="AN963" s="55">
        <v>0</v>
      </c>
      <c r="AO963" s="55">
        <v>0</v>
      </c>
      <c r="AP963" s="55">
        <f t="shared" si="344"/>
        <v>0</v>
      </c>
      <c r="AQ963" s="55">
        <f>IFERROR(VLOOKUP(A963,[1]SIIMPLES!$A$2:$F$418,6,FALSE),0)</f>
        <v>0</v>
      </c>
      <c r="AR963" s="55">
        <v>0</v>
      </c>
      <c r="AS963" s="55">
        <v>0</v>
      </c>
      <c r="AT963" s="55">
        <v>0</v>
      </c>
      <c r="AU963" s="55">
        <v>0</v>
      </c>
      <c r="AV963" s="55">
        <v>0</v>
      </c>
      <c r="AW963" s="55"/>
      <c r="AX963" s="55"/>
      <c r="AY963" s="56">
        <f t="shared" si="348"/>
        <v>0.2</v>
      </c>
      <c r="AZ963" s="55"/>
      <c r="BA963" s="56">
        <v>0</v>
      </c>
      <c r="BB963" s="41" t="str">
        <f t="shared" si="340"/>
        <v/>
      </c>
      <c r="BC963" s="13"/>
      <c r="BD963" s="35"/>
      <c r="BE963" s="13"/>
      <c r="BF963" s="16">
        <f t="shared" si="345"/>
        <v>0</v>
      </c>
      <c r="BG963" s="17">
        <f t="shared" si="346"/>
        <v>0</v>
      </c>
      <c r="BH963" s="16">
        <f t="shared" si="347"/>
        <v>0.2</v>
      </c>
    </row>
    <row r="964" spans="1:60" ht="12.75" customHeight="1" x14ac:dyDescent="0.2">
      <c r="A964" s="51">
        <v>559130</v>
      </c>
      <c r="B964" s="51"/>
      <c r="C964" s="66" t="s">
        <v>1803</v>
      </c>
      <c r="D964" s="52" t="s">
        <v>735</v>
      </c>
      <c r="E964" s="52" t="s">
        <v>736</v>
      </c>
      <c r="F964" s="53">
        <f>IFERROR(VLOOKUP(E964,Fornecedores!$A$2:$B$2700,2,FALSE),"")</f>
        <v>5</v>
      </c>
      <c r="G964" s="52" t="s">
        <v>980</v>
      </c>
      <c r="H964" s="54"/>
      <c r="I964" s="55">
        <f t="shared" si="349"/>
        <v>0</v>
      </c>
      <c r="J964" s="55">
        <v>0</v>
      </c>
      <c r="K964" s="55">
        <v>0</v>
      </c>
      <c r="L964" s="55">
        <v>0</v>
      </c>
      <c r="M964" s="55">
        <v>0</v>
      </c>
      <c r="N964" s="55">
        <f t="shared" si="350"/>
        <v>0</v>
      </c>
      <c r="O964" s="55">
        <v>0</v>
      </c>
      <c r="P964" s="55">
        <v>0</v>
      </c>
      <c r="Q964" s="55">
        <v>0</v>
      </c>
      <c r="R964" s="55">
        <f t="shared" si="351"/>
        <v>0</v>
      </c>
      <c r="S964" s="55">
        <v>0</v>
      </c>
      <c r="T964" s="55">
        <v>0</v>
      </c>
      <c r="U964" s="55">
        <v>0</v>
      </c>
      <c r="V964" s="55">
        <v>0</v>
      </c>
      <c r="W964" s="53">
        <v>0</v>
      </c>
      <c r="X964" s="53">
        <v>0</v>
      </c>
      <c r="Y964" s="55">
        <v>0</v>
      </c>
      <c r="Z964" s="55">
        <v>1</v>
      </c>
      <c r="AA964" s="53">
        <v>1</v>
      </c>
      <c r="AB964" s="53">
        <v>0</v>
      </c>
      <c r="AC964" s="55">
        <v>0</v>
      </c>
      <c r="AD964" s="55">
        <f t="shared" si="342"/>
        <v>0</v>
      </c>
      <c r="AE964" s="53">
        <v>0</v>
      </c>
      <c r="AF964" s="55">
        <v>0</v>
      </c>
      <c r="AG964" s="55">
        <v>0</v>
      </c>
      <c r="AH964" s="55">
        <f t="shared" si="337"/>
        <v>0</v>
      </c>
      <c r="AI964" s="55">
        <v>0</v>
      </c>
      <c r="AJ964" s="55">
        <v>0</v>
      </c>
      <c r="AK964" s="55">
        <v>0</v>
      </c>
      <c r="AL964" s="55">
        <f t="shared" si="338"/>
        <v>0</v>
      </c>
      <c r="AM964" s="55" t="s">
        <v>1912</v>
      </c>
      <c r="AN964" s="55">
        <v>0</v>
      </c>
      <c r="AO964" s="55">
        <v>0</v>
      </c>
      <c r="AP964" s="55">
        <f t="shared" si="344"/>
        <v>0</v>
      </c>
      <c r="AQ964" s="55">
        <f>IFERROR(VLOOKUP(A964,[1]SIIMPLES!$A$2:$F$418,6,FALSE),0)</f>
        <v>0</v>
      </c>
      <c r="AR964" s="55">
        <v>0</v>
      </c>
      <c r="AS964" s="55">
        <v>0</v>
      </c>
      <c r="AT964" s="55">
        <v>0</v>
      </c>
      <c r="AU964" s="55">
        <v>0</v>
      </c>
      <c r="AV964" s="55">
        <v>0</v>
      </c>
      <c r="AW964" s="55"/>
      <c r="AX964" s="55"/>
      <c r="AY964" s="56">
        <f t="shared" si="348"/>
        <v>0.1</v>
      </c>
      <c r="AZ964" s="55"/>
      <c r="BA964" s="56">
        <v>0.4</v>
      </c>
      <c r="BB964" s="41">
        <f t="shared" si="340"/>
        <v>-0.75</v>
      </c>
      <c r="BC964" s="13"/>
      <c r="BD964" s="35"/>
      <c r="BE964" s="13"/>
      <c r="BF964" s="16">
        <f t="shared" si="345"/>
        <v>0</v>
      </c>
      <c r="BG964" s="17">
        <f t="shared" si="346"/>
        <v>0</v>
      </c>
      <c r="BH964" s="16">
        <f t="shared" si="347"/>
        <v>0.1</v>
      </c>
    </row>
    <row r="965" spans="1:60" ht="12.75" customHeight="1" x14ac:dyDescent="0.2">
      <c r="A965" s="51">
        <v>559140</v>
      </c>
      <c r="B965" s="51"/>
      <c r="C965" s="66" t="s">
        <v>1803</v>
      </c>
      <c r="D965" s="52" t="s">
        <v>735</v>
      </c>
      <c r="E965" s="52" t="s">
        <v>736</v>
      </c>
      <c r="F965" s="53">
        <f>IFERROR(VLOOKUP(E965,Fornecedores!$A$2:$B$2700,2,FALSE),"")</f>
        <v>5</v>
      </c>
      <c r="G965" s="52" t="s">
        <v>981</v>
      </c>
      <c r="H965" s="54"/>
      <c r="I965" s="55">
        <f t="shared" si="349"/>
        <v>0</v>
      </c>
      <c r="J965" s="55">
        <v>0</v>
      </c>
      <c r="K965" s="55">
        <v>0</v>
      </c>
      <c r="L965" s="55">
        <v>0</v>
      </c>
      <c r="M965" s="55">
        <v>0</v>
      </c>
      <c r="N965" s="55">
        <f t="shared" si="350"/>
        <v>0</v>
      </c>
      <c r="O965" s="55">
        <v>0</v>
      </c>
      <c r="P965" s="55">
        <v>0</v>
      </c>
      <c r="Q965" s="55">
        <v>0</v>
      </c>
      <c r="R965" s="55">
        <f t="shared" si="351"/>
        <v>0</v>
      </c>
      <c r="S965" s="55">
        <v>0</v>
      </c>
      <c r="T965" s="55">
        <v>0</v>
      </c>
      <c r="U965" s="55">
        <v>0</v>
      </c>
      <c r="V965" s="55">
        <v>0</v>
      </c>
      <c r="W965" s="53">
        <v>0</v>
      </c>
      <c r="X965" s="53">
        <v>0</v>
      </c>
      <c r="Y965" s="55">
        <v>0</v>
      </c>
      <c r="Z965" s="55">
        <v>0</v>
      </c>
      <c r="AA965" s="53">
        <v>0</v>
      </c>
      <c r="AB965" s="53">
        <v>0</v>
      </c>
      <c r="AC965" s="55">
        <v>0</v>
      </c>
      <c r="AD965" s="55">
        <f t="shared" si="342"/>
        <v>0</v>
      </c>
      <c r="AE965" s="53">
        <v>0</v>
      </c>
      <c r="AF965" s="55">
        <v>0</v>
      </c>
      <c r="AG965" s="55">
        <v>0</v>
      </c>
      <c r="AH965" s="55">
        <f t="shared" si="337"/>
        <v>0</v>
      </c>
      <c r="AI965" s="55">
        <v>0</v>
      </c>
      <c r="AJ965" s="55">
        <v>0</v>
      </c>
      <c r="AK965" s="55">
        <v>0</v>
      </c>
      <c r="AL965" s="55">
        <f t="shared" si="338"/>
        <v>0</v>
      </c>
      <c r="AM965" s="55" t="s">
        <v>1912</v>
      </c>
      <c r="AN965" s="55">
        <v>0</v>
      </c>
      <c r="AO965" s="55">
        <v>0</v>
      </c>
      <c r="AP965" s="55">
        <f t="shared" si="344"/>
        <v>0</v>
      </c>
      <c r="AQ965" s="55">
        <f>IFERROR(VLOOKUP(A965,[1]SIIMPLES!$A$2:$F$418,6,FALSE),0)</f>
        <v>0</v>
      </c>
      <c r="AR965" s="55">
        <v>0</v>
      </c>
      <c r="AS965" s="55">
        <v>1</v>
      </c>
      <c r="AT965" s="55">
        <v>1</v>
      </c>
      <c r="AU965" s="55">
        <v>0</v>
      </c>
      <c r="AV965" s="55">
        <v>0</v>
      </c>
      <c r="AW965" s="55"/>
      <c r="AX965" s="55"/>
      <c r="AY965" s="56">
        <f t="shared" si="348"/>
        <v>0.1</v>
      </c>
      <c r="AZ965" s="55"/>
      <c r="BA965" s="56">
        <v>0.4</v>
      </c>
      <c r="BB965" s="41">
        <f t="shared" si="340"/>
        <v>-0.75</v>
      </c>
      <c r="BC965" s="13"/>
      <c r="BD965" s="35"/>
      <c r="BE965" s="7"/>
      <c r="BF965" s="16"/>
      <c r="BG965" s="17">
        <f t="shared" si="346"/>
        <v>0</v>
      </c>
      <c r="BH965" s="16"/>
    </row>
    <row r="966" spans="1:60" ht="12.75" customHeight="1" x14ac:dyDescent="0.2">
      <c r="A966" s="51">
        <v>660211</v>
      </c>
      <c r="B966" s="51" t="s">
        <v>1077</v>
      </c>
      <c r="C966" s="66" t="s">
        <v>1803</v>
      </c>
      <c r="D966" s="65" t="s">
        <v>1778</v>
      </c>
      <c r="E966" s="52" t="s">
        <v>732</v>
      </c>
      <c r="F966" s="53">
        <f>IFERROR(VLOOKUP(E966,Fornecedores!$A$2:$B$2700,2,FALSE),"")</f>
        <v>6</v>
      </c>
      <c r="G966" s="52" t="s">
        <v>135</v>
      </c>
      <c r="H966" s="54"/>
      <c r="I966" s="55">
        <f t="shared" si="349"/>
        <v>0</v>
      </c>
      <c r="J966" s="55">
        <v>0</v>
      </c>
      <c r="K966" s="55">
        <v>0</v>
      </c>
      <c r="L966" s="55">
        <v>0</v>
      </c>
      <c r="M966" s="55">
        <v>0</v>
      </c>
      <c r="N966" s="55">
        <f t="shared" si="350"/>
        <v>0</v>
      </c>
      <c r="O966" s="55">
        <v>0</v>
      </c>
      <c r="P966" s="55">
        <v>0</v>
      </c>
      <c r="Q966" s="55">
        <v>0</v>
      </c>
      <c r="R966" s="55">
        <f t="shared" si="351"/>
        <v>0</v>
      </c>
      <c r="S966" s="55">
        <v>0</v>
      </c>
      <c r="T966" s="55">
        <v>0</v>
      </c>
      <c r="U966" s="55">
        <v>0</v>
      </c>
      <c r="V966" s="55">
        <v>0</v>
      </c>
      <c r="W966" s="53">
        <v>0</v>
      </c>
      <c r="X966" s="53">
        <v>0</v>
      </c>
      <c r="Y966" s="55">
        <v>0</v>
      </c>
      <c r="Z966" s="55">
        <v>0</v>
      </c>
      <c r="AA966" s="53">
        <v>0</v>
      </c>
      <c r="AB966" s="53">
        <v>0</v>
      </c>
      <c r="AC966" s="55">
        <v>0</v>
      </c>
      <c r="AD966" s="55">
        <f t="shared" si="342"/>
        <v>6</v>
      </c>
      <c r="AE966" s="53">
        <v>6</v>
      </c>
      <c r="AF966" s="55">
        <v>0</v>
      </c>
      <c r="AG966" s="55">
        <v>0</v>
      </c>
      <c r="AH966" s="55">
        <f t="shared" si="337"/>
        <v>3</v>
      </c>
      <c r="AI966" s="55">
        <v>3</v>
      </c>
      <c r="AJ966" s="55">
        <v>0</v>
      </c>
      <c r="AK966" s="55">
        <v>0</v>
      </c>
      <c r="AL966" s="55">
        <f t="shared" si="338"/>
        <v>1</v>
      </c>
      <c r="AM966" s="55">
        <v>1</v>
      </c>
      <c r="AN966" s="55">
        <v>0</v>
      </c>
      <c r="AO966" s="55">
        <v>0</v>
      </c>
      <c r="AP966" s="55">
        <f t="shared" si="344"/>
        <v>0</v>
      </c>
      <c r="AQ966" s="55">
        <f>IFERROR(VLOOKUP(A966,[1]SIIMPLES!$A$2:$F$418,6,FALSE),0)</f>
        <v>0</v>
      </c>
      <c r="AR966" s="55">
        <v>0</v>
      </c>
      <c r="AS966" s="55">
        <v>0</v>
      </c>
      <c r="AT966" s="55">
        <v>0</v>
      </c>
      <c r="AU966" s="55">
        <v>0</v>
      </c>
      <c r="AV966" s="55">
        <v>0</v>
      </c>
      <c r="AW966" s="55"/>
      <c r="AX966" s="55"/>
      <c r="AY966" s="56">
        <f t="shared" si="348"/>
        <v>1</v>
      </c>
      <c r="AZ966" s="55"/>
      <c r="BA966" s="56">
        <v>5.166666666666667</v>
      </c>
      <c r="BB966" s="41">
        <f t="shared" si="340"/>
        <v>-0.80645161290322576</v>
      </c>
      <c r="BC966" s="13"/>
      <c r="BD966" s="35"/>
      <c r="BE966" s="13"/>
      <c r="BF966" s="16">
        <f t="shared" ref="BF966:BF977" si="352">SUM(BC966:BE966)</f>
        <v>0</v>
      </c>
      <c r="BG966" s="17">
        <f t="shared" si="346"/>
        <v>0</v>
      </c>
      <c r="BH966" s="16">
        <f t="shared" ref="BH966:BH1004" si="353">IFERROR(IF(F966=1,IF(BC966&lt;AY966*3,AY966*3-BC966,0),IF(BC966&lt;AY966,AY966-BC966,0)),"")</f>
        <v>1</v>
      </c>
    </row>
    <row r="967" spans="1:60" ht="12.75" customHeight="1" x14ac:dyDescent="0.2">
      <c r="A967" s="51">
        <v>332120</v>
      </c>
      <c r="B967" s="51" t="s">
        <v>1077</v>
      </c>
      <c r="C967" s="66" t="s">
        <v>1803</v>
      </c>
      <c r="D967" s="52" t="s">
        <v>728</v>
      </c>
      <c r="E967" s="65" t="s">
        <v>780</v>
      </c>
      <c r="F967" s="53">
        <f>IFERROR(VLOOKUP(E967,Fornecedores!$A$2:$B$2700,2,FALSE),"")</f>
        <v>2</v>
      </c>
      <c r="G967" s="52" t="s">
        <v>1316</v>
      </c>
      <c r="H967" s="57"/>
      <c r="I967" s="55">
        <f t="shared" si="349"/>
        <v>0</v>
      </c>
      <c r="J967" s="55">
        <v>0</v>
      </c>
      <c r="K967" s="55">
        <v>0</v>
      </c>
      <c r="L967" s="55">
        <v>0</v>
      </c>
      <c r="M967" s="55">
        <v>0</v>
      </c>
      <c r="N967" s="55">
        <f t="shared" si="350"/>
        <v>0</v>
      </c>
      <c r="O967" s="55">
        <v>0</v>
      </c>
      <c r="P967" s="55">
        <v>0</v>
      </c>
      <c r="Q967" s="55">
        <v>0</v>
      </c>
      <c r="R967" s="55">
        <f t="shared" si="351"/>
        <v>0</v>
      </c>
      <c r="S967" s="55">
        <v>0</v>
      </c>
      <c r="T967" s="55">
        <v>0</v>
      </c>
      <c r="U967" s="55">
        <v>0</v>
      </c>
      <c r="V967" s="55">
        <v>1</v>
      </c>
      <c r="W967" s="53">
        <v>1</v>
      </c>
      <c r="X967" s="53">
        <v>0</v>
      </c>
      <c r="Y967" s="55">
        <v>0</v>
      </c>
      <c r="Z967" s="55">
        <v>0</v>
      </c>
      <c r="AA967" s="53">
        <v>0</v>
      </c>
      <c r="AB967" s="53">
        <v>0</v>
      </c>
      <c r="AC967" s="55">
        <v>0</v>
      </c>
      <c r="AD967" s="55">
        <f t="shared" si="342"/>
        <v>0</v>
      </c>
      <c r="AE967" s="53">
        <v>0</v>
      </c>
      <c r="AF967" s="55">
        <v>0</v>
      </c>
      <c r="AG967" s="55">
        <v>0</v>
      </c>
      <c r="AH967" s="55">
        <f t="shared" si="337"/>
        <v>0</v>
      </c>
      <c r="AI967" s="55">
        <v>0</v>
      </c>
      <c r="AJ967" s="55">
        <v>0</v>
      </c>
      <c r="AK967" s="55">
        <v>0</v>
      </c>
      <c r="AL967" s="55">
        <f t="shared" si="338"/>
        <v>0</v>
      </c>
      <c r="AM967" s="55" t="s">
        <v>1912</v>
      </c>
      <c r="AN967" s="55">
        <v>0</v>
      </c>
      <c r="AO967" s="55">
        <v>0</v>
      </c>
      <c r="AP967" s="55">
        <f t="shared" si="344"/>
        <v>0</v>
      </c>
      <c r="AQ967" s="55">
        <f>IFERROR(VLOOKUP(A967,[1]SIIMPLES!$A$2:$F$418,6,FALSE),0)</f>
        <v>0</v>
      </c>
      <c r="AR967" s="55">
        <v>0</v>
      </c>
      <c r="AS967" s="55">
        <v>0</v>
      </c>
      <c r="AT967" s="55">
        <v>0</v>
      </c>
      <c r="AU967" s="55">
        <v>0</v>
      </c>
      <c r="AV967" s="55">
        <v>0</v>
      </c>
      <c r="AW967" s="55"/>
      <c r="AX967" s="55"/>
      <c r="AY967" s="56">
        <f t="shared" si="348"/>
        <v>0.1</v>
      </c>
      <c r="AZ967" s="55"/>
      <c r="BA967" s="56">
        <v>0</v>
      </c>
      <c r="BB967" s="41" t="str">
        <f t="shared" si="340"/>
        <v/>
      </c>
      <c r="BC967" s="13"/>
      <c r="BD967" s="35"/>
      <c r="BE967" s="13"/>
      <c r="BF967" s="16">
        <f t="shared" si="352"/>
        <v>0</v>
      </c>
      <c r="BG967" s="17">
        <f t="shared" si="346"/>
        <v>0</v>
      </c>
      <c r="BH967" s="16">
        <f t="shared" si="353"/>
        <v>0.1</v>
      </c>
    </row>
    <row r="968" spans="1:60" ht="12.75" customHeight="1" x14ac:dyDescent="0.2">
      <c r="A968" s="51">
        <v>332121</v>
      </c>
      <c r="B968" s="51" t="s">
        <v>1077</v>
      </c>
      <c r="C968" s="66" t="s">
        <v>1803</v>
      </c>
      <c r="D968" s="52" t="s">
        <v>728</v>
      </c>
      <c r="E968" s="65" t="s">
        <v>780</v>
      </c>
      <c r="F968" s="53">
        <f>IFERROR(VLOOKUP(E968,Fornecedores!$A$2:$B$2700,2,FALSE),"")</f>
        <v>2</v>
      </c>
      <c r="G968" s="52" t="s">
        <v>868</v>
      </c>
      <c r="H968" s="57"/>
      <c r="I968" s="55">
        <f t="shared" si="349"/>
        <v>1</v>
      </c>
      <c r="J968" s="55">
        <v>1</v>
      </c>
      <c r="K968" s="55">
        <v>0</v>
      </c>
      <c r="L968" s="55">
        <v>0</v>
      </c>
      <c r="M968" s="55">
        <v>0</v>
      </c>
      <c r="N968" s="55">
        <f t="shared" si="350"/>
        <v>0</v>
      </c>
      <c r="O968" s="55">
        <v>0</v>
      </c>
      <c r="P968" s="55">
        <v>0</v>
      </c>
      <c r="Q968" s="55">
        <v>0</v>
      </c>
      <c r="R968" s="55">
        <f t="shared" si="351"/>
        <v>0</v>
      </c>
      <c r="S968" s="55">
        <v>0</v>
      </c>
      <c r="T968" s="55">
        <v>0</v>
      </c>
      <c r="U968" s="55">
        <v>0</v>
      </c>
      <c r="V968" s="55">
        <v>1</v>
      </c>
      <c r="W968" s="53">
        <v>1</v>
      </c>
      <c r="X968" s="53">
        <v>0</v>
      </c>
      <c r="Y968" s="55">
        <v>0</v>
      </c>
      <c r="Z968" s="55">
        <v>0</v>
      </c>
      <c r="AA968" s="53">
        <v>0</v>
      </c>
      <c r="AB968" s="53">
        <v>0</v>
      </c>
      <c r="AC968" s="55">
        <v>0</v>
      </c>
      <c r="AD968" s="55">
        <f t="shared" si="342"/>
        <v>0</v>
      </c>
      <c r="AE968" s="53">
        <v>0</v>
      </c>
      <c r="AF968" s="55">
        <v>0</v>
      </c>
      <c r="AG968" s="55">
        <v>0</v>
      </c>
      <c r="AH968" s="55">
        <f t="shared" si="337"/>
        <v>0</v>
      </c>
      <c r="AI968" s="55">
        <v>0</v>
      </c>
      <c r="AJ968" s="55">
        <v>0</v>
      </c>
      <c r="AK968" s="55">
        <v>0</v>
      </c>
      <c r="AL968" s="55">
        <f t="shared" si="338"/>
        <v>2</v>
      </c>
      <c r="AM968" s="55">
        <v>2</v>
      </c>
      <c r="AN968" s="55">
        <v>0</v>
      </c>
      <c r="AO968" s="55">
        <v>0</v>
      </c>
      <c r="AP968" s="55">
        <f t="shared" si="344"/>
        <v>0</v>
      </c>
      <c r="AQ968" s="55">
        <f>IFERROR(VLOOKUP(A968,[1]SIIMPLES!$A$2:$F$418,6,FALSE),0)</f>
        <v>0</v>
      </c>
      <c r="AR968" s="55">
        <v>0</v>
      </c>
      <c r="AS968" s="55">
        <v>0</v>
      </c>
      <c r="AT968" s="55">
        <v>0</v>
      </c>
      <c r="AU968" s="55">
        <v>0</v>
      </c>
      <c r="AV968" s="55">
        <v>0</v>
      </c>
      <c r="AW968" s="55"/>
      <c r="AX968" s="55"/>
      <c r="AY968" s="56">
        <f t="shared" si="348"/>
        <v>0.4</v>
      </c>
      <c r="AZ968" s="55"/>
      <c r="BA968" s="56">
        <v>0.83333333333333337</v>
      </c>
      <c r="BB968" s="41">
        <f t="shared" si="340"/>
        <v>-0.52</v>
      </c>
      <c r="BC968" s="10"/>
      <c r="BD968" s="35"/>
      <c r="BE968" s="13"/>
      <c r="BF968" s="16">
        <f t="shared" si="352"/>
        <v>0</v>
      </c>
      <c r="BG968" s="17">
        <f t="shared" si="346"/>
        <v>0</v>
      </c>
      <c r="BH968" s="16">
        <f t="shared" si="353"/>
        <v>0.4</v>
      </c>
    </row>
    <row r="969" spans="1:60" ht="12.75" customHeight="1" x14ac:dyDescent="0.2">
      <c r="A969" s="51">
        <v>332125</v>
      </c>
      <c r="B969" s="51"/>
      <c r="C969" s="66" t="s">
        <v>1803</v>
      </c>
      <c r="D969" s="52" t="s">
        <v>728</v>
      </c>
      <c r="E969" s="65" t="s">
        <v>780</v>
      </c>
      <c r="F969" s="53">
        <f>IFERROR(VLOOKUP(E969,Fornecedores!$A$2:$B$2700,2,FALSE),"")</f>
        <v>2</v>
      </c>
      <c r="G969" s="52" t="s">
        <v>1822</v>
      </c>
      <c r="H969" s="57"/>
      <c r="I969" s="55">
        <f t="shared" si="349"/>
        <v>0</v>
      </c>
      <c r="J969" s="57" t="s">
        <v>1282</v>
      </c>
      <c r="K969" s="55">
        <v>0</v>
      </c>
      <c r="L969" s="55">
        <v>0</v>
      </c>
      <c r="M969" s="55">
        <v>0</v>
      </c>
      <c r="N969" s="55">
        <f t="shared" si="350"/>
        <v>0</v>
      </c>
      <c r="O969" s="55">
        <v>0</v>
      </c>
      <c r="P969" s="55">
        <v>0</v>
      </c>
      <c r="Q969" s="55">
        <v>0</v>
      </c>
      <c r="R969" s="55">
        <f t="shared" si="351"/>
        <v>0</v>
      </c>
      <c r="S969" s="55">
        <v>0</v>
      </c>
      <c r="T969" s="55">
        <v>0</v>
      </c>
      <c r="U969" s="55">
        <v>0</v>
      </c>
      <c r="V969" s="55">
        <v>0</v>
      </c>
      <c r="W969" s="53">
        <v>0</v>
      </c>
      <c r="X969" s="53">
        <v>0</v>
      </c>
      <c r="Y969" s="55">
        <v>0</v>
      </c>
      <c r="Z969" s="55">
        <v>0</v>
      </c>
      <c r="AA969" s="53">
        <v>0</v>
      </c>
      <c r="AB969" s="53">
        <v>0</v>
      </c>
      <c r="AC969" s="55">
        <v>0</v>
      </c>
      <c r="AD969" s="55">
        <f t="shared" si="342"/>
        <v>0</v>
      </c>
      <c r="AE969" s="53">
        <v>0</v>
      </c>
      <c r="AF969" s="55">
        <v>0</v>
      </c>
      <c r="AG969" s="55">
        <v>0</v>
      </c>
      <c r="AH969" s="55">
        <f t="shared" si="337"/>
        <v>0</v>
      </c>
      <c r="AI969" s="55">
        <v>0</v>
      </c>
      <c r="AJ969" s="55">
        <v>0</v>
      </c>
      <c r="AK969" s="55">
        <v>0</v>
      </c>
      <c r="AL969" s="55">
        <f t="shared" si="338"/>
        <v>0</v>
      </c>
      <c r="AM969" s="55" t="s">
        <v>1912</v>
      </c>
      <c r="AN969" s="55">
        <v>0</v>
      </c>
      <c r="AO969" s="55">
        <v>0</v>
      </c>
      <c r="AP969" s="55">
        <f t="shared" si="344"/>
        <v>0</v>
      </c>
      <c r="AQ969" s="55">
        <f>IFERROR(VLOOKUP(A969,[1]SIIMPLES!$A$2:$F$418,6,FALSE),0)</f>
        <v>0</v>
      </c>
      <c r="AR969" s="55">
        <v>0</v>
      </c>
      <c r="AS969" s="55">
        <v>0</v>
      </c>
      <c r="AT969" s="55">
        <v>0</v>
      </c>
      <c r="AU969" s="55">
        <v>0</v>
      </c>
      <c r="AV969" s="55">
        <v>0</v>
      </c>
      <c r="AW969" s="57"/>
      <c r="AX969" s="57"/>
      <c r="AY969" s="56">
        <f t="shared" si="348"/>
        <v>0</v>
      </c>
      <c r="AZ969" s="55"/>
      <c r="BA969" s="56" t="s">
        <v>1912</v>
      </c>
      <c r="BB969" s="41" t="str">
        <f t="shared" si="340"/>
        <v/>
      </c>
      <c r="BC969" s="13"/>
      <c r="BD969" s="35"/>
      <c r="BE969" s="13"/>
      <c r="BF969" s="16">
        <f t="shared" si="352"/>
        <v>0</v>
      </c>
      <c r="BG969" s="17" t="str">
        <f t="shared" si="346"/>
        <v>0</v>
      </c>
      <c r="BH969" s="16">
        <f t="shared" si="353"/>
        <v>0</v>
      </c>
    </row>
    <row r="970" spans="1:60" ht="12.75" customHeight="1" x14ac:dyDescent="0.2">
      <c r="A970" s="51">
        <v>332126</v>
      </c>
      <c r="B970" s="51" t="s">
        <v>1077</v>
      </c>
      <c r="C970" s="66" t="s">
        <v>1803</v>
      </c>
      <c r="D970" s="52" t="s">
        <v>728</v>
      </c>
      <c r="E970" s="65" t="s">
        <v>780</v>
      </c>
      <c r="F970" s="53">
        <f>IFERROR(VLOOKUP(E970,Fornecedores!$A$2:$B$2700,2,FALSE),"")</f>
        <v>2</v>
      </c>
      <c r="G970" s="52" t="s">
        <v>332</v>
      </c>
      <c r="H970" s="57"/>
      <c r="I970" s="55">
        <f t="shared" si="349"/>
        <v>0</v>
      </c>
      <c r="J970" s="55">
        <v>0</v>
      </c>
      <c r="K970" s="55">
        <v>0</v>
      </c>
      <c r="L970" s="55">
        <v>0</v>
      </c>
      <c r="M970" s="55">
        <v>0</v>
      </c>
      <c r="N970" s="55">
        <f t="shared" si="350"/>
        <v>0</v>
      </c>
      <c r="O970" s="55">
        <v>0</v>
      </c>
      <c r="P970" s="55">
        <v>0</v>
      </c>
      <c r="Q970" s="55">
        <v>0</v>
      </c>
      <c r="R970" s="55">
        <f t="shared" si="351"/>
        <v>0</v>
      </c>
      <c r="S970" s="55">
        <v>0</v>
      </c>
      <c r="T970" s="55">
        <v>0</v>
      </c>
      <c r="U970" s="55">
        <v>0</v>
      </c>
      <c r="V970" s="55">
        <v>0</v>
      </c>
      <c r="W970" s="53">
        <v>0</v>
      </c>
      <c r="X970" s="53">
        <v>0</v>
      </c>
      <c r="Y970" s="55">
        <v>0</v>
      </c>
      <c r="Z970" s="55">
        <v>0</v>
      </c>
      <c r="AA970" s="53">
        <v>0</v>
      </c>
      <c r="AB970" s="53">
        <v>0</v>
      </c>
      <c r="AC970" s="55">
        <v>0</v>
      </c>
      <c r="AD970" s="55">
        <f t="shared" si="342"/>
        <v>0</v>
      </c>
      <c r="AE970" s="53">
        <v>0</v>
      </c>
      <c r="AF970" s="55">
        <v>0</v>
      </c>
      <c r="AG970" s="55">
        <v>0</v>
      </c>
      <c r="AH970" s="55">
        <f t="shared" si="337"/>
        <v>0</v>
      </c>
      <c r="AI970" s="55">
        <v>0</v>
      </c>
      <c r="AJ970" s="55">
        <v>0</v>
      </c>
      <c r="AK970" s="55">
        <v>0</v>
      </c>
      <c r="AL970" s="55">
        <f t="shared" si="338"/>
        <v>0</v>
      </c>
      <c r="AM970" s="55" t="s">
        <v>1912</v>
      </c>
      <c r="AN970" s="55">
        <v>0</v>
      </c>
      <c r="AO970" s="55">
        <v>0</v>
      </c>
      <c r="AP970" s="55">
        <f t="shared" si="344"/>
        <v>0</v>
      </c>
      <c r="AQ970" s="55">
        <f>IFERROR(VLOOKUP(A970,[1]SIIMPLES!$A$2:$F$418,6,FALSE),0)</f>
        <v>0</v>
      </c>
      <c r="AR970" s="55">
        <v>0</v>
      </c>
      <c r="AS970" s="55">
        <v>0</v>
      </c>
      <c r="AT970" s="55">
        <v>0</v>
      </c>
      <c r="AU970" s="55">
        <v>0</v>
      </c>
      <c r="AV970" s="55">
        <v>0</v>
      </c>
      <c r="AW970" s="55"/>
      <c r="AX970" s="55"/>
      <c r="AY970" s="56">
        <f t="shared" si="348"/>
        <v>0</v>
      </c>
      <c r="AZ970" s="55"/>
      <c r="BA970" s="56">
        <v>0</v>
      </c>
      <c r="BB970" s="41" t="str">
        <f t="shared" si="340"/>
        <v/>
      </c>
      <c r="BC970" s="13"/>
      <c r="BD970" s="35"/>
      <c r="BE970" s="13"/>
      <c r="BF970" s="16">
        <f t="shared" si="352"/>
        <v>0</v>
      </c>
      <c r="BG970" s="17" t="str">
        <f t="shared" si="346"/>
        <v>0</v>
      </c>
      <c r="BH970" s="16">
        <f t="shared" si="353"/>
        <v>0</v>
      </c>
    </row>
    <row r="971" spans="1:60" ht="12.75" customHeight="1" x14ac:dyDescent="0.2">
      <c r="A971" s="51">
        <v>332138</v>
      </c>
      <c r="B971" s="51" t="s">
        <v>1086</v>
      </c>
      <c r="C971" s="66" t="s">
        <v>1803</v>
      </c>
      <c r="D971" s="52" t="s">
        <v>728</v>
      </c>
      <c r="E971" s="65" t="s">
        <v>780</v>
      </c>
      <c r="F971" s="53">
        <f>IFERROR(VLOOKUP(E971,Fornecedores!$A$2:$B$2700,2,FALSE),"")</f>
        <v>2</v>
      </c>
      <c r="G971" s="52" t="s">
        <v>1833</v>
      </c>
      <c r="H971" s="57"/>
      <c r="I971" s="55">
        <f t="shared" si="349"/>
        <v>0</v>
      </c>
      <c r="J971" s="55">
        <v>0</v>
      </c>
      <c r="K971" s="55">
        <v>0</v>
      </c>
      <c r="L971" s="55">
        <v>0</v>
      </c>
      <c r="M971" s="55">
        <v>0</v>
      </c>
      <c r="N971" s="55">
        <f t="shared" si="350"/>
        <v>0</v>
      </c>
      <c r="O971" s="55">
        <v>0</v>
      </c>
      <c r="P971" s="55">
        <v>0</v>
      </c>
      <c r="Q971" s="55">
        <v>0</v>
      </c>
      <c r="R971" s="55">
        <f t="shared" si="351"/>
        <v>0</v>
      </c>
      <c r="S971" s="55">
        <v>0</v>
      </c>
      <c r="T971" s="55">
        <v>0</v>
      </c>
      <c r="U971" s="55">
        <v>0</v>
      </c>
      <c r="V971" s="55">
        <v>0</v>
      </c>
      <c r="W971" s="53">
        <v>0</v>
      </c>
      <c r="X971" s="53">
        <v>0</v>
      </c>
      <c r="Y971" s="55">
        <v>0</v>
      </c>
      <c r="Z971" s="55">
        <v>0</v>
      </c>
      <c r="AA971" s="53">
        <v>0</v>
      </c>
      <c r="AB971" s="53">
        <v>0</v>
      </c>
      <c r="AC971" s="55">
        <v>0</v>
      </c>
      <c r="AD971" s="55">
        <f t="shared" si="342"/>
        <v>0</v>
      </c>
      <c r="AE971" s="53">
        <v>0</v>
      </c>
      <c r="AF971" s="55">
        <v>0</v>
      </c>
      <c r="AG971" s="55">
        <v>0</v>
      </c>
      <c r="AH971" s="55">
        <f t="shared" si="337"/>
        <v>0</v>
      </c>
      <c r="AI971" s="55">
        <v>0</v>
      </c>
      <c r="AJ971" s="55">
        <v>0</v>
      </c>
      <c r="AK971" s="55">
        <v>0</v>
      </c>
      <c r="AL971" s="55">
        <f t="shared" si="338"/>
        <v>0</v>
      </c>
      <c r="AM971" s="55" t="s">
        <v>1912</v>
      </c>
      <c r="AN971" s="55">
        <v>0</v>
      </c>
      <c r="AO971" s="55">
        <v>0</v>
      </c>
      <c r="AP971" s="55">
        <f t="shared" si="344"/>
        <v>0</v>
      </c>
      <c r="AQ971" s="55">
        <f>IFERROR(VLOOKUP(A971,[1]SIIMPLES!$A$2:$F$418,6,FALSE),0)</f>
        <v>0</v>
      </c>
      <c r="AR971" s="55">
        <v>0</v>
      </c>
      <c r="AS971" s="55">
        <v>0</v>
      </c>
      <c r="AT971" s="55">
        <v>0</v>
      </c>
      <c r="AU971" s="55">
        <v>0</v>
      </c>
      <c r="AV971" s="55">
        <v>0</v>
      </c>
      <c r="AW971" s="55"/>
      <c r="AX971" s="55"/>
      <c r="AY971" s="56">
        <f t="shared" si="348"/>
        <v>0</v>
      </c>
      <c r="AZ971" s="55"/>
      <c r="BA971" s="56">
        <v>0.33333333333333331</v>
      </c>
      <c r="BB971" s="41">
        <f t="shared" si="340"/>
        <v>-1</v>
      </c>
      <c r="BC971" s="13"/>
      <c r="BD971" s="35"/>
      <c r="BE971" s="13"/>
      <c r="BF971" s="16">
        <f t="shared" si="352"/>
        <v>0</v>
      </c>
      <c r="BG971" s="17" t="str">
        <f t="shared" si="346"/>
        <v>0</v>
      </c>
      <c r="BH971" s="16">
        <f t="shared" si="353"/>
        <v>0</v>
      </c>
    </row>
    <row r="972" spans="1:60" ht="12.75" customHeight="1" x14ac:dyDescent="0.2">
      <c r="A972" s="51">
        <v>332139</v>
      </c>
      <c r="B972" s="51"/>
      <c r="C972" s="66" t="s">
        <v>1803</v>
      </c>
      <c r="D972" s="52" t="s">
        <v>728</v>
      </c>
      <c r="E972" s="65" t="s">
        <v>780</v>
      </c>
      <c r="F972" s="53">
        <f>IFERROR(VLOOKUP(E972,Fornecedores!$A$2:$B$2700,2,FALSE),"")</f>
        <v>2</v>
      </c>
      <c r="G972" s="52" t="s">
        <v>1317</v>
      </c>
      <c r="H972" s="57"/>
      <c r="I972" s="55">
        <f t="shared" si="349"/>
        <v>0</v>
      </c>
      <c r="J972" s="55">
        <v>0</v>
      </c>
      <c r="K972" s="55">
        <v>0</v>
      </c>
      <c r="L972" s="55">
        <v>0</v>
      </c>
      <c r="M972" s="55">
        <v>0</v>
      </c>
      <c r="N972" s="55">
        <f t="shared" si="350"/>
        <v>0</v>
      </c>
      <c r="O972" s="55">
        <v>0</v>
      </c>
      <c r="P972" s="55">
        <v>0</v>
      </c>
      <c r="Q972" s="55">
        <v>0</v>
      </c>
      <c r="R972" s="55">
        <f t="shared" si="351"/>
        <v>0</v>
      </c>
      <c r="S972" s="55">
        <v>0</v>
      </c>
      <c r="T972" s="55">
        <v>0</v>
      </c>
      <c r="U972" s="55">
        <v>0</v>
      </c>
      <c r="V972" s="55">
        <v>0</v>
      </c>
      <c r="W972" s="53">
        <v>0</v>
      </c>
      <c r="X972" s="53">
        <v>0</v>
      </c>
      <c r="Y972" s="55">
        <v>0</v>
      </c>
      <c r="Z972" s="55">
        <v>0</v>
      </c>
      <c r="AA972" s="53">
        <v>0</v>
      </c>
      <c r="AB972" s="53">
        <v>0</v>
      </c>
      <c r="AC972" s="55">
        <v>0</v>
      </c>
      <c r="AD972" s="55">
        <f t="shared" si="342"/>
        <v>0</v>
      </c>
      <c r="AE972" s="53">
        <v>0</v>
      </c>
      <c r="AF972" s="55">
        <v>0</v>
      </c>
      <c r="AG972" s="55">
        <v>0</v>
      </c>
      <c r="AH972" s="55">
        <f t="shared" si="337"/>
        <v>0</v>
      </c>
      <c r="AI972" s="55">
        <v>0</v>
      </c>
      <c r="AJ972" s="55">
        <v>0</v>
      </c>
      <c r="AK972" s="55">
        <v>0</v>
      </c>
      <c r="AL972" s="55">
        <f t="shared" si="338"/>
        <v>0</v>
      </c>
      <c r="AM972" s="55" t="s">
        <v>1912</v>
      </c>
      <c r="AN972" s="55">
        <v>0</v>
      </c>
      <c r="AO972" s="55">
        <v>0</v>
      </c>
      <c r="AP972" s="55">
        <f t="shared" si="344"/>
        <v>0</v>
      </c>
      <c r="AQ972" s="55">
        <f>IFERROR(VLOOKUP(A972,[1]SIIMPLES!$A$2:$F$418,6,FALSE),0)</f>
        <v>0</v>
      </c>
      <c r="AR972" s="55">
        <v>0</v>
      </c>
      <c r="AS972" s="55">
        <v>0</v>
      </c>
      <c r="AT972" s="55">
        <v>0</v>
      </c>
      <c r="AU972" s="55">
        <v>0</v>
      </c>
      <c r="AV972" s="55">
        <v>0</v>
      </c>
      <c r="AW972" s="55"/>
      <c r="AX972" s="55"/>
      <c r="AY972" s="56">
        <f t="shared" si="348"/>
        <v>0</v>
      </c>
      <c r="AZ972" s="55"/>
      <c r="BA972" s="56">
        <v>0.33333333333333331</v>
      </c>
      <c r="BB972" s="41">
        <f t="shared" si="340"/>
        <v>-1</v>
      </c>
      <c r="BC972" s="13"/>
      <c r="BD972" s="37"/>
      <c r="BE972" s="13"/>
      <c r="BF972" s="16">
        <f t="shared" si="352"/>
        <v>0</v>
      </c>
      <c r="BG972" s="17" t="str">
        <f t="shared" si="346"/>
        <v>0</v>
      </c>
      <c r="BH972" s="16">
        <f t="shared" si="353"/>
        <v>0</v>
      </c>
    </row>
    <row r="973" spans="1:60" ht="12.75" customHeight="1" x14ac:dyDescent="0.2">
      <c r="A973" s="51">
        <v>332140</v>
      </c>
      <c r="B973" s="51"/>
      <c r="C973" s="66" t="s">
        <v>1803</v>
      </c>
      <c r="D973" s="52" t="s">
        <v>728</v>
      </c>
      <c r="E973" s="65" t="s">
        <v>780</v>
      </c>
      <c r="F973" s="53">
        <f>IFERROR(VLOOKUP(E973,Fornecedores!$A$2:$B$2700,2,FALSE),"")</f>
        <v>2</v>
      </c>
      <c r="G973" s="52" t="s">
        <v>1318</v>
      </c>
      <c r="H973" s="57"/>
      <c r="I973" s="55">
        <f t="shared" si="349"/>
        <v>1</v>
      </c>
      <c r="J973" s="55">
        <v>0</v>
      </c>
      <c r="K973" s="55">
        <v>1</v>
      </c>
      <c r="L973" s="55">
        <v>0</v>
      </c>
      <c r="M973" s="55">
        <v>0</v>
      </c>
      <c r="N973" s="55">
        <f t="shared" si="350"/>
        <v>0</v>
      </c>
      <c r="O973" s="55">
        <v>0</v>
      </c>
      <c r="P973" s="55">
        <v>0</v>
      </c>
      <c r="Q973" s="55">
        <v>0</v>
      </c>
      <c r="R973" s="55">
        <f t="shared" si="351"/>
        <v>0</v>
      </c>
      <c r="S973" s="55">
        <v>0</v>
      </c>
      <c r="T973" s="55">
        <v>0</v>
      </c>
      <c r="U973" s="55">
        <v>0</v>
      </c>
      <c r="V973" s="55">
        <v>0</v>
      </c>
      <c r="W973" s="53">
        <v>0</v>
      </c>
      <c r="X973" s="53">
        <v>0</v>
      </c>
      <c r="Y973" s="55">
        <v>0</v>
      </c>
      <c r="Z973" s="55">
        <v>0</v>
      </c>
      <c r="AA973" s="53">
        <v>0</v>
      </c>
      <c r="AB973" s="53">
        <v>0</v>
      </c>
      <c r="AC973" s="55">
        <v>0</v>
      </c>
      <c r="AD973" s="55">
        <f t="shared" si="342"/>
        <v>0</v>
      </c>
      <c r="AE973" s="53">
        <v>0</v>
      </c>
      <c r="AF973" s="55">
        <v>0</v>
      </c>
      <c r="AG973" s="55">
        <v>0</v>
      </c>
      <c r="AH973" s="55">
        <f t="shared" si="337"/>
        <v>0</v>
      </c>
      <c r="AI973" s="55">
        <v>0</v>
      </c>
      <c r="AJ973" s="55">
        <v>0</v>
      </c>
      <c r="AK973" s="55">
        <v>0</v>
      </c>
      <c r="AL973" s="55">
        <f t="shared" si="338"/>
        <v>0</v>
      </c>
      <c r="AM973" s="55" t="s">
        <v>1912</v>
      </c>
      <c r="AN973" s="55">
        <v>0</v>
      </c>
      <c r="AO973" s="55">
        <v>0</v>
      </c>
      <c r="AP973" s="55">
        <f t="shared" si="344"/>
        <v>0</v>
      </c>
      <c r="AQ973" s="55">
        <f>IFERROR(VLOOKUP(A973,[1]SIIMPLES!$A$2:$F$418,6,FALSE),0)</f>
        <v>0</v>
      </c>
      <c r="AR973" s="55">
        <v>0</v>
      </c>
      <c r="AS973" s="55">
        <v>0</v>
      </c>
      <c r="AT973" s="55">
        <v>0</v>
      </c>
      <c r="AU973" s="55">
        <v>0</v>
      </c>
      <c r="AV973" s="55">
        <v>0</v>
      </c>
      <c r="AW973" s="55"/>
      <c r="AX973" s="55"/>
      <c r="AY973" s="56">
        <f t="shared" si="348"/>
        <v>0.1</v>
      </c>
      <c r="AZ973" s="55"/>
      <c r="BA973" s="56">
        <v>1</v>
      </c>
      <c r="BB973" s="41">
        <f t="shared" si="340"/>
        <v>-0.9</v>
      </c>
      <c r="BC973" s="13"/>
      <c r="BD973" s="35"/>
      <c r="BE973" s="13"/>
      <c r="BF973" s="16">
        <f t="shared" si="352"/>
        <v>0</v>
      </c>
      <c r="BG973" s="17">
        <f t="shared" si="346"/>
        <v>0</v>
      </c>
      <c r="BH973" s="16">
        <f t="shared" si="353"/>
        <v>0.1</v>
      </c>
    </row>
    <row r="974" spans="1:60" ht="12.75" customHeight="1" x14ac:dyDescent="0.2">
      <c r="A974" s="51">
        <v>332141</v>
      </c>
      <c r="B974" s="51"/>
      <c r="C974" s="66" t="s">
        <v>1803</v>
      </c>
      <c r="D974" s="52" t="s">
        <v>728</v>
      </c>
      <c r="E974" s="65" t="s">
        <v>780</v>
      </c>
      <c r="F974" s="53">
        <f>IFERROR(VLOOKUP(E974,Fornecedores!$A$2:$B$2700,2,FALSE),"")</f>
        <v>2</v>
      </c>
      <c r="G974" s="52" t="s">
        <v>1319</v>
      </c>
      <c r="H974" s="57"/>
      <c r="I974" s="55">
        <f t="shared" si="349"/>
        <v>1</v>
      </c>
      <c r="J974" s="55">
        <v>0</v>
      </c>
      <c r="K974" s="55">
        <v>1</v>
      </c>
      <c r="L974" s="55">
        <v>0</v>
      </c>
      <c r="M974" s="55">
        <v>0</v>
      </c>
      <c r="N974" s="55">
        <f t="shared" si="350"/>
        <v>0</v>
      </c>
      <c r="O974" s="55">
        <v>0</v>
      </c>
      <c r="P974" s="55">
        <v>0</v>
      </c>
      <c r="Q974" s="55">
        <v>0</v>
      </c>
      <c r="R974" s="55">
        <f t="shared" si="351"/>
        <v>0</v>
      </c>
      <c r="S974" s="55">
        <v>0</v>
      </c>
      <c r="T974" s="55">
        <v>0</v>
      </c>
      <c r="U974" s="55">
        <v>0</v>
      </c>
      <c r="V974" s="55">
        <v>0</v>
      </c>
      <c r="W974" s="53">
        <v>0</v>
      </c>
      <c r="X974" s="53">
        <v>0</v>
      </c>
      <c r="Y974" s="55">
        <v>0</v>
      </c>
      <c r="Z974" s="55">
        <v>0</v>
      </c>
      <c r="AA974" s="53">
        <v>0</v>
      </c>
      <c r="AB974" s="53">
        <v>0</v>
      </c>
      <c r="AC974" s="55">
        <v>0</v>
      </c>
      <c r="AD974" s="55">
        <f t="shared" si="342"/>
        <v>0</v>
      </c>
      <c r="AE974" s="53">
        <v>0</v>
      </c>
      <c r="AF974" s="55">
        <v>0</v>
      </c>
      <c r="AG974" s="55">
        <v>0</v>
      </c>
      <c r="AH974" s="55">
        <f t="shared" si="337"/>
        <v>0</v>
      </c>
      <c r="AI974" s="55">
        <v>0</v>
      </c>
      <c r="AJ974" s="55">
        <v>0</v>
      </c>
      <c r="AK974" s="55">
        <v>0</v>
      </c>
      <c r="AL974" s="55">
        <f t="shared" si="338"/>
        <v>0</v>
      </c>
      <c r="AM974" s="55" t="s">
        <v>1912</v>
      </c>
      <c r="AN974" s="55">
        <v>0</v>
      </c>
      <c r="AO974" s="55">
        <v>0</v>
      </c>
      <c r="AP974" s="55">
        <f t="shared" si="344"/>
        <v>0</v>
      </c>
      <c r="AQ974" s="55">
        <f>IFERROR(VLOOKUP(A974,[1]SIIMPLES!$A$2:$F$418,6,FALSE),0)</f>
        <v>0</v>
      </c>
      <c r="AR974" s="55">
        <v>0</v>
      </c>
      <c r="AS974" s="55">
        <v>0</v>
      </c>
      <c r="AT974" s="55">
        <v>0</v>
      </c>
      <c r="AU974" s="55">
        <v>0</v>
      </c>
      <c r="AV974" s="55">
        <v>0</v>
      </c>
      <c r="AW974" s="55"/>
      <c r="AX974" s="55"/>
      <c r="AY974" s="56">
        <f t="shared" si="348"/>
        <v>0.1</v>
      </c>
      <c r="AZ974" s="55"/>
      <c r="BA974" s="56">
        <v>1</v>
      </c>
      <c r="BB974" s="41">
        <f t="shared" si="340"/>
        <v>-0.9</v>
      </c>
      <c r="BC974" s="13"/>
      <c r="BD974" s="35"/>
      <c r="BE974" s="13"/>
      <c r="BF974" s="16">
        <f t="shared" si="352"/>
        <v>0</v>
      </c>
      <c r="BG974" s="17">
        <f t="shared" si="346"/>
        <v>0</v>
      </c>
      <c r="BH974" s="16">
        <f t="shared" si="353"/>
        <v>0.1</v>
      </c>
    </row>
    <row r="975" spans="1:60" ht="12.75" customHeight="1" x14ac:dyDescent="0.2">
      <c r="A975" s="51">
        <v>332142</v>
      </c>
      <c r="B975" s="51" t="s">
        <v>1086</v>
      </c>
      <c r="C975" s="66" t="s">
        <v>1803</v>
      </c>
      <c r="D975" s="52" t="s">
        <v>728</v>
      </c>
      <c r="E975" s="65" t="s">
        <v>780</v>
      </c>
      <c r="F975" s="53">
        <f>IFERROR(VLOOKUP(E975,Fornecedores!$A$2:$B$2700,2,FALSE),"")</f>
        <v>2</v>
      </c>
      <c r="G975" s="52">
        <f>VLOOKUP(A975,[2]CMV!$A$1:$F$2043,6,FALSE)</f>
        <v>0</v>
      </c>
      <c r="H975" s="57"/>
      <c r="I975" s="55">
        <f t="shared" si="349"/>
        <v>0</v>
      </c>
      <c r="J975" s="55">
        <v>0</v>
      </c>
      <c r="K975" s="55">
        <v>0</v>
      </c>
      <c r="L975" s="55">
        <v>0</v>
      </c>
      <c r="M975" s="55">
        <v>0</v>
      </c>
      <c r="N975" s="55">
        <f t="shared" si="350"/>
        <v>0</v>
      </c>
      <c r="O975" s="55">
        <v>0</v>
      </c>
      <c r="P975" s="55">
        <v>0</v>
      </c>
      <c r="Q975" s="55">
        <v>0</v>
      </c>
      <c r="R975" s="55">
        <f t="shared" si="351"/>
        <v>0</v>
      </c>
      <c r="S975" s="55">
        <v>0</v>
      </c>
      <c r="T975" s="55">
        <v>0</v>
      </c>
      <c r="U975" s="55">
        <v>0</v>
      </c>
      <c r="V975" s="55">
        <v>0</v>
      </c>
      <c r="W975" s="53">
        <v>0</v>
      </c>
      <c r="X975" s="53">
        <v>0</v>
      </c>
      <c r="Y975" s="55">
        <v>0</v>
      </c>
      <c r="Z975" s="55">
        <v>0</v>
      </c>
      <c r="AA975" s="53">
        <v>0</v>
      </c>
      <c r="AB975" s="53">
        <v>0</v>
      </c>
      <c r="AC975" s="55">
        <v>0</v>
      </c>
      <c r="AD975" s="55">
        <f t="shared" si="342"/>
        <v>0</v>
      </c>
      <c r="AE975" s="53">
        <v>0</v>
      </c>
      <c r="AF975" s="55">
        <v>0</v>
      </c>
      <c r="AG975" s="55">
        <v>0</v>
      </c>
      <c r="AH975" s="55">
        <f t="shared" si="337"/>
        <v>0</v>
      </c>
      <c r="AI975" s="55">
        <v>0</v>
      </c>
      <c r="AJ975" s="55">
        <v>0</v>
      </c>
      <c r="AK975" s="55">
        <v>0</v>
      </c>
      <c r="AL975" s="55">
        <f t="shared" si="338"/>
        <v>0</v>
      </c>
      <c r="AM975" s="55" t="s">
        <v>1912</v>
      </c>
      <c r="AN975" s="55">
        <v>0</v>
      </c>
      <c r="AO975" s="55">
        <v>0</v>
      </c>
      <c r="AP975" s="55">
        <f t="shared" si="344"/>
        <v>0</v>
      </c>
      <c r="AQ975" s="55">
        <f>IFERROR(VLOOKUP(A975,[1]SIIMPLES!$A$2:$F$418,6,FALSE),0)</f>
        <v>0</v>
      </c>
      <c r="AR975" s="55">
        <v>0</v>
      </c>
      <c r="AS975" s="55">
        <v>0</v>
      </c>
      <c r="AT975" s="55">
        <v>0</v>
      </c>
      <c r="AU975" s="55">
        <v>0</v>
      </c>
      <c r="AV975" s="55">
        <v>0</v>
      </c>
      <c r="AW975" s="55"/>
      <c r="AX975" s="55"/>
      <c r="AY975" s="56">
        <f t="shared" si="348"/>
        <v>0</v>
      </c>
      <c r="AZ975" s="55"/>
      <c r="BA975" s="56">
        <v>0</v>
      </c>
      <c r="BB975" s="41" t="str">
        <f t="shared" si="340"/>
        <v/>
      </c>
      <c r="BC975" s="13"/>
      <c r="BD975" s="35"/>
      <c r="BE975" s="13"/>
      <c r="BF975" s="16">
        <f t="shared" si="352"/>
        <v>0</v>
      </c>
      <c r="BG975" s="17" t="str">
        <f t="shared" si="346"/>
        <v>0</v>
      </c>
      <c r="BH975" s="16">
        <f t="shared" si="353"/>
        <v>0</v>
      </c>
    </row>
    <row r="976" spans="1:60" ht="12.75" customHeight="1" x14ac:dyDescent="0.2">
      <c r="A976" s="51">
        <v>332143</v>
      </c>
      <c r="B976" s="51" t="s">
        <v>1086</v>
      </c>
      <c r="C976" s="66" t="s">
        <v>1803</v>
      </c>
      <c r="D976" s="52" t="s">
        <v>728</v>
      </c>
      <c r="E976" s="65" t="s">
        <v>780</v>
      </c>
      <c r="F976" s="53">
        <f>IFERROR(VLOOKUP(E976,Fornecedores!$A$2:$B$2700,2,FALSE),"")</f>
        <v>2</v>
      </c>
      <c r="G976" s="52">
        <f>VLOOKUP(A976,[2]CMV!$A$1:$F$2043,6,FALSE)</f>
        <v>0</v>
      </c>
      <c r="H976" s="57"/>
      <c r="I976" s="55">
        <f t="shared" si="349"/>
        <v>0</v>
      </c>
      <c r="J976" s="55">
        <v>0</v>
      </c>
      <c r="K976" s="55">
        <v>0</v>
      </c>
      <c r="L976" s="55">
        <v>0</v>
      </c>
      <c r="M976" s="55">
        <v>0</v>
      </c>
      <c r="N976" s="55">
        <f t="shared" si="350"/>
        <v>0</v>
      </c>
      <c r="O976" s="55">
        <v>0</v>
      </c>
      <c r="P976" s="55">
        <v>0</v>
      </c>
      <c r="Q976" s="55">
        <v>0</v>
      </c>
      <c r="R976" s="55">
        <f t="shared" si="351"/>
        <v>0</v>
      </c>
      <c r="S976" s="55">
        <v>0</v>
      </c>
      <c r="T976" s="55">
        <v>0</v>
      </c>
      <c r="U976" s="55">
        <v>0</v>
      </c>
      <c r="V976" s="55">
        <v>0</v>
      </c>
      <c r="W976" s="53">
        <v>0</v>
      </c>
      <c r="X976" s="53">
        <v>0</v>
      </c>
      <c r="Y976" s="55">
        <v>0</v>
      </c>
      <c r="Z976" s="55">
        <v>0</v>
      </c>
      <c r="AA976" s="53">
        <v>0</v>
      </c>
      <c r="AB976" s="53">
        <v>0</v>
      </c>
      <c r="AC976" s="55">
        <v>0</v>
      </c>
      <c r="AD976" s="55">
        <f t="shared" si="342"/>
        <v>0</v>
      </c>
      <c r="AE976" s="53">
        <v>0</v>
      </c>
      <c r="AF976" s="55">
        <v>0</v>
      </c>
      <c r="AG976" s="55">
        <v>0</v>
      </c>
      <c r="AH976" s="55">
        <f t="shared" si="337"/>
        <v>0</v>
      </c>
      <c r="AI976" s="55">
        <v>0</v>
      </c>
      <c r="AJ976" s="55">
        <v>0</v>
      </c>
      <c r="AK976" s="55">
        <v>0</v>
      </c>
      <c r="AL976" s="55">
        <f t="shared" si="338"/>
        <v>0</v>
      </c>
      <c r="AM976" s="55" t="s">
        <v>1912</v>
      </c>
      <c r="AN976" s="55">
        <v>0</v>
      </c>
      <c r="AO976" s="55">
        <v>0</v>
      </c>
      <c r="AP976" s="55">
        <f t="shared" si="344"/>
        <v>0</v>
      </c>
      <c r="AQ976" s="55">
        <f>IFERROR(VLOOKUP(A976,[1]SIIMPLES!$A$2:$F$418,6,FALSE),0)</f>
        <v>0</v>
      </c>
      <c r="AR976" s="55">
        <v>0</v>
      </c>
      <c r="AS976" s="55">
        <v>0</v>
      </c>
      <c r="AT976" s="55">
        <v>0</v>
      </c>
      <c r="AU976" s="55">
        <v>0</v>
      </c>
      <c r="AV976" s="55">
        <v>0</v>
      </c>
      <c r="AW976" s="55"/>
      <c r="AX976" s="55"/>
      <c r="AY976" s="56">
        <f t="shared" si="348"/>
        <v>0</v>
      </c>
      <c r="AZ976" s="55"/>
      <c r="BA976" s="56">
        <v>0</v>
      </c>
      <c r="BB976" s="41" t="str">
        <f t="shared" si="340"/>
        <v/>
      </c>
      <c r="BC976" s="13"/>
      <c r="BD976" s="35"/>
      <c r="BE976" s="13"/>
      <c r="BF976" s="16">
        <f t="shared" si="352"/>
        <v>0</v>
      </c>
      <c r="BG976" s="17" t="str">
        <f t="shared" si="346"/>
        <v>0</v>
      </c>
      <c r="BH976" s="16">
        <f t="shared" si="353"/>
        <v>0</v>
      </c>
    </row>
    <row r="977" spans="1:60" ht="12.75" customHeight="1" x14ac:dyDescent="0.2">
      <c r="A977" s="51">
        <v>332144</v>
      </c>
      <c r="B977" s="51" t="s">
        <v>1077</v>
      </c>
      <c r="C977" s="66" t="s">
        <v>1803</v>
      </c>
      <c r="D977" s="52" t="s">
        <v>728</v>
      </c>
      <c r="E977" s="65" t="s">
        <v>780</v>
      </c>
      <c r="F977" s="53">
        <f>IFERROR(VLOOKUP(E977,Fornecedores!$A$2:$B$2700,2,FALSE),"")</f>
        <v>2</v>
      </c>
      <c r="G977" s="52" t="s">
        <v>89</v>
      </c>
      <c r="H977" s="57"/>
      <c r="I977" s="55">
        <f t="shared" si="349"/>
        <v>0</v>
      </c>
      <c r="J977" s="55">
        <v>0</v>
      </c>
      <c r="K977" s="55">
        <v>0</v>
      </c>
      <c r="L977" s="55">
        <v>0</v>
      </c>
      <c r="M977" s="55">
        <v>0</v>
      </c>
      <c r="N977" s="55">
        <f t="shared" si="350"/>
        <v>0</v>
      </c>
      <c r="O977" s="55">
        <v>0</v>
      </c>
      <c r="P977" s="55">
        <v>0</v>
      </c>
      <c r="Q977" s="55">
        <v>0</v>
      </c>
      <c r="R977" s="55">
        <f t="shared" si="351"/>
        <v>0</v>
      </c>
      <c r="S977" s="55">
        <v>0</v>
      </c>
      <c r="T977" s="55">
        <v>0</v>
      </c>
      <c r="U977" s="55">
        <v>0</v>
      </c>
      <c r="V977" s="55">
        <v>0</v>
      </c>
      <c r="W977" s="53">
        <v>0</v>
      </c>
      <c r="X977" s="53">
        <v>0</v>
      </c>
      <c r="Y977" s="55">
        <v>0</v>
      </c>
      <c r="Z977" s="55">
        <v>0</v>
      </c>
      <c r="AA977" s="53">
        <v>0</v>
      </c>
      <c r="AB977" s="53">
        <v>0</v>
      </c>
      <c r="AC977" s="55">
        <v>0</v>
      </c>
      <c r="AD977" s="55">
        <f t="shared" si="342"/>
        <v>0</v>
      </c>
      <c r="AE977" s="53">
        <v>0</v>
      </c>
      <c r="AF977" s="55">
        <v>0</v>
      </c>
      <c r="AG977" s="55">
        <v>0</v>
      </c>
      <c r="AH977" s="55">
        <f t="shared" si="337"/>
        <v>0</v>
      </c>
      <c r="AI977" s="55">
        <v>0</v>
      </c>
      <c r="AJ977" s="55">
        <v>0</v>
      </c>
      <c r="AK977" s="55">
        <v>0</v>
      </c>
      <c r="AL977" s="55">
        <f t="shared" si="338"/>
        <v>0</v>
      </c>
      <c r="AM977" s="55" t="s">
        <v>1912</v>
      </c>
      <c r="AN977" s="55">
        <v>0</v>
      </c>
      <c r="AO977" s="55">
        <v>0</v>
      </c>
      <c r="AP977" s="55">
        <f t="shared" si="344"/>
        <v>0</v>
      </c>
      <c r="AQ977" s="55">
        <f>IFERROR(VLOOKUP(A977,[1]SIIMPLES!$A$2:$F$418,6,FALSE),0)</f>
        <v>0</v>
      </c>
      <c r="AR977" s="55">
        <v>0</v>
      </c>
      <c r="AS977" s="55">
        <v>0</v>
      </c>
      <c r="AT977" s="55">
        <v>0</v>
      </c>
      <c r="AU977" s="55">
        <v>0</v>
      </c>
      <c r="AV977" s="55">
        <v>0</v>
      </c>
      <c r="AW977" s="55"/>
      <c r="AX977" s="55"/>
      <c r="AY977" s="56">
        <f t="shared" si="348"/>
        <v>0</v>
      </c>
      <c r="AZ977" s="55"/>
      <c r="BA977" s="56">
        <v>0.66666666666666663</v>
      </c>
      <c r="BB977" s="41">
        <f t="shared" si="340"/>
        <v>-1</v>
      </c>
      <c r="BC977" s="13"/>
      <c r="BD977" s="35"/>
      <c r="BE977" s="13"/>
      <c r="BF977" s="16">
        <f t="shared" si="352"/>
        <v>0</v>
      </c>
      <c r="BG977" s="17" t="str">
        <f t="shared" si="346"/>
        <v>0</v>
      </c>
      <c r="BH977" s="16">
        <f t="shared" si="353"/>
        <v>0</v>
      </c>
    </row>
    <row r="978" spans="1:60" ht="12.75" customHeight="1" x14ac:dyDescent="0.2">
      <c r="A978" s="51">
        <v>332146</v>
      </c>
      <c r="B978" s="51" t="s">
        <v>1077</v>
      </c>
      <c r="C978" s="66" t="s">
        <v>1803</v>
      </c>
      <c r="D978" s="52" t="s">
        <v>728</v>
      </c>
      <c r="E978" s="65" t="s">
        <v>780</v>
      </c>
      <c r="F978" s="53">
        <f>IFERROR(VLOOKUP(E978,Fornecedores!$A$2:$B$2700,2,FALSE),"")</f>
        <v>2</v>
      </c>
      <c r="G978" s="52" t="s">
        <v>451</v>
      </c>
      <c r="H978" s="57"/>
      <c r="I978" s="55">
        <f t="shared" si="349"/>
        <v>0</v>
      </c>
      <c r="J978" s="55">
        <v>0</v>
      </c>
      <c r="K978" s="55">
        <v>0</v>
      </c>
      <c r="L978" s="55">
        <v>0</v>
      </c>
      <c r="M978" s="55">
        <v>0</v>
      </c>
      <c r="N978" s="55">
        <f t="shared" si="350"/>
        <v>0</v>
      </c>
      <c r="O978" s="55">
        <v>0</v>
      </c>
      <c r="P978" s="55">
        <v>0</v>
      </c>
      <c r="Q978" s="55">
        <v>0</v>
      </c>
      <c r="R978" s="55">
        <f t="shared" si="351"/>
        <v>0</v>
      </c>
      <c r="S978" s="55">
        <v>0</v>
      </c>
      <c r="T978" s="55">
        <v>0</v>
      </c>
      <c r="U978" s="55">
        <v>0</v>
      </c>
      <c r="V978" s="55">
        <v>1</v>
      </c>
      <c r="W978" s="53">
        <v>0</v>
      </c>
      <c r="X978" s="53">
        <v>1</v>
      </c>
      <c r="Y978" s="55">
        <v>0</v>
      </c>
      <c r="Z978" s="55">
        <v>0</v>
      </c>
      <c r="AA978" s="53">
        <v>0</v>
      </c>
      <c r="AB978" s="53">
        <v>0</v>
      </c>
      <c r="AC978" s="55">
        <v>0</v>
      </c>
      <c r="AD978" s="55">
        <f t="shared" si="342"/>
        <v>0</v>
      </c>
      <c r="AE978" s="53">
        <v>0</v>
      </c>
      <c r="AF978" s="55">
        <v>0</v>
      </c>
      <c r="AG978" s="55">
        <v>0</v>
      </c>
      <c r="AH978" s="55">
        <f t="shared" si="337"/>
        <v>0</v>
      </c>
      <c r="AI978" s="55">
        <v>0</v>
      </c>
      <c r="AJ978" s="55">
        <v>0</v>
      </c>
      <c r="AK978" s="55">
        <v>0</v>
      </c>
      <c r="AL978" s="55">
        <f t="shared" si="338"/>
        <v>0</v>
      </c>
      <c r="AM978" s="55" t="s">
        <v>1912</v>
      </c>
      <c r="AN978" s="55">
        <v>0</v>
      </c>
      <c r="AO978" s="55">
        <v>0</v>
      </c>
      <c r="AP978" s="55">
        <f t="shared" si="344"/>
        <v>0</v>
      </c>
      <c r="AQ978" s="55">
        <f>IFERROR(VLOOKUP(A978,[1]SIIMPLES!$A$2:$F$418,6,FALSE),0)</f>
        <v>0</v>
      </c>
      <c r="AR978" s="55">
        <v>0</v>
      </c>
      <c r="AS978" s="55">
        <v>0</v>
      </c>
      <c r="AT978" s="55">
        <v>0</v>
      </c>
      <c r="AU978" s="55">
        <v>0</v>
      </c>
      <c r="AV978" s="55">
        <v>0</v>
      </c>
      <c r="AW978" s="55"/>
      <c r="AX978" s="55"/>
      <c r="AY978" s="56">
        <f t="shared" si="348"/>
        <v>0.1</v>
      </c>
      <c r="AZ978" s="55"/>
      <c r="BA978" s="56">
        <v>0.66666666666666663</v>
      </c>
      <c r="BB978" s="41">
        <f t="shared" si="340"/>
        <v>-0.85</v>
      </c>
      <c r="BC978" s="10"/>
      <c r="BD978" s="35"/>
      <c r="BE978" s="7"/>
      <c r="BF978" s="16"/>
      <c r="BG978" s="17">
        <f t="shared" si="346"/>
        <v>0</v>
      </c>
      <c r="BH978" s="16">
        <f t="shared" si="353"/>
        <v>0.1</v>
      </c>
    </row>
    <row r="979" spans="1:60" ht="12.75" customHeight="1" x14ac:dyDescent="0.2">
      <c r="A979" s="51">
        <v>332147</v>
      </c>
      <c r="B979" s="51" t="s">
        <v>1077</v>
      </c>
      <c r="C979" s="66" t="s">
        <v>1803</v>
      </c>
      <c r="D979" s="52" t="s">
        <v>728</v>
      </c>
      <c r="E979" s="65" t="s">
        <v>780</v>
      </c>
      <c r="F979" s="53">
        <f>IFERROR(VLOOKUP(E979,Fornecedores!$A$2:$B$2700,2,FALSE),"")</f>
        <v>2</v>
      </c>
      <c r="G979" s="52" t="s">
        <v>301</v>
      </c>
      <c r="H979" s="57"/>
      <c r="I979" s="55">
        <f t="shared" si="349"/>
        <v>0</v>
      </c>
      <c r="J979" s="55">
        <v>0</v>
      </c>
      <c r="K979" s="55">
        <v>0</v>
      </c>
      <c r="L979" s="55">
        <v>0</v>
      </c>
      <c r="M979" s="55">
        <v>0</v>
      </c>
      <c r="N979" s="55">
        <f t="shared" si="350"/>
        <v>0</v>
      </c>
      <c r="O979" s="55">
        <v>0</v>
      </c>
      <c r="P979" s="55">
        <v>0</v>
      </c>
      <c r="Q979" s="55">
        <v>0</v>
      </c>
      <c r="R979" s="55">
        <f t="shared" si="351"/>
        <v>0</v>
      </c>
      <c r="S979" s="55">
        <v>0</v>
      </c>
      <c r="T979" s="55">
        <v>0</v>
      </c>
      <c r="U979" s="55">
        <v>0</v>
      </c>
      <c r="V979" s="55">
        <v>0</v>
      </c>
      <c r="W979" s="53">
        <v>0</v>
      </c>
      <c r="X979" s="53">
        <v>0</v>
      </c>
      <c r="Y979" s="55">
        <v>0</v>
      </c>
      <c r="Z979" s="55">
        <v>0</v>
      </c>
      <c r="AA979" s="53">
        <v>0</v>
      </c>
      <c r="AB979" s="53">
        <v>0</v>
      </c>
      <c r="AC979" s="55">
        <v>0</v>
      </c>
      <c r="AD979" s="55">
        <f t="shared" si="342"/>
        <v>0</v>
      </c>
      <c r="AE979" s="53">
        <v>0</v>
      </c>
      <c r="AF979" s="55">
        <v>0</v>
      </c>
      <c r="AG979" s="55">
        <v>0</v>
      </c>
      <c r="AH979" s="55">
        <f t="shared" ref="AH979:AH1042" si="354">SUM(AI979:AK979)</f>
        <v>0</v>
      </c>
      <c r="AI979" s="55">
        <v>0</v>
      </c>
      <c r="AJ979" s="55">
        <v>0</v>
      </c>
      <c r="AK979" s="55">
        <v>0</v>
      </c>
      <c r="AL979" s="55">
        <f t="shared" ref="AL979:AL1042" si="355">SUM(AM979:AO979)</f>
        <v>1</v>
      </c>
      <c r="AM979" s="55">
        <v>1</v>
      </c>
      <c r="AN979" s="55">
        <v>0</v>
      </c>
      <c r="AO979" s="55">
        <v>0</v>
      </c>
      <c r="AP979" s="55">
        <f t="shared" si="344"/>
        <v>0</v>
      </c>
      <c r="AQ979" s="55">
        <f>IFERROR(VLOOKUP(A979,[1]SIIMPLES!$A$2:$F$418,6,FALSE),0)</f>
        <v>0</v>
      </c>
      <c r="AR979" s="55">
        <v>0</v>
      </c>
      <c r="AS979" s="55">
        <v>0</v>
      </c>
      <c r="AT979" s="55">
        <v>0</v>
      </c>
      <c r="AU979" s="55">
        <v>0</v>
      </c>
      <c r="AV979" s="55">
        <v>0</v>
      </c>
      <c r="AW979" s="55"/>
      <c r="AX979" s="55"/>
      <c r="AY979" s="56">
        <f t="shared" si="348"/>
        <v>0.1</v>
      </c>
      <c r="AZ979" s="55"/>
      <c r="BA979" s="56">
        <v>1.5</v>
      </c>
      <c r="BB979" s="41">
        <f t="shared" si="340"/>
        <v>-0.93333333333333335</v>
      </c>
      <c r="BC979" s="13"/>
      <c r="BD979" s="35"/>
      <c r="BE979" s="13"/>
      <c r="BF979" s="16">
        <f t="shared" ref="BF979:BF1015" si="356">SUM(BC979:BE979)</f>
        <v>0</v>
      </c>
      <c r="BG979" s="17">
        <f t="shared" ref="BG979:BG1006" si="357">IFERROR(BC979/AY979,"0")</f>
        <v>0</v>
      </c>
      <c r="BH979" s="16">
        <f t="shared" si="353"/>
        <v>0.1</v>
      </c>
    </row>
    <row r="980" spans="1:60" ht="12.75" customHeight="1" x14ac:dyDescent="0.2">
      <c r="A980" s="51">
        <v>332148</v>
      </c>
      <c r="B980" s="51" t="s">
        <v>1077</v>
      </c>
      <c r="C980" s="66" t="s">
        <v>1803</v>
      </c>
      <c r="D980" s="52" t="s">
        <v>728</v>
      </c>
      <c r="E980" s="65" t="s">
        <v>780</v>
      </c>
      <c r="F980" s="53">
        <f>IFERROR(VLOOKUP(E980,Fornecedores!$A$2:$B$2700,2,FALSE),"")</f>
        <v>2</v>
      </c>
      <c r="G980" s="52" t="s">
        <v>637</v>
      </c>
      <c r="H980" s="57"/>
      <c r="I980" s="55">
        <f t="shared" si="349"/>
        <v>0</v>
      </c>
      <c r="J980" s="55">
        <v>0</v>
      </c>
      <c r="K980" s="55">
        <v>0</v>
      </c>
      <c r="L980" s="55">
        <v>0</v>
      </c>
      <c r="M980" s="55">
        <v>0</v>
      </c>
      <c r="N980" s="55">
        <f t="shared" si="350"/>
        <v>0</v>
      </c>
      <c r="O980" s="55">
        <v>0</v>
      </c>
      <c r="P980" s="55">
        <v>0</v>
      </c>
      <c r="Q980" s="55">
        <v>0</v>
      </c>
      <c r="R980" s="55">
        <f t="shared" si="351"/>
        <v>0</v>
      </c>
      <c r="S980" s="55">
        <v>0</v>
      </c>
      <c r="T980" s="55">
        <v>0</v>
      </c>
      <c r="U980" s="55">
        <v>0</v>
      </c>
      <c r="V980" s="55">
        <v>0</v>
      </c>
      <c r="W980" s="53">
        <v>0</v>
      </c>
      <c r="X980" s="53">
        <v>0</v>
      </c>
      <c r="Y980" s="55">
        <v>0</v>
      </c>
      <c r="Z980" s="55">
        <v>0</v>
      </c>
      <c r="AA980" s="53">
        <v>0</v>
      </c>
      <c r="AB980" s="53">
        <v>0</v>
      </c>
      <c r="AC980" s="55">
        <v>0</v>
      </c>
      <c r="AD980" s="55">
        <f t="shared" si="342"/>
        <v>0</v>
      </c>
      <c r="AE980" s="53">
        <v>0</v>
      </c>
      <c r="AF980" s="55">
        <v>0</v>
      </c>
      <c r="AG980" s="55">
        <v>0</v>
      </c>
      <c r="AH980" s="55">
        <f t="shared" si="354"/>
        <v>0</v>
      </c>
      <c r="AI980" s="55">
        <v>0</v>
      </c>
      <c r="AJ980" s="55">
        <v>0</v>
      </c>
      <c r="AK980" s="55">
        <v>0</v>
      </c>
      <c r="AL980" s="55">
        <f t="shared" si="355"/>
        <v>0</v>
      </c>
      <c r="AM980" s="55" t="s">
        <v>1912</v>
      </c>
      <c r="AN980" s="55">
        <v>0</v>
      </c>
      <c r="AO980" s="55">
        <v>0</v>
      </c>
      <c r="AP980" s="55">
        <f t="shared" si="344"/>
        <v>0</v>
      </c>
      <c r="AQ980" s="55">
        <f>IFERROR(VLOOKUP(A980,[1]SIIMPLES!$A$2:$F$418,6,FALSE),0)</f>
        <v>0</v>
      </c>
      <c r="AR980" s="55">
        <v>0</v>
      </c>
      <c r="AS980" s="55">
        <v>0</v>
      </c>
      <c r="AT980" s="55">
        <v>0</v>
      </c>
      <c r="AU980" s="55">
        <v>0</v>
      </c>
      <c r="AV980" s="55">
        <v>0</v>
      </c>
      <c r="AW980" s="55"/>
      <c r="AX980" s="55"/>
      <c r="AY980" s="56">
        <f t="shared" si="348"/>
        <v>0</v>
      </c>
      <c r="AZ980" s="55"/>
      <c r="BA980" s="56">
        <v>1.5</v>
      </c>
      <c r="BB980" s="41">
        <f t="shared" si="340"/>
        <v>-1</v>
      </c>
      <c r="BC980" s="13"/>
      <c r="BD980" s="35"/>
      <c r="BE980" s="13"/>
      <c r="BF980" s="16">
        <f t="shared" si="356"/>
        <v>0</v>
      </c>
      <c r="BG980" s="17" t="str">
        <f t="shared" si="357"/>
        <v>0</v>
      </c>
      <c r="BH980" s="16">
        <f t="shared" si="353"/>
        <v>0</v>
      </c>
    </row>
    <row r="981" spans="1:60" ht="12.75" customHeight="1" x14ac:dyDescent="0.2">
      <c r="A981" s="51">
        <v>332149</v>
      </c>
      <c r="B981" s="51" t="s">
        <v>1077</v>
      </c>
      <c r="C981" s="66" t="s">
        <v>1803</v>
      </c>
      <c r="D981" s="52" t="s">
        <v>728</v>
      </c>
      <c r="E981" s="65" t="s">
        <v>780</v>
      </c>
      <c r="F981" s="53">
        <f>IFERROR(VLOOKUP(E981,Fornecedores!$A$2:$B$2700,2,FALSE),"")</f>
        <v>2</v>
      </c>
      <c r="G981" s="52" t="s">
        <v>1817</v>
      </c>
      <c r="H981" s="57"/>
      <c r="I981" s="55">
        <f t="shared" si="349"/>
        <v>0</v>
      </c>
      <c r="J981" s="55">
        <v>0</v>
      </c>
      <c r="K981" s="55">
        <v>0</v>
      </c>
      <c r="L981" s="55">
        <v>0</v>
      </c>
      <c r="M981" s="55">
        <v>0</v>
      </c>
      <c r="N981" s="55">
        <f t="shared" si="350"/>
        <v>1</v>
      </c>
      <c r="O981" s="55">
        <v>0</v>
      </c>
      <c r="P981" s="55">
        <v>1</v>
      </c>
      <c r="Q981" s="55">
        <v>0</v>
      </c>
      <c r="R981" s="55">
        <f t="shared" si="351"/>
        <v>0</v>
      </c>
      <c r="S981" s="55">
        <v>0</v>
      </c>
      <c r="T981" s="55">
        <v>0</v>
      </c>
      <c r="U981" s="55">
        <v>0</v>
      </c>
      <c r="V981" s="55">
        <v>0</v>
      </c>
      <c r="W981" s="53">
        <v>0</v>
      </c>
      <c r="X981" s="53">
        <v>0</v>
      </c>
      <c r="Y981" s="55">
        <v>0</v>
      </c>
      <c r="Z981" s="55">
        <v>0</v>
      </c>
      <c r="AA981" s="53">
        <v>0</v>
      </c>
      <c r="AB981" s="53">
        <v>0</v>
      </c>
      <c r="AC981" s="55">
        <v>0</v>
      </c>
      <c r="AD981" s="55">
        <f t="shared" si="342"/>
        <v>0</v>
      </c>
      <c r="AE981" s="53">
        <v>0</v>
      </c>
      <c r="AF981" s="55">
        <v>0</v>
      </c>
      <c r="AG981" s="55">
        <v>0</v>
      </c>
      <c r="AH981" s="55">
        <f t="shared" si="354"/>
        <v>0</v>
      </c>
      <c r="AI981" s="55">
        <v>0</v>
      </c>
      <c r="AJ981" s="55">
        <v>0</v>
      </c>
      <c r="AK981" s="55">
        <v>0</v>
      </c>
      <c r="AL981" s="55">
        <f t="shared" si="355"/>
        <v>0</v>
      </c>
      <c r="AM981" s="55" t="s">
        <v>1912</v>
      </c>
      <c r="AN981" s="55">
        <v>0</v>
      </c>
      <c r="AO981" s="55">
        <v>0</v>
      </c>
      <c r="AP981" s="55">
        <f t="shared" si="344"/>
        <v>0</v>
      </c>
      <c r="AQ981" s="55">
        <f>IFERROR(VLOOKUP(A981,[1]SIIMPLES!$A$2:$F$418,6,FALSE),0)</f>
        <v>0</v>
      </c>
      <c r="AR981" s="55">
        <v>0</v>
      </c>
      <c r="AS981" s="55">
        <v>0</v>
      </c>
      <c r="AT981" s="55">
        <v>0</v>
      </c>
      <c r="AU981" s="55">
        <v>0</v>
      </c>
      <c r="AV981" s="55">
        <v>0</v>
      </c>
      <c r="AW981" s="55"/>
      <c r="AX981" s="55"/>
      <c r="AY981" s="56">
        <f t="shared" si="348"/>
        <v>0.1</v>
      </c>
      <c r="AZ981" s="55"/>
      <c r="BA981" s="56">
        <v>0.33333333333333331</v>
      </c>
      <c r="BB981" s="41">
        <f t="shared" si="340"/>
        <v>-0.7</v>
      </c>
      <c r="BC981" s="13"/>
      <c r="BD981" s="35"/>
      <c r="BE981" s="13"/>
      <c r="BF981" s="16">
        <f t="shared" si="356"/>
        <v>0</v>
      </c>
      <c r="BG981" s="17">
        <f t="shared" si="357"/>
        <v>0</v>
      </c>
      <c r="BH981" s="16">
        <f t="shared" si="353"/>
        <v>0.1</v>
      </c>
    </row>
    <row r="982" spans="1:60" ht="12.75" customHeight="1" x14ac:dyDescent="0.2">
      <c r="A982" s="51">
        <v>332150</v>
      </c>
      <c r="B982" s="51" t="s">
        <v>1077</v>
      </c>
      <c r="C982" s="66" t="s">
        <v>1803</v>
      </c>
      <c r="D982" s="52" t="s">
        <v>728</v>
      </c>
      <c r="E982" s="65" t="s">
        <v>780</v>
      </c>
      <c r="F982" s="53">
        <f>IFERROR(VLOOKUP(E982,Fornecedores!$A$2:$B$2700,2,FALSE),"")</f>
        <v>2</v>
      </c>
      <c r="G982" s="52" t="s">
        <v>1818</v>
      </c>
      <c r="H982" s="57"/>
      <c r="I982" s="55">
        <f t="shared" si="349"/>
        <v>0</v>
      </c>
      <c r="J982" s="55">
        <v>0</v>
      </c>
      <c r="K982" s="55">
        <v>0</v>
      </c>
      <c r="L982" s="55">
        <v>0</v>
      </c>
      <c r="M982" s="55">
        <v>0</v>
      </c>
      <c r="N982" s="55">
        <f t="shared" si="350"/>
        <v>1</v>
      </c>
      <c r="O982" s="55">
        <v>0</v>
      </c>
      <c r="P982" s="55">
        <v>1</v>
      </c>
      <c r="Q982" s="55">
        <v>0</v>
      </c>
      <c r="R982" s="55">
        <f t="shared" si="351"/>
        <v>0</v>
      </c>
      <c r="S982" s="55">
        <v>0</v>
      </c>
      <c r="T982" s="55">
        <v>0</v>
      </c>
      <c r="U982" s="55">
        <v>0</v>
      </c>
      <c r="V982" s="55">
        <v>0</v>
      </c>
      <c r="W982" s="53">
        <v>0</v>
      </c>
      <c r="X982" s="53">
        <v>0</v>
      </c>
      <c r="Y982" s="55">
        <v>0</v>
      </c>
      <c r="Z982" s="55">
        <v>0</v>
      </c>
      <c r="AA982" s="53">
        <v>0</v>
      </c>
      <c r="AB982" s="53">
        <v>0</v>
      </c>
      <c r="AC982" s="55">
        <v>0</v>
      </c>
      <c r="AD982" s="55">
        <f t="shared" si="342"/>
        <v>0</v>
      </c>
      <c r="AE982" s="53">
        <v>0</v>
      </c>
      <c r="AF982" s="55">
        <v>0</v>
      </c>
      <c r="AG982" s="55">
        <v>0</v>
      </c>
      <c r="AH982" s="55">
        <f t="shared" si="354"/>
        <v>0</v>
      </c>
      <c r="AI982" s="55">
        <v>0</v>
      </c>
      <c r="AJ982" s="55">
        <v>0</v>
      </c>
      <c r="AK982" s="55">
        <v>0</v>
      </c>
      <c r="AL982" s="55">
        <f t="shared" si="355"/>
        <v>0</v>
      </c>
      <c r="AM982" s="55" t="s">
        <v>1912</v>
      </c>
      <c r="AN982" s="55">
        <v>0</v>
      </c>
      <c r="AO982" s="55">
        <v>0</v>
      </c>
      <c r="AP982" s="55">
        <f t="shared" si="344"/>
        <v>0</v>
      </c>
      <c r="AQ982" s="55">
        <f>IFERROR(VLOOKUP(A982,[1]SIIMPLES!$A$2:$F$418,6,FALSE),0)</f>
        <v>0</v>
      </c>
      <c r="AR982" s="55">
        <v>0</v>
      </c>
      <c r="AS982" s="55">
        <v>0</v>
      </c>
      <c r="AT982" s="55">
        <v>0</v>
      </c>
      <c r="AU982" s="55">
        <v>0</v>
      </c>
      <c r="AV982" s="55">
        <v>0</v>
      </c>
      <c r="AW982" s="55"/>
      <c r="AX982" s="55"/>
      <c r="AY982" s="56">
        <f t="shared" si="348"/>
        <v>0.1</v>
      </c>
      <c r="AZ982" s="55"/>
      <c r="BA982" s="56">
        <v>0.33333333333333331</v>
      </c>
      <c r="BB982" s="41">
        <f t="shared" si="340"/>
        <v>-0.7</v>
      </c>
      <c r="BC982" s="13"/>
      <c r="BD982" s="35"/>
      <c r="BE982" s="13"/>
      <c r="BF982" s="16">
        <f t="shared" si="356"/>
        <v>0</v>
      </c>
      <c r="BG982" s="17">
        <f t="shared" si="357"/>
        <v>0</v>
      </c>
      <c r="BH982" s="16">
        <f t="shared" si="353"/>
        <v>0.1</v>
      </c>
    </row>
    <row r="983" spans="1:60" ht="12.75" customHeight="1" x14ac:dyDescent="0.2">
      <c r="A983" s="51">
        <v>332151</v>
      </c>
      <c r="B983" s="51" t="s">
        <v>1077</v>
      </c>
      <c r="C983" s="66" t="s">
        <v>1803</v>
      </c>
      <c r="D983" s="52" t="s">
        <v>728</v>
      </c>
      <c r="E983" s="65" t="s">
        <v>780</v>
      </c>
      <c r="F983" s="53">
        <f>IFERROR(VLOOKUP(E983,Fornecedores!$A$2:$B$2700,2,FALSE),"")</f>
        <v>2</v>
      </c>
      <c r="G983" s="52" t="s">
        <v>1320</v>
      </c>
      <c r="H983" s="57"/>
      <c r="I983" s="55">
        <f t="shared" si="349"/>
        <v>0</v>
      </c>
      <c r="J983" s="55">
        <v>0</v>
      </c>
      <c r="K983" s="55">
        <v>0</v>
      </c>
      <c r="L983" s="55">
        <v>0</v>
      </c>
      <c r="M983" s="55">
        <v>0</v>
      </c>
      <c r="N983" s="55">
        <f t="shared" si="350"/>
        <v>0</v>
      </c>
      <c r="O983" s="55">
        <v>0</v>
      </c>
      <c r="P983" s="55">
        <v>0</v>
      </c>
      <c r="Q983" s="55">
        <v>0</v>
      </c>
      <c r="R983" s="55">
        <f t="shared" si="351"/>
        <v>0</v>
      </c>
      <c r="S983" s="55">
        <v>0</v>
      </c>
      <c r="T983" s="55">
        <v>0</v>
      </c>
      <c r="U983" s="55">
        <v>0</v>
      </c>
      <c r="V983" s="55">
        <v>0</v>
      </c>
      <c r="W983" s="53">
        <v>0</v>
      </c>
      <c r="X983" s="53">
        <v>0</v>
      </c>
      <c r="Y983" s="55">
        <v>0</v>
      </c>
      <c r="Z983" s="55">
        <v>1</v>
      </c>
      <c r="AA983" s="53">
        <v>0</v>
      </c>
      <c r="AB983" s="53">
        <v>1</v>
      </c>
      <c r="AC983" s="55">
        <v>0</v>
      </c>
      <c r="AD983" s="55">
        <f t="shared" si="342"/>
        <v>0</v>
      </c>
      <c r="AE983" s="53">
        <v>0</v>
      </c>
      <c r="AF983" s="55">
        <v>0</v>
      </c>
      <c r="AG983" s="55">
        <v>0</v>
      </c>
      <c r="AH983" s="55">
        <f t="shared" si="354"/>
        <v>0</v>
      </c>
      <c r="AI983" s="55">
        <v>0</v>
      </c>
      <c r="AJ983" s="55">
        <v>0</v>
      </c>
      <c r="AK983" s="55">
        <v>0</v>
      </c>
      <c r="AL983" s="55">
        <f t="shared" si="355"/>
        <v>0</v>
      </c>
      <c r="AM983" s="55" t="s">
        <v>1912</v>
      </c>
      <c r="AN983" s="55">
        <v>0</v>
      </c>
      <c r="AO983" s="55">
        <v>0</v>
      </c>
      <c r="AP983" s="55">
        <f t="shared" si="344"/>
        <v>0</v>
      </c>
      <c r="AQ983" s="55">
        <f>IFERROR(VLOOKUP(A983,[1]SIIMPLES!$A$2:$F$418,6,FALSE),0)</f>
        <v>0</v>
      </c>
      <c r="AR983" s="55">
        <v>0</v>
      </c>
      <c r="AS983" s="55">
        <v>0</v>
      </c>
      <c r="AT983" s="55">
        <v>0</v>
      </c>
      <c r="AU983" s="55">
        <v>0</v>
      </c>
      <c r="AV983" s="55">
        <v>0</v>
      </c>
      <c r="AW983" s="55"/>
      <c r="AX983" s="55"/>
      <c r="AY983" s="56">
        <f t="shared" si="348"/>
        <v>0.1</v>
      </c>
      <c r="AZ983" s="55"/>
      <c r="BA983" s="56">
        <v>0.16666666666666666</v>
      </c>
      <c r="BB983" s="41">
        <f t="shared" ref="BB983:BB1042" si="358">IFERROR(AY983/BA983-1,"")</f>
        <v>-0.39999999999999991</v>
      </c>
      <c r="BC983" s="13"/>
      <c r="BD983" s="35"/>
      <c r="BE983" s="13"/>
      <c r="BF983" s="16">
        <f t="shared" si="356"/>
        <v>0</v>
      </c>
      <c r="BG983" s="17">
        <f t="shared" si="357"/>
        <v>0</v>
      </c>
      <c r="BH983" s="16">
        <f t="shared" si="353"/>
        <v>0.1</v>
      </c>
    </row>
    <row r="984" spans="1:60" ht="12.75" customHeight="1" x14ac:dyDescent="0.2">
      <c r="A984" s="51">
        <v>332152</v>
      </c>
      <c r="B984" s="51" t="s">
        <v>1077</v>
      </c>
      <c r="C984" s="66" t="s">
        <v>1803</v>
      </c>
      <c r="D984" s="52" t="s">
        <v>728</v>
      </c>
      <c r="E984" s="65" t="s">
        <v>780</v>
      </c>
      <c r="F984" s="53">
        <f>IFERROR(VLOOKUP(E984,Fornecedores!$A$2:$B$2700,2,FALSE),"")</f>
        <v>2</v>
      </c>
      <c r="G984" s="52" t="s">
        <v>1321</v>
      </c>
      <c r="H984" s="57"/>
      <c r="I984" s="55">
        <f t="shared" si="349"/>
        <v>0</v>
      </c>
      <c r="J984" s="55">
        <v>0</v>
      </c>
      <c r="K984" s="55">
        <v>0</v>
      </c>
      <c r="L984" s="55">
        <v>0</v>
      </c>
      <c r="M984" s="55">
        <v>0</v>
      </c>
      <c r="N984" s="55">
        <f t="shared" si="350"/>
        <v>0</v>
      </c>
      <c r="O984" s="55">
        <v>0</v>
      </c>
      <c r="P984" s="55">
        <v>0</v>
      </c>
      <c r="Q984" s="55">
        <v>0</v>
      </c>
      <c r="R984" s="55">
        <f t="shared" si="351"/>
        <v>0</v>
      </c>
      <c r="S984" s="55">
        <v>0</v>
      </c>
      <c r="T984" s="55">
        <v>0</v>
      </c>
      <c r="U984" s="55">
        <v>0</v>
      </c>
      <c r="V984" s="55">
        <v>0</v>
      </c>
      <c r="W984" s="53">
        <v>0</v>
      </c>
      <c r="X984" s="53">
        <v>0</v>
      </c>
      <c r="Y984" s="55">
        <v>0</v>
      </c>
      <c r="Z984" s="55">
        <v>1</v>
      </c>
      <c r="AA984" s="53">
        <v>0</v>
      </c>
      <c r="AB984" s="53">
        <v>1</v>
      </c>
      <c r="AC984" s="55">
        <v>0</v>
      </c>
      <c r="AD984" s="55">
        <f t="shared" si="342"/>
        <v>0</v>
      </c>
      <c r="AE984" s="53">
        <v>0</v>
      </c>
      <c r="AF984" s="55">
        <v>0</v>
      </c>
      <c r="AG984" s="55">
        <v>0</v>
      </c>
      <c r="AH984" s="55">
        <f t="shared" si="354"/>
        <v>0</v>
      </c>
      <c r="AI984" s="55">
        <v>0</v>
      </c>
      <c r="AJ984" s="55">
        <v>0</v>
      </c>
      <c r="AK984" s="55">
        <v>0</v>
      </c>
      <c r="AL984" s="55">
        <f t="shared" si="355"/>
        <v>0</v>
      </c>
      <c r="AM984" s="55" t="s">
        <v>1912</v>
      </c>
      <c r="AN984" s="55">
        <v>0</v>
      </c>
      <c r="AO984" s="55">
        <v>0</v>
      </c>
      <c r="AP984" s="55">
        <f t="shared" si="344"/>
        <v>0</v>
      </c>
      <c r="AQ984" s="55">
        <f>IFERROR(VLOOKUP(A984,[1]SIIMPLES!$A$2:$F$418,6,FALSE),0)</f>
        <v>0</v>
      </c>
      <c r="AR984" s="55">
        <v>0</v>
      </c>
      <c r="AS984" s="55">
        <v>0</v>
      </c>
      <c r="AT984" s="55">
        <v>0</v>
      </c>
      <c r="AU984" s="55">
        <v>0</v>
      </c>
      <c r="AV984" s="55">
        <v>0</v>
      </c>
      <c r="AW984" s="55"/>
      <c r="AX984" s="55"/>
      <c r="AY984" s="56">
        <f t="shared" si="348"/>
        <v>0.1</v>
      </c>
      <c r="AZ984" s="55"/>
      <c r="BA984" s="56">
        <v>0.16666666666666666</v>
      </c>
      <c r="BB984" s="41">
        <f t="shared" si="358"/>
        <v>-0.39999999999999991</v>
      </c>
      <c r="BC984" s="13"/>
      <c r="BD984" s="35"/>
      <c r="BE984" s="13"/>
      <c r="BF984" s="16">
        <f t="shared" si="356"/>
        <v>0</v>
      </c>
      <c r="BG984" s="17">
        <f t="shared" si="357"/>
        <v>0</v>
      </c>
      <c r="BH984" s="16">
        <f t="shared" si="353"/>
        <v>0.1</v>
      </c>
    </row>
    <row r="985" spans="1:60" ht="12.75" customHeight="1" x14ac:dyDescent="0.2">
      <c r="A985" s="51">
        <v>332155</v>
      </c>
      <c r="B985" s="51"/>
      <c r="C985" s="66" t="s">
        <v>1803</v>
      </c>
      <c r="D985" s="52" t="s">
        <v>728</v>
      </c>
      <c r="E985" s="65" t="s">
        <v>780</v>
      </c>
      <c r="F985" s="53">
        <f>IFERROR(VLOOKUP(E985,Fornecedores!$A$2:$B$2700,2,FALSE),"")</f>
        <v>2</v>
      </c>
      <c r="G985" s="52" t="s">
        <v>1324</v>
      </c>
      <c r="H985" s="57"/>
      <c r="I985" s="55">
        <f t="shared" si="349"/>
        <v>0</v>
      </c>
      <c r="J985" s="55">
        <v>0</v>
      </c>
      <c r="K985" s="55">
        <v>0</v>
      </c>
      <c r="L985" s="55">
        <v>0</v>
      </c>
      <c r="M985" s="55">
        <v>0</v>
      </c>
      <c r="N985" s="55">
        <f t="shared" si="350"/>
        <v>0</v>
      </c>
      <c r="O985" s="55">
        <v>0</v>
      </c>
      <c r="P985" s="55">
        <v>0</v>
      </c>
      <c r="Q985" s="55">
        <v>0</v>
      </c>
      <c r="R985" s="55">
        <f t="shared" si="351"/>
        <v>0</v>
      </c>
      <c r="S985" s="55">
        <v>0</v>
      </c>
      <c r="T985" s="55">
        <v>0</v>
      </c>
      <c r="U985" s="55">
        <v>0</v>
      </c>
      <c r="V985" s="55">
        <v>0</v>
      </c>
      <c r="W985" s="53">
        <v>0</v>
      </c>
      <c r="X985" s="53">
        <v>0</v>
      </c>
      <c r="Y985" s="55">
        <v>0</v>
      </c>
      <c r="Z985" s="55">
        <v>0</v>
      </c>
      <c r="AA985" s="53">
        <v>0</v>
      </c>
      <c r="AB985" s="53">
        <v>0</v>
      </c>
      <c r="AC985" s="55">
        <v>0</v>
      </c>
      <c r="AD985" s="55">
        <f t="shared" si="342"/>
        <v>0</v>
      </c>
      <c r="AE985" s="53">
        <v>0</v>
      </c>
      <c r="AF985" s="55">
        <v>0</v>
      </c>
      <c r="AG985" s="55">
        <v>0</v>
      </c>
      <c r="AH985" s="55">
        <f t="shared" si="354"/>
        <v>0</v>
      </c>
      <c r="AI985" s="55">
        <v>0</v>
      </c>
      <c r="AJ985" s="55">
        <v>0</v>
      </c>
      <c r="AK985" s="55">
        <v>0</v>
      </c>
      <c r="AL985" s="55">
        <f t="shared" si="355"/>
        <v>0</v>
      </c>
      <c r="AM985" s="55" t="s">
        <v>1912</v>
      </c>
      <c r="AN985" s="55">
        <v>0</v>
      </c>
      <c r="AO985" s="55">
        <v>0</v>
      </c>
      <c r="AP985" s="55">
        <f t="shared" si="344"/>
        <v>0</v>
      </c>
      <c r="AQ985" s="55">
        <f>IFERROR(VLOOKUP(A985,[1]SIIMPLES!$A$2:$F$418,6,FALSE),0)</f>
        <v>0</v>
      </c>
      <c r="AR985" s="55">
        <v>0</v>
      </c>
      <c r="AS985" s="55">
        <v>0</v>
      </c>
      <c r="AT985" s="55">
        <v>0</v>
      </c>
      <c r="AU985" s="55">
        <v>0</v>
      </c>
      <c r="AV985" s="55">
        <v>0</v>
      </c>
      <c r="AW985" s="55"/>
      <c r="AX985" s="55"/>
      <c r="AY985" s="56">
        <f t="shared" si="348"/>
        <v>0</v>
      </c>
      <c r="AZ985" s="55"/>
      <c r="BA985" s="56">
        <v>0.66666666666666663</v>
      </c>
      <c r="BB985" s="41">
        <f t="shared" si="358"/>
        <v>-1</v>
      </c>
      <c r="BC985" s="13"/>
      <c r="BD985" s="35"/>
      <c r="BE985" s="13"/>
      <c r="BF985" s="16">
        <f t="shared" si="356"/>
        <v>0</v>
      </c>
      <c r="BG985" s="17" t="str">
        <f t="shared" si="357"/>
        <v>0</v>
      </c>
      <c r="BH985" s="16">
        <f t="shared" si="353"/>
        <v>0</v>
      </c>
    </row>
    <row r="986" spans="1:60" ht="12.75" customHeight="1" x14ac:dyDescent="0.2">
      <c r="A986" s="51">
        <v>332156</v>
      </c>
      <c r="B986" s="51"/>
      <c r="C986" s="66" t="s">
        <v>1803</v>
      </c>
      <c r="D986" s="52" t="s">
        <v>728</v>
      </c>
      <c r="E986" s="65" t="s">
        <v>780</v>
      </c>
      <c r="F986" s="53">
        <f>IFERROR(VLOOKUP(E986,Fornecedores!$A$2:$B$2700,2,FALSE),"")</f>
        <v>2</v>
      </c>
      <c r="G986" s="52" t="s">
        <v>1325</v>
      </c>
      <c r="H986" s="57"/>
      <c r="I986" s="55">
        <f t="shared" si="349"/>
        <v>0</v>
      </c>
      <c r="J986" s="55">
        <v>0</v>
      </c>
      <c r="K986" s="55">
        <v>0</v>
      </c>
      <c r="L986" s="55">
        <v>0</v>
      </c>
      <c r="M986" s="55">
        <v>0</v>
      </c>
      <c r="N986" s="55">
        <f t="shared" si="350"/>
        <v>0</v>
      </c>
      <c r="O986" s="55">
        <v>0</v>
      </c>
      <c r="P986" s="55">
        <v>0</v>
      </c>
      <c r="Q986" s="55">
        <v>0</v>
      </c>
      <c r="R986" s="55">
        <f t="shared" si="351"/>
        <v>0</v>
      </c>
      <c r="S986" s="55">
        <v>0</v>
      </c>
      <c r="T986" s="55">
        <v>0</v>
      </c>
      <c r="U986" s="55">
        <v>0</v>
      </c>
      <c r="V986" s="55">
        <v>0</v>
      </c>
      <c r="W986" s="53">
        <v>0</v>
      </c>
      <c r="X986" s="53">
        <v>0</v>
      </c>
      <c r="Y986" s="55">
        <v>0</v>
      </c>
      <c r="Z986" s="55">
        <v>0</v>
      </c>
      <c r="AA986" s="53">
        <v>0</v>
      </c>
      <c r="AB986" s="53">
        <v>0</v>
      </c>
      <c r="AC986" s="55">
        <v>0</v>
      </c>
      <c r="AD986" s="55">
        <f t="shared" si="342"/>
        <v>0</v>
      </c>
      <c r="AE986" s="53">
        <v>0</v>
      </c>
      <c r="AF986" s="55">
        <v>0</v>
      </c>
      <c r="AG986" s="55">
        <v>0</v>
      </c>
      <c r="AH986" s="55">
        <f t="shared" si="354"/>
        <v>0</v>
      </c>
      <c r="AI986" s="55">
        <v>0</v>
      </c>
      <c r="AJ986" s="55">
        <v>0</v>
      </c>
      <c r="AK986" s="55">
        <v>0</v>
      </c>
      <c r="AL986" s="55">
        <f t="shared" si="355"/>
        <v>0</v>
      </c>
      <c r="AM986" s="55" t="s">
        <v>1912</v>
      </c>
      <c r="AN986" s="55">
        <v>0</v>
      </c>
      <c r="AO986" s="55">
        <v>0</v>
      </c>
      <c r="AP986" s="55">
        <f t="shared" si="344"/>
        <v>0</v>
      </c>
      <c r="AQ986" s="55">
        <f>IFERROR(VLOOKUP(A986,[1]SIIMPLES!$A$2:$F$418,6,FALSE),0)</f>
        <v>0</v>
      </c>
      <c r="AR986" s="55">
        <v>0</v>
      </c>
      <c r="AS986" s="55">
        <v>0</v>
      </c>
      <c r="AT986" s="55">
        <v>0</v>
      </c>
      <c r="AU986" s="55">
        <v>0</v>
      </c>
      <c r="AV986" s="55">
        <v>0</v>
      </c>
      <c r="AW986" s="55"/>
      <c r="AX986" s="55"/>
      <c r="AY986" s="56">
        <f t="shared" si="348"/>
        <v>0</v>
      </c>
      <c r="AZ986" s="55"/>
      <c r="BA986" s="56">
        <v>0</v>
      </c>
      <c r="BB986" s="41" t="str">
        <f t="shared" si="358"/>
        <v/>
      </c>
      <c r="BC986" s="13"/>
      <c r="BD986" s="35"/>
      <c r="BE986" s="13"/>
      <c r="BF986" s="16">
        <f t="shared" si="356"/>
        <v>0</v>
      </c>
      <c r="BG986" s="17" t="str">
        <f t="shared" si="357"/>
        <v>0</v>
      </c>
      <c r="BH986" s="16">
        <f t="shared" si="353"/>
        <v>0</v>
      </c>
    </row>
    <row r="987" spans="1:60" ht="12.75" customHeight="1" x14ac:dyDescent="0.2">
      <c r="A987" s="51">
        <v>332157</v>
      </c>
      <c r="B987" s="51"/>
      <c r="C987" s="66" t="s">
        <v>1803</v>
      </c>
      <c r="D987" s="52" t="s">
        <v>728</v>
      </c>
      <c r="E987" s="65" t="s">
        <v>780</v>
      </c>
      <c r="F987" s="53">
        <f>IFERROR(VLOOKUP(E987,Fornecedores!$A$2:$B$2700,2,FALSE),"")</f>
        <v>2</v>
      </c>
      <c r="G987" s="52" t="s">
        <v>1326</v>
      </c>
      <c r="H987" s="57"/>
      <c r="I987" s="55">
        <f t="shared" si="349"/>
        <v>0</v>
      </c>
      <c r="J987" s="55">
        <v>0</v>
      </c>
      <c r="K987" s="55">
        <v>0</v>
      </c>
      <c r="L987" s="55">
        <v>0</v>
      </c>
      <c r="M987" s="55">
        <v>0</v>
      </c>
      <c r="N987" s="55">
        <f t="shared" si="350"/>
        <v>0</v>
      </c>
      <c r="O987" s="55">
        <v>0</v>
      </c>
      <c r="P987" s="55">
        <v>0</v>
      </c>
      <c r="Q987" s="55">
        <v>0</v>
      </c>
      <c r="R987" s="55">
        <f t="shared" si="351"/>
        <v>0</v>
      </c>
      <c r="S987" s="55">
        <v>0</v>
      </c>
      <c r="T987" s="55">
        <v>0</v>
      </c>
      <c r="U987" s="55">
        <v>0</v>
      </c>
      <c r="V987" s="55">
        <v>0</v>
      </c>
      <c r="W987" s="53">
        <v>0</v>
      </c>
      <c r="X987" s="53">
        <v>0</v>
      </c>
      <c r="Y987" s="55">
        <v>0</v>
      </c>
      <c r="Z987" s="55">
        <v>0</v>
      </c>
      <c r="AA987" s="53">
        <v>0</v>
      </c>
      <c r="AB987" s="53">
        <v>0</v>
      </c>
      <c r="AC987" s="55">
        <v>0</v>
      </c>
      <c r="AD987" s="55">
        <f t="shared" si="342"/>
        <v>0</v>
      </c>
      <c r="AE987" s="53">
        <v>0</v>
      </c>
      <c r="AF987" s="55">
        <v>0</v>
      </c>
      <c r="AG987" s="55">
        <v>0</v>
      </c>
      <c r="AH987" s="55">
        <f t="shared" si="354"/>
        <v>0</v>
      </c>
      <c r="AI987" s="55">
        <v>0</v>
      </c>
      <c r="AJ987" s="55">
        <v>0</v>
      </c>
      <c r="AK987" s="55">
        <v>0</v>
      </c>
      <c r="AL987" s="55">
        <f t="shared" si="355"/>
        <v>0</v>
      </c>
      <c r="AM987" s="55" t="s">
        <v>1912</v>
      </c>
      <c r="AN987" s="55">
        <v>0</v>
      </c>
      <c r="AO987" s="55">
        <v>0</v>
      </c>
      <c r="AP987" s="55">
        <f t="shared" si="344"/>
        <v>0</v>
      </c>
      <c r="AQ987" s="55">
        <f>IFERROR(VLOOKUP(A987,[1]SIIMPLES!$A$2:$F$418,6,FALSE),0)</f>
        <v>0</v>
      </c>
      <c r="AR987" s="55">
        <v>0</v>
      </c>
      <c r="AS987" s="55">
        <v>0</v>
      </c>
      <c r="AT987" s="55">
        <v>0</v>
      </c>
      <c r="AU987" s="55">
        <v>0</v>
      </c>
      <c r="AV987" s="55">
        <v>0</v>
      </c>
      <c r="AW987" s="55"/>
      <c r="AX987" s="55"/>
      <c r="AY987" s="56">
        <f t="shared" si="348"/>
        <v>0</v>
      </c>
      <c r="AZ987" s="55"/>
      <c r="BA987" s="56">
        <v>0.33333333333333331</v>
      </c>
      <c r="BB987" s="41">
        <f t="shared" si="358"/>
        <v>-1</v>
      </c>
      <c r="BC987" s="13"/>
      <c r="BD987" s="35"/>
      <c r="BE987" s="13"/>
      <c r="BF987" s="16">
        <f t="shared" si="356"/>
        <v>0</v>
      </c>
      <c r="BG987" s="17" t="str">
        <f t="shared" si="357"/>
        <v>0</v>
      </c>
      <c r="BH987" s="16">
        <f t="shared" si="353"/>
        <v>0</v>
      </c>
    </row>
    <row r="988" spans="1:60" ht="12.75" customHeight="1" x14ac:dyDescent="0.2">
      <c r="A988" s="51">
        <v>332158</v>
      </c>
      <c r="B988" s="51"/>
      <c r="C988" s="66" t="s">
        <v>1803</v>
      </c>
      <c r="D988" s="52" t="s">
        <v>728</v>
      </c>
      <c r="E988" s="65" t="s">
        <v>780</v>
      </c>
      <c r="F988" s="53">
        <f>IFERROR(VLOOKUP(E988,Fornecedores!$A$2:$B$2700,2,FALSE),"")</f>
        <v>2</v>
      </c>
      <c r="G988" s="52" t="s">
        <v>1327</v>
      </c>
      <c r="H988" s="57"/>
      <c r="I988" s="55">
        <f t="shared" si="349"/>
        <v>0</v>
      </c>
      <c r="J988" s="55">
        <v>0</v>
      </c>
      <c r="K988" s="55">
        <v>0</v>
      </c>
      <c r="L988" s="55">
        <v>0</v>
      </c>
      <c r="M988" s="55">
        <v>0</v>
      </c>
      <c r="N988" s="55">
        <f t="shared" si="350"/>
        <v>0</v>
      </c>
      <c r="O988" s="55">
        <v>0</v>
      </c>
      <c r="P988" s="55">
        <v>0</v>
      </c>
      <c r="Q988" s="55">
        <v>0</v>
      </c>
      <c r="R988" s="55">
        <f t="shared" si="351"/>
        <v>0</v>
      </c>
      <c r="S988" s="55">
        <v>0</v>
      </c>
      <c r="T988" s="55">
        <v>0</v>
      </c>
      <c r="U988" s="55">
        <v>0</v>
      </c>
      <c r="V988" s="55">
        <v>0</v>
      </c>
      <c r="W988" s="53">
        <v>0</v>
      </c>
      <c r="X988" s="53">
        <v>0</v>
      </c>
      <c r="Y988" s="55">
        <v>0</v>
      </c>
      <c r="Z988" s="55">
        <v>0</v>
      </c>
      <c r="AA988" s="53">
        <v>0</v>
      </c>
      <c r="AB988" s="53">
        <v>0</v>
      </c>
      <c r="AC988" s="55">
        <v>0</v>
      </c>
      <c r="AD988" s="55">
        <f t="shared" si="342"/>
        <v>0</v>
      </c>
      <c r="AE988" s="53">
        <v>0</v>
      </c>
      <c r="AF988" s="55">
        <v>0</v>
      </c>
      <c r="AG988" s="55">
        <v>0</v>
      </c>
      <c r="AH988" s="55">
        <f t="shared" si="354"/>
        <v>0</v>
      </c>
      <c r="AI988" s="55">
        <v>0</v>
      </c>
      <c r="AJ988" s="55">
        <v>0</v>
      </c>
      <c r="AK988" s="55">
        <v>0</v>
      </c>
      <c r="AL988" s="55">
        <f t="shared" si="355"/>
        <v>0</v>
      </c>
      <c r="AM988" s="55" t="s">
        <v>1912</v>
      </c>
      <c r="AN988" s="55">
        <v>0</v>
      </c>
      <c r="AO988" s="55">
        <v>0</v>
      </c>
      <c r="AP988" s="55">
        <f t="shared" si="344"/>
        <v>0</v>
      </c>
      <c r="AQ988" s="55">
        <f>IFERROR(VLOOKUP(A988,[1]SIIMPLES!$A$2:$F$418,6,FALSE),0)</f>
        <v>0</v>
      </c>
      <c r="AR988" s="55">
        <v>0</v>
      </c>
      <c r="AS988" s="55">
        <v>0</v>
      </c>
      <c r="AT988" s="55">
        <v>0</v>
      </c>
      <c r="AU988" s="55">
        <v>0</v>
      </c>
      <c r="AV988" s="55">
        <v>0</v>
      </c>
      <c r="AW988" s="55"/>
      <c r="AX988" s="55"/>
      <c r="AY988" s="56">
        <f t="shared" si="348"/>
        <v>0</v>
      </c>
      <c r="AZ988" s="55"/>
      <c r="BA988" s="56">
        <v>0.33333333333333331</v>
      </c>
      <c r="BB988" s="41">
        <f t="shared" si="358"/>
        <v>-1</v>
      </c>
      <c r="BC988" s="13"/>
      <c r="BD988" s="35"/>
      <c r="BE988" s="13"/>
      <c r="BF988" s="16">
        <f t="shared" si="356"/>
        <v>0</v>
      </c>
      <c r="BG988" s="17" t="str">
        <f t="shared" si="357"/>
        <v>0</v>
      </c>
      <c r="BH988" s="16">
        <f t="shared" si="353"/>
        <v>0</v>
      </c>
    </row>
    <row r="989" spans="1:60" ht="12.75" customHeight="1" x14ac:dyDescent="0.2">
      <c r="A989" s="51">
        <v>332636</v>
      </c>
      <c r="B989" s="51" t="s">
        <v>1086</v>
      </c>
      <c r="C989" s="66" t="s">
        <v>1803</v>
      </c>
      <c r="D989" s="52" t="s">
        <v>728</v>
      </c>
      <c r="E989" s="65" t="s">
        <v>780</v>
      </c>
      <c r="F989" s="53">
        <f>IFERROR(VLOOKUP(E989,Fornecedores!$A$2:$B$2700,2,FALSE),"")</f>
        <v>2</v>
      </c>
      <c r="G989" s="52">
        <f>VLOOKUP(A989,[2]CMV!$A$1:$F$2043,6,FALSE)</f>
        <v>0</v>
      </c>
      <c r="H989" s="57"/>
      <c r="I989" s="55">
        <f t="shared" si="349"/>
        <v>0</v>
      </c>
      <c r="J989" s="55">
        <v>0</v>
      </c>
      <c r="K989" s="55">
        <v>0</v>
      </c>
      <c r="L989" s="55">
        <v>0</v>
      </c>
      <c r="M989" s="55">
        <v>0</v>
      </c>
      <c r="N989" s="55">
        <f t="shared" si="350"/>
        <v>0</v>
      </c>
      <c r="O989" s="55">
        <v>0</v>
      </c>
      <c r="P989" s="55">
        <v>0</v>
      </c>
      <c r="Q989" s="55">
        <v>0</v>
      </c>
      <c r="R989" s="55">
        <f t="shared" si="351"/>
        <v>0</v>
      </c>
      <c r="S989" s="55">
        <v>0</v>
      </c>
      <c r="T989" s="55">
        <v>0</v>
      </c>
      <c r="U989" s="55">
        <v>0</v>
      </c>
      <c r="V989" s="55">
        <v>0</v>
      </c>
      <c r="W989" s="53">
        <v>0</v>
      </c>
      <c r="X989" s="53">
        <v>0</v>
      </c>
      <c r="Y989" s="55">
        <v>0</v>
      </c>
      <c r="Z989" s="55">
        <v>0</v>
      </c>
      <c r="AA989" s="53">
        <v>0</v>
      </c>
      <c r="AB989" s="53">
        <v>0</v>
      </c>
      <c r="AC989" s="55">
        <v>0</v>
      </c>
      <c r="AD989" s="55">
        <f t="shared" si="342"/>
        <v>0</v>
      </c>
      <c r="AE989" s="53">
        <v>0</v>
      </c>
      <c r="AF989" s="55">
        <v>0</v>
      </c>
      <c r="AG989" s="55">
        <v>0</v>
      </c>
      <c r="AH989" s="55">
        <f t="shared" si="354"/>
        <v>0</v>
      </c>
      <c r="AI989" s="55">
        <v>0</v>
      </c>
      <c r="AJ989" s="55">
        <v>0</v>
      </c>
      <c r="AK989" s="55">
        <v>0</v>
      </c>
      <c r="AL989" s="55">
        <f t="shared" si="355"/>
        <v>0</v>
      </c>
      <c r="AM989" s="55" t="s">
        <v>1912</v>
      </c>
      <c r="AN989" s="55">
        <v>0</v>
      </c>
      <c r="AO989" s="55">
        <v>0</v>
      </c>
      <c r="AP989" s="55">
        <f t="shared" si="344"/>
        <v>0</v>
      </c>
      <c r="AQ989" s="55">
        <f>IFERROR(VLOOKUP(A989,[1]SIIMPLES!$A$2:$F$418,6,FALSE),0)</f>
        <v>0</v>
      </c>
      <c r="AR989" s="55">
        <v>0</v>
      </c>
      <c r="AS989" s="55">
        <v>0</v>
      </c>
      <c r="AT989" s="55">
        <v>0</v>
      </c>
      <c r="AU989" s="55">
        <v>0</v>
      </c>
      <c r="AV989" s="55">
        <v>0</v>
      </c>
      <c r="AW989" s="55"/>
      <c r="AX989" s="55"/>
      <c r="AY989" s="56">
        <f t="shared" si="348"/>
        <v>0</v>
      </c>
      <c r="AZ989" s="55"/>
      <c r="BA989" s="56">
        <v>0</v>
      </c>
      <c r="BB989" s="41" t="str">
        <f t="shared" si="358"/>
        <v/>
      </c>
      <c r="BC989" s="13"/>
      <c r="BD989" s="35"/>
      <c r="BE989" s="13"/>
      <c r="BF989" s="16">
        <f t="shared" si="356"/>
        <v>0</v>
      </c>
      <c r="BG989" s="17" t="str">
        <f t="shared" si="357"/>
        <v>0</v>
      </c>
      <c r="BH989" s="16">
        <f t="shared" si="353"/>
        <v>0</v>
      </c>
    </row>
    <row r="990" spans="1:60" ht="12.75" customHeight="1" x14ac:dyDescent="0.2">
      <c r="A990" s="51">
        <v>442060</v>
      </c>
      <c r="B990" s="51" t="s">
        <v>1077</v>
      </c>
      <c r="C990" s="66" t="s">
        <v>1803</v>
      </c>
      <c r="D990" s="52" t="s">
        <v>728</v>
      </c>
      <c r="E990" s="65" t="s">
        <v>780</v>
      </c>
      <c r="F990" s="53">
        <f>IFERROR(VLOOKUP(E990,Fornecedores!$A$2:$B$2700,2,FALSE),"")</f>
        <v>2</v>
      </c>
      <c r="G990" s="52" t="s">
        <v>869</v>
      </c>
      <c r="H990" s="57"/>
      <c r="I990" s="55">
        <f t="shared" si="349"/>
        <v>0</v>
      </c>
      <c r="J990" s="55">
        <v>0</v>
      </c>
      <c r="K990" s="55">
        <v>0</v>
      </c>
      <c r="L990" s="55">
        <v>0</v>
      </c>
      <c r="M990" s="55">
        <v>0</v>
      </c>
      <c r="N990" s="55">
        <f t="shared" si="350"/>
        <v>0</v>
      </c>
      <c r="O990" s="55">
        <v>0</v>
      </c>
      <c r="P990" s="55">
        <v>0</v>
      </c>
      <c r="Q990" s="55">
        <v>0</v>
      </c>
      <c r="R990" s="55">
        <f t="shared" si="351"/>
        <v>0</v>
      </c>
      <c r="S990" s="55">
        <v>0</v>
      </c>
      <c r="T990" s="55">
        <v>0</v>
      </c>
      <c r="U990" s="55">
        <v>0</v>
      </c>
      <c r="V990" s="55">
        <v>2</v>
      </c>
      <c r="W990" s="53">
        <v>2</v>
      </c>
      <c r="X990" s="53">
        <v>0</v>
      </c>
      <c r="Y990" s="55">
        <v>0</v>
      </c>
      <c r="Z990" s="55">
        <v>1</v>
      </c>
      <c r="AA990" s="53">
        <v>1</v>
      </c>
      <c r="AB990" s="53">
        <v>0</v>
      </c>
      <c r="AC990" s="55">
        <v>0</v>
      </c>
      <c r="AD990" s="55">
        <f t="shared" si="342"/>
        <v>0</v>
      </c>
      <c r="AE990" s="53">
        <v>0</v>
      </c>
      <c r="AF990" s="55">
        <v>0</v>
      </c>
      <c r="AG990" s="55">
        <v>0</v>
      </c>
      <c r="AH990" s="55">
        <f t="shared" si="354"/>
        <v>0</v>
      </c>
      <c r="AI990" s="55">
        <v>0</v>
      </c>
      <c r="AJ990" s="55">
        <v>0</v>
      </c>
      <c r="AK990" s="55">
        <v>0</v>
      </c>
      <c r="AL990" s="55">
        <f t="shared" si="355"/>
        <v>2</v>
      </c>
      <c r="AM990" s="55">
        <v>2</v>
      </c>
      <c r="AN990" s="55">
        <v>0</v>
      </c>
      <c r="AO990" s="55">
        <v>0</v>
      </c>
      <c r="AP990" s="55">
        <f t="shared" si="344"/>
        <v>0</v>
      </c>
      <c r="AQ990" s="55">
        <f>IFERROR(VLOOKUP(A990,[1]SIIMPLES!$A$2:$F$418,6,FALSE),0)</f>
        <v>0</v>
      </c>
      <c r="AR990" s="55">
        <v>0</v>
      </c>
      <c r="AS990" s="55">
        <v>0</v>
      </c>
      <c r="AT990" s="55">
        <v>0</v>
      </c>
      <c r="AU990" s="55">
        <v>0</v>
      </c>
      <c r="AV990" s="55">
        <v>0</v>
      </c>
      <c r="AW990" s="55"/>
      <c r="AX990" s="55"/>
      <c r="AY990" s="56">
        <f t="shared" si="348"/>
        <v>0.5</v>
      </c>
      <c r="AZ990" s="55"/>
      <c r="BA990" s="56">
        <v>0.66666666666666663</v>
      </c>
      <c r="BB990" s="41">
        <f t="shared" si="358"/>
        <v>-0.25</v>
      </c>
      <c r="BC990" s="13"/>
      <c r="BD990" s="35"/>
      <c r="BE990" s="13"/>
      <c r="BF990" s="16">
        <f t="shared" si="356"/>
        <v>0</v>
      </c>
      <c r="BG990" s="17">
        <f t="shared" si="357"/>
        <v>0</v>
      </c>
      <c r="BH990" s="16">
        <f t="shared" si="353"/>
        <v>0.5</v>
      </c>
    </row>
    <row r="991" spans="1:60" ht="12.75" customHeight="1" x14ac:dyDescent="0.2">
      <c r="A991" s="51">
        <v>442070</v>
      </c>
      <c r="B991" s="51" t="s">
        <v>1077</v>
      </c>
      <c r="C991" s="66" t="s">
        <v>1803</v>
      </c>
      <c r="D991" s="52" t="s">
        <v>728</v>
      </c>
      <c r="E991" s="65" t="s">
        <v>780</v>
      </c>
      <c r="F991" s="53">
        <f>IFERROR(VLOOKUP(E991,Fornecedores!$A$2:$B$2700,2,FALSE),"")</f>
        <v>2</v>
      </c>
      <c r="G991" s="52" t="s">
        <v>556</v>
      </c>
      <c r="H991" s="57"/>
      <c r="I991" s="55">
        <f t="shared" si="349"/>
        <v>0</v>
      </c>
      <c r="J991" s="55">
        <v>0</v>
      </c>
      <c r="K991" s="55">
        <v>0</v>
      </c>
      <c r="L991" s="55">
        <v>0</v>
      </c>
      <c r="M991" s="55">
        <v>0</v>
      </c>
      <c r="N991" s="55">
        <f t="shared" si="350"/>
        <v>0</v>
      </c>
      <c r="O991" s="55">
        <v>0</v>
      </c>
      <c r="P991" s="55">
        <v>0</v>
      </c>
      <c r="Q991" s="55">
        <v>0</v>
      </c>
      <c r="R991" s="55">
        <f t="shared" si="351"/>
        <v>0</v>
      </c>
      <c r="S991" s="55">
        <v>0</v>
      </c>
      <c r="T991" s="55">
        <v>0</v>
      </c>
      <c r="U991" s="55">
        <v>0</v>
      </c>
      <c r="V991" s="55">
        <v>0</v>
      </c>
      <c r="W991" s="53">
        <v>0</v>
      </c>
      <c r="X991" s="53">
        <v>0</v>
      </c>
      <c r="Y991" s="55">
        <v>0</v>
      </c>
      <c r="Z991" s="55">
        <v>0</v>
      </c>
      <c r="AA991" s="53">
        <v>0</v>
      </c>
      <c r="AB991" s="53">
        <v>0</v>
      </c>
      <c r="AC991" s="55">
        <v>0</v>
      </c>
      <c r="AD991" s="55">
        <f t="shared" si="342"/>
        <v>0</v>
      </c>
      <c r="AE991" s="53">
        <v>0</v>
      </c>
      <c r="AF991" s="55">
        <v>0</v>
      </c>
      <c r="AG991" s="55">
        <v>0</v>
      </c>
      <c r="AH991" s="55">
        <f t="shared" si="354"/>
        <v>0</v>
      </c>
      <c r="AI991" s="55">
        <v>0</v>
      </c>
      <c r="AJ991" s="55">
        <v>0</v>
      </c>
      <c r="AK991" s="55">
        <v>0</v>
      </c>
      <c r="AL991" s="55">
        <f t="shared" si="355"/>
        <v>0</v>
      </c>
      <c r="AM991" s="55" t="s">
        <v>1912</v>
      </c>
      <c r="AN991" s="55">
        <v>0</v>
      </c>
      <c r="AO991" s="55">
        <v>0</v>
      </c>
      <c r="AP991" s="55">
        <f t="shared" si="344"/>
        <v>0</v>
      </c>
      <c r="AQ991" s="55">
        <f>IFERROR(VLOOKUP(A991,[1]SIIMPLES!$A$2:$F$418,6,FALSE),0)</f>
        <v>0</v>
      </c>
      <c r="AR991" s="55">
        <v>0</v>
      </c>
      <c r="AS991" s="55">
        <v>0</v>
      </c>
      <c r="AT991" s="55">
        <v>0</v>
      </c>
      <c r="AU991" s="55">
        <v>0</v>
      </c>
      <c r="AV991" s="55">
        <v>0</v>
      </c>
      <c r="AW991" s="55"/>
      <c r="AX991" s="55"/>
      <c r="AY991" s="56">
        <f t="shared" si="348"/>
        <v>0</v>
      </c>
      <c r="AZ991" s="55"/>
      <c r="BA991" s="56">
        <v>0</v>
      </c>
      <c r="BB991" s="41" t="str">
        <f t="shared" si="358"/>
        <v/>
      </c>
      <c r="BC991" s="13"/>
      <c r="BD991" s="35"/>
      <c r="BE991" s="13"/>
      <c r="BF991" s="16">
        <f t="shared" si="356"/>
        <v>0</v>
      </c>
      <c r="BG991" s="17" t="str">
        <f t="shared" si="357"/>
        <v>0</v>
      </c>
      <c r="BH991" s="16">
        <f t="shared" si="353"/>
        <v>0</v>
      </c>
    </row>
    <row r="992" spans="1:60" ht="12.75" customHeight="1" x14ac:dyDescent="0.2">
      <c r="A992" s="51">
        <v>442071</v>
      </c>
      <c r="B992" s="51" t="s">
        <v>1077</v>
      </c>
      <c r="C992" s="66" t="s">
        <v>1803</v>
      </c>
      <c r="D992" s="52" t="s">
        <v>728</v>
      </c>
      <c r="E992" s="65" t="s">
        <v>780</v>
      </c>
      <c r="F992" s="53">
        <f>IFERROR(VLOOKUP(E992,Fornecedores!$A$2:$B$2700,2,FALSE),"")</f>
        <v>2</v>
      </c>
      <c r="G992" s="52" t="s">
        <v>565</v>
      </c>
      <c r="H992" s="57"/>
      <c r="I992" s="55">
        <f t="shared" si="349"/>
        <v>0</v>
      </c>
      <c r="J992" s="55">
        <v>0</v>
      </c>
      <c r="K992" s="55">
        <v>0</v>
      </c>
      <c r="L992" s="55">
        <v>0</v>
      </c>
      <c r="M992" s="55">
        <v>0</v>
      </c>
      <c r="N992" s="55">
        <f t="shared" si="350"/>
        <v>0</v>
      </c>
      <c r="O992" s="55">
        <v>0</v>
      </c>
      <c r="P992" s="55">
        <v>0</v>
      </c>
      <c r="Q992" s="55">
        <v>0</v>
      </c>
      <c r="R992" s="55">
        <f t="shared" si="351"/>
        <v>0</v>
      </c>
      <c r="S992" s="55">
        <v>0</v>
      </c>
      <c r="T992" s="55">
        <v>0</v>
      </c>
      <c r="U992" s="55">
        <v>0</v>
      </c>
      <c r="V992" s="55">
        <v>0</v>
      </c>
      <c r="W992" s="53">
        <v>0</v>
      </c>
      <c r="X992" s="53">
        <v>0</v>
      </c>
      <c r="Y992" s="55">
        <v>0</v>
      </c>
      <c r="Z992" s="55">
        <v>0</v>
      </c>
      <c r="AA992" s="53">
        <v>0</v>
      </c>
      <c r="AB992" s="53">
        <v>0</v>
      </c>
      <c r="AC992" s="55">
        <v>0</v>
      </c>
      <c r="AD992" s="55">
        <f t="shared" si="342"/>
        <v>0</v>
      </c>
      <c r="AE992" s="53">
        <v>0</v>
      </c>
      <c r="AF992" s="55">
        <v>0</v>
      </c>
      <c r="AG992" s="55">
        <v>0</v>
      </c>
      <c r="AH992" s="55">
        <f t="shared" si="354"/>
        <v>0</v>
      </c>
      <c r="AI992" s="55">
        <v>0</v>
      </c>
      <c r="AJ992" s="55">
        <v>0</v>
      </c>
      <c r="AK992" s="55">
        <v>0</v>
      </c>
      <c r="AL992" s="55">
        <f t="shared" si="355"/>
        <v>0</v>
      </c>
      <c r="AM992" s="55" t="s">
        <v>1912</v>
      </c>
      <c r="AN992" s="55">
        <v>0</v>
      </c>
      <c r="AO992" s="55">
        <v>0</v>
      </c>
      <c r="AP992" s="55">
        <f t="shared" si="344"/>
        <v>0</v>
      </c>
      <c r="AQ992" s="55">
        <f>IFERROR(VLOOKUP(A992,[1]SIIMPLES!$A$2:$F$418,6,FALSE),0)</f>
        <v>0</v>
      </c>
      <c r="AR992" s="55">
        <v>0</v>
      </c>
      <c r="AS992" s="55">
        <v>0</v>
      </c>
      <c r="AT992" s="55">
        <v>0</v>
      </c>
      <c r="AU992" s="55">
        <v>0</v>
      </c>
      <c r="AV992" s="55">
        <v>0</v>
      </c>
      <c r="AW992" s="55"/>
      <c r="AX992" s="55"/>
      <c r="AY992" s="56">
        <f t="shared" si="348"/>
        <v>0</v>
      </c>
      <c r="AZ992" s="55"/>
      <c r="BA992" s="56">
        <v>0</v>
      </c>
      <c r="BB992" s="41" t="str">
        <f t="shared" si="358"/>
        <v/>
      </c>
      <c r="BC992" s="13"/>
      <c r="BD992" s="35"/>
      <c r="BE992" s="13"/>
      <c r="BF992" s="16">
        <f t="shared" si="356"/>
        <v>0</v>
      </c>
      <c r="BG992" s="17" t="str">
        <f t="shared" si="357"/>
        <v>0</v>
      </c>
      <c r="BH992" s="16">
        <f t="shared" si="353"/>
        <v>0</v>
      </c>
    </row>
    <row r="993" spans="1:60" ht="12.75" customHeight="1" x14ac:dyDescent="0.2">
      <c r="A993" s="51">
        <v>442082</v>
      </c>
      <c r="B993" s="51" t="s">
        <v>1077</v>
      </c>
      <c r="C993" s="66" t="s">
        <v>1803</v>
      </c>
      <c r="D993" s="52" t="s">
        <v>728</v>
      </c>
      <c r="E993" s="65" t="s">
        <v>780</v>
      </c>
      <c r="F993" s="53">
        <f>IFERROR(VLOOKUP(E993,Fornecedores!$A$2:$B$2700,2,FALSE),"")</f>
        <v>2</v>
      </c>
      <c r="G993" s="52" t="s">
        <v>97</v>
      </c>
      <c r="H993" s="57"/>
      <c r="I993" s="55">
        <f t="shared" si="349"/>
        <v>1</v>
      </c>
      <c r="J993" s="55">
        <v>0</v>
      </c>
      <c r="K993" s="55">
        <v>1</v>
      </c>
      <c r="L993" s="55">
        <v>0</v>
      </c>
      <c r="M993" s="55">
        <v>0</v>
      </c>
      <c r="N993" s="55">
        <f t="shared" si="350"/>
        <v>0</v>
      </c>
      <c r="O993" s="55">
        <v>0</v>
      </c>
      <c r="P993" s="55">
        <v>0</v>
      </c>
      <c r="Q993" s="55">
        <v>0</v>
      </c>
      <c r="R993" s="55">
        <f t="shared" si="351"/>
        <v>0</v>
      </c>
      <c r="S993" s="55">
        <v>0</v>
      </c>
      <c r="T993" s="55">
        <v>0</v>
      </c>
      <c r="U993" s="55">
        <v>0</v>
      </c>
      <c r="V993" s="55">
        <v>0</v>
      </c>
      <c r="W993" s="53">
        <v>0</v>
      </c>
      <c r="X993" s="53">
        <v>0</v>
      </c>
      <c r="Y993" s="55">
        <v>0</v>
      </c>
      <c r="Z993" s="55">
        <v>2</v>
      </c>
      <c r="AA993" s="53">
        <v>1</v>
      </c>
      <c r="AB993" s="53">
        <v>1</v>
      </c>
      <c r="AC993" s="55">
        <v>0</v>
      </c>
      <c r="AD993" s="55">
        <f t="shared" ref="AD993:AD1056" si="359">SUM(AE993:AG993)</f>
        <v>2</v>
      </c>
      <c r="AE993" s="53">
        <v>0</v>
      </c>
      <c r="AF993" s="55">
        <v>2</v>
      </c>
      <c r="AG993" s="55">
        <v>0</v>
      </c>
      <c r="AH993" s="55">
        <f t="shared" si="354"/>
        <v>0</v>
      </c>
      <c r="AI993" s="55">
        <v>0</v>
      </c>
      <c r="AJ993" s="55">
        <v>0</v>
      </c>
      <c r="AK993" s="55">
        <v>0</v>
      </c>
      <c r="AL993" s="55">
        <f t="shared" si="355"/>
        <v>1</v>
      </c>
      <c r="AM993" s="55" t="s">
        <v>1912</v>
      </c>
      <c r="AN993" s="55">
        <v>1</v>
      </c>
      <c r="AO993" s="55">
        <v>0</v>
      </c>
      <c r="AP993" s="55">
        <f t="shared" si="344"/>
        <v>0</v>
      </c>
      <c r="AQ993" s="55">
        <f>IFERROR(VLOOKUP(A993,[1]SIIMPLES!$A$2:$F$418,6,FALSE),0)</f>
        <v>0</v>
      </c>
      <c r="AR993" s="55">
        <v>0</v>
      </c>
      <c r="AS993" s="55">
        <v>0</v>
      </c>
      <c r="AT993" s="55">
        <v>0</v>
      </c>
      <c r="AU993" s="55">
        <v>0</v>
      </c>
      <c r="AV993" s="55">
        <v>0</v>
      </c>
      <c r="AW993" s="55"/>
      <c r="AX993" s="55"/>
      <c r="AY993" s="56">
        <f t="shared" si="348"/>
        <v>0.6</v>
      </c>
      <c r="AZ993" s="55"/>
      <c r="BA993" s="56">
        <v>1.1666666666666667</v>
      </c>
      <c r="BB993" s="41">
        <f t="shared" si="358"/>
        <v>-0.48571428571428577</v>
      </c>
      <c r="BC993" s="13"/>
      <c r="BD993" s="35"/>
      <c r="BE993" s="13"/>
      <c r="BF993" s="16">
        <f t="shared" si="356"/>
        <v>0</v>
      </c>
      <c r="BG993" s="17">
        <f t="shared" si="357"/>
        <v>0</v>
      </c>
      <c r="BH993" s="16">
        <f t="shared" si="353"/>
        <v>0.6</v>
      </c>
    </row>
    <row r="994" spans="1:60" ht="12.75" customHeight="1" x14ac:dyDescent="0.2">
      <c r="A994" s="51">
        <v>442086</v>
      </c>
      <c r="B994" s="51" t="s">
        <v>1077</v>
      </c>
      <c r="C994" s="66" t="s">
        <v>1803</v>
      </c>
      <c r="D994" s="52" t="s">
        <v>728</v>
      </c>
      <c r="E994" s="65" t="s">
        <v>780</v>
      </c>
      <c r="F994" s="53">
        <f>IFERROR(VLOOKUP(E994,Fornecedores!$A$2:$B$2700,2,FALSE),"")</f>
        <v>2</v>
      </c>
      <c r="G994" s="52" t="s">
        <v>1659</v>
      </c>
      <c r="H994" s="57"/>
      <c r="I994" s="55">
        <f t="shared" si="349"/>
        <v>0</v>
      </c>
      <c r="J994" s="55">
        <v>0</v>
      </c>
      <c r="K994" s="55">
        <v>0</v>
      </c>
      <c r="L994" s="55">
        <v>0</v>
      </c>
      <c r="M994" s="55">
        <v>0</v>
      </c>
      <c r="N994" s="55">
        <f t="shared" si="350"/>
        <v>0</v>
      </c>
      <c r="O994" s="55">
        <v>0</v>
      </c>
      <c r="P994" s="55">
        <v>0</v>
      </c>
      <c r="Q994" s="55">
        <v>0</v>
      </c>
      <c r="R994" s="55">
        <f t="shared" si="351"/>
        <v>0</v>
      </c>
      <c r="S994" s="55">
        <v>0</v>
      </c>
      <c r="T994" s="55">
        <v>0</v>
      </c>
      <c r="U994" s="55">
        <v>0</v>
      </c>
      <c r="V994" s="55">
        <v>0</v>
      </c>
      <c r="W994" s="53">
        <v>0</v>
      </c>
      <c r="X994" s="53">
        <v>0</v>
      </c>
      <c r="Y994" s="55">
        <v>0</v>
      </c>
      <c r="Z994" s="55">
        <v>0</v>
      </c>
      <c r="AA994" s="53">
        <v>0</v>
      </c>
      <c r="AB994" s="53">
        <v>0</v>
      </c>
      <c r="AC994" s="55">
        <v>0</v>
      </c>
      <c r="AD994" s="55">
        <f t="shared" si="359"/>
        <v>0</v>
      </c>
      <c r="AE994" s="53">
        <v>0</v>
      </c>
      <c r="AF994" s="55">
        <v>0</v>
      </c>
      <c r="AG994" s="55">
        <v>0</v>
      </c>
      <c r="AH994" s="55">
        <f t="shared" si="354"/>
        <v>0</v>
      </c>
      <c r="AI994" s="55">
        <v>0</v>
      </c>
      <c r="AJ994" s="55">
        <v>0</v>
      </c>
      <c r="AK994" s="55">
        <v>0</v>
      </c>
      <c r="AL994" s="55">
        <f t="shared" si="355"/>
        <v>0</v>
      </c>
      <c r="AM994" s="55" t="s">
        <v>1912</v>
      </c>
      <c r="AN994" s="55">
        <v>0</v>
      </c>
      <c r="AO994" s="55">
        <v>0</v>
      </c>
      <c r="AP994" s="55">
        <f t="shared" si="344"/>
        <v>0</v>
      </c>
      <c r="AQ994" s="55">
        <f>IFERROR(VLOOKUP(A994,[1]SIIMPLES!$A$2:$F$418,6,FALSE),0)</f>
        <v>0</v>
      </c>
      <c r="AR994" s="55">
        <v>0</v>
      </c>
      <c r="AS994" s="55">
        <v>0</v>
      </c>
      <c r="AT994" s="55">
        <v>0</v>
      </c>
      <c r="AU994" s="55">
        <v>0</v>
      </c>
      <c r="AV994" s="55">
        <v>0</v>
      </c>
      <c r="AW994" s="55"/>
      <c r="AX994" s="55"/>
      <c r="AY994" s="56">
        <f t="shared" si="348"/>
        <v>0</v>
      </c>
      <c r="AZ994" s="55"/>
      <c r="BA994" s="56">
        <v>0</v>
      </c>
      <c r="BB994" s="41" t="str">
        <f t="shared" si="358"/>
        <v/>
      </c>
      <c r="BC994" s="13"/>
      <c r="BD994" s="35"/>
      <c r="BE994" s="13"/>
      <c r="BF994" s="16">
        <f t="shared" si="356"/>
        <v>0</v>
      </c>
      <c r="BG994" s="17" t="str">
        <f t="shared" si="357"/>
        <v>0</v>
      </c>
      <c r="BH994" s="16">
        <f t="shared" si="353"/>
        <v>0</v>
      </c>
    </row>
    <row r="995" spans="1:60" ht="12.75" customHeight="1" x14ac:dyDescent="0.2">
      <c r="A995" s="51">
        <v>771202</v>
      </c>
      <c r="B995" s="51"/>
      <c r="C995" s="66" t="s">
        <v>1803</v>
      </c>
      <c r="D995" s="65" t="s">
        <v>1778</v>
      </c>
      <c r="E995" s="52" t="s">
        <v>732</v>
      </c>
      <c r="F995" s="53">
        <f>IFERROR(VLOOKUP(E995,Fornecedores!$A$2:$B$2700,2,FALSE),"")</f>
        <v>6</v>
      </c>
      <c r="G995" s="52" t="s">
        <v>227</v>
      </c>
      <c r="H995" s="54"/>
      <c r="I995" s="55">
        <f t="shared" si="349"/>
        <v>0</v>
      </c>
      <c r="J995" s="55">
        <v>0</v>
      </c>
      <c r="K995" s="55">
        <v>0</v>
      </c>
      <c r="L995" s="55">
        <v>0</v>
      </c>
      <c r="M995" s="55">
        <v>0</v>
      </c>
      <c r="N995" s="55">
        <f t="shared" si="350"/>
        <v>0</v>
      </c>
      <c r="O995" s="55">
        <v>0</v>
      </c>
      <c r="P995" s="55">
        <v>0</v>
      </c>
      <c r="Q995" s="55">
        <v>0</v>
      </c>
      <c r="R995" s="55">
        <f t="shared" si="351"/>
        <v>0</v>
      </c>
      <c r="S995" s="55">
        <v>0</v>
      </c>
      <c r="T995" s="55">
        <v>0</v>
      </c>
      <c r="U995" s="55">
        <v>0</v>
      </c>
      <c r="V995" s="55">
        <v>0</v>
      </c>
      <c r="W995" s="53">
        <v>0</v>
      </c>
      <c r="X995" s="53">
        <v>0</v>
      </c>
      <c r="Y995" s="55">
        <v>0</v>
      </c>
      <c r="Z995" s="55">
        <v>0</v>
      </c>
      <c r="AA995" s="53">
        <v>0</v>
      </c>
      <c r="AB995" s="53">
        <v>0</v>
      </c>
      <c r="AC995" s="55">
        <v>0</v>
      </c>
      <c r="AD995" s="55">
        <f t="shared" si="359"/>
        <v>0</v>
      </c>
      <c r="AE995" s="53">
        <v>0</v>
      </c>
      <c r="AF995" s="55">
        <v>0</v>
      </c>
      <c r="AG995" s="55">
        <v>0</v>
      </c>
      <c r="AH995" s="55">
        <f t="shared" si="354"/>
        <v>0</v>
      </c>
      <c r="AI995" s="55">
        <v>0</v>
      </c>
      <c r="AJ995" s="55">
        <v>0</v>
      </c>
      <c r="AK995" s="55">
        <v>0</v>
      </c>
      <c r="AL995" s="55">
        <f t="shared" si="355"/>
        <v>0</v>
      </c>
      <c r="AM995" s="55" t="s">
        <v>1912</v>
      </c>
      <c r="AN995" s="55">
        <v>0</v>
      </c>
      <c r="AO995" s="55">
        <v>0</v>
      </c>
      <c r="AP995" s="55">
        <f t="shared" si="344"/>
        <v>0</v>
      </c>
      <c r="AQ995" s="55">
        <f>IFERROR(VLOOKUP(A995,[1]SIIMPLES!$A$2:$F$418,6,FALSE),0)</f>
        <v>0</v>
      </c>
      <c r="AR995" s="55">
        <v>0</v>
      </c>
      <c r="AS995" s="55">
        <v>0</v>
      </c>
      <c r="AT995" s="55">
        <v>0</v>
      </c>
      <c r="AU995" s="55">
        <v>0</v>
      </c>
      <c r="AV995" s="55">
        <v>0</v>
      </c>
      <c r="AW995" s="55"/>
      <c r="AX995" s="55"/>
      <c r="AY995" s="56">
        <f t="shared" si="348"/>
        <v>0</v>
      </c>
      <c r="AZ995" s="55"/>
      <c r="BA995" s="56">
        <v>0.16666666666666666</v>
      </c>
      <c r="BB995" s="41">
        <f t="shared" si="358"/>
        <v>-1</v>
      </c>
      <c r="BC995" s="13"/>
      <c r="BD995" s="35"/>
      <c r="BE995" s="13"/>
      <c r="BF995" s="16">
        <f t="shared" si="356"/>
        <v>0</v>
      </c>
      <c r="BG995" s="17" t="str">
        <f t="shared" si="357"/>
        <v>0</v>
      </c>
      <c r="BH995" s="16">
        <f t="shared" si="353"/>
        <v>0</v>
      </c>
    </row>
    <row r="996" spans="1:60" ht="12.75" customHeight="1" x14ac:dyDescent="0.2">
      <c r="A996" s="51">
        <v>442100</v>
      </c>
      <c r="B996" s="51"/>
      <c r="C996" s="66" t="s">
        <v>1803</v>
      </c>
      <c r="D996" s="52" t="s">
        <v>728</v>
      </c>
      <c r="E996" s="65" t="s">
        <v>780</v>
      </c>
      <c r="F996" s="53">
        <f>IFERROR(VLOOKUP(E996,Fornecedores!$A$2:$B$2700,2,FALSE),"")</f>
        <v>2</v>
      </c>
      <c r="G996" s="52" t="s">
        <v>1330</v>
      </c>
      <c r="H996" s="57"/>
      <c r="I996" s="55">
        <f t="shared" si="349"/>
        <v>0</v>
      </c>
      <c r="J996" s="55">
        <v>0</v>
      </c>
      <c r="K996" s="55">
        <v>0</v>
      </c>
      <c r="L996" s="55">
        <v>0</v>
      </c>
      <c r="M996" s="55">
        <v>0</v>
      </c>
      <c r="N996" s="55">
        <f t="shared" si="350"/>
        <v>0</v>
      </c>
      <c r="O996" s="55">
        <v>0</v>
      </c>
      <c r="P996" s="55">
        <v>0</v>
      </c>
      <c r="Q996" s="55">
        <v>0</v>
      </c>
      <c r="R996" s="55">
        <f t="shared" si="351"/>
        <v>0</v>
      </c>
      <c r="S996" s="55">
        <v>0</v>
      </c>
      <c r="T996" s="55">
        <v>0</v>
      </c>
      <c r="U996" s="55">
        <v>0</v>
      </c>
      <c r="V996" s="55">
        <v>0</v>
      </c>
      <c r="W996" s="53">
        <v>0</v>
      </c>
      <c r="X996" s="53">
        <v>0</v>
      </c>
      <c r="Y996" s="55">
        <v>0</v>
      </c>
      <c r="Z996" s="55">
        <v>0</v>
      </c>
      <c r="AA996" s="53">
        <v>0</v>
      </c>
      <c r="AB996" s="53">
        <v>0</v>
      </c>
      <c r="AC996" s="55">
        <v>0</v>
      </c>
      <c r="AD996" s="55">
        <f t="shared" si="359"/>
        <v>0</v>
      </c>
      <c r="AE996" s="53">
        <v>0</v>
      </c>
      <c r="AF996" s="55">
        <v>0</v>
      </c>
      <c r="AG996" s="55">
        <v>0</v>
      </c>
      <c r="AH996" s="55">
        <f t="shared" si="354"/>
        <v>0</v>
      </c>
      <c r="AI996" s="55">
        <v>0</v>
      </c>
      <c r="AJ996" s="55">
        <v>0</v>
      </c>
      <c r="AK996" s="55">
        <v>0</v>
      </c>
      <c r="AL996" s="55">
        <f t="shared" si="355"/>
        <v>0</v>
      </c>
      <c r="AM996" s="55" t="s">
        <v>1912</v>
      </c>
      <c r="AN996" s="55">
        <v>0</v>
      </c>
      <c r="AO996" s="55">
        <v>0</v>
      </c>
      <c r="AP996" s="55">
        <f t="shared" si="344"/>
        <v>0</v>
      </c>
      <c r="AQ996" s="55">
        <f>IFERROR(VLOOKUP(A996,[1]SIIMPLES!$A$2:$F$418,6,FALSE),0)</f>
        <v>0</v>
      </c>
      <c r="AR996" s="55">
        <v>0</v>
      </c>
      <c r="AS996" s="55">
        <v>0</v>
      </c>
      <c r="AT996" s="55">
        <v>0</v>
      </c>
      <c r="AU996" s="55">
        <v>0</v>
      </c>
      <c r="AV996" s="55">
        <v>0</v>
      </c>
      <c r="AW996" s="55"/>
      <c r="AX996" s="55"/>
      <c r="AY996" s="56">
        <f t="shared" si="348"/>
        <v>0</v>
      </c>
      <c r="AZ996" s="55"/>
      <c r="BA996" s="56">
        <v>0</v>
      </c>
      <c r="BB996" s="41" t="str">
        <f t="shared" si="358"/>
        <v/>
      </c>
      <c r="BC996" s="13"/>
      <c r="BD996" s="35"/>
      <c r="BE996" s="13"/>
      <c r="BF996" s="16">
        <f t="shared" si="356"/>
        <v>0</v>
      </c>
      <c r="BG996" s="17" t="str">
        <f t="shared" si="357"/>
        <v>0</v>
      </c>
      <c r="BH996" s="16">
        <f t="shared" si="353"/>
        <v>0</v>
      </c>
    </row>
    <row r="997" spans="1:60" ht="12.75" customHeight="1" x14ac:dyDescent="0.2">
      <c r="A997" s="51">
        <v>442101</v>
      </c>
      <c r="B997" s="51"/>
      <c r="C997" s="66" t="s">
        <v>1803</v>
      </c>
      <c r="D997" s="52" t="s">
        <v>728</v>
      </c>
      <c r="E997" s="65" t="s">
        <v>780</v>
      </c>
      <c r="F997" s="53">
        <f>IFERROR(VLOOKUP(E997,Fornecedores!$A$2:$B$2700,2,FALSE),"")</f>
        <v>2</v>
      </c>
      <c r="G997" s="52" t="s">
        <v>1331</v>
      </c>
      <c r="H997" s="57"/>
      <c r="I997" s="55">
        <f t="shared" si="349"/>
        <v>0</v>
      </c>
      <c r="J997" s="55">
        <v>0</v>
      </c>
      <c r="K997" s="55">
        <v>0</v>
      </c>
      <c r="L997" s="55">
        <v>0</v>
      </c>
      <c r="M997" s="55">
        <v>0</v>
      </c>
      <c r="N997" s="55">
        <f t="shared" si="350"/>
        <v>0</v>
      </c>
      <c r="O997" s="55">
        <v>0</v>
      </c>
      <c r="P997" s="55">
        <v>0</v>
      </c>
      <c r="Q997" s="55">
        <v>0</v>
      </c>
      <c r="R997" s="55">
        <f t="shared" si="351"/>
        <v>0</v>
      </c>
      <c r="S997" s="55">
        <v>0</v>
      </c>
      <c r="T997" s="55">
        <v>0</v>
      </c>
      <c r="U997" s="55">
        <v>0</v>
      </c>
      <c r="V997" s="55">
        <v>0</v>
      </c>
      <c r="W997" s="53">
        <v>0</v>
      </c>
      <c r="X997" s="53">
        <v>0</v>
      </c>
      <c r="Y997" s="55">
        <v>0</v>
      </c>
      <c r="Z997" s="55">
        <v>0</v>
      </c>
      <c r="AA997" s="53">
        <v>0</v>
      </c>
      <c r="AB997" s="53">
        <v>0</v>
      </c>
      <c r="AC997" s="55">
        <v>0</v>
      </c>
      <c r="AD997" s="55">
        <f t="shared" si="359"/>
        <v>0</v>
      </c>
      <c r="AE997" s="53">
        <v>0</v>
      </c>
      <c r="AF997" s="55">
        <v>0</v>
      </c>
      <c r="AG997" s="55">
        <v>0</v>
      </c>
      <c r="AH997" s="55">
        <f t="shared" si="354"/>
        <v>0</v>
      </c>
      <c r="AI997" s="55">
        <v>0</v>
      </c>
      <c r="AJ997" s="55">
        <v>0</v>
      </c>
      <c r="AK997" s="55">
        <v>0</v>
      </c>
      <c r="AL997" s="55">
        <f t="shared" si="355"/>
        <v>0</v>
      </c>
      <c r="AM997" s="55" t="s">
        <v>1912</v>
      </c>
      <c r="AN997" s="55">
        <v>0</v>
      </c>
      <c r="AO997" s="55">
        <v>0</v>
      </c>
      <c r="AP997" s="55">
        <f t="shared" si="344"/>
        <v>0</v>
      </c>
      <c r="AQ997" s="55">
        <f>IFERROR(VLOOKUP(A997,[1]SIIMPLES!$A$2:$F$418,6,FALSE),0)</f>
        <v>0</v>
      </c>
      <c r="AR997" s="55">
        <v>0</v>
      </c>
      <c r="AS997" s="55">
        <v>0</v>
      </c>
      <c r="AT997" s="55">
        <v>0</v>
      </c>
      <c r="AU997" s="55">
        <v>0</v>
      </c>
      <c r="AV997" s="55">
        <v>0</v>
      </c>
      <c r="AW997" s="55"/>
      <c r="AX997" s="55"/>
      <c r="AY997" s="56">
        <f t="shared" si="348"/>
        <v>0</v>
      </c>
      <c r="AZ997" s="55"/>
      <c r="BA997" s="56">
        <v>0</v>
      </c>
      <c r="BB997" s="41" t="str">
        <f t="shared" si="358"/>
        <v/>
      </c>
      <c r="BC997" s="13"/>
      <c r="BD997" s="37"/>
      <c r="BE997" s="13"/>
      <c r="BF997" s="16">
        <f t="shared" si="356"/>
        <v>0</v>
      </c>
      <c r="BG997" s="17" t="str">
        <f t="shared" si="357"/>
        <v>0</v>
      </c>
      <c r="BH997" s="16">
        <f t="shared" si="353"/>
        <v>0</v>
      </c>
    </row>
    <row r="998" spans="1:60" ht="12.75" customHeight="1" x14ac:dyDescent="0.2">
      <c r="A998" s="51">
        <v>442104</v>
      </c>
      <c r="B998" s="51" t="s">
        <v>1077</v>
      </c>
      <c r="C998" s="66" t="s">
        <v>1803</v>
      </c>
      <c r="D998" s="52" t="s">
        <v>728</v>
      </c>
      <c r="E998" s="65" t="s">
        <v>780</v>
      </c>
      <c r="F998" s="53">
        <f>IFERROR(VLOOKUP(E998,Fornecedores!$A$2:$B$2700,2,FALSE),"")</f>
        <v>2</v>
      </c>
      <c r="G998" s="52" t="s">
        <v>138</v>
      </c>
      <c r="H998" s="57"/>
      <c r="I998" s="55">
        <f t="shared" si="349"/>
        <v>0</v>
      </c>
      <c r="J998" s="55">
        <v>0</v>
      </c>
      <c r="K998" s="55">
        <v>0</v>
      </c>
      <c r="L998" s="55">
        <v>0</v>
      </c>
      <c r="M998" s="55">
        <v>0</v>
      </c>
      <c r="N998" s="55">
        <f t="shared" si="350"/>
        <v>0</v>
      </c>
      <c r="O998" s="55">
        <v>0</v>
      </c>
      <c r="P998" s="55">
        <v>0</v>
      </c>
      <c r="Q998" s="55">
        <v>0</v>
      </c>
      <c r="R998" s="55">
        <f t="shared" si="351"/>
        <v>0</v>
      </c>
      <c r="S998" s="55">
        <v>0</v>
      </c>
      <c r="T998" s="55">
        <v>0</v>
      </c>
      <c r="U998" s="55">
        <v>0</v>
      </c>
      <c r="V998" s="55">
        <v>0</v>
      </c>
      <c r="W998" s="53">
        <v>0</v>
      </c>
      <c r="X998" s="53">
        <v>0</v>
      </c>
      <c r="Y998" s="55">
        <v>0</v>
      </c>
      <c r="Z998" s="55">
        <v>0</v>
      </c>
      <c r="AA998" s="53">
        <v>0</v>
      </c>
      <c r="AB998" s="53">
        <v>0</v>
      </c>
      <c r="AC998" s="55">
        <v>0</v>
      </c>
      <c r="AD998" s="55">
        <f t="shared" si="359"/>
        <v>0</v>
      </c>
      <c r="AE998" s="53">
        <v>0</v>
      </c>
      <c r="AF998" s="55">
        <v>0</v>
      </c>
      <c r="AG998" s="55">
        <v>0</v>
      </c>
      <c r="AH998" s="55">
        <f t="shared" si="354"/>
        <v>0</v>
      </c>
      <c r="AI998" s="55">
        <v>0</v>
      </c>
      <c r="AJ998" s="55">
        <v>0</v>
      </c>
      <c r="AK998" s="55">
        <v>0</v>
      </c>
      <c r="AL998" s="55">
        <f t="shared" si="355"/>
        <v>0</v>
      </c>
      <c r="AM998" s="55" t="s">
        <v>1912</v>
      </c>
      <c r="AN998" s="55">
        <v>0</v>
      </c>
      <c r="AO998" s="55">
        <v>0</v>
      </c>
      <c r="AP998" s="55">
        <f t="shared" si="344"/>
        <v>0</v>
      </c>
      <c r="AQ998" s="55">
        <f>IFERROR(VLOOKUP(A998,[1]SIIMPLES!$A$2:$F$418,6,FALSE),0)</f>
        <v>0</v>
      </c>
      <c r="AR998" s="55">
        <v>0</v>
      </c>
      <c r="AS998" s="55">
        <v>0</v>
      </c>
      <c r="AT998" s="55">
        <v>0</v>
      </c>
      <c r="AU998" s="55">
        <v>0</v>
      </c>
      <c r="AV998" s="55">
        <v>0</v>
      </c>
      <c r="AW998" s="55"/>
      <c r="AX998" s="55"/>
      <c r="AY998" s="56">
        <f t="shared" si="348"/>
        <v>0</v>
      </c>
      <c r="AZ998" s="55"/>
      <c r="BA998" s="56">
        <v>0</v>
      </c>
      <c r="BB998" s="41" t="str">
        <f t="shared" si="358"/>
        <v/>
      </c>
      <c r="BC998" s="13"/>
      <c r="BD998" s="37"/>
      <c r="BE998" s="13"/>
      <c r="BF998" s="16">
        <f t="shared" si="356"/>
        <v>0</v>
      </c>
      <c r="BG998" s="17" t="str">
        <f t="shared" si="357"/>
        <v>0</v>
      </c>
      <c r="BH998" s="16">
        <f t="shared" si="353"/>
        <v>0</v>
      </c>
    </row>
    <row r="999" spans="1:60" ht="12.75" customHeight="1" x14ac:dyDescent="0.2">
      <c r="A999" s="51">
        <v>442105</v>
      </c>
      <c r="B999" s="51" t="s">
        <v>1077</v>
      </c>
      <c r="C999" s="66" t="s">
        <v>1803</v>
      </c>
      <c r="D999" s="52" t="s">
        <v>728</v>
      </c>
      <c r="E999" s="65" t="s">
        <v>780</v>
      </c>
      <c r="F999" s="53">
        <f>IFERROR(VLOOKUP(E999,Fornecedores!$A$2:$B$2700,2,FALSE),"")</f>
        <v>2</v>
      </c>
      <c r="G999" s="52" t="s">
        <v>662</v>
      </c>
      <c r="H999" s="57"/>
      <c r="I999" s="55">
        <f t="shared" si="349"/>
        <v>0</v>
      </c>
      <c r="J999" s="55">
        <v>0</v>
      </c>
      <c r="K999" s="55">
        <v>0</v>
      </c>
      <c r="L999" s="55">
        <v>0</v>
      </c>
      <c r="M999" s="55">
        <v>0</v>
      </c>
      <c r="N999" s="55">
        <f t="shared" si="350"/>
        <v>0</v>
      </c>
      <c r="O999" s="55">
        <v>0</v>
      </c>
      <c r="P999" s="55">
        <v>0</v>
      </c>
      <c r="Q999" s="55">
        <v>0</v>
      </c>
      <c r="R999" s="55">
        <f t="shared" si="351"/>
        <v>0</v>
      </c>
      <c r="S999" s="55">
        <v>0</v>
      </c>
      <c r="T999" s="55">
        <v>0</v>
      </c>
      <c r="U999" s="55">
        <v>0</v>
      </c>
      <c r="V999" s="55">
        <v>0</v>
      </c>
      <c r="W999" s="53">
        <v>0</v>
      </c>
      <c r="X999" s="53">
        <v>0</v>
      </c>
      <c r="Y999" s="55">
        <v>0</v>
      </c>
      <c r="Z999" s="55">
        <v>0</v>
      </c>
      <c r="AA999" s="53">
        <v>0</v>
      </c>
      <c r="AB999" s="53">
        <v>0</v>
      </c>
      <c r="AC999" s="55">
        <v>0</v>
      </c>
      <c r="AD999" s="55">
        <f t="shared" si="359"/>
        <v>0</v>
      </c>
      <c r="AE999" s="53">
        <v>0</v>
      </c>
      <c r="AF999" s="55">
        <v>0</v>
      </c>
      <c r="AG999" s="55">
        <v>0</v>
      </c>
      <c r="AH999" s="55">
        <f t="shared" si="354"/>
        <v>0</v>
      </c>
      <c r="AI999" s="55">
        <v>0</v>
      </c>
      <c r="AJ999" s="55">
        <v>0</v>
      </c>
      <c r="AK999" s="55">
        <v>0</v>
      </c>
      <c r="AL999" s="55">
        <f t="shared" si="355"/>
        <v>0</v>
      </c>
      <c r="AM999" s="55" t="s">
        <v>1912</v>
      </c>
      <c r="AN999" s="55">
        <v>0</v>
      </c>
      <c r="AO999" s="55">
        <v>0</v>
      </c>
      <c r="AP999" s="55">
        <f t="shared" si="344"/>
        <v>0</v>
      </c>
      <c r="AQ999" s="55">
        <f>IFERROR(VLOOKUP(A999,[1]SIIMPLES!$A$2:$F$418,6,FALSE),0)</f>
        <v>0</v>
      </c>
      <c r="AR999" s="55">
        <v>0</v>
      </c>
      <c r="AS999" s="55">
        <v>0</v>
      </c>
      <c r="AT999" s="55">
        <v>0</v>
      </c>
      <c r="AU999" s="55">
        <v>0</v>
      </c>
      <c r="AV999" s="55">
        <v>0</v>
      </c>
      <c r="AW999" s="55"/>
      <c r="AX999" s="55"/>
      <c r="AY999" s="56">
        <f t="shared" si="348"/>
        <v>0</v>
      </c>
      <c r="AZ999" s="55"/>
      <c r="BA999" s="56">
        <v>0</v>
      </c>
      <c r="BB999" s="41" t="str">
        <f t="shared" si="358"/>
        <v/>
      </c>
      <c r="BC999" s="13"/>
      <c r="BD999" s="35"/>
      <c r="BE999" s="13"/>
      <c r="BF999" s="16">
        <f t="shared" si="356"/>
        <v>0</v>
      </c>
      <c r="BG999" s="17" t="str">
        <f t="shared" si="357"/>
        <v>0</v>
      </c>
      <c r="BH999" s="16">
        <f t="shared" si="353"/>
        <v>0</v>
      </c>
    </row>
    <row r="1000" spans="1:60" ht="12.75" customHeight="1" x14ac:dyDescent="0.2">
      <c r="A1000" s="51">
        <v>442108</v>
      </c>
      <c r="B1000" s="51" t="s">
        <v>1086</v>
      </c>
      <c r="C1000" s="66" t="s">
        <v>1803</v>
      </c>
      <c r="D1000" s="52" t="s">
        <v>728</v>
      </c>
      <c r="E1000" s="65" t="s">
        <v>780</v>
      </c>
      <c r="F1000" s="53">
        <f>IFERROR(VLOOKUP(E1000,Fornecedores!$A$2:$B$2700,2,FALSE),"")</f>
        <v>2</v>
      </c>
      <c r="G1000" s="52" t="s">
        <v>1844</v>
      </c>
      <c r="H1000" s="57"/>
      <c r="I1000" s="55">
        <f t="shared" si="349"/>
        <v>0</v>
      </c>
      <c r="J1000" s="55">
        <v>0</v>
      </c>
      <c r="K1000" s="55">
        <v>0</v>
      </c>
      <c r="L1000" s="55">
        <v>0</v>
      </c>
      <c r="M1000" s="55">
        <v>0</v>
      </c>
      <c r="N1000" s="55">
        <f t="shared" si="350"/>
        <v>0</v>
      </c>
      <c r="O1000" s="55">
        <v>0</v>
      </c>
      <c r="P1000" s="55">
        <v>0</v>
      </c>
      <c r="Q1000" s="55">
        <v>0</v>
      </c>
      <c r="R1000" s="55">
        <f t="shared" si="351"/>
        <v>0</v>
      </c>
      <c r="S1000" s="55">
        <v>0</v>
      </c>
      <c r="T1000" s="55">
        <v>0</v>
      </c>
      <c r="U1000" s="55">
        <v>0</v>
      </c>
      <c r="V1000" s="55">
        <v>0</v>
      </c>
      <c r="W1000" s="53">
        <v>0</v>
      </c>
      <c r="X1000" s="53">
        <v>0</v>
      </c>
      <c r="Y1000" s="55">
        <v>0</v>
      </c>
      <c r="Z1000" s="55">
        <v>0</v>
      </c>
      <c r="AA1000" s="53">
        <v>0</v>
      </c>
      <c r="AB1000" s="53">
        <v>0</v>
      </c>
      <c r="AC1000" s="55">
        <v>0</v>
      </c>
      <c r="AD1000" s="55">
        <f t="shared" si="359"/>
        <v>0</v>
      </c>
      <c r="AE1000" s="53">
        <v>0</v>
      </c>
      <c r="AF1000" s="55">
        <v>0</v>
      </c>
      <c r="AG1000" s="55">
        <v>0</v>
      </c>
      <c r="AH1000" s="55">
        <f t="shared" si="354"/>
        <v>0</v>
      </c>
      <c r="AI1000" s="55">
        <v>0</v>
      </c>
      <c r="AJ1000" s="55">
        <v>0</v>
      </c>
      <c r="AK1000" s="55">
        <v>0</v>
      </c>
      <c r="AL1000" s="55">
        <f t="shared" si="355"/>
        <v>0</v>
      </c>
      <c r="AM1000" s="55" t="s">
        <v>1912</v>
      </c>
      <c r="AN1000" s="55">
        <v>0</v>
      </c>
      <c r="AO1000" s="55">
        <v>0</v>
      </c>
      <c r="AP1000" s="55">
        <f t="shared" si="344"/>
        <v>0</v>
      </c>
      <c r="AQ1000" s="55">
        <f>IFERROR(VLOOKUP(A1000,[1]SIIMPLES!$A$2:$F$418,6,FALSE),0)</f>
        <v>0</v>
      </c>
      <c r="AR1000" s="55">
        <v>0</v>
      </c>
      <c r="AS1000" s="55">
        <v>0</v>
      </c>
      <c r="AT1000" s="55">
        <v>0</v>
      </c>
      <c r="AU1000" s="55">
        <v>0</v>
      </c>
      <c r="AV1000" s="55">
        <v>0</v>
      </c>
      <c r="AW1000" s="55"/>
      <c r="AX1000" s="55"/>
      <c r="AY1000" s="56">
        <f t="shared" si="348"/>
        <v>0</v>
      </c>
      <c r="AZ1000" s="55"/>
      <c r="BA1000" s="56">
        <v>0.33333333333333331</v>
      </c>
      <c r="BB1000" s="41">
        <f t="shared" si="358"/>
        <v>-1</v>
      </c>
      <c r="BC1000" s="13"/>
      <c r="BD1000" s="37"/>
      <c r="BE1000" s="13"/>
      <c r="BF1000" s="16">
        <f t="shared" si="356"/>
        <v>0</v>
      </c>
      <c r="BG1000" s="17" t="str">
        <f t="shared" si="357"/>
        <v>0</v>
      </c>
      <c r="BH1000" s="16">
        <f t="shared" si="353"/>
        <v>0</v>
      </c>
    </row>
    <row r="1001" spans="1:60" ht="12.75" customHeight="1" x14ac:dyDescent="0.2">
      <c r="A1001" s="51">
        <v>442109</v>
      </c>
      <c r="B1001" s="51" t="s">
        <v>1086</v>
      </c>
      <c r="C1001" s="66" t="s">
        <v>1803</v>
      </c>
      <c r="D1001" s="52" t="s">
        <v>728</v>
      </c>
      <c r="E1001" s="65" t="s">
        <v>780</v>
      </c>
      <c r="F1001" s="53">
        <f>IFERROR(VLOOKUP(E1001,Fornecedores!$A$2:$B$2700,2,FALSE),"")</f>
        <v>2</v>
      </c>
      <c r="G1001" s="52" t="s">
        <v>1843</v>
      </c>
      <c r="H1001" s="57"/>
      <c r="I1001" s="55">
        <f t="shared" si="349"/>
        <v>0</v>
      </c>
      <c r="J1001" s="55">
        <v>0</v>
      </c>
      <c r="K1001" s="55">
        <v>0</v>
      </c>
      <c r="L1001" s="55">
        <v>0</v>
      </c>
      <c r="M1001" s="55">
        <v>0</v>
      </c>
      <c r="N1001" s="55">
        <f t="shared" si="350"/>
        <v>0</v>
      </c>
      <c r="O1001" s="55">
        <v>0</v>
      </c>
      <c r="P1001" s="55">
        <v>0</v>
      </c>
      <c r="Q1001" s="55">
        <v>0</v>
      </c>
      <c r="R1001" s="55">
        <f t="shared" si="351"/>
        <v>0</v>
      </c>
      <c r="S1001" s="55">
        <v>0</v>
      </c>
      <c r="T1001" s="55">
        <v>0</v>
      </c>
      <c r="U1001" s="55">
        <v>0</v>
      </c>
      <c r="V1001" s="55">
        <v>0</v>
      </c>
      <c r="W1001" s="53">
        <v>0</v>
      </c>
      <c r="X1001" s="53">
        <v>0</v>
      </c>
      <c r="Y1001" s="55">
        <v>0</v>
      </c>
      <c r="Z1001" s="55">
        <v>0</v>
      </c>
      <c r="AA1001" s="53">
        <v>0</v>
      </c>
      <c r="AB1001" s="53">
        <v>0</v>
      </c>
      <c r="AC1001" s="55">
        <v>0</v>
      </c>
      <c r="AD1001" s="55">
        <f t="shared" si="359"/>
        <v>0</v>
      </c>
      <c r="AE1001" s="53">
        <v>0</v>
      </c>
      <c r="AF1001" s="55">
        <v>0</v>
      </c>
      <c r="AG1001" s="55">
        <v>0</v>
      </c>
      <c r="AH1001" s="55">
        <f t="shared" si="354"/>
        <v>0</v>
      </c>
      <c r="AI1001" s="55">
        <v>0</v>
      </c>
      <c r="AJ1001" s="55">
        <v>0</v>
      </c>
      <c r="AK1001" s="55">
        <v>0</v>
      </c>
      <c r="AL1001" s="55">
        <f t="shared" si="355"/>
        <v>0</v>
      </c>
      <c r="AM1001" s="55" t="s">
        <v>1912</v>
      </c>
      <c r="AN1001" s="55">
        <v>0</v>
      </c>
      <c r="AO1001" s="55">
        <v>0</v>
      </c>
      <c r="AP1001" s="55">
        <f t="shared" si="344"/>
        <v>0</v>
      </c>
      <c r="AQ1001" s="55">
        <f>IFERROR(VLOOKUP(A1001,[1]SIIMPLES!$A$2:$F$418,6,FALSE),0)</f>
        <v>0</v>
      </c>
      <c r="AR1001" s="55">
        <v>0</v>
      </c>
      <c r="AS1001" s="55">
        <v>0</v>
      </c>
      <c r="AT1001" s="55">
        <v>0</v>
      </c>
      <c r="AU1001" s="55">
        <v>0</v>
      </c>
      <c r="AV1001" s="55">
        <v>0</v>
      </c>
      <c r="AW1001" s="55"/>
      <c r="AX1001" s="55"/>
      <c r="AY1001" s="56">
        <f t="shared" si="348"/>
        <v>0</v>
      </c>
      <c r="AZ1001" s="55"/>
      <c r="BA1001" s="56">
        <v>0.33333333333333331</v>
      </c>
      <c r="BB1001" s="41">
        <f t="shared" si="358"/>
        <v>-1</v>
      </c>
      <c r="BC1001" s="13"/>
      <c r="BD1001" s="35"/>
      <c r="BE1001" s="13"/>
      <c r="BF1001" s="16">
        <f t="shared" si="356"/>
        <v>0</v>
      </c>
      <c r="BG1001" s="17" t="str">
        <f t="shared" si="357"/>
        <v>0</v>
      </c>
      <c r="BH1001" s="16">
        <f t="shared" si="353"/>
        <v>0</v>
      </c>
    </row>
    <row r="1002" spans="1:60" ht="12.75" customHeight="1" x14ac:dyDescent="0.2">
      <c r="A1002" s="51">
        <v>442110</v>
      </c>
      <c r="B1002" s="51" t="s">
        <v>1077</v>
      </c>
      <c r="C1002" s="66" t="s">
        <v>1803</v>
      </c>
      <c r="D1002" s="52" t="s">
        <v>728</v>
      </c>
      <c r="E1002" s="65" t="s">
        <v>780</v>
      </c>
      <c r="F1002" s="53">
        <f>IFERROR(VLOOKUP(E1002,Fornecedores!$A$2:$B$2700,2,FALSE),"")</f>
        <v>2</v>
      </c>
      <c r="G1002" s="52" t="s">
        <v>1332</v>
      </c>
      <c r="H1002" s="57"/>
      <c r="I1002" s="55">
        <f t="shared" si="349"/>
        <v>0</v>
      </c>
      <c r="J1002" s="55">
        <v>0</v>
      </c>
      <c r="K1002" s="55">
        <v>0</v>
      </c>
      <c r="L1002" s="55">
        <v>0</v>
      </c>
      <c r="M1002" s="55">
        <v>0</v>
      </c>
      <c r="N1002" s="55">
        <f t="shared" si="350"/>
        <v>0</v>
      </c>
      <c r="O1002" s="55">
        <v>0</v>
      </c>
      <c r="P1002" s="55">
        <v>0</v>
      </c>
      <c r="Q1002" s="55">
        <v>0</v>
      </c>
      <c r="R1002" s="55">
        <f t="shared" si="351"/>
        <v>0</v>
      </c>
      <c r="S1002" s="55">
        <v>0</v>
      </c>
      <c r="T1002" s="55">
        <v>0</v>
      </c>
      <c r="U1002" s="55">
        <v>0</v>
      </c>
      <c r="V1002" s="55">
        <v>0</v>
      </c>
      <c r="W1002" s="53">
        <v>0</v>
      </c>
      <c r="X1002" s="53">
        <v>0</v>
      </c>
      <c r="Y1002" s="55">
        <v>0</v>
      </c>
      <c r="Z1002" s="55">
        <v>0</v>
      </c>
      <c r="AA1002" s="53">
        <v>0</v>
      </c>
      <c r="AB1002" s="53">
        <v>0</v>
      </c>
      <c r="AC1002" s="55">
        <v>0</v>
      </c>
      <c r="AD1002" s="55">
        <f t="shared" si="359"/>
        <v>0</v>
      </c>
      <c r="AE1002" s="53">
        <v>0</v>
      </c>
      <c r="AF1002" s="55">
        <v>0</v>
      </c>
      <c r="AG1002" s="55">
        <v>0</v>
      </c>
      <c r="AH1002" s="55">
        <f t="shared" si="354"/>
        <v>0</v>
      </c>
      <c r="AI1002" s="55">
        <v>0</v>
      </c>
      <c r="AJ1002" s="55">
        <v>0</v>
      </c>
      <c r="AK1002" s="55">
        <v>0</v>
      </c>
      <c r="AL1002" s="55">
        <f t="shared" si="355"/>
        <v>0</v>
      </c>
      <c r="AM1002" s="55" t="s">
        <v>1912</v>
      </c>
      <c r="AN1002" s="55">
        <v>0</v>
      </c>
      <c r="AO1002" s="55">
        <v>0</v>
      </c>
      <c r="AP1002" s="55">
        <f t="shared" si="344"/>
        <v>0</v>
      </c>
      <c r="AQ1002" s="55">
        <f>IFERROR(VLOOKUP(A1002,[1]SIIMPLES!$A$2:$F$418,6,FALSE),0)</f>
        <v>0</v>
      </c>
      <c r="AR1002" s="55">
        <v>0</v>
      </c>
      <c r="AS1002" s="55">
        <v>0</v>
      </c>
      <c r="AT1002" s="55">
        <v>0</v>
      </c>
      <c r="AU1002" s="55">
        <v>0</v>
      </c>
      <c r="AV1002" s="55">
        <v>0</v>
      </c>
      <c r="AW1002" s="55"/>
      <c r="AX1002" s="55"/>
      <c r="AY1002" s="56">
        <f t="shared" si="348"/>
        <v>0</v>
      </c>
      <c r="AZ1002" s="55"/>
      <c r="BA1002" s="56">
        <v>0</v>
      </c>
      <c r="BB1002" s="41" t="str">
        <f t="shared" si="358"/>
        <v/>
      </c>
      <c r="BC1002" s="7"/>
      <c r="BD1002" s="35"/>
      <c r="BE1002" s="13"/>
      <c r="BF1002" s="16">
        <f t="shared" si="356"/>
        <v>0</v>
      </c>
      <c r="BG1002" s="17" t="str">
        <f t="shared" si="357"/>
        <v>0</v>
      </c>
      <c r="BH1002" s="16">
        <f t="shared" si="353"/>
        <v>0</v>
      </c>
    </row>
    <row r="1003" spans="1:60" ht="12.75" customHeight="1" x14ac:dyDescent="0.2">
      <c r="A1003" s="51">
        <v>442111</v>
      </c>
      <c r="B1003" s="51" t="s">
        <v>1077</v>
      </c>
      <c r="C1003" s="66" t="s">
        <v>1803</v>
      </c>
      <c r="D1003" s="52" t="s">
        <v>728</v>
      </c>
      <c r="E1003" s="65" t="s">
        <v>780</v>
      </c>
      <c r="F1003" s="53">
        <f>IFERROR(VLOOKUP(E1003,Fornecedores!$A$2:$B$2700,2,FALSE),"")</f>
        <v>2</v>
      </c>
      <c r="G1003" s="52" t="s">
        <v>1333</v>
      </c>
      <c r="H1003" s="57"/>
      <c r="I1003" s="55">
        <f t="shared" si="349"/>
        <v>0</v>
      </c>
      <c r="J1003" s="55">
        <v>0</v>
      </c>
      <c r="K1003" s="55">
        <v>0</v>
      </c>
      <c r="L1003" s="55">
        <v>0</v>
      </c>
      <c r="M1003" s="55">
        <v>0</v>
      </c>
      <c r="N1003" s="55">
        <f t="shared" si="350"/>
        <v>0</v>
      </c>
      <c r="O1003" s="55">
        <v>0</v>
      </c>
      <c r="P1003" s="55">
        <v>0</v>
      </c>
      <c r="Q1003" s="55">
        <v>0</v>
      </c>
      <c r="R1003" s="55">
        <f t="shared" si="351"/>
        <v>0</v>
      </c>
      <c r="S1003" s="55">
        <v>0</v>
      </c>
      <c r="T1003" s="55">
        <v>0</v>
      </c>
      <c r="U1003" s="55">
        <v>0</v>
      </c>
      <c r="V1003" s="55">
        <v>0</v>
      </c>
      <c r="W1003" s="53">
        <v>0</v>
      </c>
      <c r="X1003" s="53">
        <v>0</v>
      </c>
      <c r="Y1003" s="55">
        <v>0</v>
      </c>
      <c r="Z1003" s="55">
        <v>0</v>
      </c>
      <c r="AA1003" s="53">
        <v>0</v>
      </c>
      <c r="AB1003" s="53">
        <v>0</v>
      </c>
      <c r="AC1003" s="55">
        <v>0</v>
      </c>
      <c r="AD1003" s="55">
        <f t="shared" si="359"/>
        <v>0</v>
      </c>
      <c r="AE1003" s="53">
        <v>0</v>
      </c>
      <c r="AF1003" s="55">
        <v>0</v>
      </c>
      <c r="AG1003" s="55">
        <v>0</v>
      </c>
      <c r="AH1003" s="55">
        <f t="shared" si="354"/>
        <v>0</v>
      </c>
      <c r="AI1003" s="55">
        <v>0</v>
      </c>
      <c r="AJ1003" s="55">
        <v>0</v>
      </c>
      <c r="AK1003" s="55">
        <v>0</v>
      </c>
      <c r="AL1003" s="55">
        <f t="shared" si="355"/>
        <v>0</v>
      </c>
      <c r="AM1003" s="55" t="s">
        <v>1912</v>
      </c>
      <c r="AN1003" s="55">
        <v>0</v>
      </c>
      <c r="AO1003" s="55">
        <v>0</v>
      </c>
      <c r="AP1003" s="55">
        <f t="shared" si="344"/>
        <v>0</v>
      </c>
      <c r="AQ1003" s="55">
        <f>IFERROR(VLOOKUP(A1003,[1]SIIMPLES!$A$2:$F$418,6,FALSE),0)</f>
        <v>0</v>
      </c>
      <c r="AR1003" s="55">
        <v>0</v>
      </c>
      <c r="AS1003" s="55">
        <v>0</v>
      </c>
      <c r="AT1003" s="55">
        <v>0</v>
      </c>
      <c r="AU1003" s="55">
        <v>0</v>
      </c>
      <c r="AV1003" s="55">
        <v>0</v>
      </c>
      <c r="AW1003" s="55"/>
      <c r="AX1003" s="55"/>
      <c r="AY1003" s="56">
        <f t="shared" si="348"/>
        <v>0</v>
      </c>
      <c r="AZ1003" s="55"/>
      <c r="BA1003" s="56">
        <v>0</v>
      </c>
      <c r="BB1003" s="41" t="str">
        <f t="shared" si="358"/>
        <v/>
      </c>
      <c r="BC1003" s="13"/>
      <c r="BD1003" s="35"/>
      <c r="BE1003" s="13"/>
      <c r="BF1003" s="16">
        <f t="shared" si="356"/>
        <v>0</v>
      </c>
      <c r="BG1003" s="17" t="str">
        <f t="shared" si="357"/>
        <v>0</v>
      </c>
      <c r="BH1003" s="16">
        <f t="shared" si="353"/>
        <v>0</v>
      </c>
    </row>
    <row r="1004" spans="1:60" ht="12.75" customHeight="1" x14ac:dyDescent="0.2">
      <c r="A1004" s="51">
        <v>442112</v>
      </c>
      <c r="B1004" s="51" t="s">
        <v>1077</v>
      </c>
      <c r="C1004" s="66" t="s">
        <v>1803</v>
      </c>
      <c r="D1004" s="52" t="s">
        <v>728</v>
      </c>
      <c r="E1004" s="65" t="s">
        <v>780</v>
      </c>
      <c r="F1004" s="53">
        <f>IFERROR(VLOOKUP(E1004,Fornecedores!$A$2:$B$2700,2,FALSE),"")</f>
        <v>2</v>
      </c>
      <c r="G1004" s="52" t="s">
        <v>946</v>
      </c>
      <c r="H1004" s="57"/>
      <c r="I1004" s="55">
        <f t="shared" si="349"/>
        <v>0</v>
      </c>
      <c r="J1004" s="55">
        <v>0</v>
      </c>
      <c r="K1004" s="55">
        <v>0</v>
      </c>
      <c r="L1004" s="55">
        <v>0</v>
      </c>
      <c r="M1004" s="55">
        <v>0</v>
      </c>
      <c r="N1004" s="55">
        <f t="shared" si="350"/>
        <v>0</v>
      </c>
      <c r="O1004" s="55">
        <v>0</v>
      </c>
      <c r="P1004" s="55">
        <v>0</v>
      </c>
      <c r="Q1004" s="55">
        <v>0</v>
      </c>
      <c r="R1004" s="55">
        <f t="shared" si="351"/>
        <v>0</v>
      </c>
      <c r="S1004" s="55">
        <v>0</v>
      </c>
      <c r="T1004" s="55">
        <v>0</v>
      </c>
      <c r="U1004" s="55">
        <v>0</v>
      </c>
      <c r="V1004" s="55">
        <v>0</v>
      </c>
      <c r="W1004" s="53">
        <v>0</v>
      </c>
      <c r="X1004" s="53">
        <v>0</v>
      </c>
      <c r="Y1004" s="55">
        <v>0</v>
      </c>
      <c r="Z1004" s="55">
        <v>0</v>
      </c>
      <c r="AA1004" s="53">
        <v>0</v>
      </c>
      <c r="AB1004" s="53">
        <v>0</v>
      </c>
      <c r="AC1004" s="55">
        <v>0</v>
      </c>
      <c r="AD1004" s="55">
        <f t="shared" si="359"/>
        <v>0</v>
      </c>
      <c r="AE1004" s="53">
        <v>0</v>
      </c>
      <c r="AF1004" s="55">
        <v>0</v>
      </c>
      <c r="AG1004" s="55">
        <v>0</v>
      </c>
      <c r="AH1004" s="55">
        <f t="shared" si="354"/>
        <v>0</v>
      </c>
      <c r="AI1004" s="55">
        <v>0</v>
      </c>
      <c r="AJ1004" s="55">
        <v>0</v>
      </c>
      <c r="AK1004" s="55">
        <v>0</v>
      </c>
      <c r="AL1004" s="55">
        <f t="shared" si="355"/>
        <v>0</v>
      </c>
      <c r="AM1004" s="55" t="s">
        <v>1912</v>
      </c>
      <c r="AN1004" s="55">
        <v>0</v>
      </c>
      <c r="AO1004" s="55">
        <v>0</v>
      </c>
      <c r="AP1004" s="55">
        <f t="shared" si="344"/>
        <v>0</v>
      </c>
      <c r="AQ1004" s="55">
        <f>IFERROR(VLOOKUP(A1004,[1]SIIMPLES!$A$2:$F$418,6,FALSE),0)</f>
        <v>0</v>
      </c>
      <c r="AR1004" s="55">
        <v>0</v>
      </c>
      <c r="AS1004" s="55">
        <v>0</v>
      </c>
      <c r="AT1004" s="55">
        <v>0</v>
      </c>
      <c r="AU1004" s="55">
        <v>0</v>
      </c>
      <c r="AV1004" s="55">
        <v>0</v>
      </c>
      <c r="AW1004" s="55"/>
      <c r="AX1004" s="55"/>
      <c r="AY1004" s="56">
        <f t="shared" si="348"/>
        <v>0</v>
      </c>
      <c r="AZ1004" s="55"/>
      <c r="BA1004" s="56">
        <v>0</v>
      </c>
      <c r="BB1004" s="41" t="str">
        <f t="shared" si="358"/>
        <v/>
      </c>
      <c r="BC1004" s="7"/>
      <c r="BD1004" s="35"/>
      <c r="BE1004" s="13"/>
      <c r="BF1004" s="16">
        <f t="shared" si="356"/>
        <v>0</v>
      </c>
      <c r="BG1004" s="17" t="str">
        <f t="shared" si="357"/>
        <v>0</v>
      </c>
      <c r="BH1004" s="16">
        <f t="shared" si="353"/>
        <v>0</v>
      </c>
    </row>
    <row r="1005" spans="1:60" ht="12.75" customHeight="1" x14ac:dyDescent="0.2">
      <c r="A1005" s="51">
        <v>442113</v>
      </c>
      <c r="B1005" s="51" t="s">
        <v>1077</v>
      </c>
      <c r="C1005" s="66" t="s">
        <v>1803</v>
      </c>
      <c r="D1005" s="52" t="s">
        <v>728</v>
      </c>
      <c r="E1005" s="65" t="s">
        <v>780</v>
      </c>
      <c r="F1005" s="53">
        <f>IFERROR(VLOOKUP(E1005,Fornecedores!$A$2:$B$2700,2,FALSE),"")</f>
        <v>2</v>
      </c>
      <c r="G1005" s="52" t="s">
        <v>546</v>
      </c>
      <c r="H1005" s="57"/>
      <c r="I1005" s="55">
        <f t="shared" si="349"/>
        <v>0</v>
      </c>
      <c r="J1005" s="55">
        <v>0</v>
      </c>
      <c r="K1005" s="55">
        <v>0</v>
      </c>
      <c r="L1005" s="55">
        <v>0</v>
      </c>
      <c r="M1005" s="55">
        <v>0</v>
      </c>
      <c r="N1005" s="55">
        <f t="shared" si="350"/>
        <v>0</v>
      </c>
      <c r="O1005" s="55">
        <v>0</v>
      </c>
      <c r="P1005" s="55">
        <v>0</v>
      </c>
      <c r="Q1005" s="55">
        <v>0</v>
      </c>
      <c r="R1005" s="55">
        <f t="shared" si="351"/>
        <v>0</v>
      </c>
      <c r="S1005" s="55">
        <v>0</v>
      </c>
      <c r="T1005" s="55">
        <v>0</v>
      </c>
      <c r="U1005" s="55">
        <v>0</v>
      </c>
      <c r="V1005" s="55">
        <v>0</v>
      </c>
      <c r="W1005" s="53">
        <v>0</v>
      </c>
      <c r="X1005" s="53">
        <v>0</v>
      </c>
      <c r="Y1005" s="55">
        <v>0</v>
      </c>
      <c r="Z1005" s="55">
        <v>0</v>
      </c>
      <c r="AA1005" s="53">
        <v>0</v>
      </c>
      <c r="AB1005" s="53">
        <v>0</v>
      </c>
      <c r="AC1005" s="55">
        <v>0</v>
      </c>
      <c r="AD1005" s="55">
        <f t="shared" si="359"/>
        <v>0</v>
      </c>
      <c r="AE1005" s="53">
        <v>0</v>
      </c>
      <c r="AF1005" s="55">
        <v>0</v>
      </c>
      <c r="AG1005" s="55">
        <v>0</v>
      </c>
      <c r="AH1005" s="55">
        <f t="shared" si="354"/>
        <v>0</v>
      </c>
      <c r="AI1005" s="55">
        <v>0</v>
      </c>
      <c r="AJ1005" s="55">
        <v>0</v>
      </c>
      <c r="AK1005" s="55">
        <v>0</v>
      </c>
      <c r="AL1005" s="55">
        <f t="shared" si="355"/>
        <v>0</v>
      </c>
      <c r="AM1005" s="55" t="s">
        <v>1912</v>
      </c>
      <c r="AN1005" s="55">
        <v>0</v>
      </c>
      <c r="AO1005" s="55">
        <v>0</v>
      </c>
      <c r="AP1005" s="55">
        <f t="shared" si="344"/>
        <v>0</v>
      </c>
      <c r="AQ1005" s="55">
        <f>IFERROR(VLOOKUP(A1005,[1]SIIMPLES!$A$2:$F$418,6,FALSE),0)</f>
        <v>0</v>
      </c>
      <c r="AR1005" s="55">
        <v>0</v>
      </c>
      <c r="AS1005" s="55">
        <v>0</v>
      </c>
      <c r="AT1005" s="55">
        <v>0</v>
      </c>
      <c r="AU1005" s="55">
        <v>0</v>
      </c>
      <c r="AV1005" s="55">
        <v>0</v>
      </c>
      <c r="AW1005" s="55"/>
      <c r="AX1005" s="55"/>
      <c r="AY1005" s="56">
        <f t="shared" si="348"/>
        <v>0</v>
      </c>
      <c r="AZ1005" s="55"/>
      <c r="BA1005" s="56">
        <v>0</v>
      </c>
      <c r="BB1005" s="41" t="str">
        <f t="shared" si="358"/>
        <v/>
      </c>
      <c r="BC1005" s="7"/>
      <c r="BD1005" s="35"/>
      <c r="BE1005" s="13"/>
      <c r="BF1005" s="16">
        <f t="shared" si="356"/>
        <v>0</v>
      </c>
      <c r="BG1005" s="17" t="str">
        <f t="shared" si="357"/>
        <v>0</v>
      </c>
      <c r="BH1005" s="16">
        <f>ROUND(IFERROR(IF(F1005=1,IF(BC1005&lt;AY1005*3,AY1005*3-BC1005,0),IF(BC1005&lt;AY1005,AY1005*0.6-BC1005,0)),""),0)</f>
        <v>0</v>
      </c>
    </row>
    <row r="1006" spans="1:60" ht="12.75" customHeight="1" x14ac:dyDescent="0.2">
      <c r="A1006" s="51">
        <v>442120</v>
      </c>
      <c r="B1006" s="51" t="s">
        <v>1077</v>
      </c>
      <c r="C1006" s="66" t="s">
        <v>1803</v>
      </c>
      <c r="D1006" s="52" t="s">
        <v>728</v>
      </c>
      <c r="E1006" s="65" t="s">
        <v>780</v>
      </c>
      <c r="F1006" s="53">
        <f>IFERROR(VLOOKUP(E1006,Fornecedores!$A$2:$B$2700,2,FALSE),"")</f>
        <v>2</v>
      </c>
      <c r="G1006" s="52" t="s">
        <v>528</v>
      </c>
      <c r="H1006" s="57"/>
      <c r="I1006" s="55">
        <f t="shared" si="349"/>
        <v>2</v>
      </c>
      <c r="J1006" s="55">
        <v>1</v>
      </c>
      <c r="K1006" s="55">
        <v>1</v>
      </c>
      <c r="L1006" s="55">
        <v>0</v>
      </c>
      <c r="M1006" s="55">
        <v>0</v>
      </c>
      <c r="N1006" s="55">
        <f t="shared" si="350"/>
        <v>2</v>
      </c>
      <c r="O1006" s="55">
        <v>0</v>
      </c>
      <c r="P1006" s="55">
        <v>2</v>
      </c>
      <c r="Q1006" s="55">
        <v>0</v>
      </c>
      <c r="R1006" s="55">
        <f t="shared" si="351"/>
        <v>0</v>
      </c>
      <c r="S1006" s="55">
        <v>0</v>
      </c>
      <c r="T1006" s="55">
        <v>0</v>
      </c>
      <c r="U1006" s="55">
        <v>0</v>
      </c>
      <c r="V1006" s="55">
        <v>2</v>
      </c>
      <c r="W1006" s="53">
        <v>0</v>
      </c>
      <c r="X1006" s="53">
        <v>2</v>
      </c>
      <c r="Y1006" s="55">
        <v>0</v>
      </c>
      <c r="Z1006" s="55">
        <v>0</v>
      </c>
      <c r="AA1006" s="53">
        <v>0</v>
      </c>
      <c r="AB1006" s="53">
        <v>0</v>
      </c>
      <c r="AC1006" s="55">
        <v>0</v>
      </c>
      <c r="AD1006" s="55">
        <f t="shared" si="359"/>
        <v>0</v>
      </c>
      <c r="AE1006" s="53">
        <v>0</v>
      </c>
      <c r="AF1006" s="55">
        <v>0</v>
      </c>
      <c r="AG1006" s="55">
        <v>0</v>
      </c>
      <c r="AH1006" s="55">
        <f t="shared" si="354"/>
        <v>0</v>
      </c>
      <c r="AI1006" s="55">
        <v>0</v>
      </c>
      <c r="AJ1006" s="55">
        <v>0</v>
      </c>
      <c r="AK1006" s="55">
        <v>0</v>
      </c>
      <c r="AL1006" s="55">
        <f t="shared" si="355"/>
        <v>0</v>
      </c>
      <c r="AM1006" s="55" t="s">
        <v>1912</v>
      </c>
      <c r="AN1006" s="55">
        <v>0</v>
      </c>
      <c r="AO1006" s="55">
        <v>0</v>
      </c>
      <c r="AP1006" s="55">
        <f t="shared" si="344"/>
        <v>0</v>
      </c>
      <c r="AQ1006" s="55">
        <f>IFERROR(VLOOKUP(A1006,[1]SIIMPLES!$A$2:$F$418,6,FALSE),0)</f>
        <v>0</v>
      </c>
      <c r="AR1006" s="55">
        <v>0</v>
      </c>
      <c r="AS1006" s="55">
        <v>0</v>
      </c>
      <c r="AT1006" s="55">
        <v>0</v>
      </c>
      <c r="AU1006" s="55">
        <v>0</v>
      </c>
      <c r="AV1006" s="55">
        <v>0</v>
      </c>
      <c r="AW1006" s="55"/>
      <c r="AX1006" s="55"/>
      <c r="AY1006" s="56">
        <f t="shared" si="348"/>
        <v>0.6</v>
      </c>
      <c r="AZ1006" s="55"/>
      <c r="BA1006" s="56">
        <v>0.83333333333333337</v>
      </c>
      <c r="BB1006" s="41">
        <f t="shared" si="358"/>
        <v>-0.28000000000000003</v>
      </c>
      <c r="BC1006" s="7"/>
      <c r="BD1006" s="35"/>
      <c r="BE1006" s="13"/>
      <c r="BF1006" s="16">
        <f t="shared" si="356"/>
        <v>0</v>
      </c>
      <c r="BG1006" s="17">
        <f t="shared" si="357"/>
        <v>0</v>
      </c>
      <c r="BH1006" s="16">
        <f>ROUND(IFERROR(IF(F1006=1,IF(BC1006&lt;AY1006*3,AY1006*3-BC1006,0),IF(BC1006&lt;AY1006,AY1006*0.6-BC1006,0)),""),0)</f>
        <v>0</v>
      </c>
    </row>
    <row r="1007" spans="1:60" ht="12.75" customHeight="1" x14ac:dyDescent="0.2">
      <c r="A1007" s="51">
        <v>442121</v>
      </c>
      <c r="B1007" s="51" t="s">
        <v>1077</v>
      </c>
      <c r="C1007" s="66" t="s">
        <v>1803</v>
      </c>
      <c r="D1007" s="52" t="s">
        <v>728</v>
      </c>
      <c r="E1007" s="65" t="s">
        <v>780</v>
      </c>
      <c r="F1007" s="53">
        <f>IFERROR(VLOOKUP(E1007,Fornecedores!$A$2:$B$2700,2,FALSE),"")</f>
        <v>2</v>
      </c>
      <c r="G1007" s="52" t="s">
        <v>550</v>
      </c>
      <c r="H1007" s="57"/>
      <c r="I1007" s="55">
        <f t="shared" si="349"/>
        <v>1</v>
      </c>
      <c r="J1007" s="55">
        <v>0</v>
      </c>
      <c r="K1007" s="55">
        <v>1</v>
      </c>
      <c r="L1007" s="55">
        <v>0</v>
      </c>
      <c r="M1007" s="55">
        <v>0</v>
      </c>
      <c r="N1007" s="55">
        <f t="shared" si="350"/>
        <v>2</v>
      </c>
      <c r="O1007" s="55">
        <v>0</v>
      </c>
      <c r="P1007" s="55">
        <v>2</v>
      </c>
      <c r="Q1007" s="55">
        <v>0</v>
      </c>
      <c r="R1007" s="55">
        <f t="shared" si="351"/>
        <v>0</v>
      </c>
      <c r="S1007" s="55">
        <v>0</v>
      </c>
      <c r="T1007" s="55">
        <v>0</v>
      </c>
      <c r="U1007" s="55">
        <v>0</v>
      </c>
      <c r="V1007" s="55">
        <v>2</v>
      </c>
      <c r="W1007" s="53">
        <v>0</v>
      </c>
      <c r="X1007" s="53">
        <v>2</v>
      </c>
      <c r="Y1007" s="55">
        <v>0</v>
      </c>
      <c r="Z1007" s="55">
        <v>0</v>
      </c>
      <c r="AA1007" s="53">
        <v>0</v>
      </c>
      <c r="AB1007" s="53">
        <v>0</v>
      </c>
      <c r="AC1007" s="55">
        <v>0</v>
      </c>
      <c r="AD1007" s="55">
        <f t="shared" si="359"/>
        <v>0</v>
      </c>
      <c r="AE1007" s="53">
        <v>0</v>
      </c>
      <c r="AF1007" s="55">
        <v>0</v>
      </c>
      <c r="AG1007" s="55">
        <v>0</v>
      </c>
      <c r="AH1007" s="55">
        <f t="shared" si="354"/>
        <v>0</v>
      </c>
      <c r="AI1007" s="55">
        <v>0</v>
      </c>
      <c r="AJ1007" s="55">
        <v>0</v>
      </c>
      <c r="AK1007" s="55">
        <v>0</v>
      </c>
      <c r="AL1007" s="55">
        <f t="shared" si="355"/>
        <v>0</v>
      </c>
      <c r="AM1007" s="55" t="s">
        <v>1912</v>
      </c>
      <c r="AN1007" s="55">
        <v>0</v>
      </c>
      <c r="AO1007" s="55">
        <v>0</v>
      </c>
      <c r="AP1007" s="55">
        <f t="shared" si="344"/>
        <v>0</v>
      </c>
      <c r="AQ1007" s="55">
        <f>IFERROR(VLOOKUP(A1007,[1]SIIMPLES!$A$2:$F$418,6,FALSE),0)</f>
        <v>0</v>
      </c>
      <c r="AR1007" s="55">
        <v>0</v>
      </c>
      <c r="AS1007" s="55">
        <v>0</v>
      </c>
      <c r="AT1007" s="55">
        <v>0</v>
      </c>
      <c r="AU1007" s="55">
        <v>0</v>
      </c>
      <c r="AV1007" s="55">
        <v>0</v>
      </c>
      <c r="AW1007" s="55"/>
      <c r="AX1007" s="55"/>
      <c r="AY1007" s="56">
        <f t="shared" si="348"/>
        <v>0.5</v>
      </c>
      <c r="AZ1007" s="55"/>
      <c r="BA1007" s="56">
        <v>0.83333333333333337</v>
      </c>
      <c r="BB1007" s="41">
        <f t="shared" si="358"/>
        <v>-0.4</v>
      </c>
      <c r="BC1007" s="7"/>
      <c r="BD1007" s="37"/>
      <c r="BE1007" s="13"/>
      <c r="BF1007" s="16">
        <f t="shared" si="356"/>
        <v>0</v>
      </c>
      <c r="BG1007" s="17">
        <f t="shared" ref="BG1007:BG1038" si="360">IFERROR(BC1007/AY1007,"0")</f>
        <v>0</v>
      </c>
      <c r="BH1007" s="16">
        <f>ROUND(IFERROR(IF(F1007=1,IF(BC1007&lt;AY1007*3,AY1007*3-BC1007,0),IF(BC1007&lt;AY1007,AY1007*0.6-BC1007,0)),""),0)</f>
        <v>0</v>
      </c>
    </row>
    <row r="1008" spans="1:60" ht="12.75" customHeight="1" x14ac:dyDescent="0.2">
      <c r="A1008" s="51">
        <v>442122</v>
      </c>
      <c r="B1008" s="51" t="s">
        <v>1077</v>
      </c>
      <c r="C1008" s="66" t="s">
        <v>1803</v>
      </c>
      <c r="D1008" s="52" t="s">
        <v>728</v>
      </c>
      <c r="E1008" s="65" t="s">
        <v>780</v>
      </c>
      <c r="F1008" s="53">
        <f>IFERROR(VLOOKUP(E1008,Fornecedores!$A$2:$B$2700,2,FALSE),"")</f>
        <v>2</v>
      </c>
      <c r="G1008" s="52" t="s">
        <v>639</v>
      </c>
      <c r="H1008" s="57"/>
      <c r="I1008" s="55">
        <f t="shared" si="349"/>
        <v>0</v>
      </c>
      <c r="J1008" s="55">
        <v>0</v>
      </c>
      <c r="K1008" s="55">
        <v>0</v>
      </c>
      <c r="L1008" s="55">
        <v>0</v>
      </c>
      <c r="M1008" s="55">
        <v>0</v>
      </c>
      <c r="N1008" s="55">
        <f t="shared" si="350"/>
        <v>1</v>
      </c>
      <c r="O1008" s="55">
        <v>1</v>
      </c>
      <c r="P1008" s="55">
        <v>0</v>
      </c>
      <c r="Q1008" s="55">
        <v>0</v>
      </c>
      <c r="R1008" s="55">
        <f t="shared" si="351"/>
        <v>0</v>
      </c>
      <c r="S1008" s="55">
        <v>0</v>
      </c>
      <c r="T1008" s="55">
        <v>0</v>
      </c>
      <c r="U1008" s="55">
        <v>0</v>
      </c>
      <c r="V1008" s="55">
        <v>0</v>
      </c>
      <c r="W1008" s="53">
        <v>0</v>
      </c>
      <c r="X1008" s="53">
        <v>0</v>
      </c>
      <c r="Y1008" s="55">
        <v>0</v>
      </c>
      <c r="Z1008" s="55">
        <v>1</v>
      </c>
      <c r="AA1008" s="53">
        <v>1</v>
      </c>
      <c r="AB1008" s="53">
        <v>0</v>
      </c>
      <c r="AC1008" s="55">
        <v>0</v>
      </c>
      <c r="AD1008" s="55">
        <f t="shared" si="359"/>
        <v>0</v>
      </c>
      <c r="AE1008" s="53">
        <v>0</v>
      </c>
      <c r="AF1008" s="55">
        <v>0</v>
      </c>
      <c r="AG1008" s="55">
        <v>0</v>
      </c>
      <c r="AH1008" s="55">
        <f t="shared" si="354"/>
        <v>0</v>
      </c>
      <c r="AI1008" s="55">
        <v>0</v>
      </c>
      <c r="AJ1008" s="55">
        <v>0</v>
      </c>
      <c r="AK1008" s="55">
        <v>0</v>
      </c>
      <c r="AL1008" s="55">
        <f t="shared" si="355"/>
        <v>0</v>
      </c>
      <c r="AM1008" s="55" t="s">
        <v>1912</v>
      </c>
      <c r="AN1008" s="55">
        <v>0</v>
      </c>
      <c r="AO1008" s="55">
        <v>0</v>
      </c>
      <c r="AP1008" s="55">
        <f t="shared" si="344"/>
        <v>0</v>
      </c>
      <c r="AQ1008" s="55">
        <f>IFERROR(VLOOKUP(A1008,[1]SIIMPLES!$A$2:$F$418,6,FALSE),0)</f>
        <v>0</v>
      </c>
      <c r="AR1008" s="55">
        <v>0</v>
      </c>
      <c r="AS1008" s="55">
        <v>0</v>
      </c>
      <c r="AT1008" s="55">
        <v>0</v>
      </c>
      <c r="AU1008" s="55">
        <v>0</v>
      </c>
      <c r="AV1008" s="55">
        <v>0</v>
      </c>
      <c r="AW1008" s="55"/>
      <c r="AX1008" s="55"/>
      <c r="AY1008" s="56">
        <f t="shared" si="348"/>
        <v>0.2</v>
      </c>
      <c r="AZ1008" s="55"/>
      <c r="BA1008" s="56">
        <v>0.16666666666666666</v>
      </c>
      <c r="BB1008" s="41">
        <f t="shared" si="358"/>
        <v>0.20000000000000018</v>
      </c>
      <c r="BC1008" s="13"/>
      <c r="BD1008" s="35"/>
      <c r="BE1008" s="13"/>
      <c r="BF1008" s="16">
        <f t="shared" si="356"/>
        <v>0</v>
      </c>
      <c r="BG1008" s="17">
        <f t="shared" si="360"/>
        <v>0</v>
      </c>
      <c r="BH1008" s="16">
        <f>ROUND(IFERROR(IF(F1008=1,IF(BC1008&lt;AY1008*3,AY1008*3-BC1008,0),IF(BC1008&lt;AY1008,AY1008*0.6-BC1008,0)),""),0)</f>
        <v>0</v>
      </c>
    </row>
    <row r="1009" spans="1:60" ht="12.75" customHeight="1" x14ac:dyDescent="0.2">
      <c r="A1009" s="51">
        <v>442123</v>
      </c>
      <c r="B1009" s="51" t="s">
        <v>1077</v>
      </c>
      <c r="C1009" s="66" t="s">
        <v>1803</v>
      </c>
      <c r="D1009" s="52" t="s">
        <v>728</v>
      </c>
      <c r="E1009" s="65" t="s">
        <v>780</v>
      </c>
      <c r="F1009" s="53">
        <f>IFERROR(VLOOKUP(E1009,Fornecedores!$A$2:$B$2700,2,FALSE),"")</f>
        <v>2</v>
      </c>
      <c r="G1009" s="52" t="s">
        <v>669</v>
      </c>
      <c r="H1009" s="57"/>
      <c r="I1009" s="55">
        <f t="shared" si="349"/>
        <v>0</v>
      </c>
      <c r="J1009" s="55">
        <v>0</v>
      </c>
      <c r="K1009" s="55">
        <v>0</v>
      </c>
      <c r="L1009" s="55">
        <v>0</v>
      </c>
      <c r="M1009" s="55">
        <v>0</v>
      </c>
      <c r="N1009" s="55">
        <f t="shared" si="350"/>
        <v>0</v>
      </c>
      <c r="O1009" s="55">
        <v>0</v>
      </c>
      <c r="P1009" s="55">
        <v>0</v>
      </c>
      <c r="Q1009" s="55">
        <v>0</v>
      </c>
      <c r="R1009" s="55">
        <f t="shared" si="351"/>
        <v>0</v>
      </c>
      <c r="S1009" s="55">
        <v>0</v>
      </c>
      <c r="T1009" s="55">
        <v>0</v>
      </c>
      <c r="U1009" s="55">
        <v>0</v>
      </c>
      <c r="V1009" s="55">
        <v>0</v>
      </c>
      <c r="W1009" s="53">
        <v>0</v>
      </c>
      <c r="X1009" s="53">
        <v>0</v>
      </c>
      <c r="Y1009" s="55">
        <v>0</v>
      </c>
      <c r="Z1009" s="55">
        <v>0</v>
      </c>
      <c r="AA1009" s="53">
        <v>0</v>
      </c>
      <c r="AB1009" s="53">
        <v>0</v>
      </c>
      <c r="AC1009" s="55">
        <v>0</v>
      </c>
      <c r="AD1009" s="55">
        <f t="shared" si="359"/>
        <v>0</v>
      </c>
      <c r="AE1009" s="53">
        <v>0</v>
      </c>
      <c r="AF1009" s="55">
        <v>0</v>
      </c>
      <c r="AG1009" s="55">
        <v>0</v>
      </c>
      <c r="AH1009" s="55">
        <f t="shared" si="354"/>
        <v>0</v>
      </c>
      <c r="AI1009" s="55">
        <v>0</v>
      </c>
      <c r="AJ1009" s="55">
        <v>0</v>
      </c>
      <c r="AK1009" s="55">
        <v>0</v>
      </c>
      <c r="AL1009" s="55">
        <f t="shared" si="355"/>
        <v>0</v>
      </c>
      <c r="AM1009" s="55" t="s">
        <v>1912</v>
      </c>
      <c r="AN1009" s="55">
        <v>0</v>
      </c>
      <c r="AO1009" s="55">
        <v>0</v>
      </c>
      <c r="AP1009" s="55">
        <f t="shared" si="344"/>
        <v>0</v>
      </c>
      <c r="AQ1009" s="55">
        <f>IFERROR(VLOOKUP(A1009,[1]SIIMPLES!$A$2:$F$418,6,FALSE),0)</f>
        <v>0</v>
      </c>
      <c r="AR1009" s="55">
        <v>0</v>
      </c>
      <c r="AS1009" s="55">
        <v>0</v>
      </c>
      <c r="AT1009" s="55">
        <v>0</v>
      </c>
      <c r="AU1009" s="55">
        <v>0</v>
      </c>
      <c r="AV1009" s="55">
        <v>0</v>
      </c>
      <c r="AW1009" s="55"/>
      <c r="AX1009" s="55"/>
      <c r="AY1009" s="56">
        <f t="shared" si="348"/>
        <v>0</v>
      </c>
      <c r="AZ1009" s="55"/>
      <c r="BA1009" s="56">
        <v>0</v>
      </c>
      <c r="BB1009" s="41" t="str">
        <f t="shared" si="358"/>
        <v/>
      </c>
      <c r="BC1009" s="13"/>
      <c r="BD1009" s="35"/>
      <c r="BE1009" s="13"/>
      <c r="BF1009" s="16">
        <f t="shared" si="356"/>
        <v>0</v>
      </c>
      <c r="BG1009" s="17" t="str">
        <f t="shared" si="360"/>
        <v>0</v>
      </c>
      <c r="BH1009" s="16">
        <f>ROUND(IFERROR(IF(F1009=1,IF(BC1009&lt;AY1009*3,AY1009*3-BC1009,0),IF(BC1009&lt;AY1009,AY1009*0.6-BC1009,0)),""),0)</f>
        <v>0</v>
      </c>
    </row>
    <row r="1010" spans="1:60" ht="12.75" customHeight="1" x14ac:dyDescent="0.2">
      <c r="A1010" s="51">
        <v>442125</v>
      </c>
      <c r="B1010" s="51" t="s">
        <v>1077</v>
      </c>
      <c r="C1010" s="66" t="s">
        <v>1803</v>
      </c>
      <c r="D1010" s="52" t="s">
        <v>728</v>
      </c>
      <c r="E1010" s="65" t="s">
        <v>780</v>
      </c>
      <c r="F1010" s="53">
        <f>IFERROR(VLOOKUP(E1010,Fornecedores!$A$2:$B$2700,2,FALSE),"")</f>
        <v>2</v>
      </c>
      <c r="G1010" s="52" t="s">
        <v>645</v>
      </c>
      <c r="H1010" s="57"/>
      <c r="I1010" s="55">
        <f t="shared" si="349"/>
        <v>0</v>
      </c>
      <c r="J1010" s="55">
        <v>0</v>
      </c>
      <c r="K1010" s="55">
        <v>0</v>
      </c>
      <c r="L1010" s="55">
        <v>0</v>
      </c>
      <c r="M1010" s="55">
        <v>0</v>
      </c>
      <c r="N1010" s="55">
        <f t="shared" si="350"/>
        <v>0</v>
      </c>
      <c r="O1010" s="55">
        <v>0</v>
      </c>
      <c r="P1010" s="55">
        <v>0</v>
      </c>
      <c r="Q1010" s="55">
        <v>0</v>
      </c>
      <c r="R1010" s="55">
        <f t="shared" si="351"/>
        <v>0</v>
      </c>
      <c r="S1010" s="55">
        <v>0</v>
      </c>
      <c r="T1010" s="55">
        <v>0</v>
      </c>
      <c r="U1010" s="55">
        <v>0</v>
      </c>
      <c r="V1010" s="55">
        <v>0</v>
      </c>
      <c r="W1010" s="53">
        <v>0</v>
      </c>
      <c r="X1010" s="53">
        <v>0</v>
      </c>
      <c r="Y1010" s="55">
        <v>0</v>
      </c>
      <c r="Z1010" s="55">
        <v>0</v>
      </c>
      <c r="AA1010" s="53">
        <v>0</v>
      </c>
      <c r="AB1010" s="53">
        <v>0</v>
      </c>
      <c r="AC1010" s="55">
        <v>0</v>
      </c>
      <c r="AD1010" s="55">
        <f t="shared" si="359"/>
        <v>0</v>
      </c>
      <c r="AE1010" s="53">
        <v>0</v>
      </c>
      <c r="AF1010" s="55">
        <v>0</v>
      </c>
      <c r="AG1010" s="55">
        <v>0</v>
      </c>
      <c r="AH1010" s="55">
        <f t="shared" si="354"/>
        <v>0</v>
      </c>
      <c r="AI1010" s="55">
        <v>0</v>
      </c>
      <c r="AJ1010" s="55">
        <v>0</v>
      </c>
      <c r="AK1010" s="55">
        <v>0</v>
      </c>
      <c r="AL1010" s="55">
        <f t="shared" si="355"/>
        <v>0</v>
      </c>
      <c r="AM1010" s="55" t="s">
        <v>1912</v>
      </c>
      <c r="AN1010" s="55">
        <v>0</v>
      </c>
      <c r="AO1010" s="55">
        <v>0</v>
      </c>
      <c r="AP1010" s="55">
        <f t="shared" si="344"/>
        <v>0</v>
      </c>
      <c r="AQ1010" s="55">
        <f>IFERROR(VLOOKUP(A1010,[1]SIIMPLES!$A$2:$F$418,6,FALSE),0)</f>
        <v>0</v>
      </c>
      <c r="AR1010" s="55">
        <v>0</v>
      </c>
      <c r="AS1010" s="55">
        <v>0</v>
      </c>
      <c r="AT1010" s="55">
        <v>0</v>
      </c>
      <c r="AU1010" s="55">
        <v>0</v>
      </c>
      <c r="AV1010" s="55">
        <v>0</v>
      </c>
      <c r="AW1010" s="55"/>
      <c r="AX1010" s="55"/>
      <c r="AY1010" s="56">
        <f t="shared" si="348"/>
        <v>0</v>
      </c>
      <c r="AZ1010" s="55"/>
      <c r="BA1010" s="56">
        <v>0.16666666666666666</v>
      </c>
      <c r="BB1010" s="41">
        <f t="shared" si="358"/>
        <v>-1</v>
      </c>
      <c r="BC1010" s="7"/>
      <c r="BD1010" s="35"/>
      <c r="BE1010" s="13"/>
      <c r="BF1010" s="16">
        <f t="shared" si="356"/>
        <v>0</v>
      </c>
      <c r="BG1010" s="17" t="str">
        <f t="shared" si="360"/>
        <v>0</v>
      </c>
      <c r="BH1010" s="16">
        <f>IFERROR(IF(F1010=1,IF(BC1010&lt;AY1010*3,AY1010*3-BC1010,0),IF(BC1010&lt;AY1010,AY1010-BC1010,0)),"")</f>
        <v>0</v>
      </c>
    </row>
    <row r="1011" spans="1:60" ht="12.75" customHeight="1" x14ac:dyDescent="0.2">
      <c r="A1011" s="51">
        <v>442126</v>
      </c>
      <c r="B1011" s="51"/>
      <c r="C1011" s="66" t="s">
        <v>1803</v>
      </c>
      <c r="D1011" s="52" t="s">
        <v>728</v>
      </c>
      <c r="E1011" s="65" t="s">
        <v>780</v>
      </c>
      <c r="F1011" s="53">
        <f>IFERROR(VLOOKUP(E1011,Fornecedores!$A$2:$B$2700,2,FALSE),"")</f>
        <v>2</v>
      </c>
      <c r="G1011" s="52" t="s">
        <v>1335</v>
      </c>
      <c r="H1011" s="57"/>
      <c r="I1011" s="55">
        <f t="shared" si="349"/>
        <v>1</v>
      </c>
      <c r="J1011" s="55">
        <v>1</v>
      </c>
      <c r="K1011" s="55">
        <v>0</v>
      </c>
      <c r="L1011" s="55">
        <v>0</v>
      </c>
      <c r="M1011" s="55">
        <v>0</v>
      </c>
      <c r="N1011" s="55">
        <f t="shared" si="350"/>
        <v>0</v>
      </c>
      <c r="O1011" s="55">
        <v>0</v>
      </c>
      <c r="P1011" s="55">
        <v>0</v>
      </c>
      <c r="Q1011" s="55">
        <v>0</v>
      </c>
      <c r="R1011" s="55">
        <f t="shared" si="351"/>
        <v>0</v>
      </c>
      <c r="S1011" s="55">
        <v>0</v>
      </c>
      <c r="T1011" s="55">
        <v>0</v>
      </c>
      <c r="U1011" s="55">
        <v>0</v>
      </c>
      <c r="V1011" s="55">
        <v>1</v>
      </c>
      <c r="W1011" s="53">
        <v>1</v>
      </c>
      <c r="X1011" s="53">
        <v>0</v>
      </c>
      <c r="Y1011" s="55">
        <v>0</v>
      </c>
      <c r="Z1011" s="55">
        <v>0</v>
      </c>
      <c r="AA1011" s="53">
        <v>0</v>
      </c>
      <c r="AB1011" s="53">
        <v>0</v>
      </c>
      <c r="AC1011" s="55">
        <v>0</v>
      </c>
      <c r="AD1011" s="55">
        <f t="shared" si="359"/>
        <v>0</v>
      </c>
      <c r="AE1011" s="53">
        <v>0</v>
      </c>
      <c r="AF1011" s="55">
        <v>0</v>
      </c>
      <c r="AG1011" s="55">
        <v>0</v>
      </c>
      <c r="AH1011" s="55">
        <f t="shared" si="354"/>
        <v>0</v>
      </c>
      <c r="AI1011" s="55">
        <v>0</v>
      </c>
      <c r="AJ1011" s="55">
        <v>0</v>
      </c>
      <c r="AK1011" s="55">
        <v>0</v>
      </c>
      <c r="AL1011" s="55">
        <f t="shared" si="355"/>
        <v>0</v>
      </c>
      <c r="AM1011" s="55" t="s">
        <v>1912</v>
      </c>
      <c r="AN1011" s="55">
        <v>0</v>
      </c>
      <c r="AO1011" s="55">
        <v>0</v>
      </c>
      <c r="AP1011" s="55">
        <f t="shared" si="344"/>
        <v>0</v>
      </c>
      <c r="AQ1011" s="55">
        <f>IFERROR(VLOOKUP(A1011,[1]SIIMPLES!$A$2:$F$418,6,FALSE),0)</f>
        <v>0</v>
      </c>
      <c r="AR1011" s="55">
        <v>0</v>
      </c>
      <c r="AS1011" s="55">
        <v>0</v>
      </c>
      <c r="AT1011" s="55">
        <v>0</v>
      </c>
      <c r="AU1011" s="55">
        <v>0</v>
      </c>
      <c r="AV1011" s="55">
        <v>0</v>
      </c>
      <c r="AW1011" s="55"/>
      <c r="AX1011" s="55"/>
      <c r="AY1011" s="56">
        <f t="shared" si="348"/>
        <v>0.2</v>
      </c>
      <c r="AZ1011" s="55"/>
      <c r="BA1011" s="56">
        <v>0</v>
      </c>
      <c r="BB1011" s="41" t="str">
        <f t="shared" si="358"/>
        <v/>
      </c>
      <c r="BC1011" s="13"/>
      <c r="BD1011" s="35"/>
      <c r="BE1011" s="13"/>
      <c r="BF1011" s="16">
        <f t="shared" si="356"/>
        <v>0</v>
      </c>
      <c r="BG1011" s="17">
        <f t="shared" si="360"/>
        <v>0</v>
      </c>
      <c r="BH1011" s="16">
        <f>IFERROR(IF(F1011=1,IF(BC1011&lt;AY1011*3,AY1011*3-BC1011,0),IF(BC1011&lt;AY1011,AY1011-BC1011,0)),"")</f>
        <v>0.2</v>
      </c>
    </row>
    <row r="1012" spans="1:60" ht="12.75" customHeight="1" x14ac:dyDescent="0.2">
      <c r="A1012" s="51">
        <v>442127</v>
      </c>
      <c r="B1012" s="51"/>
      <c r="C1012" s="66" t="s">
        <v>1803</v>
      </c>
      <c r="D1012" s="52" t="s">
        <v>728</v>
      </c>
      <c r="E1012" s="65" t="s">
        <v>780</v>
      </c>
      <c r="F1012" s="53">
        <f>IFERROR(VLOOKUP(E1012,Fornecedores!$A$2:$B$2700,2,FALSE),"")</f>
        <v>2</v>
      </c>
      <c r="G1012" s="52" t="s">
        <v>1336</v>
      </c>
      <c r="H1012" s="57"/>
      <c r="I1012" s="55">
        <f t="shared" si="349"/>
        <v>1</v>
      </c>
      <c r="J1012" s="55">
        <v>1</v>
      </c>
      <c r="K1012" s="55">
        <v>0</v>
      </c>
      <c r="L1012" s="55">
        <v>0</v>
      </c>
      <c r="M1012" s="55">
        <v>0</v>
      </c>
      <c r="N1012" s="55">
        <f t="shared" si="350"/>
        <v>0</v>
      </c>
      <c r="O1012" s="55">
        <v>0</v>
      </c>
      <c r="P1012" s="55">
        <v>0</v>
      </c>
      <c r="Q1012" s="55">
        <v>0</v>
      </c>
      <c r="R1012" s="55">
        <f t="shared" si="351"/>
        <v>0</v>
      </c>
      <c r="S1012" s="55">
        <v>0</v>
      </c>
      <c r="T1012" s="55">
        <v>0</v>
      </c>
      <c r="U1012" s="55">
        <v>0</v>
      </c>
      <c r="V1012" s="55">
        <v>0</v>
      </c>
      <c r="W1012" s="53">
        <v>0</v>
      </c>
      <c r="X1012" s="53">
        <v>0</v>
      </c>
      <c r="Y1012" s="55">
        <v>0</v>
      </c>
      <c r="Z1012" s="55">
        <v>0</v>
      </c>
      <c r="AA1012" s="53">
        <v>0</v>
      </c>
      <c r="AB1012" s="53">
        <v>0</v>
      </c>
      <c r="AC1012" s="55">
        <v>0</v>
      </c>
      <c r="AD1012" s="55">
        <f t="shared" si="359"/>
        <v>0</v>
      </c>
      <c r="AE1012" s="53">
        <v>0</v>
      </c>
      <c r="AF1012" s="55">
        <v>0</v>
      </c>
      <c r="AG1012" s="55">
        <v>0</v>
      </c>
      <c r="AH1012" s="55">
        <f t="shared" si="354"/>
        <v>0</v>
      </c>
      <c r="AI1012" s="55">
        <v>0</v>
      </c>
      <c r="AJ1012" s="55">
        <v>0</v>
      </c>
      <c r="AK1012" s="55">
        <v>0</v>
      </c>
      <c r="AL1012" s="55">
        <f t="shared" si="355"/>
        <v>0</v>
      </c>
      <c r="AM1012" s="55" t="s">
        <v>1912</v>
      </c>
      <c r="AN1012" s="55">
        <v>0</v>
      </c>
      <c r="AO1012" s="55">
        <v>0</v>
      </c>
      <c r="AP1012" s="55">
        <f t="shared" ref="AP1012:AP1075" si="361">SUM(AQ1012:AR1012)</f>
        <v>0</v>
      </c>
      <c r="AQ1012" s="55">
        <f>IFERROR(VLOOKUP(A1012,[1]SIIMPLES!$A$2:$F$418,6,FALSE),0)</f>
        <v>0</v>
      </c>
      <c r="AR1012" s="55">
        <v>0</v>
      </c>
      <c r="AS1012" s="55">
        <v>0</v>
      </c>
      <c r="AT1012" s="55">
        <v>0</v>
      </c>
      <c r="AU1012" s="55">
        <v>0</v>
      </c>
      <c r="AV1012" s="55">
        <v>0</v>
      </c>
      <c r="AW1012" s="55"/>
      <c r="AX1012" s="55"/>
      <c r="AY1012" s="56">
        <f t="shared" si="348"/>
        <v>0.1</v>
      </c>
      <c r="AZ1012" s="55"/>
      <c r="BA1012" s="56">
        <v>0.33333333333333331</v>
      </c>
      <c r="BB1012" s="41">
        <f t="shared" si="358"/>
        <v>-0.7</v>
      </c>
      <c r="BC1012" s="13"/>
      <c r="BD1012" s="35"/>
      <c r="BE1012" s="13"/>
      <c r="BF1012" s="16">
        <f t="shared" si="356"/>
        <v>0</v>
      </c>
      <c r="BG1012" s="17">
        <f t="shared" si="360"/>
        <v>0</v>
      </c>
      <c r="BH1012" s="20">
        <f>ROUND(IFERROR(IF(F1012=1,IF(BC1012&lt;AY1012*3,AY1012*3-BC1012,0),IF(BC1012&lt;AY1012,AY1012*0.6-BC1012,0)),""),0)</f>
        <v>0</v>
      </c>
    </row>
    <row r="1013" spans="1:60" ht="12.75" customHeight="1" x14ac:dyDescent="0.2">
      <c r="A1013" s="51">
        <v>442128</v>
      </c>
      <c r="B1013" s="51" t="s">
        <v>1077</v>
      </c>
      <c r="C1013" s="66" t="s">
        <v>1803</v>
      </c>
      <c r="D1013" s="52" t="s">
        <v>728</v>
      </c>
      <c r="E1013" s="65" t="s">
        <v>780</v>
      </c>
      <c r="F1013" s="53">
        <f>IFERROR(VLOOKUP(E1013,Fornecedores!$A$2:$B$2700,2,FALSE),"")</f>
        <v>2</v>
      </c>
      <c r="G1013" s="52" t="s">
        <v>1011</v>
      </c>
      <c r="H1013" s="57"/>
      <c r="I1013" s="55">
        <f t="shared" si="349"/>
        <v>0</v>
      </c>
      <c r="J1013" s="55">
        <v>0</v>
      </c>
      <c r="K1013" s="55">
        <v>0</v>
      </c>
      <c r="L1013" s="55">
        <v>0</v>
      </c>
      <c r="M1013" s="55">
        <v>0</v>
      </c>
      <c r="N1013" s="55">
        <f t="shared" si="350"/>
        <v>0</v>
      </c>
      <c r="O1013" s="55">
        <v>0</v>
      </c>
      <c r="P1013" s="55">
        <v>0</v>
      </c>
      <c r="Q1013" s="55">
        <v>0</v>
      </c>
      <c r="R1013" s="55">
        <f t="shared" si="351"/>
        <v>0</v>
      </c>
      <c r="S1013" s="55">
        <v>0</v>
      </c>
      <c r="T1013" s="55">
        <v>0</v>
      </c>
      <c r="U1013" s="55">
        <v>0</v>
      </c>
      <c r="V1013" s="55">
        <v>0</v>
      </c>
      <c r="W1013" s="53">
        <v>0</v>
      </c>
      <c r="X1013" s="53">
        <v>0</v>
      </c>
      <c r="Y1013" s="55">
        <v>0</v>
      </c>
      <c r="Z1013" s="55">
        <v>0</v>
      </c>
      <c r="AA1013" s="53">
        <v>0</v>
      </c>
      <c r="AB1013" s="53">
        <v>0</v>
      </c>
      <c r="AC1013" s="55">
        <v>0</v>
      </c>
      <c r="AD1013" s="55">
        <f t="shared" si="359"/>
        <v>0</v>
      </c>
      <c r="AE1013" s="53">
        <v>0</v>
      </c>
      <c r="AF1013" s="55">
        <v>0</v>
      </c>
      <c r="AG1013" s="55">
        <v>0</v>
      </c>
      <c r="AH1013" s="55">
        <f t="shared" si="354"/>
        <v>0</v>
      </c>
      <c r="AI1013" s="55">
        <v>0</v>
      </c>
      <c r="AJ1013" s="55">
        <v>0</v>
      </c>
      <c r="AK1013" s="55">
        <v>0</v>
      </c>
      <c r="AL1013" s="55">
        <f t="shared" si="355"/>
        <v>0</v>
      </c>
      <c r="AM1013" s="55" t="s">
        <v>1912</v>
      </c>
      <c r="AN1013" s="55">
        <v>0</v>
      </c>
      <c r="AO1013" s="55">
        <v>0</v>
      </c>
      <c r="AP1013" s="55">
        <f t="shared" si="361"/>
        <v>0</v>
      </c>
      <c r="AQ1013" s="55">
        <f>IFERROR(VLOOKUP(A1013,[1]SIIMPLES!$A$2:$F$418,6,FALSE),0)</f>
        <v>0</v>
      </c>
      <c r="AR1013" s="55">
        <v>0</v>
      </c>
      <c r="AS1013" s="55">
        <v>0</v>
      </c>
      <c r="AT1013" s="55">
        <v>0</v>
      </c>
      <c r="AU1013" s="55">
        <v>0</v>
      </c>
      <c r="AV1013" s="55">
        <v>0</v>
      </c>
      <c r="AW1013" s="55"/>
      <c r="AX1013" s="55"/>
      <c r="AY1013" s="56">
        <f t="shared" si="348"/>
        <v>0</v>
      </c>
      <c r="AZ1013" s="55"/>
      <c r="BA1013" s="56">
        <v>0</v>
      </c>
      <c r="BB1013" s="41" t="str">
        <f t="shared" si="358"/>
        <v/>
      </c>
      <c r="BC1013" s="13"/>
      <c r="BD1013" s="35"/>
      <c r="BE1013" s="13"/>
      <c r="BF1013" s="16">
        <f t="shared" si="356"/>
        <v>0</v>
      </c>
      <c r="BG1013" s="17" t="str">
        <f t="shared" si="360"/>
        <v>0</v>
      </c>
      <c r="BH1013" s="16">
        <f>ROUND(IFERROR(IF(F1013=1,IF(BC1013&lt;AY1013*3,AY1013*3-BC1013,0),IF(BC1013&lt;AY1013,AY1013*0.6-BC1013,0)),""),0)</f>
        <v>0</v>
      </c>
    </row>
    <row r="1014" spans="1:60" ht="12.75" customHeight="1" x14ac:dyDescent="0.2">
      <c r="A1014" s="51">
        <v>442129</v>
      </c>
      <c r="B1014" s="51" t="s">
        <v>1077</v>
      </c>
      <c r="C1014" s="66" t="s">
        <v>1803</v>
      </c>
      <c r="D1014" s="52" t="s">
        <v>728</v>
      </c>
      <c r="E1014" s="65" t="s">
        <v>780</v>
      </c>
      <c r="F1014" s="53">
        <f>IFERROR(VLOOKUP(E1014,Fornecedores!$A$2:$B$2700,2,FALSE),"")</f>
        <v>2</v>
      </c>
      <c r="G1014" s="52" t="s">
        <v>1009</v>
      </c>
      <c r="H1014" s="57"/>
      <c r="I1014" s="55">
        <f t="shared" si="349"/>
        <v>0</v>
      </c>
      <c r="J1014" s="55">
        <v>0</v>
      </c>
      <c r="K1014" s="55">
        <v>0</v>
      </c>
      <c r="L1014" s="55">
        <v>0</v>
      </c>
      <c r="M1014" s="55">
        <v>0</v>
      </c>
      <c r="N1014" s="55">
        <f t="shared" si="350"/>
        <v>0</v>
      </c>
      <c r="O1014" s="55">
        <v>0</v>
      </c>
      <c r="P1014" s="55">
        <v>0</v>
      </c>
      <c r="Q1014" s="55">
        <v>0</v>
      </c>
      <c r="R1014" s="55">
        <f t="shared" si="351"/>
        <v>0</v>
      </c>
      <c r="S1014" s="55">
        <v>0</v>
      </c>
      <c r="T1014" s="55">
        <v>0</v>
      </c>
      <c r="U1014" s="55">
        <v>0</v>
      </c>
      <c r="V1014" s="55">
        <v>0</v>
      </c>
      <c r="W1014" s="53">
        <v>0</v>
      </c>
      <c r="X1014" s="53">
        <v>0</v>
      </c>
      <c r="Y1014" s="55">
        <v>0</v>
      </c>
      <c r="Z1014" s="55">
        <v>0</v>
      </c>
      <c r="AA1014" s="53">
        <v>0</v>
      </c>
      <c r="AB1014" s="53">
        <v>0</v>
      </c>
      <c r="AC1014" s="55">
        <v>0</v>
      </c>
      <c r="AD1014" s="55">
        <f t="shared" si="359"/>
        <v>0</v>
      </c>
      <c r="AE1014" s="53">
        <v>0</v>
      </c>
      <c r="AF1014" s="55">
        <v>0</v>
      </c>
      <c r="AG1014" s="55">
        <v>0</v>
      </c>
      <c r="AH1014" s="55">
        <f t="shared" si="354"/>
        <v>0</v>
      </c>
      <c r="AI1014" s="55">
        <v>0</v>
      </c>
      <c r="AJ1014" s="55">
        <v>0</v>
      </c>
      <c r="AK1014" s="55">
        <v>0</v>
      </c>
      <c r="AL1014" s="55">
        <f t="shared" si="355"/>
        <v>0</v>
      </c>
      <c r="AM1014" s="55" t="s">
        <v>1912</v>
      </c>
      <c r="AN1014" s="55">
        <v>0</v>
      </c>
      <c r="AO1014" s="55">
        <v>0</v>
      </c>
      <c r="AP1014" s="55">
        <f t="shared" si="361"/>
        <v>0</v>
      </c>
      <c r="AQ1014" s="55">
        <f>IFERROR(VLOOKUP(A1014,[1]SIIMPLES!$A$2:$F$418,6,FALSE),0)</f>
        <v>0</v>
      </c>
      <c r="AR1014" s="55">
        <v>0</v>
      </c>
      <c r="AS1014" s="55">
        <v>1</v>
      </c>
      <c r="AT1014" s="55">
        <v>1</v>
      </c>
      <c r="AU1014" s="55">
        <v>0</v>
      </c>
      <c r="AV1014" s="55">
        <v>0</v>
      </c>
      <c r="AW1014" s="55"/>
      <c r="AX1014" s="55"/>
      <c r="AY1014" s="56">
        <f t="shared" si="348"/>
        <v>0.1</v>
      </c>
      <c r="AZ1014" s="55"/>
      <c r="BA1014" s="56">
        <v>0</v>
      </c>
      <c r="BB1014" s="41" t="str">
        <f t="shared" si="358"/>
        <v/>
      </c>
      <c r="BC1014" s="13"/>
      <c r="BD1014" s="35"/>
      <c r="BE1014" s="13"/>
      <c r="BF1014" s="16">
        <f t="shared" si="356"/>
        <v>0</v>
      </c>
      <c r="BG1014" s="17">
        <f t="shared" si="360"/>
        <v>0</v>
      </c>
      <c r="BH1014" s="16">
        <f>IFERROR(IF(F1014=1,IF(BC1014&lt;AY1014*3,AY1014*3-BC1014,0),IF(BC1014&lt;AY1014,AY1014-BC1014,0)),"")</f>
        <v>0.1</v>
      </c>
    </row>
    <row r="1015" spans="1:60" ht="12.75" customHeight="1" x14ac:dyDescent="0.2">
      <c r="A1015" s="51">
        <v>442144</v>
      </c>
      <c r="B1015" s="51" t="s">
        <v>1077</v>
      </c>
      <c r="C1015" s="66" t="s">
        <v>1803</v>
      </c>
      <c r="D1015" s="52" t="s">
        <v>728</v>
      </c>
      <c r="E1015" s="65" t="s">
        <v>780</v>
      </c>
      <c r="F1015" s="53">
        <f>IFERROR(VLOOKUP(E1015,Fornecedores!$A$2:$B$2700,2,FALSE),"")</f>
        <v>2</v>
      </c>
      <c r="G1015" s="52" t="s">
        <v>551</v>
      </c>
      <c r="H1015" s="57"/>
      <c r="I1015" s="55">
        <f t="shared" si="349"/>
        <v>0</v>
      </c>
      <c r="J1015" s="55">
        <v>0</v>
      </c>
      <c r="K1015" s="55">
        <v>0</v>
      </c>
      <c r="L1015" s="55">
        <v>0</v>
      </c>
      <c r="M1015" s="55">
        <v>0</v>
      </c>
      <c r="N1015" s="55">
        <f t="shared" si="350"/>
        <v>0</v>
      </c>
      <c r="O1015" s="55">
        <v>0</v>
      </c>
      <c r="P1015" s="55">
        <v>0</v>
      </c>
      <c r="Q1015" s="55">
        <v>0</v>
      </c>
      <c r="R1015" s="55">
        <f t="shared" si="351"/>
        <v>0</v>
      </c>
      <c r="S1015" s="55">
        <v>0</v>
      </c>
      <c r="T1015" s="55">
        <v>0</v>
      </c>
      <c r="U1015" s="55">
        <v>0</v>
      </c>
      <c r="V1015" s="55">
        <v>1</v>
      </c>
      <c r="W1015" s="53">
        <v>1</v>
      </c>
      <c r="X1015" s="53">
        <v>0</v>
      </c>
      <c r="Y1015" s="55">
        <v>0</v>
      </c>
      <c r="Z1015" s="55">
        <v>0</v>
      </c>
      <c r="AA1015" s="53">
        <v>0</v>
      </c>
      <c r="AB1015" s="53">
        <v>0</v>
      </c>
      <c r="AC1015" s="55">
        <v>0</v>
      </c>
      <c r="AD1015" s="55">
        <f t="shared" si="359"/>
        <v>1</v>
      </c>
      <c r="AE1015" s="53">
        <v>1</v>
      </c>
      <c r="AF1015" s="55">
        <v>0</v>
      </c>
      <c r="AG1015" s="55">
        <v>0</v>
      </c>
      <c r="AH1015" s="55">
        <f t="shared" si="354"/>
        <v>0</v>
      </c>
      <c r="AI1015" s="55">
        <v>0</v>
      </c>
      <c r="AJ1015" s="55">
        <v>0</v>
      </c>
      <c r="AK1015" s="55">
        <v>0</v>
      </c>
      <c r="AL1015" s="55">
        <f t="shared" si="355"/>
        <v>1</v>
      </c>
      <c r="AM1015" s="55">
        <v>1</v>
      </c>
      <c r="AN1015" s="55">
        <v>0</v>
      </c>
      <c r="AO1015" s="55">
        <v>0</v>
      </c>
      <c r="AP1015" s="55">
        <f t="shared" si="361"/>
        <v>0</v>
      </c>
      <c r="AQ1015" s="55">
        <f>IFERROR(VLOOKUP(A1015,[1]SIIMPLES!$A$2:$F$418,6,FALSE),0)</f>
        <v>0</v>
      </c>
      <c r="AR1015" s="55">
        <v>0</v>
      </c>
      <c r="AS1015" s="55">
        <v>0</v>
      </c>
      <c r="AT1015" s="55">
        <v>0</v>
      </c>
      <c r="AU1015" s="55">
        <v>0</v>
      </c>
      <c r="AV1015" s="55">
        <v>0</v>
      </c>
      <c r="AW1015" s="55"/>
      <c r="AX1015" s="55"/>
      <c r="AY1015" s="56">
        <f t="shared" ref="AY1015:AY1078" si="362">IFERROR(AVERAGE(I1015,N1015,R1015,V1015,Z1015,AD1015,AH1015,AL1015,AP1015,AS1015,AW1015,AX1015),"-")</f>
        <v>0.3</v>
      </c>
      <c r="AZ1015" s="55"/>
      <c r="BA1015" s="56">
        <v>0.16666666666666666</v>
      </c>
      <c r="BB1015" s="41">
        <f t="shared" si="358"/>
        <v>0.8</v>
      </c>
      <c r="BC1015" s="13"/>
      <c r="BD1015" s="35"/>
      <c r="BE1015" s="13"/>
      <c r="BF1015" s="16">
        <f t="shared" si="356"/>
        <v>0</v>
      </c>
      <c r="BG1015" s="17">
        <f t="shared" si="360"/>
        <v>0</v>
      </c>
      <c r="BH1015" s="16">
        <f>IFERROR(IF(F1015=1,IF(BC1015&lt;AY1015*3,AY1015*3-BC1015,0),IF(BC1015&lt;AY1015,AY1015-BC1015,0)),"")</f>
        <v>0.3</v>
      </c>
    </row>
    <row r="1016" spans="1:60" ht="12.75" customHeight="1" x14ac:dyDescent="0.2">
      <c r="A1016" s="51">
        <v>442145</v>
      </c>
      <c r="B1016" s="51" t="s">
        <v>1077</v>
      </c>
      <c r="C1016" s="66" t="s">
        <v>1803</v>
      </c>
      <c r="D1016" s="52" t="s">
        <v>728</v>
      </c>
      <c r="E1016" s="65" t="s">
        <v>780</v>
      </c>
      <c r="F1016" s="53">
        <f>IFERROR(VLOOKUP(E1016,Fornecedores!$A$2:$B$2700,2,FALSE),"")</f>
        <v>2</v>
      </c>
      <c r="G1016" s="52" t="s">
        <v>632</v>
      </c>
      <c r="H1016" s="57"/>
      <c r="I1016" s="55">
        <f t="shared" si="349"/>
        <v>0</v>
      </c>
      <c r="J1016" s="55">
        <v>0</v>
      </c>
      <c r="K1016" s="55">
        <v>0</v>
      </c>
      <c r="L1016" s="55">
        <v>0</v>
      </c>
      <c r="M1016" s="55">
        <v>0</v>
      </c>
      <c r="N1016" s="55">
        <f t="shared" si="350"/>
        <v>0</v>
      </c>
      <c r="O1016" s="55">
        <v>0</v>
      </c>
      <c r="P1016" s="55">
        <v>0</v>
      </c>
      <c r="Q1016" s="55">
        <v>0</v>
      </c>
      <c r="R1016" s="55">
        <f t="shared" si="351"/>
        <v>0</v>
      </c>
      <c r="S1016" s="55">
        <v>0</v>
      </c>
      <c r="T1016" s="55">
        <v>0</v>
      </c>
      <c r="U1016" s="55">
        <v>0</v>
      </c>
      <c r="V1016" s="55">
        <v>0</v>
      </c>
      <c r="W1016" s="53">
        <v>0</v>
      </c>
      <c r="X1016" s="53">
        <v>0</v>
      </c>
      <c r="Y1016" s="55">
        <v>0</v>
      </c>
      <c r="Z1016" s="55">
        <v>0</v>
      </c>
      <c r="AA1016" s="53">
        <v>0</v>
      </c>
      <c r="AB1016" s="53">
        <v>0</v>
      </c>
      <c r="AC1016" s="55">
        <v>0</v>
      </c>
      <c r="AD1016" s="55">
        <f t="shared" si="359"/>
        <v>0</v>
      </c>
      <c r="AE1016" s="53">
        <v>0</v>
      </c>
      <c r="AF1016" s="55">
        <v>0</v>
      </c>
      <c r="AG1016" s="55">
        <v>0</v>
      </c>
      <c r="AH1016" s="55">
        <f t="shared" si="354"/>
        <v>0</v>
      </c>
      <c r="AI1016" s="55">
        <v>0</v>
      </c>
      <c r="AJ1016" s="55">
        <v>0</v>
      </c>
      <c r="AK1016" s="55">
        <v>0</v>
      </c>
      <c r="AL1016" s="55">
        <f t="shared" si="355"/>
        <v>0</v>
      </c>
      <c r="AM1016" s="55" t="s">
        <v>1912</v>
      </c>
      <c r="AN1016" s="55">
        <v>0</v>
      </c>
      <c r="AO1016" s="55">
        <v>0</v>
      </c>
      <c r="AP1016" s="55">
        <f t="shared" si="361"/>
        <v>0</v>
      </c>
      <c r="AQ1016" s="55">
        <f>IFERROR(VLOOKUP(A1016,[1]SIIMPLES!$A$2:$F$418,6,FALSE),0)</f>
        <v>0</v>
      </c>
      <c r="AR1016" s="55">
        <v>0</v>
      </c>
      <c r="AS1016" s="55">
        <v>0</v>
      </c>
      <c r="AT1016" s="55">
        <v>0</v>
      </c>
      <c r="AU1016" s="55">
        <v>0</v>
      </c>
      <c r="AV1016" s="55">
        <v>0</v>
      </c>
      <c r="AW1016" s="55"/>
      <c r="AX1016" s="55"/>
      <c r="AY1016" s="56">
        <f t="shared" si="362"/>
        <v>0</v>
      </c>
      <c r="AZ1016" s="55"/>
      <c r="BA1016" s="56">
        <v>0</v>
      </c>
      <c r="BB1016" s="41" t="str">
        <f t="shared" si="358"/>
        <v/>
      </c>
      <c r="BC1016" s="13"/>
      <c r="BD1016" s="35"/>
      <c r="BE1016" s="7"/>
      <c r="BF1016" s="16"/>
      <c r="BG1016" s="17" t="str">
        <f t="shared" si="360"/>
        <v>0</v>
      </c>
      <c r="BH1016" s="16">
        <f>IFERROR(IF(F1016=1,IF(BC1016&lt;AY1016*3,AY1016*3-BC1016,0),IF(BC1016&lt;AY1016,AY1016-BC1016,0)),"")</f>
        <v>0</v>
      </c>
    </row>
    <row r="1017" spans="1:60" ht="12.75" customHeight="1" x14ac:dyDescent="0.2">
      <c r="A1017" s="51">
        <v>442146</v>
      </c>
      <c r="B1017" s="51"/>
      <c r="C1017" s="66" t="s">
        <v>1803</v>
      </c>
      <c r="D1017" s="52" t="s">
        <v>728</v>
      </c>
      <c r="E1017" s="65" t="s">
        <v>780</v>
      </c>
      <c r="F1017" s="53">
        <f>IFERROR(VLOOKUP(E1017,Fornecedores!$A$2:$B$2700,2,FALSE),"")</f>
        <v>2</v>
      </c>
      <c r="G1017" s="52" t="s">
        <v>1337</v>
      </c>
      <c r="H1017" s="57"/>
      <c r="I1017" s="55">
        <f t="shared" si="349"/>
        <v>1</v>
      </c>
      <c r="J1017" s="55">
        <v>1</v>
      </c>
      <c r="K1017" s="55">
        <v>0</v>
      </c>
      <c r="L1017" s="55">
        <v>0</v>
      </c>
      <c r="M1017" s="55">
        <v>0</v>
      </c>
      <c r="N1017" s="55">
        <f t="shared" si="350"/>
        <v>0</v>
      </c>
      <c r="O1017" s="55">
        <v>0</v>
      </c>
      <c r="P1017" s="55">
        <v>0</v>
      </c>
      <c r="Q1017" s="55">
        <v>0</v>
      </c>
      <c r="R1017" s="55">
        <f t="shared" si="351"/>
        <v>2</v>
      </c>
      <c r="S1017" s="55">
        <v>2</v>
      </c>
      <c r="T1017" s="55">
        <v>0</v>
      </c>
      <c r="U1017" s="55">
        <v>0</v>
      </c>
      <c r="V1017" s="55">
        <v>0</v>
      </c>
      <c r="W1017" s="53">
        <v>0</v>
      </c>
      <c r="X1017" s="53">
        <v>0</v>
      </c>
      <c r="Y1017" s="55">
        <v>0</v>
      </c>
      <c r="Z1017" s="55">
        <v>0</v>
      </c>
      <c r="AA1017" s="53">
        <v>0</v>
      </c>
      <c r="AB1017" s="53">
        <v>0</v>
      </c>
      <c r="AC1017" s="55">
        <v>0</v>
      </c>
      <c r="AD1017" s="55">
        <f t="shared" si="359"/>
        <v>0</v>
      </c>
      <c r="AE1017" s="53">
        <v>0</v>
      </c>
      <c r="AF1017" s="55">
        <v>0</v>
      </c>
      <c r="AG1017" s="55">
        <v>0</v>
      </c>
      <c r="AH1017" s="55">
        <f t="shared" si="354"/>
        <v>0</v>
      </c>
      <c r="AI1017" s="55">
        <v>0</v>
      </c>
      <c r="AJ1017" s="55">
        <v>0</v>
      </c>
      <c r="AK1017" s="55">
        <v>0</v>
      </c>
      <c r="AL1017" s="55">
        <f t="shared" si="355"/>
        <v>0</v>
      </c>
      <c r="AM1017" s="55" t="s">
        <v>1912</v>
      </c>
      <c r="AN1017" s="55">
        <v>0</v>
      </c>
      <c r="AO1017" s="55">
        <v>0</v>
      </c>
      <c r="AP1017" s="55">
        <f t="shared" si="361"/>
        <v>0</v>
      </c>
      <c r="AQ1017" s="55">
        <f>IFERROR(VLOOKUP(A1017,[1]SIIMPLES!$A$2:$F$418,6,FALSE),0)</f>
        <v>0</v>
      </c>
      <c r="AR1017" s="55">
        <v>0</v>
      </c>
      <c r="AS1017" s="55">
        <v>0</v>
      </c>
      <c r="AT1017" s="55">
        <v>0</v>
      </c>
      <c r="AU1017" s="55">
        <v>0</v>
      </c>
      <c r="AV1017" s="55">
        <v>0</v>
      </c>
      <c r="AW1017" s="55"/>
      <c r="AX1017" s="55"/>
      <c r="AY1017" s="56">
        <f t="shared" si="362"/>
        <v>0.3</v>
      </c>
      <c r="AZ1017" s="55"/>
      <c r="BA1017" s="56">
        <v>0.33333333333333331</v>
      </c>
      <c r="BB1017" s="41">
        <f t="shared" si="358"/>
        <v>-9.9999999999999978E-2</v>
      </c>
      <c r="BC1017" s="13"/>
      <c r="BD1017" s="35"/>
      <c r="BE1017" s="7"/>
      <c r="BF1017" s="16"/>
      <c r="BG1017" s="17">
        <f t="shared" si="360"/>
        <v>0</v>
      </c>
      <c r="BH1017" s="16">
        <f>IFERROR(IF(F1017=1,IF(BC1017&lt;AY1017*3,AY1017*3-BC1017,0),IF(BC1017&lt;AY1017,AY1017-BC1017,0)),"")</f>
        <v>0.3</v>
      </c>
    </row>
    <row r="1018" spans="1:60" ht="12.75" customHeight="1" x14ac:dyDescent="0.2">
      <c r="A1018" s="51">
        <v>552004</v>
      </c>
      <c r="B1018" s="51" t="s">
        <v>1086</v>
      </c>
      <c r="C1018" s="66" t="s">
        <v>1803</v>
      </c>
      <c r="D1018" s="52" t="s">
        <v>728</v>
      </c>
      <c r="E1018" s="65" t="s">
        <v>780</v>
      </c>
      <c r="F1018" s="53">
        <f>IFERROR(VLOOKUP(E1018,Fornecedores!$A$2:$B$2700,2,FALSE),"")</f>
        <v>2</v>
      </c>
      <c r="G1018" s="52" t="s">
        <v>1078</v>
      </c>
      <c r="H1018" s="57"/>
      <c r="I1018" s="55">
        <f t="shared" si="349"/>
        <v>0</v>
      </c>
      <c r="J1018" s="55">
        <v>0</v>
      </c>
      <c r="K1018" s="55">
        <v>0</v>
      </c>
      <c r="L1018" s="55">
        <v>0</v>
      </c>
      <c r="M1018" s="55">
        <v>0</v>
      </c>
      <c r="N1018" s="55">
        <f t="shared" si="350"/>
        <v>0</v>
      </c>
      <c r="O1018" s="55">
        <v>0</v>
      </c>
      <c r="P1018" s="55">
        <v>0</v>
      </c>
      <c r="Q1018" s="55">
        <v>0</v>
      </c>
      <c r="R1018" s="55">
        <f t="shared" si="351"/>
        <v>0</v>
      </c>
      <c r="S1018" s="55">
        <v>0</v>
      </c>
      <c r="T1018" s="55">
        <v>0</v>
      </c>
      <c r="U1018" s="55">
        <v>0</v>
      </c>
      <c r="V1018" s="55">
        <v>0</v>
      </c>
      <c r="W1018" s="53">
        <v>0</v>
      </c>
      <c r="X1018" s="53">
        <v>0</v>
      </c>
      <c r="Y1018" s="55">
        <v>0</v>
      </c>
      <c r="Z1018" s="55">
        <v>0</v>
      </c>
      <c r="AA1018" s="53">
        <v>0</v>
      </c>
      <c r="AB1018" s="53">
        <v>0</v>
      </c>
      <c r="AC1018" s="55">
        <v>0</v>
      </c>
      <c r="AD1018" s="55">
        <f t="shared" si="359"/>
        <v>0</v>
      </c>
      <c r="AE1018" s="53">
        <v>0</v>
      </c>
      <c r="AF1018" s="55">
        <v>0</v>
      </c>
      <c r="AG1018" s="55">
        <v>0</v>
      </c>
      <c r="AH1018" s="55">
        <f t="shared" si="354"/>
        <v>0</v>
      </c>
      <c r="AI1018" s="55">
        <v>0</v>
      </c>
      <c r="AJ1018" s="55">
        <v>0</v>
      </c>
      <c r="AK1018" s="55">
        <v>0</v>
      </c>
      <c r="AL1018" s="55">
        <f t="shared" si="355"/>
        <v>0</v>
      </c>
      <c r="AM1018" s="55" t="s">
        <v>1912</v>
      </c>
      <c r="AN1018" s="55">
        <v>0</v>
      </c>
      <c r="AO1018" s="55">
        <v>0</v>
      </c>
      <c r="AP1018" s="55">
        <f t="shared" si="361"/>
        <v>0</v>
      </c>
      <c r="AQ1018" s="55">
        <f>IFERROR(VLOOKUP(A1018,[1]SIIMPLES!$A$2:$F$418,6,FALSE),0)</f>
        <v>0</v>
      </c>
      <c r="AR1018" s="55">
        <v>0</v>
      </c>
      <c r="AS1018" s="55">
        <v>0</v>
      </c>
      <c r="AT1018" s="55">
        <v>0</v>
      </c>
      <c r="AU1018" s="55">
        <v>0</v>
      </c>
      <c r="AV1018" s="55">
        <v>0</v>
      </c>
      <c r="AW1018" s="55"/>
      <c r="AX1018" s="55"/>
      <c r="AY1018" s="56">
        <f t="shared" si="362"/>
        <v>0</v>
      </c>
      <c r="AZ1018" s="55"/>
      <c r="BA1018" s="56">
        <v>0</v>
      </c>
      <c r="BB1018" s="41" t="str">
        <f t="shared" si="358"/>
        <v/>
      </c>
      <c r="BC1018" s="13"/>
      <c r="BD1018" s="35"/>
      <c r="BE1018" s="13"/>
      <c r="BF1018" s="16"/>
      <c r="BG1018" s="17" t="str">
        <f t="shared" si="360"/>
        <v>0</v>
      </c>
      <c r="BH1018" s="16">
        <f>ROUND(IFERROR(IF(F1018=1,IF(BC1018&lt;AY1018*3,AY1018*3-BC1018,0),IF(BC1018&lt;AY1018,AY1018*0.6-BC1018,0)),""),0)</f>
        <v>0</v>
      </c>
    </row>
    <row r="1019" spans="1:60" ht="12.75" customHeight="1" x14ac:dyDescent="0.2">
      <c r="A1019" s="51">
        <v>552005</v>
      </c>
      <c r="B1019" s="51" t="s">
        <v>1086</v>
      </c>
      <c r="C1019" s="66" t="s">
        <v>1803</v>
      </c>
      <c r="D1019" s="52" t="s">
        <v>728</v>
      </c>
      <c r="E1019" s="65" t="s">
        <v>780</v>
      </c>
      <c r="F1019" s="53">
        <f>IFERROR(VLOOKUP(E1019,Fornecedores!$A$2:$B$2700,2,FALSE),"")</f>
        <v>2</v>
      </c>
      <c r="G1019" s="52" t="s">
        <v>1079</v>
      </c>
      <c r="H1019" s="57"/>
      <c r="I1019" s="55">
        <f t="shared" si="349"/>
        <v>0</v>
      </c>
      <c r="J1019" s="55">
        <v>0</v>
      </c>
      <c r="K1019" s="55">
        <v>0</v>
      </c>
      <c r="L1019" s="55">
        <v>0</v>
      </c>
      <c r="M1019" s="55">
        <v>0</v>
      </c>
      <c r="N1019" s="55">
        <f t="shared" si="350"/>
        <v>0</v>
      </c>
      <c r="O1019" s="55">
        <v>0</v>
      </c>
      <c r="P1019" s="55">
        <v>0</v>
      </c>
      <c r="Q1019" s="55">
        <v>0</v>
      </c>
      <c r="R1019" s="55">
        <f t="shared" si="351"/>
        <v>0</v>
      </c>
      <c r="S1019" s="55">
        <v>0</v>
      </c>
      <c r="T1019" s="55">
        <v>0</v>
      </c>
      <c r="U1019" s="55">
        <v>0</v>
      </c>
      <c r="V1019" s="55">
        <v>0</v>
      </c>
      <c r="W1019" s="53">
        <v>0</v>
      </c>
      <c r="X1019" s="53">
        <v>0</v>
      </c>
      <c r="Y1019" s="55">
        <v>0</v>
      </c>
      <c r="Z1019" s="55">
        <v>0</v>
      </c>
      <c r="AA1019" s="53">
        <v>0</v>
      </c>
      <c r="AB1019" s="53">
        <v>0</v>
      </c>
      <c r="AC1019" s="55">
        <v>0</v>
      </c>
      <c r="AD1019" s="55">
        <f t="shared" si="359"/>
        <v>0</v>
      </c>
      <c r="AE1019" s="53">
        <v>0</v>
      </c>
      <c r="AF1019" s="55">
        <v>0</v>
      </c>
      <c r="AG1019" s="55">
        <v>0</v>
      </c>
      <c r="AH1019" s="55">
        <f t="shared" si="354"/>
        <v>0</v>
      </c>
      <c r="AI1019" s="55">
        <v>0</v>
      </c>
      <c r="AJ1019" s="55">
        <v>0</v>
      </c>
      <c r="AK1019" s="55">
        <v>0</v>
      </c>
      <c r="AL1019" s="55">
        <f t="shared" si="355"/>
        <v>0</v>
      </c>
      <c r="AM1019" s="55" t="s">
        <v>1912</v>
      </c>
      <c r="AN1019" s="55">
        <v>0</v>
      </c>
      <c r="AO1019" s="55">
        <v>0</v>
      </c>
      <c r="AP1019" s="55">
        <f t="shared" si="361"/>
        <v>0</v>
      </c>
      <c r="AQ1019" s="55">
        <f>IFERROR(VLOOKUP(A1019,[1]SIIMPLES!$A$2:$F$418,6,FALSE),0)</f>
        <v>0</v>
      </c>
      <c r="AR1019" s="55">
        <v>0</v>
      </c>
      <c r="AS1019" s="55">
        <v>0</v>
      </c>
      <c r="AT1019" s="55">
        <v>0</v>
      </c>
      <c r="AU1019" s="55">
        <v>0</v>
      </c>
      <c r="AV1019" s="55">
        <v>0</v>
      </c>
      <c r="AW1019" s="55"/>
      <c r="AX1019" s="55"/>
      <c r="AY1019" s="56">
        <f t="shared" si="362"/>
        <v>0</v>
      </c>
      <c r="AZ1019" s="55"/>
      <c r="BA1019" s="56">
        <v>0</v>
      </c>
      <c r="BB1019" s="41" t="str">
        <f t="shared" si="358"/>
        <v/>
      </c>
      <c r="BC1019" s="13"/>
      <c r="BD1019" s="35"/>
      <c r="BE1019" s="13"/>
      <c r="BF1019" s="16"/>
      <c r="BG1019" s="17" t="str">
        <f t="shared" si="360"/>
        <v>0</v>
      </c>
      <c r="BH1019" s="16">
        <f>ROUND(IFERROR(IF(F1019=1,IF(BC1019&lt;AY1019*3,AY1019*3-BC1019,0),IF(BC1019&lt;AY1019,AY1019*0.6-BC1019,0)),""),0)</f>
        <v>0</v>
      </c>
    </row>
    <row r="1020" spans="1:60" ht="12.75" customHeight="1" x14ac:dyDescent="0.2">
      <c r="A1020" s="51">
        <v>552006</v>
      </c>
      <c r="B1020" s="51" t="s">
        <v>1086</v>
      </c>
      <c r="C1020" s="66" t="s">
        <v>1803</v>
      </c>
      <c r="D1020" s="52" t="s">
        <v>728</v>
      </c>
      <c r="E1020" s="65" t="s">
        <v>780</v>
      </c>
      <c r="F1020" s="53">
        <f>IFERROR(VLOOKUP(E1020,Fornecedores!$A$2:$B$2700,2,FALSE),"")</f>
        <v>2</v>
      </c>
      <c r="G1020" s="52" t="s">
        <v>854</v>
      </c>
      <c r="H1020" s="57"/>
      <c r="I1020" s="55">
        <f t="shared" si="349"/>
        <v>0</v>
      </c>
      <c r="J1020" s="55">
        <v>0</v>
      </c>
      <c r="K1020" s="55">
        <v>0</v>
      </c>
      <c r="L1020" s="55">
        <v>0</v>
      </c>
      <c r="M1020" s="55">
        <v>0</v>
      </c>
      <c r="N1020" s="55">
        <f t="shared" si="350"/>
        <v>0</v>
      </c>
      <c r="O1020" s="55">
        <v>0</v>
      </c>
      <c r="P1020" s="55">
        <v>0</v>
      </c>
      <c r="Q1020" s="55">
        <v>0</v>
      </c>
      <c r="R1020" s="55">
        <f t="shared" si="351"/>
        <v>0</v>
      </c>
      <c r="S1020" s="55">
        <v>0</v>
      </c>
      <c r="T1020" s="55">
        <v>0</v>
      </c>
      <c r="U1020" s="55">
        <v>0</v>
      </c>
      <c r="V1020" s="55">
        <v>0</v>
      </c>
      <c r="W1020" s="53">
        <v>0</v>
      </c>
      <c r="X1020" s="53">
        <v>0</v>
      </c>
      <c r="Y1020" s="55">
        <v>0</v>
      </c>
      <c r="Z1020" s="55">
        <v>1</v>
      </c>
      <c r="AA1020" s="53">
        <v>1</v>
      </c>
      <c r="AB1020" s="53">
        <v>0</v>
      </c>
      <c r="AC1020" s="55">
        <v>0</v>
      </c>
      <c r="AD1020" s="55">
        <f t="shared" si="359"/>
        <v>0</v>
      </c>
      <c r="AE1020" s="53">
        <v>0</v>
      </c>
      <c r="AF1020" s="55">
        <v>0</v>
      </c>
      <c r="AG1020" s="55">
        <v>0</v>
      </c>
      <c r="AH1020" s="55">
        <f t="shared" si="354"/>
        <v>0</v>
      </c>
      <c r="AI1020" s="55">
        <v>0</v>
      </c>
      <c r="AJ1020" s="55">
        <v>0</v>
      </c>
      <c r="AK1020" s="55">
        <v>0</v>
      </c>
      <c r="AL1020" s="55">
        <f t="shared" si="355"/>
        <v>0</v>
      </c>
      <c r="AM1020" s="55" t="s">
        <v>1912</v>
      </c>
      <c r="AN1020" s="55">
        <v>0</v>
      </c>
      <c r="AO1020" s="55">
        <v>0</v>
      </c>
      <c r="AP1020" s="55">
        <f t="shared" si="361"/>
        <v>0</v>
      </c>
      <c r="AQ1020" s="55">
        <f>IFERROR(VLOOKUP(A1020,[1]SIIMPLES!$A$2:$F$418,6,FALSE),0)</f>
        <v>0</v>
      </c>
      <c r="AR1020" s="55">
        <v>0</v>
      </c>
      <c r="AS1020" s="55">
        <v>0</v>
      </c>
      <c r="AT1020" s="55">
        <v>0</v>
      </c>
      <c r="AU1020" s="55">
        <v>0</v>
      </c>
      <c r="AV1020" s="55">
        <v>0</v>
      </c>
      <c r="AW1020" s="55"/>
      <c r="AX1020" s="55"/>
      <c r="AY1020" s="56">
        <f t="shared" si="362"/>
        <v>0.1</v>
      </c>
      <c r="AZ1020" s="55"/>
      <c r="BA1020" s="56">
        <v>0.33333333333333331</v>
      </c>
      <c r="BB1020" s="41">
        <f t="shared" si="358"/>
        <v>-0.7</v>
      </c>
      <c r="BC1020" s="7"/>
      <c r="BD1020" s="35"/>
      <c r="BE1020" s="13"/>
      <c r="BF1020" s="16"/>
      <c r="BG1020" s="17">
        <f t="shared" si="360"/>
        <v>0</v>
      </c>
      <c r="BH1020" s="20">
        <f>ROUND(IFERROR(IF(F1020=1,IF(BC1020&lt;AY1020*3,AY1020*3-BC1020,0),IF(BC1020&lt;AY1020,AY1020*0.6-BC1020,0)),""),0)</f>
        <v>0</v>
      </c>
    </row>
    <row r="1021" spans="1:60" ht="12.75" customHeight="1" x14ac:dyDescent="0.2">
      <c r="A1021" s="51">
        <v>552007</v>
      </c>
      <c r="B1021" s="51" t="s">
        <v>1086</v>
      </c>
      <c r="C1021" s="66" t="s">
        <v>1803</v>
      </c>
      <c r="D1021" s="52" t="s">
        <v>728</v>
      </c>
      <c r="E1021" s="65" t="s">
        <v>780</v>
      </c>
      <c r="F1021" s="53">
        <f>IFERROR(VLOOKUP(E1021,Fornecedores!$A$2:$B$2700,2,FALSE),"")</f>
        <v>2</v>
      </c>
      <c r="G1021" s="52" t="s">
        <v>855</v>
      </c>
      <c r="H1021" s="57"/>
      <c r="I1021" s="55">
        <f t="shared" si="349"/>
        <v>0</v>
      </c>
      <c r="J1021" s="55">
        <v>0</v>
      </c>
      <c r="K1021" s="55">
        <v>0</v>
      </c>
      <c r="L1021" s="55">
        <v>0</v>
      </c>
      <c r="M1021" s="55">
        <v>0</v>
      </c>
      <c r="N1021" s="55">
        <f t="shared" si="350"/>
        <v>0</v>
      </c>
      <c r="O1021" s="55">
        <v>0</v>
      </c>
      <c r="P1021" s="55">
        <v>0</v>
      </c>
      <c r="Q1021" s="55">
        <v>0</v>
      </c>
      <c r="R1021" s="55">
        <f t="shared" si="351"/>
        <v>0</v>
      </c>
      <c r="S1021" s="55">
        <v>0</v>
      </c>
      <c r="T1021" s="55">
        <v>0</v>
      </c>
      <c r="U1021" s="55">
        <v>0</v>
      </c>
      <c r="V1021" s="55">
        <v>0</v>
      </c>
      <c r="W1021" s="53">
        <v>0</v>
      </c>
      <c r="X1021" s="53">
        <v>0</v>
      </c>
      <c r="Y1021" s="55">
        <v>0</v>
      </c>
      <c r="Z1021" s="55">
        <v>0</v>
      </c>
      <c r="AA1021" s="53">
        <v>0</v>
      </c>
      <c r="AB1021" s="53">
        <v>0</v>
      </c>
      <c r="AC1021" s="55">
        <v>0</v>
      </c>
      <c r="AD1021" s="55">
        <f t="shared" si="359"/>
        <v>0</v>
      </c>
      <c r="AE1021" s="53">
        <v>0</v>
      </c>
      <c r="AF1021" s="55">
        <v>0</v>
      </c>
      <c r="AG1021" s="55">
        <v>0</v>
      </c>
      <c r="AH1021" s="55">
        <f t="shared" si="354"/>
        <v>0</v>
      </c>
      <c r="AI1021" s="55">
        <v>0</v>
      </c>
      <c r="AJ1021" s="55">
        <v>0</v>
      </c>
      <c r="AK1021" s="55">
        <v>0</v>
      </c>
      <c r="AL1021" s="55">
        <f t="shared" si="355"/>
        <v>0</v>
      </c>
      <c r="AM1021" s="55" t="s">
        <v>1912</v>
      </c>
      <c r="AN1021" s="55">
        <v>0</v>
      </c>
      <c r="AO1021" s="55">
        <v>0</v>
      </c>
      <c r="AP1021" s="55">
        <f t="shared" si="361"/>
        <v>0</v>
      </c>
      <c r="AQ1021" s="55">
        <f>IFERROR(VLOOKUP(A1021,[1]SIIMPLES!$A$2:$F$418,6,FALSE),0)</f>
        <v>0</v>
      </c>
      <c r="AR1021" s="55">
        <v>0</v>
      </c>
      <c r="AS1021" s="55">
        <v>0</v>
      </c>
      <c r="AT1021" s="55">
        <v>0</v>
      </c>
      <c r="AU1021" s="55">
        <v>0</v>
      </c>
      <c r="AV1021" s="55">
        <v>0</v>
      </c>
      <c r="AW1021" s="55"/>
      <c r="AX1021" s="55"/>
      <c r="AY1021" s="56">
        <f t="shared" si="362"/>
        <v>0</v>
      </c>
      <c r="AZ1021" s="55"/>
      <c r="BA1021" s="56">
        <v>0.5</v>
      </c>
      <c r="BB1021" s="41">
        <f t="shared" si="358"/>
        <v>-1</v>
      </c>
      <c r="BC1021" s="13"/>
      <c r="BD1021" s="35"/>
      <c r="BE1021" s="13"/>
      <c r="BF1021" s="16"/>
      <c r="BG1021" s="17" t="str">
        <f t="shared" si="360"/>
        <v>0</v>
      </c>
      <c r="BH1021" s="16">
        <f>ROUND(IFERROR(IF(F1021=1,IF(BC1021&lt;AY1021*3,AY1021*3-BC1021,0),IF(BC1021&lt;AY1021,AY1021*0.6-BC1021,0)),""),0)</f>
        <v>0</v>
      </c>
    </row>
    <row r="1022" spans="1:60" ht="12.75" customHeight="1" x14ac:dyDescent="0.2">
      <c r="A1022" s="51">
        <v>552017</v>
      </c>
      <c r="B1022" s="51" t="s">
        <v>1077</v>
      </c>
      <c r="C1022" s="66" t="s">
        <v>1803</v>
      </c>
      <c r="D1022" s="52" t="s">
        <v>728</v>
      </c>
      <c r="E1022" s="65" t="s">
        <v>780</v>
      </c>
      <c r="F1022" s="53">
        <f>IFERROR(VLOOKUP(E1022,Fornecedores!$A$2:$B$2700,2,FALSE),"")</f>
        <v>2</v>
      </c>
      <c r="G1022" s="52" t="s">
        <v>158</v>
      </c>
      <c r="H1022" s="57"/>
      <c r="I1022" s="55">
        <f t="shared" si="349"/>
        <v>0</v>
      </c>
      <c r="J1022" s="55">
        <v>0</v>
      </c>
      <c r="K1022" s="55">
        <v>0</v>
      </c>
      <c r="L1022" s="55">
        <v>0</v>
      </c>
      <c r="M1022" s="55">
        <v>0</v>
      </c>
      <c r="N1022" s="55">
        <f t="shared" si="350"/>
        <v>0</v>
      </c>
      <c r="O1022" s="55">
        <v>0</v>
      </c>
      <c r="P1022" s="55">
        <v>0</v>
      </c>
      <c r="Q1022" s="55">
        <v>0</v>
      </c>
      <c r="R1022" s="55">
        <f t="shared" si="351"/>
        <v>0</v>
      </c>
      <c r="S1022" s="55">
        <v>0</v>
      </c>
      <c r="T1022" s="55">
        <v>0</v>
      </c>
      <c r="U1022" s="55">
        <v>0</v>
      </c>
      <c r="V1022" s="55">
        <v>0</v>
      </c>
      <c r="W1022" s="53">
        <v>0</v>
      </c>
      <c r="X1022" s="53">
        <v>0</v>
      </c>
      <c r="Y1022" s="55">
        <v>0</v>
      </c>
      <c r="Z1022" s="55">
        <v>0</v>
      </c>
      <c r="AA1022" s="53">
        <v>0</v>
      </c>
      <c r="AB1022" s="53">
        <v>0</v>
      </c>
      <c r="AC1022" s="55">
        <v>0</v>
      </c>
      <c r="AD1022" s="55">
        <f t="shared" si="359"/>
        <v>0</v>
      </c>
      <c r="AE1022" s="53">
        <v>0</v>
      </c>
      <c r="AF1022" s="55">
        <v>0</v>
      </c>
      <c r="AG1022" s="55">
        <v>0</v>
      </c>
      <c r="AH1022" s="55">
        <f t="shared" si="354"/>
        <v>0</v>
      </c>
      <c r="AI1022" s="55">
        <v>0</v>
      </c>
      <c r="AJ1022" s="55">
        <v>0</v>
      </c>
      <c r="AK1022" s="55">
        <v>0</v>
      </c>
      <c r="AL1022" s="55">
        <f t="shared" si="355"/>
        <v>0</v>
      </c>
      <c r="AM1022" s="55" t="s">
        <v>1912</v>
      </c>
      <c r="AN1022" s="55">
        <v>0</v>
      </c>
      <c r="AO1022" s="55">
        <v>0</v>
      </c>
      <c r="AP1022" s="55">
        <f t="shared" si="361"/>
        <v>0</v>
      </c>
      <c r="AQ1022" s="55">
        <f>IFERROR(VLOOKUP(A1022,[1]SIIMPLES!$A$2:$F$418,6,FALSE),0)</f>
        <v>0</v>
      </c>
      <c r="AR1022" s="55">
        <v>0</v>
      </c>
      <c r="AS1022" s="55">
        <v>1</v>
      </c>
      <c r="AT1022" s="55">
        <v>0</v>
      </c>
      <c r="AU1022" s="55">
        <v>1</v>
      </c>
      <c r="AV1022" s="55">
        <v>0</v>
      </c>
      <c r="AW1022" s="55"/>
      <c r="AX1022" s="55"/>
      <c r="AY1022" s="56">
        <f t="shared" si="362"/>
        <v>0.1</v>
      </c>
      <c r="AZ1022" s="55"/>
      <c r="BA1022" s="56">
        <v>0</v>
      </c>
      <c r="BB1022" s="41" t="str">
        <f t="shared" si="358"/>
        <v/>
      </c>
      <c r="BC1022" s="13"/>
      <c r="BD1022" s="35"/>
      <c r="BE1022" s="13"/>
      <c r="BF1022" s="16"/>
      <c r="BG1022" s="17">
        <f t="shared" si="360"/>
        <v>0</v>
      </c>
      <c r="BH1022" s="16">
        <f>ROUND(IFERROR(IF(F1022=1,IF(BC1022&lt;AY1022*3,AY1022*3-BC1022,0),IF(BC1022&lt;AY1022,AY1022*0.6-BC1022,0)),""),0)</f>
        <v>0</v>
      </c>
    </row>
    <row r="1023" spans="1:60" ht="12.75" customHeight="1" x14ac:dyDescent="0.2">
      <c r="A1023" s="51">
        <v>552018</v>
      </c>
      <c r="B1023" s="51" t="s">
        <v>1077</v>
      </c>
      <c r="C1023" s="66" t="s">
        <v>1803</v>
      </c>
      <c r="D1023" s="52" t="s">
        <v>728</v>
      </c>
      <c r="E1023" s="65" t="s">
        <v>780</v>
      </c>
      <c r="F1023" s="53">
        <f>IFERROR(VLOOKUP(E1023,Fornecedores!$A$2:$B$2700,2,FALSE),"")</f>
        <v>2</v>
      </c>
      <c r="G1023" s="52" t="s">
        <v>160</v>
      </c>
      <c r="H1023" s="57"/>
      <c r="I1023" s="55">
        <f t="shared" si="349"/>
        <v>1</v>
      </c>
      <c r="J1023" s="55">
        <v>1</v>
      </c>
      <c r="K1023" s="55">
        <v>0</v>
      </c>
      <c r="L1023" s="55">
        <v>0</v>
      </c>
      <c r="M1023" s="55">
        <v>0</v>
      </c>
      <c r="N1023" s="55">
        <f t="shared" si="350"/>
        <v>0</v>
      </c>
      <c r="O1023" s="55">
        <v>0</v>
      </c>
      <c r="P1023" s="55">
        <v>0</v>
      </c>
      <c r="Q1023" s="55">
        <v>0</v>
      </c>
      <c r="R1023" s="55">
        <f t="shared" si="351"/>
        <v>0</v>
      </c>
      <c r="S1023" s="55">
        <v>0</v>
      </c>
      <c r="T1023" s="55">
        <v>0</v>
      </c>
      <c r="U1023" s="55">
        <v>0</v>
      </c>
      <c r="V1023" s="55">
        <v>0</v>
      </c>
      <c r="W1023" s="53">
        <v>0</v>
      </c>
      <c r="X1023" s="53">
        <v>0</v>
      </c>
      <c r="Y1023" s="55">
        <v>0</v>
      </c>
      <c r="Z1023" s="55">
        <v>0</v>
      </c>
      <c r="AA1023" s="53">
        <v>0</v>
      </c>
      <c r="AB1023" s="53">
        <v>0</v>
      </c>
      <c r="AC1023" s="55">
        <v>0</v>
      </c>
      <c r="AD1023" s="55">
        <f t="shared" si="359"/>
        <v>0</v>
      </c>
      <c r="AE1023" s="53">
        <v>0</v>
      </c>
      <c r="AF1023" s="55">
        <v>0</v>
      </c>
      <c r="AG1023" s="55">
        <v>0</v>
      </c>
      <c r="AH1023" s="55">
        <f t="shared" si="354"/>
        <v>0</v>
      </c>
      <c r="AI1023" s="55">
        <v>0</v>
      </c>
      <c r="AJ1023" s="55">
        <v>0</v>
      </c>
      <c r="AK1023" s="55">
        <v>0</v>
      </c>
      <c r="AL1023" s="55">
        <f t="shared" si="355"/>
        <v>0</v>
      </c>
      <c r="AM1023" s="55" t="s">
        <v>1912</v>
      </c>
      <c r="AN1023" s="55">
        <v>0</v>
      </c>
      <c r="AO1023" s="55">
        <v>0</v>
      </c>
      <c r="AP1023" s="55">
        <f t="shared" si="361"/>
        <v>0</v>
      </c>
      <c r="AQ1023" s="55">
        <f>IFERROR(VLOOKUP(A1023,[1]SIIMPLES!$A$2:$F$418,6,FALSE),0)</f>
        <v>0</v>
      </c>
      <c r="AR1023" s="55">
        <v>0</v>
      </c>
      <c r="AS1023" s="55">
        <v>3</v>
      </c>
      <c r="AT1023" s="55">
        <v>2</v>
      </c>
      <c r="AU1023" s="55">
        <v>1</v>
      </c>
      <c r="AV1023" s="55">
        <v>0</v>
      </c>
      <c r="AW1023" s="55"/>
      <c r="AX1023" s="55"/>
      <c r="AY1023" s="56">
        <f t="shared" si="362"/>
        <v>0.4</v>
      </c>
      <c r="AZ1023" s="55"/>
      <c r="BA1023" s="56">
        <v>0</v>
      </c>
      <c r="BB1023" s="41" t="str">
        <f t="shared" si="358"/>
        <v/>
      </c>
      <c r="BC1023" s="13"/>
      <c r="BD1023" s="35"/>
      <c r="BE1023" s="7"/>
      <c r="BF1023" s="16"/>
      <c r="BG1023" s="17">
        <f t="shared" si="360"/>
        <v>0</v>
      </c>
      <c r="BH1023" s="16">
        <f>IFERROR(IF(F1023=1,IF(BC1023&lt;AY1023*3,AY1023*3-BC1023,0),IF(BC1023&lt;AY1023,AY1023-BC1023,0)),"")</f>
        <v>0.4</v>
      </c>
    </row>
    <row r="1024" spans="1:60" ht="12.75" customHeight="1" x14ac:dyDescent="0.2">
      <c r="A1024" s="51">
        <v>552019</v>
      </c>
      <c r="B1024" s="51" t="s">
        <v>1077</v>
      </c>
      <c r="C1024" s="66" t="s">
        <v>1803</v>
      </c>
      <c r="D1024" s="52" t="s">
        <v>728</v>
      </c>
      <c r="E1024" s="65" t="s">
        <v>780</v>
      </c>
      <c r="F1024" s="53">
        <f>IFERROR(VLOOKUP(E1024,Fornecedores!$A$2:$B$2700,2,FALSE),"")</f>
        <v>2</v>
      </c>
      <c r="G1024" s="52" t="s">
        <v>628</v>
      </c>
      <c r="H1024" s="57"/>
      <c r="I1024" s="55">
        <f t="shared" si="349"/>
        <v>3</v>
      </c>
      <c r="J1024" s="55">
        <v>3</v>
      </c>
      <c r="K1024" s="55">
        <v>0</v>
      </c>
      <c r="L1024" s="55">
        <v>0</v>
      </c>
      <c r="M1024" s="55">
        <v>0</v>
      </c>
      <c r="N1024" s="55">
        <f t="shared" si="350"/>
        <v>2</v>
      </c>
      <c r="O1024" s="55">
        <v>2</v>
      </c>
      <c r="P1024" s="55">
        <v>0</v>
      </c>
      <c r="Q1024" s="55">
        <v>0</v>
      </c>
      <c r="R1024" s="55">
        <f t="shared" si="351"/>
        <v>1</v>
      </c>
      <c r="S1024" s="55">
        <v>1</v>
      </c>
      <c r="T1024" s="55">
        <v>0</v>
      </c>
      <c r="U1024" s="55">
        <v>0</v>
      </c>
      <c r="V1024" s="55">
        <v>2</v>
      </c>
      <c r="W1024" s="53">
        <v>2</v>
      </c>
      <c r="X1024" s="53">
        <v>0</v>
      </c>
      <c r="Y1024" s="55">
        <v>0</v>
      </c>
      <c r="Z1024" s="55">
        <v>1</v>
      </c>
      <c r="AA1024" s="53">
        <v>1</v>
      </c>
      <c r="AB1024" s="53">
        <v>0</v>
      </c>
      <c r="AC1024" s="55">
        <v>0</v>
      </c>
      <c r="AD1024" s="55">
        <f t="shared" si="359"/>
        <v>0</v>
      </c>
      <c r="AE1024" s="53">
        <v>0</v>
      </c>
      <c r="AF1024" s="55">
        <v>0</v>
      </c>
      <c r="AG1024" s="55">
        <v>0</v>
      </c>
      <c r="AH1024" s="55">
        <f t="shared" si="354"/>
        <v>0</v>
      </c>
      <c r="AI1024" s="55">
        <v>0</v>
      </c>
      <c r="AJ1024" s="55">
        <v>0</v>
      </c>
      <c r="AK1024" s="55">
        <v>0</v>
      </c>
      <c r="AL1024" s="55">
        <f t="shared" si="355"/>
        <v>2</v>
      </c>
      <c r="AM1024" s="55">
        <v>2</v>
      </c>
      <c r="AN1024" s="55">
        <v>0</v>
      </c>
      <c r="AO1024" s="55">
        <v>0</v>
      </c>
      <c r="AP1024" s="55">
        <f t="shared" si="361"/>
        <v>0</v>
      </c>
      <c r="AQ1024" s="55">
        <f>IFERROR(VLOOKUP(A1024,[1]SIIMPLES!$A$2:$F$418,6,FALSE),0)</f>
        <v>0</v>
      </c>
      <c r="AR1024" s="55">
        <v>0</v>
      </c>
      <c r="AS1024" s="55">
        <v>0</v>
      </c>
      <c r="AT1024" s="55">
        <v>0</v>
      </c>
      <c r="AU1024" s="55">
        <v>0</v>
      </c>
      <c r="AV1024" s="55">
        <v>0</v>
      </c>
      <c r="AW1024" s="55"/>
      <c r="AX1024" s="55"/>
      <c r="AY1024" s="56">
        <f t="shared" si="362"/>
        <v>1.1000000000000001</v>
      </c>
      <c r="AZ1024" s="55"/>
      <c r="BA1024" s="56">
        <v>0.83333333333333337</v>
      </c>
      <c r="BB1024" s="41">
        <f t="shared" si="358"/>
        <v>0.32000000000000006</v>
      </c>
      <c r="BC1024" s="13"/>
      <c r="BD1024" s="35"/>
      <c r="BE1024" s="13"/>
      <c r="BF1024" s="16"/>
      <c r="BG1024" s="17">
        <f t="shared" si="360"/>
        <v>0</v>
      </c>
      <c r="BH1024" s="16">
        <f>IFERROR(IF(F1024=1,IF(BC1024&lt;AY1024*3,AY1024*3-BC1024,0),IF(BC1024&lt;AY1024,AY1024-BC1024,0)),"")</f>
        <v>1.1000000000000001</v>
      </c>
    </row>
    <row r="1025" spans="1:60" ht="12.75" customHeight="1" x14ac:dyDescent="0.2">
      <c r="A1025" s="51">
        <v>552034</v>
      </c>
      <c r="B1025" s="51" t="s">
        <v>1077</v>
      </c>
      <c r="C1025" s="66" t="s">
        <v>1803</v>
      </c>
      <c r="D1025" s="52" t="s">
        <v>728</v>
      </c>
      <c r="E1025" s="65" t="s">
        <v>780</v>
      </c>
      <c r="F1025" s="53">
        <f>IFERROR(VLOOKUP(E1025,Fornecedores!$A$2:$B$2700,2,FALSE),"")</f>
        <v>2</v>
      </c>
      <c r="G1025" s="52" t="s">
        <v>1339</v>
      </c>
      <c r="H1025" s="57"/>
      <c r="I1025" s="55">
        <f t="shared" si="349"/>
        <v>0</v>
      </c>
      <c r="J1025" s="55">
        <v>0</v>
      </c>
      <c r="K1025" s="55">
        <v>0</v>
      </c>
      <c r="L1025" s="55">
        <v>0</v>
      </c>
      <c r="M1025" s="55">
        <v>0</v>
      </c>
      <c r="N1025" s="55">
        <f t="shared" si="350"/>
        <v>0</v>
      </c>
      <c r="O1025" s="55">
        <v>0</v>
      </c>
      <c r="P1025" s="55">
        <v>0</v>
      </c>
      <c r="Q1025" s="55">
        <v>0</v>
      </c>
      <c r="R1025" s="55">
        <f t="shared" si="351"/>
        <v>0</v>
      </c>
      <c r="S1025" s="55">
        <v>0</v>
      </c>
      <c r="T1025" s="55">
        <v>0</v>
      </c>
      <c r="U1025" s="55">
        <v>0</v>
      </c>
      <c r="V1025" s="55">
        <v>0</v>
      </c>
      <c r="W1025" s="53">
        <v>0</v>
      </c>
      <c r="X1025" s="53">
        <v>0</v>
      </c>
      <c r="Y1025" s="55">
        <v>0</v>
      </c>
      <c r="Z1025" s="55">
        <v>0</v>
      </c>
      <c r="AA1025" s="53">
        <v>0</v>
      </c>
      <c r="AB1025" s="53">
        <v>0</v>
      </c>
      <c r="AC1025" s="55">
        <v>0</v>
      </c>
      <c r="AD1025" s="55">
        <f t="shared" si="359"/>
        <v>0</v>
      </c>
      <c r="AE1025" s="53">
        <v>0</v>
      </c>
      <c r="AF1025" s="55">
        <v>0</v>
      </c>
      <c r="AG1025" s="55">
        <v>0</v>
      </c>
      <c r="AH1025" s="55">
        <f t="shared" si="354"/>
        <v>0</v>
      </c>
      <c r="AI1025" s="55">
        <v>0</v>
      </c>
      <c r="AJ1025" s="55">
        <v>0</v>
      </c>
      <c r="AK1025" s="55">
        <v>0</v>
      </c>
      <c r="AL1025" s="55">
        <f t="shared" si="355"/>
        <v>0</v>
      </c>
      <c r="AM1025" s="55" t="s">
        <v>1912</v>
      </c>
      <c r="AN1025" s="55">
        <v>0</v>
      </c>
      <c r="AO1025" s="55">
        <v>0</v>
      </c>
      <c r="AP1025" s="55">
        <f t="shared" si="361"/>
        <v>0</v>
      </c>
      <c r="AQ1025" s="55">
        <f>IFERROR(VLOOKUP(A1025,[1]SIIMPLES!$A$2:$F$418,6,FALSE),0)</f>
        <v>0</v>
      </c>
      <c r="AR1025" s="55">
        <v>0</v>
      </c>
      <c r="AS1025" s="55">
        <v>0</v>
      </c>
      <c r="AT1025" s="55">
        <v>0</v>
      </c>
      <c r="AU1025" s="55">
        <v>0</v>
      </c>
      <c r="AV1025" s="55">
        <v>0</v>
      </c>
      <c r="AW1025" s="55"/>
      <c r="AX1025" s="55"/>
      <c r="AY1025" s="56">
        <f t="shared" si="362"/>
        <v>0</v>
      </c>
      <c r="AZ1025" s="55"/>
      <c r="BA1025" s="56">
        <v>0.16666666666666666</v>
      </c>
      <c r="BB1025" s="41">
        <f t="shared" si="358"/>
        <v>-1</v>
      </c>
      <c r="BC1025" s="7"/>
      <c r="BD1025" s="35"/>
      <c r="BE1025" s="13"/>
      <c r="BF1025" s="16"/>
      <c r="BG1025" s="17" t="str">
        <f t="shared" si="360"/>
        <v>0</v>
      </c>
      <c r="BH1025" s="16">
        <f>IFERROR(IF(F1025=1,IF(BC1025&lt;AY1025*3,AY1025*3-BC1025,0),IF(BC1025&lt;AY1025,AY1025-BC1025,0)),"")</f>
        <v>0</v>
      </c>
    </row>
    <row r="1026" spans="1:60" ht="12.75" customHeight="1" x14ac:dyDescent="0.2">
      <c r="A1026" s="51">
        <v>552035</v>
      </c>
      <c r="B1026" s="51" t="s">
        <v>1077</v>
      </c>
      <c r="C1026" s="66" t="s">
        <v>1803</v>
      </c>
      <c r="D1026" s="52" t="s">
        <v>728</v>
      </c>
      <c r="E1026" s="65" t="s">
        <v>780</v>
      </c>
      <c r="F1026" s="53">
        <f>IFERROR(VLOOKUP(E1026,Fornecedores!$A$2:$B$2700,2,FALSE),"")</f>
        <v>2</v>
      </c>
      <c r="G1026" s="52" t="s">
        <v>870</v>
      </c>
      <c r="H1026" s="57"/>
      <c r="I1026" s="55">
        <f t="shared" si="349"/>
        <v>0</v>
      </c>
      <c r="J1026" s="55">
        <v>0</v>
      </c>
      <c r="K1026" s="55">
        <v>0</v>
      </c>
      <c r="L1026" s="55">
        <v>0</v>
      </c>
      <c r="M1026" s="55">
        <v>0</v>
      </c>
      <c r="N1026" s="55">
        <f t="shared" si="350"/>
        <v>0</v>
      </c>
      <c r="O1026" s="55">
        <v>0</v>
      </c>
      <c r="P1026" s="55">
        <v>0</v>
      </c>
      <c r="Q1026" s="55">
        <v>0</v>
      </c>
      <c r="R1026" s="55">
        <f t="shared" si="351"/>
        <v>0</v>
      </c>
      <c r="S1026" s="55">
        <v>0</v>
      </c>
      <c r="T1026" s="55">
        <v>0</v>
      </c>
      <c r="U1026" s="55">
        <v>0</v>
      </c>
      <c r="V1026" s="55">
        <v>0</v>
      </c>
      <c r="W1026" s="53">
        <v>0</v>
      </c>
      <c r="X1026" s="53">
        <v>0</v>
      </c>
      <c r="Y1026" s="55">
        <v>0</v>
      </c>
      <c r="Z1026" s="55">
        <v>0</v>
      </c>
      <c r="AA1026" s="53">
        <v>0</v>
      </c>
      <c r="AB1026" s="53">
        <v>0</v>
      </c>
      <c r="AC1026" s="55">
        <v>0</v>
      </c>
      <c r="AD1026" s="55">
        <f t="shared" si="359"/>
        <v>0</v>
      </c>
      <c r="AE1026" s="53">
        <v>0</v>
      </c>
      <c r="AF1026" s="55">
        <v>0</v>
      </c>
      <c r="AG1026" s="55">
        <v>0</v>
      </c>
      <c r="AH1026" s="55">
        <f t="shared" si="354"/>
        <v>0</v>
      </c>
      <c r="AI1026" s="55">
        <v>0</v>
      </c>
      <c r="AJ1026" s="55">
        <v>0</v>
      </c>
      <c r="AK1026" s="55">
        <v>0</v>
      </c>
      <c r="AL1026" s="55">
        <f t="shared" si="355"/>
        <v>0</v>
      </c>
      <c r="AM1026" s="55" t="s">
        <v>1912</v>
      </c>
      <c r="AN1026" s="55">
        <v>0</v>
      </c>
      <c r="AO1026" s="55">
        <v>0</v>
      </c>
      <c r="AP1026" s="55">
        <f t="shared" si="361"/>
        <v>0</v>
      </c>
      <c r="AQ1026" s="55">
        <f>IFERROR(VLOOKUP(A1026,[1]SIIMPLES!$A$2:$F$418,6,FALSE),0)</f>
        <v>0</v>
      </c>
      <c r="AR1026" s="55">
        <v>0</v>
      </c>
      <c r="AS1026" s="55">
        <v>0</v>
      </c>
      <c r="AT1026" s="55">
        <v>0</v>
      </c>
      <c r="AU1026" s="55">
        <v>0</v>
      </c>
      <c r="AV1026" s="55">
        <v>0</v>
      </c>
      <c r="AW1026" s="55"/>
      <c r="AX1026" s="55"/>
      <c r="AY1026" s="56">
        <f t="shared" si="362"/>
        <v>0</v>
      </c>
      <c r="AZ1026" s="55"/>
      <c r="BA1026" s="56">
        <v>0.33333333333333331</v>
      </c>
      <c r="BB1026" s="41">
        <f t="shared" si="358"/>
        <v>-1</v>
      </c>
      <c r="BC1026" s="13"/>
      <c r="BD1026" s="35"/>
      <c r="BE1026" s="13"/>
      <c r="BF1026" s="16"/>
      <c r="BG1026" s="17" t="str">
        <f t="shared" si="360"/>
        <v>0</v>
      </c>
      <c r="BH1026" s="16">
        <f>ROUND(IFERROR(IF(F1026=1,IF(BC1026&lt;AY1026*3,AY1026*3-BC1026,0),IF(BC1026&lt;AY1026,AY1026*0.6-BC1026,0)),""),0)</f>
        <v>0</v>
      </c>
    </row>
    <row r="1027" spans="1:60" ht="12.75" customHeight="1" x14ac:dyDescent="0.2">
      <c r="A1027" s="51">
        <v>662010</v>
      </c>
      <c r="B1027" s="51" t="s">
        <v>1077</v>
      </c>
      <c r="C1027" s="66" t="s">
        <v>1803</v>
      </c>
      <c r="D1027" s="52" t="s">
        <v>728</v>
      </c>
      <c r="E1027" s="65" t="s">
        <v>780</v>
      </c>
      <c r="F1027" s="53">
        <f>IFERROR(VLOOKUP(E1027,Fornecedores!$A$2:$B$2700,2,FALSE),"")</f>
        <v>2</v>
      </c>
      <c r="G1027" s="52" t="s">
        <v>716</v>
      </c>
      <c r="H1027" s="57"/>
      <c r="I1027" s="55">
        <f t="shared" ref="I1027:I1090" si="363">SUM(J1027:M1027)</f>
        <v>0</v>
      </c>
      <c r="J1027" s="55">
        <v>0</v>
      </c>
      <c r="K1027" s="55">
        <v>0</v>
      </c>
      <c r="L1027" s="55">
        <v>0</v>
      </c>
      <c r="M1027" s="55">
        <v>0</v>
      </c>
      <c r="N1027" s="55">
        <f t="shared" ref="N1027:N1090" si="364">SUM(O1027:Q1027)</f>
        <v>0</v>
      </c>
      <c r="O1027" s="55">
        <v>0</v>
      </c>
      <c r="P1027" s="55">
        <v>0</v>
      </c>
      <c r="Q1027" s="55">
        <v>0</v>
      </c>
      <c r="R1027" s="55">
        <f t="shared" ref="R1027:R1090" si="365">SUM(S1027:U1027)</f>
        <v>0</v>
      </c>
      <c r="S1027" s="55">
        <v>0</v>
      </c>
      <c r="T1027" s="55">
        <v>0</v>
      </c>
      <c r="U1027" s="55">
        <v>0</v>
      </c>
      <c r="V1027" s="55">
        <v>0</v>
      </c>
      <c r="W1027" s="53">
        <v>0</v>
      </c>
      <c r="X1027" s="53">
        <v>0</v>
      </c>
      <c r="Y1027" s="55">
        <v>0</v>
      </c>
      <c r="Z1027" s="55">
        <v>0</v>
      </c>
      <c r="AA1027" s="53">
        <v>0</v>
      </c>
      <c r="AB1027" s="53">
        <v>0</v>
      </c>
      <c r="AC1027" s="55">
        <v>0</v>
      </c>
      <c r="AD1027" s="55">
        <f t="shared" si="359"/>
        <v>0</v>
      </c>
      <c r="AE1027" s="53">
        <v>0</v>
      </c>
      <c r="AF1027" s="55">
        <v>0</v>
      </c>
      <c r="AG1027" s="55">
        <v>0</v>
      </c>
      <c r="AH1027" s="55">
        <f t="shared" si="354"/>
        <v>0</v>
      </c>
      <c r="AI1027" s="55">
        <v>0</v>
      </c>
      <c r="AJ1027" s="55">
        <v>0</v>
      </c>
      <c r="AK1027" s="55">
        <v>0</v>
      </c>
      <c r="AL1027" s="55">
        <f t="shared" si="355"/>
        <v>0</v>
      </c>
      <c r="AM1027" s="55" t="s">
        <v>1912</v>
      </c>
      <c r="AN1027" s="55">
        <v>0</v>
      </c>
      <c r="AO1027" s="55">
        <v>0</v>
      </c>
      <c r="AP1027" s="55">
        <f t="shared" si="361"/>
        <v>0</v>
      </c>
      <c r="AQ1027" s="55">
        <f>IFERROR(VLOOKUP(A1027,[1]SIIMPLES!$A$2:$F$418,6,FALSE),0)</f>
        <v>0</v>
      </c>
      <c r="AR1027" s="55">
        <v>0</v>
      </c>
      <c r="AS1027" s="55">
        <v>0</v>
      </c>
      <c r="AT1027" s="55">
        <v>0</v>
      </c>
      <c r="AU1027" s="55">
        <v>0</v>
      </c>
      <c r="AV1027" s="55">
        <v>0</v>
      </c>
      <c r="AW1027" s="55"/>
      <c r="AX1027" s="55"/>
      <c r="AY1027" s="56">
        <f t="shared" si="362"/>
        <v>0</v>
      </c>
      <c r="AZ1027" s="55"/>
      <c r="BA1027" s="56">
        <v>0</v>
      </c>
      <c r="BB1027" s="41" t="str">
        <f t="shared" si="358"/>
        <v/>
      </c>
      <c r="BC1027" s="13"/>
      <c r="BD1027" s="35"/>
      <c r="BE1027" s="13"/>
      <c r="BF1027" s="16"/>
      <c r="BG1027" s="17" t="str">
        <f t="shared" si="360"/>
        <v>0</v>
      </c>
      <c r="BH1027" s="20">
        <f>ROUND(IFERROR(IF(F1027=1,IF(BC1027&lt;AY1027*3,AY1027*3-BC1027,0),IF(BC1027&lt;AY1027,AY1027*0.6-BC1027,0)),""),0)</f>
        <v>0</v>
      </c>
    </row>
    <row r="1028" spans="1:60" ht="12.75" customHeight="1" x14ac:dyDescent="0.2">
      <c r="A1028" s="51">
        <v>662011</v>
      </c>
      <c r="B1028" s="51" t="s">
        <v>1077</v>
      </c>
      <c r="C1028" s="66" t="s">
        <v>1803</v>
      </c>
      <c r="D1028" s="52" t="s">
        <v>728</v>
      </c>
      <c r="E1028" s="65" t="s">
        <v>780</v>
      </c>
      <c r="F1028" s="53">
        <f>IFERROR(VLOOKUP(E1028,Fornecedores!$A$2:$B$2700,2,FALSE),"")</f>
        <v>2</v>
      </c>
      <c r="G1028" s="52" t="s">
        <v>118</v>
      </c>
      <c r="H1028" s="57"/>
      <c r="I1028" s="55">
        <f t="shared" si="363"/>
        <v>0</v>
      </c>
      <c r="J1028" s="55">
        <v>0</v>
      </c>
      <c r="K1028" s="55">
        <v>0</v>
      </c>
      <c r="L1028" s="55">
        <v>0</v>
      </c>
      <c r="M1028" s="55">
        <v>0</v>
      </c>
      <c r="N1028" s="55">
        <f t="shared" si="364"/>
        <v>0</v>
      </c>
      <c r="O1028" s="55">
        <v>0</v>
      </c>
      <c r="P1028" s="55">
        <v>0</v>
      </c>
      <c r="Q1028" s="55">
        <v>0</v>
      </c>
      <c r="R1028" s="55">
        <f t="shared" si="365"/>
        <v>0</v>
      </c>
      <c r="S1028" s="55">
        <v>0</v>
      </c>
      <c r="T1028" s="55">
        <v>0</v>
      </c>
      <c r="U1028" s="55">
        <v>0</v>
      </c>
      <c r="V1028" s="55">
        <v>0</v>
      </c>
      <c r="W1028" s="53">
        <v>0</v>
      </c>
      <c r="X1028" s="53">
        <v>0</v>
      </c>
      <c r="Y1028" s="55">
        <v>0</v>
      </c>
      <c r="Z1028" s="55">
        <v>0</v>
      </c>
      <c r="AA1028" s="53">
        <v>0</v>
      </c>
      <c r="AB1028" s="53">
        <v>0</v>
      </c>
      <c r="AC1028" s="55">
        <v>0</v>
      </c>
      <c r="AD1028" s="55">
        <f t="shared" si="359"/>
        <v>0</v>
      </c>
      <c r="AE1028" s="53">
        <v>0</v>
      </c>
      <c r="AF1028" s="55">
        <v>0</v>
      </c>
      <c r="AG1028" s="55">
        <v>0</v>
      </c>
      <c r="AH1028" s="55">
        <f t="shared" si="354"/>
        <v>0</v>
      </c>
      <c r="AI1028" s="55">
        <v>0</v>
      </c>
      <c r="AJ1028" s="55">
        <v>0</v>
      </c>
      <c r="AK1028" s="55">
        <v>0</v>
      </c>
      <c r="AL1028" s="55">
        <f t="shared" si="355"/>
        <v>0</v>
      </c>
      <c r="AM1028" s="55" t="s">
        <v>1912</v>
      </c>
      <c r="AN1028" s="55">
        <v>0</v>
      </c>
      <c r="AO1028" s="55">
        <v>0</v>
      </c>
      <c r="AP1028" s="55">
        <f t="shared" si="361"/>
        <v>0</v>
      </c>
      <c r="AQ1028" s="55">
        <f>IFERROR(VLOOKUP(A1028,[1]SIIMPLES!$A$2:$F$418,6,FALSE),0)</f>
        <v>0</v>
      </c>
      <c r="AR1028" s="55">
        <v>0</v>
      </c>
      <c r="AS1028" s="55">
        <v>0</v>
      </c>
      <c r="AT1028" s="55">
        <v>0</v>
      </c>
      <c r="AU1028" s="55">
        <v>0</v>
      </c>
      <c r="AV1028" s="55">
        <v>0</v>
      </c>
      <c r="AW1028" s="55"/>
      <c r="AX1028" s="55"/>
      <c r="AY1028" s="56">
        <f t="shared" si="362"/>
        <v>0</v>
      </c>
      <c r="AZ1028" s="55"/>
      <c r="BA1028" s="56">
        <v>0</v>
      </c>
      <c r="BB1028" s="41" t="str">
        <f t="shared" si="358"/>
        <v/>
      </c>
      <c r="BC1028" s="13"/>
      <c r="BD1028" s="35"/>
      <c r="BE1028" s="13"/>
      <c r="BF1028" s="16"/>
      <c r="BG1028" s="17" t="str">
        <f t="shared" si="360"/>
        <v>0</v>
      </c>
      <c r="BH1028" s="16">
        <f>IFERROR(IF(F1028=1,IF(BC1028&lt;AY1028*3,AY1028*3-BC1028,0),IF(BC1028&lt;AY1028,AY1028-BC1028,0)),"")</f>
        <v>0</v>
      </c>
    </row>
    <row r="1029" spans="1:60" ht="12.75" customHeight="1" x14ac:dyDescent="0.2">
      <c r="A1029" s="51">
        <v>662021</v>
      </c>
      <c r="B1029" s="51" t="s">
        <v>1086</v>
      </c>
      <c r="C1029" s="66" t="s">
        <v>1803</v>
      </c>
      <c r="D1029" s="52" t="s">
        <v>728</v>
      </c>
      <c r="E1029" s="65" t="s">
        <v>780</v>
      </c>
      <c r="F1029" s="53">
        <f>IFERROR(VLOOKUP(E1029,Fornecedores!$A$2:$B$2700,2,FALSE),"")</f>
        <v>2</v>
      </c>
      <c r="G1029" s="52">
        <f>VLOOKUP(A1029,[2]CMV!$A$1:$F$2043,6,FALSE)</f>
        <v>0</v>
      </c>
      <c r="H1029" s="57"/>
      <c r="I1029" s="55">
        <f t="shared" si="363"/>
        <v>0</v>
      </c>
      <c r="J1029" s="55">
        <v>0</v>
      </c>
      <c r="K1029" s="55">
        <v>0</v>
      </c>
      <c r="L1029" s="55">
        <v>0</v>
      </c>
      <c r="M1029" s="55">
        <v>0</v>
      </c>
      <c r="N1029" s="55">
        <f t="shared" si="364"/>
        <v>0</v>
      </c>
      <c r="O1029" s="55">
        <v>0</v>
      </c>
      <c r="P1029" s="55">
        <v>0</v>
      </c>
      <c r="Q1029" s="55">
        <v>0</v>
      </c>
      <c r="R1029" s="55">
        <f t="shared" si="365"/>
        <v>0</v>
      </c>
      <c r="S1029" s="55">
        <v>0</v>
      </c>
      <c r="T1029" s="55">
        <v>0</v>
      </c>
      <c r="U1029" s="55">
        <v>0</v>
      </c>
      <c r="V1029" s="55">
        <v>0</v>
      </c>
      <c r="W1029" s="53">
        <v>0</v>
      </c>
      <c r="X1029" s="53">
        <v>0</v>
      </c>
      <c r="Y1029" s="55">
        <v>0</v>
      </c>
      <c r="Z1029" s="55">
        <v>0</v>
      </c>
      <c r="AA1029" s="53">
        <v>0</v>
      </c>
      <c r="AB1029" s="53">
        <v>0</v>
      </c>
      <c r="AC1029" s="55">
        <v>0</v>
      </c>
      <c r="AD1029" s="55">
        <f t="shared" si="359"/>
        <v>0</v>
      </c>
      <c r="AE1029" s="53">
        <v>0</v>
      </c>
      <c r="AF1029" s="55">
        <v>0</v>
      </c>
      <c r="AG1029" s="55">
        <v>0</v>
      </c>
      <c r="AH1029" s="55">
        <f t="shared" si="354"/>
        <v>0</v>
      </c>
      <c r="AI1029" s="55">
        <v>0</v>
      </c>
      <c r="AJ1029" s="55">
        <v>0</v>
      </c>
      <c r="AK1029" s="55">
        <v>0</v>
      </c>
      <c r="AL1029" s="55">
        <f t="shared" si="355"/>
        <v>0</v>
      </c>
      <c r="AM1029" s="55" t="s">
        <v>1912</v>
      </c>
      <c r="AN1029" s="55">
        <v>0</v>
      </c>
      <c r="AO1029" s="55">
        <v>0</v>
      </c>
      <c r="AP1029" s="55">
        <f t="shared" si="361"/>
        <v>0</v>
      </c>
      <c r="AQ1029" s="55">
        <f>IFERROR(VLOOKUP(A1029,[1]SIIMPLES!$A$2:$F$418,6,FALSE),0)</f>
        <v>0</v>
      </c>
      <c r="AR1029" s="55">
        <v>0</v>
      </c>
      <c r="AS1029" s="55">
        <v>0</v>
      </c>
      <c r="AT1029" s="55">
        <v>0</v>
      </c>
      <c r="AU1029" s="55">
        <v>0</v>
      </c>
      <c r="AV1029" s="55">
        <v>0</v>
      </c>
      <c r="AW1029" s="55"/>
      <c r="AX1029" s="55"/>
      <c r="AY1029" s="56">
        <f t="shared" si="362"/>
        <v>0</v>
      </c>
      <c r="AZ1029" s="55"/>
      <c r="BA1029" s="56">
        <v>0</v>
      </c>
      <c r="BB1029" s="41" t="str">
        <f t="shared" si="358"/>
        <v/>
      </c>
      <c r="BC1029" s="13"/>
      <c r="BD1029" s="35"/>
      <c r="BE1029" s="13"/>
      <c r="BF1029" s="16"/>
      <c r="BG1029" s="17" t="str">
        <f t="shared" si="360"/>
        <v>0</v>
      </c>
      <c r="BH1029" s="16">
        <f>IFERROR(IF(F1029=1,IF(BC1029&lt;AY1029*3,AY1029*3-BC1029,0),IF(BC1029&lt;AY1029,AY1029-BC1029,0)),"")</f>
        <v>0</v>
      </c>
    </row>
    <row r="1030" spans="1:60" ht="12.75" customHeight="1" x14ac:dyDescent="0.2">
      <c r="A1030" s="51">
        <v>662028</v>
      </c>
      <c r="B1030" s="51" t="s">
        <v>1086</v>
      </c>
      <c r="C1030" s="66" t="s">
        <v>1803</v>
      </c>
      <c r="D1030" s="52" t="s">
        <v>728</v>
      </c>
      <c r="E1030" s="65" t="s">
        <v>780</v>
      </c>
      <c r="F1030" s="53">
        <f>IFERROR(VLOOKUP(E1030,Fornecedores!$A$2:$B$2700,2,FALSE),"")</f>
        <v>2</v>
      </c>
      <c r="G1030" s="52" t="s">
        <v>437</v>
      </c>
      <c r="H1030" s="57"/>
      <c r="I1030" s="55">
        <f t="shared" si="363"/>
        <v>0</v>
      </c>
      <c r="J1030" s="55">
        <v>0</v>
      </c>
      <c r="K1030" s="55">
        <v>0</v>
      </c>
      <c r="L1030" s="55">
        <v>0</v>
      </c>
      <c r="M1030" s="55">
        <v>0</v>
      </c>
      <c r="N1030" s="55">
        <f t="shared" si="364"/>
        <v>0</v>
      </c>
      <c r="O1030" s="55">
        <v>0</v>
      </c>
      <c r="P1030" s="55">
        <v>0</v>
      </c>
      <c r="Q1030" s="55">
        <v>0</v>
      </c>
      <c r="R1030" s="55">
        <f t="shared" si="365"/>
        <v>0</v>
      </c>
      <c r="S1030" s="55">
        <v>0</v>
      </c>
      <c r="T1030" s="55">
        <v>0</v>
      </c>
      <c r="U1030" s="55">
        <v>0</v>
      </c>
      <c r="V1030" s="55">
        <v>0</v>
      </c>
      <c r="W1030" s="53">
        <v>0</v>
      </c>
      <c r="X1030" s="53">
        <v>0</v>
      </c>
      <c r="Y1030" s="55">
        <v>0</v>
      </c>
      <c r="Z1030" s="55">
        <v>0</v>
      </c>
      <c r="AA1030" s="53">
        <v>0</v>
      </c>
      <c r="AB1030" s="53">
        <v>0</v>
      </c>
      <c r="AC1030" s="55">
        <v>0</v>
      </c>
      <c r="AD1030" s="55">
        <f t="shared" si="359"/>
        <v>0</v>
      </c>
      <c r="AE1030" s="53">
        <v>0</v>
      </c>
      <c r="AF1030" s="55">
        <v>0</v>
      </c>
      <c r="AG1030" s="55">
        <v>0</v>
      </c>
      <c r="AH1030" s="55">
        <f t="shared" si="354"/>
        <v>0</v>
      </c>
      <c r="AI1030" s="55">
        <v>0</v>
      </c>
      <c r="AJ1030" s="55">
        <v>0</v>
      </c>
      <c r="AK1030" s="55">
        <v>0</v>
      </c>
      <c r="AL1030" s="55">
        <f t="shared" si="355"/>
        <v>0</v>
      </c>
      <c r="AM1030" s="55" t="s">
        <v>1912</v>
      </c>
      <c r="AN1030" s="55">
        <v>0</v>
      </c>
      <c r="AO1030" s="55">
        <v>0</v>
      </c>
      <c r="AP1030" s="55">
        <f t="shared" si="361"/>
        <v>0</v>
      </c>
      <c r="AQ1030" s="55">
        <f>IFERROR(VLOOKUP(A1030,[1]SIIMPLES!$A$2:$F$418,6,FALSE),0)</f>
        <v>0</v>
      </c>
      <c r="AR1030" s="55">
        <v>0</v>
      </c>
      <c r="AS1030" s="55">
        <v>0</v>
      </c>
      <c r="AT1030" s="55">
        <v>0</v>
      </c>
      <c r="AU1030" s="55">
        <v>0</v>
      </c>
      <c r="AV1030" s="55">
        <v>0</v>
      </c>
      <c r="AW1030" s="55"/>
      <c r="AX1030" s="55"/>
      <c r="AY1030" s="56">
        <f t="shared" si="362"/>
        <v>0</v>
      </c>
      <c r="AZ1030" s="55"/>
      <c r="BA1030" s="56">
        <v>0</v>
      </c>
      <c r="BB1030" s="41" t="str">
        <f t="shared" si="358"/>
        <v/>
      </c>
      <c r="BC1030" s="13"/>
      <c r="BD1030" s="35"/>
      <c r="BE1030" s="13"/>
      <c r="BF1030" s="16"/>
      <c r="BG1030" s="17" t="str">
        <f t="shared" si="360"/>
        <v>0</v>
      </c>
      <c r="BH1030" s="16">
        <f>IFERROR(IF(F1030=1,IF(BC1030&lt;AY1030*3,AY1030*3-BC1030,0),IF(BC1030&lt;AY1030,AY1030-BC1030,0)),"")</f>
        <v>0</v>
      </c>
    </row>
    <row r="1031" spans="1:60" ht="12.75" customHeight="1" x14ac:dyDescent="0.2">
      <c r="A1031" s="51">
        <v>662029</v>
      </c>
      <c r="B1031" s="51" t="s">
        <v>1086</v>
      </c>
      <c r="C1031" s="66" t="s">
        <v>1803</v>
      </c>
      <c r="D1031" s="52" t="s">
        <v>728</v>
      </c>
      <c r="E1031" s="65" t="s">
        <v>780</v>
      </c>
      <c r="F1031" s="53">
        <f>IFERROR(VLOOKUP(E1031,Fornecedores!$A$2:$B$2700,2,FALSE),"")</f>
        <v>2</v>
      </c>
      <c r="G1031" s="52" t="s">
        <v>441</v>
      </c>
      <c r="H1031" s="57"/>
      <c r="I1031" s="55">
        <f t="shared" si="363"/>
        <v>0</v>
      </c>
      <c r="J1031" s="55">
        <v>0</v>
      </c>
      <c r="K1031" s="55">
        <v>0</v>
      </c>
      <c r="L1031" s="55">
        <v>0</v>
      </c>
      <c r="M1031" s="55">
        <v>0</v>
      </c>
      <c r="N1031" s="55">
        <f t="shared" si="364"/>
        <v>0</v>
      </c>
      <c r="O1031" s="55">
        <v>0</v>
      </c>
      <c r="P1031" s="55">
        <v>0</v>
      </c>
      <c r="Q1031" s="55">
        <v>0</v>
      </c>
      <c r="R1031" s="55">
        <f t="shared" si="365"/>
        <v>0</v>
      </c>
      <c r="S1031" s="55">
        <v>0</v>
      </c>
      <c r="T1031" s="55">
        <v>0</v>
      </c>
      <c r="U1031" s="55">
        <v>0</v>
      </c>
      <c r="V1031" s="55">
        <v>0</v>
      </c>
      <c r="W1031" s="53">
        <v>0</v>
      </c>
      <c r="X1031" s="53">
        <v>0</v>
      </c>
      <c r="Y1031" s="55">
        <v>0</v>
      </c>
      <c r="Z1031" s="55">
        <v>0</v>
      </c>
      <c r="AA1031" s="53">
        <v>0</v>
      </c>
      <c r="AB1031" s="53">
        <v>0</v>
      </c>
      <c r="AC1031" s="55">
        <v>0</v>
      </c>
      <c r="AD1031" s="55">
        <f t="shared" si="359"/>
        <v>0</v>
      </c>
      <c r="AE1031" s="53">
        <v>0</v>
      </c>
      <c r="AF1031" s="55">
        <v>0</v>
      </c>
      <c r="AG1031" s="55">
        <v>0</v>
      </c>
      <c r="AH1031" s="55">
        <f t="shared" si="354"/>
        <v>0</v>
      </c>
      <c r="AI1031" s="55">
        <v>0</v>
      </c>
      <c r="AJ1031" s="55">
        <v>0</v>
      </c>
      <c r="AK1031" s="55">
        <v>0</v>
      </c>
      <c r="AL1031" s="55">
        <f t="shared" si="355"/>
        <v>0</v>
      </c>
      <c r="AM1031" s="55" t="s">
        <v>1912</v>
      </c>
      <c r="AN1031" s="55">
        <v>0</v>
      </c>
      <c r="AO1031" s="55">
        <v>0</v>
      </c>
      <c r="AP1031" s="55">
        <f t="shared" si="361"/>
        <v>0</v>
      </c>
      <c r="AQ1031" s="55">
        <f>IFERROR(VLOOKUP(A1031,[1]SIIMPLES!$A$2:$F$418,6,FALSE),0)</f>
        <v>0</v>
      </c>
      <c r="AR1031" s="55">
        <v>0</v>
      </c>
      <c r="AS1031" s="55">
        <v>0</v>
      </c>
      <c r="AT1031" s="55">
        <v>0</v>
      </c>
      <c r="AU1031" s="55">
        <v>0</v>
      </c>
      <c r="AV1031" s="55">
        <v>0</v>
      </c>
      <c r="AW1031" s="55"/>
      <c r="AX1031" s="55"/>
      <c r="AY1031" s="56">
        <f t="shared" si="362"/>
        <v>0</v>
      </c>
      <c r="AZ1031" s="55"/>
      <c r="BA1031" s="56">
        <v>0</v>
      </c>
      <c r="BB1031" s="41" t="str">
        <f t="shared" si="358"/>
        <v/>
      </c>
      <c r="BC1031" s="13"/>
      <c r="BD1031" s="35"/>
      <c r="BE1031" s="13"/>
      <c r="BF1031" s="16"/>
      <c r="BG1031" s="17" t="str">
        <f t="shared" si="360"/>
        <v>0</v>
      </c>
      <c r="BH1031" s="16">
        <f>ROUND(IFERROR(IF(F1031=1,IF(BC1031&lt;AY1031*3,AY1031*3-BC1031,0),IF(BC1031&lt;AY1031,AY1031*0.6-BC1031,0)),""),0)</f>
        <v>0</v>
      </c>
    </row>
    <row r="1032" spans="1:60" ht="12.75" customHeight="1" x14ac:dyDescent="0.2">
      <c r="A1032" s="51">
        <v>662040</v>
      </c>
      <c r="B1032" s="51" t="s">
        <v>1077</v>
      </c>
      <c r="C1032" s="66" t="s">
        <v>1803</v>
      </c>
      <c r="D1032" s="52" t="s">
        <v>728</v>
      </c>
      <c r="E1032" s="65" t="s">
        <v>780</v>
      </c>
      <c r="F1032" s="53">
        <f>IFERROR(VLOOKUP(E1032,Fornecedores!$A$2:$B$2700,2,FALSE),"")</f>
        <v>2</v>
      </c>
      <c r="G1032" s="52" t="s">
        <v>640</v>
      </c>
      <c r="H1032" s="57"/>
      <c r="I1032" s="55">
        <f t="shared" si="363"/>
        <v>2</v>
      </c>
      <c r="J1032" s="55">
        <v>0</v>
      </c>
      <c r="K1032" s="55">
        <v>2</v>
      </c>
      <c r="L1032" s="55">
        <v>0</v>
      </c>
      <c r="M1032" s="55">
        <v>0</v>
      </c>
      <c r="N1032" s="55">
        <f t="shared" si="364"/>
        <v>0</v>
      </c>
      <c r="O1032" s="55">
        <v>0</v>
      </c>
      <c r="P1032" s="55">
        <v>0</v>
      </c>
      <c r="Q1032" s="55">
        <v>0</v>
      </c>
      <c r="R1032" s="55">
        <f t="shared" si="365"/>
        <v>1</v>
      </c>
      <c r="S1032" s="55">
        <v>0</v>
      </c>
      <c r="T1032" s="55">
        <v>1</v>
      </c>
      <c r="U1032" s="55">
        <v>0</v>
      </c>
      <c r="V1032" s="55">
        <v>2</v>
      </c>
      <c r="W1032" s="53">
        <v>0</v>
      </c>
      <c r="X1032" s="53">
        <v>2</v>
      </c>
      <c r="Y1032" s="55">
        <v>0</v>
      </c>
      <c r="Z1032" s="55">
        <v>2</v>
      </c>
      <c r="AA1032" s="53">
        <v>0</v>
      </c>
      <c r="AB1032" s="53">
        <v>2</v>
      </c>
      <c r="AC1032" s="55">
        <v>0</v>
      </c>
      <c r="AD1032" s="55">
        <f t="shared" si="359"/>
        <v>1</v>
      </c>
      <c r="AE1032" s="53">
        <v>0</v>
      </c>
      <c r="AF1032" s="55">
        <v>1</v>
      </c>
      <c r="AG1032" s="55">
        <v>0</v>
      </c>
      <c r="AH1032" s="55">
        <f t="shared" si="354"/>
        <v>0</v>
      </c>
      <c r="AI1032" s="55">
        <v>0</v>
      </c>
      <c r="AJ1032" s="55">
        <v>0</v>
      </c>
      <c r="AK1032" s="55">
        <v>0</v>
      </c>
      <c r="AL1032" s="55">
        <f t="shared" si="355"/>
        <v>1</v>
      </c>
      <c r="AM1032" s="55" t="s">
        <v>1912</v>
      </c>
      <c r="AN1032" s="55">
        <v>1</v>
      </c>
      <c r="AO1032" s="55">
        <v>0</v>
      </c>
      <c r="AP1032" s="55">
        <f t="shared" si="361"/>
        <v>0</v>
      </c>
      <c r="AQ1032" s="55">
        <f>IFERROR(VLOOKUP(A1032,[1]SIIMPLES!$A$2:$F$418,6,FALSE),0)</f>
        <v>0</v>
      </c>
      <c r="AR1032" s="55">
        <v>0</v>
      </c>
      <c r="AS1032" s="55">
        <v>0</v>
      </c>
      <c r="AT1032" s="55">
        <v>0</v>
      </c>
      <c r="AU1032" s="55">
        <v>0</v>
      </c>
      <c r="AV1032" s="55">
        <v>0</v>
      </c>
      <c r="AW1032" s="55"/>
      <c r="AX1032" s="55"/>
      <c r="AY1032" s="56">
        <f t="shared" si="362"/>
        <v>0.9</v>
      </c>
      <c r="AZ1032" s="55"/>
      <c r="BA1032" s="56">
        <v>1.5</v>
      </c>
      <c r="BB1032" s="41">
        <f t="shared" si="358"/>
        <v>-0.4</v>
      </c>
      <c r="BC1032" s="13"/>
      <c r="BD1032" s="35"/>
      <c r="BE1032" s="13"/>
      <c r="BF1032" s="16"/>
      <c r="BG1032" s="17">
        <f t="shared" si="360"/>
        <v>0</v>
      </c>
      <c r="BH1032" s="16">
        <f>ROUND(IFERROR(IF(F1032=1,IF(BC1032&lt;AY1032*3,AY1032*3-BC1032,0),IF(BC1032&lt;AY1032,AY1032*0.6-BC1032,0)),""),0)</f>
        <v>1</v>
      </c>
    </row>
    <row r="1033" spans="1:60" ht="12.75" customHeight="1" x14ac:dyDescent="0.2">
      <c r="A1033" s="51">
        <v>662041</v>
      </c>
      <c r="B1033" s="51" t="s">
        <v>1077</v>
      </c>
      <c r="C1033" s="66" t="s">
        <v>1803</v>
      </c>
      <c r="D1033" s="52" t="s">
        <v>728</v>
      </c>
      <c r="E1033" s="65" t="s">
        <v>780</v>
      </c>
      <c r="F1033" s="53">
        <f>IFERROR(VLOOKUP(E1033,Fornecedores!$A$2:$B$2700,2,FALSE),"")</f>
        <v>2</v>
      </c>
      <c r="G1033" s="52" t="s">
        <v>306</v>
      </c>
      <c r="H1033" s="57"/>
      <c r="I1033" s="55">
        <f t="shared" si="363"/>
        <v>2</v>
      </c>
      <c r="J1033" s="55">
        <v>0</v>
      </c>
      <c r="K1033" s="55">
        <v>2</v>
      </c>
      <c r="L1033" s="55">
        <v>0</v>
      </c>
      <c r="M1033" s="55">
        <v>0</v>
      </c>
      <c r="N1033" s="55">
        <f t="shared" si="364"/>
        <v>0</v>
      </c>
      <c r="O1033" s="55">
        <v>0</v>
      </c>
      <c r="P1033" s="55">
        <v>0</v>
      </c>
      <c r="Q1033" s="55">
        <v>0</v>
      </c>
      <c r="R1033" s="55">
        <f t="shared" si="365"/>
        <v>1</v>
      </c>
      <c r="S1033" s="55">
        <v>0</v>
      </c>
      <c r="T1033" s="55">
        <v>1</v>
      </c>
      <c r="U1033" s="55">
        <v>0</v>
      </c>
      <c r="V1033" s="55">
        <v>2</v>
      </c>
      <c r="W1033" s="53">
        <v>0</v>
      </c>
      <c r="X1033" s="53">
        <v>2</v>
      </c>
      <c r="Y1033" s="55">
        <v>0</v>
      </c>
      <c r="Z1033" s="55">
        <v>2</v>
      </c>
      <c r="AA1033" s="53">
        <v>0</v>
      </c>
      <c r="AB1033" s="53">
        <v>2</v>
      </c>
      <c r="AC1033" s="55">
        <v>0</v>
      </c>
      <c r="AD1033" s="55">
        <f t="shared" si="359"/>
        <v>2</v>
      </c>
      <c r="AE1033" s="53">
        <v>1</v>
      </c>
      <c r="AF1033" s="55">
        <v>1</v>
      </c>
      <c r="AG1033" s="55">
        <v>0</v>
      </c>
      <c r="AH1033" s="55">
        <f t="shared" si="354"/>
        <v>0</v>
      </c>
      <c r="AI1033" s="55">
        <v>0</v>
      </c>
      <c r="AJ1033" s="55">
        <v>0</v>
      </c>
      <c r="AK1033" s="55">
        <v>0</v>
      </c>
      <c r="AL1033" s="55">
        <f t="shared" si="355"/>
        <v>1</v>
      </c>
      <c r="AM1033" s="55" t="s">
        <v>1912</v>
      </c>
      <c r="AN1033" s="55">
        <v>1</v>
      </c>
      <c r="AO1033" s="55">
        <v>0</v>
      </c>
      <c r="AP1033" s="55">
        <f t="shared" si="361"/>
        <v>0</v>
      </c>
      <c r="AQ1033" s="55">
        <f>IFERROR(VLOOKUP(A1033,[1]SIIMPLES!$A$2:$F$418,6,FALSE),0)</f>
        <v>0</v>
      </c>
      <c r="AR1033" s="55">
        <v>0</v>
      </c>
      <c r="AS1033" s="55">
        <v>0</v>
      </c>
      <c r="AT1033" s="55">
        <v>0</v>
      </c>
      <c r="AU1033" s="55">
        <v>0</v>
      </c>
      <c r="AV1033" s="55">
        <v>0</v>
      </c>
      <c r="AW1033" s="55"/>
      <c r="AX1033" s="55"/>
      <c r="AY1033" s="56">
        <f t="shared" si="362"/>
        <v>1</v>
      </c>
      <c r="AZ1033" s="55"/>
      <c r="BA1033" s="56">
        <v>1.5</v>
      </c>
      <c r="BB1033" s="41">
        <f t="shared" si="358"/>
        <v>-0.33333333333333337</v>
      </c>
      <c r="BC1033" s="13"/>
      <c r="BD1033" s="35"/>
      <c r="BE1033" s="13"/>
      <c r="BF1033" s="16">
        <f>SUM(BC1033:BE1033)</f>
        <v>0</v>
      </c>
      <c r="BG1033" s="17">
        <f t="shared" si="360"/>
        <v>0</v>
      </c>
      <c r="BH1033" s="16">
        <f>IFERROR(IF(F1033=1,IF(BC1033&lt;AY1033*3,AY1033*3-BC1033,0),IF(BC1033&lt;AY1033,AY1033-BC1033,0)),"")</f>
        <v>1</v>
      </c>
    </row>
    <row r="1034" spans="1:60" ht="12.75" customHeight="1" x14ac:dyDescent="0.2">
      <c r="A1034" s="51">
        <v>662048</v>
      </c>
      <c r="B1034" s="51" t="s">
        <v>1077</v>
      </c>
      <c r="C1034" s="66" t="s">
        <v>1803</v>
      </c>
      <c r="D1034" s="52" t="s">
        <v>728</v>
      </c>
      <c r="E1034" s="65" t="s">
        <v>780</v>
      </c>
      <c r="F1034" s="53">
        <f>IFERROR(VLOOKUP(E1034,Fornecedores!$A$2:$B$2700,2,FALSE),"")</f>
        <v>2</v>
      </c>
      <c r="G1034" s="52" t="s">
        <v>666</v>
      </c>
      <c r="H1034" s="57"/>
      <c r="I1034" s="55">
        <f t="shared" si="363"/>
        <v>0</v>
      </c>
      <c r="J1034" s="55">
        <v>0</v>
      </c>
      <c r="K1034" s="55">
        <v>0</v>
      </c>
      <c r="L1034" s="55">
        <v>0</v>
      </c>
      <c r="M1034" s="55">
        <v>0</v>
      </c>
      <c r="N1034" s="55">
        <f t="shared" si="364"/>
        <v>0</v>
      </c>
      <c r="O1034" s="55">
        <v>0</v>
      </c>
      <c r="P1034" s="55">
        <v>0</v>
      </c>
      <c r="Q1034" s="55">
        <v>0</v>
      </c>
      <c r="R1034" s="55">
        <f t="shared" si="365"/>
        <v>0</v>
      </c>
      <c r="S1034" s="55">
        <v>0</v>
      </c>
      <c r="T1034" s="55">
        <v>0</v>
      </c>
      <c r="U1034" s="55">
        <v>0</v>
      </c>
      <c r="V1034" s="55">
        <v>0</v>
      </c>
      <c r="W1034" s="53">
        <v>0</v>
      </c>
      <c r="X1034" s="53">
        <v>0</v>
      </c>
      <c r="Y1034" s="55">
        <v>0</v>
      </c>
      <c r="Z1034" s="55">
        <v>0</v>
      </c>
      <c r="AA1034" s="53">
        <v>0</v>
      </c>
      <c r="AB1034" s="53">
        <v>0</v>
      </c>
      <c r="AC1034" s="55">
        <v>0</v>
      </c>
      <c r="AD1034" s="55">
        <f t="shared" si="359"/>
        <v>0</v>
      </c>
      <c r="AE1034" s="53">
        <v>0</v>
      </c>
      <c r="AF1034" s="55">
        <v>0</v>
      </c>
      <c r="AG1034" s="55">
        <v>0</v>
      </c>
      <c r="AH1034" s="55">
        <f t="shared" si="354"/>
        <v>0</v>
      </c>
      <c r="AI1034" s="55">
        <v>0</v>
      </c>
      <c r="AJ1034" s="55">
        <v>0</v>
      </c>
      <c r="AK1034" s="55">
        <v>0</v>
      </c>
      <c r="AL1034" s="55">
        <f t="shared" si="355"/>
        <v>0</v>
      </c>
      <c r="AM1034" s="55" t="s">
        <v>1912</v>
      </c>
      <c r="AN1034" s="55">
        <v>0</v>
      </c>
      <c r="AO1034" s="55">
        <v>0</v>
      </c>
      <c r="AP1034" s="55">
        <f t="shared" si="361"/>
        <v>0</v>
      </c>
      <c r="AQ1034" s="55">
        <f>IFERROR(VLOOKUP(A1034,[1]SIIMPLES!$A$2:$F$418,6,FALSE),0)</f>
        <v>0</v>
      </c>
      <c r="AR1034" s="55">
        <v>0</v>
      </c>
      <c r="AS1034" s="55">
        <v>0</v>
      </c>
      <c r="AT1034" s="55">
        <v>0</v>
      </c>
      <c r="AU1034" s="55">
        <v>0</v>
      </c>
      <c r="AV1034" s="55">
        <v>0</v>
      </c>
      <c r="AW1034" s="55"/>
      <c r="AX1034" s="55"/>
      <c r="AY1034" s="56">
        <f t="shared" si="362"/>
        <v>0</v>
      </c>
      <c r="AZ1034" s="55"/>
      <c r="BA1034" s="56">
        <v>0</v>
      </c>
      <c r="BB1034" s="41" t="str">
        <f t="shared" si="358"/>
        <v/>
      </c>
      <c r="BC1034" s="13"/>
      <c r="BD1034" s="35"/>
      <c r="BE1034" s="13"/>
      <c r="BF1034" s="16"/>
      <c r="BG1034" s="17" t="str">
        <f t="shared" si="360"/>
        <v>0</v>
      </c>
      <c r="BH1034" s="20">
        <f>ROUND(IFERROR(IF(F1034=1,IF(BC1034&lt;AY1034*3,AY1034*3-BC1034,0),IF(BC1034&lt;AY1034,AY1034*0.6-BC1034,0)),""),0)</f>
        <v>0</v>
      </c>
    </row>
    <row r="1035" spans="1:60" ht="12.75" customHeight="1" x14ac:dyDescent="0.2">
      <c r="A1035" s="51">
        <v>662049</v>
      </c>
      <c r="B1035" s="51" t="s">
        <v>1077</v>
      </c>
      <c r="C1035" s="66" t="s">
        <v>1803</v>
      </c>
      <c r="D1035" s="52" t="s">
        <v>728</v>
      </c>
      <c r="E1035" s="65" t="s">
        <v>780</v>
      </c>
      <c r="F1035" s="53">
        <f>IFERROR(VLOOKUP(E1035,Fornecedores!$A$2:$B$2700,2,FALSE),"")</f>
        <v>2</v>
      </c>
      <c r="G1035" s="52" t="s">
        <v>681</v>
      </c>
      <c r="H1035" s="57"/>
      <c r="I1035" s="55">
        <f t="shared" si="363"/>
        <v>0</v>
      </c>
      <c r="J1035" s="55">
        <v>0</v>
      </c>
      <c r="K1035" s="55">
        <v>0</v>
      </c>
      <c r="L1035" s="55">
        <v>0</v>
      </c>
      <c r="M1035" s="55">
        <v>0</v>
      </c>
      <c r="N1035" s="55">
        <f t="shared" si="364"/>
        <v>0</v>
      </c>
      <c r="O1035" s="55">
        <v>0</v>
      </c>
      <c r="P1035" s="55">
        <v>0</v>
      </c>
      <c r="Q1035" s="55">
        <v>0</v>
      </c>
      <c r="R1035" s="55">
        <f t="shared" si="365"/>
        <v>0</v>
      </c>
      <c r="S1035" s="55">
        <v>0</v>
      </c>
      <c r="T1035" s="55">
        <v>0</v>
      </c>
      <c r="U1035" s="55">
        <v>0</v>
      </c>
      <c r="V1035" s="55">
        <v>0</v>
      </c>
      <c r="W1035" s="53">
        <v>0</v>
      </c>
      <c r="X1035" s="53">
        <v>0</v>
      </c>
      <c r="Y1035" s="55">
        <v>0</v>
      </c>
      <c r="Z1035" s="55">
        <v>0</v>
      </c>
      <c r="AA1035" s="53">
        <v>0</v>
      </c>
      <c r="AB1035" s="53">
        <v>0</v>
      </c>
      <c r="AC1035" s="55">
        <v>0</v>
      </c>
      <c r="AD1035" s="55">
        <f t="shared" si="359"/>
        <v>0</v>
      </c>
      <c r="AE1035" s="53">
        <v>0</v>
      </c>
      <c r="AF1035" s="55">
        <v>0</v>
      </c>
      <c r="AG1035" s="55">
        <v>0</v>
      </c>
      <c r="AH1035" s="55">
        <f t="shared" si="354"/>
        <v>0</v>
      </c>
      <c r="AI1035" s="55">
        <v>0</v>
      </c>
      <c r="AJ1035" s="55">
        <v>0</v>
      </c>
      <c r="AK1035" s="55">
        <v>0</v>
      </c>
      <c r="AL1035" s="55">
        <f t="shared" si="355"/>
        <v>0</v>
      </c>
      <c r="AM1035" s="55" t="s">
        <v>1912</v>
      </c>
      <c r="AN1035" s="55">
        <v>0</v>
      </c>
      <c r="AO1035" s="55">
        <v>0</v>
      </c>
      <c r="AP1035" s="55">
        <f t="shared" si="361"/>
        <v>0</v>
      </c>
      <c r="AQ1035" s="55">
        <f>IFERROR(VLOOKUP(A1035,[1]SIIMPLES!$A$2:$F$418,6,FALSE),0)</f>
        <v>0</v>
      </c>
      <c r="AR1035" s="55">
        <v>0</v>
      </c>
      <c r="AS1035" s="55">
        <v>1</v>
      </c>
      <c r="AT1035" s="55">
        <v>0</v>
      </c>
      <c r="AU1035" s="55">
        <v>0</v>
      </c>
      <c r="AV1035" s="55">
        <v>1</v>
      </c>
      <c r="AW1035" s="55"/>
      <c r="AX1035" s="55"/>
      <c r="AY1035" s="56">
        <f t="shared" si="362"/>
        <v>0.1</v>
      </c>
      <c r="AZ1035" s="55"/>
      <c r="BA1035" s="56">
        <v>0.5</v>
      </c>
      <c r="BB1035" s="41">
        <f t="shared" si="358"/>
        <v>-0.8</v>
      </c>
      <c r="BC1035" s="13"/>
      <c r="BD1035" s="35"/>
      <c r="BE1035" s="13"/>
      <c r="BF1035" s="16"/>
      <c r="BG1035" s="17">
        <f t="shared" si="360"/>
        <v>0</v>
      </c>
      <c r="BH1035" s="16">
        <f>ROUND(IFERROR(IF(F1035=1,IF(BC1035&lt;AY1035*3,AY1035*3-BC1035,0),IF(BC1035&lt;AY1035,AY1035*0.6-BC1035,0)),""),0)</f>
        <v>0</v>
      </c>
    </row>
    <row r="1036" spans="1:60" ht="12.75" customHeight="1" x14ac:dyDescent="0.2">
      <c r="A1036" s="51">
        <v>662050</v>
      </c>
      <c r="B1036" s="51" t="s">
        <v>1077</v>
      </c>
      <c r="C1036" s="66" t="s">
        <v>1803</v>
      </c>
      <c r="D1036" s="52" t="s">
        <v>728</v>
      </c>
      <c r="E1036" s="65" t="s">
        <v>780</v>
      </c>
      <c r="F1036" s="53">
        <f>IFERROR(VLOOKUP(E1036,Fornecedores!$A$2:$B$2700,2,FALSE),"")</f>
        <v>2</v>
      </c>
      <c r="G1036" s="52" t="s">
        <v>625</v>
      </c>
      <c r="H1036" s="57"/>
      <c r="I1036" s="55">
        <f t="shared" si="363"/>
        <v>1</v>
      </c>
      <c r="J1036" s="55">
        <v>1</v>
      </c>
      <c r="K1036" s="55">
        <v>0</v>
      </c>
      <c r="L1036" s="55">
        <v>0</v>
      </c>
      <c r="M1036" s="55">
        <v>0</v>
      </c>
      <c r="N1036" s="55">
        <f t="shared" si="364"/>
        <v>0</v>
      </c>
      <c r="O1036" s="55">
        <v>0</v>
      </c>
      <c r="P1036" s="55">
        <v>0</v>
      </c>
      <c r="Q1036" s="55">
        <v>0</v>
      </c>
      <c r="R1036" s="55">
        <f t="shared" si="365"/>
        <v>0</v>
      </c>
      <c r="S1036" s="55">
        <v>0</v>
      </c>
      <c r="T1036" s="55">
        <v>0</v>
      </c>
      <c r="U1036" s="55">
        <v>0</v>
      </c>
      <c r="V1036" s="55">
        <v>0</v>
      </c>
      <c r="W1036" s="53">
        <v>0</v>
      </c>
      <c r="X1036" s="53">
        <v>0</v>
      </c>
      <c r="Y1036" s="55">
        <v>0</v>
      </c>
      <c r="Z1036" s="55">
        <v>0</v>
      </c>
      <c r="AA1036" s="53">
        <v>0</v>
      </c>
      <c r="AB1036" s="53">
        <v>0</v>
      </c>
      <c r="AC1036" s="55">
        <v>0</v>
      </c>
      <c r="AD1036" s="55">
        <f t="shared" si="359"/>
        <v>0</v>
      </c>
      <c r="AE1036" s="53">
        <v>0</v>
      </c>
      <c r="AF1036" s="55">
        <v>0</v>
      </c>
      <c r="AG1036" s="55">
        <v>0</v>
      </c>
      <c r="AH1036" s="55">
        <f t="shared" si="354"/>
        <v>0</v>
      </c>
      <c r="AI1036" s="55">
        <v>0</v>
      </c>
      <c r="AJ1036" s="55">
        <v>0</v>
      </c>
      <c r="AK1036" s="55">
        <v>0</v>
      </c>
      <c r="AL1036" s="55">
        <f t="shared" si="355"/>
        <v>0</v>
      </c>
      <c r="AM1036" s="55" t="s">
        <v>1912</v>
      </c>
      <c r="AN1036" s="55">
        <v>0</v>
      </c>
      <c r="AO1036" s="55">
        <v>0</v>
      </c>
      <c r="AP1036" s="55">
        <f t="shared" si="361"/>
        <v>0</v>
      </c>
      <c r="AQ1036" s="55">
        <f>IFERROR(VLOOKUP(A1036,[1]SIIMPLES!$A$2:$F$418,6,FALSE),0)</f>
        <v>0</v>
      </c>
      <c r="AR1036" s="55">
        <v>0</v>
      </c>
      <c r="AS1036" s="55">
        <v>0</v>
      </c>
      <c r="AT1036" s="55">
        <v>0</v>
      </c>
      <c r="AU1036" s="55">
        <v>0</v>
      </c>
      <c r="AV1036" s="55">
        <v>0</v>
      </c>
      <c r="AW1036" s="55"/>
      <c r="AX1036" s="55"/>
      <c r="AY1036" s="56">
        <f t="shared" si="362"/>
        <v>0.1</v>
      </c>
      <c r="AZ1036" s="55"/>
      <c r="BA1036" s="56">
        <v>1.5</v>
      </c>
      <c r="BB1036" s="41">
        <f t="shared" si="358"/>
        <v>-0.93333333333333335</v>
      </c>
      <c r="BC1036" s="13"/>
      <c r="BD1036" s="35"/>
      <c r="BE1036" s="13"/>
      <c r="BF1036" s="16"/>
      <c r="BG1036" s="17">
        <f t="shared" si="360"/>
        <v>0</v>
      </c>
      <c r="BH1036" s="16">
        <f>ROUND(IFERROR(IF(F1036=1,IF(BC1036&lt;AY1036*3,AY1036*3-BC1036,0),IF(BC1036&lt;AY1036,AY1036*0.6-BC1036,0)),""),0)</f>
        <v>0</v>
      </c>
    </row>
    <row r="1037" spans="1:60" ht="12.75" customHeight="1" x14ac:dyDescent="0.2">
      <c r="A1037" s="51">
        <v>662051</v>
      </c>
      <c r="B1037" s="51" t="s">
        <v>1077</v>
      </c>
      <c r="C1037" s="66" t="s">
        <v>1803</v>
      </c>
      <c r="D1037" s="52" t="s">
        <v>728</v>
      </c>
      <c r="E1037" s="65" t="s">
        <v>780</v>
      </c>
      <c r="F1037" s="53">
        <f>IFERROR(VLOOKUP(E1037,Fornecedores!$A$2:$B$2700,2,FALSE),"")</f>
        <v>2</v>
      </c>
      <c r="G1037" s="52" t="s">
        <v>362</v>
      </c>
      <c r="H1037" s="57"/>
      <c r="I1037" s="55">
        <f t="shared" si="363"/>
        <v>0</v>
      </c>
      <c r="J1037" s="55">
        <v>0</v>
      </c>
      <c r="K1037" s="55">
        <v>0</v>
      </c>
      <c r="L1037" s="55">
        <v>0</v>
      </c>
      <c r="M1037" s="55">
        <v>0</v>
      </c>
      <c r="N1037" s="55">
        <f t="shared" si="364"/>
        <v>0</v>
      </c>
      <c r="O1037" s="55">
        <v>0</v>
      </c>
      <c r="P1037" s="55">
        <v>0</v>
      </c>
      <c r="Q1037" s="55">
        <v>0</v>
      </c>
      <c r="R1037" s="55">
        <f t="shared" si="365"/>
        <v>0</v>
      </c>
      <c r="S1037" s="55">
        <v>0</v>
      </c>
      <c r="T1037" s="55">
        <v>0</v>
      </c>
      <c r="U1037" s="55">
        <v>0</v>
      </c>
      <c r="V1037" s="55">
        <v>0</v>
      </c>
      <c r="W1037" s="53">
        <v>0</v>
      </c>
      <c r="X1037" s="53">
        <v>0</v>
      </c>
      <c r="Y1037" s="55">
        <v>0</v>
      </c>
      <c r="Z1037" s="55">
        <v>0</v>
      </c>
      <c r="AA1037" s="53">
        <v>0</v>
      </c>
      <c r="AB1037" s="53">
        <v>0</v>
      </c>
      <c r="AC1037" s="55">
        <v>0</v>
      </c>
      <c r="AD1037" s="55">
        <f t="shared" si="359"/>
        <v>0</v>
      </c>
      <c r="AE1037" s="53">
        <v>0</v>
      </c>
      <c r="AF1037" s="55">
        <v>0</v>
      </c>
      <c r="AG1037" s="55">
        <v>0</v>
      </c>
      <c r="AH1037" s="55">
        <f t="shared" si="354"/>
        <v>0</v>
      </c>
      <c r="AI1037" s="55">
        <v>0</v>
      </c>
      <c r="AJ1037" s="55">
        <v>0</v>
      </c>
      <c r="AK1037" s="55">
        <v>0</v>
      </c>
      <c r="AL1037" s="55">
        <f t="shared" si="355"/>
        <v>0</v>
      </c>
      <c r="AM1037" s="55" t="s">
        <v>1912</v>
      </c>
      <c r="AN1037" s="55">
        <v>0</v>
      </c>
      <c r="AO1037" s="55">
        <v>0</v>
      </c>
      <c r="AP1037" s="55">
        <f t="shared" si="361"/>
        <v>0</v>
      </c>
      <c r="AQ1037" s="55">
        <f>IFERROR(VLOOKUP(A1037,[1]SIIMPLES!$A$2:$F$418,6,FALSE),0)</f>
        <v>0</v>
      </c>
      <c r="AR1037" s="55">
        <v>0</v>
      </c>
      <c r="AS1037" s="55">
        <v>0</v>
      </c>
      <c r="AT1037" s="55">
        <v>0</v>
      </c>
      <c r="AU1037" s="55">
        <v>0</v>
      </c>
      <c r="AV1037" s="55">
        <v>0</v>
      </c>
      <c r="AW1037" s="55"/>
      <c r="AX1037" s="55"/>
      <c r="AY1037" s="56">
        <f t="shared" si="362"/>
        <v>0</v>
      </c>
      <c r="AZ1037" s="55"/>
      <c r="BA1037" s="56">
        <v>0.16666666666666666</v>
      </c>
      <c r="BB1037" s="41">
        <f t="shared" si="358"/>
        <v>-1</v>
      </c>
      <c r="BC1037" s="13"/>
      <c r="BD1037" s="35"/>
      <c r="BE1037" s="13"/>
      <c r="BF1037" s="16"/>
      <c r="BG1037" s="17" t="str">
        <f t="shared" si="360"/>
        <v>0</v>
      </c>
      <c r="BH1037" s="20">
        <f>ROUND(IFERROR(IF(F1037=1,IF(BC1037&lt;AY1037*3,AY1037*3-BC1037,0),IF(BC1037&lt;AY1037,AY1037*0.6-BC1037,0)),""),0)</f>
        <v>0</v>
      </c>
    </row>
    <row r="1038" spans="1:60" ht="12.75" customHeight="1" x14ac:dyDescent="0.2">
      <c r="A1038" s="51">
        <v>662090</v>
      </c>
      <c r="B1038" s="51" t="s">
        <v>1086</v>
      </c>
      <c r="C1038" s="66" t="s">
        <v>1803</v>
      </c>
      <c r="D1038" s="52" t="s">
        <v>728</v>
      </c>
      <c r="E1038" s="65" t="s">
        <v>780</v>
      </c>
      <c r="F1038" s="53">
        <f>IFERROR(VLOOKUP(E1038,Fornecedores!$A$2:$B$2700,2,FALSE),"")</f>
        <v>2</v>
      </c>
      <c r="G1038" s="52">
        <f>VLOOKUP(A1038,[2]CMV!$A$1:$F$2043,6,FALSE)</f>
        <v>0</v>
      </c>
      <c r="H1038" s="57"/>
      <c r="I1038" s="55">
        <f t="shared" si="363"/>
        <v>0</v>
      </c>
      <c r="J1038" s="55">
        <v>0</v>
      </c>
      <c r="K1038" s="55">
        <v>0</v>
      </c>
      <c r="L1038" s="55">
        <v>0</v>
      </c>
      <c r="M1038" s="55">
        <v>0</v>
      </c>
      <c r="N1038" s="55">
        <f t="shared" si="364"/>
        <v>0</v>
      </c>
      <c r="O1038" s="55">
        <v>0</v>
      </c>
      <c r="P1038" s="55">
        <v>0</v>
      </c>
      <c r="Q1038" s="55">
        <v>0</v>
      </c>
      <c r="R1038" s="55">
        <f t="shared" si="365"/>
        <v>0</v>
      </c>
      <c r="S1038" s="55">
        <v>0</v>
      </c>
      <c r="T1038" s="55">
        <v>0</v>
      </c>
      <c r="U1038" s="55">
        <v>0</v>
      </c>
      <c r="V1038" s="55">
        <v>0</v>
      </c>
      <c r="W1038" s="53">
        <v>0</v>
      </c>
      <c r="X1038" s="53">
        <v>0</v>
      </c>
      <c r="Y1038" s="55">
        <v>0</v>
      </c>
      <c r="Z1038" s="55">
        <v>0</v>
      </c>
      <c r="AA1038" s="53">
        <v>0</v>
      </c>
      <c r="AB1038" s="53">
        <v>0</v>
      </c>
      <c r="AC1038" s="55">
        <v>0</v>
      </c>
      <c r="AD1038" s="55">
        <f t="shared" si="359"/>
        <v>0</v>
      </c>
      <c r="AE1038" s="53">
        <v>0</v>
      </c>
      <c r="AF1038" s="55">
        <v>0</v>
      </c>
      <c r="AG1038" s="55">
        <v>0</v>
      </c>
      <c r="AH1038" s="55">
        <f t="shared" si="354"/>
        <v>0</v>
      </c>
      <c r="AI1038" s="55">
        <v>0</v>
      </c>
      <c r="AJ1038" s="55">
        <v>0</v>
      </c>
      <c r="AK1038" s="55">
        <v>0</v>
      </c>
      <c r="AL1038" s="55">
        <f t="shared" si="355"/>
        <v>0</v>
      </c>
      <c r="AM1038" s="55" t="s">
        <v>1912</v>
      </c>
      <c r="AN1038" s="55">
        <v>0</v>
      </c>
      <c r="AO1038" s="55">
        <v>0</v>
      </c>
      <c r="AP1038" s="55">
        <f t="shared" si="361"/>
        <v>0</v>
      </c>
      <c r="AQ1038" s="55">
        <f>IFERROR(VLOOKUP(A1038,[1]SIIMPLES!$A$2:$F$418,6,FALSE),0)</f>
        <v>0</v>
      </c>
      <c r="AR1038" s="55">
        <v>0</v>
      </c>
      <c r="AS1038" s="55">
        <v>0</v>
      </c>
      <c r="AT1038" s="55">
        <v>0</v>
      </c>
      <c r="AU1038" s="55">
        <v>0</v>
      </c>
      <c r="AV1038" s="55">
        <v>0</v>
      </c>
      <c r="AW1038" s="55"/>
      <c r="AX1038" s="55"/>
      <c r="AY1038" s="56">
        <f t="shared" si="362"/>
        <v>0</v>
      </c>
      <c r="AZ1038" s="55"/>
      <c r="BA1038" s="56">
        <v>0</v>
      </c>
      <c r="BB1038" s="41" t="str">
        <f t="shared" si="358"/>
        <v/>
      </c>
      <c r="BC1038" s="13"/>
      <c r="BD1038" s="35"/>
      <c r="BE1038" s="13"/>
      <c r="BF1038" s="16"/>
      <c r="BG1038" s="17" t="str">
        <f t="shared" si="360"/>
        <v>0</v>
      </c>
      <c r="BH1038" s="16">
        <f>ROUND(IFERROR(IF(F1038=1,IF(BC1038&lt;AY1038*3,AY1038*3-BC1038,0),IF(BC1038&lt;AY1038,AY1038*0.6-BC1038,0)),""),0)</f>
        <v>0</v>
      </c>
    </row>
    <row r="1039" spans="1:60" ht="12.75" customHeight="1" x14ac:dyDescent="0.2">
      <c r="A1039" s="51">
        <v>772001</v>
      </c>
      <c r="B1039" s="51" t="s">
        <v>1086</v>
      </c>
      <c r="C1039" s="66" t="s">
        <v>1803</v>
      </c>
      <c r="D1039" s="52" t="s">
        <v>728</v>
      </c>
      <c r="E1039" s="65" t="s">
        <v>780</v>
      </c>
      <c r="F1039" s="53">
        <f>IFERROR(VLOOKUP(E1039,Fornecedores!$A$2:$B$2700,2,FALSE),"")</f>
        <v>2</v>
      </c>
      <c r="G1039" s="52" t="s">
        <v>540</v>
      </c>
      <c r="H1039" s="57"/>
      <c r="I1039" s="55">
        <f t="shared" si="363"/>
        <v>0</v>
      </c>
      <c r="J1039" s="55">
        <v>0</v>
      </c>
      <c r="K1039" s="55">
        <v>0</v>
      </c>
      <c r="L1039" s="55">
        <v>0</v>
      </c>
      <c r="M1039" s="55">
        <v>0</v>
      </c>
      <c r="N1039" s="55">
        <f t="shared" si="364"/>
        <v>0</v>
      </c>
      <c r="O1039" s="55">
        <v>0</v>
      </c>
      <c r="P1039" s="55">
        <v>0</v>
      </c>
      <c r="Q1039" s="55">
        <v>0</v>
      </c>
      <c r="R1039" s="55">
        <f t="shared" si="365"/>
        <v>0</v>
      </c>
      <c r="S1039" s="55">
        <v>0</v>
      </c>
      <c r="T1039" s="55">
        <v>0</v>
      </c>
      <c r="U1039" s="55">
        <v>0</v>
      </c>
      <c r="V1039" s="55">
        <v>0</v>
      </c>
      <c r="W1039" s="53">
        <v>0</v>
      </c>
      <c r="X1039" s="53">
        <v>0</v>
      </c>
      <c r="Y1039" s="55">
        <v>0</v>
      </c>
      <c r="Z1039" s="55">
        <v>0</v>
      </c>
      <c r="AA1039" s="53">
        <v>0</v>
      </c>
      <c r="AB1039" s="53">
        <v>0</v>
      </c>
      <c r="AC1039" s="55">
        <v>0</v>
      </c>
      <c r="AD1039" s="55">
        <f t="shared" si="359"/>
        <v>0</v>
      </c>
      <c r="AE1039" s="53">
        <v>0</v>
      </c>
      <c r="AF1039" s="55">
        <v>0</v>
      </c>
      <c r="AG1039" s="55">
        <v>0</v>
      </c>
      <c r="AH1039" s="55">
        <f t="shared" si="354"/>
        <v>0</v>
      </c>
      <c r="AI1039" s="55">
        <v>0</v>
      </c>
      <c r="AJ1039" s="55">
        <v>0</v>
      </c>
      <c r="AK1039" s="55">
        <v>0</v>
      </c>
      <c r="AL1039" s="55">
        <f t="shared" si="355"/>
        <v>0</v>
      </c>
      <c r="AM1039" s="55" t="s">
        <v>1912</v>
      </c>
      <c r="AN1039" s="55">
        <v>0</v>
      </c>
      <c r="AO1039" s="55">
        <v>0</v>
      </c>
      <c r="AP1039" s="55">
        <f t="shared" si="361"/>
        <v>0</v>
      </c>
      <c r="AQ1039" s="55">
        <f>IFERROR(VLOOKUP(A1039,[1]SIIMPLES!$A$2:$F$418,6,FALSE),0)</f>
        <v>0</v>
      </c>
      <c r="AR1039" s="55">
        <v>0</v>
      </c>
      <c r="AS1039" s="55">
        <v>0</v>
      </c>
      <c r="AT1039" s="55">
        <v>0</v>
      </c>
      <c r="AU1039" s="55">
        <v>0</v>
      </c>
      <c r="AV1039" s="55">
        <v>0</v>
      </c>
      <c r="AW1039" s="55"/>
      <c r="AX1039" s="55"/>
      <c r="AY1039" s="56">
        <f t="shared" si="362"/>
        <v>0</v>
      </c>
      <c r="AZ1039" s="55"/>
      <c r="BA1039" s="56">
        <v>0</v>
      </c>
      <c r="BB1039" s="41" t="str">
        <f t="shared" si="358"/>
        <v/>
      </c>
      <c r="BC1039" s="13"/>
      <c r="BD1039" s="35"/>
      <c r="BE1039" s="13"/>
      <c r="BF1039" s="16"/>
      <c r="BG1039" s="17" t="str">
        <f t="shared" ref="BG1039:BG1070" si="366">IFERROR(BC1039/AY1039,"0")</f>
        <v>0</v>
      </c>
      <c r="BH1039" s="16">
        <f>IFERROR(IF(F1039=1,IF(BC1039&lt;AY1039*3,AY1039*3-BC1039,0),IF(BC1039&lt;AY1039,AY1039-BC1039,0)),"")</f>
        <v>0</v>
      </c>
    </row>
    <row r="1040" spans="1:60" ht="12.75" customHeight="1" x14ac:dyDescent="0.2">
      <c r="A1040" s="51">
        <v>772002</v>
      </c>
      <c r="B1040" s="51" t="s">
        <v>1086</v>
      </c>
      <c r="C1040" s="66" t="s">
        <v>1803</v>
      </c>
      <c r="D1040" s="52" t="s">
        <v>728</v>
      </c>
      <c r="E1040" s="65" t="s">
        <v>780</v>
      </c>
      <c r="F1040" s="53">
        <f>IFERROR(VLOOKUP(E1040,Fornecedores!$A$2:$B$2700,2,FALSE),"")</f>
        <v>2</v>
      </c>
      <c r="G1040" s="52" t="s">
        <v>525</v>
      </c>
      <c r="H1040" s="57"/>
      <c r="I1040" s="55">
        <f t="shared" si="363"/>
        <v>0</v>
      </c>
      <c r="J1040" s="55">
        <v>0</v>
      </c>
      <c r="K1040" s="55">
        <v>0</v>
      </c>
      <c r="L1040" s="55">
        <v>0</v>
      </c>
      <c r="M1040" s="55">
        <v>0</v>
      </c>
      <c r="N1040" s="55">
        <f t="shared" si="364"/>
        <v>0</v>
      </c>
      <c r="O1040" s="55">
        <v>0</v>
      </c>
      <c r="P1040" s="55">
        <v>0</v>
      </c>
      <c r="Q1040" s="55">
        <v>0</v>
      </c>
      <c r="R1040" s="55">
        <f t="shared" si="365"/>
        <v>0</v>
      </c>
      <c r="S1040" s="55">
        <v>0</v>
      </c>
      <c r="T1040" s="55">
        <v>0</v>
      </c>
      <c r="U1040" s="55">
        <v>0</v>
      </c>
      <c r="V1040" s="55">
        <v>0</v>
      </c>
      <c r="W1040" s="53">
        <v>0</v>
      </c>
      <c r="X1040" s="53">
        <v>0</v>
      </c>
      <c r="Y1040" s="55">
        <v>0</v>
      </c>
      <c r="Z1040" s="55">
        <v>0</v>
      </c>
      <c r="AA1040" s="53">
        <v>0</v>
      </c>
      <c r="AB1040" s="53">
        <v>0</v>
      </c>
      <c r="AC1040" s="55">
        <v>0</v>
      </c>
      <c r="AD1040" s="55">
        <f t="shared" si="359"/>
        <v>0</v>
      </c>
      <c r="AE1040" s="53">
        <v>0</v>
      </c>
      <c r="AF1040" s="55">
        <v>0</v>
      </c>
      <c r="AG1040" s="55">
        <v>0</v>
      </c>
      <c r="AH1040" s="55">
        <f t="shared" si="354"/>
        <v>0</v>
      </c>
      <c r="AI1040" s="55">
        <v>0</v>
      </c>
      <c r="AJ1040" s="55">
        <v>0</v>
      </c>
      <c r="AK1040" s="55">
        <v>0</v>
      </c>
      <c r="AL1040" s="55">
        <f t="shared" si="355"/>
        <v>0</v>
      </c>
      <c r="AM1040" s="55" t="s">
        <v>1912</v>
      </c>
      <c r="AN1040" s="55">
        <v>0</v>
      </c>
      <c r="AO1040" s="55">
        <v>0</v>
      </c>
      <c r="AP1040" s="55">
        <f t="shared" si="361"/>
        <v>0</v>
      </c>
      <c r="AQ1040" s="55">
        <f>IFERROR(VLOOKUP(A1040,[1]SIIMPLES!$A$2:$F$418,6,FALSE),0)</f>
        <v>0</v>
      </c>
      <c r="AR1040" s="55">
        <v>0</v>
      </c>
      <c r="AS1040" s="55">
        <v>0</v>
      </c>
      <c r="AT1040" s="55">
        <v>0</v>
      </c>
      <c r="AU1040" s="55">
        <v>0</v>
      </c>
      <c r="AV1040" s="55">
        <v>0</v>
      </c>
      <c r="AW1040" s="55"/>
      <c r="AX1040" s="55"/>
      <c r="AY1040" s="56">
        <f t="shared" si="362"/>
        <v>0</v>
      </c>
      <c r="AZ1040" s="55"/>
      <c r="BA1040" s="56">
        <v>0</v>
      </c>
      <c r="BB1040" s="41" t="str">
        <f t="shared" si="358"/>
        <v/>
      </c>
      <c r="BC1040" s="13"/>
      <c r="BD1040" s="35"/>
      <c r="BE1040" s="13"/>
      <c r="BF1040" s="16"/>
      <c r="BG1040" s="17" t="str">
        <f t="shared" si="366"/>
        <v>0</v>
      </c>
      <c r="BH1040" s="16">
        <f>IFERROR(IF(F1040=1,IF(BC1040&lt;AY1040*3,AY1040*3-BC1040,0),IF(BC1040&lt;AY1040,AY1040-BC1040,0)),"")</f>
        <v>0</v>
      </c>
    </row>
    <row r="1041" spans="1:60" ht="12.75" customHeight="1" x14ac:dyDescent="0.2">
      <c r="A1041" s="51">
        <v>772003</v>
      </c>
      <c r="B1041" s="51" t="s">
        <v>1077</v>
      </c>
      <c r="C1041" s="66" t="s">
        <v>1803</v>
      </c>
      <c r="D1041" s="52" t="s">
        <v>728</v>
      </c>
      <c r="E1041" s="65" t="s">
        <v>780</v>
      </c>
      <c r="F1041" s="53">
        <f>IFERROR(VLOOKUP(E1041,Fornecedores!$A$2:$B$2700,2,FALSE),"")</f>
        <v>2</v>
      </c>
      <c r="G1041" s="52" t="s">
        <v>636</v>
      </c>
      <c r="H1041" s="57"/>
      <c r="I1041" s="55">
        <f t="shared" si="363"/>
        <v>0</v>
      </c>
      <c r="J1041" s="55">
        <v>0</v>
      </c>
      <c r="K1041" s="55">
        <v>0</v>
      </c>
      <c r="L1041" s="55">
        <v>0</v>
      </c>
      <c r="M1041" s="55">
        <v>0</v>
      </c>
      <c r="N1041" s="55">
        <f t="shared" si="364"/>
        <v>0</v>
      </c>
      <c r="O1041" s="55">
        <v>0</v>
      </c>
      <c r="P1041" s="55">
        <v>0</v>
      </c>
      <c r="Q1041" s="55">
        <v>0</v>
      </c>
      <c r="R1041" s="55">
        <f t="shared" si="365"/>
        <v>0</v>
      </c>
      <c r="S1041" s="55">
        <v>0</v>
      </c>
      <c r="T1041" s="55">
        <v>0</v>
      </c>
      <c r="U1041" s="55">
        <v>0</v>
      </c>
      <c r="V1041" s="55">
        <v>0</v>
      </c>
      <c r="W1041" s="53">
        <v>0</v>
      </c>
      <c r="X1041" s="53">
        <v>0</v>
      </c>
      <c r="Y1041" s="55">
        <v>0</v>
      </c>
      <c r="Z1041" s="55">
        <v>2</v>
      </c>
      <c r="AA1041" s="53">
        <v>0</v>
      </c>
      <c r="AB1041" s="53">
        <v>2</v>
      </c>
      <c r="AC1041" s="55">
        <v>0</v>
      </c>
      <c r="AD1041" s="55">
        <f t="shared" si="359"/>
        <v>2</v>
      </c>
      <c r="AE1041" s="53">
        <v>0</v>
      </c>
      <c r="AF1041" s="55">
        <v>2</v>
      </c>
      <c r="AG1041" s="55">
        <v>0</v>
      </c>
      <c r="AH1041" s="55">
        <f t="shared" si="354"/>
        <v>0</v>
      </c>
      <c r="AI1041" s="55">
        <v>0</v>
      </c>
      <c r="AJ1041" s="55">
        <v>0</v>
      </c>
      <c r="AK1041" s="55">
        <v>0</v>
      </c>
      <c r="AL1041" s="55">
        <f t="shared" si="355"/>
        <v>0</v>
      </c>
      <c r="AM1041" s="55" t="s">
        <v>1912</v>
      </c>
      <c r="AN1041" s="55">
        <v>0</v>
      </c>
      <c r="AO1041" s="55">
        <v>0</v>
      </c>
      <c r="AP1041" s="55">
        <f t="shared" si="361"/>
        <v>0</v>
      </c>
      <c r="AQ1041" s="55">
        <f>IFERROR(VLOOKUP(A1041,[1]SIIMPLES!$A$2:$F$418,6,FALSE),0)</f>
        <v>0</v>
      </c>
      <c r="AR1041" s="55">
        <v>0</v>
      </c>
      <c r="AS1041" s="55">
        <v>2</v>
      </c>
      <c r="AT1041" s="55">
        <v>0</v>
      </c>
      <c r="AU1041" s="55">
        <v>0</v>
      </c>
      <c r="AV1041" s="55">
        <v>2</v>
      </c>
      <c r="AW1041" s="55"/>
      <c r="AX1041" s="55"/>
      <c r="AY1041" s="56">
        <f t="shared" si="362"/>
        <v>0.6</v>
      </c>
      <c r="AZ1041" s="55"/>
      <c r="BA1041" s="56">
        <v>0</v>
      </c>
      <c r="BB1041" s="41" t="str">
        <f t="shared" si="358"/>
        <v/>
      </c>
      <c r="BC1041" s="7"/>
      <c r="BD1041" s="35"/>
      <c r="BE1041" s="13"/>
      <c r="BF1041" s="16"/>
      <c r="BG1041" s="17">
        <f t="shared" si="366"/>
        <v>0</v>
      </c>
      <c r="BH1041" s="16">
        <f>IFERROR(IF(F1041=1,IF(BC1041&lt;AY1041*3,AY1041*3-BC1041,0),IF(BC1041&lt;AY1041,AY1041-BC1041,0)),"")</f>
        <v>0.6</v>
      </c>
    </row>
    <row r="1042" spans="1:60" ht="12.75" customHeight="1" x14ac:dyDescent="0.2">
      <c r="A1042" s="51">
        <v>772004</v>
      </c>
      <c r="B1042" s="51" t="s">
        <v>1077</v>
      </c>
      <c r="C1042" s="66" t="s">
        <v>1803</v>
      </c>
      <c r="D1042" s="52" t="s">
        <v>728</v>
      </c>
      <c r="E1042" s="65" t="s">
        <v>780</v>
      </c>
      <c r="F1042" s="53">
        <f>IFERROR(VLOOKUP(E1042,Fornecedores!$A$2:$B$2700,2,FALSE),"")</f>
        <v>2</v>
      </c>
      <c r="G1042" s="52" t="s">
        <v>650</v>
      </c>
      <c r="H1042" s="57"/>
      <c r="I1042" s="55">
        <f t="shared" si="363"/>
        <v>1</v>
      </c>
      <c r="J1042" s="55">
        <v>1</v>
      </c>
      <c r="K1042" s="55">
        <v>0</v>
      </c>
      <c r="L1042" s="55">
        <v>0</v>
      </c>
      <c r="M1042" s="55">
        <v>0</v>
      </c>
      <c r="N1042" s="55">
        <f t="shared" si="364"/>
        <v>3</v>
      </c>
      <c r="O1042" s="55">
        <v>3</v>
      </c>
      <c r="P1042" s="55">
        <v>0</v>
      </c>
      <c r="Q1042" s="55">
        <v>0</v>
      </c>
      <c r="R1042" s="55">
        <f t="shared" si="365"/>
        <v>3</v>
      </c>
      <c r="S1042" s="55">
        <v>3</v>
      </c>
      <c r="T1042" s="55">
        <v>0</v>
      </c>
      <c r="U1042" s="55">
        <v>0</v>
      </c>
      <c r="V1042" s="55">
        <v>0</v>
      </c>
      <c r="W1042" s="53">
        <v>0</v>
      </c>
      <c r="X1042" s="53">
        <v>0</v>
      </c>
      <c r="Y1042" s="55">
        <v>0</v>
      </c>
      <c r="Z1042" s="55">
        <v>2</v>
      </c>
      <c r="AA1042" s="53">
        <v>0</v>
      </c>
      <c r="AB1042" s="53">
        <v>2</v>
      </c>
      <c r="AC1042" s="55">
        <v>0</v>
      </c>
      <c r="AD1042" s="55">
        <f t="shared" si="359"/>
        <v>2</v>
      </c>
      <c r="AE1042" s="53">
        <v>0</v>
      </c>
      <c r="AF1042" s="55">
        <v>2</v>
      </c>
      <c r="AG1042" s="55">
        <v>0</v>
      </c>
      <c r="AH1042" s="55">
        <f t="shared" si="354"/>
        <v>0</v>
      </c>
      <c r="AI1042" s="55">
        <v>0</v>
      </c>
      <c r="AJ1042" s="55">
        <v>0</v>
      </c>
      <c r="AK1042" s="55">
        <v>0</v>
      </c>
      <c r="AL1042" s="55">
        <f t="shared" si="355"/>
        <v>0</v>
      </c>
      <c r="AM1042" s="55" t="s">
        <v>1912</v>
      </c>
      <c r="AN1042" s="55">
        <v>0</v>
      </c>
      <c r="AO1042" s="55">
        <v>0</v>
      </c>
      <c r="AP1042" s="55">
        <f t="shared" si="361"/>
        <v>0</v>
      </c>
      <c r="AQ1042" s="55">
        <f>IFERROR(VLOOKUP(A1042,[1]SIIMPLES!$A$2:$F$418,6,FALSE),0)</f>
        <v>0</v>
      </c>
      <c r="AR1042" s="55">
        <v>0</v>
      </c>
      <c r="AS1042" s="55">
        <v>2</v>
      </c>
      <c r="AT1042" s="55">
        <v>0</v>
      </c>
      <c r="AU1042" s="55">
        <v>0</v>
      </c>
      <c r="AV1042" s="55">
        <v>2</v>
      </c>
      <c r="AW1042" s="55"/>
      <c r="AX1042" s="55"/>
      <c r="AY1042" s="56">
        <f t="shared" si="362"/>
        <v>1.3</v>
      </c>
      <c r="AZ1042" s="55"/>
      <c r="BA1042" s="56">
        <v>0</v>
      </c>
      <c r="BB1042" s="41" t="str">
        <f t="shared" si="358"/>
        <v/>
      </c>
      <c r="BC1042" s="13"/>
      <c r="BD1042" s="35"/>
      <c r="BE1042" s="13"/>
      <c r="BF1042" s="16"/>
      <c r="BG1042" s="17">
        <f t="shared" si="366"/>
        <v>0</v>
      </c>
      <c r="BH1042" s="16">
        <f>IFERROR(IF(F1042=1,IF(BC1042&lt;AY1042*3,AY1042*3-BC1042,0),IF(BC1042&lt;AY1042,AY1042-BC1042,0)),"")</f>
        <v>1.3</v>
      </c>
    </row>
    <row r="1043" spans="1:60" ht="12.75" customHeight="1" x14ac:dyDescent="0.2">
      <c r="A1043" s="51">
        <v>772005</v>
      </c>
      <c r="B1043" s="51" t="s">
        <v>1077</v>
      </c>
      <c r="C1043" s="66" t="s">
        <v>1803</v>
      </c>
      <c r="D1043" s="52" t="s">
        <v>728</v>
      </c>
      <c r="E1043" s="65" t="s">
        <v>780</v>
      </c>
      <c r="F1043" s="53">
        <f>IFERROR(VLOOKUP(E1043,Fornecedores!$A$2:$B$2700,2,FALSE),"")</f>
        <v>2</v>
      </c>
      <c r="G1043" s="52" t="s">
        <v>627</v>
      </c>
      <c r="H1043" s="57"/>
      <c r="I1043" s="55">
        <f t="shared" si="363"/>
        <v>0</v>
      </c>
      <c r="J1043" s="55">
        <v>0</v>
      </c>
      <c r="K1043" s="55">
        <v>0</v>
      </c>
      <c r="L1043" s="55">
        <v>0</v>
      </c>
      <c r="M1043" s="55">
        <v>0</v>
      </c>
      <c r="N1043" s="55">
        <f t="shared" si="364"/>
        <v>1</v>
      </c>
      <c r="O1043" s="55">
        <v>0</v>
      </c>
      <c r="P1043" s="55">
        <v>1</v>
      </c>
      <c r="Q1043" s="55">
        <v>0</v>
      </c>
      <c r="R1043" s="55">
        <f t="shared" si="365"/>
        <v>0</v>
      </c>
      <c r="S1043" s="55">
        <v>0</v>
      </c>
      <c r="T1043" s="55">
        <v>0</v>
      </c>
      <c r="U1043" s="55">
        <v>0</v>
      </c>
      <c r="V1043" s="55">
        <v>0</v>
      </c>
      <c r="W1043" s="53">
        <v>0</v>
      </c>
      <c r="X1043" s="53">
        <v>0</v>
      </c>
      <c r="Y1043" s="55">
        <v>0</v>
      </c>
      <c r="Z1043" s="55">
        <v>0</v>
      </c>
      <c r="AA1043" s="53">
        <v>0</v>
      </c>
      <c r="AB1043" s="53">
        <v>0</v>
      </c>
      <c r="AC1043" s="55">
        <v>0</v>
      </c>
      <c r="AD1043" s="55">
        <f t="shared" si="359"/>
        <v>0</v>
      </c>
      <c r="AE1043" s="53">
        <v>0</v>
      </c>
      <c r="AF1043" s="55">
        <v>0</v>
      </c>
      <c r="AG1043" s="55">
        <v>0</v>
      </c>
      <c r="AH1043" s="55">
        <f t="shared" ref="AH1043:AH1106" si="367">SUM(AI1043:AK1043)</f>
        <v>0</v>
      </c>
      <c r="AI1043" s="55">
        <v>0</v>
      </c>
      <c r="AJ1043" s="55">
        <v>0</v>
      </c>
      <c r="AK1043" s="55">
        <v>0</v>
      </c>
      <c r="AL1043" s="55">
        <f t="shared" ref="AL1043:AL1106" si="368">SUM(AM1043:AO1043)</f>
        <v>0</v>
      </c>
      <c r="AM1043" s="55" t="s">
        <v>1912</v>
      </c>
      <c r="AN1043" s="55">
        <v>0</v>
      </c>
      <c r="AO1043" s="55">
        <v>0</v>
      </c>
      <c r="AP1043" s="55">
        <f t="shared" si="361"/>
        <v>0</v>
      </c>
      <c r="AQ1043" s="55">
        <f>IFERROR(VLOOKUP(A1043,[1]SIIMPLES!$A$2:$F$418,6,FALSE),0)</f>
        <v>0</v>
      </c>
      <c r="AR1043" s="55">
        <v>0</v>
      </c>
      <c r="AS1043" s="55">
        <v>0</v>
      </c>
      <c r="AT1043" s="55">
        <v>0</v>
      </c>
      <c r="AU1043" s="55">
        <v>0</v>
      </c>
      <c r="AV1043" s="55">
        <v>0</v>
      </c>
      <c r="AW1043" s="55"/>
      <c r="AX1043" s="55"/>
      <c r="AY1043" s="56">
        <f t="shared" si="362"/>
        <v>0.1</v>
      </c>
      <c r="AZ1043" s="55"/>
      <c r="BA1043" s="56">
        <v>9.1666666666666661</v>
      </c>
      <c r="BB1043" s="41">
        <f t="shared" ref="BB1043:BB1106" si="369">IFERROR(AY1043/BA1043-1,"")</f>
        <v>-0.98909090909090913</v>
      </c>
      <c r="BC1043" s="13"/>
      <c r="BD1043" s="35"/>
      <c r="BE1043" s="13"/>
      <c r="BF1043" s="16"/>
      <c r="BG1043" s="17">
        <f t="shared" si="366"/>
        <v>0</v>
      </c>
      <c r="BH1043" s="16">
        <f>IFERROR(IF(F1043=1,IF(BC1043&lt;AY1043*3,AY1043*3-BC1043,0),IF(BC1043&lt;AY1043,AY1043-BC1043,0)),"")</f>
        <v>0.1</v>
      </c>
    </row>
    <row r="1044" spans="1:60" ht="12.75" customHeight="1" x14ac:dyDescent="0.2">
      <c r="A1044" s="51">
        <v>772006</v>
      </c>
      <c r="B1044" s="51" t="s">
        <v>1077</v>
      </c>
      <c r="C1044" s="66" t="s">
        <v>1803</v>
      </c>
      <c r="D1044" s="52" t="s">
        <v>728</v>
      </c>
      <c r="E1044" s="65" t="s">
        <v>780</v>
      </c>
      <c r="F1044" s="53">
        <f>IFERROR(VLOOKUP(E1044,Fornecedores!$A$2:$B$2700,2,FALSE),"")</f>
        <v>2</v>
      </c>
      <c r="G1044" s="52" t="s">
        <v>643</v>
      </c>
      <c r="H1044" s="57"/>
      <c r="I1044" s="55">
        <f t="shared" si="363"/>
        <v>0</v>
      </c>
      <c r="J1044" s="55">
        <v>0</v>
      </c>
      <c r="K1044" s="55">
        <v>0</v>
      </c>
      <c r="L1044" s="55">
        <v>0</v>
      </c>
      <c r="M1044" s="55">
        <v>0</v>
      </c>
      <c r="N1044" s="55">
        <f t="shared" si="364"/>
        <v>1</v>
      </c>
      <c r="O1044" s="55">
        <v>0</v>
      </c>
      <c r="P1044" s="55">
        <v>1</v>
      </c>
      <c r="Q1044" s="55">
        <v>0</v>
      </c>
      <c r="R1044" s="55">
        <f t="shared" si="365"/>
        <v>0</v>
      </c>
      <c r="S1044" s="55">
        <v>0</v>
      </c>
      <c r="T1044" s="55">
        <v>0</v>
      </c>
      <c r="U1044" s="55">
        <v>0</v>
      </c>
      <c r="V1044" s="55">
        <v>0</v>
      </c>
      <c r="W1044" s="53">
        <v>0</v>
      </c>
      <c r="X1044" s="53">
        <v>0</v>
      </c>
      <c r="Y1044" s="55">
        <v>0</v>
      </c>
      <c r="Z1044" s="55">
        <v>0</v>
      </c>
      <c r="AA1044" s="53">
        <v>0</v>
      </c>
      <c r="AB1044" s="53">
        <v>0</v>
      </c>
      <c r="AC1044" s="55">
        <v>0</v>
      </c>
      <c r="AD1044" s="55">
        <f t="shared" si="359"/>
        <v>0</v>
      </c>
      <c r="AE1044" s="53">
        <v>0</v>
      </c>
      <c r="AF1044" s="55">
        <v>0</v>
      </c>
      <c r="AG1044" s="55">
        <v>0</v>
      </c>
      <c r="AH1044" s="55">
        <f t="shared" si="367"/>
        <v>0</v>
      </c>
      <c r="AI1044" s="55">
        <v>0</v>
      </c>
      <c r="AJ1044" s="55">
        <v>0</v>
      </c>
      <c r="AK1044" s="55">
        <v>0</v>
      </c>
      <c r="AL1044" s="55">
        <f t="shared" si="368"/>
        <v>0</v>
      </c>
      <c r="AM1044" s="55" t="s">
        <v>1912</v>
      </c>
      <c r="AN1044" s="55">
        <v>0</v>
      </c>
      <c r="AO1044" s="55">
        <v>0</v>
      </c>
      <c r="AP1044" s="55">
        <f t="shared" si="361"/>
        <v>0</v>
      </c>
      <c r="AQ1044" s="55">
        <f>IFERROR(VLOOKUP(A1044,[1]SIIMPLES!$A$2:$F$418,6,FALSE),0)</f>
        <v>0</v>
      </c>
      <c r="AR1044" s="55">
        <v>0</v>
      </c>
      <c r="AS1044" s="55">
        <v>0</v>
      </c>
      <c r="AT1044" s="55">
        <v>0</v>
      </c>
      <c r="AU1044" s="55">
        <v>0</v>
      </c>
      <c r="AV1044" s="55">
        <v>0</v>
      </c>
      <c r="AW1044" s="55"/>
      <c r="AX1044" s="55"/>
      <c r="AY1044" s="56">
        <f t="shared" si="362"/>
        <v>0.1</v>
      </c>
      <c r="AZ1044" s="55"/>
      <c r="BA1044" s="56">
        <v>10</v>
      </c>
      <c r="BB1044" s="41">
        <f t="shared" si="369"/>
        <v>-0.99</v>
      </c>
      <c r="BC1044" s="13"/>
      <c r="BD1044" s="35"/>
      <c r="BE1044" s="13"/>
      <c r="BF1044" s="16"/>
      <c r="BG1044" s="17">
        <f t="shared" si="366"/>
        <v>0</v>
      </c>
      <c r="BH1044" s="20">
        <f>ROUND(IFERROR(IF(F1044=1,IF(BC1044&lt;AY1044*3,AY1044*3-BC1044,0),IF(BC1044&lt;AY1044,AY1044*0.6-BC1044,0)),""),0)</f>
        <v>0</v>
      </c>
    </row>
    <row r="1045" spans="1:60" ht="12.75" customHeight="1" x14ac:dyDescent="0.2">
      <c r="A1045" s="51">
        <v>772011</v>
      </c>
      <c r="B1045" s="51" t="s">
        <v>1077</v>
      </c>
      <c r="C1045" s="66" t="s">
        <v>1803</v>
      </c>
      <c r="D1045" s="52" t="s">
        <v>728</v>
      </c>
      <c r="E1045" s="65" t="s">
        <v>780</v>
      </c>
      <c r="F1045" s="53">
        <f>IFERROR(VLOOKUP(E1045,Fornecedores!$A$2:$B$2700,2,FALSE),"")</f>
        <v>2</v>
      </c>
      <c r="G1045" s="52" t="s">
        <v>1342</v>
      </c>
      <c r="H1045" s="57"/>
      <c r="I1045" s="55">
        <f t="shared" si="363"/>
        <v>1</v>
      </c>
      <c r="J1045" s="55">
        <v>0</v>
      </c>
      <c r="K1045" s="55">
        <v>1</v>
      </c>
      <c r="L1045" s="55">
        <v>0</v>
      </c>
      <c r="M1045" s="55">
        <v>0</v>
      </c>
      <c r="N1045" s="55">
        <f t="shared" si="364"/>
        <v>0</v>
      </c>
      <c r="O1045" s="55">
        <v>0</v>
      </c>
      <c r="P1045" s="55">
        <v>0</v>
      </c>
      <c r="Q1045" s="55">
        <v>0</v>
      </c>
      <c r="R1045" s="55">
        <f t="shared" si="365"/>
        <v>0</v>
      </c>
      <c r="S1045" s="55">
        <v>0</v>
      </c>
      <c r="T1045" s="55">
        <v>0</v>
      </c>
      <c r="U1045" s="55">
        <v>0</v>
      </c>
      <c r="V1045" s="55">
        <v>0</v>
      </c>
      <c r="W1045" s="53">
        <v>0</v>
      </c>
      <c r="X1045" s="53">
        <v>0</v>
      </c>
      <c r="Y1045" s="55">
        <v>0</v>
      </c>
      <c r="Z1045" s="55">
        <v>0</v>
      </c>
      <c r="AA1045" s="53">
        <v>0</v>
      </c>
      <c r="AB1045" s="53">
        <v>0</v>
      </c>
      <c r="AC1045" s="55">
        <v>0</v>
      </c>
      <c r="AD1045" s="55">
        <f t="shared" si="359"/>
        <v>0</v>
      </c>
      <c r="AE1045" s="53">
        <v>0</v>
      </c>
      <c r="AF1045" s="55">
        <v>0</v>
      </c>
      <c r="AG1045" s="55">
        <v>0</v>
      </c>
      <c r="AH1045" s="55">
        <f t="shared" si="367"/>
        <v>0</v>
      </c>
      <c r="AI1045" s="55">
        <v>0</v>
      </c>
      <c r="AJ1045" s="55">
        <v>0</v>
      </c>
      <c r="AK1045" s="55">
        <v>0</v>
      </c>
      <c r="AL1045" s="55">
        <f t="shared" si="368"/>
        <v>0</v>
      </c>
      <c r="AM1045" s="55" t="s">
        <v>1912</v>
      </c>
      <c r="AN1045" s="55">
        <v>0</v>
      </c>
      <c r="AO1045" s="55">
        <v>0</v>
      </c>
      <c r="AP1045" s="55">
        <f t="shared" si="361"/>
        <v>0</v>
      </c>
      <c r="AQ1045" s="55">
        <f>IFERROR(VLOOKUP(A1045,[1]SIIMPLES!$A$2:$F$418,6,FALSE),0)</f>
        <v>0</v>
      </c>
      <c r="AR1045" s="55">
        <v>0</v>
      </c>
      <c r="AS1045" s="55">
        <v>0</v>
      </c>
      <c r="AT1045" s="55">
        <v>0</v>
      </c>
      <c r="AU1045" s="55">
        <v>0</v>
      </c>
      <c r="AV1045" s="55">
        <v>0</v>
      </c>
      <c r="AW1045" s="55"/>
      <c r="AX1045" s="55"/>
      <c r="AY1045" s="56">
        <f t="shared" si="362"/>
        <v>0.1</v>
      </c>
      <c r="AZ1045" s="55"/>
      <c r="BA1045" s="56">
        <v>0.16666666666666666</v>
      </c>
      <c r="BB1045" s="41">
        <f t="shared" si="369"/>
        <v>-0.39999999999999991</v>
      </c>
      <c r="BC1045" s="13"/>
      <c r="BD1045" s="35"/>
      <c r="BE1045" s="13"/>
      <c r="BF1045" s="16"/>
      <c r="BG1045" s="17">
        <f t="shared" si="366"/>
        <v>0</v>
      </c>
      <c r="BH1045" s="16">
        <f>ROUND(IFERROR(IF(F1045=1,IF(BC1045&lt;AY1045*3,AY1045*3-BC1045,0),IF(BC1045&lt;AY1045,AY1045*0.6-BC1045,0)),""),0)</f>
        <v>0</v>
      </c>
    </row>
    <row r="1046" spans="1:60" ht="12.75" customHeight="1" x14ac:dyDescent="0.2">
      <c r="A1046" s="51">
        <v>772012</v>
      </c>
      <c r="B1046" s="51" t="s">
        <v>1077</v>
      </c>
      <c r="C1046" s="66" t="s">
        <v>1803</v>
      </c>
      <c r="D1046" s="52" t="s">
        <v>728</v>
      </c>
      <c r="E1046" s="65" t="s">
        <v>780</v>
      </c>
      <c r="F1046" s="53">
        <f>IFERROR(VLOOKUP(E1046,Fornecedores!$A$2:$B$2700,2,FALSE),"")</f>
        <v>2</v>
      </c>
      <c r="G1046" s="52" t="s">
        <v>1343</v>
      </c>
      <c r="H1046" s="57"/>
      <c r="I1046" s="55">
        <f t="shared" si="363"/>
        <v>1</v>
      </c>
      <c r="J1046" s="55">
        <v>0</v>
      </c>
      <c r="K1046" s="55">
        <v>1</v>
      </c>
      <c r="L1046" s="55">
        <v>0</v>
      </c>
      <c r="M1046" s="55">
        <v>0</v>
      </c>
      <c r="N1046" s="55">
        <f t="shared" si="364"/>
        <v>0</v>
      </c>
      <c r="O1046" s="55">
        <v>0</v>
      </c>
      <c r="P1046" s="55">
        <v>0</v>
      </c>
      <c r="Q1046" s="55">
        <v>0</v>
      </c>
      <c r="R1046" s="55">
        <f t="shared" si="365"/>
        <v>0</v>
      </c>
      <c r="S1046" s="55">
        <v>0</v>
      </c>
      <c r="T1046" s="55">
        <v>0</v>
      </c>
      <c r="U1046" s="55">
        <v>0</v>
      </c>
      <c r="V1046" s="55">
        <v>0</v>
      </c>
      <c r="W1046" s="53">
        <v>0</v>
      </c>
      <c r="X1046" s="53">
        <v>0</v>
      </c>
      <c r="Y1046" s="55">
        <v>0</v>
      </c>
      <c r="Z1046" s="55">
        <v>0</v>
      </c>
      <c r="AA1046" s="53">
        <v>0</v>
      </c>
      <c r="AB1046" s="53">
        <v>0</v>
      </c>
      <c r="AC1046" s="55">
        <v>0</v>
      </c>
      <c r="AD1046" s="55">
        <f t="shared" si="359"/>
        <v>0</v>
      </c>
      <c r="AE1046" s="53">
        <v>0</v>
      </c>
      <c r="AF1046" s="55">
        <v>0</v>
      </c>
      <c r="AG1046" s="55">
        <v>0</v>
      </c>
      <c r="AH1046" s="55">
        <f t="shared" si="367"/>
        <v>0</v>
      </c>
      <c r="AI1046" s="55">
        <v>0</v>
      </c>
      <c r="AJ1046" s="55">
        <v>0</v>
      </c>
      <c r="AK1046" s="55">
        <v>0</v>
      </c>
      <c r="AL1046" s="55">
        <f t="shared" si="368"/>
        <v>0</v>
      </c>
      <c r="AM1046" s="55" t="s">
        <v>1912</v>
      </c>
      <c r="AN1046" s="55">
        <v>0</v>
      </c>
      <c r="AO1046" s="55">
        <v>0</v>
      </c>
      <c r="AP1046" s="55">
        <f t="shared" si="361"/>
        <v>0</v>
      </c>
      <c r="AQ1046" s="55">
        <f>IFERROR(VLOOKUP(A1046,[1]SIIMPLES!$A$2:$F$418,6,FALSE),0)</f>
        <v>0</v>
      </c>
      <c r="AR1046" s="55">
        <v>0</v>
      </c>
      <c r="AS1046" s="55">
        <v>0</v>
      </c>
      <c r="AT1046" s="55">
        <v>0</v>
      </c>
      <c r="AU1046" s="55">
        <v>0</v>
      </c>
      <c r="AV1046" s="55">
        <v>0</v>
      </c>
      <c r="AW1046" s="55"/>
      <c r="AX1046" s="55"/>
      <c r="AY1046" s="56">
        <f t="shared" si="362"/>
        <v>0.1</v>
      </c>
      <c r="AZ1046" s="55"/>
      <c r="BA1046" s="56">
        <v>0.16666666666666666</v>
      </c>
      <c r="BB1046" s="41">
        <f t="shared" si="369"/>
        <v>-0.39999999999999991</v>
      </c>
      <c r="BC1046" s="13"/>
      <c r="BD1046" s="35"/>
      <c r="BE1046" s="13"/>
      <c r="BF1046" s="16"/>
      <c r="BG1046" s="17">
        <f t="shared" si="366"/>
        <v>0</v>
      </c>
      <c r="BH1046" s="16">
        <f>ROUND(IFERROR(IF(F1046=1,IF(BC1046&lt;AY1046*3,AY1046*3-BC1046,0),IF(BC1046&lt;AY1046,AY1046*0.6-BC1046,0)),""),0)</f>
        <v>0</v>
      </c>
    </row>
    <row r="1047" spans="1:60" ht="12.75" customHeight="1" x14ac:dyDescent="0.2">
      <c r="A1047" s="51">
        <v>772028</v>
      </c>
      <c r="B1047" s="51" t="s">
        <v>1077</v>
      </c>
      <c r="C1047" s="66" t="s">
        <v>1803</v>
      </c>
      <c r="D1047" s="52" t="s">
        <v>728</v>
      </c>
      <c r="E1047" s="65" t="s">
        <v>780</v>
      </c>
      <c r="F1047" s="53">
        <f>IFERROR(VLOOKUP(E1047,Fornecedores!$A$2:$B$2700,2,FALSE),"")</f>
        <v>2</v>
      </c>
      <c r="G1047" s="52" t="s">
        <v>403</v>
      </c>
      <c r="H1047" s="57"/>
      <c r="I1047" s="55">
        <f t="shared" si="363"/>
        <v>0</v>
      </c>
      <c r="J1047" s="55">
        <v>0</v>
      </c>
      <c r="K1047" s="55">
        <v>0</v>
      </c>
      <c r="L1047" s="55">
        <v>0</v>
      </c>
      <c r="M1047" s="55">
        <v>0</v>
      </c>
      <c r="N1047" s="55">
        <f t="shared" si="364"/>
        <v>0</v>
      </c>
      <c r="O1047" s="55">
        <v>0</v>
      </c>
      <c r="P1047" s="55">
        <v>0</v>
      </c>
      <c r="Q1047" s="55">
        <v>0</v>
      </c>
      <c r="R1047" s="55">
        <f t="shared" si="365"/>
        <v>1</v>
      </c>
      <c r="S1047" s="55">
        <v>1</v>
      </c>
      <c r="T1047" s="55">
        <v>0</v>
      </c>
      <c r="U1047" s="55">
        <v>0</v>
      </c>
      <c r="V1047" s="55">
        <v>0</v>
      </c>
      <c r="W1047" s="53">
        <v>0</v>
      </c>
      <c r="X1047" s="53">
        <v>0</v>
      </c>
      <c r="Y1047" s="55">
        <v>0</v>
      </c>
      <c r="Z1047" s="55">
        <v>0</v>
      </c>
      <c r="AA1047" s="53">
        <v>0</v>
      </c>
      <c r="AB1047" s="53">
        <v>0</v>
      </c>
      <c r="AC1047" s="55">
        <v>0</v>
      </c>
      <c r="AD1047" s="55">
        <f t="shared" si="359"/>
        <v>0</v>
      </c>
      <c r="AE1047" s="53">
        <v>0</v>
      </c>
      <c r="AF1047" s="55">
        <v>0</v>
      </c>
      <c r="AG1047" s="55">
        <v>0</v>
      </c>
      <c r="AH1047" s="55">
        <f t="shared" si="367"/>
        <v>0</v>
      </c>
      <c r="AI1047" s="55">
        <v>0</v>
      </c>
      <c r="AJ1047" s="55">
        <v>0</v>
      </c>
      <c r="AK1047" s="55">
        <v>0</v>
      </c>
      <c r="AL1047" s="55">
        <f t="shared" si="368"/>
        <v>0</v>
      </c>
      <c r="AM1047" s="55" t="s">
        <v>1912</v>
      </c>
      <c r="AN1047" s="55">
        <v>0</v>
      </c>
      <c r="AO1047" s="55">
        <v>0</v>
      </c>
      <c r="AP1047" s="55">
        <f t="shared" si="361"/>
        <v>0</v>
      </c>
      <c r="AQ1047" s="55">
        <f>IFERROR(VLOOKUP(A1047,[1]SIIMPLES!$A$2:$F$418,6,FALSE),0)</f>
        <v>0</v>
      </c>
      <c r="AR1047" s="55">
        <v>0</v>
      </c>
      <c r="AS1047" s="55">
        <v>0</v>
      </c>
      <c r="AT1047" s="55">
        <v>0</v>
      </c>
      <c r="AU1047" s="55">
        <v>0</v>
      </c>
      <c r="AV1047" s="55">
        <v>0</v>
      </c>
      <c r="AW1047" s="55"/>
      <c r="AX1047" s="55"/>
      <c r="AY1047" s="56">
        <f t="shared" si="362"/>
        <v>0.1</v>
      </c>
      <c r="AZ1047" s="55"/>
      <c r="BA1047" s="56">
        <v>0.16666666666666666</v>
      </c>
      <c r="BB1047" s="41">
        <f t="shared" si="369"/>
        <v>-0.39999999999999991</v>
      </c>
      <c r="BC1047" s="13"/>
      <c r="BD1047" s="35"/>
      <c r="BE1047" s="13"/>
      <c r="BF1047" s="16"/>
      <c r="BG1047" s="17">
        <f t="shared" si="366"/>
        <v>0</v>
      </c>
      <c r="BH1047" s="16">
        <f t="shared" ref="BH1047:BH1062" si="370">IFERROR(IF(F1047=1,IF(BC1047&lt;AY1047*3,AY1047*3-BC1047,0),IF(BC1047&lt;AY1047,AY1047-BC1047,0)),"")</f>
        <v>0.1</v>
      </c>
    </row>
    <row r="1048" spans="1:60" ht="12.75" customHeight="1" x14ac:dyDescent="0.2">
      <c r="A1048" s="51">
        <v>772030</v>
      </c>
      <c r="B1048" s="51" t="s">
        <v>1077</v>
      </c>
      <c r="C1048" s="66" t="s">
        <v>1803</v>
      </c>
      <c r="D1048" s="52" t="s">
        <v>728</v>
      </c>
      <c r="E1048" s="65" t="s">
        <v>780</v>
      </c>
      <c r="F1048" s="53">
        <f>IFERROR(VLOOKUP(E1048,Fornecedores!$A$2:$B$2700,2,FALSE),"")</f>
        <v>2</v>
      </c>
      <c r="G1048" s="52" t="s">
        <v>23</v>
      </c>
      <c r="H1048" s="57"/>
      <c r="I1048" s="55">
        <f t="shared" si="363"/>
        <v>0</v>
      </c>
      <c r="J1048" s="55">
        <v>0</v>
      </c>
      <c r="K1048" s="55">
        <v>0</v>
      </c>
      <c r="L1048" s="55">
        <v>0</v>
      </c>
      <c r="M1048" s="55">
        <v>0</v>
      </c>
      <c r="N1048" s="55">
        <f t="shared" si="364"/>
        <v>0</v>
      </c>
      <c r="O1048" s="55">
        <v>0</v>
      </c>
      <c r="P1048" s="55">
        <v>0</v>
      </c>
      <c r="Q1048" s="55">
        <v>0</v>
      </c>
      <c r="R1048" s="55">
        <f t="shared" si="365"/>
        <v>0</v>
      </c>
      <c r="S1048" s="55">
        <v>0</v>
      </c>
      <c r="T1048" s="55">
        <v>0</v>
      </c>
      <c r="U1048" s="55">
        <v>0</v>
      </c>
      <c r="V1048" s="55">
        <v>1</v>
      </c>
      <c r="W1048" s="53">
        <v>0</v>
      </c>
      <c r="X1048" s="53">
        <v>1</v>
      </c>
      <c r="Y1048" s="55">
        <v>0</v>
      </c>
      <c r="Z1048" s="55">
        <v>0</v>
      </c>
      <c r="AA1048" s="53">
        <v>0</v>
      </c>
      <c r="AB1048" s="53">
        <v>0</v>
      </c>
      <c r="AC1048" s="55">
        <v>0</v>
      </c>
      <c r="AD1048" s="55">
        <f t="shared" si="359"/>
        <v>0</v>
      </c>
      <c r="AE1048" s="53">
        <v>0</v>
      </c>
      <c r="AF1048" s="55">
        <v>0</v>
      </c>
      <c r="AG1048" s="55">
        <v>0</v>
      </c>
      <c r="AH1048" s="55">
        <f t="shared" si="367"/>
        <v>0</v>
      </c>
      <c r="AI1048" s="55">
        <v>0</v>
      </c>
      <c r="AJ1048" s="55">
        <v>0</v>
      </c>
      <c r="AK1048" s="55">
        <v>0</v>
      </c>
      <c r="AL1048" s="55">
        <f t="shared" si="368"/>
        <v>0</v>
      </c>
      <c r="AM1048" s="55" t="s">
        <v>1912</v>
      </c>
      <c r="AN1048" s="55">
        <v>0</v>
      </c>
      <c r="AO1048" s="55">
        <v>0</v>
      </c>
      <c r="AP1048" s="55">
        <f t="shared" si="361"/>
        <v>0</v>
      </c>
      <c r="AQ1048" s="55">
        <f>IFERROR(VLOOKUP(A1048,[1]SIIMPLES!$A$2:$F$418,6,FALSE),0)</f>
        <v>0</v>
      </c>
      <c r="AR1048" s="55">
        <v>0</v>
      </c>
      <c r="AS1048" s="55">
        <v>0</v>
      </c>
      <c r="AT1048" s="55">
        <v>0</v>
      </c>
      <c r="AU1048" s="55">
        <v>0</v>
      </c>
      <c r="AV1048" s="55">
        <v>0</v>
      </c>
      <c r="AW1048" s="55"/>
      <c r="AX1048" s="55"/>
      <c r="AY1048" s="56">
        <f t="shared" si="362"/>
        <v>0.1</v>
      </c>
      <c r="AZ1048" s="55"/>
      <c r="BA1048" s="56">
        <v>0</v>
      </c>
      <c r="BB1048" s="41" t="str">
        <f t="shared" si="369"/>
        <v/>
      </c>
      <c r="BC1048" s="13"/>
      <c r="BD1048" s="35"/>
      <c r="BE1048" s="13"/>
      <c r="BF1048" s="16"/>
      <c r="BG1048" s="17">
        <f t="shared" si="366"/>
        <v>0</v>
      </c>
      <c r="BH1048" s="16">
        <f t="shared" si="370"/>
        <v>0.1</v>
      </c>
    </row>
    <row r="1049" spans="1:60" ht="12.75" customHeight="1" x14ac:dyDescent="0.2">
      <c r="A1049" s="51">
        <v>772040</v>
      </c>
      <c r="B1049" s="51" t="s">
        <v>1077</v>
      </c>
      <c r="C1049" s="66" t="s">
        <v>1803</v>
      </c>
      <c r="D1049" s="52" t="s">
        <v>728</v>
      </c>
      <c r="E1049" s="65" t="s">
        <v>780</v>
      </c>
      <c r="F1049" s="53">
        <f>IFERROR(VLOOKUP(E1049,Fornecedores!$A$2:$B$2700,2,FALSE),"")</f>
        <v>2</v>
      </c>
      <c r="G1049" s="52" t="s">
        <v>299</v>
      </c>
      <c r="H1049" s="57"/>
      <c r="I1049" s="55">
        <f t="shared" si="363"/>
        <v>0</v>
      </c>
      <c r="J1049" s="55">
        <v>0</v>
      </c>
      <c r="K1049" s="55">
        <v>0</v>
      </c>
      <c r="L1049" s="55">
        <v>0</v>
      </c>
      <c r="M1049" s="55">
        <v>0</v>
      </c>
      <c r="N1049" s="55">
        <f t="shared" si="364"/>
        <v>0</v>
      </c>
      <c r="O1049" s="55">
        <v>0</v>
      </c>
      <c r="P1049" s="55">
        <v>0</v>
      </c>
      <c r="Q1049" s="55">
        <v>0</v>
      </c>
      <c r="R1049" s="55">
        <f t="shared" si="365"/>
        <v>1</v>
      </c>
      <c r="S1049" s="55">
        <v>0</v>
      </c>
      <c r="T1049" s="55">
        <v>1</v>
      </c>
      <c r="U1049" s="55">
        <v>0</v>
      </c>
      <c r="V1049" s="55">
        <v>0</v>
      </c>
      <c r="W1049" s="53">
        <v>0</v>
      </c>
      <c r="X1049" s="53">
        <v>0</v>
      </c>
      <c r="Y1049" s="55">
        <v>0</v>
      </c>
      <c r="Z1049" s="55">
        <v>0</v>
      </c>
      <c r="AA1049" s="53">
        <v>0</v>
      </c>
      <c r="AB1049" s="53">
        <v>0</v>
      </c>
      <c r="AC1049" s="55">
        <v>0</v>
      </c>
      <c r="AD1049" s="55">
        <f t="shared" si="359"/>
        <v>0</v>
      </c>
      <c r="AE1049" s="53">
        <v>0</v>
      </c>
      <c r="AF1049" s="55">
        <v>0</v>
      </c>
      <c r="AG1049" s="55">
        <v>0</v>
      </c>
      <c r="AH1049" s="55">
        <f t="shared" si="367"/>
        <v>0</v>
      </c>
      <c r="AI1049" s="55">
        <v>0</v>
      </c>
      <c r="AJ1049" s="55">
        <v>0</v>
      </c>
      <c r="AK1049" s="55">
        <v>0</v>
      </c>
      <c r="AL1049" s="55">
        <f t="shared" si="368"/>
        <v>0</v>
      </c>
      <c r="AM1049" s="55" t="s">
        <v>1912</v>
      </c>
      <c r="AN1049" s="55">
        <v>0</v>
      </c>
      <c r="AO1049" s="55">
        <v>0</v>
      </c>
      <c r="AP1049" s="55">
        <f t="shared" si="361"/>
        <v>0</v>
      </c>
      <c r="AQ1049" s="55">
        <f>IFERROR(VLOOKUP(A1049,[1]SIIMPLES!$A$2:$F$418,6,FALSE),0)</f>
        <v>0</v>
      </c>
      <c r="AR1049" s="55">
        <v>0</v>
      </c>
      <c r="AS1049" s="55">
        <v>0</v>
      </c>
      <c r="AT1049" s="55">
        <v>0</v>
      </c>
      <c r="AU1049" s="55">
        <v>0</v>
      </c>
      <c r="AV1049" s="55">
        <v>0</v>
      </c>
      <c r="AW1049" s="55"/>
      <c r="AX1049" s="55"/>
      <c r="AY1049" s="56">
        <f t="shared" si="362"/>
        <v>0.1</v>
      </c>
      <c r="AZ1049" s="55"/>
      <c r="BA1049" s="56">
        <v>0</v>
      </c>
      <c r="BB1049" s="41" t="str">
        <f t="shared" si="369"/>
        <v/>
      </c>
      <c r="BC1049" s="13"/>
      <c r="BD1049" s="35"/>
      <c r="BE1049" s="13"/>
      <c r="BF1049" s="16"/>
      <c r="BG1049" s="17">
        <f t="shared" si="366"/>
        <v>0</v>
      </c>
      <c r="BH1049" s="16">
        <f t="shared" si="370"/>
        <v>0.1</v>
      </c>
    </row>
    <row r="1050" spans="1:60" ht="12.75" customHeight="1" x14ac:dyDescent="0.2">
      <c r="A1050" s="51">
        <v>772041</v>
      </c>
      <c r="B1050" s="51" t="s">
        <v>1077</v>
      </c>
      <c r="C1050" s="66" t="s">
        <v>1803</v>
      </c>
      <c r="D1050" s="52" t="s">
        <v>728</v>
      </c>
      <c r="E1050" s="65" t="s">
        <v>780</v>
      </c>
      <c r="F1050" s="53">
        <f>IFERROR(VLOOKUP(E1050,Fornecedores!$A$2:$B$2700,2,FALSE),"")</f>
        <v>2</v>
      </c>
      <c r="G1050" s="52" t="s">
        <v>310</v>
      </c>
      <c r="H1050" s="57"/>
      <c r="I1050" s="55">
        <f t="shared" si="363"/>
        <v>0</v>
      </c>
      <c r="J1050" s="55">
        <v>0</v>
      </c>
      <c r="K1050" s="55">
        <v>0</v>
      </c>
      <c r="L1050" s="55">
        <v>0</v>
      </c>
      <c r="M1050" s="55">
        <v>0</v>
      </c>
      <c r="N1050" s="55">
        <f t="shared" si="364"/>
        <v>0</v>
      </c>
      <c r="O1050" s="55">
        <v>0</v>
      </c>
      <c r="P1050" s="55">
        <v>0</v>
      </c>
      <c r="Q1050" s="55">
        <v>0</v>
      </c>
      <c r="R1050" s="55">
        <f t="shared" si="365"/>
        <v>1</v>
      </c>
      <c r="S1050" s="55">
        <v>0</v>
      </c>
      <c r="T1050" s="55">
        <v>1</v>
      </c>
      <c r="U1050" s="55">
        <v>0</v>
      </c>
      <c r="V1050" s="55">
        <v>0</v>
      </c>
      <c r="W1050" s="53">
        <v>0</v>
      </c>
      <c r="X1050" s="53">
        <v>0</v>
      </c>
      <c r="Y1050" s="55">
        <v>0</v>
      </c>
      <c r="Z1050" s="55">
        <v>0</v>
      </c>
      <c r="AA1050" s="53">
        <v>0</v>
      </c>
      <c r="AB1050" s="53">
        <v>0</v>
      </c>
      <c r="AC1050" s="55">
        <v>0</v>
      </c>
      <c r="AD1050" s="55">
        <f t="shared" si="359"/>
        <v>0</v>
      </c>
      <c r="AE1050" s="53">
        <v>0</v>
      </c>
      <c r="AF1050" s="55">
        <v>0</v>
      </c>
      <c r="AG1050" s="55">
        <v>0</v>
      </c>
      <c r="AH1050" s="55">
        <f t="shared" si="367"/>
        <v>0</v>
      </c>
      <c r="AI1050" s="55">
        <v>0</v>
      </c>
      <c r="AJ1050" s="55">
        <v>0</v>
      </c>
      <c r="AK1050" s="55">
        <v>0</v>
      </c>
      <c r="AL1050" s="55">
        <f t="shared" si="368"/>
        <v>0</v>
      </c>
      <c r="AM1050" s="55" t="s">
        <v>1912</v>
      </c>
      <c r="AN1050" s="55">
        <v>0</v>
      </c>
      <c r="AO1050" s="55">
        <v>0</v>
      </c>
      <c r="AP1050" s="55">
        <f t="shared" si="361"/>
        <v>0</v>
      </c>
      <c r="AQ1050" s="55">
        <f>IFERROR(VLOOKUP(A1050,[1]SIIMPLES!$A$2:$F$418,6,FALSE),0)</f>
        <v>0</v>
      </c>
      <c r="AR1050" s="55">
        <v>0</v>
      </c>
      <c r="AS1050" s="55">
        <v>0</v>
      </c>
      <c r="AT1050" s="55">
        <v>0</v>
      </c>
      <c r="AU1050" s="55">
        <v>0</v>
      </c>
      <c r="AV1050" s="55">
        <v>0</v>
      </c>
      <c r="AW1050" s="55"/>
      <c r="AX1050" s="55"/>
      <c r="AY1050" s="56">
        <f t="shared" si="362"/>
        <v>0.1</v>
      </c>
      <c r="AZ1050" s="55"/>
      <c r="BA1050" s="56">
        <v>0</v>
      </c>
      <c r="BB1050" s="41" t="str">
        <f t="shared" si="369"/>
        <v/>
      </c>
      <c r="BC1050" s="13"/>
      <c r="BD1050" s="35"/>
      <c r="BE1050" s="13"/>
      <c r="BF1050" s="16"/>
      <c r="BG1050" s="17">
        <f t="shared" si="366"/>
        <v>0</v>
      </c>
      <c r="BH1050" s="16">
        <f t="shared" si="370"/>
        <v>0.1</v>
      </c>
    </row>
    <row r="1051" spans="1:60" ht="12.75" customHeight="1" x14ac:dyDescent="0.2">
      <c r="A1051" s="51">
        <v>772042</v>
      </c>
      <c r="B1051" s="51" t="s">
        <v>1077</v>
      </c>
      <c r="C1051" s="66" t="s">
        <v>1803</v>
      </c>
      <c r="D1051" s="52" t="s">
        <v>728</v>
      </c>
      <c r="E1051" s="65" t="s">
        <v>780</v>
      </c>
      <c r="F1051" s="53">
        <f>IFERROR(VLOOKUP(E1051,Fornecedores!$A$2:$B$2700,2,FALSE),"")</f>
        <v>2</v>
      </c>
      <c r="G1051" s="52" t="s">
        <v>1348</v>
      </c>
      <c r="H1051" s="57"/>
      <c r="I1051" s="55">
        <f t="shared" si="363"/>
        <v>0</v>
      </c>
      <c r="J1051" s="55">
        <v>0</v>
      </c>
      <c r="K1051" s="55">
        <v>0</v>
      </c>
      <c r="L1051" s="55">
        <v>0</v>
      </c>
      <c r="M1051" s="55">
        <v>0</v>
      </c>
      <c r="N1051" s="55">
        <f t="shared" si="364"/>
        <v>1</v>
      </c>
      <c r="O1051" s="55">
        <v>0</v>
      </c>
      <c r="P1051" s="55">
        <v>1</v>
      </c>
      <c r="Q1051" s="55">
        <v>0</v>
      </c>
      <c r="R1051" s="55">
        <f t="shared" si="365"/>
        <v>0</v>
      </c>
      <c r="S1051" s="55">
        <v>0</v>
      </c>
      <c r="T1051" s="55">
        <v>0</v>
      </c>
      <c r="U1051" s="55">
        <v>0</v>
      </c>
      <c r="V1051" s="55">
        <v>0</v>
      </c>
      <c r="W1051" s="53">
        <v>0</v>
      </c>
      <c r="X1051" s="53">
        <v>0</v>
      </c>
      <c r="Y1051" s="55">
        <v>0</v>
      </c>
      <c r="Z1051" s="55">
        <v>0</v>
      </c>
      <c r="AA1051" s="53">
        <v>0</v>
      </c>
      <c r="AB1051" s="53">
        <v>0</v>
      </c>
      <c r="AC1051" s="55">
        <v>0</v>
      </c>
      <c r="AD1051" s="55">
        <f t="shared" si="359"/>
        <v>0</v>
      </c>
      <c r="AE1051" s="53">
        <v>0</v>
      </c>
      <c r="AF1051" s="55">
        <v>0</v>
      </c>
      <c r="AG1051" s="55">
        <v>0</v>
      </c>
      <c r="AH1051" s="55">
        <f t="shared" si="367"/>
        <v>0</v>
      </c>
      <c r="AI1051" s="55">
        <v>0</v>
      </c>
      <c r="AJ1051" s="55">
        <v>0</v>
      </c>
      <c r="AK1051" s="55">
        <v>0</v>
      </c>
      <c r="AL1051" s="55">
        <f t="shared" si="368"/>
        <v>1</v>
      </c>
      <c r="AM1051" s="55">
        <v>1</v>
      </c>
      <c r="AN1051" s="55">
        <v>0</v>
      </c>
      <c r="AO1051" s="55">
        <v>0</v>
      </c>
      <c r="AP1051" s="55">
        <f t="shared" si="361"/>
        <v>0</v>
      </c>
      <c r="AQ1051" s="55">
        <f>IFERROR(VLOOKUP(A1051,[1]SIIMPLES!$A$2:$F$418,6,FALSE),0)</f>
        <v>0</v>
      </c>
      <c r="AR1051" s="55">
        <v>0</v>
      </c>
      <c r="AS1051" s="55">
        <v>1</v>
      </c>
      <c r="AT1051" s="55">
        <v>1</v>
      </c>
      <c r="AU1051" s="55">
        <v>0</v>
      </c>
      <c r="AV1051" s="55">
        <v>0</v>
      </c>
      <c r="AW1051" s="55"/>
      <c r="AX1051" s="55"/>
      <c r="AY1051" s="56">
        <f t="shared" si="362"/>
        <v>0.3</v>
      </c>
      <c r="AZ1051" s="55"/>
      <c r="BA1051" s="56">
        <v>0</v>
      </c>
      <c r="BB1051" s="41" t="str">
        <f t="shared" si="369"/>
        <v/>
      </c>
      <c r="BC1051" s="13"/>
      <c r="BD1051" s="35"/>
      <c r="BE1051" s="13"/>
      <c r="BF1051" s="16"/>
      <c r="BG1051" s="17">
        <f t="shared" si="366"/>
        <v>0</v>
      </c>
      <c r="BH1051" s="16">
        <f t="shared" si="370"/>
        <v>0.3</v>
      </c>
    </row>
    <row r="1052" spans="1:60" ht="12.75" customHeight="1" x14ac:dyDescent="0.2">
      <c r="A1052" s="51">
        <v>772043</v>
      </c>
      <c r="B1052" s="51" t="s">
        <v>1077</v>
      </c>
      <c r="C1052" s="66" t="s">
        <v>1803</v>
      </c>
      <c r="D1052" s="52" t="s">
        <v>728</v>
      </c>
      <c r="E1052" s="65" t="s">
        <v>780</v>
      </c>
      <c r="F1052" s="53">
        <f>IFERROR(VLOOKUP(E1052,Fornecedores!$A$2:$B$2700,2,FALSE),"")</f>
        <v>2</v>
      </c>
      <c r="G1052" s="52" t="s">
        <v>1349</v>
      </c>
      <c r="H1052" s="57"/>
      <c r="I1052" s="55">
        <f t="shared" si="363"/>
        <v>0</v>
      </c>
      <c r="J1052" s="55">
        <v>0</v>
      </c>
      <c r="K1052" s="55">
        <v>0</v>
      </c>
      <c r="L1052" s="55">
        <v>0</v>
      </c>
      <c r="M1052" s="55">
        <v>0</v>
      </c>
      <c r="N1052" s="55">
        <f t="shared" si="364"/>
        <v>1</v>
      </c>
      <c r="O1052" s="55">
        <v>0</v>
      </c>
      <c r="P1052" s="55">
        <v>1</v>
      </c>
      <c r="Q1052" s="55">
        <v>0</v>
      </c>
      <c r="R1052" s="55">
        <f t="shared" si="365"/>
        <v>0</v>
      </c>
      <c r="S1052" s="55">
        <v>0</v>
      </c>
      <c r="T1052" s="55">
        <v>0</v>
      </c>
      <c r="U1052" s="55">
        <v>0</v>
      </c>
      <c r="V1052" s="55">
        <v>0</v>
      </c>
      <c r="W1052" s="53">
        <v>0</v>
      </c>
      <c r="X1052" s="53">
        <v>0</v>
      </c>
      <c r="Y1052" s="55">
        <v>0</v>
      </c>
      <c r="Z1052" s="55">
        <v>0</v>
      </c>
      <c r="AA1052" s="53">
        <v>0</v>
      </c>
      <c r="AB1052" s="53">
        <v>0</v>
      </c>
      <c r="AC1052" s="55">
        <v>0</v>
      </c>
      <c r="AD1052" s="55">
        <f t="shared" si="359"/>
        <v>0</v>
      </c>
      <c r="AE1052" s="53">
        <v>0</v>
      </c>
      <c r="AF1052" s="55">
        <v>0</v>
      </c>
      <c r="AG1052" s="55">
        <v>0</v>
      </c>
      <c r="AH1052" s="55">
        <f t="shared" si="367"/>
        <v>0</v>
      </c>
      <c r="AI1052" s="55">
        <v>0</v>
      </c>
      <c r="AJ1052" s="55">
        <v>0</v>
      </c>
      <c r="AK1052" s="55">
        <v>0</v>
      </c>
      <c r="AL1052" s="55">
        <f t="shared" si="368"/>
        <v>0</v>
      </c>
      <c r="AM1052" s="55" t="s">
        <v>1912</v>
      </c>
      <c r="AN1052" s="55">
        <v>0</v>
      </c>
      <c r="AO1052" s="55">
        <v>0</v>
      </c>
      <c r="AP1052" s="55">
        <f t="shared" si="361"/>
        <v>0</v>
      </c>
      <c r="AQ1052" s="55">
        <f>IFERROR(VLOOKUP(A1052,[1]SIIMPLES!$A$2:$F$418,6,FALSE),0)</f>
        <v>0</v>
      </c>
      <c r="AR1052" s="55">
        <v>0</v>
      </c>
      <c r="AS1052" s="55">
        <v>1</v>
      </c>
      <c r="AT1052" s="55">
        <v>1</v>
      </c>
      <c r="AU1052" s="55">
        <v>0</v>
      </c>
      <c r="AV1052" s="55">
        <v>0</v>
      </c>
      <c r="AW1052" s="55"/>
      <c r="AX1052" s="55"/>
      <c r="AY1052" s="56">
        <f t="shared" si="362"/>
        <v>0.2</v>
      </c>
      <c r="AZ1052" s="55"/>
      <c r="BA1052" s="56">
        <v>0</v>
      </c>
      <c r="BB1052" s="41" t="str">
        <f t="shared" si="369"/>
        <v/>
      </c>
      <c r="BC1052" s="13"/>
      <c r="BD1052" s="35"/>
      <c r="BE1052" s="13"/>
      <c r="BF1052" s="16"/>
      <c r="BG1052" s="17">
        <f t="shared" si="366"/>
        <v>0</v>
      </c>
      <c r="BH1052" s="16">
        <f t="shared" si="370"/>
        <v>0.2</v>
      </c>
    </row>
    <row r="1053" spans="1:60" ht="12.75" customHeight="1" x14ac:dyDescent="0.2">
      <c r="A1053" s="51">
        <v>772054</v>
      </c>
      <c r="B1053" s="51" t="s">
        <v>1077</v>
      </c>
      <c r="C1053" s="66" t="s">
        <v>1803</v>
      </c>
      <c r="D1053" s="52" t="s">
        <v>728</v>
      </c>
      <c r="E1053" s="65" t="s">
        <v>780</v>
      </c>
      <c r="F1053" s="53">
        <f>IFERROR(VLOOKUP(E1053,Fornecedores!$A$2:$B$2700,2,FALSE),"")</f>
        <v>2</v>
      </c>
      <c r="G1053" s="52" t="s">
        <v>605</v>
      </c>
      <c r="H1053" s="57"/>
      <c r="I1053" s="55">
        <f t="shared" si="363"/>
        <v>0</v>
      </c>
      <c r="J1053" s="55">
        <v>0</v>
      </c>
      <c r="K1053" s="55">
        <v>0</v>
      </c>
      <c r="L1053" s="55">
        <v>0</v>
      </c>
      <c r="M1053" s="55">
        <v>0</v>
      </c>
      <c r="N1053" s="55">
        <f t="shared" si="364"/>
        <v>0</v>
      </c>
      <c r="O1053" s="55">
        <v>0</v>
      </c>
      <c r="P1053" s="55">
        <v>0</v>
      </c>
      <c r="Q1053" s="55">
        <v>0</v>
      </c>
      <c r="R1053" s="55">
        <f t="shared" si="365"/>
        <v>2</v>
      </c>
      <c r="S1053" s="55">
        <v>1</v>
      </c>
      <c r="T1053" s="55">
        <v>1</v>
      </c>
      <c r="U1053" s="55">
        <v>0</v>
      </c>
      <c r="V1053" s="55">
        <v>0</v>
      </c>
      <c r="W1053" s="53">
        <v>0</v>
      </c>
      <c r="X1053" s="53">
        <v>0</v>
      </c>
      <c r="Y1053" s="55">
        <v>0</v>
      </c>
      <c r="Z1053" s="55">
        <v>0</v>
      </c>
      <c r="AA1053" s="53">
        <v>0</v>
      </c>
      <c r="AB1053" s="53">
        <v>0</v>
      </c>
      <c r="AC1053" s="55">
        <v>0</v>
      </c>
      <c r="AD1053" s="55">
        <f t="shared" si="359"/>
        <v>0</v>
      </c>
      <c r="AE1053" s="53">
        <v>0</v>
      </c>
      <c r="AF1053" s="55">
        <v>0</v>
      </c>
      <c r="AG1053" s="55">
        <v>0</v>
      </c>
      <c r="AH1053" s="55">
        <f t="shared" si="367"/>
        <v>0</v>
      </c>
      <c r="AI1053" s="55">
        <v>0</v>
      </c>
      <c r="AJ1053" s="55">
        <v>0</v>
      </c>
      <c r="AK1053" s="55">
        <v>0</v>
      </c>
      <c r="AL1053" s="55">
        <f t="shared" si="368"/>
        <v>0</v>
      </c>
      <c r="AM1053" s="55" t="s">
        <v>1912</v>
      </c>
      <c r="AN1053" s="55">
        <v>0</v>
      </c>
      <c r="AO1053" s="55">
        <v>0</v>
      </c>
      <c r="AP1053" s="55">
        <f t="shared" si="361"/>
        <v>0</v>
      </c>
      <c r="AQ1053" s="55">
        <f>IFERROR(VLOOKUP(A1053,[1]SIIMPLES!$A$2:$F$418,6,FALSE),0)</f>
        <v>0</v>
      </c>
      <c r="AR1053" s="55">
        <v>0</v>
      </c>
      <c r="AS1053" s="55">
        <v>0</v>
      </c>
      <c r="AT1053" s="55">
        <v>0</v>
      </c>
      <c r="AU1053" s="55">
        <v>0</v>
      </c>
      <c r="AV1053" s="55">
        <v>0</v>
      </c>
      <c r="AW1053" s="55"/>
      <c r="AX1053" s="55"/>
      <c r="AY1053" s="56">
        <f t="shared" si="362"/>
        <v>0.2</v>
      </c>
      <c r="AZ1053" s="55"/>
      <c r="BA1053" s="56">
        <v>0.16666666666666666</v>
      </c>
      <c r="BB1053" s="41">
        <f t="shared" si="369"/>
        <v>0.20000000000000018</v>
      </c>
      <c r="BC1053" s="13"/>
      <c r="BD1053" s="35"/>
      <c r="BE1053" s="7"/>
      <c r="BF1053" s="16"/>
      <c r="BG1053" s="17">
        <f t="shared" si="366"/>
        <v>0</v>
      </c>
      <c r="BH1053" s="16">
        <f t="shared" si="370"/>
        <v>0.2</v>
      </c>
    </row>
    <row r="1054" spans="1:60" ht="12.75" customHeight="1" x14ac:dyDescent="0.2">
      <c r="A1054" s="51">
        <v>772055</v>
      </c>
      <c r="B1054" s="51" t="s">
        <v>1077</v>
      </c>
      <c r="C1054" s="66" t="s">
        <v>1803</v>
      </c>
      <c r="D1054" s="52" t="s">
        <v>728</v>
      </c>
      <c r="E1054" s="65" t="s">
        <v>780</v>
      </c>
      <c r="F1054" s="53">
        <f>IFERROR(VLOOKUP(E1054,Fornecedores!$A$2:$B$2700,2,FALSE),"")</f>
        <v>2</v>
      </c>
      <c r="G1054" s="52" t="s">
        <v>211</v>
      </c>
      <c r="H1054" s="57"/>
      <c r="I1054" s="55">
        <f t="shared" si="363"/>
        <v>0</v>
      </c>
      <c r="J1054" s="55">
        <v>0</v>
      </c>
      <c r="K1054" s="55">
        <v>0</v>
      </c>
      <c r="L1054" s="55">
        <v>0</v>
      </c>
      <c r="M1054" s="55">
        <v>0</v>
      </c>
      <c r="N1054" s="55">
        <f t="shared" si="364"/>
        <v>0</v>
      </c>
      <c r="O1054" s="55">
        <v>0</v>
      </c>
      <c r="P1054" s="55">
        <v>0</v>
      </c>
      <c r="Q1054" s="55">
        <v>0</v>
      </c>
      <c r="R1054" s="55">
        <f t="shared" si="365"/>
        <v>1</v>
      </c>
      <c r="S1054" s="55">
        <v>0</v>
      </c>
      <c r="T1054" s="55">
        <v>1</v>
      </c>
      <c r="U1054" s="55">
        <v>0</v>
      </c>
      <c r="V1054" s="55">
        <v>0</v>
      </c>
      <c r="W1054" s="53">
        <v>0</v>
      </c>
      <c r="X1054" s="53">
        <v>0</v>
      </c>
      <c r="Y1054" s="55">
        <v>0</v>
      </c>
      <c r="Z1054" s="55">
        <v>0</v>
      </c>
      <c r="AA1054" s="53">
        <v>0</v>
      </c>
      <c r="AB1054" s="53">
        <v>0</v>
      </c>
      <c r="AC1054" s="55">
        <v>0</v>
      </c>
      <c r="AD1054" s="55">
        <f t="shared" si="359"/>
        <v>0</v>
      </c>
      <c r="AE1054" s="53">
        <v>0</v>
      </c>
      <c r="AF1054" s="55">
        <v>0</v>
      </c>
      <c r="AG1054" s="55">
        <v>0</v>
      </c>
      <c r="AH1054" s="55">
        <f t="shared" si="367"/>
        <v>0</v>
      </c>
      <c r="AI1054" s="55">
        <v>0</v>
      </c>
      <c r="AJ1054" s="55">
        <v>0</v>
      </c>
      <c r="AK1054" s="55">
        <v>0</v>
      </c>
      <c r="AL1054" s="55">
        <f t="shared" si="368"/>
        <v>0</v>
      </c>
      <c r="AM1054" s="55" t="s">
        <v>1912</v>
      </c>
      <c r="AN1054" s="55">
        <v>0</v>
      </c>
      <c r="AO1054" s="55">
        <v>0</v>
      </c>
      <c r="AP1054" s="55">
        <f t="shared" si="361"/>
        <v>0</v>
      </c>
      <c r="AQ1054" s="55">
        <f>IFERROR(VLOOKUP(A1054,[1]SIIMPLES!$A$2:$F$418,6,FALSE),0)</f>
        <v>0</v>
      </c>
      <c r="AR1054" s="55">
        <v>0</v>
      </c>
      <c r="AS1054" s="55">
        <v>0</v>
      </c>
      <c r="AT1054" s="55">
        <v>0</v>
      </c>
      <c r="AU1054" s="55">
        <v>0</v>
      </c>
      <c r="AV1054" s="55">
        <v>0</v>
      </c>
      <c r="AW1054" s="55"/>
      <c r="AX1054" s="55"/>
      <c r="AY1054" s="56">
        <f t="shared" si="362"/>
        <v>0.1</v>
      </c>
      <c r="AZ1054" s="55"/>
      <c r="BA1054" s="56">
        <v>0</v>
      </c>
      <c r="BB1054" s="41" t="str">
        <f t="shared" si="369"/>
        <v/>
      </c>
      <c r="BC1054" s="13"/>
      <c r="BD1054" s="35"/>
      <c r="BE1054" s="7"/>
      <c r="BF1054" s="16"/>
      <c r="BG1054" s="17">
        <f t="shared" si="366"/>
        <v>0</v>
      </c>
      <c r="BH1054" s="16">
        <f t="shared" si="370"/>
        <v>0.1</v>
      </c>
    </row>
    <row r="1055" spans="1:60" ht="12.75" customHeight="1" x14ac:dyDescent="0.2">
      <c r="A1055" s="51">
        <v>772060</v>
      </c>
      <c r="B1055" s="51" t="s">
        <v>1086</v>
      </c>
      <c r="C1055" s="66" t="s">
        <v>1803</v>
      </c>
      <c r="D1055" s="52" t="s">
        <v>728</v>
      </c>
      <c r="E1055" s="65" t="s">
        <v>780</v>
      </c>
      <c r="F1055" s="53">
        <f>IFERROR(VLOOKUP(E1055,Fornecedores!$A$2:$B$2700,2,FALSE),"")</f>
        <v>2</v>
      </c>
      <c r="G1055" s="52">
        <f>VLOOKUP(A1055,[2]CMV!$A$1:$F$2043,6,FALSE)</f>
        <v>0</v>
      </c>
      <c r="H1055" s="57"/>
      <c r="I1055" s="55">
        <f t="shared" si="363"/>
        <v>0</v>
      </c>
      <c r="J1055" s="55">
        <v>0</v>
      </c>
      <c r="K1055" s="55">
        <v>0</v>
      </c>
      <c r="L1055" s="55">
        <v>0</v>
      </c>
      <c r="M1055" s="55">
        <v>0</v>
      </c>
      <c r="N1055" s="55">
        <f t="shared" si="364"/>
        <v>0</v>
      </c>
      <c r="O1055" s="55">
        <v>0</v>
      </c>
      <c r="P1055" s="55">
        <v>0</v>
      </c>
      <c r="Q1055" s="55">
        <v>0</v>
      </c>
      <c r="R1055" s="55">
        <f t="shared" si="365"/>
        <v>0</v>
      </c>
      <c r="S1055" s="55">
        <v>0</v>
      </c>
      <c r="T1055" s="55">
        <v>0</v>
      </c>
      <c r="U1055" s="55">
        <v>0</v>
      </c>
      <c r="V1055" s="55">
        <v>0</v>
      </c>
      <c r="W1055" s="53">
        <v>0</v>
      </c>
      <c r="X1055" s="53">
        <v>0</v>
      </c>
      <c r="Y1055" s="55">
        <v>0</v>
      </c>
      <c r="Z1055" s="55">
        <v>0</v>
      </c>
      <c r="AA1055" s="53">
        <v>0</v>
      </c>
      <c r="AB1055" s="53">
        <v>0</v>
      </c>
      <c r="AC1055" s="55">
        <v>0</v>
      </c>
      <c r="AD1055" s="55">
        <f t="shared" si="359"/>
        <v>0</v>
      </c>
      <c r="AE1055" s="53">
        <v>0</v>
      </c>
      <c r="AF1055" s="55">
        <v>0</v>
      </c>
      <c r="AG1055" s="55">
        <v>0</v>
      </c>
      <c r="AH1055" s="55">
        <f t="shared" si="367"/>
        <v>0</v>
      </c>
      <c r="AI1055" s="55">
        <v>0</v>
      </c>
      <c r="AJ1055" s="55">
        <v>0</v>
      </c>
      <c r="AK1055" s="55">
        <v>0</v>
      </c>
      <c r="AL1055" s="55">
        <f t="shared" si="368"/>
        <v>0</v>
      </c>
      <c r="AM1055" s="55" t="s">
        <v>1912</v>
      </c>
      <c r="AN1055" s="55">
        <v>0</v>
      </c>
      <c r="AO1055" s="55">
        <v>0</v>
      </c>
      <c r="AP1055" s="55">
        <f t="shared" si="361"/>
        <v>0</v>
      </c>
      <c r="AQ1055" s="55">
        <f>IFERROR(VLOOKUP(A1055,[1]SIIMPLES!$A$2:$F$418,6,FALSE),0)</f>
        <v>0</v>
      </c>
      <c r="AR1055" s="55">
        <v>0</v>
      </c>
      <c r="AS1055" s="55">
        <v>0</v>
      </c>
      <c r="AT1055" s="55">
        <v>0</v>
      </c>
      <c r="AU1055" s="55">
        <v>0</v>
      </c>
      <c r="AV1055" s="55">
        <v>0</v>
      </c>
      <c r="AW1055" s="55"/>
      <c r="AX1055" s="55"/>
      <c r="AY1055" s="56">
        <f t="shared" si="362"/>
        <v>0</v>
      </c>
      <c r="AZ1055" s="55"/>
      <c r="BA1055" s="56">
        <v>0</v>
      </c>
      <c r="BB1055" s="41" t="str">
        <f t="shared" si="369"/>
        <v/>
      </c>
      <c r="BC1055" s="13"/>
      <c r="BD1055" s="35"/>
      <c r="BE1055" s="7"/>
      <c r="BF1055" s="16"/>
      <c r="BG1055" s="17" t="str">
        <f t="shared" si="366"/>
        <v>0</v>
      </c>
      <c r="BH1055" s="16">
        <f t="shared" si="370"/>
        <v>0</v>
      </c>
    </row>
    <row r="1056" spans="1:60" ht="12.75" customHeight="1" x14ac:dyDescent="0.2">
      <c r="A1056" s="51">
        <v>772061</v>
      </c>
      <c r="B1056" s="51" t="s">
        <v>1086</v>
      </c>
      <c r="C1056" s="66" t="s">
        <v>1803</v>
      </c>
      <c r="D1056" s="52" t="s">
        <v>728</v>
      </c>
      <c r="E1056" s="65" t="s">
        <v>780</v>
      </c>
      <c r="F1056" s="53">
        <f>IFERROR(VLOOKUP(E1056,Fornecedores!$A$2:$B$2700,2,FALSE),"")</f>
        <v>2</v>
      </c>
      <c r="G1056" s="52">
        <f>VLOOKUP(A1056,[2]CMV!$A$1:$F$2043,6,FALSE)</f>
        <v>0</v>
      </c>
      <c r="H1056" s="57"/>
      <c r="I1056" s="55">
        <f t="shared" si="363"/>
        <v>0</v>
      </c>
      <c r="J1056" s="55">
        <v>0</v>
      </c>
      <c r="K1056" s="55">
        <v>0</v>
      </c>
      <c r="L1056" s="55">
        <v>0</v>
      </c>
      <c r="M1056" s="55">
        <v>0</v>
      </c>
      <c r="N1056" s="55">
        <f t="shared" si="364"/>
        <v>0</v>
      </c>
      <c r="O1056" s="55">
        <v>0</v>
      </c>
      <c r="P1056" s="55">
        <v>0</v>
      </c>
      <c r="Q1056" s="55">
        <v>0</v>
      </c>
      <c r="R1056" s="55">
        <f t="shared" si="365"/>
        <v>0</v>
      </c>
      <c r="S1056" s="55">
        <v>0</v>
      </c>
      <c r="T1056" s="55">
        <v>0</v>
      </c>
      <c r="U1056" s="55">
        <v>0</v>
      </c>
      <c r="V1056" s="55">
        <v>0</v>
      </c>
      <c r="W1056" s="53">
        <v>0</v>
      </c>
      <c r="X1056" s="53">
        <v>0</v>
      </c>
      <c r="Y1056" s="55">
        <v>0</v>
      </c>
      <c r="Z1056" s="55">
        <v>0</v>
      </c>
      <c r="AA1056" s="53">
        <v>0</v>
      </c>
      <c r="AB1056" s="53">
        <v>0</v>
      </c>
      <c r="AC1056" s="55">
        <v>0</v>
      </c>
      <c r="AD1056" s="55">
        <f t="shared" si="359"/>
        <v>0</v>
      </c>
      <c r="AE1056" s="53">
        <v>0</v>
      </c>
      <c r="AF1056" s="55">
        <v>0</v>
      </c>
      <c r="AG1056" s="55">
        <v>0</v>
      </c>
      <c r="AH1056" s="55">
        <f t="shared" si="367"/>
        <v>0</v>
      </c>
      <c r="AI1056" s="55">
        <v>0</v>
      </c>
      <c r="AJ1056" s="55">
        <v>0</v>
      </c>
      <c r="AK1056" s="55">
        <v>0</v>
      </c>
      <c r="AL1056" s="55">
        <f t="shared" si="368"/>
        <v>0</v>
      </c>
      <c r="AM1056" s="55" t="s">
        <v>1912</v>
      </c>
      <c r="AN1056" s="55">
        <v>0</v>
      </c>
      <c r="AO1056" s="55">
        <v>0</v>
      </c>
      <c r="AP1056" s="55">
        <f t="shared" si="361"/>
        <v>0</v>
      </c>
      <c r="AQ1056" s="55">
        <f>IFERROR(VLOOKUP(A1056,[1]SIIMPLES!$A$2:$F$418,6,FALSE),0)</f>
        <v>0</v>
      </c>
      <c r="AR1056" s="55">
        <v>0</v>
      </c>
      <c r="AS1056" s="55">
        <v>0</v>
      </c>
      <c r="AT1056" s="55">
        <v>0</v>
      </c>
      <c r="AU1056" s="55">
        <v>0</v>
      </c>
      <c r="AV1056" s="55">
        <v>0</v>
      </c>
      <c r="AW1056" s="55"/>
      <c r="AX1056" s="55"/>
      <c r="AY1056" s="56">
        <f t="shared" si="362"/>
        <v>0</v>
      </c>
      <c r="AZ1056" s="55"/>
      <c r="BA1056" s="56">
        <v>0</v>
      </c>
      <c r="BB1056" s="41" t="str">
        <f t="shared" si="369"/>
        <v/>
      </c>
      <c r="BC1056" s="10"/>
      <c r="BD1056" s="35"/>
      <c r="BE1056" s="7"/>
      <c r="BF1056" s="16"/>
      <c r="BG1056" s="17" t="str">
        <f t="shared" si="366"/>
        <v>0</v>
      </c>
      <c r="BH1056" s="16">
        <f t="shared" si="370"/>
        <v>0</v>
      </c>
    </row>
    <row r="1057" spans="1:60" ht="12.75" customHeight="1" x14ac:dyDescent="0.2">
      <c r="A1057" s="51">
        <v>772062</v>
      </c>
      <c r="B1057" s="51"/>
      <c r="C1057" s="66" t="s">
        <v>1803</v>
      </c>
      <c r="D1057" s="52" t="s">
        <v>728</v>
      </c>
      <c r="E1057" s="65" t="s">
        <v>780</v>
      </c>
      <c r="F1057" s="53">
        <f>IFERROR(VLOOKUP(E1057,Fornecedores!$A$2:$B$2700,2,FALSE),"")</f>
        <v>2</v>
      </c>
      <c r="G1057" s="52" t="s">
        <v>1350</v>
      </c>
      <c r="H1057" s="57"/>
      <c r="I1057" s="55">
        <f t="shared" si="363"/>
        <v>0</v>
      </c>
      <c r="J1057" s="55">
        <v>0</v>
      </c>
      <c r="K1057" s="55">
        <v>0</v>
      </c>
      <c r="L1057" s="55">
        <v>0</v>
      </c>
      <c r="M1057" s="55">
        <v>0</v>
      </c>
      <c r="N1057" s="55">
        <f t="shared" si="364"/>
        <v>1</v>
      </c>
      <c r="O1057" s="55">
        <v>1</v>
      </c>
      <c r="P1057" s="55">
        <v>0</v>
      </c>
      <c r="Q1057" s="55">
        <v>0</v>
      </c>
      <c r="R1057" s="55">
        <f t="shared" si="365"/>
        <v>0</v>
      </c>
      <c r="S1057" s="55">
        <v>0</v>
      </c>
      <c r="T1057" s="55">
        <v>0</v>
      </c>
      <c r="U1057" s="55">
        <v>0</v>
      </c>
      <c r="V1057" s="55">
        <v>0</v>
      </c>
      <c r="W1057" s="53">
        <v>0</v>
      </c>
      <c r="X1057" s="53">
        <v>0</v>
      </c>
      <c r="Y1057" s="55">
        <v>0</v>
      </c>
      <c r="Z1057" s="55">
        <v>0</v>
      </c>
      <c r="AA1057" s="53">
        <v>0</v>
      </c>
      <c r="AB1057" s="53">
        <v>0</v>
      </c>
      <c r="AC1057" s="55">
        <v>0</v>
      </c>
      <c r="AD1057" s="55">
        <f t="shared" ref="AD1057:AD1120" si="371">SUM(AE1057:AG1057)</f>
        <v>0</v>
      </c>
      <c r="AE1057" s="53">
        <v>0</v>
      </c>
      <c r="AF1057" s="55">
        <v>0</v>
      </c>
      <c r="AG1057" s="55">
        <v>0</v>
      </c>
      <c r="AH1057" s="55">
        <f t="shared" si="367"/>
        <v>0</v>
      </c>
      <c r="AI1057" s="55">
        <v>0</v>
      </c>
      <c r="AJ1057" s="55">
        <v>0</v>
      </c>
      <c r="AK1057" s="55">
        <v>0</v>
      </c>
      <c r="AL1057" s="55">
        <f t="shared" si="368"/>
        <v>0</v>
      </c>
      <c r="AM1057" s="55" t="s">
        <v>1912</v>
      </c>
      <c r="AN1057" s="55">
        <v>0</v>
      </c>
      <c r="AO1057" s="55">
        <v>0</v>
      </c>
      <c r="AP1057" s="55">
        <f t="shared" si="361"/>
        <v>0</v>
      </c>
      <c r="AQ1057" s="55">
        <f>IFERROR(VLOOKUP(A1057,[1]SIIMPLES!$A$2:$F$418,6,FALSE),0)</f>
        <v>0</v>
      </c>
      <c r="AR1057" s="55">
        <v>0</v>
      </c>
      <c r="AS1057" s="55">
        <v>0</v>
      </c>
      <c r="AT1057" s="55">
        <v>0</v>
      </c>
      <c r="AU1057" s="55">
        <v>0</v>
      </c>
      <c r="AV1057" s="55">
        <v>0</v>
      </c>
      <c r="AW1057" s="55"/>
      <c r="AX1057" s="55"/>
      <c r="AY1057" s="56">
        <f t="shared" si="362"/>
        <v>0.1</v>
      </c>
      <c r="AZ1057" s="55"/>
      <c r="BA1057" s="56">
        <v>0</v>
      </c>
      <c r="BB1057" s="41" t="str">
        <f t="shared" si="369"/>
        <v/>
      </c>
      <c r="BC1057" s="7"/>
      <c r="BD1057" s="35"/>
      <c r="BE1057" s="7"/>
      <c r="BF1057" s="16"/>
      <c r="BG1057" s="17">
        <f t="shared" si="366"/>
        <v>0</v>
      </c>
      <c r="BH1057" s="16">
        <f t="shared" si="370"/>
        <v>0.1</v>
      </c>
    </row>
    <row r="1058" spans="1:60" ht="12.75" customHeight="1" x14ac:dyDescent="0.2">
      <c r="A1058" s="51">
        <v>772063</v>
      </c>
      <c r="B1058" s="51"/>
      <c r="C1058" s="66" t="s">
        <v>1803</v>
      </c>
      <c r="D1058" s="52" t="s">
        <v>728</v>
      </c>
      <c r="E1058" s="65" t="s">
        <v>780</v>
      </c>
      <c r="F1058" s="53">
        <f>IFERROR(VLOOKUP(E1058,Fornecedores!$A$2:$B$2700,2,FALSE),"")</f>
        <v>2</v>
      </c>
      <c r="G1058" s="52" t="s">
        <v>1351</v>
      </c>
      <c r="H1058" s="57"/>
      <c r="I1058" s="55">
        <f t="shared" si="363"/>
        <v>0</v>
      </c>
      <c r="J1058" s="55">
        <v>0</v>
      </c>
      <c r="K1058" s="55">
        <v>0</v>
      </c>
      <c r="L1058" s="55">
        <v>0</v>
      </c>
      <c r="M1058" s="55">
        <v>0</v>
      </c>
      <c r="N1058" s="55">
        <f t="shared" si="364"/>
        <v>0</v>
      </c>
      <c r="O1058" s="55">
        <v>0</v>
      </c>
      <c r="P1058" s="55">
        <v>0</v>
      </c>
      <c r="Q1058" s="55">
        <v>0</v>
      </c>
      <c r="R1058" s="55">
        <f t="shared" si="365"/>
        <v>1</v>
      </c>
      <c r="S1058" s="55">
        <v>1</v>
      </c>
      <c r="T1058" s="55">
        <v>0</v>
      </c>
      <c r="U1058" s="55">
        <v>0</v>
      </c>
      <c r="V1058" s="55">
        <v>0</v>
      </c>
      <c r="W1058" s="53">
        <v>0</v>
      </c>
      <c r="X1058" s="53">
        <v>0</v>
      </c>
      <c r="Y1058" s="55">
        <v>0</v>
      </c>
      <c r="Z1058" s="55">
        <v>0</v>
      </c>
      <c r="AA1058" s="53">
        <v>0</v>
      </c>
      <c r="AB1058" s="53">
        <v>0</v>
      </c>
      <c r="AC1058" s="55">
        <v>0</v>
      </c>
      <c r="AD1058" s="55">
        <f t="shared" si="371"/>
        <v>0</v>
      </c>
      <c r="AE1058" s="53">
        <v>0</v>
      </c>
      <c r="AF1058" s="55">
        <v>0</v>
      </c>
      <c r="AG1058" s="55">
        <v>0</v>
      </c>
      <c r="AH1058" s="55">
        <f t="shared" si="367"/>
        <v>0</v>
      </c>
      <c r="AI1058" s="55">
        <v>0</v>
      </c>
      <c r="AJ1058" s="55">
        <v>0</v>
      </c>
      <c r="AK1058" s="55">
        <v>0</v>
      </c>
      <c r="AL1058" s="55">
        <f t="shared" si="368"/>
        <v>0</v>
      </c>
      <c r="AM1058" s="55" t="s">
        <v>1912</v>
      </c>
      <c r="AN1058" s="55">
        <v>0</v>
      </c>
      <c r="AO1058" s="55">
        <v>0</v>
      </c>
      <c r="AP1058" s="55">
        <f t="shared" si="361"/>
        <v>0</v>
      </c>
      <c r="AQ1058" s="55">
        <f>IFERROR(VLOOKUP(A1058,[1]SIIMPLES!$A$2:$F$418,6,FALSE),0)</f>
        <v>0</v>
      </c>
      <c r="AR1058" s="55">
        <v>0</v>
      </c>
      <c r="AS1058" s="55">
        <v>0</v>
      </c>
      <c r="AT1058" s="55">
        <v>0</v>
      </c>
      <c r="AU1058" s="55">
        <v>0</v>
      </c>
      <c r="AV1058" s="55">
        <v>0</v>
      </c>
      <c r="AW1058" s="55"/>
      <c r="AX1058" s="55"/>
      <c r="AY1058" s="56">
        <f t="shared" si="362"/>
        <v>0.1</v>
      </c>
      <c r="AZ1058" s="55"/>
      <c r="BA1058" s="56">
        <v>0</v>
      </c>
      <c r="BB1058" s="41" t="str">
        <f t="shared" si="369"/>
        <v/>
      </c>
      <c r="BC1058" s="13"/>
      <c r="BD1058" s="35"/>
      <c r="BE1058" s="7"/>
      <c r="BF1058" s="16"/>
      <c r="BG1058" s="17">
        <f t="shared" si="366"/>
        <v>0</v>
      </c>
      <c r="BH1058" s="16">
        <f t="shared" si="370"/>
        <v>0.1</v>
      </c>
    </row>
    <row r="1059" spans="1:60" ht="12.75" customHeight="1" x14ac:dyDescent="0.2">
      <c r="A1059" s="51">
        <v>772075</v>
      </c>
      <c r="B1059" s="51"/>
      <c r="C1059" s="66" t="s">
        <v>1803</v>
      </c>
      <c r="D1059" s="52" t="s">
        <v>728</v>
      </c>
      <c r="E1059" s="65" t="s">
        <v>780</v>
      </c>
      <c r="F1059" s="53">
        <f>IFERROR(VLOOKUP(E1059,Fornecedores!$A$2:$B$2700,2,FALSE),"")</f>
        <v>2</v>
      </c>
      <c r="G1059" s="52" t="s">
        <v>1140</v>
      </c>
      <c r="H1059" s="57"/>
      <c r="I1059" s="55">
        <f t="shared" si="363"/>
        <v>0</v>
      </c>
      <c r="J1059" s="55">
        <v>0</v>
      </c>
      <c r="K1059" s="55">
        <v>0</v>
      </c>
      <c r="L1059" s="55">
        <v>0</v>
      </c>
      <c r="M1059" s="55">
        <v>0</v>
      </c>
      <c r="N1059" s="55">
        <f t="shared" si="364"/>
        <v>0</v>
      </c>
      <c r="O1059" s="55">
        <v>0</v>
      </c>
      <c r="P1059" s="55">
        <v>0</v>
      </c>
      <c r="Q1059" s="55">
        <v>0</v>
      </c>
      <c r="R1059" s="55">
        <f t="shared" si="365"/>
        <v>0</v>
      </c>
      <c r="S1059" s="55">
        <v>0</v>
      </c>
      <c r="T1059" s="55">
        <v>0</v>
      </c>
      <c r="U1059" s="55">
        <v>0</v>
      </c>
      <c r="V1059" s="55">
        <v>0</v>
      </c>
      <c r="W1059" s="53">
        <v>0</v>
      </c>
      <c r="X1059" s="53">
        <v>0</v>
      </c>
      <c r="Y1059" s="55">
        <v>0</v>
      </c>
      <c r="Z1059" s="55">
        <v>0</v>
      </c>
      <c r="AA1059" s="53">
        <v>0</v>
      </c>
      <c r="AB1059" s="53">
        <v>0</v>
      </c>
      <c r="AC1059" s="55">
        <v>0</v>
      </c>
      <c r="AD1059" s="55">
        <f t="shared" si="371"/>
        <v>0</v>
      </c>
      <c r="AE1059" s="53">
        <v>0</v>
      </c>
      <c r="AF1059" s="55">
        <v>0</v>
      </c>
      <c r="AG1059" s="55">
        <v>0</v>
      </c>
      <c r="AH1059" s="55">
        <f t="shared" si="367"/>
        <v>0</v>
      </c>
      <c r="AI1059" s="55">
        <v>0</v>
      </c>
      <c r="AJ1059" s="55">
        <v>0</v>
      </c>
      <c r="AK1059" s="55">
        <v>0</v>
      </c>
      <c r="AL1059" s="55">
        <f t="shared" si="368"/>
        <v>0</v>
      </c>
      <c r="AM1059" s="55" t="s">
        <v>1912</v>
      </c>
      <c r="AN1059" s="55">
        <v>0</v>
      </c>
      <c r="AO1059" s="55">
        <v>0</v>
      </c>
      <c r="AP1059" s="55">
        <f t="shared" si="361"/>
        <v>0</v>
      </c>
      <c r="AQ1059" s="55">
        <f>IFERROR(VLOOKUP(A1059,[1]SIIMPLES!$A$2:$F$418,6,FALSE),0)</f>
        <v>0</v>
      </c>
      <c r="AR1059" s="55">
        <v>0</v>
      </c>
      <c r="AS1059" s="55">
        <v>0</v>
      </c>
      <c r="AT1059" s="55">
        <v>0</v>
      </c>
      <c r="AU1059" s="55">
        <v>0</v>
      </c>
      <c r="AV1059" s="55">
        <v>0</v>
      </c>
      <c r="AW1059" s="55"/>
      <c r="AX1059" s="55"/>
      <c r="AY1059" s="56">
        <f t="shared" si="362"/>
        <v>0</v>
      </c>
      <c r="AZ1059" s="55"/>
      <c r="BA1059" s="56">
        <v>0.33333333333333331</v>
      </c>
      <c r="BB1059" s="41">
        <f t="shared" si="369"/>
        <v>-1</v>
      </c>
      <c r="BC1059" s="13"/>
      <c r="BD1059" s="35"/>
      <c r="BE1059" s="7"/>
      <c r="BF1059" s="16"/>
      <c r="BG1059" s="17" t="str">
        <f t="shared" si="366"/>
        <v>0</v>
      </c>
      <c r="BH1059" s="16">
        <f t="shared" si="370"/>
        <v>0</v>
      </c>
    </row>
    <row r="1060" spans="1:60" ht="12.75" customHeight="1" x14ac:dyDescent="0.2">
      <c r="A1060" s="51">
        <v>772088</v>
      </c>
      <c r="B1060" s="51" t="s">
        <v>1077</v>
      </c>
      <c r="C1060" s="66" t="s">
        <v>1803</v>
      </c>
      <c r="D1060" s="52" t="s">
        <v>728</v>
      </c>
      <c r="E1060" s="65" t="s">
        <v>780</v>
      </c>
      <c r="F1060" s="53">
        <f>IFERROR(VLOOKUP(E1060,Fornecedores!$A$2:$B$2700,2,FALSE),"")</f>
        <v>2</v>
      </c>
      <c r="G1060" s="52" t="s">
        <v>1352</v>
      </c>
      <c r="H1060" s="57"/>
      <c r="I1060" s="55">
        <f t="shared" si="363"/>
        <v>0</v>
      </c>
      <c r="J1060" s="55">
        <v>0</v>
      </c>
      <c r="K1060" s="55">
        <v>0</v>
      </c>
      <c r="L1060" s="55">
        <v>0</v>
      </c>
      <c r="M1060" s="55">
        <v>0</v>
      </c>
      <c r="N1060" s="55">
        <f t="shared" si="364"/>
        <v>1</v>
      </c>
      <c r="O1060" s="55">
        <v>1</v>
      </c>
      <c r="P1060" s="55">
        <v>0</v>
      </c>
      <c r="Q1060" s="55">
        <v>0</v>
      </c>
      <c r="R1060" s="55">
        <f t="shared" si="365"/>
        <v>0</v>
      </c>
      <c r="S1060" s="55">
        <v>0</v>
      </c>
      <c r="T1060" s="55">
        <v>0</v>
      </c>
      <c r="U1060" s="55">
        <v>0</v>
      </c>
      <c r="V1060" s="55">
        <v>1</v>
      </c>
      <c r="W1060" s="53">
        <v>1</v>
      </c>
      <c r="X1060" s="53">
        <v>0</v>
      </c>
      <c r="Y1060" s="55">
        <v>0</v>
      </c>
      <c r="Z1060" s="55">
        <v>0</v>
      </c>
      <c r="AA1060" s="53">
        <v>0</v>
      </c>
      <c r="AB1060" s="53">
        <v>0</v>
      </c>
      <c r="AC1060" s="55">
        <v>0</v>
      </c>
      <c r="AD1060" s="55">
        <f t="shared" si="371"/>
        <v>0</v>
      </c>
      <c r="AE1060" s="53">
        <v>0</v>
      </c>
      <c r="AF1060" s="55">
        <v>0</v>
      </c>
      <c r="AG1060" s="55">
        <v>0</v>
      </c>
      <c r="AH1060" s="55">
        <f t="shared" si="367"/>
        <v>0</v>
      </c>
      <c r="AI1060" s="55">
        <v>0</v>
      </c>
      <c r="AJ1060" s="55">
        <v>0</v>
      </c>
      <c r="AK1060" s="55">
        <v>0</v>
      </c>
      <c r="AL1060" s="55">
        <f t="shared" si="368"/>
        <v>0</v>
      </c>
      <c r="AM1060" s="55" t="s">
        <v>1912</v>
      </c>
      <c r="AN1060" s="55">
        <v>0</v>
      </c>
      <c r="AO1060" s="55">
        <v>0</v>
      </c>
      <c r="AP1060" s="55">
        <f t="shared" si="361"/>
        <v>0</v>
      </c>
      <c r="AQ1060" s="55">
        <f>IFERROR(VLOOKUP(A1060,[1]SIIMPLES!$A$2:$F$418,6,FALSE),0)</f>
        <v>0</v>
      </c>
      <c r="AR1060" s="55">
        <v>0</v>
      </c>
      <c r="AS1060" s="55">
        <v>0</v>
      </c>
      <c r="AT1060" s="55">
        <v>0</v>
      </c>
      <c r="AU1060" s="55">
        <v>0</v>
      </c>
      <c r="AV1060" s="55">
        <v>0</v>
      </c>
      <c r="AW1060" s="55"/>
      <c r="AX1060" s="55"/>
      <c r="AY1060" s="56">
        <f t="shared" si="362"/>
        <v>0.2</v>
      </c>
      <c r="AZ1060" s="55"/>
      <c r="BA1060" s="56">
        <v>0.16666666666666666</v>
      </c>
      <c r="BB1060" s="41">
        <f t="shared" si="369"/>
        <v>0.20000000000000018</v>
      </c>
      <c r="BC1060" s="13"/>
      <c r="BD1060" s="35"/>
      <c r="BE1060" s="7"/>
      <c r="BF1060" s="16"/>
      <c r="BG1060" s="17">
        <f t="shared" si="366"/>
        <v>0</v>
      </c>
      <c r="BH1060" s="16">
        <f t="shared" si="370"/>
        <v>0.2</v>
      </c>
    </row>
    <row r="1061" spans="1:60" ht="12.75" customHeight="1" x14ac:dyDescent="0.2">
      <c r="A1061" s="51">
        <v>772089</v>
      </c>
      <c r="B1061" s="51" t="s">
        <v>1077</v>
      </c>
      <c r="C1061" s="66" t="s">
        <v>1803</v>
      </c>
      <c r="D1061" s="52" t="s">
        <v>728</v>
      </c>
      <c r="E1061" s="65" t="s">
        <v>780</v>
      </c>
      <c r="F1061" s="53">
        <f>IFERROR(VLOOKUP(E1061,Fornecedores!$A$2:$B$2700,2,FALSE),"")</f>
        <v>2</v>
      </c>
      <c r="G1061" s="52" t="s">
        <v>1353</v>
      </c>
      <c r="H1061" s="57"/>
      <c r="I1061" s="55">
        <f t="shared" si="363"/>
        <v>0</v>
      </c>
      <c r="J1061" s="55">
        <v>0</v>
      </c>
      <c r="K1061" s="55">
        <v>0</v>
      </c>
      <c r="L1061" s="55">
        <v>0</v>
      </c>
      <c r="M1061" s="55">
        <v>0</v>
      </c>
      <c r="N1061" s="55">
        <f t="shared" si="364"/>
        <v>0</v>
      </c>
      <c r="O1061" s="55">
        <v>0</v>
      </c>
      <c r="P1061" s="55">
        <v>0</v>
      </c>
      <c r="Q1061" s="55">
        <v>0</v>
      </c>
      <c r="R1061" s="55">
        <f t="shared" si="365"/>
        <v>0</v>
      </c>
      <c r="S1061" s="55">
        <v>0</v>
      </c>
      <c r="T1061" s="55">
        <v>0</v>
      </c>
      <c r="U1061" s="55">
        <v>0</v>
      </c>
      <c r="V1061" s="55">
        <v>0</v>
      </c>
      <c r="W1061" s="53">
        <v>0</v>
      </c>
      <c r="X1061" s="53">
        <v>0</v>
      </c>
      <c r="Y1061" s="55">
        <v>0</v>
      </c>
      <c r="Z1061" s="55">
        <v>0</v>
      </c>
      <c r="AA1061" s="53">
        <v>0</v>
      </c>
      <c r="AB1061" s="53">
        <v>0</v>
      </c>
      <c r="AC1061" s="55">
        <v>0</v>
      </c>
      <c r="AD1061" s="55">
        <f t="shared" si="371"/>
        <v>0</v>
      </c>
      <c r="AE1061" s="53">
        <v>0</v>
      </c>
      <c r="AF1061" s="55">
        <v>0</v>
      </c>
      <c r="AG1061" s="55">
        <v>0</v>
      </c>
      <c r="AH1061" s="55">
        <f t="shared" si="367"/>
        <v>0</v>
      </c>
      <c r="AI1061" s="55">
        <v>0</v>
      </c>
      <c r="AJ1061" s="55">
        <v>0</v>
      </c>
      <c r="AK1061" s="55">
        <v>0</v>
      </c>
      <c r="AL1061" s="55">
        <f t="shared" si="368"/>
        <v>0</v>
      </c>
      <c r="AM1061" s="55" t="s">
        <v>1912</v>
      </c>
      <c r="AN1061" s="55">
        <v>0</v>
      </c>
      <c r="AO1061" s="55">
        <v>0</v>
      </c>
      <c r="AP1061" s="55">
        <f t="shared" si="361"/>
        <v>0</v>
      </c>
      <c r="AQ1061" s="55">
        <f>IFERROR(VLOOKUP(A1061,[1]SIIMPLES!$A$2:$F$418,6,FALSE),0)</f>
        <v>0</v>
      </c>
      <c r="AR1061" s="55">
        <v>0</v>
      </c>
      <c r="AS1061" s="55">
        <v>0</v>
      </c>
      <c r="AT1061" s="55">
        <v>0</v>
      </c>
      <c r="AU1061" s="55">
        <v>0</v>
      </c>
      <c r="AV1061" s="55">
        <v>0</v>
      </c>
      <c r="AW1061" s="55"/>
      <c r="AX1061" s="55"/>
      <c r="AY1061" s="56">
        <f t="shared" si="362"/>
        <v>0</v>
      </c>
      <c r="AZ1061" s="55"/>
      <c r="BA1061" s="56">
        <v>0.16666666666666666</v>
      </c>
      <c r="BB1061" s="41">
        <f t="shared" si="369"/>
        <v>-1</v>
      </c>
      <c r="BC1061" s="7"/>
      <c r="BD1061" s="35"/>
      <c r="BE1061" s="7"/>
      <c r="BF1061" s="16"/>
      <c r="BG1061" s="17" t="str">
        <f t="shared" si="366"/>
        <v>0</v>
      </c>
      <c r="BH1061" s="16">
        <f t="shared" si="370"/>
        <v>0</v>
      </c>
    </row>
    <row r="1062" spans="1:60" ht="12.75" customHeight="1" x14ac:dyDescent="0.2">
      <c r="A1062" s="51">
        <v>772090</v>
      </c>
      <c r="B1062" s="51" t="s">
        <v>1077</v>
      </c>
      <c r="C1062" s="66" t="s">
        <v>1803</v>
      </c>
      <c r="D1062" s="52" t="s">
        <v>728</v>
      </c>
      <c r="E1062" s="65" t="s">
        <v>780</v>
      </c>
      <c r="F1062" s="53">
        <f>IFERROR(VLOOKUP(E1062,Fornecedores!$A$2:$B$2700,2,FALSE),"")</f>
        <v>2</v>
      </c>
      <c r="G1062" s="52" t="s">
        <v>1354</v>
      </c>
      <c r="H1062" s="57"/>
      <c r="I1062" s="55">
        <f t="shared" si="363"/>
        <v>0</v>
      </c>
      <c r="J1062" s="55">
        <v>0</v>
      </c>
      <c r="K1062" s="55">
        <v>0</v>
      </c>
      <c r="L1062" s="55">
        <v>0</v>
      </c>
      <c r="M1062" s="55">
        <v>0</v>
      </c>
      <c r="N1062" s="55">
        <f t="shared" si="364"/>
        <v>1</v>
      </c>
      <c r="O1062" s="55">
        <v>1</v>
      </c>
      <c r="P1062" s="55">
        <v>0</v>
      </c>
      <c r="Q1062" s="55">
        <v>0</v>
      </c>
      <c r="R1062" s="55">
        <f t="shared" si="365"/>
        <v>0</v>
      </c>
      <c r="S1062" s="55">
        <v>0</v>
      </c>
      <c r="T1062" s="55">
        <v>0</v>
      </c>
      <c r="U1062" s="55">
        <v>0</v>
      </c>
      <c r="V1062" s="55">
        <v>0</v>
      </c>
      <c r="W1062" s="53">
        <v>0</v>
      </c>
      <c r="X1062" s="53">
        <v>0</v>
      </c>
      <c r="Y1062" s="55">
        <v>0</v>
      </c>
      <c r="Z1062" s="55">
        <v>0</v>
      </c>
      <c r="AA1062" s="53">
        <v>0</v>
      </c>
      <c r="AB1062" s="53">
        <v>0</v>
      </c>
      <c r="AC1062" s="55">
        <v>0</v>
      </c>
      <c r="AD1062" s="55">
        <f t="shared" si="371"/>
        <v>0</v>
      </c>
      <c r="AE1062" s="53">
        <v>0</v>
      </c>
      <c r="AF1062" s="55">
        <v>0</v>
      </c>
      <c r="AG1062" s="55">
        <v>0</v>
      </c>
      <c r="AH1062" s="55">
        <f t="shared" si="367"/>
        <v>0</v>
      </c>
      <c r="AI1062" s="55">
        <v>0</v>
      </c>
      <c r="AJ1062" s="55">
        <v>0</v>
      </c>
      <c r="AK1062" s="55">
        <v>0</v>
      </c>
      <c r="AL1062" s="55">
        <f t="shared" si="368"/>
        <v>1</v>
      </c>
      <c r="AM1062" s="55">
        <v>1</v>
      </c>
      <c r="AN1062" s="55">
        <v>0</v>
      </c>
      <c r="AO1062" s="55">
        <v>0</v>
      </c>
      <c r="AP1062" s="55">
        <f t="shared" si="361"/>
        <v>0</v>
      </c>
      <c r="AQ1062" s="55">
        <f>IFERROR(VLOOKUP(A1062,[1]SIIMPLES!$A$2:$F$418,6,FALSE),0)</f>
        <v>0</v>
      </c>
      <c r="AR1062" s="55">
        <v>0</v>
      </c>
      <c r="AS1062" s="55">
        <v>0</v>
      </c>
      <c r="AT1062" s="55">
        <v>0</v>
      </c>
      <c r="AU1062" s="55">
        <v>0</v>
      </c>
      <c r="AV1062" s="55">
        <v>0</v>
      </c>
      <c r="AW1062" s="55"/>
      <c r="AX1062" s="55"/>
      <c r="AY1062" s="56">
        <f t="shared" si="362"/>
        <v>0.2</v>
      </c>
      <c r="AZ1062" s="55"/>
      <c r="BA1062" s="56">
        <v>0.33333333333333331</v>
      </c>
      <c r="BB1062" s="41">
        <f t="shared" si="369"/>
        <v>-0.39999999999999991</v>
      </c>
      <c r="BC1062" s="7"/>
      <c r="BD1062" s="35"/>
      <c r="BE1062" s="7"/>
      <c r="BF1062" s="16"/>
      <c r="BG1062" s="17">
        <f t="shared" si="366"/>
        <v>0</v>
      </c>
      <c r="BH1062" s="16">
        <f t="shared" si="370"/>
        <v>0.2</v>
      </c>
    </row>
    <row r="1063" spans="1:60" ht="12.75" customHeight="1" x14ac:dyDescent="0.2">
      <c r="A1063" s="51">
        <v>772091</v>
      </c>
      <c r="B1063" s="51" t="s">
        <v>1077</v>
      </c>
      <c r="C1063" s="66" t="s">
        <v>1803</v>
      </c>
      <c r="D1063" s="52" t="s">
        <v>728</v>
      </c>
      <c r="E1063" s="65" t="s">
        <v>780</v>
      </c>
      <c r="F1063" s="53">
        <f>IFERROR(VLOOKUP(E1063,Fornecedores!$A$2:$B$2700,2,FALSE),"")</f>
        <v>2</v>
      </c>
      <c r="G1063" s="52" t="s">
        <v>1355</v>
      </c>
      <c r="H1063" s="57"/>
      <c r="I1063" s="55">
        <f t="shared" si="363"/>
        <v>0</v>
      </c>
      <c r="J1063" s="55">
        <v>0</v>
      </c>
      <c r="K1063" s="55">
        <v>0</v>
      </c>
      <c r="L1063" s="55">
        <v>0</v>
      </c>
      <c r="M1063" s="55">
        <v>0</v>
      </c>
      <c r="N1063" s="55">
        <f t="shared" si="364"/>
        <v>1</v>
      </c>
      <c r="O1063" s="55">
        <v>1</v>
      </c>
      <c r="P1063" s="55">
        <v>0</v>
      </c>
      <c r="Q1063" s="55">
        <v>0</v>
      </c>
      <c r="R1063" s="55">
        <f t="shared" si="365"/>
        <v>0</v>
      </c>
      <c r="S1063" s="55">
        <v>0</v>
      </c>
      <c r="T1063" s="55">
        <v>0</v>
      </c>
      <c r="U1063" s="55">
        <v>0</v>
      </c>
      <c r="V1063" s="55">
        <v>0</v>
      </c>
      <c r="W1063" s="53">
        <v>0</v>
      </c>
      <c r="X1063" s="53">
        <v>0</v>
      </c>
      <c r="Y1063" s="55">
        <v>0</v>
      </c>
      <c r="Z1063" s="55">
        <v>0</v>
      </c>
      <c r="AA1063" s="53">
        <v>0</v>
      </c>
      <c r="AB1063" s="53">
        <v>0</v>
      </c>
      <c r="AC1063" s="55">
        <v>0</v>
      </c>
      <c r="AD1063" s="55">
        <f t="shared" si="371"/>
        <v>0</v>
      </c>
      <c r="AE1063" s="53">
        <v>0</v>
      </c>
      <c r="AF1063" s="55">
        <v>0</v>
      </c>
      <c r="AG1063" s="55">
        <v>0</v>
      </c>
      <c r="AH1063" s="55">
        <f t="shared" si="367"/>
        <v>0</v>
      </c>
      <c r="AI1063" s="55">
        <v>0</v>
      </c>
      <c r="AJ1063" s="55">
        <v>0</v>
      </c>
      <c r="AK1063" s="55">
        <v>0</v>
      </c>
      <c r="AL1063" s="55">
        <f t="shared" si="368"/>
        <v>0</v>
      </c>
      <c r="AM1063" s="55" t="s">
        <v>1912</v>
      </c>
      <c r="AN1063" s="55">
        <v>0</v>
      </c>
      <c r="AO1063" s="55">
        <v>0</v>
      </c>
      <c r="AP1063" s="55">
        <f t="shared" si="361"/>
        <v>0</v>
      </c>
      <c r="AQ1063" s="55">
        <f>IFERROR(VLOOKUP(A1063,[1]SIIMPLES!$A$2:$F$418,6,FALSE),0)</f>
        <v>0</v>
      </c>
      <c r="AR1063" s="55">
        <v>0</v>
      </c>
      <c r="AS1063" s="55">
        <v>0</v>
      </c>
      <c r="AT1063" s="55">
        <v>0</v>
      </c>
      <c r="AU1063" s="55">
        <v>0</v>
      </c>
      <c r="AV1063" s="55">
        <v>0</v>
      </c>
      <c r="AW1063" s="55"/>
      <c r="AX1063" s="55"/>
      <c r="AY1063" s="56">
        <f t="shared" si="362"/>
        <v>0.1</v>
      </c>
      <c r="AZ1063" s="55"/>
      <c r="BA1063" s="56">
        <v>0.16666666666666666</v>
      </c>
      <c r="BB1063" s="41">
        <f t="shared" si="369"/>
        <v>-0.39999999999999991</v>
      </c>
      <c r="BC1063" s="7"/>
      <c r="BD1063" s="35"/>
      <c r="BE1063" s="7"/>
      <c r="BF1063" s="16"/>
      <c r="BG1063" s="17">
        <f t="shared" si="366"/>
        <v>0</v>
      </c>
      <c r="BH1063" s="16"/>
    </row>
    <row r="1064" spans="1:60" ht="12.75" customHeight="1" x14ac:dyDescent="0.2">
      <c r="A1064" s="51">
        <v>772100</v>
      </c>
      <c r="B1064" s="51" t="s">
        <v>1077</v>
      </c>
      <c r="C1064" s="66" t="s">
        <v>1803</v>
      </c>
      <c r="D1064" s="52" t="s">
        <v>728</v>
      </c>
      <c r="E1064" s="65" t="s">
        <v>780</v>
      </c>
      <c r="F1064" s="53">
        <f>IFERROR(VLOOKUP(E1064,Fornecedores!$A$2:$B$2700,2,FALSE),"")</f>
        <v>2</v>
      </c>
      <c r="G1064" s="52" t="s">
        <v>664</v>
      </c>
      <c r="H1064" s="57"/>
      <c r="I1064" s="55">
        <f t="shared" si="363"/>
        <v>0</v>
      </c>
      <c r="J1064" s="55">
        <v>0</v>
      </c>
      <c r="K1064" s="55">
        <v>0</v>
      </c>
      <c r="L1064" s="55">
        <v>0</v>
      </c>
      <c r="M1064" s="55">
        <v>0</v>
      </c>
      <c r="N1064" s="55">
        <f t="shared" si="364"/>
        <v>0</v>
      </c>
      <c r="O1064" s="55">
        <v>0</v>
      </c>
      <c r="P1064" s="55">
        <v>0</v>
      </c>
      <c r="Q1064" s="55">
        <v>0</v>
      </c>
      <c r="R1064" s="55">
        <f t="shared" si="365"/>
        <v>0</v>
      </c>
      <c r="S1064" s="55">
        <v>0</v>
      </c>
      <c r="T1064" s="55">
        <v>0</v>
      </c>
      <c r="U1064" s="55">
        <v>0</v>
      </c>
      <c r="V1064" s="55">
        <v>0</v>
      </c>
      <c r="W1064" s="53">
        <v>0</v>
      </c>
      <c r="X1064" s="53">
        <v>0</v>
      </c>
      <c r="Y1064" s="55">
        <v>0</v>
      </c>
      <c r="Z1064" s="55">
        <v>0</v>
      </c>
      <c r="AA1064" s="53">
        <v>0</v>
      </c>
      <c r="AB1064" s="53">
        <v>0</v>
      </c>
      <c r="AC1064" s="55">
        <v>0</v>
      </c>
      <c r="AD1064" s="55">
        <f t="shared" si="371"/>
        <v>0</v>
      </c>
      <c r="AE1064" s="53">
        <v>0</v>
      </c>
      <c r="AF1064" s="55">
        <v>0</v>
      </c>
      <c r="AG1064" s="55">
        <v>0</v>
      </c>
      <c r="AH1064" s="55">
        <f t="shared" si="367"/>
        <v>0</v>
      </c>
      <c r="AI1064" s="55">
        <v>0</v>
      </c>
      <c r="AJ1064" s="55">
        <v>0</v>
      </c>
      <c r="AK1064" s="55">
        <v>0</v>
      </c>
      <c r="AL1064" s="55">
        <f t="shared" si="368"/>
        <v>0</v>
      </c>
      <c r="AM1064" s="55" t="s">
        <v>1912</v>
      </c>
      <c r="AN1064" s="55">
        <v>0</v>
      </c>
      <c r="AO1064" s="55">
        <v>0</v>
      </c>
      <c r="AP1064" s="55">
        <f t="shared" si="361"/>
        <v>0</v>
      </c>
      <c r="AQ1064" s="55">
        <f>IFERROR(VLOOKUP(A1064,[1]SIIMPLES!$A$2:$F$418,6,FALSE),0)</f>
        <v>0</v>
      </c>
      <c r="AR1064" s="55">
        <v>0</v>
      </c>
      <c r="AS1064" s="55">
        <v>1</v>
      </c>
      <c r="AT1064" s="55">
        <v>0</v>
      </c>
      <c r="AU1064" s="55">
        <v>0</v>
      </c>
      <c r="AV1064" s="55">
        <v>1</v>
      </c>
      <c r="AW1064" s="55"/>
      <c r="AX1064" s="55"/>
      <c r="AY1064" s="56">
        <f t="shared" si="362"/>
        <v>0.1</v>
      </c>
      <c r="AZ1064" s="55"/>
      <c r="BA1064" s="56">
        <v>0</v>
      </c>
      <c r="BB1064" s="41" t="str">
        <f t="shared" si="369"/>
        <v/>
      </c>
      <c r="BC1064" s="13"/>
      <c r="BD1064" s="35"/>
      <c r="BE1064" s="7"/>
      <c r="BF1064" s="16"/>
      <c r="BG1064" s="17">
        <f t="shared" si="366"/>
        <v>0</v>
      </c>
      <c r="BH1064" s="16"/>
    </row>
    <row r="1065" spans="1:60" ht="12.75" customHeight="1" x14ac:dyDescent="0.2">
      <c r="A1065" s="51">
        <v>772101</v>
      </c>
      <c r="B1065" s="51" t="s">
        <v>1077</v>
      </c>
      <c r="C1065" s="66" t="s">
        <v>1803</v>
      </c>
      <c r="D1065" s="52" t="s">
        <v>728</v>
      </c>
      <c r="E1065" s="65" t="s">
        <v>780</v>
      </c>
      <c r="F1065" s="53">
        <f>IFERROR(VLOOKUP(E1065,Fornecedores!$A$2:$B$2700,2,FALSE),"")</f>
        <v>2</v>
      </c>
      <c r="G1065" s="52" t="s">
        <v>700</v>
      </c>
      <c r="H1065" s="57"/>
      <c r="I1065" s="55">
        <f t="shared" si="363"/>
        <v>0</v>
      </c>
      <c r="J1065" s="55">
        <v>0</v>
      </c>
      <c r="K1065" s="55">
        <v>0</v>
      </c>
      <c r="L1065" s="55">
        <v>0</v>
      </c>
      <c r="M1065" s="55">
        <v>0</v>
      </c>
      <c r="N1065" s="55">
        <f t="shared" si="364"/>
        <v>0</v>
      </c>
      <c r="O1065" s="55">
        <v>0</v>
      </c>
      <c r="P1065" s="55">
        <v>0</v>
      </c>
      <c r="Q1065" s="55">
        <v>0</v>
      </c>
      <c r="R1065" s="55">
        <f t="shared" si="365"/>
        <v>0</v>
      </c>
      <c r="S1065" s="55">
        <v>0</v>
      </c>
      <c r="T1065" s="55">
        <v>0</v>
      </c>
      <c r="U1065" s="55">
        <v>0</v>
      </c>
      <c r="V1065" s="55">
        <v>0</v>
      </c>
      <c r="W1065" s="53">
        <v>0</v>
      </c>
      <c r="X1065" s="53">
        <v>0</v>
      </c>
      <c r="Y1065" s="55">
        <v>0</v>
      </c>
      <c r="Z1065" s="55">
        <v>0</v>
      </c>
      <c r="AA1065" s="53">
        <v>0</v>
      </c>
      <c r="AB1065" s="53">
        <v>0</v>
      </c>
      <c r="AC1065" s="55">
        <v>0</v>
      </c>
      <c r="AD1065" s="55">
        <f t="shared" si="371"/>
        <v>0</v>
      </c>
      <c r="AE1065" s="53">
        <v>0</v>
      </c>
      <c r="AF1065" s="55">
        <v>0</v>
      </c>
      <c r="AG1065" s="55">
        <v>0</v>
      </c>
      <c r="AH1065" s="55">
        <f t="shared" si="367"/>
        <v>0</v>
      </c>
      <c r="AI1065" s="55">
        <v>0</v>
      </c>
      <c r="AJ1065" s="55">
        <v>0</v>
      </c>
      <c r="AK1065" s="55">
        <v>0</v>
      </c>
      <c r="AL1065" s="55">
        <f t="shared" si="368"/>
        <v>0</v>
      </c>
      <c r="AM1065" s="55" t="s">
        <v>1912</v>
      </c>
      <c r="AN1065" s="55">
        <v>0</v>
      </c>
      <c r="AO1065" s="55">
        <v>0</v>
      </c>
      <c r="AP1065" s="55">
        <f t="shared" si="361"/>
        <v>0</v>
      </c>
      <c r="AQ1065" s="55">
        <f>IFERROR(VLOOKUP(A1065,[1]SIIMPLES!$A$2:$F$418,6,FALSE),0)</f>
        <v>0</v>
      </c>
      <c r="AR1065" s="55">
        <v>0</v>
      </c>
      <c r="AS1065" s="55">
        <v>0</v>
      </c>
      <c r="AT1065" s="55">
        <v>0</v>
      </c>
      <c r="AU1065" s="55">
        <v>0</v>
      </c>
      <c r="AV1065" s="55">
        <v>0</v>
      </c>
      <c r="AW1065" s="55"/>
      <c r="AX1065" s="55"/>
      <c r="AY1065" s="56">
        <f t="shared" si="362"/>
        <v>0</v>
      </c>
      <c r="AZ1065" s="55"/>
      <c r="BA1065" s="56">
        <v>0</v>
      </c>
      <c r="BB1065" s="41" t="str">
        <f t="shared" si="369"/>
        <v/>
      </c>
      <c r="BC1065" s="13"/>
      <c r="BD1065" s="35"/>
      <c r="BE1065" s="7"/>
      <c r="BF1065" s="16"/>
      <c r="BG1065" s="17" t="str">
        <f t="shared" si="366"/>
        <v>0</v>
      </c>
      <c r="BH1065" s="16">
        <f>IFERROR(IF(F1065=1,IF(BC1065&lt;AY1065*3,AY1065*3-BC1065,0),IF(BC1065&lt;AY1065,AY1065-BC1065,0)),"")</f>
        <v>0</v>
      </c>
    </row>
    <row r="1066" spans="1:60" ht="12.75" customHeight="1" x14ac:dyDescent="0.2">
      <c r="A1066" s="51">
        <v>772104</v>
      </c>
      <c r="B1066" s="51" t="s">
        <v>1077</v>
      </c>
      <c r="C1066" s="66" t="s">
        <v>1803</v>
      </c>
      <c r="D1066" s="52" t="s">
        <v>728</v>
      </c>
      <c r="E1066" s="65" t="s">
        <v>780</v>
      </c>
      <c r="F1066" s="53">
        <f>IFERROR(VLOOKUP(E1066,Fornecedores!$A$2:$B$2700,2,FALSE),"")</f>
        <v>2</v>
      </c>
      <c r="G1066" s="52" t="s">
        <v>539</v>
      </c>
      <c r="H1066" s="57"/>
      <c r="I1066" s="55">
        <f t="shared" si="363"/>
        <v>0</v>
      </c>
      <c r="J1066" s="55">
        <v>0</v>
      </c>
      <c r="K1066" s="55">
        <v>0</v>
      </c>
      <c r="L1066" s="55">
        <v>0</v>
      </c>
      <c r="M1066" s="55">
        <v>0</v>
      </c>
      <c r="N1066" s="55">
        <f t="shared" si="364"/>
        <v>0</v>
      </c>
      <c r="O1066" s="55">
        <v>0</v>
      </c>
      <c r="P1066" s="55">
        <v>0</v>
      </c>
      <c r="Q1066" s="55">
        <v>0</v>
      </c>
      <c r="R1066" s="55">
        <f t="shared" si="365"/>
        <v>0</v>
      </c>
      <c r="S1066" s="55">
        <v>0</v>
      </c>
      <c r="T1066" s="55">
        <v>0</v>
      </c>
      <c r="U1066" s="55">
        <v>0</v>
      </c>
      <c r="V1066" s="55">
        <v>0</v>
      </c>
      <c r="W1066" s="53">
        <v>0</v>
      </c>
      <c r="X1066" s="53">
        <v>0</v>
      </c>
      <c r="Y1066" s="55">
        <v>0</v>
      </c>
      <c r="Z1066" s="55">
        <v>0</v>
      </c>
      <c r="AA1066" s="53">
        <v>0</v>
      </c>
      <c r="AB1066" s="53">
        <v>0</v>
      </c>
      <c r="AC1066" s="55">
        <v>0</v>
      </c>
      <c r="AD1066" s="55">
        <f t="shared" si="371"/>
        <v>0</v>
      </c>
      <c r="AE1066" s="53">
        <v>0</v>
      </c>
      <c r="AF1066" s="55">
        <v>0</v>
      </c>
      <c r="AG1066" s="55">
        <v>0</v>
      </c>
      <c r="AH1066" s="55">
        <f t="shared" si="367"/>
        <v>0</v>
      </c>
      <c r="AI1066" s="55">
        <v>0</v>
      </c>
      <c r="AJ1066" s="55">
        <v>0</v>
      </c>
      <c r="AK1066" s="55">
        <v>0</v>
      </c>
      <c r="AL1066" s="55">
        <f t="shared" si="368"/>
        <v>0</v>
      </c>
      <c r="AM1066" s="55" t="s">
        <v>1912</v>
      </c>
      <c r="AN1066" s="55">
        <v>0</v>
      </c>
      <c r="AO1066" s="55">
        <v>0</v>
      </c>
      <c r="AP1066" s="55">
        <f t="shared" si="361"/>
        <v>0</v>
      </c>
      <c r="AQ1066" s="55">
        <f>IFERROR(VLOOKUP(A1066,[1]SIIMPLES!$A$2:$F$418,6,FALSE),0)</f>
        <v>0</v>
      </c>
      <c r="AR1066" s="55">
        <v>0</v>
      </c>
      <c r="AS1066" s="55">
        <v>0</v>
      </c>
      <c r="AT1066" s="55">
        <v>0</v>
      </c>
      <c r="AU1066" s="55">
        <v>0</v>
      </c>
      <c r="AV1066" s="55">
        <v>0</v>
      </c>
      <c r="AW1066" s="55"/>
      <c r="AX1066" s="55"/>
      <c r="AY1066" s="56">
        <f t="shared" si="362"/>
        <v>0</v>
      </c>
      <c r="AZ1066" s="55"/>
      <c r="BA1066" s="56">
        <v>0</v>
      </c>
      <c r="BB1066" s="41" t="str">
        <f t="shared" si="369"/>
        <v/>
      </c>
      <c r="BC1066" s="13"/>
      <c r="BD1066" s="35"/>
      <c r="BE1066" s="7"/>
      <c r="BF1066" s="16"/>
      <c r="BG1066" s="17" t="str">
        <f t="shared" si="366"/>
        <v>0</v>
      </c>
      <c r="BH1066" s="16">
        <f>IFERROR(IF(F1066=1,IF(BC1066&lt;AY1066*3,AY1066*3-BC1066,0),IF(BC1066&lt;AY1066,AY1066-BC1066,0)),"")</f>
        <v>0</v>
      </c>
    </row>
    <row r="1067" spans="1:60" ht="12.75" customHeight="1" x14ac:dyDescent="0.2">
      <c r="A1067" s="51">
        <v>772105</v>
      </c>
      <c r="B1067" s="51" t="s">
        <v>1077</v>
      </c>
      <c r="C1067" s="66" t="s">
        <v>1803</v>
      </c>
      <c r="D1067" s="52" t="s">
        <v>728</v>
      </c>
      <c r="E1067" s="65" t="s">
        <v>780</v>
      </c>
      <c r="F1067" s="53">
        <f>IFERROR(VLOOKUP(E1067,Fornecedores!$A$2:$B$2700,2,FALSE),"")</f>
        <v>2</v>
      </c>
      <c r="G1067" s="52" t="s">
        <v>57</v>
      </c>
      <c r="H1067" s="57"/>
      <c r="I1067" s="55">
        <f t="shared" si="363"/>
        <v>0</v>
      </c>
      <c r="J1067" s="55">
        <v>0</v>
      </c>
      <c r="K1067" s="55">
        <v>0</v>
      </c>
      <c r="L1067" s="55">
        <v>0</v>
      </c>
      <c r="M1067" s="55">
        <v>0</v>
      </c>
      <c r="N1067" s="55">
        <f t="shared" si="364"/>
        <v>0</v>
      </c>
      <c r="O1067" s="55">
        <v>0</v>
      </c>
      <c r="P1067" s="55">
        <v>0</v>
      </c>
      <c r="Q1067" s="55">
        <v>0</v>
      </c>
      <c r="R1067" s="55">
        <f t="shared" si="365"/>
        <v>0</v>
      </c>
      <c r="S1067" s="55">
        <v>0</v>
      </c>
      <c r="T1067" s="55">
        <v>0</v>
      </c>
      <c r="U1067" s="55">
        <v>0</v>
      </c>
      <c r="V1067" s="55">
        <v>0</v>
      </c>
      <c r="W1067" s="53">
        <v>0</v>
      </c>
      <c r="X1067" s="53">
        <v>0</v>
      </c>
      <c r="Y1067" s="55">
        <v>0</v>
      </c>
      <c r="Z1067" s="55">
        <v>0</v>
      </c>
      <c r="AA1067" s="53">
        <v>0</v>
      </c>
      <c r="AB1067" s="53">
        <v>0</v>
      </c>
      <c r="AC1067" s="55">
        <v>0</v>
      </c>
      <c r="AD1067" s="55">
        <f t="shared" si="371"/>
        <v>0</v>
      </c>
      <c r="AE1067" s="53">
        <v>0</v>
      </c>
      <c r="AF1067" s="55">
        <v>0</v>
      </c>
      <c r="AG1067" s="55">
        <v>0</v>
      </c>
      <c r="AH1067" s="55">
        <f t="shared" si="367"/>
        <v>0</v>
      </c>
      <c r="AI1067" s="55">
        <v>0</v>
      </c>
      <c r="AJ1067" s="55">
        <v>0</v>
      </c>
      <c r="AK1067" s="55">
        <v>0</v>
      </c>
      <c r="AL1067" s="55">
        <f t="shared" si="368"/>
        <v>0</v>
      </c>
      <c r="AM1067" s="55" t="s">
        <v>1912</v>
      </c>
      <c r="AN1067" s="55">
        <v>0</v>
      </c>
      <c r="AO1067" s="55">
        <v>0</v>
      </c>
      <c r="AP1067" s="55">
        <f t="shared" si="361"/>
        <v>0</v>
      </c>
      <c r="AQ1067" s="55">
        <f>IFERROR(VLOOKUP(A1067,[1]SIIMPLES!$A$2:$F$418,6,FALSE),0)</f>
        <v>0</v>
      </c>
      <c r="AR1067" s="55">
        <v>0</v>
      </c>
      <c r="AS1067" s="55">
        <v>0</v>
      </c>
      <c r="AT1067" s="55">
        <v>0</v>
      </c>
      <c r="AU1067" s="55">
        <v>0</v>
      </c>
      <c r="AV1067" s="55">
        <v>0</v>
      </c>
      <c r="AW1067" s="55"/>
      <c r="AX1067" s="55"/>
      <c r="AY1067" s="56">
        <f t="shared" si="362"/>
        <v>0</v>
      </c>
      <c r="AZ1067" s="55"/>
      <c r="BA1067" s="56">
        <v>0</v>
      </c>
      <c r="BB1067" s="41" t="str">
        <f t="shared" si="369"/>
        <v/>
      </c>
      <c r="BC1067" s="13"/>
      <c r="BD1067" s="35"/>
      <c r="BE1067" s="13"/>
      <c r="BF1067" s="16"/>
      <c r="BG1067" s="17" t="str">
        <f t="shared" si="366"/>
        <v>0</v>
      </c>
      <c r="BH1067" s="16">
        <f>IFERROR(IF(F1067=1,IF(BC1067&lt;AY1067*3,AY1067*3-BC1067,0),IF(BC1067&lt;AY1067,AY1067-BC1067,0)),"")</f>
        <v>0</v>
      </c>
    </row>
    <row r="1068" spans="1:60" ht="12.75" customHeight="1" x14ac:dyDescent="0.2">
      <c r="A1068" s="51">
        <v>772108</v>
      </c>
      <c r="B1068" s="51" t="s">
        <v>1086</v>
      </c>
      <c r="C1068" s="66" t="s">
        <v>1803</v>
      </c>
      <c r="D1068" s="52" t="s">
        <v>728</v>
      </c>
      <c r="E1068" s="65" t="s">
        <v>780</v>
      </c>
      <c r="F1068" s="53">
        <f>IFERROR(VLOOKUP(E1068,Fornecedores!$A$2:$B$2700,2,FALSE),"")</f>
        <v>2</v>
      </c>
      <c r="G1068" s="52">
        <f>VLOOKUP(A1068,[2]CMV!$A$1:$F$2043,6,FALSE)</f>
        <v>0</v>
      </c>
      <c r="H1068" s="57"/>
      <c r="I1068" s="55">
        <f t="shared" si="363"/>
        <v>0</v>
      </c>
      <c r="J1068" s="55">
        <v>0</v>
      </c>
      <c r="K1068" s="55">
        <v>0</v>
      </c>
      <c r="L1068" s="55">
        <v>0</v>
      </c>
      <c r="M1068" s="55">
        <v>0</v>
      </c>
      <c r="N1068" s="55">
        <f t="shared" si="364"/>
        <v>0</v>
      </c>
      <c r="O1068" s="55">
        <v>0</v>
      </c>
      <c r="P1068" s="55">
        <v>0</v>
      </c>
      <c r="Q1068" s="55">
        <v>0</v>
      </c>
      <c r="R1068" s="55">
        <f t="shared" si="365"/>
        <v>0</v>
      </c>
      <c r="S1068" s="55">
        <v>0</v>
      </c>
      <c r="T1068" s="55">
        <v>0</v>
      </c>
      <c r="U1068" s="55">
        <v>0</v>
      </c>
      <c r="V1068" s="55">
        <v>0</v>
      </c>
      <c r="W1068" s="53">
        <v>0</v>
      </c>
      <c r="X1068" s="53">
        <v>0</v>
      </c>
      <c r="Y1068" s="55">
        <v>0</v>
      </c>
      <c r="Z1068" s="55">
        <v>0</v>
      </c>
      <c r="AA1068" s="53">
        <v>0</v>
      </c>
      <c r="AB1068" s="53">
        <v>0</v>
      </c>
      <c r="AC1068" s="55">
        <v>0</v>
      </c>
      <c r="AD1068" s="55">
        <f t="shared" si="371"/>
        <v>0</v>
      </c>
      <c r="AE1068" s="53">
        <v>0</v>
      </c>
      <c r="AF1068" s="55">
        <v>0</v>
      </c>
      <c r="AG1068" s="55">
        <v>0</v>
      </c>
      <c r="AH1068" s="55">
        <f t="shared" si="367"/>
        <v>0</v>
      </c>
      <c r="AI1068" s="55">
        <v>0</v>
      </c>
      <c r="AJ1068" s="55">
        <v>0</v>
      </c>
      <c r="AK1068" s="55">
        <v>0</v>
      </c>
      <c r="AL1068" s="55">
        <f t="shared" si="368"/>
        <v>0</v>
      </c>
      <c r="AM1068" s="55" t="s">
        <v>1912</v>
      </c>
      <c r="AN1068" s="55">
        <v>0</v>
      </c>
      <c r="AO1068" s="55">
        <v>0</v>
      </c>
      <c r="AP1068" s="55">
        <f t="shared" si="361"/>
        <v>0</v>
      </c>
      <c r="AQ1068" s="55">
        <f>IFERROR(VLOOKUP(A1068,[1]SIIMPLES!$A$2:$F$418,6,FALSE),0)</f>
        <v>0</v>
      </c>
      <c r="AR1068" s="55">
        <v>0</v>
      </c>
      <c r="AS1068" s="55">
        <v>0</v>
      </c>
      <c r="AT1068" s="55">
        <v>0</v>
      </c>
      <c r="AU1068" s="55">
        <v>0</v>
      </c>
      <c r="AV1068" s="55">
        <v>0</v>
      </c>
      <c r="AW1068" s="55"/>
      <c r="AX1068" s="55"/>
      <c r="AY1068" s="56">
        <f t="shared" si="362"/>
        <v>0</v>
      </c>
      <c r="AZ1068" s="55"/>
      <c r="BA1068" s="56">
        <v>0</v>
      </c>
      <c r="BB1068" s="41" t="str">
        <f t="shared" si="369"/>
        <v/>
      </c>
      <c r="BC1068" s="13"/>
      <c r="BD1068" s="35"/>
      <c r="BE1068" s="7"/>
      <c r="BF1068" s="16"/>
      <c r="BG1068" s="17" t="str">
        <f t="shared" si="366"/>
        <v>0</v>
      </c>
      <c r="BH1068" s="16">
        <f>IFERROR(IF(F1068=1,IF(BC1068&lt;AY1068*3,AY1068*3-BC1068,0),IF(BC1068&lt;AY1068,AY1068-BC1068,0)),"")</f>
        <v>0</v>
      </c>
    </row>
    <row r="1069" spans="1:60" ht="12.75" customHeight="1" x14ac:dyDescent="0.2">
      <c r="A1069" s="51">
        <v>772109</v>
      </c>
      <c r="B1069" s="51" t="s">
        <v>1086</v>
      </c>
      <c r="C1069" s="66" t="s">
        <v>1803</v>
      </c>
      <c r="D1069" s="52" t="s">
        <v>728</v>
      </c>
      <c r="E1069" s="65" t="s">
        <v>780</v>
      </c>
      <c r="F1069" s="53">
        <f>IFERROR(VLOOKUP(E1069,Fornecedores!$A$2:$B$2700,2,FALSE),"")</f>
        <v>2</v>
      </c>
      <c r="G1069" s="52">
        <f>VLOOKUP(A1069,[2]CMV!$A$1:$F$2043,6,FALSE)</f>
        <v>0</v>
      </c>
      <c r="H1069" s="57"/>
      <c r="I1069" s="55">
        <f t="shared" si="363"/>
        <v>0</v>
      </c>
      <c r="J1069" s="55">
        <v>0</v>
      </c>
      <c r="K1069" s="55">
        <v>0</v>
      </c>
      <c r="L1069" s="55">
        <v>0</v>
      </c>
      <c r="M1069" s="55">
        <v>0</v>
      </c>
      <c r="N1069" s="55">
        <f t="shared" si="364"/>
        <v>0</v>
      </c>
      <c r="O1069" s="55">
        <v>0</v>
      </c>
      <c r="P1069" s="55">
        <v>0</v>
      </c>
      <c r="Q1069" s="55">
        <v>0</v>
      </c>
      <c r="R1069" s="55">
        <f t="shared" si="365"/>
        <v>0</v>
      </c>
      <c r="S1069" s="55">
        <v>0</v>
      </c>
      <c r="T1069" s="55">
        <v>0</v>
      </c>
      <c r="U1069" s="55">
        <v>0</v>
      </c>
      <c r="V1069" s="55">
        <v>0</v>
      </c>
      <c r="W1069" s="53">
        <v>0</v>
      </c>
      <c r="X1069" s="53">
        <v>0</v>
      </c>
      <c r="Y1069" s="55">
        <v>0</v>
      </c>
      <c r="Z1069" s="55">
        <v>0</v>
      </c>
      <c r="AA1069" s="53">
        <v>0</v>
      </c>
      <c r="AB1069" s="53">
        <v>0</v>
      </c>
      <c r="AC1069" s="55">
        <v>0</v>
      </c>
      <c r="AD1069" s="55">
        <f t="shared" si="371"/>
        <v>0</v>
      </c>
      <c r="AE1069" s="53">
        <v>0</v>
      </c>
      <c r="AF1069" s="55">
        <v>0</v>
      </c>
      <c r="AG1069" s="55">
        <v>0</v>
      </c>
      <c r="AH1069" s="55">
        <f t="shared" si="367"/>
        <v>0</v>
      </c>
      <c r="AI1069" s="55">
        <v>0</v>
      </c>
      <c r="AJ1069" s="55">
        <v>0</v>
      </c>
      <c r="AK1069" s="55">
        <v>0</v>
      </c>
      <c r="AL1069" s="55">
        <f t="shared" si="368"/>
        <v>0</v>
      </c>
      <c r="AM1069" s="55" t="s">
        <v>1912</v>
      </c>
      <c r="AN1069" s="55">
        <v>0</v>
      </c>
      <c r="AO1069" s="55">
        <v>0</v>
      </c>
      <c r="AP1069" s="55">
        <f t="shared" si="361"/>
        <v>0</v>
      </c>
      <c r="AQ1069" s="55">
        <f>IFERROR(VLOOKUP(A1069,[1]SIIMPLES!$A$2:$F$418,6,FALSE),0)</f>
        <v>0</v>
      </c>
      <c r="AR1069" s="55">
        <v>0</v>
      </c>
      <c r="AS1069" s="55">
        <v>1</v>
      </c>
      <c r="AT1069" s="55">
        <v>1</v>
      </c>
      <c r="AU1069" s="55">
        <v>0</v>
      </c>
      <c r="AV1069" s="55">
        <v>0</v>
      </c>
      <c r="AW1069" s="55"/>
      <c r="AX1069" s="55"/>
      <c r="AY1069" s="56">
        <f t="shared" si="362"/>
        <v>0.1</v>
      </c>
      <c r="AZ1069" s="55"/>
      <c r="BA1069" s="56">
        <v>0</v>
      </c>
      <c r="BB1069" s="41" t="str">
        <f t="shared" si="369"/>
        <v/>
      </c>
      <c r="BC1069" s="10"/>
      <c r="BD1069" s="35"/>
      <c r="BE1069" s="7"/>
      <c r="BF1069" s="16"/>
      <c r="BG1069" s="17">
        <f t="shared" si="366"/>
        <v>0</v>
      </c>
      <c r="BH1069" s="16"/>
    </row>
    <row r="1070" spans="1:60" ht="12.75" customHeight="1" x14ac:dyDescent="0.2">
      <c r="A1070" s="51">
        <v>772112</v>
      </c>
      <c r="B1070" s="51" t="s">
        <v>1077</v>
      </c>
      <c r="C1070" s="66" t="s">
        <v>1803</v>
      </c>
      <c r="D1070" s="52" t="s">
        <v>728</v>
      </c>
      <c r="E1070" s="65" t="s">
        <v>780</v>
      </c>
      <c r="F1070" s="53">
        <f>IFERROR(VLOOKUP(E1070,Fornecedores!$A$2:$B$2700,2,FALSE),"")</f>
        <v>2</v>
      </c>
      <c r="G1070" s="52" t="s">
        <v>120</v>
      </c>
      <c r="H1070" s="57"/>
      <c r="I1070" s="55">
        <f t="shared" si="363"/>
        <v>0</v>
      </c>
      <c r="J1070" s="55">
        <v>0</v>
      </c>
      <c r="K1070" s="55">
        <v>0</v>
      </c>
      <c r="L1070" s="55">
        <v>0</v>
      </c>
      <c r="M1070" s="55">
        <v>0</v>
      </c>
      <c r="N1070" s="55">
        <f t="shared" si="364"/>
        <v>0</v>
      </c>
      <c r="O1070" s="55">
        <v>0</v>
      </c>
      <c r="P1070" s="55">
        <v>0</v>
      </c>
      <c r="Q1070" s="55">
        <v>0</v>
      </c>
      <c r="R1070" s="55">
        <f t="shared" si="365"/>
        <v>1</v>
      </c>
      <c r="S1070" s="55">
        <v>1</v>
      </c>
      <c r="T1070" s="55">
        <v>0</v>
      </c>
      <c r="U1070" s="55">
        <v>0</v>
      </c>
      <c r="V1070" s="55">
        <v>0</v>
      </c>
      <c r="W1070" s="53">
        <v>0</v>
      </c>
      <c r="X1070" s="53">
        <v>0</v>
      </c>
      <c r="Y1070" s="55">
        <v>0</v>
      </c>
      <c r="Z1070" s="55">
        <v>0</v>
      </c>
      <c r="AA1070" s="53">
        <v>0</v>
      </c>
      <c r="AB1070" s="53">
        <v>0</v>
      </c>
      <c r="AC1070" s="55">
        <v>0</v>
      </c>
      <c r="AD1070" s="55">
        <f t="shared" si="371"/>
        <v>1</v>
      </c>
      <c r="AE1070" s="53">
        <v>1</v>
      </c>
      <c r="AF1070" s="55">
        <v>0</v>
      </c>
      <c r="AG1070" s="55">
        <v>0</v>
      </c>
      <c r="AH1070" s="55">
        <f t="shared" si="367"/>
        <v>0</v>
      </c>
      <c r="AI1070" s="55">
        <v>0</v>
      </c>
      <c r="AJ1070" s="55">
        <v>0</v>
      </c>
      <c r="AK1070" s="55">
        <v>0</v>
      </c>
      <c r="AL1070" s="55">
        <f t="shared" si="368"/>
        <v>0</v>
      </c>
      <c r="AM1070" s="55" t="s">
        <v>1912</v>
      </c>
      <c r="AN1070" s="55">
        <v>0</v>
      </c>
      <c r="AO1070" s="55">
        <v>0</v>
      </c>
      <c r="AP1070" s="55">
        <f t="shared" si="361"/>
        <v>0</v>
      </c>
      <c r="AQ1070" s="55">
        <f>IFERROR(VLOOKUP(A1070,[1]SIIMPLES!$A$2:$F$418,6,FALSE),0)</f>
        <v>0</v>
      </c>
      <c r="AR1070" s="55">
        <v>0</v>
      </c>
      <c r="AS1070" s="55">
        <v>0</v>
      </c>
      <c r="AT1070" s="55">
        <v>0</v>
      </c>
      <c r="AU1070" s="55">
        <v>0</v>
      </c>
      <c r="AV1070" s="55">
        <v>0</v>
      </c>
      <c r="AW1070" s="55"/>
      <c r="AX1070" s="55"/>
      <c r="AY1070" s="56">
        <f t="shared" si="362"/>
        <v>0.2</v>
      </c>
      <c r="AZ1070" s="55"/>
      <c r="BA1070" s="56">
        <v>0</v>
      </c>
      <c r="BB1070" s="41" t="str">
        <f t="shared" si="369"/>
        <v/>
      </c>
      <c r="BC1070" s="7"/>
      <c r="BD1070" s="35"/>
      <c r="BE1070" s="7"/>
      <c r="BF1070" s="16"/>
      <c r="BG1070" s="17">
        <f t="shared" si="366"/>
        <v>0</v>
      </c>
      <c r="BH1070" s="16">
        <f>IFERROR(IF(F1070=1,IF(BC1070&lt;AY1070*3,AY1070*3-BC1070,0),IF(BC1070&lt;AY1070,AY1070-BC1070,0)),"")</f>
        <v>0.2</v>
      </c>
    </row>
    <row r="1071" spans="1:60" ht="12.75" customHeight="1" x14ac:dyDescent="0.2">
      <c r="A1071" s="51">
        <v>772113</v>
      </c>
      <c r="B1071" s="51" t="s">
        <v>1077</v>
      </c>
      <c r="C1071" s="66" t="s">
        <v>1803</v>
      </c>
      <c r="D1071" s="52" t="s">
        <v>728</v>
      </c>
      <c r="E1071" s="65" t="s">
        <v>780</v>
      </c>
      <c r="F1071" s="53">
        <f>IFERROR(VLOOKUP(E1071,Fornecedores!$A$2:$B$2700,2,FALSE),"")</f>
        <v>2</v>
      </c>
      <c r="G1071" s="52" t="s">
        <v>541</v>
      </c>
      <c r="H1071" s="57"/>
      <c r="I1071" s="55">
        <f t="shared" si="363"/>
        <v>0</v>
      </c>
      <c r="J1071" s="55">
        <v>0</v>
      </c>
      <c r="K1071" s="55">
        <v>0</v>
      </c>
      <c r="L1071" s="55">
        <v>0</v>
      </c>
      <c r="M1071" s="55">
        <v>0</v>
      </c>
      <c r="N1071" s="55">
        <f t="shared" si="364"/>
        <v>0</v>
      </c>
      <c r="O1071" s="55">
        <v>0</v>
      </c>
      <c r="P1071" s="55">
        <v>0</v>
      </c>
      <c r="Q1071" s="55">
        <v>0</v>
      </c>
      <c r="R1071" s="55">
        <f t="shared" si="365"/>
        <v>0</v>
      </c>
      <c r="S1071" s="55">
        <v>0</v>
      </c>
      <c r="T1071" s="55">
        <v>0</v>
      </c>
      <c r="U1071" s="55">
        <v>0</v>
      </c>
      <c r="V1071" s="55">
        <v>0</v>
      </c>
      <c r="W1071" s="53">
        <v>0</v>
      </c>
      <c r="X1071" s="53">
        <v>0</v>
      </c>
      <c r="Y1071" s="55">
        <v>0</v>
      </c>
      <c r="Z1071" s="55">
        <v>0</v>
      </c>
      <c r="AA1071" s="53">
        <v>0</v>
      </c>
      <c r="AB1071" s="53">
        <v>0</v>
      </c>
      <c r="AC1071" s="55">
        <v>0</v>
      </c>
      <c r="AD1071" s="55">
        <f t="shared" si="371"/>
        <v>0</v>
      </c>
      <c r="AE1071" s="53">
        <v>0</v>
      </c>
      <c r="AF1071" s="55">
        <v>0</v>
      </c>
      <c r="AG1071" s="55">
        <v>0</v>
      </c>
      <c r="AH1071" s="55">
        <f t="shared" si="367"/>
        <v>0</v>
      </c>
      <c r="AI1071" s="55">
        <v>0</v>
      </c>
      <c r="AJ1071" s="55">
        <v>0</v>
      </c>
      <c r="AK1071" s="55">
        <v>0</v>
      </c>
      <c r="AL1071" s="55">
        <f t="shared" si="368"/>
        <v>0</v>
      </c>
      <c r="AM1071" s="55" t="s">
        <v>1912</v>
      </c>
      <c r="AN1071" s="55">
        <v>0</v>
      </c>
      <c r="AO1071" s="55">
        <v>0</v>
      </c>
      <c r="AP1071" s="55">
        <f t="shared" si="361"/>
        <v>0</v>
      </c>
      <c r="AQ1071" s="55">
        <f>IFERROR(VLOOKUP(A1071,[1]SIIMPLES!$A$2:$F$418,6,FALSE),0)</f>
        <v>0</v>
      </c>
      <c r="AR1071" s="55">
        <v>0</v>
      </c>
      <c r="AS1071" s="55">
        <v>0</v>
      </c>
      <c r="AT1071" s="55">
        <v>0</v>
      </c>
      <c r="AU1071" s="55">
        <v>0</v>
      </c>
      <c r="AV1071" s="55">
        <v>0</v>
      </c>
      <c r="AW1071" s="55"/>
      <c r="AX1071" s="55"/>
      <c r="AY1071" s="56">
        <f t="shared" si="362"/>
        <v>0</v>
      </c>
      <c r="AZ1071" s="55"/>
      <c r="BA1071" s="56">
        <v>0</v>
      </c>
      <c r="BB1071" s="41" t="str">
        <f t="shared" si="369"/>
        <v/>
      </c>
      <c r="BC1071" s="13"/>
      <c r="BD1071" s="35"/>
      <c r="BE1071" s="7"/>
      <c r="BF1071" s="16"/>
      <c r="BG1071" s="17" t="str">
        <f t="shared" ref="BG1071:BG1102" si="372">IFERROR(BC1071/AY1071,"0")</f>
        <v>0</v>
      </c>
      <c r="BH1071" s="16"/>
    </row>
    <row r="1072" spans="1:60" ht="12.75" customHeight="1" x14ac:dyDescent="0.2">
      <c r="A1072" s="51">
        <v>772129</v>
      </c>
      <c r="B1072" s="51" t="s">
        <v>1077</v>
      </c>
      <c r="C1072" s="66" t="s">
        <v>1803</v>
      </c>
      <c r="D1072" s="52" t="s">
        <v>728</v>
      </c>
      <c r="E1072" s="65" t="s">
        <v>780</v>
      </c>
      <c r="F1072" s="53">
        <f>IFERROR(VLOOKUP(E1072,Fornecedores!$A$2:$B$2700,2,FALSE),"")</f>
        <v>2</v>
      </c>
      <c r="G1072" s="52" t="s">
        <v>62</v>
      </c>
      <c r="H1072" s="57"/>
      <c r="I1072" s="55">
        <f t="shared" si="363"/>
        <v>0</v>
      </c>
      <c r="J1072" s="55">
        <v>0</v>
      </c>
      <c r="K1072" s="55">
        <v>0</v>
      </c>
      <c r="L1072" s="55">
        <v>0</v>
      </c>
      <c r="M1072" s="55">
        <v>0</v>
      </c>
      <c r="N1072" s="55">
        <f t="shared" si="364"/>
        <v>0</v>
      </c>
      <c r="O1072" s="55">
        <v>0</v>
      </c>
      <c r="P1072" s="55">
        <v>0</v>
      </c>
      <c r="Q1072" s="55">
        <v>0</v>
      </c>
      <c r="R1072" s="55">
        <f t="shared" si="365"/>
        <v>0</v>
      </c>
      <c r="S1072" s="55">
        <v>0</v>
      </c>
      <c r="T1072" s="55">
        <v>0</v>
      </c>
      <c r="U1072" s="55">
        <v>0</v>
      </c>
      <c r="V1072" s="55">
        <v>0</v>
      </c>
      <c r="W1072" s="53">
        <v>0</v>
      </c>
      <c r="X1072" s="53">
        <v>0</v>
      </c>
      <c r="Y1072" s="55">
        <v>0</v>
      </c>
      <c r="Z1072" s="55">
        <v>1</v>
      </c>
      <c r="AA1072" s="53">
        <v>1</v>
      </c>
      <c r="AB1072" s="53">
        <v>0</v>
      </c>
      <c r="AC1072" s="55">
        <v>0</v>
      </c>
      <c r="AD1072" s="55">
        <f t="shared" si="371"/>
        <v>0</v>
      </c>
      <c r="AE1072" s="53">
        <v>0</v>
      </c>
      <c r="AF1072" s="55">
        <v>0</v>
      </c>
      <c r="AG1072" s="55">
        <v>0</v>
      </c>
      <c r="AH1072" s="55">
        <f t="shared" si="367"/>
        <v>0</v>
      </c>
      <c r="AI1072" s="55">
        <v>0</v>
      </c>
      <c r="AJ1072" s="55">
        <v>0</v>
      </c>
      <c r="AK1072" s="55">
        <v>0</v>
      </c>
      <c r="AL1072" s="55">
        <f t="shared" si="368"/>
        <v>0</v>
      </c>
      <c r="AM1072" s="55" t="s">
        <v>1912</v>
      </c>
      <c r="AN1072" s="55">
        <v>0</v>
      </c>
      <c r="AO1072" s="55">
        <v>0</v>
      </c>
      <c r="AP1072" s="55">
        <f t="shared" si="361"/>
        <v>0</v>
      </c>
      <c r="AQ1072" s="55">
        <f>IFERROR(VLOOKUP(A1072,[1]SIIMPLES!$A$2:$F$418,6,FALSE),0)</f>
        <v>0</v>
      </c>
      <c r="AR1072" s="55">
        <v>0</v>
      </c>
      <c r="AS1072" s="55">
        <v>0</v>
      </c>
      <c r="AT1072" s="55">
        <v>0</v>
      </c>
      <c r="AU1072" s="55">
        <v>0</v>
      </c>
      <c r="AV1072" s="55">
        <v>0</v>
      </c>
      <c r="AW1072" s="55"/>
      <c r="AX1072" s="55"/>
      <c r="AY1072" s="56">
        <f t="shared" si="362"/>
        <v>0.1</v>
      </c>
      <c r="AZ1072" s="55"/>
      <c r="BA1072" s="56">
        <v>0</v>
      </c>
      <c r="BB1072" s="41" t="str">
        <f t="shared" si="369"/>
        <v/>
      </c>
      <c r="BC1072" s="13"/>
      <c r="BD1072" s="35"/>
      <c r="BE1072" s="7"/>
      <c r="BF1072" s="16"/>
      <c r="BG1072" s="17">
        <f t="shared" si="372"/>
        <v>0</v>
      </c>
      <c r="BH1072" s="16">
        <f>IFERROR(IF(F1072=1,IF(BC1072&lt;AY1072*3,AY1072*3-BC1072,0),IF(BC1072&lt;AY1072,AY1072-BC1072,0)),"")</f>
        <v>0.1</v>
      </c>
    </row>
    <row r="1073" spans="1:60" ht="12.75" customHeight="1" x14ac:dyDescent="0.2">
      <c r="A1073" s="51">
        <v>772136</v>
      </c>
      <c r="B1073" s="51" t="s">
        <v>1086</v>
      </c>
      <c r="C1073" s="66" t="s">
        <v>1803</v>
      </c>
      <c r="D1073" s="52" t="s">
        <v>728</v>
      </c>
      <c r="E1073" s="65" t="s">
        <v>780</v>
      </c>
      <c r="F1073" s="53">
        <f>IFERROR(VLOOKUP(E1073,Fornecedores!$A$2:$B$2700,2,FALSE),"")</f>
        <v>2</v>
      </c>
      <c r="G1073" s="52">
        <f>VLOOKUP(A1073,[2]CMV!$A$1:$F$2043,6,FALSE)</f>
        <v>0</v>
      </c>
      <c r="H1073" s="57"/>
      <c r="I1073" s="55">
        <f t="shared" si="363"/>
        <v>0</v>
      </c>
      <c r="J1073" s="55">
        <v>0</v>
      </c>
      <c r="K1073" s="55">
        <v>0</v>
      </c>
      <c r="L1073" s="55">
        <v>0</v>
      </c>
      <c r="M1073" s="55">
        <v>0</v>
      </c>
      <c r="N1073" s="55">
        <f t="shared" si="364"/>
        <v>0</v>
      </c>
      <c r="O1073" s="55">
        <v>0</v>
      </c>
      <c r="P1073" s="55">
        <v>0</v>
      </c>
      <c r="Q1073" s="55">
        <v>0</v>
      </c>
      <c r="R1073" s="55">
        <f t="shared" si="365"/>
        <v>0</v>
      </c>
      <c r="S1073" s="55">
        <v>0</v>
      </c>
      <c r="T1073" s="55">
        <v>0</v>
      </c>
      <c r="U1073" s="55">
        <v>0</v>
      </c>
      <c r="V1073" s="55">
        <v>0</v>
      </c>
      <c r="W1073" s="53">
        <v>0</v>
      </c>
      <c r="X1073" s="53">
        <v>0</v>
      </c>
      <c r="Y1073" s="55">
        <v>0</v>
      </c>
      <c r="Z1073" s="55">
        <v>0</v>
      </c>
      <c r="AA1073" s="53">
        <v>0</v>
      </c>
      <c r="AB1073" s="53">
        <v>0</v>
      </c>
      <c r="AC1073" s="55">
        <v>0</v>
      </c>
      <c r="AD1073" s="55">
        <f t="shared" si="371"/>
        <v>0</v>
      </c>
      <c r="AE1073" s="53">
        <v>0</v>
      </c>
      <c r="AF1073" s="55">
        <v>0</v>
      </c>
      <c r="AG1073" s="55">
        <v>0</v>
      </c>
      <c r="AH1073" s="55">
        <f t="shared" si="367"/>
        <v>0</v>
      </c>
      <c r="AI1073" s="55">
        <v>0</v>
      </c>
      <c r="AJ1073" s="55">
        <v>0</v>
      </c>
      <c r="AK1073" s="55">
        <v>0</v>
      </c>
      <c r="AL1073" s="55">
        <f t="shared" si="368"/>
        <v>0</v>
      </c>
      <c r="AM1073" s="55" t="s">
        <v>1912</v>
      </c>
      <c r="AN1073" s="55">
        <v>0</v>
      </c>
      <c r="AO1073" s="55">
        <v>0</v>
      </c>
      <c r="AP1073" s="55">
        <f t="shared" si="361"/>
        <v>0</v>
      </c>
      <c r="AQ1073" s="55">
        <f>IFERROR(VLOOKUP(A1073,[1]SIIMPLES!$A$2:$F$418,6,FALSE),0)</f>
        <v>0</v>
      </c>
      <c r="AR1073" s="55">
        <v>0</v>
      </c>
      <c r="AS1073" s="55">
        <v>0</v>
      </c>
      <c r="AT1073" s="55">
        <v>0</v>
      </c>
      <c r="AU1073" s="55">
        <v>0</v>
      </c>
      <c r="AV1073" s="55">
        <v>0</v>
      </c>
      <c r="AW1073" s="55"/>
      <c r="AX1073" s="55"/>
      <c r="AY1073" s="56">
        <f t="shared" si="362"/>
        <v>0</v>
      </c>
      <c r="AZ1073" s="55"/>
      <c r="BA1073" s="56">
        <v>0</v>
      </c>
      <c r="BB1073" s="41" t="str">
        <f t="shared" si="369"/>
        <v/>
      </c>
      <c r="BC1073" s="13"/>
      <c r="BD1073" s="35"/>
      <c r="BE1073" s="7"/>
      <c r="BF1073" s="16"/>
      <c r="BG1073" s="17" t="str">
        <f t="shared" si="372"/>
        <v>0</v>
      </c>
      <c r="BH1073" s="16">
        <f>IFERROR(IF(F1073=1,IF(BC1073&lt;AY1073*3,AY1073*3-BC1073,0),IF(BC1073&lt;AY1073,AY1073-BC1073,0)),"")</f>
        <v>0</v>
      </c>
    </row>
    <row r="1074" spans="1:60" ht="12.75" customHeight="1" x14ac:dyDescent="0.2">
      <c r="A1074" s="51">
        <v>772137</v>
      </c>
      <c r="B1074" s="51" t="s">
        <v>1086</v>
      </c>
      <c r="C1074" s="66" t="s">
        <v>1803</v>
      </c>
      <c r="D1074" s="52" t="s">
        <v>728</v>
      </c>
      <c r="E1074" s="65" t="s">
        <v>780</v>
      </c>
      <c r="F1074" s="53">
        <f>IFERROR(VLOOKUP(E1074,Fornecedores!$A$2:$B$2700,2,FALSE),"")</f>
        <v>2</v>
      </c>
      <c r="G1074" s="52">
        <f>VLOOKUP(A1074,[2]CMV!$A$1:$F$2043,6,FALSE)</f>
        <v>0</v>
      </c>
      <c r="H1074" s="57"/>
      <c r="I1074" s="55">
        <f t="shared" si="363"/>
        <v>0</v>
      </c>
      <c r="J1074" s="55">
        <v>0</v>
      </c>
      <c r="K1074" s="55">
        <v>0</v>
      </c>
      <c r="L1074" s="55">
        <v>0</v>
      </c>
      <c r="M1074" s="55">
        <v>0</v>
      </c>
      <c r="N1074" s="55">
        <f t="shared" si="364"/>
        <v>0</v>
      </c>
      <c r="O1074" s="55">
        <v>0</v>
      </c>
      <c r="P1074" s="55">
        <v>0</v>
      </c>
      <c r="Q1074" s="55">
        <v>0</v>
      </c>
      <c r="R1074" s="55">
        <f t="shared" si="365"/>
        <v>0</v>
      </c>
      <c r="S1074" s="55">
        <v>0</v>
      </c>
      <c r="T1074" s="55">
        <v>0</v>
      </c>
      <c r="U1074" s="55">
        <v>0</v>
      </c>
      <c r="V1074" s="55">
        <v>0</v>
      </c>
      <c r="W1074" s="53">
        <v>0</v>
      </c>
      <c r="X1074" s="53">
        <v>0</v>
      </c>
      <c r="Y1074" s="55">
        <v>0</v>
      </c>
      <c r="Z1074" s="55">
        <v>0</v>
      </c>
      <c r="AA1074" s="53">
        <v>0</v>
      </c>
      <c r="AB1074" s="53">
        <v>0</v>
      </c>
      <c r="AC1074" s="55">
        <v>0</v>
      </c>
      <c r="AD1074" s="55">
        <f t="shared" si="371"/>
        <v>0</v>
      </c>
      <c r="AE1074" s="53">
        <v>0</v>
      </c>
      <c r="AF1074" s="55">
        <v>0</v>
      </c>
      <c r="AG1074" s="55">
        <v>0</v>
      </c>
      <c r="AH1074" s="55">
        <f t="shared" si="367"/>
        <v>0</v>
      </c>
      <c r="AI1074" s="55">
        <v>0</v>
      </c>
      <c r="AJ1074" s="55">
        <v>0</v>
      </c>
      <c r="AK1074" s="55">
        <v>0</v>
      </c>
      <c r="AL1074" s="55">
        <f t="shared" si="368"/>
        <v>0</v>
      </c>
      <c r="AM1074" s="55" t="s">
        <v>1912</v>
      </c>
      <c r="AN1074" s="55">
        <v>0</v>
      </c>
      <c r="AO1074" s="55">
        <v>0</v>
      </c>
      <c r="AP1074" s="55">
        <f t="shared" si="361"/>
        <v>0</v>
      </c>
      <c r="AQ1074" s="55">
        <f>IFERROR(VLOOKUP(A1074,[1]SIIMPLES!$A$2:$F$418,6,FALSE),0)</f>
        <v>0</v>
      </c>
      <c r="AR1074" s="55">
        <v>0</v>
      </c>
      <c r="AS1074" s="55">
        <v>0</v>
      </c>
      <c r="AT1074" s="55">
        <v>0</v>
      </c>
      <c r="AU1074" s="55">
        <v>0</v>
      </c>
      <c r="AV1074" s="55">
        <v>0</v>
      </c>
      <c r="AW1074" s="55"/>
      <c r="AX1074" s="55"/>
      <c r="AY1074" s="56">
        <f t="shared" si="362"/>
        <v>0</v>
      </c>
      <c r="AZ1074" s="55"/>
      <c r="BA1074" s="56">
        <v>0</v>
      </c>
      <c r="BB1074" s="41" t="str">
        <f t="shared" si="369"/>
        <v/>
      </c>
      <c r="BC1074" s="13"/>
      <c r="BD1074" s="35"/>
      <c r="BE1074" s="7"/>
      <c r="BF1074" s="16"/>
      <c r="BG1074" s="17" t="str">
        <f t="shared" si="372"/>
        <v>0</v>
      </c>
      <c r="BH1074" s="16">
        <f>IFERROR(IF(F1074=1,IF(BC1074&lt;AY1074*3,AY1074*3-BC1074,0),IF(BC1074&lt;AY1074,AY1074-BC1074,0)),"")</f>
        <v>0</v>
      </c>
    </row>
    <row r="1075" spans="1:60" ht="12.75" customHeight="1" x14ac:dyDescent="0.2">
      <c r="A1075" s="51">
        <v>772142</v>
      </c>
      <c r="B1075" s="51" t="s">
        <v>1086</v>
      </c>
      <c r="C1075" s="66" t="s">
        <v>1803</v>
      </c>
      <c r="D1075" s="52" t="s">
        <v>728</v>
      </c>
      <c r="E1075" s="65" t="s">
        <v>780</v>
      </c>
      <c r="F1075" s="53">
        <f>IFERROR(VLOOKUP(E1075,Fornecedores!$A$2:$B$2700,2,FALSE),"")</f>
        <v>2</v>
      </c>
      <c r="G1075" s="52">
        <f>VLOOKUP(A1075,[2]CMV!$A$1:$F$2043,6,FALSE)</f>
        <v>0</v>
      </c>
      <c r="H1075" s="57"/>
      <c r="I1075" s="55">
        <f t="shared" si="363"/>
        <v>0</v>
      </c>
      <c r="J1075" s="55">
        <v>0</v>
      </c>
      <c r="K1075" s="55">
        <v>0</v>
      </c>
      <c r="L1075" s="55">
        <v>0</v>
      </c>
      <c r="M1075" s="55">
        <v>0</v>
      </c>
      <c r="N1075" s="55">
        <f t="shared" si="364"/>
        <v>0</v>
      </c>
      <c r="O1075" s="55">
        <v>0</v>
      </c>
      <c r="P1075" s="55">
        <v>0</v>
      </c>
      <c r="Q1075" s="55">
        <v>0</v>
      </c>
      <c r="R1075" s="55">
        <f t="shared" si="365"/>
        <v>0</v>
      </c>
      <c r="S1075" s="55">
        <v>0</v>
      </c>
      <c r="T1075" s="55">
        <v>0</v>
      </c>
      <c r="U1075" s="55">
        <v>0</v>
      </c>
      <c r="V1075" s="55">
        <v>0</v>
      </c>
      <c r="W1075" s="53">
        <v>0</v>
      </c>
      <c r="X1075" s="53">
        <v>0</v>
      </c>
      <c r="Y1075" s="55">
        <v>0</v>
      </c>
      <c r="Z1075" s="55">
        <v>0</v>
      </c>
      <c r="AA1075" s="53">
        <v>0</v>
      </c>
      <c r="AB1075" s="53">
        <v>0</v>
      </c>
      <c r="AC1075" s="55">
        <v>0</v>
      </c>
      <c r="AD1075" s="55">
        <f t="shared" si="371"/>
        <v>0</v>
      </c>
      <c r="AE1075" s="53">
        <v>0</v>
      </c>
      <c r="AF1075" s="55">
        <v>0</v>
      </c>
      <c r="AG1075" s="55">
        <v>0</v>
      </c>
      <c r="AH1075" s="55">
        <f t="shared" si="367"/>
        <v>0</v>
      </c>
      <c r="AI1075" s="55">
        <v>0</v>
      </c>
      <c r="AJ1075" s="55">
        <v>0</v>
      </c>
      <c r="AK1075" s="55">
        <v>0</v>
      </c>
      <c r="AL1075" s="55">
        <f t="shared" si="368"/>
        <v>0</v>
      </c>
      <c r="AM1075" s="55" t="s">
        <v>1912</v>
      </c>
      <c r="AN1075" s="55">
        <v>0</v>
      </c>
      <c r="AO1075" s="55">
        <v>0</v>
      </c>
      <c r="AP1075" s="55">
        <f t="shared" si="361"/>
        <v>0</v>
      </c>
      <c r="AQ1075" s="55">
        <f>IFERROR(VLOOKUP(A1075,[1]SIIMPLES!$A$2:$F$418,6,FALSE),0)</f>
        <v>0</v>
      </c>
      <c r="AR1075" s="55">
        <v>0</v>
      </c>
      <c r="AS1075" s="55">
        <v>0</v>
      </c>
      <c r="AT1075" s="55">
        <v>0</v>
      </c>
      <c r="AU1075" s="55">
        <v>0</v>
      </c>
      <c r="AV1075" s="55">
        <v>0</v>
      </c>
      <c r="AW1075" s="55"/>
      <c r="AX1075" s="55"/>
      <c r="AY1075" s="56">
        <f t="shared" si="362"/>
        <v>0</v>
      </c>
      <c r="AZ1075" s="55"/>
      <c r="BA1075" s="56">
        <v>0</v>
      </c>
      <c r="BB1075" s="41" t="str">
        <f t="shared" si="369"/>
        <v/>
      </c>
      <c r="BC1075" s="13"/>
      <c r="BD1075" s="35"/>
      <c r="BE1075" s="13"/>
      <c r="BF1075" s="16"/>
      <c r="BG1075" s="17" t="str">
        <f t="shared" si="372"/>
        <v>0</v>
      </c>
      <c r="BH1075" s="16"/>
    </row>
    <row r="1076" spans="1:60" ht="12.75" customHeight="1" x14ac:dyDescent="0.2">
      <c r="A1076" s="51">
        <v>772143</v>
      </c>
      <c r="B1076" s="51" t="s">
        <v>1086</v>
      </c>
      <c r="C1076" s="66" t="s">
        <v>1803</v>
      </c>
      <c r="D1076" s="52" t="s">
        <v>728</v>
      </c>
      <c r="E1076" s="65" t="s">
        <v>780</v>
      </c>
      <c r="F1076" s="53">
        <f>IFERROR(VLOOKUP(E1076,Fornecedores!$A$2:$B$2700,2,FALSE),"")</f>
        <v>2</v>
      </c>
      <c r="G1076" s="52">
        <f>VLOOKUP(A1076,[2]CMV!$A$1:$F$2043,6,FALSE)</f>
        <v>0</v>
      </c>
      <c r="H1076" s="57"/>
      <c r="I1076" s="55">
        <f t="shared" si="363"/>
        <v>0</v>
      </c>
      <c r="J1076" s="55">
        <v>0</v>
      </c>
      <c r="K1076" s="55">
        <v>0</v>
      </c>
      <c r="L1076" s="55">
        <v>0</v>
      </c>
      <c r="M1076" s="55">
        <v>0</v>
      </c>
      <c r="N1076" s="55">
        <f t="shared" si="364"/>
        <v>0</v>
      </c>
      <c r="O1076" s="55">
        <v>0</v>
      </c>
      <c r="P1076" s="55">
        <v>0</v>
      </c>
      <c r="Q1076" s="55">
        <v>0</v>
      </c>
      <c r="R1076" s="55">
        <f t="shared" si="365"/>
        <v>0</v>
      </c>
      <c r="S1076" s="55">
        <v>0</v>
      </c>
      <c r="T1076" s="55">
        <v>0</v>
      </c>
      <c r="U1076" s="55">
        <v>0</v>
      </c>
      <c r="V1076" s="55">
        <v>0</v>
      </c>
      <c r="W1076" s="53">
        <v>0</v>
      </c>
      <c r="X1076" s="53">
        <v>0</v>
      </c>
      <c r="Y1076" s="55">
        <v>0</v>
      </c>
      <c r="Z1076" s="55">
        <v>0</v>
      </c>
      <c r="AA1076" s="53">
        <v>0</v>
      </c>
      <c r="AB1076" s="53">
        <v>0</v>
      </c>
      <c r="AC1076" s="55">
        <v>0</v>
      </c>
      <c r="AD1076" s="55">
        <f t="shared" si="371"/>
        <v>0</v>
      </c>
      <c r="AE1076" s="53">
        <v>0</v>
      </c>
      <c r="AF1076" s="55">
        <v>0</v>
      </c>
      <c r="AG1076" s="55">
        <v>0</v>
      </c>
      <c r="AH1076" s="55">
        <f t="shared" si="367"/>
        <v>0</v>
      </c>
      <c r="AI1076" s="55">
        <v>0</v>
      </c>
      <c r="AJ1076" s="55">
        <v>0</v>
      </c>
      <c r="AK1076" s="55">
        <v>0</v>
      </c>
      <c r="AL1076" s="55">
        <f t="shared" si="368"/>
        <v>0</v>
      </c>
      <c r="AM1076" s="55" t="s">
        <v>1912</v>
      </c>
      <c r="AN1076" s="55">
        <v>0</v>
      </c>
      <c r="AO1076" s="55">
        <v>0</v>
      </c>
      <c r="AP1076" s="55">
        <f t="shared" ref="AP1076:AP1139" si="373">SUM(AQ1076:AR1076)</f>
        <v>0</v>
      </c>
      <c r="AQ1076" s="55">
        <f>IFERROR(VLOOKUP(A1076,[1]SIIMPLES!$A$2:$F$418,6,FALSE),0)</f>
        <v>0</v>
      </c>
      <c r="AR1076" s="55">
        <v>0</v>
      </c>
      <c r="AS1076" s="55">
        <v>0</v>
      </c>
      <c r="AT1076" s="55">
        <v>0</v>
      </c>
      <c r="AU1076" s="55">
        <v>0</v>
      </c>
      <c r="AV1076" s="55">
        <v>0</v>
      </c>
      <c r="AW1076" s="55"/>
      <c r="AX1076" s="55"/>
      <c r="AY1076" s="56">
        <f t="shared" si="362"/>
        <v>0</v>
      </c>
      <c r="AZ1076" s="55"/>
      <c r="BA1076" s="56">
        <v>0</v>
      </c>
      <c r="BB1076" s="41" t="str">
        <f t="shared" si="369"/>
        <v/>
      </c>
      <c r="BC1076" s="13"/>
      <c r="BD1076" s="35"/>
      <c r="BE1076" s="13"/>
      <c r="BF1076" s="16"/>
      <c r="BG1076" s="17" t="str">
        <f t="shared" si="372"/>
        <v>0</v>
      </c>
      <c r="BH1076" s="16"/>
    </row>
    <row r="1077" spans="1:60" ht="12.75" customHeight="1" x14ac:dyDescent="0.2">
      <c r="A1077" s="51">
        <v>772150</v>
      </c>
      <c r="B1077" s="51" t="s">
        <v>1077</v>
      </c>
      <c r="C1077" s="66" t="s">
        <v>1803</v>
      </c>
      <c r="D1077" s="52" t="s">
        <v>728</v>
      </c>
      <c r="E1077" s="65" t="s">
        <v>780</v>
      </c>
      <c r="F1077" s="53">
        <f>IFERROR(VLOOKUP(E1077,Fornecedores!$A$2:$B$2700,2,FALSE),"")</f>
        <v>2</v>
      </c>
      <c r="G1077" s="52" t="s">
        <v>722</v>
      </c>
      <c r="H1077" s="57"/>
      <c r="I1077" s="55">
        <f t="shared" si="363"/>
        <v>1</v>
      </c>
      <c r="J1077" s="55">
        <v>0</v>
      </c>
      <c r="K1077" s="55">
        <v>1</v>
      </c>
      <c r="L1077" s="55">
        <v>0</v>
      </c>
      <c r="M1077" s="55">
        <v>0</v>
      </c>
      <c r="N1077" s="55">
        <f t="shared" si="364"/>
        <v>0</v>
      </c>
      <c r="O1077" s="55">
        <v>0</v>
      </c>
      <c r="P1077" s="55">
        <v>0</v>
      </c>
      <c r="Q1077" s="55">
        <v>0</v>
      </c>
      <c r="R1077" s="55">
        <f t="shared" si="365"/>
        <v>0</v>
      </c>
      <c r="S1077" s="55">
        <v>0</v>
      </c>
      <c r="T1077" s="55">
        <v>0</v>
      </c>
      <c r="U1077" s="55">
        <v>0</v>
      </c>
      <c r="V1077" s="55">
        <v>0</v>
      </c>
      <c r="W1077" s="53">
        <v>0</v>
      </c>
      <c r="X1077" s="53">
        <v>0</v>
      </c>
      <c r="Y1077" s="55">
        <v>0</v>
      </c>
      <c r="Z1077" s="55">
        <v>0</v>
      </c>
      <c r="AA1077" s="53">
        <v>0</v>
      </c>
      <c r="AB1077" s="53">
        <v>0</v>
      </c>
      <c r="AC1077" s="55">
        <v>0</v>
      </c>
      <c r="AD1077" s="55">
        <f t="shared" si="371"/>
        <v>0</v>
      </c>
      <c r="AE1077" s="53">
        <v>0</v>
      </c>
      <c r="AF1077" s="55">
        <v>0</v>
      </c>
      <c r="AG1077" s="55">
        <v>0</v>
      </c>
      <c r="AH1077" s="55">
        <f t="shared" si="367"/>
        <v>0</v>
      </c>
      <c r="AI1077" s="55">
        <v>0</v>
      </c>
      <c r="AJ1077" s="55">
        <v>0</v>
      </c>
      <c r="AK1077" s="55">
        <v>0</v>
      </c>
      <c r="AL1077" s="55">
        <f t="shared" si="368"/>
        <v>0</v>
      </c>
      <c r="AM1077" s="55" t="s">
        <v>1912</v>
      </c>
      <c r="AN1077" s="55">
        <v>0</v>
      </c>
      <c r="AO1077" s="55">
        <v>0</v>
      </c>
      <c r="AP1077" s="55">
        <f t="shared" si="373"/>
        <v>0</v>
      </c>
      <c r="AQ1077" s="55">
        <f>IFERROR(VLOOKUP(A1077,[1]SIIMPLES!$A$2:$F$418,6,FALSE),0)</f>
        <v>0</v>
      </c>
      <c r="AR1077" s="55">
        <v>0</v>
      </c>
      <c r="AS1077" s="55">
        <v>0</v>
      </c>
      <c r="AT1077" s="55">
        <v>0</v>
      </c>
      <c r="AU1077" s="55">
        <v>0</v>
      </c>
      <c r="AV1077" s="55">
        <v>0</v>
      </c>
      <c r="AW1077" s="55"/>
      <c r="AX1077" s="55"/>
      <c r="AY1077" s="56">
        <f t="shared" si="362"/>
        <v>0.1</v>
      </c>
      <c r="AZ1077" s="55"/>
      <c r="BA1077" s="56">
        <v>0</v>
      </c>
      <c r="BB1077" s="41" t="str">
        <f t="shared" si="369"/>
        <v/>
      </c>
      <c r="BC1077" s="13"/>
      <c r="BD1077" s="35"/>
      <c r="BE1077" s="7"/>
      <c r="BF1077" s="16"/>
      <c r="BG1077" s="17">
        <f t="shared" si="372"/>
        <v>0</v>
      </c>
      <c r="BH1077" s="16">
        <f>IFERROR(IF(F1077=1,IF(BC1077&lt;AY1077*3,AY1077*3-BC1077,0),IF(BC1077&lt;AY1077,AY1077-BC1077,0)),"")</f>
        <v>0.1</v>
      </c>
    </row>
    <row r="1078" spans="1:60" ht="12.75" customHeight="1" x14ac:dyDescent="0.2">
      <c r="A1078" s="51">
        <v>772151</v>
      </c>
      <c r="B1078" s="51" t="s">
        <v>1077</v>
      </c>
      <c r="C1078" s="66" t="s">
        <v>1803</v>
      </c>
      <c r="D1078" s="52" t="s">
        <v>728</v>
      </c>
      <c r="E1078" s="65" t="s">
        <v>780</v>
      </c>
      <c r="F1078" s="53">
        <f>IFERROR(VLOOKUP(E1078,Fornecedores!$A$2:$B$2700,2,FALSE),"")</f>
        <v>2</v>
      </c>
      <c r="G1078" s="52" t="s">
        <v>630</v>
      </c>
      <c r="H1078" s="57"/>
      <c r="I1078" s="55">
        <f t="shared" si="363"/>
        <v>1</v>
      </c>
      <c r="J1078" s="55">
        <v>0</v>
      </c>
      <c r="K1078" s="55">
        <v>1</v>
      </c>
      <c r="L1078" s="55">
        <v>0</v>
      </c>
      <c r="M1078" s="55">
        <v>0</v>
      </c>
      <c r="N1078" s="55">
        <f t="shared" si="364"/>
        <v>0</v>
      </c>
      <c r="O1078" s="55">
        <v>0</v>
      </c>
      <c r="P1078" s="55">
        <v>0</v>
      </c>
      <c r="Q1078" s="55">
        <v>0</v>
      </c>
      <c r="R1078" s="55">
        <f t="shared" si="365"/>
        <v>0</v>
      </c>
      <c r="S1078" s="55">
        <v>0</v>
      </c>
      <c r="T1078" s="55">
        <v>0</v>
      </c>
      <c r="U1078" s="55">
        <v>0</v>
      </c>
      <c r="V1078" s="55">
        <v>0</v>
      </c>
      <c r="W1078" s="53">
        <v>0</v>
      </c>
      <c r="X1078" s="53">
        <v>0</v>
      </c>
      <c r="Y1078" s="55">
        <v>0</v>
      </c>
      <c r="Z1078" s="55">
        <v>0</v>
      </c>
      <c r="AA1078" s="53">
        <v>0</v>
      </c>
      <c r="AB1078" s="53">
        <v>0</v>
      </c>
      <c r="AC1078" s="55">
        <v>0</v>
      </c>
      <c r="AD1078" s="55">
        <f t="shared" si="371"/>
        <v>0</v>
      </c>
      <c r="AE1078" s="53">
        <v>0</v>
      </c>
      <c r="AF1078" s="55">
        <v>0</v>
      </c>
      <c r="AG1078" s="55">
        <v>0</v>
      </c>
      <c r="AH1078" s="55">
        <f t="shared" si="367"/>
        <v>0</v>
      </c>
      <c r="AI1078" s="55">
        <v>0</v>
      </c>
      <c r="AJ1078" s="55">
        <v>0</v>
      </c>
      <c r="AK1078" s="55">
        <v>0</v>
      </c>
      <c r="AL1078" s="55">
        <f t="shared" si="368"/>
        <v>0</v>
      </c>
      <c r="AM1078" s="55" t="s">
        <v>1912</v>
      </c>
      <c r="AN1078" s="55">
        <v>0</v>
      </c>
      <c r="AO1078" s="55">
        <v>0</v>
      </c>
      <c r="AP1078" s="55">
        <f t="shared" si="373"/>
        <v>0</v>
      </c>
      <c r="AQ1078" s="55">
        <f>IFERROR(VLOOKUP(A1078,[1]SIIMPLES!$A$2:$F$418,6,FALSE),0)</f>
        <v>0</v>
      </c>
      <c r="AR1078" s="55">
        <v>0</v>
      </c>
      <c r="AS1078" s="55">
        <v>0</v>
      </c>
      <c r="AT1078" s="55">
        <v>0</v>
      </c>
      <c r="AU1078" s="55">
        <v>0</v>
      </c>
      <c r="AV1078" s="55">
        <v>0</v>
      </c>
      <c r="AW1078" s="55"/>
      <c r="AX1078" s="55"/>
      <c r="AY1078" s="56">
        <f t="shared" si="362"/>
        <v>0.1</v>
      </c>
      <c r="AZ1078" s="55"/>
      <c r="BA1078" s="56">
        <v>0</v>
      </c>
      <c r="BB1078" s="41" t="str">
        <f t="shared" si="369"/>
        <v/>
      </c>
      <c r="BC1078" s="13"/>
      <c r="BD1078" s="35"/>
      <c r="BE1078" s="7"/>
      <c r="BF1078" s="16"/>
      <c r="BG1078" s="17">
        <f t="shared" si="372"/>
        <v>0</v>
      </c>
      <c r="BH1078" s="16">
        <f>IFERROR(IF(F1078=1,IF(BC1078&lt;AY1078*3,AY1078*3-BC1078,0),IF(BC1078&lt;AY1078,AY1078-BC1078,0)),"")</f>
        <v>0.1</v>
      </c>
    </row>
    <row r="1079" spans="1:60" ht="12.75" customHeight="1" x14ac:dyDescent="0.2">
      <c r="A1079" s="51">
        <v>772154</v>
      </c>
      <c r="B1079" s="51" t="s">
        <v>1086</v>
      </c>
      <c r="C1079" s="66" t="s">
        <v>1803</v>
      </c>
      <c r="D1079" s="52" t="s">
        <v>728</v>
      </c>
      <c r="E1079" s="65" t="s">
        <v>780</v>
      </c>
      <c r="F1079" s="53">
        <f>IFERROR(VLOOKUP(E1079,Fornecedores!$A$2:$B$2700,2,FALSE),"")</f>
        <v>2</v>
      </c>
      <c r="G1079" s="52" t="s">
        <v>1834</v>
      </c>
      <c r="H1079" s="57"/>
      <c r="I1079" s="55">
        <f t="shared" si="363"/>
        <v>0</v>
      </c>
      <c r="J1079" s="55">
        <v>0</v>
      </c>
      <c r="K1079" s="55">
        <v>0</v>
      </c>
      <c r="L1079" s="55">
        <v>0</v>
      </c>
      <c r="M1079" s="55">
        <v>0</v>
      </c>
      <c r="N1079" s="55">
        <f t="shared" si="364"/>
        <v>0</v>
      </c>
      <c r="O1079" s="55">
        <v>0</v>
      </c>
      <c r="P1079" s="55">
        <v>0</v>
      </c>
      <c r="Q1079" s="55">
        <v>0</v>
      </c>
      <c r="R1079" s="55">
        <f t="shared" si="365"/>
        <v>0</v>
      </c>
      <c r="S1079" s="55">
        <v>0</v>
      </c>
      <c r="T1079" s="55">
        <v>0</v>
      </c>
      <c r="U1079" s="55">
        <v>0</v>
      </c>
      <c r="V1079" s="55">
        <v>0</v>
      </c>
      <c r="W1079" s="53">
        <v>0</v>
      </c>
      <c r="X1079" s="53">
        <v>0</v>
      </c>
      <c r="Y1079" s="55">
        <v>0</v>
      </c>
      <c r="Z1079" s="55">
        <v>0</v>
      </c>
      <c r="AA1079" s="53">
        <v>0</v>
      </c>
      <c r="AB1079" s="53">
        <v>0</v>
      </c>
      <c r="AC1079" s="55">
        <v>0</v>
      </c>
      <c r="AD1079" s="55">
        <f t="shared" si="371"/>
        <v>0</v>
      </c>
      <c r="AE1079" s="53">
        <v>0</v>
      </c>
      <c r="AF1079" s="55">
        <v>0</v>
      </c>
      <c r="AG1079" s="55">
        <v>0</v>
      </c>
      <c r="AH1079" s="55">
        <f t="shared" si="367"/>
        <v>0</v>
      </c>
      <c r="AI1079" s="55">
        <v>0</v>
      </c>
      <c r="AJ1079" s="55">
        <v>0</v>
      </c>
      <c r="AK1079" s="55">
        <v>0</v>
      </c>
      <c r="AL1079" s="55">
        <f t="shared" si="368"/>
        <v>0</v>
      </c>
      <c r="AM1079" s="55" t="s">
        <v>1912</v>
      </c>
      <c r="AN1079" s="55">
        <v>0</v>
      </c>
      <c r="AO1079" s="55">
        <v>0</v>
      </c>
      <c r="AP1079" s="55">
        <f t="shared" si="373"/>
        <v>0</v>
      </c>
      <c r="AQ1079" s="55">
        <f>IFERROR(VLOOKUP(A1079,[1]SIIMPLES!$A$2:$F$418,6,FALSE),0)</f>
        <v>0</v>
      </c>
      <c r="AR1079" s="55">
        <v>0</v>
      </c>
      <c r="AS1079" s="55">
        <v>0</v>
      </c>
      <c r="AT1079" s="55">
        <v>0</v>
      </c>
      <c r="AU1079" s="55">
        <v>0</v>
      </c>
      <c r="AV1079" s="55">
        <v>0</v>
      </c>
      <c r="AW1079" s="55"/>
      <c r="AX1079" s="55"/>
      <c r="AY1079" s="56">
        <f t="shared" ref="AY1079:AY1142" si="374">IFERROR(AVERAGE(I1079,N1079,R1079,V1079,Z1079,AD1079,AH1079,AL1079,AP1079,AS1079,AW1079,AX1079),"-")</f>
        <v>0</v>
      </c>
      <c r="AZ1079" s="55"/>
      <c r="BA1079" s="56">
        <v>0</v>
      </c>
      <c r="BB1079" s="41" t="str">
        <f t="shared" si="369"/>
        <v/>
      </c>
      <c r="BC1079" s="13"/>
      <c r="BD1079" s="35"/>
      <c r="BE1079" s="7"/>
      <c r="BF1079" s="16"/>
      <c r="BG1079" s="17" t="str">
        <f t="shared" si="372"/>
        <v>0</v>
      </c>
      <c r="BH1079" s="16"/>
    </row>
    <row r="1080" spans="1:60" ht="12.75" customHeight="1" x14ac:dyDescent="0.2">
      <c r="A1080" s="51">
        <v>772155</v>
      </c>
      <c r="B1080" s="51" t="s">
        <v>1086</v>
      </c>
      <c r="C1080" s="66" t="s">
        <v>1803</v>
      </c>
      <c r="D1080" s="52" t="s">
        <v>728</v>
      </c>
      <c r="E1080" s="65" t="s">
        <v>780</v>
      </c>
      <c r="F1080" s="53">
        <f>IFERROR(VLOOKUP(E1080,Fornecedores!$A$2:$B$2700,2,FALSE),"")</f>
        <v>2</v>
      </c>
      <c r="G1080" s="52" t="s">
        <v>1836</v>
      </c>
      <c r="H1080" s="57"/>
      <c r="I1080" s="55">
        <f t="shared" si="363"/>
        <v>0</v>
      </c>
      <c r="J1080" s="55">
        <v>0</v>
      </c>
      <c r="K1080" s="55">
        <v>0</v>
      </c>
      <c r="L1080" s="55">
        <v>0</v>
      </c>
      <c r="M1080" s="55">
        <v>0</v>
      </c>
      <c r="N1080" s="55">
        <f t="shared" si="364"/>
        <v>0</v>
      </c>
      <c r="O1080" s="55">
        <v>0</v>
      </c>
      <c r="P1080" s="55">
        <v>0</v>
      </c>
      <c r="Q1080" s="55">
        <v>0</v>
      </c>
      <c r="R1080" s="55">
        <f t="shared" si="365"/>
        <v>0</v>
      </c>
      <c r="S1080" s="55">
        <v>0</v>
      </c>
      <c r="T1080" s="55">
        <v>0</v>
      </c>
      <c r="U1080" s="55">
        <v>0</v>
      </c>
      <c r="V1080" s="55">
        <v>0</v>
      </c>
      <c r="W1080" s="53">
        <v>0</v>
      </c>
      <c r="X1080" s="53">
        <v>0</v>
      </c>
      <c r="Y1080" s="55">
        <v>0</v>
      </c>
      <c r="Z1080" s="55">
        <v>0</v>
      </c>
      <c r="AA1080" s="53">
        <v>0</v>
      </c>
      <c r="AB1080" s="53">
        <v>0</v>
      </c>
      <c r="AC1080" s="55">
        <v>0</v>
      </c>
      <c r="AD1080" s="55">
        <f t="shared" si="371"/>
        <v>0</v>
      </c>
      <c r="AE1080" s="53">
        <v>0</v>
      </c>
      <c r="AF1080" s="55">
        <v>0</v>
      </c>
      <c r="AG1080" s="55">
        <v>0</v>
      </c>
      <c r="AH1080" s="55">
        <f t="shared" si="367"/>
        <v>0</v>
      </c>
      <c r="AI1080" s="55">
        <v>0</v>
      </c>
      <c r="AJ1080" s="55">
        <v>0</v>
      </c>
      <c r="AK1080" s="55">
        <v>0</v>
      </c>
      <c r="AL1080" s="55">
        <f t="shared" si="368"/>
        <v>0</v>
      </c>
      <c r="AM1080" s="55" t="s">
        <v>1912</v>
      </c>
      <c r="AN1080" s="55">
        <v>0</v>
      </c>
      <c r="AO1080" s="55">
        <v>0</v>
      </c>
      <c r="AP1080" s="55">
        <f t="shared" si="373"/>
        <v>0</v>
      </c>
      <c r="AQ1080" s="55">
        <f>IFERROR(VLOOKUP(A1080,[1]SIIMPLES!$A$2:$F$418,6,FALSE),0)</f>
        <v>0</v>
      </c>
      <c r="AR1080" s="55">
        <v>0</v>
      </c>
      <c r="AS1080" s="55">
        <v>0</v>
      </c>
      <c r="AT1080" s="55">
        <v>0</v>
      </c>
      <c r="AU1080" s="55">
        <v>0</v>
      </c>
      <c r="AV1080" s="55">
        <v>0</v>
      </c>
      <c r="AW1080" s="55"/>
      <c r="AX1080" s="55"/>
      <c r="AY1080" s="56">
        <f t="shared" si="374"/>
        <v>0</v>
      </c>
      <c r="AZ1080" s="55"/>
      <c r="BA1080" s="56">
        <v>0</v>
      </c>
      <c r="BB1080" s="41" t="str">
        <f t="shared" si="369"/>
        <v/>
      </c>
      <c r="BC1080" s="13"/>
      <c r="BD1080" s="35"/>
      <c r="BE1080" s="13"/>
      <c r="BF1080" s="16"/>
      <c r="BG1080" s="17" t="str">
        <f t="shared" si="372"/>
        <v>0</v>
      </c>
      <c r="BH1080" s="16"/>
    </row>
    <row r="1081" spans="1:60" ht="12.75" customHeight="1" x14ac:dyDescent="0.2">
      <c r="A1081" s="51">
        <v>772156</v>
      </c>
      <c r="B1081" s="51" t="s">
        <v>1077</v>
      </c>
      <c r="C1081" s="66" t="s">
        <v>1803</v>
      </c>
      <c r="D1081" s="52" t="s">
        <v>728</v>
      </c>
      <c r="E1081" s="65" t="s">
        <v>780</v>
      </c>
      <c r="F1081" s="53">
        <f>IFERROR(VLOOKUP(E1081,Fornecedores!$A$2:$B$2700,2,FALSE),"")</f>
        <v>2</v>
      </c>
      <c r="G1081" s="52" t="s">
        <v>123</v>
      </c>
      <c r="H1081" s="57"/>
      <c r="I1081" s="55">
        <f t="shared" si="363"/>
        <v>0</v>
      </c>
      <c r="J1081" s="55">
        <v>0</v>
      </c>
      <c r="K1081" s="55">
        <v>0</v>
      </c>
      <c r="L1081" s="55">
        <v>0</v>
      </c>
      <c r="M1081" s="55">
        <v>0</v>
      </c>
      <c r="N1081" s="55">
        <f t="shared" si="364"/>
        <v>0</v>
      </c>
      <c r="O1081" s="55">
        <v>0</v>
      </c>
      <c r="P1081" s="55">
        <v>0</v>
      </c>
      <c r="Q1081" s="55">
        <v>0</v>
      </c>
      <c r="R1081" s="55">
        <f t="shared" si="365"/>
        <v>0</v>
      </c>
      <c r="S1081" s="55">
        <v>0</v>
      </c>
      <c r="T1081" s="55">
        <v>0</v>
      </c>
      <c r="U1081" s="55">
        <v>0</v>
      </c>
      <c r="V1081" s="55">
        <v>0</v>
      </c>
      <c r="W1081" s="53">
        <v>0</v>
      </c>
      <c r="X1081" s="53">
        <v>0</v>
      </c>
      <c r="Y1081" s="55">
        <v>0</v>
      </c>
      <c r="Z1081" s="55">
        <v>0</v>
      </c>
      <c r="AA1081" s="53">
        <v>0</v>
      </c>
      <c r="AB1081" s="53">
        <v>0</v>
      </c>
      <c r="AC1081" s="55">
        <v>0</v>
      </c>
      <c r="AD1081" s="55">
        <f t="shared" si="371"/>
        <v>0</v>
      </c>
      <c r="AE1081" s="53">
        <v>0</v>
      </c>
      <c r="AF1081" s="55">
        <v>0</v>
      </c>
      <c r="AG1081" s="55">
        <v>0</v>
      </c>
      <c r="AH1081" s="55">
        <f t="shared" si="367"/>
        <v>0</v>
      </c>
      <c r="AI1081" s="55">
        <v>0</v>
      </c>
      <c r="AJ1081" s="55">
        <v>0</v>
      </c>
      <c r="AK1081" s="55">
        <v>0</v>
      </c>
      <c r="AL1081" s="55">
        <f t="shared" si="368"/>
        <v>0</v>
      </c>
      <c r="AM1081" s="55" t="s">
        <v>1912</v>
      </c>
      <c r="AN1081" s="55">
        <v>0</v>
      </c>
      <c r="AO1081" s="55">
        <v>0</v>
      </c>
      <c r="AP1081" s="55">
        <f t="shared" si="373"/>
        <v>0</v>
      </c>
      <c r="AQ1081" s="55">
        <f>IFERROR(VLOOKUP(A1081,[1]SIIMPLES!$A$2:$F$418,6,FALSE),0)</f>
        <v>0</v>
      </c>
      <c r="AR1081" s="55">
        <v>0</v>
      </c>
      <c r="AS1081" s="55">
        <v>1</v>
      </c>
      <c r="AT1081" s="55">
        <v>0</v>
      </c>
      <c r="AU1081" s="55">
        <v>0</v>
      </c>
      <c r="AV1081" s="55">
        <v>1</v>
      </c>
      <c r="AW1081" s="55"/>
      <c r="AX1081" s="55"/>
      <c r="AY1081" s="56">
        <f t="shared" si="374"/>
        <v>0.1</v>
      </c>
      <c r="AZ1081" s="55"/>
      <c r="BA1081" s="56">
        <v>0</v>
      </c>
      <c r="BB1081" s="41" t="str">
        <f t="shared" si="369"/>
        <v/>
      </c>
      <c r="BC1081" s="13"/>
      <c r="BD1081" s="35"/>
      <c r="BE1081" s="13"/>
      <c r="BF1081" s="16"/>
      <c r="BG1081" s="17">
        <f t="shared" si="372"/>
        <v>0</v>
      </c>
      <c r="BH1081" s="16"/>
    </row>
    <row r="1082" spans="1:60" ht="12.75" customHeight="1" x14ac:dyDescent="0.2">
      <c r="A1082" s="51">
        <v>772157</v>
      </c>
      <c r="B1082" s="51" t="s">
        <v>1077</v>
      </c>
      <c r="C1082" s="66" t="s">
        <v>1803</v>
      </c>
      <c r="D1082" s="52" t="s">
        <v>728</v>
      </c>
      <c r="E1082" s="65" t="s">
        <v>780</v>
      </c>
      <c r="F1082" s="53">
        <f>IFERROR(VLOOKUP(E1082,Fornecedores!$A$2:$B$2700,2,FALSE),"")</f>
        <v>2</v>
      </c>
      <c r="G1082" s="52" t="s">
        <v>125</v>
      </c>
      <c r="H1082" s="57"/>
      <c r="I1082" s="55">
        <f t="shared" si="363"/>
        <v>0</v>
      </c>
      <c r="J1082" s="55">
        <v>0</v>
      </c>
      <c r="K1082" s="55">
        <v>0</v>
      </c>
      <c r="L1082" s="55">
        <v>0</v>
      </c>
      <c r="M1082" s="55">
        <v>0</v>
      </c>
      <c r="N1082" s="55">
        <f t="shared" si="364"/>
        <v>0</v>
      </c>
      <c r="O1082" s="55">
        <v>0</v>
      </c>
      <c r="P1082" s="55">
        <v>0</v>
      </c>
      <c r="Q1082" s="55">
        <v>0</v>
      </c>
      <c r="R1082" s="55">
        <f t="shared" si="365"/>
        <v>0</v>
      </c>
      <c r="S1082" s="55">
        <v>0</v>
      </c>
      <c r="T1082" s="55">
        <v>0</v>
      </c>
      <c r="U1082" s="55">
        <v>0</v>
      </c>
      <c r="V1082" s="55">
        <v>0</v>
      </c>
      <c r="W1082" s="53">
        <v>0</v>
      </c>
      <c r="X1082" s="53">
        <v>0</v>
      </c>
      <c r="Y1082" s="55">
        <v>0</v>
      </c>
      <c r="Z1082" s="55">
        <v>0</v>
      </c>
      <c r="AA1082" s="53">
        <v>0</v>
      </c>
      <c r="AB1082" s="53">
        <v>0</v>
      </c>
      <c r="AC1082" s="55">
        <v>0</v>
      </c>
      <c r="AD1082" s="55">
        <f t="shared" si="371"/>
        <v>0</v>
      </c>
      <c r="AE1082" s="53">
        <v>0</v>
      </c>
      <c r="AF1082" s="55">
        <v>0</v>
      </c>
      <c r="AG1082" s="55">
        <v>0</v>
      </c>
      <c r="AH1082" s="55">
        <f t="shared" si="367"/>
        <v>0</v>
      </c>
      <c r="AI1082" s="55">
        <v>0</v>
      </c>
      <c r="AJ1082" s="55">
        <v>0</v>
      </c>
      <c r="AK1082" s="55">
        <v>0</v>
      </c>
      <c r="AL1082" s="55">
        <f t="shared" si="368"/>
        <v>0</v>
      </c>
      <c r="AM1082" s="55" t="s">
        <v>1912</v>
      </c>
      <c r="AN1082" s="55">
        <v>0</v>
      </c>
      <c r="AO1082" s="55">
        <v>0</v>
      </c>
      <c r="AP1082" s="55">
        <f t="shared" si="373"/>
        <v>0</v>
      </c>
      <c r="AQ1082" s="55">
        <f>IFERROR(VLOOKUP(A1082,[1]SIIMPLES!$A$2:$F$418,6,FALSE),0)</f>
        <v>0</v>
      </c>
      <c r="AR1082" s="55">
        <v>0</v>
      </c>
      <c r="AS1082" s="55">
        <v>0</v>
      </c>
      <c r="AT1082" s="55">
        <v>0</v>
      </c>
      <c r="AU1082" s="55">
        <v>0</v>
      </c>
      <c r="AV1082" s="55">
        <v>0</v>
      </c>
      <c r="AW1082" s="55"/>
      <c r="AX1082" s="55"/>
      <c r="AY1082" s="56">
        <f t="shared" si="374"/>
        <v>0</v>
      </c>
      <c r="AZ1082" s="55"/>
      <c r="BA1082" s="56">
        <v>0</v>
      </c>
      <c r="BB1082" s="41" t="str">
        <f t="shared" si="369"/>
        <v/>
      </c>
      <c r="BC1082" s="13"/>
      <c r="BD1082" s="35"/>
      <c r="BE1082" s="13"/>
      <c r="BF1082" s="16"/>
      <c r="BG1082" s="17" t="str">
        <f t="shared" si="372"/>
        <v>0</v>
      </c>
      <c r="BH1082" s="16">
        <f>IFERROR(IF(F1082=1,IF(BC1082&lt;AY1082*3,AY1082*3-BC1082,0),IF(BC1082&lt;AY1082,AY1082-BC1082,0)),"")</f>
        <v>0</v>
      </c>
    </row>
    <row r="1083" spans="1:60" ht="12.75" customHeight="1" x14ac:dyDescent="0.2">
      <c r="A1083" s="51">
        <v>772162</v>
      </c>
      <c r="B1083" s="51" t="s">
        <v>1077</v>
      </c>
      <c r="C1083" s="66" t="s">
        <v>1803</v>
      </c>
      <c r="D1083" s="52" t="s">
        <v>728</v>
      </c>
      <c r="E1083" s="65" t="s">
        <v>780</v>
      </c>
      <c r="F1083" s="53">
        <f>IFERROR(VLOOKUP(E1083,Fornecedores!$A$2:$B$2700,2,FALSE),"")</f>
        <v>2</v>
      </c>
      <c r="G1083" s="52" t="s">
        <v>1361</v>
      </c>
      <c r="H1083" s="57"/>
      <c r="I1083" s="55">
        <f t="shared" si="363"/>
        <v>1</v>
      </c>
      <c r="J1083" s="55">
        <v>1</v>
      </c>
      <c r="K1083" s="55">
        <v>0</v>
      </c>
      <c r="L1083" s="55">
        <v>0</v>
      </c>
      <c r="M1083" s="55">
        <v>0</v>
      </c>
      <c r="N1083" s="55">
        <f t="shared" si="364"/>
        <v>0</v>
      </c>
      <c r="O1083" s="55">
        <v>0</v>
      </c>
      <c r="P1083" s="55">
        <v>0</v>
      </c>
      <c r="Q1083" s="55">
        <v>0</v>
      </c>
      <c r="R1083" s="55">
        <f t="shared" si="365"/>
        <v>0</v>
      </c>
      <c r="S1083" s="55">
        <v>0</v>
      </c>
      <c r="T1083" s="55">
        <v>0</v>
      </c>
      <c r="U1083" s="55">
        <v>0</v>
      </c>
      <c r="V1083" s="55">
        <v>0</v>
      </c>
      <c r="W1083" s="53">
        <v>0</v>
      </c>
      <c r="X1083" s="53">
        <v>0</v>
      </c>
      <c r="Y1083" s="55">
        <v>0</v>
      </c>
      <c r="Z1083" s="55">
        <v>0</v>
      </c>
      <c r="AA1083" s="53">
        <v>0</v>
      </c>
      <c r="AB1083" s="53">
        <v>0</v>
      </c>
      <c r="AC1083" s="55">
        <v>0</v>
      </c>
      <c r="AD1083" s="55">
        <f t="shared" si="371"/>
        <v>0</v>
      </c>
      <c r="AE1083" s="53">
        <v>0</v>
      </c>
      <c r="AF1083" s="55">
        <v>0</v>
      </c>
      <c r="AG1083" s="55">
        <v>0</v>
      </c>
      <c r="AH1083" s="55">
        <f t="shared" si="367"/>
        <v>0</v>
      </c>
      <c r="AI1083" s="55">
        <v>0</v>
      </c>
      <c r="AJ1083" s="55">
        <v>0</v>
      </c>
      <c r="AK1083" s="55">
        <v>0</v>
      </c>
      <c r="AL1083" s="55">
        <f t="shared" si="368"/>
        <v>0</v>
      </c>
      <c r="AM1083" s="55" t="s">
        <v>1912</v>
      </c>
      <c r="AN1083" s="55">
        <v>0</v>
      </c>
      <c r="AO1083" s="55">
        <v>0</v>
      </c>
      <c r="AP1083" s="55">
        <f t="shared" si="373"/>
        <v>0</v>
      </c>
      <c r="AQ1083" s="55">
        <f>IFERROR(VLOOKUP(A1083,[1]SIIMPLES!$A$2:$F$418,6,FALSE),0)</f>
        <v>0</v>
      </c>
      <c r="AR1083" s="55">
        <v>0</v>
      </c>
      <c r="AS1083" s="55">
        <v>0</v>
      </c>
      <c r="AT1083" s="55">
        <v>0</v>
      </c>
      <c r="AU1083" s="55">
        <v>0</v>
      </c>
      <c r="AV1083" s="55">
        <v>0</v>
      </c>
      <c r="AW1083" s="55"/>
      <c r="AX1083" s="55"/>
      <c r="AY1083" s="56">
        <f t="shared" si="374"/>
        <v>0.1</v>
      </c>
      <c r="AZ1083" s="55"/>
      <c r="BA1083" s="56">
        <v>0.16666666666666666</v>
      </c>
      <c r="BB1083" s="41">
        <f t="shared" si="369"/>
        <v>-0.39999999999999991</v>
      </c>
      <c r="BC1083" s="13"/>
      <c r="BD1083" s="35"/>
      <c r="BE1083" s="13"/>
      <c r="BF1083" s="16"/>
      <c r="BG1083" s="17">
        <f t="shared" si="372"/>
        <v>0</v>
      </c>
      <c r="BH1083" s="16">
        <f>IFERROR(IF(F1083=1,IF(BC1083&lt;AY1083*3,AY1083*3-BC1083,0),IF(BC1083&lt;AY1083,AY1083-BC1083,0)),"")</f>
        <v>0.1</v>
      </c>
    </row>
    <row r="1084" spans="1:60" ht="12.75" customHeight="1" x14ac:dyDescent="0.2">
      <c r="A1084" s="51">
        <v>772163</v>
      </c>
      <c r="B1084" s="51"/>
      <c r="C1084" s="66" t="s">
        <v>1803</v>
      </c>
      <c r="D1084" s="52" t="s">
        <v>728</v>
      </c>
      <c r="E1084" s="65" t="s">
        <v>780</v>
      </c>
      <c r="F1084" s="53">
        <f>IFERROR(VLOOKUP(E1084,Fornecedores!$A$2:$B$2700,2,FALSE),"")</f>
        <v>2</v>
      </c>
      <c r="G1084" s="52" t="s">
        <v>1362</v>
      </c>
      <c r="H1084" s="57"/>
      <c r="I1084" s="55">
        <f t="shared" si="363"/>
        <v>0</v>
      </c>
      <c r="J1084" s="55">
        <v>0</v>
      </c>
      <c r="K1084" s="55">
        <v>0</v>
      </c>
      <c r="L1084" s="55">
        <v>0</v>
      </c>
      <c r="M1084" s="55">
        <v>0</v>
      </c>
      <c r="N1084" s="55">
        <f t="shared" si="364"/>
        <v>0</v>
      </c>
      <c r="O1084" s="55">
        <v>0</v>
      </c>
      <c r="P1084" s="55">
        <v>0</v>
      </c>
      <c r="Q1084" s="55">
        <v>0</v>
      </c>
      <c r="R1084" s="55">
        <f t="shared" si="365"/>
        <v>0</v>
      </c>
      <c r="S1084" s="55">
        <v>0</v>
      </c>
      <c r="T1084" s="55">
        <v>0</v>
      </c>
      <c r="U1084" s="55">
        <v>0</v>
      </c>
      <c r="V1084" s="55">
        <v>0</v>
      </c>
      <c r="W1084" s="53">
        <v>0</v>
      </c>
      <c r="X1084" s="53">
        <v>0</v>
      </c>
      <c r="Y1084" s="55">
        <v>0</v>
      </c>
      <c r="Z1084" s="55">
        <v>0</v>
      </c>
      <c r="AA1084" s="53">
        <v>0</v>
      </c>
      <c r="AB1084" s="53">
        <v>0</v>
      </c>
      <c r="AC1084" s="55">
        <v>0</v>
      </c>
      <c r="AD1084" s="55">
        <f t="shared" si="371"/>
        <v>0</v>
      </c>
      <c r="AE1084" s="53">
        <v>0</v>
      </c>
      <c r="AF1084" s="55">
        <v>0</v>
      </c>
      <c r="AG1084" s="55">
        <v>0</v>
      </c>
      <c r="AH1084" s="55">
        <f t="shared" si="367"/>
        <v>0</v>
      </c>
      <c r="AI1084" s="55">
        <v>0</v>
      </c>
      <c r="AJ1084" s="55">
        <v>0</v>
      </c>
      <c r="AK1084" s="55">
        <v>0</v>
      </c>
      <c r="AL1084" s="55">
        <f t="shared" si="368"/>
        <v>0</v>
      </c>
      <c r="AM1084" s="55" t="s">
        <v>1912</v>
      </c>
      <c r="AN1084" s="55">
        <v>0</v>
      </c>
      <c r="AO1084" s="55">
        <v>0</v>
      </c>
      <c r="AP1084" s="55">
        <f t="shared" si="373"/>
        <v>0</v>
      </c>
      <c r="AQ1084" s="55">
        <f>IFERROR(VLOOKUP(A1084,[1]SIIMPLES!$A$2:$F$418,6,FALSE),0)</f>
        <v>0</v>
      </c>
      <c r="AR1084" s="55">
        <v>0</v>
      </c>
      <c r="AS1084" s="55">
        <v>0</v>
      </c>
      <c r="AT1084" s="55">
        <v>0</v>
      </c>
      <c r="AU1084" s="55">
        <v>0</v>
      </c>
      <c r="AV1084" s="55">
        <v>0</v>
      </c>
      <c r="AW1084" s="55"/>
      <c r="AX1084" s="55"/>
      <c r="AY1084" s="56">
        <f t="shared" si="374"/>
        <v>0</v>
      </c>
      <c r="AZ1084" s="55"/>
      <c r="BA1084" s="56">
        <v>0</v>
      </c>
      <c r="BB1084" s="41" t="str">
        <f t="shared" si="369"/>
        <v/>
      </c>
      <c r="BC1084" s="13"/>
      <c r="BD1084" s="35"/>
      <c r="BE1084" s="7"/>
      <c r="BF1084" s="16"/>
      <c r="BG1084" s="17" t="str">
        <f t="shared" si="372"/>
        <v>0</v>
      </c>
      <c r="BH1084" s="16">
        <f>IFERROR(IF(F1084=1,IF(BC1084&lt;AY1084*3,AY1084*3-BC1084,0),IF(BC1084&lt;AY1084,AY1084-BC1084,0)),"")</f>
        <v>0</v>
      </c>
    </row>
    <row r="1085" spans="1:60" ht="12.75" customHeight="1" x14ac:dyDescent="0.2">
      <c r="A1085" s="51">
        <v>772164</v>
      </c>
      <c r="B1085" s="51"/>
      <c r="C1085" s="66" t="s">
        <v>1803</v>
      </c>
      <c r="D1085" s="52" t="s">
        <v>728</v>
      </c>
      <c r="E1085" s="65" t="s">
        <v>780</v>
      </c>
      <c r="F1085" s="53">
        <f>IFERROR(VLOOKUP(E1085,Fornecedores!$A$2:$B$2700,2,FALSE),"")</f>
        <v>2</v>
      </c>
      <c r="G1085" s="52" t="s">
        <v>1363</v>
      </c>
      <c r="H1085" s="57"/>
      <c r="I1085" s="55">
        <f t="shared" si="363"/>
        <v>0</v>
      </c>
      <c r="J1085" s="55">
        <v>0</v>
      </c>
      <c r="K1085" s="55">
        <v>0</v>
      </c>
      <c r="L1085" s="55">
        <v>0</v>
      </c>
      <c r="M1085" s="55">
        <v>0</v>
      </c>
      <c r="N1085" s="55">
        <f t="shared" si="364"/>
        <v>0</v>
      </c>
      <c r="O1085" s="55">
        <v>0</v>
      </c>
      <c r="P1085" s="55">
        <v>0</v>
      </c>
      <c r="Q1085" s="55">
        <v>0</v>
      </c>
      <c r="R1085" s="55">
        <f t="shared" si="365"/>
        <v>0</v>
      </c>
      <c r="S1085" s="55">
        <v>0</v>
      </c>
      <c r="T1085" s="55">
        <v>0</v>
      </c>
      <c r="U1085" s="55">
        <v>0</v>
      </c>
      <c r="V1085" s="55">
        <v>0</v>
      </c>
      <c r="W1085" s="53">
        <v>0</v>
      </c>
      <c r="X1085" s="53">
        <v>0</v>
      </c>
      <c r="Y1085" s="55">
        <v>0</v>
      </c>
      <c r="Z1085" s="55">
        <v>0</v>
      </c>
      <c r="AA1085" s="53">
        <v>0</v>
      </c>
      <c r="AB1085" s="53">
        <v>0</v>
      </c>
      <c r="AC1085" s="55">
        <v>0</v>
      </c>
      <c r="AD1085" s="55">
        <f t="shared" si="371"/>
        <v>0</v>
      </c>
      <c r="AE1085" s="53">
        <v>0</v>
      </c>
      <c r="AF1085" s="55">
        <v>0</v>
      </c>
      <c r="AG1085" s="55">
        <v>0</v>
      </c>
      <c r="AH1085" s="55">
        <f t="shared" si="367"/>
        <v>0</v>
      </c>
      <c r="AI1085" s="55">
        <v>0</v>
      </c>
      <c r="AJ1085" s="55">
        <v>0</v>
      </c>
      <c r="AK1085" s="55">
        <v>0</v>
      </c>
      <c r="AL1085" s="55">
        <f t="shared" si="368"/>
        <v>0</v>
      </c>
      <c r="AM1085" s="55" t="s">
        <v>1912</v>
      </c>
      <c r="AN1085" s="55">
        <v>0</v>
      </c>
      <c r="AO1085" s="55">
        <v>0</v>
      </c>
      <c r="AP1085" s="55">
        <f t="shared" si="373"/>
        <v>0</v>
      </c>
      <c r="AQ1085" s="55">
        <f>IFERROR(VLOOKUP(A1085,[1]SIIMPLES!$A$2:$F$418,6,FALSE),0)</f>
        <v>0</v>
      </c>
      <c r="AR1085" s="55">
        <v>0</v>
      </c>
      <c r="AS1085" s="55">
        <v>0</v>
      </c>
      <c r="AT1085" s="55">
        <v>0</v>
      </c>
      <c r="AU1085" s="55">
        <v>0</v>
      </c>
      <c r="AV1085" s="55">
        <v>0</v>
      </c>
      <c r="AW1085" s="55"/>
      <c r="AX1085" s="55"/>
      <c r="AY1085" s="56">
        <f t="shared" si="374"/>
        <v>0</v>
      </c>
      <c r="AZ1085" s="55"/>
      <c r="BA1085" s="56">
        <v>0</v>
      </c>
      <c r="BB1085" s="41" t="str">
        <f t="shared" si="369"/>
        <v/>
      </c>
      <c r="BC1085" s="13"/>
      <c r="BD1085" s="35"/>
      <c r="BE1085" s="7"/>
      <c r="BF1085" s="16"/>
      <c r="BG1085" s="17" t="str">
        <f t="shared" si="372"/>
        <v>0</v>
      </c>
      <c r="BH1085" s="16">
        <f>IFERROR(IF(F1085=1,IF(BC1085&lt;AY1085*3,AY1085*3-BC1085,0),IF(BC1085&lt;AY1085,AY1085-BC1085,0)),"")</f>
        <v>0</v>
      </c>
    </row>
    <row r="1086" spans="1:60" ht="12.75" customHeight="1" x14ac:dyDescent="0.2">
      <c r="A1086" s="51">
        <v>772169</v>
      </c>
      <c r="B1086" s="51"/>
      <c r="C1086" s="66" t="s">
        <v>1803</v>
      </c>
      <c r="D1086" s="52" t="s">
        <v>728</v>
      </c>
      <c r="E1086" s="65" t="s">
        <v>780</v>
      </c>
      <c r="F1086" s="53">
        <f>IFERROR(VLOOKUP(E1086,Fornecedores!$A$2:$B$2700,2,FALSE),"")</f>
        <v>2</v>
      </c>
      <c r="G1086" s="52" t="s">
        <v>1741</v>
      </c>
      <c r="H1086" s="57"/>
      <c r="I1086" s="55">
        <f t="shared" si="363"/>
        <v>0</v>
      </c>
      <c r="J1086" s="55">
        <v>0</v>
      </c>
      <c r="K1086" s="55">
        <v>0</v>
      </c>
      <c r="L1086" s="55">
        <v>0</v>
      </c>
      <c r="M1086" s="55">
        <v>0</v>
      </c>
      <c r="N1086" s="55">
        <f t="shared" si="364"/>
        <v>0</v>
      </c>
      <c r="O1086" s="55">
        <v>0</v>
      </c>
      <c r="P1086" s="55">
        <v>0</v>
      </c>
      <c r="Q1086" s="55">
        <v>0</v>
      </c>
      <c r="R1086" s="55">
        <f t="shared" si="365"/>
        <v>0</v>
      </c>
      <c r="S1086" s="55">
        <v>0</v>
      </c>
      <c r="T1086" s="55">
        <v>0</v>
      </c>
      <c r="U1086" s="55">
        <v>0</v>
      </c>
      <c r="V1086" s="55">
        <v>0</v>
      </c>
      <c r="W1086" s="53">
        <v>0</v>
      </c>
      <c r="X1086" s="53">
        <v>0</v>
      </c>
      <c r="Y1086" s="55">
        <v>0</v>
      </c>
      <c r="Z1086" s="55">
        <v>0</v>
      </c>
      <c r="AA1086" s="53">
        <v>0</v>
      </c>
      <c r="AB1086" s="53">
        <v>0</v>
      </c>
      <c r="AC1086" s="55">
        <v>0</v>
      </c>
      <c r="AD1086" s="55">
        <f t="shared" si="371"/>
        <v>0</v>
      </c>
      <c r="AE1086" s="53">
        <v>0</v>
      </c>
      <c r="AF1086" s="55">
        <v>0</v>
      </c>
      <c r="AG1086" s="55">
        <v>0</v>
      </c>
      <c r="AH1086" s="55">
        <f t="shared" si="367"/>
        <v>0</v>
      </c>
      <c r="AI1086" s="55">
        <v>0</v>
      </c>
      <c r="AJ1086" s="55">
        <v>0</v>
      </c>
      <c r="AK1086" s="55">
        <v>0</v>
      </c>
      <c r="AL1086" s="55">
        <f t="shared" si="368"/>
        <v>0</v>
      </c>
      <c r="AM1086" s="55" t="s">
        <v>1912</v>
      </c>
      <c r="AN1086" s="55">
        <v>0</v>
      </c>
      <c r="AO1086" s="55">
        <v>0</v>
      </c>
      <c r="AP1086" s="55">
        <f t="shared" si="373"/>
        <v>0</v>
      </c>
      <c r="AQ1086" s="55">
        <f>IFERROR(VLOOKUP(A1086,[1]SIIMPLES!$A$2:$F$418,6,FALSE),0)</f>
        <v>0</v>
      </c>
      <c r="AR1086" s="55">
        <v>0</v>
      </c>
      <c r="AS1086" s="55">
        <v>0</v>
      </c>
      <c r="AT1086" s="55">
        <v>0</v>
      </c>
      <c r="AU1086" s="55">
        <v>0</v>
      </c>
      <c r="AV1086" s="55">
        <v>0</v>
      </c>
      <c r="AW1086" s="55"/>
      <c r="AX1086" s="55"/>
      <c r="AY1086" s="56">
        <f t="shared" si="374"/>
        <v>0</v>
      </c>
      <c r="AZ1086" s="55"/>
      <c r="BA1086" s="56">
        <v>1.5</v>
      </c>
      <c r="BB1086" s="41">
        <f t="shared" si="369"/>
        <v>-1</v>
      </c>
      <c r="BC1086" s="13"/>
      <c r="BD1086" s="35"/>
      <c r="BE1086" s="7"/>
      <c r="BF1086" s="16"/>
      <c r="BG1086" s="17" t="str">
        <f t="shared" si="372"/>
        <v>0</v>
      </c>
      <c r="BH1086" s="16"/>
    </row>
    <row r="1087" spans="1:60" ht="12.75" customHeight="1" x14ac:dyDescent="0.2">
      <c r="A1087" s="51">
        <v>772170</v>
      </c>
      <c r="B1087" s="51" t="s">
        <v>1077</v>
      </c>
      <c r="C1087" s="66" t="s">
        <v>1803</v>
      </c>
      <c r="D1087" s="52" t="s">
        <v>728</v>
      </c>
      <c r="E1087" s="65" t="s">
        <v>780</v>
      </c>
      <c r="F1087" s="53">
        <f>IFERROR(VLOOKUP(E1087,Fornecedores!$A$2:$B$2700,2,FALSE),"")</f>
        <v>2</v>
      </c>
      <c r="G1087" s="52" t="s">
        <v>1364</v>
      </c>
      <c r="H1087" s="57"/>
      <c r="I1087" s="55">
        <f t="shared" si="363"/>
        <v>0</v>
      </c>
      <c r="J1087" s="55">
        <v>0</v>
      </c>
      <c r="K1087" s="55">
        <v>0</v>
      </c>
      <c r="L1087" s="55">
        <v>0</v>
      </c>
      <c r="M1087" s="55">
        <v>0</v>
      </c>
      <c r="N1087" s="55">
        <f t="shared" si="364"/>
        <v>1</v>
      </c>
      <c r="O1087" s="55">
        <v>0</v>
      </c>
      <c r="P1087" s="55">
        <v>1</v>
      </c>
      <c r="Q1087" s="55">
        <v>0</v>
      </c>
      <c r="R1087" s="55">
        <f t="shared" si="365"/>
        <v>0</v>
      </c>
      <c r="S1087" s="55">
        <v>0</v>
      </c>
      <c r="T1087" s="55">
        <v>0</v>
      </c>
      <c r="U1087" s="55">
        <v>0</v>
      </c>
      <c r="V1087" s="55">
        <v>0</v>
      </c>
      <c r="W1087" s="53">
        <v>0</v>
      </c>
      <c r="X1087" s="53">
        <v>0</v>
      </c>
      <c r="Y1087" s="55">
        <v>0</v>
      </c>
      <c r="Z1087" s="55">
        <v>0</v>
      </c>
      <c r="AA1087" s="53">
        <v>0</v>
      </c>
      <c r="AB1087" s="53">
        <v>0</v>
      </c>
      <c r="AC1087" s="55">
        <v>0</v>
      </c>
      <c r="AD1087" s="55">
        <f t="shared" si="371"/>
        <v>1</v>
      </c>
      <c r="AE1087" s="53">
        <v>0</v>
      </c>
      <c r="AF1087" s="55">
        <v>1</v>
      </c>
      <c r="AG1087" s="55">
        <v>0</v>
      </c>
      <c r="AH1087" s="55">
        <f t="shared" si="367"/>
        <v>0</v>
      </c>
      <c r="AI1087" s="55">
        <v>0</v>
      </c>
      <c r="AJ1087" s="55">
        <v>0</v>
      </c>
      <c r="AK1087" s="55">
        <v>0</v>
      </c>
      <c r="AL1087" s="55">
        <f t="shared" si="368"/>
        <v>0</v>
      </c>
      <c r="AM1087" s="55" t="s">
        <v>1912</v>
      </c>
      <c r="AN1087" s="55">
        <v>0</v>
      </c>
      <c r="AO1087" s="55">
        <v>0</v>
      </c>
      <c r="AP1087" s="55">
        <f t="shared" si="373"/>
        <v>0</v>
      </c>
      <c r="AQ1087" s="55">
        <f>IFERROR(VLOOKUP(A1087,[1]SIIMPLES!$A$2:$F$418,6,FALSE),0)</f>
        <v>0</v>
      </c>
      <c r="AR1087" s="55">
        <v>0</v>
      </c>
      <c r="AS1087" s="55">
        <v>2</v>
      </c>
      <c r="AT1087" s="55">
        <v>2</v>
      </c>
      <c r="AU1087" s="55">
        <v>0</v>
      </c>
      <c r="AV1087" s="55">
        <v>0</v>
      </c>
      <c r="AW1087" s="55"/>
      <c r="AX1087" s="55"/>
      <c r="AY1087" s="56">
        <f t="shared" si="374"/>
        <v>0.4</v>
      </c>
      <c r="AZ1087" s="55"/>
      <c r="BA1087" s="56">
        <v>0</v>
      </c>
      <c r="BB1087" s="41" t="str">
        <f t="shared" si="369"/>
        <v/>
      </c>
      <c r="BC1087" s="7"/>
      <c r="BD1087" s="35"/>
      <c r="BE1087" s="13"/>
      <c r="BF1087" s="16"/>
      <c r="BG1087" s="17">
        <f t="shared" si="372"/>
        <v>0</v>
      </c>
      <c r="BH1087" s="16">
        <f>IFERROR(IF(F1087=1,IF(BC1087&lt;AY1087*3,AY1087*3-BC1087,0),IF(BC1087&lt;AY1087,AY1087-BC1087,0)),"")</f>
        <v>0.4</v>
      </c>
    </row>
    <row r="1088" spans="1:60" ht="12.75" customHeight="1" x14ac:dyDescent="0.2">
      <c r="A1088" s="51">
        <v>772171</v>
      </c>
      <c r="B1088" s="51" t="s">
        <v>1077</v>
      </c>
      <c r="C1088" s="66" t="s">
        <v>1803</v>
      </c>
      <c r="D1088" s="52" t="s">
        <v>728</v>
      </c>
      <c r="E1088" s="65" t="s">
        <v>780</v>
      </c>
      <c r="F1088" s="53">
        <f>IFERROR(VLOOKUP(E1088,Fornecedores!$A$2:$B$2700,2,FALSE),"")</f>
        <v>2</v>
      </c>
      <c r="G1088" s="52" t="s">
        <v>1365</v>
      </c>
      <c r="H1088" s="57"/>
      <c r="I1088" s="55">
        <f t="shared" si="363"/>
        <v>0</v>
      </c>
      <c r="J1088" s="55">
        <v>0</v>
      </c>
      <c r="K1088" s="55">
        <v>0</v>
      </c>
      <c r="L1088" s="55">
        <v>0</v>
      </c>
      <c r="M1088" s="55">
        <v>0</v>
      </c>
      <c r="N1088" s="55">
        <f t="shared" si="364"/>
        <v>1</v>
      </c>
      <c r="O1088" s="55">
        <v>0</v>
      </c>
      <c r="P1088" s="55">
        <v>1</v>
      </c>
      <c r="Q1088" s="55">
        <v>0</v>
      </c>
      <c r="R1088" s="55">
        <f t="shared" si="365"/>
        <v>0</v>
      </c>
      <c r="S1088" s="55">
        <v>0</v>
      </c>
      <c r="T1088" s="55">
        <v>0</v>
      </c>
      <c r="U1088" s="55">
        <v>0</v>
      </c>
      <c r="V1088" s="55">
        <v>1</v>
      </c>
      <c r="W1088" s="53">
        <v>1</v>
      </c>
      <c r="X1088" s="53">
        <v>0</v>
      </c>
      <c r="Y1088" s="55">
        <v>0</v>
      </c>
      <c r="Z1088" s="55">
        <v>0</v>
      </c>
      <c r="AA1088" s="53">
        <v>0</v>
      </c>
      <c r="AB1088" s="53">
        <v>0</v>
      </c>
      <c r="AC1088" s="55">
        <v>0</v>
      </c>
      <c r="AD1088" s="55">
        <f t="shared" si="371"/>
        <v>1</v>
      </c>
      <c r="AE1088" s="53">
        <v>0</v>
      </c>
      <c r="AF1088" s="55">
        <v>1</v>
      </c>
      <c r="AG1088" s="55">
        <v>0</v>
      </c>
      <c r="AH1088" s="55">
        <f t="shared" si="367"/>
        <v>0</v>
      </c>
      <c r="AI1088" s="55">
        <v>0</v>
      </c>
      <c r="AJ1088" s="55">
        <v>0</v>
      </c>
      <c r="AK1088" s="55">
        <v>0</v>
      </c>
      <c r="AL1088" s="55">
        <f t="shared" si="368"/>
        <v>0</v>
      </c>
      <c r="AM1088" s="55" t="s">
        <v>1912</v>
      </c>
      <c r="AN1088" s="55">
        <v>0</v>
      </c>
      <c r="AO1088" s="55">
        <v>0</v>
      </c>
      <c r="AP1088" s="55">
        <f t="shared" si="373"/>
        <v>0</v>
      </c>
      <c r="AQ1088" s="55">
        <f>IFERROR(VLOOKUP(A1088,[1]SIIMPLES!$A$2:$F$418,6,FALSE),0)</f>
        <v>0</v>
      </c>
      <c r="AR1088" s="55">
        <v>0</v>
      </c>
      <c r="AS1088" s="55">
        <v>0</v>
      </c>
      <c r="AT1088" s="55">
        <v>0</v>
      </c>
      <c r="AU1088" s="55">
        <v>0</v>
      </c>
      <c r="AV1088" s="55">
        <v>0</v>
      </c>
      <c r="AW1088" s="55"/>
      <c r="AX1088" s="55"/>
      <c r="AY1088" s="56">
        <f t="shared" si="374"/>
        <v>0.3</v>
      </c>
      <c r="AZ1088" s="55"/>
      <c r="BA1088" s="56">
        <v>0</v>
      </c>
      <c r="BB1088" s="41" t="str">
        <f t="shared" si="369"/>
        <v/>
      </c>
      <c r="BC1088" s="7"/>
      <c r="BD1088" s="35"/>
      <c r="BE1088" s="13"/>
      <c r="BF1088" s="16"/>
      <c r="BG1088" s="17">
        <f t="shared" si="372"/>
        <v>0</v>
      </c>
      <c r="BH1088" s="16">
        <f>IFERROR(IF(F1088=1,IF(BC1088&lt;AY1088*3,AY1088*3-BC1088,0),IF(BC1088&lt;AY1088,AY1088-BC1088,0)),"")</f>
        <v>0.3</v>
      </c>
    </row>
    <row r="1089" spans="1:60" ht="12.75" customHeight="1" x14ac:dyDescent="0.2">
      <c r="A1089" s="51">
        <v>772172</v>
      </c>
      <c r="B1089" s="51" t="s">
        <v>1077</v>
      </c>
      <c r="C1089" s="66" t="s">
        <v>1803</v>
      </c>
      <c r="D1089" s="52" t="s">
        <v>728</v>
      </c>
      <c r="E1089" s="65" t="s">
        <v>780</v>
      </c>
      <c r="F1089" s="53">
        <f>IFERROR(VLOOKUP(E1089,Fornecedores!$A$2:$B$2700,2,FALSE),"")</f>
        <v>2</v>
      </c>
      <c r="G1089" s="52" t="s">
        <v>459</v>
      </c>
      <c r="H1089" s="57"/>
      <c r="I1089" s="55">
        <f t="shared" si="363"/>
        <v>0</v>
      </c>
      <c r="J1089" s="55">
        <v>0</v>
      </c>
      <c r="K1089" s="55">
        <v>0</v>
      </c>
      <c r="L1089" s="55">
        <v>0</v>
      </c>
      <c r="M1089" s="55">
        <v>0</v>
      </c>
      <c r="N1089" s="55">
        <f t="shared" si="364"/>
        <v>0</v>
      </c>
      <c r="O1089" s="55">
        <v>0</v>
      </c>
      <c r="P1089" s="55">
        <v>0</v>
      </c>
      <c r="Q1089" s="55">
        <v>0</v>
      </c>
      <c r="R1089" s="55">
        <f t="shared" si="365"/>
        <v>0</v>
      </c>
      <c r="S1089" s="55">
        <v>0</v>
      </c>
      <c r="T1089" s="55">
        <v>0</v>
      </c>
      <c r="U1089" s="55">
        <v>0</v>
      </c>
      <c r="V1089" s="55">
        <v>0</v>
      </c>
      <c r="W1089" s="53">
        <v>0</v>
      </c>
      <c r="X1089" s="53">
        <v>0</v>
      </c>
      <c r="Y1089" s="55">
        <v>0</v>
      </c>
      <c r="Z1089" s="55">
        <v>0</v>
      </c>
      <c r="AA1089" s="53">
        <v>0</v>
      </c>
      <c r="AB1089" s="53">
        <v>0</v>
      </c>
      <c r="AC1089" s="55">
        <v>0</v>
      </c>
      <c r="AD1089" s="55">
        <f t="shared" si="371"/>
        <v>0</v>
      </c>
      <c r="AE1089" s="53">
        <v>0</v>
      </c>
      <c r="AF1089" s="55">
        <v>0</v>
      </c>
      <c r="AG1089" s="55">
        <v>0</v>
      </c>
      <c r="AH1089" s="55">
        <f t="shared" si="367"/>
        <v>0</v>
      </c>
      <c r="AI1089" s="55">
        <v>0</v>
      </c>
      <c r="AJ1089" s="55">
        <v>0</v>
      </c>
      <c r="AK1089" s="55">
        <v>0</v>
      </c>
      <c r="AL1089" s="55">
        <f t="shared" si="368"/>
        <v>0</v>
      </c>
      <c r="AM1089" s="55" t="s">
        <v>1912</v>
      </c>
      <c r="AN1089" s="55">
        <v>0</v>
      </c>
      <c r="AO1089" s="55">
        <v>0</v>
      </c>
      <c r="AP1089" s="55">
        <f t="shared" si="373"/>
        <v>0</v>
      </c>
      <c r="AQ1089" s="55">
        <f>IFERROR(VLOOKUP(A1089,[1]SIIMPLES!$A$2:$F$418,6,FALSE),0)</f>
        <v>0</v>
      </c>
      <c r="AR1089" s="55">
        <v>0</v>
      </c>
      <c r="AS1089" s="55">
        <v>0</v>
      </c>
      <c r="AT1089" s="55">
        <v>0</v>
      </c>
      <c r="AU1089" s="55">
        <v>0</v>
      </c>
      <c r="AV1089" s="55">
        <v>0</v>
      </c>
      <c r="AW1089" s="55"/>
      <c r="AX1089" s="55"/>
      <c r="AY1089" s="56">
        <f t="shared" si="374"/>
        <v>0</v>
      </c>
      <c r="AZ1089" s="55"/>
      <c r="BA1089" s="56">
        <v>0.16666666666666666</v>
      </c>
      <c r="BB1089" s="41">
        <f t="shared" si="369"/>
        <v>-1</v>
      </c>
      <c r="BC1089" s="7"/>
      <c r="BD1089" s="35"/>
      <c r="BE1089" s="13"/>
      <c r="BF1089" s="16"/>
      <c r="BG1089" s="17" t="str">
        <f t="shared" si="372"/>
        <v>0</v>
      </c>
      <c r="BH1089" s="16">
        <f>IFERROR(IF(F1089=1,IF(BC1089&lt;AY1089*3,AY1089*3-BC1089,0),IF(BC1089&lt;AY1089,AY1089-BC1089,0)),"")</f>
        <v>0</v>
      </c>
    </row>
    <row r="1090" spans="1:60" ht="12.75" customHeight="1" x14ac:dyDescent="0.2">
      <c r="A1090" s="51">
        <v>772173</v>
      </c>
      <c r="B1090" s="51" t="s">
        <v>1077</v>
      </c>
      <c r="C1090" s="66" t="s">
        <v>1803</v>
      </c>
      <c r="D1090" s="52" t="s">
        <v>728</v>
      </c>
      <c r="E1090" s="65" t="s">
        <v>780</v>
      </c>
      <c r="F1090" s="53">
        <f>IFERROR(VLOOKUP(E1090,Fornecedores!$A$2:$B$2700,2,FALSE),"")</f>
        <v>2</v>
      </c>
      <c r="G1090" s="52" t="s">
        <v>458</v>
      </c>
      <c r="H1090" s="57"/>
      <c r="I1090" s="55">
        <f t="shared" si="363"/>
        <v>0</v>
      </c>
      <c r="J1090" s="55">
        <v>0</v>
      </c>
      <c r="K1090" s="55">
        <v>0</v>
      </c>
      <c r="L1090" s="55">
        <v>0</v>
      </c>
      <c r="M1090" s="55">
        <v>0</v>
      </c>
      <c r="N1090" s="55">
        <f t="shared" si="364"/>
        <v>0</v>
      </c>
      <c r="O1090" s="55">
        <v>0</v>
      </c>
      <c r="P1090" s="55">
        <v>0</v>
      </c>
      <c r="Q1090" s="55">
        <v>0</v>
      </c>
      <c r="R1090" s="55">
        <f t="shared" si="365"/>
        <v>1</v>
      </c>
      <c r="S1090" s="55">
        <v>1</v>
      </c>
      <c r="T1090" s="55">
        <v>0</v>
      </c>
      <c r="U1090" s="55">
        <v>0</v>
      </c>
      <c r="V1090" s="55">
        <v>0</v>
      </c>
      <c r="W1090" s="53">
        <v>0</v>
      </c>
      <c r="X1090" s="53">
        <v>0</v>
      </c>
      <c r="Y1090" s="55">
        <v>0</v>
      </c>
      <c r="Z1090" s="55">
        <v>0</v>
      </c>
      <c r="AA1090" s="53">
        <v>0</v>
      </c>
      <c r="AB1090" s="53">
        <v>0</v>
      </c>
      <c r="AC1090" s="55">
        <v>0</v>
      </c>
      <c r="AD1090" s="55">
        <f t="shared" si="371"/>
        <v>0</v>
      </c>
      <c r="AE1090" s="53">
        <v>0</v>
      </c>
      <c r="AF1090" s="55">
        <v>0</v>
      </c>
      <c r="AG1090" s="55">
        <v>0</v>
      </c>
      <c r="AH1090" s="55">
        <f t="shared" si="367"/>
        <v>0</v>
      </c>
      <c r="AI1090" s="55">
        <v>0</v>
      </c>
      <c r="AJ1090" s="55">
        <v>0</v>
      </c>
      <c r="AK1090" s="55">
        <v>0</v>
      </c>
      <c r="AL1090" s="55">
        <f t="shared" si="368"/>
        <v>0</v>
      </c>
      <c r="AM1090" s="55" t="s">
        <v>1912</v>
      </c>
      <c r="AN1090" s="55">
        <v>0</v>
      </c>
      <c r="AO1090" s="55">
        <v>0</v>
      </c>
      <c r="AP1090" s="55">
        <f t="shared" si="373"/>
        <v>0</v>
      </c>
      <c r="AQ1090" s="55">
        <f>IFERROR(VLOOKUP(A1090,[1]SIIMPLES!$A$2:$F$418,6,FALSE),0)</f>
        <v>0</v>
      </c>
      <c r="AR1090" s="55">
        <v>0</v>
      </c>
      <c r="AS1090" s="55">
        <v>0</v>
      </c>
      <c r="AT1090" s="55">
        <v>0</v>
      </c>
      <c r="AU1090" s="55">
        <v>0</v>
      </c>
      <c r="AV1090" s="55">
        <v>0</v>
      </c>
      <c r="AW1090" s="55"/>
      <c r="AX1090" s="55"/>
      <c r="AY1090" s="56">
        <f t="shared" si="374"/>
        <v>0.1</v>
      </c>
      <c r="AZ1090" s="55"/>
      <c r="BA1090" s="56">
        <v>0.16666666666666666</v>
      </c>
      <c r="BB1090" s="41">
        <f t="shared" si="369"/>
        <v>-0.39999999999999991</v>
      </c>
      <c r="BC1090" s="7"/>
      <c r="BD1090" s="35"/>
      <c r="BE1090" s="13"/>
      <c r="BF1090" s="16"/>
      <c r="BG1090" s="17">
        <f t="shared" si="372"/>
        <v>0</v>
      </c>
      <c r="BH1090" s="16">
        <f>IFERROR(IF(F1090=1,IF(BC1090&lt;AY1090*3,AY1090*3-BC1090,0),IF(BC1090&lt;AY1090,AY1090-BC1090,0)),"")</f>
        <v>0.1</v>
      </c>
    </row>
    <row r="1091" spans="1:60" ht="12.75" customHeight="1" x14ac:dyDescent="0.2">
      <c r="A1091" s="51">
        <v>772182</v>
      </c>
      <c r="B1091" s="51" t="s">
        <v>1077</v>
      </c>
      <c r="C1091" s="66" t="s">
        <v>1803</v>
      </c>
      <c r="D1091" s="52" t="s">
        <v>728</v>
      </c>
      <c r="E1091" s="65" t="s">
        <v>780</v>
      </c>
      <c r="F1091" s="53">
        <f>IFERROR(VLOOKUP(E1091,Fornecedores!$A$2:$B$2700,2,FALSE),"")</f>
        <v>2</v>
      </c>
      <c r="G1091" s="52" t="s">
        <v>1366</v>
      </c>
      <c r="H1091" s="57"/>
      <c r="I1091" s="55">
        <f t="shared" ref="I1091:I1138" si="375">SUM(J1091:M1091)</f>
        <v>1</v>
      </c>
      <c r="J1091" s="55">
        <v>0</v>
      </c>
      <c r="K1091" s="55">
        <v>1</v>
      </c>
      <c r="L1091" s="55">
        <v>0</v>
      </c>
      <c r="M1091" s="55">
        <v>0</v>
      </c>
      <c r="N1091" s="55">
        <f t="shared" ref="N1091:N1138" si="376">SUM(O1091:Q1091)</f>
        <v>0</v>
      </c>
      <c r="O1091" s="55">
        <v>0</v>
      </c>
      <c r="P1091" s="55">
        <v>0</v>
      </c>
      <c r="Q1091" s="55">
        <v>0</v>
      </c>
      <c r="R1091" s="55">
        <f t="shared" ref="R1091:R1138" si="377">SUM(S1091:U1091)</f>
        <v>0</v>
      </c>
      <c r="S1091" s="55">
        <v>0</v>
      </c>
      <c r="T1091" s="55">
        <v>0</v>
      </c>
      <c r="U1091" s="55">
        <v>0</v>
      </c>
      <c r="V1091" s="55">
        <v>0</v>
      </c>
      <c r="W1091" s="53">
        <v>0</v>
      </c>
      <c r="X1091" s="53">
        <v>0</v>
      </c>
      <c r="Y1091" s="55">
        <v>0</v>
      </c>
      <c r="Z1091" s="55">
        <v>0</v>
      </c>
      <c r="AA1091" s="53">
        <v>0</v>
      </c>
      <c r="AB1091" s="53">
        <v>0</v>
      </c>
      <c r="AC1091" s="55">
        <v>0</v>
      </c>
      <c r="AD1091" s="55">
        <f t="shared" si="371"/>
        <v>0</v>
      </c>
      <c r="AE1091" s="53">
        <v>0</v>
      </c>
      <c r="AF1091" s="55">
        <v>0</v>
      </c>
      <c r="AG1091" s="55">
        <v>0</v>
      </c>
      <c r="AH1091" s="55">
        <f t="shared" si="367"/>
        <v>0</v>
      </c>
      <c r="AI1091" s="55">
        <v>0</v>
      </c>
      <c r="AJ1091" s="55">
        <v>0</v>
      </c>
      <c r="AK1091" s="55">
        <v>0</v>
      </c>
      <c r="AL1091" s="55">
        <f t="shared" si="368"/>
        <v>0</v>
      </c>
      <c r="AM1091" s="55" t="s">
        <v>1912</v>
      </c>
      <c r="AN1091" s="55">
        <v>0</v>
      </c>
      <c r="AO1091" s="55">
        <v>0</v>
      </c>
      <c r="AP1091" s="55">
        <f t="shared" si="373"/>
        <v>0</v>
      </c>
      <c r="AQ1091" s="55">
        <f>IFERROR(VLOOKUP(A1091,[1]SIIMPLES!$A$2:$F$418,6,FALSE),0)</f>
        <v>0</v>
      </c>
      <c r="AR1091" s="55">
        <v>0</v>
      </c>
      <c r="AS1091" s="55">
        <v>0</v>
      </c>
      <c r="AT1091" s="55">
        <v>0</v>
      </c>
      <c r="AU1091" s="55">
        <v>0</v>
      </c>
      <c r="AV1091" s="55">
        <v>0</v>
      </c>
      <c r="AW1091" s="55"/>
      <c r="AX1091" s="55"/>
      <c r="AY1091" s="56">
        <f t="shared" si="374"/>
        <v>0.1</v>
      </c>
      <c r="AZ1091" s="55"/>
      <c r="BA1091" s="56">
        <v>0.33333333333333331</v>
      </c>
      <c r="BB1091" s="41">
        <f t="shared" si="369"/>
        <v>-0.7</v>
      </c>
      <c r="BC1091" s="13"/>
      <c r="BD1091" s="35"/>
      <c r="BE1091" s="13"/>
      <c r="BF1091" s="16"/>
      <c r="BG1091" s="17">
        <f t="shared" si="372"/>
        <v>0</v>
      </c>
      <c r="BH1091" s="16"/>
    </row>
    <row r="1092" spans="1:60" ht="12.75" customHeight="1" x14ac:dyDescent="0.2">
      <c r="A1092" s="51">
        <v>772183</v>
      </c>
      <c r="B1092" s="51" t="s">
        <v>1077</v>
      </c>
      <c r="C1092" s="66" t="s">
        <v>1803</v>
      </c>
      <c r="D1092" s="52" t="s">
        <v>728</v>
      </c>
      <c r="E1092" s="65" t="s">
        <v>780</v>
      </c>
      <c r="F1092" s="53">
        <f>IFERROR(VLOOKUP(E1092,Fornecedores!$A$2:$B$2700,2,FALSE),"")</f>
        <v>2</v>
      </c>
      <c r="G1092" s="52" t="s">
        <v>1367</v>
      </c>
      <c r="H1092" s="57"/>
      <c r="I1092" s="55">
        <f t="shared" si="375"/>
        <v>1</v>
      </c>
      <c r="J1092" s="55">
        <v>0</v>
      </c>
      <c r="K1092" s="55">
        <v>1</v>
      </c>
      <c r="L1092" s="55">
        <v>0</v>
      </c>
      <c r="M1092" s="55">
        <v>0</v>
      </c>
      <c r="N1092" s="55">
        <f t="shared" si="376"/>
        <v>0</v>
      </c>
      <c r="O1092" s="55">
        <v>0</v>
      </c>
      <c r="P1092" s="55">
        <v>0</v>
      </c>
      <c r="Q1092" s="55">
        <v>0</v>
      </c>
      <c r="R1092" s="55">
        <f t="shared" si="377"/>
        <v>0</v>
      </c>
      <c r="S1092" s="55">
        <v>0</v>
      </c>
      <c r="T1092" s="55">
        <v>0</v>
      </c>
      <c r="U1092" s="55">
        <v>0</v>
      </c>
      <c r="V1092" s="55">
        <v>0</v>
      </c>
      <c r="W1092" s="53">
        <v>0</v>
      </c>
      <c r="X1092" s="53">
        <v>0</v>
      </c>
      <c r="Y1092" s="55">
        <v>0</v>
      </c>
      <c r="Z1092" s="55">
        <v>0</v>
      </c>
      <c r="AA1092" s="53">
        <v>0</v>
      </c>
      <c r="AB1092" s="53">
        <v>0</v>
      </c>
      <c r="AC1092" s="55">
        <v>0</v>
      </c>
      <c r="AD1092" s="55">
        <f t="shared" si="371"/>
        <v>0</v>
      </c>
      <c r="AE1092" s="53">
        <v>0</v>
      </c>
      <c r="AF1092" s="55">
        <v>0</v>
      </c>
      <c r="AG1092" s="55">
        <v>0</v>
      </c>
      <c r="AH1092" s="55">
        <f t="shared" si="367"/>
        <v>0</v>
      </c>
      <c r="AI1092" s="55">
        <v>0</v>
      </c>
      <c r="AJ1092" s="55">
        <v>0</v>
      </c>
      <c r="AK1092" s="55">
        <v>0</v>
      </c>
      <c r="AL1092" s="55">
        <f t="shared" si="368"/>
        <v>0</v>
      </c>
      <c r="AM1092" s="55" t="s">
        <v>1912</v>
      </c>
      <c r="AN1092" s="55">
        <v>0</v>
      </c>
      <c r="AO1092" s="55">
        <v>0</v>
      </c>
      <c r="AP1092" s="55">
        <f t="shared" si="373"/>
        <v>0</v>
      </c>
      <c r="AQ1092" s="55">
        <f>IFERROR(VLOOKUP(A1092,[1]SIIMPLES!$A$2:$F$418,6,FALSE),0)</f>
        <v>0</v>
      </c>
      <c r="AR1092" s="55">
        <v>0</v>
      </c>
      <c r="AS1092" s="55">
        <v>0</v>
      </c>
      <c r="AT1092" s="55">
        <v>0</v>
      </c>
      <c r="AU1092" s="55">
        <v>0</v>
      </c>
      <c r="AV1092" s="55">
        <v>0</v>
      </c>
      <c r="AW1092" s="55"/>
      <c r="AX1092" s="55"/>
      <c r="AY1092" s="56">
        <f t="shared" si="374"/>
        <v>0.1</v>
      </c>
      <c r="AZ1092" s="55"/>
      <c r="BA1092" s="56">
        <v>0.16666666666666666</v>
      </c>
      <c r="BB1092" s="41">
        <f t="shared" si="369"/>
        <v>-0.39999999999999991</v>
      </c>
      <c r="BC1092" s="13"/>
      <c r="BD1092" s="35"/>
      <c r="BE1092" s="13"/>
      <c r="BF1092" s="16"/>
      <c r="BG1092" s="17">
        <f t="shared" si="372"/>
        <v>0</v>
      </c>
      <c r="BH1092" s="16">
        <f>IFERROR(IF(F1092=1,IF(BC1092&lt;AY1092*3,AY1092*3-BC1092,0),IF(BC1092&lt;AY1092,AY1092-BC1092,0)),"")</f>
        <v>0.1</v>
      </c>
    </row>
    <row r="1093" spans="1:60" ht="12.75" customHeight="1" x14ac:dyDescent="0.2">
      <c r="A1093" s="51">
        <v>772188</v>
      </c>
      <c r="B1093" s="51"/>
      <c r="C1093" s="66" t="s">
        <v>1803</v>
      </c>
      <c r="D1093" s="52" t="s">
        <v>728</v>
      </c>
      <c r="E1093" s="65" t="s">
        <v>780</v>
      </c>
      <c r="F1093" s="53">
        <f>IFERROR(VLOOKUP(E1093,Fornecedores!$A$2:$B$2700,2,FALSE),"")</f>
        <v>2</v>
      </c>
      <c r="G1093" s="52" t="s">
        <v>1368</v>
      </c>
      <c r="H1093" s="57"/>
      <c r="I1093" s="55">
        <f t="shared" si="375"/>
        <v>0</v>
      </c>
      <c r="J1093" s="55">
        <v>0</v>
      </c>
      <c r="K1093" s="55">
        <v>0</v>
      </c>
      <c r="L1093" s="55">
        <v>0</v>
      </c>
      <c r="M1093" s="55">
        <v>0</v>
      </c>
      <c r="N1093" s="55">
        <f t="shared" si="376"/>
        <v>0</v>
      </c>
      <c r="O1093" s="55">
        <v>0</v>
      </c>
      <c r="P1093" s="55">
        <v>0</v>
      </c>
      <c r="Q1093" s="55">
        <v>0</v>
      </c>
      <c r="R1093" s="55">
        <f t="shared" si="377"/>
        <v>0</v>
      </c>
      <c r="S1093" s="55">
        <v>0</v>
      </c>
      <c r="T1093" s="55">
        <v>0</v>
      </c>
      <c r="U1093" s="55">
        <v>0</v>
      </c>
      <c r="V1093" s="55">
        <v>0</v>
      </c>
      <c r="W1093" s="53">
        <v>0</v>
      </c>
      <c r="X1093" s="53">
        <v>0</v>
      </c>
      <c r="Y1093" s="55">
        <v>0</v>
      </c>
      <c r="Z1093" s="55">
        <v>0</v>
      </c>
      <c r="AA1093" s="53">
        <v>0</v>
      </c>
      <c r="AB1093" s="53">
        <v>0</v>
      </c>
      <c r="AC1093" s="55">
        <v>0</v>
      </c>
      <c r="AD1093" s="55">
        <f t="shared" si="371"/>
        <v>0</v>
      </c>
      <c r="AE1093" s="53">
        <v>0</v>
      </c>
      <c r="AF1093" s="55">
        <v>0</v>
      </c>
      <c r="AG1093" s="55">
        <v>0</v>
      </c>
      <c r="AH1093" s="55">
        <f t="shared" si="367"/>
        <v>0</v>
      </c>
      <c r="AI1093" s="55">
        <v>0</v>
      </c>
      <c r="AJ1093" s="55">
        <v>0</v>
      </c>
      <c r="AK1093" s="55">
        <v>0</v>
      </c>
      <c r="AL1093" s="55">
        <f t="shared" si="368"/>
        <v>0</v>
      </c>
      <c r="AM1093" s="55" t="s">
        <v>1912</v>
      </c>
      <c r="AN1093" s="55">
        <v>0</v>
      </c>
      <c r="AO1093" s="55">
        <v>0</v>
      </c>
      <c r="AP1093" s="55">
        <f t="shared" si="373"/>
        <v>0</v>
      </c>
      <c r="AQ1093" s="55">
        <f>IFERROR(VLOOKUP(A1093,[1]SIIMPLES!$A$2:$F$418,6,FALSE),0)</f>
        <v>0</v>
      </c>
      <c r="AR1093" s="55">
        <v>0</v>
      </c>
      <c r="AS1093" s="55">
        <v>0</v>
      </c>
      <c r="AT1093" s="55">
        <v>0</v>
      </c>
      <c r="AU1093" s="55">
        <v>0</v>
      </c>
      <c r="AV1093" s="55">
        <v>0</v>
      </c>
      <c r="AW1093" s="55"/>
      <c r="AX1093" s="55"/>
      <c r="AY1093" s="56">
        <f t="shared" si="374"/>
        <v>0</v>
      </c>
      <c r="AZ1093" s="55"/>
      <c r="BA1093" s="56">
        <v>0.33333333333333331</v>
      </c>
      <c r="BB1093" s="41">
        <f t="shared" si="369"/>
        <v>-1</v>
      </c>
      <c r="BC1093" s="13"/>
      <c r="BD1093" s="35"/>
      <c r="BE1093" s="13"/>
      <c r="BF1093" s="16"/>
      <c r="BG1093" s="17" t="str">
        <f t="shared" si="372"/>
        <v>0</v>
      </c>
      <c r="BH1093" s="16"/>
    </row>
    <row r="1094" spans="1:60" ht="12.75" customHeight="1" x14ac:dyDescent="0.2">
      <c r="A1094" s="51">
        <v>772190</v>
      </c>
      <c r="B1094" s="51" t="s">
        <v>1077</v>
      </c>
      <c r="C1094" s="66" t="s">
        <v>1803</v>
      </c>
      <c r="D1094" s="52" t="s">
        <v>728</v>
      </c>
      <c r="E1094" s="65" t="s">
        <v>780</v>
      </c>
      <c r="F1094" s="53">
        <f>IFERROR(VLOOKUP(E1094,Fornecedores!$A$2:$B$2700,2,FALSE),"")</f>
        <v>2</v>
      </c>
      <c r="G1094" s="52" t="s">
        <v>1369</v>
      </c>
      <c r="H1094" s="57"/>
      <c r="I1094" s="55">
        <f t="shared" si="375"/>
        <v>0</v>
      </c>
      <c r="J1094" s="55">
        <v>0</v>
      </c>
      <c r="K1094" s="55">
        <v>0</v>
      </c>
      <c r="L1094" s="55">
        <v>0</v>
      </c>
      <c r="M1094" s="55">
        <v>0</v>
      </c>
      <c r="N1094" s="55">
        <f t="shared" si="376"/>
        <v>0</v>
      </c>
      <c r="O1094" s="55">
        <v>0</v>
      </c>
      <c r="P1094" s="55">
        <v>0</v>
      </c>
      <c r="Q1094" s="55">
        <v>0</v>
      </c>
      <c r="R1094" s="55">
        <f t="shared" si="377"/>
        <v>0</v>
      </c>
      <c r="S1094" s="55">
        <v>0</v>
      </c>
      <c r="T1094" s="55">
        <v>0</v>
      </c>
      <c r="U1094" s="55">
        <v>0</v>
      </c>
      <c r="V1094" s="55">
        <v>0</v>
      </c>
      <c r="W1094" s="53">
        <v>0</v>
      </c>
      <c r="X1094" s="53">
        <v>0</v>
      </c>
      <c r="Y1094" s="55">
        <v>0</v>
      </c>
      <c r="Z1094" s="55">
        <v>0</v>
      </c>
      <c r="AA1094" s="53">
        <v>0</v>
      </c>
      <c r="AB1094" s="53">
        <v>0</v>
      </c>
      <c r="AC1094" s="55">
        <v>0</v>
      </c>
      <c r="AD1094" s="55">
        <f t="shared" si="371"/>
        <v>0</v>
      </c>
      <c r="AE1094" s="53">
        <v>0</v>
      </c>
      <c r="AF1094" s="55">
        <v>0</v>
      </c>
      <c r="AG1094" s="55">
        <v>0</v>
      </c>
      <c r="AH1094" s="55">
        <f t="shared" si="367"/>
        <v>0</v>
      </c>
      <c r="AI1094" s="55">
        <v>0</v>
      </c>
      <c r="AJ1094" s="55">
        <v>0</v>
      </c>
      <c r="AK1094" s="55">
        <v>0</v>
      </c>
      <c r="AL1094" s="55">
        <f t="shared" si="368"/>
        <v>0</v>
      </c>
      <c r="AM1094" s="55" t="s">
        <v>1912</v>
      </c>
      <c r="AN1094" s="55">
        <v>0</v>
      </c>
      <c r="AO1094" s="55">
        <v>0</v>
      </c>
      <c r="AP1094" s="55">
        <f t="shared" si="373"/>
        <v>0</v>
      </c>
      <c r="AQ1094" s="55">
        <f>IFERROR(VLOOKUP(A1094,[1]SIIMPLES!$A$2:$F$418,6,FALSE),0)</f>
        <v>0</v>
      </c>
      <c r="AR1094" s="55">
        <v>0</v>
      </c>
      <c r="AS1094" s="55">
        <v>0</v>
      </c>
      <c r="AT1094" s="55">
        <v>0</v>
      </c>
      <c r="AU1094" s="55">
        <v>0</v>
      </c>
      <c r="AV1094" s="55">
        <v>0</v>
      </c>
      <c r="AW1094" s="55"/>
      <c r="AX1094" s="55"/>
      <c r="AY1094" s="56">
        <f t="shared" si="374"/>
        <v>0</v>
      </c>
      <c r="AZ1094" s="55"/>
      <c r="BA1094" s="56">
        <v>0</v>
      </c>
      <c r="BB1094" s="41" t="str">
        <f t="shared" si="369"/>
        <v/>
      </c>
      <c r="BC1094" s="13"/>
      <c r="BD1094" s="35"/>
      <c r="BE1094" s="13"/>
      <c r="BF1094" s="16"/>
      <c r="BG1094" s="17" t="str">
        <f t="shared" si="372"/>
        <v>0</v>
      </c>
      <c r="BH1094" s="16"/>
    </row>
    <row r="1095" spans="1:60" ht="12.75" customHeight="1" x14ac:dyDescent="0.2">
      <c r="A1095" s="51">
        <v>772191</v>
      </c>
      <c r="B1095" s="51" t="s">
        <v>1077</v>
      </c>
      <c r="C1095" s="66" t="s">
        <v>1803</v>
      </c>
      <c r="D1095" s="52" t="s">
        <v>728</v>
      </c>
      <c r="E1095" s="65" t="s">
        <v>780</v>
      </c>
      <c r="F1095" s="53">
        <f>IFERROR(VLOOKUP(E1095,Fornecedores!$A$2:$B$2700,2,FALSE),"")</f>
        <v>2</v>
      </c>
      <c r="G1095" s="52" t="s">
        <v>871</v>
      </c>
      <c r="H1095" s="57"/>
      <c r="I1095" s="55">
        <f t="shared" si="375"/>
        <v>0</v>
      </c>
      <c r="J1095" s="55">
        <v>0</v>
      </c>
      <c r="K1095" s="55">
        <v>0</v>
      </c>
      <c r="L1095" s="55">
        <v>0</v>
      </c>
      <c r="M1095" s="55">
        <v>0</v>
      </c>
      <c r="N1095" s="55">
        <f t="shared" si="376"/>
        <v>0</v>
      </c>
      <c r="O1095" s="55">
        <v>0</v>
      </c>
      <c r="P1095" s="55">
        <v>0</v>
      </c>
      <c r="Q1095" s="55">
        <v>0</v>
      </c>
      <c r="R1095" s="55">
        <f t="shared" si="377"/>
        <v>0</v>
      </c>
      <c r="S1095" s="55">
        <v>0</v>
      </c>
      <c r="T1095" s="55">
        <v>0</v>
      </c>
      <c r="U1095" s="55">
        <v>0</v>
      </c>
      <c r="V1095" s="55">
        <v>0</v>
      </c>
      <c r="W1095" s="53">
        <v>0</v>
      </c>
      <c r="X1095" s="53">
        <v>0</v>
      </c>
      <c r="Y1095" s="55">
        <v>0</v>
      </c>
      <c r="Z1095" s="55">
        <v>0</v>
      </c>
      <c r="AA1095" s="53">
        <v>0</v>
      </c>
      <c r="AB1095" s="53">
        <v>0</v>
      </c>
      <c r="AC1095" s="55">
        <v>0</v>
      </c>
      <c r="AD1095" s="55">
        <f t="shared" si="371"/>
        <v>0</v>
      </c>
      <c r="AE1095" s="53">
        <v>0</v>
      </c>
      <c r="AF1095" s="55">
        <v>0</v>
      </c>
      <c r="AG1095" s="55">
        <v>0</v>
      </c>
      <c r="AH1095" s="55">
        <f t="shared" si="367"/>
        <v>0</v>
      </c>
      <c r="AI1095" s="55">
        <v>0</v>
      </c>
      <c r="AJ1095" s="55">
        <v>0</v>
      </c>
      <c r="AK1095" s="55">
        <v>0</v>
      </c>
      <c r="AL1095" s="55">
        <f t="shared" si="368"/>
        <v>0</v>
      </c>
      <c r="AM1095" s="55" t="s">
        <v>1912</v>
      </c>
      <c r="AN1095" s="55">
        <v>0</v>
      </c>
      <c r="AO1095" s="55">
        <v>0</v>
      </c>
      <c r="AP1095" s="55">
        <f t="shared" si="373"/>
        <v>0</v>
      </c>
      <c r="AQ1095" s="55">
        <f>IFERROR(VLOOKUP(A1095,[1]SIIMPLES!$A$2:$F$418,6,FALSE),0)</f>
        <v>0</v>
      </c>
      <c r="AR1095" s="55">
        <v>0</v>
      </c>
      <c r="AS1095" s="55">
        <v>0</v>
      </c>
      <c r="AT1095" s="55">
        <v>0</v>
      </c>
      <c r="AU1095" s="55">
        <v>0</v>
      </c>
      <c r="AV1095" s="55">
        <v>0</v>
      </c>
      <c r="AW1095" s="55"/>
      <c r="AX1095" s="55"/>
      <c r="AY1095" s="56">
        <f t="shared" si="374"/>
        <v>0</v>
      </c>
      <c r="AZ1095" s="55"/>
      <c r="BA1095" s="56">
        <v>0.16666666666666666</v>
      </c>
      <c r="BB1095" s="41">
        <f t="shared" si="369"/>
        <v>-1</v>
      </c>
      <c r="BC1095" s="13"/>
      <c r="BD1095" s="35"/>
      <c r="BE1095" s="13"/>
      <c r="BF1095" s="16"/>
      <c r="BG1095" s="17" t="str">
        <f t="shared" si="372"/>
        <v>0</v>
      </c>
      <c r="BH1095" s="16"/>
    </row>
    <row r="1096" spans="1:60" ht="12.75" customHeight="1" x14ac:dyDescent="0.2">
      <c r="A1096" s="51">
        <v>772192</v>
      </c>
      <c r="B1096" s="51" t="s">
        <v>1086</v>
      </c>
      <c r="C1096" s="66" t="s">
        <v>1803</v>
      </c>
      <c r="D1096" s="52" t="s">
        <v>728</v>
      </c>
      <c r="E1096" s="65" t="s">
        <v>780</v>
      </c>
      <c r="F1096" s="53">
        <f>IFERROR(VLOOKUP(E1096,Fornecedores!$A$2:$B$2700,2,FALSE),"")</f>
        <v>2</v>
      </c>
      <c r="G1096" s="52">
        <f>VLOOKUP(A1096,[2]CMV!$A$1:$F$2043,6,FALSE)</f>
        <v>0</v>
      </c>
      <c r="H1096" s="57"/>
      <c r="I1096" s="55">
        <f t="shared" si="375"/>
        <v>0</v>
      </c>
      <c r="J1096" s="55">
        <v>0</v>
      </c>
      <c r="K1096" s="55">
        <v>0</v>
      </c>
      <c r="L1096" s="55">
        <v>0</v>
      </c>
      <c r="M1096" s="55">
        <v>0</v>
      </c>
      <c r="N1096" s="55">
        <f t="shared" si="376"/>
        <v>0</v>
      </c>
      <c r="O1096" s="55">
        <v>0</v>
      </c>
      <c r="P1096" s="55">
        <v>0</v>
      </c>
      <c r="Q1096" s="55">
        <v>0</v>
      </c>
      <c r="R1096" s="55">
        <f t="shared" si="377"/>
        <v>0</v>
      </c>
      <c r="S1096" s="55">
        <v>0</v>
      </c>
      <c r="T1096" s="55">
        <v>0</v>
      </c>
      <c r="U1096" s="55">
        <v>0</v>
      </c>
      <c r="V1096" s="55">
        <v>0</v>
      </c>
      <c r="W1096" s="53">
        <v>0</v>
      </c>
      <c r="X1096" s="53">
        <v>0</v>
      </c>
      <c r="Y1096" s="55">
        <v>0</v>
      </c>
      <c r="Z1096" s="55">
        <v>0</v>
      </c>
      <c r="AA1096" s="53">
        <v>0</v>
      </c>
      <c r="AB1096" s="53">
        <v>0</v>
      </c>
      <c r="AC1096" s="55">
        <v>0</v>
      </c>
      <c r="AD1096" s="55">
        <f t="shared" si="371"/>
        <v>0</v>
      </c>
      <c r="AE1096" s="53">
        <v>0</v>
      </c>
      <c r="AF1096" s="55">
        <v>0</v>
      </c>
      <c r="AG1096" s="55">
        <v>0</v>
      </c>
      <c r="AH1096" s="55">
        <f t="shared" si="367"/>
        <v>0</v>
      </c>
      <c r="AI1096" s="55">
        <v>0</v>
      </c>
      <c r="AJ1096" s="55">
        <v>0</v>
      </c>
      <c r="AK1096" s="55">
        <v>0</v>
      </c>
      <c r="AL1096" s="55">
        <f t="shared" si="368"/>
        <v>0</v>
      </c>
      <c r="AM1096" s="55" t="s">
        <v>1912</v>
      </c>
      <c r="AN1096" s="55">
        <v>0</v>
      </c>
      <c r="AO1096" s="55">
        <v>0</v>
      </c>
      <c r="AP1096" s="55">
        <f t="shared" si="373"/>
        <v>0</v>
      </c>
      <c r="AQ1096" s="55">
        <f>IFERROR(VLOOKUP(A1096,[1]SIIMPLES!$A$2:$F$418,6,FALSE),0)</f>
        <v>0</v>
      </c>
      <c r="AR1096" s="55">
        <v>0</v>
      </c>
      <c r="AS1096" s="55">
        <v>0</v>
      </c>
      <c r="AT1096" s="55">
        <v>0</v>
      </c>
      <c r="AU1096" s="55">
        <v>0</v>
      </c>
      <c r="AV1096" s="55">
        <v>0</v>
      </c>
      <c r="AW1096" s="55"/>
      <c r="AX1096" s="55"/>
      <c r="AY1096" s="56">
        <f t="shared" si="374"/>
        <v>0</v>
      </c>
      <c r="AZ1096" s="55"/>
      <c r="BA1096" s="56">
        <v>0</v>
      </c>
      <c r="BB1096" s="41" t="str">
        <f t="shared" si="369"/>
        <v/>
      </c>
      <c r="BC1096" s="7"/>
      <c r="BD1096" s="35"/>
      <c r="BE1096" s="13"/>
      <c r="BF1096" s="16"/>
      <c r="BG1096" s="17" t="str">
        <f t="shared" si="372"/>
        <v>0</v>
      </c>
      <c r="BH1096" s="16">
        <f>IFERROR(IF(F1096=1,IF(BC1096&lt;AY1096*3,AY1096*3-BC1096,0),IF(BC1096&lt;AY1096,AY1096-BC1096,0)),"")</f>
        <v>0</v>
      </c>
    </row>
    <row r="1097" spans="1:60" ht="12.75" customHeight="1" x14ac:dyDescent="0.2">
      <c r="A1097" s="51">
        <v>772193</v>
      </c>
      <c r="B1097" s="51" t="s">
        <v>1086</v>
      </c>
      <c r="C1097" s="66" t="s">
        <v>1803</v>
      </c>
      <c r="D1097" s="52" t="s">
        <v>728</v>
      </c>
      <c r="E1097" s="65" t="s">
        <v>780</v>
      </c>
      <c r="F1097" s="53">
        <f>IFERROR(VLOOKUP(E1097,Fornecedores!$A$2:$B$2700,2,FALSE),"")</f>
        <v>2</v>
      </c>
      <c r="G1097" s="52">
        <v>0</v>
      </c>
      <c r="H1097" s="57"/>
      <c r="I1097" s="55">
        <f t="shared" si="375"/>
        <v>0</v>
      </c>
      <c r="J1097" s="55">
        <v>0</v>
      </c>
      <c r="K1097" s="55">
        <v>0</v>
      </c>
      <c r="L1097" s="55">
        <v>0</v>
      </c>
      <c r="M1097" s="55">
        <v>0</v>
      </c>
      <c r="N1097" s="55">
        <f t="shared" si="376"/>
        <v>0</v>
      </c>
      <c r="O1097" s="55">
        <v>0</v>
      </c>
      <c r="P1097" s="55">
        <v>0</v>
      </c>
      <c r="Q1097" s="55">
        <v>0</v>
      </c>
      <c r="R1097" s="55">
        <f t="shared" si="377"/>
        <v>0</v>
      </c>
      <c r="S1097" s="55">
        <v>0</v>
      </c>
      <c r="T1097" s="55">
        <v>0</v>
      </c>
      <c r="U1097" s="55">
        <v>0</v>
      </c>
      <c r="V1097" s="55">
        <v>0</v>
      </c>
      <c r="W1097" s="53">
        <v>0</v>
      </c>
      <c r="X1097" s="53">
        <v>0</v>
      </c>
      <c r="Y1097" s="55">
        <v>0</v>
      </c>
      <c r="Z1097" s="55">
        <v>0</v>
      </c>
      <c r="AA1097" s="53">
        <v>0</v>
      </c>
      <c r="AB1097" s="53">
        <v>0</v>
      </c>
      <c r="AC1097" s="55">
        <v>0</v>
      </c>
      <c r="AD1097" s="55">
        <f t="shared" si="371"/>
        <v>0</v>
      </c>
      <c r="AE1097" s="53">
        <v>0</v>
      </c>
      <c r="AF1097" s="55">
        <v>0</v>
      </c>
      <c r="AG1097" s="55">
        <v>0</v>
      </c>
      <c r="AH1097" s="55">
        <f t="shared" si="367"/>
        <v>0</v>
      </c>
      <c r="AI1097" s="55">
        <v>0</v>
      </c>
      <c r="AJ1097" s="55">
        <v>0</v>
      </c>
      <c r="AK1097" s="55">
        <v>0</v>
      </c>
      <c r="AL1097" s="55">
        <f t="shared" si="368"/>
        <v>0</v>
      </c>
      <c r="AM1097" s="55" t="s">
        <v>1912</v>
      </c>
      <c r="AN1097" s="55">
        <v>0</v>
      </c>
      <c r="AO1097" s="55">
        <v>0</v>
      </c>
      <c r="AP1097" s="55">
        <f t="shared" si="373"/>
        <v>0</v>
      </c>
      <c r="AQ1097" s="55">
        <f>IFERROR(VLOOKUP(A1097,[1]SIIMPLES!$A$2:$F$418,6,FALSE),0)</f>
        <v>0</v>
      </c>
      <c r="AR1097" s="55">
        <v>0</v>
      </c>
      <c r="AS1097" s="55">
        <v>0</v>
      </c>
      <c r="AT1097" s="55">
        <v>0</v>
      </c>
      <c r="AU1097" s="55">
        <v>0</v>
      </c>
      <c r="AV1097" s="55">
        <v>0</v>
      </c>
      <c r="AW1097" s="55"/>
      <c r="AX1097" s="55"/>
      <c r="AY1097" s="56">
        <f t="shared" si="374"/>
        <v>0</v>
      </c>
      <c r="AZ1097" s="55"/>
      <c r="BA1097" s="56">
        <v>0</v>
      </c>
      <c r="BB1097" s="41" t="str">
        <f t="shared" si="369"/>
        <v/>
      </c>
      <c r="BC1097" s="13"/>
      <c r="BD1097" s="35"/>
      <c r="BE1097" s="13"/>
      <c r="BF1097" s="16"/>
      <c r="BG1097" s="17" t="str">
        <f t="shared" si="372"/>
        <v>0</v>
      </c>
      <c r="BH1097" s="16">
        <f>IFERROR(IF(F1097=1,IF(BC1097&lt;AY1097*3,AY1097*3-BC1097,0),IF(BC1097&lt;AY1097,AY1097-BC1097,0)),"")</f>
        <v>0</v>
      </c>
    </row>
    <row r="1098" spans="1:60" ht="12.75" customHeight="1" x14ac:dyDescent="0.2">
      <c r="A1098" s="51">
        <v>772194</v>
      </c>
      <c r="B1098" s="51" t="s">
        <v>1077</v>
      </c>
      <c r="C1098" s="66" t="s">
        <v>1803</v>
      </c>
      <c r="D1098" s="52" t="s">
        <v>728</v>
      </c>
      <c r="E1098" s="65" t="s">
        <v>780</v>
      </c>
      <c r="F1098" s="53">
        <f>IFERROR(VLOOKUP(E1098,Fornecedores!$A$2:$B$2700,2,FALSE),"")</f>
        <v>2</v>
      </c>
      <c r="G1098" s="52" t="s">
        <v>853</v>
      </c>
      <c r="H1098" s="57"/>
      <c r="I1098" s="55">
        <f t="shared" si="375"/>
        <v>0</v>
      </c>
      <c r="J1098" s="55">
        <v>0</v>
      </c>
      <c r="K1098" s="55">
        <v>0</v>
      </c>
      <c r="L1098" s="55">
        <v>0</v>
      </c>
      <c r="M1098" s="55">
        <v>0</v>
      </c>
      <c r="N1098" s="55">
        <f t="shared" si="376"/>
        <v>0</v>
      </c>
      <c r="O1098" s="55">
        <v>0</v>
      </c>
      <c r="P1098" s="55">
        <v>0</v>
      </c>
      <c r="Q1098" s="55">
        <v>0</v>
      </c>
      <c r="R1098" s="55">
        <f t="shared" si="377"/>
        <v>0</v>
      </c>
      <c r="S1098" s="55">
        <v>0</v>
      </c>
      <c r="T1098" s="55">
        <v>0</v>
      </c>
      <c r="U1098" s="55">
        <v>0</v>
      </c>
      <c r="V1098" s="55">
        <v>0</v>
      </c>
      <c r="W1098" s="53">
        <v>0</v>
      </c>
      <c r="X1098" s="53">
        <v>0</v>
      </c>
      <c r="Y1098" s="55">
        <v>0</v>
      </c>
      <c r="Z1098" s="55">
        <v>0</v>
      </c>
      <c r="AA1098" s="53">
        <v>0</v>
      </c>
      <c r="AB1098" s="53">
        <v>0</v>
      </c>
      <c r="AC1098" s="55">
        <v>0</v>
      </c>
      <c r="AD1098" s="55">
        <f t="shared" si="371"/>
        <v>0</v>
      </c>
      <c r="AE1098" s="53">
        <v>0</v>
      </c>
      <c r="AF1098" s="55">
        <v>0</v>
      </c>
      <c r="AG1098" s="55">
        <v>0</v>
      </c>
      <c r="AH1098" s="55">
        <f t="shared" si="367"/>
        <v>0</v>
      </c>
      <c r="AI1098" s="55">
        <v>0</v>
      </c>
      <c r="AJ1098" s="55">
        <v>0</v>
      </c>
      <c r="AK1098" s="55">
        <v>0</v>
      </c>
      <c r="AL1098" s="55">
        <f t="shared" si="368"/>
        <v>0</v>
      </c>
      <c r="AM1098" s="55" t="s">
        <v>1912</v>
      </c>
      <c r="AN1098" s="55">
        <v>0</v>
      </c>
      <c r="AO1098" s="55">
        <v>0</v>
      </c>
      <c r="AP1098" s="55">
        <f t="shared" si="373"/>
        <v>0</v>
      </c>
      <c r="AQ1098" s="55">
        <f>IFERROR(VLOOKUP(A1098,[1]SIIMPLES!$A$2:$F$418,6,FALSE),0)</f>
        <v>0</v>
      </c>
      <c r="AR1098" s="55">
        <v>0</v>
      </c>
      <c r="AS1098" s="55">
        <v>0</v>
      </c>
      <c r="AT1098" s="55">
        <v>0</v>
      </c>
      <c r="AU1098" s="55">
        <v>0</v>
      </c>
      <c r="AV1098" s="55">
        <v>0</v>
      </c>
      <c r="AW1098" s="55"/>
      <c r="AX1098" s="55"/>
      <c r="AY1098" s="56">
        <f t="shared" si="374"/>
        <v>0</v>
      </c>
      <c r="AZ1098" s="55"/>
      <c r="BA1098" s="56">
        <v>1.6666666666666667</v>
      </c>
      <c r="BB1098" s="41">
        <f t="shared" si="369"/>
        <v>-1</v>
      </c>
      <c r="BC1098" s="10"/>
      <c r="BD1098" s="35"/>
      <c r="BE1098" s="13"/>
      <c r="BF1098" s="16"/>
      <c r="BG1098" s="17" t="str">
        <f t="shared" si="372"/>
        <v>0</v>
      </c>
      <c r="BH1098" s="16"/>
    </row>
    <row r="1099" spans="1:60" ht="12.75" customHeight="1" x14ac:dyDescent="0.2">
      <c r="A1099" s="51">
        <v>772195</v>
      </c>
      <c r="B1099" s="51" t="s">
        <v>1086</v>
      </c>
      <c r="C1099" s="66" t="s">
        <v>1803</v>
      </c>
      <c r="D1099" s="52" t="s">
        <v>728</v>
      </c>
      <c r="E1099" s="65" t="s">
        <v>780</v>
      </c>
      <c r="F1099" s="53">
        <f>IFERROR(VLOOKUP(E1099,Fornecedores!$A$2:$B$2700,2,FALSE),"")</f>
        <v>2</v>
      </c>
      <c r="G1099" s="52" t="s">
        <v>1839</v>
      </c>
      <c r="H1099" s="57"/>
      <c r="I1099" s="55">
        <f t="shared" si="375"/>
        <v>0</v>
      </c>
      <c r="J1099" s="55">
        <v>0</v>
      </c>
      <c r="K1099" s="55">
        <v>0</v>
      </c>
      <c r="L1099" s="55">
        <v>0</v>
      </c>
      <c r="M1099" s="55">
        <v>0</v>
      </c>
      <c r="N1099" s="55">
        <f t="shared" si="376"/>
        <v>0</v>
      </c>
      <c r="O1099" s="55">
        <v>0</v>
      </c>
      <c r="P1099" s="55">
        <v>0</v>
      </c>
      <c r="Q1099" s="55">
        <v>0</v>
      </c>
      <c r="R1099" s="55">
        <f t="shared" si="377"/>
        <v>0</v>
      </c>
      <c r="S1099" s="55">
        <v>0</v>
      </c>
      <c r="T1099" s="55">
        <v>0</v>
      </c>
      <c r="U1099" s="55">
        <v>0</v>
      </c>
      <c r="V1099" s="55">
        <v>0</v>
      </c>
      <c r="W1099" s="53">
        <v>0</v>
      </c>
      <c r="X1099" s="53">
        <v>0</v>
      </c>
      <c r="Y1099" s="55">
        <v>0</v>
      </c>
      <c r="Z1099" s="55">
        <v>0</v>
      </c>
      <c r="AA1099" s="53">
        <v>0</v>
      </c>
      <c r="AB1099" s="53">
        <v>0</v>
      </c>
      <c r="AC1099" s="55">
        <v>0</v>
      </c>
      <c r="AD1099" s="55">
        <f t="shared" si="371"/>
        <v>0</v>
      </c>
      <c r="AE1099" s="53">
        <v>0</v>
      </c>
      <c r="AF1099" s="55">
        <v>0</v>
      </c>
      <c r="AG1099" s="55">
        <v>0</v>
      </c>
      <c r="AH1099" s="55">
        <f t="shared" si="367"/>
        <v>0</v>
      </c>
      <c r="AI1099" s="55">
        <v>0</v>
      </c>
      <c r="AJ1099" s="55">
        <v>0</v>
      </c>
      <c r="AK1099" s="55">
        <v>0</v>
      </c>
      <c r="AL1099" s="55">
        <f t="shared" si="368"/>
        <v>0</v>
      </c>
      <c r="AM1099" s="55" t="s">
        <v>1912</v>
      </c>
      <c r="AN1099" s="55">
        <v>0</v>
      </c>
      <c r="AO1099" s="55">
        <v>0</v>
      </c>
      <c r="AP1099" s="55">
        <f t="shared" si="373"/>
        <v>0</v>
      </c>
      <c r="AQ1099" s="55">
        <f>IFERROR(VLOOKUP(A1099,[1]SIIMPLES!$A$2:$F$418,6,FALSE),0)</f>
        <v>0</v>
      </c>
      <c r="AR1099" s="55">
        <v>0</v>
      </c>
      <c r="AS1099" s="55">
        <v>0</v>
      </c>
      <c r="AT1099" s="55">
        <v>0</v>
      </c>
      <c r="AU1099" s="55">
        <v>0</v>
      </c>
      <c r="AV1099" s="55">
        <v>0</v>
      </c>
      <c r="AW1099" s="55"/>
      <c r="AX1099" s="55"/>
      <c r="AY1099" s="56">
        <f t="shared" si="374"/>
        <v>0</v>
      </c>
      <c r="AZ1099" s="55"/>
      <c r="BA1099" s="56">
        <v>0</v>
      </c>
      <c r="BB1099" s="41" t="str">
        <f t="shared" si="369"/>
        <v/>
      </c>
      <c r="BC1099" s="13"/>
      <c r="BD1099" s="35"/>
      <c r="BE1099" s="13"/>
      <c r="BF1099" s="16"/>
      <c r="BG1099" s="17" t="str">
        <f t="shared" si="372"/>
        <v>0</v>
      </c>
      <c r="BH1099" s="16"/>
    </row>
    <row r="1100" spans="1:60" ht="12.75" customHeight="1" x14ac:dyDescent="0.2">
      <c r="A1100" s="51">
        <v>772196</v>
      </c>
      <c r="B1100" s="51" t="s">
        <v>1086</v>
      </c>
      <c r="C1100" s="66" t="s">
        <v>1803</v>
      </c>
      <c r="D1100" s="52" t="s">
        <v>728</v>
      </c>
      <c r="E1100" s="65" t="s">
        <v>780</v>
      </c>
      <c r="F1100" s="53">
        <f>IFERROR(VLOOKUP(E1100,Fornecedores!$A$2:$B$2700,2,FALSE),"")</f>
        <v>2</v>
      </c>
      <c r="G1100" s="52" t="s">
        <v>1842</v>
      </c>
      <c r="H1100" s="57"/>
      <c r="I1100" s="55">
        <f t="shared" si="375"/>
        <v>0</v>
      </c>
      <c r="J1100" s="55">
        <v>0</v>
      </c>
      <c r="K1100" s="55">
        <v>0</v>
      </c>
      <c r="L1100" s="55">
        <v>0</v>
      </c>
      <c r="M1100" s="55">
        <v>0</v>
      </c>
      <c r="N1100" s="55">
        <f t="shared" si="376"/>
        <v>0</v>
      </c>
      <c r="O1100" s="55">
        <v>0</v>
      </c>
      <c r="P1100" s="55">
        <v>0</v>
      </c>
      <c r="Q1100" s="55">
        <v>0</v>
      </c>
      <c r="R1100" s="55">
        <f t="shared" si="377"/>
        <v>0</v>
      </c>
      <c r="S1100" s="55">
        <v>0</v>
      </c>
      <c r="T1100" s="55">
        <v>0</v>
      </c>
      <c r="U1100" s="55">
        <v>0</v>
      </c>
      <c r="V1100" s="55">
        <v>0</v>
      </c>
      <c r="W1100" s="53">
        <v>0</v>
      </c>
      <c r="X1100" s="53">
        <v>0</v>
      </c>
      <c r="Y1100" s="55">
        <v>0</v>
      </c>
      <c r="Z1100" s="55">
        <v>0</v>
      </c>
      <c r="AA1100" s="53">
        <v>0</v>
      </c>
      <c r="AB1100" s="53">
        <v>0</v>
      </c>
      <c r="AC1100" s="55">
        <v>0</v>
      </c>
      <c r="AD1100" s="55">
        <f t="shared" si="371"/>
        <v>0</v>
      </c>
      <c r="AE1100" s="53">
        <v>0</v>
      </c>
      <c r="AF1100" s="55">
        <v>0</v>
      </c>
      <c r="AG1100" s="55">
        <v>0</v>
      </c>
      <c r="AH1100" s="55">
        <f t="shared" si="367"/>
        <v>0</v>
      </c>
      <c r="AI1100" s="55">
        <v>0</v>
      </c>
      <c r="AJ1100" s="55">
        <v>0</v>
      </c>
      <c r="AK1100" s="55">
        <v>0</v>
      </c>
      <c r="AL1100" s="55">
        <f t="shared" si="368"/>
        <v>0</v>
      </c>
      <c r="AM1100" s="55" t="s">
        <v>1912</v>
      </c>
      <c r="AN1100" s="55">
        <v>0</v>
      </c>
      <c r="AO1100" s="55">
        <v>0</v>
      </c>
      <c r="AP1100" s="55">
        <f t="shared" si="373"/>
        <v>0</v>
      </c>
      <c r="AQ1100" s="55">
        <f>IFERROR(VLOOKUP(A1100,[1]SIIMPLES!$A$2:$F$418,6,FALSE),0)</f>
        <v>0</v>
      </c>
      <c r="AR1100" s="55">
        <v>0</v>
      </c>
      <c r="AS1100" s="55">
        <v>0</v>
      </c>
      <c r="AT1100" s="55">
        <v>0</v>
      </c>
      <c r="AU1100" s="55">
        <v>0</v>
      </c>
      <c r="AV1100" s="55">
        <v>0</v>
      </c>
      <c r="AW1100" s="55"/>
      <c r="AX1100" s="55"/>
      <c r="AY1100" s="56">
        <f t="shared" si="374"/>
        <v>0</v>
      </c>
      <c r="AZ1100" s="55"/>
      <c r="BA1100" s="56">
        <v>0</v>
      </c>
      <c r="BB1100" s="41" t="str">
        <f t="shared" si="369"/>
        <v/>
      </c>
      <c r="BC1100" s="13"/>
      <c r="BD1100" s="35"/>
      <c r="BE1100" s="13"/>
      <c r="BF1100" s="16"/>
      <c r="BG1100" s="17" t="str">
        <f t="shared" si="372"/>
        <v>0</v>
      </c>
      <c r="BH1100" s="16"/>
    </row>
    <row r="1101" spans="1:60" ht="12.75" customHeight="1" x14ac:dyDescent="0.2">
      <c r="A1101" s="51">
        <v>772202</v>
      </c>
      <c r="B1101" s="51" t="s">
        <v>1086</v>
      </c>
      <c r="C1101" s="66" t="s">
        <v>1803</v>
      </c>
      <c r="D1101" s="52" t="s">
        <v>728</v>
      </c>
      <c r="E1101" s="65" t="s">
        <v>780</v>
      </c>
      <c r="F1101" s="53">
        <f>IFERROR(VLOOKUP(E1101,Fornecedores!$A$2:$B$2700,2,FALSE),"")</f>
        <v>2</v>
      </c>
      <c r="G1101" s="52">
        <v>0</v>
      </c>
      <c r="H1101" s="57"/>
      <c r="I1101" s="55">
        <f t="shared" si="375"/>
        <v>0</v>
      </c>
      <c r="J1101" s="55">
        <v>0</v>
      </c>
      <c r="K1101" s="55">
        <v>0</v>
      </c>
      <c r="L1101" s="55">
        <v>0</v>
      </c>
      <c r="M1101" s="55">
        <v>0</v>
      </c>
      <c r="N1101" s="55">
        <f t="shared" si="376"/>
        <v>0</v>
      </c>
      <c r="O1101" s="55">
        <v>0</v>
      </c>
      <c r="P1101" s="55">
        <v>0</v>
      </c>
      <c r="Q1101" s="55">
        <v>0</v>
      </c>
      <c r="R1101" s="55">
        <f t="shared" si="377"/>
        <v>0</v>
      </c>
      <c r="S1101" s="55">
        <v>0</v>
      </c>
      <c r="T1101" s="55">
        <v>0</v>
      </c>
      <c r="U1101" s="55">
        <v>0</v>
      </c>
      <c r="V1101" s="55">
        <v>0</v>
      </c>
      <c r="W1101" s="53">
        <v>0</v>
      </c>
      <c r="X1101" s="53">
        <v>0</v>
      </c>
      <c r="Y1101" s="55">
        <v>0</v>
      </c>
      <c r="Z1101" s="55">
        <v>0</v>
      </c>
      <c r="AA1101" s="53">
        <v>0</v>
      </c>
      <c r="AB1101" s="53">
        <v>0</v>
      </c>
      <c r="AC1101" s="55">
        <v>0</v>
      </c>
      <c r="AD1101" s="55">
        <f t="shared" si="371"/>
        <v>0</v>
      </c>
      <c r="AE1101" s="53">
        <v>0</v>
      </c>
      <c r="AF1101" s="55">
        <v>0</v>
      </c>
      <c r="AG1101" s="55">
        <v>0</v>
      </c>
      <c r="AH1101" s="55">
        <f t="shared" si="367"/>
        <v>0</v>
      </c>
      <c r="AI1101" s="55">
        <v>0</v>
      </c>
      <c r="AJ1101" s="55">
        <v>0</v>
      </c>
      <c r="AK1101" s="55">
        <v>0</v>
      </c>
      <c r="AL1101" s="55">
        <f t="shared" si="368"/>
        <v>0</v>
      </c>
      <c r="AM1101" s="55" t="s">
        <v>1912</v>
      </c>
      <c r="AN1101" s="55">
        <v>0</v>
      </c>
      <c r="AO1101" s="55">
        <v>0</v>
      </c>
      <c r="AP1101" s="55">
        <f t="shared" si="373"/>
        <v>0</v>
      </c>
      <c r="AQ1101" s="55">
        <f>IFERROR(VLOOKUP(A1101,[1]SIIMPLES!$A$2:$F$418,6,FALSE),0)</f>
        <v>0</v>
      </c>
      <c r="AR1101" s="55">
        <v>0</v>
      </c>
      <c r="AS1101" s="55">
        <v>0</v>
      </c>
      <c r="AT1101" s="55">
        <v>0</v>
      </c>
      <c r="AU1101" s="55">
        <v>0</v>
      </c>
      <c r="AV1101" s="55">
        <v>0</v>
      </c>
      <c r="AW1101" s="55"/>
      <c r="AX1101" s="55"/>
      <c r="AY1101" s="56">
        <f t="shared" si="374"/>
        <v>0</v>
      </c>
      <c r="AZ1101" s="55"/>
      <c r="BA1101" s="56">
        <v>0</v>
      </c>
      <c r="BB1101" s="41" t="str">
        <f t="shared" si="369"/>
        <v/>
      </c>
      <c r="BC1101" s="13"/>
      <c r="BD1101" s="35"/>
      <c r="BE1101" s="13"/>
      <c r="BF1101" s="16"/>
      <c r="BG1101" s="17" t="str">
        <f t="shared" si="372"/>
        <v>0</v>
      </c>
      <c r="BH1101" s="16"/>
    </row>
    <row r="1102" spans="1:60" ht="12.75" customHeight="1" x14ac:dyDescent="0.2">
      <c r="A1102" s="51">
        <v>772203</v>
      </c>
      <c r="B1102" s="51" t="s">
        <v>1086</v>
      </c>
      <c r="C1102" s="66" t="s">
        <v>1803</v>
      </c>
      <c r="D1102" s="52" t="s">
        <v>728</v>
      </c>
      <c r="E1102" s="65" t="s">
        <v>780</v>
      </c>
      <c r="F1102" s="53">
        <f>IFERROR(VLOOKUP(E1102,Fornecedores!$A$2:$B$2700,2,FALSE),"")</f>
        <v>2</v>
      </c>
      <c r="G1102" s="52">
        <v>0</v>
      </c>
      <c r="H1102" s="57"/>
      <c r="I1102" s="55">
        <f t="shared" si="375"/>
        <v>0</v>
      </c>
      <c r="J1102" s="55">
        <v>0</v>
      </c>
      <c r="K1102" s="55">
        <v>0</v>
      </c>
      <c r="L1102" s="55">
        <v>0</v>
      </c>
      <c r="M1102" s="55">
        <v>0</v>
      </c>
      <c r="N1102" s="55">
        <f t="shared" si="376"/>
        <v>0</v>
      </c>
      <c r="O1102" s="55">
        <v>0</v>
      </c>
      <c r="P1102" s="55">
        <v>0</v>
      </c>
      <c r="Q1102" s="55">
        <v>0</v>
      </c>
      <c r="R1102" s="55">
        <f t="shared" si="377"/>
        <v>0</v>
      </c>
      <c r="S1102" s="55">
        <v>0</v>
      </c>
      <c r="T1102" s="55">
        <v>0</v>
      </c>
      <c r="U1102" s="55">
        <v>0</v>
      </c>
      <c r="V1102" s="55">
        <v>0</v>
      </c>
      <c r="W1102" s="53">
        <v>0</v>
      </c>
      <c r="X1102" s="53">
        <v>0</v>
      </c>
      <c r="Y1102" s="55">
        <v>0</v>
      </c>
      <c r="Z1102" s="55">
        <v>0</v>
      </c>
      <c r="AA1102" s="53">
        <v>0</v>
      </c>
      <c r="AB1102" s="53">
        <v>0</v>
      </c>
      <c r="AC1102" s="55">
        <v>0</v>
      </c>
      <c r="AD1102" s="55">
        <f t="shared" si="371"/>
        <v>0</v>
      </c>
      <c r="AE1102" s="53">
        <v>0</v>
      </c>
      <c r="AF1102" s="55">
        <v>0</v>
      </c>
      <c r="AG1102" s="55">
        <v>0</v>
      </c>
      <c r="AH1102" s="55">
        <f t="shared" si="367"/>
        <v>0</v>
      </c>
      <c r="AI1102" s="55">
        <v>0</v>
      </c>
      <c r="AJ1102" s="55">
        <v>0</v>
      </c>
      <c r="AK1102" s="55">
        <v>0</v>
      </c>
      <c r="AL1102" s="55">
        <f t="shared" si="368"/>
        <v>0</v>
      </c>
      <c r="AM1102" s="55" t="s">
        <v>1912</v>
      </c>
      <c r="AN1102" s="55">
        <v>0</v>
      </c>
      <c r="AO1102" s="55">
        <v>0</v>
      </c>
      <c r="AP1102" s="55">
        <f t="shared" si="373"/>
        <v>0</v>
      </c>
      <c r="AQ1102" s="55">
        <f>IFERROR(VLOOKUP(A1102,[1]SIIMPLES!$A$2:$F$418,6,FALSE),0)</f>
        <v>0</v>
      </c>
      <c r="AR1102" s="55">
        <v>0</v>
      </c>
      <c r="AS1102" s="55">
        <v>0</v>
      </c>
      <c r="AT1102" s="55">
        <v>0</v>
      </c>
      <c r="AU1102" s="55">
        <v>0</v>
      </c>
      <c r="AV1102" s="55">
        <v>0</v>
      </c>
      <c r="AW1102" s="55"/>
      <c r="AX1102" s="55"/>
      <c r="AY1102" s="56">
        <f t="shared" si="374"/>
        <v>0</v>
      </c>
      <c r="AZ1102" s="55"/>
      <c r="BA1102" s="56">
        <v>0</v>
      </c>
      <c r="BB1102" s="41" t="str">
        <f t="shared" si="369"/>
        <v/>
      </c>
      <c r="BC1102" s="13"/>
      <c r="BD1102" s="35"/>
      <c r="BE1102" s="13"/>
      <c r="BF1102" s="16"/>
      <c r="BG1102" s="17" t="str">
        <f t="shared" si="372"/>
        <v>0</v>
      </c>
      <c r="BH1102" s="16">
        <f>IFERROR(IF(F1102=1,IF(BC1102&lt;AY1102*3,AY1102*3-BC1102,0),IF(BC1102&lt;AY1102,AY1102-BC1102,0)),"")</f>
        <v>0</v>
      </c>
    </row>
    <row r="1103" spans="1:60" ht="12.75" customHeight="1" x14ac:dyDescent="0.2">
      <c r="A1103" s="51">
        <v>772204</v>
      </c>
      <c r="B1103" s="51"/>
      <c r="C1103" s="66" t="s">
        <v>1803</v>
      </c>
      <c r="D1103" s="52" t="s">
        <v>728</v>
      </c>
      <c r="E1103" s="65" t="s">
        <v>780</v>
      </c>
      <c r="F1103" s="53">
        <f>IFERROR(VLOOKUP(E1103,Fornecedores!$A$2:$B$2700,2,FALSE),"")</f>
        <v>2</v>
      </c>
      <c r="G1103" s="52" t="s">
        <v>1370</v>
      </c>
      <c r="H1103" s="57"/>
      <c r="I1103" s="55">
        <f t="shared" si="375"/>
        <v>2</v>
      </c>
      <c r="J1103" s="55">
        <v>1</v>
      </c>
      <c r="K1103" s="55">
        <v>1</v>
      </c>
      <c r="L1103" s="55">
        <v>0</v>
      </c>
      <c r="M1103" s="55">
        <v>0</v>
      </c>
      <c r="N1103" s="55">
        <f t="shared" si="376"/>
        <v>0</v>
      </c>
      <c r="O1103" s="55">
        <v>0</v>
      </c>
      <c r="P1103" s="55">
        <v>0</v>
      </c>
      <c r="Q1103" s="55">
        <v>0</v>
      </c>
      <c r="R1103" s="55">
        <f t="shared" si="377"/>
        <v>0</v>
      </c>
      <c r="S1103" s="55">
        <v>0</v>
      </c>
      <c r="T1103" s="55">
        <v>0</v>
      </c>
      <c r="U1103" s="55">
        <v>0</v>
      </c>
      <c r="V1103" s="55">
        <v>0</v>
      </c>
      <c r="W1103" s="53">
        <v>0</v>
      </c>
      <c r="X1103" s="53">
        <v>0</v>
      </c>
      <c r="Y1103" s="55">
        <v>0</v>
      </c>
      <c r="Z1103" s="55">
        <v>0</v>
      </c>
      <c r="AA1103" s="53">
        <v>0</v>
      </c>
      <c r="AB1103" s="53">
        <v>0</v>
      </c>
      <c r="AC1103" s="55">
        <v>0</v>
      </c>
      <c r="AD1103" s="55">
        <f t="shared" si="371"/>
        <v>0</v>
      </c>
      <c r="AE1103" s="53">
        <v>0</v>
      </c>
      <c r="AF1103" s="55">
        <v>0</v>
      </c>
      <c r="AG1103" s="55">
        <v>0</v>
      </c>
      <c r="AH1103" s="55">
        <f t="shared" si="367"/>
        <v>0</v>
      </c>
      <c r="AI1103" s="55">
        <v>0</v>
      </c>
      <c r="AJ1103" s="55">
        <v>0</v>
      </c>
      <c r="AK1103" s="55">
        <v>0</v>
      </c>
      <c r="AL1103" s="55">
        <f t="shared" si="368"/>
        <v>0</v>
      </c>
      <c r="AM1103" s="55" t="s">
        <v>1912</v>
      </c>
      <c r="AN1103" s="55">
        <v>0</v>
      </c>
      <c r="AO1103" s="55">
        <v>0</v>
      </c>
      <c r="AP1103" s="55">
        <f t="shared" si="373"/>
        <v>0</v>
      </c>
      <c r="AQ1103" s="55">
        <f>IFERROR(VLOOKUP(A1103,[1]SIIMPLES!$A$2:$F$418,6,FALSE),0)</f>
        <v>0</v>
      </c>
      <c r="AR1103" s="55">
        <v>0</v>
      </c>
      <c r="AS1103" s="55">
        <v>0</v>
      </c>
      <c r="AT1103" s="55">
        <v>0</v>
      </c>
      <c r="AU1103" s="55">
        <v>0</v>
      </c>
      <c r="AV1103" s="55">
        <v>0</v>
      </c>
      <c r="AW1103" s="55"/>
      <c r="AX1103" s="55"/>
      <c r="AY1103" s="56">
        <f t="shared" si="374"/>
        <v>0.2</v>
      </c>
      <c r="AZ1103" s="55"/>
      <c r="BA1103" s="56">
        <v>0.33333333333333331</v>
      </c>
      <c r="BB1103" s="41">
        <f t="shared" si="369"/>
        <v>-0.39999999999999991</v>
      </c>
      <c r="BC1103" s="13"/>
      <c r="BD1103" s="35"/>
      <c r="BE1103" s="13"/>
      <c r="BF1103" s="16"/>
      <c r="BG1103" s="17">
        <f t="shared" ref="BG1103:BG1134" si="378">IFERROR(BC1103/AY1103,"0")</f>
        <v>0</v>
      </c>
      <c r="BH1103" s="16"/>
    </row>
    <row r="1104" spans="1:60" ht="12.75" customHeight="1" x14ac:dyDescent="0.2">
      <c r="A1104" s="51">
        <v>772208</v>
      </c>
      <c r="B1104" s="51" t="s">
        <v>1086</v>
      </c>
      <c r="C1104" s="66" t="s">
        <v>1803</v>
      </c>
      <c r="D1104" s="52" t="s">
        <v>728</v>
      </c>
      <c r="E1104" s="65" t="s">
        <v>780</v>
      </c>
      <c r="F1104" s="53">
        <f>IFERROR(VLOOKUP(E1104,Fornecedores!$A$2:$B$2700,2,FALSE),"")</f>
        <v>2</v>
      </c>
      <c r="G1104" s="52">
        <v>0</v>
      </c>
      <c r="H1104" s="57"/>
      <c r="I1104" s="55">
        <f t="shared" si="375"/>
        <v>0</v>
      </c>
      <c r="J1104" s="55">
        <v>0</v>
      </c>
      <c r="K1104" s="55">
        <v>0</v>
      </c>
      <c r="L1104" s="55">
        <v>0</v>
      </c>
      <c r="M1104" s="55">
        <v>0</v>
      </c>
      <c r="N1104" s="55">
        <f t="shared" si="376"/>
        <v>0</v>
      </c>
      <c r="O1104" s="55">
        <v>0</v>
      </c>
      <c r="P1104" s="55">
        <v>0</v>
      </c>
      <c r="Q1104" s="55">
        <v>0</v>
      </c>
      <c r="R1104" s="55">
        <f t="shared" si="377"/>
        <v>0</v>
      </c>
      <c r="S1104" s="55">
        <v>0</v>
      </c>
      <c r="T1104" s="55">
        <v>0</v>
      </c>
      <c r="U1104" s="55">
        <v>0</v>
      </c>
      <c r="V1104" s="55">
        <v>0</v>
      </c>
      <c r="W1104" s="53">
        <v>0</v>
      </c>
      <c r="X1104" s="53">
        <v>0</v>
      </c>
      <c r="Y1104" s="55">
        <v>0</v>
      </c>
      <c r="Z1104" s="55">
        <v>0</v>
      </c>
      <c r="AA1104" s="53">
        <v>0</v>
      </c>
      <c r="AB1104" s="53">
        <v>0</v>
      </c>
      <c r="AC1104" s="55">
        <v>0</v>
      </c>
      <c r="AD1104" s="55">
        <f t="shared" si="371"/>
        <v>0</v>
      </c>
      <c r="AE1104" s="53">
        <v>0</v>
      </c>
      <c r="AF1104" s="55">
        <v>0</v>
      </c>
      <c r="AG1104" s="55">
        <v>0</v>
      </c>
      <c r="AH1104" s="55">
        <f t="shared" si="367"/>
        <v>0</v>
      </c>
      <c r="AI1104" s="55">
        <v>0</v>
      </c>
      <c r="AJ1104" s="55">
        <v>0</v>
      </c>
      <c r="AK1104" s="55">
        <v>0</v>
      </c>
      <c r="AL1104" s="55">
        <f t="shared" si="368"/>
        <v>0</v>
      </c>
      <c r="AM1104" s="55" t="s">
        <v>1912</v>
      </c>
      <c r="AN1104" s="55">
        <v>0</v>
      </c>
      <c r="AO1104" s="55">
        <v>0</v>
      </c>
      <c r="AP1104" s="55">
        <f t="shared" si="373"/>
        <v>0</v>
      </c>
      <c r="AQ1104" s="55">
        <f>IFERROR(VLOOKUP(A1104,[1]SIIMPLES!$A$2:$F$418,6,FALSE),0)</f>
        <v>0</v>
      </c>
      <c r="AR1104" s="55">
        <v>0</v>
      </c>
      <c r="AS1104" s="55">
        <v>0</v>
      </c>
      <c r="AT1104" s="55">
        <v>0</v>
      </c>
      <c r="AU1104" s="55">
        <v>0</v>
      </c>
      <c r="AV1104" s="55">
        <v>0</v>
      </c>
      <c r="AW1104" s="55"/>
      <c r="AX1104" s="55"/>
      <c r="AY1104" s="56">
        <f t="shared" si="374"/>
        <v>0</v>
      </c>
      <c r="AZ1104" s="55"/>
      <c r="BA1104" s="56">
        <v>0</v>
      </c>
      <c r="BB1104" s="41" t="str">
        <f t="shared" si="369"/>
        <v/>
      </c>
      <c r="BC1104" s="13"/>
      <c r="BD1104" s="35"/>
      <c r="BE1104" s="13"/>
      <c r="BF1104" s="16"/>
      <c r="BG1104" s="17" t="str">
        <f t="shared" si="378"/>
        <v>0</v>
      </c>
      <c r="BH1104" s="16">
        <f>IFERROR(IF(F1104=1,IF(BC1104&lt;AY1104*3,AY1104*3-BC1104,0),IF(BC1104&lt;AY1104,AY1104-BC1104,0)),"")</f>
        <v>0</v>
      </c>
    </row>
    <row r="1105" spans="1:60" ht="12.75" customHeight="1" x14ac:dyDescent="0.2">
      <c r="A1105" s="51">
        <v>772209</v>
      </c>
      <c r="B1105" s="51" t="s">
        <v>1086</v>
      </c>
      <c r="C1105" s="66" t="s">
        <v>1803</v>
      </c>
      <c r="D1105" s="52" t="s">
        <v>728</v>
      </c>
      <c r="E1105" s="65" t="s">
        <v>780</v>
      </c>
      <c r="F1105" s="53">
        <f>IFERROR(VLOOKUP(E1105,Fornecedores!$A$2:$B$2700,2,FALSE),"")</f>
        <v>2</v>
      </c>
      <c r="G1105" s="52">
        <v>0</v>
      </c>
      <c r="H1105" s="57"/>
      <c r="I1105" s="55">
        <f t="shared" si="375"/>
        <v>0</v>
      </c>
      <c r="J1105" s="55">
        <v>0</v>
      </c>
      <c r="K1105" s="55">
        <v>0</v>
      </c>
      <c r="L1105" s="55">
        <v>0</v>
      </c>
      <c r="M1105" s="55">
        <v>0</v>
      </c>
      <c r="N1105" s="55">
        <f t="shared" si="376"/>
        <v>0</v>
      </c>
      <c r="O1105" s="55">
        <v>0</v>
      </c>
      <c r="P1105" s="55">
        <v>0</v>
      </c>
      <c r="Q1105" s="55">
        <v>0</v>
      </c>
      <c r="R1105" s="55">
        <f t="shared" si="377"/>
        <v>0</v>
      </c>
      <c r="S1105" s="55">
        <v>0</v>
      </c>
      <c r="T1105" s="55">
        <v>0</v>
      </c>
      <c r="U1105" s="55">
        <v>0</v>
      </c>
      <c r="V1105" s="55">
        <v>0</v>
      </c>
      <c r="W1105" s="53">
        <v>0</v>
      </c>
      <c r="X1105" s="53">
        <v>0</v>
      </c>
      <c r="Y1105" s="55">
        <v>0</v>
      </c>
      <c r="Z1105" s="55">
        <v>0</v>
      </c>
      <c r="AA1105" s="53">
        <v>0</v>
      </c>
      <c r="AB1105" s="53">
        <v>0</v>
      </c>
      <c r="AC1105" s="55">
        <v>0</v>
      </c>
      <c r="AD1105" s="55">
        <f t="shared" si="371"/>
        <v>0</v>
      </c>
      <c r="AE1105" s="53">
        <v>0</v>
      </c>
      <c r="AF1105" s="55">
        <v>0</v>
      </c>
      <c r="AG1105" s="55">
        <v>0</v>
      </c>
      <c r="AH1105" s="55">
        <f t="shared" si="367"/>
        <v>0</v>
      </c>
      <c r="AI1105" s="55">
        <v>0</v>
      </c>
      <c r="AJ1105" s="55">
        <v>0</v>
      </c>
      <c r="AK1105" s="55">
        <v>0</v>
      </c>
      <c r="AL1105" s="55">
        <f t="shared" si="368"/>
        <v>0</v>
      </c>
      <c r="AM1105" s="55" t="s">
        <v>1912</v>
      </c>
      <c r="AN1105" s="55">
        <v>0</v>
      </c>
      <c r="AO1105" s="55">
        <v>0</v>
      </c>
      <c r="AP1105" s="55">
        <f t="shared" si="373"/>
        <v>0</v>
      </c>
      <c r="AQ1105" s="55">
        <f>IFERROR(VLOOKUP(A1105,[1]SIIMPLES!$A$2:$F$418,6,FALSE),0)</f>
        <v>0</v>
      </c>
      <c r="AR1105" s="55">
        <v>0</v>
      </c>
      <c r="AS1105" s="55">
        <v>0</v>
      </c>
      <c r="AT1105" s="55">
        <v>0</v>
      </c>
      <c r="AU1105" s="55">
        <v>0</v>
      </c>
      <c r="AV1105" s="55">
        <v>0</v>
      </c>
      <c r="AW1105" s="55"/>
      <c r="AX1105" s="55"/>
      <c r="AY1105" s="56">
        <f t="shared" si="374"/>
        <v>0</v>
      </c>
      <c r="AZ1105" s="55"/>
      <c r="BA1105" s="56">
        <v>0</v>
      </c>
      <c r="BB1105" s="41" t="str">
        <f t="shared" si="369"/>
        <v/>
      </c>
      <c r="BC1105" s="13"/>
      <c r="BD1105" s="35"/>
      <c r="BE1105" s="13"/>
      <c r="BF1105" s="16"/>
      <c r="BG1105" s="17" t="str">
        <f t="shared" si="378"/>
        <v>0</v>
      </c>
      <c r="BH1105" s="16"/>
    </row>
    <row r="1106" spans="1:60" ht="12.75" customHeight="1" x14ac:dyDescent="0.2">
      <c r="A1106" s="51">
        <v>772214</v>
      </c>
      <c r="B1106" s="51" t="s">
        <v>1077</v>
      </c>
      <c r="C1106" s="66" t="s">
        <v>1803</v>
      </c>
      <c r="D1106" s="52" t="s">
        <v>728</v>
      </c>
      <c r="E1106" s="65" t="s">
        <v>780</v>
      </c>
      <c r="F1106" s="53">
        <f>IFERROR(VLOOKUP(E1106,Fornecedores!$A$2:$B$2700,2,FALSE),"")</f>
        <v>2</v>
      </c>
      <c r="G1106" s="52" t="s">
        <v>412</v>
      </c>
      <c r="H1106" s="57"/>
      <c r="I1106" s="55">
        <f t="shared" si="375"/>
        <v>1</v>
      </c>
      <c r="J1106" s="55">
        <v>0</v>
      </c>
      <c r="K1106" s="55">
        <v>1</v>
      </c>
      <c r="L1106" s="55">
        <v>0</v>
      </c>
      <c r="M1106" s="55">
        <v>0</v>
      </c>
      <c r="N1106" s="55">
        <f t="shared" si="376"/>
        <v>0</v>
      </c>
      <c r="O1106" s="55">
        <v>0</v>
      </c>
      <c r="P1106" s="55">
        <v>0</v>
      </c>
      <c r="Q1106" s="55">
        <v>0</v>
      </c>
      <c r="R1106" s="55">
        <f t="shared" si="377"/>
        <v>0</v>
      </c>
      <c r="S1106" s="55">
        <v>0</v>
      </c>
      <c r="T1106" s="55">
        <v>0</v>
      </c>
      <c r="U1106" s="55">
        <v>0</v>
      </c>
      <c r="V1106" s="55">
        <v>0</v>
      </c>
      <c r="W1106" s="53">
        <v>0</v>
      </c>
      <c r="X1106" s="53">
        <v>0</v>
      </c>
      <c r="Y1106" s="55">
        <v>0</v>
      </c>
      <c r="Z1106" s="55">
        <v>0</v>
      </c>
      <c r="AA1106" s="53">
        <v>0</v>
      </c>
      <c r="AB1106" s="53">
        <v>0</v>
      </c>
      <c r="AC1106" s="55">
        <v>0</v>
      </c>
      <c r="AD1106" s="55">
        <f t="shared" si="371"/>
        <v>0</v>
      </c>
      <c r="AE1106" s="53">
        <v>0</v>
      </c>
      <c r="AF1106" s="55">
        <v>0</v>
      </c>
      <c r="AG1106" s="55">
        <v>0</v>
      </c>
      <c r="AH1106" s="55">
        <f t="shared" si="367"/>
        <v>0</v>
      </c>
      <c r="AI1106" s="55">
        <v>0</v>
      </c>
      <c r="AJ1106" s="55">
        <v>0</v>
      </c>
      <c r="AK1106" s="55">
        <v>0</v>
      </c>
      <c r="AL1106" s="55">
        <f t="shared" si="368"/>
        <v>0</v>
      </c>
      <c r="AM1106" s="55" t="s">
        <v>1912</v>
      </c>
      <c r="AN1106" s="55">
        <v>0</v>
      </c>
      <c r="AO1106" s="55">
        <v>0</v>
      </c>
      <c r="AP1106" s="55">
        <f t="shared" si="373"/>
        <v>0</v>
      </c>
      <c r="AQ1106" s="55">
        <f>IFERROR(VLOOKUP(A1106,[1]SIIMPLES!$A$2:$F$418,6,FALSE),0)</f>
        <v>0</v>
      </c>
      <c r="AR1106" s="55">
        <v>0</v>
      </c>
      <c r="AS1106" s="55">
        <v>0</v>
      </c>
      <c r="AT1106" s="55">
        <v>0</v>
      </c>
      <c r="AU1106" s="55">
        <v>0</v>
      </c>
      <c r="AV1106" s="55">
        <v>0</v>
      </c>
      <c r="AW1106" s="55"/>
      <c r="AX1106" s="55"/>
      <c r="AY1106" s="56">
        <f t="shared" si="374"/>
        <v>0.1</v>
      </c>
      <c r="AZ1106" s="55"/>
      <c r="BA1106" s="56">
        <v>0</v>
      </c>
      <c r="BB1106" s="41" t="str">
        <f t="shared" si="369"/>
        <v/>
      </c>
      <c r="BC1106" s="13"/>
      <c r="BD1106" s="35"/>
      <c r="BE1106" s="13"/>
      <c r="BF1106" s="16"/>
      <c r="BG1106" s="17">
        <f t="shared" si="378"/>
        <v>0</v>
      </c>
      <c r="BH1106" s="16"/>
    </row>
    <row r="1107" spans="1:60" ht="12.75" customHeight="1" x14ac:dyDescent="0.2">
      <c r="A1107" s="51">
        <v>772215</v>
      </c>
      <c r="B1107" s="51" t="s">
        <v>1077</v>
      </c>
      <c r="C1107" s="66" t="s">
        <v>1803</v>
      </c>
      <c r="D1107" s="52" t="s">
        <v>728</v>
      </c>
      <c r="E1107" s="65" t="s">
        <v>780</v>
      </c>
      <c r="F1107" s="53">
        <f>IFERROR(VLOOKUP(E1107,Fornecedores!$A$2:$B$2700,2,FALSE),"")</f>
        <v>2</v>
      </c>
      <c r="G1107" s="52" t="s">
        <v>402</v>
      </c>
      <c r="H1107" s="57"/>
      <c r="I1107" s="55">
        <f t="shared" si="375"/>
        <v>1</v>
      </c>
      <c r="J1107" s="55">
        <v>0</v>
      </c>
      <c r="K1107" s="55">
        <v>1</v>
      </c>
      <c r="L1107" s="55">
        <v>0</v>
      </c>
      <c r="M1107" s="55">
        <v>0</v>
      </c>
      <c r="N1107" s="55">
        <f t="shared" si="376"/>
        <v>0</v>
      </c>
      <c r="O1107" s="55">
        <v>0</v>
      </c>
      <c r="P1107" s="55">
        <v>0</v>
      </c>
      <c r="Q1107" s="55">
        <v>0</v>
      </c>
      <c r="R1107" s="55">
        <f t="shared" si="377"/>
        <v>0</v>
      </c>
      <c r="S1107" s="55">
        <v>0</v>
      </c>
      <c r="T1107" s="55">
        <v>0</v>
      </c>
      <c r="U1107" s="55">
        <v>0</v>
      </c>
      <c r="V1107" s="55">
        <v>0</v>
      </c>
      <c r="W1107" s="53">
        <v>0</v>
      </c>
      <c r="X1107" s="53">
        <v>0</v>
      </c>
      <c r="Y1107" s="55">
        <v>0</v>
      </c>
      <c r="Z1107" s="55">
        <v>0</v>
      </c>
      <c r="AA1107" s="53">
        <v>0</v>
      </c>
      <c r="AB1107" s="53">
        <v>0</v>
      </c>
      <c r="AC1107" s="55">
        <v>0</v>
      </c>
      <c r="AD1107" s="55">
        <f t="shared" si="371"/>
        <v>0</v>
      </c>
      <c r="AE1107" s="53">
        <v>0</v>
      </c>
      <c r="AF1107" s="55">
        <v>0</v>
      </c>
      <c r="AG1107" s="55">
        <v>0</v>
      </c>
      <c r="AH1107" s="55">
        <f t="shared" ref="AH1107:AH1170" si="379">SUM(AI1107:AK1107)</f>
        <v>0</v>
      </c>
      <c r="AI1107" s="55">
        <v>0</v>
      </c>
      <c r="AJ1107" s="55">
        <v>0</v>
      </c>
      <c r="AK1107" s="55">
        <v>0</v>
      </c>
      <c r="AL1107" s="55">
        <f t="shared" ref="AL1107:AL1170" si="380">SUM(AM1107:AO1107)</f>
        <v>0</v>
      </c>
      <c r="AM1107" s="55" t="s">
        <v>1912</v>
      </c>
      <c r="AN1107" s="55">
        <v>0</v>
      </c>
      <c r="AO1107" s="55">
        <v>0</v>
      </c>
      <c r="AP1107" s="55">
        <f t="shared" si="373"/>
        <v>0</v>
      </c>
      <c r="AQ1107" s="55">
        <f>IFERROR(VLOOKUP(A1107,[1]SIIMPLES!$A$2:$F$418,6,FALSE),0)</f>
        <v>0</v>
      </c>
      <c r="AR1107" s="55">
        <v>0</v>
      </c>
      <c r="AS1107" s="55">
        <v>0</v>
      </c>
      <c r="AT1107" s="55">
        <v>0</v>
      </c>
      <c r="AU1107" s="55">
        <v>0</v>
      </c>
      <c r="AV1107" s="55">
        <v>0</v>
      </c>
      <c r="AW1107" s="55"/>
      <c r="AX1107" s="55"/>
      <c r="AY1107" s="56">
        <f t="shared" si="374"/>
        <v>0.1</v>
      </c>
      <c r="AZ1107" s="55"/>
      <c r="BA1107" s="56">
        <v>0</v>
      </c>
      <c r="BB1107" s="41" t="str">
        <f t="shared" ref="BB1107:BB1170" si="381">IFERROR(AY1107/BA1107-1,"")</f>
        <v/>
      </c>
      <c r="BC1107" s="13"/>
      <c r="BD1107" s="35"/>
      <c r="BE1107" s="13"/>
      <c r="BF1107" s="16"/>
      <c r="BG1107" s="17">
        <f t="shared" si="378"/>
        <v>0</v>
      </c>
      <c r="BH1107" s="16">
        <f>IFERROR(IF(F1107=1,IF(BC1107&lt;AY1107*3,AY1107*3-BC1107,0),IF(BC1107&lt;AY1107,AY1107-BC1107,0)),"")</f>
        <v>0.1</v>
      </c>
    </row>
    <row r="1108" spans="1:60" ht="12.75" customHeight="1" x14ac:dyDescent="0.2">
      <c r="A1108" s="51">
        <v>772218</v>
      </c>
      <c r="B1108" s="51" t="s">
        <v>1086</v>
      </c>
      <c r="C1108" s="66" t="s">
        <v>1803</v>
      </c>
      <c r="D1108" s="52" t="s">
        <v>728</v>
      </c>
      <c r="E1108" s="65" t="s">
        <v>780</v>
      </c>
      <c r="F1108" s="53">
        <f>IFERROR(VLOOKUP(E1108,Fornecedores!$A$2:$B$2700,2,FALSE),"")</f>
        <v>2</v>
      </c>
      <c r="G1108" s="52" t="s">
        <v>1838</v>
      </c>
      <c r="H1108" s="57"/>
      <c r="I1108" s="55">
        <f t="shared" si="375"/>
        <v>0</v>
      </c>
      <c r="J1108" s="55">
        <v>0</v>
      </c>
      <c r="K1108" s="55">
        <v>0</v>
      </c>
      <c r="L1108" s="55">
        <v>0</v>
      </c>
      <c r="M1108" s="55">
        <v>0</v>
      </c>
      <c r="N1108" s="55">
        <f t="shared" si="376"/>
        <v>0</v>
      </c>
      <c r="O1108" s="55">
        <v>0</v>
      </c>
      <c r="P1108" s="55">
        <v>0</v>
      </c>
      <c r="Q1108" s="55">
        <v>0</v>
      </c>
      <c r="R1108" s="55">
        <f t="shared" si="377"/>
        <v>0</v>
      </c>
      <c r="S1108" s="55">
        <v>0</v>
      </c>
      <c r="T1108" s="55">
        <v>0</v>
      </c>
      <c r="U1108" s="55">
        <v>0</v>
      </c>
      <c r="V1108" s="55">
        <v>0</v>
      </c>
      <c r="W1108" s="53">
        <v>0</v>
      </c>
      <c r="X1108" s="53">
        <v>0</v>
      </c>
      <c r="Y1108" s="55">
        <v>0</v>
      </c>
      <c r="Z1108" s="55">
        <v>0</v>
      </c>
      <c r="AA1108" s="53">
        <v>0</v>
      </c>
      <c r="AB1108" s="53">
        <v>0</v>
      </c>
      <c r="AC1108" s="55">
        <v>0</v>
      </c>
      <c r="AD1108" s="55">
        <f t="shared" si="371"/>
        <v>0</v>
      </c>
      <c r="AE1108" s="53">
        <v>0</v>
      </c>
      <c r="AF1108" s="55">
        <v>0</v>
      </c>
      <c r="AG1108" s="55">
        <v>0</v>
      </c>
      <c r="AH1108" s="55">
        <f t="shared" si="379"/>
        <v>0</v>
      </c>
      <c r="AI1108" s="55">
        <v>0</v>
      </c>
      <c r="AJ1108" s="55">
        <v>0</v>
      </c>
      <c r="AK1108" s="55">
        <v>0</v>
      </c>
      <c r="AL1108" s="55">
        <f t="shared" si="380"/>
        <v>0</v>
      </c>
      <c r="AM1108" s="55" t="s">
        <v>1912</v>
      </c>
      <c r="AN1108" s="55">
        <v>0</v>
      </c>
      <c r="AO1108" s="55">
        <v>0</v>
      </c>
      <c r="AP1108" s="55">
        <f t="shared" si="373"/>
        <v>0</v>
      </c>
      <c r="AQ1108" s="55">
        <f>IFERROR(VLOOKUP(A1108,[1]SIIMPLES!$A$2:$F$418,6,FALSE),0)</f>
        <v>0</v>
      </c>
      <c r="AR1108" s="55">
        <v>0</v>
      </c>
      <c r="AS1108" s="55">
        <v>0</v>
      </c>
      <c r="AT1108" s="55">
        <v>0</v>
      </c>
      <c r="AU1108" s="55">
        <v>0</v>
      </c>
      <c r="AV1108" s="55">
        <v>0</v>
      </c>
      <c r="AW1108" s="55"/>
      <c r="AX1108" s="55"/>
      <c r="AY1108" s="56">
        <f t="shared" si="374"/>
        <v>0</v>
      </c>
      <c r="AZ1108" s="55"/>
      <c r="BA1108" s="56">
        <v>0</v>
      </c>
      <c r="BB1108" s="41" t="str">
        <f t="shared" si="381"/>
        <v/>
      </c>
      <c r="BC1108" s="13"/>
      <c r="BD1108" s="35"/>
      <c r="BE1108" s="13"/>
      <c r="BF1108" s="16"/>
      <c r="BG1108" s="17" t="str">
        <f t="shared" si="378"/>
        <v>0</v>
      </c>
      <c r="BH1108" s="16">
        <f>IFERROR(IF(F1108=1,IF(BC1108&lt;AY1108*3,AY1108*3-BC1108,0),IF(BC1108&lt;AY1108,AY1108-BC1108,0)),"")</f>
        <v>0</v>
      </c>
    </row>
    <row r="1109" spans="1:60" ht="12.75" customHeight="1" x14ac:dyDescent="0.2">
      <c r="A1109" s="51">
        <v>772219</v>
      </c>
      <c r="B1109" s="51" t="s">
        <v>1086</v>
      </c>
      <c r="C1109" s="66" t="s">
        <v>1803</v>
      </c>
      <c r="D1109" s="52" t="s">
        <v>728</v>
      </c>
      <c r="E1109" s="65" t="s">
        <v>780</v>
      </c>
      <c r="F1109" s="53">
        <f>IFERROR(VLOOKUP(E1109,Fornecedores!$A$2:$B$2700,2,FALSE),"")</f>
        <v>2</v>
      </c>
      <c r="G1109" s="52" t="s">
        <v>1841</v>
      </c>
      <c r="H1109" s="57"/>
      <c r="I1109" s="55">
        <f t="shared" si="375"/>
        <v>0</v>
      </c>
      <c r="J1109" s="55">
        <v>0</v>
      </c>
      <c r="K1109" s="55">
        <v>0</v>
      </c>
      <c r="L1109" s="55">
        <v>0</v>
      </c>
      <c r="M1109" s="55">
        <v>0</v>
      </c>
      <c r="N1109" s="55">
        <f t="shared" si="376"/>
        <v>0</v>
      </c>
      <c r="O1109" s="55">
        <v>0</v>
      </c>
      <c r="P1109" s="55">
        <v>0</v>
      </c>
      <c r="Q1109" s="55">
        <v>0</v>
      </c>
      <c r="R1109" s="55">
        <f t="shared" si="377"/>
        <v>0</v>
      </c>
      <c r="S1109" s="55">
        <v>0</v>
      </c>
      <c r="T1109" s="55">
        <v>0</v>
      </c>
      <c r="U1109" s="55">
        <v>0</v>
      </c>
      <c r="V1109" s="55">
        <v>0</v>
      </c>
      <c r="W1109" s="53">
        <v>0</v>
      </c>
      <c r="X1109" s="53">
        <v>0</v>
      </c>
      <c r="Y1109" s="55">
        <v>0</v>
      </c>
      <c r="Z1109" s="55">
        <v>0</v>
      </c>
      <c r="AA1109" s="53">
        <v>0</v>
      </c>
      <c r="AB1109" s="53">
        <v>0</v>
      </c>
      <c r="AC1109" s="55">
        <v>0</v>
      </c>
      <c r="AD1109" s="55">
        <f t="shared" si="371"/>
        <v>0</v>
      </c>
      <c r="AE1109" s="53">
        <v>0</v>
      </c>
      <c r="AF1109" s="55">
        <v>0</v>
      </c>
      <c r="AG1109" s="55">
        <v>0</v>
      </c>
      <c r="AH1109" s="55">
        <f t="shared" si="379"/>
        <v>0</v>
      </c>
      <c r="AI1109" s="55">
        <v>0</v>
      </c>
      <c r="AJ1109" s="55">
        <v>0</v>
      </c>
      <c r="AK1109" s="55">
        <v>0</v>
      </c>
      <c r="AL1109" s="55">
        <f t="shared" si="380"/>
        <v>0</v>
      </c>
      <c r="AM1109" s="55" t="s">
        <v>1912</v>
      </c>
      <c r="AN1109" s="55">
        <v>0</v>
      </c>
      <c r="AO1109" s="55">
        <v>0</v>
      </c>
      <c r="AP1109" s="55">
        <f t="shared" si="373"/>
        <v>0</v>
      </c>
      <c r="AQ1109" s="55">
        <f>IFERROR(VLOOKUP(A1109,[1]SIIMPLES!$A$2:$F$418,6,FALSE),0)</f>
        <v>0</v>
      </c>
      <c r="AR1109" s="55">
        <v>0</v>
      </c>
      <c r="AS1109" s="55">
        <v>0</v>
      </c>
      <c r="AT1109" s="55">
        <v>0</v>
      </c>
      <c r="AU1109" s="55">
        <v>0</v>
      </c>
      <c r="AV1109" s="55">
        <v>0</v>
      </c>
      <c r="AW1109" s="55"/>
      <c r="AX1109" s="55"/>
      <c r="AY1109" s="56">
        <f t="shared" si="374"/>
        <v>0</v>
      </c>
      <c r="AZ1109" s="55"/>
      <c r="BA1109" s="56">
        <v>0</v>
      </c>
      <c r="BB1109" s="41" t="str">
        <f t="shared" si="381"/>
        <v/>
      </c>
      <c r="BC1109" s="13"/>
      <c r="BD1109" s="35"/>
      <c r="BE1109" s="13"/>
      <c r="BF1109" s="16"/>
      <c r="BG1109" s="17" t="str">
        <f t="shared" si="378"/>
        <v>0</v>
      </c>
      <c r="BH1109" s="16">
        <f>IFERROR(IF(F1109=1,IF(BC1109&lt;AY1109*3,AY1109*3-BC1109,0),IF(BC1109&lt;AY1109,AY1109-BC1109,0)),"")</f>
        <v>0</v>
      </c>
    </row>
    <row r="1110" spans="1:60" ht="12.75" customHeight="1" x14ac:dyDescent="0.2">
      <c r="A1110" s="51">
        <v>772220</v>
      </c>
      <c r="B1110" s="51" t="s">
        <v>1086</v>
      </c>
      <c r="C1110" s="66" t="s">
        <v>1803</v>
      </c>
      <c r="D1110" s="52" t="s">
        <v>728</v>
      </c>
      <c r="E1110" s="65" t="s">
        <v>780</v>
      </c>
      <c r="F1110" s="53">
        <f>IFERROR(VLOOKUP(E1110,Fornecedores!$A$2:$B$2700,2,FALSE),"")</f>
        <v>2</v>
      </c>
      <c r="G1110" s="52">
        <v>0</v>
      </c>
      <c r="H1110" s="57"/>
      <c r="I1110" s="55">
        <f t="shared" si="375"/>
        <v>0</v>
      </c>
      <c r="J1110" s="55">
        <v>0</v>
      </c>
      <c r="K1110" s="55">
        <v>0</v>
      </c>
      <c r="L1110" s="55">
        <v>0</v>
      </c>
      <c r="M1110" s="55">
        <v>0</v>
      </c>
      <c r="N1110" s="55">
        <f t="shared" si="376"/>
        <v>0</v>
      </c>
      <c r="O1110" s="55">
        <v>0</v>
      </c>
      <c r="P1110" s="55">
        <v>0</v>
      </c>
      <c r="Q1110" s="55">
        <v>0</v>
      </c>
      <c r="R1110" s="55">
        <f t="shared" si="377"/>
        <v>0</v>
      </c>
      <c r="S1110" s="55">
        <v>0</v>
      </c>
      <c r="T1110" s="55">
        <v>0</v>
      </c>
      <c r="U1110" s="55">
        <v>0</v>
      </c>
      <c r="V1110" s="55">
        <v>0</v>
      </c>
      <c r="W1110" s="53">
        <v>0</v>
      </c>
      <c r="X1110" s="53">
        <v>0</v>
      </c>
      <c r="Y1110" s="55">
        <v>0</v>
      </c>
      <c r="Z1110" s="55">
        <v>0</v>
      </c>
      <c r="AA1110" s="53">
        <v>0</v>
      </c>
      <c r="AB1110" s="53">
        <v>0</v>
      </c>
      <c r="AC1110" s="55">
        <v>0</v>
      </c>
      <c r="AD1110" s="55">
        <f t="shared" si="371"/>
        <v>0</v>
      </c>
      <c r="AE1110" s="53">
        <v>0</v>
      </c>
      <c r="AF1110" s="55">
        <v>0</v>
      </c>
      <c r="AG1110" s="55">
        <v>0</v>
      </c>
      <c r="AH1110" s="55">
        <f t="shared" si="379"/>
        <v>0</v>
      </c>
      <c r="AI1110" s="55">
        <v>0</v>
      </c>
      <c r="AJ1110" s="55">
        <v>0</v>
      </c>
      <c r="AK1110" s="55">
        <v>0</v>
      </c>
      <c r="AL1110" s="55">
        <f t="shared" si="380"/>
        <v>0</v>
      </c>
      <c r="AM1110" s="55" t="s">
        <v>1912</v>
      </c>
      <c r="AN1110" s="55">
        <v>0</v>
      </c>
      <c r="AO1110" s="55">
        <v>0</v>
      </c>
      <c r="AP1110" s="55">
        <f t="shared" si="373"/>
        <v>0</v>
      </c>
      <c r="AQ1110" s="55">
        <f>IFERROR(VLOOKUP(A1110,[1]SIIMPLES!$A$2:$F$418,6,FALSE),0)</f>
        <v>0</v>
      </c>
      <c r="AR1110" s="55">
        <v>0</v>
      </c>
      <c r="AS1110" s="55">
        <v>0</v>
      </c>
      <c r="AT1110" s="55">
        <v>0</v>
      </c>
      <c r="AU1110" s="55">
        <v>0</v>
      </c>
      <c r="AV1110" s="55">
        <v>0</v>
      </c>
      <c r="AW1110" s="55"/>
      <c r="AX1110" s="55"/>
      <c r="AY1110" s="56">
        <f t="shared" si="374"/>
        <v>0</v>
      </c>
      <c r="AZ1110" s="55"/>
      <c r="BA1110" s="56">
        <v>0</v>
      </c>
      <c r="BB1110" s="41" t="str">
        <f t="shared" si="381"/>
        <v/>
      </c>
      <c r="BC1110" s="13"/>
      <c r="BD1110" s="35"/>
      <c r="BE1110" s="13"/>
      <c r="BF1110" s="16"/>
      <c r="BG1110" s="17" t="str">
        <f t="shared" si="378"/>
        <v>0</v>
      </c>
      <c r="BH1110" s="16">
        <f>IFERROR(IF(F1110=1,IF(BC1110&lt;AY1110*3,AY1110*3-BC1110,0),IF(BC1110&lt;AY1110,AY1110-BC1110,0)),"")</f>
        <v>0</v>
      </c>
    </row>
    <row r="1111" spans="1:60" ht="12.75" customHeight="1" x14ac:dyDescent="0.2">
      <c r="A1111" s="51">
        <v>772221</v>
      </c>
      <c r="B1111" s="51" t="s">
        <v>1077</v>
      </c>
      <c r="C1111" s="66" t="s">
        <v>1803</v>
      </c>
      <c r="D1111" s="52" t="s">
        <v>728</v>
      </c>
      <c r="E1111" s="65" t="s">
        <v>780</v>
      </c>
      <c r="F1111" s="53">
        <f>IFERROR(VLOOKUP(E1111,Fornecedores!$A$2:$B$2700,2,FALSE),"")</f>
        <v>2</v>
      </c>
      <c r="G1111" s="52" t="s">
        <v>39</v>
      </c>
      <c r="H1111" s="57"/>
      <c r="I1111" s="55">
        <f t="shared" si="375"/>
        <v>0</v>
      </c>
      <c r="J1111" s="55">
        <v>0</v>
      </c>
      <c r="K1111" s="55">
        <v>0</v>
      </c>
      <c r="L1111" s="55">
        <v>0</v>
      </c>
      <c r="M1111" s="55">
        <v>0</v>
      </c>
      <c r="N1111" s="55">
        <f t="shared" si="376"/>
        <v>0</v>
      </c>
      <c r="O1111" s="55">
        <v>0</v>
      </c>
      <c r="P1111" s="55">
        <v>0</v>
      </c>
      <c r="Q1111" s="55">
        <v>0</v>
      </c>
      <c r="R1111" s="55">
        <f t="shared" si="377"/>
        <v>0</v>
      </c>
      <c r="S1111" s="55">
        <v>0</v>
      </c>
      <c r="T1111" s="55">
        <v>0</v>
      </c>
      <c r="U1111" s="55">
        <v>0</v>
      </c>
      <c r="V1111" s="55">
        <v>0</v>
      </c>
      <c r="W1111" s="53">
        <v>0</v>
      </c>
      <c r="X1111" s="53">
        <v>0</v>
      </c>
      <c r="Y1111" s="55">
        <v>0</v>
      </c>
      <c r="Z1111" s="55">
        <v>0</v>
      </c>
      <c r="AA1111" s="53">
        <v>0</v>
      </c>
      <c r="AB1111" s="53">
        <v>0</v>
      </c>
      <c r="AC1111" s="55">
        <v>0</v>
      </c>
      <c r="AD1111" s="55">
        <f t="shared" si="371"/>
        <v>0</v>
      </c>
      <c r="AE1111" s="53">
        <v>0</v>
      </c>
      <c r="AF1111" s="55">
        <v>0</v>
      </c>
      <c r="AG1111" s="55">
        <v>0</v>
      </c>
      <c r="AH1111" s="55">
        <f t="shared" si="379"/>
        <v>0</v>
      </c>
      <c r="AI1111" s="55">
        <v>0</v>
      </c>
      <c r="AJ1111" s="55">
        <v>0</v>
      </c>
      <c r="AK1111" s="55">
        <v>0</v>
      </c>
      <c r="AL1111" s="55">
        <f t="shared" si="380"/>
        <v>0</v>
      </c>
      <c r="AM1111" s="55" t="s">
        <v>1912</v>
      </c>
      <c r="AN1111" s="55">
        <v>0</v>
      </c>
      <c r="AO1111" s="55">
        <v>0</v>
      </c>
      <c r="AP1111" s="55">
        <f t="shared" si="373"/>
        <v>0</v>
      </c>
      <c r="AQ1111" s="55">
        <f>IFERROR(VLOOKUP(A1111,[1]SIIMPLES!$A$2:$F$418,6,FALSE),0)</f>
        <v>0</v>
      </c>
      <c r="AR1111" s="55">
        <v>0</v>
      </c>
      <c r="AS1111" s="55">
        <v>0</v>
      </c>
      <c r="AT1111" s="55">
        <v>0</v>
      </c>
      <c r="AU1111" s="55">
        <v>0</v>
      </c>
      <c r="AV1111" s="55">
        <v>0</v>
      </c>
      <c r="AW1111" s="55"/>
      <c r="AX1111" s="55"/>
      <c r="AY1111" s="56">
        <f t="shared" si="374"/>
        <v>0</v>
      </c>
      <c r="AZ1111" s="55"/>
      <c r="BA1111" s="56">
        <v>0.33333333333333331</v>
      </c>
      <c r="BB1111" s="41">
        <f t="shared" si="381"/>
        <v>-1</v>
      </c>
      <c r="BC1111" s="13"/>
      <c r="BD1111" s="35"/>
      <c r="BE1111" s="13"/>
      <c r="BF1111" s="16"/>
      <c r="BG1111" s="17" t="str">
        <f t="shared" si="378"/>
        <v>0</v>
      </c>
      <c r="BH1111" s="16">
        <f>IFERROR(IF(F1111=1,IF(BC1111&lt;AY1111*3,AY1111*3-BC1111,0),IF(BC1111&lt;AY1111,AY1111-BC1111,0)),"")</f>
        <v>0</v>
      </c>
    </row>
    <row r="1112" spans="1:60" ht="12.75" customHeight="1" x14ac:dyDescent="0.2">
      <c r="A1112" s="51">
        <v>772222</v>
      </c>
      <c r="B1112" s="51" t="s">
        <v>1077</v>
      </c>
      <c r="C1112" s="66" t="s">
        <v>1803</v>
      </c>
      <c r="D1112" s="52" t="s">
        <v>728</v>
      </c>
      <c r="E1112" s="65" t="s">
        <v>780</v>
      </c>
      <c r="F1112" s="53">
        <f>IFERROR(VLOOKUP(E1112,Fornecedores!$A$2:$B$2700,2,FALSE),"")</f>
        <v>2</v>
      </c>
      <c r="G1112" s="52" t="s">
        <v>719</v>
      </c>
      <c r="H1112" s="57"/>
      <c r="I1112" s="55">
        <f t="shared" si="375"/>
        <v>0</v>
      </c>
      <c r="J1112" s="55">
        <v>0</v>
      </c>
      <c r="K1112" s="55">
        <v>0</v>
      </c>
      <c r="L1112" s="55">
        <v>0</v>
      </c>
      <c r="M1112" s="55">
        <v>0</v>
      </c>
      <c r="N1112" s="55">
        <f t="shared" si="376"/>
        <v>0</v>
      </c>
      <c r="O1112" s="55">
        <v>0</v>
      </c>
      <c r="P1112" s="55">
        <v>0</v>
      </c>
      <c r="Q1112" s="55">
        <v>0</v>
      </c>
      <c r="R1112" s="55">
        <f t="shared" si="377"/>
        <v>1</v>
      </c>
      <c r="S1112" s="55">
        <v>0</v>
      </c>
      <c r="T1112" s="55">
        <v>0</v>
      </c>
      <c r="U1112" s="55">
        <v>1</v>
      </c>
      <c r="V1112" s="55">
        <v>0</v>
      </c>
      <c r="W1112" s="53">
        <v>0</v>
      </c>
      <c r="X1112" s="53">
        <v>0</v>
      </c>
      <c r="Y1112" s="55">
        <v>0</v>
      </c>
      <c r="Z1112" s="55">
        <v>0</v>
      </c>
      <c r="AA1112" s="53">
        <v>0</v>
      </c>
      <c r="AB1112" s="53">
        <v>0</v>
      </c>
      <c r="AC1112" s="55">
        <v>0</v>
      </c>
      <c r="AD1112" s="55">
        <f t="shared" si="371"/>
        <v>0</v>
      </c>
      <c r="AE1112" s="53">
        <v>0</v>
      </c>
      <c r="AF1112" s="55">
        <v>0</v>
      </c>
      <c r="AG1112" s="55">
        <v>0</v>
      </c>
      <c r="AH1112" s="55">
        <f t="shared" si="379"/>
        <v>0</v>
      </c>
      <c r="AI1112" s="55">
        <v>0</v>
      </c>
      <c r="AJ1112" s="55">
        <v>0</v>
      </c>
      <c r="AK1112" s="55">
        <v>0</v>
      </c>
      <c r="AL1112" s="55">
        <f t="shared" si="380"/>
        <v>0</v>
      </c>
      <c r="AM1112" s="55" t="s">
        <v>1912</v>
      </c>
      <c r="AN1112" s="55">
        <v>0</v>
      </c>
      <c r="AO1112" s="55">
        <v>0</v>
      </c>
      <c r="AP1112" s="55">
        <f t="shared" si="373"/>
        <v>0</v>
      </c>
      <c r="AQ1112" s="55">
        <f>IFERROR(VLOOKUP(A1112,[1]SIIMPLES!$A$2:$F$418,6,FALSE),0)</f>
        <v>0</v>
      </c>
      <c r="AR1112" s="55">
        <v>0</v>
      </c>
      <c r="AS1112" s="55">
        <v>0</v>
      </c>
      <c r="AT1112" s="55">
        <v>0</v>
      </c>
      <c r="AU1112" s="55">
        <v>0</v>
      </c>
      <c r="AV1112" s="55">
        <v>0</v>
      </c>
      <c r="AW1112" s="55"/>
      <c r="AX1112" s="55"/>
      <c r="AY1112" s="56">
        <f t="shared" si="374"/>
        <v>0.1</v>
      </c>
      <c r="AZ1112" s="55"/>
      <c r="BA1112" s="56">
        <v>0.33333333333333331</v>
      </c>
      <c r="BB1112" s="41">
        <f t="shared" si="381"/>
        <v>-0.7</v>
      </c>
      <c r="BC1112" s="7"/>
      <c r="BD1112" s="35"/>
      <c r="BE1112" s="13"/>
      <c r="BF1112" s="16"/>
      <c r="BG1112" s="17">
        <f t="shared" si="378"/>
        <v>0</v>
      </c>
      <c r="BH1112" s="16"/>
    </row>
    <row r="1113" spans="1:60" ht="12.75" customHeight="1" x14ac:dyDescent="0.2">
      <c r="A1113" s="51">
        <v>772226</v>
      </c>
      <c r="B1113" s="51" t="s">
        <v>1086</v>
      </c>
      <c r="C1113" s="66" t="s">
        <v>1803</v>
      </c>
      <c r="D1113" s="52" t="s">
        <v>728</v>
      </c>
      <c r="E1113" s="65" t="s">
        <v>780</v>
      </c>
      <c r="F1113" s="53">
        <f>IFERROR(VLOOKUP(E1113,Fornecedores!$A$2:$B$2700,2,FALSE),"")</f>
        <v>2</v>
      </c>
      <c r="G1113" s="52">
        <v>0</v>
      </c>
      <c r="H1113" s="57"/>
      <c r="I1113" s="55">
        <f t="shared" si="375"/>
        <v>0</v>
      </c>
      <c r="J1113" s="55">
        <v>0</v>
      </c>
      <c r="K1113" s="55">
        <v>0</v>
      </c>
      <c r="L1113" s="55">
        <v>0</v>
      </c>
      <c r="M1113" s="55">
        <v>0</v>
      </c>
      <c r="N1113" s="55">
        <f t="shared" si="376"/>
        <v>0</v>
      </c>
      <c r="O1113" s="55">
        <v>0</v>
      </c>
      <c r="P1113" s="55">
        <v>0</v>
      </c>
      <c r="Q1113" s="55">
        <v>0</v>
      </c>
      <c r="R1113" s="55">
        <f t="shared" si="377"/>
        <v>0</v>
      </c>
      <c r="S1113" s="55">
        <v>0</v>
      </c>
      <c r="T1113" s="55">
        <v>0</v>
      </c>
      <c r="U1113" s="55">
        <v>0</v>
      </c>
      <c r="V1113" s="55">
        <v>0</v>
      </c>
      <c r="W1113" s="53">
        <v>0</v>
      </c>
      <c r="X1113" s="53">
        <v>0</v>
      </c>
      <c r="Y1113" s="55">
        <v>0</v>
      </c>
      <c r="Z1113" s="55">
        <v>0</v>
      </c>
      <c r="AA1113" s="53">
        <v>0</v>
      </c>
      <c r="AB1113" s="53">
        <v>0</v>
      </c>
      <c r="AC1113" s="55">
        <v>0</v>
      </c>
      <c r="AD1113" s="55">
        <f t="shared" si="371"/>
        <v>0</v>
      </c>
      <c r="AE1113" s="53">
        <v>0</v>
      </c>
      <c r="AF1113" s="55">
        <v>0</v>
      </c>
      <c r="AG1113" s="55">
        <v>0</v>
      </c>
      <c r="AH1113" s="55">
        <f t="shared" si="379"/>
        <v>0</v>
      </c>
      <c r="AI1113" s="55">
        <v>0</v>
      </c>
      <c r="AJ1113" s="55">
        <v>0</v>
      </c>
      <c r="AK1113" s="55">
        <v>0</v>
      </c>
      <c r="AL1113" s="55">
        <f t="shared" si="380"/>
        <v>0</v>
      </c>
      <c r="AM1113" s="55" t="s">
        <v>1912</v>
      </c>
      <c r="AN1113" s="55">
        <v>0</v>
      </c>
      <c r="AO1113" s="55">
        <v>0</v>
      </c>
      <c r="AP1113" s="55">
        <f t="shared" si="373"/>
        <v>0</v>
      </c>
      <c r="AQ1113" s="55">
        <f>IFERROR(VLOOKUP(A1113,[1]SIIMPLES!$A$2:$F$418,6,FALSE),0)</f>
        <v>0</v>
      </c>
      <c r="AR1113" s="55">
        <v>0</v>
      </c>
      <c r="AS1113" s="55">
        <v>0</v>
      </c>
      <c r="AT1113" s="55">
        <v>0</v>
      </c>
      <c r="AU1113" s="55">
        <v>0</v>
      </c>
      <c r="AV1113" s="55">
        <v>0</v>
      </c>
      <c r="AW1113" s="55"/>
      <c r="AX1113" s="55"/>
      <c r="AY1113" s="56">
        <f t="shared" si="374"/>
        <v>0</v>
      </c>
      <c r="AZ1113" s="55"/>
      <c r="BA1113" s="56">
        <v>0</v>
      </c>
      <c r="BB1113" s="41" t="str">
        <f t="shared" si="381"/>
        <v/>
      </c>
      <c r="BC1113" s="13"/>
      <c r="BD1113" s="35"/>
      <c r="BE1113" s="13"/>
      <c r="BF1113" s="16"/>
      <c r="BG1113" s="17" t="str">
        <f t="shared" si="378"/>
        <v>0</v>
      </c>
      <c r="BH1113" s="16">
        <f>IFERROR(IF(F1113=1,IF(BC1113&lt;AY1113*3,AY1113*3-BC1113,0),IF(BC1113&lt;AY1113,AY1113-BC1113,0)),"")</f>
        <v>0</v>
      </c>
    </row>
    <row r="1114" spans="1:60" ht="12.75" customHeight="1" x14ac:dyDescent="0.2">
      <c r="A1114" s="51">
        <v>772227</v>
      </c>
      <c r="B1114" s="51" t="s">
        <v>1086</v>
      </c>
      <c r="C1114" s="66" t="s">
        <v>1803</v>
      </c>
      <c r="D1114" s="52" t="s">
        <v>728</v>
      </c>
      <c r="E1114" s="65" t="s">
        <v>780</v>
      </c>
      <c r="F1114" s="53">
        <f>IFERROR(VLOOKUP(E1114,Fornecedores!$A$2:$B$2700,2,FALSE),"")</f>
        <v>2</v>
      </c>
      <c r="G1114" s="52">
        <v>0</v>
      </c>
      <c r="H1114" s="57"/>
      <c r="I1114" s="55">
        <f t="shared" si="375"/>
        <v>0</v>
      </c>
      <c r="J1114" s="55">
        <v>0</v>
      </c>
      <c r="K1114" s="55">
        <v>0</v>
      </c>
      <c r="L1114" s="55">
        <v>0</v>
      </c>
      <c r="M1114" s="55">
        <v>0</v>
      </c>
      <c r="N1114" s="55">
        <f t="shared" si="376"/>
        <v>0</v>
      </c>
      <c r="O1114" s="55">
        <v>0</v>
      </c>
      <c r="P1114" s="55">
        <v>0</v>
      </c>
      <c r="Q1114" s="55">
        <v>0</v>
      </c>
      <c r="R1114" s="55">
        <f t="shared" si="377"/>
        <v>0</v>
      </c>
      <c r="S1114" s="55">
        <v>0</v>
      </c>
      <c r="T1114" s="55">
        <v>0</v>
      </c>
      <c r="U1114" s="55">
        <v>0</v>
      </c>
      <c r="V1114" s="55">
        <v>0</v>
      </c>
      <c r="W1114" s="53">
        <v>0</v>
      </c>
      <c r="X1114" s="53">
        <v>0</v>
      </c>
      <c r="Y1114" s="55">
        <v>0</v>
      </c>
      <c r="Z1114" s="55">
        <v>0</v>
      </c>
      <c r="AA1114" s="53">
        <v>0</v>
      </c>
      <c r="AB1114" s="53">
        <v>0</v>
      </c>
      <c r="AC1114" s="55">
        <v>0</v>
      </c>
      <c r="AD1114" s="55">
        <f t="shared" si="371"/>
        <v>0</v>
      </c>
      <c r="AE1114" s="53">
        <v>0</v>
      </c>
      <c r="AF1114" s="55">
        <v>0</v>
      </c>
      <c r="AG1114" s="55">
        <v>0</v>
      </c>
      <c r="AH1114" s="55">
        <f t="shared" si="379"/>
        <v>0</v>
      </c>
      <c r="AI1114" s="55">
        <v>0</v>
      </c>
      <c r="AJ1114" s="55">
        <v>0</v>
      </c>
      <c r="AK1114" s="55">
        <v>0</v>
      </c>
      <c r="AL1114" s="55">
        <f t="shared" si="380"/>
        <v>0</v>
      </c>
      <c r="AM1114" s="55" t="s">
        <v>1912</v>
      </c>
      <c r="AN1114" s="55">
        <v>0</v>
      </c>
      <c r="AO1114" s="55">
        <v>0</v>
      </c>
      <c r="AP1114" s="55">
        <f t="shared" si="373"/>
        <v>0</v>
      </c>
      <c r="AQ1114" s="55">
        <f>IFERROR(VLOOKUP(A1114,[1]SIIMPLES!$A$2:$F$418,6,FALSE),0)</f>
        <v>0</v>
      </c>
      <c r="AR1114" s="55">
        <v>0</v>
      </c>
      <c r="AS1114" s="55">
        <v>0</v>
      </c>
      <c r="AT1114" s="55">
        <v>0</v>
      </c>
      <c r="AU1114" s="55">
        <v>0</v>
      </c>
      <c r="AV1114" s="55">
        <v>0</v>
      </c>
      <c r="AW1114" s="55"/>
      <c r="AX1114" s="55"/>
      <c r="AY1114" s="56">
        <f t="shared" si="374"/>
        <v>0</v>
      </c>
      <c r="AZ1114" s="55"/>
      <c r="BA1114" s="56">
        <v>0</v>
      </c>
      <c r="BB1114" s="41" t="str">
        <f t="shared" si="381"/>
        <v/>
      </c>
      <c r="BC1114" s="13"/>
      <c r="BD1114" s="35"/>
      <c r="BE1114" s="13"/>
      <c r="BF1114" s="16"/>
      <c r="BG1114" s="17" t="str">
        <f t="shared" si="378"/>
        <v>0</v>
      </c>
      <c r="BH1114" s="16"/>
    </row>
    <row r="1115" spans="1:60" ht="12.75" customHeight="1" x14ac:dyDescent="0.2">
      <c r="A1115" s="51">
        <v>772233</v>
      </c>
      <c r="B1115" s="51"/>
      <c r="C1115" s="66" t="s">
        <v>1803</v>
      </c>
      <c r="D1115" s="52" t="s">
        <v>728</v>
      </c>
      <c r="E1115" s="65" t="s">
        <v>780</v>
      </c>
      <c r="F1115" s="53">
        <f>IFERROR(VLOOKUP(E1115,Fornecedores!$A$2:$B$2700,2,FALSE),"")</f>
        <v>2</v>
      </c>
      <c r="G1115" s="52" t="s">
        <v>1141</v>
      </c>
      <c r="H1115" s="57"/>
      <c r="I1115" s="55">
        <f t="shared" si="375"/>
        <v>0</v>
      </c>
      <c r="J1115" s="55">
        <v>0</v>
      </c>
      <c r="K1115" s="55">
        <v>0</v>
      </c>
      <c r="L1115" s="55">
        <v>0</v>
      </c>
      <c r="M1115" s="55">
        <v>0</v>
      </c>
      <c r="N1115" s="55">
        <f t="shared" si="376"/>
        <v>1</v>
      </c>
      <c r="O1115" s="55">
        <v>1</v>
      </c>
      <c r="P1115" s="55">
        <v>0</v>
      </c>
      <c r="Q1115" s="55">
        <v>0</v>
      </c>
      <c r="R1115" s="55">
        <f t="shared" si="377"/>
        <v>0</v>
      </c>
      <c r="S1115" s="55">
        <v>0</v>
      </c>
      <c r="T1115" s="55">
        <v>0</v>
      </c>
      <c r="U1115" s="55">
        <v>0</v>
      </c>
      <c r="V1115" s="55">
        <v>0</v>
      </c>
      <c r="W1115" s="53">
        <v>0</v>
      </c>
      <c r="X1115" s="53">
        <v>0</v>
      </c>
      <c r="Y1115" s="55">
        <v>0</v>
      </c>
      <c r="Z1115" s="55">
        <v>0</v>
      </c>
      <c r="AA1115" s="53">
        <v>0</v>
      </c>
      <c r="AB1115" s="53">
        <v>0</v>
      </c>
      <c r="AC1115" s="55">
        <v>0</v>
      </c>
      <c r="AD1115" s="55">
        <f t="shared" si="371"/>
        <v>0</v>
      </c>
      <c r="AE1115" s="53">
        <v>0</v>
      </c>
      <c r="AF1115" s="55">
        <v>0</v>
      </c>
      <c r="AG1115" s="55">
        <v>0</v>
      </c>
      <c r="AH1115" s="55">
        <f t="shared" si="379"/>
        <v>0</v>
      </c>
      <c r="AI1115" s="55">
        <v>0</v>
      </c>
      <c r="AJ1115" s="55">
        <v>0</v>
      </c>
      <c r="AK1115" s="55">
        <v>0</v>
      </c>
      <c r="AL1115" s="55">
        <f t="shared" si="380"/>
        <v>0</v>
      </c>
      <c r="AM1115" s="55" t="s">
        <v>1912</v>
      </c>
      <c r="AN1115" s="55">
        <v>0</v>
      </c>
      <c r="AO1115" s="55">
        <v>0</v>
      </c>
      <c r="AP1115" s="55">
        <f t="shared" si="373"/>
        <v>0</v>
      </c>
      <c r="AQ1115" s="55">
        <f>IFERROR(VLOOKUP(A1115,[1]SIIMPLES!$A$2:$F$418,6,FALSE),0)</f>
        <v>0</v>
      </c>
      <c r="AR1115" s="55">
        <v>0</v>
      </c>
      <c r="AS1115" s="55">
        <v>1</v>
      </c>
      <c r="AT1115" s="55">
        <v>0</v>
      </c>
      <c r="AU1115" s="55">
        <v>1</v>
      </c>
      <c r="AV1115" s="55">
        <v>0</v>
      </c>
      <c r="AW1115" s="55"/>
      <c r="AX1115" s="55"/>
      <c r="AY1115" s="56">
        <f t="shared" si="374"/>
        <v>0.2</v>
      </c>
      <c r="AZ1115" s="55"/>
      <c r="BA1115" s="56">
        <v>0.33333333333333331</v>
      </c>
      <c r="BB1115" s="41">
        <f t="shared" si="381"/>
        <v>-0.39999999999999991</v>
      </c>
      <c r="BC1115" s="13"/>
      <c r="BD1115" s="35"/>
      <c r="BE1115" s="13"/>
      <c r="BF1115" s="16"/>
      <c r="BG1115" s="17">
        <f t="shared" si="378"/>
        <v>0</v>
      </c>
      <c r="BH1115" s="16">
        <f t="shared" ref="BH1115:BH1134" si="382">IFERROR(IF(F1115=1,IF(BC1115&lt;AY1115*3,AY1115*3-BC1115,0),IF(BC1115&lt;AY1115,AY1115-BC1115,0)),"")</f>
        <v>0.2</v>
      </c>
    </row>
    <row r="1116" spans="1:60" ht="12.75" customHeight="1" x14ac:dyDescent="0.2">
      <c r="A1116" s="51">
        <v>772234</v>
      </c>
      <c r="B1116" s="51"/>
      <c r="C1116" s="66" t="s">
        <v>1803</v>
      </c>
      <c r="D1116" s="52" t="s">
        <v>728</v>
      </c>
      <c r="E1116" s="65" t="s">
        <v>780</v>
      </c>
      <c r="F1116" s="53">
        <f>IFERROR(VLOOKUP(E1116,Fornecedores!$A$2:$B$2700,2,FALSE),"")</f>
        <v>2</v>
      </c>
      <c r="G1116" s="52" t="s">
        <v>1142</v>
      </c>
      <c r="H1116" s="57"/>
      <c r="I1116" s="55">
        <f t="shared" si="375"/>
        <v>0</v>
      </c>
      <c r="J1116" s="55">
        <v>0</v>
      </c>
      <c r="K1116" s="55">
        <v>0</v>
      </c>
      <c r="L1116" s="55">
        <v>0</v>
      </c>
      <c r="M1116" s="55">
        <v>0</v>
      </c>
      <c r="N1116" s="55">
        <f t="shared" si="376"/>
        <v>0</v>
      </c>
      <c r="O1116" s="55">
        <v>0</v>
      </c>
      <c r="P1116" s="55">
        <v>0</v>
      </c>
      <c r="Q1116" s="55">
        <v>0</v>
      </c>
      <c r="R1116" s="55">
        <f t="shared" si="377"/>
        <v>0</v>
      </c>
      <c r="S1116" s="55">
        <v>0</v>
      </c>
      <c r="T1116" s="55">
        <v>0</v>
      </c>
      <c r="U1116" s="55">
        <v>0</v>
      </c>
      <c r="V1116" s="55">
        <v>0</v>
      </c>
      <c r="W1116" s="53">
        <v>0</v>
      </c>
      <c r="X1116" s="53">
        <v>0</v>
      </c>
      <c r="Y1116" s="55">
        <v>0</v>
      </c>
      <c r="Z1116" s="55">
        <v>0</v>
      </c>
      <c r="AA1116" s="53">
        <v>0</v>
      </c>
      <c r="AB1116" s="53">
        <v>0</v>
      </c>
      <c r="AC1116" s="55">
        <v>0</v>
      </c>
      <c r="AD1116" s="55">
        <f t="shared" si="371"/>
        <v>0</v>
      </c>
      <c r="AE1116" s="53">
        <v>0</v>
      </c>
      <c r="AF1116" s="55">
        <v>0</v>
      </c>
      <c r="AG1116" s="55">
        <v>0</v>
      </c>
      <c r="AH1116" s="55">
        <f t="shared" si="379"/>
        <v>0</v>
      </c>
      <c r="AI1116" s="55">
        <v>0</v>
      </c>
      <c r="AJ1116" s="55">
        <v>0</v>
      </c>
      <c r="AK1116" s="55">
        <v>0</v>
      </c>
      <c r="AL1116" s="55">
        <f t="shared" si="380"/>
        <v>0</v>
      </c>
      <c r="AM1116" s="55" t="s">
        <v>1912</v>
      </c>
      <c r="AN1116" s="55">
        <v>0</v>
      </c>
      <c r="AO1116" s="55">
        <v>0</v>
      </c>
      <c r="AP1116" s="55">
        <f t="shared" si="373"/>
        <v>0</v>
      </c>
      <c r="AQ1116" s="55">
        <f>IFERROR(VLOOKUP(A1116,[1]SIIMPLES!$A$2:$F$418,6,FALSE),0)</f>
        <v>0</v>
      </c>
      <c r="AR1116" s="55">
        <v>0</v>
      </c>
      <c r="AS1116" s="55">
        <v>1</v>
      </c>
      <c r="AT1116" s="55">
        <v>0</v>
      </c>
      <c r="AU1116" s="55">
        <v>1</v>
      </c>
      <c r="AV1116" s="55">
        <v>0</v>
      </c>
      <c r="AW1116" s="55"/>
      <c r="AX1116" s="55"/>
      <c r="AY1116" s="56">
        <f t="shared" si="374"/>
        <v>0.1</v>
      </c>
      <c r="AZ1116" s="55"/>
      <c r="BA1116" s="56">
        <v>0</v>
      </c>
      <c r="BB1116" s="41" t="str">
        <f t="shared" si="381"/>
        <v/>
      </c>
      <c r="BC1116" s="13"/>
      <c r="BD1116" s="35"/>
      <c r="BE1116" s="13"/>
      <c r="BF1116" s="16"/>
      <c r="BG1116" s="17">
        <f t="shared" si="378"/>
        <v>0</v>
      </c>
      <c r="BH1116" s="16">
        <f t="shared" si="382"/>
        <v>0.1</v>
      </c>
    </row>
    <row r="1117" spans="1:60" ht="12.75" customHeight="1" x14ac:dyDescent="0.2">
      <c r="A1117" s="51">
        <v>772248</v>
      </c>
      <c r="B1117" s="51" t="s">
        <v>1077</v>
      </c>
      <c r="C1117" s="66" t="s">
        <v>1803</v>
      </c>
      <c r="D1117" s="52" t="s">
        <v>728</v>
      </c>
      <c r="E1117" s="65" t="s">
        <v>780</v>
      </c>
      <c r="F1117" s="53">
        <f>IFERROR(VLOOKUP(E1117,Fornecedores!$A$2:$B$2700,2,FALSE),"")</f>
        <v>2</v>
      </c>
      <c r="G1117" s="52" t="s">
        <v>696</v>
      </c>
      <c r="H1117" s="57"/>
      <c r="I1117" s="55">
        <f t="shared" si="375"/>
        <v>0</v>
      </c>
      <c r="J1117" s="55">
        <v>0</v>
      </c>
      <c r="K1117" s="55">
        <v>0</v>
      </c>
      <c r="L1117" s="55">
        <v>0</v>
      </c>
      <c r="M1117" s="55">
        <v>0</v>
      </c>
      <c r="N1117" s="55">
        <f t="shared" si="376"/>
        <v>0</v>
      </c>
      <c r="O1117" s="55">
        <v>0</v>
      </c>
      <c r="P1117" s="55">
        <v>0</v>
      </c>
      <c r="Q1117" s="55">
        <v>0</v>
      </c>
      <c r="R1117" s="55">
        <f t="shared" si="377"/>
        <v>0</v>
      </c>
      <c r="S1117" s="55">
        <v>0</v>
      </c>
      <c r="T1117" s="55">
        <v>0</v>
      </c>
      <c r="U1117" s="55">
        <v>0</v>
      </c>
      <c r="V1117" s="55">
        <v>0</v>
      </c>
      <c r="W1117" s="53">
        <v>0</v>
      </c>
      <c r="X1117" s="53">
        <v>0</v>
      </c>
      <c r="Y1117" s="55">
        <v>0</v>
      </c>
      <c r="Z1117" s="55">
        <v>0</v>
      </c>
      <c r="AA1117" s="53">
        <v>0</v>
      </c>
      <c r="AB1117" s="53">
        <v>0</v>
      </c>
      <c r="AC1117" s="55">
        <v>0</v>
      </c>
      <c r="AD1117" s="55">
        <f t="shared" si="371"/>
        <v>0</v>
      </c>
      <c r="AE1117" s="53">
        <v>0</v>
      </c>
      <c r="AF1117" s="55">
        <v>0</v>
      </c>
      <c r="AG1117" s="55">
        <v>0</v>
      </c>
      <c r="AH1117" s="55">
        <f t="shared" si="379"/>
        <v>0</v>
      </c>
      <c r="AI1117" s="55">
        <v>0</v>
      </c>
      <c r="AJ1117" s="55">
        <v>0</v>
      </c>
      <c r="AK1117" s="55">
        <v>0</v>
      </c>
      <c r="AL1117" s="55">
        <f t="shared" si="380"/>
        <v>0</v>
      </c>
      <c r="AM1117" s="55" t="s">
        <v>1912</v>
      </c>
      <c r="AN1117" s="55">
        <v>0</v>
      </c>
      <c r="AO1117" s="55">
        <v>0</v>
      </c>
      <c r="AP1117" s="55">
        <f t="shared" si="373"/>
        <v>0</v>
      </c>
      <c r="AQ1117" s="55">
        <f>IFERROR(VLOOKUP(A1117,[1]SIIMPLES!$A$2:$F$418,6,FALSE),0)</f>
        <v>0</v>
      </c>
      <c r="AR1117" s="55">
        <v>0</v>
      </c>
      <c r="AS1117" s="55">
        <v>0</v>
      </c>
      <c r="AT1117" s="55">
        <v>0</v>
      </c>
      <c r="AU1117" s="55">
        <v>0</v>
      </c>
      <c r="AV1117" s="55">
        <v>0</v>
      </c>
      <c r="AW1117" s="55"/>
      <c r="AX1117" s="55"/>
      <c r="AY1117" s="56">
        <f t="shared" si="374"/>
        <v>0</v>
      </c>
      <c r="AZ1117" s="55"/>
      <c r="BA1117" s="56">
        <v>0</v>
      </c>
      <c r="BB1117" s="41" t="str">
        <f t="shared" si="381"/>
        <v/>
      </c>
      <c r="BC1117" s="13"/>
      <c r="BD1117" s="35"/>
      <c r="BE1117" s="13"/>
      <c r="BF1117" s="16"/>
      <c r="BG1117" s="17" t="str">
        <f t="shared" si="378"/>
        <v>0</v>
      </c>
      <c r="BH1117" s="16">
        <f t="shared" si="382"/>
        <v>0</v>
      </c>
    </row>
    <row r="1118" spans="1:60" ht="12.75" customHeight="1" x14ac:dyDescent="0.2">
      <c r="A1118" s="50">
        <v>880309</v>
      </c>
      <c r="B1118" s="51"/>
      <c r="C1118" s="51" t="s">
        <v>1803</v>
      </c>
      <c r="D1118" s="52" t="s">
        <v>1905</v>
      </c>
      <c r="E1118" s="52" t="str">
        <f>VLOOKUP(A1118,[3]CMV!$A$1:$E$1988,5,FALSE)</f>
        <v>Importação</v>
      </c>
      <c r="F1118" s="53">
        <f>IFERROR(VLOOKUP(E1118,Fornecedores!$A$2:$B$2700,2,FALSE),"")</f>
        <v>1</v>
      </c>
      <c r="G1118" s="52" t="s">
        <v>1893</v>
      </c>
      <c r="H1118" s="57"/>
      <c r="I1118" s="55">
        <f t="shared" si="375"/>
        <v>0</v>
      </c>
      <c r="J1118" s="55">
        <v>0</v>
      </c>
      <c r="K1118" s="55">
        <v>0</v>
      </c>
      <c r="L1118" s="55">
        <v>0</v>
      </c>
      <c r="M1118" s="55">
        <v>0</v>
      </c>
      <c r="N1118" s="55">
        <f t="shared" si="376"/>
        <v>0</v>
      </c>
      <c r="O1118" s="55">
        <v>0</v>
      </c>
      <c r="P1118" s="55">
        <v>0</v>
      </c>
      <c r="Q1118" s="55">
        <v>0</v>
      </c>
      <c r="R1118" s="55">
        <f t="shared" si="377"/>
        <v>0</v>
      </c>
      <c r="S1118" s="55">
        <v>0</v>
      </c>
      <c r="T1118" s="55">
        <v>0</v>
      </c>
      <c r="U1118" s="55">
        <v>0</v>
      </c>
      <c r="V1118" s="55">
        <v>0</v>
      </c>
      <c r="W1118" s="53">
        <v>0</v>
      </c>
      <c r="X1118" s="53">
        <v>0</v>
      </c>
      <c r="Y1118" s="55">
        <v>0</v>
      </c>
      <c r="Z1118" s="55">
        <v>0</v>
      </c>
      <c r="AA1118" s="53"/>
      <c r="AB1118" s="53">
        <v>0</v>
      </c>
      <c r="AC1118" s="55">
        <v>0</v>
      </c>
      <c r="AD1118" s="55">
        <f t="shared" si="371"/>
        <v>0</v>
      </c>
      <c r="AE1118" s="53">
        <f>IFERROR(VLOOKUP(A1118,[4]simples!$A$1:$B$281,2,FALSE),0)</f>
        <v>0</v>
      </c>
      <c r="AF1118" s="55">
        <v>0</v>
      </c>
      <c r="AG1118" s="55">
        <v>0</v>
      </c>
      <c r="AH1118" s="55">
        <f t="shared" si="379"/>
        <v>0</v>
      </c>
      <c r="AI1118" s="57"/>
      <c r="AJ1118" s="55">
        <v>0</v>
      </c>
      <c r="AK1118" s="57"/>
      <c r="AL1118" s="55">
        <f t="shared" si="380"/>
        <v>0</v>
      </c>
      <c r="AM1118" s="55" t="s">
        <v>1912</v>
      </c>
      <c r="AN1118" s="55">
        <v>0</v>
      </c>
      <c r="AO1118" s="55">
        <v>0</v>
      </c>
      <c r="AP1118" s="55">
        <f t="shared" si="373"/>
        <v>0</v>
      </c>
      <c r="AQ1118" s="55">
        <f>IFERROR(VLOOKUP(A1118,[1]SIIMPLES!$A$2:$F$418,6,FALSE),0)</f>
        <v>0</v>
      </c>
      <c r="AR1118" s="55">
        <v>0</v>
      </c>
      <c r="AS1118" s="55">
        <v>2</v>
      </c>
      <c r="AT1118" s="55">
        <v>2</v>
      </c>
      <c r="AU1118" s="55">
        <v>0</v>
      </c>
      <c r="AV1118" s="55">
        <v>0</v>
      </c>
      <c r="AW1118" s="57"/>
      <c r="AX1118" s="55"/>
      <c r="AY1118" s="56">
        <f t="shared" si="374"/>
        <v>0.2</v>
      </c>
      <c r="AZ1118" s="55"/>
      <c r="BA1118" s="56">
        <v>0</v>
      </c>
      <c r="BB1118" s="41" t="str">
        <f t="shared" si="381"/>
        <v/>
      </c>
      <c r="BC1118" s="13"/>
      <c r="BD1118" s="35"/>
      <c r="BE1118" s="13"/>
      <c r="BF1118" s="16"/>
      <c r="BG1118" s="17">
        <f t="shared" si="378"/>
        <v>0</v>
      </c>
      <c r="BH1118" s="16">
        <f t="shared" si="382"/>
        <v>0.60000000000000009</v>
      </c>
    </row>
    <row r="1119" spans="1:60" ht="12.75" customHeight="1" x14ac:dyDescent="0.2">
      <c r="A1119" s="51">
        <v>880409</v>
      </c>
      <c r="B1119" s="51"/>
      <c r="C1119" s="66" t="s">
        <v>1803</v>
      </c>
      <c r="D1119" s="65" t="s">
        <v>755</v>
      </c>
      <c r="E1119" s="67" t="s">
        <v>727</v>
      </c>
      <c r="F1119" s="53">
        <f>IFERROR(VLOOKUP(E1119,Fornecedores!$A$2:$B$2700,2,FALSE),"")</f>
        <v>1</v>
      </c>
      <c r="G1119" s="52" t="s">
        <v>1593</v>
      </c>
      <c r="H1119" s="57"/>
      <c r="I1119" s="55">
        <f t="shared" si="375"/>
        <v>1</v>
      </c>
      <c r="J1119" s="55">
        <v>1</v>
      </c>
      <c r="K1119" s="55">
        <v>0</v>
      </c>
      <c r="L1119" s="55">
        <v>0</v>
      </c>
      <c r="M1119" s="55">
        <v>0</v>
      </c>
      <c r="N1119" s="55">
        <f t="shared" si="376"/>
        <v>1</v>
      </c>
      <c r="O1119" s="55">
        <v>1</v>
      </c>
      <c r="P1119" s="55">
        <v>0</v>
      </c>
      <c r="Q1119" s="55">
        <v>0</v>
      </c>
      <c r="R1119" s="55">
        <f t="shared" si="377"/>
        <v>1</v>
      </c>
      <c r="S1119" s="55">
        <v>1</v>
      </c>
      <c r="T1119" s="55">
        <v>0</v>
      </c>
      <c r="U1119" s="55">
        <v>0</v>
      </c>
      <c r="V1119" s="55">
        <v>1</v>
      </c>
      <c r="W1119" s="53">
        <v>1</v>
      </c>
      <c r="X1119" s="53">
        <v>0</v>
      </c>
      <c r="Y1119" s="55">
        <v>0</v>
      </c>
      <c r="Z1119" s="55">
        <v>1</v>
      </c>
      <c r="AA1119" s="53">
        <v>1</v>
      </c>
      <c r="AB1119" s="53">
        <v>0</v>
      </c>
      <c r="AC1119" s="55">
        <v>0</v>
      </c>
      <c r="AD1119" s="55">
        <f t="shared" si="371"/>
        <v>7</v>
      </c>
      <c r="AE1119" s="53">
        <v>7</v>
      </c>
      <c r="AF1119" s="55">
        <v>0</v>
      </c>
      <c r="AG1119" s="55">
        <v>0</v>
      </c>
      <c r="AH1119" s="55">
        <f t="shared" si="379"/>
        <v>0</v>
      </c>
      <c r="AI1119" s="55">
        <v>0</v>
      </c>
      <c r="AJ1119" s="55">
        <v>0</v>
      </c>
      <c r="AK1119" s="55">
        <v>0</v>
      </c>
      <c r="AL1119" s="55">
        <f t="shared" si="380"/>
        <v>2</v>
      </c>
      <c r="AM1119" s="55">
        <v>2</v>
      </c>
      <c r="AN1119" s="55">
        <v>0</v>
      </c>
      <c r="AO1119" s="55">
        <v>0</v>
      </c>
      <c r="AP1119" s="55">
        <f t="shared" si="373"/>
        <v>0</v>
      </c>
      <c r="AQ1119" s="55">
        <f>IFERROR(VLOOKUP(A1119,[1]SIIMPLES!$A$2:$F$418,6,FALSE),0)</f>
        <v>0</v>
      </c>
      <c r="AR1119" s="55">
        <v>0</v>
      </c>
      <c r="AS1119" s="55">
        <v>0</v>
      </c>
      <c r="AT1119" s="55">
        <v>0</v>
      </c>
      <c r="AU1119" s="55">
        <v>0</v>
      </c>
      <c r="AV1119" s="55">
        <v>0</v>
      </c>
      <c r="AW1119" s="55"/>
      <c r="AX1119" s="55"/>
      <c r="AY1119" s="56">
        <f t="shared" si="374"/>
        <v>1.4</v>
      </c>
      <c r="AZ1119" s="55"/>
      <c r="BA1119" s="56">
        <v>0.5</v>
      </c>
      <c r="BB1119" s="41">
        <f t="shared" si="381"/>
        <v>1.7999999999999998</v>
      </c>
      <c r="BC1119" s="13"/>
      <c r="BD1119" s="35"/>
      <c r="BE1119" s="13"/>
      <c r="BF1119" s="16"/>
      <c r="BG1119" s="17">
        <f t="shared" si="378"/>
        <v>0</v>
      </c>
      <c r="BH1119" s="16">
        <f t="shared" si="382"/>
        <v>4.1999999999999993</v>
      </c>
    </row>
    <row r="1120" spans="1:60" ht="12.75" customHeight="1" x14ac:dyDescent="0.2">
      <c r="A1120" s="51">
        <v>772249</v>
      </c>
      <c r="B1120" s="51" t="s">
        <v>1077</v>
      </c>
      <c r="C1120" s="66" t="s">
        <v>1803</v>
      </c>
      <c r="D1120" s="52" t="s">
        <v>728</v>
      </c>
      <c r="E1120" s="65" t="s">
        <v>780</v>
      </c>
      <c r="F1120" s="53">
        <f>IFERROR(VLOOKUP(E1120,Fornecedores!$A$2:$B$2700,2,FALSE),"")</f>
        <v>2</v>
      </c>
      <c r="G1120" s="52" t="s">
        <v>133</v>
      </c>
      <c r="H1120" s="57"/>
      <c r="I1120" s="55">
        <f t="shared" si="375"/>
        <v>0</v>
      </c>
      <c r="J1120" s="55">
        <v>0</v>
      </c>
      <c r="K1120" s="55">
        <v>0</v>
      </c>
      <c r="L1120" s="55">
        <v>0</v>
      </c>
      <c r="M1120" s="55">
        <v>0</v>
      </c>
      <c r="N1120" s="55">
        <f t="shared" si="376"/>
        <v>0</v>
      </c>
      <c r="O1120" s="55">
        <v>0</v>
      </c>
      <c r="P1120" s="55">
        <v>0</v>
      </c>
      <c r="Q1120" s="55">
        <v>0</v>
      </c>
      <c r="R1120" s="55">
        <f t="shared" si="377"/>
        <v>0</v>
      </c>
      <c r="S1120" s="55">
        <v>0</v>
      </c>
      <c r="T1120" s="55">
        <v>0</v>
      </c>
      <c r="U1120" s="55">
        <v>0</v>
      </c>
      <c r="V1120" s="55">
        <v>0</v>
      </c>
      <c r="W1120" s="53">
        <v>0</v>
      </c>
      <c r="X1120" s="53">
        <v>0</v>
      </c>
      <c r="Y1120" s="55">
        <v>0</v>
      </c>
      <c r="Z1120" s="55">
        <v>0</v>
      </c>
      <c r="AA1120" s="53">
        <v>0</v>
      </c>
      <c r="AB1120" s="53">
        <v>0</v>
      </c>
      <c r="AC1120" s="55">
        <v>0</v>
      </c>
      <c r="AD1120" s="55">
        <f t="shared" si="371"/>
        <v>0</v>
      </c>
      <c r="AE1120" s="53">
        <v>0</v>
      </c>
      <c r="AF1120" s="55">
        <v>0</v>
      </c>
      <c r="AG1120" s="55">
        <v>0</v>
      </c>
      <c r="AH1120" s="55">
        <f t="shared" si="379"/>
        <v>0</v>
      </c>
      <c r="AI1120" s="55">
        <v>0</v>
      </c>
      <c r="AJ1120" s="55">
        <v>0</v>
      </c>
      <c r="AK1120" s="55">
        <v>0</v>
      </c>
      <c r="AL1120" s="55">
        <f t="shared" si="380"/>
        <v>0</v>
      </c>
      <c r="AM1120" s="55" t="s">
        <v>1912</v>
      </c>
      <c r="AN1120" s="55">
        <v>0</v>
      </c>
      <c r="AO1120" s="55">
        <v>0</v>
      </c>
      <c r="AP1120" s="55">
        <f t="shared" si="373"/>
        <v>0</v>
      </c>
      <c r="AQ1120" s="55">
        <f>IFERROR(VLOOKUP(A1120,[1]SIIMPLES!$A$2:$F$418,6,FALSE),0)</f>
        <v>0</v>
      </c>
      <c r="AR1120" s="55">
        <v>0</v>
      </c>
      <c r="AS1120" s="55">
        <v>0</v>
      </c>
      <c r="AT1120" s="55">
        <v>0</v>
      </c>
      <c r="AU1120" s="55">
        <v>0</v>
      </c>
      <c r="AV1120" s="55">
        <v>0</v>
      </c>
      <c r="AW1120" s="55"/>
      <c r="AX1120" s="55"/>
      <c r="AY1120" s="56">
        <f t="shared" si="374"/>
        <v>0</v>
      </c>
      <c r="AZ1120" s="55"/>
      <c r="BA1120" s="56">
        <v>0</v>
      </c>
      <c r="BB1120" s="41" t="str">
        <f t="shared" si="381"/>
        <v/>
      </c>
      <c r="BC1120" s="10"/>
      <c r="BD1120" s="35"/>
      <c r="BE1120" s="13"/>
      <c r="BF1120" s="16"/>
      <c r="BG1120" s="17" t="str">
        <f t="shared" si="378"/>
        <v>0</v>
      </c>
      <c r="BH1120" s="16">
        <f t="shared" si="382"/>
        <v>0</v>
      </c>
    </row>
    <row r="1121" spans="1:60" ht="12.75" customHeight="1" x14ac:dyDescent="0.2">
      <c r="A1121" s="51">
        <v>772256</v>
      </c>
      <c r="B1121" s="51" t="s">
        <v>1086</v>
      </c>
      <c r="C1121" s="66" t="s">
        <v>1803</v>
      </c>
      <c r="D1121" s="52" t="s">
        <v>728</v>
      </c>
      <c r="E1121" s="65" t="s">
        <v>780</v>
      </c>
      <c r="F1121" s="53">
        <f>IFERROR(VLOOKUP(E1121,Fornecedores!$A$2:$B$2700,2,FALSE),"")</f>
        <v>2</v>
      </c>
      <c r="G1121" s="52" t="s">
        <v>698</v>
      </c>
      <c r="H1121" s="57"/>
      <c r="I1121" s="55">
        <f t="shared" si="375"/>
        <v>0</v>
      </c>
      <c r="J1121" s="55">
        <v>0</v>
      </c>
      <c r="K1121" s="55">
        <v>0</v>
      </c>
      <c r="L1121" s="55">
        <v>0</v>
      </c>
      <c r="M1121" s="55">
        <v>0</v>
      </c>
      <c r="N1121" s="55">
        <f t="shared" si="376"/>
        <v>0</v>
      </c>
      <c r="O1121" s="55">
        <v>0</v>
      </c>
      <c r="P1121" s="55">
        <v>0</v>
      </c>
      <c r="Q1121" s="55">
        <v>0</v>
      </c>
      <c r="R1121" s="55">
        <f t="shared" si="377"/>
        <v>0</v>
      </c>
      <c r="S1121" s="55">
        <v>0</v>
      </c>
      <c r="T1121" s="55">
        <v>0</v>
      </c>
      <c r="U1121" s="55">
        <v>0</v>
      </c>
      <c r="V1121" s="55">
        <v>0</v>
      </c>
      <c r="W1121" s="53">
        <v>0</v>
      </c>
      <c r="X1121" s="53">
        <v>0</v>
      </c>
      <c r="Y1121" s="55">
        <v>0</v>
      </c>
      <c r="Z1121" s="55">
        <v>0</v>
      </c>
      <c r="AA1121" s="53">
        <v>0</v>
      </c>
      <c r="AB1121" s="53">
        <v>0</v>
      </c>
      <c r="AC1121" s="55">
        <v>0</v>
      </c>
      <c r="AD1121" s="55">
        <f t="shared" ref="AD1121:AD1171" si="383">SUM(AE1121:AG1121)</f>
        <v>0</v>
      </c>
      <c r="AE1121" s="53">
        <v>0</v>
      </c>
      <c r="AF1121" s="55">
        <v>0</v>
      </c>
      <c r="AG1121" s="55">
        <v>0</v>
      </c>
      <c r="AH1121" s="55">
        <f t="shared" si="379"/>
        <v>0</v>
      </c>
      <c r="AI1121" s="55">
        <v>0</v>
      </c>
      <c r="AJ1121" s="55">
        <v>0</v>
      </c>
      <c r="AK1121" s="55">
        <v>0</v>
      </c>
      <c r="AL1121" s="55">
        <f t="shared" si="380"/>
        <v>0</v>
      </c>
      <c r="AM1121" s="55" t="s">
        <v>1912</v>
      </c>
      <c r="AN1121" s="55">
        <v>0</v>
      </c>
      <c r="AO1121" s="55">
        <v>0</v>
      </c>
      <c r="AP1121" s="55">
        <f t="shared" si="373"/>
        <v>0</v>
      </c>
      <c r="AQ1121" s="55">
        <f>IFERROR(VLOOKUP(A1121,[1]SIIMPLES!$A$2:$F$418,6,FALSE),0)</f>
        <v>0</v>
      </c>
      <c r="AR1121" s="55">
        <v>0</v>
      </c>
      <c r="AS1121" s="55">
        <v>0</v>
      </c>
      <c r="AT1121" s="55">
        <v>0</v>
      </c>
      <c r="AU1121" s="55">
        <v>0</v>
      </c>
      <c r="AV1121" s="55">
        <v>0</v>
      </c>
      <c r="AW1121" s="55"/>
      <c r="AX1121" s="55"/>
      <c r="AY1121" s="56">
        <f t="shared" si="374"/>
        <v>0</v>
      </c>
      <c r="AZ1121" s="55"/>
      <c r="BA1121" s="56">
        <v>0</v>
      </c>
      <c r="BB1121" s="41" t="str">
        <f t="shared" si="381"/>
        <v/>
      </c>
      <c r="BC1121" s="10"/>
      <c r="BD1121" s="35"/>
      <c r="BE1121" s="13"/>
      <c r="BF1121" s="16"/>
      <c r="BG1121" s="17" t="str">
        <f t="shared" si="378"/>
        <v>0</v>
      </c>
      <c r="BH1121" s="16">
        <f t="shared" si="382"/>
        <v>0</v>
      </c>
    </row>
    <row r="1122" spans="1:60" ht="12.75" customHeight="1" x14ac:dyDescent="0.2">
      <c r="A1122" s="51">
        <v>772257</v>
      </c>
      <c r="B1122" s="51" t="s">
        <v>1086</v>
      </c>
      <c r="C1122" s="66" t="s">
        <v>1803</v>
      </c>
      <c r="D1122" s="52" t="s">
        <v>728</v>
      </c>
      <c r="E1122" s="65" t="s">
        <v>780</v>
      </c>
      <c r="F1122" s="53">
        <f>IFERROR(VLOOKUP(E1122,Fornecedores!$A$2:$B$2700,2,FALSE),"")</f>
        <v>2</v>
      </c>
      <c r="G1122" s="52" t="s">
        <v>697</v>
      </c>
      <c r="H1122" s="57"/>
      <c r="I1122" s="55">
        <f t="shared" si="375"/>
        <v>0</v>
      </c>
      <c r="J1122" s="55">
        <v>0</v>
      </c>
      <c r="K1122" s="55">
        <v>0</v>
      </c>
      <c r="L1122" s="55">
        <v>0</v>
      </c>
      <c r="M1122" s="55">
        <v>0</v>
      </c>
      <c r="N1122" s="55">
        <f t="shared" si="376"/>
        <v>0</v>
      </c>
      <c r="O1122" s="55">
        <v>0</v>
      </c>
      <c r="P1122" s="55">
        <v>0</v>
      </c>
      <c r="Q1122" s="55">
        <v>0</v>
      </c>
      <c r="R1122" s="55">
        <f t="shared" si="377"/>
        <v>0</v>
      </c>
      <c r="S1122" s="55">
        <v>0</v>
      </c>
      <c r="T1122" s="55">
        <v>0</v>
      </c>
      <c r="U1122" s="55">
        <v>0</v>
      </c>
      <c r="V1122" s="55">
        <v>0</v>
      </c>
      <c r="W1122" s="53">
        <v>0</v>
      </c>
      <c r="X1122" s="53">
        <v>0</v>
      </c>
      <c r="Y1122" s="55">
        <v>0</v>
      </c>
      <c r="Z1122" s="55">
        <v>0</v>
      </c>
      <c r="AA1122" s="53">
        <v>0</v>
      </c>
      <c r="AB1122" s="53">
        <v>0</v>
      </c>
      <c r="AC1122" s="55">
        <v>0</v>
      </c>
      <c r="AD1122" s="55">
        <f t="shared" si="383"/>
        <v>0</v>
      </c>
      <c r="AE1122" s="53">
        <v>0</v>
      </c>
      <c r="AF1122" s="55">
        <v>0</v>
      </c>
      <c r="AG1122" s="55">
        <v>0</v>
      </c>
      <c r="AH1122" s="55">
        <f t="shared" si="379"/>
        <v>0</v>
      </c>
      <c r="AI1122" s="55">
        <v>0</v>
      </c>
      <c r="AJ1122" s="55">
        <v>0</v>
      </c>
      <c r="AK1122" s="55">
        <v>0</v>
      </c>
      <c r="AL1122" s="55">
        <f t="shared" si="380"/>
        <v>0</v>
      </c>
      <c r="AM1122" s="55" t="s">
        <v>1912</v>
      </c>
      <c r="AN1122" s="55">
        <v>0</v>
      </c>
      <c r="AO1122" s="55">
        <v>0</v>
      </c>
      <c r="AP1122" s="55">
        <f t="shared" si="373"/>
        <v>0</v>
      </c>
      <c r="AQ1122" s="55">
        <f>IFERROR(VLOOKUP(A1122,[1]SIIMPLES!$A$2:$F$418,6,FALSE),0)</f>
        <v>0</v>
      </c>
      <c r="AR1122" s="55">
        <v>0</v>
      </c>
      <c r="AS1122" s="55">
        <v>0</v>
      </c>
      <c r="AT1122" s="55">
        <v>0</v>
      </c>
      <c r="AU1122" s="55">
        <v>0</v>
      </c>
      <c r="AV1122" s="55">
        <v>0</v>
      </c>
      <c r="AW1122" s="55"/>
      <c r="AX1122" s="55"/>
      <c r="AY1122" s="56">
        <f t="shared" si="374"/>
        <v>0</v>
      </c>
      <c r="AZ1122" s="55"/>
      <c r="BA1122" s="56">
        <v>0</v>
      </c>
      <c r="BB1122" s="41" t="str">
        <f t="shared" si="381"/>
        <v/>
      </c>
      <c r="BC1122" s="13"/>
      <c r="BD1122" s="35"/>
      <c r="BE1122" s="13"/>
      <c r="BF1122" s="16"/>
      <c r="BG1122" s="17" t="str">
        <f t="shared" si="378"/>
        <v>0</v>
      </c>
      <c r="BH1122" s="16">
        <f t="shared" si="382"/>
        <v>0</v>
      </c>
    </row>
    <row r="1123" spans="1:60" ht="12.75" customHeight="1" x14ac:dyDescent="0.2">
      <c r="A1123" s="51">
        <v>882000</v>
      </c>
      <c r="B1123" s="51" t="s">
        <v>1086</v>
      </c>
      <c r="C1123" s="66" t="s">
        <v>1803</v>
      </c>
      <c r="D1123" s="52" t="s">
        <v>728</v>
      </c>
      <c r="E1123" s="65" t="s">
        <v>780</v>
      </c>
      <c r="F1123" s="53">
        <f>IFERROR(VLOOKUP(E1123,Fornecedores!$A$2:$B$2700,2,FALSE),"")</f>
        <v>2</v>
      </c>
      <c r="G1123" s="52" t="s">
        <v>436</v>
      </c>
      <c r="H1123" s="57"/>
      <c r="I1123" s="55">
        <f t="shared" si="375"/>
        <v>0</v>
      </c>
      <c r="J1123" s="55">
        <v>0</v>
      </c>
      <c r="K1123" s="55">
        <v>0</v>
      </c>
      <c r="L1123" s="55">
        <v>0</v>
      </c>
      <c r="M1123" s="55">
        <v>0</v>
      </c>
      <c r="N1123" s="55">
        <f t="shared" si="376"/>
        <v>0</v>
      </c>
      <c r="O1123" s="55">
        <v>0</v>
      </c>
      <c r="P1123" s="55">
        <v>0</v>
      </c>
      <c r="Q1123" s="55">
        <v>0</v>
      </c>
      <c r="R1123" s="55">
        <f t="shared" si="377"/>
        <v>0</v>
      </c>
      <c r="S1123" s="55">
        <v>0</v>
      </c>
      <c r="T1123" s="55">
        <v>0</v>
      </c>
      <c r="U1123" s="55">
        <v>0</v>
      </c>
      <c r="V1123" s="55">
        <v>0</v>
      </c>
      <c r="W1123" s="53">
        <v>0</v>
      </c>
      <c r="X1123" s="53">
        <v>0</v>
      </c>
      <c r="Y1123" s="55">
        <v>0</v>
      </c>
      <c r="Z1123" s="55">
        <v>0</v>
      </c>
      <c r="AA1123" s="53">
        <v>0</v>
      </c>
      <c r="AB1123" s="53">
        <v>0</v>
      </c>
      <c r="AC1123" s="55">
        <v>0</v>
      </c>
      <c r="AD1123" s="55">
        <f t="shared" si="383"/>
        <v>0</v>
      </c>
      <c r="AE1123" s="53">
        <v>0</v>
      </c>
      <c r="AF1123" s="55">
        <v>0</v>
      </c>
      <c r="AG1123" s="55">
        <v>0</v>
      </c>
      <c r="AH1123" s="55">
        <f t="shared" si="379"/>
        <v>0</v>
      </c>
      <c r="AI1123" s="55">
        <v>0</v>
      </c>
      <c r="AJ1123" s="55">
        <v>0</v>
      </c>
      <c r="AK1123" s="55">
        <v>0</v>
      </c>
      <c r="AL1123" s="55">
        <f t="shared" si="380"/>
        <v>0</v>
      </c>
      <c r="AM1123" s="55" t="s">
        <v>1912</v>
      </c>
      <c r="AN1123" s="55">
        <v>0</v>
      </c>
      <c r="AO1123" s="55">
        <v>0</v>
      </c>
      <c r="AP1123" s="55">
        <f t="shared" si="373"/>
        <v>0</v>
      </c>
      <c r="AQ1123" s="55">
        <f>IFERROR(VLOOKUP(A1123,[1]SIIMPLES!$A$2:$F$418,6,FALSE),0)</f>
        <v>0</v>
      </c>
      <c r="AR1123" s="55">
        <v>0</v>
      </c>
      <c r="AS1123" s="55">
        <v>0</v>
      </c>
      <c r="AT1123" s="55">
        <v>0</v>
      </c>
      <c r="AU1123" s="55">
        <v>0</v>
      </c>
      <c r="AV1123" s="55">
        <v>0</v>
      </c>
      <c r="AW1123" s="55"/>
      <c r="AX1123" s="55"/>
      <c r="AY1123" s="56">
        <f t="shared" si="374"/>
        <v>0</v>
      </c>
      <c r="AZ1123" s="55"/>
      <c r="BA1123" s="56">
        <v>0</v>
      </c>
      <c r="BB1123" s="41" t="str">
        <f t="shared" si="381"/>
        <v/>
      </c>
      <c r="BC1123" s="13"/>
      <c r="BD1123" s="35"/>
      <c r="BE1123" s="13"/>
      <c r="BF1123" s="16"/>
      <c r="BG1123" s="17" t="str">
        <f t="shared" si="378"/>
        <v>0</v>
      </c>
      <c r="BH1123" s="16">
        <f t="shared" si="382"/>
        <v>0</v>
      </c>
    </row>
    <row r="1124" spans="1:60" ht="12.75" customHeight="1" x14ac:dyDescent="0.2">
      <c r="A1124" s="51">
        <v>882001</v>
      </c>
      <c r="B1124" s="51" t="s">
        <v>1086</v>
      </c>
      <c r="C1124" s="66" t="s">
        <v>1803</v>
      </c>
      <c r="D1124" s="52" t="s">
        <v>728</v>
      </c>
      <c r="E1124" s="65" t="s">
        <v>780</v>
      </c>
      <c r="F1124" s="53">
        <f>IFERROR(VLOOKUP(E1124,Fornecedores!$A$2:$B$2700,2,FALSE),"")</f>
        <v>2</v>
      </c>
      <c r="G1124" s="52" t="s">
        <v>651</v>
      </c>
      <c r="H1124" s="57"/>
      <c r="I1124" s="55">
        <f t="shared" si="375"/>
        <v>0</v>
      </c>
      <c r="J1124" s="55">
        <v>0</v>
      </c>
      <c r="K1124" s="55">
        <v>0</v>
      </c>
      <c r="L1124" s="55">
        <v>0</v>
      </c>
      <c r="M1124" s="55">
        <v>0</v>
      </c>
      <c r="N1124" s="55">
        <f t="shared" si="376"/>
        <v>0</v>
      </c>
      <c r="O1124" s="55">
        <v>0</v>
      </c>
      <c r="P1124" s="55">
        <v>0</v>
      </c>
      <c r="Q1124" s="55">
        <v>0</v>
      </c>
      <c r="R1124" s="55">
        <f t="shared" si="377"/>
        <v>0</v>
      </c>
      <c r="S1124" s="55">
        <v>0</v>
      </c>
      <c r="T1124" s="55">
        <v>0</v>
      </c>
      <c r="U1124" s="55">
        <v>0</v>
      </c>
      <c r="V1124" s="55">
        <v>0</v>
      </c>
      <c r="W1124" s="53">
        <v>0</v>
      </c>
      <c r="X1124" s="53">
        <v>0</v>
      </c>
      <c r="Y1124" s="55">
        <v>0</v>
      </c>
      <c r="Z1124" s="55">
        <v>0</v>
      </c>
      <c r="AA1124" s="53">
        <v>0</v>
      </c>
      <c r="AB1124" s="53">
        <v>0</v>
      </c>
      <c r="AC1124" s="55">
        <v>0</v>
      </c>
      <c r="AD1124" s="55">
        <f t="shared" si="383"/>
        <v>0</v>
      </c>
      <c r="AE1124" s="53">
        <v>0</v>
      </c>
      <c r="AF1124" s="55">
        <v>0</v>
      </c>
      <c r="AG1124" s="55">
        <v>0</v>
      </c>
      <c r="AH1124" s="55">
        <f t="shared" si="379"/>
        <v>0</v>
      </c>
      <c r="AI1124" s="55">
        <v>0</v>
      </c>
      <c r="AJ1124" s="55">
        <v>0</v>
      </c>
      <c r="AK1124" s="55">
        <v>0</v>
      </c>
      <c r="AL1124" s="55">
        <f t="shared" si="380"/>
        <v>0</v>
      </c>
      <c r="AM1124" s="55" t="s">
        <v>1912</v>
      </c>
      <c r="AN1124" s="55">
        <v>0</v>
      </c>
      <c r="AO1124" s="55">
        <v>0</v>
      </c>
      <c r="AP1124" s="55">
        <f t="shared" si="373"/>
        <v>0</v>
      </c>
      <c r="AQ1124" s="55">
        <f>IFERROR(VLOOKUP(A1124,[1]SIIMPLES!$A$2:$F$418,6,FALSE),0)</f>
        <v>0</v>
      </c>
      <c r="AR1124" s="55">
        <v>0</v>
      </c>
      <c r="AS1124" s="55">
        <v>0</v>
      </c>
      <c r="AT1124" s="55">
        <v>0</v>
      </c>
      <c r="AU1124" s="55">
        <v>0</v>
      </c>
      <c r="AV1124" s="55">
        <v>0</v>
      </c>
      <c r="AW1124" s="55"/>
      <c r="AX1124" s="55"/>
      <c r="AY1124" s="56">
        <f t="shared" si="374"/>
        <v>0</v>
      </c>
      <c r="AZ1124" s="55"/>
      <c r="BA1124" s="56">
        <v>0</v>
      </c>
      <c r="BB1124" s="41" t="str">
        <f t="shared" si="381"/>
        <v/>
      </c>
      <c r="BC1124" s="7"/>
      <c r="BD1124" s="35"/>
      <c r="BE1124" s="13"/>
      <c r="BF1124" s="16"/>
      <c r="BG1124" s="17" t="str">
        <f t="shared" si="378"/>
        <v>0</v>
      </c>
      <c r="BH1124" s="16">
        <f t="shared" si="382"/>
        <v>0</v>
      </c>
    </row>
    <row r="1125" spans="1:60" ht="12.75" customHeight="1" x14ac:dyDescent="0.2">
      <c r="A1125" s="51">
        <v>992001</v>
      </c>
      <c r="B1125" s="51" t="s">
        <v>1077</v>
      </c>
      <c r="C1125" s="66" t="s">
        <v>1803</v>
      </c>
      <c r="D1125" s="52" t="s">
        <v>728</v>
      </c>
      <c r="E1125" s="65" t="s">
        <v>780</v>
      </c>
      <c r="F1125" s="53">
        <f>IFERROR(VLOOKUP(E1125,Fornecedores!$A$2:$B$2700,2,FALSE),"")</f>
        <v>2</v>
      </c>
      <c r="G1125" s="52" t="s">
        <v>631</v>
      </c>
      <c r="H1125" s="57"/>
      <c r="I1125" s="55">
        <f t="shared" si="375"/>
        <v>0</v>
      </c>
      <c r="J1125" s="55">
        <v>0</v>
      </c>
      <c r="K1125" s="55">
        <v>0</v>
      </c>
      <c r="L1125" s="55">
        <v>0</v>
      </c>
      <c r="M1125" s="55">
        <v>0</v>
      </c>
      <c r="N1125" s="55">
        <f t="shared" si="376"/>
        <v>0</v>
      </c>
      <c r="O1125" s="55">
        <v>0</v>
      </c>
      <c r="P1125" s="55">
        <v>0</v>
      </c>
      <c r="Q1125" s="55">
        <v>0</v>
      </c>
      <c r="R1125" s="55">
        <f t="shared" si="377"/>
        <v>0</v>
      </c>
      <c r="S1125" s="55">
        <v>0</v>
      </c>
      <c r="T1125" s="55">
        <v>0</v>
      </c>
      <c r="U1125" s="55">
        <v>0</v>
      </c>
      <c r="V1125" s="55">
        <v>0</v>
      </c>
      <c r="W1125" s="53">
        <v>0</v>
      </c>
      <c r="X1125" s="53">
        <v>0</v>
      </c>
      <c r="Y1125" s="55">
        <v>0</v>
      </c>
      <c r="Z1125" s="55">
        <v>0</v>
      </c>
      <c r="AA1125" s="53">
        <v>0</v>
      </c>
      <c r="AB1125" s="53">
        <v>0</v>
      </c>
      <c r="AC1125" s="55">
        <v>0</v>
      </c>
      <c r="AD1125" s="55">
        <f t="shared" si="383"/>
        <v>0</v>
      </c>
      <c r="AE1125" s="53">
        <v>0</v>
      </c>
      <c r="AF1125" s="55">
        <v>0</v>
      </c>
      <c r="AG1125" s="55">
        <v>0</v>
      </c>
      <c r="AH1125" s="55">
        <f t="shared" si="379"/>
        <v>0</v>
      </c>
      <c r="AI1125" s="55">
        <v>0</v>
      </c>
      <c r="AJ1125" s="55">
        <v>0</v>
      </c>
      <c r="AK1125" s="55">
        <v>0</v>
      </c>
      <c r="AL1125" s="55">
        <f t="shared" si="380"/>
        <v>0</v>
      </c>
      <c r="AM1125" s="55" t="s">
        <v>1912</v>
      </c>
      <c r="AN1125" s="55">
        <v>0</v>
      </c>
      <c r="AO1125" s="55">
        <v>0</v>
      </c>
      <c r="AP1125" s="55">
        <f t="shared" si="373"/>
        <v>0</v>
      </c>
      <c r="AQ1125" s="55">
        <f>IFERROR(VLOOKUP(A1125,[1]SIIMPLES!$A$2:$F$418,6,FALSE),0)</f>
        <v>0</v>
      </c>
      <c r="AR1125" s="55">
        <v>0</v>
      </c>
      <c r="AS1125" s="55">
        <v>0</v>
      </c>
      <c r="AT1125" s="55">
        <v>0</v>
      </c>
      <c r="AU1125" s="55">
        <v>0</v>
      </c>
      <c r="AV1125" s="55">
        <v>0</v>
      </c>
      <c r="AW1125" s="55"/>
      <c r="AX1125" s="55"/>
      <c r="AY1125" s="56">
        <f t="shared" si="374"/>
        <v>0</v>
      </c>
      <c r="AZ1125" s="55"/>
      <c r="BA1125" s="56">
        <v>0.16666666666666666</v>
      </c>
      <c r="BB1125" s="41">
        <f t="shared" si="381"/>
        <v>-1</v>
      </c>
      <c r="BC1125" s="10"/>
      <c r="BD1125" s="35"/>
      <c r="BE1125" s="13"/>
      <c r="BF1125" s="16"/>
      <c r="BG1125" s="17" t="str">
        <f t="shared" si="378"/>
        <v>0</v>
      </c>
      <c r="BH1125" s="16">
        <f t="shared" si="382"/>
        <v>0</v>
      </c>
    </row>
    <row r="1126" spans="1:60" ht="12.75" customHeight="1" x14ac:dyDescent="0.2">
      <c r="A1126" s="51">
        <v>992025</v>
      </c>
      <c r="B1126" s="51" t="s">
        <v>1086</v>
      </c>
      <c r="C1126" s="66" t="s">
        <v>1803</v>
      </c>
      <c r="D1126" s="52" t="s">
        <v>728</v>
      </c>
      <c r="E1126" s="65" t="s">
        <v>780</v>
      </c>
      <c r="F1126" s="53">
        <f>IFERROR(VLOOKUP(E1126,Fornecedores!$A$2:$B$2700,2,FALSE),"")</f>
        <v>2</v>
      </c>
      <c r="G1126" s="52">
        <f>VLOOKUP(A1126,[2]CMV!$A$1:$F$2043,6,FALSE)</f>
        <v>0</v>
      </c>
      <c r="H1126" s="57"/>
      <c r="I1126" s="55">
        <f t="shared" si="375"/>
        <v>0</v>
      </c>
      <c r="J1126" s="55">
        <v>0</v>
      </c>
      <c r="K1126" s="55">
        <v>0</v>
      </c>
      <c r="L1126" s="55">
        <v>0</v>
      </c>
      <c r="M1126" s="55">
        <v>0</v>
      </c>
      <c r="N1126" s="55">
        <f t="shared" si="376"/>
        <v>0</v>
      </c>
      <c r="O1126" s="55">
        <v>0</v>
      </c>
      <c r="P1126" s="55">
        <v>0</v>
      </c>
      <c r="Q1126" s="55">
        <v>0</v>
      </c>
      <c r="R1126" s="55">
        <f t="shared" si="377"/>
        <v>0</v>
      </c>
      <c r="S1126" s="55">
        <v>0</v>
      </c>
      <c r="T1126" s="55">
        <v>0</v>
      </c>
      <c r="U1126" s="55">
        <v>0</v>
      </c>
      <c r="V1126" s="55">
        <v>0</v>
      </c>
      <c r="W1126" s="53">
        <v>0</v>
      </c>
      <c r="X1126" s="53">
        <v>0</v>
      </c>
      <c r="Y1126" s="55">
        <v>0</v>
      </c>
      <c r="Z1126" s="55">
        <v>0</v>
      </c>
      <c r="AA1126" s="53">
        <v>0</v>
      </c>
      <c r="AB1126" s="53">
        <v>0</v>
      </c>
      <c r="AC1126" s="55">
        <v>0</v>
      </c>
      <c r="AD1126" s="55">
        <f t="shared" si="383"/>
        <v>0</v>
      </c>
      <c r="AE1126" s="53">
        <v>0</v>
      </c>
      <c r="AF1126" s="55">
        <v>0</v>
      </c>
      <c r="AG1126" s="55">
        <v>0</v>
      </c>
      <c r="AH1126" s="55">
        <f t="shared" si="379"/>
        <v>0</v>
      </c>
      <c r="AI1126" s="55">
        <v>0</v>
      </c>
      <c r="AJ1126" s="55">
        <v>0</v>
      </c>
      <c r="AK1126" s="55">
        <v>0</v>
      </c>
      <c r="AL1126" s="55">
        <f t="shared" si="380"/>
        <v>0</v>
      </c>
      <c r="AM1126" s="55" t="s">
        <v>1912</v>
      </c>
      <c r="AN1126" s="55">
        <v>0</v>
      </c>
      <c r="AO1126" s="55">
        <v>0</v>
      </c>
      <c r="AP1126" s="55">
        <f t="shared" si="373"/>
        <v>0</v>
      </c>
      <c r="AQ1126" s="55">
        <f>IFERROR(VLOOKUP(A1126,[1]SIIMPLES!$A$2:$F$418,6,FALSE),0)</f>
        <v>0</v>
      </c>
      <c r="AR1126" s="55">
        <v>0</v>
      </c>
      <c r="AS1126" s="55">
        <v>0</v>
      </c>
      <c r="AT1126" s="55">
        <v>0</v>
      </c>
      <c r="AU1126" s="55">
        <v>0</v>
      </c>
      <c r="AV1126" s="55">
        <v>0</v>
      </c>
      <c r="AW1126" s="55"/>
      <c r="AX1126" s="55"/>
      <c r="AY1126" s="56">
        <f t="shared" si="374"/>
        <v>0</v>
      </c>
      <c r="AZ1126" s="55"/>
      <c r="BA1126" s="56">
        <v>0</v>
      </c>
      <c r="BB1126" s="41" t="str">
        <f t="shared" si="381"/>
        <v/>
      </c>
      <c r="BC1126" s="13"/>
      <c r="BD1126" s="35"/>
      <c r="BE1126" s="13"/>
      <c r="BF1126" s="16"/>
      <c r="BG1126" s="17" t="str">
        <f t="shared" si="378"/>
        <v>0</v>
      </c>
      <c r="BH1126" s="16">
        <f t="shared" si="382"/>
        <v>0</v>
      </c>
    </row>
    <row r="1127" spans="1:60" ht="12.75" customHeight="1" x14ac:dyDescent="0.2">
      <c r="A1127" s="51">
        <v>993002</v>
      </c>
      <c r="B1127" s="51" t="s">
        <v>1077</v>
      </c>
      <c r="C1127" s="66" t="s">
        <v>1803</v>
      </c>
      <c r="D1127" s="52" t="s">
        <v>728</v>
      </c>
      <c r="E1127" s="65" t="s">
        <v>780</v>
      </c>
      <c r="F1127" s="53">
        <f>IFERROR(VLOOKUP(E1127,Fornecedores!$A$2:$B$2700,2,FALSE),"")</f>
        <v>2</v>
      </c>
      <c r="G1127" s="52" t="s">
        <v>1374</v>
      </c>
      <c r="H1127" s="57"/>
      <c r="I1127" s="55">
        <f t="shared" si="375"/>
        <v>0</v>
      </c>
      <c r="J1127" s="55">
        <v>0</v>
      </c>
      <c r="K1127" s="55">
        <v>0</v>
      </c>
      <c r="L1127" s="55">
        <v>0</v>
      </c>
      <c r="M1127" s="55">
        <v>0</v>
      </c>
      <c r="N1127" s="55">
        <f t="shared" si="376"/>
        <v>0</v>
      </c>
      <c r="O1127" s="55">
        <v>0</v>
      </c>
      <c r="P1127" s="55">
        <v>0</v>
      </c>
      <c r="Q1127" s="55">
        <v>0</v>
      </c>
      <c r="R1127" s="55">
        <f t="shared" si="377"/>
        <v>0</v>
      </c>
      <c r="S1127" s="55">
        <v>0</v>
      </c>
      <c r="T1127" s="55">
        <v>0</v>
      </c>
      <c r="U1127" s="55">
        <v>0</v>
      </c>
      <c r="V1127" s="55">
        <v>0</v>
      </c>
      <c r="W1127" s="53">
        <v>0</v>
      </c>
      <c r="X1127" s="53">
        <v>0</v>
      </c>
      <c r="Y1127" s="55">
        <v>0</v>
      </c>
      <c r="Z1127" s="55">
        <v>0</v>
      </c>
      <c r="AA1127" s="53">
        <v>0</v>
      </c>
      <c r="AB1127" s="53">
        <v>0</v>
      </c>
      <c r="AC1127" s="55">
        <v>0</v>
      </c>
      <c r="AD1127" s="55">
        <f t="shared" si="383"/>
        <v>0</v>
      </c>
      <c r="AE1127" s="53">
        <v>0</v>
      </c>
      <c r="AF1127" s="55">
        <v>0</v>
      </c>
      <c r="AG1127" s="55">
        <v>0</v>
      </c>
      <c r="AH1127" s="55">
        <f t="shared" si="379"/>
        <v>0</v>
      </c>
      <c r="AI1127" s="55">
        <v>0</v>
      </c>
      <c r="AJ1127" s="55">
        <v>0</v>
      </c>
      <c r="AK1127" s="55">
        <v>0</v>
      </c>
      <c r="AL1127" s="55">
        <f t="shared" si="380"/>
        <v>0</v>
      </c>
      <c r="AM1127" s="55" t="s">
        <v>1912</v>
      </c>
      <c r="AN1127" s="55">
        <v>0</v>
      </c>
      <c r="AO1127" s="55">
        <v>0</v>
      </c>
      <c r="AP1127" s="55">
        <f t="shared" si="373"/>
        <v>0</v>
      </c>
      <c r="AQ1127" s="55">
        <f>IFERROR(VLOOKUP(A1127,[1]SIIMPLES!$A$2:$F$418,6,FALSE),0)</f>
        <v>0</v>
      </c>
      <c r="AR1127" s="55">
        <v>0</v>
      </c>
      <c r="AS1127" s="55">
        <v>0</v>
      </c>
      <c r="AT1127" s="55">
        <v>0</v>
      </c>
      <c r="AU1127" s="55">
        <v>0</v>
      </c>
      <c r="AV1127" s="55">
        <v>0</v>
      </c>
      <c r="AW1127" s="55"/>
      <c r="AX1127" s="55"/>
      <c r="AY1127" s="56">
        <f t="shared" si="374"/>
        <v>0</v>
      </c>
      <c r="AZ1127" s="55"/>
      <c r="BA1127" s="56">
        <v>0.16666666666666666</v>
      </c>
      <c r="BB1127" s="41">
        <f t="shared" si="381"/>
        <v>-1</v>
      </c>
      <c r="BC1127" s="7"/>
      <c r="BD1127" s="35"/>
      <c r="BE1127" s="13"/>
      <c r="BF1127" s="16"/>
      <c r="BG1127" s="17" t="str">
        <f t="shared" si="378"/>
        <v>0</v>
      </c>
      <c r="BH1127" s="16">
        <f t="shared" si="382"/>
        <v>0</v>
      </c>
    </row>
    <row r="1128" spans="1:60" ht="12.75" customHeight="1" x14ac:dyDescent="0.2">
      <c r="A1128" s="51">
        <v>993003</v>
      </c>
      <c r="B1128" s="51" t="s">
        <v>1077</v>
      </c>
      <c r="C1128" s="66" t="s">
        <v>1803</v>
      </c>
      <c r="D1128" s="52" t="s">
        <v>728</v>
      </c>
      <c r="E1128" s="65" t="s">
        <v>780</v>
      </c>
      <c r="F1128" s="53">
        <f>IFERROR(VLOOKUP(E1128,Fornecedores!$A$2:$B$2700,2,FALSE),"")</f>
        <v>2</v>
      </c>
      <c r="G1128" s="52" t="s">
        <v>860</v>
      </c>
      <c r="H1128" s="57"/>
      <c r="I1128" s="55">
        <f t="shared" si="375"/>
        <v>0</v>
      </c>
      <c r="J1128" s="55">
        <v>0</v>
      </c>
      <c r="K1128" s="55">
        <v>0</v>
      </c>
      <c r="L1128" s="55">
        <v>0</v>
      </c>
      <c r="M1128" s="55">
        <v>0</v>
      </c>
      <c r="N1128" s="55">
        <f t="shared" si="376"/>
        <v>0</v>
      </c>
      <c r="O1128" s="55">
        <v>0</v>
      </c>
      <c r="P1128" s="55">
        <v>0</v>
      </c>
      <c r="Q1128" s="55">
        <v>0</v>
      </c>
      <c r="R1128" s="55">
        <f t="shared" si="377"/>
        <v>0</v>
      </c>
      <c r="S1128" s="55">
        <v>0</v>
      </c>
      <c r="T1128" s="55">
        <v>0</v>
      </c>
      <c r="U1128" s="55">
        <v>0</v>
      </c>
      <c r="V1128" s="55">
        <v>0</v>
      </c>
      <c r="W1128" s="53">
        <v>0</v>
      </c>
      <c r="X1128" s="53">
        <v>0</v>
      </c>
      <c r="Y1128" s="55">
        <v>0</v>
      </c>
      <c r="Z1128" s="55">
        <v>0</v>
      </c>
      <c r="AA1128" s="53">
        <v>0</v>
      </c>
      <c r="AB1128" s="53">
        <v>0</v>
      </c>
      <c r="AC1128" s="55">
        <v>0</v>
      </c>
      <c r="AD1128" s="55">
        <f t="shared" si="383"/>
        <v>0</v>
      </c>
      <c r="AE1128" s="53">
        <v>0</v>
      </c>
      <c r="AF1128" s="55">
        <v>0</v>
      </c>
      <c r="AG1128" s="55">
        <v>0</v>
      </c>
      <c r="AH1128" s="55">
        <f t="shared" si="379"/>
        <v>0</v>
      </c>
      <c r="AI1128" s="55">
        <v>0</v>
      </c>
      <c r="AJ1128" s="55">
        <v>0</v>
      </c>
      <c r="AK1128" s="55">
        <v>0</v>
      </c>
      <c r="AL1128" s="55">
        <f t="shared" si="380"/>
        <v>0</v>
      </c>
      <c r="AM1128" s="55" t="s">
        <v>1912</v>
      </c>
      <c r="AN1128" s="55">
        <v>0</v>
      </c>
      <c r="AO1128" s="55">
        <v>0</v>
      </c>
      <c r="AP1128" s="55">
        <f t="shared" si="373"/>
        <v>0</v>
      </c>
      <c r="AQ1128" s="55">
        <f>IFERROR(VLOOKUP(A1128,[1]SIIMPLES!$A$2:$F$418,6,FALSE),0)</f>
        <v>0</v>
      </c>
      <c r="AR1128" s="55">
        <v>0</v>
      </c>
      <c r="AS1128" s="55">
        <v>0</v>
      </c>
      <c r="AT1128" s="55">
        <v>0</v>
      </c>
      <c r="AU1128" s="55">
        <v>0</v>
      </c>
      <c r="AV1128" s="55">
        <v>0</v>
      </c>
      <c r="AW1128" s="55"/>
      <c r="AX1128" s="55"/>
      <c r="AY1128" s="56">
        <f t="shared" si="374"/>
        <v>0</v>
      </c>
      <c r="AZ1128" s="55"/>
      <c r="BA1128" s="56">
        <v>0.33333333333333331</v>
      </c>
      <c r="BB1128" s="41">
        <f t="shared" si="381"/>
        <v>-1</v>
      </c>
      <c r="BC1128" s="13"/>
      <c r="BD1128" s="35"/>
      <c r="BE1128" s="13"/>
      <c r="BF1128" s="16"/>
      <c r="BG1128" s="17" t="str">
        <f t="shared" si="378"/>
        <v>0</v>
      </c>
      <c r="BH1128" s="16">
        <f t="shared" si="382"/>
        <v>0</v>
      </c>
    </row>
    <row r="1129" spans="1:60" ht="12.75" customHeight="1" x14ac:dyDescent="0.2">
      <c r="A1129" s="51">
        <v>993005</v>
      </c>
      <c r="B1129" s="51"/>
      <c r="C1129" s="66" t="s">
        <v>1803</v>
      </c>
      <c r="D1129" s="52" t="s">
        <v>728</v>
      </c>
      <c r="E1129" s="65" t="s">
        <v>780</v>
      </c>
      <c r="F1129" s="53">
        <f>IFERROR(VLOOKUP(E1129,Fornecedores!$A$2:$B$2700,2,FALSE),"")</f>
        <v>2</v>
      </c>
      <c r="G1129" s="52" t="s">
        <v>1375</v>
      </c>
      <c r="H1129" s="57"/>
      <c r="I1129" s="55">
        <f t="shared" si="375"/>
        <v>0</v>
      </c>
      <c r="J1129" s="55">
        <v>0</v>
      </c>
      <c r="K1129" s="55">
        <v>0</v>
      </c>
      <c r="L1129" s="55">
        <v>0</v>
      </c>
      <c r="M1129" s="55">
        <v>0</v>
      </c>
      <c r="N1129" s="55">
        <f t="shared" si="376"/>
        <v>0</v>
      </c>
      <c r="O1129" s="55">
        <v>0</v>
      </c>
      <c r="P1129" s="55">
        <v>0</v>
      </c>
      <c r="Q1129" s="55">
        <v>0</v>
      </c>
      <c r="R1129" s="55">
        <f t="shared" si="377"/>
        <v>0</v>
      </c>
      <c r="S1129" s="55">
        <v>0</v>
      </c>
      <c r="T1129" s="55">
        <v>0</v>
      </c>
      <c r="U1129" s="55">
        <v>0</v>
      </c>
      <c r="V1129" s="55">
        <v>0</v>
      </c>
      <c r="W1129" s="53">
        <v>0</v>
      </c>
      <c r="X1129" s="53">
        <v>0</v>
      </c>
      <c r="Y1129" s="55">
        <v>0</v>
      </c>
      <c r="Z1129" s="55">
        <v>0</v>
      </c>
      <c r="AA1129" s="53">
        <v>0</v>
      </c>
      <c r="AB1129" s="53">
        <v>0</v>
      </c>
      <c r="AC1129" s="55">
        <v>0</v>
      </c>
      <c r="AD1129" s="55">
        <f t="shared" si="383"/>
        <v>0</v>
      </c>
      <c r="AE1129" s="53">
        <v>0</v>
      </c>
      <c r="AF1129" s="55">
        <v>0</v>
      </c>
      <c r="AG1129" s="55">
        <v>0</v>
      </c>
      <c r="AH1129" s="55">
        <f t="shared" si="379"/>
        <v>0</v>
      </c>
      <c r="AI1129" s="55">
        <v>0</v>
      </c>
      <c r="AJ1129" s="55">
        <v>0</v>
      </c>
      <c r="AK1129" s="55">
        <v>0</v>
      </c>
      <c r="AL1129" s="55">
        <f t="shared" si="380"/>
        <v>0</v>
      </c>
      <c r="AM1129" s="55" t="s">
        <v>1912</v>
      </c>
      <c r="AN1129" s="55">
        <v>0</v>
      </c>
      <c r="AO1129" s="55">
        <v>0</v>
      </c>
      <c r="AP1129" s="55">
        <f t="shared" si="373"/>
        <v>0</v>
      </c>
      <c r="AQ1129" s="55">
        <f>IFERROR(VLOOKUP(A1129,[1]SIIMPLES!$A$2:$F$418,6,FALSE),0)</f>
        <v>0</v>
      </c>
      <c r="AR1129" s="55">
        <v>0</v>
      </c>
      <c r="AS1129" s="55">
        <v>0</v>
      </c>
      <c r="AT1129" s="55">
        <v>0</v>
      </c>
      <c r="AU1129" s="55">
        <v>0</v>
      </c>
      <c r="AV1129" s="55">
        <v>0</v>
      </c>
      <c r="AW1129" s="55"/>
      <c r="AX1129" s="55"/>
      <c r="AY1129" s="56">
        <f t="shared" si="374"/>
        <v>0</v>
      </c>
      <c r="AZ1129" s="55"/>
      <c r="BA1129" s="56">
        <v>0</v>
      </c>
      <c r="BB1129" s="41" t="str">
        <f t="shared" si="381"/>
        <v/>
      </c>
      <c r="BC1129" s="13"/>
      <c r="BD1129" s="35"/>
      <c r="BE1129" s="13"/>
      <c r="BF1129" s="16"/>
      <c r="BG1129" s="17" t="str">
        <f t="shared" si="378"/>
        <v>0</v>
      </c>
      <c r="BH1129" s="16">
        <f t="shared" si="382"/>
        <v>0</v>
      </c>
    </row>
    <row r="1130" spans="1:60" ht="12.75" customHeight="1" x14ac:dyDescent="0.2">
      <c r="A1130" s="51">
        <v>993006</v>
      </c>
      <c r="B1130" s="51"/>
      <c r="C1130" s="66" t="s">
        <v>1803</v>
      </c>
      <c r="D1130" s="52" t="s">
        <v>728</v>
      </c>
      <c r="E1130" s="65" t="s">
        <v>780</v>
      </c>
      <c r="F1130" s="53">
        <f>IFERROR(VLOOKUP(E1130,Fornecedores!$A$2:$B$2700,2,FALSE),"")</f>
        <v>2</v>
      </c>
      <c r="G1130" s="52" t="s">
        <v>1376</v>
      </c>
      <c r="H1130" s="57"/>
      <c r="I1130" s="55">
        <f t="shared" si="375"/>
        <v>0</v>
      </c>
      <c r="J1130" s="55">
        <v>0</v>
      </c>
      <c r="K1130" s="55">
        <v>0</v>
      </c>
      <c r="L1130" s="55">
        <v>0</v>
      </c>
      <c r="M1130" s="55">
        <v>0</v>
      </c>
      <c r="N1130" s="55">
        <f t="shared" si="376"/>
        <v>0</v>
      </c>
      <c r="O1130" s="55">
        <v>0</v>
      </c>
      <c r="P1130" s="55">
        <v>0</v>
      </c>
      <c r="Q1130" s="55">
        <v>0</v>
      </c>
      <c r="R1130" s="55">
        <f t="shared" si="377"/>
        <v>0</v>
      </c>
      <c r="S1130" s="55">
        <v>0</v>
      </c>
      <c r="T1130" s="55">
        <v>0</v>
      </c>
      <c r="U1130" s="55">
        <v>0</v>
      </c>
      <c r="V1130" s="55">
        <v>0</v>
      </c>
      <c r="W1130" s="53">
        <v>0</v>
      </c>
      <c r="X1130" s="53">
        <v>0</v>
      </c>
      <c r="Y1130" s="55">
        <v>0</v>
      </c>
      <c r="Z1130" s="55">
        <v>0</v>
      </c>
      <c r="AA1130" s="53">
        <v>0</v>
      </c>
      <c r="AB1130" s="53">
        <v>0</v>
      </c>
      <c r="AC1130" s="55">
        <v>0</v>
      </c>
      <c r="AD1130" s="55">
        <f t="shared" si="383"/>
        <v>0</v>
      </c>
      <c r="AE1130" s="53">
        <v>0</v>
      </c>
      <c r="AF1130" s="55">
        <v>0</v>
      </c>
      <c r="AG1130" s="55">
        <v>0</v>
      </c>
      <c r="AH1130" s="55">
        <f t="shared" si="379"/>
        <v>0</v>
      </c>
      <c r="AI1130" s="55">
        <v>0</v>
      </c>
      <c r="AJ1130" s="55">
        <v>0</v>
      </c>
      <c r="AK1130" s="55">
        <v>0</v>
      </c>
      <c r="AL1130" s="55">
        <f t="shared" si="380"/>
        <v>0</v>
      </c>
      <c r="AM1130" s="55" t="s">
        <v>1912</v>
      </c>
      <c r="AN1130" s="55">
        <v>0</v>
      </c>
      <c r="AO1130" s="55">
        <v>0</v>
      </c>
      <c r="AP1130" s="55">
        <f t="shared" si="373"/>
        <v>0</v>
      </c>
      <c r="AQ1130" s="55">
        <f>IFERROR(VLOOKUP(A1130,[1]SIIMPLES!$A$2:$F$418,6,FALSE),0)</f>
        <v>0</v>
      </c>
      <c r="AR1130" s="55">
        <v>0</v>
      </c>
      <c r="AS1130" s="55">
        <v>0</v>
      </c>
      <c r="AT1130" s="55">
        <v>0</v>
      </c>
      <c r="AU1130" s="55">
        <v>0</v>
      </c>
      <c r="AV1130" s="55">
        <v>0</v>
      </c>
      <c r="AW1130" s="55"/>
      <c r="AX1130" s="55"/>
      <c r="AY1130" s="56">
        <f t="shared" si="374"/>
        <v>0</v>
      </c>
      <c r="AZ1130" s="55"/>
      <c r="BA1130" s="56">
        <v>0</v>
      </c>
      <c r="BB1130" s="41" t="str">
        <f t="shared" si="381"/>
        <v/>
      </c>
      <c r="BC1130" s="13"/>
      <c r="BD1130" s="35"/>
      <c r="BE1130" s="13"/>
      <c r="BF1130" s="16"/>
      <c r="BG1130" s="17" t="str">
        <f t="shared" si="378"/>
        <v>0</v>
      </c>
      <c r="BH1130" s="16">
        <f t="shared" si="382"/>
        <v>0</v>
      </c>
    </row>
    <row r="1131" spans="1:60" ht="12.75" customHeight="1" x14ac:dyDescent="0.2">
      <c r="A1131" s="51">
        <v>993007</v>
      </c>
      <c r="B1131" s="51"/>
      <c r="C1131" s="66" t="s">
        <v>1803</v>
      </c>
      <c r="D1131" s="52" t="s">
        <v>728</v>
      </c>
      <c r="E1131" s="65" t="s">
        <v>780</v>
      </c>
      <c r="F1131" s="53">
        <f>IFERROR(VLOOKUP(E1131,Fornecedores!$A$2:$B$2700,2,FALSE),"")</f>
        <v>2</v>
      </c>
      <c r="G1131" s="52" t="s">
        <v>1740</v>
      </c>
      <c r="H1131" s="57"/>
      <c r="I1131" s="55">
        <f t="shared" si="375"/>
        <v>0</v>
      </c>
      <c r="J1131" s="57" t="s">
        <v>1282</v>
      </c>
      <c r="K1131" s="55">
        <v>0</v>
      </c>
      <c r="L1131" s="55">
        <v>0</v>
      </c>
      <c r="M1131" s="55">
        <v>0</v>
      </c>
      <c r="N1131" s="55">
        <f t="shared" si="376"/>
        <v>0</v>
      </c>
      <c r="O1131" s="55">
        <v>0</v>
      </c>
      <c r="P1131" s="55">
        <v>0</v>
      </c>
      <c r="Q1131" s="55">
        <v>0</v>
      </c>
      <c r="R1131" s="55">
        <f t="shared" si="377"/>
        <v>0</v>
      </c>
      <c r="S1131" s="55">
        <v>0</v>
      </c>
      <c r="T1131" s="55">
        <v>0</v>
      </c>
      <c r="U1131" s="55">
        <v>0</v>
      </c>
      <c r="V1131" s="55">
        <v>0</v>
      </c>
      <c r="W1131" s="53">
        <v>0</v>
      </c>
      <c r="X1131" s="53">
        <v>0</v>
      </c>
      <c r="Y1131" s="55">
        <v>0</v>
      </c>
      <c r="Z1131" s="55">
        <v>0</v>
      </c>
      <c r="AA1131" s="53">
        <v>0</v>
      </c>
      <c r="AB1131" s="53">
        <v>0</v>
      </c>
      <c r="AC1131" s="55">
        <v>0</v>
      </c>
      <c r="AD1131" s="55">
        <f t="shared" si="383"/>
        <v>0</v>
      </c>
      <c r="AE1131" s="53">
        <v>0</v>
      </c>
      <c r="AF1131" s="55">
        <v>0</v>
      </c>
      <c r="AG1131" s="55">
        <v>0</v>
      </c>
      <c r="AH1131" s="55">
        <f t="shared" si="379"/>
        <v>0</v>
      </c>
      <c r="AI1131" s="55">
        <v>0</v>
      </c>
      <c r="AJ1131" s="55">
        <v>0</v>
      </c>
      <c r="AK1131" s="55">
        <v>0</v>
      </c>
      <c r="AL1131" s="55">
        <f t="shared" si="380"/>
        <v>0</v>
      </c>
      <c r="AM1131" s="55" t="s">
        <v>1912</v>
      </c>
      <c r="AN1131" s="55">
        <v>0</v>
      </c>
      <c r="AO1131" s="55">
        <v>0</v>
      </c>
      <c r="AP1131" s="55">
        <f t="shared" si="373"/>
        <v>0</v>
      </c>
      <c r="AQ1131" s="55">
        <f>IFERROR(VLOOKUP(A1131,[1]SIIMPLES!$A$2:$F$418,6,FALSE),0)</f>
        <v>0</v>
      </c>
      <c r="AR1131" s="55">
        <v>0</v>
      </c>
      <c r="AS1131" s="55">
        <v>0</v>
      </c>
      <c r="AT1131" s="55">
        <v>0</v>
      </c>
      <c r="AU1131" s="55">
        <v>0</v>
      </c>
      <c r="AV1131" s="55">
        <v>0</v>
      </c>
      <c r="AW1131" s="57"/>
      <c r="AX1131" s="57"/>
      <c r="AY1131" s="56">
        <f t="shared" si="374"/>
        <v>0</v>
      </c>
      <c r="AZ1131" s="55"/>
      <c r="BA1131" s="56" t="s">
        <v>1912</v>
      </c>
      <c r="BB1131" s="41" t="str">
        <f t="shared" si="381"/>
        <v/>
      </c>
      <c r="BC1131" s="13"/>
      <c r="BD1131" s="35"/>
      <c r="BE1131" s="13"/>
      <c r="BF1131" s="16"/>
      <c r="BG1131" s="17" t="str">
        <f t="shared" si="378"/>
        <v>0</v>
      </c>
      <c r="BH1131" s="16">
        <f t="shared" si="382"/>
        <v>0</v>
      </c>
    </row>
    <row r="1132" spans="1:60" ht="12.75" customHeight="1" x14ac:dyDescent="0.2">
      <c r="A1132" s="51">
        <v>993008</v>
      </c>
      <c r="B1132" s="51"/>
      <c r="C1132" s="66" t="s">
        <v>1803</v>
      </c>
      <c r="D1132" s="52" t="s">
        <v>728</v>
      </c>
      <c r="E1132" s="65" t="s">
        <v>780</v>
      </c>
      <c r="F1132" s="53">
        <f>IFERROR(VLOOKUP(E1132,Fornecedores!$A$2:$B$2700,2,FALSE),"")</f>
        <v>2</v>
      </c>
      <c r="G1132" s="52" t="s">
        <v>1739</v>
      </c>
      <c r="H1132" s="57"/>
      <c r="I1132" s="55">
        <f t="shared" si="375"/>
        <v>0</v>
      </c>
      <c r="J1132" s="57" t="s">
        <v>1282</v>
      </c>
      <c r="K1132" s="55">
        <v>0</v>
      </c>
      <c r="L1132" s="55">
        <v>0</v>
      </c>
      <c r="M1132" s="55">
        <v>0</v>
      </c>
      <c r="N1132" s="55">
        <f t="shared" si="376"/>
        <v>0</v>
      </c>
      <c r="O1132" s="55">
        <v>0</v>
      </c>
      <c r="P1132" s="55">
        <v>0</v>
      </c>
      <c r="Q1132" s="55">
        <v>0</v>
      </c>
      <c r="R1132" s="55">
        <f t="shared" si="377"/>
        <v>0</v>
      </c>
      <c r="S1132" s="55">
        <v>0</v>
      </c>
      <c r="T1132" s="55">
        <v>0</v>
      </c>
      <c r="U1132" s="55">
        <v>0</v>
      </c>
      <c r="V1132" s="55">
        <v>0</v>
      </c>
      <c r="W1132" s="53">
        <v>0</v>
      </c>
      <c r="X1132" s="53">
        <v>0</v>
      </c>
      <c r="Y1132" s="55">
        <v>0</v>
      </c>
      <c r="Z1132" s="55">
        <v>0</v>
      </c>
      <c r="AA1132" s="53">
        <v>0</v>
      </c>
      <c r="AB1132" s="53">
        <v>0</v>
      </c>
      <c r="AC1132" s="55">
        <v>0</v>
      </c>
      <c r="AD1132" s="55">
        <f t="shared" si="383"/>
        <v>0</v>
      </c>
      <c r="AE1132" s="53">
        <v>0</v>
      </c>
      <c r="AF1132" s="55">
        <v>0</v>
      </c>
      <c r="AG1132" s="55">
        <v>0</v>
      </c>
      <c r="AH1132" s="55">
        <f t="shared" si="379"/>
        <v>0</v>
      </c>
      <c r="AI1132" s="55">
        <v>0</v>
      </c>
      <c r="AJ1132" s="55">
        <v>0</v>
      </c>
      <c r="AK1132" s="55">
        <v>0</v>
      </c>
      <c r="AL1132" s="55">
        <f t="shared" si="380"/>
        <v>0</v>
      </c>
      <c r="AM1132" s="55" t="s">
        <v>1912</v>
      </c>
      <c r="AN1132" s="55">
        <v>0</v>
      </c>
      <c r="AO1132" s="55">
        <v>0</v>
      </c>
      <c r="AP1132" s="55">
        <f t="shared" si="373"/>
        <v>0</v>
      </c>
      <c r="AQ1132" s="55">
        <f>IFERROR(VLOOKUP(A1132,[1]SIIMPLES!$A$2:$F$418,6,FALSE),0)</f>
        <v>0</v>
      </c>
      <c r="AR1132" s="55">
        <v>0</v>
      </c>
      <c r="AS1132" s="55">
        <v>0</v>
      </c>
      <c r="AT1132" s="55">
        <v>0</v>
      </c>
      <c r="AU1132" s="55">
        <v>0</v>
      </c>
      <c r="AV1132" s="55">
        <v>0</v>
      </c>
      <c r="AW1132" s="57"/>
      <c r="AX1132" s="57"/>
      <c r="AY1132" s="56">
        <f t="shared" si="374"/>
        <v>0</v>
      </c>
      <c r="AZ1132" s="55"/>
      <c r="BA1132" s="56" t="s">
        <v>1912</v>
      </c>
      <c r="BB1132" s="41" t="str">
        <f t="shared" si="381"/>
        <v/>
      </c>
      <c r="BC1132" s="10"/>
      <c r="BD1132" s="35"/>
      <c r="BE1132" s="13"/>
      <c r="BF1132" s="16"/>
      <c r="BG1132" s="17" t="str">
        <f t="shared" si="378"/>
        <v>0</v>
      </c>
      <c r="BH1132" s="16">
        <f t="shared" si="382"/>
        <v>0</v>
      </c>
    </row>
    <row r="1133" spans="1:60" ht="12.75" customHeight="1" x14ac:dyDescent="0.2">
      <c r="A1133" s="51">
        <v>993010</v>
      </c>
      <c r="B1133" s="51"/>
      <c r="C1133" s="66" t="s">
        <v>1803</v>
      </c>
      <c r="D1133" s="52" t="s">
        <v>728</v>
      </c>
      <c r="E1133" s="65" t="s">
        <v>780</v>
      </c>
      <c r="F1133" s="53">
        <f>IFERROR(VLOOKUP(E1133,Fornecedores!$A$2:$B$2700,2,FALSE),"")</f>
        <v>2</v>
      </c>
      <c r="G1133" s="52" t="s">
        <v>1829</v>
      </c>
      <c r="H1133" s="57"/>
      <c r="I1133" s="55">
        <f t="shared" si="375"/>
        <v>0</v>
      </c>
      <c r="J1133" s="57" t="s">
        <v>1282</v>
      </c>
      <c r="K1133" s="55">
        <v>0</v>
      </c>
      <c r="L1133" s="55">
        <v>0</v>
      </c>
      <c r="M1133" s="55">
        <v>0</v>
      </c>
      <c r="N1133" s="55">
        <f t="shared" si="376"/>
        <v>0</v>
      </c>
      <c r="O1133" s="55">
        <v>0</v>
      </c>
      <c r="P1133" s="55">
        <v>0</v>
      </c>
      <c r="Q1133" s="55">
        <v>0</v>
      </c>
      <c r="R1133" s="55">
        <f t="shared" si="377"/>
        <v>0</v>
      </c>
      <c r="S1133" s="55">
        <v>0</v>
      </c>
      <c r="T1133" s="55">
        <v>0</v>
      </c>
      <c r="U1133" s="55">
        <v>0</v>
      </c>
      <c r="V1133" s="55">
        <v>0</v>
      </c>
      <c r="W1133" s="53">
        <v>0</v>
      </c>
      <c r="X1133" s="53">
        <v>0</v>
      </c>
      <c r="Y1133" s="55">
        <v>0</v>
      </c>
      <c r="Z1133" s="55">
        <v>0</v>
      </c>
      <c r="AA1133" s="53">
        <v>0</v>
      </c>
      <c r="AB1133" s="53">
        <v>0</v>
      </c>
      <c r="AC1133" s="55">
        <v>0</v>
      </c>
      <c r="AD1133" s="55">
        <f t="shared" si="383"/>
        <v>0</v>
      </c>
      <c r="AE1133" s="53">
        <v>0</v>
      </c>
      <c r="AF1133" s="55">
        <v>0</v>
      </c>
      <c r="AG1133" s="55">
        <v>0</v>
      </c>
      <c r="AH1133" s="55">
        <f t="shared" si="379"/>
        <v>0</v>
      </c>
      <c r="AI1133" s="55">
        <v>0</v>
      </c>
      <c r="AJ1133" s="55">
        <v>0</v>
      </c>
      <c r="AK1133" s="55">
        <v>0</v>
      </c>
      <c r="AL1133" s="55">
        <f t="shared" si="380"/>
        <v>0</v>
      </c>
      <c r="AM1133" s="55" t="s">
        <v>1912</v>
      </c>
      <c r="AN1133" s="55">
        <v>0</v>
      </c>
      <c r="AO1133" s="55">
        <v>0</v>
      </c>
      <c r="AP1133" s="55">
        <f t="shared" si="373"/>
        <v>0</v>
      </c>
      <c r="AQ1133" s="55">
        <f>IFERROR(VLOOKUP(A1133,[1]SIIMPLES!$A$2:$F$418,6,FALSE),0)</f>
        <v>0</v>
      </c>
      <c r="AR1133" s="55">
        <v>0</v>
      </c>
      <c r="AS1133" s="55">
        <v>0</v>
      </c>
      <c r="AT1133" s="55">
        <v>0</v>
      </c>
      <c r="AU1133" s="55">
        <v>0</v>
      </c>
      <c r="AV1133" s="55">
        <v>0</v>
      </c>
      <c r="AW1133" s="57"/>
      <c r="AX1133" s="57"/>
      <c r="AY1133" s="56">
        <f t="shared" si="374"/>
        <v>0</v>
      </c>
      <c r="AZ1133" s="55"/>
      <c r="BA1133" s="56" t="s">
        <v>1912</v>
      </c>
      <c r="BB1133" s="41" t="str">
        <f t="shared" si="381"/>
        <v/>
      </c>
      <c r="BC1133" s="13"/>
      <c r="BD1133" s="35"/>
      <c r="BE1133" s="13"/>
      <c r="BF1133" s="16"/>
      <c r="BG1133" s="17" t="str">
        <f t="shared" si="378"/>
        <v>0</v>
      </c>
      <c r="BH1133" s="16">
        <f t="shared" si="382"/>
        <v>0</v>
      </c>
    </row>
    <row r="1134" spans="1:60" ht="12.75" customHeight="1" x14ac:dyDescent="0.2">
      <c r="A1134" s="51">
        <v>993011</v>
      </c>
      <c r="B1134" s="51"/>
      <c r="C1134" s="66" t="s">
        <v>1803</v>
      </c>
      <c r="D1134" s="52" t="s">
        <v>728</v>
      </c>
      <c r="E1134" s="65" t="s">
        <v>780</v>
      </c>
      <c r="F1134" s="53">
        <f>IFERROR(VLOOKUP(E1134,Fornecedores!$A$2:$B$2700,2,FALSE),"")</f>
        <v>2</v>
      </c>
      <c r="G1134" s="52" t="s">
        <v>1830</v>
      </c>
      <c r="H1134" s="57"/>
      <c r="I1134" s="55">
        <f t="shared" si="375"/>
        <v>0</v>
      </c>
      <c r="J1134" s="57" t="s">
        <v>1282</v>
      </c>
      <c r="K1134" s="55">
        <v>0</v>
      </c>
      <c r="L1134" s="55">
        <v>0</v>
      </c>
      <c r="M1134" s="55">
        <v>0</v>
      </c>
      <c r="N1134" s="55">
        <f t="shared" si="376"/>
        <v>0</v>
      </c>
      <c r="O1134" s="55">
        <v>0</v>
      </c>
      <c r="P1134" s="55">
        <v>0</v>
      </c>
      <c r="Q1134" s="55">
        <v>0</v>
      </c>
      <c r="R1134" s="55">
        <f t="shared" si="377"/>
        <v>0</v>
      </c>
      <c r="S1134" s="55">
        <v>0</v>
      </c>
      <c r="T1134" s="55">
        <v>0</v>
      </c>
      <c r="U1134" s="55">
        <v>0</v>
      </c>
      <c r="V1134" s="55">
        <v>0</v>
      </c>
      <c r="W1134" s="53">
        <v>0</v>
      </c>
      <c r="X1134" s="53">
        <v>0</v>
      </c>
      <c r="Y1134" s="55">
        <v>0</v>
      </c>
      <c r="Z1134" s="55">
        <v>0</v>
      </c>
      <c r="AA1134" s="53">
        <v>0</v>
      </c>
      <c r="AB1134" s="53">
        <v>0</v>
      </c>
      <c r="AC1134" s="55">
        <v>0</v>
      </c>
      <c r="AD1134" s="55">
        <f t="shared" si="383"/>
        <v>0</v>
      </c>
      <c r="AE1134" s="53">
        <v>0</v>
      </c>
      <c r="AF1134" s="55">
        <v>0</v>
      </c>
      <c r="AG1134" s="55">
        <v>0</v>
      </c>
      <c r="AH1134" s="55">
        <f t="shared" si="379"/>
        <v>0</v>
      </c>
      <c r="AI1134" s="55">
        <v>0</v>
      </c>
      <c r="AJ1134" s="55">
        <v>0</v>
      </c>
      <c r="AK1134" s="55">
        <v>0</v>
      </c>
      <c r="AL1134" s="55">
        <f t="shared" si="380"/>
        <v>0</v>
      </c>
      <c r="AM1134" s="55" t="s">
        <v>1912</v>
      </c>
      <c r="AN1134" s="55">
        <v>0</v>
      </c>
      <c r="AO1134" s="55">
        <v>0</v>
      </c>
      <c r="AP1134" s="55">
        <f t="shared" si="373"/>
        <v>0</v>
      </c>
      <c r="AQ1134" s="55">
        <f>IFERROR(VLOOKUP(A1134,[1]SIIMPLES!$A$2:$F$418,6,FALSE),0)</f>
        <v>0</v>
      </c>
      <c r="AR1134" s="55">
        <v>0</v>
      </c>
      <c r="AS1134" s="55">
        <v>0</v>
      </c>
      <c r="AT1134" s="55">
        <v>0</v>
      </c>
      <c r="AU1134" s="55">
        <v>0</v>
      </c>
      <c r="AV1134" s="55">
        <v>0</v>
      </c>
      <c r="AW1134" s="57"/>
      <c r="AX1134" s="57"/>
      <c r="AY1134" s="56">
        <f t="shared" si="374"/>
        <v>0</v>
      </c>
      <c r="AZ1134" s="55"/>
      <c r="BA1134" s="56" t="s">
        <v>1912</v>
      </c>
      <c r="BB1134" s="41" t="str">
        <f t="shared" si="381"/>
        <v/>
      </c>
      <c r="BC1134" s="10"/>
      <c r="BD1134" s="35"/>
      <c r="BE1134" s="13"/>
      <c r="BF1134" s="16">
        <f>SUM(BC1134:BE1134)</f>
        <v>0</v>
      </c>
      <c r="BG1134" s="17" t="str">
        <f t="shared" si="378"/>
        <v>0</v>
      </c>
      <c r="BH1134" s="16">
        <f t="shared" si="382"/>
        <v>0</v>
      </c>
    </row>
    <row r="1135" spans="1:60" ht="12.75" customHeight="1" x14ac:dyDescent="0.2">
      <c r="A1135" s="51">
        <v>993012</v>
      </c>
      <c r="B1135" s="51"/>
      <c r="C1135" s="66" t="s">
        <v>1803</v>
      </c>
      <c r="D1135" s="52" t="s">
        <v>728</v>
      </c>
      <c r="E1135" s="65" t="s">
        <v>780</v>
      </c>
      <c r="F1135" s="53">
        <f>IFERROR(VLOOKUP(E1135,Fornecedores!$A$2:$B$2700,2,FALSE),"")</f>
        <v>2</v>
      </c>
      <c r="G1135" s="52" t="s">
        <v>1815</v>
      </c>
      <c r="H1135" s="57"/>
      <c r="I1135" s="55">
        <f t="shared" si="375"/>
        <v>1</v>
      </c>
      <c r="J1135" s="55">
        <v>1</v>
      </c>
      <c r="K1135" s="55">
        <v>0</v>
      </c>
      <c r="L1135" s="55">
        <v>0</v>
      </c>
      <c r="M1135" s="55">
        <v>0</v>
      </c>
      <c r="N1135" s="55">
        <f t="shared" si="376"/>
        <v>0</v>
      </c>
      <c r="O1135" s="55">
        <v>0</v>
      </c>
      <c r="P1135" s="55">
        <v>0</v>
      </c>
      <c r="Q1135" s="55">
        <v>0</v>
      </c>
      <c r="R1135" s="55">
        <f t="shared" si="377"/>
        <v>0</v>
      </c>
      <c r="S1135" s="55">
        <v>0</v>
      </c>
      <c r="T1135" s="55">
        <v>0</v>
      </c>
      <c r="U1135" s="55">
        <v>0</v>
      </c>
      <c r="V1135" s="55">
        <v>0</v>
      </c>
      <c r="W1135" s="53">
        <v>0</v>
      </c>
      <c r="X1135" s="53">
        <v>0</v>
      </c>
      <c r="Y1135" s="55">
        <v>0</v>
      </c>
      <c r="Z1135" s="55">
        <v>0</v>
      </c>
      <c r="AA1135" s="53">
        <v>0</v>
      </c>
      <c r="AB1135" s="53">
        <v>0</v>
      </c>
      <c r="AC1135" s="55">
        <v>0</v>
      </c>
      <c r="AD1135" s="55">
        <f t="shared" si="383"/>
        <v>0</v>
      </c>
      <c r="AE1135" s="53">
        <v>0</v>
      </c>
      <c r="AF1135" s="55">
        <v>0</v>
      </c>
      <c r="AG1135" s="55">
        <v>0</v>
      </c>
      <c r="AH1135" s="55">
        <f t="shared" si="379"/>
        <v>0</v>
      </c>
      <c r="AI1135" s="55">
        <v>0</v>
      </c>
      <c r="AJ1135" s="55">
        <v>0</v>
      </c>
      <c r="AK1135" s="55">
        <v>0</v>
      </c>
      <c r="AL1135" s="55">
        <f t="shared" si="380"/>
        <v>0</v>
      </c>
      <c r="AM1135" s="55" t="s">
        <v>1912</v>
      </c>
      <c r="AN1135" s="55">
        <v>0</v>
      </c>
      <c r="AO1135" s="55">
        <v>0</v>
      </c>
      <c r="AP1135" s="55">
        <f t="shared" si="373"/>
        <v>0</v>
      </c>
      <c r="AQ1135" s="55">
        <f>IFERROR(VLOOKUP(A1135,[1]SIIMPLES!$A$2:$F$418,6,FALSE),0)</f>
        <v>0</v>
      </c>
      <c r="AR1135" s="55">
        <v>0</v>
      </c>
      <c r="AS1135" s="55">
        <v>0</v>
      </c>
      <c r="AT1135" s="55">
        <v>0</v>
      </c>
      <c r="AU1135" s="55">
        <v>0</v>
      </c>
      <c r="AV1135" s="55">
        <v>0</v>
      </c>
      <c r="AW1135" s="57"/>
      <c r="AX1135" s="55"/>
      <c r="AY1135" s="56">
        <f t="shared" si="374"/>
        <v>0.1</v>
      </c>
      <c r="AZ1135" s="55"/>
      <c r="BA1135" s="56">
        <v>0</v>
      </c>
      <c r="BB1135" s="41" t="str">
        <f t="shared" si="381"/>
        <v/>
      </c>
      <c r="BC1135" s="7"/>
      <c r="BD1135" s="36"/>
      <c r="BE1135" s="7"/>
      <c r="BF1135" s="7"/>
      <c r="BG1135" s="7"/>
      <c r="BH1135" s="7"/>
    </row>
    <row r="1136" spans="1:60" ht="12.75" customHeight="1" x14ac:dyDescent="0.2">
      <c r="A1136" s="51">
        <v>993013</v>
      </c>
      <c r="B1136" s="51"/>
      <c r="C1136" s="66" t="s">
        <v>1803</v>
      </c>
      <c r="D1136" s="52" t="s">
        <v>728</v>
      </c>
      <c r="E1136" s="65" t="s">
        <v>780</v>
      </c>
      <c r="F1136" s="53">
        <f>IFERROR(VLOOKUP(E1136,Fornecedores!$A$2:$B$2700,2,FALSE),"")</f>
        <v>2</v>
      </c>
      <c r="G1136" s="52" t="s">
        <v>1835</v>
      </c>
      <c r="H1136" s="57"/>
      <c r="I1136" s="55">
        <f t="shared" si="375"/>
        <v>0</v>
      </c>
      <c r="J1136" s="57" t="s">
        <v>1282</v>
      </c>
      <c r="K1136" s="55">
        <v>0</v>
      </c>
      <c r="L1136" s="55">
        <v>0</v>
      </c>
      <c r="M1136" s="55">
        <v>0</v>
      </c>
      <c r="N1136" s="55">
        <f t="shared" si="376"/>
        <v>0</v>
      </c>
      <c r="O1136" s="55">
        <v>0</v>
      </c>
      <c r="P1136" s="55">
        <v>0</v>
      </c>
      <c r="Q1136" s="55">
        <v>0</v>
      </c>
      <c r="R1136" s="55">
        <f t="shared" si="377"/>
        <v>0</v>
      </c>
      <c r="S1136" s="55">
        <v>0</v>
      </c>
      <c r="T1136" s="55">
        <v>0</v>
      </c>
      <c r="U1136" s="55">
        <v>0</v>
      </c>
      <c r="V1136" s="55">
        <v>0</v>
      </c>
      <c r="W1136" s="53">
        <v>0</v>
      </c>
      <c r="X1136" s="53">
        <v>0</v>
      </c>
      <c r="Y1136" s="55">
        <v>0</v>
      </c>
      <c r="Z1136" s="55">
        <v>0</v>
      </c>
      <c r="AA1136" s="53">
        <v>0</v>
      </c>
      <c r="AB1136" s="53">
        <v>0</v>
      </c>
      <c r="AC1136" s="55">
        <v>0</v>
      </c>
      <c r="AD1136" s="55">
        <f t="shared" si="383"/>
        <v>0</v>
      </c>
      <c r="AE1136" s="53">
        <v>0</v>
      </c>
      <c r="AF1136" s="55">
        <v>0</v>
      </c>
      <c r="AG1136" s="55">
        <v>0</v>
      </c>
      <c r="AH1136" s="55">
        <f t="shared" si="379"/>
        <v>0</v>
      </c>
      <c r="AI1136" s="55">
        <v>0</v>
      </c>
      <c r="AJ1136" s="55">
        <v>0</v>
      </c>
      <c r="AK1136" s="55">
        <v>0</v>
      </c>
      <c r="AL1136" s="55">
        <f t="shared" si="380"/>
        <v>0</v>
      </c>
      <c r="AM1136" s="55" t="s">
        <v>1912</v>
      </c>
      <c r="AN1136" s="55">
        <v>0</v>
      </c>
      <c r="AO1136" s="55">
        <v>0</v>
      </c>
      <c r="AP1136" s="55">
        <f t="shared" si="373"/>
        <v>0</v>
      </c>
      <c r="AQ1136" s="55">
        <f>IFERROR(VLOOKUP(A1136,[1]SIIMPLES!$A$2:$F$418,6,FALSE),0)</f>
        <v>0</v>
      </c>
      <c r="AR1136" s="55">
        <v>0</v>
      </c>
      <c r="AS1136" s="55">
        <v>0</v>
      </c>
      <c r="AT1136" s="55">
        <v>0</v>
      </c>
      <c r="AU1136" s="55">
        <v>0</v>
      </c>
      <c r="AV1136" s="55">
        <v>0</v>
      </c>
      <c r="AW1136" s="57"/>
      <c r="AX1136" s="57"/>
      <c r="AY1136" s="56">
        <f t="shared" si="374"/>
        <v>0</v>
      </c>
      <c r="AZ1136" s="55"/>
      <c r="BA1136" s="56" t="s">
        <v>1912</v>
      </c>
      <c r="BB1136" s="41" t="str">
        <f t="shared" si="381"/>
        <v/>
      </c>
      <c r="BC1136" s="13"/>
      <c r="BD1136" s="35"/>
      <c r="BE1136" s="7"/>
      <c r="BF1136" s="16"/>
      <c r="BG1136" s="17" t="str">
        <f>IFERROR(BC1136/AY1136,"0")</f>
        <v>0</v>
      </c>
      <c r="BH1136" s="16">
        <f>IFERROR(IF(F1136=1,IF(BC1136&lt;AY1136*3,AY1136*3-BC1136,0),IF(BC1136&lt;AY1136,AY1136-BC1136,0)),"")</f>
        <v>0</v>
      </c>
    </row>
    <row r="1137" spans="1:60" ht="12.75" customHeight="1" x14ac:dyDescent="0.2">
      <c r="A1137" s="51">
        <v>993014</v>
      </c>
      <c r="B1137" s="51"/>
      <c r="C1137" s="66" t="s">
        <v>1803</v>
      </c>
      <c r="D1137" s="52" t="s">
        <v>728</v>
      </c>
      <c r="E1137" s="65" t="s">
        <v>780</v>
      </c>
      <c r="F1137" s="53">
        <f>IFERROR(VLOOKUP(E1137,Fornecedores!$A$2:$B$2700,2,FALSE),"")</f>
        <v>2</v>
      </c>
      <c r="G1137" s="52" t="s">
        <v>1831</v>
      </c>
      <c r="H1137" s="57"/>
      <c r="I1137" s="55">
        <f t="shared" si="375"/>
        <v>0</v>
      </c>
      <c r="J1137" s="57" t="s">
        <v>1282</v>
      </c>
      <c r="K1137" s="55">
        <v>0</v>
      </c>
      <c r="L1137" s="55">
        <v>0</v>
      </c>
      <c r="M1137" s="55">
        <v>0</v>
      </c>
      <c r="N1137" s="55">
        <f t="shared" si="376"/>
        <v>0</v>
      </c>
      <c r="O1137" s="55">
        <v>0</v>
      </c>
      <c r="P1137" s="55">
        <v>0</v>
      </c>
      <c r="Q1137" s="55">
        <v>0</v>
      </c>
      <c r="R1137" s="55">
        <f t="shared" si="377"/>
        <v>0</v>
      </c>
      <c r="S1137" s="55">
        <v>0</v>
      </c>
      <c r="T1137" s="55">
        <v>0</v>
      </c>
      <c r="U1137" s="55">
        <v>0</v>
      </c>
      <c r="V1137" s="55">
        <v>0</v>
      </c>
      <c r="W1137" s="53">
        <v>0</v>
      </c>
      <c r="X1137" s="53">
        <v>0</v>
      </c>
      <c r="Y1137" s="55">
        <v>0</v>
      </c>
      <c r="Z1137" s="55">
        <v>0</v>
      </c>
      <c r="AA1137" s="53">
        <v>0</v>
      </c>
      <c r="AB1137" s="53">
        <v>0</v>
      </c>
      <c r="AC1137" s="55">
        <v>0</v>
      </c>
      <c r="AD1137" s="55">
        <f t="shared" si="383"/>
        <v>0</v>
      </c>
      <c r="AE1137" s="53">
        <v>0</v>
      </c>
      <c r="AF1137" s="55">
        <v>0</v>
      </c>
      <c r="AG1137" s="55">
        <v>0</v>
      </c>
      <c r="AH1137" s="55">
        <f t="shared" si="379"/>
        <v>0</v>
      </c>
      <c r="AI1137" s="55">
        <v>0</v>
      </c>
      <c r="AJ1137" s="55">
        <v>0</v>
      </c>
      <c r="AK1137" s="55">
        <v>0</v>
      </c>
      <c r="AL1137" s="55">
        <f t="shared" si="380"/>
        <v>0</v>
      </c>
      <c r="AM1137" s="55" t="s">
        <v>1912</v>
      </c>
      <c r="AN1137" s="55">
        <v>0</v>
      </c>
      <c r="AO1137" s="55">
        <v>0</v>
      </c>
      <c r="AP1137" s="55">
        <f t="shared" si="373"/>
        <v>0</v>
      </c>
      <c r="AQ1137" s="55">
        <f>IFERROR(VLOOKUP(A1137,[1]SIIMPLES!$A$2:$F$418,6,FALSE),0)</f>
        <v>0</v>
      </c>
      <c r="AR1137" s="55">
        <v>0</v>
      </c>
      <c r="AS1137" s="55">
        <v>0</v>
      </c>
      <c r="AT1137" s="55">
        <v>0</v>
      </c>
      <c r="AU1137" s="55">
        <v>0</v>
      </c>
      <c r="AV1137" s="55">
        <v>0</v>
      </c>
      <c r="AW1137" s="57"/>
      <c r="AX1137" s="57"/>
      <c r="AY1137" s="56">
        <f t="shared" si="374"/>
        <v>0</v>
      </c>
      <c r="AZ1137" s="55"/>
      <c r="BA1137" s="56" t="s">
        <v>1912</v>
      </c>
      <c r="BB1137" s="41" t="str">
        <f t="shared" si="381"/>
        <v/>
      </c>
      <c r="BC1137" s="13"/>
      <c r="BD1137" s="36"/>
      <c r="BE1137" s="7"/>
      <c r="BF1137" s="7"/>
      <c r="BG1137" s="7"/>
      <c r="BH1137" s="7"/>
    </row>
    <row r="1138" spans="1:60" ht="12.75" customHeight="1" x14ac:dyDescent="0.2">
      <c r="A1138" s="51">
        <v>993015</v>
      </c>
      <c r="B1138" s="51"/>
      <c r="C1138" s="66" t="s">
        <v>1803</v>
      </c>
      <c r="D1138" s="52" t="s">
        <v>728</v>
      </c>
      <c r="E1138" s="65" t="s">
        <v>780</v>
      </c>
      <c r="F1138" s="53">
        <f>IFERROR(VLOOKUP(E1138,Fornecedores!$A$2:$B$2700,2,FALSE),"")</f>
        <v>2</v>
      </c>
      <c r="G1138" s="52" t="s">
        <v>1832</v>
      </c>
      <c r="H1138" s="57"/>
      <c r="I1138" s="55">
        <f t="shared" si="375"/>
        <v>0</v>
      </c>
      <c r="J1138" s="57" t="s">
        <v>1282</v>
      </c>
      <c r="K1138" s="55">
        <v>0</v>
      </c>
      <c r="L1138" s="55">
        <v>0</v>
      </c>
      <c r="M1138" s="55">
        <v>0</v>
      </c>
      <c r="N1138" s="55">
        <f t="shared" si="376"/>
        <v>0</v>
      </c>
      <c r="O1138" s="55">
        <v>0</v>
      </c>
      <c r="P1138" s="55">
        <v>0</v>
      </c>
      <c r="Q1138" s="55">
        <v>0</v>
      </c>
      <c r="R1138" s="55">
        <f t="shared" si="377"/>
        <v>0</v>
      </c>
      <c r="S1138" s="55">
        <v>0</v>
      </c>
      <c r="T1138" s="55">
        <v>0</v>
      </c>
      <c r="U1138" s="55">
        <v>0</v>
      </c>
      <c r="V1138" s="55">
        <v>0</v>
      </c>
      <c r="W1138" s="53">
        <v>0</v>
      </c>
      <c r="X1138" s="53">
        <v>0</v>
      </c>
      <c r="Y1138" s="55">
        <v>0</v>
      </c>
      <c r="Z1138" s="55">
        <v>0</v>
      </c>
      <c r="AA1138" s="53">
        <v>0</v>
      </c>
      <c r="AB1138" s="53">
        <v>0</v>
      </c>
      <c r="AC1138" s="55">
        <v>0</v>
      </c>
      <c r="AD1138" s="55">
        <f t="shared" si="383"/>
        <v>0</v>
      </c>
      <c r="AE1138" s="53">
        <v>0</v>
      </c>
      <c r="AF1138" s="55">
        <v>0</v>
      </c>
      <c r="AG1138" s="55">
        <v>0</v>
      </c>
      <c r="AH1138" s="55">
        <f t="shared" si="379"/>
        <v>0</v>
      </c>
      <c r="AI1138" s="55">
        <v>0</v>
      </c>
      <c r="AJ1138" s="55">
        <v>0</v>
      </c>
      <c r="AK1138" s="55">
        <v>0</v>
      </c>
      <c r="AL1138" s="55">
        <f t="shared" si="380"/>
        <v>1</v>
      </c>
      <c r="AM1138" s="55">
        <v>1</v>
      </c>
      <c r="AN1138" s="55">
        <v>0</v>
      </c>
      <c r="AO1138" s="55">
        <v>0</v>
      </c>
      <c r="AP1138" s="55">
        <f t="shared" si="373"/>
        <v>0</v>
      </c>
      <c r="AQ1138" s="55">
        <f>IFERROR(VLOOKUP(A1138,[1]SIIMPLES!$A$2:$F$418,6,FALSE),0)</f>
        <v>0</v>
      </c>
      <c r="AR1138" s="55">
        <v>0</v>
      </c>
      <c r="AS1138" s="55">
        <v>0</v>
      </c>
      <c r="AT1138" s="55">
        <v>0</v>
      </c>
      <c r="AU1138" s="55">
        <v>0</v>
      </c>
      <c r="AV1138" s="55">
        <v>0</v>
      </c>
      <c r="AW1138" s="57"/>
      <c r="AX1138" s="57"/>
      <c r="AY1138" s="56">
        <f t="shared" si="374"/>
        <v>0.1</v>
      </c>
      <c r="AZ1138" s="55"/>
      <c r="BA1138" s="56" t="s">
        <v>1912</v>
      </c>
      <c r="BB1138" s="41" t="str">
        <f t="shared" si="381"/>
        <v/>
      </c>
      <c r="BC1138" s="13"/>
      <c r="BD1138" s="35"/>
      <c r="BE1138" s="7"/>
      <c r="BF1138" s="16"/>
      <c r="BG1138" s="17">
        <f t="shared" ref="BG1138:BG1169" si="384">IFERROR(BC1138/AY1138,"0")</f>
        <v>0</v>
      </c>
      <c r="BH1138" s="16">
        <f t="shared" ref="BH1138:BH1154" si="385">IFERROR(IF(F1138=1,IF(BC1138&lt;AY1138*3,AY1138*3-BC1138,0),IF(BC1138&lt;AY1138,AY1138-BC1138,0)),"")</f>
        <v>0.1</v>
      </c>
    </row>
    <row r="1139" spans="1:60" ht="12.75" customHeight="1" x14ac:dyDescent="0.2">
      <c r="A1139" s="51">
        <v>993018</v>
      </c>
      <c r="B1139" s="51"/>
      <c r="C1139" s="66" t="s">
        <v>1803</v>
      </c>
      <c r="D1139" s="52" t="s">
        <v>1917</v>
      </c>
      <c r="E1139" s="52" t="s">
        <v>780</v>
      </c>
      <c r="F1139" s="53">
        <f>IFERROR(VLOOKUP(E1139,Fornecedores!$A$2:$B$2700,2,FALSE),"")</f>
        <v>2</v>
      </c>
      <c r="G1139" s="67" t="s">
        <v>1918</v>
      </c>
      <c r="H1139" s="57"/>
      <c r="I1139" s="57"/>
      <c r="J1139" s="57"/>
      <c r="K1139" s="57"/>
      <c r="L1139" s="57"/>
      <c r="M1139" s="57"/>
      <c r="N1139" s="57"/>
      <c r="O1139" s="57"/>
      <c r="P1139" s="57"/>
      <c r="Q1139" s="57"/>
      <c r="R1139" s="57"/>
      <c r="S1139" s="57"/>
      <c r="T1139" s="57"/>
      <c r="U1139" s="57"/>
      <c r="V1139" s="57"/>
      <c r="W1139" s="57"/>
      <c r="X1139" s="57"/>
      <c r="Y1139" s="57"/>
      <c r="Z1139" s="57"/>
      <c r="AA1139" s="57"/>
      <c r="AB1139" s="57"/>
      <c r="AC1139" s="57"/>
      <c r="AD1139" s="55">
        <f t="shared" si="383"/>
        <v>1</v>
      </c>
      <c r="AE1139" s="53">
        <v>1</v>
      </c>
      <c r="AF1139" s="55">
        <v>0</v>
      </c>
      <c r="AG1139" s="55">
        <v>0</v>
      </c>
      <c r="AH1139" s="55">
        <f t="shared" si="379"/>
        <v>0</v>
      </c>
      <c r="AI1139" s="55">
        <v>0</v>
      </c>
      <c r="AJ1139" s="55">
        <v>0</v>
      </c>
      <c r="AK1139" s="55">
        <v>0</v>
      </c>
      <c r="AL1139" s="55">
        <f t="shared" si="380"/>
        <v>0</v>
      </c>
      <c r="AM1139" s="55" t="s">
        <v>1912</v>
      </c>
      <c r="AN1139" s="55">
        <v>0</v>
      </c>
      <c r="AO1139" s="55">
        <v>0</v>
      </c>
      <c r="AP1139" s="55">
        <f t="shared" si="373"/>
        <v>0</v>
      </c>
      <c r="AQ1139" s="55">
        <f>IFERROR(VLOOKUP(A1139,[1]SIIMPLES!$A$2:$F$418,6,FALSE),0)</f>
        <v>0</v>
      </c>
      <c r="AR1139" s="55">
        <v>0</v>
      </c>
      <c r="AS1139" s="55">
        <v>0</v>
      </c>
      <c r="AT1139" s="55">
        <v>0</v>
      </c>
      <c r="AU1139" s="55">
        <v>0</v>
      </c>
      <c r="AV1139" s="55">
        <v>0</v>
      </c>
      <c r="AW1139" s="57"/>
      <c r="AX1139" s="57"/>
      <c r="AY1139" s="74">
        <f t="shared" si="374"/>
        <v>0.2</v>
      </c>
      <c r="AZ1139" s="57"/>
      <c r="BA1139" s="57"/>
      <c r="BB1139" s="41" t="str">
        <f t="shared" si="381"/>
        <v/>
      </c>
      <c r="BC1139" s="13"/>
      <c r="BD1139" s="35"/>
      <c r="BE1139" s="13"/>
      <c r="BF1139" s="16"/>
      <c r="BG1139" s="17">
        <f t="shared" si="384"/>
        <v>0</v>
      </c>
      <c r="BH1139" s="16">
        <f t="shared" si="385"/>
        <v>0.2</v>
      </c>
    </row>
    <row r="1140" spans="1:60" ht="12.75" customHeight="1" x14ac:dyDescent="0.2">
      <c r="A1140" s="51" t="s">
        <v>280</v>
      </c>
      <c r="B1140" s="51" t="s">
        <v>1077</v>
      </c>
      <c r="C1140" s="66" t="s">
        <v>1803</v>
      </c>
      <c r="D1140" s="52" t="s">
        <v>728</v>
      </c>
      <c r="E1140" s="65" t="s">
        <v>780</v>
      </c>
      <c r="F1140" s="53">
        <f>IFERROR(VLOOKUP(E1140,Fornecedores!$A$2:$B$2700,2,FALSE),"")</f>
        <v>2</v>
      </c>
      <c r="G1140" s="52" t="s">
        <v>281</v>
      </c>
      <c r="H1140" s="57"/>
      <c r="I1140" s="55">
        <f t="shared" ref="I1140:I1153" si="386">SUM(J1140:M1140)</f>
        <v>0</v>
      </c>
      <c r="J1140" s="55">
        <v>0</v>
      </c>
      <c r="K1140" s="55">
        <v>0</v>
      </c>
      <c r="L1140" s="55">
        <v>0</v>
      </c>
      <c r="M1140" s="55">
        <v>0</v>
      </c>
      <c r="N1140" s="55">
        <f t="shared" ref="N1140:N1153" si="387">SUM(O1140:Q1140)</f>
        <v>1</v>
      </c>
      <c r="O1140" s="55">
        <v>1</v>
      </c>
      <c r="P1140" s="55">
        <v>0</v>
      </c>
      <c r="Q1140" s="55">
        <v>0</v>
      </c>
      <c r="R1140" s="55">
        <f t="shared" ref="R1140:R1153" si="388">SUM(S1140:U1140)</f>
        <v>0</v>
      </c>
      <c r="S1140" s="55">
        <v>0</v>
      </c>
      <c r="T1140" s="55">
        <v>0</v>
      </c>
      <c r="U1140" s="55">
        <v>0</v>
      </c>
      <c r="V1140" s="55">
        <v>0</v>
      </c>
      <c r="W1140" s="53">
        <v>0</v>
      </c>
      <c r="X1140" s="53">
        <v>0</v>
      </c>
      <c r="Y1140" s="55">
        <v>0</v>
      </c>
      <c r="Z1140" s="55">
        <v>0</v>
      </c>
      <c r="AA1140" s="53">
        <v>0</v>
      </c>
      <c r="AB1140" s="53">
        <v>0</v>
      </c>
      <c r="AC1140" s="55">
        <v>0</v>
      </c>
      <c r="AD1140" s="55">
        <f t="shared" si="383"/>
        <v>0</v>
      </c>
      <c r="AE1140" s="53">
        <v>0</v>
      </c>
      <c r="AF1140" s="55">
        <v>0</v>
      </c>
      <c r="AG1140" s="55">
        <v>0</v>
      </c>
      <c r="AH1140" s="55">
        <f t="shared" si="379"/>
        <v>0</v>
      </c>
      <c r="AI1140" s="55">
        <v>0</v>
      </c>
      <c r="AJ1140" s="55">
        <v>0</v>
      </c>
      <c r="AK1140" s="55">
        <v>0</v>
      </c>
      <c r="AL1140" s="55">
        <f t="shared" si="380"/>
        <v>0</v>
      </c>
      <c r="AM1140" s="55" t="s">
        <v>1912</v>
      </c>
      <c r="AN1140" s="55">
        <v>0</v>
      </c>
      <c r="AO1140" s="55">
        <v>0</v>
      </c>
      <c r="AP1140" s="55">
        <f t="shared" ref="AP1140:AP1203" si="389">SUM(AQ1140:AR1140)</f>
        <v>0</v>
      </c>
      <c r="AQ1140" s="55">
        <f>IFERROR(VLOOKUP(A1140,[1]SIIMPLES!$A$2:$F$418,6,FALSE),0)</f>
        <v>0</v>
      </c>
      <c r="AR1140" s="55">
        <v>0</v>
      </c>
      <c r="AS1140" s="55">
        <v>2</v>
      </c>
      <c r="AT1140" s="55">
        <v>0</v>
      </c>
      <c r="AU1140" s="55">
        <v>0</v>
      </c>
      <c r="AV1140" s="55">
        <v>2</v>
      </c>
      <c r="AW1140" s="55"/>
      <c r="AX1140" s="55"/>
      <c r="AY1140" s="56">
        <f t="shared" si="374"/>
        <v>0.3</v>
      </c>
      <c r="AZ1140" s="55"/>
      <c r="BA1140" s="56">
        <v>3.3333333333333335</v>
      </c>
      <c r="BB1140" s="41">
        <f t="shared" si="381"/>
        <v>-0.91</v>
      </c>
      <c r="BC1140" s="13"/>
      <c r="BD1140" s="35"/>
      <c r="BE1140" s="13"/>
      <c r="BF1140" s="16"/>
      <c r="BG1140" s="17">
        <f t="shared" si="384"/>
        <v>0</v>
      </c>
      <c r="BH1140" s="16">
        <f t="shared" si="385"/>
        <v>0.3</v>
      </c>
    </row>
    <row r="1141" spans="1:60" ht="12.75" customHeight="1" x14ac:dyDescent="0.2">
      <c r="A1141" s="51" t="s">
        <v>1099</v>
      </c>
      <c r="B1141" s="51"/>
      <c r="C1141" s="66" t="s">
        <v>1803</v>
      </c>
      <c r="D1141" s="52" t="s">
        <v>728</v>
      </c>
      <c r="E1141" s="65" t="s">
        <v>780</v>
      </c>
      <c r="F1141" s="53">
        <f>IFERROR(VLOOKUP(E1141,Fornecedores!$A$2:$B$2700,2,FALSE),"")</f>
        <v>2</v>
      </c>
      <c r="G1141" s="52" t="s">
        <v>1143</v>
      </c>
      <c r="H1141" s="57"/>
      <c r="I1141" s="55">
        <f t="shared" si="386"/>
        <v>0</v>
      </c>
      <c r="J1141" s="55">
        <v>0</v>
      </c>
      <c r="K1141" s="55">
        <v>0</v>
      </c>
      <c r="L1141" s="55">
        <v>0</v>
      </c>
      <c r="M1141" s="55">
        <v>0</v>
      </c>
      <c r="N1141" s="55">
        <f t="shared" si="387"/>
        <v>0</v>
      </c>
      <c r="O1141" s="55">
        <v>0</v>
      </c>
      <c r="P1141" s="55">
        <v>0</v>
      </c>
      <c r="Q1141" s="55">
        <v>0</v>
      </c>
      <c r="R1141" s="55">
        <f t="shared" si="388"/>
        <v>0</v>
      </c>
      <c r="S1141" s="55">
        <v>0</v>
      </c>
      <c r="T1141" s="55">
        <v>0</v>
      </c>
      <c r="U1141" s="55">
        <v>0</v>
      </c>
      <c r="V1141" s="55">
        <v>0</v>
      </c>
      <c r="W1141" s="53">
        <v>0</v>
      </c>
      <c r="X1141" s="53">
        <v>0</v>
      </c>
      <c r="Y1141" s="55">
        <v>0</v>
      </c>
      <c r="Z1141" s="55">
        <v>0</v>
      </c>
      <c r="AA1141" s="53">
        <v>0</v>
      </c>
      <c r="AB1141" s="53">
        <v>0</v>
      </c>
      <c r="AC1141" s="55">
        <v>0</v>
      </c>
      <c r="AD1141" s="55">
        <f t="shared" si="383"/>
        <v>0</v>
      </c>
      <c r="AE1141" s="53">
        <v>0</v>
      </c>
      <c r="AF1141" s="55">
        <v>0</v>
      </c>
      <c r="AG1141" s="55">
        <v>0</v>
      </c>
      <c r="AH1141" s="55">
        <f t="shared" si="379"/>
        <v>0</v>
      </c>
      <c r="AI1141" s="55">
        <v>0</v>
      </c>
      <c r="AJ1141" s="55">
        <v>0</v>
      </c>
      <c r="AK1141" s="55">
        <v>0</v>
      </c>
      <c r="AL1141" s="55">
        <f t="shared" si="380"/>
        <v>0</v>
      </c>
      <c r="AM1141" s="55" t="s">
        <v>1912</v>
      </c>
      <c r="AN1141" s="55">
        <v>0</v>
      </c>
      <c r="AO1141" s="55">
        <v>0</v>
      </c>
      <c r="AP1141" s="55">
        <f t="shared" si="389"/>
        <v>0</v>
      </c>
      <c r="AQ1141" s="55">
        <f>IFERROR(VLOOKUP(A1141,[1]SIIMPLES!$A$2:$F$418,6,FALSE),0)</f>
        <v>0</v>
      </c>
      <c r="AR1141" s="55">
        <v>0</v>
      </c>
      <c r="AS1141" s="55">
        <v>0</v>
      </c>
      <c r="AT1141" s="55">
        <v>0</v>
      </c>
      <c r="AU1141" s="55">
        <v>0</v>
      </c>
      <c r="AV1141" s="55">
        <v>0</v>
      </c>
      <c r="AW1141" s="55"/>
      <c r="AX1141" s="55"/>
      <c r="AY1141" s="56">
        <f t="shared" si="374"/>
        <v>0</v>
      </c>
      <c r="AZ1141" s="55"/>
      <c r="BA1141" s="56">
        <v>0</v>
      </c>
      <c r="BB1141" s="41" t="str">
        <f t="shared" si="381"/>
        <v/>
      </c>
      <c r="BC1141" s="13"/>
      <c r="BD1141" s="35"/>
      <c r="BE1141" s="13"/>
      <c r="BF1141" s="16"/>
      <c r="BG1141" s="17" t="str">
        <f t="shared" si="384"/>
        <v>0</v>
      </c>
      <c r="BH1141" s="16">
        <f t="shared" si="385"/>
        <v>0</v>
      </c>
    </row>
    <row r="1142" spans="1:60" ht="12.75" customHeight="1" x14ac:dyDescent="0.2">
      <c r="A1142" s="51" t="s">
        <v>1100</v>
      </c>
      <c r="B1142" s="51"/>
      <c r="C1142" s="66" t="s">
        <v>1803</v>
      </c>
      <c r="D1142" s="52" t="s">
        <v>728</v>
      </c>
      <c r="E1142" s="65" t="s">
        <v>780</v>
      </c>
      <c r="F1142" s="53">
        <f>IFERROR(VLOOKUP(E1142,Fornecedores!$A$2:$B$2700,2,FALSE),"")</f>
        <v>2</v>
      </c>
      <c r="G1142" s="52" t="s">
        <v>1144</v>
      </c>
      <c r="H1142" s="57"/>
      <c r="I1142" s="55">
        <f t="shared" si="386"/>
        <v>0</v>
      </c>
      <c r="J1142" s="55">
        <v>0</v>
      </c>
      <c r="K1142" s="55">
        <v>0</v>
      </c>
      <c r="L1142" s="55">
        <v>0</v>
      </c>
      <c r="M1142" s="55">
        <v>0</v>
      </c>
      <c r="N1142" s="55">
        <f t="shared" si="387"/>
        <v>0</v>
      </c>
      <c r="O1142" s="55">
        <v>0</v>
      </c>
      <c r="P1142" s="55">
        <v>0</v>
      </c>
      <c r="Q1142" s="55">
        <v>0</v>
      </c>
      <c r="R1142" s="55">
        <f t="shared" si="388"/>
        <v>0</v>
      </c>
      <c r="S1142" s="55">
        <v>0</v>
      </c>
      <c r="T1142" s="55">
        <v>0</v>
      </c>
      <c r="U1142" s="55">
        <v>0</v>
      </c>
      <c r="V1142" s="55">
        <v>0</v>
      </c>
      <c r="W1142" s="53">
        <v>0</v>
      </c>
      <c r="X1142" s="53">
        <v>0</v>
      </c>
      <c r="Y1142" s="55">
        <v>0</v>
      </c>
      <c r="Z1142" s="55">
        <v>0</v>
      </c>
      <c r="AA1142" s="53">
        <v>0</v>
      </c>
      <c r="AB1142" s="53">
        <v>0</v>
      </c>
      <c r="AC1142" s="55">
        <v>0</v>
      </c>
      <c r="AD1142" s="55">
        <f t="shared" si="383"/>
        <v>0</v>
      </c>
      <c r="AE1142" s="53">
        <v>0</v>
      </c>
      <c r="AF1142" s="55">
        <v>0</v>
      </c>
      <c r="AG1142" s="55">
        <v>0</v>
      </c>
      <c r="AH1142" s="55">
        <f t="shared" si="379"/>
        <v>0</v>
      </c>
      <c r="AI1142" s="55">
        <v>0</v>
      </c>
      <c r="AJ1142" s="55">
        <v>0</v>
      </c>
      <c r="AK1142" s="55">
        <v>0</v>
      </c>
      <c r="AL1142" s="55">
        <f t="shared" si="380"/>
        <v>0</v>
      </c>
      <c r="AM1142" s="55" t="s">
        <v>1912</v>
      </c>
      <c r="AN1142" s="55">
        <v>0</v>
      </c>
      <c r="AO1142" s="55">
        <v>0</v>
      </c>
      <c r="AP1142" s="55">
        <f t="shared" si="389"/>
        <v>0</v>
      </c>
      <c r="AQ1142" s="55">
        <f>IFERROR(VLOOKUP(A1142,[1]SIIMPLES!$A$2:$F$418,6,FALSE),0)</f>
        <v>0</v>
      </c>
      <c r="AR1142" s="55">
        <v>0</v>
      </c>
      <c r="AS1142" s="55">
        <v>0</v>
      </c>
      <c r="AT1142" s="55">
        <v>0</v>
      </c>
      <c r="AU1142" s="55">
        <v>0</v>
      </c>
      <c r="AV1142" s="55">
        <v>0</v>
      </c>
      <c r="AW1142" s="55"/>
      <c r="AX1142" s="55"/>
      <c r="AY1142" s="56">
        <f t="shared" si="374"/>
        <v>0</v>
      </c>
      <c r="AZ1142" s="55"/>
      <c r="BA1142" s="56">
        <v>0</v>
      </c>
      <c r="BB1142" s="41" t="str">
        <f t="shared" si="381"/>
        <v/>
      </c>
      <c r="BC1142" s="13"/>
      <c r="BD1142" s="35"/>
      <c r="BE1142" s="13"/>
      <c r="BF1142" s="16"/>
      <c r="BG1142" s="17" t="str">
        <f t="shared" si="384"/>
        <v>0</v>
      </c>
      <c r="BH1142" s="16">
        <f t="shared" si="385"/>
        <v>0</v>
      </c>
    </row>
    <row r="1143" spans="1:60" ht="12.75" customHeight="1" x14ac:dyDescent="0.2">
      <c r="A1143" s="51">
        <v>6044003</v>
      </c>
      <c r="B1143" s="51"/>
      <c r="C1143" s="66" t="s">
        <v>1803</v>
      </c>
      <c r="D1143" s="52" t="s">
        <v>740</v>
      </c>
      <c r="E1143" s="52" t="str">
        <f>VLOOKUP(A1143,[2]CMV!$A$1:$E$2043,5,FALSE)</f>
        <v>IMPORTAÇÃO</v>
      </c>
      <c r="F1143" s="53">
        <f>IFERROR(VLOOKUP(E1143,Fornecedores!$A$2:$B$2700,2,FALSE),"")</f>
        <v>1</v>
      </c>
      <c r="G1143" s="52" t="s">
        <v>1738</v>
      </c>
      <c r="H1143" s="57"/>
      <c r="I1143" s="55">
        <f t="shared" si="386"/>
        <v>0</v>
      </c>
      <c r="J1143" s="57" t="s">
        <v>1282</v>
      </c>
      <c r="K1143" s="55">
        <v>0</v>
      </c>
      <c r="L1143" s="55">
        <v>0</v>
      </c>
      <c r="M1143" s="55">
        <v>0</v>
      </c>
      <c r="N1143" s="55">
        <f t="shared" si="387"/>
        <v>0</v>
      </c>
      <c r="O1143" s="55">
        <v>0</v>
      </c>
      <c r="P1143" s="55">
        <v>0</v>
      </c>
      <c r="Q1143" s="55">
        <v>0</v>
      </c>
      <c r="R1143" s="55">
        <f t="shared" si="388"/>
        <v>0</v>
      </c>
      <c r="S1143" s="55">
        <v>0</v>
      </c>
      <c r="T1143" s="55">
        <v>0</v>
      </c>
      <c r="U1143" s="55">
        <v>0</v>
      </c>
      <c r="V1143" s="55">
        <v>0</v>
      </c>
      <c r="W1143" s="53">
        <v>0</v>
      </c>
      <c r="X1143" s="53">
        <v>0</v>
      </c>
      <c r="Y1143" s="55">
        <v>0</v>
      </c>
      <c r="Z1143" s="55">
        <v>0</v>
      </c>
      <c r="AA1143" s="53">
        <v>0</v>
      </c>
      <c r="AB1143" s="53">
        <v>0</v>
      </c>
      <c r="AC1143" s="55">
        <v>0</v>
      </c>
      <c r="AD1143" s="55">
        <f t="shared" si="383"/>
        <v>0</v>
      </c>
      <c r="AE1143" s="53">
        <v>0</v>
      </c>
      <c r="AF1143" s="55">
        <v>0</v>
      </c>
      <c r="AG1143" s="55">
        <v>0</v>
      </c>
      <c r="AH1143" s="55">
        <f t="shared" si="379"/>
        <v>0</v>
      </c>
      <c r="AI1143" s="55">
        <v>0</v>
      </c>
      <c r="AJ1143" s="55">
        <v>0</v>
      </c>
      <c r="AK1143" s="55">
        <v>0</v>
      </c>
      <c r="AL1143" s="55">
        <f t="shared" si="380"/>
        <v>0</v>
      </c>
      <c r="AM1143" s="55" t="s">
        <v>1912</v>
      </c>
      <c r="AN1143" s="55">
        <v>0</v>
      </c>
      <c r="AO1143" s="55">
        <v>0</v>
      </c>
      <c r="AP1143" s="55">
        <f t="shared" si="389"/>
        <v>0</v>
      </c>
      <c r="AQ1143" s="55">
        <f>IFERROR(VLOOKUP(A1143,[1]SIIMPLES!$A$2:$F$418,6,FALSE),0)</f>
        <v>0</v>
      </c>
      <c r="AR1143" s="55">
        <v>0</v>
      </c>
      <c r="AS1143" s="55">
        <v>0</v>
      </c>
      <c r="AT1143" s="55">
        <v>0</v>
      </c>
      <c r="AU1143" s="55">
        <v>0</v>
      </c>
      <c r="AV1143" s="55">
        <v>0</v>
      </c>
      <c r="AW1143" s="57"/>
      <c r="AX1143" s="57"/>
      <c r="AY1143" s="56">
        <f t="shared" ref="AY1143:AY1171" si="390">IFERROR(AVERAGE(I1143,N1143,R1143,V1143,Z1143,AD1143,AH1143,AL1143,AP1143,AS1143,AW1143,AX1143),"-")</f>
        <v>0</v>
      </c>
      <c r="AZ1143" s="55"/>
      <c r="BA1143" s="56" t="s">
        <v>1912</v>
      </c>
      <c r="BB1143" s="41" t="str">
        <f t="shared" si="381"/>
        <v/>
      </c>
      <c r="BC1143" s="13"/>
      <c r="BD1143" s="35"/>
      <c r="BE1143" s="13"/>
      <c r="BF1143" s="16"/>
      <c r="BG1143" s="17" t="str">
        <f t="shared" si="384"/>
        <v>0</v>
      </c>
      <c r="BH1143" s="16">
        <f t="shared" si="385"/>
        <v>0</v>
      </c>
    </row>
    <row r="1144" spans="1:60" ht="12.75" customHeight="1" x14ac:dyDescent="0.2">
      <c r="A1144" s="51">
        <v>6044010</v>
      </c>
      <c r="B1144" s="51"/>
      <c r="C1144" s="66" t="s">
        <v>1803</v>
      </c>
      <c r="D1144" s="52" t="s">
        <v>740</v>
      </c>
      <c r="E1144" s="52" t="str">
        <f>VLOOKUP(A1144,[2]CMV!$A$1:$E$2043,5,FALSE)</f>
        <v>IMPORTAÇÃO</v>
      </c>
      <c r="F1144" s="53">
        <f>IFERROR(VLOOKUP(E1144,Fornecedores!$A$2:$B$2700,2,FALSE),"")</f>
        <v>1</v>
      </c>
      <c r="G1144" s="52" t="s">
        <v>1737</v>
      </c>
      <c r="H1144" s="57"/>
      <c r="I1144" s="55">
        <f t="shared" si="386"/>
        <v>0</v>
      </c>
      <c r="J1144" s="57" t="s">
        <v>1282</v>
      </c>
      <c r="K1144" s="55">
        <v>0</v>
      </c>
      <c r="L1144" s="55">
        <v>0</v>
      </c>
      <c r="M1144" s="55">
        <v>0</v>
      </c>
      <c r="N1144" s="55">
        <f t="shared" si="387"/>
        <v>0</v>
      </c>
      <c r="O1144" s="55">
        <v>0</v>
      </c>
      <c r="P1144" s="55">
        <v>0</v>
      </c>
      <c r="Q1144" s="55">
        <v>0</v>
      </c>
      <c r="R1144" s="55">
        <f t="shared" si="388"/>
        <v>0</v>
      </c>
      <c r="S1144" s="55">
        <v>0</v>
      </c>
      <c r="T1144" s="55">
        <v>0</v>
      </c>
      <c r="U1144" s="55">
        <v>0</v>
      </c>
      <c r="V1144" s="55">
        <v>0</v>
      </c>
      <c r="W1144" s="53">
        <v>0</v>
      </c>
      <c r="X1144" s="53">
        <v>0</v>
      </c>
      <c r="Y1144" s="55">
        <v>0</v>
      </c>
      <c r="Z1144" s="55">
        <v>0</v>
      </c>
      <c r="AA1144" s="53">
        <v>0</v>
      </c>
      <c r="AB1144" s="53">
        <v>0</v>
      </c>
      <c r="AC1144" s="55">
        <v>0</v>
      </c>
      <c r="AD1144" s="55">
        <f t="shared" si="383"/>
        <v>0</v>
      </c>
      <c r="AE1144" s="53">
        <v>0</v>
      </c>
      <c r="AF1144" s="55">
        <v>0</v>
      </c>
      <c r="AG1144" s="55">
        <v>0</v>
      </c>
      <c r="AH1144" s="55">
        <f t="shared" si="379"/>
        <v>0</v>
      </c>
      <c r="AI1144" s="55">
        <v>0</v>
      </c>
      <c r="AJ1144" s="55">
        <v>0</v>
      </c>
      <c r="AK1144" s="55">
        <v>0</v>
      </c>
      <c r="AL1144" s="55">
        <f t="shared" si="380"/>
        <v>0</v>
      </c>
      <c r="AM1144" s="55" t="s">
        <v>1912</v>
      </c>
      <c r="AN1144" s="55">
        <v>0</v>
      </c>
      <c r="AO1144" s="55">
        <v>0</v>
      </c>
      <c r="AP1144" s="55">
        <f t="shared" si="389"/>
        <v>0</v>
      </c>
      <c r="AQ1144" s="55">
        <f>IFERROR(VLOOKUP(A1144,[1]SIIMPLES!$A$2:$F$418,6,FALSE),0)</f>
        <v>0</v>
      </c>
      <c r="AR1144" s="55">
        <v>0</v>
      </c>
      <c r="AS1144" s="55">
        <v>1</v>
      </c>
      <c r="AT1144" s="55">
        <v>1</v>
      </c>
      <c r="AU1144" s="55">
        <v>0</v>
      </c>
      <c r="AV1144" s="55">
        <v>0</v>
      </c>
      <c r="AW1144" s="57"/>
      <c r="AX1144" s="57"/>
      <c r="AY1144" s="56">
        <f t="shared" si="390"/>
        <v>0.1</v>
      </c>
      <c r="AZ1144" s="55"/>
      <c r="BA1144" s="56" t="s">
        <v>1912</v>
      </c>
      <c r="BB1144" s="41" t="str">
        <f t="shared" si="381"/>
        <v/>
      </c>
      <c r="BC1144" s="13"/>
      <c r="BD1144" s="35"/>
      <c r="BE1144" s="13"/>
      <c r="BF1144" s="16"/>
      <c r="BG1144" s="17">
        <f t="shared" si="384"/>
        <v>0</v>
      </c>
      <c r="BH1144" s="16">
        <f t="shared" si="385"/>
        <v>0.30000000000000004</v>
      </c>
    </row>
    <row r="1145" spans="1:60" ht="12.75" customHeight="1" x14ac:dyDescent="0.2">
      <c r="A1145" s="51">
        <v>24582632</v>
      </c>
      <c r="B1145" s="51"/>
      <c r="C1145" s="66" t="s">
        <v>1803</v>
      </c>
      <c r="D1145" s="52" t="s">
        <v>1271</v>
      </c>
      <c r="E1145" s="52" t="s">
        <v>1761</v>
      </c>
      <c r="F1145" s="53" t="str">
        <f>IFERROR(VLOOKUP(E1145,Fornecedores!$A$2:$B$2700,2,FALSE),"")</f>
        <v/>
      </c>
      <c r="G1145" s="52" t="s">
        <v>1658</v>
      </c>
      <c r="H1145" s="57"/>
      <c r="I1145" s="55">
        <f t="shared" si="386"/>
        <v>0</v>
      </c>
      <c r="J1145" s="55">
        <v>0</v>
      </c>
      <c r="K1145" s="55">
        <v>0</v>
      </c>
      <c r="L1145" s="55">
        <v>0</v>
      </c>
      <c r="M1145" s="55">
        <v>0</v>
      </c>
      <c r="N1145" s="55">
        <f t="shared" si="387"/>
        <v>0</v>
      </c>
      <c r="O1145" s="55">
        <v>0</v>
      </c>
      <c r="P1145" s="55">
        <v>0</v>
      </c>
      <c r="Q1145" s="55">
        <v>0</v>
      </c>
      <c r="R1145" s="55">
        <f t="shared" si="388"/>
        <v>1</v>
      </c>
      <c r="S1145" s="55">
        <v>1</v>
      </c>
      <c r="T1145" s="55">
        <v>0</v>
      </c>
      <c r="U1145" s="55">
        <v>0</v>
      </c>
      <c r="V1145" s="55">
        <v>1</v>
      </c>
      <c r="W1145" s="53">
        <v>1</v>
      </c>
      <c r="X1145" s="53">
        <v>0</v>
      </c>
      <c r="Y1145" s="55">
        <v>0</v>
      </c>
      <c r="Z1145" s="55">
        <v>1</v>
      </c>
      <c r="AA1145" s="53">
        <v>1</v>
      </c>
      <c r="AB1145" s="53">
        <v>0</v>
      </c>
      <c r="AC1145" s="55">
        <v>0</v>
      </c>
      <c r="AD1145" s="55">
        <f t="shared" si="383"/>
        <v>0</v>
      </c>
      <c r="AE1145" s="53">
        <v>0</v>
      </c>
      <c r="AF1145" s="55">
        <v>0</v>
      </c>
      <c r="AG1145" s="55">
        <v>0</v>
      </c>
      <c r="AH1145" s="55">
        <f t="shared" si="379"/>
        <v>1</v>
      </c>
      <c r="AI1145" s="55">
        <v>1</v>
      </c>
      <c r="AJ1145" s="55">
        <v>0</v>
      </c>
      <c r="AK1145" s="55">
        <v>0</v>
      </c>
      <c r="AL1145" s="55">
        <f t="shared" si="380"/>
        <v>1</v>
      </c>
      <c r="AM1145" s="55">
        <v>1</v>
      </c>
      <c r="AN1145" s="55">
        <v>0</v>
      </c>
      <c r="AO1145" s="55">
        <v>0</v>
      </c>
      <c r="AP1145" s="55">
        <f t="shared" si="389"/>
        <v>0</v>
      </c>
      <c r="AQ1145" s="55">
        <f>IFERROR(VLOOKUP(A1145,[1]SIIMPLES!$A$2:$F$418,6,FALSE),0)</f>
        <v>0</v>
      </c>
      <c r="AR1145" s="55">
        <v>0</v>
      </c>
      <c r="AS1145" s="55">
        <v>0</v>
      </c>
      <c r="AT1145" s="55">
        <v>0</v>
      </c>
      <c r="AU1145" s="55">
        <v>0</v>
      </c>
      <c r="AV1145" s="55">
        <v>0</v>
      </c>
      <c r="AW1145" s="55"/>
      <c r="AX1145" s="55"/>
      <c r="AY1145" s="56">
        <f t="shared" si="390"/>
        <v>0.5</v>
      </c>
      <c r="AZ1145" s="55"/>
      <c r="BA1145" s="56">
        <v>1</v>
      </c>
      <c r="BB1145" s="41">
        <f t="shared" si="381"/>
        <v>-0.5</v>
      </c>
      <c r="BC1145" s="13"/>
      <c r="BD1145" s="35"/>
      <c r="BE1145" s="13"/>
      <c r="BF1145" s="16"/>
      <c r="BG1145" s="17">
        <f t="shared" si="384"/>
        <v>0</v>
      </c>
      <c r="BH1145" s="16">
        <f t="shared" si="385"/>
        <v>0.5</v>
      </c>
    </row>
    <row r="1146" spans="1:60" ht="12.75" customHeight="1" x14ac:dyDescent="0.2">
      <c r="A1146" s="51" t="s">
        <v>1532</v>
      </c>
      <c r="B1146" s="51"/>
      <c r="C1146" s="66" t="s">
        <v>1803</v>
      </c>
      <c r="D1146" s="52" t="s">
        <v>1762</v>
      </c>
      <c r="E1146" s="52" t="s">
        <v>1763</v>
      </c>
      <c r="F1146" s="53" t="str">
        <f>IFERROR(VLOOKUP(E1146,Fornecedores!$A$2:$B$2700,2,FALSE),"")</f>
        <v/>
      </c>
      <c r="G1146" s="52" t="s">
        <v>1736</v>
      </c>
      <c r="H1146" s="57"/>
      <c r="I1146" s="55">
        <f t="shared" si="386"/>
        <v>0</v>
      </c>
      <c r="J1146" s="57" t="s">
        <v>1282</v>
      </c>
      <c r="K1146" s="55">
        <v>0</v>
      </c>
      <c r="L1146" s="55">
        <v>0</v>
      </c>
      <c r="M1146" s="55">
        <v>0</v>
      </c>
      <c r="N1146" s="55">
        <f t="shared" si="387"/>
        <v>0</v>
      </c>
      <c r="O1146" s="55">
        <v>0</v>
      </c>
      <c r="P1146" s="55">
        <v>0</v>
      </c>
      <c r="Q1146" s="55">
        <v>0</v>
      </c>
      <c r="R1146" s="55">
        <f t="shared" si="388"/>
        <v>0</v>
      </c>
      <c r="S1146" s="55">
        <v>0</v>
      </c>
      <c r="T1146" s="55">
        <v>0</v>
      </c>
      <c r="U1146" s="55">
        <v>0</v>
      </c>
      <c r="V1146" s="55">
        <v>0</v>
      </c>
      <c r="W1146" s="53">
        <v>0</v>
      </c>
      <c r="X1146" s="53">
        <v>0</v>
      </c>
      <c r="Y1146" s="55">
        <v>0</v>
      </c>
      <c r="Z1146" s="55">
        <v>0</v>
      </c>
      <c r="AA1146" s="53">
        <v>0</v>
      </c>
      <c r="AB1146" s="53">
        <v>0</v>
      </c>
      <c r="AC1146" s="55">
        <v>0</v>
      </c>
      <c r="AD1146" s="55">
        <f t="shared" si="383"/>
        <v>0</v>
      </c>
      <c r="AE1146" s="53">
        <v>0</v>
      </c>
      <c r="AF1146" s="55">
        <v>0</v>
      </c>
      <c r="AG1146" s="55">
        <v>0</v>
      </c>
      <c r="AH1146" s="55">
        <f t="shared" si="379"/>
        <v>0</v>
      </c>
      <c r="AI1146" s="55">
        <v>0</v>
      </c>
      <c r="AJ1146" s="55">
        <v>0</v>
      </c>
      <c r="AK1146" s="55">
        <v>0</v>
      </c>
      <c r="AL1146" s="55">
        <f t="shared" si="380"/>
        <v>0</v>
      </c>
      <c r="AM1146" s="55" t="s">
        <v>1912</v>
      </c>
      <c r="AN1146" s="55">
        <v>0</v>
      </c>
      <c r="AO1146" s="55">
        <v>0</v>
      </c>
      <c r="AP1146" s="55">
        <f t="shared" si="389"/>
        <v>0</v>
      </c>
      <c r="AQ1146" s="55">
        <f>IFERROR(VLOOKUP(A1146,[1]SIIMPLES!$A$2:$F$418,6,FALSE),0)</f>
        <v>0</v>
      </c>
      <c r="AR1146" s="55">
        <v>0</v>
      </c>
      <c r="AS1146" s="55">
        <v>0</v>
      </c>
      <c r="AT1146" s="55">
        <v>0</v>
      </c>
      <c r="AU1146" s="55">
        <v>0</v>
      </c>
      <c r="AV1146" s="55">
        <v>0</v>
      </c>
      <c r="AW1146" s="57"/>
      <c r="AX1146" s="57"/>
      <c r="AY1146" s="56">
        <f t="shared" si="390"/>
        <v>0</v>
      </c>
      <c r="AZ1146" s="55"/>
      <c r="BA1146" s="56" t="s">
        <v>1912</v>
      </c>
      <c r="BB1146" s="41" t="str">
        <f t="shared" si="381"/>
        <v/>
      </c>
      <c r="BC1146" s="13"/>
      <c r="BD1146" s="36"/>
      <c r="BE1146" s="7"/>
      <c r="BF1146" s="16"/>
      <c r="BG1146" s="17" t="str">
        <f t="shared" si="384"/>
        <v>0</v>
      </c>
      <c r="BH1146" s="16">
        <f t="shared" si="385"/>
        <v>0</v>
      </c>
    </row>
    <row r="1147" spans="1:60" ht="12.75" customHeight="1" x14ac:dyDescent="0.2">
      <c r="A1147" s="51" t="s">
        <v>1533</v>
      </c>
      <c r="B1147" s="51"/>
      <c r="C1147" s="66" t="s">
        <v>1803</v>
      </c>
      <c r="D1147" s="52" t="s">
        <v>1762</v>
      </c>
      <c r="E1147" s="52" t="s">
        <v>1763</v>
      </c>
      <c r="F1147" s="53" t="str">
        <f>IFERROR(VLOOKUP(E1147,Fornecedores!$A$2:$B$2700,2,FALSE),"")</f>
        <v/>
      </c>
      <c r="G1147" s="52" t="s">
        <v>1735</v>
      </c>
      <c r="H1147" s="57"/>
      <c r="I1147" s="55">
        <f t="shared" si="386"/>
        <v>0</v>
      </c>
      <c r="J1147" s="57" t="s">
        <v>1282</v>
      </c>
      <c r="K1147" s="55">
        <v>0</v>
      </c>
      <c r="L1147" s="55">
        <v>0</v>
      </c>
      <c r="M1147" s="55">
        <v>0</v>
      </c>
      <c r="N1147" s="55">
        <f t="shared" si="387"/>
        <v>0</v>
      </c>
      <c r="O1147" s="55">
        <v>0</v>
      </c>
      <c r="P1147" s="55">
        <v>0</v>
      </c>
      <c r="Q1147" s="55">
        <v>0</v>
      </c>
      <c r="R1147" s="55">
        <f t="shared" si="388"/>
        <v>0</v>
      </c>
      <c r="S1147" s="55">
        <v>0</v>
      </c>
      <c r="T1147" s="55">
        <v>0</v>
      </c>
      <c r="U1147" s="55">
        <v>0</v>
      </c>
      <c r="V1147" s="55">
        <v>0</v>
      </c>
      <c r="W1147" s="53">
        <v>0</v>
      </c>
      <c r="X1147" s="53">
        <v>0</v>
      </c>
      <c r="Y1147" s="55">
        <v>0</v>
      </c>
      <c r="Z1147" s="55">
        <v>0</v>
      </c>
      <c r="AA1147" s="53">
        <v>0</v>
      </c>
      <c r="AB1147" s="53">
        <v>0</v>
      </c>
      <c r="AC1147" s="55">
        <v>0</v>
      </c>
      <c r="AD1147" s="55">
        <f t="shared" si="383"/>
        <v>0</v>
      </c>
      <c r="AE1147" s="53">
        <v>0</v>
      </c>
      <c r="AF1147" s="55">
        <v>0</v>
      </c>
      <c r="AG1147" s="55">
        <v>0</v>
      </c>
      <c r="AH1147" s="55">
        <f t="shared" si="379"/>
        <v>0</v>
      </c>
      <c r="AI1147" s="55">
        <v>0</v>
      </c>
      <c r="AJ1147" s="55">
        <v>0</v>
      </c>
      <c r="AK1147" s="55">
        <v>0</v>
      </c>
      <c r="AL1147" s="55">
        <f t="shared" si="380"/>
        <v>0</v>
      </c>
      <c r="AM1147" s="55" t="s">
        <v>1912</v>
      </c>
      <c r="AN1147" s="55">
        <v>0</v>
      </c>
      <c r="AO1147" s="55">
        <v>0</v>
      </c>
      <c r="AP1147" s="55">
        <f t="shared" si="389"/>
        <v>0</v>
      </c>
      <c r="AQ1147" s="55">
        <f>IFERROR(VLOOKUP(A1147,[1]SIIMPLES!$A$2:$F$418,6,FALSE),0)</f>
        <v>0</v>
      </c>
      <c r="AR1147" s="55">
        <v>0</v>
      </c>
      <c r="AS1147" s="55">
        <v>0</v>
      </c>
      <c r="AT1147" s="55">
        <v>0</v>
      </c>
      <c r="AU1147" s="55">
        <v>0</v>
      </c>
      <c r="AV1147" s="55">
        <v>0</v>
      </c>
      <c r="AW1147" s="57"/>
      <c r="AX1147" s="57"/>
      <c r="AY1147" s="56">
        <f t="shared" si="390"/>
        <v>0</v>
      </c>
      <c r="AZ1147" s="55"/>
      <c r="BA1147" s="56" t="s">
        <v>1912</v>
      </c>
      <c r="BB1147" s="41" t="str">
        <f t="shared" si="381"/>
        <v/>
      </c>
      <c r="BC1147" s="13"/>
      <c r="BD1147" s="35"/>
      <c r="BE1147" s="13"/>
      <c r="BF1147" s="16"/>
      <c r="BG1147" s="17" t="str">
        <f t="shared" si="384"/>
        <v>0</v>
      </c>
      <c r="BH1147" s="16">
        <f t="shared" si="385"/>
        <v>0</v>
      </c>
    </row>
    <row r="1148" spans="1:60" ht="12.75" customHeight="1" x14ac:dyDescent="0.2">
      <c r="A1148" s="51" t="s">
        <v>1542</v>
      </c>
      <c r="B1148" s="51"/>
      <c r="C1148" s="66" t="s">
        <v>1803</v>
      </c>
      <c r="D1148" s="52" t="s">
        <v>1762</v>
      </c>
      <c r="E1148" s="52" t="s">
        <v>1763</v>
      </c>
      <c r="F1148" s="53" t="str">
        <f>IFERROR(VLOOKUP(E1148,Fornecedores!$A$2:$B$2700,2,FALSE),"")</f>
        <v/>
      </c>
      <c r="G1148" s="52" t="s">
        <v>1657</v>
      </c>
      <c r="H1148" s="57"/>
      <c r="I1148" s="55">
        <f t="shared" si="386"/>
        <v>0</v>
      </c>
      <c r="J1148" s="57" t="s">
        <v>1282</v>
      </c>
      <c r="K1148" s="55">
        <v>0</v>
      </c>
      <c r="L1148" s="55">
        <v>0</v>
      </c>
      <c r="M1148" s="55">
        <v>0</v>
      </c>
      <c r="N1148" s="55">
        <f t="shared" si="387"/>
        <v>0</v>
      </c>
      <c r="O1148" s="55">
        <v>0</v>
      </c>
      <c r="P1148" s="55">
        <v>0</v>
      </c>
      <c r="Q1148" s="55">
        <v>0</v>
      </c>
      <c r="R1148" s="55">
        <f t="shared" si="388"/>
        <v>1</v>
      </c>
      <c r="S1148" s="55">
        <v>0</v>
      </c>
      <c r="T1148" s="55">
        <v>1</v>
      </c>
      <c r="U1148" s="55">
        <v>0</v>
      </c>
      <c r="V1148" s="55">
        <v>1</v>
      </c>
      <c r="W1148" s="53">
        <v>0</v>
      </c>
      <c r="X1148" s="53">
        <v>1</v>
      </c>
      <c r="Y1148" s="55">
        <v>0</v>
      </c>
      <c r="Z1148" s="55">
        <v>1</v>
      </c>
      <c r="AA1148" s="53">
        <v>0</v>
      </c>
      <c r="AB1148" s="53">
        <v>1</v>
      </c>
      <c r="AC1148" s="55">
        <v>0</v>
      </c>
      <c r="AD1148" s="55">
        <f t="shared" si="383"/>
        <v>0</v>
      </c>
      <c r="AE1148" s="53">
        <v>0</v>
      </c>
      <c r="AF1148" s="55">
        <v>0</v>
      </c>
      <c r="AG1148" s="55">
        <v>0</v>
      </c>
      <c r="AH1148" s="55">
        <f t="shared" si="379"/>
        <v>0</v>
      </c>
      <c r="AI1148" s="55">
        <v>0</v>
      </c>
      <c r="AJ1148" s="55">
        <v>0</v>
      </c>
      <c r="AK1148" s="55">
        <v>0</v>
      </c>
      <c r="AL1148" s="55">
        <f t="shared" si="380"/>
        <v>0</v>
      </c>
      <c r="AM1148" s="55" t="s">
        <v>1912</v>
      </c>
      <c r="AN1148" s="55">
        <v>0</v>
      </c>
      <c r="AO1148" s="55">
        <v>0</v>
      </c>
      <c r="AP1148" s="55">
        <f t="shared" si="389"/>
        <v>0</v>
      </c>
      <c r="AQ1148" s="55">
        <f>IFERROR(VLOOKUP(A1148,[1]SIIMPLES!$A$2:$F$418,6,FALSE),0)</f>
        <v>0</v>
      </c>
      <c r="AR1148" s="55">
        <v>0</v>
      </c>
      <c r="AS1148" s="55">
        <v>0</v>
      </c>
      <c r="AT1148" s="55">
        <v>0</v>
      </c>
      <c r="AU1148" s="55">
        <v>0</v>
      </c>
      <c r="AV1148" s="55">
        <v>0</v>
      </c>
      <c r="AW1148" s="57"/>
      <c r="AX1148" s="57"/>
      <c r="AY1148" s="56">
        <f t="shared" si="390"/>
        <v>0.3</v>
      </c>
      <c r="AZ1148" s="55"/>
      <c r="BA1148" s="56" t="s">
        <v>1912</v>
      </c>
      <c r="BB1148" s="41" t="str">
        <f t="shared" si="381"/>
        <v/>
      </c>
      <c r="BC1148" s="13"/>
      <c r="BD1148" s="35"/>
      <c r="BE1148" s="13"/>
      <c r="BF1148" s="16"/>
      <c r="BG1148" s="17">
        <f t="shared" si="384"/>
        <v>0</v>
      </c>
      <c r="BH1148" s="16">
        <f t="shared" si="385"/>
        <v>0.3</v>
      </c>
    </row>
    <row r="1149" spans="1:60" ht="12.75" customHeight="1" x14ac:dyDescent="0.2">
      <c r="A1149" s="51" t="s">
        <v>1545</v>
      </c>
      <c r="B1149" s="51"/>
      <c r="C1149" s="66" t="s">
        <v>1803</v>
      </c>
      <c r="D1149" s="52" t="s">
        <v>1762</v>
      </c>
      <c r="E1149" s="52" t="s">
        <v>1763</v>
      </c>
      <c r="F1149" s="53" t="str">
        <f>IFERROR(VLOOKUP(E1149,Fornecedores!$A$2:$B$2700,2,FALSE),"")</f>
        <v/>
      </c>
      <c r="G1149" s="52" t="s">
        <v>1734</v>
      </c>
      <c r="H1149" s="57"/>
      <c r="I1149" s="55">
        <f t="shared" si="386"/>
        <v>0</v>
      </c>
      <c r="J1149" s="57" t="s">
        <v>1282</v>
      </c>
      <c r="K1149" s="55">
        <v>0</v>
      </c>
      <c r="L1149" s="55">
        <v>0</v>
      </c>
      <c r="M1149" s="55">
        <v>0</v>
      </c>
      <c r="N1149" s="55">
        <f t="shared" si="387"/>
        <v>0</v>
      </c>
      <c r="O1149" s="55">
        <v>0</v>
      </c>
      <c r="P1149" s="55">
        <v>0</v>
      </c>
      <c r="Q1149" s="55">
        <v>0</v>
      </c>
      <c r="R1149" s="55">
        <f t="shared" si="388"/>
        <v>0</v>
      </c>
      <c r="S1149" s="55">
        <v>0</v>
      </c>
      <c r="T1149" s="55">
        <v>0</v>
      </c>
      <c r="U1149" s="55">
        <v>0</v>
      </c>
      <c r="V1149" s="55">
        <v>0</v>
      </c>
      <c r="W1149" s="53">
        <v>0</v>
      </c>
      <c r="X1149" s="53">
        <v>0</v>
      </c>
      <c r="Y1149" s="55">
        <v>0</v>
      </c>
      <c r="Z1149" s="55">
        <v>0</v>
      </c>
      <c r="AA1149" s="53">
        <v>0</v>
      </c>
      <c r="AB1149" s="53">
        <v>0</v>
      </c>
      <c r="AC1149" s="55">
        <v>0</v>
      </c>
      <c r="AD1149" s="55">
        <f t="shared" si="383"/>
        <v>0</v>
      </c>
      <c r="AE1149" s="53">
        <v>0</v>
      </c>
      <c r="AF1149" s="55">
        <v>0</v>
      </c>
      <c r="AG1149" s="55">
        <v>0</v>
      </c>
      <c r="AH1149" s="55">
        <f t="shared" si="379"/>
        <v>0</v>
      </c>
      <c r="AI1149" s="55">
        <v>0</v>
      </c>
      <c r="AJ1149" s="55">
        <v>0</v>
      </c>
      <c r="AK1149" s="55">
        <v>0</v>
      </c>
      <c r="AL1149" s="55">
        <f t="shared" si="380"/>
        <v>0</v>
      </c>
      <c r="AM1149" s="55" t="s">
        <v>1912</v>
      </c>
      <c r="AN1149" s="55">
        <v>0</v>
      </c>
      <c r="AO1149" s="55">
        <v>0</v>
      </c>
      <c r="AP1149" s="55">
        <f t="shared" si="389"/>
        <v>0</v>
      </c>
      <c r="AQ1149" s="55">
        <f>IFERROR(VLOOKUP(A1149,[1]SIIMPLES!$A$2:$F$418,6,FALSE),0)</f>
        <v>0</v>
      </c>
      <c r="AR1149" s="55">
        <v>0</v>
      </c>
      <c r="AS1149" s="55">
        <v>0</v>
      </c>
      <c r="AT1149" s="55">
        <v>0</v>
      </c>
      <c r="AU1149" s="55">
        <v>0</v>
      </c>
      <c r="AV1149" s="55">
        <v>0</v>
      </c>
      <c r="AW1149" s="57"/>
      <c r="AX1149" s="57"/>
      <c r="AY1149" s="56">
        <f t="shared" si="390"/>
        <v>0</v>
      </c>
      <c r="AZ1149" s="55"/>
      <c r="BA1149" s="56" t="s">
        <v>1912</v>
      </c>
      <c r="BB1149" s="41" t="str">
        <f t="shared" si="381"/>
        <v/>
      </c>
      <c r="BC1149" s="13"/>
      <c r="BD1149" s="35"/>
      <c r="BE1149" s="13"/>
      <c r="BF1149" s="16"/>
      <c r="BG1149" s="17" t="str">
        <f t="shared" si="384"/>
        <v>0</v>
      </c>
      <c r="BH1149" s="16">
        <f t="shared" si="385"/>
        <v>0</v>
      </c>
    </row>
    <row r="1150" spans="1:60" ht="12.75" customHeight="1" x14ac:dyDescent="0.2">
      <c r="A1150" s="51" t="s">
        <v>1546</v>
      </c>
      <c r="B1150" s="51"/>
      <c r="C1150" s="66" t="s">
        <v>1803</v>
      </c>
      <c r="D1150" s="52" t="s">
        <v>1762</v>
      </c>
      <c r="E1150" s="52" t="s">
        <v>1763</v>
      </c>
      <c r="F1150" s="53" t="str">
        <f>IFERROR(VLOOKUP(E1150,Fornecedores!$A$2:$B$2700,2,FALSE),"")</f>
        <v/>
      </c>
      <c r="G1150" s="52" t="s">
        <v>1656</v>
      </c>
      <c r="H1150" s="57"/>
      <c r="I1150" s="55">
        <f t="shared" si="386"/>
        <v>0</v>
      </c>
      <c r="J1150" s="57" t="s">
        <v>1282</v>
      </c>
      <c r="K1150" s="55">
        <v>0</v>
      </c>
      <c r="L1150" s="55">
        <v>0</v>
      </c>
      <c r="M1150" s="55">
        <v>0</v>
      </c>
      <c r="N1150" s="55">
        <f t="shared" si="387"/>
        <v>0</v>
      </c>
      <c r="O1150" s="55">
        <v>0</v>
      </c>
      <c r="P1150" s="55">
        <v>0</v>
      </c>
      <c r="Q1150" s="55">
        <v>0</v>
      </c>
      <c r="R1150" s="55">
        <f t="shared" si="388"/>
        <v>0</v>
      </c>
      <c r="S1150" s="55">
        <v>0</v>
      </c>
      <c r="T1150" s="55">
        <v>0</v>
      </c>
      <c r="U1150" s="55">
        <v>0</v>
      </c>
      <c r="V1150" s="55">
        <v>0</v>
      </c>
      <c r="W1150" s="53">
        <v>0</v>
      </c>
      <c r="X1150" s="53">
        <v>0</v>
      </c>
      <c r="Y1150" s="55">
        <v>0</v>
      </c>
      <c r="Z1150" s="55">
        <v>0</v>
      </c>
      <c r="AA1150" s="53">
        <v>0</v>
      </c>
      <c r="AB1150" s="53">
        <v>0</v>
      </c>
      <c r="AC1150" s="55">
        <v>0</v>
      </c>
      <c r="AD1150" s="55">
        <f t="shared" si="383"/>
        <v>1</v>
      </c>
      <c r="AE1150" s="53">
        <v>0</v>
      </c>
      <c r="AF1150" s="55">
        <v>1</v>
      </c>
      <c r="AG1150" s="55">
        <v>0</v>
      </c>
      <c r="AH1150" s="55">
        <f t="shared" si="379"/>
        <v>0</v>
      </c>
      <c r="AI1150" s="55">
        <v>0</v>
      </c>
      <c r="AJ1150" s="55">
        <v>0</v>
      </c>
      <c r="AK1150" s="55">
        <v>0</v>
      </c>
      <c r="AL1150" s="55">
        <f t="shared" si="380"/>
        <v>0</v>
      </c>
      <c r="AM1150" s="55" t="s">
        <v>1912</v>
      </c>
      <c r="AN1150" s="55">
        <v>0</v>
      </c>
      <c r="AO1150" s="55">
        <v>0</v>
      </c>
      <c r="AP1150" s="55">
        <f t="shared" si="389"/>
        <v>0</v>
      </c>
      <c r="AQ1150" s="55">
        <f>IFERROR(VLOOKUP(A1150,[1]SIIMPLES!$A$2:$F$418,6,FALSE),0)</f>
        <v>0</v>
      </c>
      <c r="AR1150" s="55">
        <v>0</v>
      </c>
      <c r="AS1150" s="55">
        <v>0</v>
      </c>
      <c r="AT1150" s="55">
        <v>0</v>
      </c>
      <c r="AU1150" s="55">
        <v>0</v>
      </c>
      <c r="AV1150" s="55">
        <v>0</v>
      </c>
      <c r="AW1150" s="57"/>
      <c r="AX1150" s="57"/>
      <c r="AY1150" s="56">
        <f t="shared" si="390"/>
        <v>0.1</v>
      </c>
      <c r="AZ1150" s="55"/>
      <c r="BA1150" s="56" t="s">
        <v>1912</v>
      </c>
      <c r="BB1150" s="41" t="str">
        <f t="shared" si="381"/>
        <v/>
      </c>
      <c r="BC1150" s="13"/>
      <c r="BD1150" s="35"/>
      <c r="BE1150" s="7"/>
      <c r="BF1150" s="16"/>
      <c r="BG1150" s="17">
        <f t="shared" si="384"/>
        <v>0</v>
      </c>
      <c r="BH1150" s="16">
        <f t="shared" si="385"/>
        <v>0.1</v>
      </c>
    </row>
    <row r="1151" spans="1:60" ht="12.75" customHeight="1" x14ac:dyDescent="0.2">
      <c r="A1151" s="51" t="s">
        <v>1548</v>
      </c>
      <c r="B1151" s="51"/>
      <c r="C1151" s="66" t="s">
        <v>1803</v>
      </c>
      <c r="D1151" s="52" t="s">
        <v>1762</v>
      </c>
      <c r="E1151" s="52" t="s">
        <v>1763</v>
      </c>
      <c r="F1151" s="53" t="str">
        <f>IFERROR(VLOOKUP(E1151,Fornecedores!$A$2:$B$2700,2,FALSE),"")</f>
        <v/>
      </c>
      <c r="G1151" s="52" t="s">
        <v>1733</v>
      </c>
      <c r="H1151" s="57"/>
      <c r="I1151" s="55">
        <f t="shared" si="386"/>
        <v>0</v>
      </c>
      <c r="J1151" s="57" t="s">
        <v>1282</v>
      </c>
      <c r="K1151" s="55">
        <v>0</v>
      </c>
      <c r="L1151" s="55">
        <v>0</v>
      </c>
      <c r="M1151" s="55">
        <v>0</v>
      </c>
      <c r="N1151" s="55">
        <f t="shared" si="387"/>
        <v>0</v>
      </c>
      <c r="O1151" s="55">
        <v>0</v>
      </c>
      <c r="P1151" s="55">
        <v>0</v>
      </c>
      <c r="Q1151" s="55">
        <v>0</v>
      </c>
      <c r="R1151" s="55">
        <f t="shared" si="388"/>
        <v>0</v>
      </c>
      <c r="S1151" s="55">
        <v>0</v>
      </c>
      <c r="T1151" s="55">
        <v>0</v>
      </c>
      <c r="U1151" s="55">
        <v>0</v>
      </c>
      <c r="V1151" s="55">
        <v>0</v>
      </c>
      <c r="W1151" s="53">
        <v>0</v>
      </c>
      <c r="X1151" s="53">
        <v>0</v>
      </c>
      <c r="Y1151" s="55">
        <v>0</v>
      </c>
      <c r="Z1151" s="55">
        <v>0</v>
      </c>
      <c r="AA1151" s="53">
        <v>0</v>
      </c>
      <c r="AB1151" s="53">
        <v>0</v>
      </c>
      <c r="AC1151" s="55">
        <v>0</v>
      </c>
      <c r="AD1151" s="55">
        <f t="shared" si="383"/>
        <v>0</v>
      </c>
      <c r="AE1151" s="53">
        <v>0</v>
      </c>
      <c r="AF1151" s="55">
        <v>0</v>
      </c>
      <c r="AG1151" s="55">
        <v>0</v>
      </c>
      <c r="AH1151" s="55">
        <f t="shared" si="379"/>
        <v>0</v>
      </c>
      <c r="AI1151" s="55">
        <v>0</v>
      </c>
      <c r="AJ1151" s="55">
        <v>0</v>
      </c>
      <c r="AK1151" s="55">
        <v>0</v>
      </c>
      <c r="AL1151" s="55">
        <f t="shared" si="380"/>
        <v>0</v>
      </c>
      <c r="AM1151" s="55" t="s">
        <v>1912</v>
      </c>
      <c r="AN1151" s="55">
        <v>0</v>
      </c>
      <c r="AO1151" s="55">
        <v>0</v>
      </c>
      <c r="AP1151" s="55">
        <f t="shared" si="389"/>
        <v>0</v>
      </c>
      <c r="AQ1151" s="55">
        <f>IFERROR(VLOOKUP(A1151,[1]SIIMPLES!$A$2:$F$418,6,FALSE),0)</f>
        <v>0</v>
      </c>
      <c r="AR1151" s="55">
        <v>0</v>
      </c>
      <c r="AS1151" s="55">
        <v>0</v>
      </c>
      <c r="AT1151" s="55">
        <v>0</v>
      </c>
      <c r="AU1151" s="55">
        <v>0</v>
      </c>
      <c r="AV1151" s="55">
        <v>0</v>
      </c>
      <c r="AW1151" s="57"/>
      <c r="AX1151" s="57"/>
      <c r="AY1151" s="56">
        <f t="shared" si="390"/>
        <v>0</v>
      </c>
      <c r="AZ1151" s="55"/>
      <c r="BA1151" s="56" t="s">
        <v>1912</v>
      </c>
      <c r="BB1151" s="41" t="str">
        <f t="shared" si="381"/>
        <v/>
      </c>
      <c r="BC1151" s="13"/>
      <c r="BD1151" s="35"/>
      <c r="BE1151" s="13"/>
      <c r="BF1151" s="16"/>
      <c r="BG1151" s="17" t="str">
        <f t="shared" si="384"/>
        <v>0</v>
      </c>
      <c r="BH1151" s="16">
        <f t="shared" si="385"/>
        <v>0</v>
      </c>
    </row>
    <row r="1152" spans="1:60" ht="12.75" customHeight="1" x14ac:dyDescent="0.2">
      <c r="A1152" s="51" t="s">
        <v>1556</v>
      </c>
      <c r="B1152" s="51"/>
      <c r="C1152" s="66" t="s">
        <v>1803</v>
      </c>
      <c r="D1152" s="52" t="s">
        <v>1226</v>
      </c>
      <c r="E1152" s="52" t="s">
        <v>1383</v>
      </c>
      <c r="F1152" s="53" t="str">
        <f>IFERROR(VLOOKUP(E1152,Fornecedores!$A$2:$B$2700,2,FALSE),"")</f>
        <v/>
      </c>
      <c r="G1152" s="52" t="s">
        <v>1564</v>
      </c>
      <c r="H1152" s="57"/>
      <c r="I1152" s="55">
        <f t="shared" si="386"/>
        <v>12</v>
      </c>
      <c r="J1152" s="57" t="s">
        <v>1284</v>
      </c>
      <c r="K1152" s="55">
        <v>0</v>
      </c>
      <c r="L1152" s="55">
        <v>0</v>
      </c>
      <c r="M1152" s="55">
        <v>12</v>
      </c>
      <c r="N1152" s="55">
        <f t="shared" si="387"/>
        <v>0</v>
      </c>
      <c r="O1152" s="55">
        <v>0</v>
      </c>
      <c r="P1152" s="55">
        <v>0</v>
      </c>
      <c r="Q1152" s="55">
        <v>0</v>
      </c>
      <c r="R1152" s="55">
        <f t="shared" si="388"/>
        <v>0</v>
      </c>
      <c r="S1152" s="55">
        <v>0</v>
      </c>
      <c r="T1152" s="55">
        <v>0</v>
      </c>
      <c r="U1152" s="55">
        <v>0</v>
      </c>
      <c r="V1152" s="55">
        <v>0</v>
      </c>
      <c r="W1152" s="53">
        <v>0</v>
      </c>
      <c r="X1152" s="53">
        <v>0</v>
      </c>
      <c r="Y1152" s="55">
        <v>0</v>
      </c>
      <c r="Z1152" s="55">
        <v>0</v>
      </c>
      <c r="AA1152" s="53">
        <v>0</v>
      </c>
      <c r="AB1152" s="53">
        <v>0</v>
      </c>
      <c r="AC1152" s="55">
        <v>0</v>
      </c>
      <c r="AD1152" s="55">
        <f t="shared" si="383"/>
        <v>0</v>
      </c>
      <c r="AE1152" s="53">
        <v>0</v>
      </c>
      <c r="AF1152" s="55">
        <v>0</v>
      </c>
      <c r="AG1152" s="55">
        <v>0</v>
      </c>
      <c r="AH1152" s="55">
        <f t="shared" si="379"/>
        <v>0</v>
      </c>
      <c r="AI1152" s="55">
        <v>0</v>
      </c>
      <c r="AJ1152" s="55">
        <v>0</v>
      </c>
      <c r="AK1152" s="55">
        <v>0</v>
      </c>
      <c r="AL1152" s="55">
        <f t="shared" si="380"/>
        <v>0</v>
      </c>
      <c r="AM1152" s="55" t="s">
        <v>1912</v>
      </c>
      <c r="AN1152" s="55">
        <v>0</v>
      </c>
      <c r="AO1152" s="55">
        <v>0</v>
      </c>
      <c r="AP1152" s="55">
        <f t="shared" si="389"/>
        <v>0</v>
      </c>
      <c r="AQ1152" s="55">
        <f>IFERROR(VLOOKUP(A1152,[1]SIIMPLES!$A$2:$F$418,6,FALSE),0)</f>
        <v>0</v>
      </c>
      <c r="AR1152" s="55">
        <v>0</v>
      </c>
      <c r="AS1152" s="55">
        <v>12</v>
      </c>
      <c r="AT1152" s="55">
        <v>0</v>
      </c>
      <c r="AU1152" s="55">
        <v>0</v>
      </c>
      <c r="AV1152" s="55">
        <v>12</v>
      </c>
      <c r="AW1152" s="57"/>
      <c r="AX1152" s="57"/>
      <c r="AY1152" s="56">
        <f t="shared" si="390"/>
        <v>2.4</v>
      </c>
      <c r="AZ1152" s="55"/>
      <c r="BA1152" s="56" t="s">
        <v>1912</v>
      </c>
      <c r="BB1152" s="41" t="str">
        <f t="shared" si="381"/>
        <v/>
      </c>
      <c r="BC1152" s="13"/>
      <c r="BD1152" s="35"/>
      <c r="BE1152" s="7"/>
      <c r="BF1152" s="16"/>
      <c r="BG1152" s="17">
        <f t="shared" si="384"/>
        <v>0</v>
      </c>
      <c r="BH1152" s="16">
        <f t="shared" si="385"/>
        <v>2.4</v>
      </c>
    </row>
    <row r="1153" spans="1:60" ht="12.75" customHeight="1" x14ac:dyDescent="0.2">
      <c r="A1153" s="68" t="s">
        <v>1409</v>
      </c>
      <c r="B1153" s="51"/>
      <c r="C1153" s="66" t="s">
        <v>1803</v>
      </c>
      <c r="D1153" s="52" t="s">
        <v>1226</v>
      </c>
      <c r="E1153" s="52" t="str">
        <f>VLOOKUP(A1153,[2]CMV!$A$1:$E$2043,5,FALSE)</f>
        <v>Maxi Lub</v>
      </c>
      <c r="F1153" s="53" t="str">
        <f>IFERROR(VLOOKUP(E1153,Fornecedores!$A$2:$B$2700,2,FALSE),"")</f>
        <v/>
      </c>
      <c r="G1153" s="52">
        <f>VLOOKUP(A1153,[2]CMV!$A$1:$F$2043,6,FALSE)</f>
        <v>0</v>
      </c>
      <c r="H1153" s="57"/>
      <c r="I1153" s="55">
        <f t="shared" si="386"/>
        <v>4</v>
      </c>
      <c r="J1153" s="55">
        <v>0</v>
      </c>
      <c r="K1153" s="55">
        <v>0</v>
      </c>
      <c r="L1153" s="55">
        <v>0</v>
      </c>
      <c r="M1153" s="55">
        <v>4</v>
      </c>
      <c r="N1153" s="55">
        <f t="shared" si="387"/>
        <v>0</v>
      </c>
      <c r="O1153" s="55">
        <v>0</v>
      </c>
      <c r="P1153" s="55">
        <v>0</v>
      </c>
      <c r="Q1153" s="55">
        <v>0</v>
      </c>
      <c r="R1153" s="55">
        <f t="shared" si="388"/>
        <v>0</v>
      </c>
      <c r="S1153" s="55">
        <v>0</v>
      </c>
      <c r="T1153" s="55">
        <v>0</v>
      </c>
      <c r="U1153" s="55">
        <v>0</v>
      </c>
      <c r="V1153" s="55">
        <v>0</v>
      </c>
      <c r="W1153" s="53">
        <v>0</v>
      </c>
      <c r="X1153" s="53">
        <v>0</v>
      </c>
      <c r="Y1153" s="55">
        <v>0</v>
      </c>
      <c r="Z1153" s="55">
        <v>0</v>
      </c>
      <c r="AA1153" s="53">
        <v>0</v>
      </c>
      <c r="AB1153" s="53">
        <v>0</v>
      </c>
      <c r="AC1153" s="55">
        <v>0</v>
      </c>
      <c r="AD1153" s="55">
        <f t="shared" si="383"/>
        <v>0</v>
      </c>
      <c r="AE1153" s="53">
        <v>0</v>
      </c>
      <c r="AF1153" s="55">
        <v>0</v>
      </c>
      <c r="AG1153" s="55">
        <v>0</v>
      </c>
      <c r="AH1153" s="55">
        <f t="shared" si="379"/>
        <v>0</v>
      </c>
      <c r="AI1153" s="55">
        <v>0</v>
      </c>
      <c r="AJ1153" s="55">
        <v>0</v>
      </c>
      <c r="AK1153" s="55">
        <v>0</v>
      </c>
      <c r="AL1153" s="55">
        <f t="shared" si="380"/>
        <v>0</v>
      </c>
      <c r="AM1153" s="55" t="s">
        <v>1912</v>
      </c>
      <c r="AN1153" s="55">
        <v>0</v>
      </c>
      <c r="AO1153" s="55">
        <v>0</v>
      </c>
      <c r="AP1153" s="55">
        <f t="shared" si="389"/>
        <v>0</v>
      </c>
      <c r="AQ1153" s="55">
        <f>IFERROR(VLOOKUP(A1153,[1]SIIMPLES!$A$2:$F$418,6,FALSE),0)</f>
        <v>0</v>
      </c>
      <c r="AR1153" s="55">
        <v>0</v>
      </c>
      <c r="AS1153" s="55">
        <v>12</v>
      </c>
      <c r="AT1153" s="55">
        <v>0</v>
      </c>
      <c r="AU1153" s="55">
        <v>0</v>
      </c>
      <c r="AV1153" s="55">
        <v>12</v>
      </c>
      <c r="AW1153" s="57"/>
      <c r="AX1153" s="55"/>
      <c r="AY1153" s="56">
        <f t="shared" si="390"/>
        <v>1.6</v>
      </c>
      <c r="AZ1153" s="55"/>
      <c r="BA1153" s="56">
        <v>0</v>
      </c>
      <c r="BB1153" s="41" t="str">
        <f t="shared" si="381"/>
        <v/>
      </c>
      <c r="BC1153" s="10"/>
      <c r="BD1153" s="35"/>
      <c r="BE1153" s="13"/>
      <c r="BF1153" s="16"/>
      <c r="BG1153" s="17">
        <f t="shared" si="384"/>
        <v>0</v>
      </c>
      <c r="BH1153" s="16">
        <f t="shared" si="385"/>
        <v>1.6</v>
      </c>
    </row>
    <row r="1154" spans="1:60" ht="12.75" customHeight="1" x14ac:dyDescent="0.2">
      <c r="A1154" s="51" t="s">
        <v>1806</v>
      </c>
      <c r="B1154" s="51"/>
      <c r="C1154" s="66" t="s">
        <v>1803</v>
      </c>
      <c r="D1154" s="52" t="s">
        <v>1906</v>
      </c>
      <c r="E1154" s="52" t="str">
        <f>VLOOKUP(A1154,[2]CMV!$A$1:$E$2043,5,FALSE)</f>
        <v>Outros</v>
      </c>
      <c r="F1154" s="53"/>
      <c r="G1154" s="52" t="str">
        <f>VLOOKUP(A1154,[2]CMV!$A$1:$F$2043,6,FALSE)</f>
        <v>10W40 SB</v>
      </c>
      <c r="H1154" s="57"/>
      <c r="I1154" s="57"/>
      <c r="J1154" s="57"/>
      <c r="K1154" s="57"/>
      <c r="L1154" s="57"/>
      <c r="M1154" s="57"/>
      <c r="N1154" s="57"/>
      <c r="O1154" s="57"/>
      <c r="P1154" s="57"/>
      <c r="Q1154" s="57"/>
      <c r="R1154" s="57"/>
      <c r="S1154" s="57"/>
      <c r="T1154" s="57"/>
      <c r="U1154" s="57"/>
      <c r="V1154" s="57"/>
      <c r="W1154" s="57"/>
      <c r="X1154" s="53">
        <v>0</v>
      </c>
      <c r="Y1154" s="57"/>
      <c r="Z1154" s="55">
        <v>0</v>
      </c>
      <c r="AA1154" s="53">
        <v>0</v>
      </c>
      <c r="AB1154" s="53">
        <v>0</v>
      </c>
      <c r="AC1154" s="55">
        <v>0</v>
      </c>
      <c r="AD1154" s="55">
        <f t="shared" si="383"/>
        <v>0</v>
      </c>
      <c r="AE1154" s="53">
        <v>0</v>
      </c>
      <c r="AF1154" s="55">
        <v>0</v>
      </c>
      <c r="AG1154" s="55">
        <v>0</v>
      </c>
      <c r="AH1154" s="55">
        <f t="shared" si="379"/>
        <v>0</v>
      </c>
      <c r="AI1154" s="55">
        <v>0</v>
      </c>
      <c r="AJ1154" s="55">
        <v>0</v>
      </c>
      <c r="AK1154" s="55">
        <v>0</v>
      </c>
      <c r="AL1154" s="55">
        <f t="shared" si="380"/>
        <v>0</v>
      </c>
      <c r="AM1154" s="55" t="s">
        <v>1912</v>
      </c>
      <c r="AN1154" s="55">
        <v>0</v>
      </c>
      <c r="AO1154" s="55">
        <v>0</v>
      </c>
      <c r="AP1154" s="55">
        <f t="shared" si="389"/>
        <v>0</v>
      </c>
      <c r="AQ1154" s="55">
        <f>IFERROR(VLOOKUP(A1154,[1]SIIMPLES!$A$2:$F$418,6,FALSE),0)</f>
        <v>0</v>
      </c>
      <c r="AR1154" s="55">
        <v>0</v>
      </c>
      <c r="AS1154" s="55">
        <v>0</v>
      </c>
      <c r="AT1154" s="55">
        <v>0</v>
      </c>
      <c r="AU1154" s="55">
        <v>0</v>
      </c>
      <c r="AV1154" s="55">
        <v>0</v>
      </c>
      <c r="AW1154" s="57"/>
      <c r="AX1154" s="57"/>
      <c r="AY1154" s="56">
        <f t="shared" si="390"/>
        <v>0</v>
      </c>
      <c r="AZ1154" s="57"/>
      <c r="BA1154" s="56">
        <v>35</v>
      </c>
      <c r="BB1154" s="41">
        <f t="shared" si="381"/>
        <v>-1</v>
      </c>
      <c r="BC1154" s="7"/>
      <c r="BD1154" s="35"/>
      <c r="BE1154" s="13"/>
      <c r="BF1154" s="16"/>
      <c r="BG1154" s="17" t="str">
        <f t="shared" si="384"/>
        <v>0</v>
      </c>
      <c r="BH1154" s="16">
        <f t="shared" si="385"/>
        <v>0</v>
      </c>
    </row>
    <row r="1155" spans="1:60" ht="12.75" customHeight="1" x14ac:dyDescent="0.2">
      <c r="A1155" s="51" t="s">
        <v>1789</v>
      </c>
      <c r="B1155" s="51"/>
      <c r="C1155" s="66" t="s">
        <v>1803</v>
      </c>
      <c r="D1155" s="52" t="s">
        <v>1275</v>
      </c>
      <c r="E1155" s="52">
        <f>VLOOKUP(A1155,[2]CMV!$A$1:$E$2043,5,FALSE)</f>
        <v>0</v>
      </c>
      <c r="F1155" s="53"/>
      <c r="G1155" s="52">
        <f>VLOOKUP(A1155,[2]CMV!$A$1:$F$2043,6,FALSE)</f>
        <v>0</v>
      </c>
      <c r="H1155" s="57"/>
      <c r="I1155" s="55">
        <f t="shared" ref="I1155:I1171" si="391">SUM(J1155:M1155)</f>
        <v>0</v>
      </c>
      <c r="J1155" s="55">
        <v>0</v>
      </c>
      <c r="K1155" s="55">
        <v>0</v>
      </c>
      <c r="L1155" s="55">
        <v>0</v>
      </c>
      <c r="M1155" s="55">
        <v>0</v>
      </c>
      <c r="N1155" s="55">
        <f t="shared" ref="N1155:N1171" si="392">SUM(O1155:Q1155)</f>
        <v>0</v>
      </c>
      <c r="O1155" s="57"/>
      <c r="P1155" s="57"/>
      <c r="Q1155" s="57"/>
      <c r="R1155" s="55">
        <f t="shared" ref="R1155:R1171" si="393">SUM(S1155:U1155)</f>
        <v>0</v>
      </c>
      <c r="S1155" s="57"/>
      <c r="T1155" s="57"/>
      <c r="U1155" s="57"/>
      <c r="V1155" s="55">
        <v>48</v>
      </c>
      <c r="W1155" s="57"/>
      <c r="X1155" s="53">
        <v>0</v>
      </c>
      <c r="Y1155" s="55">
        <v>48</v>
      </c>
      <c r="Z1155" s="55">
        <v>0</v>
      </c>
      <c r="AA1155" s="53">
        <v>0</v>
      </c>
      <c r="AB1155" s="53">
        <v>0</v>
      </c>
      <c r="AC1155" s="55">
        <v>0</v>
      </c>
      <c r="AD1155" s="55">
        <f t="shared" si="383"/>
        <v>0</v>
      </c>
      <c r="AE1155" s="53">
        <v>0</v>
      </c>
      <c r="AF1155" s="55">
        <v>0</v>
      </c>
      <c r="AG1155" s="55">
        <v>0</v>
      </c>
      <c r="AH1155" s="55">
        <f t="shared" si="379"/>
        <v>0</v>
      </c>
      <c r="AI1155" s="55">
        <v>0</v>
      </c>
      <c r="AJ1155" s="55">
        <v>0</v>
      </c>
      <c r="AK1155" s="55">
        <v>0</v>
      </c>
      <c r="AL1155" s="55">
        <f t="shared" si="380"/>
        <v>0</v>
      </c>
      <c r="AM1155" s="55" t="s">
        <v>1912</v>
      </c>
      <c r="AN1155" s="55">
        <v>0</v>
      </c>
      <c r="AO1155" s="55">
        <v>0</v>
      </c>
      <c r="AP1155" s="55">
        <f t="shared" si="389"/>
        <v>0</v>
      </c>
      <c r="AQ1155" s="55">
        <f>IFERROR(VLOOKUP(A1155,[1]SIIMPLES!$A$2:$F$418,6,FALSE),0)</f>
        <v>0</v>
      </c>
      <c r="AR1155" s="55">
        <v>0</v>
      </c>
      <c r="AS1155" s="55">
        <v>0</v>
      </c>
      <c r="AT1155" s="55">
        <v>0</v>
      </c>
      <c r="AU1155" s="55">
        <v>0</v>
      </c>
      <c r="AV1155" s="55">
        <v>0</v>
      </c>
      <c r="AW1155" s="57"/>
      <c r="AX1155" s="57"/>
      <c r="AY1155" s="56">
        <f t="shared" si="390"/>
        <v>4.8</v>
      </c>
      <c r="AZ1155" s="57"/>
      <c r="BA1155" s="56" t="s">
        <v>1912</v>
      </c>
      <c r="BB1155" s="41" t="str">
        <f t="shared" si="381"/>
        <v/>
      </c>
      <c r="BC1155" s="13"/>
      <c r="BD1155" s="35"/>
      <c r="BE1155" s="13"/>
      <c r="BF1155" s="16"/>
      <c r="BG1155" s="17">
        <f t="shared" si="384"/>
        <v>0</v>
      </c>
      <c r="BH1155" s="16">
        <f>ROUND(IFERROR(IF(F1155=1,IF(BC1155&lt;AY1155*3,AY1155*3-BC1155,0),IF(BC1155&lt;AY1155,AY1155*0.6-BC1155,0)),""),0)</f>
        <v>3</v>
      </c>
    </row>
    <row r="1156" spans="1:60" ht="12.75" customHeight="1" x14ac:dyDescent="0.2">
      <c r="A1156" s="51" t="s">
        <v>262</v>
      </c>
      <c r="B1156" s="51" t="s">
        <v>1077</v>
      </c>
      <c r="C1156" s="66" t="s">
        <v>1803</v>
      </c>
      <c r="D1156" s="52" t="s">
        <v>728</v>
      </c>
      <c r="E1156" s="65" t="s">
        <v>780</v>
      </c>
      <c r="F1156" s="53">
        <f>IFERROR(VLOOKUP(E1156,Fornecedores!$A$2:$B$2700,2,FALSE),"")</f>
        <v>2</v>
      </c>
      <c r="G1156" s="52" t="s">
        <v>263</v>
      </c>
      <c r="H1156" s="57"/>
      <c r="I1156" s="55">
        <f t="shared" si="391"/>
        <v>0</v>
      </c>
      <c r="J1156" s="55">
        <v>0</v>
      </c>
      <c r="K1156" s="55">
        <v>0</v>
      </c>
      <c r="L1156" s="55">
        <v>0</v>
      </c>
      <c r="M1156" s="55">
        <v>0</v>
      </c>
      <c r="N1156" s="55">
        <f t="shared" si="392"/>
        <v>0</v>
      </c>
      <c r="O1156" s="55">
        <v>0</v>
      </c>
      <c r="P1156" s="55">
        <v>0</v>
      </c>
      <c r="Q1156" s="55">
        <v>0</v>
      </c>
      <c r="R1156" s="55">
        <f t="shared" si="393"/>
        <v>0</v>
      </c>
      <c r="S1156" s="55">
        <v>0</v>
      </c>
      <c r="T1156" s="55">
        <v>0</v>
      </c>
      <c r="U1156" s="55">
        <v>0</v>
      </c>
      <c r="V1156" s="55">
        <v>0</v>
      </c>
      <c r="W1156" s="53">
        <v>0</v>
      </c>
      <c r="X1156" s="53">
        <v>0</v>
      </c>
      <c r="Y1156" s="55">
        <v>0</v>
      </c>
      <c r="Z1156" s="55">
        <v>1</v>
      </c>
      <c r="AA1156" s="53">
        <v>1</v>
      </c>
      <c r="AB1156" s="53">
        <v>0</v>
      </c>
      <c r="AC1156" s="55">
        <v>0</v>
      </c>
      <c r="AD1156" s="55">
        <f t="shared" si="383"/>
        <v>0</v>
      </c>
      <c r="AE1156" s="53">
        <v>0</v>
      </c>
      <c r="AF1156" s="55">
        <v>0</v>
      </c>
      <c r="AG1156" s="55">
        <v>0</v>
      </c>
      <c r="AH1156" s="55">
        <f t="shared" si="379"/>
        <v>0</v>
      </c>
      <c r="AI1156" s="55">
        <v>0</v>
      </c>
      <c r="AJ1156" s="55">
        <v>0</v>
      </c>
      <c r="AK1156" s="55">
        <v>0</v>
      </c>
      <c r="AL1156" s="55">
        <f t="shared" si="380"/>
        <v>0</v>
      </c>
      <c r="AM1156" s="55" t="s">
        <v>1912</v>
      </c>
      <c r="AN1156" s="55">
        <v>0</v>
      </c>
      <c r="AO1156" s="55">
        <v>0</v>
      </c>
      <c r="AP1156" s="55">
        <f t="shared" si="389"/>
        <v>0</v>
      </c>
      <c r="AQ1156" s="55">
        <f>IFERROR(VLOOKUP(A1156,[1]SIIMPLES!$A$2:$F$418,6,FALSE),0)</f>
        <v>0</v>
      </c>
      <c r="AR1156" s="55">
        <v>0</v>
      </c>
      <c r="AS1156" s="55">
        <v>0</v>
      </c>
      <c r="AT1156" s="55">
        <v>0</v>
      </c>
      <c r="AU1156" s="55">
        <v>0</v>
      </c>
      <c r="AV1156" s="55">
        <v>0</v>
      </c>
      <c r="AW1156" s="55"/>
      <c r="AX1156" s="55"/>
      <c r="AY1156" s="56">
        <f t="shared" si="390"/>
        <v>0.1</v>
      </c>
      <c r="AZ1156" s="55"/>
      <c r="BA1156" s="56">
        <v>0.66666666666666663</v>
      </c>
      <c r="BB1156" s="41">
        <f t="shared" si="381"/>
        <v>-0.85</v>
      </c>
      <c r="BC1156" s="13"/>
      <c r="BD1156" s="35"/>
      <c r="BE1156" s="7"/>
      <c r="BF1156" s="16"/>
      <c r="BG1156" s="17">
        <f t="shared" si="384"/>
        <v>0</v>
      </c>
      <c r="BH1156" s="16">
        <f t="shared" ref="BH1156:BH1173" si="394">IFERROR(IF(F1156=1,IF(BC1156&lt;AY1156*3,AY1156*3-BC1156,0),IF(BC1156&lt;AY1156,AY1156-BC1156,0)),"")</f>
        <v>0.1</v>
      </c>
    </row>
    <row r="1157" spans="1:60" ht="12.75" customHeight="1" x14ac:dyDescent="0.2">
      <c r="A1157" s="51" t="s">
        <v>608</v>
      </c>
      <c r="B1157" s="51" t="s">
        <v>1077</v>
      </c>
      <c r="C1157" s="66" t="s">
        <v>1803</v>
      </c>
      <c r="D1157" s="52" t="s">
        <v>728</v>
      </c>
      <c r="E1157" s="65" t="s">
        <v>780</v>
      </c>
      <c r="F1157" s="53">
        <f>IFERROR(VLOOKUP(E1157,Fornecedores!$A$2:$B$2700,2,FALSE),"")</f>
        <v>2</v>
      </c>
      <c r="G1157" s="52" t="s">
        <v>609</v>
      </c>
      <c r="H1157" s="57"/>
      <c r="I1157" s="55">
        <f t="shared" si="391"/>
        <v>0</v>
      </c>
      <c r="J1157" s="55">
        <v>0</v>
      </c>
      <c r="K1157" s="55">
        <v>0</v>
      </c>
      <c r="L1157" s="55">
        <v>0</v>
      </c>
      <c r="M1157" s="55">
        <v>0</v>
      </c>
      <c r="N1157" s="55">
        <f t="shared" si="392"/>
        <v>0</v>
      </c>
      <c r="O1157" s="55">
        <v>0</v>
      </c>
      <c r="P1157" s="55">
        <v>0</v>
      </c>
      <c r="Q1157" s="55">
        <v>0</v>
      </c>
      <c r="R1157" s="55">
        <f t="shared" si="393"/>
        <v>0</v>
      </c>
      <c r="S1157" s="55">
        <v>0</v>
      </c>
      <c r="T1157" s="55">
        <v>0</v>
      </c>
      <c r="U1157" s="55">
        <v>0</v>
      </c>
      <c r="V1157" s="55">
        <v>0</v>
      </c>
      <c r="W1157" s="53">
        <v>0</v>
      </c>
      <c r="X1157" s="53">
        <v>0</v>
      </c>
      <c r="Y1157" s="55">
        <v>0</v>
      </c>
      <c r="Z1157" s="55">
        <v>0</v>
      </c>
      <c r="AA1157" s="53">
        <v>0</v>
      </c>
      <c r="AB1157" s="53">
        <v>0</v>
      </c>
      <c r="AC1157" s="55">
        <v>0</v>
      </c>
      <c r="AD1157" s="55">
        <f t="shared" si="383"/>
        <v>0</v>
      </c>
      <c r="AE1157" s="53">
        <v>0</v>
      </c>
      <c r="AF1157" s="55">
        <v>0</v>
      </c>
      <c r="AG1157" s="55">
        <v>0</v>
      </c>
      <c r="AH1157" s="55">
        <f t="shared" si="379"/>
        <v>0</v>
      </c>
      <c r="AI1157" s="55">
        <v>0</v>
      </c>
      <c r="AJ1157" s="55">
        <v>0</v>
      </c>
      <c r="AK1157" s="55">
        <v>0</v>
      </c>
      <c r="AL1157" s="55">
        <f t="shared" si="380"/>
        <v>0</v>
      </c>
      <c r="AM1157" s="55" t="s">
        <v>1912</v>
      </c>
      <c r="AN1157" s="55">
        <v>0</v>
      </c>
      <c r="AO1157" s="55">
        <v>0</v>
      </c>
      <c r="AP1157" s="55">
        <f t="shared" si="389"/>
        <v>0</v>
      </c>
      <c r="AQ1157" s="55">
        <f>IFERROR(VLOOKUP(A1157,[1]SIIMPLES!$A$2:$F$418,6,FALSE),0)</f>
        <v>0</v>
      </c>
      <c r="AR1157" s="55">
        <v>0</v>
      </c>
      <c r="AS1157" s="55">
        <v>0</v>
      </c>
      <c r="AT1157" s="55">
        <v>0</v>
      </c>
      <c r="AU1157" s="55">
        <v>0</v>
      </c>
      <c r="AV1157" s="55">
        <v>0</v>
      </c>
      <c r="AW1157" s="55"/>
      <c r="AX1157" s="55"/>
      <c r="AY1157" s="56">
        <f t="shared" si="390"/>
        <v>0</v>
      </c>
      <c r="AZ1157" s="55"/>
      <c r="BA1157" s="56">
        <v>0</v>
      </c>
      <c r="BB1157" s="41" t="str">
        <f t="shared" si="381"/>
        <v/>
      </c>
      <c r="BC1157" s="13"/>
      <c r="BD1157" s="35"/>
      <c r="BE1157" s="13"/>
      <c r="BF1157" s="16"/>
      <c r="BG1157" s="17" t="str">
        <f t="shared" si="384"/>
        <v>0</v>
      </c>
      <c r="BH1157" s="16">
        <f t="shared" si="394"/>
        <v>0</v>
      </c>
    </row>
    <row r="1158" spans="1:60" ht="12.75" customHeight="1" x14ac:dyDescent="0.2">
      <c r="A1158" s="51" t="s">
        <v>14</v>
      </c>
      <c r="B1158" s="51" t="s">
        <v>1077</v>
      </c>
      <c r="C1158" s="66" t="s">
        <v>1803</v>
      </c>
      <c r="D1158" s="52" t="s">
        <v>728</v>
      </c>
      <c r="E1158" s="65" t="s">
        <v>780</v>
      </c>
      <c r="F1158" s="53">
        <f>IFERROR(VLOOKUP(E1158,Fornecedores!$A$2:$B$2700,2,FALSE),"")</f>
        <v>2</v>
      </c>
      <c r="G1158" s="52" t="s">
        <v>128</v>
      </c>
      <c r="H1158" s="57"/>
      <c r="I1158" s="55">
        <f t="shared" si="391"/>
        <v>0</v>
      </c>
      <c r="J1158" s="55">
        <v>0</v>
      </c>
      <c r="K1158" s="55">
        <v>0</v>
      </c>
      <c r="L1158" s="55">
        <v>0</v>
      </c>
      <c r="M1158" s="55">
        <v>0</v>
      </c>
      <c r="N1158" s="55">
        <f t="shared" si="392"/>
        <v>0</v>
      </c>
      <c r="O1158" s="55">
        <v>0</v>
      </c>
      <c r="P1158" s="55">
        <v>0</v>
      </c>
      <c r="Q1158" s="55">
        <v>0</v>
      </c>
      <c r="R1158" s="55">
        <f t="shared" si="393"/>
        <v>0</v>
      </c>
      <c r="S1158" s="55">
        <v>0</v>
      </c>
      <c r="T1158" s="55">
        <v>0</v>
      </c>
      <c r="U1158" s="55">
        <v>0</v>
      </c>
      <c r="V1158" s="55">
        <v>0</v>
      </c>
      <c r="W1158" s="53">
        <v>0</v>
      </c>
      <c r="X1158" s="53">
        <v>0</v>
      </c>
      <c r="Y1158" s="55">
        <v>0</v>
      </c>
      <c r="Z1158" s="55">
        <v>0</v>
      </c>
      <c r="AA1158" s="53">
        <v>0</v>
      </c>
      <c r="AB1158" s="53">
        <v>0</v>
      </c>
      <c r="AC1158" s="55">
        <v>0</v>
      </c>
      <c r="AD1158" s="55">
        <f t="shared" si="383"/>
        <v>0</v>
      </c>
      <c r="AE1158" s="53">
        <v>0</v>
      </c>
      <c r="AF1158" s="55">
        <v>0</v>
      </c>
      <c r="AG1158" s="55">
        <v>0</v>
      </c>
      <c r="AH1158" s="55">
        <f t="shared" si="379"/>
        <v>0</v>
      </c>
      <c r="AI1158" s="55">
        <v>0</v>
      </c>
      <c r="AJ1158" s="55">
        <v>0</v>
      </c>
      <c r="AK1158" s="55">
        <v>0</v>
      </c>
      <c r="AL1158" s="55">
        <f t="shared" si="380"/>
        <v>0</v>
      </c>
      <c r="AM1158" s="55" t="s">
        <v>1912</v>
      </c>
      <c r="AN1158" s="55">
        <v>0</v>
      </c>
      <c r="AO1158" s="55">
        <v>0</v>
      </c>
      <c r="AP1158" s="55">
        <f t="shared" si="389"/>
        <v>0</v>
      </c>
      <c r="AQ1158" s="55">
        <f>IFERROR(VLOOKUP(A1158,[1]SIIMPLES!$A$2:$F$418,6,FALSE),0)</f>
        <v>0</v>
      </c>
      <c r="AR1158" s="55">
        <v>0</v>
      </c>
      <c r="AS1158" s="55">
        <v>0</v>
      </c>
      <c r="AT1158" s="55">
        <v>0</v>
      </c>
      <c r="AU1158" s="55">
        <v>0</v>
      </c>
      <c r="AV1158" s="55">
        <v>0</v>
      </c>
      <c r="AW1158" s="55"/>
      <c r="AX1158" s="55"/>
      <c r="AY1158" s="56">
        <f t="shared" si="390"/>
        <v>0</v>
      </c>
      <c r="AZ1158" s="55"/>
      <c r="BA1158" s="56">
        <v>0</v>
      </c>
      <c r="BB1158" s="41" t="str">
        <f t="shared" si="381"/>
        <v/>
      </c>
      <c r="BC1158" s="13"/>
      <c r="BD1158" s="35"/>
      <c r="BE1158" s="13"/>
      <c r="BF1158" s="16"/>
      <c r="BG1158" s="17" t="str">
        <f t="shared" si="384"/>
        <v>0</v>
      </c>
      <c r="BH1158" s="16">
        <f t="shared" si="394"/>
        <v>0</v>
      </c>
    </row>
    <row r="1159" spans="1:60" ht="12.75" customHeight="1" x14ac:dyDescent="0.2">
      <c r="A1159" s="51" t="s">
        <v>641</v>
      </c>
      <c r="B1159" s="51" t="s">
        <v>1086</v>
      </c>
      <c r="C1159" s="66" t="s">
        <v>1803</v>
      </c>
      <c r="D1159" s="52" t="s">
        <v>728</v>
      </c>
      <c r="E1159" s="65" t="s">
        <v>780</v>
      </c>
      <c r="F1159" s="53">
        <f>IFERROR(VLOOKUP(E1159,Fornecedores!$A$2:$B$2700,2,FALSE),"")</f>
        <v>2</v>
      </c>
      <c r="G1159" s="52" t="s">
        <v>642</v>
      </c>
      <c r="H1159" s="57"/>
      <c r="I1159" s="55">
        <f t="shared" si="391"/>
        <v>0</v>
      </c>
      <c r="J1159" s="55">
        <v>0</v>
      </c>
      <c r="K1159" s="55">
        <v>0</v>
      </c>
      <c r="L1159" s="55">
        <v>0</v>
      </c>
      <c r="M1159" s="55">
        <v>0</v>
      </c>
      <c r="N1159" s="55">
        <f t="shared" si="392"/>
        <v>0</v>
      </c>
      <c r="O1159" s="55">
        <v>0</v>
      </c>
      <c r="P1159" s="55">
        <v>0</v>
      </c>
      <c r="Q1159" s="55">
        <v>0</v>
      </c>
      <c r="R1159" s="55">
        <f t="shared" si="393"/>
        <v>0</v>
      </c>
      <c r="S1159" s="55">
        <v>0</v>
      </c>
      <c r="T1159" s="55">
        <v>0</v>
      </c>
      <c r="U1159" s="55">
        <v>0</v>
      </c>
      <c r="V1159" s="55">
        <v>0</v>
      </c>
      <c r="W1159" s="53">
        <v>0</v>
      </c>
      <c r="X1159" s="53">
        <v>0</v>
      </c>
      <c r="Y1159" s="55">
        <v>0</v>
      </c>
      <c r="Z1159" s="55">
        <v>0</v>
      </c>
      <c r="AA1159" s="53">
        <v>0</v>
      </c>
      <c r="AB1159" s="53">
        <v>0</v>
      </c>
      <c r="AC1159" s="55">
        <v>0</v>
      </c>
      <c r="AD1159" s="55">
        <f t="shared" si="383"/>
        <v>0</v>
      </c>
      <c r="AE1159" s="53">
        <v>0</v>
      </c>
      <c r="AF1159" s="55">
        <v>0</v>
      </c>
      <c r="AG1159" s="55">
        <v>0</v>
      </c>
      <c r="AH1159" s="55">
        <f t="shared" si="379"/>
        <v>0</v>
      </c>
      <c r="AI1159" s="55">
        <v>0</v>
      </c>
      <c r="AJ1159" s="55">
        <v>0</v>
      </c>
      <c r="AK1159" s="55">
        <v>0</v>
      </c>
      <c r="AL1159" s="55">
        <f t="shared" si="380"/>
        <v>0</v>
      </c>
      <c r="AM1159" s="55" t="s">
        <v>1912</v>
      </c>
      <c r="AN1159" s="55">
        <v>0</v>
      </c>
      <c r="AO1159" s="55">
        <v>0</v>
      </c>
      <c r="AP1159" s="55">
        <f t="shared" si="389"/>
        <v>0</v>
      </c>
      <c r="AQ1159" s="55">
        <f>IFERROR(VLOOKUP(A1159,[1]SIIMPLES!$A$2:$F$418,6,FALSE),0)</f>
        <v>0</v>
      </c>
      <c r="AR1159" s="55">
        <v>0</v>
      </c>
      <c r="AS1159" s="55">
        <v>0</v>
      </c>
      <c r="AT1159" s="55">
        <v>0</v>
      </c>
      <c r="AU1159" s="55">
        <v>0</v>
      </c>
      <c r="AV1159" s="55">
        <v>0</v>
      </c>
      <c r="AW1159" s="55"/>
      <c r="AX1159" s="55"/>
      <c r="AY1159" s="56">
        <f t="shared" si="390"/>
        <v>0</v>
      </c>
      <c r="AZ1159" s="55"/>
      <c r="BA1159" s="56">
        <v>0</v>
      </c>
      <c r="BB1159" s="41" t="str">
        <f t="shared" si="381"/>
        <v/>
      </c>
      <c r="BC1159" s="13"/>
      <c r="BD1159" s="35"/>
      <c r="BE1159" s="13"/>
      <c r="BF1159" s="16"/>
      <c r="BG1159" s="17" t="str">
        <f t="shared" si="384"/>
        <v>0</v>
      </c>
      <c r="BH1159" s="16">
        <f t="shared" si="394"/>
        <v>0</v>
      </c>
    </row>
    <row r="1160" spans="1:60" ht="12.75" customHeight="1" x14ac:dyDescent="0.2">
      <c r="A1160" s="51" t="s">
        <v>1632</v>
      </c>
      <c r="B1160" s="51"/>
      <c r="C1160" s="66" t="s">
        <v>1803</v>
      </c>
      <c r="D1160" s="52" t="s">
        <v>1226</v>
      </c>
      <c r="E1160" s="52">
        <f>VLOOKUP(A1160,[2]CMV!$A$1:$E$2043,5,FALSE)</f>
        <v>0</v>
      </c>
      <c r="F1160" s="53" t="str">
        <f>IFERROR(VLOOKUP(E1160,Fornecedores!$A$2:$B$2700,2,FALSE),"")</f>
        <v/>
      </c>
      <c r="G1160" s="52">
        <f>VLOOKUP(A1160,[2]CMV!$A$1:$F$2043,6,FALSE)</f>
        <v>0</v>
      </c>
      <c r="H1160" s="57"/>
      <c r="I1160" s="55">
        <f t="shared" si="391"/>
        <v>0</v>
      </c>
      <c r="J1160" s="57"/>
      <c r="K1160" s="57"/>
      <c r="L1160" s="57"/>
      <c r="M1160" s="57"/>
      <c r="N1160" s="55">
        <f t="shared" si="392"/>
        <v>0</v>
      </c>
      <c r="O1160" s="57"/>
      <c r="P1160" s="57"/>
      <c r="Q1160" s="57"/>
      <c r="R1160" s="55">
        <f t="shared" si="393"/>
        <v>4</v>
      </c>
      <c r="S1160" s="55">
        <v>0</v>
      </c>
      <c r="T1160" s="55">
        <v>0</v>
      </c>
      <c r="U1160" s="55">
        <v>4</v>
      </c>
      <c r="V1160" s="55">
        <v>0</v>
      </c>
      <c r="W1160" s="53">
        <v>0</v>
      </c>
      <c r="X1160" s="53">
        <v>0</v>
      </c>
      <c r="Y1160" s="55">
        <v>0</v>
      </c>
      <c r="Z1160" s="55">
        <v>0</v>
      </c>
      <c r="AA1160" s="53">
        <v>0</v>
      </c>
      <c r="AB1160" s="53">
        <v>0</v>
      </c>
      <c r="AC1160" s="55">
        <v>0</v>
      </c>
      <c r="AD1160" s="55">
        <f t="shared" si="383"/>
        <v>0</v>
      </c>
      <c r="AE1160" s="53">
        <v>0</v>
      </c>
      <c r="AF1160" s="55">
        <v>0</v>
      </c>
      <c r="AG1160" s="55">
        <v>0</v>
      </c>
      <c r="AH1160" s="55">
        <f t="shared" si="379"/>
        <v>0</v>
      </c>
      <c r="AI1160" s="55">
        <v>0</v>
      </c>
      <c r="AJ1160" s="55">
        <v>0</v>
      </c>
      <c r="AK1160" s="55">
        <v>0</v>
      </c>
      <c r="AL1160" s="55">
        <f t="shared" si="380"/>
        <v>0</v>
      </c>
      <c r="AM1160" s="55" t="s">
        <v>1912</v>
      </c>
      <c r="AN1160" s="55">
        <v>0</v>
      </c>
      <c r="AO1160" s="55">
        <v>0</v>
      </c>
      <c r="AP1160" s="55">
        <f t="shared" si="389"/>
        <v>0</v>
      </c>
      <c r="AQ1160" s="55">
        <f>IFERROR(VLOOKUP(A1160,[1]SIIMPLES!$A$2:$F$418,6,FALSE),0)</f>
        <v>0</v>
      </c>
      <c r="AR1160" s="55">
        <v>0</v>
      </c>
      <c r="AS1160" s="55">
        <v>12</v>
      </c>
      <c r="AT1160" s="55">
        <v>0</v>
      </c>
      <c r="AU1160" s="55">
        <v>0</v>
      </c>
      <c r="AV1160" s="55">
        <v>12</v>
      </c>
      <c r="AW1160" s="57"/>
      <c r="AX1160" s="57"/>
      <c r="AY1160" s="56">
        <f t="shared" si="390"/>
        <v>1.6</v>
      </c>
      <c r="AZ1160" s="57"/>
      <c r="BA1160" s="56" t="s">
        <v>1912</v>
      </c>
      <c r="BB1160" s="41" t="str">
        <f t="shared" si="381"/>
        <v/>
      </c>
      <c r="BC1160" s="10"/>
      <c r="BD1160" s="35"/>
      <c r="BE1160" s="13"/>
      <c r="BF1160" s="16"/>
      <c r="BG1160" s="17">
        <f t="shared" si="384"/>
        <v>0</v>
      </c>
      <c r="BH1160" s="16">
        <f t="shared" si="394"/>
        <v>1.6</v>
      </c>
    </row>
    <row r="1161" spans="1:60" ht="12.75" customHeight="1" x14ac:dyDescent="0.2">
      <c r="A1161" s="51" t="s">
        <v>1269</v>
      </c>
      <c r="B1161" s="51"/>
      <c r="C1161" s="66" t="s">
        <v>1803</v>
      </c>
      <c r="D1161" s="52" t="s">
        <v>1275</v>
      </c>
      <c r="E1161" s="52" t="s">
        <v>1383</v>
      </c>
      <c r="F1161" s="53" t="str">
        <f>IFERROR(VLOOKUP(E1161,Fornecedores!$A$2:$B$2700,2,FALSE),"")</f>
        <v/>
      </c>
      <c r="G1161" s="52" t="s">
        <v>1896</v>
      </c>
      <c r="H1161" s="57"/>
      <c r="I1161" s="55">
        <f t="shared" si="391"/>
        <v>0</v>
      </c>
      <c r="J1161" s="55">
        <v>0</v>
      </c>
      <c r="K1161" s="55">
        <v>0</v>
      </c>
      <c r="L1161" s="55">
        <v>0</v>
      </c>
      <c r="M1161" s="55">
        <v>0</v>
      </c>
      <c r="N1161" s="55">
        <f t="shared" si="392"/>
        <v>0</v>
      </c>
      <c r="O1161" s="55">
        <v>0</v>
      </c>
      <c r="P1161" s="55">
        <v>0</v>
      </c>
      <c r="Q1161" s="55">
        <v>0</v>
      </c>
      <c r="R1161" s="55">
        <f t="shared" si="393"/>
        <v>0</v>
      </c>
      <c r="S1161" s="55">
        <v>0</v>
      </c>
      <c r="T1161" s="55">
        <v>0</v>
      </c>
      <c r="U1161" s="55">
        <v>0</v>
      </c>
      <c r="V1161" s="55">
        <v>0</v>
      </c>
      <c r="W1161" s="53">
        <v>0</v>
      </c>
      <c r="X1161" s="53">
        <v>0</v>
      </c>
      <c r="Y1161" s="55">
        <v>0</v>
      </c>
      <c r="Z1161" s="55">
        <v>0</v>
      </c>
      <c r="AA1161" s="53">
        <v>0</v>
      </c>
      <c r="AB1161" s="53">
        <v>0</v>
      </c>
      <c r="AC1161" s="55">
        <v>0</v>
      </c>
      <c r="AD1161" s="55">
        <f t="shared" si="383"/>
        <v>0</v>
      </c>
      <c r="AE1161" s="53">
        <v>0</v>
      </c>
      <c r="AF1161" s="55">
        <v>0</v>
      </c>
      <c r="AG1161" s="55">
        <v>0</v>
      </c>
      <c r="AH1161" s="55">
        <f t="shared" si="379"/>
        <v>0</v>
      </c>
      <c r="AI1161" s="55">
        <v>0</v>
      </c>
      <c r="AJ1161" s="55">
        <v>0</v>
      </c>
      <c r="AK1161" s="55">
        <v>0</v>
      </c>
      <c r="AL1161" s="55">
        <f t="shared" si="380"/>
        <v>0</v>
      </c>
      <c r="AM1161" s="55" t="s">
        <v>1912</v>
      </c>
      <c r="AN1161" s="55">
        <v>0</v>
      </c>
      <c r="AO1161" s="55">
        <v>0</v>
      </c>
      <c r="AP1161" s="55">
        <f t="shared" si="389"/>
        <v>0</v>
      </c>
      <c r="AQ1161" s="55">
        <f>IFERROR(VLOOKUP(A1161,[1]SIIMPLES!$A$2:$F$418,6,FALSE),0)</f>
        <v>0</v>
      </c>
      <c r="AR1161" s="55">
        <v>0</v>
      </c>
      <c r="AS1161" s="55">
        <v>0</v>
      </c>
      <c r="AT1161" s="55">
        <v>0</v>
      </c>
      <c r="AU1161" s="55">
        <v>0</v>
      </c>
      <c r="AV1161" s="55">
        <v>0</v>
      </c>
      <c r="AW1161" s="55"/>
      <c r="AX1161" s="55"/>
      <c r="AY1161" s="56">
        <f t="shared" si="390"/>
        <v>0</v>
      </c>
      <c r="AZ1161" s="55"/>
      <c r="BA1161" s="56">
        <v>0</v>
      </c>
      <c r="BB1161" s="41" t="str">
        <f t="shared" si="381"/>
        <v/>
      </c>
      <c r="BC1161" s="13"/>
      <c r="BD1161" s="35"/>
      <c r="BE1161" s="13"/>
      <c r="BF1161" s="16"/>
      <c r="BG1161" s="17" t="str">
        <f t="shared" si="384"/>
        <v>0</v>
      </c>
      <c r="BH1161" s="16">
        <f t="shared" si="394"/>
        <v>0</v>
      </c>
    </row>
    <row r="1162" spans="1:60" ht="12.75" customHeight="1" x14ac:dyDescent="0.2">
      <c r="A1162" s="51" t="s">
        <v>1557</v>
      </c>
      <c r="B1162" s="51"/>
      <c r="C1162" s="66" t="s">
        <v>1803</v>
      </c>
      <c r="D1162" s="52" t="s">
        <v>1226</v>
      </c>
      <c r="E1162" s="52" t="s">
        <v>1463</v>
      </c>
      <c r="F1162" s="53" t="str">
        <f>IFERROR(VLOOKUP(E1162,Fornecedores!$A$2:$B$2700,2,FALSE),"")</f>
        <v/>
      </c>
      <c r="G1162" s="52" t="s">
        <v>1473</v>
      </c>
      <c r="H1162" s="57"/>
      <c r="I1162" s="55">
        <f t="shared" si="391"/>
        <v>24</v>
      </c>
      <c r="J1162" s="55">
        <v>0</v>
      </c>
      <c r="K1162" s="55">
        <v>0</v>
      </c>
      <c r="L1162" s="55">
        <v>0</v>
      </c>
      <c r="M1162" s="55">
        <v>24</v>
      </c>
      <c r="N1162" s="55">
        <f t="shared" si="392"/>
        <v>0</v>
      </c>
      <c r="O1162" s="55">
        <v>0</v>
      </c>
      <c r="P1162" s="55">
        <v>0</v>
      </c>
      <c r="Q1162" s="55">
        <v>0</v>
      </c>
      <c r="R1162" s="55">
        <f t="shared" si="393"/>
        <v>0</v>
      </c>
      <c r="S1162" s="55">
        <v>0</v>
      </c>
      <c r="T1162" s="55">
        <v>0</v>
      </c>
      <c r="U1162" s="55">
        <v>0</v>
      </c>
      <c r="V1162" s="55">
        <v>0</v>
      </c>
      <c r="W1162" s="53">
        <v>0</v>
      </c>
      <c r="X1162" s="53">
        <v>0</v>
      </c>
      <c r="Y1162" s="55">
        <v>0</v>
      </c>
      <c r="Z1162" s="55">
        <v>0</v>
      </c>
      <c r="AA1162" s="53">
        <v>0</v>
      </c>
      <c r="AB1162" s="53">
        <v>0</v>
      </c>
      <c r="AC1162" s="55">
        <v>0</v>
      </c>
      <c r="AD1162" s="55">
        <f t="shared" si="383"/>
        <v>0</v>
      </c>
      <c r="AE1162" s="53">
        <v>0</v>
      </c>
      <c r="AF1162" s="55">
        <v>0</v>
      </c>
      <c r="AG1162" s="55">
        <v>0</v>
      </c>
      <c r="AH1162" s="55">
        <f t="shared" si="379"/>
        <v>0</v>
      </c>
      <c r="AI1162" s="55">
        <v>0</v>
      </c>
      <c r="AJ1162" s="55">
        <v>0</v>
      </c>
      <c r="AK1162" s="55">
        <v>0</v>
      </c>
      <c r="AL1162" s="55">
        <f t="shared" si="380"/>
        <v>0</v>
      </c>
      <c r="AM1162" s="55" t="s">
        <v>1912</v>
      </c>
      <c r="AN1162" s="55">
        <v>0</v>
      </c>
      <c r="AO1162" s="55">
        <v>0</v>
      </c>
      <c r="AP1162" s="55">
        <f t="shared" si="389"/>
        <v>0</v>
      </c>
      <c r="AQ1162" s="55">
        <f>IFERROR(VLOOKUP(A1162,[1]SIIMPLES!$A$2:$F$418,6,FALSE),0)</f>
        <v>0</v>
      </c>
      <c r="AR1162" s="55">
        <v>0</v>
      </c>
      <c r="AS1162" s="55">
        <v>0</v>
      </c>
      <c r="AT1162" s="55">
        <v>0</v>
      </c>
      <c r="AU1162" s="55">
        <v>0</v>
      </c>
      <c r="AV1162" s="55">
        <v>0</v>
      </c>
      <c r="AW1162" s="57"/>
      <c r="AX1162" s="55"/>
      <c r="AY1162" s="56">
        <f t="shared" si="390"/>
        <v>2.4</v>
      </c>
      <c r="AZ1162" s="55"/>
      <c r="BA1162" s="56" t="s">
        <v>1912</v>
      </c>
      <c r="BB1162" s="41" t="str">
        <f t="shared" si="381"/>
        <v/>
      </c>
      <c r="BC1162" s="13"/>
      <c r="BD1162" s="35"/>
      <c r="BE1162" s="13"/>
      <c r="BF1162" s="16"/>
      <c r="BG1162" s="17">
        <f t="shared" si="384"/>
        <v>0</v>
      </c>
      <c r="BH1162" s="16">
        <f t="shared" si="394"/>
        <v>2.4</v>
      </c>
    </row>
    <row r="1163" spans="1:60" ht="12.75" customHeight="1" x14ac:dyDescent="0.2">
      <c r="A1163" s="51" t="s">
        <v>1270</v>
      </c>
      <c r="B1163" s="51"/>
      <c r="C1163" s="66" t="s">
        <v>1803</v>
      </c>
      <c r="D1163" s="52" t="s">
        <v>1275</v>
      </c>
      <c r="E1163" s="52" t="s">
        <v>1383</v>
      </c>
      <c r="F1163" s="53" t="str">
        <f>IFERROR(VLOOKUP(E1163,Fornecedores!$A$2:$B$2700,2,FALSE),"")</f>
        <v/>
      </c>
      <c r="G1163" s="52" t="s">
        <v>1897</v>
      </c>
      <c r="H1163" s="57"/>
      <c r="I1163" s="55">
        <f t="shared" si="391"/>
        <v>0</v>
      </c>
      <c r="J1163" s="55">
        <v>0</v>
      </c>
      <c r="K1163" s="55">
        <v>0</v>
      </c>
      <c r="L1163" s="55">
        <v>0</v>
      </c>
      <c r="M1163" s="55">
        <v>0</v>
      </c>
      <c r="N1163" s="55">
        <f t="shared" si="392"/>
        <v>0</v>
      </c>
      <c r="O1163" s="55">
        <v>0</v>
      </c>
      <c r="P1163" s="55">
        <v>0</v>
      </c>
      <c r="Q1163" s="55">
        <v>0</v>
      </c>
      <c r="R1163" s="55">
        <f t="shared" si="393"/>
        <v>0</v>
      </c>
      <c r="S1163" s="55">
        <v>0</v>
      </c>
      <c r="T1163" s="55">
        <v>0</v>
      </c>
      <c r="U1163" s="55">
        <v>0</v>
      </c>
      <c r="V1163" s="55">
        <v>0</v>
      </c>
      <c r="W1163" s="53">
        <v>0</v>
      </c>
      <c r="X1163" s="53">
        <v>0</v>
      </c>
      <c r="Y1163" s="55">
        <v>0</v>
      </c>
      <c r="Z1163" s="55">
        <v>0</v>
      </c>
      <c r="AA1163" s="53">
        <v>0</v>
      </c>
      <c r="AB1163" s="53">
        <v>0</v>
      </c>
      <c r="AC1163" s="55">
        <v>0</v>
      </c>
      <c r="AD1163" s="55">
        <f t="shared" si="383"/>
        <v>0</v>
      </c>
      <c r="AE1163" s="53">
        <v>0</v>
      </c>
      <c r="AF1163" s="55">
        <v>0</v>
      </c>
      <c r="AG1163" s="55">
        <v>0</v>
      </c>
      <c r="AH1163" s="55">
        <f t="shared" si="379"/>
        <v>0</v>
      </c>
      <c r="AI1163" s="55">
        <v>0</v>
      </c>
      <c r="AJ1163" s="55">
        <v>0</v>
      </c>
      <c r="AK1163" s="55">
        <v>0</v>
      </c>
      <c r="AL1163" s="55">
        <f t="shared" si="380"/>
        <v>0</v>
      </c>
      <c r="AM1163" s="55" t="s">
        <v>1912</v>
      </c>
      <c r="AN1163" s="55">
        <v>0</v>
      </c>
      <c r="AO1163" s="55">
        <v>0</v>
      </c>
      <c r="AP1163" s="55">
        <f t="shared" si="389"/>
        <v>0</v>
      </c>
      <c r="AQ1163" s="55">
        <f>IFERROR(VLOOKUP(A1163,[1]SIIMPLES!$A$2:$F$418,6,FALSE),0)</f>
        <v>0</v>
      </c>
      <c r="AR1163" s="55">
        <v>0</v>
      </c>
      <c r="AS1163" s="55">
        <v>0</v>
      </c>
      <c r="AT1163" s="55">
        <v>0</v>
      </c>
      <c r="AU1163" s="55">
        <v>0</v>
      </c>
      <c r="AV1163" s="55">
        <v>0</v>
      </c>
      <c r="AW1163" s="55"/>
      <c r="AX1163" s="55"/>
      <c r="AY1163" s="56">
        <f t="shared" si="390"/>
        <v>0</v>
      </c>
      <c r="AZ1163" s="55"/>
      <c r="BA1163" s="56">
        <v>2</v>
      </c>
      <c r="BB1163" s="41">
        <f t="shared" si="381"/>
        <v>-1</v>
      </c>
      <c r="BC1163" s="13"/>
      <c r="BD1163" s="35"/>
      <c r="BE1163" s="13"/>
      <c r="BF1163" s="16"/>
      <c r="BG1163" s="17" t="str">
        <f t="shared" si="384"/>
        <v>0</v>
      </c>
      <c r="BH1163" s="16">
        <f t="shared" si="394"/>
        <v>0</v>
      </c>
    </row>
    <row r="1164" spans="1:60" ht="12.75" customHeight="1" x14ac:dyDescent="0.2">
      <c r="A1164" s="51" t="s">
        <v>1628</v>
      </c>
      <c r="B1164" s="51"/>
      <c r="C1164" s="66" t="s">
        <v>1803</v>
      </c>
      <c r="D1164" s="52" t="s">
        <v>1226</v>
      </c>
      <c r="E1164" s="52">
        <f>VLOOKUP(A1164,[2]CMV!$A$1:$E$2043,5,FALSE)</f>
        <v>0</v>
      </c>
      <c r="F1164" s="53" t="str">
        <f>IFERROR(VLOOKUP(E1164,Fornecedores!$A$2:$B$2700,2,FALSE),"")</f>
        <v/>
      </c>
      <c r="G1164" s="52">
        <f>VLOOKUP(A1164,[2]CMV!$A$1:$F$2043,6,FALSE)</f>
        <v>0</v>
      </c>
      <c r="H1164" s="57"/>
      <c r="I1164" s="55">
        <f t="shared" si="391"/>
        <v>0</v>
      </c>
      <c r="J1164" s="55">
        <v>0</v>
      </c>
      <c r="K1164" s="55">
        <v>0</v>
      </c>
      <c r="L1164" s="55">
        <v>0</v>
      </c>
      <c r="M1164" s="55">
        <v>0</v>
      </c>
      <c r="N1164" s="55">
        <f t="shared" si="392"/>
        <v>0</v>
      </c>
      <c r="O1164" s="57"/>
      <c r="P1164" s="57"/>
      <c r="Q1164" s="57"/>
      <c r="R1164" s="55">
        <f t="shared" si="393"/>
        <v>87</v>
      </c>
      <c r="S1164" s="55">
        <v>0</v>
      </c>
      <c r="T1164" s="55">
        <v>0</v>
      </c>
      <c r="U1164" s="55">
        <v>87</v>
      </c>
      <c r="V1164" s="55">
        <v>39</v>
      </c>
      <c r="W1164" s="53">
        <v>0</v>
      </c>
      <c r="X1164" s="53">
        <v>0</v>
      </c>
      <c r="Y1164" s="55">
        <v>39</v>
      </c>
      <c r="Z1164" s="55">
        <v>0</v>
      </c>
      <c r="AA1164" s="53">
        <v>0</v>
      </c>
      <c r="AB1164" s="53">
        <v>0</v>
      </c>
      <c r="AC1164" s="55">
        <v>0</v>
      </c>
      <c r="AD1164" s="55">
        <f t="shared" si="383"/>
        <v>0</v>
      </c>
      <c r="AE1164" s="53">
        <v>0</v>
      </c>
      <c r="AF1164" s="55">
        <v>0</v>
      </c>
      <c r="AG1164" s="55">
        <v>0</v>
      </c>
      <c r="AH1164" s="55">
        <f t="shared" si="379"/>
        <v>0</v>
      </c>
      <c r="AI1164" s="55">
        <v>0</v>
      </c>
      <c r="AJ1164" s="55">
        <v>0</v>
      </c>
      <c r="AK1164" s="55">
        <v>0</v>
      </c>
      <c r="AL1164" s="55">
        <f t="shared" si="380"/>
        <v>0</v>
      </c>
      <c r="AM1164" s="55" t="s">
        <v>1912</v>
      </c>
      <c r="AN1164" s="55">
        <v>0</v>
      </c>
      <c r="AO1164" s="55">
        <v>0</v>
      </c>
      <c r="AP1164" s="55">
        <f t="shared" si="389"/>
        <v>0</v>
      </c>
      <c r="AQ1164" s="55">
        <f>IFERROR(VLOOKUP(A1164,[1]SIIMPLES!$A$2:$F$418,6,FALSE),0)</f>
        <v>0</v>
      </c>
      <c r="AR1164" s="55">
        <v>0</v>
      </c>
      <c r="AS1164" s="55">
        <v>0</v>
      </c>
      <c r="AT1164" s="55">
        <v>0</v>
      </c>
      <c r="AU1164" s="55">
        <v>0</v>
      </c>
      <c r="AV1164" s="55">
        <v>0</v>
      </c>
      <c r="AW1164" s="57"/>
      <c r="AX1164" s="57"/>
      <c r="AY1164" s="56">
        <f t="shared" si="390"/>
        <v>12.6</v>
      </c>
      <c r="AZ1164" s="57"/>
      <c r="BA1164" s="56" t="s">
        <v>1912</v>
      </c>
      <c r="BB1164" s="41" t="str">
        <f t="shared" si="381"/>
        <v/>
      </c>
      <c r="BC1164" s="13"/>
      <c r="BD1164" s="35"/>
      <c r="BE1164" s="13"/>
      <c r="BF1164" s="16"/>
      <c r="BG1164" s="17">
        <f t="shared" si="384"/>
        <v>0</v>
      </c>
      <c r="BH1164" s="16">
        <f t="shared" si="394"/>
        <v>12.6</v>
      </c>
    </row>
    <row r="1165" spans="1:60" ht="12.75" customHeight="1" x14ac:dyDescent="0.2">
      <c r="A1165" s="51" t="s">
        <v>1461</v>
      </c>
      <c r="B1165" s="51"/>
      <c r="C1165" s="66" t="s">
        <v>1803</v>
      </c>
      <c r="D1165" s="52" t="s">
        <v>1226</v>
      </c>
      <c r="E1165" s="52" t="s">
        <v>1463</v>
      </c>
      <c r="F1165" s="53" t="str">
        <f>IFERROR(VLOOKUP(E1165,Fornecedores!$A$2:$B$2700,2,FALSE),"")</f>
        <v/>
      </c>
      <c r="G1165" s="52" t="s">
        <v>1474</v>
      </c>
      <c r="H1165" s="57"/>
      <c r="I1165" s="55">
        <f t="shared" si="391"/>
        <v>28</v>
      </c>
      <c r="J1165" s="55">
        <v>0</v>
      </c>
      <c r="K1165" s="55">
        <v>0</v>
      </c>
      <c r="L1165" s="55">
        <v>0</v>
      </c>
      <c r="M1165" s="55">
        <v>28</v>
      </c>
      <c r="N1165" s="55">
        <f t="shared" si="392"/>
        <v>0</v>
      </c>
      <c r="O1165" s="55">
        <v>0</v>
      </c>
      <c r="P1165" s="55">
        <v>0</v>
      </c>
      <c r="Q1165" s="55">
        <v>0</v>
      </c>
      <c r="R1165" s="55">
        <f t="shared" si="393"/>
        <v>0</v>
      </c>
      <c r="S1165" s="55">
        <v>0</v>
      </c>
      <c r="T1165" s="55">
        <v>0</v>
      </c>
      <c r="U1165" s="55">
        <v>0</v>
      </c>
      <c r="V1165" s="55">
        <v>0</v>
      </c>
      <c r="W1165" s="53">
        <v>0</v>
      </c>
      <c r="X1165" s="53">
        <v>0</v>
      </c>
      <c r="Y1165" s="55">
        <v>0</v>
      </c>
      <c r="Z1165" s="55">
        <v>0</v>
      </c>
      <c r="AA1165" s="53">
        <v>0</v>
      </c>
      <c r="AB1165" s="53">
        <v>0</v>
      </c>
      <c r="AC1165" s="55">
        <v>0</v>
      </c>
      <c r="AD1165" s="55">
        <f t="shared" si="383"/>
        <v>0</v>
      </c>
      <c r="AE1165" s="53">
        <v>0</v>
      </c>
      <c r="AF1165" s="55">
        <v>0</v>
      </c>
      <c r="AG1165" s="55">
        <v>0</v>
      </c>
      <c r="AH1165" s="55">
        <f t="shared" si="379"/>
        <v>0</v>
      </c>
      <c r="AI1165" s="55">
        <v>0</v>
      </c>
      <c r="AJ1165" s="55">
        <v>0</v>
      </c>
      <c r="AK1165" s="55">
        <v>0</v>
      </c>
      <c r="AL1165" s="55">
        <f t="shared" si="380"/>
        <v>0</v>
      </c>
      <c r="AM1165" s="55" t="s">
        <v>1912</v>
      </c>
      <c r="AN1165" s="55">
        <v>0</v>
      </c>
      <c r="AO1165" s="55">
        <v>0</v>
      </c>
      <c r="AP1165" s="55">
        <f t="shared" si="389"/>
        <v>0</v>
      </c>
      <c r="AQ1165" s="55">
        <f>IFERROR(VLOOKUP(A1165,[1]SIIMPLES!$A$2:$F$418,6,FALSE),0)</f>
        <v>0</v>
      </c>
      <c r="AR1165" s="55">
        <v>0</v>
      </c>
      <c r="AS1165" s="55">
        <v>0</v>
      </c>
      <c r="AT1165" s="55">
        <v>0</v>
      </c>
      <c r="AU1165" s="55">
        <v>0</v>
      </c>
      <c r="AV1165" s="55">
        <v>0</v>
      </c>
      <c r="AW1165" s="57"/>
      <c r="AX1165" s="55"/>
      <c r="AY1165" s="56">
        <f t="shared" si="390"/>
        <v>2.8</v>
      </c>
      <c r="AZ1165" s="55"/>
      <c r="BA1165" s="56">
        <v>56</v>
      </c>
      <c r="BB1165" s="41">
        <f t="shared" si="381"/>
        <v>-0.95</v>
      </c>
      <c r="BC1165" s="10"/>
      <c r="BD1165" s="35"/>
      <c r="BE1165" s="7"/>
      <c r="BF1165" s="16"/>
      <c r="BG1165" s="17">
        <f t="shared" si="384"/>
        <v>0</v>
      </c>
      <c r="BH1165" s="16">
        <f t="shared" si="394"/>
        <v>2.8</v>
      </c>
    </row>
    <row r="1166" spans="1:60" ht="12.75" customHeight="1" x14ac:dyDescent="0.2">
      <c r="A1166" s="51" t="s">
        <v>644</v>
      </c>
      <c r="B1166" s="51" t="s">
        <v>1086</v>
      </c>
      <c r="C1166" s="66" t="s">
        <v>1803</v>
      </c>
      <c r="D1166" s="52" t="s">
        <v>728</v>
      </c>
      <c r="E1166" s="65" t="s">
        <v>780</v>
      </c>
      <c r="F1166" s="53">
        <f>IFERROR(VLOOKUP(E1166,Fornecedores!$A$2:$B$2700,2,FALSE),"")</f>
        <v>2</v>
      </c>
      <c r="G1166" s="52" t="s">
        <v>645</v>
      </c>
      <c r="H1166" s="57"/>
      <c r="I1166" s="55">
        <f t="shared" si="391"/>
        <v>0</v>
      </c>
      <c r="J1166" s="55">
        <v>0</v>
      </c>
      <c r="K1166" s="55">
        <v>0</v>
      </c>
      <c r="L1166" s="55">
        <v>0</v>
      </c>
      <c r="M1166" s="55">
        <v>0</v>
      </c>
      <c r="N1166" s="55">
        <f t="shared" si="392"/>
        <v>0</v>
      </c>
      <c r="O1166" s="55">
        <v>0</v>
      </c>
      <c r="P1166" s="55">
        <v>0</v>
      </c>
      <c r="Q1166" s="55">
        <v>0</v>
      </c>
      <c r="R1166" s="55">
        <f t="shared" si="393"/>
        <v>0</v>
      </c>
      <c r="S1166" s="55">
        <v>0</v>
      </c>
      <c r="T1166" s="55">
        <v>0</v>
      </c>
      <c r="U1166" s="55">
        <v>0</v>
      </c>
      <c r="V1166" s="55">
        <v>0</v>
      </c>
      <c r="W1166" s="53">
        <v>0</v>
      </c>
      <c r="X1166" s="53">
        <v>0</v>
      </c>
      <c r="Y1166" s="55">
        <v>0</v>
      </c>
      <c r="Z1166" s="55">
        <v>0</v>
      </c>
      <c r="AA1166" s="53">
        <v>0</v>
      </c>
      <c r="AB1166" s="53">
        <v>0</v>
      </c>
      <c r="AC1166" s="55">
        <v>0</v>
      </c>
      <c r="AD1166" s="55">
        <f t="shared" si="383"/>
        <v>0</v>
      </c>
      <c r="AE1166" s="53">
        <v>0</v>
      </c>
      <c r="AF1166" s="55">
        <v>0</v>
      </c>
      <c r="AG1166" s="55">
        <v>0</v>
      </c>
      <c r="AH1166" s="55">
        <f t="shared" si="379"/>
        <v>0</v>
      </c>
      <c r="AI1166" s="55">
        <v>0</v>
      </c>
      <c r="AJ1166" s="55">
        <v>0</v>
      </c>
      <c r="AK1166" s="55">
        <v>0</v>
      </c>
      <c r="AL1166" s="55">
        <f t="shared" si="380"/>
        <v>0</v>
      </c>
      <c r="AM1166" s="55" t="s">
        <v>1912</v>
      </c>
      <c r="AN1166" s="55">
        <v>0</v>
      </c>
      <c r="AO1166" s="55">
        <v>0</v>
      </c>
      <c r="AP1166" s="55">
        <f t="shared" si="389"/>
        <v>0</v>
      </c>
      <c r="AQ1166" s="55">
        <f>IFERROR(VLOOKUP(A1166,[1]SIIMPLES!$A$2:$F$418,6,FALSE),0)</f>
        <v>0</v>
      </c>
      <c r="AR1166" s="55">
        <v>0</v>
      </c>
      <c r="AS1166" s="55">
        <v>0</v>
      </c>
      <c r="AT1166" s="55">
        <v>0</v>
      </c>
      <c r="AU1166" s="55">
        <v>0</v>
      </c>
      <c r="AV1166" s="55">
        <v>0</v>
      </c>
      <c r="AW1166" s="55"/>
      <c r="AX1166" s="55"/>
      <c r="AY1166" s="56">
        <f t="shared" si="390"/>
        <v>0</v>
      </c>
      <c r="AZ1166" s="55"/>
      <c r="BA1166" s="56">
        <v>0</v>
      </c>
      <c r="BB1166" s="41" t="str">
        <f t="shared" si="381"/>
        <v/>
      </c>
      <c r="BC1166" s="13"/>
      <c r="BD1166" s="35"/>
      <c r="BE1166" s="13"/>
      <c r="BF1166" s="16"/>
      <c r="BG1166" s="17" t="str">
        <f t="shared" si="384"/>
        <v>0</v>
      </c>
      <c r="BH1166" s="16">
        <f t="shared" si="394"/>
        <v>0</v>
      </c>
    </row>
    <row r="1167" spans="1:60" ht="12.75" customHeight="1" x14ac:dyDescent="0.2">
      <c r="A1167" s="51" t="s">
        <v>804</v>
      </c>
      <c r="B1167" s="51" t="s">
        <v>1086</v>
      </c>
      <c r="C1167" s="66" t="s">
        <v>1803</v>
      </c>
      <c r="D1167" s="52" t="s">
        <v>728</v>
      </c>
      <c r="E1167" s="65" t="s">
        <v>780</v>
      </c>
      <c r="F1167" s="53">
        <f>IFERROR(VLOOKUP(E1167,Fornecedores!$A$2:$B$2700,2,FALSE),"")</f>
        <v>2</v>
      </c>
      <c r="G1167" s="52" t="s">
        <v>1377</v>
      </c>
      <c r="H1167" s="57"/>
      <c r="I1167" s="55">
        <f t="shared" si="391"/>
        <v>0</v>
      </c>
      <c r="J1167" s="55">
        <v>0</v>
      </c>
      <c r="K1167" s="55">
        <v>0</v>
      </c>
      <c r="L1167" s="55">
        <v>0</v>
      </c>
      <c r="M1167" s="55">
        <v>0</v>
      </c>
      <c r="N1167" s="55">
        <f t="shared" si="392"/>
        <v>0</v>
      </c>
      <c r="O1167" s="55">
        <v>0</v>
      </c>
      <c r="P1167" s="55">
        <v>0</v>
      </c>
      <c r="Q1167" s="55">
        <v>0</v>
      </c>
      <c r="R1167" s="55">
        <f t="shared" si="393"/>
        <v>0</v>
      </c>
      <c r="S1167" s="55">
        <v>0</v>
      </c>
      <c r="T1167" s="55">
        <v>0</v>
      </c>
      <c r="U1167" s="55">
        <v>0</v>
      </c>
      <c r="V1167" s="55">
        <v>0</v>
      </c>
      <c r="W1167" s="53">
        <v>0</v>
      </c>
      <c r="X1167" s="53">
        <v>0</v>
      </c>
      <c r="Y1167" s="55">
        <v>0</v>
      </c>
      <c r="Z1167" s="55">
        <v>0</v>
      </c>
      <c r="AA1167" s="53">
        <v>0</v>
      </c>
      <c r="AB1167" s="53">
        <v>0</v>
      </c>
      <c r="AC1167" s="55">
        <v>0</v>
      </c>
      <c r="AD1167" s="55">
        <f t="shared" si="383"/>
        <v>0</v>
      </c>
      <c r="AE1167" s="53">
        <v>0</v>
      </c>
      <c r="AF1167" s="55">
        <v>0</v>
      </c>
      <c r="AG1167" s="55">
        <v>0</v>
      </c>
      <c r="AH1167" s="55">
        <f t="shared" si="379"/>
        <v>0</v>
      </c>
      <c r="AI1167" s="55">
        <v>0</v>
      </c>
      <c r="AJ1167" s="55">
        <v>0</v>
      </c>
      <c r="AK1167" s="55">
        <v>0</v>
      </c>
      <c r="AL1167" s="55">
        <f t="shared" si="380"/>
        <v>0</v>
      </c>
      <c r="AM1167" s="55" t="s">
        <v>1912</v>
      </c>
      <c r="AN1167" s="55">
        <v>0</v>
      </c>
      <c r="AO1167" s="55">
        <v>0</v>
      </c>
      <c r="AP1167" s="55">
        <f t="shared" si="389"/>
        <v>0</v>
      </c>
      <c r="AQ1167" s="55">
        <f>IFERROR(VLOOKUP(A1167,[1]SIIMPLES!$A$2:$F$418,6,FALSE),0)</f>
        <v>0</v>
      </c>
      <c r="AR1167" s="55">
        <v>0</v>
      </c>
      <c r="AS1167" s="55">
        <v>0</v>
      </c>
      <c r="AT1167" s="55">
        <v>0</v>
      </c>
      <c r="AU1167" s="55">
        <v>0</v>
      </c>
      <c r="AV1167" s="55">
        <v>0</v>
      </c>
      <c r="AW1167" s="55"/>
      <c r="AX1167" s="55"/>
      <c r="AY1167" s="56">
        <f t="shared" si="390"/>
        <v>0</v>
      </c>
      <c r="AZ1167" s="55"/>
      <c r="BA1167" s="56">
        <v>0</v>
      </c>
      <c r="BB1167" s="41" t="str">
        <f t="shared" si="381"/>
        <v/>
      </c>
      <c r="BC1167" s="13"/>
      <c r="BD1167" s="35"/>
      <c r="BE1167" s="13"/>
      <c r="BF1167" s="16"/>
      <c r="BG1167" s="17" t="str">
        <f t="shared" si="384"/>
        <v>0</v>
      </c>
      <c r="BH1167" s="16">
        <f t="shared" si="394"/>
        <v>0</v>
      </c>
    </row>
    <row r="1168" spans="1:60" s="21" customFormat="1" ht="12.75" customHeight="1" x14ac:dyDescent="0.2">
      <c r="A1168" s="51" t="s">
        <v>805</v>
      </c>
      <c r="B1168" s="51" t="s">
        <v>1086</v>
      </c>
      <c r="C1168" s="66" t="s">
        <v>1803</v>
      </c>
      <c r="D1168" s="52" t="s">
        <v>728</v>
      </c>
      <c r="E1168" s="65" t="s">
        <v>780</v>
      </c>
      <c r="F1168" s="53">
        <f>IFERROR(VLOOKUP(E1168,Fornecedores!$A$2:$B$2700,2,FALSE),"")</f>
        <v>2</v>
      </c>
      <c r="G1168" s="52" t="s">
        <v>1378</v>
      </c>
      <c r="H1168" s="57"/>
      <c r="I1168" s="55">
        <f t="shared" si="391"/>
        <v>0</v>
      </c>
      <c r="J1168" s="55">
        <v>0</v>
      </c>
      <c r="K1168" s="55">
        <v>0</v>
      </c>
      <c r="L1168" s="55">
        <v>0</v>
      </c>
      <c r="M1168" s="55">
        <v>0</v>
      </c>
      <c r="N1168" s="55">
        <f t="shared" si="392"/>
        <v>0</v>
      </c>
      <c r="O1168" s="55">
        <v>0</v>
      </c>
      <c r="P1168" s="55">
        <v>0</v>
      </c>
      <c r="Q1168" s="55">
        <v>0</v>
      </c>
      <c r="R1168" s="55">
        <f t="shared" si="393"/>
        <v>0</v>
      </c>
      <c r="S1168" s="55">
        <v>0</v>
      </c>
      <c r="T1168" s="55">
        <v>0</v>
      </c>
      <c r="U1168" s="55">
        <v>0</v>
      </c>
      <c r="V1168" s="55">
        <v>0</v>
      </c>
      <c r="W1168" s="53">
        <v>0</v>
      </c>
      <c r="X1168" s="53">
        <v>0</v>
      </c>
      <c r="Y1168" s="55">
        <v>0</v>
      </c>
      <c r="Z1168" s="55">
        <v>0</v>
      </c>
      <c r="AA1168" s="53">
        <v>0</v>
      </c>
      <c r="AB1168" s="53">
        <v>0</v>
      </c>
      <c r="AC1168" s="55">
        <v>0</v>
      </c>
      <c r="AD1168" s="55">
        <f t="shared" si="383"/>
        <v>0</v>
      </c>
      <c r="AE1168" s="53">
        <v>0</v>
      </c>
      <c r="AF1168" s="55">
        <v>0</v>
      </c>
      <c r="AG1168" s="55">
        <v>0</v>
      </c>
      <c r="AH1168" s="55">
        <f t="shared" si="379"/>
        <v>0</v>
      </c>
      <c r="AI1168" s="55">
        <v>0</v>
      </c>
      <c r="AJ1168" s="55">
        <v>0</v>
      </c>
      <c r="AK1168" s="55">
        <v>0</v>
      </c>
      <c r="AL1168" s="55">
        <f t="shared" si="380"/>
        <v>0</v>
      </c>
      <c r="AM1168" s="55" t="s">
        <v>1912</v>
      </c>
      <c r="AN1168" s="55">
        <v>0</v>
      </c>
      <c r="AO1168" s="55">
        <v>0</v>
      </c>
      <c r="AP1168" s="55">
        <f t="shared" si="389"/>
        <v>0</v>
      </c>
      <c r="AQ1168" s="55">
        <f>IFERROR(VLOOKUP(A1168,[1]SIIMPLES!$A$2:$F$418,6,FALSE),0)</f>
        <v>0</v>
      </c>
      <c r="AR1168" s="55">
        <v>0</v>
      </c>
      <c r="AS1168" s="55">
        <v>0</v>
      </c>
      <c r="AT1168" s="55">
        <v>0</v>
      </c>
      <c r="AU1168" s="55">
        <v>0</v>
      </c>
      <c r="AV1168" s="55">
        <v>0</v>
      </c>
      <c r="AW1168" s="55"/>
      <c r="AX1168" s="55"/>
      <c r="AY1168" s="56">
        <f t="shared" si="390"/>
        <v>0</v>
      </c>
      <c r="AZ1168" s="55"/>
      <c r="BA1168" s="56">
        <v>0</v>
      </c>
      <c r="BB1168" s="41" t="str">
        <f t="shared" si="381"/>
        <v/>
      </c>
      <c r="BC1168" s="13"/>
      <c r="BD1168" s="35"/>
      <c r="BE1168" s="7"/>
      <c r="BF1168" s="16"/>
      <c r="BG1168" s="17" t="str">
        <f t="shared" si="384"/>
        <v>0</v>
      </c>
      <c r="BH1168" s="16">
        <f t="shared" si="394"/>
        <v>0</v>
      </c>
    </row>
    <row r="1169" spans="1:60" ht="12.75" customHeight="1" x14ac:dyDescent="0.2">
      <c r="A1169" s="51" t="s">
        <v>1456</v>
      </c>
      <c r="B1169" s="51"/>
      <c r="C1169" s="66" t="s">
        <v>1803</v>
      </c>
      <c r="D1169" s="52" t="s">
        <v>1226</v>
      </c>
      <c r="E1169" s="52">
        <f>VLOOKUP(A1169,[2]CMV!$A$1:$E$2043,5,FALSE)</f>
        <v>0</v>
      </c>
      <c r="F1169" s="53" t="str">
        <f>IFERROR(VLOOKUP(E1169,Fornecedores!$A$2:$B$2700,2,FALSE),"")</f>
        <v/>
      </c>
      <c r="G1169" s="52" t="s">
        <v>1468</v>
      </c>
      <c r="H1169" s="57"/>
      <c r="I1169" s="55">
        <f t="shared" si="391"/>
        <v>0</v>
      </c>
      <c r="J1169" s="55">
        <v>0</v>
      </c>
      <c r="K1169" s="55">
        <v>0</v>
      </c>
      <c r="L1169" s="55">
        <v>0</v>
      </c>
      <c r="M1169" s="55">
        <v>0</v>
      </c>
      <c r="N1169" s="55">
        <f t="shared" si="392"/>
        <v>0</v>
      </c>
      <c r="O1169" s="55">
        <v>0</v>
      </c>
      <c r="P1169" s="55">
        <v>0</v>
      </c>
      <c r="Q1169" s="55">
        <v>0</v>
      </c>
      <c r="R1169" s="55">
        <f t="shared" si="393"/>
        <v>8</v>
      </c>
      <c r="S1169" s="55">
        <v>0</v>
      </c>
      <c r="T1169" s="55">
        <v>0</v>
      </c>
      <c r="U1169" s="55">
        <v>8</v>
      </c>
      <c r="V1169" s="55">
        <v>0</v>
      </c>
      <c r="W1169" s="53">
        <v>0</v>
      </c>
      <c r="X1169" s="53">
        <v>0</v>
      </c>
      <c r="Y1169" s="55">
        <v>0</v>
      </c>
      <c r="Z1169" s="55">
        <v>0</v>
      </c>
      <c r="AA1169" s="53">
        <v>0</v>
      </c>
      <c r="AB1169" s="53">
        <v>0</v>
      </c>
      <c r="AC1169" s="55">
        <v>0</v>
      </c>
      <c r="AD1169" s="55">
        <f t="shared" si="383"/>
        <v>0</v>
      </c>
      <c r="AE1169" s="53">
        <v>0</v>
      </c>
      <c r="AF1169" s="55">
        <v>0</v>
      </c>
      <c r="AG1169" s="55">
        <v>0</v>
      </c>
      <c r="AH1169" s="55">
        <f t="shared" si="379"/>
        <v>0</v>
      </c>
      <c r="AI1169" s="55">
        <v>0</v>
      </c>
      <c r="AJ1169" s="55">
        <v>0</v>
      </c>
      <c r="AK1169" s="55">
        <v>0</v>
      </c>
      <c r="AL1169" s="55">
        <f t="shared" si="380"/>
        <v>0</v>
      </c>
      <c r="AM1169" s="55" t="s">
        <v>1912</v>
      </c>
      <c r="AN1169" s="55">
        <v>0</v>
      </c>
      <c r="AO1169" s="55">
        <v>0</v>
      </c>
      <c r="AP1169" s="55">
        <f t="shared" si="389"/>
        <v>0</v>
      </c>
      <c r="AQ1169" s="55">
        <f>IFERROR(VLOOKUP(A1169,[1]SIIMPLES!$A$2:$F$418,6,FALSE),0)</f>
        <v>0</v>
      </c>
      <c r="AR1169" s="55">
        <v>0</v>
      </c>
      <c r="AS1169" s="55">
        <v>0</v>
      </c>
      <c r="AT1169" s="55">
        <v>0</v>
      </c>
      <c r="AU1169" s="55">
        <v>0</v>
      </c>
      <c r="AV1169" s="55">
        <v>0</v>
      </c>
      <c r="AW1169" s="57"/>
      <c r="AX1169" s="55"/>
      <c r="AY1169" s="56">
        <f t="shared" si="390"/>
        <v>0.8</v>
      </c>
      <c r="AZ1169" s="55"/>
      <c r="BA1169" s="56">
        <v>4</v>
      </c>
      <c r="BB1169" s="41">
        <f t="shared" si="381"/>
        <v>-0.8</v>
      </c>
      <c r="BC1169" s="13"/>
      <c r="BD1169" s="35"/>
      <c r="BE1169" s="7"/>
      <c r="BF1169" s="16"/>
      <c r="BG1169" s="17">
        <f t="shared" si="384"/>
        <v>0</v>
      </c>
      <c r="BH1169" s="16">
        <f t="shared" si="394"/>
        <v>0.8</v>
      </c>
    </row>
    <row r="1170" spans="1:60" ht="12.75" customHeight="1" x14ac:dyDescent="0.2">
      <c r="A1170" s="51" t="s">
        <v>1192</v>
      </c>
      <c r="B1170" s="51"/>
      <c r="C1170" s="66" t="s">
        <v>1803</v>
      </c>
      <c r="D1170" s="52" t="s">
        <v>1226</v>
      </c>
      <c r="E1170" s="52" t="s">
        <v>1227</v>
      </c>
      <c r="F1170" s="53">
        <f>IFERROR(VLOOKUP(E1170,Fornecedores!$A$2:$B$2700,2,FALSE),"")</f>
        <v>20</v>
      </c>
      <c r="G1170" s="52" t="s">
        <v>1210</v>
      </c>
      <c r="H1170" s="54"/>
      <c r="I1170" s="55">
        <f t="shared" si="391"/>
        <v>12</v>
      </c>
      <c r="J1170" s="55">
        <v>0</v>
      </c>
      <c r="K1170" s="55">
        <v>0</v>
      </c>
      <c r="L1170" s="55">
        <v>0</v>
      </c>
      <c r="M1170" s="55">
        <v>12</v>
      </c>
      <c r="N1170" s="55">
        <f t="shared" si="392"/>
        <v>0</v>
      </c>
      <c r="O1170" s="55">
        <v>0</v>
      </c>
      <c r="P1170" s="55">
        <v>0</v>
      </c>
      <c r="Q1170" s="55">
        <v>0</v>
      </c>
      <c r="R1170" s="55">
        <f t="shared" si="393"/>
        <v>0</v>
      </c>
      <c r="S1170" s="55">
        <v>0</v>
      </c>
      <c r="T1170" s="55">
        <v>0</v>
      </c>
      <c r="U1170" s="55">
        <v>0</v>
      </c>
      <c r="V1170" s="55">
        <v>0</v>
      </c>
      <c r="W1170" s="53">
        <v>0</v>
      </c>
      <c r="X1170" s="53">
        <v>0</v>
      </c>
      <c r="Y1170" s="55">
        <v>0</v>
      </c>
      <c r="Z1170" s="55">
        <v>0</v>
      </c>
      <c r="AA1170" s="53">
        <v>0</v>
      </c>
      <c r="AB1170" s="53">
        <v>0</v>
      </c>
      <c r="AC1170" s="55">
        <v>0</v>
      </c>
      <c r="AD1170" s="55">
        <f t="shared" si="383"/>
        <v>0</v>
      </c>
      <c r="AE1170" s="53">
        <v>0</v>
      </c>
      <c r="AF1170" s="55">
        <v>0</v>
      </c>
      <c r="AG1170" s="55">
        <v>0</v>
      </c>
      <c r="AH1170" s="55">
        <f t="shared" si="379"/>
        <v>0</v>
      </c>
      <c r="AI1170" s="55">
        <v>0</v>
      </c>
      <c r="AJ1170" s="55">
        <v>0</v>
      </c>
      <c r="AK1170" s="55">
        <v>0</v>
      </c>
      <c r="AL1170" s="55">
        <f t="shared" si="380"/>
        <v>0</v>
      </c>
      <c r="AM1170" s="55" t="s">
        <v>1912</v>
      </c>
      <c r="AN1170" s="55">
        <v>0</v>
      </c>
      <c r="AO1170" s="55">
        <v>0</v>
      </c>
      <c r="AP1170" s="55">
        <f t="shared" si="389"/>
        <v>0</v>
      </c>
      <c r="AQ1170" s="55">
        <f>IFERROR(VLOOKUP(A1170,[1]SIIMPLES!$A$2:$F$418,6,FALSE),0)</f>
        <v>0</v>
      </c>
      <c r="AR1170" s="55">
        <v>0</v>
      </c>
      <c r="AS1170" s="55">
        <v>0</v>
      </c>
      <c r="AT1170" s="55">
        <v>0</v>
      </c>
      <c r="AU1170" s="55">
        <v>0</v>
      </c>
      <c r="AV1170" s="55">
        <v>0</v>
      </c>
      <c r="AW1170" s="55"/>
      <c r="AX1170" s="55"/>
      <c r="AY1170" s="56">
        <f t="shared" si="390"/>
        <v>1.2</v>
      </c>
      <c r="AZ1170" s="55"/>
      <c r="BA1170" s="56">
        <v>12.666666666666666</v>
      </c>
      <c r="BB1170" s="41">
        <f t="shared" si="381"/>
        <v>-0.90526315789473688</v>
      </c>
      <c r="BC1170" s="7"/>
      <c r="BD1170" s="35"/>
      <c r="BE1170" s="13"/>
      <c r="BF1170" s="16"/>
      <c r="BG1170" s="17">
        <f t="shared" ref="BG1170:BG1201" si="395">IFERROR(BC1170/AY1170,"0")</f>
        <v>0</v>
      </c>
      <c r="BH1170" s="16">
        <f t="shared" si="394"/>
        <v>1.2</v>
      </c>
    </row>
    <row r="1171" spans="1:60" ht="12.75" customHeight="1" x14ac:dyDescent="0.2">
      <c r="A1171" s="51" t="s">
        <v>1455</v>
      </c>
      <c r="B1171" s="51"/>
      <c r="C1171" s="66" t="s">
        <v>1803</v>
      </c>
      <c r="D1171" s="52" t="s">
        <v>1226</v>
      </c>
      <c r="E1171" s="52">
        <f>VLOOKUP(A1171,[2]CMV!$A$1:$E$2043,5,FALSE)</f>
        <v>0</v>
      </c>
      <c r="F1171" s="53" t="str">
        <f>IFERROR(VLOOKUP(E1171,Fornecedores!$A$2:$B$2700,2,FALSE),"")</f>
        <v/>
      </c>
      <c r="G1171" s="52" t="s">
        <v>1468</v>
      </c>
      <c r="H1171" s="57"/>
      <c r="I1171" s="55">
        <f t="shared" si="391"/>
        <v>28</v>
      </c>
      <c r="J1171" s="55">
        <v>0</v>
      </c>
      <c r="K1171" s="55">
        <v>0</v>
      </c>
      <c r="L1171" s="55">
        <v>0</v>
      </c>
      <c r="M1171" s="55">
        <v>28</v>
      </c>
      <c r="N1171" s="55">
        <f t="shared" si="392"/>
        <v>0</v>
      </c>
      <c r="O1171" s="55">
        <v>0</v>
      </c>
      <c r="P1171" s="55">
        <v>0</v>
      </c>
      <c r="Q1171" s="55">
        <v>0</v>
      </c>
      <c r="R1171" s="55">
        <f t="shared" si="393"/>
        <v>0</v>
      </c>
      <c r="S1171" s="55">
        <v>0</v>
      </c>
      <c r="T1171" s="55">
        <v>0</v>
      </c>
      <c r="U1171" s="55">
        <v>0</v>
      </c>
      <c r="V1171" s="55">
        <v>0</v>
      </c>
      <c r="W1171" s="53">
        <v>0</v>
      </c>
      <c r="X1171" s="53">
        <v>0</v>
      </c>
      <c r="Y1171" s="55">
        <v>0</v>
      </c>
      <c r="Z1171" s="55">
        <v>0</v>
      </c>
      <c r="AA1171" s="53">
        <v>0</v>
      </c>
      <c r="AB1171" s="53">
        <v>0</v>
      </c>
      <c r="AC1171" s="55">
        <v>0</v>
      </c>
      <c r="AD1171" s="55">
        <f t="shared" si="383"/>
        <v>0</v>
      </c>
      <c r="AE1171" s="53">
        <v>0</v>
      </c>
      <c r="AF1171" s="55">
        <v>0</v>
      </c>
      <c r="AG1171" s="55">
        <v>0</v>
      </c>
      <c r="AH1171" s="55">
        <f t="shared" ref="AH1171" si="396">SUM(AI1171:AK1171)</f>
        <v>0</v>
      </c>
      <c r="AI1171" s="55">
        <v>0</v>
      </c>
      <c r="AJ1171" s="55">
        <v>0</v>
      </c>
      <c r="AK1171" s="55">
        <v>0</v>
      </c>
      <c r="AL1171" s="55">
        <f t="shared" ref="AL1171:AL1234" si="397">SUM(AM1171:AO1171)</f>
        <v>0</v>
      </c>
      <c r="AM1171" s="55" t="s">
        <v>1912</v>
      </c>
      <c r="AN1171" s="55">
        <v>0</v>
      </c>
      <c r="AO1171" s="55">
        <v>0</v>
      </c>
      <c r="AP1171" s="55">
        <f t="shared" si="389"/>
        <v>0</v>
      </c>
      <c r="AQ1171" s="55">
        <f>IFERROR(VLOOKUP(A1171,[1]SIIMPLES!$A$2:$F$418,6,FALSE),0)</f>
        <v>0</v>
      </c>
      <c r="AR1171" s="55">
        <v>0</v>
      </c>
      <c r="AS1171" s="55">
        <v>0</v>
      </c>
      <c r="AT1171" s="55">
        <v>0</v>
      </c>
      <c r="AU1171" s="55">
        <v>0</v>
      </c>
      <c r="AV1171" s="55">
        <v>0</v>
      </c>
      <c r="AW1171" s="57"/>
      <c r="AX1171" s="55"/>
      <c r="AY1171" s="56">
        <f t="shared" si="390"/>
        <v>2.8</v>
      </c>
      <c r="AZ1171" s="55"/>
      <c r="BA1171" s="56">
        <v>32</v>
      </c>
      <c r="BB1171" s="41">
        <f t="shared" ref="BB1171:BB1234" si="398">IFERROR(AY1171/BA1171-1,"")</f>
        <v>-0.91249999999999998</v>
      </c>
      <c r="BC1171" s="7"/>
      <c r="BD1171" s="35"/>
      <c r="BE1171" s="13"/>
      <c r="BF1171" s="16"/>
      <c r="BG1171" s="17">
        <f t="shared" si="395"/>
        <v>0</v>
      </c>
      <c r="BH1171" s="16">
        <f t="shared" si="394"/>
        <v>2.8</v>
      </c>
    </row>
    <row r="1172" spans="1:60" ht="12.75" customHeight="1" x14ac:dyDescent="0.2">
      <c r="A1172" s="28">
        <v>882163</v>
      </c>
      <c r="B1172" s="28"/>
      <c r="C1172" s="28" t="s">
        <v>1803</v>
      </c>
      <c r="D1172" s="83" t="s">
        <v>728</v>
      </c>
      <c r="E1172" s="83" t="s">
        <v>780</v>
      </c>
      <c r="F1172" s="84"/>
      <c r="G1172" s="85" t="s">
        <v>2073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55">
        <f t="shared" si="397"/>
        <v>1</v>
      </c>
      <c r="AM1172" s="55">
        <v>1</v>
      </c>
      <c r="AN1172" s="55">
        <v>0</v>
      </c>
      <c r="AO1172" s="55">
        <v>0</v>
      </c>
      <c r="AP1172" s="55">
        <f t="shared" si="389"/>
        <v>0</v>
      </c>
      <c r="AQ1172" s="55">
        <f>IFERROR(VLOOKUP(A1172,[1]SIIMPLES!$A$2:$F$418,6,FALSE),0)</f>
        <v>0</v>
      </c>
      <c r="AR1172" s="55">
        <v>0</v>
      </c>
      <c r="AS1172" s="55">
        <v>0</v>
      </c>
      <c r="AT1172" s="55">
        <v>0</v>
      </c>
      <c r="AU1172" s="55">
        <v>0</v>
      </c>
      <c r="AV1172" s="55">
        <v>0</v>
      </c>
      <c r="AW1172" s="7"/>
      <c r="AX1172" s="7"/>
      <c r="AY1172" s="7"/>
      <c r="AZ1172" s="7"/>
      <c r="BA1172" s="7"/>
      <c r="BB1172" s="41" t="str">
        <f t="shared" si="398"/>
        <v/>
      </c>
      <c r="BC1172" s="13"/>
      <c r="BD1172" s="35"/>
      <c r="BE1172" s="13"/>
      <c r="BF1172" s="16"/>
      <c r="BG1172" s="17" t="str">
        <f t="shared" si="395"/>
        <v>0</v>
      </c>
      <c r="BH1172" s="16">
        <f t="shared" si="394"/>
        <v>0</v>
      </c>
    </row>
    <row r="1173" spans="1:60" ht="12.75" customHeight="1" x14ac:dyDescent="0.2">
      <c r="A1173" s="51" t="s">
        <v>1634</v>
      </c>
      <c r="B1173" s="51"/>
      <c r="C1173" s="66" t="s">
        <v>1803</v>
      </c>
      <c r="D1173" s="52">
        <v>0</v>
      </c>
      <c r="E1173" s="52">
        <f>VLOOKUP(A1173,[2]CMV!$A$1:$E$2043,5,FALSE)</f>
        <v>0</v>
      </c>
      <c r="F1173" s="53" t="str">
        <f>IFERROR(VLOOKUP(E1173,Fornecedores!$A$2:$B$2700,2,FALSE),"")</f>
        <v/>
      </c>
      <c r="G1173" s="52">
        <f>VLOOKUP(A1173,[2]CMV!$A$1:$F$2043,6,FALSE)</f>
        <v>0</v>
      </c>
      <c r="H1173" s="57"/>
      <c r="I1173" s="55">
        <f t="shared" ref="I1173:I1181" si="399">SUM(J1173:M1173)</f>
        <v>0</v>
      </c>
      <c r="J1173" s="55">
        <v>0</v>
      </c>
      <c r="K1173" s="55">
        <v>0</v>
      </c>
      <c r="L1173" s="55">
        <v>0</v>
      </c>
      <c r="M1173" s="55">
        <v>0</v>
      </c>
      <c r="N1173" s="55">
        <f t="shared" ref="N1173:N1181" si="400">SUM(O1173:Q1173)</f>
        <v>0</v>
      </c>
      <c r="O1173" s="57"/>
      <c r="P1173" s="57"/>
      <c r="Q1173" s="57"/>
      <c r="R1173" s="55">
        <f t="shared" ref="R1173:R1181" si="401">SUM(S1173:U1173)</f>
        <v>1</v>
      </c>
      <c r="S1173" s="55">
        <v>0</v>
      </c>
      <c r="T1173" s="55">
        <v>0</v>
      </c>
      <c r="U1173" s="55">
        <v>1</v>
      </c>
      <c r="V1173" s="55">
        <v>0</v>
      </c>
      <c r="W1173" s="53">
        <v>0</v>
      </c>
      <c r="X1173" s="53">
        <v>0</v>
      </c>
      <c r="Y1173" s="55">
        <v>0</v>
      </c>
      <c r="Z1173" s="55">
        <v>0</v>
      </c>
      <c r="AA1173" s="53">
        <v>0</v>
      </c>
      <c r="AB1173" s="53">
        <v>0</v>
      </c>
      <c r="AC1173" s="55">
        <v>0</v>
      </c>
      <c r="AD1173" s="55">
        <f t="shared" ref="AD1173:AD1199" si="402">SUM(AE1173:AG1173)</f>
        <v>0</v>
      </c>
      <c r="AE1173" s="53">
        <v>0</v>
      </c>
      <c r="AF1173" s="55">
        <v>0</v>
      </c>
      <c r="AG1173" s="55">
        <v>0</v>
      </c>
      <c r="AH1173" s="55">
        <f t="shared" ref="AH1173:AH1199" si="403">SUM(AI1173:AK1173)</f>
        <v>0</v>
      </c>
      <c r="AI1173" s="55">
        <v>0</v>
      </c>
      <c r="AJ1173" s="55">
        <v>0</v>
      </c>
      <c r="AK1173" s="55">
        <v>0</v>
      </c>
      <c r="AL1173" s="55">
        <f t="shared" si="397"/>
        <v>0</v>
      </c>
      <c r="AM1173" s="55" t="s">
        <v>1912</v>
      </c>
      <c r="AN1173" s="55">
        <v>0</v>
      </c>
      <c r="AO1173" s="55">
        <v>0</v>
      </c>
      <c r="AP1173" s="55">
        <f t="shared" si="389"/>
        <v>0</v>
      </c>
      <c r="AQ1173" s="55">
        <f>IFERROR(VLOOKUP(A1173,[1]SIIMPLES!$A$2:$F$418,6,FALSE),0)</f>
        <v>0</v>
      </c>
      <c r="AR1173" s="55">
        <v>0</v>
      </c>
      <c r="AS1173" s="55">
        <v>0</v>
      </c>
      <c r="AT1173" s="55">
        <v>0</v>
      </c>
      <c r="AU1173" s="55">
        <v>0</v>
      </c>
      <c r="AV1173" s="55">
        <v>0</v>
      </c>
      <c r="AW1173" s="57"/>
      <c r="AX1173" s="57"/>
      <c r="AY1173" s="56">
        <f t="shared" ref="AY1173:AY1199" si="404">IFERROR(AVERAGE(I1173,N1173,R1173,V1173,Z1173,AD1173,AH1173,AL1173,AP1173,AS1173,AW1173,AX1173),"-")</f>
        <v>0.1</v>
      </c>
      <c r="AZ1173" s="57"/>
      <c r="BA1173" s="56" t="s">
        <v>1912</v>
      </c>
      <c r="BB1173" s="41" t="str">
        <f t="shared" si="398"/>
        <v/>
      </c>
      <c r="BC1173" s="13"/>
      <c r="BD1173" s="36"/>
      <c r="BE1173" s="7"/>
      <c r="BF1173" s="16"/>
      <c r="BG1173" s="17">
        <f t="shared" si="395"/>
        <v>0</v>
      </c>
      <c r="BH1173" s="16">
        <f t="shared" si="394"/>
        <v>0.1</v>
      </c>
    </row>
    <row r="1174" spans="1:60" ht="12.75" customHeight="1" x14ac:dyDescent="0.2">
      <c r="A1174" s="51" t="s">
        <v>1454</v>
      </c>
      <c r="B1174" s="51"/>
      <c r="C1174" s="66" t="s">
        <v>1803</v>
      </c>
      <c r="D1174" s="52" t="s">
        <v>1476</v>
      </c>
      <c r="E1174" s="52" t="s">
        <v>741</v>
      </c>
      <c r="F1174" s="53">
        <f>IFERROR(VLOOKUP(E1174,Fornecedores!$A$2:$B$2700,2,FALSE),"")</f>
        <v>7</v>
      </c>
      <c r="G1174" s="52" t="s">
        <v>1467</v>
      </c>
      <c r="H1174" s="57"/>
      <c r="I1174" s="55">
        <f t="shared" si="399"/>
        <v>0</v>
      </c>
      <c r="J1174" s="55">
        <v>0</v>
      </c>
      <c r="K1174" s="55">
        <v>0</v>
      </c>
      <c r="L1174" s="55">
        <v>0</v>
      </c>
      <c r="M1174" s="55">
        <v>0</v>
      </c>
      <c r="N1174" s="55">
        <f t="shared" si="400"/>
        <v>0</v>
      </c>
      <c r="O1174" s="55">
        <v>0</v>
      </c>
      <c r="P1174" s="55">
        <v>0</v>
      </c>
      <c r="Q1174" s="55">
        <v>0</v>
      </c>
      <c r="R1174" s="55">
        <f t="shared" si="401"/>
        <v>0</v>
      </c>
      <c r="S1174" s="55">
        <v>0</v>
      </c>
      <c r="T1174" s="55">
        <v>0</v>
      </c>
      <c r="U1174" s="55">
        <v>0</v>
      </c>
      <c r="V1174" s="55">
        <v>0</v>
      </c>
      <c r="W1174" s="53">
        <v>0</v>
      </c>
      <c r="X1174" s="53">
        <v>0</v>
      </c>
      <c r="Y1174" s="55">
        <v>0</v>
      </c>
      <c r="Z1174" s="55">
        <v>7</v>
      </c>
      <c r="AA1174" s="53">
        <v>0</v>
      </c>
      <c r="AB1174" s="53">
        <v>0</v>
      </c>
      <c r="AC1174" s="55">
        <v>7</v>
      </c>
      <c r="AD1174" s="55">
        <f t="shared" si="402"/>
        <v>41</v>
      </c>
      <c r="AE1174" s="53">
        <v>0</v>
      </c>
      <c r="AF1174" s="55">
        <v>0</v>
      </c>
      <c r="AG1174" s="55">
        <v>41</v>
      </c>
      <c r="AH1174" s="55">
        <f t="shared" si="403"/>
        <v>24</v>
      </c>
      <c r="AI1174" s="55">
        <v>0</v>
      </c>
      <c r="AJ1174" s="55">
        <v>0</v>
      </c>
      <c r="AK1174" s="55">
        <v>24</v>
      </c>
      <c r="AL1174" s="55">
        <f t="shared" si="397"/>
        <v>0</v>
      </c>
      <c r="AM1174" s="55" t="s">
        <v>1912</v>
      </c>
      <c r="AN1174" s="55">
        <v>0</v>
      </c>
      <c r="AO1174" s="55">
        <v>0</v>
      </c>
      <c r="AP1174" s="55">
        <f t="shared" si="389"/>
        <v>0</v>
      </c>
      <c r="AQ1174" s="55">
        <f>IFERROR(VLOOKUP(A1174,[1]SIIMPLES!$A$2:$F$418,6,FALSE),0)</f>
        <v>0</v>
      </c>
      <c r="AR1174" s="55">
        <v>0</v>
      </c>
      <c r="AS1174" s="55">
        <v>0</v>
      </c>
      <c r="AT1174" s="55">
        <v>0</v>
      </c>
      <c r="AU1174" s="55">
        <v>0</v>
      </c>
      <c r="AV1174" s="55">
        <v>0</v>
      </c>
      <c r="AW1174" s="57"/>
      <c r="AX1174" s="55"/>
      <c r="AY1174" s="56">
        <f t="shared" si="404"/>
        <v>7.2</v>
      </c>
      <c r="AZ1174" s="55"/>
      <c r="BA1174" s="56">
        <v>5</v>
      </c>
      <c r="BB1174" s="41">
        <f t="shared" si="398"/>
        <v>0.43999999999999995</v>
      </c>
      <c r="BC1174" s="7"/>
      <c r="BD1174" s="35"/>
      <c r="BE1174" s="13"/>
      <c r="BF1174" s="16"/>
      <c r="BG1174" s="17">
        <f t="shared" si="395"/>
        <v>0</v>
      </c>
      <c r="BH1174" s="16">
        <f>ROUND(IFERROR(IF(F1174=1,IF(BC1174&lt;AY1174*3,AY1174*3-BC1174,0),IF(BC1174&lt;AY1174,AY1174*0.6-BC1174,0)),""),0)</f>
        <v>4</v>
      </c>
    </row>
    <row r="1175" spans="1:60" ht="12.75" customHeight="1" x14ac:dyDescent="0.2">
      <c r="A1175" s="51" t="s">
        <v>1788</v>
      </c>
      <c r="B1175" s="51"/>
      <c r="C1175" s="66" t="s">
        <v>1803</v>
      </c>
      <c r="D1175" s="52" t="s">
        <v>1761</v>
      </c>
      <c r="E1175" s="52" t="str">
        <f>VLOOKUP(A1175,[3]CMV!$A$1:$E$1988,5,FALSE)</f>
        <v>OUTROS</v>
      </c>
      <c r="F1175" s="53"/>
      <c r="G1175" s="52">
        <f>VLOOKUP(A1175,[2]CMV!$A$1:$F$2043,6,FALSE)</f>
        <v>0</v>
      </c>
      <c r="H1175" s="57"/>
      <c r="I1175" s="55">
        <f t="shared" si="399"/>
        <v>0</v>
      </c>
      <c r="J1175" s="55">
        <v>0</v>
      </c>
      <c r="K1175" s="55">
        <v>0</v>
      </c>
      <c r="L1175" s="55">
        <v>0</v>
      </c>
      <c r="M1175" s="55">
        <v>0</v>
      </c>
      <c r="N1175" s="55">
        <f t="shared" si="400"/>
        <v>0</v>
      </c>
      <c r="O1175" s="57"/>
      <c r="P1175" s="57"/>
      <c r="Q1175" s="57"/>
      <c r="R1175" s="55">
        <f t="shared" si="401"/>
        <v>0</v>
      </c>
      <c r="S1175" s="57"/>
      <c r="T1175" s="57"/>
      <c r="U1175" s="57"/>
      <c r="V1175" s="55">
        <v>4</v>
      </c>
      <c r="W1175" s="57"/>
      <c r="X1175" s="53">
        <v>4</v>
      </c>
      <c r="Y1175" s="55">
        <v>0</v>
      </c>
      <c r="Z1175" s="55">
        <v>0</v>
      </c>
      <c r="AA1175" s="53">
        <v>0</v>
      </c>
      <c r="AB1175" s="53">
        <v>0</v>
      </c>
      <c r="AC1175" s="55">
        <v>0</v>
      </c>
      <c r="AD1175" s="55">
        <f t="shared" si="402"/>
        <v>0</v>
      </c>
      <c r="AE1175" s="53">
        <v>0</v>
      </c>
      <c r="AF1175" s="55">
        <v>0</v>
      </c>
      <c r="AG1175" s="55">
        <v>0</v>
      </c>
      <c r="AH1175" s="55">
        <f t="shared" si="403"/>
        <v>0</v>
      </c>
      <c r="AI1175" s="55">
        <v>0</v>
      </c>
      <c r="AJ1175" s="55">
        <v>0</v>
      </c>
      <c r="AK1175" s="55">
        <v>0</v>
      </c>
      <c r="AL1175" s="55">
        <f t="shared" si="397"/>
        <v>0</v>
      </c>
      <c r="AM1175" s="55" t="s">
        <v>1912</v>
      </c>
      <c r="AN1175" s="55">
        <v>0</v>
      </c>
      <c r="AO1175" s="55">
        <v>0</v>
      </c>
      <c r="AP1175" s="55">
        <f t="shared" si="389"/>
        <v>0</v>
      </c>
      <c r="AQ1175" s="55">
        <f>IFERROR(VLOOKUP(A1175,[1]SIIMPLES!$A$2:$F$418,6,FALSE),0)</f>
        <v>0</v>
      </c>
      <c r="AR1175" s="55">
        <v>0</v>
      </c>
      <c r="AS1175" s="55">
        <v>0</v>
      </c>
      <c r="AT1175" s="55">
        <v>0</v>
      </c>
      <c r="AU1175" s="55">
        <v>0</v>
      </c>
      <c r="AV1175" s="55">
        <v>0</v>
      </c>
      <c r="AW1175" s="57"/>
      <c r="AX1175" s="57"/>
      <c r="AY1175" s="56">
        <f t="shared" si="404"/>
        <v>0.4</v>
      </c>
      <c r="AZ1175" s="57"/>
      <c r="BA1175" s="56" t="s">
        <v>1912</v>
      </c>
      <c r="BB1175" s="41" t="str">
        <f t="shared" si="398"/>
        <v/>
      </c>
      <c r="BC1175" s="13"/>
      <c r="BD1175" s="35"/>
      <c r="BE1175" s="13"/>
      <c r="BF1175" s="16"/>
      <c r="BG1175" s="17">
        <f t="shared" si="395"/>
        <v>0</v>
      </c>
      <c r="BH1175" s="16">
        <f>ROUND(IFERROR(IF(F1175=1,IF(BC1175&lt;AY1175*3,AY1175*3-BC1175,0),IF(BC1175&lt;AY1175,AY1175*0.6-BC1175,0)),""),0)</f>
        <v>0</v>
      </c>
    </row>
    <row r="1176" spans="1:60" ht="12.75" customHeight="1" x14ac:dyDescent="0.2">
      <c r="A1176" s="51" t="s">
        <v>1786</v>
      </c>
      <c r="B1176" s="51"/>
      <c r="C1176" s="66" t="s">
        <v>1803</v>
      </c>
      <c r="D1176" s="52" t="s">
        <v>1805</v>
      </c>
      <c r="E1176" s="52" t="s">
        <v>1761</v>
      </c>
      <c r="F1176" s="53"/>
      <c r="G1176" s="52" t="s">
        <v>1804</v>
      </c>
      <c r="H1176" s="57"/>
      <c r="I1176" s="55">
        <f t="shared" si="399"/>
        <v>0</v>
      </c>
      <c r="J1176" s="55">
        <v>0</v>
      </c>
      <c r="K1176" s="55">
        <v>0</v>
      </c>
      <c r="L1176" s="55">
        <v>0</v>
      </c>
      <c r="M1176" s="55">
        <v>0</v>
      </c>
      <c r="N1176" s="55">
        <f t="shared" si="400"/>
        <v>0</v>
      </c>
      <c r="O1176" s="55"/>
      <c r="P1176" s="55"/>
      <c r="Q1176" s="55"/>
      <c r="R1176" s="55">
        <f t="shared" si="401"/>
        <v>0</v>
      </c>
      <c r="S1176" s="55"/>
      <c r="T1176" s="55"/>
      <c r="U1176" s="55"/>
      <c r="V1176" s="55">
        <v>1</v>
      </c>
      <c r="W1176" s="53">
        <v>1</v>
      </c>
      <c r="X1176" s="53">
        <v>0</v>
      </c>
      <c r="Y1176" s="55">
        <v>0</v>
      </c>
      <c r="Z1176" s="55">
        <v>0</v>
      </c>
      <c r="AA1176" s="53">
        <v>0</v>
      </c>
      <c r="AB1176" s="53">
        <v>0</v>
      </c>
      <c r="AC1176" s="55">
        <v>0</v>
      </c>
      <c r="AD1176" s="55">
        <f t="shared" si="402"/>
        <v>0</v>
      </c>
      <c r="AE1176" s="53">
        <v>0</v>
      </c>
      <c r="AF1176" s="55">
        <v>0</v>
      </c>
      <c r="AG1176" s="55">
        <v>0</v>
      </c>
      <c r="AH1176" s="55">
        <f t="shared" si="403"/>
        <v>0</v>
      </c>
      <c r="AI1176" s="55">
        <v>0</v>
      </c>
      <c r="AJ1176" s="55">
        <v>0</v>
      </c>
      <c r="AK1176" s="55">
        <v>0</v>
      </c>
      <c r="AL1176" s="55">
        <f t="shared" si="397"/>
        <v>0</v>
      </c>
      <c r="AM1176" s="55" t="s">
        <v>1912</v>
      </c>
      <c r="AN1176" s="55">
        <v>0</v>
      </c>
      <c r="AO1176" s="55">
        <v>0</v>
      </c>
      <c r="AP1176" s="55">
        <f t="shared" si="389"/>
        <v>0</v>
      </c>
      <c r="AQ1176" s="55">
        <f>IFERROR(VLOOKUP(A1176,[1]SIIMPLES!$A$2:$F$418,6,FALSE),0)</f>
        <v>0</v>
      </c>
      <c r="AR1176" s="55">
        <v>0</v>
      </c>
      <c r="AS1176" s="55">
        <v>0</v>
      </c>
      <c r="AT1176" s="55">
        <v>0</v>
      </c>
      <c r="AU1176" s="55">
        <v>0</v>
      </c>
      <c r="AV1176" s="55">
        <v>0</v>
      </c>
      <c r="AW1176" s="55"/>
      <c r="AX1176" s="55"/>
      <c r="AY1176" s="56">
        <f t="shared" si="404"/>
        <v>0.1</v>
      </c>
      <c r="AZ1176" s="55"/>
      <c r="BA1176" s="56" t="s">
        <v>1912</v>
      </c>
      <c r="BB1176" s="41" t="str">
        <f t="shared" si="398"/>
        <v/>
      </c>
      <c r="BC1176" s="13"/>
      <c r="BD1176" s="35"/>
      <c r="BE1176" s="13"/>
      <c r="BF1176" s="16"/>
      <c r="BG1176" s="17">
        <f t="shared" si="395"/>
        <v>0</v>
      </c>
      <c r="BH1176" s="16">
        <f t="shared" ref="BH1176:BH1195" si="405">IFERROR(IF(F1176=1,IF(BC1176&lt;AY1176*3,AY1176*3-BC1176,0),IF(BC1176&lt;AY1176,AY1176-BC1176,0)),"")</f>
        <v>0.1</v>
      </c>
    </row>
    <row r="1177" spans="1:60" ht="12.75" customHeight="1" x14ac:dyDescent="0.2">
      <c r="A1177" s="51" t="s">
        <v>1182</v>
      </c>
      <c r="B1177" s="51"/>
      <c r="C1177" s="66" t="s">
        <v>1803</v>
      </c>
      <c r="D1177" s="52" t="s">
        <v>1223</v>
      </c>
      <c r="E1177" s="52" t="s">
        <v>1222</v>
      </c>
      <c r="F1177" s="53">
        <f>IFERROR(VLOOKUP(E1177,Fornecedores!$A$2:$B$2700,2,FALSE),"")</f>
        <v>26</v>
      </c>
      <c r="G1177" s="52" t="s">
        <v>1200</v>
      </c>
      <c r="H1177" s="54"/>
      <c r="I1177" s="55">
        <f t="shared" si="399"/>
        <v>0</v>
      </c>
      <c r="J1177" s="55">
        <v>0</v>
      </c>
      <c r="K1177" s="55">
        <v>0</v>
      </c>
      <c r="L1177" s="55">
        <v>0</v>
      </c>
      <c r="M1177" s="55">
        <v>0</v>
      </c>
      <c r="N1177" s="55">
        <f t="shared" si="400"/>
        <v>0</v>
      </c>
      <c r="O1177" s="55">
        <v>0</v>
      </c>
      <c r="P1177" s="55">
        <v>0</v>
      </c>
      <c r="Q1177" s="55">
        <v>0</v>
      </c>
      <c r="R1177" s="55">
        <f t="shared" si="401"/>
        <v>0</v>
      </c>
      <c r="S1177" s="55">
        <v>0</v>
      </c>
      <c r="T1177" s="55">
        <v>0</v>
      </c>
      <c r="U1177" s="55">
        <v>0</v>
      </c>
      <c r="V1177" s="55">
        <v>0</v>
      </c>
      <c r="W1177" s="53">
        <v>0</v>
      </c>
      <c r="X1177" s="53">
        <v>0</v>
      </c>
      <c r="Y1177" s="55">
        <v>0</v>
      </c>
      <c r="Z1177" s="55">
        <v>0</v>
      </c>
      <c r="AA1177" s="53">
        <v>0</v>
      </c>
      <c r="AB1177" s="53">
        <v>0</v>
      </c>
      <c r="AC1177" s="55">
        <v>0</v>
      </c>
      <c r="AD1177" s="55">
        <f t="shared" si="402"/>
        <v>0</v>
      </c>
      <c r="AE1177" s="53">
        <v>0</v>
      </c>
      <c r="AF1177" s="55">
        <v>0</v>
      </c>
      <c r="AG1177" s="55">
        <v>0</v>
      </c>
      <c r="AH1177" s="55">
        <f t="shared" si="403"/>
        <v>0</v>
      </c>
      <c r="AI1177" s="55">
        <v>0</v>
      </c>
      <c r="AJ1177" s="55">
        <v>0</v>
      </c>
      <c r="AK1177" s="55">
        <v>0</v>
      </c>
      <c r="AL1177" s="55">
        <f t="shared" si="397"/>
        <v>0</v>
      </c>
      <c r="AM1177" s="55" t="s">
        <v>1912</v>
      </c>
      <c r="AN1177" s="55">
        <v>0</v>
      </c>
      <c r="AO1177" s="55">
        <v>0</v>
      </c>
      <c r="AP1177" s="55">
        <f t="shared" si="389"/>
        <v>0</v>
      </c>
      <c r="AQ1177" s="55">
        <f>IFERROR(VLOOKUP(A1177,[1]SIIMPLES!$A$2:$F$418,6,FALSE),0)</f>
        <v>0</v>
      </c>
      <c r="AR1177" s="55">
        <v>0</v>
      </c>
      <c r="AS1177" s="55">
        <v>0</v>
      </c>
      <c r="AT1177" s="55">
        <v>0</v>
      </c>
      <c r="AU1177" s="55">
        <v>0</v>
      </c>
      <c r="AV1177" s="55">
        <v>0</v>
      </c>
      <c r="AW1177" s="55"/>
      <c r="AX1177" s="55"/>
      <c r="AY1177" s="56">
        <f t="shared" si="404"/>
        <v>0</v>
      </c>
      <c r="AZ1177" s="55"/>
      <c r="BA1177" s="56">
        <v>0.33333333333333331</v>
      </c>
      <c r="BB1177" s="41">
        <f t="shared" si="398"/>
        <v>-1</v>
      </c>
      <c r="BC1177" s="13"/>
      <c r="BD1177" s="35"/>
      <c r="BE1177" s="13"/>
      <c r="BF1177" s="16"/>
      <c r="BG1177" s="17" t="str">
        <f t="shared" si="395"/>
        <v>0</v>
      </c>
      <c r="BH1177" s="16">
        <f t="shared" si="405"/>
        <v>0</v>
      </c>
    </row>
    <row r="1178" spans="1:60" ht="12.75" customHeight="1" x14ac:dyDescent="0.2">
      <c r="A1178" s="51" t="s">
        <v>423</v>
      </c>
      <c r="B1178" s="51"/>
      <c r="C1178" s="66" t="s">
        <v>1803</v>
      </c>
      <c r="D1178" s="52" t="s">
        <v>747</v>
      </c>
      <c r="E1178" s="52" t="s">
        <v>748</v>
      </c>
      <c r="F1178" s="53">
        <f>IFERROR(VLOOKUP(E1178,Fornecedores!$A$2:$B$2700,2,FALSE),"")</f>
        <v>24</v>
      </c>
      <c r="G1178" s="52" t="s">
        <v>424</v>
      </c>
      <c r="H1178" s="54"/>
      <c r="I1178" s="55">
        <f t="shared" si="399"/>
        <v>0</v>
      </c>
      <c r="J1178" s="55">
        <v>0</v>
      </c>
      <c r="K1178" s="55">
        <v>0</v>
      </c>
      <c r="L1178" s="55">
        <v>0</v>
      </c>
      <c r="M1178" s="55">
        <v>0</v>
      </c>
      <c r="N1178" s="55">
        <f t="shared" si="400"/>
        <v>0</v>
      </c>
      <c r="O1178" s="55">
        <v>0</v>
      </c>
      <c r="P1178" s="55">
        <v>0</v>
      </c>
      <c r="Q1178" s="55">
        <v>0</v>
      </c>
      <c r="R1178" s="55">
        <f t="shared" si="401"/>
        <v>0</v>
      </c>
      <c r="S1178" s="55">
        <v>0</v>
      </c>
      <c r="T1178" s="55">
        <v>0</v>
      </c>
      <c r="U1178" s="55">
        <v>0</v>
      </c>
      <c r="V1178" s="55">
        <v>0</v>
      </c>
      <c r="W1178" s="53">
        <v>0</v>
      </c>
      <c r="X1178" s="53">
        <v>0</v>
      </c>
      <c r="Y1178" s="55">
        <v>0</v>
      </c>
      <c r="Z1178" s="55">
        <v>0</v>
      </c>
      <c r="AA1178" s="53">
        <v>0</v>
      </c>
      <c r="AB1178" s="53">
        <v>0</v>
      </c>
      <c r="AC1178" s="55">
        <v>0</v>
      </c>
      <c r="AD1178" s="55">
        <f t="shared" si="402"/>
        <v>0</v>
      </c>
      <c r="AE1178" s="53">
        <v>0</v>
      </c>
      <c r="AF1178" s="55">
        <v>0</v>
      </c>
      <c r="AG1178" s="55">
        <v>0</v>
      </c>
      <c r="AH1178" s="55">
        <f t="shared" si="403"/>
        <v>0</v>
      </c>
      <c r="AI1178" s="55">
        <v>0</v>
      </c>
      <c r="AJ1178" s="55">
        <v>0</v>
      </c>
      <c r="AK1178" s="55">
        <v>0</v>
      </c>
      <c r="AL1178" s="55">
        <f t="shared" si="397"/>
        <v>0</v>
      </c>
      <c r="AM1178" s="55" t="s">
        <v>1912</v>
      </c>
      <c r="AN1178" s="55">
        <v>0</v>
      </c>
      <c r="AO1178" s="55">
        <v>0</v>
      </c>
      <c r="AP1178" s="55">
        <f t="shared" si="389"/>
        <v>0</v>
      </c>
      <c r="AQ1178" s="55">
        <f>IFERROR(VLOOKUP(A1178,[1]SIIMPLES!$A$2:$F$418,6,FALSE),0)</f>
        <v>0</v>
      </c>
      <c r="AR1178" s="55">
        <v>0</v>
      </c>
      <c r="AS1178" s="55">
        <v>0</v>
      </c>
      <c r="AT1178" s="55">
        <v>0</v>
      </c>
      <c r="AU1178" s="55">
        <v>0</v>
      </c>
      <c r="AV1178" s="55">
        <v>0</v>
      </c>
      <c r="AW1178" s="55"/>
      <c r="AX1178" s="55"/>
      <c r="AY1178" s="56">
        <f t="shared" si="404"/>
        <v>0</v>
      </c>
      <c r="AZ1178" s="55"/>
      <c r="BA1178" s="56">
        <v>0</v>
      </c>
      <c r="BB1178" s="41" t="str">
        <f t="shared" si="398"/>
        <v/>
      </c>
      <c r="BC1178" s="13"/>
      <c r="BD1178" s="35"/>
      <c r="BE1178" s="13"/>
      <c r="BF1178" s="16"/>
      <c r="BG1178" s="17" t="str">
        <f t="shared" si="395"/>
        <v>0</v>
      </c>
      <c r="BH1178" s="16">
        <f t="shared" si="405"/>
        <v>0</v>
      </c>
    </row>
    <row r="1179" spans="1:60" ht="12.75" customHeight="1" x14ac:dyDescent="0.2">
      <c r="A1179" s="51" t="s">
        <v>429</v>
      </c>
      <c r="B1179" s="51"/>
      <c r="C1179" s="66" t="s">
        <v>1803</v>
      </c>
      <c r="D1179" s="52" t="s">
        <v>747</v>
      </c>
      <c r="E1179" s="52" t="s">
        <v>748</v>
      </c>
      <c r="F1179" s="53">
        <f>IFERROR(VLOOKUP(E1179,Fornecedores!$A$2:$B$2700,2,FALSE),"")</f>
        <v>24</v>
      </c>
      <c r="G1179" s="52" t="s">
        <v>430</v>
      </c>
      <c r="H1179" s="54"/>
      <c r="I1179" s="55">
        <f t="shared" si="399"/>
        <v>0</v>
      </c>
      <c r="J1179" s="55">
        <v>0</v>
      </c>
      <c r="K1179" s="55">
        <v>0</v>
      </c>
      <c r="L1179" s="55">
        <v>0</v>
      </c>
      <c r="M1179" s="55">
        <v>0</v>
      </c>
      <c r="N1179" s="55">
        <f t="shared" si="400"/>
        <v>0</v>
      </c>
      <c r="O1179" s="55">
        <v>0</v>
      </c>
      <c r="P1179" s="55">
        <v>0</v>
      </c>
      <c r="Q1179" s="55">
        <v>0</v>
      </c>
      <c r="R1179" s="55">
        <f t="shared" si="401"/>
        <v>0</v>
      </c>
      <c r="S1179" s="55">
        <v>0</v>
      </c>
      <c r="T1179" s="55">
        <v>0</v>
      </c>
      <c r="U1179" s="55">
        <v>0</v>
      </c>
      <c r="V1179" s="55">
        <v>0</v>
      </c>
      <c r="W1179" s="53">
        <v>0</v>
      </c>
      <c r="X1179" s="53">
        <v>0</v>
      </c>
      <c r="Y1179" s="55">
        <v>0</v>
      </c>
      <c r="Z1179" s="55">
        <v>0</v>
      </c>
      <c r="AA1179" s="53">
        <v>0</v>
      </c>
      <c r="AB1179" s="53">
        <v>0</v>
      </c>
      <c r="AC1179" s="55">
        <v>0</v>
      </c>
      <c r="AD1179" s="55">
        <f t="shared" si="402"/>
        <v>0</v>
      </c>
      <c r="AE1179" s="53">
        <v>0</v>
      </c>
      <c r="AF1179" s="55">
        <v>0</v>
      </c>
      <c r="AG1179" s="55">
        <v>0</v>
      </c>
      <c r="AH1179" s="55">
        <f t="shared" si="403"/>
        <v>0</v>
      </c>
      <c r="AI1179" s="55">
        <v>0</v>
      </c>
      <c r="AJ1179" s="55">
        <v>0</v>
      </c>
      <c r="AK1179" s="55">
        <v>0</v>
      </c>
      <c r="AL1179" s="55">
        <f t="shared" si="397"/>
        <v>0</v>
      </c>
      <c r="AM1179" s="55" t="s">
        <v>1912</v>
      </c>
      <c r="AN1179" s="55">
        <v>0</v>
      </c>
      <c r="AO1179" s="55">
        <v>0</v>
      </c>
      <c r="AP1179" s="55">
        <f t="shared" si="389"/>
        <v>0</v>
      </c>
      <c r="AQ1179" s="55">
        <f>IFERROR(VLOOKUP(A1179,[1]SIIMPLES!$A$2:$F$418,6,FALSE),0)</f>
        <v>0</v>
      </c>
      <c r="AR1179" s="55">
        <v>0</v>
      </c>
      <c r="AS1179" s="55">
        <v>0</v>
      </c>
      <c r="AT1179" s="55">
        <v>0</v>
      </c>
      <c r="AU1179" s="55">
        <v>0</v>
      </c>
      <c r="AV1179" s="55">
        <v>0</v>
      </c>
      <c r="AW1179" s="55"/>
      <c r="AX1179" s="55"/>
      <c r="AY1179" s="56">
        <f t="shared" si="404"/>
        <v>0</v>
      </c>
      <c r="AZ1179" s="55"/>
      <c r="BA1179" s="56">
        <v>0</v>
      </c>
      <c r="BB1179" s="41" t="str">
        <f t="shared" si="398"/>
        <v/>
      </c>
      <c r="BC1179" s="13"/>
      <c r="BD1179" s="35"/>
      <c r="BE1179" s="13"/>
      <c r="BF1179" s="16"/>
      <c r="BG1179" s="17" t="str">
        <f t="shared" si="395"/>
        <v>0</v>
      </c>
      <c r="BH1179" s="16">
        <f t="shared" si="405"/>
        <v>0</v>
      </c>
    </row>
    <row r="1180" spans="1:60" ht="12.75" customHeight="1" x14ac:dyDescent="0.2">
      <c r="A1180" s="51" t="s">
        <v>446</v>
      </c>
      <c r="B1180" s="51"/>
      <c r="C1180" s="66" t="s">
        <v>1803</v>
      </c>
      <c r="D1180" s="52" t="s">
        <v>747</v>
      </c>
      <c r="E1180" s="52" t="s">
        <v>748</v>
      </c>
      <c r="F1180" s="53">
        <f>IFERROR(VLOOKUP(E1180,Fornecedores!$A$2:$B$2700,2,FALSE),"")</f>
        <v>24</v>
      </c>
      <c r="G1180" s="52" t="s">
        <v>447</v>
      </c>
      <c r="H1180" s="54"/>
      <c r="I1180" s="55">
        <f t="shared" si="399"/>
        <v>0</v>
      </c>
      <c r="J1180" s="55">
        <v>0</v>
      </c>
      <c r="K1180" s="55">
        <v>0</v>
      </c>
      <c r="L1180" s="55">
        <v>0</v>
      </c>
      <c r="M1180" s="55">
        <v>0</v>
      </c>
      <c r="N1180" s="55">
        <f t="shared" si="400"/>
        <v>3</v>
      </c>
      <c r="O1180" s="55">
        <v>3</v>
      </c>
      <c r="P1180" s="55">
        <v>0</v>
      </c>
      <c r="Q1180" s="55">
        <v>0</v>
      </c>
      <c r="R1180" s="55">
        <f t="shared" si="401"/>
        <v>0</v>
      </c>
      <c r="S1180" s="55">
        <v>0</v>
      </c>
      <c r="T1180" s="55">
        <v>0</v>
      </c>
      <c r="U1180" s="55">
        <v>0</v>
      </c>
      <c r="V1180" s="55">
        <v>0</v>
      </c>
      <c r="W1180" s="53">
        <v>0</v>
      </c>
      <c r="X1180" s="53">
        <v>0</v>
      </c>
      <c r="Y1180" s="55">
        <v>0</v>
      </c>
      <c r="Z1180" s="55">
        <v>0</v>
      </c>
      <c r="AA1180" s="53">
        <v>0</v>
      </c>
      <c r="AB1180" s="53">
        <v>0</v>
      </c>
      <c r="AC1180" s="55">
        <v>0</v>
      </c>
      <c r="AD1180" s="55">
        <f t="shared" si="402"/>
        <v>0</v>
      </c>
      <c r="AE1180" s="53">
        <v>0</v>
      </c>
      <c r="AF1180" s="55">
        <v>0</v>
      </c>
      <c r="AG1180" s="55">
        <v>0</v>
      </c>
      <c r="AH1180" s="55">
        <f t="shared" si="403"/>
        <v>0</v>
      </c>
      <c r="AI1180" s="55">
        <v>0</v>
      </c>
      <c r="AJ1180" s="55">
        <v>0</v>
      </c>
      <c r="AK1180" s="55">
        <v>0</v>
      </c>
      <c r="AL1180" s="55">
        <f t="shared" si="397"/>
        <v>0</v>
      </c>
      <c r="AM1180" s="55" t="s">
        <v>1912</v>
      </c>
      <c r="AN1180" s="55">
        <v>0</v>
      </c>
      <c r="AO1180" s="55">
        <v>0</v>
      </c>
      <c r="AP1180" s="55">
        <f t="shared" si="389"/>
        <v>0</v>
      </c>
      <c r="AQ1180" s="55">
        <f>IFERROR(VLOOKUP(A1180,[1]SIIMPLES!$A$2:$F$418,6,FALSE),0)</f>
        <v>0</v>
      </c>
      <c r="AR1180" s="55">
        <v>0</v>
      </c>
      <c r="AS1180" s="55">
        <v>0</v>
      </c>
      <c r="AT1180" s="55">
        <v>0</v>
      </c>
      <c r="AU1180" s="55">
        <v>0</v>
      </c>
      <c r="AV1180" s="55">
        <v>0</v>
      </c>
      <c r="AW1180" s="55"/>
      <c r="AX1180" s="55"/>
      <c r="AY1180" s="56">
        <f t="shared" si="404"/>
        <v>0.3</v>
      </c>
      <c r="AZ1180" s="55"/>
      <c r="BA1180" s="56">
        <v>0</v>
      </c>
      <c r="BB1180" s="41" t="str">
        <f t="shared" si="398"/>
        <v/>
      </c>
      <c r="BC1180" s="13"/>
      <c r="BD1180" s="35"/>
      <c r="BE1180" s="7"/>
      <c r="BF1180" s="16"/>
      <c r="BG1180" s="17">
        <f t="shared" si="395"/>
        <v>0</v>
      </c>
      <c r="BH1180" s="16">
        <f t="shared" si="405"/>
        <v>0.3</v>
      </c>
    </row>
    <row r="1181" spans="1:60" ht="12.75" customHeight="1" x14ac:dyDescent="0.2">
      <c r="A1181" s="51" t="s">
        <v>498</v>
      </c>
      <c r="B1181" s="51"/>
      <c r="C1181" s="66" t="s">
        <v>1803</v>
      </c>
      <c r="D1181" s="52" t="s">
        <v>747</v>
      </c>
      <c r="E1181" s="52" t="s">
        <v>748</v>
      </c>
      <c r="F1181" s="53">
        <f>IFERROR(VLOOKUP(E1181,Fornecedores!$A$2:$B$2700,2,FALSE),"")</f>
        <v>24</v>
      </c>
      <c r="G1181" s="52" t="s">
        <v>499</v>
      </c>
      <c r="H1181" s="54"/>
      <c r="I1181" s="55">
        <f t="shared" si="399"/>
        <v>0</v>
      </c>
      <c r="J1181" s="55">
        <v>0</v>
      </c>
      <c r="K1181" s="55">
        <v>0</v>
      </c>
      <c r="L1181" s="55">
        <v>0</v>
      </c>
      <c r="M1181" s="55">
        <v>0</v>
      </c>
      <c r="N1181" s="55">
        <f t="shared" si="400"/>
        <v>0</v>
      </c>
      <c r="O1181" s="55">
        <v>0</v>
      </c>
      <c r="P1181" s="55">
        <v>0</v>
      </c>
      <c r="Q1181" s="55">
        <v>0</v>
      </c>
      <c r="R1181" s="55">
        <f t="shared" si="401"/>
        <v>0</v>
      </c>
      <c r="S1181" s="55">
        <v>0</v>
      </c>
      <c r="T1181" s="55">
        <v>0</v>
      </c>
      <c r="U1181" s="55">
        <v>0</v>
      </c>
      <c r="V1181" s="55">
        <v>0</v>
      </c>
      <c r="W1181" s="53">
        <v>0</v>
      </c>
      <c r="X1181" s="53">
        <v>0</v>
      </c>
      <c r="Y1181" s="55">
        <v>0</v>
      </c>
      <c r="Z1181" s="55">
        <v>0</v>
      </c>
      <c r="AA1181" s="53">
        <v>0</v>
      </c>
      <c r="AB1181" s="53">
        <v>0</v>
      </c>
      <c r="AC1181" s="55">
        <v>0</v>
      </c>
      <c r="AD1181" s="55">
        <f t="shared" si="402"/>
        <v>0</v>
      </c>
      <c r="AE1181" s="53">
        <v>0</v>
      </c>
      <c r="AF1181" s="55">
        <v>0</v>
      </c>
      <c r="AG1181" s="55">
        <v>0</v>
      </c>
      <c r="AH1181" s="55">
        <f t="shared" si="403"/>
        <v>0</v>
      </c>
      <c r="AI1181" s="55">
        <v>0</v>
      </c>
      <c r="AJ1181" s="55">
        <v>0</v>
      </c>
      <c r="AK1181" s="55">
        <v>0</v>
      </c>
      <c r="AL1181" s="55">
        <f t="shared" si="397"/>
        <v>0</v>
      </c>
      <c r="AM1181" s="55" t="s">
        <v>1912</v>
      </c>
      <c r="AN1181" s="55">
        <v>0</v>
      </c>
      <c r="AO1181" s="55">
        <v>0</v>
      </c>
      <c r="AP1181" s="55">
        <f t="shared" si="389"/>
        <v>0</v>
      </c>
      <c r="AQ1181" s="55">
        <f>IFERROR(VLOOKUP(A1181,[1]SIIMPLES!$A$2:$F$418,6,FALSE),0)</f>
        <v>0</v>
      </c>
      <c r="AR1181" s="55">
        <v>0</v>
      </c>
      <c r="AS1181" s="55">
        <v>0</v>
      </c>
      <c r="AT1181" s="55">
        <v>0</v>
      </c>
      <c r="AU1181" s="55">
        <v>0</v>
      </c>
      <c r="AV1181" s="55">
        <v>0</v>
      </c>
      <c r="AW1181" s="55"/>
      <c r="AX1181" s="55"/>
      <c r="AY1181" s="56">
        <f t="shared" si="404"/>
        <v>0</v>
      </c>
      <c r="AZ1181" s="55"/>
      <c r="BA1181" s="56">
        <v>0</v>
      </c>
      <c r="BB1181" s="41" t="str">
        <f t="shared" si="398"/>
        <v/>
      </c>
      <c r="BC1181" s="13"/>
      <c r="BD1181" s="35"/>
      <c r="BE1181" s="7"/>
      <c r="BF1181" s="16"/>
      <c r="BG1181" s="17" t="str">
        <f t="shared" si="395"/>
        <v>0</v>
      </c>
      <c r="BH1181" s="16">
        <f t="shared" si="405"/>
        <v>0</v>
      </c>
    </row>
    <row r="1182" spans="1:60" ht="12.75" customHeight="1" x14ac:dyDescent="0.2">
      <c r="A1182" s="70" t="s">
        <v>1852</v>
      </c>
      <c r="B1182" s="51"/>
      <c r="C1182" s="66" t="s">
        <v>1803</v>
      </c>
      <c r="D1182" s="81" t="s">
        <v>1855</v>
      </c>
      <c r="E1182" s="52" t="s">
        <v>1854</v>
      </c>
      <c r="F1182" s="53"/>
      <c r="G1182" s="71" t="s">
        <v>1853</v>
      </c>
      <c r="H1182" s="57"/>
      <c r="I1182" s="57"/>
      <c r="J1182" s="57"/>
      <c r="K1182" s="57"/>
      <c r="L1182" s="57"/>
      <c r="M1182" s="57"/>
      <c r="N1182" s="57"/>
      <c r="O1182" s="57"/>
      <c r="P1182" s="57"/>
      <c r="Q1182" s="57"/>
      <c r="R1182" s="57"/>
      <c r="S1182" s="57"/>
      <c r="T1182" s="57"/>
      <c r="U1182" s="57"/>
      <c r="V1182" s="57"/>
      <c r="W1182" s="57"/>
      <c r="X1182" s="53">
        <v>0</v>
      </c>
      <c r="Y1182" s="57"/>
      <c r="Z1182" s="55">
        <v>4</v>
      </c>
      <c r="AA1182" s="57"/>
      <c r="AB1182" s="53">
        <v>4</v>
      </c>
      <c r="AC1182" s="55">
        <v>0</v>
      </c>
      <c r="AD1182" s="55">
        <f t="shared" si="402"/>
        <v>4</v>
      </c>
      <c r="AE1182" s="53">
        <v>0</v>
      </c>
      <c r="AF1182" s="55">
        <v>4</v>
      </c>
      <c r="AG1182" s="55">
        <v>0</v>
      </c>
      <c r="AH1182" s="55">
        <f t="shared" si="403"/>
        <v>0</v>
      </c>
      <c r="AI1182" s="55">
        <v>0</v>
      </c>
      <c r="AJ1182" s="55">
        <v>0</v>
      </c>
      <c r="AK1182" s="55">
        <v>0</v>
      </c>
      <c r="AL1182" s="55">
        <f t="shared" si="397"/>
        <v>0</v>
      </c>
      <c r="AM1182" s="55" t="s">
        <v>1912</v>
      </c>
      <c r="AN1182" s="55">
        <v>0</v>
      </c>
      <c r="AO1182" s="55">
        <v>0</v>
      </c>
      <c r="AP1182" s="55">
        <f t="shared" si="389"/>
        <v>0</v>
      </c>
      <c r="AQ1182" s="55">
        <f>IFERROR(VLOOKUP(A1182,[1]SIIMPLES!$A$2:$F$418,6,FALSE),0)</f>
        <v>0</v>
      </c>
      <c r="AR1182" s="55">
        <v>0</v>
      </c>
      <c r="AS1182" s="55">
        <v>0</v>
      </c>
      <c r="AT1182" s="55">
        <v>0</v>
      </c>
      <c r="AU1182" s="55">
        <v>0</v>
      </c>
      <c r="AV1182" s="55">
        <v>0</v>
      </c>
      <c r="AW1182" s="57"/>
      <c r="AX1182" s="57"/>
      <c r="AY1182" s="56">
        <f t="shared" si="404"/>
        <v>1.3333333333333333</v>
      </c>
      <c r="AZ1182" s="57"/>
      <c r="BA1182" s="57"/>
      <c r="BB1182" s="41" t="str">
        <f t="shared" si="398"/>
        <v/>
      </c>
      <c r="BC1182" s="13"/>
      <c r="BD1182" s="35"/>
      <c r="BE1182" s="7"/>
      <c r="BF1182" s="16"/>
      <c r="BG1182" s="17">
        <f t="shared" si="395"/>
        <v>0</v>
      </c>
      <c r="BH1182" s="16">
        <f t="shared" si="405"/>
        <v>1.3333333333333333</v>
      </c>
    </row>
    <row r="1183" spans="1:60" ht="12.75" customHeight="1" x14ac:dyDescent="0.2">
      <c r="A1183" s="51" t="s">
        <v>825</v>
      </c>
      <c r="B1183" s="51" t="s">
        <v>1086</v>
      </c>
      <c r="C1183" s="66" t="s">
        <v>1803</v>
      </c>
      <c r="D1183" s="52" t="s">
        <v>745</v>
      </c>
      <c r="E1183" s="52" t="s">
        <v>780</v>
      </c>
      <c r="F1183" s="53">
        <f>IFERROR(VLOOKUP(E1183,Fornecedores!$A$2:$B$2700,2,FALSE),"")</f>
        <v>2</v>
      </c>
      <c r="G1183" s="52" t="s">
        <v>1047</v>
      </c>
      <c r="H1183" s="57"/>
      <c r="I1183" s="55">
        <f t="shared" ref="I1183:I1199" si="406">SUM(J1183:M1183)</f>
        <v>0</v>
      </c>
      <c r="J1183" s="55">
        <v>0</v>
      </c>
      <c r="K1183" s="55">
        <v>0</v>
      </c>
      <c r="L1183" s="55">
        <v>0</v>
      </c>
      <c r="M1183" s="55">
        <v>0</v>
      </c>
      <c r="N1183" s="55">
        <f t="shared" ref="N1183:N1198" si="407">SUM(O1183:Q1183)</f>
        <v>0</v>
      </c>
      <c r="O1183" s="55">
        <v>0</v>
      </c>
      <c r="P1183" s="55">
        <v>0</v>
      </c>
      <c r="Q1183" s="55">
        <v>0</v>
      </c>
      <c r="R1183" s="55">
        <f t="shared" ref="R1183:R1199" si="408">SUM(S1183:U1183)</f>
        <v>0</v>
      </c>
      <c r="S1183" s="55">
        <v>0</v>
      </c>
      <c r="T1183" s="55">
        <v>0</v>
      </c>
      <c r="U1183" s="55">
        <v>0</v>
      </c>
      <c r="V1183" s="55">
        <v>0</v>
      </c>
      <c r="W1183" s="53">
        <v>0</v>
      </c>
      <c r="X1183" s="53">
        <v>0</v>
      </c>
      <c r="Y1183" s="55">
        <v>0</v>
      </c>
      <c r="Z1183" s="55">
        <v>2</v>
      </c>
      <c r="AA1183" s="53">
        <v>0</v>
      </c>
      <c r="AB1183" s="53">
        <v>2</v>
      </c>
      <c r="AC1183" s="55">
        <v>0</v>
      </c>
      <c r="AD1183" s="55">
        <f t="shared" si="402"/>
        <v>0</v>
      </c>
      <c r="AE1183" s="53">
        <v>0</v>
      </c>
      <c r="AF1183" s="55">
        <v>0</v>
      </c>
      <c r="AG1183" s="55">
        <v>0</v>
      </c>
      <c r="AH1183" s="55">
        <f t="shared" si="403"/>
        <v>2</v>
      </c>
      <c r="AI1183" s="55">
        <v>0</v>
      </c>
      <c r="AJ1183" s="55">
        <v>2</v>
      </c>
      <c r="AK1183" s="55">
        <v>0</v>
      </c>
      <c r="AL1183" s="55">
        <f t="shared" si="397"/>
        <v>0</v>
      </c>
      <c r="AM1183" s="55" t="s">
        <v>1912</v>
      </c>
      <c r="AN1183" s="55">
        <v>0</v>
      </c>
      <c r="AO1183" s="55">
        <v>0</v>
      </c>
      <c r="AP1183" s="55">
        <f t="shared" si="389"/>
        <v>0</v>
      </c>
      <c r="AQ1183" s="55">
        <f>IFERROR(VLOOKUP(A1183,[1]SIIMPLES!$A$2:$F$418,6,FALSE),0)</f>
        <v>0</v>
      </c>
      <c r="AR1183" s="55">
        <v>0</v>
      </c>
      <c r="AS1183" s="55">
        <v>20</v>
      </c>
      <c r="AT1183" s="55">
        <v>0</v>
      </c>
      <c r="AU1183" s="55">
        <v>0</v>
      </c>
      <c r="AV1183" s="55">
        <v>20</v>
      </c>
      <c r="AW1183" s="55"/>
      <c r="AX1183" s="55"/>
      <c r="AY1183" s="56">
        <f t="shared" si="404"/>
        <v>2.4</v>
      </c>
      <c r="AZ1183" s="55"/>
      <c r="BA1183" s="56">
        <v>0</v>
      </c>
      <c r="BB1183" s="41" t="str">
        <f t="shared" si="398"/>
        <v/>
      </c>
      <c r="BC1183" s="13"/>
      <c r="BD1183" s="35"/>
      <c r="BE1183" s="13"/>
      <c r="BF1183" s="16"/>
      <c r="BG1183" s="17">
        <f t="shared" si="395"/>
        <v>0</v>
      </c>
      <c r="BH1183" s="16">
        <f t="shared" si="405"/>
        <v>2.4</v>
      </c>
    </row>
    <row r="1184" spans="1:60" ht="12.75" customHeight="1" x14ac:dyDescent="0.2">
      <c r="A1184" s="51" t="s">
        <v>826</v>
      </c>
      <c r="B1184" s="51" t="s">
        <v>1077</v>
      </c>
      <c r="C1184" s="66" t="s">
        <v>1803</v>
      </c>
      <c r="D1184" s="52" t="s">
        <v>745</v>
      </c>
      <c r="E1184" s="52" t="s">
        <v>780</v>
      </c>
      <c r="F1184" s="53">
        <f>IFERROR(VLOOKUP(E1184,Fornecedores!$A$2:$B$2700,2,FALSE),"")</f>
        <v>2</v>
      </c>
      <c r="G1184" s="52" t="s">
        <v>1048</v>
      </c>
      <c r="H1184" s="57"/>
      <c r="I1184" s="55">
        <f t="shared" si="406"/>
        <v>0</v>
      </c>
      <c r="J1184" s="55">
        <v>0</v>
      </c>
      <c r="K1184" s="55">
        <v>0</v>
      </c>
      <c r="L1184" s="55">
        <v>0</v>
      </c>
      <c r="M1184" s="55">
        <v>0</v>
      </c>
      <c r="N1184" s="55">
        <f t="shared" si="407"/>
        <v>0</v>
      </c>
      <c r="O1184" s="55">
        <v>0</v>
      </c>
      <c r="P1184" s="55">
        <v>0</v>
      </c>
      <c r="Q1184" s="55">
        <v>0</v>
      </c>
      <c r="R1184" s="55">
        <f t="shared" si="408"/>
        <v>0</v>
      </c>
      <c r="S1184" s="55">
        <v>0</v>
      </c>
      <c r="T1184" s="55">
        <v>0</v>
      </c>
      <c r="U1184" s="55">
        <v>0</v>
      </c>
      <c r="V1184" s="55">
        <v>0</v>
      </c>
      <c r="W1184" s="53">
        <v>0</v>
      </c>
      <c r="X1184" s="53">
        <v>0</v>
      </c>
      <c r="Y1184" s="55">
        <v>0</v>
      </c>
      <c r="Z1184" s="55">
        <v>1</v>
      </c>
      <c r="AA1184" s="53">
        <v>0</v>
      </c>
      <c r="AB1184" s="53">
        <v>1</v>
      </c>
      <c r="AC1184" s="55">
        <v>0</v>
      </c>
      <c r="AD1184" s="55">
        <f t="shared" si="402"/>
        <v>0</v>
      </c>
      <c r="AE1184" s="53">
        <v>0</v>
      </c>
      <c r="AF1184" s="55">
        <v>0</v>
      </c>
      <c r="AG1184" s="55">
        <v>0</v>
      </c>
      <c r="AH1184" s="55">
        <f t="shared" si="403"/>
        <v>0</v>
      </c>
      <c r="AI1184" s="55">
        <v>0</v>
      </c>
      <c r="AJ1184" s="55">
        <v>0</v>
      </c>
      <c r="AK1184" s="55">
        <v>0</v>
      </c>
      <c r="AL1184" s="55">
        <f t="shared" si="397"/>
        <v>0</v>
      </c>
      <c r="AM1184" s="55" t="s">
        <v>1912</v>
      </c>
      <c r="AN1184" s="55">
        <v>0</v>
      </c>
      <c r="AO1184" s="55">
        <v>0</v>
      </c>
      <c r="AP1184" s="55">
        <f t="shared" si="389"/>
        <v>0</v>
      </c>
      <c r="AQ1184" s="55">
        <f>IFERROR(VLOOKUP(A1184,[1]SIIMPLES!$A$2:$F$418,6,FALSE),0)</f>
        <v>0</v>
      </c>
      <c r="AR1184" s="55">
        <v>0</v>
      </c>
      <c r="AS1184" s="55">
        <v>0</v>
      </c>
      <c r="AT1184" s="55">
        <v>0</v>
      </c>
      <c r="AU1184" s="55">
        <v>0</v>
      </c>
      <c r="AV1184" s="55">
        <v>0</v>
      </c>
      <c r="AW1184" s="55"/>
      <c r="AX1184" s="55"/>
      <c r="AY1184" s="56">
        <f t="shared" si="404"/>
        <v>0.1</v>
      </c>
      <c r="AZ1184" s="55"/>
      <c r="BA1184" s="56">
        <v>0</v>
      </c>
      <c r="BB1184" s="41" t="str">
        <f t="shared" si="398"/>
        <v/>
      </c>
      <c r="BC1184" s="13"/>
      <c r="BD1184" s="35"/>
      <c r="BE1184" s="13"/>
      <c r="BF1184" s="16"/>
      <c r="BG1184" s="17">
        <f t="shared" si="395"/>
        <v>0</v>
      </c>
      <c r="BH1184" s="16">
        <f t="shared" si="405"/>
        <v>0.1</v>
      </c>
    </row>
    <row r="1185" spans="1:60" ht="12.75" customHeight="1" x14ac:dyDescent="0.2">
      <c r="A1185" s="51" t="s">
        <v>827</v>
      </c>
      <c r="B1185" s="51" t="s">
        <v>1077</v>
      </c>
      <c r="C1185" s="66" t="s">
        <v>1803</v>
      </c>
      <c r="D1185" s="52" t="s">
        <v>745</v>
      </c>
      <c r="E1185" s="52" t="s">
        <v>780</v>
      </c>
      <c r="F1185" s="53">
        <f>IFERROR(VLOOKUP(E1185,Fornecedores!$A$2:$B$2700,2,FALSE),"")</f>
        <v>2</v>
      </c>
      <c r="G1185" s="52" t="s">
        <v>1049</v>
      </c>
      <c r="H1185" s="57"/>
      <c r="I1185" s="55">
        <f t="shared" si="406"/>
        <v>0</v>
      </c>
      <c r="J1185" s="55">
        <v>0</v>
      </c>
      <c r="K1185" s="55">
        <v>0</v>
      </c>
      <c r="L1185" s="55">
        <v>0</v>
      </c>
      <c r="M1185" s="55">
        <v>0</v>
      </c>
      <c r="N1185" s="55">
        <f t="shared" si="407"/>
        <v>0</v>
      </c>
      <c r="O1185" s="55">
        <v>0</v>
      </c>
      <c r="P1185" s="55">
        <v>0</v>
      </c>
      <c r="Q1185" s="55">
        <v>0</v>
      </c>
      <c r="R1185" s="55">
        <f t="shared" si="408"/>
        <v>0</v>
      </c>
      <c r="S1185" s="55">
        <v>0</v>
      </c>
      <c r="T1185" s="55">
        <v>0</v>
      </c>
      <c r="U1185" s="55">
        <v>0</v>
      </c>
      <c r="V1185" s="55">
        <v>0</v>
      </c>
      <c r="W1185" s="53">
        <v>0</v>
      </c>
      <c r="X1185" s="53">
        <v>0</v>
      </c>
      <c r="Y1185" s="55">
        <v>0</v>
      </c>
      <c r="Z1185" s="55">
        <v>1</v>
      </c>
      <c r="AA1185" s="53">
        <v>0</v>
      </c>
      <c r="AB1185" s="53">
        <v>1</v>
      </c>
      <c r="AC1185" s="55">
        <v>0</v>
      </c>
      <c r="AD1185" s="55">
        <f t="shared" si="402"/>
        <v>0</v>
      </c>
      <c r="AE1185" s="53">
        <v>0</v>
      </c>
      <c r="AF1185" s="55">
        <v>0</v>
      </c>
      <c r="AG1185" s="55">
        <v>0</v>
      </c>
      <c r="AH1185" s="55">
        <f t="shared" si="403"/>
        <v>0</v>
      </c>
      <c r="AI1185" s="55">
        <v>0</v>
      </c>
      <c r="AJ1185" s="55">
        <v>0</v>
      </c>
      <c r="AK1185" s="55">
        <v>0</v>
      </c>
      <c r="AL1185" s="55">
        <f t="shared" si="397"/>
        <v>0</v>
      </c>
      <c r="AM1185" s="55" t="s">
        <v>1912</v>
      </c>
      <c r="AN1185" s="55">
        <v>0</v>
      </c>
      <c r="AO1185" s="55">
        <v>0</v>
      </c>
      <c r="AP1185" s="55">
        <f t="shared" si="389"/>
        <v>0</v>
      </c>
      <c r="AQ1185" s="55">
        <f>IFERROR(VLOOKUP(A1185,[1]SIIMPLES!$A$2:$F$418,6,FALSE),0)</f>
        <v>0</v>
      </c>
      <c r="AR1185" s="55">
        <v>0</v>
      </c>
      <c r="AS1185" s="55">
        <v>1</v>
      </c>
      <c r="AT1185" s="55">
        <v>1</v>
      </c>
      <c r="AU1185" s="55">
        <v>0</v>
      </c>
      <c r="AV1185" s="55">
        <v>0</v>
      </c>
      <c r="AW1185" s="55"/>
      <c r="AX1185" s="55"/>
      <c r="AY1185" s="56">
        <f t="shared" si="404"/>
        <v>0.2</v>
      </c>
      <c r="AZ1185" s="55"/>
      <c r="BA1185" s="56">
        <v>0</v>
      </c>
      <c r="BB1185" s="41" t="str">
        <f t="shared" si="398"/>
        <v/>
      </c>
      <c r="BC1185" s="13"/>
      <c r="BD1185" s="35"/>
      <c r="BE1185" s="13"/>
      <c r="BF1185" s="16"/>
      <c r="BG1185" s="17">
        <f t="shared" si="395"/>
        <v>0</v>
      </c>
      <c r="BH1185" s="16">
        <f t="shared" si="405"/>
        <v>0.2</v>
      </c>
    </row>
    <row r="1186" spans="1:60" ht="12.75" customHeight="1" x14ac:dyDescent="0.2">
      <c r="A1186" s="51" t="s">
        <v>1101</v>
      </c>
      <c r="B1186" s="51"/>
      <c r="C1186" s="66" t="s">
        <v>1803</v>
      </c>
      <c r="D1186" s="52" t="s">
        <v>745</v>
      </c>
      <c r="E1186" s="52" t="s">
        <v>780</v>
      </c>
      <c r="F1186" s="53">
        <f>IFERROR(VLOOKUP(E1186,Fornecedores!$A$2:$B$2700,2,FALSE),"")</f>
        <v>2</v>
      </c>
      <c r="G1186" s="52" t="s">
        <v>1145</v>
      </c>
      <c r="H1186" s="54"/>
      <c r="I1186" s="55">
        <f t="shared" si="406"/>
        <v>0</v>
      </c>
      <c r="J1186" s="55">
        <v>0</v>
      </c>
      <c r="K1186" s="55">
        <v>0</v>
      </c>
      <c r="L1186" s="55">
        <v>0</v>
      </c>
      <c r="M1186" s="55">
        <v>0</v>
      </c>
      <c r="N1186" s="55">
        <f t="shared" si="407"/>
        <v>0</v>
      </c>
      <c r="O1186" s="55">
        <v>0</v>
      </c>
      <c r="P1186" s="55">
        <v>0</v>
      </c>
      <c r="Q1186" s="55">
        <v>0</v>
      </c>
      <c r="R1186" s="55">
        <f t="shared" si="408"/>
        <v>0</v>
      </c>
      <c r="S1186" s="55">
        <v>0</v>
      </c>
      <c r="T1186" s="55">
        <v>0</v>
      </c>
      <c r="U1186" s="55">
        <v>0</v>
      </c>
      <c r="V1186" s="55">
        <v>0</v>
      </c>
      <c r="W1186" s="53">
        <v>0</v>
      </c>
      <c r="X1186" s="53">
        <v>0</v>
      </c>
      <c r="Y1186" s="55">
        <v>0</v>
      </c>
      <c r="Z1186" s="55">
        <v>0</v>
      </c>
      <c r="AA1186" s="53">
        <v>0</v>
      </c>
      <c r="AB1186" s="53">
        <v>0</v>
      </c>
      <c r="AC1186" s="55">
        <v>0</v>
      </c>
      <c r="AD1186" s="55">
        <f t="shared" si="402"/>
        <v>2</v>
      </c>
      <c r="AE1186" s="53">
        <v>0</v>
      </c>
      <c r="AF1186" s="55">
        <v>2</v>
      </c>
      <c r="AG1186" s="55">
        <v>0</v>
      </c>
      <c r="AH1186" s="55">
        <f t="shared" si="403"/>
        <v>2</v>
      </c>
      <c r="AI1186" s="55">
        <v>0</v>
      </c>
      <c r="AJ1186" s="55">
        <v>2</v>
      </c>
      <c r="AK1186" s="55">
        <v>0</v>
      </c>
      <c r="AL1186" s="55">
        <f t="shared" si="397"/>
        <v>0</v>
      </c>
      <c r="AM1186" s="55" t="s">
        <v>1912</v>
      </c>
      <c r="AN1186" s="55">
        <v>0</v>
      </c>
      <c r="AO1186" s="55">
        <v>0</v>
      </c>
      <c r="AP1186" s="55">
        <f t="shared" si="389"/>
        <v>0</v>
      </c>
      <c r="AQ1186" s="55">
        <f>IFERROR(VLOOKUP(A1186,[1]SIIMPLES!$A$2:$F$418,6,FALSE),0)</f>
        <v>0</v>
      </c>
      <c r="AR1186" s="55">
        <v>0</v>
      </c>
      <c r="AS1186" s="55">
        <v>0</v>
      </c>
      <c r="AT1186" s="55">
        <v>0</v>
      </c>
      <c r="AU1186" s="55">
        <v>0</v>
      </c>
      <c r="AV1186" s="55">
        <v>0</v>
      </c>
      <c r="AW1186" s="55"/>
      <c r="AX1186" s="55"/>
      <c r="AY1186" s="56">
        <f t="shared" si="404"/>
        <v>0.4</v>
      </c>
      <c r="AZ1186" s="55"/>
      <c r="BA1186" s="56">
        <v>0</v>
      </c>
      <c r="BB1186" s="41" t="str">
        <f t="shared" si="398"/>
        <v/>
      </c>
      <c r="BC1186" s="13"/>
      <c r="BD1186" s="35"/>
      <c r="BE1186" s="13"/>
      <c r="BF1186" s="16"/>
      <c r="BG1186" s="17">
        <f t="shared" si="395"/>
        <v>0</v>
      </c>
      <c r="BH1186" s="16">
        <f t="shared" si="405"/>
        <v>0.4</v>
      </c>
    </row>
    <row r="1187" spans="1:60" ht="12.75" customHeight="1" x14ac:dyDescent="0.2">
      <c r="A1187" s="51" t="s">
        <v>1102</v>
      </c>
      <c r="B1187" s="51"/>
      <c r="C1187" s="66" t="s">
        <v>1803</v>
      </c>
      <c r="D1187" s="52" t="s">
        <v>745</v>
      </c>
      <c r="E1187" s="52" t="s">
        <v>780</v>
      </c>
      <c r="F1187" s="53">
        <f>IFERROR(VLOOKUP(E1187,Fornecedores!$A$2:$B$2700,2,FALSE),"")</f>
        <v>2</v>
      </c>
      <c r="G1187" s="52" t="s">
        <v>1146</v>
      </c>
      <c r="H1187" s="54"/>
      <c r="I1187" s="55">
        <f t="shared" si="406"/>
        <v>0</v>
      </c>
      <c r="J1187" s="55">
        <v>0</v>
      </c>
      <c r="K1187" s="55">
        <v>0</v>
      </c>
      <c r="L1187" s="55">
        <v>0</v>
      </c>
      <c r="M1187" s="55">
        <v>0</v>
      </c>
      <c r="N1187" s="55">
        <f t="shared" si="407"/>
        <v>0</v>
      </c>
      <c r="O1187" s="55">
        <v>0</v>
      </c>
      <c r="P1187" s="55">
        <v>0</v>
      </c>
      <c r="Q1187" s="55">
        <v>0</v>
      </c>
      <c r="R1187" s="55">
        <f t="shared" si="408"/>
        <v>0</v>
      </c>
      <c r="S1187" s="55">
        <v>0</v>
      </c>
      <c r="T1187" s="55">
        <v>0</v>
      </c>
      <c r="U1187" s="55">
        <v>0</v>
      </c>
      <c r="V1187" s="55">
        <v>0</v>
      </c>
      <c r="W1187" s="53">
        <v>0</v>
      </c>
      <c r="X1187" s="53">
        <v>0</v>
      </c>
      <c r="Y1187" s="55">
        <v>0</v>
      </c>
      <c r="Z1187" s="55">
        <v>0</v>
      </c>
      <c r="AA1187" s="53">
        <v>0</v>
      </c>
      <c r="AB1187" s="53">
        <v>0</v>
      </c>
      <c r="AC1187" s="55">
        <v>0</v>
      </c>
      <c r="AD1187" s="55">
        <f t="shared" si="402"/>
        <v>0</v>
      </c>
      <c r="AE1187" s="53">
        <v>0</v>
      </c>
      <c r="AF1187" s="55">
        <v>0</v>
      </c>
      <c r="AG1187" s="55">
        <v>0</v>
      </c>
      <c r="AH1187" s="55">
        <f t="shared" si="403"/>
        <v>0</v>
      </c>
      <c r="AI1187" s="55">
        <v>0</v>
      </c>
      <c r="AJ1187" s="55">
        <v>0</v>
      </c>
      <c r="AK1187" s="55">
        <v>0</v>
      </c>
      <c r="AL1187" s="55">
        <f t="shared" si="397"/>
        <v>0</v>
      </c>
      <c r="AM1187" s="55" t="s">
        <v>1912</v>
      </c>
      <c r="AN1187" s="55">
        <v>0</v>
      </c>
      <c r="AO1187" s="55">
        <v>0</v>
      </c>
      <c r="AP1187" s="55">
        <f t="shared" si="389"/>
        <v>0</v>
      </c>
      <c r="AQ1187" s="55">
        <f>IFERROR(VLOOKUP(A1187,[1]SIIMPLES!$A$2:$F$418,6,FALSE),0)</f>
        <v>0</v>
      </c>
      <c r="AR1187" s="55">
        <v>0</v>
      </c>
      <c r="AS1187" s="55">
        <v>0</v>
      </c>
      <c r="AT1187" s="55">
        <v>0</v>
      </c>
      <c r="AU1187" s="55">
        <v>0</v>
      </c>
      <c r="AV1187" s="55">
        <v>0</v>
      </c>
      <c r="AW1187" s="55"/>
      <c r="AX1187" s="55"/>
      <c r="AY1187" s="56">
        <f t="shared" si="404"/>
        <v>0</v>
      </c>
      <c r="AZ1187" s="55"/>
      <c r="BA1187" s="56">
        <v>0</v>
      </c>
      <c r="BB1187" s="41" t="str">
        <f t="shared" si="398"/>
        <v/>
      </c>
      <c r="BC1187" s="13"/>
      <c r="BD1187" s="35"/>
      <c r="BE1187" s="13"/>
      <c r="BF1187" s="16"/>
      <c r="BG1187" s="17" t="str">
        <f t="shared" si="395"/>
        <v>0</v>
      </c>
      <c r="BH1187" s="16">
        <f t="shared" si="405"/>
        <v>0</v>
      </c>
    </row>
    <row r="1188" spans="1:60" ht="12.75" customHeight="1" x14ac:dyDescent="0.2">
      <c r="A1188" s="51" t="s">
        <v>1103</v>
      </c>
      <c r="B1188" s="51"/>
      <c r="C1188" s="66" t="s">
        <v>1803</v>
      </c>
      <c r="D1188" s="52" t="s">
        <v>745</v>
      </c>
      <c r="E1188" s="52" t="s">
        <v>780</v>
      </c>
      <c r="F1188" s="53">
        <f>IFERROR(VLOOKUP(E1188,Fornecedores!$A$2:$B$2700,2,FALSE),"")</f>
        <v>2</v>
      </c>
      <c r="G1188" s="52" t="s">
        <v>1147</v>
      </c>
      <c r="H1188" s="54"/>
      <c r="I1188" s="55">
        <f t="shared" si="406"/>
        <v>2</v>
      </c>
      <c r="J1188" s="55">
        <v>0</v>
      </c>
      <c r="K1188" s="55">
        <v>2</v>
      </c>
      <c r="L1188" s="55">
        <v>0</v>
      </c>
      <c r="M1188" s="55">
        <v>0</v>
      </c>
      <c r="N1188" s="55">
        <f t="shared" si="407"/>
        <v>0</v>
      </c>
      <c r="O1188" s="55">
        <v>0</v>
      </c>
      <c r="P1188" s="55">
        <v>0</v>
      </c>
      <c r="Q1188" s="55">
        <v>0</v>
      </c>
      <c r="R1188" s="55">
        <f t="shared" si="408"/>
        <v>0</v>
      </c>
      <c r="S1188" s="55">
        <v>0</v>
      </c>
      <c r="T1188" s="55">
        <v>0</v>
      </c>
      <c r="U1188" s="55">
        <v>0</v>
      </c>
      <c r="V1188" s="55">
        <v>0</v>
      </c>
      <c r="W1188" s="53">
        <v>0</v>
      </c>
      <c r="X1188" s="53">
        <v>0</v>
      </c>
      <c r="Y1188" s="55">
        <v>0</v>
      </c>
      <c r="Z1188" s="55">
        <v>0</v>
      </c>
      <c r="AA1188" s="53">
        <v>0</v>
      </c>
      <c r="AB1188" s="53">
        <v>0</v>
      </c>
      <c r="AC1188" s="55">
        <v>0</v>
      </c>
      <c r="AD1188" s="55">
        <f t="shared" si="402"/>
        <v>0</v>
      </c>
      <c r="AE1188" s="53">
        <v>0</v>
      </c>
      <c r="AF1188" s="55">
        <v>0</v>
      </c>
      <c r="AG1188" s="55">
        <v>0</v>
      </c>
      <c r="AH1188" s="55">
        <f t="shared" si="403"/>
        <v>0</v>
      </c>
      <c r="AI1188" s="55">
        <v>0</v>
      </c>
      <c r="AJ1188" s="55">
        <v>0</v>
      </c>
      <c r="AK1188" s="55">
        <v>0</v>
      </c>
      <c r="AL1188" s="55">
        <f t="shared" si="397"/>
        <v>0</v>
      </c>
      <c r="AM1188" s="55" t="s">
        <v>1912</v>
      </c>
      <c r="AN1188" s="55">
        <v>0</v>
      </c>
      <c r="AO1188" s="55">
        <v>0</v>
      </c>
      <c r="AP1188" s="55">
        <f t="shared" si="389"/>
        <v>0</v>
      </c>
      <c r="AQ1188" s="55">
        <f>IFERROR(VLOOKUP(A1188,[1]SIIMPLES!$A$2:$F$418,6,FALSE),0)</f>
        <v>0</v>
      </c>
      <c r="AR1188" s="55">
        <v>0</v>
      </c>
      <c r="AS1188" s="55">
        <v>0</v>
      </c>
      <c r="AT1188" s="55">
        <v>0</v>
      </c>
      <c r="AU1188" s="55">
        <v>0</v>
      </c>
      <c r="AV1188" s="55">
        <v>0</v>
      </c>
      <c r="AW1188" s="55"/>
      <c r="AX1188" s="55"/>
      <c r="AY1188" s="56">
        <f t="shared" si="404"/>
        <v>0.2</v>
      </c>
      <c r="AZ1188" s="55"/>
      <c r="BA1188" s="56">
        <v>0</v>
      </c>
      <c r="BB1188" s="41" t="str">
        <f t="shared" si="398"/>
        <v/>
      </c>
      <c r="BC1188" s="13"/>
      <c r="BD1188" s="35"/>
      <c r="BE1188" s="7"/>
      <c r="BF1188" s="16"/>
      <c r="BG1188" s="17">
        <f t="shared" si="395"/>
        <v>0</v>
      </c>
      <c r="BH1188" s="16">
        <f t="shared" si="405"/>
        <v>0.2</v>
      </c>
    </row>
    <row r="1189" spans="1:60" ht="12.75" customHeight="1" x14ac:dyDescent="0.2">
      <c r="A1189" s="51" t="s">
        <v>1104</v>
      </c>
      <c r="B1189" s="51"/>
      <c r="C1189" s="66" t="s">
        <v>1803</v>
      </c>
      <c r="D1189" s="52" t="s">
        <v>745</v>
      </c>
      <c r="E1189" s="52" t="s">
        <v>780</v>
      </c>
      <c r="F1189" s="53">
        <f>IFERROR(VLOOKUP(E1189,Fornecedores!$A$2:$B$2700,2,FALSE),"")</f>
        <v>2</v>
      </c>
      <c r="G1189" s="52" t="s">
        <v>1148</v>
      </c>
      <c r="H1189" s="54"/>
      <c r="I1189" s="55">
        <f t="shared" si="406"/>
        <v>1</v>
      </c>
      <c r="J1189" s="55">
        <v>1</v>
      </c>
      <c r="K1189" s="55">
        <v>0</v>
      </c>
      <c r="L1189" s="55">
        <v>0</v>
      </c>
      <c r="M1189" s="55">
        <v>0</v>
      </c>
      <c r="N1189" s="55">
        <f t="shared" si="407"/>
        <v>0</v>
      </c>
      <c r="O1189" s="55">
        <v>0</v>
      </c>
      <c r="P1189" s="55">
        <v>0</v>
      </c>
      <c r="Q1189" s="55">
        <v>0</v>
      </c>
      <c r="R1189" s="55">
        <f t="shared" si="408"/>
        <v>0</v>
      </c>
      <c r="S1189" s="55">
        <v>0</v>
      </c>
      <c r="T1189" s="55">
        <v>0</v>
      </c>
      <c r="U1189" s="55">
        <v>0</v>
      </c>
      <c r="V1189" s="55">
        <v>0</v>
      </c>
      <c r="W1189" s="53">
        <v>0</v>
      </c>
      <c r="X1189" s="53">
        <v>0</v>
      </c>
      <c r="Y1189" s="55">
        <v>0</v>
      </c>
      <c r="Z1189" s="55">
        <v>0</v>
      </c>
      <c r="AA1189" s="53">
        <v>0</v>
      </c>
      <c r="AB1189" s="53">
        <v>0</v>
      </c>
      <c r="AC1189" s="55">
        <v>0</v>
      </c>
      <c r="AD1189" s="55">
        <f t="shared" si="402"/>
        <v>0</v>
      </c>
      <c r="AE1189" s="53">
        <v>0</v>
      </c>
      <c r="AF1189" s="55">
        <v>0</v>
      </c>
      <c r="AG1189" s="55">
        <v>0</v>
      </c>
      <c r="AH1189" s="55">
        <f t="shared" si="403"/>
        <v>0</v>
      </c>
      <c r="AI1189" s="55">
        <v>0</v>
      </c>
      <c r="AJ1189" s="55">
        <v>0</v>
      </c>
      <c r="AK1189" s="55">
        <v>0</v>
      </c>
      <c r="AL1189" s="55">
        <f t="shared" si="397"/>
        <v>0</v>
      </c>
      <c r="AM1189" s="55" t="s">
        <v>1912</v>
      </c>
      <c r="AN1189" s="55">
        <v>0</v>
      </c>
      <c r="AO1189" s="55">
        <v>0</v>
      </c>
      <c r="AP1189" s="55">
        <f t="shared" si="389"/>
        <v>0</v>
      </c>
      <c r="AQ1189" s="55">
        <f>IFERROR(VLOOKUP(A1189,[1]SIIMPLES!$A$2:$F$418,6,FALSE),0)</f>
        <v>0</v>
      </c>
      <c r="AR1189" s="55">
        <v>0</v>
      </c>
      <c r="AS1189" s="55">
        <v>0</v>
      </c>
      <c r="AT1189" s="55">
        <v>0</v>
      </c>
      <c r="AU1189" s="55">
        <v>0</v>
      </c>
      <c r="AV1189" s="55">
        <v>0</v>
      </c>
      <c r="AW1189" s="55"/>
      <c r="AX1189" s="55"/>
      <c r="AY1189" s="56">
        <f t="shared" si="404"/>
        <v>0.1</v>
      </c>
      <c r="AZ1189" s="55"/>
      <c r="BA1189" s="56">
        <v>0</v>
      </c>
      <c r="BB1189" s="41" t="str">
        <f t="shared" si="398"/>
        <v/>
      </c>
      <c r="BC1189" s="13"/>
      <c r="BD1189" s="35"/>
      <c r="BE1189" s="13"/>
      <c r="BF1189" s="16"/>
      <c r="BG1189" s="17">
        <f t="shared" si="395"/>
        <v>0</v>
      </c>
      <c r="BH1189" s="16">
        <f t="shared" si="405"/>
        <v>0.1</v>
      </c>
    </row>
    <row r="1190" spans="1:60" ht="12.75" customHeight="1" x14ac:dyDescent="0.2">
      <c r="A1190" s="51" t="s">
        <v>1105</v>
      </c>
      <c r="B1190" s="51"/>
      <c r="C1190" s="66" t="s">
        <v>1803</v>
      </c>
      <c r="D1190" s="52" t="s">
        <v>745</v>
      </c>
      <c r="E1190" s="52" t="s">
        <v>780</v>
      </c>
      <c r="F1190" s="53">
        <f>IFERROR(VLOOKUP(E1190,Fornecedores!$A$2:$B$2700,2,FALSE),"")</f>
        <v>2</v>
      </c>
      <c r="G1190" s="52" t="s">
        <v>1149</v>
      </c>
      <c r="H1190" s="54"/>
      <c r="I1190" s="55">
        <f t="shared" si="406"/>
        <v>0</v>
      </c>
      <c r="J1190" s="55">
        <v>0</v>
      </c>
      <c r="K1190" s="55">
        <v>0</v>
      </c>
      <c r="L1190" s="55">
        <v>0</v>
      </c>
      <c r="M1190" s="55">
        <v>0</v>
      </c>
      <c r="N1190" s="55">
        <f t="shared" si="407"/>
        <v>0</v>
      </c>
      <c r="O1190" s="55">
        <v>0</v>
      </c>
      <c r="P1190" s="55">
        <v>0</v>
      </c>
      <c r="Q1190" s="55">
        <v>0</v>
      </c>
      <c r="R1190" s="55">
        <f t="shared" si="408"/>
        <v>0</v>
      </c>
      <c r="S1190" s="55">
        <v>0</v>
      </c>
      <c r="T1190" s="55">
        <v>0</v>
      </c>
      <c r="U1190" s="55">
        <v>0</v>
      </c>
      <c r="V1190" s="55">
        <v>0</v>
      </c>
      <c r="W1190" s="53">
        <v>0</v>
      </c>
      <c r="X1190" s="53">
        <v>0</v>
      </c>
      <c r="Y1190" s="55">
        <v>0</v>
      </c>
      <c r="Z1190" s="55">
        <v>0</v>
      </c>
      <c r="AA1190" s="53">
        <v>0</v>
      </c>
      <c r="AB1190" s="53">
        <v>0</v>
      </c>
      <c r="AC1190" s="55">
        <v>0</v>
      </c>
      <c r="AD1190" s="55">
        <f t="shared" si="402"/>
        <v>0</v>
      </c>
      <c r="AE1190" s="53">
        <v>0</v>
      </c>
      <c r="AF1190" s="55">
        <v>0</v>
      </c>
      <c r="AG1190" s="55">
        <v>0</v>
      </c>
      <c r="AH1190" s="55">
        <f t="shared" si="403"/>
        <v>0</v>
      </c>
      <c r="AI1190" s="55">
        <v>0</v>
      </c>
      <c r="AJ1190" s="55">
        <v>0</v>
      </c>
      <c r="AK1190" s="55">
        <v>0</v>
      </c>
      <c r="AL1190" s="55">
        <f t="shared" si="397"/>
        <v>0</v>
      </c>
      <c r="AM1190" s="55" t="s">
        <v>1912</v>
      </c>
      <c r="AN1190" s="55">
        <v>0</v>
      </c>
      <c r="AO1190" s="55">
        <v>0</v>
      </c>
      <c r="AP1190" s="55">
        <f t="shared" si="389"/>
        <v>0</v>
      </c>
      <c r="AQ1190" s="55">
        <f>IFERROR(VLOOKUP(A1190,[1]SIIMPLES!$A$2:$F$418,6,FALSE),0)</f>
        <v>0</v>
      </c>
      <c r="AR1190" s="55">
        <v>0</v>
      </c>
      <c r="AS1190" s="55">
        <v>0</v>
      </c>
      <c r="AT1190" s="55">
        <v>0</v>
      </c>
      <c r="AU1190" s="55">
        <v>0</v>
      </c>
      <c r="AV1190" s="55">
        <v>0</v>
      </c>
      <c r="AW1190" s="55"/>
      <c r="AX1190" s="55"/>
      <c r="AY1190" s="56">
        <f t="shared" si="404"/>
        <v>0</v>
      </c>
      <c r="AZ1190" s="55"/>
      <c r="BA1190" s="56">
        <v>0</v>
      </c>
      <c r="BB1190" s="41" t="str">
        <f t="shared" si="398"/>
        <v/>
      </c>
      <c r="BC1190" s="13"/>
      <c r="BD1190" s="35"/>
      <c r="BE1190" s="13"/>
      <c r="BF1190" s="16"/>
      <c r="BG1190" s="17" t="str">
        <f t="shared" si="395"/>
        <v>0</v>
      </c>
      <c r="BH1190" s="16">
        <f t="shared" si="405"/>
        <v>0</v>
      </c>
    </row>
    <row r="1191" spans="1:60" ht="12.75" customHeight="1" x14ac:dyDescent="0.2">
      <c r="A1191" s="51" t="s">
        <v>1106</v>
      </c>
      <c r="B1191" s="51"/>
      <c r="C1191" s="66" t="s">
        <v>1803</v>
      </c>
      <c r="D1191" s="52" t="s">
        <v>745</v>
      </c>
      <c r="E1191" s="52" t="s">
        <v>780</v>
      </c>
      <c r="F1191" s="53">
        <f>IFERROR(VLOOKUP(E1191,Fornecedores!$A$2:$B$2700,2,FALSE),"")</f>
        <v>2</v>
      </c>
      <c r="G1191" s="52" t="s">
        <v>1150</v>
      </c>
      <c r="H1191" s="54"/>
      <c r="I1191" s="55">
        <f t="shared" si="406"/>
        <v>1</v>
      </c>
      <c r="J1191" s="55">
        <v>0</v>
      </c>
      <c r="K1191" s="55">
        <v>1</v>
      </c>
      <c r="L1191" s="55">
        <v>0</v>
      </c>
      <c r="M1191" s="55">
        <v>0</v>
      </c>
      <c r="N1191" s="55">
        <f t="shared" si="407"/>
        <v>0</v>
      </c>
      <c r="O1191" s="55">
        <v>0</v>
      </c>
      <c r="P1191" s="55">
        <v>0</v>
      </c>
      <c r="Q1191" s="55">
        <v>0</v>
      </c>
      <c r="R1191" s="55">
        <f t="shared" si="408"/>
        <v>0</v>
      </c>
      <c r="S1191" s="55">
        <v>0</v>
      </c>
      <c r="T1191" s="55">
        <v>0</v>
      </c>
      <c r="U1191" s="55">
        <v>0</v>
      </c>
      <c r="V1191" s="55">
        <v>0</v>
      </c>
      <c r="W1191" s="53">
        <v>0</v>
      </c>
      <c r="X1191" s="53">
        <v>0</v>
      </c>
      <c r="Y1191" s="55">
        <v>0</v>
      </c>
      <c r="Z1191" s="55">
        <v>0</v>
      </c>
      <c r="AA1191" s="53">
        <v>0</v>
      </c>
      <c r="AB1191" s="53">
        <v>0</v>
      </c>
      <c r="AC1191" s="55">
        <v>0</v>
      </c>
      <c r="AD1191" s="55">
        <f t="shared" si="402"/>
        <v>0</v>
      </c>
      <c r="AE1191" s="53">
        <v>0</v>
      </c>
      <c r="AF1191" s="55">
        <v>0</v>
      </c>
      <c r="AG1191" s="55">
        <v>0</v>
      </c>
      <c r="AH1191" s="55">
        <f t="shared" si="403"/>
        <v>0</v>
      </c>
      <c r="AI1191" s="55">
        <v>0</v>
      </c>
      <c r="AJ1191" s="55">
        <v>0</v>
      </c>
      <c r="AK1191" s="55">
        <v>0</v>
      </c>
      <c r="AL1191" s="55">
        <f t="shared" si="397"/>
        <v>0</v>
      </c>
      <c r="AM1191" s="55" t="s">
        <v>1912</v>
      </c>
      <c r="AN1191" s="55">
        <v>0</v>
      </c>
      <c r="AO1191" s="55">
        <v>0</v>
      </c>
      <c r="AP1191" s="55">
        <f t="shared" si="389"/>
        <v>0</v>
      </c>
      <c r="AQ1191" s="55">
        <f>IFERROR(VLOOKUP(A1191,[1]SIIMPLES!$A$2:$F$418,6,FALSE),0)</f>
        <v>0</v>
      </c>
      <c r="AR1191" s="55">
        <v>0</v>
      </c>
      <c r="AS1191" s="55">
        <v>0</v>
      </c>
      <c r="AT1191" s="55">
        <v>0</v>
      </c>
      <c r="AU1191" s="55">
        <v>0</v>
      </c>
      <c r="AV1191" s="55">
        <v>0</v>
      </c>
      <c r="AW1191" s="55"/>
      <c r="AX1191" s="55"/>
      <c r="AY1191" s="56">
        <f t="shared" si="404"/>
        <v>0.1</v>
      </c>
      <c r="AZ1191" s="55"/>
      <c r="BA1191" s="56">
        <v>0.66666666666666663</v>
      </c>
      <c r="BB1191" s="41">
        <f t="shared" si="398"/>
        <v>-0.85</v>
      </c>
      <c r="BC1191" s="13"/>
      <c r="BD1191" s="35"/>
      <c r="BE1191" s="13"/>
      <c r="BF1191" s="16"/>
      <c r="BG1191" s="17">
        <f t="shared" si="395"/>
        <v>0</v>
      </c>
      <c r="BH1191" s="16">
        <f t="shared" si="405"/>
        <v>0.1</v>
      </c>
    </row>
    <row r="1192" spans="1:60" ht="12.75" customHeight="1" x14ac:dyDescent="0.2">
      <c r="A1192" s="51" t="s">
        <v>1107</v>
      </c>
      <c r="B1192" s="51"/>
      <c r="C1192" s="66" t="s">
        <v>1803</v>
      </c>
      <c r="D1192" s="52" t="s">
        <v>745</v>
      </c>
      <c r="E1192" s="52" t="s">
        <v>780</v>
      </c>
      <c r="F1192" s="53">
        <f>IFERROR(VLOOKUP(E1192,Fornecedores!$A$2:$B$2700,2,FALSE),"")</f>
        <v>2</v>
      </c>
      <c r="G1192" s="52" t="s">
        <v>1151</v>
      </c>
      <c r="H1192" s="54"/>
      <c r="I1192" s="55">
        <f t="shared" si="406"/>
        <v>1</v>
      </c>
      <c r="J1192" s="55">
        <v>0</v>
      </c>
      <c r="K1192" s="55">
        <v>1</v>
      </c>
      <c r="L1192" s="55">
        <v>0</v>
      </c>
      <c r="M1192" s="55">
        <v>0</v>
      </c>
      <c r="N1192" s="55">
        <f t="shared" si="407"/>
        <v>0</v>
      </c>
      <c r="O1192" s="55">
        <v>0</v>
      </c>
      <c r="P1192" s="55">
        <v>0</v>
      </c>
      <c r="Q1192" s="55">
        <v>0</v>
      </c>
      <c r="R1192" s="55">
        <f t="shared" si="408"/>
        <v>0</v>
      </c>
      <c r="S1192" s="55">
        <v>0</v>
      </c>
      <c r="T1192" s="55">
        <v>0</v>
      </c>
      <c r="U1192" s="55">
        <v>0</v>
      </c>
      <c r="V1192" s="55">
        <v>0</v>
      </c>
      <c r="W1192" s="53">
        <v>0</v>
      </c>
      <c r="X1192" s="53">
        <v>0</v>
      </c>
      <c r="Y1192" s="55">
        <v>0</v>
      </c>
      <c r="Z1192" s="55">
        <v>0</v>
      </c>
      <c r="AA1192" s="53">
        <v>0</v>
      </c>
      <c r="AB1192" s="53">
        <v>0</v>
      </c>
      <c r="AC1192" s="55">
        <v>0</v>
      </c>
      <c r="AD1192" s="55">
        <f t="shared" si="402"/>
        <v>0</v>
      </c>
      <c r="AE1192" s="53">
        <v>0</v>
      </c>
      <c r="AF1192" s="55">
        <v>0</v>
      </c>
      <c r="AG1192" s="55">
        <v>0</v>
      </c>
      <c r="AH1192" s="55">
        <f t="shared" si="403"/>
        <v>0</v>
      </c>
      <c r="AI1192" s="55">
        <v>0</v>
      </c>
      <c r="AJ1192" s="55">
        <v>0</v>
      </c>
      <c r="AK1192" s="55">
        <v>0</v>
      </c>
      <c r="AL1192" s="55">
        <f t="shared" si="397"/>
        <v>0</v>
      </c>
      <c r="AM1192" s="55" t="s">
        <v>1912</v>
      </c>
      <c r="AN1192" s="55">
        <v>0</v>
      </c>
      <c r="AO1192" s="55">
        <v>0</v>
      </c>
      <c r="AP1192" s="55">
        <f t="shared" si="389"/>
        <v>0</v>
      </c>
      <c r="AQ1192" s="55">
        <f>IFERROR(VLOOKUP(A1192,[1]SIIMPLES!$A$2:$F$418,6,FALSE),0)</f>
        <v>0</v>
      </c>
      <c r="AR1192" s="55">
        <v>0</v>
      </c>
      <c r="AS1192" s="55">
        <v>0</v>
      </c>
      <c r="AT1192" s="55">
        <v>0</v>
      </c>
      <c r="AU1192" s="55">
        <v>0</v>
      </c>
      <c r="AV1192" s="55">
        <v>0</v>
      </c>
      <c r="AW1192" s="55"/>
      <c r="AX1192" s="55"/>
      <c r="AY1192" s="56">
        <f t="shared" si="404"/>
        <v>0.1</v>
      </c>
      <c r="AZ1192" s="55"/>
      <c r="BA1192" s="56">
        <v>0.66666666666666663</v>
      </c>
      <c r="BB1192" s="41">
        <f t="shared" si="398"/>
        <v>-0.85</v>
      </c>
      <c r="BC1192" s="13"/>
      <c r="BD1192" s="35"/>
      <c r="BE1192" s="13"/>
      <c r="BF1192" s="16"/>
      <c r="BG1192" s="17">
        <f t="shared" si="395"/>
        <v>0</v>
      </c>
      <c r="BH1192" s="16">
        <f t="shared" si="405"/>
        <v>0.1</v>
      </c>
    </row>
    <row r="1193" spans="1:60" ht="12.75" customHeight="1" x14ac:dyDescent="0.2">
      <c r="A1193" s="51" t="s">
        <v>293</v>
      </c>
      <c r="B1193" s="51" t="s">
        <v>1077</v>
      </c>
      <c r="C1193" s="66" t="s">
        <v>1803</v>
      </c>
      <c r="D1193" s="52" t="s">
        <v>745</v>
      </c>
      <c r="E1193" s="52" t="s">
        <v>780</v>
      </c>
      <c r="F1193" s="53">
        <f>IFERROR(VLOOKUP(E1193,Fornecedores!$A$2:$B$2700,2,FALSE),"")</f>
        <v>2</v>
      </c>
      <c r="G1193" s="52" t="s">
        <v>294</v>
      </c>
      <c r="H1193" s="54"/>
      <c r="I1193" s="55">
        <f t="shared" si="406"/>
        <v>27</v>
      </c>
      <c r="J1193" s="55">
        <v>0</v>
      </c>
      <c r="K1193" s="55">
        <v>27</v>
      </c>
      <c r="L1193" s="55">
        <v>0</v>
      </c>
      <c r="M1193" s="55">
        <v>0</v>
      </c>
      <c r="N1193" s="55">
        <f t="shared" si="407"/>
        <v>0</v>
      </c>
      <c r="O1193" s="55">
        <v>0</v>
      </c>
      <c r="P1193" s="55">
        <v>0</v>
      </c>
      <c r="Q1193" s="55">
        <v>0</v>
      </c>
      <c r="R1193" s="55">
        <f t="shared" si="408"/>
        <v>4</v>
      </c>
      <c r="S1193" s="55">
        <v>0</v>
      </c>
      <c r="T1193" s="55">
        <v>4</v>
      </c>
      <c r="U1193" s="55">
        <v>0</v>
      </c>
      <c r="V1193" s="55">
        <v>2</v>
      </c>
      <c r="W1193" s="53">
        <v>0</v>
      </c>
      <c r="X1193" s="53">
        <v>2</v>
      </c>
      <c r="Y1193" s="55">
        <v>0</v>
      </c>
      <c r="Z1193" s="55">
        <v>20</v>
      </c>
      <c r="AA1193" s="53">
        <v>0</v>
      </c>
      <c r="AB1193" s="53">
        <v>20</v>
      </c>
      <c r="AC1193" s="55">
        <v>0</v>
      </c>
      <c r="AD1193" s="55">
        <f t="shared" si="402"/>
        <v>113</v>
      </c>
      <c r="AE1193" s="53">
        <v>0</v>
      </c>
      <c r="AF1193" s="55">
        <v>13</v>
      </c>
      <c r="AG1193" s="55">
        <v>100</v>
      </c>
      <c r="AH1193" s="55">
        <f t="shared" si="403"/>
        <v>0</v>
      </c>
      <c r="AI1193" s="55">
        <v>0</v>
      </c>
      <c r="AJ1193" s="55">
        <v>0</v>
      </c>
      <c r="AK1193" s="55">
        <v>0</v>
      </c>
      <c r="AL1193" s="55">
        <f t="shared" si="397"/>
        <v>4</v>
      </c>
      <c r="AM1193" s="55" t="s">
        <v>1912</v>
      </c>
      <c r="AN1193" s="55">
        <v>4</v>
      </c>
      <c r="AO1193" s="55">
        <v>0</v>
      </c>
      <c r="AP1193" s="55">
        <f t="shared" si="389"/>
        <v>0</v>
      </c>
      <c r="AQ1193" s="55">
        <f>IFERROR(VLOOKUP(A1193,[1]SIIMPLES!$A$2:$F$418,6,FALSE),0)</f>
        <v>0</v>
      </c>
      <c r="AR1193" s="55">
        <v>0</v>
      </c>
      <c r="AS1193" s="55">
        <v>6</v>
      </c>
      <c r="AT1193" s="55">
        <v>0</v>
      </c>
      <c r="AU1193" s="55">
        <v>6</v>
      </c>
      <c r="AV1193" s="55">
        <v>0</v>
      </c>
      <c r="AW1193" s="55"/>
      <c r="AX1193" s="55"/>
      <c r="AY1193" s="56">
        <f t="shared" si="404"/>
        <v>17.600000000000001</v>
      </c>
      <c r="AZ1193" s="55"/>
      <c r="BA1193" s="56">
        <v>18.333333333333332</v>
      </c>
      <c r="BB1193" s="41">
        <f t="shared" si="398"/>
        <v>-3.9999999999999813E-2</v>
      </c>
      <c r="BC1193" s="13"/>
      <c r="BD1193" s="35"/>
      <c r="BE1193" s="13"/>
      <c r="BF1193" s="16"/>
      <c r="BG1193" s="17">
        <f t="shared" si="395"/>
        <v>0</v>
      </c>
      <c r="BH1193" s="16">
        <f t="shared" si="405"/>
        <v>17.600000000000001</v>
      </c>
    </row>
    <row r="1194" spans="1:60" ht="12.75" customHeight="1" x14ac:dyDescent="0.2">
      <c r="A1194" s="51" t="s">
        <v>828</v>
      </c>
      <c r="B1194" s="51"/>
      <c r="C1194" s="66" t="s">
        <v>1803</v>
      </c>
      <c r="D1194" s="52" t="s">
        <v>1050</v>
      </c>
      <c r="E1194" s="52" t="s">
        <v>770</v>
      </c>
      <c r="F1194" s="53">
        <f>IFERROR(VLOOKUP(E1194,Fornecedores!$A$2:$B$2700,2,FALSE),"")</f>
        <v>17</v>
      </c>
      <c r="G1194" s="52" t="s">
        <v>1051</v>
      </c>
      <c r="H1194" s="57"/>
      <c r="I1194" s="55">
        <f t="shared" si="406"/>
        <v>0</v>
      </c>
      <c r="J1194" s="55">
        <v>0</v>
      </c>
      <c r="K1194" s="55">
        <v>0</v>
      </c>
      <c r="L1194" s="55">
        <v>0</v>
      </c>
      <c r="M1194" s="55">
        <v>0</v>
      </c>
      <c r="N1194" s="55">
        <f t="shared" si="407"/>
        <v>0</v>
      </c>
      <c r="O1194" s="55">
        <v>0</v>
      </c>
      <c r="P1194" s="55">
        <v>0</v>
      </c>
      <c r="Q1194" s="55">
        <v>0</v>
      </c>
      <c r="R1194" s="55">
        <f t="shared" si="408"/>
        <v>0</v>
      </c>
      <c r="S1194" s="55">
        <v>0</v>
      </c>
      <c r="T1194" s="55">
        <v>0</v>
      </c>
      <c r="U1194" s="55">
        <v>0</v>
      </c>
      <c r="V1194" s="55">
        <v>0</v>
      </c>
      <c r="W1194" s="53">
        <v>0</v>
      </c>
      <c r="X1194" s="53">
        <v>0</v>
      </c>
      <c r="Y1194" s="55">
        <v>0</v>
      </c>
      <c r="Z1194" s="55">
        <v>0</v>
      </c>
      <c r="AA1194" s="53">
        <v>0</v>
      </c>
      <c r="AB1194" s="53">
        <v>0</v>
      </c>
      <c r="AC1194" s="55">
        <v>0</v>
      </c>
      <c r="AD1194" s="55">
        <f t="shared" si="402"/>
        <v>0</v>
      </c>
      <c r="AE1194" s="53">
        <v>0</v>
      </c>
      <c r="AF1194" s="55">
        <v>0</v>
      </c>
      <c r="AG1194" s="55">
        <v>0</v>
      </c>
      <c r="AH1194" s="55">
        <f t="shared" si="403"/>
        <v>0</v>
      </c>
      <c r="AI1194" s="55">
        <v>0</v>
      </c>
      <c r="AJ1194" s="55">
        <v>0</v>
      </c>
      <c r="AK1194" s="55">
        <v>0</v>
      </c>
      <c r="AL1194" s="55">
        <f t="shared" si="397"/>
        <v>0</v>
      </c>
      <c r="AM1194" s="55" t="s">
        <v>1912</v>
      </c>
      <c r="AN1194" s="55">
        <v>0</v>
      </c>
      <c r="AO1194" s="55">
        <v>0</v>
      </c>
      <c r="AP1194" s="55">
        <f t="shared" si="389"/>
        <v>0</v>
      </c>
      <c r="AQ1194" s="55">
        <f>IFERROR(VLOOKUP(A1194,[1]SIIMPLES!$A$2:$F$418,6,FALSE),0)</f>
        <v>0</v>
      </c>
      <c r="AR1194" s="55">
        <v>0</v>
      </c>
      <c r="AS1194" s="55">
        <v>0</v>
      </c>
      <c r="AT1194" s="55">
        <v>0</v>
      </c>
      <c r="AU1194" s="55">
        <v>0</v>
      </c>
      <c r="AV1194" s="55">
        <v>0</v>
      </c>
      <c r="AW1194" s="55"/>
      <c r="AX1194" s="55"/>
      <c r="AY1194" s="56">
        <f t="shared" si="404"/>
        <v>0</v>
      </c>
      <c r="AZ1194" s="55"/>
      <c r="BA1194" s="56">
        <v>0.5</v>
      </c>
      <c r="BB1194" s="41">
        <f t="shared" si="398"/>
        <v>-1</v>
      </c>
      <c r="BC1194" s="7"/>
      <c r="BD1194" s="35"/>
      <c r="BE1194" s="13"/>
      <c r="BF1194" s="16"/>
      <c r="BG1194" s="17" t="str">
        <f t="shared" si="395"/>
        <v>0</v>
      </c>
      <c r="BH1194" s="16">
        <f t="shared" si="405"/>
        <v>0</v>
      </c>
    </row>
    <row r="1195" spans="1:60" ht="12.75" customHeight="1" x14ac:dyDescent="0.2">
      <c r="A1195" s="51" t="s">
        <v>829</v>
      </c>
      <c r="B1195" s="51"/>
      <c r="C1195" s="66" t="s">
        <v>1803</v>
      </c>
      <c r="D1195" s="52" t="s">
        <v>1050</v>
      </c>
      <c r="E1195" s="52" t="s">
        <v>770</v>
      </c>
      <c r="F1195" s="53">
        <f>IFERROR(VLOOKUP(E1195,Fornecedores!$A$2:$B$2700,2,FALSE),"")</f>
        <v>17</v>
      </c>
      <c r="G1195" s="52" t="s">
        <v>1052</v>
      </c>
      <c r="H1195" s="57"/>
      <c r="I1195" s="55">
        <f t="shared" si="406"/>
        <v>0</v>
      </c>
      <c r="J1195" s="55">
        <v>0</v>
      </c>
      <c r="K1195" s="55">
        <v>0</v>
      </c>
      <c r="L1195" s="55">
        <v>0</v>
      </c>
      <c r="M1195" s="55">
        <v>0</v>
      </c>
      <c r="N1195" s="55">
        <f t="shared" si="407"/>
        <v>0</v>
      </c>
      <c r="O1195" s="55">
        <v>0</v>
      </c>
      <c r="P1195" s="55">
        <v>0</v>
      </c>
      <c r="Q1195" s="55">
        <v>0</v>
      </c>
      <c r="R1195" s="55">
        <f t="shared" si="408"/>
        <v>0</v>
      </c>
      <c r="S1195" s="55">
        <v>0</v>
      </c>
      <c r="T1195" s="55">
        <v>0</v>
      </c>
      <c r="U1195" s="55">
        <v>0</v>
      </c>
      <c r="V1195" s="55">
        <v>0</v>
      </c>
      <c r="W1195" s="53">
        <v>0</v>
      </c>
      <c r="X1195" s="53">
        <v>0</v>
      </c>
      <c r="Y1195" s="55">
        <v>0</v>
      </c>
      <c r="Z1195" s="55">
        <v>0</v>
      </c>
      <c r="AA1195" s="53">
        <v>0</v>
      </c>
      <c r="AB1195" s="53">
        <v>0</v>
      </c>
      <c r="AC1195" s="55">
        <v>0</v>
      </c>
      <c r="AD1195" s="55">
        <f t="shared" si="402"/>
        <v>0</v>
      </c>
      <c r="AE1195" s="53">
        <v>0</v>
      </c>
      <c r="AF1195" s="55">
        <v>0</v>
      </c>
      <c r="AG1195" s="55">
        <v>0</v>
      </c>
      <c r="AH1195" s="55">
        <f t="shared" si="403"/>
        <v>0</v>
      </c>
      <c r="AI1195" s="55">
        <v>0</v>
      </c>
      <c r="AJ1195" s="55">
        <v>0</v>
      </c>
      <c r="AK1195" s="55">
        <v>0</v>
      </c>
      <c r="AL1195" s="55">
        <f t="shared" si="397"/>
        <v>0</v>
      </c>
      <c r="AM1195" s="55" t="s">
        <v>1912</v>
      </c>
      <c r="AN1195" s="55">
        <v>0</v>
      </c>
      <c r="AO1195" s="55">
        <v>0</v>
      </c>
      <c r="AP1195" s="55">
        <f t="shared" si="389"/>
        <v>0</v>
      </c>
      <c r="AQ1195" s="55">
        <f>IFERROR(VLOOKUP(A1195,[1]SIIMPLES!$A$2:$F$418,6,FALSE),0)</f>
        <v>0</v>
      </c>
      <c r="AR1195" s="55">
        <v>0</v>
      </c>
      <c r="AS1195" s="55">
        <v>0</v>
      </c>
      <c r="AT1195" s="55">
        <v>0</v>
      </c>
      <c r="AU1195" s="55">
        <v>0</v>
      </c>
      <c r="AV1195" s="55">
        <v>0</v>
      </c>
      <c r="AW1195" s="55"/>
      <c r="AX1195" s="55"/>
      <c r="AY1195" s="56">
        <f t="shared" si="404"/>
        <v>0</v>
      </c>
      <c r="AZ1195" s="55"/>
      <c r="BA1195" s="56">
        <v>0</v>
      </c>
      <c r="BB1195" s="41" t="str">
        <f t="shared" si="398"/>
        <v/>
      </c>
      <c r="BC1195" s="13"/>
      <c r="BD1195" s="35"/>
      <c r="BE1195" s="13"/>
      <c r="BF1195" s="16"/>
      <c r="BG1195" s="17" t="str">
        <f t="shared" si="395"/>
        <v>0</v>
      </c>
      <c r="BH1195" s="16">
        <f t="shared" si="405"/>
        <v>0</v>
      </c>
    </row>
    <row r="1196" spans="1:60" ht="12.75" customHeight="1" x14ac:dyDescent="0.2">
      <c r="A1196" s="51" t="s">
        <v>830</v>
      </c>
      <c r="B1196" s="51"/>
      <c r="C1196" s="66" t="s">
        <v>1803</v>
      </c>
      <c r="D1196" s="52" t="s">
        <v>1050</v>
      </c>
      <c r="E1196" s="52" t="s">
        <v>770</v>
      </c>
      <c r="F1196" s="53">
        <f>IFERROR(VLOOKUP(E1196,Fornecedores!$A$2:$B$2700,2,FALSE),"")</f>
        <v>17</v>
      </c>
      <c r="G1196" s="52" t="s">
        <v>1053</v>
      </c>
      <c r="H1196" s="57"/>
      <c r="I1196" s="55">
        <f t="shared" si="406"/>
        <v>0</v>
      </c>
      <c r="J1196" s="55">
        <v>0</v>
      </c>
      <c r="K1196" s="55">
        <v>0</v>
      </c>
      <c r="L1196" s="55">
        <v>0</v>
      </c>
      <c r="M1196" s="55">
        <v>0</v>
      </c>
      <c r="N1196" s="55">
        <f t="shared" si="407"/>
        <v>0</v>
      </c>
      <c r="O1196" s="55">
        <v>0</v>
      </c>
      <c r="P1196" s="55">
        <v>0</v>
      </c>
      <c r="Q1196" s="55">
        <v>0</v>
      </c>
      <c r="R1196" s="55">
        <f t="shared" si="408"/>
        <v>0</v>
      </c>
      <c r="S1196" s="55">
        <v>0</v>
      </c>
      <c r="T1196" s="55">
        <v>0</v>
      </c>
      <c r="U1196" s="55">
        <v>0</v>
      </c>
      <c r="V1196" s="55">
        <v>0</v>
      </c>
      <c r="W1196" s="53">
        <v>0</v>
      </c>
      <c r="X1196" s="53">
        <v>0</v>
      </c>
      <c r="Y1196" s="55">
        <v>0</v>
      </c>
      <c r="Z1196" s="55">
        <v>0</v>
      </c>
      <c r="AA1196" s="53">
        <v>0</v>
      </c>
      <c r="AB1196" s="53">
        <v>0</v>
      </c>
      <c r="AC1196" s="55">
        <v>0</v>
      </c>
      <c r="AD1196" s="55">
        <f t="shared" si="402"/>
        <v>0</v>
      </c>
      <c r="AE1196" s="53">
        <v>0</v>
      </c>
      <c r="AF1196" s="55">
        <v>0</v>
      </c>
      <c r="AG1196" s="55">
        <v>0</v>
      </c>
      <c r="AH1196" s="55">
        <f t="shared" si="403"/>
        <v>0</v>
      </c>
      <c r="AI1196" s="55">
        <v>0</v>
      </c>
      <c r="AJ1196" s="55">
        <v>0</v>
      </c>
      <c r="AK1196" s="55">
        <v>0</v>
      </c>
      <c r="AL1196" s="55">
        <f t="shared" si="397"/>
        <v>0</v>
      </c>
      <c r="AM1196" s="55" t="s">
        <v>1912</v>
      </c>
      <c r="AN1196" s="55">
        <v>0</v>
      </c>
      <c r="AO1196" s="55">
        <v>0</v>
      </c>
      <c r="AP1196" s="55">
        <f t="shared" si="389"/>
        <v>0</v>
      </c>
      <c r="AQ1196" s="55">
        <f>IFERROR(VLOOKUP(A1196,[1]SIIMPLES!$A$2:$F$418,6,FALSE),0)</f>
        <v>0</v>
      </c>
      <c r="AR1196" s="55">
        <v>0</v>
      </c>
      <c r="AS1196" s="55">
        <v>0</v>
      </c>
      <c r="AT1196" s="55">
        <v>0</v>
      </c>
      <c r="AU1196" s="55">
        <v>0</v>
      </c>
      <c r="AV1196" s="55">
        <v>0</v>
      </c>
      <c r="AW1196" s="55"/>
      <c r="AX1196" s="55"/>
      <c r="AY1196" s="56">
        <f t="shared" si="404"/>
        <v>0</v>
      </c>
      <c r="AZ1196" s="55"/>
      <c r="BA1196" s="56">
        <v>0</v>
      </c>
      <c r="BB1196" s="41" t="str">
        <f t="shared" si="398"/>
        <v/>
      </c>
      <c r="BC1196" s="13"/>
      <c r="BD1196" s="35"/>
      <c r="BE1196" s="13"/>
      <c r="BF1196" s="16"/>
      <c r="BG1196" s="17" t="str">
        <f t="shared" si="395"/>
        <v>0</v>
      </c>
      <c r="BH1196" s="7"/>
    </row>
    <row r="1197" spans="1:60" ht="12.75" customHeight="1" x14ac:dyDescent="0.2">
      <c r="A1197" s="51" t="s">
        <v>1555</v>
      </c>
      <c r="B1197" s="51"/>
      <c r="C1197" s="66" t="s">
        <v>1803</v>
      </c>
      <c r="D1197" s="52" t="s">
        <v>1050</v>
      </c>
      <c r="E1197" s="52" t="s">
        <v>770</v>
      </c>
      <c r="F1197" s="53">
        <f>IFERROR(VLOOKUP(E1197,Fornecedores!$A$2:$B$2700,2,FALSE),"")</f>
        <v>17</v>
      </c>
      <c r="G1197" s="52" t="s">
        <v>1646</v>
      </c>
      <c r="H1197" s="57"/>
      <c r="I1197" s="55">
        <f t="shared" si="406"/>
        <v>0</v>
      </c>
      <c r="J1197" s="57" t="s">
        <v>1282</v>
      </c>
      <c r="K1197" s="55">
        <v>0</v>
      </c>
      <c r="L1197" s="55">
        <v>0</v>
      </c>
      <c r="M1197" s="55">
        <v>0</v>
      </c>
      <c r="N1197" s="55">
        <f t="shared" si="407"/>
        <v>0</v>
      </c>
      <c r="O1197" s="55">
        <v>0</v>
      </c>
      <c r="P1197" s="55">
        <v>0</v>
      </c>
      <c r="Q1197" s="55">
        <v>0</v>
      </c>
      <c r="R1197" s="55">
        <f t="shared" si="408"/>
        <v>4</v>
      </c>
      <c r="S1197" s="55">
        <v>0</v>
      </c>
      <c r="T1197" s="55">
        <v>4</v>
      </c>
      <c r="U1197" s="55">
        <v>0</v>
      </c>
      <c r="V1197" s="55">
        <v>0</v>
      </c>
      <c r="W1197" s="53">
        <v>0</v>
      </c>
      <c r="X1197" s="53">
        <v>0</v>
      </c>
      <c r="Y1197" s="55">
        <v>0</v>
      </c>
      <c r="Z1197" s="55">
        <v>2</v>
      </c>
      <c r="AA1197" s="53">
        <v>0</v>
      </c>
      <c r="AB1197" s="53">
        <v>2</v>
      </c>
      <c r="AC1197" s="55">
        <v>0</v>
      </c>
      <c r="AD1197" s="55">
        <f t="shared" si="402"/>
        <v>0</v>
      </c>
      <c r="AE1197" s="53">
        <v>0</v>
      </c>
      <c r="AF1197" s="55">
        <v>0</v>
      </c>
      <c r="AG1197" s="55">
        <v>0</v>
      </c>
      <c r="AH1197" s="55">
        <f t="shared" si="403"/>
        <v>2</v>
      </c>
      <c r="AI1197" s="55">
        <v>0</v>
      </c>
      <c r="AJ1197" s="55">
        <v>2</v>
      </c>
      <c r="AK1197" s="55">
        <v>0</v>
      </c>
      <c r="AL1197" s="55">
        <f t="shared" si="397"/>
        <v>4</v>
      </c>
      <c r="AM1197" s="55" t="s">
        <v>1912</v>
      </c>
      <c r="AN1197" s="55">
        <v>4</v>
      </c>
      <c r="AO1197" s="55">
        <v>0</v>
      </c>
      <c r="AP1197" s="55">
        <f t="shared" si="389"/>
        <v>0</v>
      </c>
      <c r="AQ1197" s="55">
        <f>IFERROR(VLOOKUP(A1197,[1]SIIMPLES!$A$2:$F$418,6,FALSE),0)</f>
        <v>0</v>
      </c>
      <c r="AR1197" s="55">
        <v>0</v>
      </c>
      <c r="AS1197" s="55">
        <v>0</v>
      </c>
      <c r="AT1197" s="55">
        <v>0</v>
      </c>
      <c r="AU1197" s="55">
        <v>0</v>
      </c>
      <c r="AV1197" s="55">
        <v>0</v>
      </c>
      <c r="AW1197" s="57"/>
      <c r="AX1197" s="57"/>
      <c r="AY1197" s="56">
        <f t="shared" si="404"/>
        <v>1.2</v>
      </c>
      <c r="AZ1197" s="55"/>
      <c r="BA1197" s="56" t="s">
        <v>1912</v>
      </c>
      <c r="BB1197" s="41" t="str">
        <f t="shared" si="398"/>
        <v/>
      </c>
      <c r="BC1197" s="13"/>
      <c r="BD1197" s="35"/>
      <c r="BE1197" s="13"/>
      <c r="BF1197" s="16"/>
      <c r="BG1197" s="17">
        <f t="shared" si="395"/>
        <v>0</v>
      </c>
      <c r="BH1197" s="16">
        <f>IFERROR(IF(F1197=1,IF(BC1197&lt;AY1197*3,AY1197*3-BC1197,0),IF(BC1197&lt;AY1197,AY1197-BC1197,0)),"")</f>
        <v>1.2</v>
      </c>
    </row>
    <row r="1198" spans="1:60" ht="12.75" customHeight="1" x14ac:dyDescent="0.2">
      <c r="A1198" s="51" t="s">
        <v>1249</v>
      </c>
      <c r="B1198" s="51"/>
      <c r="C1198" s="66" t="s">
        <v>1803</v>
      </c>
      <c r="D1198" s="52" t="s">
        <v>745</v>
      </c>
      <c r="E1198" s="52" t="s">
        <v>780</v>
      </c>
      <c r="F1198" s="53">
        <f>IFERROR(VLOOKUP(E1198,Fornecedores!$A$2:$B$2700,2,FALSE),"")</f>
        <v>2</v>
      </c>
      <c r="G1198" s="52" t="s">
        <v>101</v>
      </c>
      <c r="H1198" s="57"/>
      <c r="I1198" s="55">
        <f t="shared" si="406"/>
        <v>1</v>
      </c>
      <c r="J1198" s="55">
        <v>1</v>
      </c>
      <c r="K1198" s="55">
        <v>0</v>
      </c>
      <c r="L1198" s="55">
        <v>0</v>
      </c>
      <c r="M1198" s="55">
        <v>0</v>
      </c>
      <c r="N1198" s="55">
        <f t="shared" si="407"/>
        <v>1</v>
      </c>
      <c r="O1198" s="55">
        <v>1</v>
      </c>
      <c r="P1198" s="55">
        <v>0</v>
      </c>
      <c r="Q1198" s="55">
        <v>0</v>
      </c>
      <c r="R1198" s="55">
        <f t="shared" si="408"/>
        <v>0</v>
      </c>
      <c r="S1198" s="55">
        <v>0</v>
      </c>
      <c r="T1198" s="55">
        <v>0</v>
      </c>
      <c r="U1198" s="55">
        <v>0</v>
      </c>
      <c r="V1198" s="55">
        <v>0</v>
      </c>
      <c r="W1198" s="53">
        <v>0</v>
      </c>
      <c r="X1198" s="53">
        <v>0</v>
      </c>
      <c r="Y1198" s="55">
        <v>0</v>
      </c>
      <c r="Z1198" s="55">
        <v>0</v>
      </c>
      <c r="AA1198" s="53">
        <v>0</v>
      </c>
      <c r="AB1198" s="53">
        <v>0</v>
      </c>
      <c r="AC1198" s="55">
        <v>0</v>
      </c>
      <c r="AD1198" s="55">
        <f t="shared" si="402"/>
        <v>0</v>
      </c>
      <c r="AE1198" s="53">
        <v>0</v>
      </c>
      <c r="AF1198" s="55">
        <v>0</v>
      </c>
      <c r="AG1198" s="55">
        <v>0</v>
      </c>
      <c r="AH1198" s="55">
        <f t="shared" si="403"/>
        <v>0</v>
      </c>
      <c r="AI1198" s="55">
        <v>0</v>
      </c>
      <c r="AJ1198" s="55">
        <v>0</v>
      </c>
      <c r="AK1198" s="55">
        <v>0</v>
      </c>
      <c r="AL1198" s="55">
        <f t="shared" si="397"/>
        <v>0</v>
      </c>
      <c r="AM1198" s="55" t="s">
        <v>1912</v>
      </c>
      <c r="AN1198" s="55">
        <v>0</v>
      </c>
      <c r="AO1198" s="55">
        <v>0</v>
      </c>
      <c r="AP1198" s="55">
        <f t="shared" si="389"/>
        <v>0</v>
      </c>
      <c r="AQ1198" s="55">
        <f>IFERROR(VLOOKUP(A1198,[1]SIIMPLES!$A$2:$F$418,6,FALSE),0)</f>
        <v>0</v>
      </c>
      <c r="AR1198" s="55">
        <v>0</v>
      </c>
      <c r="AS1198" s="55">
        <v>0</v>
      </c>
      <c r="AT1198" s="55">
        <v>0</v>
      </c>
      <c r="AU1198" s="55">
        <v>0</v>
      </c>
      <c r="AV1198" s="55">
        <v>0</v>
      </c>
      <c r="AW1198" s="55"/>
      <c r="AX1198" s="55"/>
      <c r="AY1198" s="56">
        <f t="shared" si="404"/>
        <v>0.2</v>
      </c>
      <c r="AZ1198" s="55"/>
      <c r="BA1198" s="56">
        <v>0.5</v>
      </c>
      <c r="BB1198" s="41">
        <f t="shared" si="398"/>
        <v>-0.6</v>
      </c>
      <c r="BC1198" s="13"/>
      <c r="BD1198" s="35"/>
      <c r="BE1198" s="13"/>
      <c r="BF1198" s="16"/>
      <c r="BG1198" s="17">
        <f t="shared" si="395"/>
        <v>0</v>
      </c>
      <c r="BH1198" s="16">
        <f>IFERROR(IF(F1198=1,IF(BC1198&lt;AY1198*3,AY1198*3-BC1198,0),IF(BC1198&lt;AY1198,AY1198-BC1198,0)),"")</f>
        <v>0.2</v>
      </c>
    </row>
    <row r="1199" spans="1:60" ht="12.75" customHeight="1" x14ac:dyDescent="0.2">
      <c r="A1199" s="68" t="s">
        <v>1627</v>
      </c>
      <c r="B1199" s="51"/>
      <c r="C1199" s="66" t="s">
        <v>1803</v>
      </c>
      <c r="D1199" s="52" t="s">
        <v>745</v>
      </c>
      <c r="E1199" s="52" t="s">
        <v>780</v>
      </c>
      <c r="F1199" s="53">
        <f>IFERROR(VLOOKUP(E1199,Fornecedores!$A$2:$B$2700,2,FALSE),"")</f>
        <v>2</v>
      </c>
      <c r="G1199" s="52" t="s">
        <v>1753</v>
      </c>
      <c r="H1199" s="57"/>
      <c r="I1199" s="55">
        <f t="shared" si="406"/>
        <v>0</v>
      </c>
      <c r="J1199" s="57"/>
      <c r="K1199" s="57"/>
      <c r="L1199" s="57"/>
      <c r="M1199" s="57"/>
      <c r="N1199" s="57"/>
      <c r="O1199" s="57"/>
      <c r="P1199" s="57"/>
      <c r="Q1199" s="55">
        <v>40</v>
      </c>
      <c r="R1199" s="55">
        <f t="shared" si="408"/>
        <v>0</v>
      </c>
      <c r="S1199" s="55">
        <v>0</v>
      </c>
      <c r="T1199" s="55">
        <v>0</v>
      </c>
      <c r="U1199" s="55">
        <v>0</v>
      </c>
      <c r="V1199" s="55">
        <v>0</v>
      </c>
      <c r="W1199" s="53">
        <v>0</v>
      </c>
      <c r="X1199" s="53">
        <v>0</v>
      </c>
      <c r="Y1199" s="55">
        <v>0</v>
      </c>
      <c r="Z1199" s="55">
        <v>0</v>
      </c>
      <c r="AA1199" s="53">
        <v>0</v>
      </c>
      <c r="AB1199" s="53">
        <v>0</v>
      </c>
      <c r="AC1199" s="55">
        <v>0</v>
      </c>
      <c r="AD1199" s="55">
        <f t="shared" si="402"/>
        <v>0</v>
      </c>
      <c r="AE1199" s="53">
        <v>0</v>
      </c>
      <c r="AF1199" s="55">
        <v>0</v>
      </c>
      <c r="AG1199" s="55">
        <v>0</v>
      </c>
      <c r="AH1199" s="55">
        <f t="shared" si="403"/>
        <v>0</v>
      </c>
      <c r="AI1199" s="55">
        <v>0</v>
      </c>
      <c r="AJ1199" s="55">
        <v>0</v>
      </c>
      <c r="AK1199" s="55">
        <v>0</v>
      </c>
      <c r="AL1199" s="55">
        <f t="shared" si="397"/>
        <v>0</v>
      </c>
      <c r="AM1199" s="55" t="s">
        <v>1912</v>
      </c>
      <c r="AN1199" s="55">
        <v>0</v>
      </c>
      <c r="AO1199" s="55">
        <v>0</v>
      </c>
      <c r="AP1199" s="55">
        <f t="shared" si="389"/>
        <v>0</v>
      </c>
      <c r="AQ1199" s="55">
        <f>IFERROR(VLOOKUP(A1199,[1]SIIMPLES!$A$2:$F$418,6,FALSE),0)</f>
        <v>0</v>
      </c>
      <c r="AR1199" s="55">
        <v>0</v>
      </c>
      <c r="AS1199" s="55">
        <v>0</v>
      </c>
      <c r="AT1199" s="55">
        <v>0</v>
      </c>
      <c r="AU1199" s="55">
        <v>0</v>
      </c>
      <c r="AV1199" s="55">
        <v>0</v>
      </c>
      <c r="AW1199" s="57"/>
      <c r="AX1199" s="57"/>
      <c r="AY1199" s="56">
        <f t="shared" si="404"/>
        <v>0</v>
      </c>
      <c r="AZ1199" s="57"/>
      <c r="BA1199" s="56" t="s">
        <v>1912</v>
      </c>
      <c r="BB1199" s="41" t="str">
        <f t="shared" si="398"/>
        <v/>
      </c>
      <c r="BC1199" s="13"/>
      <c r="BD1199" s="35"/>
      <c r="BE1199" s="13"/>
      <c r="BF1199" s="16"/>
      <c r="BG1199" s="17" t="str">
        <f t="shared" si="395"/>
        <v>0</v>
      </c>
      <c r="BH1199" s="16">
        <f>IFERROR(IF(F1199=1,IF(BC1199&lt;AY1199*3,AY1199*3-BC1199,0),IF(BC1199&lt;AY1199,AY1199-BC1199,0)),"")</f>
        <v>0</v>
      </c>
    </row>
    <row r="1200" spans="1:60" ht="12.75" customHeight="1" x14ac:dyDescent="0.2">
      <c r="A1200" s="28" t="s">
        <v>2078</v>
      </c>
      <c r="B1200" s="28"/>
      <c r="C1200" s="27" t="s">
        <v>1803</v>
      </c>
      <c r="D1200" s="9" t="s">
        <v>745</v>
      </c>
      <c r="E1200" s="9" t="s">
        <v>780</v>
      </c>
      <c r="F1200" s="84"/>
      <c r="G1200" s="85" t="s">
        <v>2079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55">
        <f t="shared" si="397"/>
        <v>2</v>
      </c>
      <c r="AM1200" s="7"/>
      <c r="AN1200" s="55">
        <v>2</v>
      </c>
      <c r="AO1200" s="55">
        <v>0</v>
      </c>
      <c r="AP1200" s="55">
        <f t="shared" si="389"/>
        <v>0</v>
      </c>
      <c r="AQ1200" s="55">
        <f>IFERROR(VLOOKUP(A1200,[1]SIIMPLES!$A$2:$F$418,6,FALSE),0)</f>
        <v>0</v>
      </c>
      <c r="AR1200" s="55">
        <v>0</v>
      </c>
      <c r="AS1200" s="55">
        <v>2</v>
      </c>
      <c r="AT1200" s="55">
        <v>2</v>
      </c>
      <c r="AU1200" s="55">
        <v>0</v>
      </c>
      <c r="AV1200" s="55">
        <v>0</v>
      </c>
      <c r="AW1200" s="7"/>
      <c r="AX1200" s="7"/>
      <c r="AY1200" s="7"/>
      <c r="AZ1200" s="7"/>
      <c r="BA1200" s="7"/>
      <c r="BB1200" s="41" t="str">
        <f t="shared" si="398"/>
        <v/>
      </c>
      <c r="BC1200" s="13"/>
      <c r="BD1200" s="35"/>
      <c r="BE1200" s="13"/>
      <c r="BF1200" s="16"/>
      <c r="BG1200" s="17" t="str">
        <f t="shared" si="395"/>
        <v>0</v>
      </c>
      <c r="BH1200" s="16">
        <f>IFERROR(IF(F1200=1,IF(BC1200&lt;AY1200*3,AY1200*3-BC1200,0),IF(BC1200&lt;AY1200,AY1200-BC1200,0)),"")</f>
        <v>0</v>
      </c>
    </row>
    <row r="1201" spans="1:60" ht="12.75" customHeight="1" x14ac:dyDescent="0.2">
      <c r="A1201" s="51" t="s">
        <v>98</v>
      </c>
      <c r="B1201" s="51" t="s">
        <v>1077</v>
      </c>
      <c r="C1201" s="66" t="s">
        <v>1803</v>
      </c>
      <c r="D1201" s="52" t="s">
        <v>740</v>
      </c>
      <c r="E1201" s="52" t="s">
        <v>741</v>
      </c>
      <c r="F1201" s="53">
        <f>IFERROR(VLOOKUP(E1201,Fornecedores!$A$2:$B$2700,2,FALSE),"")</f>
        <v>7</v>
      </c>
      <c r="G1201" s="52" t="s">
        <v>103</v>
      </c>
      <c r="H1201" s="54"/>
      <c r="I1201" s="55">
        <f>SUM(J1201:M1201)</f>
        <v>1</v>
      </c>
      <c r="J1201" s="55">
        <v>1</v>
      </c>
      <c r="K1201" s="55">
        <v>0</v>
      </c>
      <c r="L1201" s="55">
        <v>0</v>
      </c>
      <c r="M1201" s="55">
        <v>0</v>
      </c>
      <c r="N1201" s="55">
        <f>SUM(O1201:Q1201)</f>
        <v>0</v>
      </c>
      <c r="O1201" s="55">
        <v>0</v>
      </c>
      <c r="P1201" s="55">
        <v>0</v>
      </c>
      <c r="Q1201" s="55">
        <v>0</v>
      </c>
      <c r="R1201" s="55">
        <f>SUM(S1201:U1201)</f>
        <v>0</v>
      </c>
      <c r="S1201" s="55">
        <v>0</v>
      </c>
      <c r="T1201" s="55">
        <v>0</v>
      </c>
      <c r="U1201" s="55">
        <v>0</v>
      </c>
      <c r="V1201" s="55">
        <v>0</v>
      </c>
      <c r="W1201" s="53">
        <v>0</v>
      </c>
      <c r="X1201" s="53">
        <v>0</v>
      </c>
      <c r="Y1201" s="55">
        <v>0</v>
      </c>
      <c r="Z1201" s="55">
        <v>1</v>
      </c>
      <c r="AA1201" s="53">
        <v>1</v>
      </c>
      <c r="AB1201" s="53">
        <v>0</v>
      </c>
      <c r="AC1201" s="55">
        <v>0</v>
      </c>
      <c r="AD1201" s="55">
        <f>SUM(AE1201:AG1201)</f>
        <v>1</v>
      </c>
      <c r="AE1201" s="53">
        <v>1</v>
      </c>
      <c r="AF1201" s="55">
        <v>0</v>
      </c>
      <c r="AG1201" s="55">
        <v>0</v>
      </c>
      <c r="AH1201" s="55">
        <f t="shared" ref="AH1201:AH1241" si="409">SUM(AI1201:AK1201)</f>
        <v>3</v>
      </c>
      <c r="AI1201" s="55">
        <v>3</v>
      </c>
      <c r="AJ1201" s="55">
        <v>0</v>
      </c>
      <c r="AK1201" s="55">
        <v>0</v>
      </c>
      <c r="AL1201" s="55">
        <f t="shared" si="397"/>
        <v>1</v>
      </c>
      <c r="AM1201" s="55">
        <v>1</v>
      </c>
      <c r="AN1201" s="55">
        <v>0</v>
      </c>
      <c r="AO1201" s="55">
        <v>0</v>
      </c>
      <c r="AP1201" s="55">
        <f t="shared" si="389"/>
        <v>2</v>
      </c>
      <c r="AQ1201" s="55">
        <f>IFERROR(VLOOKUP(A1201,[1]SIIMPLES!$A$2:$F$418,6,FALSE),0)</f>
        <v>2</v>
      </c>
      <c r="AR1201" s="55">
        <v>0</v>
      </c>
      <c r="AS1201" s="55">
        <v>4</v>
      </c>
      <c r="AT1201" s="55">
        <v>0</v>
      </c>
      <c r="AU1201" s="55">
        <v>0</v>
      </c>
      <c r="AV1201" s="55">
        <v>4</v>
      </c>
      <c r="AW1201" s="55"/>
      <c r="AX1201" s="55"/>
      <c r="AY1201" s="56">
        <f>IFERROR(AVERAGE(I1201,N1201,R1201,V1201,Z1201,AD1201,AH1201,AL1201,AP1201,AS1201,AW1201,AX1201),"-")</f>
        <v>1.3</v>
      </c>
      <c r="AZ1201" s="55"/>
      <c r="BA1201" s="56">
        <v>1.3333333333333333</v>
      </c>
      <c r="BB1201" s="41">
        <f t="shared" si="398"/>
        <v>-2.4999999999999911E-2</v>
      </c>
      <c r="BC1201" s="13"/>
      <c r="BD1201" s="35"/>
      <c r="BE1201" s="13"/>
      <c r="BF1201" s="16"/>
      <c r="BG1201" s="17">
        <f t="shared" si="395"/>
        <v>0</v>
      </c>
      <c r="BH1201" s="7"/>
    </row>
    <row r="1202" spans="1:60" ht="12.75" customHeight="1" x14ac:dyDescent="0.2">
      <c r="A1202" s="51" t="s">
        <v>1400</v>
      </c>
      <c r="B1202" s="51"/>
      <c r="C1202" s="66" t="s">
        <v>1803</v>
      </c>
      <c r="D1202" s="52" t="s">
        <v>740</v>
      </c>
      <c r="E1202" s="52" t="s">
        <v>923</v>
      </c>
      <c r="F1202" s="53">
        <f>IFERROR(VLOOKUP(E1202,Fornecedores!$A$2:$B$2700,2,FALSE),"")</f>
        <v>12</v>
      </c>
      <c r="G1202" s="52" t="s">
        <v>1405</v>
      </c>
      <c r="H1202" s="57"/>
      <c r="I1202" s="55">
        <f>SUM(J1202:M1202)</f>
        <v>2</v>
      </c>
      <c r="J1202" s="55">
        <v>0</v>
      </c>
      <c r="K1202" s="55">
        <v>2</v>
      </c>
      <c r="L1202" s="55">
        <v>0</v>
      </c>
      <c r="M1202" s="55">
        <v>0</v>
      </c>
      <c r="N1202" s="55">
        <f>SUM(O1202:Q1202)</f>
        <v>0</v>
      </c>
      <c r="O1202" s="55">
        <v>0</v>
      </c>
      <c r="P1202" s="55">
        <v>0</v>
      </c>
      <c r="Q1202" s="55">
        <v>0</v>
      </c>
      <c r="R1202" s="55">
        <f>SUM(S1202:U1202)</f>
        <v>4</v>
      </c>
      <c r="S1202" s="55">
        <v>0</v>
      </c>
      <c r="T1202" s="55">
        <v>4</v>
      </c>
      <c r="U1202" s="55">
        <v>0</v>
      </c>
      <c r="V1202" s="55">
        <v>0</v>
      </c>
      <c r="W1202" s="53">
        <v>0</v>
      </c>
      <c r="X1202" s="53">
        <v>0</v>
      </c>
      <c r="Y1202" s="55">
        <v>0</v>
      </c>
      <c r="Z1202" s="55">
        <v>0</v>
      </c>
      <c r="AA1202" s="53">
        <v>0</v>
      </c>
      <c r="AB1202" s="53">
        <v>0</v>
      </c>
      <c r="AC1202" s="55">
        <v>0</v>
      </c>
      <c r="AD1202" s="55">
        <f>SUM(AE1202:AG1202)</f>
        <v>0</v>
      </c>
      <c r="AE1202" s="53">
        <v>0</v>
      </c>
      <c r="AF1202" s="55">
        <v>0</v>
      </c>
      <c r="AG1202" s="55">
        <v>0</v>
      </c>
      <c r="AH1202" s="55">
        <f t="shared" si="409"/>
        <v>0</v>
      </c>
      <c r="AI1202" s="55">
        <v>0</v>
      </c>
      <c r="AJ1202" s="55">
        <v>0</v>
      </c>
      <c r="AK1202" s="55">
        <v>0</v>
      </c>
      <c r="AL1202" s="55">
        <f t="shared" si="397"/>
        <v>0</v>
      </c>
      <c r="AM1202" s="55" t="s">
        <v>1912</v>
      </c>
      <c r="AN1202" s="55">
        <v>0</v>
      </c>
      <c r="AO1202" s="55">
        <v>0</v>
      </c>
      <c r="AP1202" s="55">
        <f t="shared" si="389"/>
        <v>0</v>
      </c>
      <c r="AQ1202" s="55">
        <f>IFERROR(VLOOKUP(A1202,[1]SIIMPLES!$A$2:$F$418,6,FALSE),0)</f>
        <v>0</v>
      </c>
      <c r="AR1202" s="55">
        <v>0</v>
      </c>
      <c r="AS1202" s="55">
        <v>0</v>
      </c>
      <c r="AT1202" s="55">
        <v>0</v>
      </c>
      <c r="AU1202" s="55">
        <v>0</v>
      </c>
      <c r="AV1202" s="55">
        <v>0</v>
      </c>
      <c r="AW1202" s="55"/>
      <c r="AX1202" s="55"/>
      <c r="AY1202" s="56">
        <f>IFERROR(AVERAGE(I1202,N1202,R1202,V1202,Z1202,AD1202,AH1202,AL1202,AP1202,AS1202,AW1202,AX1202),"-")</f>
        <v>0.6</v>
      </c>
      <c r="AZ1202" s="55"/>
      <c r="BA1202" s="56">
        <v>2</v>
      </c>
      <c r="BB1202" s="41">
        <f t="shared" si="398"/>
        <v>-0.7</v>
      </c>
      <c r="BC1202" s="13"/>
      <c r="BD1202" s="35"/>
      <c r="BE1202" s="13"/>
      <c r="BF1202" s="16"/>
      <c r="BG1202" s="17">
        <f t="shared" ref="BG1202:BG1233" si="410">IFERROR(BC1202/AY1202,"0")</f>
        <v>0</v>
      </c>
      <c r="BH1202" s="16">
        <f t="shared" ref="BH1202:BH1212" si="411">IFERROR(IF(F1202=1,IF(BC1202&lt;AY1202*3,AY1202*3-BC1202,0),IF(BC1202&lt;AY1202,AY1202-BC1202,0)),"")</f>
        <v>0.6</v>
      </c>
    </row>
    <row r="1203" spans="1:60" ht="12.75" customHeight="1" x14ac:dyDescent="0.2">
      <c r="A1203" s="82" t="s">
        <v>1973</v>
      </c>
      <c r="B1203" s="28"/>
      <c r="C1203" s="28" t="s">
        <v>1803</v>
      </c>
      <c r="D1203" s="83" t="s">
        <v>2010</v>
      </c>
      <c r="E1203" s="83" t="s">
        <v>780</v>
      </c>
      <c r="F1203" s="84"/>
      <c r="G1203" s="85" t="s">
        <v>2011</v>
      </c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3">
        <f t="shared" si="409"/>
        <v>70</v>
      </c>
      <c r="AI1203" s="7"/>
      <c r="AJ1203" s="7"/>
      <c r="AK1203" s="55">
        <v>70</v>
      </c>
      <c r="AL1203" s="55">
        <f t="shared" si="397"/>
        <v>0</v>
      </c>
      <c r="AM1203" s="55" t="s">
        <v>1912</v>
      </c>
      <c r="AN1203" s="55">
        <v>0</v>
      </c>
      <c r="AO1203" s="55">
        <v>0</v>
      </c>
      <c r="AP1203" s="55">
        <f t="shared" si="389"/>
        <v>0</v>
      </c>
      <c r="AQ1203" s="55">
        <f>IFERROR(VLOOKUP(A1203,[1]SIIMPLES!$A$2:$F$418,6,FALSE),0)</f>
        <v>0</v>
      </c>
      <c r="AR1203" s="55">
        <v>0</v>
      </c>
      <c r="AS1203" s="55">
        <v>0</v>
      </c>
      <c r="AT1203" s="55">
        <v>0</v>
      </c>
      <c r="AU1203" s="55">
        <v>0</v>
      </c>
      <c r="AV1203" s="55">
        <v>0</v>
      </c>
      <c r="AW1203" s="7"/>
      <c r="AX1203" s="7"/>
      <c r="AY1203" s="7"/>
      <c r="AZ1203" s="7"/>
      <c r="BA1203" s="7"/>
      <c r="BB1203" s="41" t="str">
        <f t="shared" si="398"/>
        <v/>
      </c>
      <c r="BC1203" s="13"/>
      <c r="BD1203" s="35"/>
      <c r="BE1203" s="13"/>
      <c r="BF1203" s="16"/>
      <c r="BG1203" s="17" t="str">
        <f t="shared" si="410"/>
        <v>0</v>
      </c>
      <c r="BH1203" s="16">
        <f t="shared" si="411"/>
        <v>0</v>
      </c>
    </row>
    <row r="1204" spans="1:60" ht="12.75" customHeight="1" x14ac:dyDescent="0.2">
      <c r="A1204" s="82" t="s">
        <v>1976</v>
      </c>
      <c r="B1204" s="28"/>
      <c r="C1204" s="28" t="s">
        <v>1803</v>
      </c>
      <c r="D1204" s="83" t="s">
        <v>2010</v>
      </c>
      <c r="E1204" s="83" t="s">
        <v>780</v>
      </c>
      <c r="F1204" s="84"/>
      <c r="G1204" s="85" t="s">
        <v>2019</v>
      </c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3">
        <f t="shared" si="409"/>
        <v>20</v>
      </c>
      <c r="AI1204" s="7"/>
      <c r="AJ1204" s="7"/>
      <c r="AK1204" s="55">
        <v>20</v>
      </c>
      <c r="AL1204" s="55">
        <f t="shared" si="397"/>
        <v>0</v>
      </c>
      <c r="AM1204" s="55" t="s">
        <v>1912</v>
      </c>
      <c r="AN1204" s="55">
        <v>0</v>
      </c>
      <c r="AO1204" s="55">
        <v>0</v>
      </c>
      <c r="AP1204" s="55">
        <f t="shared" ref="AP1204:AP1267" si="412">SUM(AQ1204:AR1204)</f>
        <v>0</v>
      </c>
      <c r="AQ1204" s="55">
        <f>IFERROR(VLOOKUP(A1204,[1]SIIMPLES!$A$2:$F$418,6,FALSE),0)</f>
        <v>0</v>
      </c>
      <c r="AR1204" s="55">
        <v>0</v>
      </c>
      <c r="AS1204" s="55">
        <v>0</v>
      </c>
      <c r="AT1204" s="55">
        <v>0</v>
      </c>
      <c r="AU1204" s="55">
        <v>0</v>
      </c>
      <c r="AV1204" s="55">
        <v>0</v>
      </c>
      <c r="AW1204" s="7"/>
      <c r="AX1204" s="7"/>
      <c r="AY1204" s="7"/>
      <c r="AZ1204" s="7"/>
      <c r="BA1204" s="7"/>
      <c r="BB1204" s="41" t="str">
        <f t="shared" si="398"/>
        <v/>
      </c>
      <c r="BC1204" s="7"/>
      <c r="BD1204" s="35"/>
      <c r="BE1204" s="13"/>
      <c r="BF1204" s="16"/>
      <c r="BG1204" s="17" t="str">
        <f t="shared" si="410"/>
        <v>0</v>
      </c>
      <c r="BH1204" s="16">
        <f t="shared" si="411"/>
        <v>0</v>
      </c>
    </row>
    <row r="1205" spans="1:60" ht="12.75" customHeight="1" x14ac:dyDescent="0.2">
      <c r="A1205" s="51" t="s">
        <v>408</v>
      </c>
      <c r="B1205" s="51"/>
      <c r="C1205" s="66" t="s">
        <v>1803</v>
      </c>
      <c r="D1205" s="52" t="s">
        <v>763</v>
      </c>
      <c r="E1205" s="52" t="s">
        <v>764</v>
      </c>
      <c r="F1205" s="53">
        <f>IFERROR(VLOOKUP(E1205,Fornecedores!$A$2:$B$2700,2,FALSE),"")</f>
        <v>10</v>
      </c>
      <c r="G1205" s="52" t="s">
        <v>409</v>
      </c>
      <c r="H1205" s="54"/>
      <c r="I1205" s="55">
        <f t="shared" ref="I1205:I1237" si="413">SUM(J1205:M1205)</f>
        <v>0</v>
      </c>
      <c r="J1205" s="55">
        <v>0</v>
      </c>
      <c r="K1205" s="55">
        <v>0</v>
      </c>
      <c r="L1205" s="55">
        <v>0</v>
      </c>
      <c r="M1205" s="55">
        <v>0</v>
      </c>
      <c r="N1205" s="55">
        <f t="shared" ref="N1205:N1237" si="414">SUM(O1205:Q1205)</f>
        <v>0</v>
      </c>
      <c r="O1205" s="55">
        <v>0</v>
      </c>
      <c r="P1205" s="55">
        <v>0</v>
      </c>
      <c r="Q1205" s="55">
        <v>0</v>
      </c>
      <c r="R1205" s="55">
        <f t="shared" ref="R1205:R1237" si="415">SUM(S1205:U1205)</f>
        <v>0</v>
      </c>
      <c r="S1205" s="55">
        <v>0</v>
      </c>
      <c r="T1205" s="55">
        <v>0</v>
      </c>
      <c r="U1205" s="55">
        <v>0</v>
      </c>
      <c r="V1205" s="55">
        <v>0</v>
      </c>
      <c r="W1205" s="53">
        <v>0</v>
      </c>
      <c r="X1205" s="53">
        <v>0</v>
      </c>
      <c r="Y1205" s="55">
        <v>0</v>
      </c>
      <c r="Z1205" s="55">
        <v>0</v>
      </c>
      <c r="AA1205" s="53">
        <v>0</v>
      </c>
      <c r="AB1205" s="53">
        <v>0</v>
      </c>
      <c r="AC1205" s="55">
        <v>0</v>
      </c>
      <c r="AD1205" s="55">
        <f t="shared" ref="AD1205:AD1241" si="416">SUM(AE1205:AG1205)</f>
        <v>0</v>
      </c>
      <c r="AE1205" s="53">
        <v>0</v>
      </c>
      <c r="AF1205" s="55">
        <v>0</v>
      </c>
      <c r="AG1205" s="55">
        <v>0</v>
      </c>
      <c r="AH1205" s="55">
        <f t="shared" si="409"/>
        <v>0</v>
      </c>
      <c r="AI1205" s="55">
        <v>0</v>
      </c>
      <c r="AJ1205" s="55">
        <v>0</v>
      </c>
      <c r="AK1205" s="55">
        <v>0</v>
      </c>
      <c r="AL1205" s="55">
        <f t="shared" si="397"/>
        <v>0</v>
      </c>
      <c r="AM1205" s="55" t="s">
        <v>1912</v>
      </c>
      <c r="AN1205" s="55">
        <v>0</v>
      </c>
      <c r="AO1205" s="55">
        <v>0</v>
      </c>
      <c r="AP1205" s="55">
        <f t="shared" si="412"/>
        <v>0</v>
      </c>
      <c r="AQ1205" s="55">
        <f>IFERROR(VLOOKUP(A1205,[1]SIIMPLES!$A$2:$F$418,6,FALSE),0)</f>
        <v>0</v>
      </c>
      <c r="AR1205" s="55">
        <v>0</v>
      </c>
      <c r="AS1205" s="55">
        <v>0</v>
      </c>
      <c r="AT1205" s="55">
        <v>0</v>
      </c>
      <c r="AU1205" s="55">
        <v>0</v>
      </c>
      <c r="AV1205" s="55">
        <v>0</v>
      </c>
      <c r="AW1205" s="55"/>
      <c r="AX1205" s="55"/>
      <c r="AY1205" s="56">
        <f t="shared" ref="AY1205:AY1241" si="417">IFERROR(AVERAGE(I1205,N1205,R1205,V1205,Z1205,AD1205,AH1205,AL1205,AP1205,AS1205,AW1205,AX1205),"-")</f>
        <v>0</v>
      </c>
      <c r="AZ1205" s="55"/>
      <c r="BA1205" s="56">
        <v>0</v>
      </c>
      <c r="BB1205" s="41" t="str">
        <f t="shared" si="398"/>
        <v/>
      </c>
      <c r="BC1205" s="13"/>
      <c r="BD1205" s="35"/>
      <c r="BE1205" s="13"/>
      <c r="BF1205" s="16"/>
      <c r="BG1205" s="17" t="str">
        <f t="shared" si="410"/>
        <v>0</v>
      </c>
      <c r="BH1205" s="16">
        <f t="shared" si="411"/>
        <v>0</v>
      </c>
    </row>
    <row r="1206" spans="1:60" ht="12.75" customHeight="1" x14ac:dyDescent="0.2">
      <c r="A1206" s="51" t="s">
        <v>504</v>
      </c>
      <c r="B1206" s="51"/>
      <c r="C1206" s="66" t="s">
        <v>1803</v>
      </c>
      <c r="D1206" s="52" t="s">
        <v>763</v>
      </c>
      <c r="E1206" s="52" t="s">
        <v>780</v>
      </c>
      <c r="F1206" s="53">
        <f>IFERROR(VLOOKUP(E1206,Fornecedores!$A$2:$B$2700,2,FALSE),"")</f>
        <v>2</v>
      </c>
      <c r="G1206" s="52" t="s">
        <v>505</v>
      </c>
      <c r="H1206" s="54"/>
      <c r="I1206" s="55">
        <f t="shared" si="413"/>
        <v>0</v>
      </c>
      <c r="J1206" s="55">
        <v>0</v>
      </c>
      <c r="K1206" s="55">
        <v>0</v>
      </c>
      <c r="L1206" s="55">
        <v>0</v>
      </c>
      <c r="M1206" s="55">
        <v>0</v>
      </c>
      <c r="N1206" s="55">
        <f t="shared" si="414"/>
        <v>0</v>
      </c>
      <c r="O1206" s="55">
        <v>0</v>
      </c>
      <c r="P1206" s="55">
        <v>0</v>
      </c>
      <c r="Q1206" s="55">
        <v>0</v>
      </c>
      <c r="R1206" s="55">
        <f t="shared" si="415"/>
        <v>0</v>
      </c>
      <c r="S1206" s="55">
        <v>0</v>
      </c>
      <c r="T1206" s="55">
        <v>0</v>
      </c>
      <c r="U1206" s="55">
        <v>0</v>
      </c>
      <c r="V1206" s="55">
        <v>0</v>
      </c>
      <c r="W1206" s="53">
        <v>0</v>
      </c>
      <c r="X1206" s="53">
        <v>0</v>
      </c>
      <c r="Y1206" s="55">
        <v>0</v>
      </c>
      <c r="Z1206" s="55">
        <v>0</v>
      </c>
      <c r="AA1206" s="53">
        <v>0</v>
      </c>
      <c r="AB1206" s="53">
        <v>0</v>
      </c>
      <c r="AC1206" s="55">
        <v>0</v>
      </c>
      <c r="AD1206" s="55">
        <f t="shared" si="416"/>
        <v>0</v>
      </c>
      <c r="AE1206" s="53">
        <v>0</v>
      </c>
      <c r="AF1206" s="55">
        <v>0</v>
      </c>
      <c r="AG1206" s="55">
        <v>0</v>
      </c>
      <c r="AH1206" s="55">
        <f t="shared" si="409"/>
        <v>0</v>
      </c>
      <c r="AI1206" s="55">
        <v>0</v>
      </c>
      <c r="AJ1206" s="55">
        <v>0</v>
      </c>
      <c r="AK1206" s="55">
        <v>0</v>
      </c>
      <c r="AL1206" s="55">
        <f t="shared" si="397"/>
        <v>0</v>
      </c>
      <c r="AM1206" s="55" t="s">
        <v>1912</v>
      </c>
      <c r="AN1206" s="55">
        <v>0</v>
      </c>
      <c r="AO1206" s="55">
        <v>0</v>
      </c>
      <c r="AP1206" s="55">
        <f t="shared" si="412"/>
        <v>0</v>
      </c>
      <c r="AQ1206" s="55">
        <f>IFERROR(VLOOKUP(A1206,[1]SIIMPLES!$A$2:$F$418,6,FALSE),0)</f>
        <v>0</v>
      </c>
      <c r="AR1206" s="55">
        <v>0</v>
      </c>
      <c r="AS1206" s="55">
        <v>0</v>
      </c>
      <c r="AT1206" s="55">
        <v>0</v>
      </c>
      <c r="AU1206" s="55">
        <v>0</v>
      </c>
      <c r="AV1206" s="55">
        <v>0</v>
      </c>
      <c r="AW1206" s="55"/>
      <c r="AX1206" s="55"/>
      <c r="AY1206" s="56">
        <f t="shared" si="417"/>
        <v>0</v>
      </c>
      <c r="AZ1206" s="55"/>
      <c r="BA1206" s="56">
        <v>0</v>
      </c>
      <c r="BB1206" s="41" t="str">
        <f t="shared" si="398"/>
        <v/>
      </c>
      <c r="BC1206" s="7"/>
      <c r="BD1206" s="35"/>
      <c r="BE1206" s="13"/>
      <c r="BF1206" s="16"/>
      <c r="BG1206" s="17" t="str">
        <f t="shared" si="410"/>
        <v>0</v>
      </c>
      <c r="BH1206" s="16">
        <f t="shared" si="411"/>
        <v>0</v>
      </c>
    </row>
    <row r="1207" spans="1:60" ht="12.75" customHeight="1" x14ac:dyDescent="0.2">
      <c r="A1207" s="51" t="s">
        <v>467</v>
      </c>
      <c r="B1207" s="51" t="s">
        <v>1077</v>
      </c>
      <c r="C1207" s="66" t="s">
        <v>1803</v>
      </c>
      <c r="D1207" s="52" t="s">
        <v>763</v>
      </c>
      <c r="E1207" s="52" t="s">
        <v>1181</v>
      </c>
      <c r="F1207" s="53">
        <f>IFERROR(VLOOKUP(E1207,Fornecedores!$A$2:$B$2700,2,FALSE),"")</f>
        <v>9</v>
      </c>
      <c r="G1207" s="52" t="s">
        <v>468</v>
      </c>
      <c r="H1207" s="54"/>
      <c r="I1207" s="55">
        <f t="shared" si="413"/>
        <v>0</v>
      </c>
      <c r="J1207" s="55">
        <v>0</v>
      </c>
      <c r="K1207" s="55">
        <v>0</v>
      </c>
      <c r="L1207" s="55">
        <v>0</v>
      </c>
      <c r="M1207" s="55">
        <v>0</v>
      </c>
      <c r="N1207" s="55">
        <f t="shared" si="414"/>
        <v>0</v>
      </c>
      <c r="O1207" s="55">
        <v>0</v>
      </c>
      <c r="P1207" s="55">
        <v>0</v>
      </c>
      <c r="Q1207" s="55">
        <v>0</v>
      </c>
      <c r="R1207" s="55">
        <f t="shared" si="415"/>
        <v>0</v>
      </c>
      <c r="S1207" s="55">
        <v>0</v>
      </c>
      <c r="T1207" s="55">
        <v>0</v>
      </c>
      <c r="U1207" s="55">
        <v>0</v>
      </c>
      <c r="V1207" s="55">
        <v>0</v>
      </c>
      <c r="W1207" s="53">
        <v>0</v>
      </c>
      <c r="X1207" s="53">
        <v>0</v>
      </c>
      <c r="Y1207" s="55">
        <v>0</v>
      </c>
      <c r="Z1207" s="55">
        <v>0</v>
      </c>
      <c r="AA1207" s="53">
        <v>0</v>
      </c>
      <c r="AB1207" s="53">
        <v>0</v>
      </c>
      <c r="AC1207" s="55">
        <v>0</v>
      </c>
      <c r="AD1207" s="55">
        <f t="shared" si="416"/>
        <v>0</v>
      </c>
      <c r="AE1207" s="53">
        <v>0</v>
      </c>
      <c r="AF1207" s="55">
        <v>0</v>
      </c>
      <c r="AG1207" s="55">
        <v>0</v>
      </c>
      <c r="AH1207" s="55">
        <f t="shared" si="409"/>
        <v>0</v>
      </c>
      <c r="AI1207" s="55">
        <v>0</v>
      </c>
      <c r="AJ1207" s="55">
        <v>0</v>
      </c>
      <c r="AK1207" s="55">
        <v>0</v>
      </c>
      <c r="AL1207" s="55">
        <f t="shared" si="397"/>
        <v>0</v>
      </c>
      <c r="AM1207" s="55" t="s">
        <v>1912</v>
      </c>
      <c r="AN1207" s="55">
        <v>0</v>
      </c>
      <c r="AO1207" s="55">
        <v>0</v>
      </c>
      <c r="AP1207" s="55">
        <f t="shared" si="412"/>
        <v>0</v>
      </c>
      <c r="AQ1207" s="55">
        <f>IFERROR(VLOOKUP(A1207,[1]SIIMPLES!$A$2:$F$418,6,FALSE),0)</f>
        <v>0</v>
      </c>
      <c r="AR1207" s="55">
        <v>0</v>
      </c>
      <c r="AS1207" s="55">
        <v>0</v>
      </c>
      <c r="AT1207" s="55">
        <v>0</v>
      </c>
      <c r="AU1207" s="55">
        <v>0</v>
      </c>
      <c r="AV1207" s="55">
        <v>0</v>
      </c>
      <c r="AW1207" s="55"/>
      <c r="AX1207" s="55"/>
      <c r="AY1207" s="56">
        <f t="shared" si="417"/>
        <v>0</v>
      </c>
      <c r="AZ1207" s="55"/>
      <c r="BA1207" s="56">
        <v>1.1666666666666667</v>
      </c>
      <c r="BB1207" s="41">
        <f t="shared" si="398"/>
        <v>-1</v>
      </c>
      <c r="BC1207" s="13"/>
      <c r="BD1207" s="36"/>
      <c r="BE1207" s="7"/>
      <c r="BF1207" s="16"/>
      <c r="BG1207" s="17" t="str">
        <f t="shared" si="410"/>
        <v>0</v>
      </c>
      <c r="BH1207" s="16">
        <f t="shared" si="411"/>
        <v>0</v>
      </c>
    </row>
    <row r="1208" spans="1:60" ht="12.75" customHeight="1" x14ac:dyDescent="0.2">
      <c r="A1208" s="51" t="s">
        <v>378</v>
      </c>
      <c r="B1208" s="51"/>
      <c r="C1208" s="66" t="s">
        <v>1803</v>
      </c>
      <c r="D1208" s="52" t="s">
        <v>763</v>
      </c>
      <c r="E1208" s="52" t="s">
        <v>764</v>
      </c>
      <c r="F1208" s="53">
        <f>IFERROR(VLOOKUP(E1208,Fornecedores!$A$2:$B$2700,2,FALSE),"")</f>
        <v>10</v>
      </c>
      <c r="G1208" s="52" t="s">
        <v>379</v>
      </c>
      <c r="H1208" s="54"/>
      <c r="I1208" s="55">
        <f t="shared" si="413"/>
        <v>0</v>
      </c>
      <c r="J1208" s="55">
        <v>0</v>
      </c>
      <c r="K1208" s="55">
        <v>0</v>
      </c>
      <c r="L1208" s="55">
        <v>0</v>
      </c>
      <c r="M1208" s="55">
        <v>0</v>
      </c>
      <c r="N1208" s="55">
        <f t="shared" si="414"/>
        <v>0</v>
      </c>
      <c r="O1208" s="55">
        <v>0</v>
      </c>
      <c r="P1208" s="55">
        <v>0</v>
      </c>
      <c r="Q1208" s="55">
        <v>0</v>
      </c>
      <c r="R1208" s="55">
        <f t="shared" si="415"/>
        <v>0</v>
      </c>
      <c r="S1208" s="55">
        <v>0</v>
      </c>
      <c r="T1208" s="55">
        <v>0</v>
      </c>
      <c r="U1208" s="55">
        <v>0</v>
      </c>
      <c r="V1208" s="55">
        <v>0</v>
      </c>
      <c r="W1208" s="53">
        <v>0</v>
      </c>
      <c r="X1208" s="53">
        <v>0</v>
      </c>
      <c r="Y1208" s="55">
        <v>0</v>
      </c>
      <c r="Z1208" s="55">
        <v>0</v>
      </c>
      <c r="AA1208" s="53">
        <v>0</v>
      </c>
      <c r="AB1208" s="53">
        <v>0</v>
      </c>
      <c r="AC1208" s="55">
        <v>0</v>
      </c>
      <c r="AD1208" s="55">
        <f t="shared" si="416"/>
        <v>0</v>
      </c>
      <c r="AE1208" s="53">
        <v>0</v>
      </c>
      <c r="AF1208" s="55">
        <v>0</v>
      </c>
      <c r="AG1208" s="55">
        <v>0</v>
      </c>
      <c r="AH1208" s="55">
        <f t="shared" si="409"/>
        <v>0</v>
      </c>
      <c r="AI1208" s="55">
        <v>0</v>
      </c>
      <c r="AJ1208" s="55">
        <v>0</v>
      </c>
      <c r="AK1208" s="55">
        <v>0</v>
      </c>
      <c r="AL1208" s="55">
        <f t="shared" si="397"/>
        <v>0</v>
      </c>
      <c r="AM1208" s="55" t="s">
        <v>1912</v>
      </c>
      <c r="AN1208" s="55">
        <v>0</v>
      </c>
      <c r="AO1208" s="55">
        <v>0</v>
      </c>
      <c r="AP1208" s="55">
        <f t="shared" si="412"/>
        <v>0</v>
      </c>
      <c r="AQ1208" s="55">
        <f>IFERROR(VLOOKUP(A1208,[1]SIIMPLES!$A$2:$F$418,6,FALSE),0)</f>
        <v>0</v>
      </c>
      <c r="AR1208" s="55">
        <v>0</v>
      </c>
      <c r="AS1208" s="55">
        <v>0</v>
      </c>
      <c r="AT1208" s="55">
        <v>0</v>
      </c>
      <c r="AU1208" s="55">
        <v>0</v>
      </c>
      <c r="AV1208" s="55">
        <v>0</v>
      </c>
      <c r="AW1208" s="55"/>
      <c r="AX1208" s="55"/>
      <c r="AY1208" s="56">
        <f t="shared" si="417"/>
        <v>0</v>
      </c>
      <c r="AZ1208" s="55"/>
      <c r="BA1208" s="56">
        <v>0</v>
      </c>
      <c r="BB1208" s="41" t="str">
        <f t="shared" si="398"/>
        <v/>
      </c>
      <c r="BC1208" s="13"/>
      <c r="BD1208" s="35"/>
      <c r="BE1208" s="7"/>
      <c r="BF1208" s="16"/>
      <c r="BG1208" s="17" t="str">
        <f t="shared" si="410"/>
        <v>0</v>
      </c>
      <c r="BH1208" s="16">
        <f t="shared" si="411"/>
        <v>0</v>
      </c>
    </row>
    <row r="1209" spans="1:60" ht="12.75" customHeight="1" x14ac:dyDescent="0.2">
      <c r="A1209" s="51" t="s">
        <v>398</v>
      </c>
      <c r="B1209" s="51"/>
      <c r="C1209" s="66" t="s">
        <v>1803</v>
      </c>
      <c r="D1209" s="52" t="s">
        <v>763</v>
      </c>
      <c r="E1209" s="52" t="s">
        <v>764</v>
      </c>
      <c r="F1209" s="53">
        <f>IFERROR(VLOOKUP(E1209,Fornecedores!$A$2:$B$2700,2,FALSE),"")</f>
        <v>10</v>
      </c>
      <c r="G1209" s="52" t="s">
        <v>399</v>
      </c>
      <c r="H1209" s="54"/>
      <c r="I1209" s="55">
        <f t="shared" si="413"/>
        <v>0</v>
      </c>
      <c r="J1209" s="55">
        <v>0</v>
      </c>
      <c r="K1209" s="55">
        <v>0</v>
      </c>
      <c r="L1209" s="55">
        <v>0</v>
      </c>
      <c r="M1209" s="55">
        <v>0</v>
      </c>
      <c r="N1209" s="55">
        <f t="shared" si="414"/>
        <v>0</v>
      </c>
      <c r="O1209" s="55">
        <v>0</v>
      </c>
      <c r="P1209" s="55">
        <v>0</v>
      </c>
      <c r="Q1209" s="55">
        <v>0</v>
      </c>
      <c r="R1209" s="55">
        <f t="shared" si="415"/>
        <v>0</v>
      </c>
      <c r="S1209" s="55">
        <v>0</v>
      </c>
      <c r="T1209" s="55">
        <v>0</v>
      </c>
      <c r="U1209" s="55">
        <v>0</v>
      </c>
      <c r="V1209" s="55">
        <v>0</v>
      </c>
      <c r="W1209" s="53">
        <v>0</v>
      </c>
      <c r="X1209" s="53">
        <v>0</v>
      </c>
      <c r="Y1209" s="55">
        <v>0</v>
      </c>
      <c r="Z1209" s="55">
        <v>0</v>
      </c>
      <c r="AA1209" s="53">
        <v>0</v>
      </c>
      <c r="AB1209" s="53">
        <v>0</v>
      </c>
      <c r="AC1209" s="55">
        <v>0</v>
      </c>
      <c r="AD1209" s="55">
        <f t="shared" si="416"/>
        <v>0</v>
      </c>
      <c r="AE1209" s="53">
        <v>0</v>
      </c>
      <c r="AF1209" s="55">
        <v>0</v>
      </c>
      <c r="AG1209" s="55">
        <v>0</v>
      </c>
      <c r="AH1209" s="55">
        <f t="shared" si="409"/>
        <v>0</v>
      </c>
      <c r="AI1209" s="55">
        <v>0</v>
      </c>
      <c r="AJ1209" s="55">
        <v>0</v>
      </c>
      <c r="AK1209" s="55">
        <v>0</v>
      </c>
      <c r="AL1209" s="55">
        <f t="shared" si="397"/>
        <v>0</v>
      </c>
      <c r="AM1209" s="55" t="s">
        <v>1912</v>
      </c>
      <c r="AN1209" s="55">
        <v>0</v>
      </c>
      <c r="AO1209" s="55">
        <v>0</v>
      </c>
      <c r="AP1209" s="55">
        <f t="shared" si="412"/>
        <v>0</v>
      </c>
      <c r="AQ1209" s="55">
        <f>IFERROR(VLOOKUP(A1209,[1]SIIMPLES!$A$2:$F$418,6,FALSE),0)</f>
        <v>0</v>
      </c>
      <c r="AR1209" s="55">
        <v>0</v>
      </c>
      <c r="AS1209" s="55">
        <v>0</v>
      </c>
      <c r="AT1209" s="55">
        <v>0</v>
      </c>
      <c r="AU1209" s="55">
        <v>0</v>
      </c>
      <c r="AV1209" s="55">
        <v>0</v>
      </c>
      <c r="AW1209" s="55"/>
      <c r="AX1209" s="55"/>
      <c r="AY1209" s="56">
        <f t="shared" si="417"/>
        <v>0</v>
      </c>
      <c r="AZ1209" s="55"/>
      <c r="BA1209" s="56">
        <v>0</v>
      </c>
      <c r="BB1209" s="41" t="str">
        <f t="shared" si="398"/>
        <v/>
      </c>
      <c r="BC1209" s="13"/>
      <c r="BD1209" s="35"/>
      <c r="BE1209" s="7"/>
      <c r="BF1209" s="16"/>
      <c r="BG1209" s="17" t="str">
        <f t="shared" si="410"/>
        <v>0</v>
      </c>
      <c r="BH1209" s="16">
        <f t="shared" si="411"/>
        <v>0</v>
      </c>
    </row>
    <row r="1210" spans="1:60" ht="12.75" customHeight="1" x14ac:dyDescent="0.2">
      <c r="A1210" s="51" t="s">
        <v>1449</v>
      </c>
      <c r="B1210" s="51"/>
      <c r="C1210" s="66" t="s">
        <v>1803</v>
      </c>
      <c r="D1210" s="52" t="s">
        <v>745</v>
      </c>
      <c r="E1210" s="52" t="s">
        <v>780</v>
      </c>
      <c r="F1210" s="53">
        <f>IFERROR(VLOOKUP(E1210,Fornecedores!$A$2:$B$2700,2,FALSE),"")</f>
        <v>2</v>
      </c>
      <c r="G1210" s="52" t="s">
        <v>1731</v>
      </c>
      <c r="H1210" s="57"/>
      <c r="I1210" s="55">
        <f t="shared" si="413"/>
        <v>0</v>
      </c>
      <c r="J1210" s="55">
        <v>0</v>
      </c>
      <c r="K1210" s="55">
        <v>0</v>
      </c>
      <c r="L1210" s="55">
        <v>0</v>
      </c>
      <c r="M1210" s="55">
        <v>0</v>
      </c>
      <c r="N1210" s="55">
        <f t="shared" si="414"/>
        <v>0</v>
      </c>
      <c r="O1210" s="55">
        <v>0</v>
      </c>
      <c r="P1210" s="55">
        <v>0</v>
      </c>
      <c r="Q1210" s="55">
        <v>0</v>
      </c>
      <c r="R1210" s="55">
        <f t="shared" si="415"/>
        <v>0</v>
      </c>
      <c r="S1210" s="55">
        <v>0</v>
      </c>
      <c r="T1210" s="55">
        <v>0</v>
      </c>
      <c r="U1210" s="55">
        <v>0</v>
      </c>
      <c r="V1210" s="55">
        <v>0</v>
      </c>
      <c r="W1210" s="53">
        <v>0</v>
      </c>
      <c r="X1210" s="53">
        <v>0</v>
      </c>
      <c r="Y1210" s="55">
        <v>0</v>
      </c>
      <c r="Z1210" s="55">
        <v>0</v>
      </c>
      <c r="AA1210" s="53">
        <v>0</v>
      </c>
      <c r="AB1210" s="53">
        <v>0</v>
      </c>
      <c r="AC1210" s="55">
        <v>0</v>
      </c>
      <c r="AD1210" s="55">
        <f t="shared" si="416"/>
        <v>0</v>
      </c>
      <c r="AE1210" s="53">
        <v>0</v>
      </c>
      <c r="AF1210" s="55">
        <v>0</v>
      </c>
      <c r="AG1210" s="55">
        <v>0</v>
      </c>
      <c r="AH1210" s="55">
        <f t="shared" si="409"/>
        <v>0</v>
      </c>
      <c r="AI1210" s="55">
        <v>0</v>
      </c>
      <c r="AJ1210" s="55">
        <v>0</v>
      </c>
      <c r="AK1210" s="55">
        <v>0</v>
      </c>
      <c r="AL1210" s="55">
        <f t="shared" si="397"/>
        <v>0</v>
      </c>
      <c r="AM1210" s="55" t="s">
        <v>1912</v>
      </c>
      <c r="AN1210" s="55">
        <v>0</v>
      </c>
      <c r="AO1210" s="55">
        <v>0</v>
      </c>
      <c r="AP1210" s="55">
        <f t="shared" si="412"/>
        <v>0</v>
      </c>
      <c r="AQ1210" s="55">
        <f>IFERROR(VLOOKUP(A1210,[1]SIIMPLES!$A$2:$F$418,6,FALSE),0)</f>
        <v>0</v>
      </c>
      <c r="AR1210" s="55">
        <v>0</v>
      </c>
      <c r="AS1210" s="55">
        <v>0</v>
      </c>
      <c r="AT1210" s="55">
        <v>0</v>
      </c>
      <c r="AU1210" s="55">
        <v>0</v>
      </c>
      <c r="AV1210" s="55">
        <v>0</v>
      </c>
      <c r="AW1210" s="57"/>
      <c r="AX1210" s="55"/>
      <c r="AY1210" s="56">
        <f t="shared" si="417"/>
        <v>0</v>
      </c>
      <c r="AZ1210" s="55"/>
      <c r="BA1210" s="56">
        <v>2</v>
      </c>
      <c r="BB1210" s="41">
        <f t="shared" si="398"/>
        <v>-1</v>
      </c>
      <c r="BC1210" s="13"/>
      <c r="BD1210" s="35"/>
      <c r="BE1210" s="7"/>
      <c r="BF1210" s="16"/>
      <c r="BG1210" s="17" t="str">
        <f t="shared" si="410"/>
        <v>0</v>
      </c>
      <c r="BH1210" s="16">
        <f t="shared" si="411"/>
        <v>0</v>
      </c>
    </row>
    <row r="1211" spans="1:60" ht="12.75" customHeight="1" x14ac:dyDescent="0.2">
      <c r="A1211" s="51" t="s">
        <v>1494</v>
      </c>
      <c r="B1211" s="51"/>
      <c r="C1211" s="66" t="s">
        <v>1803</v>
      </c>
      <c r="D1211" s="52" t="s">
        <v>745</v>
      </c>
      <c r="E1211" s="52" t="s">
        <v>780</v>
      </c>
      <c r="F1211" s="53">
        <f>IFERROR(VLOOKUP(E1211,Fornecedores!$A$2:$B$2700,2,FALSE),"")</f>
        <v>2</v>
      </c>
      <c r="G1211" s="52" t="s">
        <v>1502</v>
      </c>
      <c r="H1211" s="57"/>
      <c r="I1211" s="55">
        <f t="shared" si="413"/>
        <v>0</v>
      </c>
      <c r="J1211" s="55">
        <v>0</v>
      </c>
      <c r="K1211" s="55">
        <v>0</v>
      </c>
      <c r="L1211" s="55">
        <v>0</v>
      </c>
      <c r="M1211" s="55">
        <v>0</v>
      </c>
      <c r="N1211" s="55">
        <f t="shared" si="414"/>
        <v>0</v>
      </c>
      <c r="O1211" s="55">
        <v>0</v>
      </c>
      <c r="P1211" s="55">
        <v>0</v>
      </c>
      <c r="Q1211" s="55">
        <v>0</v>
      </c>
      <c r="R1211" s="55">
        <f t="shared" si="415"/>
        <v>0</v>
      </c>
      <c r="S1211" s="55">
        <v>0</v>
      </c>
      <c r="T1211" s="55">
        <v>0</v>
      </c>
      <c r="U1211" s="55">
        <v>0</v>
      </c>
      <c r="V1211" s="55">
        <v>4</v>
      </c>
      <c r="W1211" s="53">
        <v>0</v>
      </c>
      <c r="X1211" s="53">
        <v>4</v>
      </c>
      <c r="Y1211" s="55">
        <v>0</v>
      </c>
      <c r="Z1211" s="55">
        <v>0</v>
      </c>
      <c r="AA1211" s="53">
        <v>0</v>
      </c>
      <c r="AB1211" s="53">
        <v>0</v>
      </c>
      <c r="AC1211" s="55">
        <v>0</v>
      </c>
      <c r="AD1211" s="55">
        <f t="shared" si="416"/>
        <v>0</v>
      </c>
      <c r="AE1211" s="53">
        <v>0</v>
      </c>
      <c r="AF1211" s="55">
        <v>0</v>
      </c>
      <c r="AG1211" s="55">
        <v>0</v>
      </c>
      <c r="AH1211" s="55">
        <f t="shared" si="409"/>
        <v>0</v>
      </c>
      <c r="AI1211" s="55">
        <v>0</v>
      </c>
      <c r="AJ1211" s="55">
        <v>0</v>
      </c>
      <c r="AK1211" s="55">
        <v>0</v>
      </c>
      <c r="AL1211" s="55">
        <f t="shared" si="397"/>
        <v>0</v>
      </c>
      <c r="AM1211" s="55" t="s">
        <v>1912</v>
      </c>
      <c r="AN1211" s="55">
        <v>0</v>
      </c>
      <c r="AO1211" s="55">
        <v>0</v>
      </c>
      <c r="AP1211" s="55">
        <f t="shared" si="412"/>
        <v>0</v>
      </c>
      <c r="AQ1211" s="55">
        <f>IFERROR(VLOOKUP(A1211,[1]SIIMPLES!$A$2:$F$418,6,FALSE),0)</f>
        <v>0</v>
      </c>
      <c r="AR1211" s="55">
        <v>0</v>
      </c>
      <c r="AS1211" s="55">
        <v>0</v>
      </c>
      <c r="AT1211" s="55">
        <v>0</v>
      </c>
      <c r="AU1211" s="55">
        <v>0</v>
      </c>
      <c r="AV1211" s="55">
        <v>0</v>
      </c>
      <c r="AW1211" s="57"/>
      <c r="AX1211" s="57"/>
      <c r="AY1211" s="56">
        <f t="shared" si="417"/>
        <v>0.4</v>
      </c>
      <c r="AZ1211" s="55"/>
      <c r="BA1211" s="56" t="s">
        <v>1912</v>
      </c>
      <c r="BB1211" s="41" t="str">
        <f t="shared" si="398"/>
        <v/>
      </c>
      <c r="BC1211" s="13"/>
      <c r="BD1211" s="35"/>
      <c r="BE1211" s="7"/>
      <c r="BF1211" s="16"/>
      <c r="BG1211" s="17">
        <f t="shared" si="410"/>
        <v>0</v>
      </c>
      <c r="BH1211" s="16">
        <f t="shared" si="411"/>
        <v>0.4</v>
      </c>
    </row>
    <row r="1212" spans="1:60" ht="12.75" customHeight="1" x14ac:dyDescent="0.2">
      <c r="A1212" s="51" t="s">
        <v>787</v>
      </c>
      <c r="B1212" s="51" t="s">
        <v>1086</v>
      </c>
      <c r="C1212" s="66" t="s">
        <v>1803</v>
      </c>
      <c r="D1212" s="52" t="s">
        <v>745</v>
      </c>
      <c r="E1212" s="52" t="s">
        <v>780</v>
      </c>
      <c r="F1212" s="53">
        <f>IFERROR(VLOOKUP(E1212,Fornecedores!$A$2:$B$2700,2,FALSE),"")</f>
        <v>2</v>
      </c>
      <c r="G1212" s="52" t="s">
        <v>929</v>
      </c>
      <c r="H1212" s="54"/>
      <c r="I1212" s="55">
        <f t="shared" si="413"/>
        <v>0</v>
      </c>
      <c r="J1212" s="55">
        <v>0</v>
      </c>
      <c r="K1212" s="55">
        <v>0</v>
      </c>
      <c r="L1212" s="55">
        <v>0</v>
      </c>
      <c r="M1212" s="55">
        <v>0</v>
      </c>
      <c r="N1212" s="55">
        <f t="shared" si="414"/>
        <v>0</v>
      </c>
      <c r="O1212" s="55">
        <v>0</v>
      </c>
      <c r="P1212" s="55">
        <v>0</v>
      </c>
      <c r="Q1212" s="55">
        <v>0</v>
      </c>
      <c r="R1212" s="55">
        <f t="shared" si="415"/>
        <v>0</v>
      </c>
      <c r="S1212" s="55">
        <v>0</v>
      </c>
      <c r="T1212" s="55">
        <v>0</v>
      </c>
      <c r="U1212" s="55">
        <v>0</v>
      </c>
      <c r="V1212" s="55">
        <v>0</v>
      </c>
      <c r="W1212" s="53">
        <v>0</v>
      </c>
      <c r="X1212" s="53">
        <v>0</v>
      </c>
      <c r="Y1212" s="55">
        <v>0</v>
      </c>
      <c r="Z1212" s="55">
        <v>0</v>
      </c>
      <c r="AA1212" s="53">
        <v>0</v>
      </c>
      <c r="AB1212" s="53">
        <v>0</v>
      </c>
      <c r="AC1212" s="55">
        <v>0</v>
      </c>
      <c r="AD1212" s="55">
        <f t="shared" si="416"/>
        <v>0</v>
      </c>
      <c r="AE1212" s="53">
        <v>0</v>
      </c>
      <c r="AF1212" s="55">
        <v>0</v>
      </c>
      <c r="AG1212" s="55">
        <v>0</v>
      </c>
      <c r="AH1212" s="55">
        <f t="shared" si="409"/>
        <v>0</v>
      </c>
      <c r="AI1212" s="55">
        <v>0</v>
      </c>
      <c r="AJ1212" s="55">
        <v>0</v>
      </c>
      <c r="AK1212" s="55">
        <v>0</v>
      </c>
      <c r="AL1212" s="55">
        <f t="shared" si="397"/>
        <v>4</v>
      </c>
      <c r="AM1212" s="55" t="s">
        <v>1912</v>
      </c>
      <c r="AN1212" s="55">
        <v>0</v>
      </c>
      <c r="AO1212" s="55">
        <v>4</v>
      </c>
      <c r="AP1212" s="55">
        <f t="shared" si="412"/>
        <v>0</v>
      </c>
      <c r="AQ1212" s="55">
        <f>IFERROR(VLOOKUP(A1212,[1]SIIMPLES!$A$2:$F$418,6,FALSE),0)</f>
        <v>0</v>
      </c>
      <c r="AR1212" s="55">
        <v>0</v>
      </c>
      <c r="AS1212" s="55">
        <v>1</v>
      </c>
      <c r="AT1212" s="55">
        <v>1</v>
      </c>
      <c r="AU1212" s="55">
        <v>0</v>
      </c>
      <c r="AV1212" s="55">
        <v>0</v>
      </c>
      <c r="AW1212" s="55"/>
      <c r="AX1212" s="55"/>
      <c r="AY1212" s="56">
        <f t="shared" si="417"/>
        <v>0.5</v>
      </c>
      <c r="AZ1212" s="55"/>
      <c r="BA1212" s="56">
        <v>9.6666666666666661</v>
      </c>
      <c r="BB1212" s="41">
        <f t="shared" si="398"/>
        <v>-0.94827586206896552</v>
      </c>
      <c r="BC1212" s="13"/>
      <c r="BD1212" s="35"/>
      <c r="BE1212" s="7"/>
      <c r="BF1212" s="16"/>
      <c r="BG1212" s="17">
        <f t="shared" si="410"/>
        <v>0</v>
      </c>
      <c r="BH1212" s="16">
        <f t="shared" si="411"/>
        <v>0.5</v>
      </c>
    </row>
    <row r="1213" spans="1:60" ht="12.75" customHeight="1" x14ac:dyDescent="0.2">
      <c r="A1213" s="51" t="s">
        <v>832</v>
      </c>
      <c r="B1213" s="51" t="s">
        <v>1077</v>
      </c>
      <c r="C1213" s="66" t="s">
        <v>1803</v>
      </c>
      <c r="D1213" s="52" t="s">
        <v>745</v>
      </c>
      <c r="E1213" s="52" t="s">
        <v>780</v>
      </c>
      <c r="F1213" s="53">
        <f>IFERROR(VLOOKUP(E1213,Fornecedores!$A$2:$B$2700,2,FALSE),"")</f>
        <v>2</v>
      </c>
      <c r="G1213" s="52" t="s">
        <v>1055</v>
      </c>
      <c r="H1213" s="57"/>
      <c r="I1213" s="55">
        <f t="shared" si="413"/>
        <v>4</v>
      </c>
      <c r="J1213" s="55">
        <v>0</v>
      </c>
      <c r="K1213" s="55">
        <v>0</v>
      </c>
      <c r="L1213" s="55">
        <v>0</v>
      </c>
      <c r="M1213" s="55">
        <v>4</v>
      </c>
      <c r="N1213" s="55">
        <f t="shared" si="414"/>
        <v>0</v>
      </c>
      <c r="O1213" s="55">
        <v>0</v>
      </c>
      <c r="P1213" s="55">
        <v>0</v>
      </c>
      <c r="Q1213" s="55">
        <v>0</v>
      </c>
      <c r="R1213" s="55">
        <f t="shared" si="415"/>
        <v>0</v>
      </c>
      <c r="S1213" s="55">
        <v>0</v>
      </c>
      <c r="T1213" s="55">
        <v>0</v>
      </c>
      <c r="U1213" s="55">
        <v>0</v>
      </c>
      <c r="V1213" s="55">
        <v>0</v>
      </c>
      <c r="W1213" s="53">
        <v>0</v>
      </c>
      <c r="X1213" s="53">
        <v>0</v>
      </c>
      <c r="Y1213" s="55">
        <v>0</v>
      </c>
      <c r="Z1213" s="55">
        <v>0</v>
      </c>
      <c r="AA1213" s="53">
        <v>0</v>
      </c>
      <c r="AB1213" s="53">
        <v>0</v>
      </c>
      <c r="AC1213" s="55">
        <v>0</v>
      </c>
      <c r="AD1213" s="55">
        <f t="shared" si="416"/>
        <v>0</v>
      </c>
      <c r="AE1213" s="53">
        <v>0</v>
      </c>
      <c r="AF1213" s="55">
        <v>0</v>
      </c>
      <c r="AG1213" s="55">
        <v>0</v>
      </c>
      <c r="AH1213" s="55">
        <f t="shared" si="409"/>
        <v>0</v>
      </c>
      <c r="AI1213" s="55">
        <v>0</v>
      </c>
      <c r="AJ1213" s="55">
        <v>0</v>
      </c>
      <c r="AK1213" s="55">
        <v>0</v>
      </c>
      <c r="AL1213" s="55">
        <f t="shared" si="397"/>
        <v>0</v>
      </c>
      <c r="AM1213" s="55" t="s">
        <v>1912</v>
      </c>
      <c r="AN1213" s="55">
        <v>0</v>
      </c>
      <c r="AO1213" s="55">
        <v>0</v>
      </c>
      <c r="AP1213" s="55">
        <f t="shared" si="412"/>
        <v>0</v>
      </c>
      <c r="AQ1213" s="55">
        <f>IFERROR(VLOOKUP(A1213,[1]SIIMPLES!$A$2:$F$418,6,FALSE),0)</f>
        <v>0</v>
      </c>
      <c r="AR1213" s="55">
        <v>0</v>
      </c>
      <c r="AS1213" s="55">
        <v>0</v>
      </c>
      <c r="AT1213" s="55">
        <v>0</v>
      </c>
      <c r="AU1213" s="55">
        <v>0</v>
      </c>
      <c r="AV1213" s="55">
        <v>0</v>
      </c>
      <c r="AW1213" s="55"/>
      <c r="AX1213" s="55"/>
      <c r="AY1213" s="56">
        <f t="shared" si="417"/>
        <v>0.4</v>
      </c>
      <c r="AZ1213" s="55"/>
      <c r="BA1213" s="56">
        <v>0</v>
      </c>
      <c r="BB1213" s="41" t="str">
        <f t="shared" si="398"/>
        <v/>
      </c>
      <c r="BC1213" s="13"/>
      <c r="BD1213" s="35"/>
      <c r="BE1213" s="13"/>
      <c r="BF1213" s="16"/>
      <c r="BG1213" s="17">
        <f t="shared" si="410"/>
        <v>0</v>
      </c>
      <c r="BH1213" s="16"/>
    </row>
    <row r="1214" spans="1:60" ht="12.75" customHeight="1" x14ac:dyDescent="0.2">
      <c r="A1214" s="51" t="s">
        <v>1108</v>
      </c>
      <c r="B1214" s="51"/>
      <c r="C1214" s="66" t="s">
        <v>1803</v>
      </c>
      <c r="D1214" s="52" t="s">
        <v>745</v>
      </c>
      <c r="E1214" s="52" t="s">
        <v>780</v>
      </c>
      <c r="F1214" s="53">
        <f>IFERROR(VLOOKUP(E1214,Fornecedores!$A$2:$B$2700,2,FALSE),"")</f>
        <v>2</v>
      </c>
      <c r="G1214" s="52" t="s">
        <v>1152</v>
      </c>
      <c r="H1214" s="54"/>
      <c r="I1214" s="55">
        <f t="shared" si="413"/>
        <v>51</v>
      </c>
      <c r="J1214" s="55">
        <v>0</v>
      </c>
      <c r="K1214" s="55">
        <v>0</v>
      </c>
      <c r="L1214" s="55">
        <v>17</v>
      </c>
      <c r="M1214" s="55">
        <v>34</v>
      </c>
      <c r="N1214" s="55">
        <f t="shared" si="414"/>
        <v>0</v>
      </c>
      <c r="O1214" s="55">
        <v>0</v>
      </c>
      <c r="P1214" s="55">
        <v>0</v>
      </c>
      <c r="Q1214" s="55">
        <v>0</v>
      </c>
      <c r="R1214" s="55">
        <f t="shared" si="415"/>
        <v>0</v>
      </c>
      <c r="S1214" s="55">
        <v>0</v>
      </c>
      <c r="T1214" s="55">
        <v>0</v>
      </c>
      <c r="U1214" s="55">
        <v>0</v>
      </c>
      <c r="V1214" s="55">
        <v>0</v>
      </c>
      <c r="W1214" s="53">
        <v>0</v>
      </c>
      <c r="X1214" s="53">
        <v>0</v>
      </c>
      <c r="Y1214" s="55">
        <v>0</v>
      </c>
      <c r="Z1214" s="55">
        <v>0</v>
      </c>
      <c r="AA1214" s="53">
        <v>0</v>
      </c>
      <c r="AB1214" s="53">
        <v>0</v>
      </c>
      <c r="AC1214" s="55">
        <v>0</v>
      </c>
      <c r="AD1214" s="55">
        <f t="shared" si="416"/>
        <v>0</v>
      </c>
      <c r="AE1214" s="53">
        <v>0</v>
      </c>
      <c r="AF1214" s="55">
        <v>0</v>
      </c>
      <c r="AG1214" s="55">
        <v>0</v>
      </c>
      <c r="AH1214" s="55">
        <f t="shared" si="409"/>
        <v>0</v>
      </c>
      <c r="AI1214" s="55">
        <v>0</v>
      </c>
      <c r="AJ1214" s="55">
        <v>0</v>
      </c>
      <c r="AK1214" s="55">
        <v>0</v>
      </c>
      <c r="AL1214" s="55">
        <f t="shared" si="397"/>
        <v>0</v>
      </c>
      <c r="AM1214" s="55" t="s">
        <v>1912</v>
      </c>
      <c r="AN1214" s="55">
        <v>0</v>
      </c>
      <c r="AO1214" s="55">
        <v>0</v>
      </c>
      <c r="AP1214" s="55">
        <f t="shared" si="412"/>
        <v>0</v>
      </c>
      <c r="AQ1214" s="55">
        <f>IFERROR(VLOOKUP(A1214,[1]SIIMPLES!$A$2:$F$418,6,FALSE),0)</f>
        <v>0</v>
      </c>
      <c r="AR1214" s="55">
        <v>0</v>
      </c>
      <c r="AS1214" s="55">
        <v>0</v>
      </c>
      <c r="AT1214" s="55">
        <v>0</v>
      </c>
      <c r="AU1214" s="55">
        <v>0</v>
      </c>
      <c r="AV1214" s="55">
        <v>0</v>
      </c>
      <c r="AW1214" s="55"/>
      <c r="AX1214" s="55"/>
      <c r="AY1214" s="56">
        <f t="shared" si="417"/>
        <v>5.0999999999999996</v>
      </c>
      <c r="AZ1214" s="55"/>
      <c r="BA1214" s="56">
        <v>0</v>
      </c>
      <c r="BB1214" s="41" t="str">
        <f t="shared" si="398"/>
        <v/>
      </c>
      <c r="BC1214" s="13"/>
      <c r="BD1214" s="37"/>
      <c r="BE1214" s="7"/>
      <c r="BF1214" s="7"/>
      <c r="BG1214" s="17">
        <f t="shared" si="410"/>
        <v>0</v>
      </c>
      <c r="BH1214" s="7"/>
    </row>
    <row r="1215" spans="1:60" ht="12.75" customHeight="1" x14ac:dyDescent="0.2">
      <c r="A1215" s="51" t="s">
        <v>1109</v>
      </c>
      <c r="B1215" s="51"/>
      <c r="C1215" s="66" t="s">
        <v>1803</v>
      </c>
      <c r="D1215" s="52" t="s">
        <v>745</v>
      </c>
      <c r="E1215" s="52" t="s">
        <v>780</v>
      </c>
      <c r="F1215" s="53">
        <f>IFERROR(VLOOKUP(E1215,Fornecedores!$A$2:$B$2700,2,FALSE),"")</f>
        <v>2</v>
      </c>
      <c r="G1215" s="52" t="s">
        <v>1219</v>
      </c>
      <c r="H1215" s="54"/>
      <c r="I1215" s="55">
        <f t="shared" si="413"/>
        <v>0</v>
      </c>
      <c r="J1215" s="55">
        <v>0</v>
      </c>
      <c r="K1215" s="55">
        <v>0</v>
      </c>
      <c r="L1215" s="55">
        <v>0</v>
      </c>
      <c r="M1215" s="55">
        <v>0</v>
      </c>
      <c r="N1215" s="55">
        <f t="shared" si="414"/>
        <v>0</v>
      </c>
      <c r="O1215" s="55">
        <v>0</v>
      </c>
      <c r="P1215" s="55">
        <v>0</v>
      </c>
      <c r="Q1215" s="55">
        <v>0</v>
      </c>
      <c r="R1215" s="55">
        <f t="shared" si="415"/>
        <v>0</v>
      </c>
      <c r="S1215" s="55">
        <v>0</v>
      </c>
      <c r="T1215" s="55">
        <v>0</v>
      </c>
      <c r="U1215" s="55">
        <v>0</v>
      </c>
      <c r="V1215" s="55">
        <v>0</v>
      </c>
      <c r="W1215" s="53">
        <v>0</v>
      </c>
      <c r="X1215" s="53">
        <v>0</v>
      </c>
      <c r="Y1215" s="55">
        <v>0</v>
      </c>
      <c r="Z1215" s="55">
        <v>0</v>
      </c>
      <c r="AA1215" s="53">
        <v>0</v>
      </c>
      <c r="AB1215" s="53">
        <v>0</v>
      </c>
      <c r="AC1215" s="55">
        <v>0</v>
      </c>
      <c r="AD1215" s="55">
        <f t="shared" si="416"/>
        <v>0</v>
      </c>
      <c r="AE1215" s="53">
        <v>0</v>
      </c>
      <c r="AF1215" s="55">
        <v>0</v>
      </c>
      <c r="AG1215" s="55">
        <v>0</v>
      </c>
      <c r="AH1215" s="55">
        <f t="shared" si="409"/>
        <v>0</v>
      </c>
      <c r="AI1215" s="55">
        <v>0</v>
      </c>
      <c r="AJ1215" s="55">
        <v>0</v>
      </c>
      <c r="AK1215" s="55">
        <v>0</v>
      </c>
      <c r="AL1215" s="55">
        <f t="shared" si="397"/>
        <v>0</v>
      </c>
      <c r="AM1215" s="55" t="s">
        <v>1912</v>
      </c>
      <c r="AN1215" s="55">
        <v>0</v>
      </c>
      <c r="AO1215" s="55">
        <v>0</v>
      </c>
      <c r="AP1215" s="55">
        <f t="shared" si="412"/>
        <v>0</v>
      </c>
      <c r="AQ1215" s="55">
        <f>IFERROR(VLOOKUP(A1215,[1]SIIMPLES!$A$2:$F$418,6,FALSE),0)</f>
        <v>0</v>
      </c>
      <c r="AR1215" s="55">
        <v>0</v>
      </c>
      <c r="AS1215" s="55">
        <v>2</v>
      </c>
      <c r="AT1215" s="55">
        <v>2</v>
      </c>
      <c r="AU1215" s="55">
        <v>0</v>
      </c>
      <c r="AV1215" s="55">
        <v>0</v>
      </c>
      <c r="AW1215" s="55"/>
      <c r="AX1215" s="55"/>
      <c r="AY1215" s="56">
        <f t="shared" si="417"/>
        <v>0.2</v>
      </c>
      <c r="AZ1215" s="55"/>
      <c r="BA1215" s="56">
        <v>2</v>
      </c>
      <c r="BB1215" s="41">
        <f t="shared" si="398"/>
        <v>-0.9</v>
      </c>
      <c r="BC1215" s="13"/>
      <c r="BD1215" s="35"/>
      <c r="BE1215" s="13"/>
      <c r="BF1215" s="16"/>
      <c r="BG1215" s="17">
        <f t="shared" si="410"/>
        <v>0</v>
      </c>
      <c r="BH1215" s="7"/>
    </row>
    <row r="1216" spans="1:60" ht="12.75" customHeight="1" x14ac:dyDescent="0.2">
      <c r="A1216" s="51" t="s">
        <v>90</v>
      </c>
      <c r="B1216" s="51"/>
      <c r="C1216" s="66" t="s">
        <v>1803</v>
      </c>
      <c r="D1216" s="52" t="s">
        <v>763</v>
      </c>
      <c r="E1216" s="52" t="s">
        <v>764</v>
      </c>
      <c r="F1216" s="53">
        <f>IFERROR(VLOOKUP(E1216,Fornecedores!$A$2:$B$2700,2,FALSE),"")</f>
        <v>10</v>
      </c>
      <c r="G1216" s="52" t="s">
        <v>91</v>
      </c>
      <c r="H1216" s="54"/>
      <c r="I1216" s="55">
        <f t="shared" si="413"/>
        <v>0</v>
      </c>
      <c r="J1216" s="55">
        <v>0</v>
      </c>
      <c r="K1216" s="55">
        <v>0</v>
      </c>
      <c r="L1216" s="55">
        <v>0</v>
      </c>
      <c r="M1216" s="55">
        <v>0</v>
      </c>
      <c r="N1216" s="55">
        <f t="shared" si="414"/>
        <v>0</v>
      </c>
      <c r="O1216" s="55">
        <v>0</v>
      </c>
      <c r="P1216" s="55">
        <v>0</v>
      </c>
      <c r="Q1216" s="55">
        <v>0</v>
      </c>
      <c r="R1216" s="55">
        <f t="shared" si="415"/>
        <v>0</v>
      </c>
      <c r="S1216" s="55">
        <v>0</v>
      </c>
      <c r="T1216" s="55">
        <v>0</v>
      </c>
      <c r="U1216" s="55">
        <v>0</v>
      </c>
      <c r="V1216" s="55">
        <v>0</v>
      </c>
      <c r="W1216" s="53">
        <v>0</v>
      </c>
      <c r="X1216" s="53">
        <v>0</v>
      </c>
      <c r="Y1216" s="55">
        <v>0</v>
      </c>
      <c r="Z1216" s="55">
        <v>0</v>
      </c>
      <c r="AA1216" s="53">
        <v>0</v>
      </c>
      <c r="AB1216" s="53">
        <v>0</v>
      </c>
      <c r="AC1216" s="55">
        <v>0</v>
      </c>
      <c r="AD1216" s="55">
        <f t="shared" si="416"/>
        <v>0</v>
      </c>
      <c r="AE1216" s="53">
        <v>0</v>
      </c>
      <c r="AF1216" s="55">
        <v>0</v>
      </c>
      <c r="AG1216" s="55">
        <v>0</v>
      </c>
      <c r="AH1216" s="55">
        <f t="shared" si="409"/>
        <v>0</v>
      </c>
      <c r="AI1216" s="55">
        <v>0</v>
      </c>
      <c r="AJ1216" s="55">
        <v>0</v>
      </c>
      <c r="AK1216" s="55">
        <v>0</v>
      </c>
      <c r="AL1216" s="55">
        <f t="shared" si="397"/>
        <v>0</v>
      </c>
      <c r="AM1216" s="55" t="s">
        <v>1912</v>
      </c>
      <c r="AN1216" s="55">
        <v>0</v>
      </c>
      <c r="AO1216" s="55">
        <v>0</v>
      </c>
      <c r="AP1216" s="55">
        <f t="shared" si="412"/>
        <v>0</v>
      </c>
      <c r="AQ1216" s="55">
        <f>IFERROR(VLOOKUP(A1216,[1]SIIMPLES!$A$2:$F$418,6,FALSE),0)</f>
        <v>0</v>
      </c>
      <c r="AR1216" s="55">
        <v>0</v>
      </c>
      <c r="AS1216" s="55">
        <v>0</v>
      </c>
      <c r="AT1216" s="55">
        <v>0</v>
      </c>
      <c r="AU1216" s="55">
        <v>0</v>
      </c>
      <c r="AV1216" s="55">
        <v>0</v>
      </c>
      <c r="AW1216" s="55"/>
      <c r="AX1216" s="55"/>
      <c r="AY1216" s="56">
        <f t="shared" si="417"/>
        <v>0</v>
      </c>
      <c r="AZ1216" s="55"/>
      <c r="BA1216" s="56">
        <v>0</v>
      </c>
      <c r="BB1216" s="41" t="str">
        <f t="shared" si="398"/>
        <v/>
      </c>
      <c r="BC1216" s="13"/>
      <c r="BD1216" s="35"/>
      <c r="BE1216" s="13"/>
      <c r="BF1216" s="16"/>
      <c r="BG1216" s="17" t="str">
        <f t="shared" si="410"/>
        <v>0</v>
      </c>
      <c r="BH1216" s="7"/>
    </row>
    <row r="1217" spans="1:60" ht="12.75" customHeight="1" x14ac:dyDescent="0.2">
      <c r="A1217" s="51" t="s">
        <v>785</v>
      </c>
      <c r="B1217" s="51" t="s">
        <v>1077</v>
      </c>
      <c r="C1217" s="66" t="s">
        <v>1803</v>
      </c>
      <c r="D1217" s="52" t="s">
        <v>745</v>
      </c>
      <c r="E1217" s="52" t="s">
        <v>780</v>
      </c>
      <c r="F1217" s="53">
        <f>IFERROR(VLOOKUP(E1217,Fornecedores!$A$2:$B$2700,2,FALSE),"")</f>
        <v>2</v>
      </c>
      <c r="G1217" s="52" t="s">
        <v>931</v>
      </c>
      <c r="H1217" s="54"/>
      <c r="I1217" s="55">
        <f t="shared" si="413"/>
        <v>4</v>
      </c>
      <c r="J1217" s="55">
        <v>0</v>
      </c>
      <c r="K1217" s="55">
        <v>4</v>
      </c>
      <c r="L1217" s="55">
        <v>0</v>
      </c>
      <c r="M1217" s="55">
        <v>0</v>
      </c>
      <c r="N1217" s="55">
        <f t="shared" si="414"/>
        <v>6</v>
      </c>
      <c r="O1217" s="55">
        <v>0</v>
      </c>
      <c r="P1217" s="55">
        <v>0</v>
      </c>
      <c r="Q1217" s="55">
        <v>6</v>
      </c>
      <c r="R1217" s="55">
        <f t="shared" si="415"/>
        <v>4</v>
      </c>
      <c r="S1217" s="55">
        <v>0</v>
      </c>
      <c r="T1217" s="55">
        <v>4</v>
      </c>
      <c r="U1217" s="55">
        <v>0</v>
      </c>
      <c r="V1217" s="55">
        <v>2</v>
      </c>
      <c r="W1217" s="53">
        <v>0</v>
      </c>
      <c r="X1217" s="53">
        <v>2</v>
      </c>
      <c r="Y1217" s="55">
        <v>0</v>
      </c>
      <c r="Z1217" s="55">
        <v>8</v>
      </c>
      <c r="AA1217" s="53">
        <v>0</v>
      </c>
      <c r="AB1217" s="53">
        <v>8</v>
      </c>
      <c r="AC1217" s="55">
        <v>0</v>
      </c>
      <c r="AD1217" s="55">
        <f t="shared" si="416"/>
        <v>10</v>
      </c>
      <c r="AE1217" s="53">
        <v>0</v>
      </c>
      <c r="AF1217" s="55">
        <v>10</v>
      </c>
      <c r="AG1217" s="55">
        <v>0</v>
      </c>
      <c r="AH1217" s="55">
        <f t="shared" si="409"/>
        <v>6</v>
      </c>
      <c r="AI1217" s="55">
        <v>0</v>
      </c>
      <c r="AJ1217" s="55">
        <v>6</v>
      </c>
      <c r="AK1217" s="55">
        <v>0</v>
      </c>
      <c r="AL1217" s="55">
        <f t="shared" si="397"/>
        <v>2</v>
      </c>
      <c r="AM1217" s="55">
        <v>2</v>
      </c>
      <c r="AN1217" s="55">
        <v>0</v>
      </c>
      <c r="AO1217" s="55">
        <v>0</v>
      </c>
      <c r="AP1217" s="55">
        <f t="shared" si="412"/>
        <v>0</v>
      </c>
      <c r="AQ1217" s="55">
        <f>IFERROR(VLOOKUP(A1217,[1]SIIMPLES!$A$2:$F$418,6,FALSE),0)</f>
        <v>0</v>
      </c>
      <c r="AR1217" s="55">
        <v>0</v>
      </c>
      <c r="AS1217" s="55">
        <v>0</v>
      </c>
      <c r="AT1217" s="55">
        <v>0</v>
      </c>
      <c r="AU1217" s="55">
        <v>0</v>
      </c>
      <c r="AV1217" s="55">
        <v>0</v>
      </c>
      <c r="AW1217" s="55"/>
      <c r="AX1217" s="55"/>
      <c r="AY1217" s="56">
        <f t="shared" si="417"/>
        <v>4.2</v>
      </c>
      <c r="AZ1217" s="55"/>
      <c r="BA1217" s="56">
        <v>2.3333333333333335</v>
      </c>
      <c r="BB1217" s="41">
        <f t="shared" si="398"/>
        <v>0.8</v>
      </c>
      <c r="BC1217" s="13"/>
      <c r="BD1217" s="36"/>
      <c r="BE1217" s="7"/>
      <c r="BF1217" s="7"/>
      <c r="BG1217" s="17">
        <f t="shared" si="410"/>
        <v>0</v>
      </c>
      <c r="BH1217" s="7"/>
    </row>
    <row r="1218" spans="1:60" ht="12.75" customHeight="1" x14ac:dyDescent="0.2">
      <c r="A1218" s="51" t="s">
        <v>810</v>
      </c>
      <c r="B1218" s="51" t="s">
        <v>1077</v>
      </c>
      <c r="C1218" s="66" t="s">
        <v>1803</v>
      </c>
      <c r="D1218" s="52" t="s">
        <v>745</v>
      </c>
      <c r="E1218" s="52" t="s">
        <v>780</v>
      </c>
      <c r="F1218" s="53">
        <f>IFERROR(VLOOKUP(E1218,Fornecedores!$A$2:$B$2700,2,FALSE),"")</f>
        <v>2</v>
      </c>
      <c r="G1218" s="52" t="s">
        <v>33</v>
      </c>
      <c r="H1218" s="54"/>
      <c r="I1218" s="55">
        <f t="shared" si="413"/>
        <v>0</v>
      </c>
      <c r="J1218" s="55">
        <v>0</v>
      </c>
      <c r="K1218" s="55">
        <v>0</v>
      </c>
      <c r="L1218" s="55">
        <v>0</v>
      </c>
      <c r="M1218" s="55">
        <v>0</v>
      </c>
      <c r="N1218" s="55">
        <f t="shared" si="414"/>
        <v>0</v>
      </c>
      <c r="O1218" s="55">
        <v>0</v>
      </c>
      <c r="P1218" s="55">
        <v>0</v>
      </c>
      <c r="Q1218" s="55">
        <v>0</v>
      </c>
      <c r="R1218" s="55">
        <f t="shared" si="415"/>
        <v>0</v>
      </c>
      <c r="S1218" s="55">
        <v>0</v>
      </c>
      <c r="T1218" s="55">
        <v>0</v>
      </c>
      <c r="U1218" s="55">
        <v>0</v>
      </c>
      <c r="V1218" s="55">
        <v>0</v>
      </c>
      <c r="W1218" s="53">
        <v>0</v>
      </c>
      <c r="X1218" s="53">
        <v>0</v>
      </c>
      <c r="Y1218" s="55">
        <v>0</v>
      </c>
      <c r="Z1218" s="55">
        <v>0</v>
      </c>
      <c r="AA1218" s="53">
        <v>0</v>
      </c>
      <c r="AB1218" s="53">
        <v>0</v>
      </c>
      <c r="AC1218" s="55">
        <v>0</v>
      </c>
      <c r="AD1218" s="55">
        <f t="shared" si="416"/>
        <v>0</v>
      </c>
      <c r="AE1218" s="53">
        <v>0</v>
      </c>
      <c r="AF1218" s="55">
        <v>0</v>
      </c>
      <c r="AG1218" s="55">
        <v>0</v>
      </c>
      <c r="AH1218" s="55">
        <f t="shared" si="409"/>
        <v>0</v>
      </c>
      <c r="AI1218" s="55">
        <v>0</v>
      </c>
      <c r="AJ1218" s="55">
        <v>0</v>
      </c>
      <c r="AK1218" s="55">
        <v>0</v>
      </c>
      <c r="AL1218" s="55">
        <f t="shared" si="397"/>
        <v>0</v>
      </c>
      <c r="AM1218" s="55" t="s">
        <v>1912</v>
      </c>
      <c r="AN1218" s="55">
        <v>0</v>
      </c>
      <c r="AO1218" s="55">
        <v>0</v>
      </c>
      <c r="AP1218" s="55">
        <f t="shared" si="412"/>
        <v>0</v>
      </c>
      <c r="AQ1218" s="55">
        <f>IFERROR(VLOOKUP(A1218,[1]SIIMPLES!$A$2:$F$418,6,FALSE),0)</f>
        <v>0</v>
      </c>
      <c r="AR1218" s="55">
        <v>0</v>
      </c>
      <c r="AS1218" s="55">
        <v>0</v>
      </c>
      <c r="AT1218" s="55">
        <v>0</v>
      </c>
      <c r="AU1218" s="55">
        <v>0</v>
      </c>
      <c r="AV1218" s="55">
        <v>0</v>
      </c>
      <c r="AW1218" s="55"/>
      <c r="AX1218" s="55"/>
      <c r="AY1218" s="56">
        <f t="shared" si="417"/>
        <v>0</v>
      </c>
      <c r="AZ1218" s="55"/>
      <c r="BA1218" s="56">
        <v>0</v>
      </c>
      <c r="BB1218" s="41" t="str">
        <f t="shared" si="398"/>
        <v/>
      </c>
      <c r="BC1218" s="13"/>
      <c r="BD1218" s="36"/>
      <c r="BE1218" s="7"/>
      <c r="BF1218" s="7"/>
      <c r="BG1218" s="17" t="str">
        <f t="shared" si="410"/>
        <v>0</v>
      </c>
      <c r="BH1218" s="7"/>
    </row>
    <row r="1219" spans="1:60" ht="12.75" customHeight="1" x14ac:dyDescent="0.2">
      <c r="A1219" s="51" t="s">
        <v>811</v>
      </c>
      <c r="B1219" s="51" t="s">
        <v>1077</v>
      </c>
      <c r="C1219" s="66" t="s">
        <v>1803</v>
      </c>
      <c r="D1219" s="52" t="s">
        <v>745</v>
      </c>
      <c r="E1219" s="52" t="s">
        <v>780</v>
      </c>
      <c r="F1219" s="53">
        <f>IFERROR(VLOOKUP(E1219,Fornecedores!$A$2:$B$2700,2,FALSE),"")</f>
        <v>2</v>
      </c>
      <c r="G1219" s="52" t="s">
        <v>208</v>
      </c>
      <c r="H1219" s="54"/>
      <c r="I1219" s="55">
        <f t="shared" si="413"/>
        <v>0</v>
      </c>
      <c r="J1219" s="55">
        <v>0</v>
      </c>
      <c r="K1219" s="55">
        <v>0</v>
      </c>
      <c r="L1219" s="55">
        <v>0</v>
      </c>
      <c r="M1219" s="55">
        <v>0</v>
      </c>
      <c r="N1219" s="55">
        <f t="shared" si="414"/>
        <v>0</v>
      </c>
      <c r="O1219" s="55">
        <v>0</v>
      </c>
      <c r="P1219" s="55">
        <v>0</v>
      </c>
      <c r="Q1219" s="55">
        <v>0</v>
      </c>
      <c r="R1219" s="55">
        <f t="shared" si="415"/>
        <v>0</v>
      </c>
      <c r="S1219" s="55">
        <v>0</v>
      </c>
      <c r="T1219" s="55">
        <v>0</v>
      </c>
      <c r="U1219" s="55">
        <v>0</v>
      </c>
      <c r="V1219" s="55">
        <v>0</v>
      </c>
      <c r="W1219" s="53">
        <v>0</v>
      </c>
      <c r="X1219" s="53">
        <v>0</v>
      </c>
      <c r="Y1219" s="55">
        <v>0</v>
      </c>
      <c r="Z1219" s="55">
        <v>0</v>
      </c>
      <c r="AA1219" s="53">
        <v>0</v>
      </c>
      <c r="AB1219" s="53">
        <v>0</v>
      </c>
      <c r="AC1219" s="55">
        <v>0</v>
      </c>
      <c r="AD1219" s="55">
        <f t="shared" si="416"/>
        <v>0</v>
      </c>
      <c r="AE1219" s="53">
        <v>0</v>
      </c>
      <c r="AF1219" s="55">
        <v>0</v>
      </c>
      <c r="AG1219" s="55">
        <v>0</v>
      </c>
      <c r="AH1219" s="55">
        <f t="shared" si="409"/>
        <v>0</v>
      </c>
      <c r="AI1219" s="55">
        <v>0</v>
      </c>
      <c r="AJ1219" s="55">
        <v>0</v>
      </c>
      <c r="AK1219" s="55">
        <v>0</v>
      </c>
      <c r="AL1219" s="55">
        <f t="shared" si="397"/>
        <v>0</v>
      </c>
      <c r="AM1219" s="55" t="s">
        <v>1912</v>
      </c>
      <c r="AN1219" s="55">
        <v>0</v>
      </c>
      <c r="AO1219" s="55">
        <v>0</v>
      </c>
      <c r="AP1219" s="55">
        <f t="shared" si="412"/>
        <v>0</v>
      </c>
      <c r="AQ1219" s="55">
        <f>IFERROR(VLOOKUP(A1219,[1]SIIMPLES!$A$2:$F$418,6,FALSE),0)</f>
        <v>0</v>
      </c>
      <c r="AR1219" s="55">
        <v>0</v>
      </c>
      <c r="AS1219" s="55">
        <v>0</v>
      </c>
      <c r="AT1219" s="55">
        <v>0</v>
      </c>
      <c r="AU1219" s="55">
        <v>0</v>
      </c>
      <c r="AV1219" s="55">
        <v>0</v>
      </c>
      <c r="AW1219" s="55"/>
      <c r="AX1219" s="55"/>
      <c r="AY1219" s="56">
        <f t="shared" si="417"/>
        <v>0</v>
      </c>
      <c r="AZ1219" s="55"/>
      <c r="BA1219" s="56">
        <v>0</v>
      </c>
      <c r="BB1219" s="41" t="str">
        <f t="shared" si="398"/>
        <v/>
      </c>
      <c r="BC1219" s="13"/>
      <c r="BD1219" s="36"/>
      <c r="BE1219" s="7"/>
      <c r="BF1219" s="7"/>
      <c r="BG1219" s="17" t="str">
        <f t="shared" si="410"/>
        <v>0</v>
      </c>
      <c r="BH1219" s="7"/>
    </row>
    <row r="1220" spans="1:60" ht="12.75" customHeight="1" x14ac:dyDescent="0.2">
      <c r="A1220" s="51" t="s">
        <v>212</v>
      </c>
      <c r="B1220" s="51" t="s">
        <v>1077</v>
      </c>
      <c r="C1220" s="66" t="s">
        <v>1803</v>
      </c>
      <c r="D1220" s="52" t="s">
        <v>745</v>
      </c>
      <c r="E1220" s="52" t="s">
        <v>780</v>
      </c>
      <c r="F1220" s="53">
        <f>IFERROR(VLOOKUP(E1220,Fornecedores!$A$2:$B$2700,2,FALSE),"")</f>
        <v>2</v>
      </c>
      <c r="G1220" s="52" t="s">
        <v>213</v>
      </c>
      <c r="H1220" s="54"/>
      <c r="I1220" s="55">
        <f t="shared" si="413"/>
        <v>4</v>
      </c>
      <c r="J1220" s="55">
        <v>0</v>
      </c>
      <c r="K1220" s="55">
        <v>4</v>
      </c>
      <c r="L1220" s="55">
        <v>0</v>
      </c>
      <c r="M1220" s="55">
        <v>0</v>
      </c>
      <c r="N1220" s="55">
        <f t="shared" si="414"/>
        <v>4</v>
      </c>
      <c r="O1220" s="55">
        <v>0</v>
      </c>
      <c r="P1220" s="55">
        <v>4</v>
      </c>
      <c r="Q1220" s="55">
        <v>0</v>
      </c>
      <c r="R1220" s="55">
        <f t="shared" si="415"/>
        <v>2</v>
      </c>
      <c r="S1220" s="55">
        <v>0</v>
      </c>
      <c r="T1220" s="55">
        <v>2</v>
      </c>
      <c r="U1220" s="55">
        <v>0</v>
      </c>
      <c r="V1220" s="55">
        <v>0</v>
      </c>
      <c r="W1220" s="53">
        <v>0</v>
      </c>
      <c r="X1220" s="53">
        <v>0</v>
      </c>
      <c r="Y1220" s="55">
        <v>0</v>
      </c>
      <c r="Z1220" s="55">
        <v>0</v>
      </c>
      <c r="AA1220" s="53">
        <v>0</v>
      </c>
      <c r="AB1220" s="53">
        <v>0</v>
      </c>
      <c r="AC1220" s="55">
        <v>0</v>
      </c>
      <c r="AD1220" s="55">
        <f t="shared" si="416"/>
        <v>0</v>
      </c>
      <c r="AE1220" s="53">
        <v>0</v>
      </c>
      <c r="AF1220" s="55">
        <v>0</v>
      </c>
      <c r="AG1220" s="55">
        <v>0</v>
      </c>
      <c r="AH1220" s="55">
        <f t="shared" si="409"/>
        <v>0</v>
      </c>
      <c r="AI1220" s="55">
        <v>0</v>
      </c>
      <c r="AJ1220" s="55">
        <v>0</v>
      </c>
      <c r="AK1220" s="55">
        <v>0</v>
      </c>
      <c r="AL1220" s="55">
        <f t="shared" si="397"/>
        <v>0</v>
      </c>
      <c r="AM1220" s="55" t="s">
        <v>1912</v>
      </c>
      <c r="AN1220" s="55">
        <v>0</v>
      </c>
      <c r="AO1220" s="55">
        <v>0</v>
      </c>
      <c r="AP1220" s="55">
        <f t="shared" si="412"/>
        <v>0</v>
      </c>
      <c r="AQ1220" s="55">
        <f>IFERROR(VLOOKUP(A1220,[1]SIIMPLES!$A$2:$F$418,6,FALSE),0)</f>
        <v>0</v>
      </c>
      <c r="AR1220" s="55">
        <v>0</v>
      </c>
      <c r="AS1220" s="55">
        <v>0</v>
      </c>
      <c r="AT1220" s="55">
        <v>0</v>
      </c>
      <c r="AU1220" s="55">
        <v>0</v>
      </c>
      <c r="AV1220" s="55">
        <v>0</v>
      </c>
      <c r="AW1220" s="55"/>
      <c r="AX1220" s="55"/>
      <c r="AY1220" s="56">
        <f t="shared" si="417"/>
        <v>1</v>
      </c>
      <c r="AZ1220" s="55"/>
      <c r="BA1220" s="56">
        <v>13.333333333333334</v>
      </c>
      <c r="BB1220" s="41">
        <f t="shared" si="398"/>
        <v>-0.92500000000000004</v>
      </c>
      <c r="BC1220" s="13"/>
      <c r="BD1220" s="36"/>
      <c r="BE1220" s="7"/>
      <c r="BF1220" s="7"/>
      <c r="BG1220" s="17">
        <f t="shared" si="410"/>
        <v>0</v>
      </c>
      <c r="BH1220" s="7"/>
    </row>
    <row r="1221" spans="1:60" ht="12.75" customHeight="1" x14ac:dyDescent="0.2">
      <c r="A1221" s="51" t="s">
        <v>25</v>
      </c>
      <c r="B1221" s="51" t="s">
        <v>1077</v>
      </c>
      <c r="C1221" s="66" t="s">
        <v>1803</v>
      </c>
      <c r="D1221" s="52" t="s">
        <v>745</v>
      </c>
      <c r="E1221" s="52" t="s">
        <v>780</v>
      </c>
      <c r="F1221" s="53">
        <f>IFERROR(VLOOKUP(E1221,Fornecedores!$A$2:$B$2700,2,FALSE),"")</f>
        <v>2</v>
      </c>
      <c r="G1221" s="52" t="s">
        <v>216</v>
      </c>
      <c r="H1221" s="54"/>
      <c r="I1221" s="55">
        <f t="shared" si="413"/>
        <v>0</v>
      </c>
      <c r="J1221" s="55">
        <v>0</v>
      </c>
      <c r="K1221" s="55">
        <v>0</v>
      </c>
      <c r="L1221" s="55">
        <v>0</v>
      </c>
      <c r="M1221" s="55">
        <v>0</v>
      </c>
      <c r="N1221" s="55">
        <f t="shared" si="414"/>
        <v>0</v>
      </c>
      <c r="O1221" s="55">
        <v>0</v>
      </c>
      <c r="P1221" s="55">
        <v>0</v>
      </c>
      <c r="Q1221" s="55">
        <v>0</v>
      </c>
      <c r="R1221" s="55">
        <f t="shared" si="415"/>
        <v>0</v>
      </c>
      <c r="S1221" s="55">
        <v>0</v>
      </c>
      <c r="T1221" s="55">
        <v>0</v>
      </c>
      <c r="U1221" s="55">
        <v>0</v>
      </c>
      <c r="V1221" s="55">
        <v>0</v>
      </c>
      <c r="W1221" s="53">
        <v>0</v>
      </c>
      <c r="X1221" s="53">
        <v>0</v>
      </c>
      <c r="Y1221" s="55">
        <v>0</v>
      </c>
      <c r="Z1221" s="55">
        <v>0</v>
      </c>
      <c r="AA1221" s="53">
        <v>0</v>
      </c>
      <c r="AB1221" s="53">
        <v>0</v>
      </c>
      <c r="AC1221" s="55">
        <v>0</v>
      </c>
      <c r="AD1221" s="55">
        <f t="shared" si="416"/>
        <v>0</v>
      </c>
      <c r="AE1221" s="53">
        <v>0</v>
      </c>
      <c r="AF1221" s="55">
        <v>0</v>
      </c>
      <c r="AG1221" s="55">
        <v>0</v>
      </c>
      <c r="AH1221" s="55">
        <f t="shared" si="409"/>
        <v>0</v>
      </c>
      <c r="AI1221" s="55">
        <v>0</v>
      </c>
      <c r="AJ1221" s="55">
        <v>0</v>
      </c>
      <c r="AK1221" s="55">
        <v>0</v>
      </c>
      <c r="AL1221" s="55">
        <f t="shared" si="397"/>
        <v>0</v>
      </c>
      <c r="AM1221" s="55" t="s">
        <v>1912</v>
      </c>
      <c r="AN1221" s="55">
        <v>0</v>
      </c>
      <c r="AO1221" s="55">
        <v>0</v>
      </c>
      <c r="AP1221" s="55">
        <f t="shared" si="412"/>
        <v>0</v>
      </c>
      <c r="AQ1221" s="55">
        <f>IFERROR(VLOOKUP(A1221,[1]SIIMPLES!$A$2:$F$418,6,FALSE),0)</f>
        <v>0</v>
      </c>
      <c r="AR1221" s="55">
        <v>0</v>
      </c>
      <c r="AS1221" s="55">
        <v>0</v>
      </c>
      <c r="AT1221" s="55">
        <v>0</v>
      </c>
      <c r="AU1221" s="55">
        <v>0</v>
      </c>
      <c r="AV1221" s="55">
        <v>0</v>
      </c>
      <c r="AW1221" s="55"/>
      <c r="AX1221" s="55"/>
      <c r="AY1221" s="56">
        <f t="shared" si="417"/>
        <v>0</v>
      </c>
      <c r="AZ1221" s="55"/>
      <c r="BA1221" s="56">
        <v>13.166666666666666</v>
      </c>
      <c r="BB1221" s="41">
        <f t="shared" si="398"/>
        <v>-1</v>
      </c>
      <c r="BC1221" s="10"/>
      <c r="BD1221" s="36"/>
      <c r="BE1221" s="7"/>
      <c r="BF1221" s="7"/>
      <c r="BG1221" s="17" t="str">
        <f t="shared" si="410"/>
        <v>0</v>
      </c>
      <c r="BH1221" s="7"/>
    </row>
    <row r="1222" spans="1:60" ht="12.75" customHeight="1" x14ac:dyDescent="0.2">
      <c r="A1222" s="51" t="s">
        <v>201</v>
      </c>
      <c r="B1222" s="51" t="s">
        <v>1077</v>
      </c>
      <c r="C1222" s="66" t="s">
        <v>1803</v>
      </c>
      <c r="D1222" s="52" t="s">
        <v>745</v>
      </c>
      <c r="E1222" s="52" t="s">
        <v>780</v>
      </c>
      <c r="F1222" s="53">
        <f>IFERROR(VLOOKUP(E1222,Fornecedores!$A$2:$B$2700,2,FALSE),"")</f>
        <v>2</v>
      </c>
      <c r="G1222" s="52" t="s">
        <v>202</v>
      </c>
      <c r="H1222" s="54"/>
      <c r="I1222" s="55">
        <f t="shared" si="413"/>
        <v>4</v>
      </c>
      <c r="J1222" s="55">
        <v>0</v>
      </c>
      <c r="K1222" s="55">
        <v>4</v>
      </c>
      <c r="L1222" s="55">
        <v>0</v>
      </c>
      <c r="M1222" s="55">
        <v>0</v>
      </c>
      <c r="N1222" s="55">
        <f t="shared" si="414"/>
        <v>2</v>
      </c>
      <c r="O1222" s="55">
        <v>0</v>
      </c>
      <c r="P1222" s="55">
        <v>2</v>
      </c>
      <c r="Q1222" s="55">
        <v>0</v>
      </c>
      <c r="R1222" s="55">
        <f t="shared" si="415"/>
        <v>4</v>
      </c>
      <c r="S1222" s="55">
        <v>0</v>
      </c>
      <c r="T1222" s="55">
        <v>4</v>
      </c>
      <c r="U1222" s="55">
        <v>0</v>
      </c>
      <c r="V1222" s="55">
        <v>0</v>
      </c>
      <c r="W1222" s="53">
        <v>0</v>
      </c>
      <c r="X1222" s="53">
        <v>0</v>
      </c>
      <c r="Y1222" s="55">
        <v>0</v>
      </c>
      <c r="Z1222" s="55">
        <v>0</v>
      </c>
      <c r="AA1222" s="53">
        <v>0</v>
      </c>
      <c r="AB1222" s="53">
        <v>0</v>
      </c>
      <c r="AC1222" s="55">
        <v>0</v>
      </c>
      <c r="AD1222" s="55">
        <f t="shared" si="416"/>
        <v>2</v>
      </c>
      <c r="AE1222" s="53">
        <v>0</v>
      </c>
      <c r="AF1222" s="55">
        <v>2</v>
      </c>
      <c r="AG1222" s="55">
        <v>0</v>
      </c>
      <c r="AH1222" s="55">
        <f t="shared" si="409"/>
        <v>10</v>
      </c>
      <c r="AI1222" s="55">
        <v>0</v>
      </c>
      <c r="AJ1222" s="55">
        <v>10</v>
      </c>
      <c r="AK1222" s="55">
        <v>0</v>
      </c>
      <c r="AL1222" s="55">
        <f t="shared" si="397"/>
        <v>0</v>
      </c>
      <c r="AM1222" s="55" t="s">
        <v>1912</v>
      </c>
      <c r="AN1222" s="55">
        <v>0</v>
      </c>
      <c r="AO1222" s="55">
        <v>0</v>
      </c>
      <c r="AP1222" s="55">
        <f t="shared" si="412"/>
        <v>0</v>
      </c>
      <c r="AQ1222" s="55">
        <f>IFERROR(VLOOKUP(A1222,[1]SIIMPLES!$A$2:$F$418,6,FALSE),0)</f>
        <v>0</v>
      </c>
      <c r="AR1222" s="55">
        <v>0</v>
      </c>
      <c r="AS1222" s="55">
        <v>0</v>
      </c>
      <c r="AT1222" s="55">
        <v>0</v>
      </c>
      <c r="AU1222" s="55">
        <v>0</v>
      </c>
      <c r="AV1222" s="55">
        <v>0</v>
      </c>
      <c r="AW1222" s="55"/>
      <c r="AX1222" s="55"/>
      <c r="AY1222" s="56">
        <f t="shared" si="417"/>
        <v>2.2000000000000002</v>
      </c>
      <c r="AZ1222" s="55"/>
      <c r="BA1222" s="56">
        <v>4.666666666666667</v>
      </c>
      <c r="BB1222" s="41">
        <f t="shared" si="398"/>
        <v>-0.52857142857142858</v>
      </c>
      <c r="BC1222" s="13"/>
      <c r="BD1222" s="36"/>
      <c r="BE1222" s="7"/>
      <c r="BF1222" s="7"/>
      <c r="BG1222" s="17">
        <f t="shared" si="410"/>
        <v>0</v>
      </c>
      <c r="BH1222" s="7"/>
    </row>
    <row r="1223" spans="1:60" ht="12.75" customHeight="1" x14ac:dyDescent="0.2">
      <c r="A1223" s="51" t="s">
        <v>786</v>
      </c>
      <c r="B1223" s="51" t="s">
        <v>1077</v>
      </c>
      <c r="C1223" s="66" t="s">
        <v>1803</v>
      </c>
      <c r="D1223" s="52" t="s">
        <v>745</v>
      </c>
      <c r="E1223" s="52" t="s">
        <v>780</v>
      </c>
      <c r="F1223" s="53">
        <f>IFERROR(VLOOKUP(E1223,Fornecedores!$A$2:$B$2700,2,FALSE),"")</f>
        <v>2</v>
      </c>
      <c r="G1223" s="52" t="s">
        <v>215</v>
      </c>
      <c r="H1223" s="54"/>
      <c r="I1223" s="55">
        <f t="shared" si="413"/>
        <v>6</v>
      </c>
      <c r="J1223" s="55">
        <v>0</v>
      </c>
      <c r="K1223" s="55">
        <v>6</v>
      </c>
      <c r="L1223" s="55">
        <v>0</v>
      </c>
      <c r="M1223" s="55">
        <v>0</v>
      </c>
      <c r="N1223" s="55">
        <f t="shared" si="414"/>
        <v>2</v>
      </c>
      <c r="O1223" s="55">
        <v>2</v>
      </c>
      <c r="P1223" s="55">
        <v>0</v>
      </c>
      <c r="Q1223" s="55">
        <v>0</v>
      </c>
      <c r="R1223" s="55">
        <f t="shared" si="415"/>
        <v>1</v>
      </c>
      <c r="S1223" s="55">
        <v>1</v>
      </c>
      <c r="T1223" s="55">
        <v>0</v>
      </c>
      <c r="U1223" s="55">
        <v>0</v>
      </c>
      <c r="V1223" s="55">
        <v>0</v>
      </c>
      <c r="W1223" s="53">
        <v>0</v>
      </c>
      <c r="X1223" s="53">
        <v>0</v>
      </c>
      <c r="Y1223" s="55">
        <v>0</v>
      </c>
      <c r="Z1223" s="55">
        <v>2</v>
      </c>
      <c r="AA1223" s="53">
        <v>0</v>
      </c>
      <c r="AB1223" s="53">
        <v>2</v>
      </c>
      <c r="AC1223" s="55">
        <v>0</v>
      </c>
      <c r="AD1223" s="55">
        <f t="shared" si="416"/>
        <v>0</v>
      </c>
      <c r="AE1223" s="53">
        <v>0</v>
      </c>
      <c r="AF1223" s="55">
        <v>0</v>
      </c>
      <c r="AG1223" s="55">
        <v>0</v>
      </c>
      <c r="AH1223" s="55">
        <f t="shared" si="409"/>
        <v>0</v>
      </c>
      <c r="AI1223" s="55">
        <v>0</v>
      </c>
      <c r="AJ1223" s="55">
        <v>0</v>
      </c>
      <c r="AK1223" s="55">
        <v>0</v>
      </c>
      <c r="AL1223" s="55">
        <f t="shared" si="397"/>
        <v>0</v>
      </c>
      <c r="AM1223" s="55" t="s">
        <v>1912</v>
      </c>
      <c r="AN1223" s="55">
        <v>0</v>
      </c>
      <c r="AO1223" s="55">
        <v>0</v>
      </c>
      <c r="AP1223" s="55">
        <f t="shared" si="412"/>
        <v>0</v>
      </c>
      <c r="AQ1223" s="55">
        <f>IFERROR(VLOOKUP(A1223,[1]SIIMPLES!$A$2:$F$418,6,FALSE),0)</f>
        <v>0</v>
      </c>
      <c r="AR1223" s="55">
        <v>0</v>
      </c>
      <c r="AS1223" s="55">
        <v>0</v>
      </c>
      <c r="AT1223" s="55">
        <v>0</v>
      </c>
      <c r="AU1223" s="55">
        <v>0</v>
      </c>
      <c r="AV1223" s="55">
        <v>0</v>
      </c>
      <c r="AW1223" s="55"/>
      <c r="AX1223" s="55"/>
      <c r="AY1223" s="56">
        <f t="shared" si="417"/>
        <v>1.1000000000000001</v>
      </c>
      <c r="AZ1223" s="55"/>
      <c r="BA1223" s="56">
        <v>8.1666666666666661</v>
      </c>
      <c r="BB1223" s="41">
        <f t="shared" si="398"/>
        <v>-0.86530612244897953</v>
      </c>
      <c r="BC1223" s="13"/>
      <c r="BD1223" s="36"/>
      <c r="BE1223" s="7"/>
      <c r="BF1223" s="7"/>
      <c r="BG1223" s="17">
        <f t="shared" si="410"/>
        <v>0</v>
      </c>
      <c r="BH1223" s="7"/>
    </row>
    <row r="1224" spans="1:60" ht="12.75" customHeight="1" x14ac:dyDescent="0.2">
      <c r="A1224" s="51" t="s">
        <v>220</v>
      </c>
      <c r="B1224" s="51" t="s">
        <v>1077</v>
      </c>
      <c r="C1224" s="66" t="s">
        <v>1803</v>
      </c>
      <c r="D1224" s="52" t="s">
        <v>745</v>
      </c>
      <c r="E1224" s="52" t="s">
        <v>780</v>
      </c>
      <c r="F1224" s="53">
        <f>IFERROR(VLOOKUP(E1224,Fornecedores!$A$2:$B$2700,2,FALSE),"")</f>
        <v>2</v>
      </c>
      <c r="G1224" s="52" t="s">
        <v>221</v>
      </c>
      <c r="H1224" s="54"/>
      <c r="I1224" s="55">
        <f t="shared" si="413"/>
        <v>0</v>
      </c>
      <c r="J1224" s="55">
        <v>0</v>
      </c>
      <c r="K1224" s="55">
        <v>0</v>
      </c>
      <c r="L1224" s="55">
        <v>0</v>
      </c>
      <c r="M1224" s="55">
        <v>0</v>
      </c>
      <c r="N1224" s="55">
        <f t="shared" si="414"/>
        <v>0</v>
      </c>
      <c r="O1224" s="55">
        <v>0</v>
      </c>
      <c r="P1224" s="55">
        <v>0</v>
      </c>
      <c r="Q1224" s="55">
        <v>0</v>
      </c>
      <c r="R1224" s="55">
        <f t="shared" si="415"/>
        <v>0</v>
      </c>
      <c r="S1224" s="55">
        <v>0</v>
      </c>
      <c r="T1224" s="55">
        <v>0</v>
      </c>
      <c r="U1224" s="55">
        <v>0</v>
      </c>
      <c r="V1224" s="55">
        <v>0</v>
      </c>
      <c r="W1224" s="53">
        <v>0</v>
      </c>
      <c r="X1224" s="53">
        <v>0</v>
      </c>
      <c r="Y1224" s="55">
        <v>0</v>
      </c>
      <c r="Z1224" s="55">
        <v>0</v>
      </c>
      <c r="AA1224" s="53">
        <v>0</v>
      </c>
      <c r="AB1224" s="53">
        <v>0</v>
      </c>
      <c r="AC1224" s="55">
        <v>0</v>
      </c>
      <c r="AD1224" s="55">
        <f t="shared" si="416"/>
        <v>0</v>
      </c>
      <c r="AE1224" s="53">
        <v>0</v>
      </c>
      <c r="AF1224" s="55">
        <v>0</v>
      </c>
      <c r="AG1224" s="55">
        <v>0</v>
      </c>
      <c r="AH1224" s="55">
        <f t="shared" si="409"/>
        <v>0</v>
      </c>
      <c r="AI1224" s="55">
        <v>0</v>
      </c>
      <c r="AJ1224" s="55">
        <v>0</v>
      </c>
      <c r="AK1224" s="55">
        <v>0</v>
      </c>
      <c r="AL1224" s="55">
        <f t="shared" si="397"/>
        <v>0</v>
      </c>
      <c r="AM1224" s="55" t="s">
        <v>1912</v>
      </c>
      <c r="AN1224" s="55">
        <v>0</v>
      </c>
      <c r="AO1224" s="55">
        <v>0</v>
      </c>
      <c r="AP1224" s="55">
        <f t="shared" si="412"/>
        <v>0</v>
      </c>
      <c r="AQ1224" s="55">
        <f>IFERROR(VLOOKUP(A1224,[1]SIIMPLES!$A$2:$F$418,6,FALSE),0)</f>
        <v>0</v>
      </c>
      <c r="AR1224" s="55">
        <v>0</v>
      </c>
      <c r="AS1224" s="55">
        <v>0</v>
      </c>
      <c r="AT1224" s="55">
        <v>0</v>
      </c>
      <c r="AU1224" s="55">
        <v>0</v>
      </c>
      <c r="AV1224" s="55">
        <v>0</v>
      </c>
      <c r="AW1224" s="55"/>
      <c r="AX1224" s="55"/>
      <c r="AY1224" s="56">
        <f t="shared" si="417"/>
        <v>0</v>
      </c>
      <c r="AZ1224" s="55"/>
      <c r="BA1224" s="56">
        <v>0</v>
      </c>
      <c r="BB1224" s="41" t="str">
        <f t="shared" si="398"/>
        <v/>
      </c>
      <c r="BC1224" s="13"/>
      <c r="BD1224" s="36"/>
      <c r="BE1224" s="7"/>
      <c r="BF1224" s="7"/>
      <c r="BG1224" s="17" t="str">
        <f t="shared" si="410"/>
        <v>0</v>
      </c>
      <c r="BH1224" s="7"/>
    </row>
    <row r="1225" spans="1:60" ht="12.75" customHeight="1" x14ac:dyDescent="0.2">
      <c r="A1225" s="51" t="s">
        <v>1111</v>
      </c>
      <c r="B1225" s="51"/>
      <c r="C1225" s="66" t="s">
        <v>1803</v>
      </c>
      <c r="D1225" s="52" t="s">
        <v>745</v>
      </c>
      <c r="E1225" s="52" t="s">
        <v>780</v>
      </c>
      <c r="F1225" s="53">
        <f>IFERROR(VLOOKUP(E1225,Fornecedores!$A$2:$B$2700,2,FALSE),"")</f>
        <v>2</v>
      </c>
      <c r="G1225" s="52" t="s">
        <v>1154</v>
      </c>
      <c r="H1225" s="54"/>
      <c r="I1225" s="55">
        <f t="shared" si="413"/>
        <v>4</v>
      </c>
      <c r="J1225" s="55">
        <v>4</v>
      </c>
      <c r="K1225" s="55">
        <v>0</v>
      </c>
      <c r="L1225" s="55">
        <v>0</v>
      </c>
      <c r="M1225" s="55">
        <v>0</v>
      </c>
      <c r="N1225" s="55">
        <f t="shared" si="414"/>
        <v>1</v>
      </c>
      <c r="O1225" s="55">
        <v>1</v>
      </c>
      <c r="P1225" s="55">
        <v>0</v>
      </c>
      <c r="Q1225" s="55">
        <v>0</v>
      </c>
      <c r="R1225" s="55">
        <f t="shared" si="415"/>
        <v>0</v>
      </c>
      <c r="S1225" s="55">
        <v>0</v>
      </c>
      <c r="T1225" s="55">
        <v>0</v>
      </c>
      <c r="U1225" s="55">
        <v>0</v>
      </c>
      <c r="V1225" s="55">
        <v>2</v>
      </c>
      <c r="W1225" s="53">
        <v>0</v>
      </c>
      <c r="X1225" s="53">
        <v>2</v>
      </c>
      <c r="Y1225" s="55">
        <v>0</v>
      </c>
      <c r="Z1225" s="55">
        <v>0</v>
      </c>
      <c r="AA1225" s="53">
        <v>0</v>
      </c>
      <c r="AB1225" s="53">
        <v>0</v>
      </c>
      <c r="AC1225" s="55">
        <v>0</v>
      </c>
      <c r="AD1225" s="55">
        <f t="shared" si="416"/>
        <v>2</v>
      </c>
      <c r="AE1225" s="53">
        <v>2</v>
      </c>
      <c r="AF1225" s="55">
        <v>0</v>
      </c>
      <c r="AG1225" s="55">
        <v>0</v>
      </c>
      <c r="AH1225" s="55">
        <f t="shared" si="409"/>
        <v>0</v>
      </c>
      <c r="AI1225" s="55">
        <v>0</v>
      </c>
      <c r="AJ1225" s="55">
        <v>0</v>
      </c>
      <c r="AK1225" s="55">
        <v>0</v>
      </c>
      <c r="AL1225" s="55">
        <f t="shared" si="397"/>
        <v>1</v>
      </c>
      <c r="AM1225" s="55">
        <v>1</v>
      </c>
      <c r="AN1225" s="55">
        <v>0</v>
      </c>
      <c r="AO1225" s="55">
        <v>0</v>
      </c>
      <c r="AP1225" s="55">
        <f t="shared" si="412"/>
        <v>0</v>
      </c>
      <c r="AQ1225" s="55">
        <f>IFERROR(VLOOKUP(A1225,[1]SIIMPLES!$A$2:$F$418,6,FALSE),0)</f>
        <v>0</v>
      </c>
      <c r="AR1225" s="55">
        <v>0</v>
      </c>
      <c r="AS1225" s="55">
        <v>0</v>
      </c>
      <c r="AT1225" s="55">
        <v>0</v>
      </c>
      <c r="AU1225" s="55">
        <v>0</v>
      </c>
      <c r="AV1225" s="55">
        <v>0</v>
      </c>
      <c r="AW1225" s="55"/>
      <c r="AX1225" s="55"/>
      <c r="AY1225" s="56">
        <f t="shared" si="417"/>
        <v>1</v>
      </c>
      <c r="AZ1225" s="55"/>
      <c r="BA1225" s="56">
        <v>1</v>
      </c>
      <c r="BB1225" s="41">
        <f t="shared" si="398"/>
        <v>0</v>
      </c>
      <c r="BC1225" s="13"/>
      <c r="BD1225" s="36"/>
      <c r="BE1225" s="7"/>
      <c r="BF1225" s="7"/>
      <c r="BG1225" s="17">
        <f t="shared" si="410"/>
        <v>0</v>
      </c>
      <c r="BH1225" s="7"/>
    </row>
    <row r="1226" spans="1:60" ht="12.75" customHeight="1" x14ac:dyDescent="0.2">
      <c r="A1226" s="51" t="s">
        <v>11</v>
      </c>
      <c r="B1226" s="51"/>
      <c r="C1226" s="66" t="s">
        <v>1803</v>
      </c>
      <c r="D1226" s="52" t="s">
        <v>763</v>
      </c>
      <c r="E1226" s="52" t="s">
        <v>764</v>
      </c>
      <c r="F1226" s="53">
        <f>IFERROR(VLOOKUP(E1226,Fornecedores!$A$2:$B$2700,2,FALSE),"")</f>
        <v>10</v>
      </c>
      <c r="G1226" s="52" t="s">
        <v>12</v>
      </c>
      <c r="H1226" s="54"/>
      <c r="I1226" s="55">
        <f t="shared" si="413"/>
        <v>0</v>
      </c>
      <c r="J1226" s="55">
        <v>0</v>
      </c>
      <c r="K1226" s="55">
        <v>0</v>
      </c>
      <c r="L1226" s="55">
        <v>0</v>
      </c>
      <c r="M1226" s="55">
        <v>0</v>
      </c>
      <c r="N1226" s="55">
        <f t="shared" si="414"/>
        <v>0</v>
      </c>
      <c r="O1226" s="55">
        <v>0</v>
      </c>
      <c r="P1226" s="55">
        <v>0</v>
      </c>
      <c r="Q1226" s="55">
        <v>0</v>
      </c>
      <c r="R1226" s="55">
        <f t="shared" si="415"/>
        <v>0</v>
      </c>
      <c r="S1226" s="55">
        <v>0</v>
      </c>
      <c r="T1226" s="55">
        <v>0</v>
      </c>
      <c r="U1226" s="55">
        <v>0</v>
      </c>
      <c r="V1226" s="55">
        <v>0</v>
      </c>
      <c r="W1226" s="53">
        <v>0</v>
      </c>
      <c r="X1226" s="53">
        <v>0</v>
      </c>
      <c r="Y1226" s="55">
        <v>0</v>
      </c>
      <c r="Z1226" s="55">
        <v>0</v>
      </c>
      <c r="AA1226" s="53">
        <v>0</v>
      </c>
      <c r="AB1226" s="53">
        <v>0</v>
      </c>
      <c r="AC1226" s="55">
        <v>0</v>
      </c>
      <c r="AD1226" s="55">
        <f t="shared" si="416"/>
        <v>0</v>
      </c>
      <c r="AE1226" s="53">
        <v>0</v>
      </c>
      <c r="AF1226" s="55">
        <v>0</v>
      </c>
      <c r="AG1226" s="55">
        <v>0</v>
      </c>
      <c r="AH1226" s="55">
        <f t="shared" si="409"/>
        <v>0</v>
      </c>
      <c r="AI1226" s="55">
        <v>0</v>
      </c>
      <c r="AJ1226" s="55">
        <v>0</v>
      </c>
      <c r="AK1226" s="55">
        <v>0</v>
      </c>
      <c r="AL1226" s="55">
        <f t="shared" si="397"/>
        <v>0</v>
      </c>
      <c r="AM1226" s="55" t="s">
        <v>1912</v>
      </c>
      <c r="AN1226" s="55">
        <v>0</v>
      </c>
      <c r="AO1226" s="55">
        <v>0</v>
      </c>
      <c r="AP1226" s="55">
        <f t="shared" si="412"/>
        <v>0</v>
      </c>
      <c r="AQ1226" s="55">
        <f>IFERROR(VLOOKUP(A1226,[1]SIIMPLES!$A$2:$F$418,6,FALSE),0)</f>
        <v>0</v>
      </c>
      <c r="AR1226" s="55">
        <v>0</v>
      </c>
      <c r="AS1226" s="55">
        <v>0</v>
      </c>
      <c r="AT1226" s="55">
        <v>0</v>
      </c>
      <c r="AU1226" s="55">
        <v>0</v>
      </c>
      <c r="AV1226" s="55">
        <v>0</v>
      </c>
      <c r="AW1226" s="55"/>
      <c r="AX1226" s="55"/>
      <c r="AY1226" s="56">
        <f t="shared" si="417"/>
        <v>0</v>
      </c>
      <c r="AZ1226" s="55"/>
      <c r="BA1226" s="56">
        <v>0</v>
      </c>
      <c r="BB1226" s="41" t="str">
        <f t="shared" si="398"/>
        <v/>
      </c>
      <c r="BC1226" s="7"/>
      <c r="BD1226" s="36"/>
      <c r="BE1226" s="7"/>
      <c r="BF1226" s="7"/>
      <c r="BG1226" s="17" t="str">
        <f t="shared" si="410"/>
        <v>0</v>
      </c>
      <c r="BH1226" s="7"/>
    </row>
    <row r="1227" spans="1:60" ht="12.75" customHeight="1" x14ac:dyDescent="0.2">
      <c r="A1227" s="51" t="s">
        <v>794</v>
      </c>
      <c r="B1227" s="51"/>
      <c r="C1227" s="66" t="s">
        <v>1803</v>
      </c>
      <c r="D1227" s="52" t="s">
        <v>763</v>
      </c>
      <c r="E1227" s="52" t="s">
        <v>764</v>
      </c>
      <c r="F1227" s="53">
        <f>IFERROR(VLOOKUP(E1227,Fornecedores!$A$2:$B$2700,2,FALSE),"")</f>
        <v>10</v>
      </c>
      <c r="G1227" s="52" t="s">
        <v>938</v>
      </c>
      <c r="H1227" s="54"/>
      <c r="I1227" s="55">
        <f t="shared" si="413"/>
        <v>0</v>
      </c>
      <c r="J1227" s="55">
        <v>0</v>
      </c>
      <c r="K1227" s="55">
        <v>0</v>
      </c>
      <c r="L1227" s="55">
        <v>0</v>
      </c>
      <c r="M1227" s="55">
        <v>0</v>
      </c>
      <c r="N1227" s="55">
        <f t="shared" si="414"/>
        <v>0</v>
      </c>
      <c r="O1227" s="55">
        <v>0</v>
      </c>
      <c r="P1227" s="55">
        <v>0</v>
      </c>
      <c r="Q1227" s="55">
        <v>0</v>
      </c>
      <c r="R1227" s="55">
        <f t="shared" si="415"/>
        <v>0</v>
      </c>
      <c r="S1227" s="55">
        <v>0</v>
      </c>
      <c r="T1227" s="55">
        <v>0</v>
      </c>
      <c r="U1227" s="55">
        <v>0</v>
      </c>
      <c r="V1227" s="55">
        <v>0</v>
      </c>
      <c r="W1227" s="53">
        <v>0</v>
      </c>
      <c r="X1227" s="53">
        <v>0</v>
      </c>
      <c r="Y1227" s="55">
        <v>0</v>
      </c>
      <c r="Z1227" s="55">
        <v>0</v>
      </c>
      <c r="AA1227" s="53">
        <v>0</v>
      </c>
      <c r="AB1227" s="53">
        <v>0</v>
      </c>
      <c r="AC1227" s="55">
        <v>0</v>
      </c>
      <c r="AD1227" s="55">
        <f t="shared" si="416"/>
        <v>0</v>
      </c>
      <c r="AE1227" s="53">
        <v>0</v>
      </c>
      <c r="AF1227" s="55">
        <v>0</v>
      </c>
      <c r="AG1227" s="55">
        <v>0</v>
      </c>
      <c r="AH1227" s="55">
        <f t="shared" si="409"/>
        <v>0</v>
      </c>
      <c r="AI1227" s="55">
        <v>0</v>
      </c>
      <c r="AJ1227" s="55">
        <v>0</v>
      </c>
      <c r="AK1227" s="55">
        <v>0</v>
      </c>
      <c r="AL1227" s="55">
        <f t="shared" si="397"/>
        <v>0</v>
      </c>
      <c r="AM1227" s="55" t="s">
        <v>1912</v>
      </c>
      <c r="AN1227" s="55">
        <v>0</v>
      </c>
      <c r="AO1227" s="55">
        <v>0</v>
      </c>
      <c r="AP1227" s="55">
        <f t="shared" si="412"/>
        <v>0</v>
      </c>
      <c r="AQ1227" s="55">
        <f>IFERROR(VLOOKUP(A1227,[1]SIIMPLES!$A$2:$F$418,6,FALSE),0)</f>
        <v>0</v>
      </c>
      <c r="AR1227" s="55">
        <v>0</v>
      </c>
      <c r="AS1227" s="55">
        <v>0</v>
      </c>
      <c r="AT1227" s="55">
        <v>0</v>
      </c>
      <c r="AU1227" s="55">
        <v>0</v>
      </c>
      <c r="AV1227" s="55">
        <v>0</v>
      </c>
      <c r="AW1227" s="55"/>
      <c r="AX1227" s="55"/>
      <c r="AY1227" s="56">
        <f t="shared" si="417"/>
        <v>0</v>
      </c>
      <c r="AZ1227" s="55"/>
      <c r="BA1227" s="56">
        <v>0</v>
      </c>
      <c r="BB1227" s="41" t="str">
        <f t="shared" si="398"/>
        <v/>
      </c>
      <c r="BC1227" s="13"/>
      <c r="BD1227" s="36"/>
      <c r="BE1227" s="7"/>
      <c r="BF1227" s="7"/>
      <c r="BG1227" s="17" t="str">
        <f t="shared" si="410"/>
        <v>0</v>
      </c>
      <c r="BH1227" s="7"/>
    </row>
    <row r="1228" spans="1:60" ht="12.75" customHeight="1" x14ac:dyDescent="0.2">
      <c r="A1228" s="51" t="s">
        <v>795</v>
      </c>
      <c r="B1228" s="51"/>
      <c r="C1228" s="66" t="s">
        <v>1803</v>
      </c>
      <c r="D1228" s="52" t="s">
        <v>763</v>
      </c>
      <c r="E1228" s="52" t="s">
        <v>764</v>
      </c>
      <c r="F1228" s="53">
        <f>IFERROR(VLOOKUP(E1228,Fornecedores!$A$2:$B$2700,2,FALSE),"")</f>
        <v>10</v>
      </c>
      <c r="G1228" s="52" t="s">
        <v>939</v>
      </c>
      <c r="H1228" s="54"/>
      <c r="I1228" s="55">
        <f t="shared" si="413"/>
        <v>0</v>
      </c>
      <c r="J1228" s="55">
        <v>0</v>
      </c>
      <c r="K1228" s="55">
        <v>0</v>
      </c>
      <c r="L1228" s="55">
        <v>0</v>
      </c>
      <c r="M1228" s="55">
        <v>0</v>
      </c>
      <c r="N1228" s="55">
        <f t="shared" si="414"/>
        <v>0</v>
      </c>
      <c r="O1228" s="55">
        <v>0</v>
      </c>
      <c r="P1228" s="55">
        <v>0</v>
      </c>
      <c r="Q1228" s="55">
        <v>0</v>
      </c>
      <c r="R1228" s="55">
        <f t="shared" si="415"/>
        <v>0</v>
      </c>
      <c r="S1228" s="55">
        <v>0</v>
      </c>
      <c r="T1228" s="55">
        <v>0</v>
      </c>
      <c r="U1228" s="55">
        <v>0</v>
      </c>
      <c r="V1228" s="55">
        <v>0</v>
      </c>
      <c r="W1228" s="53">
        <v>0</v>
      </c>
      <c r="X1228" s="53">
        <v>0</v>
      </c>
      <c r="Y1228" s="55">
        <v>0</v>
      </c>
      <c r="Z1228" s="55">
        <v>0</v>
      </c>
      <c r="AA1228" s="53">
        <v>0</v>
      </c>
      <c r="AB1228" s="53">
        <v>0</v>
      </c>
      <c r="AC1228" s="55">
        <v>0</v>
      </c>
      <c r="AD1228" s="55">
        <f t="shared" si="416"/>
        <v>0</v>
      </c>
      <c r="AE1228" s="53">
        <v>0</v>
      </c>
      <c r="AF1228" s="55">
        <v>0</v>
      </c>
      <c r="AG1228" s="55">
        <v>0</v>
      </c>
      <c r="AH1228" s="55">
        <f t="shared" si="409"/>
        <v>0</v>
      </c>
      <c r="AI1228" s="55">
        <v>0</v>
      </c>
      <c r="AJ1228" s="55">
        <v>0</v>
      </c>
      <c r="AK1228" s="55">
        <v>0</v>
      </c>
      <c r="AL1228" s="55">
        <f t="shared" si="397"/>
        <v>0</v>
      </c>
      <c r="AM1228" s="55" t="s">
        <v>1912</v>
      </c>
      <c r="AN1228" s="55">
        <v>0</v>
      </c>
      <c r="AO1228" s="55">
        <v>0</v>
      </c>
      <c r="AP1228" s="55">
        <f t="shared" si="412"/>
        <v>0</v>
      </c>
      <c r="AQ1228" s="55">
        <f>IFERROR(VLOOKUP(A1228,[1]SIIMPLES!$A$2:$F$418,6,FALSE),0)</f>
        <v>0</v>
      </c>
      <c r="AR1228" s="55">
        <v>0</v>
      </c>
      <c r="AS1228" s="55">
        <v>0</v>
      </c>
      <c r="AT1228" s="55">
        <v>0</v>
      </c>
      <c r="AU1228" s="55">
        <v>0</v>
      </c>
      <c r="AV1228" s="55">
        <v>0</v>
      </c>
      <c r="AW1228" s="55"/>
      <c r="AX1228" s="55"/>
      <c r="AY1228" s="56">
        <f t="shared" si="417"/>
        <v>0</v>
      </c>
      <c r="AZ1228" s="55"/>
      <c r="BA1228" s="56">
        <v>0</v>
      </c>
      <c r="BB1228" s="41" t="str">
        <f t="shared" si="398"/>
        <v/>
      </c>
      <c r="BC1228" s="13"/>
      <c r="BD1228" s="36"/>
      <c r="BE1228" s="7"/>
      <c r="BF1228" s="7"/>
      <c r="BG1228" s="17" t="str">
        <f t="shared" si="410"/>
        <v>0</v>
      </c>
      <c r="BH1228" s="16">
        <f>IFERROR(IF(F1228=1,IF(BC1228&lt;AY1228*3,AY1228*3-BC1228,0),IF(BC1228&lt;AY1228,AY1228-BC1228,0)),"")</f>
        <v>0</v>
      </c>
    </row>
    <row r="1229" spans="1:60" ht="12.75" customHeight="1" x14ac:dyDescent="0.2">
      <c r="A1229" s="51" t="s">
        <v>347</v>
      </c>
      <c r="B1229" s="51"/>
      <c r="C1229" s="66" t="s">
        <v>1803</v>
      </c>
      <c r="D1229" s="52" t="s">
        <v>763</v>
      </c>
      <c r="E1229" s="52" t="s">
        <v>764</v>
      </c>
      <c r="F1229" s="53">
        <f>IFERROR(VLOOKUP(E1229,Fornecedores!$A$2:$B$2700,2,FALSE),"")</f>
        <v>10</v>
      </c>
      <c r="G1229" s="52" t="s">
        <v>348</v>
      </c>
      <c r="H1229" s="54"/>
      <c r="I1229" s="55">
        <f t="shared" si="413"/>
        <v>0</v>
      </c>
      <c r="J1229" s="55">
        <v>0</v>
      </c>
      <c r="K1229" s="55">
        <v>0</v>
      </c>
      <c r="L1229" s="55">
        <v>0</v>
      </c>
      <c r="M1229" s="55">
        <v>0</v>
      </c>
      <c r="N1229" s="55">
        <f t="shared" si="414"/>
        <v>0</v>
      </c>
      <c r="O1229" s="55">
        <v>0</v>
      </c>
      <c r="P1229" s="55">
        <v>0</v>
      </c>
      <c r="Q1229" s="55">
        <v>0</v>
      </c>
      <c r="R1229" s="55">
        <f t="shared" si="415"/>
        <v>0</v>
      </c>
      <c r="S1229" s="55">
        <v>0</v>
      </c>
      <c r="T1229" s="55">
        <v>0</v>
      </c>
      <c r="U1229" s="55">
        <v>0</v>
      </c>
      <c r="V1229" s="55">
        <v>0</v>
      </c>
      <c r="W1229" s="53">
        <v>0</v>
      </c>
      <c r="X1229" s="53">
        <v>0</v>
      </c>
      <c r="Y1229" s="55">
        <v>0</v>
      </c>
      <c r="Z1229" s="55">
        <v>0</v>
      </c>
      <c r="AA1229" s="53">
        <v>0</v>
      </c>
      <c r="AB1229" s="53">
        <v>0</v>
      </c>
      <c r="AC1229" s="55">
        <v>0</v>
      </c>
      <c r="AD1229" s="55">
        <f t="shared" si="416"/>
        <v>0</v>
      </c>
      <c r="AE1229" s="53">
        <v>0</v>
      </c>
      <c r="AF1229" s="55">
        <v>0</v>
      </c>
      <c r="AG1229" s="55">
        <v>0</v>
      </c>
      <c r="AH1229" s="55">
        <f t="shared" si="409"/>
        <v>0</v>
      </c>
      <c r="AI1229" s="55">
        <v>0</v>
      </c>
      <c r="AJ1229" s="55">
        <v>0</v>
      </c>
      <c r="AK1229" s="55">
        <v>0</v>
      </c>
      <c r="AL1229" s="55">
        <f t="shared" si="397"/>
        <v>0</v>
      </c>
      <c r="AM1229" s="55" t="s">
        <v>1912</v>
      </c>
      <c r="AN1229" s="55">
        <v>0</v>
      </c>
      <c r="AO1229" s="55">
        <v>0</v>
      </c>
      <c r="AP1229" s="55">
        <f t="shared" si="412"/>
        <v>0</v>
      </c>
      <c r="AQ1229" s="55">
        <f>IFERROR(VLOOKUP(A1229,[1]SIIMPLES!$A$2:$F$418,6,FALSE),0)</f>
        <v>0</v>
      </c>
      <c r="AR1229" s="55">
        <v>0</v>
      </c>
      <c r="AS1229" s="55">
        <v>0</v>
      </c>
      <c r="AT1229" s="55">
        <v>0</v>
      </c>
      <c r="AU1229" s="55">
        <v>0</v>
      </c>
      <c r="AV1229" s="55">
        <v>0</v>
      </c>
      <c r="AW1229" s="55"/>
      <c r="AX1229" s="55"/>
      <c r="AY1229" s="56">
        <f t="shared" si="417"/>
        <v>0</v>
      </c>
      <c r="AZ1229" s="55"/>
      <c r="BA1229" s="56">
        <v>0.33333333333333331</v>
      </c>
      <c r="BB1229" s="41">
        <f t="shared" si="398"/>
        <v>-1</v>
      </c>
      <c r="BC1229" s="7"/>
      <c r="BD1229" s="36"/>
      <c r="BE1229" s="7"/>
      <c r="BF1229" s="7"/>
      <c r="BG1229" s="17" t="str">
        <f t="shared" si="410"/>
        <v>0</v>
      </c>
      <c r="BH1229" s="7"/>
    </row>
    <row r="1230" spans="1:60" ht="12.75" customHeight="1" x14ac:dyDescent="0.2">
      <c r="A1230" s="51" t="s">
        <v>116</v>
      </c>
      <c r="B1230" s="51"/>
      <c r="C1230" s="66" t="s">
        <v>1803</v>
      </c>
      <c r="D1230" s="52" t="s">
        <v>763</v>
      </c>
      <c r="E1230" s="52" t="s">
        <v>764</v>
      </c>
      <c r="F1230" s="53">
        <f>IFERROR(VLOOKUP(E1230,Fornecedores!$A$2:$B$2700,2,FALSE),"")</f>
        <v>10</v>
      </c>
      <c r="G1230" s="52" t="s">
        <v>117</v>
      </c>
      <c r="H1230" s="54"/>
      <c r="I1230" s="55">
        <f t="shared" si="413"/>
        <v>0</v>
      </c>
      <c r="J1230" s="55">
        <v>0</v>
      </c>
      <c r="K1230" s="55">
        <v>0</v>
      </c>
      <c r="L1230" s="55">
        <v>0</v>
      </c>
      <c r="M1230" s="55">
        <v>0</v>
      </c>
      <c r="N1230" s="55">
        <f t="shared" si="414"/>
        <v>0</v>
      </c>
      <c r="O1230" s="55">
        <v>0</v>
      </c>
      <c r="P1230" s="55">
        <v>0</v>
      </c>
      <c r="Q1230" s="55">
        <v>0</v>
      </c>
      <c r="R1230" s="55">
        <f t="shared" si="415"/>
        <v>1</v>
      </c>
      <c r="S1230" s="55">
        <v>0</v>
      </c>
      <c r="T1230" s="55">
        <v>1</v>
      </c>
      <c r="U1230" s="55">
        <v>0</v>
      </c>
      <c r="V1230" s="55">
        <v>0</v>
      </c>
      <c r="W1230" s="53">
        <v>0</v>
      </c>
      <c r="X1230" s="53">
        <v>0</v>
      </c>
      <c r="Y1230" s="55">
        <v>0</v>
      </c>
      <c r="Z1230" s="55">
        <v>0</v>
      </c>
      <c r="AA1230" s="53">
        <v>0</v>
      </c>
      <c r="AB1230" s="53">
        <v>0</v>
      </c>
      <c r="AC1230" s="55">
        <v>0</v>
      </c>
      <c r="AD1230" s="55">
        <f t="shared" si="416"/>
        <v>0</v>
      </c>
      <c r="AE1230" s="53">
        <v>0</v>
      </c>
      <c r="AF1230" s="55">
        <v>0</v>
      </c>
      <c r="AG1230" s="55">
        <v>0</v>
      </c>
      <c r="AH1230" s="55">
        <f t="shared" si="409"/>
        <v>0</v>
      </c>
      <c r="AI1230" s="55">
        <v>0</v>
      </c>
      <c r="AJ1230" s="55">
        <v>0</v>
      </c>
      <c r="AK1230" s="55">
        <v>0</v>
      </c>
      <c r="AL1230" s="55">
        <f t="shared" si="397"/>
        <v>0</v>
      </c>
      <c r="AM1230" s="55" t="s">
        <v>1912</v>
      </c>
      <c r="AN1230" s="55">
        <v>0</v>
      </c>
      <c r="AO1230" s="55">
        <v>0</v>
      </c>
      <c r="AP1230" s="55">
        <f t="shared" si="412"/>
        <v>0</v>
      </c>
      <c r="AQ1230" s="55">
        <f>IFERROR(VLOOKUP(A1230,[1]SIIMPLES!$A$2:$F$418,6,FALSE),0)</f>
        <v>0</v>
      </c>
      <c r="AR1230" s="55">
        <v>0</v>
      </c>
      <c r="AS1230" s="55">
        <v>0</v>
      </c>
      <c r="AT1230" s="55">
        <v>0</v>
      </c>
      <c r="AU1230" s="55">
        <v>0</v>
      </c>
      <c r="AV1230" s="55">
        <v>0</v>
      </c>
      <c r="AW1230" s="55"/>
      <c r="AX1230" s="55"/>
      <c r="AY1230" s="56">
        <f t="shared" si="417"/>
        <v>0.1</v>
      </c>
      <c r="AZ1230" s="55"/>
      <c r="BA1230" s="56">
        <v>0</v>
      </c>
      <c r="BB1230" s="41" t="str">
        <f t="shared" si="398"/>
        <v/>
      </c>
      <c r="BC1230" s="13"/>
      <c r="BD1230" s="36"/>
      <c r="BE1230" s="7"/>
      <c r="BF1230" s="7"/>
      <c r="BG1230" s="17">
        <f t="shared" si="410"/>
        <v>0</v>
      </c>
      <c r="BH1230" s="7"/>
    </row>
    <row r="1231" spans="1:60" ht="12.75" customHeight="1" x14ac:dyDescent="0.2">
      <c r="A1231" s="51" t="s">
        <v>342</v>
      </c>
      <c r="B1231" s="51"/>
      <c r="C1231" s="66" t="s">
        <v>1803</v>
      </c>
      <c r="D1231" s="52" t="s">
        <v>763</v>
      </c>
      <c r="E1231" s="52" t="s">
        <v>764</v>
      </c>
      <c r="F1231" s="53">
        <f>IFERROR(VLOOKUP(E1231,Fornecedores!$A$2:$B$2700,2,FALSE),"")</f>
        <v>10</v>
      </c>
      <c r="G1231" s="52" t="s">
        <v>343</v>
      </c>
      <c r="H1231" s="54"/>
      <c r="I1231" s="55">
        <f t="shared" si="413"/>
        <v>0</v>
      </c>
      <c r="J1231" s="55">
        <v>0</v>
      </c>
      <c r="K1231" s="55">
        <v>0</v>
      </c>
      <c r="L1231" s="55">
        <v>0</v>
      </c>
      <c r="M1231" s="55">
        <v>0</v>
      </c>
      <c r="N1231" s="55">
        <f t="shared" si="414"/>
        <v>0</v>
      </c>
      <c r="O1231" s="55">
        <v>0</v>
      </c>
      <c r="P1231" s="55">
        <v>0</v>
      </c>
      <c r="Q1231" s="55">
        <v>0</v>
      </c>
      <c r="R1231" s="55">
        <f t="shared" si="415"/>
        <v>1</v>
      </c>
      <c r="S1231" s="55">
        <v>0</v>
      </c>
      <c r="T1231" s="55">
        <v>1</v>
      </c>
      <c r="U1231" s="55">
        <v>0</v>
      </c>
      <c r="V1231" s="55">
        <v>0</v>
      </c>
      <c r="W1231" s="53">
        <v>0</v>
      </c>
      <c r="X1231" s="53">
        <v>0</v>
      </c>
      <c r="Y1231" s="55">
        <v>0</v>
      </c>
      <c r="Z1231" s="55">
        <v>0</v>
      </c>
      <c r="AA1231" s="53">
        <v>0</v>
      </c>
      <c r="AB1231" s="53">
        <v>0</v>
      </c>
      <c r="AC1231" s="55">
        <v>0</v>
      </c>
      <c r="AD1231" s="55">
        <f t="shared" si="416"/>
        <v>0</v>
      </c>
      <c r="AE1231" s="53">
        <v>0</v>
      </c>
      <c r="AF1231" s="55">
        <v>0</v>
      </c>
      <c r="AG1231" s="55">
        <v>0</v>
      </c>
      <c r="AH1231" s="55">
        <f t="shared" si="409"/>
        <v>0</v>
      </c>
      <c r="AI1231" s="55">
        <v>0</v>
      </c>
      <c r="AJ1231" s="55">
        <v>0</v>
      </c>
      <c r="AK1231" s="55">
        <v>0</v>
      </c>
      <c r="AL1231" s="55">
        <f t="shared" si="397"/>
        <v>0</v>
      </c>
      <c r="AM1231" s="55" t="s">
        <v>1912</v>
      </c>
      <c r="AN1231" s="55">
        <v>0</v>
      </c>
      <c r="AO1231" s="55">
        <v>0</v>
      </c>
      <c r="AP1231" s="55">
        <f t="shared" si="412"/>
        <v>0</v>
      </c>
      <c r="AQ1231" s="55">
        <f>IFERROR(VLOOKUP(A1231,[1]SIIMPLES!$A$2:$F$418,6,FALSE),0)</f>
        <v>0</v>
      </c>
      <c r="AR1231" s="55">
        <v>0</v>
      </c>
      <c r="AS1231" s="55">
        <v>0</v>
      </c>
      <c r="AT1231" s="55">
        <v>0</v>
      </c>
      <c r="AU1231" s="55">
        <v>0</v>
      </c>
      <c r="AV1231" s="55">
        <v>0</v>
      </c>
      <c r="AW1231" s="55"/>
      <c r="AX1231" s="55"/>
      <c r="AY1231" s="56">
        <f t="shared" si="417"/>
        <v>0.1</v>
      </c>
      <c r="AZ1231" s="55"/>
      <c r="BA1231" s="56">
        <v>0.33333333333333331</v>
      </c>
      <c r="BB1231" s="41">
        <f t="shared" si="398"/>
        <v>-0.7</v>
      </c>
      <c r="BC1231" s="13"/>
      <c r="BD1231" s="36"/>
      <c r="BE1231" s="7"/>
      <c r="BF1231" s="7"/>
      <c r="BG1231" s="17">
        <f t="shared" si="410"/>
        <v>0</v>
      </c>
      <c r="BH1231" s="7"/>
    </row>
    <row r="1232" spans="1:60" ht="12.75" customHeight="1" x14ac:dyDescent="0.2">
      <c r="A1232" s="51" t="s">
        <v>66</v>
      </c>
      <c r="B1232" s="51"/>
      <c r="C1232" s="66" t="s">
        <v>1803</v>
      </c>
      <c r="D1232" s="52" t="s">
        <v>763</v>
      </c>
      <c r="E1232" s="52" t="s">
        <v>764</v>
      </c>
      <c r="F1232" s="53">
        <f>IFERROR(VLOOKUP(E1232,Fornecedores!$A$2:$B$2700,2,FALSE),"")</f>
        <v>10</v>
      </c>
      <c r="G1232" s="52" t="s">
        <v>132</v>
      </c>
      <c r="H1232" s="54"/>
      <c r="I1232" s="55">
        <f t="shared" si="413"/>
        <v>0</v>
      </c>
      <c r="J1232" s="55">
        <v>0</v>
      </c>
      <c r="K1232" s="55">
        <v>0</v>
      </c>
      <c r="L1232" s="55">
        <v>0</v>
      </c>
      <c r="M1232" s="55">
        <v>0</v>
      </c>
      <c r="N1232" s="55">
        <f t="shared" si="414"/>
        <v>0</v>
      </c>
      <c r="O1232" s="55">
        <v>0</v>
      </c>
      <c r="P1232" s="55">
        <v>0</v>
      </c>
      <c r="Q1232" s="55">
        <v>0</v>
      </c>
      <c r="R1232" s="55">
        <f t="shared" si="415"/>
        <v>0</v>
      </c>
      <c r="S1232" s="55">
        <v>0</v>
      </c>
      <c r="T1232" s="55">
        <v>0</v>
      </c>
      <c r="U1232" s="55">
        <v>0</v>
      </c>
      <c r="V1232" s="55">
        <v>0</v>
      </c>
      <c r="W1232" s="53">
        <v>0</v>
      </c>
      <c r="X1232" s="53">
        <v>0</v>
      </c>
      <c r="Y1232" s="55">
        <v>0</v>
      </c>
      <c r="Z1232" s="55">
        <v>0</v>
      </c>
      <c r="AA1232" s="53">
        <v>0</v>
      </c>
      <c r="AB1232" s="53">
        <v>0</v>
      </c>
      <c r="AC1232" s="55">
        <v>0</v>
      </c>
      <c r="AD1232" s="55">
        <f t="shared" si="416"/>
        <v>1</v>
      </c>
      <c r="AE1232" s="53">
        <v>0</v>
      </c>
      <c r="AF1232" s="55">
        <v>1</v>
      </c>
      <c r="AG1232" s="55">
        <v>0</v>
      </c>
      <c r="AH1232" s="55">
        <f t="shared" si="409"/>
        <v>0</v>
      </c>
      <c r="AI1232" s="55">
        <v>0</v>
      </c>
      <c r="AJ1232" s="55">
        <v>0</v>
      </c>
      <c r="AK1232" s="55">
        <v>0</v>
      </c>
      <c r="AL1232" s="55">
        <f t="shared" si="397"/>
        <v>0</v>
      </c>
      <c r="AM1232" s="55" t="s">
        <v>1912</v>
      </c>
      <c r="AN1232" s="55">
        <v>0</v>
      </c>
      <c r="AO1232" s="55">
        <v>0</v>
      </c>
      <c r="AP1232" s="55">
        <f t="shared" si="412"/>
        <v>0</v>
      </c>
      <c r="AQ1232" s="55">
        <f>IFERROR(VLOOKUP(A1232,[1]SIIMPLES!$A$2:$F$418,6,FALSE),0)</f>
        <v>0</v>
      </c>
      <c r="AR1232" s="55">
        <v>0</v>
      </c>
      <c r="AS1232" s="55">
        <v>0</v>
      </c>
      <c r="AT1232" s="55">
        <v>0</v>
      </c>
      <c r="AU1232" s="55">
        <v>0</v>
      </c>
      <c r="AV1232" s="55">
        <v>0</v>
      </c>
      <c r="AW1232" s="55"/>
      <c r="AX1232" s="55"/>
      <c r="AY1232" s="56">
        <f t="shared" si="417"/>
        <v>0.1</v>
      </c>
      <c r="AZ1232" s="55"/>
      <c r="BA1232" s="56">
        <v>0</v>
      </c>
      <c r="BB1232" s="41" t="str">
        <f t="shared" si="398"/>
        <v/>
      </c>
      <c r="BC1232" s="13"/>
      <c r="BD1232" s="36"/>
      <c r="BE1232" s="7"/>
      <c r="BF1232" s="7"/>
      <c r="BG1232" s="17">
        <f t="shared" si="410"/>
        <v>0</v>
      </c>
      <c r="BH1232" s="7"/>
    </row>
    <row r="1233" spans="1:60" ht="12.75" customHeight="1" x14ac:dyDescent="0.2">
      <c r="A1233" s="51" t="s">
        <v>55</v>
      </c>
      <c r="B1233" s="51"/>
      <c r="C1233" s="66" t="s">
        <v>1803</v>
      </c>
      <c r="D1233" s="52" t="s">
        <v>763</v>
      </c>
      <c r="E1233" s="52" t="s">
        <v>764</v>
      </c>
      <c r="F1233" s="53">
        <f>IFERROR(VLOOKUP(E1233,Fornecedores!$A$2:$B$2700,2,FALSE),"")</f>
        <v>10</v>
      </c>
      <c r="G1233" s="52" t="s">
        <v>106</v>
      </c>
      <c r="H1233" s="54"/>
      <c r="I1233" s="55">
        <f t="shared" si="413"/>
        <v>0</v>
      </c>
      <c r="J1233" s="55">
        <v>0</v>
      </c>
      <c r="K1233" s="55">
        <v>0</v>
      </c>
      <c r="L1233" s="55">
        <v>0</v>
      </c>
      <c r="M1233" s="55">
        <v>0</v>
      </c>
      <c r="N1233" s="55">
        <f t="shared" si="414"/>
        <v>2</v>
      </c>
      <c r="O1233" s="55">
        <v>2</v>
      </c>
      <c r="P1233" s="55">
        <v>0</v>
      </c>
      <c r="Q1233" s="55">
        <v>0</v>
      </c>
      <c r="R1233" s="55">
        <f t="shared" si="415"/>
        <v>0</v>
      </c>
      <c r="S1233" s="55">
        <v>0</v>
      </c>
      <c r="T1233" s="55">
        <v>0</v>
      </c>
      <c r="U1233" s="55">
        <v>0</v>
      </c>
      <c r="V1233" s="55">
        <v>0</v>
      </c>
      <c r="W1233" s="53">
        <v>0</v>
      </c>
      <c r="X1233" s="53">
        <v>0</v>
      </c>
      <c r="Y1233" s="55">
        <v>0</v>
      </c>
      <c r="Z1233" s="55">
        <v>0</v>
      </c>
      <c r="AA1233" s="53">
        <v>0</v>
      </c>
      <c r="AB1233" s="53">
        <v>0</v>
      </c>
      <c r="AC1233" s="55">
        <v>0</v>
      </c>
      <c r="AD1233" s="55">
        <f t="shared" si="416"/>
        <v>1</v>
      </c>
      <c r="AE1233" s="53">
        <v>0</v>
      </c>
      <c r="AF1233" s="55">
        <v>1</v>
      </c>
      <c r="AG1233" s="55">
        <v>0</v>
      </c>
      <c r="AH1233" s="55">
        <f t="shared" si="409"/>
        <v>0</v>
      </c>
      <c r="AI1233" s="55">
        <v>0</v>
      </c>
      <c r="AJ1233" s="55">
        <v>0</v>
      </c>
      <c r="AK1233" s="55">
        <v>0</v>
      </c>
      <c r="AL1233" s="55">
        <f t="shared" si="397"/>
        <v>0</v>
      </c>
      <c r="AM1233" s="55" t="s">
        <v>1912</v>
      </c>
      <c r="AN1233" s="55">
        <v>0</v>
      </c>
      <c r="AO1233" s="55">
        <v>0</v>
      </c>
      <c r="AP1233" s="55">
        <f t="shared" si="412"/>
        <v>0</v>
      </c>
      <c r="AQ1233" s="55">
        <f>IFERROR(VLOOKUP(A1233,[1]SIIMPLES!$A$2:$F$418,6,FALSE),0)</f>
        <v>0</v>
      </c>
      <c r="AR1233" s="55">
        <v>0</v>
      </c>
      <c r="AS1233" s="55">
        <v>0</v>
      </c>
      <c r="AT1233" s="55">
        <v>0</v>
      </c>
      <c r="AU1233" s="55">
        <v>0</v>
      </c>
      <c r="AV1233" s="55">
        <v>0</v>
      </c>
      <c r="AW1233" s="55"/>
      <c r="AX1233" s="55"/>
      <c r="AY1233" s="56">
        <f t="shared" si="417"/>
        <v>0.3</v>
      </c>
      <c r="AZ1233" s="55"/>
      <c r="BA1233" s="56">
        <v>0</v>
      </c>
      <c r="BB1233" s="41" t="str">
        <f t="shared" si="398"/>
        <v/>
      </c>
      <c r="BC1233" s="13"/>
      <c r="BD1233" s="36"/>
      <c r="BE1233" s="7"/>
      <c r="BF1233" s="7"/>
      <c r="BG1233" s="17">
        <f t="shared" si="410"/>
        <v>0</v>
      </c>
      <c r="BH1233" s="7"/>
    </row>
    <row r="1234" spans="1:60" ht="12.75" customHeight="1" x14ac:dyDescent="0.2">
      <c r="A1234" s="51" t="s">
        <v>704</v>
      </c>
      <c r="B1234" s="51"/>
      <c r="C1234" s="66" t="s">
        <v>1803</v>
      </c>
      <c r="D1234" s="52" t="s">
        <v>763</v>
      </c>
      <c r="E1234" s="52" t="s">
        <v>764</v>
      </c>
      <c r="F1234" s="53">
        <f>IFERROR(VLOOKUP(E1234,Fornecedores!$A$2:$B$2700,2,FALSE),"")</f>
        <v>10</v>
      </c>
      <c r="G1234" s="52" t="s">
        <v>705</v>
      </c>
      <c r="H1234" s="54"/>
      <c r="I1234" s="55">
        <f t="shared" si="413"/>
        <v>0</v>
      </c>
      <c r="J1234" s="55">
        <v>0</v>
      </c>
      <c r="K1234" s="55">
        <v>0</v>
      </c>
      <c r="L1234" s="55">
        <v>0</v>
      </c>
      <c r="M1234" s="55">
        <v>0</v>
      </c>
      <c r="N1234" s="55">
        <f t="shared" si="414"/>
        <v>0</v>
      </c>
      <c r="O1234" s="55">
        <v>0</v>
      </c>
      <c r="P1234" s="55">
        <v>0</v>
      </c>
      <c r="Q1234" s="55">
        <v>0</v>
      </c>
      <c r="R1234" s="55">
        <f t="shared" si="415"/>
        <v>0</v>
      </c>
      <c r="S1234" s="55">
        <v>0</v>
      </c>
      <c r="T1234" s="55">
        <v>0</v>
      </c>
      <c r="U1234" s="55">
        <v>0</v>
      </c>
      <c r="V1234" s="55">
        <v>0</v>
      </c>
      <c r="W1234" s="53">
        <v>0</v>
      </c>
      <c r="X1234" s="53">
        <v>0</v>
      </c>
      <c r="Y1234" s="55">
        <v>0</v>
      </c>
      <c r="Z1234" s="55">
        <v>0</v>
      </c>
      <c r="AA1234" s="53">
        <v>0</v>
      </c>
      <c r="AB1234" s="53">
        <v>0</v>
      </c>
      <c r="AC1234" s="55">
        <v>0</v>
      </c>
      <c r="AD1234" s="55">
        <f t="shared" si="416"/>
        <v>0</v>
      </c>
      <c r="AE1234" s="53">
        <v>0</v>
      </c>
      <c r="AF1234" s="55">
        <v>0</v>
      </c>
      <c r="AG1234" s="55">
        <v>0</v>
      </c>
      <c r="AH1234" s="55">
        <f t="shared" si="409"/>
        <v>0</v>
      </c>
      <c r="AI1234" s="55">
        <v>0</v>
      </c>
      <c r="AJ1234" s="55">
        <v>0</v>
      </c>
      <c r="AK1234" s="55">
        <v>0</v>
      </c>
      <c r="AL1234" s="55">
        <f t="shared" si="397"/>
        <v>0</v>
      </c>
      <c r="AM1234" s="55" t="s">
        <v>1912</v>
      </c>
      <c r="AN1234" s="55">
        <v>0</v>
      </c>
      <c r="AO1234" s="55">
        <v>0</v>
      </c>
      <c r="AP1234" s="55">
        <f t="shared" si="412"/>
        <v>0</v>
      </c>
      <c r="AQ1234" s="55">
        <f>IFERROR(VLOOKUP(A1234,[1]SIIMPLES!$A$2:$F$418,6,FALSE),0)</f>
        <v>0</v>
      </c>
      <c r="AR1234" s="55">
        <v>0</v>
      </c>
      <c r="AS1234" s="55">
        <v>1</v>
      </c>
      <c r="AT1234" s="55">
        <v>1</v>
      </c>
      <c r="AU1234" s="55">
        <v>0</v>
      </c>
      <c r="AV1234" s="55">
        <v>0</v>
      </c>
      <c r="AW1234" s="55"/>
      <c r="AX1234" s="55"/>
      <c r="AY1234" s="56">
        <f t="shared" si="417"/>
        <v>0.1</v>
      </c>
      <c r="AZ1234" s="55"/>
      <c r="BA1234" s="56">
        <v>0</v>
      </c>
      <c r="BB1234" s="41" t="str">
        <f t="shared" si="398"/>
        <v/>
      </c>
      <c r="BC1234" s="13"/>
      <c r="BD1234" s="36"/>
      <c r="BE1234" s="7"/>
      <c r="BF1234" s="7"/>
      <c r="BG1234" s="17">
        <f t="shared" ref="BG1234:BG1249" si="418">IFERROR(BC1234/AY1234,"0")</f>
        <v>0</v>
      </c>
      <c r="BH1234" s="7"/>
    </row>
    <row r="1235" spans="1:60" ht="12.75" customHeight="1" x14ac:dyDescent="0.2">
      <c r="A1235" s="51" t="s">
        <v>840</v>
      </c>
      <c r="B1235" s="51"/>
      <c r="C1235" s="66" t="s">
        <v>1803</v>
      </c>
      <c r="D1235" s="52" t="s">
        <v>740</v>
      </c>
      <c r="E1235" s="52" t="s">
        <v>923</v>
      </c>
      <c r="F1235" s="53">
        <f>IFERROR(VLOOKUP(E1235,Fornecedores!$A$2:$B$2700,2,FALSE),"")</f>
        <v>12</v>
      </c>
      <c r="G1235" s="52" t="s">
        <v>1063</v>
      </c>
      <c r="H1235" s="57"/>
      <c r="I1235" s="55">
        <f t="shared" si="413"/>
        <v>4</v>
      </c>
      <c r="J1235" s="55">
        <v>2</v>
      </c>
      <c r="K1235" s="55">
        <v>2</v>
      </c>
      <c r="L1235" s="55">
        <v>0</v>
      </c>
      <c r="M1235" s="55">
        <v>0</v>
      </c>
      <c r="N1235" s="55">
        <f t="shared" si="414"/>
        <v>1</v>
      </c>
      <c r="O1235" s="55">
        <v>1</v>
      </c>
      <c r="P1235" s="55">
        <v>0</v>
      </c>
      <c r="Q1235" s="55">
        <v>0</v>
      </c>
      <c r="R1235" s="55">
        <f t="shared" si="415"/>
        <v>0</v>
      </c>
      <c r="S1235" s="55">
        <v>0</v>
      </c>
      <c r="T1235" s="55">
        <v>0</v>
      </c>
      <c r="U1235" s="55">
        <v>0</v>
      </c>
      <c r="V1235" s="55">
        <v>0</v>
      </c>
      <c r="W1235" s="53">
        <v>0</v>
      </c>
      <c r="X1235" s="53">
        <v>0</v>
      </c>
      <c r="Y1235" s="55">
        <v>0</v>
      </c>
      <c r="Z1235" s="55">
        <v>0</v>
      </c>
      <c r="AA1235" s="53">
        <v>0</v>
      </c>
      <c r="AB1235" s="53">
        <v>0</v>
      </c>
      <c r="AC1235" s="55">
        <v>0</v>
      </c>
      <c r="AD1235" s="55">
        <f t="shared" si="416"/>
        <v>0</v>
      </c>
      <c r="AE1235" s="53">
        <v>0</v>
      </c>
      <c r="AF1235" s="55">
        <v>0</v>
      </c>
      <c r="AG1235" s="55">
        <v>0</v>
      </c>
      <c r="AH1235" s="55">
        <f t="shared" si="409"/>
        <v>0</v>
      </c>
      <c r="AI1235" s="55">
        <v>0</v>
      </c>
      <c r="AJ1235" s="55">
        <v>0</v>
      </c>
      <c r="AK1235" s="55">
        <v>0</v>
      </c>
      <c r="AL1235" s="55">
        <f t="shared" ref="AL1235:AL1298" si="419">SUM(AM1235:AO1235)</f>
        <v>0</v>
      </c>
      <c r="AM1235" s="55" t="s">
        <v>1912</v>
      </c>
      <c r="AN1235" s="55">
        <v>0</v>
      </c>
      <c r="AO1235" s="55">
        <v>0</v>
      </c>
      <c r="AP1235" s="55">
        <f t="shared" si="412"/>
        <v>0</v>
      </c>
      <c r="AQ1235" s="55">
        <f>IFERROR(VLOOKUP(A1235,[1]SIIMPLES!$A$2:$F$418,6,FALSE),0)</f>
        <v>0</v>
      </c>
      <c r="AR1235" s="55">
        <v>0</v>
      </c>
      <c r="AS1235" s="55">
        <v>2</v>
      </c>
      <c r="AT1235" s="55">
        <v>2</v>
      </c>
      <c r="AU1235" s="55">
        <v>0</v>
      </c>
      <c r="AV1235" s="55">
        <v>0</v>
      </c>
      <c r="AW1235" s="55"/>
      <c r="AX1235" s="55"/>
      <c r="AY1235" s="56">
        <f t="shared" si="417"/>
        <v>0.7</v>
      </c>
      <c r="AZ1235" s="55"/>
      <c r="BA1235" s="56">
        <v>0</v>
      </c>
      <c r="BB1235" s="41" t="str">
        <f t="shared" ref="BB1235:BB1298" si="420">IFERROR(AY1235/BA1235-1,"")</f>
        <v/>
      </c>
      <c r="BC1235" s="13"/>
      <c r="BD1235" s="36"/>
      <c r="BE1235" s="7"/>
      <c r="BF1235" s="7"/>
      <c r="BG1235" s="17">
        <f t="shared" si="418"/>
        <v>0</v>
      </c>
      <c r="BH1235" s="7"/>
    </row>
    <row r="1236" spans="1:60" ht="12.75" customHeight="1" x14ac:dyDescent="0.2">
      <c r="A1236" s="51" t="s">
        <v>1519</v>
      </c>
      <c r="B1236" s="51"/>
      <c r="C1236" s="66" t="s">
        <v>1803</v>
      </c>
      <c r="D1236" s="52" t="s">
        <v>751</v>
      </c>
      <c r="E1236" s="52" t="s">
        <v>746</v>
      </c>
      <c r="F1236" s="53">
        <f>IFERROR(VLOOKUP(E1236,Fornecedores!$A$2:$B$2700,2,FALSE),"")</f>
        <v>11</v>
      </c>
      <c r="G1236" s="52" t="s">
        <v>1729</v>
      </c>
      <c r="H1236" s="57"/>
      <c r="I1236" s="55">
        <f t="shared" si="413"/>
        <v>0</v>
      </c>
      <c r="J1236" s="57" t="s">
        <v>1282</v>
      </c>
      <c r="K1236" s="55">
        <v>0</v>
      </c>
      <c r="L1236" s="55">
        <v>0</v>
      </c>
      <c r="M1236" s="55">
        <v>0</v>
      </c>
      <c r="N1236" s="55">
        <f t="shared" si="414"/>
        <v>0</v>
      </c>
      <c r="O1236" s="55">
        <v>0</v>
      </c>
      <c r="P1236" s="55">
        <v>0</v>
      </c>
      <c r="Q1236" s="55">
        <v>0</v>
      </c>
      <c r="R1236" s="55">
        <f t="shared" si="415"/>
        <v>0</v>
      </c>
      <c r="S1236" s="55">
        <v>0</v>
      </c>
      <c r="T1236" s="55">
        <v>0</v>
      </c>
      <c r="U1236" s="55">
        <v>0</v>
      </c>
      <c r="V1236" s="55">
        <v>0</v>
      </c>
      <c r="W1236" s="53">
        <v>0</v>
      </c>
      <c r="X1236" s="53">
        <v>0</v>
      </c>
      <c r="Y1236" s="55">
        <v>0</v>
      </c>
      <c r="Z1236" s="55">
        <v>1</v>
      </c>
      <c r="AA1236" s="53">
        <v>1</v>
      </c>
      <c r="AB1236" s="53">
        <v>0</v>
      </c>
      <c r="AC1236" s="55">
        <v>0</v>
      </c>
      <c r="AD1236" s="55">
        <f t="shared" si="416"/>
        <v>0</v>
      </c>
      <c r="AE1236" s="53">
        <v>0</v>
      </c>
      <c r="AF1236" s="55">
        <v>0</v>
      </c>
      <c r="AG1236" s="55">
        <v>0</v>
      </c>
      <c r="AH1236" s="55">
        <f t="shared" si="409"/>
        <v>0</v>
      </c>
      <c r="AI1236" s="55">
        <v>0</v>
      </c>
      <c r="AJ1236" s="55">
        <v>0</v>
      </c>
      <c r="AK1236" s="55">
        <v>0</v>
      </c>
      <c r="AL1236" s="55">
        <f t="shared" si="419"/>
        <v>0</v>
      </c>
      <c r="AM1236" s="55" t="s">
        <v>1912</v>
      </c>
      <c r="AN1236" s="55">
        <v>0</v>
      </c>
      <c r="AO1236" s="55">
        <v>0</v>
      </c>
      <c r="AP1236" s="55">
        <f t="shared" si="412"/>
        <v>0</v>
      </c>
      <c r="AQ1236" s="55">
        <f>IFERROR(VLOOKUP(A1236,[1]SIIMPLES!$A$2:$F$418,6,FALSE),0)</f>
        <v>0</v>
      </c>
      <c r="AR1236" s="55">
        <v>0</v>
      </c>
      <c r="AS1236" s="55">
        <v>0</v>
      </c>
      <c r="AT1236" s="55">
        <v>0</v>
      </c>
      <c r="AU1236" s="55">
        <v>0</v>
      </c>
      <c r="AV1236" s="55">
        <v>0</v>
      </c>
      <c r="AW1236" s="57"/>
      <c r="AX1236" s="57"/>
      <c r="AY1236" s="56">
        <f t="shared" si="417"/>
        <v>0.1</v>
      </c>
      <c r="AZ1236" s="55"/>
      <c r="BA1236" s="56" t="s">
        <v>1912</v>
      </c>
      <c r="BB1236" s="41" t="str">
        <f t="shared" si="420"/>
        <v/>
      </c>
      <c r="BC1236" s="13"/>
      <c r="BD1236" s="36"/>
      <c r="BE1236" s="7"/>
      <c r="BF1236" s="7"/>
      <c r="BG1236" s="17">
        <f t="shared" si="418"/>
        <v>0</v>
      </c>
      <c r="BH1236" s="7"/>
    </row>
    <row r="1237" spans="1:60" ht="12.75" customHeight="1" x14ac:dyDescent="0.2">
      <c r="A1237" s="51" t="s">
        <v>837</v>
      </c>
      <c r="B1237" s="51"/>
      <c r="C1237" s="66" t="s">
        <v>1803</v>
      </c>
      <c r="D1237" s="52" t="s">
        <v>740</v>
      </c>
      <c r="E1237" s="52" t="s">
        <v>923</v>
      </c>
      <c r="F1237" s="53">
        <f>IFERROR(VLOOKUP(E1237,Fornecedores!$A$2:$B$2700,2,FALSE),"")</f>
        <v>12</v>
      </c>
      <c r="G1237" s="52" t="s">
        <v>1060</v>
      </c>
      <c r="H1237" s="57"/>
      <c r="I1237" s="55">
        <f t="shared" si="413"/>
        <v>2</v>
      </c>
      <c r="J1237" s="55">
        <v>0</v>
      </c>
      <c r="K1237" s="55">
        <v>2</v>
      </c>
      <c r="L1237" s="55">
        <v>0</v>
      </c>
      <c r="M1237" s="55">
        <v>0</v>
      </c>
      <c r="N1237" s="55">
        <f t="shared" si="414"/>
        <v>0</v>
      </c>
      <c r="O1237" s="55">
        <v>0</v>
      </c>
      <c r="P1237" s="55">
        <v>0</v>
      </c>
      <c r="Q1237" s="55">
        <v>0</v>
      </c>
      <c r="R1237" s="55">
        <f t="shared" si="415"/>
        <v>0</v>
      </c>
      <c r="S1237" s="55">
        <v>0</v>
      </c>
      <c r="T1237" s="55">
        <v>0</v>
      </c>
      <c r="U1237" s="55">
        <v>0</v>
      </c>
      <c r="V1237" s="55">
        <v>0</v>
      </c>
      <c r="W1237" s="53">
        <v>0</v>
      </c>
      <c r="X1237" s="53">
        <v>0</v>
      </c>
      <c r="Y1237" s="55">
        <v>0</v>
      </c>
      <c r="Z1237" s="55">
        <v>2</v>
      </c>
      <c r="AA1237" s="53">
        <v>0</v>
      </c>
      <c r="AB1237" s="53">
        <v>2</v>
      </c>
      <c r="AC1237" s="55">
        <v>0</v>
      </c>
      <c r="AD1237" s="55">
        <f t="shared" si="416"/>
        <v>0</v>
      </c>
      <c r="AE1237" s="53">
        <v>0</v>
      </c>
      <c r="AF1237" s="55">
        <v>0</v>
      </c>
      <c r="AG1237" s="55">
        <v>0</v>
      </c>
      <c r="AH1237" s="55">
        <f t="shared" si="409"/>
        <v>0</v>
      </c>
      <c r="AI1237" s="55">
        <v>0</v>
      </c>
      <c r="AJ1237" s="55">
        <v>0</v>
      </c>
      <c r="AK1237" s="55">
        <v>0</v>
      </c>
      <c r="AL1237" s="55">
        <f t="shared" si="419"/>
        <v>0</v>
      </c>
      <c r="AM1237" s="55" t="s">
        <v>1912</v>
      </c>
      <c r="AN1237" s="55">
        <v>0</v>
      </c>
      <c r="AO1237" s="55">
        <v>0</v>
      </c>
      <c r="AP1237" s="55">
        <f t="shared" si="412"/>
        <v>0</v>
      </c>
      <c r="AQ1237" s="55">
        <f>IFERROR(VLOOKUP(A1237,[1]SIIMPLES!$A$2:$F$418,6,FALSE),0)</f>
        <v>0</v>
      </c>
      <c r="AR1237" s="55">
        <v>0</v>
      </c>
      <c r="AS1237" s="55">
        <v>0</v>
      </c>
      <c r="AT1237" s="55">
        <v>0</v>
      </c>
      <c r="AU1237" s="55">
        <v>0</v>
      </c>
      <c r="AV1237" s="55">
        <v>0</v>
      </c>
      <c r="AW1237" s="55"/>
      <c r="AX1237" s="55"/>
      <c r="AY1237" s="56">
        <f t="shared" si="417"/>
        <v>0.4</v>
      </c>
      <c r="AZ1237" s="55"/>
      <c r="BA1237" s="56">
        <v>0.25</v>
      </c>
      <c r="BB1237" s="41">
        <f t="shared" si="420"/>
        <v>0.60000000000000009</v>
      </c>
      <c r="BC1237" s="13"/>
      <c r="BD1237" s="36"/>
      <c r="BE1237" s="7"/>
      <c r="BF1237" s="7"/>
      <c r="BG1237" s="17">
        <f t="shared" si="418"/>
        <v>0</v>
      </c>
      <c r="BH1237" s="7"/>
    </row>
    <row r="1238" spans="1:60" ht="12.75" customHeight="1" x14ac:dyDescent="0.2">
      <c r="A1238" s="51" t="s">
        <v>1847</v>
      </c>
      <c r="B1238" s="51"/>
      <c r="C1238" s="66" t="s">
        <v>1803</v>
      </c>
      <c r="D1238" s="52" t="s">
        <v>751</v>
      </c>
      <c r="E1238" s="52" t="str">
        <f>VLOOKUP(A1238,[2]CMV!$A$1:$E$2043,5,FALSE)</f>
        <v>REPLABOR</v>
      </c>
      <c r="F1238" s="53"/>
      <c r="G1238" s="52" t="str">
        <f>VLOOKUP(A1238,[2]CMV!$A$1:$F$2043,6,FALSE)</f>
        <v>Coifa Homocinetica Câmbio Esquerdo Fiesta 2002 A 2014</v>
      </c>
      <c r="H1238" s="57"/>
      <c r="I1238" s="57"/>
      <c r="J1238" s="57"/>
      <c r="K1238" s="57"/>
      <c r="L1238" s="57"/>
      <c r="M1238" s="57"/>
      <c r="N1238" s="57"/>
      <c r="O1238" s="57"/>
      <c r="P1238" s="57"/>
      <c r="Q1238" s="57"/>
      <c r="R1238" s="57"/>
      <c r="S1238" s="57"/>
      <c r="T1238" s="57"/>
      <c r="U1238" s="57"/>
      <c r="V1238" s="57"/>
      <c r="W1238" s="57"/>
      <c r="X1238" s="53">
        <v>0</v>
      </c>
      <c r="Y1238" s="57"/>
      <c r="Z1238" s="55">
        <v>1</v>
      </c>
      <c r="AA1238" s="53">
        <v>1</v>
      </c>
      <c r="AB1238" s="53">
        <v>0</v>
      </c>
      <c r="AC1238" s="55">
        <v>0</v>
      </c>
      <c r="AD1238" s="55">
        <f t="shared" si="416"/>
        <v>0</v>
      </c>
      <c r="AE1238" s="53">
        <v>0</v>
      </c>
      <c r="AF1238" s="55">
        <v>0</v>
      </c>
      <c r="AG1238" s="55">
        <v>0</v>
      </c>
      <c r="AH1238" s="55">
        <f t="shared" si="409"/>
        <v>0</v>
      </c>
      <c r="AI1238" s="55">
        <v>0</v>
      </c>
      <c r="AJ1238" s="55">
        <v>0</v>
      </c>
      <c r="AK1238" s="55">
        <v>0</v>
      </c>
      <c r="AL1238" s="55">
        <f t="shared" si="419"/>
        <v>0</v>
      </c>
      <c r="AM1238" s="55" t="s">
        <v>1912</v>
      </c>
      <c r="AN1238" s="55">
        <v>0</v>
      </c>
      <c r="AO1238" s="55">
        <v>0</v>
      </c>
      <c r="AP1238" s="55">
        <f t="shared" si="412"/>
        <v>0</v>
      </c>
      <c r="AQ1238" s="55">
        <f>IFERROR(VLOOKUP(A1238,[1]SIIMPLES!$A$2:$F$418,6,FALSE),0)</f>
        <v>0</v>
      </c>
      <c r="AR1238" s="55">
        <v>0</v>
      </c>
      <c r="AS1238" s="55">
        <v>0</v>
      </c>
      <c r="AT1238" s="55">
        <v>0</v>
      </c>
      <c r="AU1238" s="55">
        <v>0</v>
      </c>
      <c r="AV1238" s="55">
        <v>0</v>
      </c>
      <c r="AW1238" s="57"/>
      <c r="AX1238" s="57"/>
      <c r="AY1238" s="56">
        <f t="shared" si="417"/>
        <v>0.16666666666666666</v>
      </c>
      <c r="AZ1238" s="57"/>
      <c r="BA1238" s="57"/>
      <c r="BB1238" s="41" t="str">
        <f t="shared" si="420"/>
        <v/>
      </c>
      <c r="BC1238" s="13"/>
      <c r="BD1238" s="36"/>
      <c r="BE1238" s="7"/>
      <c r="BF1238" s="7"/>
      <c r="BG1238" s="17">
        <f t="shared" si="418"/>
        <v>0</v>
      </c>
      <c r="BH1238" s="7"/>
    </row>
    <row r="1239" spans="1:60" ht="12.75" customHeight="1" x14ac:dyDescent="0.2">
      <c r="A1239" s="51" t="s">
        <v>1112</v>
      </c>
      <c r="B1239" s="51"/>
      <c r="C1239" s="66" t="s">
        <v>1803</v>
      </c>
      <c r="D1239" s="52" t="s">
        <v>751</v>
      </c>
      <c r="E1239" s="52" t="s">
        <v>746</v>
      </c>
      <c r="F1239" s="53">
        <f>IFERROR(VLOOKUP(E1239,Fornecedores!$A$2:$B$2700,2,FALSE),"")</f>
        <v>11</v>
      </c>
      <c r="G1239" s="52" t="s">
        <v>1155</v>
      </c>
      <c r="H1239" s="57"/>
      <c r="I1239" s="55">
        <f>SUM(J1239:M1239)</f>
        <v>0</v>
      </c>
      <c r="J1239" s="55">
        <v>0</v>
      </c>
      <c r="K1239" s="55">
        <v>0</v>
      </c>
      <c r="L1239" s="55">
        <v>0</v>
      </c>
      <c r="M1239" s="55">
        <v>0</v>
      </c>
      <c r="N1239" s="55">
        <f>SUM(O1239:Q1239)</f>
        <v>0</v>
      </c>
      <c r="O1239" s="55">
        <v>0</v>
      </c>
      <c r="P1239" s="55">
        <v>0</v>
      </c>
      <c r="Q1239" s="55">
        <v>0</v>
      </c>
      <c r="R1239" s="55">
        <f>SUM(S1239:U1239)</f>
        <v>0</v>
      </c>
      <c r="S1239" s="55">
        <v>0</v>
      </c>
      <c r="T1239" s="55">
        <v>0</v>
      </c>
      <c r="U1239" s="55">
        <v>0</v>
      </c>
      <c r="V1239" s="55">
        <v>0</v>
      </c>
      <c r="W1239" s="53">
        <v>0</v>
      </c>
      <c r="X1239" s="53">
        <v>0</v>
      </c>
      <c r="Y1239" s="55">
        <v>0</v>
      </c>
      <c r="Z1239" s="55">
        <v>0</v>
      </c>
      <c r="AA1239" s="53">
        <v>0</v>
      </c>
      <c r="AB1239" s="53">
        <v>0</v>
      </c>
      <c r="AC1239" s="55">
        <v>0</v>
      </c>
      <c r="AD1239" s="55">
        <f t="shared" si="416"/>
        <v>0</v>
      </c>
      <c r="AE1239" s="53">
        <v>0</v>
      </c>
      <c r="AF1239" s="55">
        <v>0</v>
      </c>
      <c r="AG1239" s="55">
        <v>0</v>
      </c>
      <c r="AH1239" s="55">
        <f t="shared" si="409"/>
        <v>0</v>
      </c>
      <c r="AI1239" s="55">
        <v>0</v>
      </c>
      <c r="AJ1239" s="55">
        <v>0</v>
      </c>
      <c r="AK1239" s="55">
        <v>0</v>
      </c>
      <c r="AL1239" s="55">
        <f t="shared" si="419"/>
        <v>0</v>
      </c>
      <c r="AM1239" s="55" t="s">
        <v>1912</v>
      </c>
      <c r="AN1239" s="55">
        <v>0</v>
      </c>
      <c r="AO1239" s="55">
        <v>0</v>
      </c>
      <c r="AP1239" s="55">
        <f t="shared" si="412"/>
        <v>0</v>
      </c>
      <c r="AQ1239" s="55">
        <f>IFERROR(VLOOKUP(A1239,[1]SIIMPLES!$A$2:$F$418,6,FALSE),0)</f>
        <v>0</v>
      </c>
      <c r="AR1239" s="55">
        <v>0</v>
      </c>
      <c r="AS1239" s="55">
        <v>0</v>
      </c>
      <c r="AT1239" s="55">
        <v>0</v>
      </c>
      <c r="AU1239" s="55">
        <v>0</v>
      </c>
      <c r="AV1239" s="55">
        <v>0</v>
      </c>
      <c r="AW1239" s="55"/>
      <c r="AX1239" s="55"/>
      <c r="AY1239" s="56">
        <f t="shared" si="417"/>
        <v>0</v>
      </c>
      <c r="AZ1239" s="55"/>
      <c r="BA1239" s="56">
        <v>0</v>
      </c>
      <c r="BB1239" s="41" t="str">
        <f t="shared" si="420"/>
        <v/>
      </c>
      <c r="BC1239" s="13"/>
      <c r="BD1239" s="36"/>
      <c r="BE1239" s="7"/>
      <c r="BF1239" s="7"/>
      <c r="BG1239" s="17" t="str">
        <f t="shared" si="418"/>
        <v>0</v>
      </c>
      <c r="BH1239" s="7"/>
    </row>
    <row r="1240" spans="1:60" ht="12.75" customHeight="1" x14ac:dyDescent="0.2">
      <c r="A1240" s="51" t="s">
        <v>1113</v>
      </c>
      <c r="B1240" s="51"/>
      <c r="C1240" s="66" t="s">
        <v>1803</v>
      </c>
      <c r="D1240" s="52" t="s">
        <v>751</v>
      </c>
      <c r="E1240" s="52" t="s">
        <v>746</v>
      </c>
      <c r="F1240" s="53">
        <f>IFERROR(VLOOKUP(E1240,Fornecedores!$A$2:$B$2700,2,FALSE),"")</f>
        <v>11</v>
      </c>
      <c r="G1240" s="52" t="s">
        <v>1156</v>
      </c>
      <c r="H1240" s="57"/>
      <c r="I1240" s="55">
        <f>SUM(J1240:M1240)</f>
        <v>0</v>
      </c>
      <c r="J1240" s="55">
        <v>0</v>
      </c>
      <c r="K1240" s="55">
        <v>0</v>
      </c>
      <c r="L1240" s="55">
        <v>0</v>
      </c>
      <c r="M1240" s="55">
        <v>0</v>
      </c>
      <c r="N1240" s="55">
        <f>SUM(O1240:Q1240)</f>
        <v>0</v>
      </c>
      <c r="O1240" s="55">
        <v>0</v>
      </c>
      <c r="P1240" s="55">
        <v>0</v>
      </c>
      <c r="Q1240" s="55">
        <v>0</v>
      </c>
      <c r="R1240" s="55">
        <f>SUM(S1240:U1240)</f>
        <v>0</v>
      </c>
      <c r="S1240" s="55">
        <v>0</v>
      </c>
      <c r="T1240" s="55">
        <v>0</v>
      </c>
      <c r="U1240" s="55">
        <v>0</v>
      </c>
      <c r="V1240" s="55">
        <v>0</v>
      </c>
      <c r="W1240" s="53">
        <v>0</v>
      </c>
      <c r="X1240" s="53">
        <v>0</v>
      </c>
      <c r="Y1240" s="55">
        <v>0</v>
      </c>
      <c r="Z1240" s="55">
        <v>0</v>
      </c>
      <c r="AA1240" s="53">
        <v>0</v>
      </c>
      <c r="AB1240" s="53">
        <v>0</v>
      </c>
      <c r="AC1240" s="55">
        <v>0</v>
      </c>
      <c r="AD1240" s="55">
        <f t="shared" si="416"/>
        <v>0</v>
      </c>
      <c r="AE1240" s="53">
        <v>0</v>
      </c>
      <c r="AF1240" s="55">
        <v>0</v>
      </c>
      <c r="AG1240" s="55">
        <v>0</v>
      </c>
      <c r="AH1240" s="55">
        <f t="shared" si="409"/>
        <v>0</v>
      </c>
      <c r="AI1240" s="55">
        <v>0</v>
      </c>
      <c r="AJ1240" s="55">
        <v>0</v>
      </c>
      <c r="AK1240" s="55">
        <v>0</v>
      </c>
      <c r="AL1240" s="55">
        <f t="shared" si="419"/>
        <v>0</v>
      </c>
      <c r="AM1240" s="55" t="s">
        <v>1912</v>
      </c>
      <c r="AN1240" s="55">
        <v>0</v>
      </c>
      <c r="AO1240" s="55">
        <v>0</v>
      </c>
      <c r="AP1240" s="55">
        <f t="shared" si="412"/>
        <v>0</v>
      </c>
      <c r="AQ1240" s="55">
        <f>IFERROR(VLOOKUP(A1240,[1]SIIMPLES!$A$2:$F$418,6,FALSE),0)</f>
        <v>0</v>
      </c>
      <c r="AR1240" s="55">
        <v>0</v>
      </c>
      <c r="AS1240" s="55">
        <v>0</v>
      </c>
      <c r="AT1240" s="55">
        <v>0</v>
      </c>
      <c r="AU1240" s="55">
        <v>0</v>
      </c>
      <c r="AV1240" s="55">
        <v>0</v>
      </c>
      <c r="AW1240" s="55"/>
      <c r="AX1240" s="55"/>
      <c r="AY1240" s="56">
        <f t="shared" si="417"/>
        <v>0</v>
      </c>
      <c r="AZ1240" s="55"/>
      <c r="BA1240" s="56">
        <v>0</v>
      </c>
      <c r="BB1240" s="41" t="str">
        <f t="shared" si="420"/>
        <v/>
      </c>
      <c r="BC1240" s="13"/>
      <c r="BD1240" s="36"/>
      <c r="BE1240" s="7"/>
      <c r="BF1240" s="7"/>
      <c r="BG1240" s="17" t="str">
        <f t="shared" si="418"/>
        <v>0</v>
      </c>
      <c r="BH1240" s="7"/>
    </row>
    <row r="1241" spans="1:60" ht="12.75" customHeight="1" x14ac:dyDescent="0.2">
      <c r="A1241" s="51" t="s">
        <v>1114</v>
      </c>
      <c r="B1241" s="51"/>
      <c r="C1241" s="66" t="s">
        <v>1803</v>
      </c>
      <c r="D1241" s="52" t="s">
        <v>751</v>
      </c>
      <c r="E1241" s="52" t="s">
        <v>746</v>
      </c>
      <c r="F1241" s="53">
        <f>IFERROR(VLOOKUP(E1241,Fornecedores!$A$2:$B$2700,2,FALSE),"")</f>
        <v>11</v>
      </c>
      <c r="G1241" s="52" t="s">
        <v>1157</v>
      </c>
      <c r="H1241" s="57"/>
      <c r="I1241" s="55">
        <f>SUM(J1241:M1241)</f>
        <v>0</v>
      </c>
      <c r="J1241" s="55">
        <v>0</v>
      </c>
      <c r="K1241" s="55">
        <v>0</v>
      </c>
      <c r="L1241" s="55">
        <v>0</v>
      </c>
      <c r="M1241" s="55">
        <v>0</v>
      </c>
      <c r="N1241" s="55">
        <f>SUM(O1241:Q1241)</f>
        <v>0</v>
      </c>
      <c r="O1241" s="55">
        <v>0</v>
      </c>
      <c r="P1241" s="55">
        <v>0</v>
      </c>
      <c r="Q1241" s="55">
        <v>0</v>
      </c>
      <c r="R1241" s="55">
        <f>SUM(S1241:U1241)</f>
        <v>0</v>
      </c>
      <c r="S1241" s="55">
        <v>0</v>
      </c>
      <c r="T1241" s="55">
        <v>0</v>
      </c>
      <c r="U1241" s="55">
        <v>0</v>
      </c>
      <c r="V1241" s="55">
        <v>0</v>
      </c>
      <c r="W1241" s="53">
        <v>0</v>
      </c>
      <c r="X1241" s="53">
        <v>0</v>
      </c>
      <c r="Y1241" s="55">
        <v>0</v>
      </c>
      <c r="Z1241" s="55">
        <v>0</v>
      </c>
      <c r="AA1241" s="53">
        <v>0</v>
      </c>
      <c r="AB1241" s="53">
        <v>0</v>
      </c>
      <c r="AC1241" s="55">
        <v>0</v>
      </c>
      <c r="AD1241" s="55">
        <f t="shared" si="416"/>
        <v>0</v>
      </c>
      <c r="AE1241" s="53">
        <v>0</v>
      </c>
      <c r="AF1241" s="55">
        <v>0</v>
      </c>
      <c r="AG1241" s="55">
        <v>0</v>
      </c>
      <c r="AH1241" s="55">
        <f t="shared" si="409"/>
        <v>0</v>
      </c>
      <c r="AI1241" s="55">
        <v>0</v>
      </c>
      <c r="AJ1241" s="55">
        <v>0</v>
      </c>
      <c r="AK1241" s="55">
        <v>0</v>
      </c>
      <c r="AL1241" s="55">
        <f t="shared" si="419"/>
        <v>0</v>
      </c>
      <c r="AM1241" s="55" t="s">
        <v>1912</v>
      </c>
      <c r="AN1241" s="55">
        <v>0</v>
      </c>
      <c r="AO1241" s="55">
        <v>0</v>
      </c>
      <c r="AP1241" s="55">
        <f t="shared" si="412"/>
        <v>0</v>
      </c>
      <c r="AQ1241" s="55">
        <f>IFERROR(VLOOKUP(A1241,[1]SIIMPLES!$A$2:$F$418,6,FALSE),0)</f>
        <v>0</v>
      </c>
      <c r="AR1241" s="55">
        <v>0</v>
      </c>
      <c r="AS1241" s="55">
        <v>0</v>
      </c>
      <c r="AT1241" s="55">
        <v>0</v>
      </c>
      <c r="AU1241" s="55">
        <v>0</v>
      </c>
      <c r="AV1241" s="55">
        <v>0</v>
      </c>
      <c r="AW1241" s="55"/>
      <c r="AX1241" s="55"/>
      <c r="AY1241" s="56">
        <f t="shared" si="417"/>
        <v>0</v>
      </c>
      <c r="AZ1241" s="55"/>
      <c r="BA1241" s="56">
        <v>0</v>
      </c>
      <c r="BB1241" s="41" t="str">
        <f t="shared" si="420"/>
        <v/>
      </c>
      <c r="BC1241" s="13"/>
      <c r="BD1241" s="36"/>
      <c r="BE1241" s="7"/>
      <c r="BF1241" s="7"/>
      <c r="BG1241" s="17" t="str">
        <f t="shared" si="418"/>
        <v>0</v>
      </c>
      <c r="BH1241" s="7"/>
    </row>
    <row r="1242" spans="1:60" ht="12.75" customHeight="1" x14ac:dyDescent="0.2">
      <c r="A1242" s="28" t="s">
        <v>2069</v>
      </c>
      <c r="B1242" s="28"/>
      <c r="C1242" s="28" t="s">
        <v>1803</v>
      </c>
      <c r="D1242" s="83" t="s">
        <v>751</v>
      </c>
      <c r="E1242" s="83" t="s">
        <v>780</v>
      </c>
      <c r="F1242" s="84"/>
      <c r="G1242" s="85" t="s">
        <v>2074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55">
        <f t="shared" si="419"/>
        <v>1</v>
      </c>
      <c r="AM1242" s="55">
        <v>1</v>
      </c>
      <c r="AN1242" s="55">
        <v>0</v>
      </c>
      <c r="AO1242" s="55">
        <v>0</v>
      </c>
      <c r="AP1242" s="55">
        <f t="shared" si="412"/>
        <v>0</v>
      </c>
      <c r="AQ1242" s="55">
        <f>IFERROR(VLOOKUP(A1242,[1]SIIMPLES!$A$2:$F$418,6,FALSE),0)</f>
        <v>0</v>
      </c>
      <c r="AR1242" s="55">
        <v>0</v>
      </c>
      <c r="AS1242" s="55">
        <v>0</v>
      </c>
      <c r="AT1242" s="55">
        <v>0</v>
      </c>
      <c r="AU1242" s="55">
        <v>0</v>
      </c>
      <c r="AV1242" s="55">
        <v>0</v>
      </c>
      <c r="AW1242" s="7"/>
      <c r="AX1242" s="7"/>
      <c r="AY1242" s="7"/>
      <c r="AZ1242" s="7"/>
      <c r="BA1242" s="7"/>
      <c r="BB1242" s="41" t="str">
        <f t="shared" si="420"/>
        <v/>
      </c>
      <c r="BC1242" s="13"/>
      <c r="BD1242" s="36"/>
      <c r="BE1242" s="7"/>
      <c r="BF1242" s="7"/>
      <c r="BG1242" s="17" t="str">
        <f t="shared" si="418"/>
        <v>0</v>
      </c>
      <c r="BH1242" s="7"/>
    </row>
    <row r="1243" spans="1:60" ht="12.75" customHeight="1" x14ac:dyDescent="0.2">
      <c r="A1243" s="51" t="s">
        <v>839</v>
      </c>
      <c r="B1243" s="51"/>
      <c r="C1243" s="66" t="s">
        <v>1803</v>
      </c>
      <c r="D1243" s="52" t="s">
        <v>740</v>
      </c>
      <c r="E1243" s="52" t="s">
        <v>923</v>
      </c>
      <c r="F1243" s="53">
        <f>IFERROR(VLOOKUP(E1243,Fornecedores!$A$2:$B$2700,2,FALSE),"")</f>
        <v>12</v>
      </c>
      <c r="G1243" s="52" t="s">
        <v>1062</v>
      </c>
      <c r="H1243" s="57"/>
      <c r="I1243" s="55">
        <f t="shared" ref="I1243:I1269" si="421">SUM(J1243:M1243)</f>
        <v>0</v>
      </c>
      <c r="J1243" s="55">
        <v>0</v>
      </c>
      <c r="K1243" s="55">
        <v>0</v>
      </c>
      <c r="L1243" s="55">
        <v>0</v>
      </c>
      <c r="M1243" s="55">
        <v>0</v>
      </c>
      <c r="N1243" s="55">
        <f t="shared" ref="N1243:N1269" si="422">SUM(O1243:Q1243)</f>
        <v>4</v>
      </c>
      <c r="O1243" s="55">
        <v>0</v>
      </c>
      <c r="P1243" s="55">
        <v>4</v>
      </c>
      <c r="Q1243" s="55">
        <v>0</v>
      </c>
      <c r="R1243" s="55">
        <f t="shared" ref="R1243:R1269" si="423">SUM(S1243:U1243)</f>
        <v>0</v>
      </c>
      <c r="S1243" s="55">
        <v>0</v>
      </c>
      <c r="T1243" s="55">
        <v>0</v>
      </c>
      <c r="U1243" s="55">
        <v>0</v>
      </c>
      <c r="V1243" s="55">
        <v>0</v>
      </c>
      <c r="W1243" s="53">
        <v>0</v>
      </c>
      <c r="X1243" s="53">
        <v>0</v>
      </c>
      <c r="Y1243" s="55">
        <v>0</v>
      </c>
      <c r="Z1243" s="55">
        <v>0</v>
      </c>
      <c r="AA1243" s="53">
        <v>0</v>
      </c>
      <c r="AB1243" s="53">
        <v>0</v>
      </c>
      <c r="AC1243" s="55">
        <v>0</v>
      </c>
      <c r="AD1243" s="55">
        <f t="shared" ref="AD1243:AD1270" si="424">SUM(AE1243:AG1243)</f>
        <v>0</v>
      </c>
      <c r="AE1243" s="53">
        <v>0</v>
      </c>
      <c r="AF1243" s="55">
        <v>0</v>
      </c>
      <c r="AG1243" s="55">
        <v>0</v>
      </c>
      <c r="AH1243" s="55">
        <f t="shared" ref="AH1243:AH1274" si="425">SUM(AI1243:AK1243)</f>
        <v>0</v>
      </c>
      <c r="AI1243" s="55">
        <v>0</v>
      </c>
      <c r="AJ1243" s="55">
        <v>0</v>
      </c>
      <c r="AK1243" s="55">
        <v>0</v>
      </c>
      <c r="AL1243" s="55">
        <f t="shared" si="419"/>
        <v>0</v>
      </c>
      <c r="AM1243" s="55" t="s">
        <v>1912</v>
      </c>
      <c r="AN1243" s="55">
        <v>0</v>
      </c>
      <c r="AO1243" s="55">
        <v>0</v>
      </c>
      <c r="AP1243" s="55">
        <f t="shared" si="412"/>
        <v>0</v>
      </c>
      <c r="AQ1243" s="55">
        <f>IFERROR(VLOOKUP(A1243,[1]SIIMPLES!$A$2:$F$418,6,FALSE),0)</f>
        <v>0</v>
      </c>
      <c r="AR1243" s="55">
        <v>0</v>
      </c>
      <c r="AS1243" s="55">
        <v>0</v>
      </c>
      <c r="AT1243" s="55">
        <v>0</v>
      </c>
      <c r="AU1243" s="55">
        <v>0</v>
      </c>
      <c r="AV1243" s="55">
        <v>0</v>
      </c>
      <c r="AW1243" s="55"/>
      <c r="AX1243" s="55"/>
      <c r="AY1243" s="56">
        <f t="shared" ref="AY1243:AY1274" si="426">IFERROR(AVERAGE(I1243,N1243,R1243,V1243,Z1243,AD1243,AH1243,AL1243,AP1243,AS1243,AW1243,AX1243),"-")</f>
        <v>0.4</v>
      </c>
      <c r="AZ1243" s="55"/>
      <c r="BA1243" s="56">
        <v>0.5</v>
      </c>
      <c r="BB1243" s="41">
        <f t="shared" si="420"/>
        <v>-0.19999999999999996</v>
      </c>
      <c r="BC1243" s="13"/>
      <c r="BD1243" s="36"/>
      <c r="BE1243" s="7"/>
      <c r="BF1243" s="7"/>
      <c r="BG1243" s="17">
        <f t="shared" si="418"/>
        <v>0</v>
      </c>
      <c r="BH1243" s="7"/>
    </row>
    <row r="1244" spans="1:60" ht="12.75" customHeight="1" x14ac:dyDescent="0.2">
      <c r="A1244" s="51" t="s">
        <v>823</v>
      </c>
      <c r="B1244" s="51" t="s">
        <v>1077</v>
      </c>
      <c r="C1244" s="66" t="s">
        <v>1803</v>
      </c>
      <c r="D1244" s="52" t="s">
        <v>740</v>
      </c>
      <c r="E1244" s="52" t="s">
        <v>923</v>
      </c>
      <c r="F1244" s="53">
        <f>IFERROR(VLOOKUP(E1244,Fornecedores!$A$2:$B$2700,2,FALSE),"")</f>
        <v>12</v>
      </c>
      <c r="G1244" s="52" t="s">
        <v>924</v>
      </c>
      <c r="H1244" s="57"/>
      <c r="I1244" s="55">
        <f t="shared" si="421"/>
        <v>0</v>
      </c>
      <c r="J1244" s="55">
        <v>0</v>
      </c>
      <c r="K1244" s="55">
        <v>0</v>
      </c>
      <c r="L1244" s="55">
        <v>0</v>
      </c>
      <c r="M1244" s="55">
        <v>0</v>
      </c>
      <c r="N1244" s="55">
        <f t="shared" si="422"/>
        <v>2</v>
      </c>
      <c r="O1244" s="55">
        <v>0</v>
      </c>
      <c r="P1244" s="55">
        <v>2</v>
      </c>
      <c r="Q1244" s="55">
        <v>0</v>
      </c>
      <c r="R1244" s="55">
        <f t="shared" si="423"/>
        <v>0</v>
      </c>
      <c r="S1244" s="55">
        <v>0</v>
      </c>
      <c r="T1244" s="55">
        <v>0</v>
      </c>
      <c r="U1244" s="55">
        <v>0</v>
      </c>
      <c r="V1244" s="55">
        <v>0</v>
      </c>
      <c r="W1244" s="53">
        <v>0</v>
      </c>
      <c r="X1244" s="53">
        <v>0</v>
      </c>
      <c r="Y1244" s="55">
        <v>0</v>
      </c>
      <c r="Z1244" s="55">
        <v>0</v>
      </c>
      <c r="AA1244" s="53">
        <v>0</v>
      </c>
      <c r="AB1244" s="53">
        <v>0</v>
      </c>
      <c r="AC1244" s="55">
        <v>0</v>
      </c>
      <c r="AD1244" s="55">
        <f t="shared" si="424"/>
        <v>0</v>
      </c>
      <c r="AE1244" s="53">
        <v>0</v>
      </c>
      <c r="AF1244" s="55">
        <v>0</v>
      </c>
      <c r="AG1244" s="55">
        <v>0</v>
      </c>
      <c r="AH1244" s="55">
        <f t="shared" si="425"/>
        <v>2</v>
      </c>
      <c r="AI1244" s="55">
        <v>0</v>
      </c>
      <c r="AJ1244" s="55">
        <v>2</v>
      </c>
      <c r="AK1244" s="55">
        <v>0</v>
      </c>
      <c r="AL1244" s="55">
        <f t="shared" si="419"/>
        <v>0</v>
      </c>
      <c r="AM1244" s="55" t="s">
        <v>1912</v>
      </c>
      <c r="AN1244" s="55">
        <v>0</v>
      </c>
      <c r="AO1244" s="55">
        <v>0</v>
      </c>
      <c r="AP1244" s="55">
        <f t="shared" si="412"/>
        <v>0</v>
      </c>
      <c r="AQ1244" s="55">
        <f>IFERROR(VLOOKUP(A1244,[1]SIIMPLES!$A$2:$F$418,6,FALSE),0)</f>
        <v>0</v>
      </c>
      <c r="AR1244" s="55">
        <v>0</v>
      </c>
      <c r="AS1244" s="55">
        <v>1</v>
      </c>
      <c r="AT1244" s="55">
        <v>1</v>
      </c>
      <c r="AU1244" s="55">
        <v>0</v>
      </c>
      <c r="AV1244" s="55">
        <v>0</v>
      </c>
      <c r="AW1244" s="55"/>
      <c r="AX1244" s="55"/>
      <c r="AY1244" s="56">
        <f t="shared" si="426"/>
        <v>0.5</v>
      </c>
      <c r="AZ1244" s="55"/>
      <c r="BA1244" s="56">
        <v>1</v>
      </c>
      <c r="BB1244" s="41">
        <f t="shared" si="420"/>
        <v>-0.5</v>
      </c>
      <c r="BC1244" s="13"/>
      <c r="BD1244" s="36"/>
      <c r="BE1244" s="7"/>
      <c r="BF1244" s="7"/>
      <c r="BG1244" s="17">
        <f t="shared" si="418"/>
        <v>0</v>
      </c>
      <c r="BH1244" s="7"/>
    </row>
    <row r="1245" spans="1:60" ht="12.75" customHeight="1" x14ac:dyDescent="0.2">
      <c r="A1245" s="51" t="s">
        <v>843</v>
      </c>
      <c r="B1245" s="51"/>
      <c r="C1245" s="66" t="s">
        <v>1803</v>
      </c>
      <c r="D1245" s="52" t="s">
        <v>740</v>
      </c>
      <c r="E1245" s="52" t="s">
        <v>923</v>
      </c>
      <c r="F1245" s="53">
        <f>IFERROR(VLOOKUP(E1245,Fornecedores!$A$2:$B$2700,2,FALSE),"")</f>
        <v>12</v>
      </c>
      <c r="G1245" s="52" t="s">
        <v>1066</v>
      </c>
      <c r="H1245" s="57"/>
      <c r="I1245" s="55">
        <f t="shared" si="421"/>
        <v>2</v>
      </c>
      <c r="J1245" s="55">
        <v>0</v>
      </c>
      <c r="K1245" s="55">
        <v>2</v>
      </c>
      <c r="L1245" s="55">
        <v>0</v>
      </c>
      <c r="M1245" s="55">
        <v>0</v>
      </c>
      <c r="N1245" s="55">
        <f t="shared" si="422"/>
        <v>0</v>
      </c>
      <c r="O1245" s="55">
        <v>0</v>
      </c>
      <c r="P1245" s="55">
        <v>0</v>
      </c>
      <c r="Q1245" s="55">
        <v>0</v>
      </c>
      <c r="R1245" s="55">
        <f t="shared" si="423"/>
        <v>2</v>
      </c>
      <c r="S1245" s="55">
        <v>0</v>
      </c>
      <c r="T1245" s="55">
        <v>2</v>
      </c>
      <c r="U1245" s="55">
        <v>0</v>
      </c>
      <c r="V1245" s="55">
        <v>0</v>
      </c>
      <c r="W1245" s="53">
        <v>0</v>
      </c>
      <c r="X1245" s="53">
        <v>0</v>
      </c>
      <c r="Y1245" s="55">
        <v>0</v>
      </c>
      <c r="Z1245" s="55">
        <v>0</v>
      </c>
      <c r="AA1245" s="53">
        <v>0</v>
      </c>
      <c r="AB1245" s="53">
        <v>0</v>
      </c>
      <c r="AC1245" s="55">
        <v>0</v>
      </c>
      <c r="AD1245" s="55">
        <f t="shared" si="424"/>
        <v>0</v>
      </c>
      <c r="AE1245" s="53">
        <v>0</v>
      </c>
      <c r="AF1245" s="55">
        <v>0</v>
      </c>
      <c r="AG1245" s="55">
        <v>0</v>
      </c>
      <c r="AH1245" s="55">
        <f t="shared" si="425"/>
        <v>0</v>
      </c>
      <c r="AI1245" s="55">
        <v>0</v>
      </c>
      <c r="AJ1245" s="55">
        <v>0</v>
      </c>
      <c r="AK1245" s="55">
        <v>0</v>
      </c>
      <c r="AL1245" s="55">
        <f t="shared" si="419"/>
        <v>0</v>
      </c>
      <c r="AM1245" s="55" t="s">
        <v>1912</v>
      </c>
      <c r="AN1245" s="55">
        <v>0</v>
      </c>
      <c r="AO1245" s="55">
        <v>0</v>
      </c>
      <c r="AP1245" s="55">
        <f t="shared" si="412"/>
        <v>0</v>
      </c>
      <c r="AQ1245" s="55">
        <f>IFERROR(VLOOKUP(A1245,[1]SIIMPLES!$A$2:$F$418,6,FALSE),0)</f>
        <v>0</v>
      </c>
      <c r="AR1245" s="55">
        <v>0</v>
      </c>
      <c r="AS1245" s="55">
        <v>0</v>
      </c>
      <c r="AT1245" s="55">
        <v>0</v>
      </c>
      <c r="AU1245" s="55">
        <v>0</v>
      </c>
      <c r="AV1245" s="55">
        <v>0</v>
      </c>
      <c r="AW1245" s="55"/>
      <c r="AX1245" s="55"/>
      <c r="AY1245" s="56">
        <f t="shared" si="426"/>
        <v>0.4</v>
      </c>
      <c r="AZ1245" s="55"/>
      <c r="BA1245" s="56">
        <v>1</v>
      </c>
      <c r="BB1245" s="41">
        <f t="shared" si="420"/>
        <v>-0.6</v>
      </c>
      <c r="BC1245" s="13"/>
      <c r="BD1245" s="36"/>
      <c r="BE1245" s="7"/>
      <c r="BF1245" s="7"/>
      <c r="BG1245" s="17">
        <f t="shared" si="418"/>
        <v>0</v>
      </c>
      <c r="BH1245" s="7"/>
    </row>
    <row r="1246" spans="1:60" ht="12.75" customHeight="1" x14ac:dyDescent="0.2">
      <c r="A1246" s="51" t="s">
        <v>1448</v>
      </c>
      <c r="B1246" s="51"/>
      <c r="C1246" s="66" t="s">
        <v>1803</v>
      </c>
      <c r="D1246" s="52" t="s">
        <v>740</v>
      </c>
      <c r="E1246" s="52" t="s">
        <v>923</v>
      </c>
      <c r="F1246" s="53">
        <f>IFERROR(VLOOKUP(E1246,Fornecedores!$A$2:$B$2700,2,FALSE),"")</f>
        <v>12</v>
      </c>
      <c r="G1246" s="52" t="s">
        <v>1644</v>
      </c>
      <c r="H1246" s="57"/>
      <c r="I1246" s="55">
        <f t="shared" si="421"/>
        <v>0</v>
      </c>
      <c r="J1246" s="55">
        <v>0</v>
      </c>
      <c r="K1246" s="55">
        <v>0</v>
      </c>
      <c r="L1246" s="55">
        <v>0</v>
      </c>
      <c r="M1246" s="55">
        <v>0</v>
      </c>
      <c r="N1246" s="55">
        <f t="shared" si="422"/>
        <v>1</v>
      </c>
      <c r="O1246" s="55">
        <v>1</v>
      </c>
      <c r="P1246" s="55">
        <v>0</v>
      </c>
      <c r="Q1246" s="55">
        <v>0</v>
      </c>
      <c r="R1246" s="55">
        <f t="shared" si="423"/>
        <v>2</v>
      </c>
      <c r="S1246" s="55">
        <v>0</v>
      </c>
      <c r="T1246" s="55">
        <v>2</v>
      </c>
      <c r="U1246" s="55">
        <v>0</v>
      </c>
      <c r="V1246" s="55">
        <v>0</v>
      </c>
      <c r="W1246" s="53">
        <v>0</v>
      </c>
      <c r="X1246" s="53">
        <v>0</v>
      </c>
      <c r="Y1246" s="55">
        <v>0</v>
      </c>
      <c r="Z1246" s="55">
        <v>0</v>
      </c>
      <c r="AA1246" s="53">
        <v>0</v>
      </c>
      <c r="AB1246" s="53">
        <v>0</v>
      </c>
      <c r="AC1246" s="55">
        <v>0</v>
      </c>
      <c r="AD1246" s="55">
        <f t="shared" si="424"/>
        <v>0</v>
      </c>
      <c r="AE1246" s="53">
        <v>0</v>
      </c>
      <c r="AF1246" s="55">
        <v>0</v>
      </c>
      <c r="AG1246" s="55">
        <v>0</v>
      </c>
      <c r="AH1246" s="55">
        <f t="shared" si="425"/>
        <v>0</v>
      </c>
      <c r="AI1246" s="55">
        <v>0</v>
      </c>
      <c r="AJ1246" s="55">
        <v>0</v>
      </c>
      <c r="AK1246" s="55">
        <v>0</v>
      </c>
      <c r="AL1246" s="55">
        <f t="shared" si="419"/>
        <v>0</v>
      </c>
      <c r="AM1246" s="55" t="s">
        <v>1912</v>
      </c>
      <c r="AN1246" s="55">
        <v>0</v>
      </c>
      <c r="AO1246" s="55">
        <v>0</v>
      </c>
      <c r="AP1246" s="55">
        <f t="shared" si="412"/>
        <v>0</v>
      </c>
      <c r="AQ1246" s="55">
        <f>IFERROR(VLOOKUP(A1246,[1]SIIMPLES!$A$2:$F$418,6,FALSE),0)</f>
        <v>0</v>
      </c>
      <c r="AR1246" s="55">
        <v>0</v>
      </c>
      <c r="AS1246" s="55">
        <v>0</v>
      </c>
      <c r="AT1246" s="55">
        <v>0</v>
      </c>
      <c r="AU1246" s="55">
        <v>0</v>
      </c>
      <c r="AV1246" s="55">
        <v>0</v>
      </c>
      <c r="AW1246" s="57"/>
      <c r="AX1246" s="55"/>
      <c r="AY1246" s="56">
        <f t="shared" si="426"/>
        <v>0.3</v>
      </c>
      <c r="AZ1246" s="55"/>
      <c r="BA1246" s="56">
        <v>2</v>
      </c>
      <c r="BB1246" s="41">
        <f t="shared" si="420"/>
        <v>-0.85</v>
      </c>
      <c r="BC1246" s="13"/>
      <c r="BD1246" s="35"/>
      <c r="BE1246" s="13"/>
      <c r="BF1246" s="16"/>
      <c r="BG1246" s="17">
        <f t="shared" si="418"/>
        <v>0</v>
      </c>
      <c r="BH1246" s="16">
        <f>IFERROR(IF(F1246=1,IF(BC1246&lt;AY1246*3,AY1246*3-BC1246,0),IF(BC1246&lt;AY1246,AY1246-BC1246,0)),"")</f>
        <v>0.3</v>
      </c>
    </row>
    <row r="1247" spans="1:60" ht="12.75" customHeight="1" x14ac:dyDescent="0.2">
      <c r="A1247" s="51" t="s">
        <v>831</v>
      </c>
      <c r="B1247" s="51"/>
      <c r="C1247" s="66" t="s">
        <v>1803</v>
      </c>
      <c r="D1247" s="52" t="s">
        <v>740</v>
      </c>
      <c r="E1247" s="52" t="s">
        <v>923</v>
      </c>
      <c r="F1247" s="53">
        <f>IFERROR(VLOOKUP(E1247,Fornecedores!$A$2:$B$2700,2,FALSE),"")</f>
        <v>12</v>
      </c>
      <c r="G1247" s="52" t="s">
        <v>1054</v>
      </c>
      <c r="H1247" s="57"/>
      <c r="I1247" s="55">
        <f t="shared" si="421"/>
        <v>0</v>
      </c>
      <c r="J1247" s="55">
        <v>0</v>
      </c>
      <c r="K1247" s="55">
        <v>0</v>
      </c>
      <c r="L1247" s="55">
        <v>0</v>
      </c>
      <c r="M1247" s="55">
        <v>0</v>
      </c>
      <c r="N1247" s="55">
        <f t="shared" si="422"/>
        <v>0</v>
      </c>
      <c r="O1247" s="55">
        <v>0</v>
      </c>
      <c r="P1247" s="55">
        <v>0</v>
      </c>
      <c r="Q1247" s="55">
        <v>0</v>
      </c>
      <c r="R1247" s="55">
        <f t="shared" si="423"/>
        <v>0</v>
      </c>
      <c r="S1247" s="55">
        <v>0</v>
      </c>
      <c r="T1247" s="55">
        <v>0</v>
      </c>
      <c r="U1247" s="55">
        <v>0</v>
      </c>
      <c r="V1247" s="55">
        <v>2</v>
      </c>
      <c r="W1247" s="53">
        <v>0</v>
      </c>
      <c r="X1247" s="53">
        <v>2</v>
      </c>
      <c r="Y1247" s="55">
        <v>0</v>
      </c>
      <c r="Z1247" s="55">
        <v>0</v>
      </c>
      <c r="AA1247" s="53">
        <v>0</v>
      </c>
      <c r="AB1247" s="53">
        <v>0</v>
      </c>
      <c r="AC1247" s="55">
        <v>0</v>
      </c>
      <c r="AD1247" s="55">
        <f t="shared" si="424"/>
        <v>0</v>
      </c>
      <c r="AE1247" s="53">
        <v>0</v>
      </c>
      <c r="AF1247" s="55">
        <v>0</v>
      </c>
      <c r="AG1247" s="55">
        <v>0</v>
      </c>
      <c r="AH1247" s="55">
        <f t="shared" si="425"/>
        <v>0</v>
      </c>
      <c r="AI1247" s="55">
        <v>0</v>
      </c>
      <c r="AJ1247" s="55">
        <v>0</v>
      </c>
      <c r="AK1247" s="55">
        <v>0</v>
      </c>
      <c r="AL1247" s="55">
        <f t="shared" si="419"/>
        <v>0</v>
      </c>
      <c r="AM1247" s="55" t="s">
        <v>1912</v>
      </c>
      <c r="AN1247" s="55">
        <v>0</v>
      </c>
      <c r="AO1247" s="55">
        <v>0</v>
      </c>
      <c r="AP1247" s="55">
        <f t="shared" si="412"/>
        <v>0</v>
      </c>
      <c r="AQ1247" s="55">
        <f>IFERROR(VLOOKUP(A1247,[1]SIIMPLES!$A$2:$F$418,6,FALSE),0)</f>
        <v>0</v>
      </c>
      <c r="AR1247" s="55">
        <v>0</v>
      </c>
      <c r="AS1247" s="55">
        <v>0</v>
      </c>
      <c r="AT1247" s="55">
        <v>0</v>
      </c>
      <c r="AU1247" s="55">
        <v>0</v>
      </c>
      <c r="AV1247" s="55">
        <v>0</v>
      </c>
      <c r="AW1247" s="55"/>
      <c r="AX1247" s="55"/>
      <c r="AY1247" s="56">
        <f t="shared" si="426"/>
        <v>0.2</v>
      </c>
      <c r="AZ1247" s="55"/>
      <c r="BA1247" s="56">
        <v>0</v>
      </c>
      <c r="BB1247" s="41" t="str">
        <f t="shared" si="420"/>
        <v/>
      </c>
      <c r="BC1247" s="13"/>
      <c r="BD1247" s="35"/>
      <c r="BE1247" s="13"/>
      <c r="BF1247" s="16">
        <f>SUM(BC1247:BE1247)</f>
        <v>0</v>
      </c>
      <c r="BG1247" s="17">
        <f t="shared" si="418"/>
        <v>0</v>
      </c>
      <c r="BH1247" s="16">
        <f>IFERROR(IF(F1247=1,IF(BC1247&lt;AY1247*3,AY1247*3-BC1247,0),IF(BC1247&lt;AY1247,AY1247-BC1247,0)),"")</f>
        <v>0.2</v>
      </c>
    </row>
    <row r="1248" spans="1:60" ht="12.75" customHeight="1" x14ac:dyDescent="0.2">
      <c r="A1248" s="51" t="s">
        <v>1518</v>
      </c>
      <c r="B1248" s="51"/>
      <c r="C1248" s="66" t="s">
        <v>1803</v>
      </c>
      <c r="D1248" s="52" t="s">
        <v>740</v>
      </c>
      <c r="E1248" s="52" t="s">
        <v>923</v>
      </c>
      <c r="F1248" s="53">
        <f>IFERROR(VLOOKUP(E1248,Fornecedores!$A$2:$B$2700,2,FALSE),"")</f>
        <v>12</v>
      </c>
      <c r="G1248" s="52" t="s">
        <v>1730</v>
      </c>
      <c r="H1248" s="57"/>
      <c r="I1248" s="55">
        <f t="shared" si="421"/>
        <v>0</v>
      </c>
      <c r="J1248" s="57" t="s">
        <v>1282</v>
      </c>
      <c r="K1248" s="55">
        <v>0</v>
      </c>
      <c r="L1248" s="55">
        <v>0</v>
      </c>
      <c r="M1248" s="55">
        <v>0</v>
      </c>
      <c r="N1248" s="55">
        <f t="shared" si="422"/>
        <v>0</v>
      </c>
      <c r="O1248" s="55">
        <v>0</v>
      </c>
      <c r="P1248" s="55">
        <v>0</v>
      </c>
      <c r="Q1248" s="55">
        <v>0</v>
      </c>
      <c r="R1248" s="55">
        <f t="shared" si="423"/>
        <v>0</v>
      </c>
      <c r="S1248" s="55">
        <v>0</v>
      </c>
      <c r="T1248" s="55">
        <v>0</v>
      </c>
      <c r="U1248" s="55">
        <v>0</v>
      </c>
      <c r="V1248" s="55">
        <v>0</v>
      </c>
      <c r="W1248" s="53">
        <v>0</v>
      </c>
      <c r="X1248" s="53">
        <v>0</v>
      </c>
      <c r="Y1248" s="55">
        <v>0</v>
      </c>
      <c r="Z1248" s="55">
        <v>0</v>
      </c>
      <c r="AA1248" s="53">
        <v>0</v>
      </c>
      <c r="AB1248" s="53">
        <v>0</v>
      </c>
      <c r="AC1248" s="55">
        <v>0</v>
      </c>
      <c r="AD1248" s="55">
        <f t="shared" si="424"/>
        <v>0</v>
      </c>
      <c r="AE1248" s="53">
        <v>0</v>
      </c>
      <c r="AF1248" s="55">
        <v>0</v>
      </c>
      <c r="AG1248" s="55">
        <v>0</v>
      </c>
      <c r="AH1248" s="55">
        <f t="shared" si="425"/>
        <v>0</v>
      </c>
      <c r="AI1248" s="55">
        <v>0</v>
      </c>
      <c r="AJ1248" s="55">
        <v>0</v>
      </c>
      <c r="AK1248" s="55">
        <v>0</v>
      </c>
      <c r="AL1248" s="55">
        <f t="shared" si="419"/>
        <v>2</v>
      </c>
      <c r="AM1248" s="55" t="s">
        <v>1912</v>
      </c>
      <c r="AN1248" s="55">
        <v>2</v>
      </c>
      <c r="AO1248" s="55">
        <v>0</v>
      </c>
      <c r="AP1248" s="55">
        <f t="shared" si="412"/>
        <v>0</v>
      </c>
      <c r="AQ1248" s="55">
        <f>IFERROR(VLOOKUP(A1248,[1]SIIMPLES!$A$2:$F$418,6,FALSE),0)</f>
        <v>0</v>
      </c>
      <c r="AR1248" s="55">
        <v>0</v>
      </c>
      <c r="AS1248" s="55">
        <v>0</v>
      </c>
      <c r="AT1248" s="55">
        <v>0</v>
      </c>
      <c r="AU1248" s="55">
        <v>0</v>
      </c>
      <c r="AV1248" s="55">
        <v>0</v>
      </c>
      <c r="AW1248" s="57"/>
      <c r="AX1248" s="57"/>
      <c r="AY1248" s="56">
        <f t="shared" si="426"/>
        <v>0.2</v>
      </c>
      <c r="AZ1248" s="55"/>
      <c r="BA1248" s="56" t="s">
        <v>1912</v>
      </c>
      <c r="BB1248" s="41" t="str">
        <f t="shared" si="420"/>
        <v/>
      </c>
      <c r="BC1248" s="13"/>
      <c r="BD1248" s="35"/>
      <c r="BE1248" s="13"/>
      <c r="BF1248" s="16"/>
      <c r="BG1248" s="17">
        <f t="shared" si="418"/>
        <v>0</v>
      </c>
      <c r="BH1248" s="16">
        <f>ROUND(IFERROR(IF(F1248=1,IF(BC1248&lt;AY1248*3,AY1248*3-BC1248,0),IF(BC1248&lt;AY1248,AY1248*0.6-BC1248,0)),""),0)</f>
        <v>0</v>
      </c>
    </row>
    <row r="1249" spans="1:60" ht="12.75" customHeight="1" x14ac:dyDescent="0.2">
      <c r="A1249" s="51" t="s">
        <v>834</v>
      </c>
      <c r="B1249" s="51"/>
      <c r="C1249" s="66" t="s">
        <v>1803</v>
      </c>
      <c r="D1249" s="52" t="s">
        <v>740</v>
      </c>
      <c r="E1249" s="52" t="s">
        <v>923</v>
      </c>
      <c r="F1249" s="53">
        <f>IFERROR(VLOOKUP(E1249,Fornecedores!$A$2:$B$2700,2,FALSE),"")</f>
        <v>12</v>
      </c>
      <c r="G1249" s="52" t="s">
        <v>1057</v>
      </c>
      <c r="H1249" s="57"/>
      <c r="I1249" s="55">
        <f t="shared" si="421"/>
        <v>0</v>
      </c>
      <c r="J1249" s="55">
        <v>0</v>
      </c>
      <c r="K1249" s="55">
        <v>0</v>
      </c>
      <c r="L1249" s="55">
        <v>0</v>
      </c>
      <c r="M1249" s="55">
        <v>0</v>
      </c>
      <c r="N1249" s="55">
        <f t="shared" si="422"/>
        <v>0</v>
      </c>
      <c r="O1249" s="55">
        <v>0</v>
      </c>
      <c r="P1249" s="55">
        <v>0</v>
      </c>
      <c r="Q1249" s="55">
        <v>0</v>
      </c>
      <c r="R1249" s="55">
        <f t="shared" si="423"/>
        <v>0</v>
      </c>
      <c r="S1249" s="55">
        <v>0</v>
      </c>
      <c r="T1249" s="55">
        <v>0</v>
      </c>
      <c r="U1249" s="55">
        <v>0</v>
      </c>
      <c r="V1249" s="55">
        <v>2</v>
      </c>
      <c r="W1249" s="53">
        <v>0</v>
      </c>
      <c r="X1249" s="53">
        <v>2</v>
      </c>
      <c r="Y1249" s="55">
        <v>0</v>
      </c>
      <c r="Z1249" s="55">
        <v>0</v>
      </c>
      <c r="AA1249" s="53">
        <v>0</v>
      </c>
      <c r="AB1249" s="53">
        <v>0</v>
      </c>
      <c r="AC1249" s="55">
        <v>0</v>
      </c>
      <c r="AD1249" s="55">
        <f t="shared" si="424"/>
        <v>0</v>
      </c>
      <c r="AE1249" s="53">
        <v>0</v>
      </c>
      <c r="AF1249" s="55">
        <v>0</v>
      </c>
      <c r="AG1249" s="55">
        <v>0</v>
      </c>
      <c r="AH1249" s="55">
        <f t="shared" si="425"/>
        <v>0</v>
      </c>
      <c r="AI1249" s="55">
        <v>0</v>
      </c>
      <c r="AJ1249" s="55">
        <v>0</v>
      </c>
      <c r="AK1249" s="55">
        <v>0</v>
      </c>
      <c r="AL1249" s="55">
        <f t="shared" si="419"/>
        <v>0</v>
      </c>
      <c r="AM1249" s="55" t="s">
        <v>1912</v>
      </c>
      <c r="AN1249" s="55">
        <v>0</v>
      </c>
      <c r="AO1249" s="55">
        <v>0</v>
      </c>
      <c r="AP1249" s="55">
        <f t="shared" si="412"/>
        <v>0</v>
      </c>
      <c r="AQ1249" s="55">
        <f>IFERROR(VLOOKUP(A1249,[1]SIIMPLES!$A$2:$F$418,6,FALSE),0)</f>
        <v>0</v>
      </c>
      <c r="AR1249" s="55">
        <v>0</v>
      </c>
      <c r="AS1249" s="55">
        <v>0</v>
      </c>
      <c r="AT1249" s="55">
        <v>0</v>
      </c>
      <c r="AU1249" s="55">
        <v>0</v>
      </c>
      <c r="AV1249" s="55">
        <v>0</v>
      </c>
      <c r="AW1249" s="55"/>
      <c r="AX1249" s="55"/>
      <c r="AY1249" s="56">
        <f t="shared" si="426"/>
        <v>0.2</v>
      </c>
      <c r="AZ1249" s="55"/>
      <c r="BA1249" s="56">
        <v>1</v>
      </c>
      <c r="BB1249" s="41">
        <f t="shared" si="420"/>
        <v>-0.8</v>
      </c>
      <c r="BC1249" s="13"/>
      <c r="BD1249" s="36"/>
      <c r="BE1249" s="7"/>
      <c r="BF1249" s="7"/>
      <c r="BG1249" s="17">
        <f t="shared" si="418"/>
        <v>0</v>
      </c>
      <c r="BH1249" s="7"/>
    </row>
    <row r="1250" spans="1:60" ht="12.75" customHeight="1" x14ac:dyDescent="0.2">
      <c r="A1250" s="51" t="s">
        <v>1399</v>
      </c>
      <c r="B1250" s="51"/>
      <c r="C1250" s="66" t="s">
        <v>1803</v>
      </c>
      <c r="D1250" s="52" t="s">
        <v>740</v>
      </c>
      <c r="E1250" s="52" t="s">
        <v>923</v>
      </c>
      <c r="F1250" s="53">
        <f>IFERROR(VLOOKUP(E1250,Fornecedores!$A$2:$B$2700,2,FALSE),"")</f>
        <v>12</v>
      </c>
      <c r="G1250" s="52" t="s">
        <v>1404</v>
      </c>
      <c r="H1250" s="57"/>
      <c r="I1250" s="55">
        <f t="shared" si="421"/>
        <v>0</v>
      </c>
      <c r="J1250" s="55">
        <v>0</v>
      </c>
      <c r="K1250" s="55">
        <v>0</v>
      </c>
      <c r="L1250" s="55">
        <v>0</v>
      </c>
      <c r="M1250" s="55">
        <v>0</v>
      </c>
      <c r="N1250" s="55">
        <f t="shared" si="422"/>
        <v>0</v>
      </c>
      <c r="O1250" s="55">
        <v>0</v>
      </c>
      <c r="P1250" s="55">
        <v>0</v>
      </c>
      <c r="Q1250" s="55">
        <v>0</v>
      </c>
      <c r="R1250" s="55">
        <f t="shared" si="423"/>
        <v>0</v>
      </c>
      <c r="S1250" s="55">
        <v>0</v>
      </c>
      <c r="T1250" s="55">
        <v>0</v>
      </c>
      <c r="U1250" s="55">
        <v>0</v>
      </c>
      <c r="V1250" s="55">
        <v>0</v>
      </c>
      <c r="W1250" s="53">
        <v>0</v>
      </c>
      <c r="X1250" s="53">
        <v>0</v>
      </c>
      <c r="Y1250" s="55">
        <v>0</v>
      </c>
      <c r="Z1250" s="55">
        <v>2</v>
      </c>
      <c r="AA1250" s="53">
        <v>0</v>
      </c>
      <c r="AB1250" s="53">
        <v>2</v>
      </c>
      <c r="AC1250" s="55">
        <v>0</v>
      </c>
      <c r="AD1250" s="55">
        <f t="shared" si="424"/>
        <v>0</v>
      </c>
      <c r="AE1250" s="53">
        <v>0</v>
      </c>
      <c r="AF1250" s="55">
        <v>0</v>
      </c>
      <c r="AG1250" s="55">
        <v>0</v>
      </c>
      <c r="AH1250" s="55">
        <f t="shared" si="425"/>
        <v>0</v>
      </c>
      <c r="AI1250" s="55">
        <v>0</v>
      </c>
      <c r="AJ1250" s="55">
        <v>0</v>
      </c>
      <c r="AK1250" s="55">
        <v>0</v>
      </c>
      <c r="AL1250" s="55">
        <f t="shared" si="419"/>
        <v>0</v>
      </c>
      <c r="AM1250" s="55" t="s">
        <v>1912</v>
      </c>
      <c r="AN1250" s="55">
        <v>0</v>
      </c>
      <c r="AO1250" s="55">
        <v>0</v>
      </c>
      <c r="AP1250" s="55">
        <f t="shared" si="412"/>
        <v>0</v>
      </c>
      <c r="AQ1250" s="55">
        <f>IFERROR(VLOOKUP(A1250,[1]SIIMPLES!$A$2:$F$418,6,FALSE),0)</f>
        <v>0</v>
      </c>
      <c r="AR1250" s="55">
        <v>0</v>
      </c>
      <c r="AS1250" s="55">
        <v>0</v>
      </c>
      <c r="AT1250" s="55">
        <v>0</v>
      </c>
      <c r="AU1250" s="55">
        <v>0</v>
      </c>
      <c r="AV1250" s="55">
        <v>0</v>
      </c>
      <c r="AW1250" s="55"/>
      <c r="AX1250" s="55"/>
      <c r="AY1250" s="56">
        <f t="shared" si="426"/>
        <v>0.2</v>
      </c>
      <c r="AZ1250" s="55"/>
      <c r="BA1250" s="56">
        <v>0</v>
      </c>
      <c r="BB1250" s="41" t="str">
        <f t="shared" si="420"/>
        <v/>
      </c>
      <c r="BC1250" s="13"/>
      <c r="BD1250" s="36"/>
      <c r="BE1250" s="7"/>
      <c r="BF1250" s="7"/>
      <c r="BG1250" s="7"/>
      <c r="BH1250" s="7"/>
    </row>
    <row r="1251" spans="1:60" ht="12.75" customHeight="1" x14ac:dyDescent="0.2">
      <c r="A1251" s="51" t="s">
        <v>1525</v>
      </c>
      <c r="B1251" s="51"/>
      <c r="C1251" s="66" t="s">
        <v>1803</v>
      </c>
      <c r="D1251" s="52" t="s">
        <v>740</v>
      </c>
      <c r="E1251" s="52" t="s">
        <v>923</v>
      </c>
      <c r="F1251" s="53">
        <f>IFERROR(VLOOKUP(E1251,Fornecedores!$A$2:$B$2700,2,FALSE),"")</f>
        <v>12</v>
      </c>
      <c r="G1251" s="52" t="s">
        <v>1645</v>
      </c>
      <c r="H1251" s="57"/>
      <c r="I1251" s="55">
        <f t="shared" si="421"/>
        <v>0</v>
      </c>
      <c r="J1251" s="57" t="s">
        <v>1282</v>
      </c>
      <c r="K1251" s="55">
        <v>0</v>
      </c>
      <c r="L1251" s="55">
        <v>0</v>
      </c>
      <c r="M1251" s="55">
        <v>0</v>
      </c>
      <c r="N1251" s="55">
        <f t="shared" si="422"/>
        <v>2</v>
      </c>
      <c r="O1251" s="55">
        <v>0</v>
      </c>
      <c r="P1251" s="55">
        <v>2</v>
      </c>
      <c r="Q1251" s="55">
        <v>0</v>
      </c>
      <c r="R1251" s="55">
        <f t="shared" si="423"/>
        <v>0</v>
      </c>
      <c r="S1251" s="55">
        <v>0</v>
      </c>
      <c r="T1251" s="55">
        <v>0</v>
      </c>
      <c r="U1251" s="55">
        <v>0</v>
      </c>
      <c r="V1251" s="55">
        <v>0</v>
      </c>
      <c r="W1251" s="53">
        <v>0</v>
      </c>
      <c r="X1251" s="53">
        <v>0</v>
      </c>
      <c r="Y1251" s="55">
        <v>0</v>
      </c>
      <c r="Z1251" s="55">
        <v>0</v>
      </c>
      <c r="AA1251" s="53">
        <v>0</v>
      </c>
      <c r="AB1251" s="53">
        <v>0</v>
      </c>
      <c r="AC1251" s="55">
        <v>0</v>
      </c>
      <c r="AD1251" s="55">
        <f t="shared" si="424"/>
        <v>0</v>
      </c>
      <c r="AE1251" s="53">
        <v>0</v>
      </c>
      <c r="AF1251" s="55">
        <v>0</v>
      </c>
      <c r="AG1251" s="55">
        <v>0</v>
      </c>
      <c r="AH1251" s="55">
        <f t="shared" si="425"/>
        <v>0</v>
      </c>
      <c r="AI1251" s="55">
        <v>0</v>
      </c>
      <c r="AJ1251" s="55">
        <v>0</v>
      </c>
      <c r="AK1251" s="55">
        <v>0</v>
      </c>
      <c r="AL1251" s="55">
        <f t="shared" si="419"/>
        <v>0</v>
      </c>
      <c r="AM1251" s="55" t="s">
        <v>1912</v>
      </c>
      <c r="AN1251" s="55">
        <v>0</v>
      </c>
      <c r="AO1251" s="55">
        <v>0</v>
      </c>
      <c r="AP1251" s="55">
        <f t="shared" si="412"/>
        <v>0</v>
      </c>
      <c r="AQ1251" s="55">
        <f>IFERROR(VLOOKUP(A1251,[1]SIIMPLES!$A$2:$F$418,6,FALSE),0)</f>
        <v>0</v>
      </c>
      <c r="AR1251" s="55">
        <v>0</v>
      </c>
      <c r="AS1251" s="55">
        <v>0</v>
      </c>
      <c r="AT1251" s="55">
        <v>0</v>
      </c>
      <c r="AU1251" s="55">
        <v>0</v>
      </c>
      <c r="AV1251" s="55">
        <v>0</v>
      </c>
      <c r="AW1251" s="57"/>
      <c r="AX1251" s="57"/>
      <c r="AY1251" s="56">
        <f t="shared" si="426"/>
        <v>0.2</v>
      </c>
      <c r="AZ1251" s="55"/>
      <c r="BA1251" s="56" t="s">
        <v>1912</v>
      </c>
      <c r="BB1251" s="41" t="str">
        <f t="shared" si="420"/>
        <v/>
      </c>
      <c r="BC1251" s="13"/>
      <c r="BD1251" s="36"/>
      <c r="BE1251" s="7"/>
      <c r="BF1251" s="7"/>
      <c r="BG1251" s="17">
        <f>IFERROR(BC1251/AY1251,"0")</f>
        <v>0</v>
      </c>
      <c r="BH1251" s="7"/>
    </row>
    <row r="1252" spans="1:60" ht="12.75" customHeight="1" x14ac:dyDescent="0.2">
      <c r="A1252" s="51" t="s">
        <v>1526</v>
      </c>
      <c r="B1252" s="51"/>
      <c r="C1252" s="66" t="s">
        <v>1803</v>
      </c>
      <c r="D1252" s="52" t="s">
        <v>740</v>
      </c>
      <c r="E1252" s="52" t="s">
        <v>923</v>
      </c>
      <c r="F1252" s="53">
        <f>IFERROR(VLOOKUP(E1252,Fornecedores!$A$2:$B$2700,2,FALSE),"")</f>
        <v>12</v>
      </c>
      <c r="G1252" s="52" t="s">
        <v>1725</v>
      </c>
      <c r="H1252" s="57"/>
      <c r="I1252" s="55">
        <f t="shared" si="421"/>
        <v>0</v>
      </c>
      <c r="J1252" s="57" t="s">
        <v>1282</v>
      </c>
      <c r="K1252" s="55">
        <v>0</v>
      </c>
      <c r="L1252" s="55">
        <v>0</v>
      </c>
      <c r="M1252" s="55">
        <v>0</v>
      </c>
      <c r="N1252" s="55">
        <f t="shared" si="422"/>
        <v>0</v>
      </c>
      <c r="O1252" s="55">
        <v>0</v>
      </c>
      <c r="P1252" s="55">
        <v>0</v>
      </c>
      <c r="Q1252" s="55">
        <v>0</v>
      </c>
      <c r="R1252" s="55">
        <f t="shared" si="423"/>
        <v>0</v>
      </c>
      <c r="S1252" s="55">
        <v>0</v>
      </c>
      <c r="T1252" s="55">
        <v>0</v>
      </c>
      <c r="U1252" s="55">
        <v>0</v>
      </c>
      <c r="V1252" s="55">
        <v>0</v>
      </c>
      <c r="W1252" s="53">
        <v>0</v>
      </c>
      <c r="X1252" s="53">
        <v>0</v>
      </c>
      <c r="Y1252" s="55">
        <v>0</v>
      </c>
      <c r="Z1252" s="55">
        <v>0</v>
      </c>
      <c r="AA1252" s="53">
        <v>0</v>
      </c>
      <c r="AB1252" s="53">
        <v>0</v>
      </c>
      <c r="AC1252" s="55">
        <v>0</v>
      </c>
      <c r="AD1252" s="55">
        <f t="shared" si="424"/>
        <v>2</v>
      </c>
      <c r="AE1252" s="53">
        <v>0</v>
      </c>
      <c r="AF1252" s="55">
        <v>2</v>
      </c>
      <c r="AG1252" s="55">
        <v>0</v>
      </c>
      <c r="AH1252" s="55">
        <f t="shared" si="425"/>
        <v>0</v>
      </c>
      <c r="AI1252" s="55">
        <v>0</v>
      </c>
      <c r="AJ1252" s="55">
        <v>0</v>
      </c>
      <c r="AK1252" s="55">
        <v>0</v>
      </c>
      <c r="AL1252" s="55">
        <f t="shared" si="419"/>
        <v>0</v>
      </c>
      <c r="AM1252" s="55" t="s">
        <v>1912</v>
      </c>
      <c r="AN1252" s="55">
        <v>0</v>
      </c>
      <c r="AO1252" s="55">
        <v>0</v>
      </c>
      <c r="AP1252" s="55">
        <f t="shared" si="412"/>
        <v>0</v>
      </c>
      <c r="AQ1252" s="55">
        <f>IFERROR(VLOOKUP(A1252,[1]SIIMPLES!$A$2:$F$418,6,FALSE),0)</f>
        <v>0</v>
      </c>
      <c r="AR1252" s="55">
        <v>0</v>
      </c>
      <c r="AS1252" s="55">
        <v>0</v>
      </c>
      <c r="AT1252" s="55">
        <v>0</v>
      </c>
      <c r="AU1252" s="55">
        <v>0</v>
      </c>
      <c r="AV1252" s="55">
        <v>0</v>
      </c>
      <c r="AW1252" s="57"/>
      <c r="AX1252" s="57"/>
      <c r="AY1252" s="56">
        <f t="shared" si="426"/>
        <v>0.2</v>
      </c>
      <c r="AZ1252" s="55"/>
      <c r="BA1252" s="56" t="s">
        <v>1912</v>
      </c>
      <c r="BB1252" s="41" t="str">
        <f t="shared" si="420"/>
        <v/>
      </c>
      <c r="BC1252" s="7"/>
      <c r="BD1252" s="36"/>
      <c r="BE1252" s="7"/>
      <c r="BF1252" s="7"/>
      <c r="BG1252" s="7"/>
      <c r="BH1252" s="7"/>
    </row>
    <row r="1253" spans="1:60" ht="12.75" customHeight="1" x14ac:dyDescent="0.2">
      <c r="A1253" s="51" t="s">
        <v>838</v>
      </c>
      <c r="B1253" s="51"/>
      <c r="C1253" s="66" t="s">
        <v>1803</v>
      </c>
      <c r="D1253" s="52" t="s">
        <v>740</v>
      </c>
      <c r="E1253" s="52" t="s">
        <v>923</v>
      </c>
      <c r="F1253" s="53">
        <f>IFERROR(VLOOKUP(E1253,Fornecedores!$A$2:$B$2700,2,FALSE),"")</f>
        <v>12</v>
      </c>
      <c r="G1253" s="52" t="s">
        <v>1061</v>
      </c>
      <c r="H1253" s="57"/>
      <c r="I1253" s="55">
        <f t="shared" si="421"/>
        <v>1</v>
      </c>
      <c r="J1253" s="55">
        <v>1</v>
      </c>
      <c r="K1253" s="55">
        <v>0</v>
      </c>
      <c r="L1253" s="55">
        <v>0</v>
      </c>
      <c r="M1253" s="55">
        <v>0</v>
      </c>
      <c r="N1253" s="55">
        <f t="shared" si="422"/>
        <v>1</v>
      </c>
      <c r="O1253" s="55">
        <v>1</v>
      </c>
      <c r="P1253" s="55">
        <v>0</v>
      </c>
      <c r="Q1253" s="55">
        <v>0</v>
      </c>
      <c r="R1253" s="55">
        <f t="shared" si="423"/>
        <v>0</v>
      </c>
      <c r="S1253" s="55">
        <v>0</v>
      </c>
      <c r="T1253" s="55">
        <v>0</v>
      </c>
      <c r="U1253" s="55">
        <v>0</v>
      </c>
      <c r="V1253" s="55">
        <v>0</v>
      </c>
      <c r="W1253" s="53">
        <v>0</v>
      </c>
      <c r="X1253" s="53">
        <v>0</v>
      </c>
      <c r="Y1253" s="55">
        <v>0</v>
      </c>
      <c r="Z1253" s="55">
        <v>0</v>
      </c>
      <c r="AA1253" s="53">
        <v>0</v>
      </c>
      <c r="AB1253" s="53">
        <v>0</v>
      </c>
      <c r="AC1253" s="55">
        <v>0</v>
      </c>
      <c r="AD1253" s="55">
        <f t="shared" si="424"/>
        <v>0</v>
      </c>
      <c r="AE1253" s="53">
        <v>0</v>
      </c>
      <c r="AF1253" s="55">
        <v>0</v>
      </c>
      <c r="AG1253" s="55">
        <v>0</v>
      </c>
      <c r="AH1253" s="55">
        <f t="shared" si="425"/>
        <v>0</v>
      </c>
      <c r="AI1253" s="55">
        <v>0</v>
      </c>
      <c r="AJ1253" s="55">
        <v>0</v>
      </c>
      <c r="AK1253" s="55">
        <v>0</v>
      </c>
      <c r="AL1253" s="55">
        <f t="shared" si="419"/>
        <v>0</v>
      </c>
      <c r="AM1253" s="55" t="s">
        <v>1912</v>
      </c>
      <c r="AN1253" s="55">
        <v>0</v>
      </c>
      <c r="AO1253" s="55">
        <v>0</v>
      </c>
      <c r="AP1253" s="55">
        <f t="shared" si="412"/>
        <v>0</v>
      </c>
      <c r="AQ1253" s="55">
        <f>IFERROR(VLOOKUP(A1253,[1]SIIMPLES!$A$2:$F$418,6,FALSE),0)</f>
        <v>0</v>
      </c>
      <c r="AR1253" s="55">
        <v>0</v>
      </c>
      <c r="AS1253" s="55">
        <v>0</v>
      </c>
      <c r="AT1253" s="55">
        <v>0</v>
      </c>
      <c r="AU1253" s="55">
        <v>0</v>
      </c>
      <c r="AV1253" s="55">
        <v>0</v>
      </c>
      <c r="AW1253" s="55"/>
      <c r="AX1253" s="55"/>
      <c r="AY1253" s="56">
        <f t="shared" si="426"/>
        <v>0.2</v>
      </c>
      <c r="AZ1253" s="55"/>
      <c r="BA1253" s="56">
        <v>0.5</v>
      </c>
      <c r="BB1253" s="41">
        <f t="shared" si="420"/>
        <v>-0.6</v>
      </c>
      <c r="BC1253" s="13"/>
      <c r="BD1253" s="36"/>
      <c r="BE1253" s="7"/>
      <c r="BF1253" s="7"/>
      <c r="BG1253" s="7"/>
      <c r="BH1253" s="7"/>
    </row>
    <row r="1254" spans="1:60" ht="12.75" customHeight="1" x14ac:dyDescent="0.2">
      <c r="A1254" s="51" t="s">
        <v>1510</v>
      </c>
      <c r="B1254" s="51"/>
      <c r="C1254" s="66" t="s">
        <v>1803</v>
      </c>
      <c r="D1254" s="52" t="s">
        <v>740</v>
      </c>
      <c r="E1254" s="52" t="s">
        <v>923</v>
      </c>
      <c r="F1254" s="53">
        <f>IFERROR(VLOOKUP(E1254,Fornecedores!$A$2:$B$2700,2,FALSE),"")</f>
        <v>12</v>
      </c>
      <c r="G1254" s="52" t="s">
        <v>1732</v>
      </c>
      <c r="H1254" s="57"/>
      <c r="I1254" s="55">
        <f t="shared" si="421"/>
        <v>0</v>
      </c>
      <c r="J1254" s="57" t="s">
        <v>1282</v>
      </c>
      <c r="K1254" s="55">
        <v>0</v>
      </c>
      <c r="L1254" s="55">
        <v>0</v>
      </c>
      <c r="M1254" s="55">
        <v>0</v>
      </c>
      <c r="N1254" s="55">
        <f t="shared" si="422"/>
        <v>0</v>
      </c>
      <c r="O1254" s="55">
        <v>0</v>
      </c>
      <c r="P1254" s="55">
        <v>0</v>
      </c>
      <c r="Q1254" s="55">
        <v>0</v>
      </c>
      <c r="R1254" s="55">
        <f t="shared" si="423"/>
        <v>0</v>
      </c>
      <c r="S1254" s="55">
        <v>0</v>
      </c>
      <c r="T1254" s="55">
        <v>0</v>
      </c>
      <c r="U1254" s="55">
        <v>0</v>
      </c>
      <c r="V1254" s="55">
        <v>0</v>
      </c>
      <c r="W1254" s="53">
        <v>0</v>
      </c>
      <c r="X1254" s="53">
        <v>0</v>
      </c>
      <c r="Y1254" s="55">
        <v>0</v>
      </c>
      <c r="Z1254" s="55">
        <v>0</v>
      </c>
      <c r="AA1254" s="53">
        <v>0</v>
      </c>
      <c r="AB1254" s="53">
        <v>0</v>
      </c>
      <c r="AC1254" s="55">
        <v>0</v>
      </c>
      <c r="AD1254" s="55">
        <f t="shared" si="424"/>
        <v>0</v>
      </c>
      <c r="AE1254" s="53">
        <v>0</v>
      </c>
      <c r="AF1254" s="55">
        <v>0</v>
      </c>
      <c r="AG1254" s="55">
        <v>0</v>
      </c>
      <c r="AH1254" s="55">
        <f t="shared" si="425"/>
        <v>0</v>
      </c>
      <c r="AI1254" s="55">
        <v>0</v>
      </c>
      <c r="AJ1254" s="55">
        <v>0</v>
      </c>
      <c r="AK1254" s="55">
        <v>0</v>
      </c>
      <c r="AL1254" s="55">
        <f t="shared" si="419"/>
        <v>0</v>
      </c>
      <c r="AM1254" s="55" t="s">
        <v>1912</v>
      </c>
      <c r="AN1254" s="55">
        <v>0</v>
      </c>
      <c r="AO1254" s="55">
        <v>0</v>
      </c>
      <c r="AP1254" s="55">
        <f t="shared" si="412"/>
        <v>0</v>
      </c>
      <c r="AQ1254" s="55">
        <f>IFERROR(VLOOKUP(A1254,[1]SIIMPLES!$A$2:$F$418,6,FALSE),0)</f>
        <v>0</v>
      </c>
      <c r="AR1254" s="55">
        <v>0</v>
      </c>
      <c r="AS1254" s="55">
        <v>0</v>
      </c>
      <c r="AT1254" s="55">
        <v>0</v>
      </c>
      <c r="AU1254" s="55">
        <v>0</v>
      </c>
      <c r="AV1254" s="55">
        <v>0</v>
      </c>
      <c r="AW1254" s="57"/>
      <c r="AX1254" s="57"/>
      <c r="AY1254" s="56">
        <f t="shared" si="426"/>
        <v>0</v>
      </c>
      <c r="AZ1254" s="55"/>
      <c r="BA1254" s="56" t="s">
        <v>1912</v>
      </c>
      <c r="BB1254" s="41" t="str">
        <f t="shared" si="420"/>
        <v/>
      </c>
      <c r="BC1254" s="13"/>
      <c r="BD1254" s="36"/>
      <c r="BE1254" s="7"/>
      <c r="BF1254" s="7"/>
      <c r="BG1254" s="7"/>
      <c r="BH1254" s="7"/>
    </row>
    <row r="1255" spans="1:60" ht="12.75" customHeight="1" x14ac:dyDescent="0.2">
      <c r="A1255" s="51" t="s">
        <v>1521</v>
      </c>
      <c r="B1255" s="51"/>
      <c r="C1255" s="66" t="s">
        <v>1803</v>
      </c>
      <c r="D1255" s="52" t="s">
        <v>740</v>
      </c>
      <c r="E1255" s="52" t="s">
        <v>923</v>
      </c>
      <c r="F1255" s="53">
        <f>IFERROR(VLOOKUP(E1255,Fornecedores!$A$2:$B$2700,2,FALSE),"")</f>
        <v>12</v>
      </c>
      <c r="G1255" s="52" t="s">
        <v>1728</v>
      </c>
      <c r="H1255" s="57"/>
      <c r="I1255" s="55">
        <f t="shared" si="421"/>
        <v>0</v>
      </c>
      <c r="J1255" s="57" t="s">
        <v>1282</v>
      </c>
      <c r="K1255" s="55">
        <v>0</v>
      </c>
      <c r="L1255" s="55">
        <v>0</v>
      </c>
      <c r="M1255" s="55">
        <v>0</v>
      </c>
      <c r="N1255" s="55">
        <f t="shared" si="422"/>
        <v>0</v>
      </c>
      <c r="O1255" s="55">
        <v>0</v>
      </c>
      <c r="P1255" s="55">
        <v>0</v>
      </c>
      <c r="Q1255" s="55">
        <v>0</v>
      </c>
      <c r="R1255" s="55">
        <f t="shared" si="423"/>
        <v>0</v>
      </c>
      <c r="S1255" s="55">
        <v>0</v>
      </c>
      <c r="T1255" s="55">
        <v>0</v>
      </c>
      <c r="U1255" s="55">
        <v>0</v>
      </c>
      <c r="V1255" s="55">
        <v>0</v>
      </c>
      <c r="W1255" s="53">
        <v>0</v>
      </c>
      <c r="X1255" s="53">
        <v>0</v>
      </c>
      <c r="Y1255" s="55">
        <v>0</v>
      </c>
      <c r="Z1255" s="55">
        <v>0</v>
      </c>
      <c r="AA1255" s="53">
        <v>0</v>
      </c>
      <c r="AB1255" s="53">
        <v>0</v>
      </c>
      <c r="AC1255" s="55">
        <v>0</v>
      </c>
      <c r="AD1255" s="55">
        <f t="shared" si="424"/>
        <v>0</v>
      </c>
      <c r="AE1255" s="53">
        <v>0</v>
      </c>
      <c r="AF1255" s="55">
        <v>0</v>
      </c>
      <c r="AG1255" s="55">
        <v>0</v>
      </c>
      <c r="AH1255" s="55">
        <f t="shared" si="425"/>
        <v>0</v>
      </c>
      <c r="AI1255" s="55">
        <v>0</v>
      </c>
      <c r="AJ1255" s="55">
        <v>0</v>
      </c>
      <c r="AK1255" s="55">
        <v>0</v>
      </c>
      <c r="AL1255" s="55">
        <f t="shared" si="419"/>
        <v>0</v>
      </c>
      <c r="AM1255" s="55" t="s">
        <v>1912</v>
      </c>
      <c r="AN1255" s="55">
        <v>0</v>
      </c>
      <c r="AO1255" s="55">
        <v>0</v>
      </c>
      <c r="AP1255" s="55">
        <f t="shared" si="412"/>
        <v>0</v>
      </c>
      <c r="AQ1255" s="55">
        <f>IFERROR(VLOOKUP(A1255,[1]SIIMPLES!$A$2:$F$418,6,FALSE),0)</f>
        <v>0</v>
      </c>
      <c r="AR1255" s="55">
        <v>0</v>
      </c>
      <c r="AS1255" s="55">
        <v>0</v>
      </c>
      <c r="AT1255" s="55">
        <v>0</v>
      </c>
      <c r="AU1255" s="55">
        <v>0</v>
      </c>
      <c r="AV1255" s="55">
        <v>0</v>
      </c>
      <c r="AW1255" s="57"/>
      <c r="AX1255" s="57"/>
      <c r="AY1255" s="56">
        <f t="shared" si="426"/>
        <v>0</v>
      </c>
      <c r="AZ1255" s="55"/>
      <c r="BA1255" s="56" t="s">
        <v>1912</v>
      </c>
      <c r="BB1255" s="41" t="str">
        <f t="shared" si="420"/>
        <v/>
      </c>
      <c r="BC1255" s="13"/>
      <c r="BD1255" s="36"/>
      <c r="BE1255" s="7"/>
      <c r="BF1255" s="7"/>
      <c r="BG1255" s="7"/>
      <c r="BH1255" s="7"/>
    </row>
    <row r="1256" spans="1:60" ht="12.75" customHeight="1" x14ac:dyDescent="0.2">
      <c r="A1256" s="51" t="s">
        <v>835</v>
      </c>
      <c r="B1256" s="51"/>
      <c r="C1256" s="66" t="s">
        <v>1803</v>
      </c>
      <c r="D1256" s="52" t="s">
        <v>740</v>
      </c>
      <c r="E1256" s="52" t="s">
        <v>923</v>
      </c>
      <c r="F1256" s="53">
        <f>IFERROR(VLOOKUP(E1256,Fornecedores!$A$2:$B$2700,2,FALSE),"")</f>
        <v>12</v>
      </c>
      <c r="G1256" s="52" t="s">
        <v>1058</v>
      </c>
      <c r="H1256" s="57"/>
      <c r="I1256" s="55">
        <f t="shared" si="421"/>
        <v>0</v>
      </c>
      <c r="J1256" s="55">
        <v>0</v>
      </c>
      <c r="K1256" s="55">
        <v>0</v>
      </c>
      <c r="L1256" s="55">
        <v>0</v>
      </c>
      <c r="M1256" s="55">
        <v>0</v>
      </c>
      <c r="N1256" s="55">
        <f t="shared" si="422"/>
        <v>0</v>
      </c>
      <c r="O1256" s="55">
        <v>0</v>
      </c>
      <c r="P1256" s="55">
        <v>0</v>
      </c>
      <c r="Q1256" s="55">
        <v>0</v>
      </c>
      <c r="R1256" s="55">
        <f t="shared" si="423"/>
        <v>0</v>
      </c>
      <c r="S1256" s="55">
        <v>0</v>
      </c>
      <c r="T1256" s="55">
        <v>0</v>
      </c>
      <c r="U1256" s="55">
        <v>0</v>
      </c>
      <c r="V1256" s="55">
        <v>0</v>
      </c>
      <c r="W1256" s="53">
        <v>0</v>
      </c>
      <c r="X1256" s="53">
        <v>0</v>
      </c>
      <c r="Y1256" s="55">
        <v>0</v>
      </c>
      <c r="Z1256" s="55">
        <v>0</v>
      </c>
      <c r="AA1256" s="53">
        <v>0</v>
      </c>
      <c r="AB1256" s="53">
        <v>0</v>
      </c>
      <c r="AC1256" s="55">
        <v>0</v>
      </c>
      <c r="AD1256" s="55">
        <f t="shared" si="424"/>
        <v>0</v>
      </c>
      <c r="AE1256" s="53">
        <v>0</v>
      </c>
      <c r="AF1256" s="55">
        <v>0</v>
      </c>
      <c r="AG1256" s="55">
        <v>0</v>
      </c>
      <c r="AH1256" s="55">
        <f t="shared" si="425"/>
        <v>0</v>
      </c>
      <c r="AI1256" s="55">
        <v>0</v>
      </c>
      <c r="AJ1256" s="55">
        <v>0</v>
      </c>
      <c r="AK1256" s="55">
        <v>0</v>
      </c>
      <c r="AL1256" s="55">
        <f t="shared" si="419"/>
        <v>0</v>
      </c>
      <c r="AM1256" s="55" t="s">
        <v>1912</v>
      </c>
      <c r="AN1256" s="55">
        <v>0</v>
      </c>
      <c r="AO1256" s="55">
        <v>0</v>
      </c>
      <c r="AP1256" s="55">
        <f t="shared" si="412"/>
        <v>0</v>
      </c>
      <c r="AQ1256" s="55">
        <f>IFERROR(VLOOKUP(A1256,[1]SIIMPLES!$A$2:$F$418,6,FALSE),0)</f>
        <v>0</v>
      </c>
      <c r="AR1256" s="55">
        <v>0</v>
      </c>
      <c r="AS1256" s="55">
        <v>0</v>
      </c>
      <c r="AT1256" s="55">
        <v>0</v>
      </c>
      <c r="AU1256" s="55">
        <v>0</v>
      </c>
      <c r="AV1256" s="55">
        <v>0</v>
      </c>
      <c r="AW1256" s="55"/>
      <c r="AX1256" s="55"/>
      <c r="AY1256" s="56">
        <f t="shared" si="426"/>
        <v>0</v>
      </c>
      <c r="AZ1256" s="55"/>
      <c r="BA1256" s="56">
        <v>0</v>
      </c>
      <c r="BB1256" s="41" t="str">
        <f t="shared" si="420"/>
        <v/>
      </c>
      <c r="BC1256" s="7"/>
      <c r="BD1256" s="36"/>
      <c r="BE1256" s="7"/>
      <c r="BF1256" s="16"/>
      <c r="BG1256" s="17" t="str">
        <f>IFERROR(BC1256/AY1256,"0")</f>
        <v>0</v>
      </c>
      <c r="BH1256" s="16">
        <f>IFERROR(IF(F1256=1,IF(BC1256&lt;AY1256*3,AY1256*3-BC1256,0),IF(BC1256&lt;AY1256,AY1256-BC1256,0)),"")</f>
        <v>0</v>
      </c>
    </row>
    <row r="1257" spans="1:60" ht="12.75" customHeight="1" x14ac:dyDescent="0.2">
      <c r="A1257" s="51" t="s">
        <v>1523</v>
      </c>
      <c r="B1257" s="51"/>
      <c r="C1257" s="66" t="s">
        <v>1803</v>
      </c>
      <c r="D1257" s="52" t="s">
        <v>740</v>
      </c>
      <c r="E1257" s="52" t="s">
        <v>923</v>
      </c>
      <c r="F1257" s="53">
        <f>IFERROR(VLOOKUP(E1257,Fornecedores!$A$2:$B$2700,2,FALSE),"")</f>
        <v>12</v>
      </c>
      <c r="G1257" s="52" t="s">
        <v>1727</v>
      </c>
      <c r="H1257" s="57"/>
      <c r="I1257" s="55">
        <f t="shared" si="421"/>
        <v>0</v>
      </c>
      <c r="J1257" s="57" t="s">
        <v>1282</v>
      </c>
      <c r="K1257" s="55">
        <v>0</v>
      </c>
      <c r="L1257" s="55">
        <v>0</v>
      </c>
      <c r="M1257" s="55">
        <v>0</v>
      </c>
      <c r="N1257" s="55">
        <f t="shared" si="422"/>
        <v>0</v>
      </c>
      <c r="O1257" s="55">
        <v>0</v>
      </c>
      <c r="P1257" s="55">
        <v>0</v>
      </c>
      <c r="Q1257" s="55">
        <v>0</v>
      </c>
      <c r="R1257" s="55">
        <f t="shared" si="423"/>
        <v>0</v>
      </c>
      <c r="S1257" s="55">
        <v>0</v>
      </c>
      <c r="T1257" s="55">
        <v>0</v>
      </c>
      <c r="U1257" s="55">
        <v>0</v>
      </c>
      <c r="V1257" s="55">
        <v>0</v>
      </c>
      <c r="W1257" s="53">
        <v>0</v>
      </c>
      <c r="X1257" s="53">
        <v>0</v>
      </c>
      <c r="Y1257" s="55">
        <v>0</v>
      </c>
      <c r="Z1257" s="55">
        <v>0</v>
      </c>
      <c r="AA1257" s="53">
        <v>0</v>
      </c>
      <c r="AB1257" s="53">
        <v>0</v>
      </c>
      <c r="AC1257" s="55">
        <v>0</v>
      </c>
      <c r="AD1257" s="55">
        <f t="shared" si="424"/>
        <v>0</v>
      </c>
      <c r="AE1257" s="53">
        <v>0</v>
      </c>
      <c r="AF1257" s="55">
        <v>0</v>
      </c>
      <c r="AG1257" s="55">
        <v>0</v>
      </c>
      <c r="AH1257" s="55">
        <f t="shared" si="425"/>
        <v>0</v>
      </c>
      <c r="AI1257" s="55">
        <v>0</v>
      </c>
      <c r="AJ1257" s="55">
        <v>0</v>
      </c>
      <c r="AK1257" s="55">
        <v>0</v>
      </c>
      <c r="AL1257" s="55">
        <f t="shared" si="419"/>
        <v>0</v>
      </c>
      <c r="AM1257" s="55" t="s">
        <v>1912</v>
      </c>
      <c r="AN1257" s="55">
        <v>0</v>
      </c>
      <c r="AO1257" s="55">
        <v>0</v>
      </c>
      <c r="AP1257" s="55">
        <f t="shared" si="412"/>
        <v>0</v>
      </c>
      <c r="AQ1257" s="55">
        <f>IFERROR(VLOOKUP(A1257,[1]SIIMPLES!$A$2:$F$418,6,FALSE),0)</f>
        <v>0</v>
      </c>
      <c r="AR1257" s="55">
        <v>0</v>
      </c>
      <c r="AS1257" s="55">
        <v>0</v>
      </c>
      <c r="AT1257" s="55">
        <v>0</v>
      </c>
      <c r="AU1257" s="55">
        <v>0</v>
      </c>
      <c r="AV1257" s="55">
        <v>0</v>
      </c>
      <c r="AW1257" s="57"/>
      <c r="AX1257" s="57"/>
      <c r="AY1257" s="56">
        <f t="shared" si="426"/>
        <v>0</v>
      </c>
      <c r="AZ1257" s="55"/>
      <c r="BA1257" s="56" t="s">
        <v>1912</v>
      </c>
      <c r="BB1257" s="41" t="str">
        <f t="shared" si="420"/>
        <v/>
      </c>
      <c r="BC1257" s="7"/>
      <c r="BD1257" s="36"/>
      <c r="BE1257" s="7"/>
      <c r="BF1257" s="7"/>
      <c r="BG1257" s="7"/>
      <c r="BH1257" s="7"/>
    </row>
    <row r="1258" spans="1:60" ht="12.75" customHeight="1" x14ac:dyDescent="0.2">
      <c r="A1258" s="51" t="s">
        <v>1524</v>
      </c>
      <c r="B1258" s="51"/>
      <c r="C1258" s="66" t="s">
        <v>1803</v>
      </c>
      <c r="D1258" s="52" t="s">
        <v>740</v>
      </c>
      <c r="E1258" s="52" t="s">
        <v>923</v>
      </c>
      <c r="F1258" s="53">
        <f>IFERROR(VLOOKUP(E1258,Fornecedores!$A$2:$B$2700,2,FALSE),"")</f>
        <v>12</v>
      </c>
      <c r="G1258" s="52" t="s">
        <v>1726</v>
      </c>
      <c r="H1258" s="57"/>
      <c r="I1258" s="55">
        <f t="shared" si="421"/>
        <v>0</v>
      </c>
      <c r="J1258" s="57" t="s">
        <v>1282</v>
      </c>
      <c r="K1258" s="55">
        <v>0</v>
      </c>
      <c r="L1258" s="55">
        <v>0</v>
      </c>
      <c r="M1258" s="55">
        <v>0</v>
      </c>
      <c r="N1258" s="55">
        <f t="shared" si="422"/>
        <v>0</v>
      </c>
      <c r="O1258" s="55">
        <v>0</v>
      </c>
      <c r="P1258" s="55">
        <v>0</v>
      </c>
      <c r="Q1258" s="55">
        <v>0</v>
      </c>
      <c r="R1258" s="55">
        <f t="shared" si="423"/>
        <v>0</v>
      </c>
      <c r="S1258" s="55">
        <v>0</v>
      </c>
      <c r="T1258" s="55">
        <v>0</v>
      </c>
      <c r="U1258" s="55">
        <v>0</v>
      </c>
      <c r="V1258" s="55">
        <v>0</v>
      </c>
      <c r="W1258" s="53">
        <v>0</v>
      </c>
      <c r="X1258" s="53">
        <v>0</v>
      </c>
      <c r="Y1258" s="55">
        <v>0</v>
      </c>
      <c r="Z1258" s="55">
        <v>0</v>
      </c>
      <c r="AA1258" s="53">
        <v>0</v>
      </c>
      <c r="AB1258" s="53">
        <v>0</v>
      </c>
      <c r="AC1258" s="55">
        <v>0</v>
      </c>
      <c r="AD1258" s="55">
        <f t="shared" si="424"/>
        <v>0</v>
      </c>
      <c r="AE1258" s="53">
        <v>0</v>
      </c>
      <c r="AF1258" s="55">
        <v>0</v>
      </c>
      <c r="AG1258" s="55">
        <v>0</v>
      </c>
      <c r="AH1258" s="55">
        <f t="shared" si="425"/>
        <v>0</v>
      </c>
      <c r="AI1258" s="55">
        <v>0</v>
      </c>
      <c r="AJ1258" s="55">
        <v>0</v>
      </c>
      <c r="AK1258" s="55">
        <v>0</v>
      </c>
      <c r="AL1258" s="55">
        <f t="shared" si="419"/>
        <v>0</v>
      </c>
      <c r="AM1258" s="55" t="s">
        <v>1912</v>
      </c>
      <c r="AN1258" s="55">
        <v>0</v>
      </c>
      <c r="AO1258" s="55">
        <v>0</v>
      </c>
      <c r="AP1258" s="55">
        <f t="shared" si="412"/>
        <v>0</v>
      </c>
      <c r="AQ1258" s="55">
        <f>IFERROR(VLOOKUP(A1258,[1]SIIMPLES!$A$2:$F$418,6,FALSE),0)</f>
        <v>0</v>
      </c>
      <c r="AR1258" s="55">
        <v>0</v>
      </c>
      <c r="AS1258" s="55">
        <v>0</v>
      </c>
      <c r="AT1258" s="55">
        <v>0</v>
      </c>
      <c r="AU1258" s="55">
        <v>0</v>
      </c>
      <c r="AV1258" s="55">
        <v>0</v>
      </c>
      <c r="AW1258" s="57"/>
      <c r="AX1258" s="57"/>
      <c r="AY1258" s="56">
        <f t="shared" si="426"/>
        <v>0</v>
      </c>
      <c r="AZ1258" s="55"/>
      <c r="BA1258" s="56" t="s">
        <v>1912</v>
      </c>
      <c r="BB1258" s="41" t="str">
        <f t="shared" si="420"/>
        <v/>
      </c>
      <c r="BC1258" s="7"/>
      <c r="BD1258" s="35"/>
      <c r="BE1258" s="13"/>
      <c r="BF1258" s="16">
        <f>SUM(BC1258:BE1258)</f>
        <v>0</v>
      </c>
      <c r="BG1258" s="17" t="str">
        <f>IFERROR(BC1258/AY1258,"0")</f>
        <v>0</v>
      </c>
      <c r="BH1258" s="16">
        <f>IFERROR(IF(F1258=1,IF(BC1258&lt;AY1258*3,AY1258*3-BC1258,0),IF(BC1258&lt;AY1258,AY1258-BC1258,0)),"")</f>
        <v>0</v>
      </c>
    </row>
    <row r="1259" spans="1:60" ht="12.75" customHeight="1" x14ac:dyDescent="0.2">
      <c r="A1259" s="51" t="s">
        <v>836</v>
      </c>
      <c r="B1259" s="51"/>
      <c r="C1259" s="66" t="s">
        <v>1803</v>
      </c>
      <c r="D1259" s="52" t="s">
        <v>740</v>
      </c>
      <c r="E1259" s="52" t="s">
        <v>923</v>
      </c>
      <c r="F1259" s="53">
        <f>IFERROR(VLOOKUP(E1259,Fornecedores!$A$2:$B$2700,2,FALSE),"")</f>
        <v>12</v>
      </c>
      <c r="G1259" s="52" t="s">
        <v>1059</v>
      </c>
      <c r="H1259" s="57"/>
      <c r="I1259" s="55">
        <f t="shared" si="421"/>
        <v>0</v>
      </c>
      <c r="J1259" s="55">
        <v>0</v>
      </c>
      <c r="K1259" s="55">
        <v>0</v>
      </c>
      <c r="L1259" s="55">
        <v>0</v>
      </c>
      <c r="M1259" s="55">
        <v>0</v>
      </c>
      <c r="N1259" s="55">
        <f t="shared" si="422"/>
        <v>0</v>
      </c>
      <c r="O1259" s="55">
        <v>0</v>
      </c>
      <c r="P1259" s="55">
        <v>0</v>
      </c>
      <c r="Q1259" s="55">
        <v>0</v>
      </c>
      <c r="R1259" s="55">
        <f t="shared" si="423"/>
        <v>0</v>
      </c>
      <c r="S1259" s="55">
        <v>0</v>
      </c>
      <c r="T1259" s="55">
        <v>0</v>
      </c>
      <c r="U1259" s="55">
        <v>0</v>
      </c>
      <c r="V1259" s="55">
        <v>0</v>
      </c>
      <c r="W1259" s="53">
        <v>0</v>
      </c>
      <c r="X1259" s="53">
        <v>0</v>
      </c>
      <c r="Y1259" s="55">
        <v>0</v>
      </c>
      <c r="Z1259" s="55">
        <v>0</v>
      </c>
      <c r="AA1259" s="53">
        <v>0</v>
      </c>
      <c r="AB1259" s="53">
        <v>0</v>
      </c>
      <c r="AC1259" s="55">
        <v>0</v>
      </c>
      <c r="AD1259" s="55">
        <f t="shared" si="424"/>
        <v>0</v>
      </c>
      <c r="AE1259" s="53">
        <v>0</v>
      </c>
      <c r="AF1259" s="55">
        <v>0</v>
      </c>
      <c r="AG1259" s="55">
        <v>0</v>
      </c>
      <c r="AH1259" s="55">
        <f t="shared" si="425"/>
        <v>0</v>
      </c>
      <c r="AI1259" s="55">
        <v>0</v>
      </c>
      <c r="AJ1259" s="55">
        <v>0</v>
      </c>
      <c r="AK1259" s="55">
        <v>0</v>
      </c>
      <c r="AL1259" s="55">
        <f t="shared" si="419"/>
        <v>0</v>
      </c>
      <c r="AM1259" s="55" t="s">
        <v>1912</v>
      </c>
      <c r="AN1259" s="55">
        <v>0</v>
      </c>
      <c r="AO1259" s="55">
        <v>0</v>
      </c>
      <c r="AP1259" s="55">
        <f t="shared" si="412"/>
        <v>0</v>
      </c>
      <c r="AQ1259" s="55">
        <f>IFERROR(VLOOKUP(A1259,[1]SIIMPLES!$A$2:$F$418,6,FALSE),0)</f>
        <v>0</v>
      </c>
      <c r="AR1259" s="55">
        <v>0</v>
      </c>
      <c r="AS1259" s="55">
        <v>0</v>
      </c>
      <c r="AT1259" s="55">
        <v>0</v>
      </c>
      <c r="AU1259" s="55">
        <v>0</v>
      </c>
      <c r="AV1259" s="55">
        <v>0</v>
      </c>
      <c r="AW1259" s="55"/>
      <c r="AX1259" s="55"/>
      <c r="AY1259" s="56">
        <f t="shared" si="426"/>
        <v>0</v>
      </c>
      <c r="AZ1259" s="55"/>
      <c r="BA1259" s="56">
        <v>0.5</v>
      </c>
      <c r="BB1259" s="41">
        <f t="shared" si="420"/>
        <v>-1</v>
      </c>
      <c r="BC1259" s="13"/>
      <c r="BD1259" s="36"/>
      <c r="BE1259" s="7"/>
      <c r="BF1259" s="7"/>
      <c r="BG1259" s="7"/>
      <c r="BH1259" s="7"/>
    </row>
    <row r="1260" spans="1:60" ht="12.75" customHeight="1" x14ac:dyDescent="0.2">
      <c r="A1260" s="51" t="s">
        <v>841</v>
      </c>
      <c r="B1260" s="51"/>
      <c r="C1260" s="66" t="s">
        <v>1803</v>
      </c>
      <c r="D1260" s="52" t="s">
        <v>740</v>
      </c>
      <c r="E1260" s="52" t="s">
        <v>923</v>
      </c>
      <c r="F1260" s="53">
        <f>IFERROR(VLOOKUP(E1260,Fornecedores!$A$2:$B$2700,2,FALSE),"")</f>
        <v>12</v>
      </c>
      <c r="G1260" s="52" t="s">
        <v>1064</v>
      </c>
      <c r="H1260" s="57"/>
      <c r="I1260" s="55">
        <f t="shared" si="421"/>
        <v>0</v>
      </c>
      <c r="J1260" s="55">
        <v>0</v>
      </c>
      <c r="K1260" s="55">
        <v>0</v>
      </c>
      <c r="L1260" s="55">
        <v>0</v>
      </c>
      <c r="M1260" s="55">
        <v>0</v>
      </c>
      <c r="N1260" s="55">
        <f t="shared" si="422"/>
        <v>0</v>
      </c>
      <c r="O1260" s="55">
        <v>0</v>
      </c>
      <c r="P1260" s="55">
        <v>0</v>
      </c>
      <c r="Q1260" s="55">
        <v>0</v>
      </c>
      <c r="R1260" s="55">
        <f t="shared" si="423"/>
        <v>0</v>
      </c>
      <c r="S1260" s="55">
        <v>0</v>
      </c>
      <c r="T1260" s="55">
        <v>0</v>
      </c>
      <c r="U1260" s="55">
        <v>0</v>
      </c>
      <c r="V1260" s="55">
        <v>0</v>
      </c>
      <c r="W1260" s="53">
        <v>0</v>
      </c>
      <c r="X1260" s="53">
        <v>0</v>
      </c>
      <c r="Y1260" s="55">
        <v>0</v>
      </c>
      <c r="Z1260" s="55">
        <v>0</v>
      </c>
      <c r="AA1260" s="53">
        <v>0</v>
      </c>
      <c r="AB1260" s="53">
        <v>0</v>
      </c>
      <c r="AC1260" s="55">
        <v>0</v>
      </c>
      <c r="AD1260" s="55">
        <f t="shared" si="424"/>
        <v>0</v>
      </c>
      <c r="AE1260" s="53">
        <v>0</v>
      </c>
      <c r="AF1260" s="55">
        <v>0</v>
      </c>
      <c r="AG1260" s="55">
        <v>0</v>
      </c>
      <c r="AH1260" s="55">
        <f t="shared" si="425"/>
        <v>0</v>
      </c>
      <c r="AI1260" s="55">
        <v>0</v>
      </c>
      <c r="AJ1260" s="55">
        <v>0</v>
      </c>
      <c r="AK1260" s="55">
        <v>0</v>
      </c>
      <c r="AL1260" s="55">
        <f t="shared" si="419"/>
        <v>0</v>
      </c>
      <c r="AM1260" s="55" t="s">
        <v>1912</v>
      </c>
      <c r="AN1260" s="55">
        <v>0</v>
      </c>
      <c r="AO1260" s="55">
        <v>0</v>
      </c>
      <c r="AP1260" s="55">
        <f t="shared" si="412"/>
        <v>0</v>
      </c>
      <c r="AQ1260" s="55">
        <f>IFERROR(VLOOKUP(A1260,[1]SIIMPLES!$A$2:$F$418,6,FALSE),0)</f>
        <v>0</v>
      </c>
      <c r="AR1260" s="55">
        <v>0</v>
      </c>
      <c r="AS1260" s="55">
        <v>0</v>
      </c>
      <c r="AT1260" s="55">
        <v>0</v>
      </c>
      <c r="AU1260" s="55">
        <v>0</v>
      </c>
      <c r="AV1260" s="55">
        <v>0</v>
      </c>
      <c r="AW1260" s="55"/>
      <c r="AX1260" s="55"/>
      <c r="AY1260" s="56">
        <f t="shared" si="426"/>
        <v>0</v>
      </c>
      <c r="AZ1260" s="55"/>
      <c r="BA1260" s="56">
        <v>0</v>
      </c>
      <c r="BB1260" s="41" t="str">
        <f t="shared" si="420"/>
        <v/>
      </c>
      <c r="BC1260" s="7"/>
      <c r="BD1260" s="36"/>
      <c r="BE1260" s="7"/>
      <c r="BF1260" s="7"/>
      <c r="BG1260" s="7"/>
      <c r="BH1260" s="7"/>
    </row>
    <row r="1261" spans="1:60" ht="12.75" customHeight="1" x14ac:dyDescent="0.2">
      <c r="A1261" s="51" t="s">
        <v>1528</v>
      </c>
      <c r="B1261" s="51"/>
      <c r="C1261" s="66" t="s">
        <v>1803</v>
      </c>
      <c r="D1261" s="52" t="s">
        <v>740</v>
      </c>
      <c r="E1261" s="52" t="s">
        <v>923</v>
      </c>
      <c r="F1261" s="53">
        <f>IFERROR(VLOOKUP(E1261,Fornecedores!$A$2:$B$2700,2,FALSE),"")</f>
        <v>12</v>
      </c>
      <c r="G1261" s="52" t="s">
        <v>1724</v>
      </c>
      <c r="H1261" s="57"/>
      <c r="I1261" s="55">
        <f t="shared" si="421"/>
        <v>0</v>
      </c>
      <c r="J1261" s="57" t="s">
        <v>1282</v>
      </c>
      <c r="K1261" s="55">
        <v>0</v>
      </c>
      <c r="L1261" s="55">
        <v>0</v>
      </c>
      <c r="M1261" s="55">
        <v>0</v>
      </c>
      <c r="N1261" s="55">
        <f t="shared" si="422"/>
        <v>0</v>
      </c>
      <c r="O1261" s="55">
        <v>0</v>
      </c>
      <c r="P1261" s="55">
        <v>0</v>
      </c>
      <c r="Q1261" s="55">
        <v>0</v>
      </c>
      <c r="R1261" s="55">
        <f t="shared" si="423"/>
        <v>0</v>
      </c>
      <c r="S1261" s="55">
        <v>0</v>
      </c>
      <c r="T1261" s="55">
        <v>0</v>
      </c>
      <c r="U1261" s="55">
        <v>0</v>
      </c>
      <c r="V1261" s="55">
        <v>0</v>
      </c>
      <c r="W1261" s="53">
        <v>0</v>
      </c>
      <c r="X1261" s="53">
        <v>0</v>
      </c>
      <c r="Y1261" s="55">
        <v>0</v>
      </c>
      <c r="Z1261" s="55">
        <v>0</v>
      </c>
      <c r="AA1261" s="53">
        <v>0</v>
      </c>
      <c r="AB1261" s="53">
        <v>0</v>
      </c>
      <c r="AC1261" s="55">
        <v>0</v>
      </c>
      <c r="AD1261" s="55">
        <f t="shared" si="424"/>
        <v>0</v>
      </c>
      <c r="AE1261" s="53">
        <v>0</v>
      </c>
      <c r="AF1261" s="55">
        <v>0</v>
      </c>
      <c r="AG1261" s="55">
        <v>0</v>
      </c>
      <c r="AH1261" s="55">
        <f t="shared" si="425"/>
        <v>0</v>
      </c>
      <c r="AI1261" s="55">
        <v>0</v>
      </c>
      <c r="AJ1261" s="55">
        <v>0</v>
      </c>
      <c r="AK1261" s="55">
        <v>0</v>
      </c>
      <c r="AL1261" s="55">
        <f t="shared" si="419"/>
        <v>0</v>
      </c>
      <c r="AM1261" s="55" t="s">
        <v>1912</v>
      </c>
      <c r="AN1261" s="55">
        <v>0</v>
      </c>
      <c r="AO1261" s="55">
        <v>0</v>
      </c>
      <c r="AP1261" s="55">
        <f t="shared" si="412"/>
        <v>0</v>
      </c>
      <c r="AQ1261" s="55">
        <f>IFERROR(VLOOKUP(A1261,[1]SIIMPLES!$A$2:$F$418,6,FALSE),0)</f>
        <v>0</v>
      </c>
      <c r="AR1261" s="55">
        <v>0</v>
      </c>
      <c r="AS1261" s="55">
        <v>0</v>
      </c>
      <c r="AT1261" s="55">
        <v>0</v>
      </c>
      <c r="AU1261" s="55">
        <v>0</v>
      </c>
      <c r="AV1261" s="55">
        <v>0</v>
      </c>
      <c r="AW1261" s="57"/>
      <c r="AX1261" s="57"/>
      <c r="AY1261" s="56">
        <f t="shared" si="426"/>
        <v>0</v>
      </c>
      <c r="AZ1261" s="55"/>
      <c r="BA1261" s="56" t="s">
        <v>1912</v>
      </c>
      <c r="BB1261" s="41" t="str">
        <f t="shared" si="420"/>
        <v/>
      </c>
      <c r="BC1261" s="13"/>
      <c r="BD1261" s="36"/>
      <c r="BE1261" s="7"/>
      <c r="BF1261" s="7"/>
      <c r="BG1261" s="7"/>
      <c r="BH1261" s="7"/>
    </row>
    <row r="1262" spans="1:60" ht="12.75" customHeight="1" x14ac:dyDescent="0.2">
      <c r="A1262" s="51" t="s">
        <v>842</v>
      </c>
      <c r="B1262" s="51"/>
      <c r="C1262" s="66" t="s">
        <v>1803</v>
      </c>
      <c r="D1262" s="52" t="s">
        <v>740</v>
      </c>
      <c r="E1262" s="52" t="s">
        <v>923</v>
      </c>
      <c r="F1262" s="53">
        <f>IFERROR(VLOOKUP(E1262,Fornecedores!$A$2:$B$2700,2,FALSE),"")</f>
        <v>12</v>
      </c>
      <c r="G1262" s="52" t="s">
        <v>1065</v>
      </c>
      <c r="H1262" s="57"/>
      <c r="I1262" s="55">
        <f t="shared" si="421"/>
        <v>0</v>
      </c>
      <c r="J1262" s="55">
        <v>0</v>
      </c>
      <c r="K1262" s="55">
        <v>0</v>
      </c>
      <c r="L1262" s="55">
        <v>0</v>
      </c>
      <c r="M1262" s="55">
        <v>0</v>
      </c>
      <c r="N1262" s="55">
        <f t="shared" si="422"/>
        <v>0</v>
      </c>
      <c r="O1262" s="55">
        <v>0</v>
      </c>
      <c r="P1262" s="55">
        <v>0</v>
      </c>
      <c r="Q1262" s="55">
        <v>0</v>
      </c>
      <c r="R1262" s="55">
        <f t="shared" si="423"/>
        <v>0</v>
      </c>
      <c r="S1262" s="55">
        <v>0</v>
      </c>
      <c r="T1262" s="55">
        <v>0</v>
      </c>
      <c r="U1262" s="55">
        <v>0</v>
      </c>
      <c r="V1262" s="55">
        <v>0</v>
      </c>
      <c r="W1262" s="53">
        <v>0</v>
      </c>
      <c r="X1262" s="53">
        <v>0</v>
      </c>
      <c r="Y1262" s="55">
        <v>0</v>
      </c>
      <c r="Z1262" s="55">
        <v>0</v>
      </c>
      <c r="AA1262" s="53">
        <v>0</v>
      </c>
      <c r="AB1262" s="53">
        <v>0</v>
      </c>
      <c r="AC1262" s="55">
        <v>0</v>
      </c>
      <c r="AD1262" s="55">
        <f t="shared" si="424"/>
        <v>0</v>
      </c>
      <c r="AE1262" s="53">
        <v>0</v>
      </c>
      <c r="AF1262" s="55">
        <v>0</v>
      </c>
      <c r="AG1262" s="55">
        <v>0</v>
      </c>
      <c r="AH1262" s="55">
        <f t="shared" si="425"/>
        <v>0</v>
      </c>
      <c r="AI1262" s="55">
        <v>0</v>
      </c>
      <c r="AJ1262" s="55">
        <v>0</v>
      </c>
      <c r="AK1262" s="55">
        <v>0</v>
      </c>
      <c r="AL1262" s="55">
        <f t="shared" si="419"/>
        <v>0</v>
      </c>
      <c r="AM1262" s="55" t="s">
        <v>1912</v>
      </c>
      <c r="AN1262" s="55">
        <v>0</v>
      </c>
      <c r="AO1262" s="55">
        <v>0</v>
      </c>
      <c r="AP1262" s="55">
        <f t="shared" si="412"/>
        <v>0</v>
      </c>
      <c r="AQ1262" s="55">
        <f>IFERROR(VLOOKUP(A1262,[1]SIIMPLES!$A$2:$F$418,6,FALSE),0)</f>
        <v>0</v>
      </c>
      <c r="AR1262" s="55">
        <v>0</v>
      </c>
      <c r="AS1262" s="55">
        <v>0</v>
      </c>
      <c r="AT1262" s="55">
        <v>0</v>
      </c>
      <c r="AU1262" s="55">
        <v>0</v>
      </c>
      <c r="AV1262" s="55">
        <v>0</v>
      </c>
      <c r="AW1262" s="55"/>
      <c r="AX1262" s="55"/>
      <c r="AY1262" s="56">
        <f t="shared" si="426"/>
        <v>0</v>
      </c>
      <c r="AZ1262" s="55"/>
      <c r="BA1262" s="56">
        <v>0</v>
      </c>
      <c r="BB1262" s="41" t="str">
        <f t="shared" si="420"/>
        <v/>
      </c>
      <c r="BC1262" s="13"/>
      <c r="BD1262" s="36"/>
      <c r="BE1262" s="7"/>
      <c r="BF1262" s="7"/>
      <c r="BG1262" s="7"/>
      <c r="BH1262" s="7"/>
    </row>
    <row r="1263" spans="1:60" ht="12.75" customHeight="1" x14ac:dyDescent="0.2">
      <c r="A1263" s="51" t="s">
        <v>844</v>
      </c>
      <c r="B1263" s="51"/>
      <c r="C1263" s="66" t="s">
        <v>1803</v>
      </c>
      <c r="D1263" s="52" t="s">
        <v>740</v>
      </c>
      <c r="E1263" s="52" t="s">
        <v>923</v>
      </c>
      <c r="F1263" s="53">
        <f>IFERROR(VLOOKUP(E1263,Fornecedores!$A$2:$B$2700,2,FALSE),"")</f>
        <v>12</v>
      </c>
      <c r="G1263" s="52" t="s">
        <v>1067</v>
      </c>
      <c r="H1263" s="57"/>
      <c r="I1263" s="55">
        <f t="shared" si="421"/>
        <v>0</v>
      </c>
      <c r="J1263" s="55">
        <v>0</v>
      </c>
      <c r="K1263" s="55">
        <v>0</v>
      </c>
      <c r="L1263" s="55">
        <v>0</v>
      </c>
      <c r="M1263" s="55">
        <v>0</v>
      </c>
      <c r="N1263" s="55">
        <f t="shared" si="422"/>
        <v>0</v>
      </c>
      <c r="O1263" s="55">
        <v>0</v>
      </c>
      <c r="P1263" s="55">
        <v>0</v>
      </c>
      <c r="Q1263" s="55">
        <v>0</v>
      </c>
      <c r="R1263" s="55">
        <f t="shared" si="423"/>
        <v>0</v>
      </c>
      <c r="S1263" s="55">
        <v>0</v>
      </c>
      <c r="T1263" s="55">
        <v>0</v>
      </c>
      <c r="U1263" s="55">
        <v>0</v>
      </c>
      <c r="V1263" s="55">
        <v>0</v>
      </c>
      <c r="W1263" s="53">
        <v>0</v>
      </c>
      <c r="X1263" s="53">
        <v>0</v>
      </c>
      <c r="Y1263" s="55">
        <v>0</v>
      </c>
      <c r="Z1263" s="55">
        <v>0</v>
      </c>
      <c r="AA1263" s="53">
        <v>0</v>
      </c>
      <c r="AB1263" s="53">
        <v>0</v>
      </c>
      <c r="AC1263" s="55">
        <v>0</v>
      </c>
      <c r="AD1263" s="55">
        <f t="shared" si="424"/>
        <v>0</v>
      </c>
      <c r="AE1263" s="53">
        <v>0</v>
      </c>
      <c r="AF1263" s="55">
        <v>0</v>
      </c>
      <c r="AG1263" s="55">
        <v>0</v>
      </c>
      <c r="AH1263" s="55">
        <f t="shared" si="425"/>
        <v>0</v>
      </c>
      <c r="AI1263" s="55">
        <v>0</v>
      </c>
      <c r="AJ1263" s="55">
        <v>0</v>
      </c>
      <c r="AK1263" s="55">
        <v>0</v>
      </c>
      <c r="AL1263" s="55">
        <f t="shared" si="419"/>
        <v>0</v>
      </c>
      <c r="AM1263" s="55" t="s">
        <v>1912</v>
      </c>
      <c r="AN1263" s="55">
        <v>0</v>
      </c>
      <c r="AO1263" s="55">
        <v>0</v>
      </c>
      <c r="AP1263" s="55">
        <f t="shared" si="412"/>
        <v>0</v>
      </c>
      <c r="AQ1263" s="55">
        <f>IFERROR(VLOOKUP(A1263,[1]SIIMPLES!$A$2:$F$418,6,FALSE),0)</f>
        <v>0</v>
      </c>
      <c r="AR1263" s="55">
        <v>0</v>
      </c>
      <c r="AS1263" s="55">
        <v>0</v>
      </c>
      <c r="AT1263" s="55">
        <v>0</v>
      </c>
      <c r="AU1263" s="55">
        <v>0</v>
      </c>
      <c r="AV1263" s="55">
        <v>0</v>
      </c>
      <c r="AW1263" s="55"/>
      <c r="AX1263" s="55"/>
      <c r="AY1263" s="56">
        <f t="shared" si="426"/>
        <v>0</v>
      </c>
      <c r="AZ1263" s="55"/>
      <c r="BA1263" s="56">
        <v>0.25</v>
      </c>
      <c r="BB1263" s="41">
        <f t="shared" si="420"/>
        <v>-1</v>
      </c>
      <c r="BC1263" s="13"/>
      <c r="BD1263" s="36"/>
      <c r="BE1263" s="7"/>
      <c r="BF1263" s="7"/>
      <c r="BG1263" s="7"/>
      <c r="BH1263" s="7"/>
    </row>
    <row r="1264" spans="1:60" ht="12.75" customHeight="1" x14ac:dyDescent="0.2">
      <c r="A1264" s="51" t="s">
        <v>846</v>
      </c>
      <c r="B1264" s="51"/>
      <c r="C1264" s="66" t="s">
        <v>1803</v>
      </c>
      <c r="D1264" s="52" t="s">
        <v>740</v>
      </c>
      <c r="E1264" s="52" t="s">
        <v>923</v>
      </c>
      <c r="F1264" s="53">
        <f>IFERROR(VLOOKUP(E1264,Fornecedores!$A$2:$B$2700,2,FALSE),"")</f>
        <v>12</v>
      </c>
      <c r="G1264" s="52" t="s">
        <v>1069</v>
      </c>
      <c r="H1264" s="57"/>
      <c r="I1264" s="55">
        <f t="shared" si="421"/>
        <v>0</v>
      </c>
      <c r="J1264" s="55">
        <v>0</v>
      </c>
      <c r="K1264" s="55">
        <v>0</v>
      </c>
      <c r="L1264" s="55">
        <v>0</v>
      </c>
      <c r="M1264" s="55">
        <v>0</v>
      </c>
      <c r="N1264" s="55">
        <f t="shared" si="422"/>
        <v>0</v>
      </c>
      <c r="O1264" s="55">
        <v>0</v>
      </c>
      <c r="P1264" s="55">
        <v>0</v>
      </c>
      <c r="Q1264" s="55">
        <v>0</v>
      </c>
      <c r="R1264" s="55">
        <f t="shared" si="423"/>
        <v>0</v>
      </c>
      <c r="S1264" s="55">
        <v>0</v>
      </c>
      <c r="T1264" s="55">
        <v>0</v>
      </c>
      <c r="U1264" s="55">
        <v>0</v>
      </c>
      <c r="V1264" s="55">
        <v>0</v>
      </c>
      <c r="W1264" s="53">
        <v>0</v>
      </c>
      <c r="X1264" s="53">
        <v>0</v>
      </c>
      <c r="Y1264" s="55">
        <v>0</v>
      </c>
      <c r="Z1264" s="55">
        <v>0</v>
      </c>
      <c r="AA1264" s="53">
        <v>0</v>
      </c>
      <c r="AB1264" s="53">
        <v>0</v>
      </c>
      <c r="AC1264" s="55">
        <v>0</v>
      </c>
      <c r="AD1264" s="55">
        <f t="shared" si="424"/>
        <v>0</v>
      </c>
      <c r="AE1264" s="53">
        <v>0</v>
      </c>
      <c r="AF1264" s="55">
        <v>0</v>
      </c>
      <c r="AG1264" s="55">
        <v>0</v>
      </c>
      <c r="AH1264" s="55">
        <f t="shared" si="425"/>
        <v>0</v>
      </c>
      <c r="AI1264" s="55">
        <v>0</v>
      </c>
      <c r="AJ1264" s="55">
        <v>0</v>
      </c>
      <c r="AK1264" s="55">
        <v>0</v>
      </c>
      <c r="AL1264" s="55">
        <f t="shared" si="419"/>
        <v>0</v>
      </c>
      <c r="AM1264" s="55" t="s">
        <v>1912</v>
      </c>
      <c r="AN1264" s="55">
        <v>0</v>
      </c>
      <c r="AO1264" s="55">
        <v>0</v>
      </c>
      <c r="AP1264" s="55">
        <f t="shared" si="412"/>
        <v>0</v>
      </c>
      <c r="AQ1264" s="55">
        <f>IFERROR(VLOOKUP(A1264,[1]SIIMPLES!$A$2:$F$418,6,FALSE),0)</f>
        <v>0</v>
      </c>
      <c r="AR1264" s="55">
        <v>0</v>
      </c>
      <c r="AS1264" s="55">
        <v>0</v>
      </c>
      <c r="AT1264" s="55">
        <v>0</v>
      </c>
      <c r="AU1264" s="55">
        <v>0</v>
      </c>
      <c r="AV1264" s="55">
        <v>0</v>
      </c>
      <c r="AW1264" s="55"/>
      <c r="AX1264" s="55"/>
      <c r="AY1264" s="56">
        <f t="shared" si="426"/>
        <v>0</v>
      </c>
      <c r="AZ1264" s="55"/>
      <c r="BA1264" s="56">
        <v>0</v>
      </c>
      <c r="BB1264" s="41" t="str">
        <f t="shared" si="420"/>
        <v/>
      </c>
      <c r="BC1264" s="13"/>
      <c r="BD1264" s="36"/>
      <c r="BE1264" s="7"/>
      <c r="BF1264" s="7"/>
      <c r="BG1264" s="7"/>
      <c r="BH1264" s="7"/>
    </row>
    <row r="1265" spans="1:60" ht="12.75" customHeight="1" x14ac:dyDescent="0.2">
      <c r="A1265" s="51" t="s">
        <v>847</v>
      </c>
      <c r="B1265" s="51"/>
      <c r="C1265" s="66" t="s">
        <v>1803</v>
      </c>
      <c r="D1265" s="52" t="s">
        <v>740</v>
      </c>
      <c r="E1265" s="52" t="s">
        <v>923</v>
      </c>
      <c r="F1265" s="53">
        <f>IFERROR(VLOOKUP(E1265,Fornecedores!$A$2:$B$2700,2,FALSE),"")</f>
        <v>12</v>
      </c>
      <c r="G1265" s="52" t="s">
        <v>1070</v>
      </c>
      <c r="H1265" s="57"/>
      <c r="I1265" s="55">
        <f t="shared" si="421"/>
        <v>0</v>
      </c>
      <c r="J1265" s="55">
        <v>0</v>
      </c>
      <c r="K1265" s="55">
        <v>0</v>
      </c>
      <c r="L1265" s="55">
        <v>0</v>
      </c>
      <c r="M1265" s="55">
        <v>0</v>
      </c>
      <c r="N1265" s="55">
        <f t="shared" si="422"/>
        <v>0</v>
      </c>
      <c r="O1265" s="55">
        <v>0</v>
      </c>
      <c r="P1265" s="55">
        <v>0</v>
      </c>
      <c r="Q1265" s="55">
        <v>0</v>
      </c>
      <c r="R1265" s="55">
        <f t="shared" si="423"/>
        <v>0</v>
      </c>
      <c r="S1265" s="55">
        <v>0</v>
      </c>
      <c r="T1265" s="55">
        <v>0</v>
      </c>
      <c r="U1265" s="55">
        <v>0</v>
      </c>
      <c r="V1265" s="55">
        <v>0</v>
      </c>
      <c r="W1265" s="53">
        <v>0</v>
      </c>
      <c r="X1265" s="53">
        <v>0</v>
      </c>
      <c r="Y1265" s="55">
        <v>0</v>
      </c>
      <c r="Z1265" s="55">
        <v>0</v>
      </c>
      <c r="AA1265" s="53">
        <v>0</v>
      </c>
      <c r="AB1265" s="53">
        <v>0</v>
      </c>
      <c r="AC1265" s="55">
        <v>0</v>
      </c>
      <c r="AD1265" s="55">
        <f t="shared" si="424"/>
        <v>0</v>
      </c>
      <c r="AE1265" s="53">
        <v>0</v>
      </c>
      <c r="AF1265" s="55">
        <v>0</v>
      </c>
      <c r="AG1265" s="55">
        <v>0</v>
      </c>
      <c r="AH1265" s="55">
        <f t="shared" si="425"/>
        <v>0</v>
      </c>
      <c r="AI1265" s="55">
        <v>0</v>
      </c>
      <c r="AJ1265" s="55">
        <v>0</v>
      </c>
      <c r="AK1265" s="55">
        <v>0</v>
      </c>
      <c r="AL1265" s="55">
        <f t="shared" si="419"/>
        <v>0</v>
      </c>
      <c r="AM1265" s="55" t="s">
        <v>1912</v>
      </c>
      <c r="AN1265" s="55">
        <v>0</v>
      </c>
      <c r="AO1265" s="55">
        <v>0</v>
      </c>
      <c r="AP1265" s="55">
        <f t="shared" si="412"/>
        <v>0</v>
      </c>
      <c r="AQ1265" s="55">
        <f>IFERROR(VLOOKUP(A1265,[1]SIIMPLES!$A$2:$F$418,6,FALSE),0)</f>
        <v>0</v>
      </c>
      <c r="AR1265" s="55">
        <v>0</v>
      </c>
      <c r="AS1265" s="55">
        <v>0</v>
      </c>
      <c r="AT1265" s="55">
        <v>0</v>
      </c>
      <c r="AU1265" s="55">
        <v>0</v>
      </c>
      <c r="AV1265" s="55">
        <v>0</v>
      </c>
      <c r="AW1265" s="55"/>
      <c r="AX1265" s="55"/>
      <c r="AY1265" s="56">
        <f t="shared" si="426"/>
        <v>0</v>
      </c>
      <c r="AZ1265" s="55"/>
      <c r="BA1265" s="56">
        <v>0.5</v>
      </c>
      <c r="BB1265" s="41">
        <f t="shared" si="420"/>
        <v>-1</v>
      </c>
      <c r="BC1265" s="13"/>
      <c r="BD1265" s="36"/>
      <c r="BE1265" s="7"/>
      <c r="BF1265" s="7"/>
      <c r="BG1265" s="7"/>
      <c r="BH1265" s="7"/>
    </row>
    <row r="1266" spans="1:60" ht="12.75" customHeight="1" x14ac:dyDescent="0.2">
      <c r="A1266" s="51" t="s">
        <v>1536</v>
      </c>
      <c r="B1266" s="51"/>
      <c r="C1266" s="66" t="s">
        <v>1803</v>
      </c>
      <c r="D1266" s="52" t="s">
        <v>740</v>
      </c>
      <c r="E1266" s="52" t="s">
        <v>923</v>
      </c>
      <c r="F1266" s="53">
        <f>IFERROR(VLOOKUP(E1266,Fornecedores!$A$2:$B$2700,2,FALSE),"")</f>
        <v>12</v>
      </c>
      <c r="G1266" s="52" t="s">
        <v>1723</v>
      </c>
      <c r="H1266" s="57"/>
      <c r="I1266" s="55">
        <f t="shared" si="421"/>
        <v>0</v>
      </c>
      <c r="J1266" s="57" t="s">
        <v>1282</v>
      </c>
      <c r="K1266" s="55">
        <v>0</v>
      </c>
      <c r="L1266" s="55">
        <v>0</v>
      </c>
      <c r="M1266" s="55">
        <v>0</v>
      </c>
      <c r="N1266" s="55">
        <f t="shared" si="422"/>
        <v>0</v>
      </c>
      <c r="O1266" s="55">
        <v>0</v>
      </c>
      <c r="P1266" s="55">
        <v>0</v>
      </c>
      <c r="Q1266" s="55">
        <v>0</v>
      </c>
      <c r="R1266" s="55">
        <f t="shared" si="423"/>
        <v>0</v>
      </c>
      <c r="S1266" s="55">
        <v>0</v>
      </c>
      <c r="T1266" s="55">
        <v>0</v>
      </c>
      <c r="U1266" s="55">
        <v>0</v>
      </c>
      <c r="V1266" s="55">
        <v>0</v>
      </c>
      <c r="W1266" s="53">
        <v>0</v>
      </c>
      <c r="X1266" s="53">
        <v>0</v>
      </c>
      <c r="Y1266" s="55">
        <v>0</v>
      </c>
      <c r="Z1266" s="55">
        <v>0</v>
      </c>
      <c r="AA1266" s="53">
        <v>0</v>
      </c>
      <c r="AB1266" s="53">
        <v>0</v>
      </c>
      <c r="AC1266" s="55">
        <v>0</v>
      </c>
      <c r="AD1266" s="55">
        <f t="shared" si="424"/>
        <v>0</v>
      </c>
      <c r="AE1266" s="53">
        <v>0</v>
      </c>
      <c r="AF1266" s="55">
        <v>0</v>
      </c>
      <c r="AG1266" s="55">
        <v>0</v>
      </c>
      <c r="AH1266" s="55">
        <f t="shared" si="425"/>
        <v>0</v>
      </c>
      <c r="AI1266" s="55">
        <v>0</v>
      </c>
      <c r="AJ1266" s="55">
        <v>0</v>
      </c>
      <c r="AK1266" s="55">
        <v>0</v>
      </c>
      <c r="AL1266" s="55">
        <f t="shared" si="419"/>
        <v>0</v>
      </c>
      <c r="AM1266" s="55" t="s">
        <v>1912</v>
      </c>
      <c r="AN1266" s="55">
        <v>0</v>
      </c>
      <c r="AO1266" s="55">
        <v>0</v>
      </c>
      <c r="AP1266" s="55">
        <f t="shared" si="412"/>
        <v>0</v>
      </c>
      <c r="AQ1266" s="55">
        <f>IFERROR(VLOOKUP(A1266,[1]SIIMPLES!$A$2:$F$418,6,FALSE),0)</f>
        <v>0</v>
      </c>
      <c r="AR1266" s="55">
        <v>0</v>
      </c>
      <c r="AS1266" s="55">
        <v>0</v>
      </c>
      <c r="AT1266" s="55">
        <v>0</v>
      </c>
      <c r="AU1266" s="55">
        <v>0</v>
      </c>
      <c r="AV1266" s="55">
        <v>0</v>
      </c>
      <c r="AW1266" s="57"/>
      <c r="AX1266" s="57"/>
      <c r="AY1266" s="56">
        <f t="shared" si="426"/>
        <v>0</v>
      </c>
      <c r="AZ1266" s="55"/>
      <c r="BA1266" s="56" t="s">
        <v>1912</v>
      </c>
      <c r="BB1266" s="41" t="str">
        <f t="shared" si="420"/>
        <v/>
      </c>
      <c r="BC1266" s="13"/>
      <c r="BD1266" s="36"/>
      <c r="BE1266" s="7"/>
      <c r="BF1266" s="7"/>
      <c r="BG1266" s="7"/>
      <c r="BH1266" s="7"/>
    </row>
    <row r="1267" spans="1:60" ht="12.75" customHeight="1" x14ac:dyDescent="0.2">
      <c r="A1267" s="51" t="s">
        <v>1538</v>
      </c>
      <c r="B1267" s="51"/>
      <c r="C1267" s="66" t="s">
        <v>1803</v>
      </c>
      <c r="D1267" s="52" t="s">
        <v>740</v>
      </c>
      <c r="E1267" s="52" t="s">
        <v>923</v>
      </c>
      <c r="F1267" s="53">
        <f>IFERROR(VLOOKUP(E1267,Fornecedores!$A$2:$B$2700,2,FALSE),"")</f>
        <v>12</v>
      </c>
      <c r="G1267" s="52" t="s">
        <v>1722</v>
      </c>
      <c r="H1267" s="57"/>
      <c r="I1267" s="55">
        <f t="shared" si="421"/>
        <v>0</v>
      </c>
      <c r="J1267" s="57" t="s">
        <v>1282</v>
      </c>
      <c r="K1267" s="55">
        <v>0</v>
      </c>
      <c r="L1267" s="55">
        <v>0</v>
      </c>
      <c r="M1267" s="55">
        <v>0</v>
      </c>
      <c r="N1267" s="55">
        <f t="shared" si="422"/>
        <v>0</v>
      </c>
      <c r="O1267" s="55">
        <v>0</v>
      </c>
      <c r="P1267" s="55">
        <v>0</v>
      </c>
      <c r="Q1267" s="55">
        <v>0</v>
      </c>
      <c r="R1267" s="55">
        <f t="shared" si="423"/>
        <v>0</v>
      </c>
      <c r="S1267" s="55">
        <v>0</v>
      </c>
      <c r="T1267" s="55">
        <v>0</v>
      </c>
      <c r="U1267" s="55">
        <v>0</v>
      </c>
      <c r="V1267" s="55">
        <v>0</v>
      </c>
      <c r="W1267" s="53">
        <v>0</v>
      </c>
      <c r="X1267" s="53">
        <v>0</v>
      </c>
      <c r="Y1267" s="55">
        <v>0</v>
      </c>
      <c r="Z1267" s="55">
        <v>0</v>
      </c>
      <c r="AA1267" s="53">
        <v>0</v>
      </c>
      <c r="AB1267" s="53">
        <v>0</v>
      </c>
      <c r="AC1267" s="55">
        <v>0</v>
      </c>
      <c r="AD1267" s="55">
        <f t="shared" si="424"/>
        <v>0</v>
      </c>
      <c r="AE1267" s="53">
        <v>0</v>
      </c>
      <c r="AF1267" s="55">
        <v>0</v>
      </c>
      <c r="AG1267" s="55">
        <v>0</v>
      </c>
      <c r="AH1267" s="55">
        <f t="shared" si="425"/>
        <v>0</v>
      </c>
      <c r="AI1267" s="55">
        <v>0</v>
      </c>
      <c r="AJ1267" s="55">
        <v>0</v>
      </c>
      <c r="AK1267" s="55">
        <v>0</v>
      </c>
      <c r="AL1267" s="55">
        <f t="shared" si="419"/>
        <v>0</v>
      </c>
      <c r="AM1267" s="55" t="s">
        <v>1912</v>
      </c>
      <c r="AN1267" s="55">
        <v>0</v>
      </c>
      <c r="AO1267" s="55">
        <v>0</v>
      </c>
      <c r="AP1267" s="55">
        <f t="shared" si="412"/>
        <v>0</v>
      </c>
      <c r="AQ1267" s="55">
        <f>IFERROR(VLOOKUP(A1267,[1]SIIMPLES!$A$2:$F$418,6,FALSE),0)</f>
        <v>0</v>
      </c>
      <c r="AR1267" s="55">
        <v>0</v>
      </c>
      <c r="AS1267" s="55">
        <v>0</v>
      </c>
      <c r="AT1267" s="55">
        <v>0</v>
      </c>
      <c r="AU1267" s="55">
        <v>0</v>
      </c>
      <c r="AV1267" s="55">
        <v>0</v>
      </c>
      <c r="AW1267" s="57"/>
      <c r="AX1267" s="57"/>
      <c r="AY1267" s="56">
        <f t="shared" si="426"/>
        <v>0</v>
      </c>
      <c r="AZ1267" s="55"/>
      <c r="BA1267" s="56" t="s">
        <v>1912</v>
      </c>
      <c r="BB1267" s="41" t="str">
        <f t="shared" si="420"/>
        <v/>
      </c>
      <c r="BC1267" s="13"/>
      <c r="BD1267" s="36"/>
      <c r="BE1267" s="7"/>
      <c r="BF1267" s="7"/>
      <c r="BG1267" s="7"/>
      <c r="BH1267" s="7"/>
    </row>
    <row r="1268" spans="1:60" ht="12.75" customHeight="1" x14ac:dyDescent="0.2">
      <c r="A1268" s="51" t="s">
        <v>848</v>
      </c>
      <c r="B1268" s="51"/>
      <c r="C1268" s="66" t="s">
        <v>1803</v>
      </c>
      <c r="D1268" s="52" t="s">
        <v>740</v>
      </c>
      <c r="E1268" s="52" t="s">
        <v>923</v>
      </c>
      <c r="F1268" s="53">
        <f>IFERROR(VLOOKUP(E1268,Fornecedores!$A$2:$B$2700,2,FALSE),"")</f>
        <v>12</v>
      </c>
      <c r="G1268" s="52" t="s">
        <v>1071</v>
      </c>
      <c r="H1268" s="57"/>
      <c r="I1268" s="55">
        <f t="shared" si="421"/>
        <v>0</v>
      </c>
      <c r="J1268" s="55">
        <v>0</v>
      </c>
      <c r="K1268" s="55">
        <v>0</v>
      </c>
      <c r="L1268" s="55">
        <v>0</v>
      </c>
      <c r="M1268" s="55">
        <v>0</v>
      </c>
      <c r="N1268" s="55">
        <f t="shared" si="422"/>
        <v>0</v>
      </c>
      <c r="O1268" s="55">
        <v>0</v>
      </c>
      <c r="P1268" s="55">
        <v>0</v>
      </c>
      <c r="Q1268" s="55">
        <v>0</v>
      </c>
      <c r="R1268" s="55">
        <f t="shared" si="423"/>
        <v>0</v>
      </c>
      <c r="S1268" s="55">
        <v>0</v>
      </c>
      <c r="T1268" s="55">
        <v>0</v>
      </c>
      <c r="U1268" s="55">
        <v>0</v>
      </c>
      <c r="V1268" s="55">
        <v>0</v>
      </c>
      <c r="W1268" s="53">
        <v>0</v>
      </c>
      <c r="X1268" s="53">
        <v>0</v>
      </c>
      <c r="Y1268" s="55">
        <v>0</v>
      </c>
      <c r="Z1268" s="55">
        <v>0</v>
      </c>
      <c r="AA1268" s="53">
        <v>0</v>
      </c>
      <c r="AB1268" s="53">
        <v>0</v>
      </c>
      <c r="AC1268" s="55">
        <v>0</v>
      </c>
      <c r="AD1268" s="55">
        <f t="shared" si="424"/>
        <v>0</v>
      </c>
      <c r="AE1268" s="53">
        <v>0</v>
      </c>
      <c r="AF1268" s="55">
        <v>0</v>
      </c>
      <c r="AG1268" s="55">
        <v>0</v>
      </c>
      <c r="AH1268" s="55">
        <f t="shared" si="425"/>
        <v>0</v>
      </c>
      <c r="AI1268" s="55">
        <v>0</v>
      </c>
      <c r="AJ1268" s="55">
        <v>0</v>
      </c>
      <c r="AK1268" s="55">
        <v>0</v>
      </c>
      <c r="AL1268" s="55">
        <f t="shared" si="419"/>
        <v>0</v>
      </c>
      <c r="AM1268" s="55" t="s">
        <v>1912</v>
      </c>
      <c r="AN1268" s="55">
        <v>0</v>
      </c>
      <c r="AO1268" s="55">
        <v>0</v>
      </c>
      <c r="AP1268" s="55">
        <f t="shared" ref="AP1268:AP1331" si="427">SUM(AQ1268:AR1268)</f>
        <v>0</v>
      </c>
      <c r="AQ1268" s="55">
        <f>IFERROR(VLOOKUP(A1268,[1]SIIMPLES!$A$2:$F$418,6,FALSE),0)</f>
        <v>0</v>
      </c>
      <c r="AR1268" s="55">
        <v>0</v>
      </c>
      <c r="AS1268" s="55">
        <v>0</v>
      </c>
      <c r="AT1268" s="55">
        <v>0</v>
      </c>
      <c r="AU1268" s="55">
        <v>0</v>
      </c>
      <c r="AV1268" s="55">
        <v>0</v>
      </c>
      <c r="AW1268" s="55"/>
      <c r="AX1268" s="55"/>
      <c r="AY1268" s="56">
        <f t="shared" si="426"/>
        <v>0</v>
      </c>
      <c r="AZ1268" s="55"/>
      <c r="BA1268" s="56">
        <v>0</v>
      </c>
      <c r="BB1268" s="41" t="str">
        <f t="shared" si="420"/>
        <v/>
      </c>
      <c r="BC1268" s="13"/>
      <c r="BD1268" s="36"/>
      <c r="BE1268" s="7"/>
      <c r="BF1268" s="7"/>
      <c r="BG1268" s="7"/>
      <c r="BH1268" s="7"/>
    </row>
    <row r="1269" spans="1:60" ht="12.75" customHeight="1" x14ac:dyDescent="0.2">
      <c r="A1269" s="51" t="s">
        <v>1540</v>
      </c>
      <c r="B1269" s="51"/>
      <c r="C1269" s="66" t="s">
        <v>1803</v>
      </c>
      <c r="D1269" s="52" t="s">
        <v>1760</v>
      </c>
      <c r="E1269" s="52" t="s">
        <v>923</v>
      </c>
      <c r="F1269" s="53">
        <f>IFERROR(VLOOKUP(E1269,Fornecedores!$A$2:$B$2700,2,FALSE),"")</f>
        <v>12</v>
      </c>
      <c r="G1269" s="52" t="s">
        <v>1721</v>
      </c>
      <c r="H1269" s="57"/>
      <c r="I1269" s="55">
        <f t="shared" si="421"/>
        <v>0</v>
      </c>
      <c r="J1269" s="57" t="s">
        <v>1282</v>
      </c>
      <c r="K1269" s="55">
        <v>0</v>
      </c>
      <c r="L1269" s="55">
        <v>0</v>
      </c>
      <c r="M1269" s="55">
        <v>0</v>
      </c>
      <c r="N1269" s="55">
        <f t="shared" si="422"/>
        <v>0</v>
      </c>
      <c r="O1269" s="55">
        <v>0</v>
      </c>
      <c r="P1269" s="55">
        <v>0</v>
      </c>
      <c r="Q1269" s="55">
        <v>0</v>
      </c>
      <c r="R1269" s="55">
        <f t="shared" si="423"/>
        <v>0</v>
      </c>
      <c r="S1269" s="55">
        <v>0</v>
      </c>
      <c r="T1269" s="55">
        <v>0</v>
      </c>
      <c r="U1269" s="55">
        <v>0</v>
      </c>
      <c r="V1269" s="55">
        <v>0</v>
      </c>
      <c r="W1269" s="53">
        <v>0</v>
      </c>
      <c r="X1269" s="53">
        <v>0</v>
      </c>
      <c r="Y1269" s="55">
        <v>0</v>
      </c>
      <c r="Z1269" s="55">
        <v>0</v>
      </c>
      <c r="AA1269" s="53">
        <v>0</v>
      </c>
      <c r="AB1269" s="53">
        <v>0</v>
      </c>
      <c r="AC1269" s="55">
        <v>0</v>
      </c>
      <c r="AD1269" s="55">
        <f t="shared" si="424"/>
        <v>0</v>
      </c>
      <c r="AE1269" s="53">
        <v>0</v>
      </c>
      <c r="AF1269" s="55">
        <v>0</v>
      </c>
      <c r="AG1269" s="55">
        <v>0</v>
      </c>
      <c r="AH1269" s="55">
        <f t="shared" si="425"/>
        <v>0</v>
      </c>
      <c r="AI1269" s="55">
        <v>0</v>
      </c>
      <c r="AJ1269" s="55">
        <v>0</v>
      </c>
      <c r="AK1269" s="55">
        <v>0</v>
      </c>
      <c r="AL1269" s="55">
        <f t="shared" si="419"/>
        <v>0</v>
      </c>
      <c r="AM1269" s="55" t="s">
        <v>1912</v>
      </c>
      <c r="AN1269" s="55">
        <v>0</v>
      </c>
      <c r="AO1269" s="55">
        <v>0</v>
      </c>
      <c r="AP1269" s="55">
        <f t="shared" si="427"/>
        <v>0</v>
      </c>
      <c r="AQ1269" s="55">
        <f>IFERROR(VLOOKUP(A1269,[1]SIIMPLES!$A$2:$F$418,6,FALSE),0)</f>
        <v>0</v>
      </c>
      <c r="AR1269" s="55">
        <v>0</v>
      </c>
      <c r="AS1269" s="55">
        <v>0</v>
      </c>
      <c r="AT1269" s="55">
        <v>0</v>
      </c>
      <c r="AU1269" s="55">
        <v>0</v>
      </c>
      <c r="AV1269" s="55">
        <v>0</v>
      </c>
      <c r="AW1269" s="57"/>
      <c r="AX1269" s="57"/>
      <c r="AY1269" s="56">
        <f t="shared" si="426"/>
        <v>0</v>
      </c>
      <c r="AZ1269" s="55"/>
      <c r="BA1269" s="56" t="s">
        <v>1912</v>
      </c>
      <c r="BB1269" s="41" t="str">
        <f t="shared" si="420"/>
        <v/>
      </c>
      <c r="BC1269" s="13"/>
      <c r="BD1269" s="36"/>
      <c r="BE1269" s="7"/>
      <c r="BF1269" s="7"/>
      <c r="BG1269" s="17" t="str">
        <f>IFERROR(BC1269/AY1269,"0")</f>
        <v>0</v>
      </c>
      <c r="BH1269" s="7"/>
    </row>
    <row r="1270" spans="1:60" ht="12.75" customHeight="1" x14ac:dyDescent="0.2">
      <c r="A1270" s="51" t="s">
        <v>1913</v>
      </c>
      <c r="B1270" s="51"/>
      <c r="C1270" s="66" t="s">
        <v>1803</v>
      </c>
      <c r="D1270" s="52" t="s">
        <v>1909</v>
      </c>
      <c r="E1270" s="52" t="s">
        <v>919</v>
      </c>
      <c r="F1270" s="53">
        <f>IFERROR(VLOOKUP(E1270,Fornecedores!$A$2:$B$2700,2,FALSE),"")</f>
        <v>13</v>
      </c>
      <c r="G1270" s="67" t="s">
        <v>1916</v>
      </c>
      <c r="H1270" s="57"/>
      <c r="I1270" s="57"/>
      <c r="J1270" s="57"/>
      <c r="K1270" s="57"/>
      <c r="L1270" s="57"/>
      <c r="M1270" s="57"/>
      <c r="N1270" s="57"/>
      <c r="O1270" s="57"/>
      <c r="P1270" s="57"/>
      <c r="Q1270" s="57"/>
      <c r="R1270" s="57"/>
      <c r="S1270" s="57"/>
      <c r="T1270" s="57"/>
      <c r="U1270" s="57"/>
      <c r="V1270" s="57"/>
      <c r="W1270" s="57"/>
      <c r="X1270" s="57"/>
      <c r="Y1270" s="57"/>
      <c r="Z1270" s="57"/>
      <c r="AA1270" s="57"/>
      <c r="AB1270" s="57"/>
      <c r="AC1270" s="57"/>
      <c r="AD1270" s="55">
        <f t="shared" si="424"/>
        <v>3</v>
      </c>
      <c r="AE1270" s="53">
        <v>3</v>
      </c>
      <c r="AF1270" s="55">
        <v>0</v>
      </c>
      <c r="AG1270" s="55">
        <v>0</v>
      </c>
      <c r="AH1270" s="55">
        <f t="shared" si="425"/>
        <v>1</v>
      </c>
      <c r="AI1270" s="55">
        <v>1</v>
      </c>
      <c r="AJ1270" s="55">
        <v>0</v>
      </c>
      <c r="AK1270" s="55">
        <v>0</v>
      </c>
      <c r="AL1270" s="55">
        <f t="shared" si="419"/>
        <v>1</v>
      </c>
      <c r="AM1270" s="55">
        <v>1</v>
      </c>
      <c r="AN1270" s="55">
        <v>0</v>
      </c>
      <c r="AO1270" s="55">
        <v>0</v>
      </c>
      <c r="AP1270" s="55">
        <f t="shared" si="427"/>
        <v>0</v>
      </c>
      <c r="AQ1270" s="55">
        <f>IFERROR(VLOOKUP(A1270,[1]SIIMPLES!$A$2:$F$418,6,FALSE),0)</f>
        <v>0</v>
      </c>
      <c r="AR1270" s="55">
        <v>0</v>
      </c>
      <c r="AS1270" s="55">
        <v>0</v>
      </c>
      <c r="AT1270" s="55">
        <v>0</v>
      </c>
      <c r="AU1270" s="55">
        <v>0</v>
      </c>
      <c r="AV1270" s="55">
        <v>0</v>
      </c>
      <c r="AW1270" s="57"/>
      <c r="AX1270" s="57"/>
      <c r="AY1270" s="74">
        <f t="shared" si="426"/>
        <v>1</v>
      </c>
      <c r="AZ1270" s="57"/>
      <c r="BA1270" s="57"/>
      <c r="BB1270" s="41" t="str">
        <f t="shared" si="420"/>
        <v/>
      </c>
      <c r="BC1270" s="13"/>
      <c r="BD1270" s="36"/>
      <c r="BE1270" s="7"/>
      <c r="BF1270" s="7"/>
      <c r="BG1270" s="7"/>
      <c r="BH1270" s="7"/>
    </row>
    <row r="1271" spans="1:60" ht="12.75" customHeight="1" x14ac:dyDescent="0.2">
      <c r="A1271" s="77" t="s">
        <v>1970</v>
      </c>
      <c r="B1271" s="66"/>
      <c r="C1271" s="66" t="s">
        <v>1803</v>
      </c>
      <c r="D1271" s="65" t="s">
        <v>918</v>
      </c>
      <c r="E1271" s="65" t="s">
        <v>919</v>
      </c>
      <c r="F1271" s="54" t="s">
        <v>1972</v>
      </c>
      <c r="G1271" s="65" t="s">
        <v>1972</v>
      </c>
      <c r="H1271" s="72"/>
      <c r="I1271" s="72"/>
      <c r="J1271" s="72"/>
      <c r="K1271" s="72"/>
      <c r="L1271" s="72"/>
      <c r="M1271" s="72"/>
      <c r="N1271" s="72"/>
      <c r="O1271" s="72"/>
      <c r="P1271" s="72"/>
      <c r="Q1271" s="72"/>
      <c r="R1271" s="72"/>
      <c r="S1271" s="72"/>
      <c r="T1271" s="72"/>
      <c r="U1271" s="72"/>
      <c r="V1271" s="72"/>
      <c r="W1271" s="72"/>
      <c r="X1271" s="72"/>
      <c r="Y1271" s="72"/>
      <c r="Z1271" s="72"/>
      <c r="AA1271" s="72"/>
      <c r="AB1271" s="72"/>
      <c r="AC1271" s="72"/>
      <c r="AD1271" s="72"/>
      <c r="AE1271" s="72"/>
      <c r="AF1271" s="72"/>
      <c r="AG1271" s="72"/>
      <c r="AH1271" s="73">
        <f t="shared" si="425"/>
        <v>1</v>
      </c>
      <c r="AI1271" s="55">
        <v>1</v>
      </c>
      <c r="AJ1271" s="55">
        <v>0</v>
      </c>
      <c r="AK1271" s="55">
        <v>0</v>
      </c>
      <c r="AL1271" s="55">
        <f t="shared" si="419"/>
        <v>0</v>
      </c>
      <c r="AM1271" s="55" t="s">
        <v>1912</v>
      </c>
      <c r="AN1271" s="55">
        <v>0</v>
      </c>
      <c r="AO1271" s="55">
        <v>0</v>
      </c>
      <c r="AP1271" s="55">
        <f t="shared" si="427"/>
        <v>0</v>
      </c>
      <c r="AQ1271" s="55">
        <f>IFERROR(VLOOKUP(A1271,[1]SIIMPLES!$A$2:$F$418,6,FALSE),0)</f>
        <v>0</v>
      </c>
      <c r="AR1271" s="55">
        <v>0</v>
      </c>
      <c r="AS1271" s="55">
        <v>0</v>
      </c>
      <c r="AT1271" s="55">
        <v>0</v>
      </c>
      <c r="AU1271" s="55">
        <v>0</v>
      </c>
      <c r="AV1271" s="55">
        <v>0</v>
      </c>
      <c r="AW1271" s="72"/>
      <c r="AX1271" s="72"/>
      <c r="AY1271" s="74">
        <f t="shared" si="426"/>
        <v>0.25</v>
      </c>
      <c r="AZ1271" s="72"/>
      <c r="BA1271" s="72"/>
      <c r="BB1271" s="41" t="str">
        <f t="shared" si="420"/>
        <v/>
      </c>
      <c r="BC1271" s="13"/>
      <c r="BD1271" s="36"/>
      <c r="BE1271" s="7"/>
      <c r="BF1271" s="7"/>
      <c r="BG1271" s="7"/>
      <c r="BH1271" s="7"/>
    </row>
    <row r="1272" spans="1:60" ht="12.75" customHeight="1" x14ac:dyDescent="0.2">
      <c r="A1272" s="51" t="s">
        <v>1541</v>
      </c>
      <c r="B1272" s="51"/>
      <c r="C1272" s="66" t="s">
        <v>1803</v>
      </c>
      <c r="D1272" s="52" t="s">
        <v>745</v>
      </c>
      <c r="E1272" s="52" t="s">
        <v>780</v>
      </c>
      <c r="F1272" s="53">
        <f>IFERROR(VLOOKUP(E1272,Fornecedores!$A$2:$B$2700,2,FALSE),"")</f>
        <v>2</v>
      </c>
      <c r="G1272" s="52" t="s">
        <v>1643</v>
      </c>
      <c r="H1272" s="57"/>
      <c r="I1272" s="55">
        <f t="shared" ref="I1272:I1303" si="428">SUM(J1272:M1272)</f>
        <v>0</v>
      </c>
      <c r="J1272" s="57" t="s">
        <v>1282</v>
      </c>
      <c r="K1272" s="55">
        <v>0</v>
      </c>
      <c r="L1272" s="55">
        <v>0</v>
      </c>
      <c r="M1272" s="55">
        <v>0</v>
      </c>
      <c r="N1272" s="55">
        <f t="shared" ref="N1272:N1303" si="429">SUM(O1272:Q1272)</f>
        <v>0</v>
      </c>
      <c r="O1272" s="55">
        <v>0</v>
      </c>
      <c r="P1272" s="55">
        <v>0</v>
      </c>
      <c r="Q1272" s="55">
        <v>0</v>
      </c>
      <c r="R1272" s="55">
        <f t="shared" ref="R1272:R1303" si="430">SUM(S1272:U1272)</f>
        <v>0</v>
      </c>
      <c r="S1272" s="55">
        <v>0</v>
      </c>
      <c r="T1272" s="55">
        <v>0</v>
      </c>
      <c r="U1272" s="55">
        <v>0</v>
      </c>
      <c r="V1272" s="55">
        <v>0</v>
      </c>
      <c r="W1272" s="53">
        <v>0</v>
      </c>
      <c r="X1272" s="53">
        <v>0</v>
      </c>
      <c r="Y1272" s="55">
        <v>0</v>
      </c>
      <c r="Z1272" s="55">
        <v>0</v>
      </c>
      <c r="AA1272" s="53">
        <v>0</v>
      </c>
      <c r="AB1272" s="53">
        <v>0</v>
      </c>
      <c r="AC1272" s="55">
        <v>0</v>
      </c>
      <c r="AD1272" s="55">
        <f t="shared" ref="AD1272:AD1303" si="431">SUM(AE1272:AG1272)</f>
        <v>0</v>
      </c>
      <c r="AE1272" s="53">
        <v>0</v>
      </c>
      <c r="AF1272" s="55">
        <v>0</v>
      </c>
      <c r="AG1272" s="55">
        <v>0</v>
      </c>
      <c r="AH1272" s="55">
        <f t="shared" si="425"/>
        <v>0</v>
      </c>
      <c r="AI1272" s="55">
        <v>0</v>
      </c>
      <c r="AJ1272" s="55">
        <v>0</v>
      </c>
      <c r="AK1272" s="55">
        <v>0</v>
      </c>
      <c r="AL1272" s="55">
        <f t="shared" si="419"/>
        <v>0</v>
      </c>
      <c r="AM1272" s="55" t="s">
        <v>1912</v>
      </c>
      <c r="AN1272" s="55">
        <v>0</v>
      </c>
      <c r="AO1272" s="55">
        <v>0</v>
      </c>
      <c r="AP1272" s="55">
        <f t="shared" si="427"/>
        <v>0</v>
      </c>
      <c r="AQ1272" s="55">
        <f>IFERROR(VLOOKUP(A1272,[1]SIIMPLES!$A$2:$F$418,6,FALSE),0)</f>
        <v>0</v>
      </c>
      <c r="AR1272" s="55">
        <v>0</v>
      </c>
      <c r="AS1272" s="55">
        <v>0</v>
      </c>
      <c r="AT1272" s="55">
        <v>0</v>
      </c>
      <c r="AU1272" s="55">
        <v>0</v>
      </c>
      <c r="AV1272" s="55">
        <v>0</v>
      </c>
      <c r="AW1272" s="57"/>
      <c r="AX1272" s="57"/>
      <c r="AY1272" s="56">
        <f t="shared" si="426"/>
        <v>0</v>
      </c>
      <c r="AZ1272" s="55"/>
      <c r="BA1272" s="56" t="s">
        <v>1912</v>
      </c>
      <c r="BB1272" s="41" t="str">
        <f t="shared" si="420"/>
        <v/>
      </c>
      <c r="BC1272" s="13"/>
      <c r="BD1272" s="36"/>
      <c r="BE1272" s="7"/>
      <c r="BF1272" s="7"/>
      <c r="BG1272" s="7"/>
      <c r="BH1272" s="7"/>
    </row>
    <row r="1273" spans="1:60" ht="12.75" customHeight="1" x14ac:dyDescent="0.2">
      <c r="A1273" s="51" t="s">
        <v>1446</v>
      </c>
      <c r="B1273" s="51"/>
      <c r="C1273" s="66" t="s">
        <v>1803</v>
      </c>
      <c r="D1273" s="52" t="s">
        <v>1475</v>
      </c>
      <c r="E1273" s="52" t="s">
        <v>1759</v>
      </c>
      <c r="F1273" s="53" t="str">
        <f>IFERROR(VLOOKUP(E1273,Fornecedores!$A$2:$B$2700,2,FALSE),"")</f>
        <v/>
      </c>
      <c r="G1273" s="52" t="s">
        <v>1582</v>
      </c>
      <c r="H1273" s="57"/>
      <c r="I1273" s="55">
        <f t="shared" si="428"/>
        <v>2</v>
      </c>
      <c r="J1273" s="55">
        <v>0</v>
      </c>
      <c r="K1273" s="55">
        <v>2</v>
      </c>
      <c r="L1273" s="55">
        <v>0</v>
      </c>
      <c r="M1273" s="55">
        <v>0</v>
      </c>
      <c r="N1273" s="55">
        <f t="shared" si="429"/>
        <v>0</v>
      </c>
      <c r="O1273" s="55">
        <v>0</v>
      </c>
      <c r="P1273" s="55">
        <v>0</v>
      </c>
      <c r="Q1273" s="55">
        <v>0</v>
      </c>
      <c r="R1273" s="55">
        <f t="shared" si="430"/>
        <v>0</v>
      </c>
      <c r="S1273" s="55">
        <v>0</v>
      </c>
      <c r="T1273" s="55">
        <v>0</v>
      </c>
      <c r="U1273" s="55">
        <v>0</v>
      </c>
      <c r="V1273" s="55">
        <v>4</v>
      </c>
      <c r="W1273" s="53">
        <v>0</v>
      </c>
      <c r="X1273" s="53">
        <v>4</v>
      </c>
      <c r="Y1273" s="55">
        <v>0</v>
      </c>
      <c r="Z1273" s="55">
        <v>2</v>
      </c>
      <c r="AA1273" s="53">
        <v>0</v>
      </c>
      <c r="AB1273" s="53">
        <v>2</v>
      </c>
      <c r="AC1273" s="55">
        <v>0</v>
      </c>
      <c r="AD1273" s="55">
        <f t="shared" si="431"/>
        <v>2</v>
      </c>
      <c r="AE1273" s="53">
        <v>0</v>
      </c>
      <c r="AF1273" s="55">
        <v>2</v>
      </c>
      <c r="AG1273" s="55">
        <v>0</v>
      </c>
      <c r="AH1273" s="55">
        <f t="shared" si="425"/>
        <v>2</v>
      </c>
      <c r="AI1273" s="55">
        <v>0</v>
      </c>
      <c r="AJ1273" s="55">
        <v>2</v>
      </c>
      <c r="AK1273" s="55">
        <v>0</v>
      </c>
      <c r="AL1273" s="55">
        <f t="shared" si="419"/>
        <v>0</v>
      </c>
      <c r="AM1273" s="55" t="s">
        <v>1912</v>
      </c>
      <c r="AN1273" s="55">
        <v>0</v>
      </c>
      <c r="AO1273" s="55">
        <v>0</v>
      </c>
      <c r="AP1273" s="55">
        <f t="shared" si="427"/>
        <v>0</v>
      </c>
      <c r="AQ1273" s="55">
        <f>IFERROR(VLOOKUP(A1273,[1]SIIMPLES!$A$2:$F$418,6,FALSE),0)</f>
        <v>0</v>
      </c>
      <c r="AR1273" s="55">
        <v>0</v>
      </c>
      <c r="AS1273" s="55">
        <v>0</v>
      </c>
      <c r="AT1273" s="55">
        <v>0</v>
      </c>
      <c r="AU1273" s="55">
        <v>0</v>
      </c>
      <c r="AV1273" s="55">
        <v>0</v>
      </c>
      <c r="AW1273" s="57"/>
      <c r="AX1273" s="55"/>
      <c r="AY1273" s="56">
        <f t="shared" si="426"/>
        <v>1.2</v>
      </c>
      <c r="AZ1273" s="55"/>
      <c r="BA1273" s="56">
        <v>6</v>
      </c>
      <c r="BB1273" s="41">
        <f t="shared" si="420"/>
        <v>-0.8</v>
      </c>
      <c r="BC1273" s="13"/>
      <c r="BD1273" s="36"/>
      <c r="BE1273" s="7"/>
      <c r="BF1273" s="7"/>
      <c r="BG1273" s="7"/>
      <c r="BH1273" s="7"/>
    </row>
    <row r="1274" spans="1:60" ht="12.75" customHeight="1" x14ac:dyDescent="0.2">
      <c r="A1274" s="51" t="s">
        <v>653</v>
      </c>
      <c r="B1274" s="51" t="s">
        <v>1077</v>
      </c>
      <c r="C1274" s="66" t="s">
        <v>1803</v>
      </c>
      <c r="D1274" s="52" t="s">
        <v>745</v>
      </c>
      <c r="E1274" s="52" t="s">
        <v>780</v>
      </c>
      <c r="F1274" s="53">
        <f>IFERROR(VLOOKUP(E1274,Fornecedores!$A$2:$B$2700,2,FALSE),"")</f>
        <v>2</v>
      </c>
      <c r="G1274" s="52" t="s">
        <v>654</v>
      </c>
      <c r="H1274" s="54"/>
      <c r="I1274" s="55">
        <f t="shared" si="428"/>
        <v>0</v>
      </c>
      <c r="J1274" s="55">
        <v>0</v>
      </c>
      <c r="K1274" s="55">
        <v>0</v>
      </c>
      <c r="L1274" s="55">
        <v>0</v>
      </c>
      <c r="M1274" s="55">
        <v>0</v>
      </c>
      <c r="N1274" s="55">
        <f t="shared" si="429"/>
        <v>0</v>
      </c>
      <c r="O1274" s="55">
        <v>0</v>
      </c>
      <c r="P1274" s="55">
        <v>0</v>
      </c>
      <c r="Q1274" s="55">
        <v>0</v>
      </c>
      <c r="R1274" s="55">
        <f t="shared" si="430"/>
        <v>0</v>
      </c>
      <c r="S1274" s="55">
        <v>0</v>
      </c>
      <c r="T1274" s="55">
        <v>0</v>
      </c>
      <c r="U1274" s="55">
        <v>0</v>
      </c>
      <c r="V1274" s="55">
        <v>0</v>
      </c>
      <c r="W1274" s="53">
        <v>0</v>
      </c>
      <c r="X1274" s="53">
        <v>0</v>
      </c>
      <c r="Y1274" s="55">
        <v>0</v>
      </c>
      <c r="Z1274" s="55">
        <v>0</v>
      </c>
      <c r="AA1274" s="53">
        <v>0</v>
      </c>
      <c r="AB1274" s="53">
        <v>0</v>
      </c>
      <c r="AC1274" s="55">
        <v>0</v>
      </c>
      <c r="AD1274" s="55">
        <f t="shared" si="431"/>
        <v>0</v>
      </c>
      <c r="AE1274" s="53">
        <v>0</v>
      </c>
      <c r="AF1274" s="55">
        <v>0</v>
      </c>
      <c r="AG1274" s="55">
        <v>0</v>
      </c>
      <c r="AH1274" s="55">
        <f t="shared" si="425"/>
        <v>0</v>
      </c>
      <c r="AI1274" s="55">
        <v>0</v>
      </c>
      <c r="AJ1274" s="55">
        <v>0</v>
      </c>
      <c r="AK1274" s="55">
        <v>0</v>
      </c>
      <c r="AL1274" s="55">
        <f t="shared" si="419"/>
        <v>0</v>
      </c>
      <c r="AM1274" s="55" t="s">
        <v>1912</v>
      </c>
      <c r="AN1274" s="55">
        <v>0</v>
      </c>
      <c r="AO1274" s="55">
        <v>0</v>
      </c>
      <c r="AP1274" s="55">
        <f t="shared" si="427"/>
        <v>0</v>
      </c>
      <c r="AQ1274" s="55">
        <f>IFERROR(VLOOKUP(A1274,[1]SIIMPLES!$A$2:$F$418,6,FALSE),0)</f>
        <v>0</v>
      </c>
      <c r="AR1274" s="55">
        <v>0</v>
      </c>
      <c r="AS1274" s="55">
        <v>0</v>
      </c>
      <c r="AT1274" s="55">
        <v>0</v>
      </c>
      <c r="AU1274" s="55">
        <v>0</v>
      </c>
      <c r="AV1274" s="55">
        <v>0</v>
      </c>
      <c r="AW1274" s="55"/>
      <c r="AX1274" s="55"/>
      <c r="AY1274" s="56">
        <f t="shared" si="426"/>
        <v>0</v>
      </c>
      <c r="AZ1274" s="55"/>
      <c r="BA1274" s="56">
        <v>0.5</v>
      </c>
      <c r="BB1274" s="41">
        <f t="shared" si="420"/>
        <v>-1</v>
      </c>
      <c r="BC1274" s="13"/>
      <c r="BD1274" s="36"/>
      <c r="BE1274" s="7"/>
      <c r="BF1274" s="7"/>
      <c r="BG1274" s="7"/>
      <c r="BH1274" s="7"/>
    </row>
    <row r="1275" spans="1:60" ht="12.75" customHeight="1" x14ac:dyDescent="0.2">
      <c r="A1275" s="51" t="s">
        <v>83</v>
      </c>
      <c r="B1275" s="51"/>
      <c r="C1275" s="66" t="s">
        <v>1803</v>
      </c>
      <c r="D1275" s="52" t="s">
        <v>763</v>
      </c>
      <c r="E1275" s="52" t="s">
        <v>764</v>
      </c>
      <c r="F1275" s="53">
        <f>IFERROR(VLOOKUP(E1275,Fornecedores!$A$2:$B$2700,2,FALSE),"")</f>
        <v>10</v>
      </c>
      <c r="G1275" s="52" t="s">
        <v>84</v>
      </c>
      <c r="H1275" s="54"/>
      <c r="I1275" s="55">
        <f t="shared" si="428"/>
        <v>0</v>
      </c>
      <c r="J1275" s="55">
        <v>0</v>
      </c>
      <c r="K1275" s="55">
        <v>0</v>
      </c>
      <c r="L1275" s="55">
        <v>0</v>
      </c>
      <c r="M1275" s="55">
        <v>0</v>
      </c>
      <c r="N1275" s="55">
        <f t="shared" si="429"/>
        <v>0</v>
      </c>
      <c r="O1275" s="55">
        <v>0</v>
      </c>
      <c r="P1275" s="55">
        <v>0</v>
      </c>
      <c r="Q1275" s="55">
        <v>0</v>
      </c>
      <c r="R1275" s="55">
        <f t="shared" si="430"/>
        <v>0</v>
      </c>
      <c r="S1275" s="55">
        <v>0</v>
      </c>
      <c r="T1275" s="55">
        <v>0</v>
      </c>
      <c r="U1275" s="55">
        <v>0</v>
      </c>
      <c r="V1275" s="55">
        <v>0</v>
      </c>
      <c r="W1275" s="53">
        <v>0</v>
      </c>
      <c r="X1275" s="53">
        <v>0</v>
      </c>
      <c r="Y1275" s="55">
        <v>0</v>
      </c>
      <c r="Z1275" s="55">
        <v>0</v>
      </c>
      <c r="AA1275" s="53">
        <v>0</v>
      </c>
      <c r="AB1275" s="53">
        <v>0</v>
      </c>
      <c r="AC1275" s="55">
        <v>0</v>
      </c>
      <c r="AD1275" s="55">
        <f t="shared" si="431"/>
        <v>0</v>
      </c>
      <c r="AE1275" s="53">
        <v>0</v>
      </c>
      <c r="AF1275" s="55">
        <v>0</v>
      </c>
      <c r="AG1275" s="55">
        <v>0</v>
      </c>
      <c r="AH1275" s="55">
        <f t="shared" ref="AH1275:AH1306" si="432">SUM(AI1275:AK1275)</f>
        <v>0</v>
      </c>
      <c r="AI1275" s="55">
        <v>0</v>
      </c>
      <c r="AJ1275" s="55">
        <v>0</v>
      </c>
      <c r="AK1275" s="55">
        <v>0</v>
      </c>
      <c r="AL1275" s="55">
        <f t="shared" si="419"/>
        <v>0</v>
      </c>
      <c r="AM1275" s="55" t="s">
        <v>1912</v>
      </c>
      <c r="AN1275" s="55">
        <v>0</v>
      </c>
      <c r="AO1275" s="55">
        <v>0</v>
      </c>
      <c r="AP1275" s="55">
        <f t="shared" si="427"/>
        <v>0</v>
      </c>
      <c r="AQ1275" s="55">
        <f>IFERROR(VLOOKUP(A1275,[1]SIIMPLES!$A$2:$F$418,6,FALSE),0)</f>
        <v>0</v>
      </c>
      <c r="AR1275" s="55">
        <v>0</v>
      </c>
      <c r="AS1275" s="55">
        <v>0</v>
      </c>
      <c r="AT1275" s="55">
        <v>0</v>
      </c>
      <c r="AU1275" s="55">
        <v>0</v>
      </c>
      <c r="AV1275" s="55">
        <v>0</v>
      </c>
      <c r="AW1275" s="55"/>
      <c r="AX1275" s="55"/>
      <c r="AY1275" s="56">
        <f t="shared" ref="AY1275:AY1306" si="433">IFERROR(AVERAGE(I1275,N1275,R1275,V1275,Z1275,AD1275,AH1275,AL1275,AP1275,AS1275,AW1275,AX1275),"-")</f>
        <v>0</v>
      </c>
      <c r="AZ1275" s="55"/>
      <c r="BA1275" s="56">
        <v>0</v>
      </c>
      <c r="BB1275" s="41" t="str">
        <f t="shared" si="420"/>
        <v/>
      </c>
      <c r="BC1275" s="13"/>
      <c r="BD1275" s="36"/>
      <c r="BE1275" s="7"/>
      <c r="BF1275" s="7"/>
      <c r="BG1275" s="7"/>
      <c r="BH1275" s="7"/>
    </row>
    <row r="1276" spans="1:60" ht="12.75" customHeight="1" x14ac:dyDescent="0.2">
      <c r="A1276" s="51" t="s">
        <v>273</v>
      </c>
      <c r="B1276" s="51"/>
      <c r="C1276" s="66" t="s">
        <v>1803</v>
      </c>
      <c r="D1276" s="52" t="s">
        <v>763</v>
      </c>
      <c r="E1276" s="52" t="s">
        <v>764</v>
      </c>
      <c r="F1276" s="53">
        <f>IFERROR(VLOOKUP(E1276,Fornecedores!$A$2:$B$2700,2,FALSE),"")</f>
        <v>10</v>
      </c>
      <c r="G1276" s="52" t="s">
        <v>274</v>
      </c>
      <c r="H1276" s="54"/>
      <c r="I1276" s="55">
        <f t="shared" si="428"/>
        <v>0</v>
      </c>
      <c r="J1276" s="55">
        <v>0</v>
      </c>
      <c r="K1276" s="55">
        <v>0</v>
      </c>
      <c r="L1276" s="55">
        <v>0</v>
      </c>
      <c r="M1276" s="55">
        <v>0</v>
      </c>
      <c r="N1276" s="55">
        <f t="shared" si="429"/>
        <v>0</v>
      </c>
      <c r="O1276" s="55">
        <v>0</v>
      </c>
      <c r="P1276" s="55">
        <v>0</v>
      </c>
      <c r="Q1276" s="55">
        <v>0</v>
      </c>
      <c r="R1276" s="55">
        <f t="shared" si="430"/>
        <v>0</v>
      </c>
      <c r="S1276" s="55">
        <v>0</v>
      </c>
      <c r="T1276" s="55">
        <v>0</v>
      </c>
      <c r="U1276" s="55">
        <v>0</v>
      </c>
      <c r="V1276" s="55">
        <v>0</v>
      </c>
      <c r="W1276" s="53">
        <v>0</v>
      </c>
      <c r="X1276" s="53">
        <v>0</v>
      </c>
      <c r="Y1276" s="55">
        <v>0</v>
      </c>
      <c r="Z1276" s="55">
        <v>0</v>
      </c>
      <c r="AA1276" s="53">
        <v>0</v>
      </c>
      <c r="AB1276" s="53">
        <v>0</v>
      </c>
      <c r="AC1276" s="55">
        <v>0</v>
      </c>
      <c r="AD1276" s="55">
        <f t="shared" si="431"/>
        <v>0</v>
      </c>
      <c r="AE1276" s="53">
        <v>0</v>
      </c>
      <c r="AF1276" s="55">
        <v>0</v>
      </c>
      <c r="AG1276" s="55">
        <v>0</v>
      </c>
      <c r="AH1276" s="55">
        <f t="shared" si="432"/>
        <v>0</v>
      </c>
      <c r="AI1276" s="55">
        <v>0</v>
      </c>
      <c r="AJ1276" s="55">
        <v>0</v>
      </c>
      <c r="AK1276" s="55">
        <v>0</v>
      </c>
      <c r="AL1276" s="55">
        <f t="shared" si="419"/>
        <v>0</v>
      </c>
      <c r="AM1276" s="55" t="s">
        <v>1912</v>
      </c>
      <c r="AN1276" s="55">
        <v>0</v>
      </c>
      <c r="AO1276" s="55">
        <v>0</v>
      </c>
      <c r="AP1276" s="55">
        <f t="shared" si="427"/>
        <v>0</v>
      </c>
      <c r="AQ1276" s="55">
        <f>IFERROR(VLOOKUP(A1276,[1]SIIMPLES!$A$2:$F$418,6,FALSE),0)</f>
        <v>0</v>
      </c>
      <c r="AR1276" s="55">
        <v>0</v>
      </c>
      <c r="AS1276" s="55">
        <v>0</v>
      </c>
      <c r="AT1276" s="55">
        <v>0</v>
      </c>
      <c r="AU1276" s="55">
        <v>0</v>
      </c>
      <c r="AV1276" s="55">
        <v>0</v>
      </c>
      <c r="AW1276" s="55"/>
      <c r="AX1276" s="55"/>
      <c r="AY1276" s="56">
        <f t="shared" si="433"/>
        <v>0</v>
      </c>
      <c r="AZ1276" s="55"/>
      <c r="BA1276" s="56">
        <v>0</v>
      </c>
      <c r="BB1276" s="41" t="str">
        <f t="shared" si="420"/>
        <v/>
      </c>
      <c r="BC1276" s="13"/>
      <c r="BD1276" s="36"/>
      <c r="BE1276" s="7"/>
      <c r="BF1276" s="7"/>
      <c r="BG1276" s="7"/>
      <c r="BH1276" s="7"/>
    </row>
    <row r="1277" spans="1:60" ht="12.75" customHeight="1" x14ac:dyDescent="0.2">
      <c r="A1277" s="51" t="s">
        <v>800</v>
      </c>
      <c r="B1277" s="51"/>
      <c r="C1277" s="66" t="s">
        <v>1803</v>
      </c>
      <c r="D1277" s="52" t="s">
        <v>763</v>
      </c>
      <c r="E1277" s="52" t="s">
        <v>764</v>
      </c>
      <c r="F1277" s="53">
        <f>IFERROR(VLOOKUP(E1277,Fornecedores!$A$2:$B$2700,2,FALSE),"")</f>
        <v>10</v>
      </c>
      <c r="G1277" s="52" t="s">
        <v>942</v>
      </c>
      <c r="H1277" s="54"/>
      <c r="I1277" s="55">
        <f t="shared" si="428"/>
        <v>0</v>
      </c>
      <c r="J1277" s="55">
        <v>0</v>
      </c>
      <c r="K1277" s="55">
        <v>0</v>
      </c>
      <c r="L1277" s="55">
        <v>0</v>
      </c>
      <c r="M1277" s="55">
        <v>0</v>
      </c>
      <c r="N1277" s="55">
        <f t="shared" si="429"/>
        <v>0</v>
      </c>
      <c r="O1277" s="55">
        <v>0</v>
      </c>
      <c r="P1277" s="55">
        <v>0</v>
      </c>
      <c r="Q1277" s="55">
        <v>0</v>
      </c>
      <c r="R1277" s="55">
        <f t="shared" si="430"/>
        <v>0</v>
      </c>
      <c r="S1277" s="55">
        <v>0</v>
      </c>
      <c r="T1277" s="55">
        <v>0</v>
      </c>
      <c r="U1277" s="55">
        <v>0</v>
      </c>
      <c r="V1277" s="55">
        <v>0</v>
      </c>
      <c r="W1277" s="53">
        <v>0</v>
      </c>
      <c r="X1277" s="53">
        <v>0</v>
      </c>
      <c r="Y1277" s="55">
        <v>0</v>
      </c>
      <c r="Z1277" s="55">
        <v>0</v>
      </c>
      <c r="AA1277" s="53">
        <v>0</v>
      </c>
      <c r="AB1277" s="53">
        <v>0</v>
      </c>
      <c r="AC1277" s="55">
        <v>0</v>
      </c>
      <c r="AD1277" s="55">
        <f t="shared" si="431"/>
        <v>0</v>
      </c>
      <c r="AE1277" s="53">
        <v>0</v>
      </c>
      <c r="AF1277" s="55">
        <v>0</v>
      </c>
      <c r="AG1277" s="55">
        <v>0</v>
      </c>
      <c r="AH1277" s="55">
        <f t="shared" si="432"/>
        <v>0</v>
      </c>
      <c r="AI1277" s="55">
        <v>0</v>
      </c>
      <c r="AJ1277" s="55">
        <v>0</v>
      </c>
      <c r="AK1277" s="55">
        <v>0</v>
      </c>
      <c r="AL1277" s="55">
        <f t="shared" si="419"/>
        <v>0</v>
      </c>
      <c r="AM1277" s="55" t="s">
        <v>1912</v>
      </c>
      <c r="AN1277" s="55">
        <v>0</v>
      </c>
      <c r="AO1277" s="55">
        <v>0</v>
      </c>
      <c r="AP1277" s="55">
        <f t="shared" si="427"/>
        <v>0</v>
      </c>
      <c r="AQ1277" s="55">
        <f>IFERROR(VLOOKUP(A1277,[1]SIIMPLES!$A$2:$F$418,6,FALSE),0)</f>
        <v>0</v>
      </c>
      <c r="AR1277" s="55">
        <v>0</v>
      </c>
      <c r="AS1277" s="55">
        <v>0</v>
      </c>
      <c r="AT1277" s="55">
        <v>0</v>
      </c>
      <c r="AU1277" s="55">
        <v>0</v>
      </c>
      <c r="AV1277" s="55">
        <v>0</v>
      </c>
      <c r="AW1277" s="55"/>
      <c r="AX1277" s="55"/>
      <c r="AY1277" s="56">
        <f t="shared" si="433"/>
        <v>0</v>
      </c>
      <c r="AZ1277" s="55"/>
      <c r="BA1277" s="56">
        <v>0</v>
      </c>
      <c r="BB1277" s="41" t="str">
        <f t="shared" si="420"/>
        <v/>
      </c>
      <c r="BC1277" s="13"/>
      <c r="BD1277" s="35"/>
      <c r="BE1277" s="13"/>
      <c r="BF1277" s="16">
        <f>SUM(BC1277:BE1277)</f>
        <v>0</v>
      </c>
      <c r="BG1277" s="17" t="str">
        <f>IFERROR(BC1277/AY1277,"0")</f>
        <v>0</v>
      </c>
      <c r="BH1277" s="16">
        <f>IFERROR(IF(F1277=1,IF(BC1277&lt;AY1277*3,AY1277*3-BC1277,0),IF(BC1277&lt;AY1277,AY1277-BC1277,0)),"")</f>
        <v>0</v>
      </c>
    </row>
    <row r="1278" spans="1:60" ht="12.75" customHeight="1" x14ac:dyDescent="0.2">
      <c r="A1278" s="51" t="s">
        <v>799</v>
      </c>
      <c r="B1278" s="51"/>
      <c r="C1278" s="66" t="s">
        <v>1803</v>
      </c>
      <c r="D1278" s="52" t="s">
        <v>763</v>
      </c>
      <c r="E1278" s="52" t="s">
        <v>764</v>
      </c>
      <c r="F1278" s="53">
        <f>IFERROR(VLOOKUP(E1278,Fornecedores!$A$2:$B$2700,2,FALSE),"")</f>
        <v>10</v>
      </c>
      <c r="G1278" s="52" t="s">
        <v>941</v>
      </c>
      <c r="H1278" s="54"/>
      <c r="I1278" s="55">
        <f t="shared" si="428"/>
        <v>0</v>
      </c>
      <c r="J1278" s="55">
        <v>0</v>
      </c>
      <c r="K1278" s="55">
        <v>0</v>
      </c>
      <c r="L1278" s="55">
        <v>0</v>
      </c>
      <c r="M1278" s="55">
        <v>0</v>
      </c>
      <c r="N1278" s="55">
        <f t="shared" si="429"/>
        <v>0</v>
      </c>
      <c r="O1278" s="55">
        <v>0</v>
      </c>
      <c r="P1278" s="55">
        <v>0</v>
      </c>
      <c r="Q1278" s="55">
        <v>0</v>
      </c>
      <c r="R1278" s="55">
        <f t="shared" si="430"/>
        <v>0</v>
      </c>
      <c r="S1278" s="55">
        <v>0</v>
      </c>
      <c r="T1278" s="55">
        <v>0</v>
      </c>
      <c r="U1278" s="55">
        <v>0</v>
      </c>
      <c r="V1278" s="55">
        <v>0</v>
      </c>
      <c r="W1278" s="53">
        <v>0</v>
      </c>
      <c r="X1278" s="53">
        <v>0</v>
      </c>
      <c r="Y1278" s="55">
        <v>0</v>
      </c>
      <c r="Z1278" s="55">
        <v>0</v>
      </c>
      <c r="AA1278" s="53">
        <v>0</v>
      </c>
      <c r="AB1278" s="53">
        <v>0</v>
      </c>
      <c r="AC1278" s="55">
        <v>0</v>
      </c>
      <c r="AD1278" s="55">
        <f t="shared" si="431"/>
        <v>0</v>
      </c>
      <c r="AE1278" s="53">
        <v>0</v>
      </c>
      <c r="AF1278" s="55">
        <v>0</v>
      </c>
      <c r="AG1278" s="55">
        <v>0</v>
      </c>
      <c r="AH1278" s="55">
        <f t="shared" si="432"/>
        <v>0</v>
      </c>
      <c r="AI1278" s="55">
        <v>0</v>
      </c>
      <c r="AJ1278" s="55">
        <v>0</v>
      </c>
      <c r="AK1278" s="55">
        <v>0</v>
      </c>
      <c r="AL1278" s="55">
        <f t="shared" si="419"/>
        <v>0</v>
      </c>
      <c r="AM1278" s="55" t="s">
        <v>1912</v>
      </c>
      <c r="AN1278" s="55">
        <v>0</v>
      </c>
      <c r="AO1278" s="55">
        <v>0</v>
      </c>
      <c r="AP1278" s="55">
        <f t="shared" si="427"/>
        <v>0</v>
      </c>
      <c r="AQ1278" s="55">
        <f>IFERROR(VLOOKUP(A1278,[1]SIIMPLES!$A$2:$F$418,6,FALSE),0)</f>
        <v>0</v>
      </c>
      <c r="AR1278" s="55">
        <v>0</v>
      </c>
      <c r="AS1278" s="55">
        <v>0</v>
      </c>
      <c r="AT1278" s="55">
        <v>0</v>
      </c>
      <c r="AU1278" s="55">
        <v>0</v>
      </c>
      <c r="AV1278" s="55">
        <v>0</v>
      </c>
      <c r="AW1278" s="55"/>
      <c r="AX1278" s="55"/>
      <c r="AY1278" s="56">
        <f t="shared" si="433"/>
        <v>0</v>
      </c>
      <c r="AZ1278" s="55"/>
      <c r="BA1278" s="56">
        <v>0</v>
      </c>
      <c r="BB1278" s="41" t="str">
        <f t="shared" si="420"/>
        <v/>
      </c>
      <c r="BC1278" s="7"/>
      <c r="BD1278" s="35"/>
      <c r="BE1278" s="13"/>
      <c r="BF1278" s="16">
        <f>SUM(BC1278:BE1278)</f>
        <v>0</v>
      </c>
      <c r="BG1278" s="17" t="str">
        <f>IFERROR(BC1278/AY1278,"0")</f>
        <v>0</v>
      </c>
      <c r="BH1278" s="16">
        <f>ROUND(IFERROR(IF(F1278=1,IF(BC1278&lt;AY1278*3,AY1278*3-BC1278,0),IF(BC1278&lt;AY1278,AY1278*0.6-BC1278,0)),""),0)</f>
        <v>0</v>
      </c>
    </row>
    <row r="1279" spans="1:60" ht="12.75" customHeight="1" x14ac:dyDescent="0.2">
      <c r="A1279" s="51" t="s">
        <v>16</v>
      </c>
      <c r="B1279" s="51"/>
      <c r="C1279" s="66" t="s">
        <v>1803</v>
      </c>
      <c r="D1279" s="52" t="s">
        <v>763</v>
      </c>
      <c r="E1279" s="52" t="s">
        <v>770</v>
      </c>
      <c r="F1279" s="53">
        <f>IFERROR(VLOOKUP(E1279,Fornecedores!$A$2:$B$2700,2,FALSE),"")</f>
        <v>17</v>
      </c>
      <c r="G1279" s="52" t="s">
        <v>17</v>
      </c>
      <c r="H1279" s="54"/>
      <c r="I1279" s="55">
        <f t="shared" si="428"/>
        <v>0</v>
      </c>
      <c r="J1279" s="55">
        <v>0</v>
      </c>
      <c r="K1279" s="55">
        <v>0</v>
      </c>
      <c r="L1279" s="55">
        <v>0</v>
      </c>
      <c r="M1279" s="55">
        <v>0</v>
      </c>
      <c r="N1279" s="55">
        <f t="shared" si="429"/>
        <v>0</v>
      </c>
      <c r="O1279" s="55">
        <v>0</v>
      </c>
      <c r="P1279" s="55">
        <v>0</v>
      </c>
      <c r="Q1279" s="55">
        <v>0</v>
      </c>
      <c r="R1279" s="55">
        <f t="shared" si="430"/>
        <v>0</v>
      </c>
      <c r="S1279" s="55">
        <v>0</v>
      </c>
      <c r="T1279" s="55">
        <v>0</v>
      </c>
      <c r="U1279" s="55">
        <v>0</v>
      </c>
      <c r="V1279" s="55">
        <v>0</v>
      </c>
      <c r="W1279" s="53">
        <v>0</v>
      </c>
      <c r="X1279" s="53">
        <v>0</v>
      </c>
      <c r="Y1279" s="55">
        <v>0</v>
      </c>
      <c r="Z1279" s="55">
        <v>0</v>
      </c>
      <c r="AA1279" s="53">
        <v>0</v>
      </c>
      <c r="AB1279" s="53">
        <v>0</v>
      </c>
      <c r="AC1279" s="55">
        <v>0</v>
      </c>
      <c r="AD1279" s="55">
        <f t="shared" si="431"/>
        <v>0</v>
      </c>
      <c r="AE1279" s="53">
        <v>0</v>
      </c>
      <c r="AF1279" s="55">
        <v>0</v>
      </c>
      <c r="AG1279" s="55">
        <v>0</v>
      </c>
      <c r="AH1279" s="55">
        <f t="shared" si="432"/>
        <v>0</v>
      </c>
      <c r="AI1279" s="55">
        <v>0</v>
      </c>
      <c r="AJ1279" s="55">
        <v>0</v>
      </c>
      <c r="AK1279" s="55">
        <v>0</v>
      </c>
      <c r="AL1279" s="55">
        <f t="shared" si="419"/>
        <v>0</v>
      </c>
      <c r="AM1279" s="55" t="s">
        <v>1912</v>
      </c>
      <c r="AN1279" s="55">
        <v>0</v>
      </c>
      <c r="AO1279" s="55">
        <v>0</v>
      </c>
      <c r="AP1279" s="55">
        <f t="shared" si="427"/>
        <v>0</v>
      </c>
      <c r="AQ1279" s="55">
        <f>IFERROR(VLOOKUP(A1279,[1]SIIMPLES!$A$2:$F$418,6,FALSE),0)</f>
        <v>0</v>
      </c>
      <c r="AR1279" s="55">
        <v>0</v>
      </c>
      <c r="AS1279" s="55">
        <v>0</v>
      </c>
      <c r="AT1279" s="55">
        <v>0</v>
      </c>
      <c r="AU1279" s="55">
        <v>0</v>
      </c>
      <c r="AV1279" s="55">
        <v>0</v>
      </c>
      <c r="AW1279" s="55"/>
      <c r="AX1279" s="55"/>
      <c r="AY1279" s="56">
        <f t="shared" si="433"/>
        <v>0</v>
      </c>
      <c r="AZ1279" s="55"/>
      <c r="BA1279" s="56">
        <v>0</v>
      </c>
      <c r="BB1279" s="41" t="str">
        <f t="shared" si="420"/>
        <v/>
      </c>
      <c r="BC1279" s="13"/>
      <c r="BD1279" s="35"/>
      <c r="BE1279" s="13"/>
      <c r="BF1279" s="16"/>
      <c r="BG1279" s="17" t="str">
        <f>IFERROR(BC1279/AY1279,"0")</f>
        <v>0</v>
      </c>
      <c r="BH1279" s="16">
        <f>IFERROR(IF(F1279=1,IF(BC1279&lt;AY1279*3,AY1279*3-BC1279,0),IF(BC1279&lt;AY1279,AY1279-BC1279,0)),"")</f>
        <v>0</v>
      </c>
    </row>
    <row r="1280" spans="1:60" ht="12.75" customHeight="1" x14ac:dyDescent="0.2">
      <c r="A1280" s="51" t="s">
        <v>1624</v>
      </c>
      <c r="B1280" s="51"/>
      <c r="C1280" s="66" t="s">
        <v>1803</v>
      </c>
      <c r="D1280" s="52" t="s">
        <v>751</v>
      </c>
      <c r="E1280" s="52" t="s">
        <v>746</v>
      </c>
      <c r="F1280" s="53">
        <f>IFERROR(VLOOKUP(E1280,Fornecedores!$A$2:$B$2700,2,FALSE),"")</f>
        <v>11</v>
      </c>
      <c r="G1280" s="52" t="s">
        <v>1752</v>
      </c>
      <c r="H1280" s="57"/>
      <c r="I1280" s="55">
        <f t="shared" si="428"/>
        <v>0</v>
      </c>
      <c r="J1280" s="57"/>
      <c r="K1280" s="57"/>
      <c r="L1280" s="57"/>
      <c r="M1280" s="57"/>
      <c r="N1280" s="55">
        <f t="shared" si="429"/>
        <v>1</v>
      </c>
      <c r="O1280" s="55">
        <v>1</v>
      </c>
      <c r="P1280" s="55">
        <v>0</v>
      </c>
      <c r="Q1280" s="55">
        <v>0</v>
      </c>
      <c r="R1280" s="55">
        <f t="shared" si="430"/>
        <v>0</v>
      </c>
      <c r="S1280" s="55">
        <v>0</v>
      </c>
      <c r="T1280" s="55">
        <v>0</v>
      </c>
      <c r="U1280" s="55">
        <v>0</v>
      </c>
      <c r="V1280" s="55">
        <v>0</v>
      </c>
      <c r="W1280" s="53">
        <v>0</v>
      </c>
      <c r="X1280" s="53">
        <v>0</v>
      </c>
      <c r="Y1280" s="55">
        <v>0</v>
      </c>
      <c r="Z1280" s="55">
        <v>0</v>
      </c>
      <c r="AA1280" s="53">
        <v>0</v>
      </c>
      <c r="AB1280" s="53">
        <v>0</v>
      </c>
      <c r="AC1280" s="55">
        <v>0</v>
      </c>
      <c r="AD1280" s="55">
        <f t="shared" si="431"/>
        <v>0</v>
      </c>
      <c r="AE1280" s="53">
        <v>0</v>
      </c>
      <c r="AF1280" s="55">
        <v>0</v>
      </c>
      <c r="AG1280" s="55">
        <v>0</v>
      </c>
      <c r="AH1280" s="55">
        <f t="shared" si="432"/>
        <v>0</v>
      </c>
      <c r="AI1280" s="55">
        <v>0</v>
      </c>
      <c r="AJ1280" s="55">
        <v>0</v>
      </c>
      <c r="AK1280" s="55">
        <v>0</v>
      </c>
      <c r="AL1280" s="55">
        <f t="shared" si="419"/>
        <v>0</v>
      </c>
      <c r="AM1280" s="55" t="s">
        <v>1912</v>
      </c>
      <c r="AN1280" s="55">
        <v>0</v>
      </c>
      <c r="AO1280" s="55">
        <v>0</v>
      </c>
      <c r="AP1280" s="55">
        <f t="shared" si="427"/>
        <v>0</v>
      </c>
      <c r="AQ1280" s="55">
        <f>IFERROR(VLOOKUP(A1280,[1]SIIMPLES!$A$2:$F$418,6,FALSE),0)</f>
        <v>0</v>
      </c>
      <c r="AR1280" s="55">
        <v>0</v>
      </c>
      <c r="AS1280" s="55">
        <v>0</v>
      </c>
      <c r="AT1280" s="55">
        <v>0</v>
      </c>
      <c r="AU1280" s="55">
        <v>0</v>
      </c>
      <c r="AV1280" s="55">
        <v>0</v>
      </c>
      <c r="AW1280" s="57"/>
      <c r="AX1280" s="57"/>
      <c r="AY1280" s="56">
        <f t="shared" si="433"/>
        <v>0.1</v>
      </c>
      <c r="AZ1280" s="57"/>
      <c r="BA1280" s="56" t="s">
        <v>1912</v>
      </c>
      <c r="BB1280" s="41" t="str">
        <f t="shared" si="420"/>
        <v/>
      </c>
      <c r="BC1280" s="13"/>
      <c r="BD1280" s="35"/>
      <c r="BE1280" s="13"/>
      <c r="BF1280" s="16"/>
      <c r="BG1280" s="17">
        <f>IFERROR(BC1280/AY1280,"0")</f>
        <v>0</v>
      </c>
      <c r="BH1280" s="16">
        <f>IFERROR(IF(F1280=1,IF(BC1280&lt;AY1280*3,AY1280*3-BC1280,0),IF(BC1280&lt;AY1280,AY1280-BC1280,0)),"")</f>
        <v>0.1</v>
      </c>
    </row>
    <row r="1281" spans="1:60" ht="12.75" customHeight="1" x14ac:dyDescent="0.2">
      <c r="A1281" s="51" t="s">
        <v>275</v>
      </c>
      <c r="B1281" s="51"/>
      <c r="C1281" s="66" t="s">
        <v>1803</v>
      </c>
      <c r="D1281" s="52" t="s">
        <v>763</v>
      </c>
      <c r="E1281" s="52" t="s">
        <v>764</v>
      </c>
      <c r="F1281" s="53">
        <f>IFERROR(VLOOKUP(E1281,Fornecedores!$A$2:$B$2700,2,FALSE),"")</f>
        <v>10</v>
      </c>
      <c r="G1281" s="52" t="s">
        <v>276</v>
      </c>
      <c r="H1281" s="54"/>
      <c r="I1281" s="55">
        <f t="shared" si="428"/>
        <v>0</v>
      </c>
      <c r="J1281" s="55">
        <v>0</v>
      </c>
      <c r="K1281" s="55">
        <v>0</v>
      </c>
      <c r="L1281" s="55">
        <v>0</v>
      </c>
      <c r="M1281" s="55">
        <v>0</v>
      </c>
      <c r="N1281" s="55">
        <f t="shared" si="429"/>
        <v>0</v>
      </c>
      <c r="O1281" s="55">
        <v>0</v>
      </c>
      <c r="P1281" s="55">
        <v>0</v>
      </c>
      <c r="Q1281" s="55">
        <v>0</v>
      </c>
      <c r="R1281" s="55">
        <f t="shared" si="430"/>
        <v>0</v>
      </c>
      <c r="S1281" s="55">
        <v>0</v>
      </c>
      <c r="T1281" s="55">
        <v>0</v>
      </c>
      <c r="U1281" s="55">
        <v>0</v>
      </c>
      <c r="V1281" s="55">
        <v>0</v>
      </c>
      <c r="W1281" s="53">
        <v>0</v>
      </c>
      <c r="X1281" s="53">
        <v>0</v>
      </c>
      <c r="Y1281" s="55">
        <v>0</v>
      </c>
      <c r="Z1281" s="55">
        <v>0</v>
      </c>
      <c r="AA1281" s="53">
        <v>0</v>
      </c>
      <c r="AB1281" s="53">
        <v>0</v>
      </c>
      <c r="AC1281" s="55">
        <v>0</v>
      </c>
      <c r="AD1281" s="55">
        <f t="shared" si="431"/>
        <v>0</v>
      </c>
      <c r="AE1281" s="53">
        <v>0</v>
      </c>
      <c r="AF1281" s="55">
        <v>0</v>
      </c>
      <c r="AG1281" s="55">
        <v>0</v>
      </c>
      <c r="AH1281" s="55">
        <f t="shared" si="432"/>
        <v>0</v>
      </c>
      <c r="AI1281" s="55">
        <v>0</v>
      </c>
      <c r="AJ1281" s="55">
        <v>0</v>
      </c>
      <c r="AK1281" s="55">
        <v>0</v>
      </c>
      <c r="AL1281" s="55">
        <f t="shared" si="419"/>
        <v>0</v>
      </c>
      <c r="AM1281" s="55" t="s">
        <v>1912</v>
      </c>
      <c r="AN1281" s="55">
        <v>0</v>
      </c>
      <c r="AO1281" s="55">
        <v>0</v>
      </c>
      <c r="AP1281" s="55">
        <f t="shared" si="427"/>
        <v>0</v>
      </c>
      <c r="AQ1281" s="55">
        <f>IFERROR(VLOOKUP(A1281,[1]SIIMPLES!$A$2:$F$418,6,FALSE),0)</f>
        <v>0</v>
      </c>
      <c r="AR1281" s="55">
        <v>0</v>
      </c>
      <c r="AS1281" s="55">
        <v>0</v>
      </c>
      <c r="AT1281" s="55">
        <v>0</v>
      </c>
      <c r="AU1281" s="55">
        <v>0</v>
      </c>
      <c r="AV1281" s="55">
        <v>0</v>
      </c>
      <c r="AW1281" s="55"/>
      <c r="AX1281" s="55"/>
      <c r="AY1281" s="56">
        <f t="shared" si="433"/>
        <v>0</v>
      </c>
      <c r="AZ1281" s="55"/>
      <c r="BA1281" s="56">
        <v>0</v>
      </c>
      <c r="BB1281" s="41" t="str">
        <f t="shared" si="420"/>
        <v/>
      </c>
      <c r="BC1281" s="13"/>
      <c r="BD1281" s="36"/>
      <c r="BE1281" s="7"/>
      <c r="BF1281" s="7"/>
      <c r="BG1281" s="7"/>
      <c r="BH1281" s="7"/>
    </row>
    <row r="1282" spans="1:60" ht="12.75" customHeight="1" x14ac:dyDescent="0.2">
      <c r="A1282" s="51" t="s">
        <v>1115</v>
      </c>
      <c r="B1282" s="51"/>
      <c r="C1282" s="66" t="s">
        <v>1803</v>
      </c>
      <c r="D1282" s="52" t="s">
        <v>751</v>
      </c>
      <c r="E1282" s="52" t="s">
        <v>746</v>
      </c>
      <c r="F1282" s="53">
        <f>IFERROR(VLOOKUP(E1282,Fornecedores!$A$2:$B$2700,2,FALSE),"")</f>
        <v>11</v>
      </c>
      <c r="G1282" s="52" t="s">
        <v>1158</v>
      </c>
      <c r="H1282" s="57"/>
      <c r="I1282" s="55">
        <f t="shared" si="428"/>
        <v>0</v>
      </c>
      <c r="J1282" s="55">
        <v>0</v>
      </c>
      <c r="K1282" s="55">
        <v>0</v>
      </c>
      <c r="L1282" s="55">
        <v>0</v>
      </c>
      <c r="M1282" s="55">
        <v>0</v>
      </c>
      <c r="N1282" s="55">
        <f t="shared" si="429"/>
        <v>0</v>
      </c>
      <c r="O1282" s="55">
        <v>0</v>
      </c>
      <c r="P1282" s="55">
        <v>0</v>
      </c>
      <c r="Q1282" s="55">
        <v>0</v>
      </c>
      <c r="R1282" s="55">
        <f t="shared" si="430"/>
        <v>0</v>
      </c>
      <c r="S1282" s="55">
        <v>0</v>
      </c>
      <c r="T1282" s="55">
        <v>0</v>
      </c>
      <c r="U1282" s="55">
        <v>0</v>
      </c>
      <c r="V1282" s="55">
        <v>0</v>
      </c>
      <c r="W1282" s="53">
        <v>0</v>
      </c>
      <c r="X1282" s="53">
        <v>0</v>
      </c>
      <c r="Y1282" s="55">
        <v>0</v>
      </c>
      <c r="Z1282" s="55">
        <v>0</v>
      </c>
      <c r="AA1282" s="53">
        <v>0</v>
      </c>
      <c r="AB1282" s="53">
        <v>0</v>
      </c>
      <c r="AC1282" s="55">
        <v>0</v>
      </c>
      <c r="AD1282" s="55">
        <f t="shared" si="431"/>
        <v>0</v>
      </c>
      <c r="AE1282" s="53">
        <v>0</v>
      </c>
      <c r="AF1282" s="55">
        <v>0</v>
      </c>
      <c r="AG1282" s="55">
        <v>0</v>
      </c>
      <c r="AH1282" s="55">
        <f t="shared" si="432"/>
        <v>0</v>
      </c>
      <c r="AI1282" s="55">
        <v>0</v>
      </c>
      <c r="AJ1282" s="55">
        <v>0</v>
      </c>
      <c r="AK1282" s="55">
        <v>0</v>
      </c>
      <c r="AL1282" s="55">
        <f t="shared" si="419"/>
        <v>0</v>
      </c>
      <c r="AM1282" s="55" t="s">
        <v>1912</v>
      </c>
      <c r="AN1282" s="55">
        <v>0</v>
      </c>
      <c r="AO1282" s="55">
        <v>0</v>
      </c>
      <c r="AP1282" s="55">
        <f t="shared" si="427"/>
        <v>0</v>
      </c>
      <c r="AQ1282" s="55">
        <f>IFERROR(VLOOKUP(A1282,[1]SIIMPLES!$A$2:$F$418,6,FALSE),0)</f>
        <v>0</v>
      </c>
      <c r="AR1282" s="55">
        <v>0</v>
      </c>
      <c r="AS1282" s="55">
        <v>0</v>
      </c>
      <c r="AT1282" s="55">
        <v>0</v>
      </c>
      <c r="AU1282" s="55">
        <v>0</v>
      </c>
      <c r="AV1282" s="55">
        <v>0</v>
      </c>
      <c r="AW1282" s="55"/>
      <c r="AX1282" s="55"/>
      <c r="AY1282" s="56">
        <f t="shared" si="433"/>
        <v>0</v>
      </c>
      <c r="AZ1282" s="55"/>
      <c r="BA1282" s="56">
        <v>0</v>
      </c>
      <c r="BB1282" s="41" t="str">
        <f t="shared" si="420"/>
        <v/>
      </c>
      <c r="BC1282" s="7"/>
      <c r="BD1282" s="36"/>
      <c r="BE1282" s="7"/>
      <c r="BF1282" s="7"/>
      <c r="BG1282" s="7"/>
      <c r="BH1282" s="7"/>
    </row>
    <row r="1283" spans="1:60" ht="12.75" customHeight="1" x14ac:dyDescent="0.2">
      <c r="A1283" s="51" t="s">
        <v>1116</v>
      </c>
      <c r="B1283" s="51"/>
      <c r="C1283" s="66" t="s">
        <v>1803</v>
      </c>
      <c r="D1283" s="52" t="s">
        <v>751</v>
      </c>
      <c r="E1283" s="52" t="s">
        <v>746</v>
      </c>
      <c r="F1283" s="53">
        <f>IFERROR(VLOOKUP(E1283,Fornecedores!$A$2:$B$2700,2,FALSE),"")</f>
        <v>11</v>
      </c>
      <c r="G1283" s="52" t="s">
        <v>1159</v>
      </c>
      <c r="H1283" s="57"/>
      <c r="I1283" s="55">
        <f t="shared" si="428"/>
        <v>0</v>
      </c>
      <c r="J1283" s="55">
        <v>0</v>
      </c>
      <c r="K1283" s="55">
        <v>0</v>
      </c>
      <c r="L1283" s="55">
        <v>0</v>
      </c>
      <c r="M1283" s="55">
        <v>0</v>
      </c>
      <c r="N1283" s="55">
        <f t="shared" si="429"/>
        <v>0</v>
      </c>
      <c r="O1283" s="55">
        <v>0</v>
      </c>
      <c r="P1283" s="55">
        <v>0</v>
      </c>
      <c r="Q1283" s="55">
        <v>0</v>
      </c>
      <c r="R1283" s="55">
        <f t="shared" si="430"/>
        <v>0</v>
      </c>
      <c r="S1283" s="55">
        <v>0</v>
      </c>
      <c r="T1283" s="55">
        <v>0</v>
      </c>
      <c r="U1283" s="55">
        <v>0</v>
      </c>
      <c r="V1283" s="55">
        <v>0</v>
      </c>
      <c r="W1283" s="53">
        <v>0</v>
      </c>
      <c r="X1283" s="53">
        <v>0</v>
      </c>
      <c r="Y1283" s="55">
        <v>0</v>
      </c>
      <c r="Z1283" s="55">
        <v>0</v>
      </c>
      <c r="AA1283" s="53">
        <v>0</v>
      </c>
      <c r="AB1283" s="53">
        <v>0</v>
      </c>
      <c r="AC1283" s="55">
        <v>0</v>
      </c>
      <c r="AD1283" s="55">
        <f t="shared" si="431"/>
        <v>0</v>
      </c>
      <c r="AE1283" s="53">
        <v>0</v>
      </c>
      <c r="AF1283" s="55">
        <v>0</v>
      </c>
      <c r="AG1283" s="55">
        <v>0</v>
      </c>
      <c r="AH1283" s="55">
        <f t="shared" si="432"/>
        <v>0</v>
      </c>
      <c r="AI1283" s="55">
        <v>0</v>
      </c>
      <c r="AJ1283" s="55">
        <v>0</v>
      </c>
      <c r="AK1283" s="55">
        <v>0</v>
      </c>
      <c r="AL1283" s="55">
        <f t="shared" si="419"/>
        <v>0</v>
      </c>
      <c r="AM1283" s="55" t="s">
        <v>1912</v>
      </c>
      <c r="AN1283" s="55">
        <v>0</v>
      </c>
      <c r="AO1283" s="55">
        <v>0</v>
      </c>
      <c r="AP1283" s="55">
        <f t="shared" si="427"/>
        <v>0</v>
      </c>
      <c r="AQ1283" s="55">
        <f>IFERROR(VLOOKUP(A1283,[1]SIIMPLES!$A$2:$F$418,6,FALSE),0)</f>
        <v>0</v>
      </c>
      <c r="AR1283" s="55">
        <v>0</v>
      </c>
      <c r="AS1283" s="55">
        <v>0</v>
      </c>
      <c r="AT1283" s="55">
        <v>0</v>
      </c>
      <c r="AU1283" s="55">
        <v>0</v>
      </c>
      <c r="AV1283" s="55">
        <v>0</v>
      </c>
      <c r="AW1283" s="55"/>
      <c r="AX1283" s="55"/>
      <c r="AY1283" s="56">
        <f t="shared" si="433"/>
        <v>0</v>
      </c>
      <c r="AZ1283" s="55"/>
      <c r="BA1283" s="56">
        <v>0</v>
      </c>
      <c r="BB1283" s="41" t="str">
        <f t="shared" si="420"/>
        <v/>
      </c>
      <c r="BC1283" s="13"/>
      <c r="BD1283" s="36"/>
      <c r="BE1283" s="7"/>
      <c r="BF1283" s="7"/>
      <c r="BG1283" s="7"/>
      <c r="BH1283" s="7"/>
    </row>
    <row r="1284" spans="1:60" ht="12.75" customHeight="1" x14ac:dyDescent="0.2">
      <c r="A1284" s="51" t="s">
        <v>1117</v>
      </c>
      <c r="B1284" s="51"/>
      <c r="C1284" s="66" t="s">
        <v>1803</v>
      </c>
      <c r="D1284" s="52" t="s">
        <v>751</v>
      </c>
      <c r="E1284" s="52" t="s">
        <v>746</v>
      </c>
      <c r="F1284" s="53">
        <f>IFERROR(VLOOKUP(E1284,Fornecedores!$A$2:$B$2700,2,FALSE),"")</f>
        <v>11</v>
      </c>
      <c r="G1284" s="52" t="s">
        <v>1160</v>
      </c>
      <c r="H1284" s="54"/>
      <c r="I1284" s="55">
        <f t="shared" si="428"/>
        <v>0</v>
      </c>
      <c r="J1284" s="55">
        <v>0</v>
      </c>
      <c r="K1284" s="55">
        <v>0</v>
      </c>
      <c r="L1284" s="55">
        <v>0</v>
      </c>
      <c r="M1284" s="55">
        <v>0</v>
      </c>
      <c r="N1284" s="55">
        <f t="shared" si="429"/>
        <v>0</v>
      </c>
      <c r="O1284" s="55">
        <v>0</v>
      </c>
      <c r="P1284" s="55">
        <v>0</v>
      </c>
      <c r="Q1284" s="55">
        <v>0</v>
      </c>
      <c r="R1284" s="55">
        <f t="shared" si="430"/>
        <v>0</v>
      </c>
      <c r="S1284" s="55">
        <v>0</v>
      </c>
      <c r="T1284" s="55">
        <v>0</v>
      </c>
      <c r="U1284" s="55">
        <v>0</v>
      </c>
      <c r="V1284" s="55">
        <v>0</v>
      </c>
      <c r="W1284" s="53">
        <v>0</v>
      </c>
      <c r="X1284" s="53">
        <v>0</v>
      </c>
      <c r="Y1284" s="55">
        <v>0</v>
      </c>
      <c r="Z1284" s="55">
        <v>0</v>
      </c>
      <c r="AA1284" s="53">
        <v>0</v>
      </c>
      <c r="AB1284" s="53">
        <v>0</v>
      </c>
      <c r="AC1284" s="55">
        <v>0</v>
      </c>
      <c r="AD1284" s="55">
        <f t="shared" si="431"/>
        <v>0</v>
      </c>
      <c r="AE1284" s="53">
        <v>0</v>
      </c>
      <c r="AF1284" s="55">
        <v>0</v>
      </c>
      <c r="AG1284" s="55">
        <v>0</v>
      </c>
      <c r="AH1284" s="55">
        <f t="shared" si="432"/>
        <v>0</v>
      </c>
      <c r="AI1284" s="55">
        <v>0</v>
      </c>
      <c r="AJ1284" s="55">
        <v>0</v>
      </c>
      <c r="AK1284" s="55">
        <v>0</v>
      </c>
      <c r="AL1284" s="55">
        <f t="shared" si="419"/>
        <v>0</v>
      </c>
      <c r="AM1284" s="55" t="s">
        <v>1912</v>
      </c>
      <c r="AN1284" s="55">
        <v>0</v>
      </c>
      <c r="AO1284" s="55">
        <v>0</v>
      </c>
      <c r="AP1284" s="55">
        <f t="shared" si="427"/>
        <v>0</v>
      </c>
      <c r="AQ1284" s="55">
        <f>IFERROR(VLOOKUP(A1284,[1]SIIMPLES!$A$2:$F$418,6,FALSE),0)</f>
        <v>0</v>
      </c>
      <c r="AR1284" s="55">
        <v>0</v>
      </c>
      <c r="AS1284" s="55">
        <v>0</v>
      </c>
      <c r="AT1284" s="55">
        <v>0</v>
      </c>
      <c r="AU1284" s="55">
        <v>0</v>
      </c>
      <c r="AV1284" s="55">
        <v>0</v>
      </c>
      <c r="AW1284" s="55"/>
      <c r="AX1284" s="55"/>
      <c r="AY1284" s="56">
        <f t="shared" si="433"/>
        <v>0</v>
      </c>
      <c r="AZ1284" s="55"/>
      <c r="BA1284" s="56">
        <v>0</v>
      </c>
      <c r="BB1284" s="41" t="str">
        <f t="shared" si="420"/>
        <v/>
      </c>
      <c r="BC1284" s="13"/>
      <c r="BD1284" s="36"/>
      <c r="BE1284" s="7"/>
      <c r="BF1284" s="7"/>
      <c r="BG1284" s="7"/>
      <c r="BH1284" s="7"/>
    </row>
    <row r="1285" spans="1:60" ht="12.75" customHeight="1" x14ac:dyDescent="0.2">
      <c r="A1285" s="51" t="s">
        <v>1550</v>
      </c>
      <c r="B1285" s="51"/>
      <c r="C1285" s="66" t="s">
        <v>1803</v>
      </c>
      <c r="D1285" s="52" t="s">
        <v>751</v>
      </c>
      <c r="E1285" s="52" t="s">
        <v>746</v>
      </c>
      <c r="F1285" s="53">
        <f>IFERROR(VLOOKUP(E1285,Fornecedores!$A$2:$B$2700,2,FALSE),"")</f>
        <v>11</v>
      </c>
      <c r="G1285" s="52" t="s">
        <v>1719</v>
      </c>
      <c r="H1285" s="57"/>
      <c r="I1285" s="55">
        <f t="shared" si="428"/>
        <v>0</v>
      </c>
      <c r="J1285" s="57" t="s">
        <v>1282</v>
      </c>
      <c r="K1285" s="55">
        <v>0</v>
      </c>
      <c r="L1285" s="55">
        <v>0</v>
      </c>
      <c r="M1285" s="55">
        <v>0</v>
      </c>
      <c r="N1285" s="55">
        <f t="shared" si="429"/>
        <v>0</v>
      </c>
      <c r="O1285" s="55">
        <v>0</v>
      </c>
      <c r="P1285" s="55">
        <v>0</v>
      </c>
      <c r="Q1285" s="55">
        <v>0</v>
      </c>
      <c r="R1285" s="55">
        <f t="shared" si="430"/>
        <v>0</v>
      </c>
      <c r="S1285" s="55">
        <v>0</v>
      </c>
      <c r="T1285" s="55">
        <v>0</v>
      </c>
      <c r="U1285" s="55">
        <v>0</v>
      </c>
      <c r="V1285" s="55">
        <v>0</v>
      </c>
      <c r="W1285" s="53">
        <v>0</v>
      </c>
      <c r="X1285" s="53">
        <v>0</v>
      </c>
      <c r="Y1285" s="55">
        <v>0</v>
      </c>
      <c r="Z1285" s="55">
        <v>0</v>
      </c>
      <c r="AA1285" s="53">
        <v>0</v>
      </c>
      <c r="AB1285" s="53">
        <v>0</v>
      </c>
      <c r="AC1285" s="55">
        <v>0</v>
      </c>
      <c r="AD1285" s="55">
        <f t="shared" si="431"/>
        <v>0</v>
      </c>
      <c r="AE1285" s="53">
        <v>0</v>
      </c>
      <c r="AF1285" s="55">
        <v>0</v>
      </c>
      <c r="AG1285" s="55">
        <v>0</v>
      </c>
      <c r="AH1285" s="55">
        <f t="shared" si="432"/>
        <v>0</v>
      </c>
      <c r="AI1285" s="55">
        <v>0</v>
      </c>
      <c r="AJ1285" s="55">
        <v>0</v>
      </c>
      <c r="AK1285" s="55">
        <v>0</v>
      </c>
      <c r="AL1285" s="55">
        <f t="shared" si="419"/>
        <v>0</v>
      </c>
      <c r="AM1285" s="55" t="s">
        <v>1912</v>
      </c>
      <c r="AN1285" s="55">
        <v>0</v>
      </c>
      <c r="AO1285" s="55">
        <v>0</v>
      </c>
      <c r="AP1285" s="55">
        <f t="shared" si="427"/>
        <v>0</v>
      </c>
      <c r="AQ1285" s="55">
        <f>IFERROR(VLOOKUP(A1285,[1]SIIMPLES!$A$2:$F$418,6,FALSE),0)</f>
        <v>0</v>
      </c>
      <c r="AR1285" s="55">
        <v>0</v>
      </c>
      <c r="AS1285" s="55">
        <v>0</v>
      </c>
      <c r="AT1285" s="55">
        <v>0</v>
      </c>
      <c r="AU1285" s="55">
        <v>0</v>
      </c>
      <c r="AV1285" s="55">
        <v>0</v>
      </c>
      <c r="AW1285" s="57"/>
      <c r="AX1285" s="57"/>
      <c r="AY1285" s="56">
        <f t="shared" si="433"/>
        <v>0</v>
      </c>
      <c r="AZ1285" s="55"/>
      <c r="BA1285" s="56" t="s">
        <v>1912</v>
      </c>
      <c r="BB1285" s="41" t="str">
        <f t="shared" si="420"/>
        <v/>
      </c>
      <c r="BC1285" s="13"/>
      <c r="BD1285" s="36"/>
      <c r="BE1285" s="7"/>
      <c r="BF1285" s="7"/>
      <c r="BG1285" s="7"/>
      <c r="BH1285" s="7"/>
    </row>
    <row r="1286" spans="1:60" ht="12.75" customHeight="1" x14ac:dyDescent="0.2">
      <c r="A1286" s="51" t="s">
        <v>1551</v>
      </c>
      <c r="B1286" s="51"/>
      <c r="C1286" s="66" t="s">
        <v>1803</v>
      </c>
      <c r="D1286" s="52" t="s">
        <v>751</v>
      </c>
      <c r="E1286" s="52" t="s">
        <v>746</v>
      </c>
      <c r="F1286" s="53">
        <f>IFERROR(VLOOKUP(E1286,Fornecedores!$A$2:$B$2700,2,FALSE),"")</f>
        <v>11</v>
      </c>
      <c r="G1286" s="52" t="s">
        <v>1718</v>
      </c>
      <c r="H1286" s="57"/>
      <c r="I1286" s="55">
        <f t="shared" si="428"/>
        <v>0</v>
      </c>
      <c r="J1286" s="57" t="s">
        <v>1282</v>
      </c>
      <c r="K1286" s="55">
        <v>0</v>
      </c>
      <c r="L1286" s="55">
        <v>0</v>
      </c>
      <c r="M1286" s="55">
        <v>0</v>
      </c>
      <c r="N1286" s="55">
        <f t="shared" si="429"/>
        <v>0</v>
      </c>
      <c r="O1286" s="55">
        <v>0</v>
      </c>
      <c r="P1286" s="55">
        <v>0</v>
      </c>
      <c r="Q1286" s="55">
        <v>0</v>
      </c>
      <c r="R1286" s="55">
        <f t="shared" si="430"/>
        <v>0</v>
      </c>
      <c r="S1286" s="55">
        <v>0</v>
      </c>
      <c r="T1286" s="55">
        <v>0</v>
      </c>
      <c r="U1286" s="55">
        <v>0</v>
      </c>
      <c r="V1286" s="55">
        <v>0</v>
      </c>
      <c r="W1286" s="53">
        <v>0</v>
      </c>
      <c r="X1286" s="53">
        <v>0</v>
      </c>
      <c r="Y1286" s="55">
        <v>0</v>
      </c>
      <c r="Z1286" s="55">
        <v>0</v>
      </c>
      <c r="AA1286" s="53">
        <v>0</v>
      </c>
      <c r="AB1286" s="53">
        <v>0</v>
      </c>
      <c r="AC1286" s="55">
        <v>0</v>
      </c>
      <c r="AD1286" s="55">
        <f t="shared" si="431"/>
        <v>0</v>
      </c>
      <c r="AE1286" s="53">
        <v>0</v>
      </c>
      <c r="AF1286" s="55">
        <v>0</v>
      </c>
      <c r="AG1286" s="55">
        <v>0</v>
      </c>
      <c r="AH1286" s="55">
        <f t="shared" si="432"/>
        <v>0</v>
      </c>
      <c r="AI1286" s="55">
        <v>0</v>
      </c>
      <c r="AJ1286" s="55">
        <v>0</v>
      </c>
      <c r="AK1286" s="55">
        <v>0</v>
      </c>
      <c r="AL1286" s="55">
        <f t="shared" si="419"/>
        <v>0</v>
      </c>
      <c r="AM1286" s="55" t="s">
        <v>1912</v>
      </c>
      <c r="AN1286" s="55">
        <v>0</v>
      </c>
      <c r="AO1286" s="55">
        <v>0</v>
      </c>
      <c r="AP1286" s="55">
        <f t="shared" si="427"/>
        <v>0</v>
      </c>
      <c r="AQ1286" s="55">
        <f>IFERROR(VLOOKUP(A1286,[1]SIIMPLES!$A$2:$F$418,6,FALSE),0)</f>
        <v>0</v>
      </c>
      <c r="AR1286" s="55">
        <v>0</v>
      </c>
      <c r="AS1286" s="55">
        <v>0</v>
      </c>
      <c r="AT1286" s="55">
        <v>0</v>
      </c>
      <c r="AU1286" s="55">
        <v>0</v>
      </c>
      <c r="AV1286" s="55">
        <v>0</v>
      </c>
      <c r="AW1286" s="57"/>
      <c r="AX1286" s="57"/>
      <c r="AY1286" s="56">
        <f t="shared" si="433"/>
        <v>0</v>
      </c>
      <c r="AZ1286" s="55"/>
      <c r="BA1286" s="56" t="s">
        <v>1912</v>
      </c>
      <c r="BB1286" s="41" t="str">
        <f t="shared" si="420"/>
        <v/>
      </c>
      <c r="BC1286" s="7"/>
      <c r="BD1286" s="36"/>
      <c r="BE1286" s="7"/>
      <c r="BF1286" s="7"/>
      <c r="BG1286" s="7"/>
      <c r="BH1286" s="7"/>
    </row>
    <row r="1287" spans="1:60" ht="12.75" customHeight="1" x14ac:dyDescent="0.2">
      <c r="A1287" s="51" t="s">
        <v>1552</v>
      </c>
      <c r="B1287" s="51"/>
      <c r="C1287" s="66" t="s">
        <v>1803</v>
      </c>
      <c r="D1287" s="52" t="s">
        <v>751</v>
      </c>
      <c r="E1287" s="52" t="s">
        <v>746</v>
      </c>
      <c r="F1287" s="53">
        <f>IFERROR(VLOOKUP(E1287,Fornecedores!$A$2:$B$2700,2,FALSE),"")</f>
        <v>11</v>
      </c>
      <c r="G1287" s="52" t="s">
        <v>1717</v>
      </c>
      <c r="H1287" s="57"/>
      <c r="I1287" s="55">
        <f t="shared" si="428"/>
        <v>0</v>
      </c>
      <c r="J1287" s="57" t="s">
        <v>1282</v>
      </c>
      <c r="K1287" s="55">
        <v>0</v>
      </c>
      <c r="L1287" s="55">
        <v>0</v>
      </c>
      <c r="M1287" s="55">
        <v>0</v>
      </c>
      <c r="N1287" s="55">
        <f t="shared" si="429"/>
        <v>0</v>
      </c>
      <c r="O1287" s="55">
        <v>0</v>
      </c>
      <c r="P1287" s="55">
        <v>0</v>
      </c>
      <c r="Q1287" s="55">
        <v>0</v>
      </c>
      <c r="R1287" s="55">
        <f t="shared" si="430"/>
        <v>0</v>
      </c>
      <c r="S1287" s="55">
        <v>0</v>
      </c>
      <c r="T1287" s="55">
        <v>0</v>
      </c>
      <c r="U1287" s="55">
        <v>0</v>
      </c>
      <c r="V1287" s="55">
        <v>0</v>
      </c>
      <c r="W1287" s="53">
        <v>0</v>
      </c>
      <c r="X1287" s="53">
        <v>0</v>
      </c>
      <c r="Y1287" s="55">
        <v>0</v>
      </c>
      <c r="Z1287" s="55">
        <v>0</v>
      </c>
      <c r="AA1287" s="53">
        <v>0</v>
      </c>
      <c r="AB1287" s="53">
        <v>0</v>
      </c>
      <c r="AC1287" s="55">
        <v>0</v>
      </c>
      <c r="AD1287" s="55">
        <f t="shared" si="431"/>
        <v>0</v>
      </c>
      <c r="AE1287" s="53">
        <v>0</v>
      </c>
      <c r="AF1287" s="55">
        <v>0</v>
      </c>
      <c r="AG1287" s="55">
        <v>0</v>
      </c>
      <c r="AH1287" s="55">
        <f t="shared" si="432"/>
        <v>0</v>
      </c>
      <c r="AI1287" s="55">
        <v>0</v>
      </c>
      <c r="AJ1287" s="55">
        <v>0</v>
      </c>
      <c r="AK1287" s="55">
        <v>0</v>
      </c>
      <c r="AL1287" s="55">
        <f t="shared" si="419"/>
        <v>0</v>
      </c>
      <c r="AM1287" s="55" t="s">
        <v>1912</v>
      </c>
      <c r="AN1287" s="55">
        <v>0</v>
      </c>
      <c r="AO1287" s="55">
        <v>0</v>
      </c>
      <c r="AP1287" s="55">
        <f t="shared" si="427"/>
        <v>0</v>
      </c>
      <c r="AQ1287" s="55">
        <f>IFERROR(VLOOKUP(A1287,[1]SIIMPLES!$A$2:$F$418,6,FALSE),0)</f>
        <v>0</v>
      </c>
      <c r="AR1287" s="55">
        <v>0</v>
      </c>
      <c r="AS1287" s="55">
        <v>0</v>
      </c>
      <c r="AT1287" s="55">
        <v>0</v>
      </c>
      <c r="AU1287" s="55">
        <v>0</v>
      </c>
      <c r="AV1287" s="55">
        <v>0</v>
      </c>
      <c r="AW1287" s="57"/>
      <c r="AX1287" s="57"/>
      <c r="AY1287" s="56">
        <f t="shared" si="433"/>
        <v>0</v>
      </c>
      <c r="AZ1287" s="55"/>
      <c r="BA1287" s="56" t="s">
        <v>1912</v>
      </c>
      <c r="BB1287" s="41" t="str">
        <f t="shared" si="420"/>
        <v/>
      </c>
      <c r="BC1287" s="13"/>
      <c r="BD1287" s="36"/>
      <c r="BE1287" s="7"/>
      <c r="BF1287" s="7"/>
      <c r="BG1287" s="7"/>
      <c r="BH1287" s="7"/>
    </row>
    <row r="1288" spans="1:60" ht="12.75" customHeight="1" x14ac:dyDescent="0.2">
      <c r="A1288" s="51" t="s">
        <v>1401</v>
      </c>
      <c r="B1288" s="51"/>
      <c r="C1288" s="66" t="s">
        <v>1803</v>
      </c>
      <c r="D1288" s="52" t="s">
        <v>751</v>
      </c>
      <c r="E1288" s="52" t="s">
        <v>746</v>
      </c>
      <c r="F1288" s="53">
        <f>IFERROR(VLOOKUP(E1288,Fornecedores!$A$2:$B$2700,2,FALSE),"")</f>
        <v>11</v>
      </c>
      <c r="G1288" s="52" t="s">
        <v>1406</v>
      </c>
      <c r="H1288" s="57"/>
      <c r="I1288" s="55">
        <f t="shared" si="428"/>
        <v>2</v>
      </c>
      <c r="J1288" s="55">
        <v>0</v>
      </c>
      <c r="K1288" s="55">
        <v>2</v>
      </c>
      <c r="L1288" s="55">
        <v>0</v>
      </c>
      <c r="M1288" s="55">
        <v>0</v>
      </c>
      <c r="N1288" s="55">
        <f t="shared" si="429"/>
        <v>0</v>
      </c>
      <c r="O1288" s="55">
        <v>0</v>
      </c>
      <c r="P1288" s="55">
        <v>0</v>
      </c>
      <c r="Q1288" s="55">
        <v>0</v>
      </c>
      <c r="R1288" s="55">
        <f t="shared" si="430"/>
        <v>0</v>
      </c>
      <c r="S1288" s="55">
        <v>0</v>
      </c>
      <c r="T1288" s="55">
        <v>0</v>
      </c>
      <c r="U1288" s="55">
        <v>0</v>
      </c>
      <c r="V1288" s="55">
        <v>0</v>
      </c>
      <c r="W1288" s="53">
        <v>0</v>
      </c>
      <c r="X1288" s="53">
        <v>0</v>
      </c>
      <c r="Y1288" s="55">
        <v>0</v>
      </c>
      <c r="Z1288" s="55">
        <v>1</v>
      </c>
      <c r="AA1288" s="53">
        <v>1</v>
      </c>
      <c r="AB1288" s="53">
        <v>0</v>
      </c>
      <c r="AC1288" s="55">
        <v>0</v>
      </c>
      <c r="AD1288" s="55">
        <f t="shared" si="431"/>
        <v>0</v>
      </c>
      <c r="AE1288" s="53">
        <v>0</v>
      </c>
      <c r="AF1288" s="55">
        <v>0</v>
      </c>
      <c r="AG1288" s="55">
        <v>0</v>
      </c>
      <c r="AH1288" s="55">
        <f t="shared" si="432"/>
        <v>0</v>
      </c>
      <c r="AI1288" s="55">
        <v>0</v>
      </c>
      <c r="AJ1288" s="55">
        <v>0</v>
      </c>
      <c r="AK1288" s="55">
        <v>0</v>
      </c>
      <c r="AL1288" s="55">
        <f t="shared" si="419"/>
        <v>0</v>
      </c>
      <c r="AM1288" s="55" t="s">
        <v>1912</v>
      </c>
      <c r="AN1288" s="55">
        <v>0</v>
      </c>
      <c r="AO1288" s="55">
        <v>0</v>
      </c>
      <c r="AP1288" s="55">
        <f t="shared" si="427"/>
        <v>0</v>
      </c>
      <c r="AQ1288" s="55">
        <f>IFERROR(VLOOKUP(A1288,[1]SIIMPLES!$A$2:$F$418,6,FALSE),0)</f>
        <v>0</v>
      </c>
      <c r="AR1288" s="55">
        <v>0</v>
      </c>
      <c r="AS1288" s="55">
        <v>1</v>
      </c>
      <c r="AT1288" s="55">
        <v>0</v>
      </c>
      <c r="AU1288" s="55">
        <v>1</v>
      </c>
      <c r="AV1288" s="55">
        <v>0</v>
      </c>
      <c r="AW1288" s="55"/>
      <c r="AX1288" s="55"/>
      <c r="AY1288" s="56">
        <f t="shared" si="433"/>
        <v>0.4</v>
      </c>
      <c r="AZ1288" s="55"/>
      <c r="BA1288" s="56">
        <v>0</v>
      </c>
      <c r="BB1288" s="41" t="str">
        <f t="shared" si="420"/>
        <v/>
      </c>
      <c r="BC1288" s="7"/>
      <c r="BD1288" s="36"/>
      <c r="BE1288" s="7"/>
      <c r="BF1288" s="7"/>
      <c r="BG1288" s="7"/>
      <c r="BH1288" s="7"/>
    </row>
    <row r="1289" spans="1:60" ht="12.75" customHeight="1" x14ac:dyDescent="0.2">
      <c r="A1289" s="51" t="s">
        <v>1252</v>
      </c>
      <c r="B1289" s="51"/>
      <c r="C1289" s="66" t="s">
        <v>1803</v>
      </c>
      <c r="D1289" s="52" t="s">
        <v>751</v>
      </c>
      <c r="E1289" s="52" t="s">
        <v>746</v>
      </c>
      <c r="F1289" s="53">
        <f>IFERROR(VLOOKUP(E1289,Fornecedores!$A$2:$B$2700,2,FALSE),"")</f>
        <v>11</v>
      </c>
      <c r="G1289" s="52" t="s">
        <v>1716</v>
      </c>
      <c r="H1289" s="57"/>
      <c r="I1289" s="55">
        <f t="shared" si="428"/>
        <v>0</v>
      </c>
      <c r="J1289" s="55">
        <v>0</v>
      </c>
      <c r="K1289" s="55">
        <v>0</v>
      </c>
      <c r="L1289" s="55">
        <v>0</v>
      </c>
      <c r="M1289" s="55">
        <v>0</v>
      </c>
      <c r="N1289" s="55">
        <f t="shared" si="429"/>
        <v>2</v>
      </c>
      <c r="O1289" s="55">
        <v>2</v>
      </c>
      <c r="P1289" s="55">
        <v>0</v>
      </c>
      <c r="Q1289" s="55">
        <v>0</v>
      </c>
      <c r="R1289" s="55">
        <f t="shared" si="430"/>
        <v>0</v>
      </c>
      <c r="S1289" s="55">
        <v>0</v>
      </c>
      <c r="T1289" s="55">
        <v>0</v>
      </c>
      <c r="U1289" s="55">
        <v>0</v>
      </c>
      <c r="V1289" s="55">
        <v>1</v>
      </c>
      <c r="W1289" s="53">
        <v>1</v>
      </c>
      <c r="X1289" s="53">
        <v>0</v>
      </c>
      <c r="Y1289" s="55">
        <v>0</v>
      </c>
      <c r="Z1289" s="55">
        <v>2</v>
      </c>
      <c r="AA1289" s="53">
        <v>2</v>
      </c>
      <c r="AB1289" s="53">
        <v>0</v>
      </c>
      <c r="AC1289" s="55">
        <v>0</v>
      </c>
      <c r="AD1289" s="55">
        <f t="shared" si="431"/>
        <v>1</v>
      </c>
      <c r="AE1289" s="53">
        <v>1</v>
      </c>
      <c r="AF1289" s="55">
        <v>0</v>
      </c>
      <c r="AG1289" s="55">
        <v>0</v>
      </c>
      <c r="AH1289" s="55">
        <f t="shared" si="432"/>
        <v>0</v>
      </c>
      <c r="AI1289" s="55">
        <v>0</v>
      </c>
      <c r="AJ1289" s="55">
        <v>0</v>
      </c>
      <c r="AK1289" s="55">
        <v>0</v>
      </c>
      <c r="AL1289" s="55">
        <f t="shared" si="419"/>
        <v>0</v>
      </c>
      <c r="AM1289" s="55" t="s">
        <v>1912</v>
      </c>
      <c r="AN1289" s="55">
        <v>0</v>
      </c>
      <c r="AO1289" s="55">
        <v>0</v>
      </c>
      <c r="AP1289" s="55">
        <f t="shared" si="427"/>
        <v>0</v>
      </c>
      <c r="AQ1289" s="55">
        <f>IFERROR(VLOOKUP(A1289,[1]SIIMPLES!$A$2:$F$418,6,FALSE),0)</f>
        <v>0</v>
      </c>
      <c r="AR1289" s="55">
        <v>0</v>
      </c>
      <c r="AS1289" s="55">
        <v>0</v>
      </c>
      <c r="AT1289" s="55">
        <v>0</v>
      </c>
      <c r="AU1289" s="55">
        <v>0</v>
      </c>
      <c r="AV1289" s="55">
        <v>0</v>
      </c>
      <c r="AW1289" s="55"/>
      <c r="AX1289" s="55"/>
      <c r="AY1289" s="56">
        <f t="shared" si="433"/>
        <v>0.6</v>
      </c>
      <c r="AZ1289" s="55"/>
      <c r="BA1289" s="56">
        <v>1</v>
      </c>
      <c r="BB1289" s="41">
        <f t="shared" si="420"/>
        <v>-0.4</v>
      </c>
      <c r="BC1289" s="7"/>
      <c r="BD1289" s="36"/>
      <c r="BE1289" s="7"/>
      <c r="BF1289" s="7"/>
      <c r="BG1289" s="7"/>
      <c r="BH1289" s="7"/>
    </row>
    <row r="1290" spans="1:60" ht="12.75" customHeight="1" x14ac:dyDescent="0.2">
      <c r="A1290" s="51" t="s">
        <v>1402</v>
      </c>
      <c r="B1290" s="51"/>
      <c r="C1290" s="66" t="s">
        <v>1803</v>
      </c>
      <c r="D1290" s="52" t="s">
        <v>751</v>
      </c>
      <c r="E1290" s="52" t="s">
        <v>746</v>
      </c>
      <c r="F1290" s="53">
        <f>IFERROR(VLOOKUP(E1290,Fornecedores!$A$2:$B$2700,2,FALSE),"")</f>
        <v>11</v>
      </c>
      <c r="G1290" s="52" t="s">
        <v>1407</v>
      </c>
      <c r="H1290" s="57"/>
      <c r="I1290" s="55">
        <f t="shared" si="428"/>
        <v>2</v>
      </c>
      <c r="J1290" s="55">
        <v>0</v>
      </c>
      <c r="K1290" s="55">
        <v>2</v>
      </c>
      <c r="L1290" s="55">
        <v>0</v>
      </c>
      <c r="M1290" s="55">
        <v>0</v>
      </c>
      <c r="N1290" s="55">
        <f t="shared" si="429"/>
        <v>0</v>
      </c>
      <c r="O1290" s="55">
        <v>0</v>
      </c>
      <c r="P1290" s="55">
        <v>0</v>
      </c>
      <c r="Q1290" s="55">
        <v>0</v>
      </c>
      <c r="R1290" s="55">
        <f t="shared" si="430"/>
        <v>0</v>
      </c>
      <c r="S1290" s="55">
        <v>0</v>
      </c>
      <c r="T1290" s="55">
        <v>0</v>
      </c>
      <c r="U1290" s="55">
        <v>0</v>
      </c>
      <c r="V1290" s="55">
        <v>0</v>
      </c>
      <c r="W1290" s="53">
        <v>0</v>
      </c>
      <c r="X1290" s="53">
        <v>0</v>
      </c>
      <c r="Y1290" s="55">
        <v>0</v>
      </c>
      <c r="Z1290" s="55">
        <v>0</v>
      </c>
      <c r="AA1290" s="53">
        <v>0</v>
      </c>
      <c r="AB1290" s="53">
        <v>0</v>
      </c>
      <c r="AC1290" s="55">
        <v>0</v>
      </c>
      <c r="AD1290" s="55">
        <f t="shared" si="431"/>
        <v>0</v>
      </c>
      <c r="AE1290" s="53">
        <v>0</v>
      </c>
      <c r="AF1290" s="55">
        <v>0</v>
      </c>
      <c r="AG1290" s="55">
        <v>0</v>
      </c>
      <c r="AH1290" s="55">
        <f t="shared" si="432"/>
        <v>0</v>
      </c>
      <c r="AI1290" s="55">
        <v>0</v>
      </c>
      <c r="AJ1290" s="55">
        <v>0</v>
      </c>
      <c r="AK1290" s="55">
        <v>0</v>
      </c>
      <c r="AL1290" s="55">
        <f t="shared" si="419"/>
        <v>0</v>
      </c>
      <c r="AM1290" s="55" t="s">
        <v>1912</v>
      </c>
      <c r="AN1290" s="55">
        <v>0</v>
      </c>
      <c r="AO1290" s="55">
        <v>0</v>
      </c>
      <c r="AP1290" s="55">
        <f t="shared" si="427"/>
        <v>0</v>
      </c>
      <c r="AQ1290" s="55">
        <f>IFERROR(VLOOKUP(A1290,[1]SIIMPLES!$A$2:$F$418,6,FALSE),0)</f>
        <v>0</v>
      </c>
      <c r="AR1290" s="55">
        <v>0</v>
      </c>
      <c r="AS1290" s="55">
        <v>1</v>
      </c>
      <c r="AT1290" s="55">
        <v>0</v>
      </c>
      <c r="AU1290" s="55">
        <v>1</v>
      </c>
      <c r="AV1290" s="55">
        <v>0</v>
      </c>
      <c r="AW1290" s="55"/>
      <c r="AX1290" s="55"/>
      <c r="AY1290" s="56">
        <f t="shared" si="433"/>
        <v>0.3</v>
      </c>
      <c r="AZ1290" s="55"/>
      <c r="BA1290" s="56">
        <v>0</v>
      </c>
      <c r="BB1290" s="41" t="str">
        <f t="shared" si="420"/>
        <v/>
      </c>
      <c r="BC1290" s="7"/>
      <c r="BD1290" s="36"/>
      <c r="BE1290" s="7"/>
      <c r="BF1290" s="7"/>
      <c r="BG1290" s="7"/>
      <c r="BH1290" s="7"/>
    </row>
    <row r="1291" spans="1:60" ht="12.75" customHeight="1" x14ac:dyDescent="0.2">
      <c r="A1291" s="51" t="s">
        <v>1553</v>
      </c>
      <c r="B1291" s="51"/>
      <c r="C1291" s="66" t="s">
        <v>1803</v>
      </c>
      <c r="D1291" s="52" t="s">
        <v>751</v>
      </c>
      <c r="E1291" s="52" t="s">
        <v>746</v>
      </c>
      <c r="F1291" s="53">
        <f>IFERROR(VLOOKUP(E1291,Fornecedores!$A$2:$B$2700,2,FALSE),"")</f>
        <v>11</v>
      </c>
      <c r="G1291" s="52" t="s">
        <v>1715</v>
      </c>
      <c r="H1291" s="57"/>
      <c r="I1291" s="55">
        <f t="shared" si="428"/>
        <v>0</v>
      </c>
      <c r="J1291" s="57" t="s">
        <v>1282</v>
      </c>
      <c r="K1291" s="55">
        <v>0</v>
      </c>
      <c r="L1291" s="55">
        <v>0</v>
      </c>
      <c r="M1291" s="55">
        <v>0</v>
      </c>
      <c r="N1291" s="55">
        <f t="shared" si="429"/>
        <v>0</v>
      </c>
      <c r="O1291" s="55">
        <v>0</v>
      </c>
      <c r="P1291" s="55">
        <v>0</v>
      </c>
      <c r="Q1291" s="55">
        <v>0</v>
      </c>
      <c r="R1291" s="55">
        <f t="shared" si="430"/>
        <v>0</v>
      </c>
      <c r="S1291" s="55">
        <v>0</v>
      </c>
      <c r="T1291" s="55">
        <v>0</v>
      </c>
      <c r="U1291" s="55">
        <v>0</v>
      </c>
      <c r="V1291" s="55">
        <v>0</v>
      </c>
      <c r="W1291" s="53">
        <v>0</v>
      </c>
      <c r="X1291" s="53">
        <v>0</v>
      </c>
      <c r="Y1291" s="55">
        <v>0</v>
      </c>
      <c r="Z1291" s="55">
        <v>0</v>
      </c>
      <c r="AA1291" s="53">
        <v>0</v>
      </c>
      <c r="AB1291" s="53">
        <v>0</v>
      </c>
      <c r="AC1291" s="55">
        <v>0</v>
      </c>
      <c r="AD1291" s="55">
        <f t="shared" si="431"/>
        <v>0</v>
      </c>
      <c r="AE1291" s="53">
        <v>0</v>
      </c>
      <c r="AF1291" s="55">
        <v>0</v>
      </c>
      <c r="AG1291" s="55">
        <v>0</v>
      </c>
      <c r="AH1291" s="55">
        <f t="shared" si="432"/>
        <v>0</v>
      </c>
      <c r="AI1291" s="55">
        <v>0</v>
      </c>
      <c r="AJ1291" s="55">
        <v>0</v>
      </c>
      <c r="AK1291" s="55">
        <v>0</v>
      </c>
      <c r="AL1291" s="55">
        <f t="shared" si="419"/>
        <v>0</v>
      </c>
      <c r="AM1291" s="55" t="s">
        <v>1912</v>
      </c>
      <c r="AN1291" s="55">
        <v>0</v>
      </c>
      <c r="AO1291" s="55">
        <v>0</v>
      </c>
      <c r="AP1291" s="55">
        <f t="shared" si="427"/>
        <v>0</v>
      </c>
      <c r="AQ1291" s="55">
        <f>IFERROR(VLOOKUP(A1291,[1]SIIMPLES!$A$2:$F$418,6,FALSE),0)</f>
        <v>0</v>
      </c>
      <c r="AR1291" s="55">
        <v>0</v>
      </c>
      <c r="AS1291" s="55">
        <v>0</v>
      </c>
      <c r="AT1291" s="55">
        <v>0</v>
      </c>
      <c r="AU1291" s="55">
        <v>0</v>
      </c>
      <c r="AV1291" s="55">
        <v>0</v>
      </c>
      <c r="AW1291" s="57"/>
      <c r="AX1291" s="57"/>
      <c r="AY1291" s="56">
        <f t="shared" si="433"/>
        <v>0</v>
      </c>
      <c r="AZ1291" s="55"/>
      <c r="BA1291" s="56" t="s">
        <v>1912</v>
      </c>
      <c r="BB1291" s="41" t="str">
        <f t="shared" si="420"/>
        <v/>
      </c>
      <c r="BC1291" s="13"/>
      <c r="BD1291" s="36"/>
      <c r="BE1291" s="7"/>
      <c r="BF1291" s="7"/>
      <c r="BG1291" s="7"/>
      <c r="BH1291" s="7"/>
    </row>
    <row r="1292" spans="1:60" ht="12.75" customHeight="1" x14ac:dyDescent="0.2">
      <c r="A1292" s="51" t="s">
        <v>1447</v>
      </c>
      <c r="B1292" s="51"/>
      <c r="C1292" s="66" t="s">
        <v>1803</v>
      </c>
      <c r="D1292" s="52" t="s">
        <v>1475</v>
      </c>
      <c r="E1292" s="52" t="s">
        <v>1759</v>
      </c>
      <c r="F1292" s="53" t="str">
        <f>IFERROR(VLOOKUP(E1292,Fornecedores!$A$2:$B$2700,2,FALSE),"")</f>
        <v/>
      </c>
      <c r="G1292" s="52" t="s">
        <v>1641</v>
      </c>
      <c r="H1292" s="57"/>
      <c r="I1292" s="55">
        <f t="shared" si="428"/>
        <v>0</v>
      </c>
      <c r="J1292" s="55">
        <v>0</v>
      </c>
      <c r="K1292" s="55">
        <v>0</v>
      </c>
      <c r="L1292" s="55">
        <v>0</v>
      </c>
      <c r="M1292" s="55">
        <v>0</v>
      </c>
      <c r="N1292" s="55">
        <f t="shared" si="429"/>
        <v>0</v>
      </c>
      <c r="O1292" s="55">
        <v>0</v>
      </c>
      <c r="P1292" s="55">
        <v>0</v>
      </c>
      <c r="Q1292" s="55">
        <v>0</v>
      </c>
      <c r="R1292" s="55">
        <f t="shared" si="430"/>
        <v>4</v>
      </c>
      <c r="S1292" s="55">
        <v>0</v>
      </c>
      <c r="T1292" s="55">
        <v>4</v>
      </c>
      <c r="U1292" s="55">
        <v>0</v>
      </c>
      <c r="V1292" s="55">
        <v>2</v>
      </c>
      <c r="W1292" s="53">
        <v>0</v>
      </c>
      <c r="X1292" s="53">
        <v>2</v>
      </c>
      <c r="Y1292" s="55">
        <v>0</v>
      </c>
      <c r="Z1292" s="55">
        <v>8</v>
      </c>
      <c r="AA1292" s="53">
        <v>0</v>
      </c>
      <c r="AB1292" s="53">
        <v>8</v>
      </c>
      <c r="AC1292" s="55">
        <v>0</v>
      </c>
      <c r="AD1292" s="55">
        <f t="shared" si="431"/>
        <v>4</v>
      </c>
      <c r="AE1292" s="53">
        <v>0</v>
      </c>
      <c r="AF1292" s="55">
        <v>4</v>
      </c>
      <c r="AG1292" s="55">
        <v>0</v>
      </c>
      <c r="AH1292" s="55">
        <f t="shared" si="432"/>
        <v>0</v>
      </c>
      <c r="AI1292" s="55">
        <v>0</v>
      </c>
      <c r="AJ1292" s="55">
        <v>0</v>
      </c>
      <c r="AK1292" s="55">
        <v>0</v>
      </c>
      <c r="AL1292" s="55">
        <f t="shared" si="419"/>
        <v>0</v>
      </c>
      <c r="AM1292" s="55" t="s">
        <v>1912</v>
      </c>
      <c r="AN1292" s="55">
        <v>0</v>
      </c>
      <c r="AO1292" s="55">
        <v>0</v>
      </c>
      <c r="AP1292" s="55">
        <f t="shared" si="427"/>
        <v>0</v>
      </c>
      <c r="AQ1292" s="55">
        <f>IFERROR(VLOOKUP(A1292,[1]SIIMPLES!$A$2:$F$418,6,FALSE),0)</f>
        <v>0</v>
      </c>
      <c r="AR1292" s="55">
        <v>0</v>
      </c>
      <c r="AS1292" s="55">
        <v>0</v>
      </c>
      <c r="AT1292" s="55">
        <v>0</v>
      </c>
      <c r="AU1292" s="55">
        <v>0</v>
      </c>
      <c r="AV1292" s="55">
        <v>0</v>
      </c>
      <c r="AW1292" s="57"/>
      <c r="AX1292" s="55"/>
      <c r="AY1292" s="56">
        <f t="shared" si="433"/>
        <v>1.8</v>
      </c>
      <c r="AZ1292" s="55"/>
      <c r="BA1292" s="56">
        <v>2</v>
      </c>
      <c r="BB1292" s="41">
        <f t="shared" si="420"/>
        <v>-9.9999999999999978E-2</v>
      </c>
      <c r="BC1292" s="13"/>
      <c r="BD1292" s="36"/>
      <c r="BE1292" s="7"/>
      <c r="BF1292" s="7"/>
      <c r="BG1292" s="7"/>
      <c r="BH1292" s="7"/>
    </row>
    <row r="1293" spans="1:60" ht="12.75" customHeight="1" x14ac:dyDescent="0.2">
      <c r="A1293" s="51" t="s">
        <v>1262</v>
      </c>
      <c r="B1293" s="51"/>
      <c r="C1293" s="66" t="s">
        <v>1803</v>
      </c>
      <c r="D1293" s="52" t="s">
        <v>751</v>
      </c>
      <c r="E1293" s="52" t="s">
        <v>746</v>
      </c>
      <c r="F1293" s="53">
        <f>IFERROR(VLOOKUP(E1293,Fornecedores!$A$2:$B$2700,2,FALSE),"")</f>
        <v>11</v>
      </c>
      <c r="G1293" s="52" t="s">
        <v>1407</v>
      </c>
      <c r="H1293" s="57"/>
      <c r="I1293" s="55">
        <f t="shared" si="428"/>
        <v>0</v>
      </c>
      <c r="J1293" s="55">
        <v>0</v>
      </c>
      <c r="K1293" s="55">
        <v>0</v>
      </c>
      <c r="L1293" s="55">
        <v>0</v>
      </c>
      <c r="M1293" s="55">
        <v>0</v>
      </c>
      <c r="N1293" s="55">
        <f t="shared" si="429"/>
        <v>0</v>
      </c>
      <c r="O1293" s="55">
        <v>0</v>
      </c>
      <c r="P1293" s="55">
        <v>0</v>
      </c>
      <c r="Q1293" s="55">
        <v>0</v>
      </c>
      <c r="R1293" s="55">
        <f t="shared" si="430"/>
        <v>0</v>
      </c>
      <c r="S1293" s="55">
        <v>0</v>
      </c>
      <c r="T1293" s="55">
        <v>0</v>
      </c>
      <c r="U1293" s="55">
        <v>0</v>
      </c>
      <c r="V1293" s="55">
        <v>0</v>
      </c>
      <c r="W1293" s="53">
        <v>0</v>
      </c>
      <c r="X1293" s="53">
        <v>0</v>
      </c>
      <c r="Y1293" s="55">
        <v>0</v>
      </c>
      <c r="Z1293" s="55">
        <v>2</v>
      </c>
      <c r="AA1293" s="53">
        <v>0</v>
      </c>
      <c r="AB1293" s="53">
        <v>2</v>
      </c>
      <c r="AC1293" s="55">
        <v>0</v>
      </c>
      <c r="AD1293" s="55">
        <f t="shared" si="431"/>
        <v>0</v>
      </c>
      <c r="AE1293" s="53">
        <v>0</v>
      </c>
      <c r="AF1293" s="55">
        <v>0</v>
      </c>
      <c r="AG1293" s="55">
        <v>0</v>
      </c>
      <c r="AH1293" s="55">
        <f t="shared" si="432"/>
        <v>0</v>
      </c>
      <c r="AI1293" s="55">
        <v>0</v>
      </c>
      <c r="AJ1293" s="55">
        <v>0</v>
      </c>
      <c r="AK1293" s="55">
        <v>0</v>
      </c>
      <c r="AL1293" s="55">
        <f t="shared" si="419"/>
        <v>0</v>
      </c>
      <c r="AM1293" s="55" t="s">
        <v>1912</v>
      </c>
      <c r="AN1293" s="55">
        <v>0</v>
      </c>
      <c r="AO1293" s="55">
        <v>0</v>
      </c>
      <c r="AP1293" s="55">
        <f t="shared" si="427"/>
        <v>0</v>
      </c>
      <c r="AQ1293" s="55">
        <f>IFERROR(VLOOKUP(A1293,[1]SIIMPLES!$A$2:$F$418,6,FALSE),0)</f>
        <v>0</v>
      </c>
      <c r="AR1293" s="55">
        <v>0</v>
      </c>
      <c r="AS1293" s="55">
        <v>0</v>
      </c>
      <c r="AT1293" s="55">
        <v>0</v>
      </c>
      <c r="AU1293" s="55">
        <v>0</v>
      </c>
      <c r="AV1293" s="55">
        <v>0</v>
      </c>
      <c r="AW1293" s="55"/>
      <c r="AX1293" s="55"/>
      <c r="AY1293" s="56">
        <f t="shared" si="433"/>
        <v>0.2</v>
      </c>
      <c r="AZ1293" s="55"/>
      <c r="BA1293" s="56">
        <v>1</v>
      </c>
      <c r="BB1293" s="41">
        <f t="shared" si="420"/>
        <v>-0.8</v>
      </c>
      <c r="BC1293" s="13"/>
      <c r="BD1293" s="36"/>
      <c r="BE1293" s="7"/>
      <c r="BF1293" s="7"/>
      <c r="BG1293" s="7"/>
      <c r="BH1293" s="7"/>
    </row>
    <row r="1294" spans="1:60" ht="12.75" customHeight="1" x14ac:dyDescent="0.2">
      <c r="A1294" s="51" t="s">
        <v>788</v>
      </c>
      <c r="B1294" s="51"/>
      <c r="C1294" s="66" t="s">
        <v>1803</v>
      </c>
      <c r="D1294" s="52" t="s">
        <v>763</v>
      </c>
      <c r="E1294" s="52" t="s">
        <v>1181</v>
      </c>
      <c r="F1294" s="53">
        <f>IFERROR(VLOOKUP(E1294,Fornecedores!$A$2:$B$2700,2,FALSE),"")</f>
        <v>9</v>
      </c>
      <c r="G1294" s="52" t="s">
        <v>1010</v>
      </c>
      <c r="H1294" s="54"/>
      <c r="I1294" s="55">
        <f t="shared" si="428"/>
        <v>0</v>
      </c>
      <c r="J1294" s="55">
        <v>0</v>
      </c>
      <c r="K1294" s="55">
        <v>0</v>
      </c>
      <c r="L1294" s="55">
        <v>0</v>
      </c>
      <c r="M1294" s="55">
        <v>0</v>
      </c>
      <c r="N1294" s="55">
        <f t="shared" si="429"/>
        <v>2</v>
      </c>
      <c r="O1294" s="55">
        <v>0</v>
      </c>
      <c r="P1294" s="55">
        <v>2</v>
      </c>
      <c r="Q1294" s="55">
        <v>0</v>
      </c>
      <c r="R1294" s="55">
        <f t="shared" si="430"/>
        <v>0</v>
      </c>
      <c r="S1294" s="55">
        <v>0</v>
      </c>
      <c r="T1294" s="55">
        <v>0</v>
      </c>
      <c r="U1294" s="55">
        <v>0</v>
      </c>
      <c r="V1294" s="55">
        <v>0</v>
      </c>
      <c r="W1294" s="53">
        <v>0</v>
      </c>
      <c r="X1294" s="53">
        <v>0</v>
      </c>
      <c r="Y1294" s="55">
        <v>0</v>
      </c>
      <c r="Z1294" s="55">
        <v>0</v>
      </c>
      <c r="AA1294" s="53">
        <v>0</v>
      </c>
      <c r="AB1294" s="53">
        <v>0</v>
      </c>
      <c r="AC1294" s="55">
        <v>0</v>
      </c>
      <c r="AD1294" s="55">
        <f t="shared" si="431"/>
        <v>0</v>
      </c>
      <c r="AE1294" s="53">
        <v>0</v>
      </c>
      <c r="AF1294" s="55">
        <v>0</v>
      </c>
      <c r="AG1294" s="55">
        <v>0</v>
      </c>
      <c r="AH1294" s="55">
        <f t="shared" si="432"/>
        <v>0</v>
      </c>
      <c r="AI1294" s="55">
        <v>0</v>
      </c>
      <c r="AJ1294" s="55">
        <v>0</v>
      </c>
      <c r="AK1294" s="55">
        <v>0</v>
      </c>
      <c r="AL1294" s="55">
        <f t="shared" si="419"/>
        <v>0</v>
      </c>
      <c r="AM1294" s="55" t="s">
        <v>1912</v>
      </c>
      <c r="AN1294" s="55">
        <v>0</v>
      </c>
      <c r="AO1294" s="55">
        <v>0</v>
      </c>
      <c r="AP1294" s="55">
        <f t="shared" si="427"/>
        <v>0</v>
      </c>
      <c r="AQ1294" s="55">
        <f>IFERROR(VLOOKUP(A1294,[1]SIIMPLES!$A$2:$F$418,6,FALSE),0)</f>
        <v>0</v>
      </c>
      <c r="AR1294" s="55">
        <v>0</v>
      </c>
      <c r="AS1294" s="55">
        <v>0</v>
      </c>
      <c r="AT1294" s="55">
        <v>0</v>
      </c>
      <c r="AU1294" s="55">
        <v>0</v>
      </c>
      <c r="AV1294" s="55">
        <v>0</v>
      </c>
      <c r="AW1294" s="55"/>
      <c r="AX1294" s="55"/>
      <c r="AY1294" s="56">
        <f t="shared" si="433"/>
        <v>0.2</v>
      </c>
      <c r="AZ1294" s="55"/>
      <c r="BA1294" s="56">
        <v>0.4</v>
      </c>
      <c r="BB1294" s="41">
        <f t="shared" si="420"/>
        <v>-0.5</v>
      </c>
      <c r="BC1294" s="7"/>
      <c r="BD1294" s="36"/>
      <c r="BE1294" s="7"/>
      <c r="BF1294" s="7"/>
      <c r="BG1294" s="7"/>
      <c r="BH1294" s="7"/>
    </row>
    <row r="1295" spans="1:60" ht="12.75" customHeight="1" x14ac:dyDescent="0.2">
      <c r="A1295" s="51" t="s">
        <v>596</v>
      </c>
      <c r="B1295" s="51"/>
      <c r="C1295" s="66" t="s">
        <v>1803</v>
      </c>
      <c r="D1295" s="52" t="s">
        <v>763</v>
      </c>
      <c r="E1295" s="52" t="s">
        <v>764</v>
      </c>
      <c r="F1295" s="53">
        <f>IFERROR(VLOOKUP(E1295,Fornecedores!$A$2:$B$2700,2,FALSE),"")</f>
        <v>10</v>
      </c>
      <c r="G1295" s="52" t="s">
        <v>597</v>
      </c>
      <c r="H1295" s="54"/>
      <c r="I1295" s="55">
        <f t="shared" si="428"/>
        <v>0</v>
      </c>
      <c r="J1295" s="55">
        <v>0</v>
      </c>
      <c r="K1295" s="55">
        <v>0</v>
      </c>
      <c r="L1295" s="55">
        <v>0</v>
      </c>
      <c r="M1295" s="55">
        <v>0</v>
      </c>
      <c r="N1295" s="55">
        <f t="shared" si="429"/>
        <v>0</v>
      </c>
      <c r="O1295" s="55">
        <v>0</v>
      </c>
      <c r="P1295" s="55">
        <v>0</v>
      </c>
      <c r="Q1295" s="55">
        <v>0</v>
      </c>
      <c r="R1295" s="55">
        <f t="shared" si="430"/>
        <v>0</v>
      </c>
      <c r="S1295" s="55">
        <v>0</v>
      </c>
      <c r="T1295" s="55">
        <v>0</v>
      </c>
      <c r="U1295" s="55">
        <v>0</v>
      </c>
      <c r="V1295" s="55">
        <v>0</v>
      </c>
      <c r="W1295" s="53">
        <v>0</v>
      </c>
      <c r="X1295" s="53">
        <v>0</v>
      </c>
      <c r="Y1295" s="55">
        <v>0</v>
      </c>
      <c r="Z1295" s="55">
        <v>0</v>
      </c>
      <c r="AA1295" s="53">
        <v>0</v>
      </c>
      <c r="AB1295" s="53">
        <v>0</v>
      </c>
      <c r="AC1295" s="55">
        <v>0</v>
      </c>
      <c r="AD1295" s="55">
        <f t="shared" si="431"/>
        <v>0</v>
      </c>
      <c r="AE1295" s="53">
        <v>0</v>
      </c>
      <c r="AF1295" s="55">
        <v>0</v>
      </c>
      <c r="AG1295" s="55">
        <v>0</v>
      </c>
      <c r="AH1295" s="55">
        <f t="shared" si="432"/>
        <v>0</v>
      </c>
      <c r="AI1295" s="55">
        <v>0</v>
      </c>
      <c r="AJ1295" s="55">
        <v>0</v>
      </c>
      <c r="AK1295" s="55">
        <v>0</v>
      </c>
      <c r="AL1295" s="55">
        <f t="shared" si="419"/>
        <v>0</v>
      </c>
      <c r="AM1295" s="55" t="s">
        <v>1912</v>
      </c>
      <c r="AN1295" s="55">
        <v>0</v>
      </c>
      <c r="AO1295" s="55">
        <v>0</v>
      </c>
      <c r="AP1295" s="55">
        <f t="shared" si="427"/>
        <v>0</v>
      </c>
      <c r="AQ1295" s="55">
        <f>IFERROR(VLOOKUP(A1295,[1]SIIMPLES!$A$2:$F$418,6,FALSE),0)</f>
        <v>0</v>
      </c>
      <c r="AR1295" s="55">
        <v>0</v>
      </c>
      <c r="AS1295" s="55">
        <v>0</v>
      </c>
      <c r="AT1295" s="55">
        <v>0</v>
      </c>
      <c r="AU1295" s="55">
        <v>0</v>
      </c>
      <c r="AV1295" s="55">
        <v>0</v>
      </c>
      <c r="AW1295" s="55"/>
      <c r="AX1295" s="55"/>
      <c r="AY1295" s="56">
        <f t="shared" si="433"/>
        <v>0</v>
      </c>
      <c r="AZ1295" s="55"/>
      <c r="BA1295" s="56">
        <v>0</v>
      </c>
      <c r="BB1295" s="41" t="str">
        <f t="shared" si="420"/>
        <v/>
      </c>
      <c r="BC1295" s="7"/>
      <c r="BD1295" s="36"/>
      <c r="BE1295" s="7"/>
      <c r="BF1295" s="7"/>
      <c r="BG1295" s="7"/>
      <c r="BH1295" s="7"/>
    </row>
    <row r="1296" spans="1:60" ht="12.75" customHeight="1" x14ac:dyDescent="0.2">
      <c r="A1296" s="51" t="s">
        <v>86</v>
      </c>
      <c r="B1296" s="51"/>
      <c r="C1296" s="66" t="s">
        <v>1803</v>
      </c>
      <c r="D1296" s="52" t="s">
        <v>763</v>
      </c>
      <c r="E1296" s="52" t="s">
        <v>764</v>
      </c>
      <c r="F1296" s="53">
        <f>IFERROR(VLOOKUP(E1296,Fornecedores!$A$2:$B$2700,2,FALSE),"")</f>
        <v>10</v>
      </c>
      <c r="G1296" s="52" t="s">
        <v>87</v>
      </c>
      <c r="H1296" s="54"/>
      <c r="I1296" s="55">
        <f t="shared" si="428"/>
        <v>0</v>
      </c>
      <c r="J1296" s="55">
        <v>0</v>
      </c>
      <c r="K1296" s="55">
        <v>0</v>
      </c>
      <c r="L1296" s="55">
        <v>0</v>
      </c>
      <c r="M1296" s="55">
        <v>0</v>
      </c>
      <c r="N1296" s="55">
        <f t="shared" si="429"/>
        <v>0</v>
      </c>
      <c r="O1296" s="55">
        <v>0</v>
      </c>
      <c r="P1296" s="55">
        <v>0</v>
      </c>
      <c r="Q1296" s="55">
        <v>0</v>
      </c>
      <c r="R1296" s="55">
        <f t="shared" si="430"/>
        <v>0</v>
      </c>
      <c r="S1296" s="55">
        <v>0</v>
      </c>
      <c r="T1296" s="55">
        <v>0</v>
      </c>
      <c r="U1296" s="55">
        <v>0</v>
      </c>
      <c r="V1296" s="55">
        <v>0</v>
      </c>
      <c r="W1296" s="53">
        <v>0</v>
      </c>
      <c r="X1296" s="53">
        <v>0</v>
      </c>
      <c r="Y1296" s="55">
        <v>0</v>
      </c>
      <c r="Z1296" s="55">
        <v>0</v>
      </c>
      <c r="AA1296" s="53">
        <v>0</v>
      </c>
      <c r="AB1296" s="53">
        <v>0</v>
      </c>
      <c r="AC1296" s="55">
        <v>0</v>
      </c>
      <c r="AD1296" s="55">
        <f t="shared" si="431"/>
        <v>0</v>
      </c>
      <c r="AE1296" s="53">
        <v>0</v>
      </c>
      <c r="AF1296" s="55">
        <v>0</v>
      </c>
      <c r="AG1296" s="55">
        <v>0</v>
      </c>
      <c r="AH1296" s="55">
        <f t="shared" si="432"/>
        <v>0</v>
      </c>
      <c r="AI1296" s="55">
        <v>0</v>
      </c>
      <c r="AJ1296" s="55">
        <v>0</v>
      </c>
      <c r="AK1296" s="55">
        <v>0</v>
      </c>
      <c r="AL1296" s="55">
        <f t="shared" si="419"/>
        <v>0</v>
      </c>
      <c r="AM1296" s="55" t="s">
        <v>1912</v>
      </c>
      <c r="AN1296" s="55">
        <v>0</v>
      </c>
      <c r="AO1296" s="55">
        <v>0</v>
      </c>
      <c r="AP1296" s="55">
        <f t="shared" si="427"/>
        <v>0</v>
      </c>
      <c r="AQ1296" s="55">
        <f>IFERROR(VLOOKUP(A1296,[1]SIIMPLES!$A$2:$F$418,6,FALSE),0)</f>
        <v>0</v>
      </c>
      <c r="AR1296" s="55">
        <v>0</v>
      </c>
      <c r="AS1296" s="55">
        <v>0</v>
      </c>
      <c r="AT1296" s="55">
        <v>0</v>
      </c>
      <c r="AU1296" s="55">
        <v>0</v>
      </c>
      <c r="AV1296" s="55">
        <v>0</v>
      </c>
      <c r="AW1296" s="55"/>
      <c r="AX1296" s="55"/>
      <c r="AY1296" s="56">
        <f t="shared" si="433"/>
        <v>0</v>
      </c>
      <c r="AZ1296" s="55"/>
      <c r="BA1296" s="56">
        <v>0</v>
      </c>
      <c r="BB1296" s="41" t="str">
        <f t="shared" si="420"/>
        <v/>
      </c>
      <c r="BC1296" s="13"/>
      <c r="BD1296" s="36"/>
      <c r="BE1296" s="7"/>
      <c r="BF1296" s="7"/>
      <c r="BG1296" s="7"/>
      <c r="BH1296" s="7"/>
    </row>
    <row r="1297" spans="1:60" ht="12.75" customHeight="1" x14ac:dyDescent="0.2">
      <c r="A1297" s="51" t="s">
        <v>1253</v>
      </c>
      <c r="B1297" s="51"/>
      <c r="C1297" s="66" t="s">
        <v>1803</v>
      </c>
      <c r="D1297" s="52" t="s">
        <v>745</v>
      </c>
      <c r="E1297" s="52" t="s">
        <v>780</v>
      </c>
      <c r="F1297" s="53">
        <f>IFERROR(VLOOKUP(E1297,Fornecedores!$A$2:$B$2700,2,FALSE),"")</f>
        <v>2</v>
      </c>
      <c r="G1297" s="52" t="s">
        <v>101</v>
      </c>
      <c r="H1297" s="57"/>
      <c r="I1297" s="55">
        <f t="shared" si="428"/>
        <v>0</v>
      </c>
      <c r="J1297" s="55">
        <v>0</v>
      </c>
      <c r="K1297" s="55">
        <v>0</v>
      </c>
      <c r="L1297" s="55">
        <v>0</v>
      </c>
      <c r="M1297" s="55">
        <v>0</v>
      </c>
      <c r="N1297" s="55">
        <f t="shared" si="429"/>
        <v>0</v>
      </c>
      <c r="O1297" s="55">
        <v>0</v>
      </c>
      <c r="P1297" s="55">
        <v>0</v>
      </c>
      <c r="Q1297" s="55">
        <v>0</v>
      </c>
      <c r="R1297" s="55">
        <f t="shared" si="430"/>
        <v>0</v>
      </c>
      <c r="S1297" s="55">
        <v>0</v>
      </c>
      <c r="T1297" s="55">
        <v>0</v>
      </c>
      <c r="U1297" s="55">
        <v>0</v>
      </c>
      <c r="V1297" s="55">
        <v>0</v>
      </c>
      <c r="W1297" s="53">
        <v>0</v>
      </c>
      <c r="X1297" s="53">
        <v>0</v>
      </c>
      <c r="Y1297" s="55">
        <v>0</v>
      </c>
      <c r="Z1297" s="55">
        <v>0</v>
      </c>
      <c r="AA1297" s="53">
        <v>0</v>
      </c>
      <c r="AB1297" s="53">
        <v>0</v>
      </c>
      <c r="AC1297" s="55">
        <v>0</v>
      </c>
      <c r="AD1297" s="55">
        <f t="shared" si="431"/>
        <v>0</v>
      </c>
      <c r="AE1297" s="53">
        <v>0</v>
      </c>
      <c r="AF1297" s="55">
        <v>0</v>
      </c>
      <c r="AG1297" s="55">
        <v>0</v>
      </c>
      <c r="AH1297" s="55">
        <f t="shared" si="432"/>
        <v>0</v>
      </c>
      <c r="AI1297" s="55">
        <v>0</v>
      </c>
      <c r="AJ1297" s="55">
        <v>0</v>
      </c>
      <c r="AK1297" s="55">
        <v>0</v>
      </c>
      <c r="AL1297" s="55">
        <f t="shared" si="419"/>
        <v>0</v>
      </c>
      <c r="AM1297" s="55" t="s">
        <v>1912</v>
      </c>
      <c r="AN1297" s="55">
        <v>0</v>
      </c>
      <c r="AO1297" s="55">
        <v>0</v>
      </c>
      <c r="AP1297" s="55">
        <f t="shared" si="427"/>
        <v>0</v>
      </c>
      <c r="AQ1297" s="55">
        <f>IFERROR(VLOOKUP(A1297,[1]SIIMPLES!$A$2:$F$418,6,FALSE),0)</f>
        <v>0</v>
      </c>
      <c r="AR1297" s="55">
        <v>0</v>
      </c>
      <c r="AS1297" s="55">
        <v>0</v>
      </c>
      <c r="AT1297" s="55">
        <v>0</v>
      </c>
      <c r="AU1297" s="55">
        <v>0</v>
      </c>
      <c r="AV1297" s="55">
        <v>0</v>
      </c>
      <c r="AW1297" s="55"/>
      <c r="AX1297" s="55"/>
      <c r="AY1297" s="56">
        <f t="shared" si="433"/>
        <v>0</v>
      </c>
      <c r="AZ1297" s="55"/>
      <c r="BA1297" s="56">
        <v>0.5</v>
      </c>
      <c r="BB1297" s="41">
        <f t="shared" si="420"/>
        <v>-1</v>
      </c>
      <c r="BC1297" s="13"/>
      <c r="BD1297" s="36"/>
      <c r="BE1297" s="7"/>
      <c r="BF1297" s="7"/>
      <c r="BG1297" s="7"/>
      <c r="BH1297" s="7"/>
    </row>
    <row r="1298" spans="1:60" ht="12.75" customHeight="1" x14ac:dyDescent="0.2">
      <c r="A1298" s="51" t="s">
        <v>849</v>
      </c>
      <c r="B1298" s="51"/>
      <c r="C1298" s="66" t="s">
        <v>1803</v>
      </c>
      <c r="D1298" s="52" t="s">
        <v>1050</v>
      </c>
      <c r="E1298" s="52" t="s">
        <v>770</v>
      </c>
      <c r="F1298" s="53">
        <f>IFERROR(VLOOKUP(E1298,Fornecedores!$A$2:$B$2700,2,FALSE),"")</f>
        <v>17</v>
      </c>
      <c r="G1298" s="52" t="s">
        <v>1072</v>
      </c>
      <c r="H1298" s="57"/>
      <c r="I1298" s="55">
        <f t="shared" si="428"/>
        <v>0</v>
      </c>
      <c r="J1298" s="55">
        <v>0</v>
      </c>
      <c r="K1298" s="55">
        <v>0</v>
      </c>
      <c r="L1298" s="55">
        <v>0</v>
      </c>
      <c r="M1298" s="55">
        <v>0</v>
      </c>
      <c r="N1298" s="55">
        <f t="shared" si="429"/>
        <v>0</v>
      </c>
      <c r="O1298" s="55">
        <v>0</v>
      </c>
      <c r="P1298" s="55">
        <v>0</v>
      </c>
      <c r="Q1298" s="55">
        <v>0</v>
      </c>
      <c r="R1298" s="55">
        <f t="shared" si="430"/>
        <v>0</v>
      </c>
      <c r="S1298" s="55">
        <v>0</v>
      </c>
      <c r="T1298" s="55">
        <v>0</v>
      </c>
      <c r="U1298" s="55">
        <v>0</v>
      </c>
      <c r="V1298" s="55">
        <v>0</v>
      </c>
      <c r="W1298" s="53">
        <v>0</v>
      </c>
      <c r="X1298" s="53">
        <v>0</v>
      </c>
      <c r="Y1298" s="55">
        <v>0</v>
      </c>
      <c r="Z1298" s="55">
        <v>0</v>
      </c>
      <c r="AA1298" s="53">
        <v>0</v>
      </c>
      <c r="AB1298" s="53">
        <v>0</v>
      </c>
      <c r="AC1298" s="55">
        <v>0</v>
      </c>
      <c r="AD1298" s="55">
        <f t="shared" si="431"/>
        <v>0</v>
      </c>
      <c r="AE1298" s="53">
        <v>0</v>
      </c>
      <c r="AF1298" s="55">
        <v>0</v>
      </c>
      <c r="AG1298" s="55">
        <v>0</v>
      </c>
      <c r="AH1298" s="55">
        <f t="shared" si="432"/>
        <v>0</v>
      </c>
      <c r="AI1298" s="55">
        <v>0</v>
      </c>
      <c r="AJ1298" s="55">
        <v>0</v>
      </c>
      <c r="AK1298" s="55">
        <v>0</v>
      </c>
      <c r="AL1298" s="55">
        <f t="shared" si="419"/>
        <v>0</v>
      </c>
      <c r="AM1298" s="55" t="s">
        <v>1912</v>
      </c>
      <c r="AN1298" s="55">
        <v>0</v>
      </c>
      <c r="AO1298" s="55">
        <v>0</v>
      </c>
      <c r="AP1298" s="55">
        <f t="shared" si="427"/>
        <v>0</v>
      </c>
      <c r="AQ1298" s="55">
        <f>IFERROR(VLOOKUP(A1298,[1]SIIMPLES!$A$2:$F$418,6,FALSE),0)</f>
        <v>0</v>
      </c>
      <c r="AR1298" s="55">
        <v>0</v>
      </c>
      <c r="AS1298" s="55">
        <v>0</v>
      </c>
      <c r="AT1298" s="55">
        <v>0</v>
      </c>
      <c r="AU1298" s="55">
        <v>0</v>
      </c>
      <c r="AV1298" s="55">
        <v>0</v>
      </c>
      <c r="AW1298" s="55"/>
      <c r="AX1298" s="55"/>
      <c r="AY1298" s="56">
        <f t="shared" si="433"/>
        <v>0</v>
      </c>
      <c r="AZ1298" s="55"/>
      <c r="BA1298" s="56">
        <v>0</v>
      </c>
      <c r="BB1298" s="41" t="str">
        <f t="shared" si="420"/>
        <v/>
      </c>
      <c r="BC1298" s="7"/>
      <c r="BD1298" s="36"/>
      <c r="BE1298" s="7"/>
      <c r="BF1298" s="7"/>
      <c r="BG1298" s="7"/>
      <c r="BH1298" s="7"/>
    </row>
    <row r="1299" spans="1:60" ht="12.75" customHeight="1" x14ac:dyDescent="0.2">
      <c r="A1299" s="51" t="s">
        <v>70</v>
      </c>
      <c r="B1299" s="51"/>
      <c r="C1299" s="66" t="s">
        <v>1803</v>
      </c>
      <c r="D1299" s="52" t="s">
        <v>763</v>
      </c>
      <c r="E1299" s="52" t="s">
        <v>764</v>
      </c>
      <c r="F1299" s="53">
        <f>IFERROR(VLOOKUP(E1299,Fornecedores!$A$2:$B$2700,2,FALSE),"")</f>
        <v>10</v>
      </c>
      <c r="G1299" s="52" t="s">
        <v>71</v>
      </c>
      <c r="H1299" s="54"/>
      <c r="I1299" s="55">
        <f t="shared" si="428"/>
        <v>0</v>
      </c>
      <c r="J1299" s="55">
        <v>0</v>
      </c>
      <c r="K1299" s="55">
        <v>0</v>
      </c>
      <c r="L1299" s="55">
        <v>0</v>
      </c>
      <c r="M1299" s="55">
        <v>0</v>
      </c>
      <c r="N1299" s="55">
        <f t="shared" si="429"/>
        <v>0</v>
      </c>
      <c r="O1299" s="55">
        <v>0</v>
      </c>
      <c r="P1299" s="55">
        <v>0</v>
      </c>
      <c r="Q1299" s="55">
        <v>0</v>
      </c>
      <c r="R1299" s="55">
        <f t="shared" si="430"/>
        <v>0</v>
      </c>
      <c r="S1299" s="55">
        <v>0</v>
      </c>
      <c r="T1299" s="55">
        <v>0</v>
      </c>
      <c r="U1299" s="55">
        <v>0</v>
      </c>
      <c r="V1299" s="55">
        <v>0</v>
      </c>
      <c r="W1299" s="53">
        <v>0</v>
      </c>
      <c r="X1299" s="53">
        <v>0</v>
      </c>
      <c r="Y1299" s="55">
        <v>0</v>
      </c>
      <c r="Z1299" s="55">
        <v>0</v>
      </c>
      <c r="AA1299" s="53">
        <v>0</v>
      </c>
      <c r="AB1299" s="53">
        <v>0</v>
      </c>
      <c r="AC1299" s="55">
        <v>0</v>
      </c>
      <c r="AD1299" s="55">
        <f t="shared" si="431"/>
        <v>0</v>
      </c>
      <c r="AE1299" s="53">
        <v>0</v>
      </c>
      <c r="AF1299" s="55">
        <v>0</v>
      </c>
      <c r="AG1299" s="55">
        <v>0</v>
      </c>
      <c r="AH1299" s="55">
        <f t="shared" si="432"/>
        <v>0</v>
      </c>
      <c r="AI1299" s="55">
        <v>0</v>
      </c>
      <c r="AJ1299" s="55">
        <v>0</v>
      </c>
      <c r="AK1299" s="55">
        <v>0</v>
      </c>
      <c r="AL1299" s="55">
        <f t="shared" ref="AL1299:AL1362" si="434">SUM(AM1299:AO1299)</f>
        <v>0</v>
      </c>
      <c r="AM1299" s="55" t="s">
        <v>1912</v>
      </c>
      <c r="AN1299" s="55">
        <v>0</v>
      </c>
      <c r="AO1299" s="55">
        <v>0</v>
      </c>
      <c r="AP1299" s="55">
        <f t="shared" si="427"/>
        <v>0</v>
      </c>
      <c r="AQ1299" s="55">
        <f>IFERROR(VLOOKUP(A1299,[1]SIIMPLES!$A$2:$F$418,6,FALSE),0)</f>
        <v>0</v>
      </c>
      <c r="AR1299" s="55">
        <v>0</v>
      </c>
      <c r="AS1299" s="55">
        <v>0</v>
      </c>
      <c r="AT1299" s="55">
        <v>0</v>
      </c>
      <c r="AU1299" s="55">
        <v>0</v>
      </c>
      <c r="AV1299" s="55">
        <v>0</v>
      </c>
      <c r="AW1299" s="55"/>
      <c r="AX1299" s="55"/>
      <c r="AY1299" s="56">
        <f t="shared" si="433"/>
        <v>0</v>
      </c>
      <c r="AZ1299" s="55"/>
      <c r="BA1299" s="56">
        <v>0</v>
      </c>
      <c r="BB1299" s="41" t="str">
        <f t="shared" ref="BB1299:BB1325" si="435">IFERROR(AY1299/BA1299-1,"")</f>
        <v/>
      </c>
      <c r="BC1299" s="7"/>
      <c r="BD1299" s="36"/>
      <c r="BE1299" s="7"/>
      <c r="BF1299" s="7"/>
      <c r="BG1299" s="7"/>
      <c r="BH1299" s="7"/>
    </row>
    <row r="1300" spans="1:60" ht="12.75" customHeight="1" x14ac:dyDescent="0.2">
      <c r="A1300" s="51" t="s">
        <v>1511</v>
      </c>
      <c r="B1300" s="51"/>
      <c r="C1300" s="66" t="s">
        <v>1803</v>
      </c>
      <c r="D1300" s="52" t="s">
        <v>1475</v>
      </c>
      <c r="E1300" s="52" t="s">
        <v>1759</v>
      </c>
      <c r="F1300" s="53" t="str">
        <f>IFERROR(VLOOKUP(E1300,Fornecedores!$A$2:$B$2700,2,FALSE),"")</f>
        <v/>
      </c>
      <c r="G1300" s="52" t="s">
        <v>1714</v>
      </c>
      <c r="H1300" s="57"/>
      <c r="I1300" s="55">
        <f t="shared" si="428"/>
        <v>0</v>
      </c>
      <c r="J1300" s="57" t="s">
        <v>1282</v>
      </c>
      <c r="K1300" s="55">
        <v>0</v>
      </c>
      <c r="L1300" s="55">
        <v>0</v>
      </c>
      <c r="M1300" s="55">
        <v>0</v>
      </c>
      <c r="N1300" s="55">
        <f t="shared" si="429"/>
        <v>0</v>
      </c>
      <c r="O1300" s="55">
        <v>0</v>
      </c>
      <c r="P1300" s="55">
        <v>0</v>
      </c>
      <c r="Q1300" s="55">
        <v>0</v>
      </c>
      <c r="R1300" s="55">
        <f t="shared" si="430"/>
        <v>0</v>
      </c>
      <c r="S1300" s="55">
        <v>0</v>
      </c>
      <c r="T1300" s="55">
        <v>0</v>
      </c>
      <c r="U1300" s="55">
        <v>0</v>
      </c>
      <c r="V1300" s="55">
        <v>0</v>
      </c>
      <c r="W1300" s="53">
        <v>0</v>
      </c>
      <c r="X1300" s="53">
        <v>0</v>
      </c>
      <c r="Y1300" s="55">
        <v>0</v>
      </c>
      <c r="Z1300" s="55">
        <v>0</v>
      </c>
      <c r="AA1300" s="53">
        <v>0</v>
      </c>
      <c r="AB1300" s="53">
        <v>0</v>
      </c>
      <c r="AC1300" s="55">
        <v>0</v>
      </c>
      <c r="AD1300" s="55">
        <f t="shared" si="431"/>
        <v>0</v>
      </c>
      <c r="AE1300" s="53">
        <v>0</v>
      </c>
      <c r="AF1300" s="55">
        <v>0</v>
      </c>
      <c r="AG1300" s="55">
        <v>0</v>
      </c>
      <c r="AH1300" s="55">
        <f t="shared" si="432"/>
        <v>0</v>
      </c>
      <c r="AI1300" s="55">
        <v>0</v>
      </c>
      <c r="AJ1300" s="55">
        <v>0</v>
      </c>
      <c r="AK1300" s="55">
        <v>0</v>
      </c>
      <c r="AL1300" s="55">
        <f t="shared" si="434"/>
        <v>0</v>
      </c>
      <c r="AM1300" s="55" t="s">
        <v>1912</v>
      </c>
      <c r="AN1300" s="55">
        <v>0</v>
      </c>
      <c r="AO1300" s="55">
        <v>0</v>
      </c>
      <c r="AP1300" s="55">
        <f t="shared" si="427"/>
        <v>0</v>
      </c>
      <c r="AQ1300" s="55">
        <f>IFERROR(VLOOKUP(A1300,[1]SIIMPLES!$A$2:$F$418,6,FALSE),0)</f>
        <v>0</v>
      </c>
      <c r="AR1300" s="55">
        <v>0</v>
      </c>
      <c r="AS1300" s="55">
        <v>0</v>
      </c>
      <c r="AT1300" s="55">
        <v>0</v>
      </c>
      <c r="AU1300" s="55">
        <v>0</v>
      </c>
      <c r="AV1300" s="55">
        <v>0</v>
      </c>
      <c r="AW1300" s="57"/>
      <c r="AX1300" s="57"/>
      <c r="AY1300" s="56">
        <f t="shared" si="433"/>
        <v>0</v>
      </c>
      <c r="AZ1300" s="55"/>
      <c r="BA1300" s="56" t="s">
        <v>1912</v>
      </c>
      <c r="BB1300" s="41" t="str">
        <f t="shared" si="435"/>
        <v/>
      </c>
      <c r="BC1300" s="13"/>
      <c r="BD1300" s="36"/>
      <c r="BE1300" s="7"/>
      <c r="BF1300" s="7"/>
      <c r="BG1300" s="7"/>
      <c r="BH1300" s="7"/>
    </row>
    <row r="1301" spans="1:60" ht="12.75" customHeight="1" x14ac:dyDescent="0.2">
      <c r="A1301" s="51" t="s">
        <v>1260</v>
      </c>
      <c r="B1301" s="51"/>
      <c r="C1301" s="66" t="s">
        <v>1803</v>
      </c>
      <c r="D1301" s="52" t="s">
        <v>751</v>
      </c>
      <c r="E1301" s="52" t="s">
        <v>746</v>
      </c>
      <c r="F1301" s="53">
        <f>IFERROR(VLOOKUP(E1301,Fornecedores!$A$2:$B$2700,2,FALSE),"")</f>
        <v>11</v>
      </c>
      <c r="G1301" s="52" t="s">
        <v>1393</v>
      </c>
      <c r="H1301" s="57"/>
      <c r="I1301" s="55">
        <f t="shared" si="428"/>
        <v>0</v>
      </c>
      <c r="J1301" s="55">
        <v>0</v>
      </c>
      <c r="K1301" s="55">
        <v>0</v>
      </c>
      <c r="L1301" s="55">
        <v>0</v>
      </c>
      <c r="M1301" s="55">
        <v>0</v>
      </c>
      <c r="N1301" s="55">
        <f t="shared" si="429"/>
        <v>0</v>
      </c>
      <c r="O1301" s="55">
        <v>0</v>
      </c>
      <c r="P1301" s="55">
        <v>0</v>
      </c>
      <c r="Q1301" s="55">
        <v>0</v>
      </c>
      <c r="R1301" s="55">
        <f t="shared" si="430"/>
        <v>0</v>
      </c>
      <c r="S1301" s="55">
        <v>0</v>
      </c>
      <c r="T1301" s="55">
        <v>0</v>
      </c>
      <c r="U1301" s="55">
        <v>0</v>
      </c>
      <c r="V1301" s="55">
        <v>0</v>
      </c>
      <c r="W1301" s="53">
        <v>0</v>
      </c>
      <c r="X1301" s="53">
        <v>0</v>
      </c>
      <c r="Y1301" s="55">
        <v>0</v>
      </c>
      <c r="Z1301" s="55">
        <v>0</v>
      </c>
      <c r="AA1301" s="53">
        <v>0</v>
      </c>
      <c r="AB1301" s="53">
        <v>0</v>
      </c>
      <c r="AC1301" s="55">
        <v>0</v>
      </c>
      <c r="AD1301" s="55">
        <f t="shared" si="431"/>
        <v>0</v>
      </c>
      <c r="AE1301" s="53">
        <v>0</v>
      </c>
      <c r="AF1301" s="55">
        <v>0</v>
      </c>
      <c r="AG1301" s="55">
        <v>0</v>
      </c>
      <c r="AH1301" s="55">
        <f t="shared" si="432"/>
        <v>0</v>
      </c>
      <c r="AI1301" s="55">
        <v>0</v>
      </c>
      <c r="AJ1301" s="55">
        <v>0</v>
      </c>
      <c r="AK1301" s="55">
        <v>0</v>
      </c>
      <c r="AL1301" s="55">
        <f t="shared" si="434"/>
        <v>0</v>
      </c>
      <c r="AM1301" s="55" t="s">
        <v>1912</v>
      </c>
      <c r="AN1301" s="55">
        <v>0</v>
      </c>
      <c r="AO1301" s="55">
        <v>0</v>
      </c>
      <c r="AP1301" s="55">
        <f t="shared" si="427"/>
        <v>0</v>
      </c>
      <c r="AQ1301" s="55">
        <f>IFERROR(VLOOKUP(A1301,[1]SIIMPLES!$A$2:$F$418,6,FALSE),0)</f>
        <v>0</v>
      </c>
      <c r="AR1301" s="55">
        <v>0</v>
      </c>
      <c r="AS1301" s="55">
        <v>5</v>
      </c>
      <c r="AT1301" s="55">
        <v>0</v>
      </c>
      <c r="AU1301" s="55">
        <v>0</v>
      </c>
      <c r="AV1301" s="55">
        <v>5</v>
      </c>
      <c r="AW1301" s="55"/>
      <c r="AX1301" s="55"/>
      <c r="AY1301" s="56">
        <f t="shared" si="433"/>
        <v>0.5</v>
      </c>
      <c r="AZ1301" s="55"/>
      <c r="BA1301" s="56">
        <v>1</v>
      </c>
      <c r="BB1301" s="41">
        <f t="shared" si="435"/>
        <v>-0.5</v>
      </c>
      <c r="BC1301" s="13"/>
      <c r="BD1301" s="36"/>
      <c r="BE1301" s="7"/>
      <c r="BF1301" s="7"/>
      <c r="BG1301" s="7"/>
      <c r="BH1301" s="7"/>
    </row>
    <row r="1302" spans="1:60" ht="12.75" customHeight="1" x14ac:dyDescent="0.2">
      <c r="A1302" s="51" t="s">
        <v>1437</v>
      </c>
      <c r="B1302" s="51"/>
      <c r="C1302" s="66" t="s">
        <v>1803</v>
      </c>
      <c r="D1302" s="52" t="s">
        <v>751</v>
      </c>
      <c r="E1302" s="52" t="s">
        <v>746</v>
      </c>
      <c r="F1302" s="53">
        <f>IFERROR(VLOOKUP(E1302,Fornecedores!$A$2:$B$2700,2,FALSE),"")</f>
        <v>11</v>
      </c>
      <c r="G1302" s="52" t="s">
        <v>1442</v>
      </c>
      <c r="H1302" s="57"/>
      <c r="I1302" s="55">
        <f t="shared" si="428"/>
        <v>0</v>
      </c>
      <c r="J1302" s="55">
        <v>0</v>
      </c>
      <c r="K1302" s="55">
        <v>0</v>
      </c>
      <c r="L1302" s="55">
        <v>0</v>
      </c>
      <c r="M1302" s="55">
        <v>0</v>
      </c>
      <c r="N1302" s="55">
        <f t="shared" si="429"/>
        <v>0</v>
      </c>
      <c r="O1302" s="55">
        <v>0</v>
      </c>
      <c r="P1302" s="55">
        <v>0</v>
      </c>
      <c r="Q1302" s="55">
        <v>0</v>
      </c>
      <c r="R1302" s="55">
        <f t="shared" si="430"/>
        <v>0</v>
      </c>
      <c r="S1302" s="55">
        <v>0</v>
      </c>
      <c r="T1302" s="55">
        <v>0</v>
      </c>
      <c r="U1302" s="55">
        <v>0</v>
      </c>
      <c r="V1302" s="55">
        <v>0</v>
      </c>
      <c r="W1302" s="53">
        <v>0</v>
      </c>
      <c r="X1302" s="53">
        <v>0</v>
      </c>
      <c r="Y1302" s="55">
        <v>0</v>
      </c>
      <c r="Z1302" s="55">
        <v>0</v>
      </c>
      <c r="AA1302" s="53">
        <v>0</v>
      </c>
      <c r="AB1302" s="53">
        <v>0</v>
      </c>
      <c r="AC1302" s="55">
        <v>0</v>
      </c>
      <c r="AD1302" s="55">
        <f t="shared" si="431"/>
        <v>1</v>
      </c>
      <c r="AE1302" s="53">
        <v>1</v>
      </c>
      <c r="AF1302" s="55">
        <v>0</v>
      </c>
      <c r="AG1302" s="55">
        <v>0</v>
      </c>
      <c r="AH1302" s="55">
        <f t="shared" si="432"/>
        <v>0</v>
      </c>
      <c r="AI1302" s="55">
        <v>0</v>
      </c>
      <c r="AJ1302" s="55">
        <v>0</v>
      </c>
      <c r="AK1302" s="55">
        <v>0</v>
      </c>
      <c r="AL1302" s="55">
        <f t="shared" si="434"/>
        <v>1</v>
      </c>
      <c r="AM1302" s="55">
        <v>1</v>
      </c>
      <c r="AN1302" s="55">
        <v>0</v>
      </c>
      <c r="AO1302" s="55">
        <v>0</v>
      </c>
      <c r="AP1302" s="55">
        <f t="shared" si="427"/>
        <v>0</v>
      </c>
      <c r="AQ1302" s="55">
        <f>IFERROR(VLOOKUP(A1302,[1]SIIMPLES!$A$2:$F$418,6,FALSE),0)</f>
        <v>0</v>
      </c>
      <c r="AR1302" s="55">
        <v>0</v>
      </c>
      <c r="AS1302" s="55">
        <v>0</v>
      </c>
      <c r="AT1302" s="55">
        <v>0</v>
      </c>
      <c r="AU1302" s="55">
        <v>0</v>
      </c>
      <c r="AV1302" s="55">
        <v>0</v>
      </c>
      <c r="AW1302" s="57"/>
      <c r="AX1302" s="55"/>
      <c r="AY1302" s="56">
        <f t="shared" si="433"/>
        <v>0.2</v>
      </c>
      <c r="AZ1302" s="55"/>
      <c r="BA1302" s="56">
        <v>0</v>
      </c>
      <c r="BB1302" s="41" t="str">
        <f t="shared" si="435"/>
        <v/>
      </c>
      <c r="BC1302" s="7"/>
      <c r="BD1302" s="36"/>
      <c r="BE1302" s="7"/>
      <c r="BF1302" s="7"/>
      <c r="BG1302" s="7"/>
      <c r="BH1302" s="7"/>
    </row>
    <row r="1303" spans="1:60" ht="12.75" customHeight="1" x14ac:dyDescent="0.2">
      <c r="A1303" s="51" t="s">
        <v>1514</v>
      </c>
      <c r="B1303" s="51"/>
      <c r="C1303" s="66" t="s">
        <v>1803</v>
      </c>
      <c r="D1303" s="52" t="s">
        <v>751</v>
      </c>
      <c r="E1303" s="52" t="s">
        <v>746</v>
      </c>
      <c r="F1303" s="53">
        <f>IFERROR(VLOOKUP(E1303,Fornecedores!$A$2:$B$2700,2,FALSE),"")</f>
        <v>11</v>
      </c>
      <c r="G1303" s="52" t="s">
        <v>1713</v>
      </c>
      <c r="H1303" s="57"/>
      <c r="I1303" s="55">
        <f t="shared" si="428"/>
        <v>0</v>
      </c>
      <c r="J1303" s="57" t="s">
        <v>1282</v>
      </c>
      <c r="K1303" s="55">
        <v>0</v>
      </c>
      <c r="L1303" s="55">
        <v>0</v>
      </c>
      <c r="M1303" s="55">
        <v>0</v>
      </c>
      <c r="N1303" s="55">
        <f t="shared" si="429"/>
        <v>0</v>
      </c>
      <c r="O1303" s="55">
        <v>0</v>
      </c>
      <c r="P1303" s="55">
        <v>0</v>
      </c>
      <c r="Q1303" s="55">
        <v>0</v>
      </c>
      <c r="R1303" s="55">
        <f t="shared" si="430"/>
        <v>0</v>
      </c>
      <c r="S1303" s="55">
        <v>0</v>
      </c>
      <c r="T1303" s="55">
        <v>0</v>
      </c>
      <c r="U1303" s="55">
        <v>0</v>
      </c>
      <c r="V1303" s="55">
        <v>0</v>
      </c>
      <c r="W1303" s="53">
        <v>0</v>
      </c>
      <c r="X1303" s="53">
        <v>0</v>
      </c>
      <c r="Y1303" s="55">
        <v>0</v>
      </c>
      <c r="Z1303" s="55">
        <v>0</v>
      </c>
      <c r="AA1303" s="53">
        <v>0</v>
      </c>
      <c r="AB1303" s="53">
        <v>0</v>
      </c>
      <c r="AC1303" s="55">
        <v>0</v>
      </c>
      <c r="AD1303" s="55">
        <f t="shared" si="431"/>
        <v>0</v>
      </c>
      <c r="AE1303" s="53">
        <v>0</v>
      </c>
      <c r="AF1303" s="55">
        <v>0</v>
      </c>
      <c r="AG1303" s="55">
        <v>0</v>
      </c>
      <c r="AH1303" s="55">
        <f t="shared" si="432"/>
        <v>0</v>
      </c>
      <c r="AI1303" s="55">
        <v>0</v>
      </c>
      <c r="AJ1303" s="55">
        <v>0</v>
      </c>
      <c r="AK1303" s="55">
        <v>0</v>
      </c>
      <c r="AL1303" s="55">
        <f t="shared" si="434"/>
        <v>0</v>
      </c>
      <c r="AM1303" s="55" t="s">
        <v>1912</v>
      </c>
      <c r="AN1303" s="55">
        <v>0</v>
      </c>
      <c r="AO1303" s="55">
        <v>0</v>
      </c>
      <c r="AP1303" s="55">
        <f t="shared" si="427"/>
        <v>0</v>
      </c>
      <c r="AQ1303" s="55">
        <f>IFERROR(VLOOKUP(A1303,[1]SIIMPLES!$A$2:$F$418,6,FALSE),0)</f>
        <v>0</v>
      </c>
      <c r="AR1303" s="55">
        <v>0</v>
      </c>
      <c r="AS1303" s="55">
        <v>0</v>
      </c>
      <c r="AT1303" s="55">
        <v>0</v>
      </c>
      <c r="AU1303" s="55">
        <v>0</v>
      </c>
      <c r="AV1303" s="55">
        <v>0</v>
      </c>
      <c r="AW1303" s="57"/>
      <c r="AX1303" s="57"/>
      <c r="AY1303" s="56">
        <f t="shared" si="433"/>
        <v>0</v>
      </c>
      <c r="AZ1303" s="55"/>
      <c r="BA1303" s="56" t="s">
        <v>1912</v>
      </c>
      <c r="BB1303" s="41" t="str">
        <f t="shared" si="435"/>
        <v/>
      </c>
      <c r="BC1303" s="13"/>
      <c r="BD1303" s="36"/>
      <c r="BE1303" s="7"/>
      <c r="BF1303" s="7"/>
      <c r="BG1303" s="7"/>
      <c r="BH1303" s="7"/>
    </row>
    <row r="1304" spans="1:60" ht="12.75" customHeight="1" x14ac:dyDescent="0.2">
      <c r="A1304" s="51" t="s">
        <v>1263</v>
      </c>
      <c r="B1304" s="51"/>
      <c r="C1304" s="66" t="s">
        <v>1803</v>
      </c>
      <c r="D1304" s="52" t="s">
        <v>751</v>
      </c>
      <c r="E1304" s="52" t="s">
        <v>746</v>
      </c>
      <c r="F1304" s="53">
        <f>IFERROR(VLOOKUP(E1304,Fornecedores!$A$2:$B$2700,2,FALSE),"")</f>
        <v>11</v>
      </c>
      <c r="G1304" s="52" t="s">
        <v>1394</v>
      </c>
      <c r="H1304" s="57"/>
      <c r="I1304" s="55">
        <f t="shared" ref="I1304:I1335" si="436">SUM(J1304:M1304)</f>
        <v>0</v>
      </c>
      <c r="J1304" s="55">
        <v>0</v>
      </c>
      <c r="K1304" s="55">
        <v>0</v>
      </c>
      <c r="L1304" s="55">
        <v>0</v>
      </c>
      <c r="M1304" s="55">
        <v>0</v>
      </c>
      <c r="N1304" s="55">
        <f t="shared" ref="N1304:N1335" si="437">SUM(O1304:Q1304)</f>
        <v>0</v>
      </c>
      <c r="O1304" s="55">
        <v>0</v>
      </c>
      <c r="P1304" s="55">
        <v>0</v>
      </c>
      <c r="Q1304" s="55">
        <v>0</v>
      </c>
      <c r="R1304" s="55">
        <f t="shared" ref="R1304:R1335" si="438">SUM(S1304:U1304)</f>
        <v>0</v>
      </c>
      <c r="S1304" s="55">
        <v>0</v>
      </c>
      <c r="T1304" s="55">
        <v>0</v>
      </c>
      <c r="U1304" s="55">
        <v>0</v>
      </c>
      <c r="V1304" s="55">
        <v>0</v>
      </c>
      <c r="W1304" s="53">
        <v>0</v>
      </c>
      <c r="X1304" s="53">
        <v>0</v>
      </c>
      <c r="Y1304" s="55">
        <v>0</v>
      </c>
      <c r="Z1304" s="55">
        <v>0</v>
      </c>
      <c r="AA1304" s="53">
        <v>0</v>
      </c>
      <c r="AB1304" s="53">
        <v>0</v>
      </c>
      <c r="AC1304" s="55">
        <v>0</v>
      </c>
      <c r="AD1304" s="55">
        <f t="shared" ref="AD1304:AD1335" si="439">SUM(AE1304:AG1304)</f>
        <v>0</v>
      </c>
      <c r="AE1304" s="53">
        <v>0</v>
      </c>
      <c r="AF1304" s="55">
        <v>0</v>
      </c>
      <c r="AG1304" s="55">
        <v>0</v>
      </c>
      <c r="AH1304" s="55">
        <f t="shared" si="432"/>
        <v>0</v>
      </c>
      <c r="AI1304" s="55">
        <v>0</v>
      </c>
      <c r="AJ1304" s="55">
        <v>0</v>
      </c>
      <c r="AK1304" s="55">
        <v>0</v>
      </c>
      <c r="AL1304" s="55">
        <f t="shared" si="434"/>
        <v>0</v>
      </c>
      <c r="AM1304" s="55" t="s">
        <v>1912</v>
      </c>
      <c r="AN1304" s="55">
        <v>0</v>
      </c>
      <c r="AO1304" s="55">
        <v>0</v>
      </c>
      <c r="AP1304" s="55">
        <f t="shared" si="427"/>
        <v>0</v>
      </c>
      <c r="AQ1304" s="55">
        <f>IFERROR(VLOOKUP(A1304,[1]SIIMPLES!$A$2:$F$418,6,FALSE),0)</f>
        <v>0</v>
      </c>
      <c r="AR1304" s="55">
        <v>0</v>
      </c>
      <c r="AS1304" s="55">
        <v>0</v>
      </c>
      <c r="AT1304" s="55">
        <v>0</v>
      </c>
      <c r="AU1304" s="55">
        <v>0</v>
      </c>
      <c r="AV1304" s="55">
        <v>0</v>
      </c>
      <c r="AW1304" s="55"/>
      <c r="AX1304" s="55"/>
      <c r="AY1304" s="56">
        <f t="shared" si="433"/>
        <v>0</v>
      </c>
      <c r="AZ1304" s="55"/>
      <c r="BA1304" s="56">
        <v>1</v>
      </c>
      <c r="BB1304" s="41">
        <f t="shared" si="435"/>
        <v>-1</v>
      </c>
      <c r="BC1304" s="7"/>
      <c r="BD1304" s="36"/>
      <c r="BE1304" s="7"/>
      <c r="BF1304" s="7"/>
      <c r="BG1304" s="7"/>
      <c r="BH1304" s="7"/>
    </row>
    <row r="1305" spans="1:60" ht="12.75" customHeight="1" x14ac:dyDescent="0.2">
      <c r="A1305" s="51" t="s">
        <v>1507</v>
      </c>
      <c r="B1305" s="51"/>
      <c r="C1305" s="66" t="s">
        <v>1803</v>
      </c>
      <c r="D1305" s="52" t="s">
        <v>1475</v>
      </c>
      <c r="E1305" s="52" t="s">
        <v>1759</v>
      </c>
      <c r="F1305" s="53" t="str">
        <f>IFERROR(VLOOKUP(E1305,Fornecedores!$A$2:$B$2700,2,FALSE),"")</f>
        <v/>
      </c>
      <c r="G1305" s="52" t="s">
        <v>1712</v>
      </c>
      <c r="H1305" s="57"/>
      <c r="I1305" s="55">
        <f t="shared" si="436"/>
        <v>0</v>
      </c>
      <c r="J1305" s="57" t="s">
        <v>1282</v>
      </c>
      <c r="K1305" s="55">
        <v>0</v>
      </c>
      <c r="L1305" s="55">
        <v>0</v>
      </c>
      <c r="M1305" s="55">
        <v>0</v>
      </c>
      <c r="N1305" s="55">
        <f t="shared" si="437"/>
        <v>0</v>
      </c>
      <c r="O1305" s="55">
        <v>0</v>
      </c>
      <c r="P1305" s="55">
        <v>0</v>
      </c>
      <c r="Q1305" s="55">
        <v>0</v>
      </c>
      <c r="R1305" s="55">
        <f t="shared" si="438"/>
        <v>0</v>
      </c>
      <c r="S1305" s="55">
        <v>0</v>
      </c>
      <c r="T1305" s="55">
        <v>0</v>
      </c>
      <c r="U1305" s="55">
        <v>0</v>
      </c>
      <c r="V1305" s="55">
        <v>0</v>
      </c>
      <c r="W1305" s="53">
        <v>0</v>
      </c>
      <c r="X1305" s="53">
        <v>0</v>
      </c>
      <c r="Y1305" s="55">
        <v>0</v>
      </c>
      <c r="Z1305" s="55">
        <v>0</v>
      </c>
      <c r="AA1305" s="53">
        <v>0</v>
      </c>
      <c r="AB1305" s="53">
        <v>0</v>
      </c>
      <c r="AC1305" s="55">
        <v>0</v>
      </c>
      <c r="AD1305" s="55">
        <f t="shared" si="439"/>
        <v>0</v>
      </c>
      <c r="AE1305" s="53">
        <v>0</v>
      </c>
      <c r="AF1305" s="55">
        <v>0</v>
      </c>
      <c r="AG1305" s="55">
        <v>0</v>
      </c>
      <c r="AH1305" s="55">
        <f t="shared" si="432"/>
        <v>0</v>
      </c>
      <c r="AI1305" s="55">
        <v>0</v>
      </c>
      <c r="AJ1305" s="55">
        <v>0</v>
      </c>
      <c r="AK1305" s="55">
        <v>0</v>
      </c>
      <c r="AL1305" s="55">
        <f t="shared" si="434"/>
        <v>0</v>
      </c>
      <c r="AM1305" s="55" t="s">
        <v>1912</v>
      </c>
      <c r="AN1305" s="55">
        <v>0</v>
      </c>
      <c r="AO1305" s="55">
        <v>0</v>
      </c>
      <c r="AP1305" s="55">
        <f t="shared" si="427"/>
        <v>0</v>
      </c>
      <c r="AQ1305" s="55">
        <f>IFERROR(VLOOKUP(A1305,[1]SIIMPLES!$A$2:$F$418,6,FALSE),0)</f>
        <v>0</v>
      </c>
      <c r="AR1305" s="55">
        <v>0</v>
      </c>
      <c r="AS1305" s="55">
        <v>0</v>
      </c>
      <c r="AT1305" s="55">
        <v>0</v>
      </c>
      <c r="AU1305" s="55">
        <v>0</v>
      </c>
      <c r="AV1305" s="55">
        <v>0</v>
      </c>
      <c r="AW1305" s="57"/>
      <c r="AX1305" s="57"/>
      <c r="AY1305" s="56">
        <f t="shared" si="433"/>
        <v>0</v>
      </c>
      <c r="AZ1305" s="55"/>
      <c r="BA1305" s="56" t="s">
        <v>1912</v>
      </c>
      <c r="BB1305" s="41" t="str">
        <f t="shared" si="435"/>
        <v/>
      </c>
      <c r="BC1305" s="13"/>
      <c r="BD1305" s="36"/>
      <c r="BE1305" s="7"/>
      <c r="BF1305" s="7"/>
      <c r="BG1305" s="7"/>
      <c r="BH1305" s="7"/>
    </row>
    <row r="1306" spans="1:60" ht="12.75" customHeight="1" x14ac:dyDescent="0.2">
      <c r="A1306" s="51" t="s">
        <v>1527</v>
      </c>
      <c r="B1306" s="51"/>
      <c r="C1306" s="66" t="s">
        <v>1803</v>
      </c>
      <c r="D1306" s="52" t="s">
        <v>1475</v>
      </c>
      <c r="E1306" s="52" t="s">
        <v>1759</v>
      </c>
      <c r="F1306" s="53" t="str">
        <f>IFERROR(VLOOKUP(E1306,Fornecedores!$A$2:$B$2700,2,FALSE),"")</f>
        <v/>
      </c>
      <c r="G1306" s="52" t="s">
        <v>1711</v>
      </c>
      <c r="H1306" s="57"/>
      <c r="I1306" s="55">
        <f t="shared" si="436"/>
        <v>0</v>
      </c>
      <c r="J1306" s="57" t="s">
        <v>1282</v>
      </c>
      <c r="K1306" s="55">
        <v>0</v>
      </c>
      <c r="L1306" s="55">
        <v>0</v>
      </c>
      <c r="M1306" s="55">
        <v>0</v>
      </c>
      <c r="N1306" s="55">
        <f t="shared" si="437"/>
        <v>0</v>
      </c>
      <c r="O1306" s="55">
        <v>0</v>
      </c>
      <c r="P1306" s="55">
        <v>0</v>
      </c>
      <c r="Q1306" s="55">
        <v>0</v>
      </c>
      <c r="R1306" s="55">
        <f t="shared" si="438"/>
        <v>0</v>
      </c>
      <c r="S1306" s="55">
        <v>0</v>
      </c>
      <c r="T1306" s="55">
        <v>0</v>
      </c>
      <c r="U1306" s="55">
        <v>0</v>
      </c>
      <c r="V1306" s="55">
        <v>0</v>
      </c>
      <c r="W1306" s="53">
        <v>0</v>
      </c>
      <c r="X1306" s="53">
        <v>0</v>
      </c>
      <c r="Y1306" s="55">
        <v>0</v>
      </c>
      <c r="Z1306" s="55">
        <v>0</v>
      </c>
      <c r="AA1306" s="53">
        <v>0</v>
      </c>
      <c r="AB1306" s="53">
        <v>0</v>
      </c>
      <c r="AC1306" s="55">
        <v>0</v>
      </c>
      <c r="AD1306" s="55">
        <f t="shared" si="439"/>
        <v>0</v>
      </c>
      <c r="AE1306" s="53">
        <v>0</v>
      </c>
      <c r="AF1306" s="55">
        <v>0</v>
      </c>
      <c r="AG1306" s="55">
        <v>0</v>
      </c>
      <c r="AH1306" s="55">
        <f t="shared" si="432"/>
        <v>0</v>
      </c>
      <c r="AI1306" s="55">
        <v>0</v>
      </c>
      <c r="AJ1306" s="55">
        <v>0</v>
      </c>
      <c r="AK1306" s="55">
        <v>0</v>
      </c>
      <c r="AL1306" s="55">
        <f t="shared" si="434"/>
        <v>0</v>
      </c>
      <c r="AM1306" s="55" t="s">
        <v>1912</v>
      </c>
      <c r="AN1306" s="55">
        <v>0</v>
      </c>
      <c r="AO1306" s="55">
        <v>0</v>
      </c>
      <c r="AP1306" s="55">
        <f t="shared" si="427"/>
        <v>0</v>
      </c>
      <c r="AQ1306" s="55">
        <f>IFERROR(VLOOKUP(A1306,[1]SIIMPLES!$A$2:$F$418,6,FALSE),0)</f>
        <v>0</v>
      </c>
      <c r="AR1306" s="55">
        <v>0</v>
      </c>
      <c r="AS1306" s="55">
        <v>0</v>
      </c>
      <c r="AT1306" s="55">
        <v>0</v>
      </c>
      <c r="AU1306" s="55">
        <v>0</v>
      </c>
      <c r="AV1306" s="55">
        <v>0</v>
      </c>
      <c r="AW1306" s="57"/>
      <c r="AX1306" s="57"/>
      <c r="AY1306" s="56">
        <f t="shared" si="433"/>
        <v>0</v>
      </c>
      <c r="AZ1306" s="55"/>
      <c r="BA1306" s="56" t="s">
        <v>1912</v>
      </c>
      <c r="BB1306" s="41" t="str">
        <f t="shared" si="435"/>
        <v/>
      </c>
      <c r="BC1306" s="13"/>
      <c r="BD1306" s="36"/>
      <c r="BE1306" s="7"/>
      <c r="BF1306" s="7"/>
      <c r="BG1306" s="7"/>
      <c r="BH1306" s="7"/>
    </row>
    <row r="1307" spans="1:60" ht="12.75" customHeight="1" x14ac:dyDescent="0.2">
      <c r="A1307" s="51" t="s">
        <v>1515</v>
      </c>
      <c r="B1307" s="51"/>
      <c r="C1307" s="66" t="s">
        <v>1803</v>
      </c>
      <c r="D1307" s="52" t="s">
        <v>751</v>
      </c>
      <c r="E1307" s="52" t="s">
        <v>746</v>
      </c>
      <c r="F1307" s="53">
        <f>IFERROR(VLOOKUP(E1307,Fornecedores!$A$2:$B$2700,2,FALSE),"")</f>
        <v>11</v>
      </c>
      <c r="G1307" s="52" t="s">
        <v>1710</v>
      </c>
      <c r="H1307" s="57"/>
      <c r="I1307" s="55">
        <f t="shared" si="436"/>
        <v>0</v>
      </c>
      <c r="J1307" s="57" t="s">
        <v>1282</v>
      </c>
      <c r="K1307" s="55">
        <v>0</v>
      </c>
      <c r="L1307" s="55">
        <v>0</v>
      </c>
      <c r="M1307" s="55">
        <v>0</v>
      </c>
      <c r="N1307" s="55">
        <f t="shared" si="437"/>
        <v>0</v>
      </c>
      <c r="O1307" s="55">
        <v>0</v>
      </c>
      <c r="P1307" s="55">
        <v>0</v>
      </c>
      <c r="Q1307" s="55">
        <v>0</v>
      </c>
      <c r="R1307" s="55">
        <f t="shared" si="438"/>
        <v>0</v>
      </c>
      <c r="S1307" s="55">
        <v>0</v>
      </c>
      <c r="T1307" s="55">
        <v>0</v>
      </c>
      <c r="U1307" s="55">
        <v>0</v>
      </c>
      <c r="V1307" s="55">
        <v>0</v>
      </c>
      <c r="W1307" s="53">
        <v>0</v>
      </c>
      <c r="X1307" s="53">
        <v>0</v>
      </c>
      <c r="Y1307" s="55">
        <v>0</v>
      </c>
      <c r="Z1307" s="55">
        <v>0</v>
      </c>
      <c r="AA1307" s="53">
        <v>0</v>
      </c>
      <c r="AB1307" s="53">
        <v>0</v>
      </c>
      <c r="AC1307" s="55">
        <v>0</v>
      </c>
      <c r="AD1307" s="55">
        <f t="shared" si="439"/>
        <v>0</v>
      </c>
      <c r="AE1307" s="53">
        <v>0</v>
      </c>
      <c r="AF1307" s="55">
        <v>0</v>
      </c>
      <c r="AG1307" s="55">
        <v>0</v>
      </c>
      <c r="AH1307" s="55">
        <f t="shared" ref="AH1307:AH1338" si="440">SUM(AI1307:AK1307)</f>
        <v>0</v>
      </c>
      <c r="AI1307" s="55">
        <v>0</v>
      </c>
      <c r="AJ1307" s="55">
        <v>0</v>
      </c>
      <c r="AK1307" s="55">
        <v>0</v>
      </c>
      <c r="AL1307" s="55">
        <f t="shared" si="434"/>
        <v>0</v>
      </c>
      <c r="AM1307" s="55" t="s">
        <v>1912</v>
      </c>
      <c r="AN1307" s="55">
        <v>0</v>
      </c>
      <c r="AO1307" s="55">
        <v>0</v>
      </c>
      <c r="AP1307" s="55">
        <f t="shared" si="427"/>
        <v>0</v>
      </c>
      <c r="AQ1307" s="55">
        <f>IFERROR(VLOOKUP(A1307,[1]SIIMPLES!$A$2:$F$418,6,FALSE),0)</f>
        <v>0</v>
      </c>
      <c r="AR1307" s="55">
        <v>0</v>
      </c>
      <c r="AS1307" s="55">
        <v>0</v>
      </c>
      <c r="AT1307" s="55">
        <v>0</v>
      </c>
      <c r="AU1307" s="55">
        <v>0</v>
      </c>
      <c r="AV1307" s="55">
        <v>0</v>
      </c>
      <c r="AW1307" s="57"/>
      <c r="AX1307" s="57"/>
      <c r="AY1307" s="56">
        <f t="shared" ref="AY1307:AY1338" si="441">IFERROR(AVERAGE(I1307,N1307,R1307,V1307,Z1307,AD1307,AH1307,AL1307,AP1307,AS1307,AW1307,AX1307),"-")</f>
        <v>0</v>
      </c>
      <c r="AZ1307" s="55"/>
      <c r="BA1307" s="56" t="s">
        <v>1912</v>
      </c>
      <c r="BB1307" s="41" t="str">
        <f t="shared" si="435"/>
        <v/>
      </c>
      <c r="BC1307" s="13"/>
      <c r="BD1307" s="36"/>
      <c r="BE1307" s="7"/>
      <c r="BF1307" s="7"/>
      <c r="BG1307" s="7"/>
      <c r="BH1307" s="7"/>
    </row>
    <row r="1308" spans="1:60" ht="12.75" customHeight="1" x14ac:dyDescent="0.2">
      <c r="A1308" s="51" t="s">
        <v>1386</v>
      </c>
      <c r="B1308" s="51"/>
      <c r="C1308" s="66" t="s">
        <v>1803</v>
      </c>
      <c r="D1308" s="52" t="s">
        <v>751</v>
      </c>
      <c r="E1308" s="52" t="s">
        <v>746</v>
      </c>
      <c r="F1308" s="53">
        <f>IFERROR(VLOOKUP(E1308,Fornecedores!$A$2:$B$2700,2,FALSE),"")</f>
        <v>11</v>
      </c>
      <c r="G1308" s="52" t="s">
        <v>1578</v>
      </c>
      <c r="H1308" s="57"/>
      <c r="I1308" s="55">
        <f t="shared" si="436"/>
        <v>2</v>
      </c>
      <c r="J1308" s="55">
        <v>0</v>
      </c>
      <c r="K1308" s="55">
        <v>2</v>
      </c>
      <c r="L1308" s="55">
        <v>0</v>
      </c>
      <c r="M1308" s="55">
        <v>0</v>
      </c>
      <c r="N1308" s="55">
        <f t="shared" si="437"/>
        <v>0</v>
      </c>
      <c r="O1308" s="55">
        <v>0</v>
      </c>
      <c r="P1308" s="55">
        <v>0</v>
      </c>
      <c r="Q1308" s="55">
        <v>0</v>
      </c>
      <c r="R1308" s="55">
        <f t="shared" si="438"/>
        <v>0</v>
      </c>
      <c r="S1308" s="55">
        <v>0</v>
      </c>
      <c r="T1308" s="55">
        <v>0</v>
      </c>
      <c r="U1308" s="55">
        <v>0</v>
      </c>
      <c r="V1308" s="55">
        <v>0</v>
      </c>
      <c r="W1308" s="53">
        <v>0</v>
      </c>
      <c r="X1308" s="53">
        <v>0</v>
      </c>
      <c r="Y1308" s="55">
        <v>0</v>
      </c>
      <c r="Z1308" s="55">
        <v>0</v>
      </c>
      <c r="AA1308" s="53">
        <v>0</v>
      </c>
      <c r="AB1308" s="53">
        <v>0</v>
      </c>
      <c r="AC1308" s="55">
        <v>0</v>
      </c>
      <c r="AD1308" s="55">
        <f t="shared" si="439"/>
        <v>0</v>
      </c>
      <c r="AE1308" s="53">
        <v>0</v>
      </c>
      <c r="AF1308" s="55">
        <v>0</v>
      </c>
      <c r="AG1308" s="55">
        <v>0</v>
      </c>
      <c r="AH1308" s="55">
        <f t="shared" si="440"/>
        <v>0</v>
      </c>
      <c r="AI1308" s="55">
        <v>0</v>
      </c>
      <c r="AJ1308" s="55">
        <v>0</v>
      </c>
      <c r="AK1308" s="55">
        <v>0</v>
      </c>
      <c r="AL1308" s="55">
        <f t="shared" si="434"/>
        <v>0</v>
      </c>
      <c r="AM1308" s="55" t="s">
        <v>1912</v>
      </c>
      <c r="AN1308" s="55">
        <v>0</v>
      </c>
      <c r="AO1308" s="55">
        <v>0</v>
      </c>
      <c r="AP1308" s="55">
        <f t="shared" si="427"/>
        <v>0</v>
      </c>
      <c r="AQ1308" s="55">
        <f>IFERROR(VLOOKUP(A1308,[1]SIIMPLES!$A$2:$F$418,6,FALSE),0)</f>
        <v>0</v>
      </c>
      <c r="AR1308" s="55">
        <v>0</v>
      </c>
      <c r="AS1308" s="55">
        <v>2</v>
      </c>
      <c r="AT1308" s="55">
        <v>0</v>
      </c>
      <c r="AU1308" s="55">
        <v>2</v>
      </c>
      <c r="AV1308" s="55">
        <v>0</v>
      </c>
      <c r="AW1308" s="57"/>
      <c r="AX1308" s="55"/>
      <c r="AY1308" s="56">
        <f t="shared" si="441"/>
        <v>0.4</v>
      </c>
      <c r="AZ1308" s="55"/>
      <c r="BA1308" s="56">
        <v>0</v>
      </c>
      <c r="BB1308" s="41" t="str">
        <f t="shared" si="435"/>
        <v/>
      </c>
      <c r="BC1308" s="13"/>
      <c r="BD1308" s="36"/>
      <c r="BE1308" s="7"/>
      <c r="BF1308" s="7"/>
      <c r="BG1308" s="7"/>
      <c r="BH1308" s="7"/>
    </row>
    <row r="1309" spans="1:60" ht="12.75" customHeight="1" x14ac:dyDescent="0.2">
      <c r="A1309" s="68" t="s">
        <v>1410</v>
      </c>
      <c r="B1309" s="51"/>
      <c r="C1309" s="66" t="s">
        <v>1803</v>
      </c>
      <c r="D1309" s="52" t="s">
        <v>1475</v>
      </c>
      <c r="E1309" s="52" t="s">
        <v>1759</v>
      </c>
      <c r="F1309" s="53" t="str">
        <f>IFERROR(VLOOKUP(E1309,Fornecedores!$A$2:$B$2700,2,FALSE),"")</f>
        <v/>
      </c>
      <c r="G1309" s="52" t="s">
        <v>1640</v>
      </c>
      <c r="H1309" s="57"/>
      <c r="I1309" s="55">
        <f t="shared" si="436"/>
        <v>0</v>
      </c>
      <c r="J1309" s="55">
        <v>0</v>
      </c>
      <c r="K1309" s="55">
        <v>0</v>
      </c>
      <c r="L1309" s="55">
        <v>0</v>
      </c>
      <c r="M1309" s="55">
        <v>0</v>
      </c>
      <c r="N1309" s="55">
        <f t="shared" si="437"/>
        <v>0</v>
      </c>
      <c r="O1309" s="55">
        <v>0</v>
      </c>
      <c r="P1309" s="55">
        <v>0</v>
      </c>
      <c r="Q1309" s="55">
        <v>0</v>
      </c>
      <c r="R1309" s="55">
        <f t="shared" si="438"/>
        <v>1</v>
      </c>
      <c r="S1309" s="55">
        <v>0</v>
      </c>
      <c r="T1309" s="55">
        <v>1</v>
      </c>
      <c r="U1309" s="55">
        <v>0</v>
      </c>
      <c r="V1309" s="55">
        <v>1</v>
      </c>
      <c r="W1309" s="53">
        <v>0</v>
      </c>
      <c r="X1309" s="53">
        <v>1</v>
      </c>
      <c r="Y1309" s="55">
        <v>0</v>
      </c>
      <c r="Z1309" s="55">
        <v>1</v>
      </c>
      <c r="AA1309" s="53">
        <v>0</v>
      </c>
      <c r="AB1309" s="53">
        <v>1</v>
      </c>
      <c r="AC1309" s="55">
        <v>0</v>
      </c>
      <c r="AD1309" s="55">
        <f t="shared" si="439"/>
        <v>1</v>
      </c>
      <c r="AE1309" s="53">
        <v>0</v>
      </c>
      <c r="AF1309" s="55">
        <v>1</v>
      </c>
      <c r="AG1309" s="55">
        <v>0</v>
      </c>
      <c r="AH1309" s="55">
        <f t="shared" si="440"/>
        <v>0</v>
      </c>
      <c r="AI1309" s="55">
        <v>0</v>
      </c>
      <c r="AJ1309" s="55">
        <v>0</v>
      </c>
      <c r="AK1309" s="55">
        <v>0</v>
      </c>
      <c r="AL1309" s="55">
        <f t="shared" si="434"/>
        <v>0</v>
      </c>
      <c r="AM1309" s="55" t="s">
        <v>1912</v>
      </c>
      <c r="AN1309" s="55">
        <v>0</v>
      </c>
      <c r="AO1309" s="55">
        <v>0</v>
      </c>
      <c r="AP1309" s="55">
        <f t="shared" si="427"/>
        <v>0</v>
      </c>
      <c r="AQ1309" s="55">
        <f>IFERROR(VLOOKUP(A1309,[1]SIIMPLES!$A$2:$F$418,6,FALSE),0)</f>
        <v>0</v>
      </c>
      <c r="AR1309" s="55">
        <v>0</v>
      </c>
      <c r="AS1309" s="55">
        <v>0</v>
      </c>
      <c r="AT1309" s="55">
        <v>0</v>
      </c>
      <c r="AU1309" s="55">
        <v>0</v>
      </c>
      <c r="AV1309" s="55">
        <v>0</v>
      </c>
      <c r="AW1309" s="57"/>
      <c r="AX1309" s="55"/>
      <c r="AY1309" s="56">
        <f t="shared" si="441"/>
        <v>0.4</v>
      </c>
      <c r="AZ1309" s="55"/>
      <c r="BA1309" s="56">
        <v>0</v>
      </c>
      <c r="BB1309" s="41" t="str">
        <f t="shared" si="435"/>
        <v/>
      </c>
      <c r="BC1309" s="7"/>
      <c r="BD1309" s="36"/>
      <c r="BE1309" s="7"/>
      <c r="BF1309" s="7"/>
      <c r="BG1309" s="7"/>
      <c r="BH1309" s="7"/>
    </row>
    <row r="1310" spans="1:60" ht="12.75" customHeight="1" x14ac:dyDescent="0.2">
      <c r="A1310" s="51" t="s">
        <v>1529</v>
      </c>
      <c r="B1310" s="51"/>
      <c r="C1310" s="66" t="s">
        <v>1803</v>
      </c>
      <c r="D1310" s="52" t="s">
        <v>751</v>
      </c>
      <c r="E1310" s="52" t="s">
        <v>746</v>
      </c>
      <c r="F1310" s="53">
        <f>IFERROR(VLOOKUP(E1310,Fornecedores!$A$2:$B$2700,2,FALSE),"")</f>
        <v>11</v>
      </c>
      <c r="G1310" s="52" t="s">
        <v>1709</v>
      </c>
      <c r="H1310" s="57"/>
      <c r="I1310" s="55">
        <f t="shared" si="436"/>
        <v>0</v>
      </c>
      <c r="J1310" s="57" t="s">
        <v>1282</v>
      </c>
      <c r="K1310" s="55">
        <v>0</v>
      </c>
      <c r="L1310" s="55">
        <v>0</v>
      </c>
      <c r="M1310" s="55">
        <v>0</v>
      </c>
      <c r="N1310" s="55">
        <f t="shared" si="437"/>
        <v>0</v>
      </c>
      <c r="O1310" s="55">
        <v>0</v>
      </c>
      <c r="P1310" s="55">
        <v>0</v>
      </c>
      <c r="Q1310" s="55">
        <v>0</v>
      </c>
      <c r="R1310" s="55">
        <f t="shared" si="438"/>
        <v>0</v>
      </c>
      <c r="S1310" s="55">
        <v>0</v>
      </c>
      <c r="T1310" s="55">
        <v>0</v>
      </c>
      <c r="U1310" s="55">
        <v>0</v>
      </c>
      <c r="V1310" s="55">
        <v>0</v>
      </c>
      <c r="W1310" s="53">
        <v>0</v>
      </c>
      <c r="X1310" s="53">
        <v>0</v>
      </c>
      <c r="Y1310" s="55">
        <v>0</v>
      </c>
      <c r="Z1310" s="55">
        <v>0</v>
      </c>
      <c r="AA1310" s="53">
        <v>0</v>
      </c>
      <c r="AB1310" s="53">
        <v>0</v>
      </c>
      <c r="AC1310" s="55">
        <v>0</v>
      </c>
      <c r="AD1310" s="55">
        <f t="shared" si="439"/>
        <v>0</v>
      </c>
      <c r="AE1310" s="53">
        <v>0</v>
      </c>
      <c r="AF1310" s="55">
        <v>0</v>
      </c>
      <c r="AG1310" s="55">
        <v>0</v>
      </c>
      <c r="AH1310" s="55">
        <f t="shared" si="440"/>
        <v>0</v>
      </c>
      <c r="AI1310" s="55">
        <v>0</v>
      </c>
      <c r="AJ1310" s="55">
        <v>0</v>
      </c>
      <c r="AK1310" s="55">
        <v>0</v>
      </c>
      <c r="AL1310" s="55">
        <f t="shared" si="434"/>
        <v>0</v>
      </c>
      <c r="AM1310" s="55" t="s">
        <v>1912</v>
      </c>
      <c r="AN1310" s="55">
        <v>0</v>
      </c>
      <c r="AO1310" s="55">
        <v>0</v>
      </c>
      <c r="AP1310" s="55">
        <f t="shared" si="427"/>
        <v>0</v>
      </c>
      <c r="AQ1310" s="55">
        <f>IFERROR(VLOOKUP(A1310,[1]SIIMPLES!$A$2:$F$418,6,FALSE),0)</f>
        <v>0</v>
      </c>
      <c r="AR1310" s="55">
        <v>0</v>
      </c>
      <c r="AS1310" s="55">
        <v>0</v>
      </c>
      <c r="AT1310" s="55">
        <v>0</v>
      </c>
      <c r="AU1310" s="55">
        <v>0</v>
      </c>
      <c r="AV1310" s="55">
        <v>0</v>
      </c>
      <c r="AW1310" s="57"/>
      <c r="AX1310" s="57"/>
      <c r="AY1310" s="56">
        <f t="shared" si="441"/>
        <v>0</v>
      </c>
      <c r="AZ1310" s="55"/>
      <c r="BA1310" s="56" t="s">
        <v>1912</v>
      </c>
      <c r="BB1310" s="41" t="str">
        <f t="shared" si="435"/>
        <v/>
      </c>
      <c r="BC1310" s="7"/>
      <c r="BD1310" s="36"/>
      <c r="BE1310" s="7"/>
      <c r="BF1310" s="7"/>
      <c r="BG1310" s="7"/>
      <c r="BH1310" s="7"/>
    </row>
    <row r="1311" spans="1:60" ht="12.75" customHeight="1" x14ac:dyDescent="0.2">
      <c r="A1311" s="51" t="s">
        <v>1516</v>
      </c>
      <c r="B1311" s="51"/>
      <c r="C1311" s="66" t="s">
        <v>1803</v>
      </c>
      <c r="D1311" s="52" t="s">
        <v>751</v>
      </c>
      <c r="E1311" s="52" t="s">
        <v>746</v>
      </c>
      <c r="F1311" s="53">
        <f>IFERROR(VLOOKUP(E1311,Fornecedores!$A$2:$B$2700,2,FALSE),"")</f>
        <v>11</v>
      </c>
      <c r="G1311" s="52" t="s">
        <v>1708</v>
      </c>
      <c r="H1311" s="57"/>
      <c r="I1311" s="55">
        <f t="shared" si="436"/>
        <v>0</v>
      </c>
      <c r="J1311" s="57" t="s">
        <v>1282</v>
      </c>
      <c r="K1311" s="55">
        <v>0</v>
      </c>
      <c r="L1311" s="55">
        <v>0</v>
      </c>
      <c r="M1311" s="55">
        <v>0</v>
      </c>
      <c r="N1311" s="55">
        <f t="shared" si="437"/>
        <v>0</v>
      </c>
      <c r="O1311" s="55">
        <v>0</v>
      </c>
      <c r="P1311" s="55">
        <v>0</v>
      </c>
      <c r="Q1311" s="55">
        <v>0</v>
      </c>
      <c r="R1311" s="55">
        <f t="shared" si="438"/>
        <v>0</v>
      </c>
      <c r="S1311" s="55">
        <v>0</v>
      </c>
      <c r="T1311" s="55">
        <v>0</v>
      </c>
      <c r="U1311" s="55">
        <v>0</v>
      </c>
      <c r="V1311" s="55">
        <v>0</v>
      </c>
      <c r="W1311" s="53">
        <v>0</v>
      </c>
      <c r="X1311" s="53">
        <v>0</v>
      </c>
      <c r="Y1311" s="55">
        <v>0</v>
      </c>
      <c r="Z1311" s="55">
        <v>0</v>
      </c>
      <c r="AA1311" s="53">
        <v>0</v>
      </c>
      <c r="AB1311" s="53">
        <v>0</v>
      </c>
      <c r="AC1311" s="55">
        <v>0</v>
      </c>
      <c r="AD1311" s="55">
        <f t="shared" si="439"/>
        <v>0</v>
      </c>
      <c r="AE1311" s="53">
        <v>0</v>
      </c>
      <c r="AF1311" s="55">
        <v>0</v>
      </c>
      <c r="AG1311" s="55">
        <v>0</v>
      </c>
      <c r="AH1311" s="55">
        <f t="shared" si="440"/>
        <v>0</v>
      </c>
      <c r="AI1311" s="55">
        <v>0</v>
      </c>
      <c r="AJ1311" s="55">
        <v>0</v>
      </c>
      <c r="AK1311" s="55">
        <v>0</v>
      </c>
      <c r="AL1311" s="55">
        <f t="shared" si="434"/>
        <v>0</v>
      </c>
      <c r="AM1311" s="55" t="s">
        <v>1912</v>
      </c>
      <c r="AN1311" s="55">
        <v>0</v>
      </c>
      <c r="AO1311" s="55">
        <v>0</v>
      </c>
      <c r="AP1311" s="55">
        <f t="shared" si="427"/>
        <v>0</v>
      </c>
      <c r="AQ1311" s="55">
        <f>IFERROR(VLOOKUP(A1311,[1]SIIMPLES!$A$2:$F$418,6,FALSE),0)</f>
        <v>0</v>
      </c>
      <c r="AR1311" s="55">
        <v>0</v>
      </c>
      <c r="AS1311" s="55">
        <v>0</v>
      </c>
      <c r="AT1311" s="55">
        <v>0</v>
      </c>
      <c r="AU1311" s="55">
        <v>0</v>
      </c>
      <c r="AV1311" s="55">
        <v>0</v>
      </c>
      <c r="AW1311" s="57"/>
      <c r="AX1311" s="57"/>
      <c r="AY1311" s="56">
        <f t="shared" si="441"/>
        <v>0</v>
      </c>
      <c r="AZ1311" s="55"/>
      <c r="BA1311" s="56" t="s">
        <v>1912</v>
      </c>
      <c r="BB1311" s="41" t="str">
        <f t="shared" si="435"/>
        <v/>
      </c>
      <c r="BC1311" s="7"/>
      <c r="BD1311" s="36"/>
      <c r="BE1311" s="7"/>
      <c r="BF1311" s="7"/>
      <c r="BG1311" s="7"/>
      <c r="BH1311" s="7"/>
    </row>
    <row r="1312" spans="1:60" ht="12.75" customHeight="1" x14ac:dyDescent="0.2">
      <c r="A1312" s="51" t="s">
        <v>1530</v>
      </c>
      <c r="B1312" s="51"/>
      <c r="C1312" s="66" t="s">
        <v>1803</v>
      </c>
      <c r="D1312" s="52" t="s">
        <v>751</v>
      </c>
      <c r="E1312" s="52" t="s">
        <v>746</v>
      </c>
      <c r="F1312" s="53">
        <f>IFERROR(VLOOKUP(E1312,Fornecedores!$A$2:$B$2700,2,FALSE),"")</f>
        <v>11</v>
      </c>
      <c r="G1312" s="52" t="s">
        <v>1707</v>
      </c>
      <c r="H1312" s="57"/>
      <c r="I1312" s="55">
        <f t="shared" si="436"/>
        <v>0</v>
      </c>
      <c r="J1312" s="57" t="s">
        <v>1282</v>
      </c>
      <c r="K1312" s="55">
        <v>0</v>
      </c>
      <c r="L1312" s="55">
        <v>0</v>
      </c>
      <c r="M1312" s="55">
        <v>0</v>
      </c>
      <c r="N1312" s="55">
        <f t="shared" si="437"/>
        <v>0</v>
      </c>
      <c r="O1312" s="55">
        <v>0</v>
      </c>
      <c r="P1312" s="55">
        <v>0</v>
      </c>
      <c r="Q1312" s="55">
        <v>0</v>
      </c>
      <c r="R1312" s="55">
        <f t="shared" si="438"/>
        <v>0</v>
      </c>
      <c r="S1312" s="55">
        <v>0</v>
      </c>
      <c r="T1312" s="55">
        <v>0</v>
      </c>
      <c r="U1312" s="55">
        <v>0</v>
      </c>
      <c r="V1312" s="55">
        <v>0</v>
      </c>
      <c r="W1312" s="53">
        <v>0</v>
      </c>
      <c r="X1312" s="53">
        <v>0</v>
      </c>
      <c r="Y1312" s="55">
        <v>0</v>
      </c>
      <c r="Z1312" s="55">
        <v>0</v>
      </c>
      <c r="AA1312" s="53">
        <v>0</v>
      </c>
      <c r="AB1312" s="53">
        <v>0</v>
      </c>
      <c r="AC1312" s="55">
        <v>0</v>
      </c>
      <c r="AD1312" s="55">
        <f t="shared" si="439"/>
        <v>0</v>
      </c>
      <c r="AE1312" s="53">
        <v>0</v>
      </c>
      <c r="AF1312" s="55">
        <v>0</v>
      </c>
      <c r="AG1312" s="55">
        <v>0</v>
      </c>
      <c r="AH1312" s="55">
        <f t="shared" si="440"/>
        <v>0</v>
      </c>
      <c r="AI1312" s="55">
        <v>0</v>
      </c>
      <c r="AJ1312" s="55">
        <v>0</v>
      </c>
      <c r="AK1312" s="55">
        <v>0</v>
      </c>
      <c r="AL1312" s="55">
        <f t="shared" si="434"/>
        <v>0</v>
      </c>
      <c r="AM1312" s="55" t="s">
        <v>1912</v>
      </c>
      <c r="AN1312" s="55">
        <v>0</v>
      </c>
      <c r="AO1312" s="55">
        <v>0</v>
      </c>
      <c r="AP1312" s="55">
        <f t="shared" si="427"/>
        <v>0</v>
      </c>
      <c r="AQ1312" s="55">
        <f>IFERROR(VLOOKUP(A1312,[1]SIIMPLES!$A$2:$F$418,6,FALSE),0)</f>
        <v>0</v>
      </c>
      <c r="AR1312" s="55">
        <v>0</v>
      </c>
      <c r="AS1312" s="55">
        <v>0</v>
      </c>
      <c r="AT1312" s="55">
        <v>0</v>
      </c>
      <c r="AU1312" s="55">
        <v>0</v>
      </c>
      <c r="AV1312" s="55">
        <v>0</v>
      </c>
      <c r="AW1312" s="57"/>
      <c r="AX1312" s="57"/>
      <c r="AY1312" s="56">
        <f t="shared" si="441"/>
        <v>0</v>
      </c>
      <c r="AZ1312" s="55"/>
      <c r="BA1312" s="56" t="s">
        <v>1912</v>
      </c>
      <c r="BB1312" s="41" t="str">
        <f t="shared" si="435"/>
        <v/>
      </c>
      <c r="BC1312" s="7"/>
      <c r="BD1312" s="36"/>
      <c r="BE1312" s="7"/>
      <c r="BF1312" s="7"/>
      <c r="BG1312" s="7"/>
      <c r="BH1312" s="7"/>
    </row>
    <row r="1313" spans="1:60" ht="12.75" customHeight="1" x14ac:dyDescent="0.2">
      <c r="A1313" s="51" t="s">
        <v>1508</v>
      </c>
      <c r="B1313" s="51"/>
      <c r="C1313" s="66" t="s">
        <v>1803</v>
      </c>
      <c r="D1313" s="52" t="s">
        <v>751</v>
      </c>
      <c r="E1313" s="52" t="s">
        <v>746</v>
      </c>
      <c r="F1313" s="53">
        <f>IFERROR(VLOOKUP(E1313,Fornecedores!$A$2:$B$2700,2,FALSE),"")</f>
        <v>11</v>
      </c>
      <c r="G1313" s="52" t="s">
        <v>1706</v>
      </c>
      <c r="H1313" s="57"/>
      <c r="I1313" s="55">
        <f t="shared" si="436"/>
        <v>0</v>
      </c>
      <c r="J1313" s="57" t="s">
        <v>1282</v>
      </c>
      <c r="K1313" s="55">
        <v>0</v>
      </c>
      <c r="L1313" s="55">
        <v>0</v>
      </c>
      <c r="M1313" s="55">
        <v>0</v>
      </c>
      <c r="N1313" s="55">
        <f t="shared" si="437"/>
        <v>0</v>
      </c>
      <c r="O1313" s="55">
        <v>0</v>
      </c>
      <c r="P1313" s="55">
        <v>0</v>
      </c>
      <c r="Q1313" s="55">
        <v>0</v>
      </c>
      <c r="R1313" s="55">
        <f t="shared" si="438"/>
        <v>0</v>
      </c>
      <c r="S1313" s="55">
        <v>0</v>
      </c>
      <c r="T1313" s="55">
        <v>0</v>
      </c>
      <c r="U1313" s="55">
        <v>0</v>
      </c>
      <c r="V1313" s="55">
        <v>0</v>
      </c>
      <c r="W1313" s="53">
        <v>0</v>
      </c>
      <c r="X1313" s="53">
        <v>0</v>
      </c>
      <c r="Y1313" s="55">
        <v>0</v>
      </c>
      <c r="Z1313" s="55">
        <v>0</v>
      </c>
      <c r="AA1313" s="53">
        <v>0</v>
      </c>
      <c r="AB1313" s="53">
        <v>0</v>
      </c>
      <c r="AC1313" s="55">
        <v>0</v>
      </c>
      <c r="AD1313" s="55">
        <f t="shared" si="439"/>
        <v>0</v>
      </c>
      <c r="AE1313" s="53">
        <v>0</v>
      </c>
      <c r="AF1313" s="55">
        <v>0</v>
      </c>
      <c r="AG1313" s="55">
        <v>0</v>
      </c>
      <c r="AH1313" s="55">
        <f t="shared" si="440"/>
        <v>0</v>
      </c>
      <c r="AI1313" s="55">
        <v>0</v>
      </c>
      <c r="AJ1313" s="55">
        <v>0</v>
      </c>
      <c r="AK1313" s="55">
        <v>0</v>
      </c>
      <c r="AL1313" s="55">
        <f t="shared" si="434"/>
        <v>0</v>
      </c>
      <c r="AM1313" s="55" t="s">
        <v>1912</v>
      </c>
      <c r="AN1313" s="55">
        <v>0</v>
      </c>
      <c r="AO1313" s="55">
        <v>0</v>
      </c>
      <c r="AP1313" s="55">
        <f t="shared" si="427"/>
        <v>0</v>
      </c>
      <c r="AQ1313" s="55">
        <f>IFERROR(VLOOKUP(A1313,[1]SIIMPLES!$A$2:$F$418,6,FALSE),0)</f>
        <v>0</v>
      </c>
      <c r="AR1313" s="55">
        <v>0</v>
      </c>
      <c r="AS1313" s="55">
        <v>0</v>
      </c>
      <c r="AT1313" s="55">
        <v>0</v>
      </c>
      <c r="AU1313" s="55">
        <v>0</v>
      </c>
      <c r="AV1313" s="55">
        <v>0</v>
      </c>
      <c r="AW1313" s="57"/>
      <c r="AX1313" s="57"/>
      <c r="AY1313" s="56">
        <f t="shared" si="441"/>
        <v>0</v>
      </c>
      <c r="AZ1313" s="55"/>
      <c r="BA1313" s="56" t="s">
        <v>1912</v>
      </c>
      <c r="BB1313" s="41" t="str">
        <f t="shared" si="435"/>
        <v/>
      </c>
      <c r="BC1313" s="7"/>
      <c r="BD1313" s="36"/>
      <c r="BE1313" s="7"/>
      <c r="BF1313" s="7"/>
      <c r="BG1313" s="7"/>
      <c r="BH1313" s="7"/>
    </row>
    <row r="1314" spans="1:60" ht="12.75" customHeight="1" x14ac:dyDescent="0.2">
      <c r="A1314" s="51" t="s">
        <v>1531</v>
      </c>
      <c r="B1314" s="51"/>
      <c r="C1314" s="66" t="s">
        <v>1803</v>
      </c>
      <c r="D1314" s="52" t="s">
        <v>751</v>
      </c>
      <c r="E1314" s="52" t="s">
        <v>746</v>
      </c>
      <c r="F1314" s="53">
        <f>IFERROR(VLOOKUP(E1314,Fornecedores!$A$2:$B$2700,2,FALSE),"")</f>
        <v>11</v>
      </c>
      <c r="G1314" s="52" t="s">
        <v>1705</v>
      </c>
      <c r="H1314" s="57"/>
      <c r="I1314" s="55">
        <f t="shared" si="436"/>
        <v>0</v>
      </c>
      <c r="J1314" s="57" t="s">
        <v>1282</v>
      </c>
      <c r="K1314" s="55">
        <v>0</v>
      </c>
      <c r="L1314" s="55">
        <v>0</v>
      </c>
      <c r="M1314" s="55">
        <v>0</v>
      </c>
      <c r="N1314" s="55">
        <f t="shared" si="437"/>
        <v>0</v>
      </c>
      <c r="O1314" s="55">
        <v>0</v>
      </c>
      <c r="P1314" s="55">
        <v>0</v>
      </c>
      <c r="Q1314" s="55">
        <v>0</v>
      </c>
      <c r="R1314" s="55">
        <f t="shared" si="438"/>
        <v>2</v>
      </c>
      <c r="S1314" s="55">
        <v>2</v>
      </c>
      <c r="T1314" s="55">
        <v>0</v>
      </c>
      <c r="U1314" s="55">
        <v>0</v>
      </c>
      <c r="V1314" s="55">
        <v>0</v>
      </c>
      <c r="W1314" s="53">
        <v>0</v>
      </c>
      <c r="X1314" s="53">
        <v>0</v>
      </c>
      <c r="Y1314" s="55">
        <v>0</v>
      </c>
      <c r="Z1314" s="55">
        <v>0</v>
      </c>
      <c r="AA1314" s="53">
        <v>0</v>
      </c>
      <c r="AB1314" s="53">
        <v>0</v>
      </c>
      <c r="AC1314" s="55">
        <v>0</v>
      </c>
      <c r="AD1314" s="55">
        <f t="shared" si="439"/>
        <v>0</v>
      </c>
      <c r="AE1314" s="53">
        <v>0</v>
      </c>
      <c r="AF1314" s="55">
        <v>0</v>
      </c>
      <c r="AG1314" s="55">
        <v>0</v>
      </c>
      <c r="AH1314" s="55">
        <f t="shared" si="440"/>
        <v>0</v>
      </c>
      <c r="AI1314" s="55">
        <v>0</v>
      </c>
      <c r="AJ1314" s="55">
        <v>0</v>
      </c>
      <c r="AK1314" s="55">
        <v>0</v>
      </c>
      <c r="AL1314" s="55">
        <f t="shared" si="434"/>
        <v>0</v>
      </c>
      <c r="AM1314" s="55" t="s">
        <v>1912</v>
      </c>
      <c r="AN1314" s="55">
        <v>0</v>
      </c>
      <c r="AO1314" s="55">
        <v>0</v>
      </c>
      <c r="AP1314" s="55">
        <f t="shared" si="427"/>
        <v>0</v>
      </c>
      <c r="AQ1314" s="55">
        <f>IFERROR(VLOOKUP(A1314,[1]SIIMPLES!$A$2:$F$418,6,FALSE),0)</f>
        <v>0</v>
      </c>
      <c r="AR1314" s="55">
        <v>0</v>
      </c>
      <c r="AS1314" s="55">
        <v>0</v>
      </c>
      <c r="AT1314" s="55">
        <v>0</v>
      </c>
      <c r="AU1314" s="55">
        <v>0</v>
      </c>
      <c r="AV1314" s="55">
        <v>0</v>
      </c>
      <c r="AW1314" s="57"/>
      <c r="AX1314" s="57"/>
      <c r="AY1314" s="56">
        <f t="shared" si="441"/>
        <v>0.2</v>
      </c>
      <c r="AZ1314" s="55"/>
      <c r="BA1314" s="56" t="s">
        <v>1912</v>
      </c>
      <c r="BB1314" s="41" t="str">
        <f t="shared" si="435"/>
        <v/>
      </c>
      <c r="BC1314" s="7"/>
      <c r="BD1314" s="36"/>
      <c r="BE1314" s="7"/>
      <c r="BF1314" s="7"/>
      <c r="BG1314" s="7"/>
      <c r="BH1314" s="7"/>
    </row>
    <row r="1315" spans="1:60" ht="12.75" customHeight="1" x14ac:dyDescent="0.2">
      <c r="A1315" s="51" t="s">
        <v>1435</v>
      </c>
      <c r="B1315" s="51"/>
      <c r="C1315" s="66" t="s">
        <v>1803</v>
      </c>
      <c r="D1315" s="52" t="s">
        <v>751</v>
      </c>
      <c r="E1315" s="52" t="s">
        <v>746</v>
      </c>
      <c r="F1315" s="53">
        <f>IFERROR(VLOOKUP(E1315,Fornecedores!$A$2:$B$2700,2,FALSE),"")</f>
        <v>11</v>
      </c>
      <c r="G1315" s="52" t="s">
        <v>1439</v>
      </c>
      <c r="H1315" s="57"/>
      <c r="I1315" s="55">
        <f t="shared" si="436"/>
        <v>0</v>
      </c>
      <c r="J1315" s="55">
        <v>0</v>
      </c>
      <c r="K1315" s="55">
        <v>0</v>
      </c>
      <c r="L1315" s="55">
        <v>0</v>
      </c>
      <c r="M1315" s="55">
        <v>0</v>
      </c>
      <c r="N1315" s="55">
        <f t="shared" si="437"/>
        <v>1</v>
      </c>
      <c r="O1315" s="55">
        <v>1</v>
      </c>
      <c r="P1315" s="55">
        <v>0</v>
      </c>
      <c r="Q1315" s="55">
        <v>0</v>
      </c>
      <c r="R1315" s="55">
        <f t="shared" si="438"/>
        <v>0</v>
      </c>
      <c r="S1315" s="55">
        <v>0</v>
      </c>
      <c r="T1315" s="55">
        <v>0</v>
      </c>
      <c r="U1315" s="55">
        <v>0</v>
      </c>
      <c r="V1315" s="55">
        <v>0</v>
      </c>
      <c r="W1315" s="53">
        <v>0</v>
      </c>
      <c r="X1315" s="53">
        <v>0</v>
      </c>
      <c r="Y1315" s="55">
        <v>0</v>
      </c>
      <c r="Z1315" s="55">
        <v>0</v>
      </c>
      <c r="AA1315" s="53">
        <v>0</v>
      </c>
      <c r="AB1315" s="53">
        <v>0</v>
      </c>
      <c r="AC1315" s="55">
        <v>0</v>
      </c>
      <c r="AD1315" s="55">
        <f t="shared" si="439"/>
        <v>0</v>
      </c>
      <c r="AE1315" s="53">
        <v>0</v>
      </c>
      <c r="AF1315" s="55">
        <v>0</v>
      </c>
      <c r="AG1315" s="55">
        <v>0</v>
      </c>
      <c r="AH1315" s="55">
        <f t="shared" si="440"/>
        <v>0</v>
      </c>
      <c r="AI1315" s="55">
        <v>0</v>
      </c>
      <c r="AJ1315" s="55">
        <v>0</v>
      </c>
      <c r="AK1315" s="55">
        <v>0</v>
      </c>
      <c r="AL1315" s="55">
        <f t="shared" si="434"/>
        <v>0</v>
      </c>
      <c r="AM1315" s="55" t="s">
        <v>1912</v>
      </c>
      <c r="AN1315" s="55">
        <v>0</v>
      </c>
      <c r="AO1315" s="55">
        <v>0</v>
      </c>
      <c r="AP1315" s="55">
        <f t="shared" si="427"/>
        <v>0</v>
      </c>
      <c r="AQ1315" s="55">
        <f>IFERROR(VLOOKUP(A1315,[1]SIIMPLES!$A$2:$F$418,6,FALSE),0)</f>
        <v>0</v>
      </c>
      <c r="AR1315" s="55">
        <v>0</v>
      </c>
      <c r="AS1315" s="55">
        <v>0</v>
      </c>
      <c r="AT1315" s="55">
        <v>0</v>
      </c>
      <c r="AU1315" s="55">
        <v>0</v>
      </c>
      <c r="AV1315" s="55">
        <v>0</v>
      </c>
      <c r="AW1315" s="57"/>
      <c r="AX1315" s="55"/>
      <c r="AY1315" s="56">
        <f t="shared" si="441"/>
        <v>0.1</v>
      </c>
      <c r="AZ1315" s="55"/>
      <c r="BA1315" s="56">
        <v>1</v>
      </c>
      <c r="BB1315" s="41">
        <f t="shared" si="435"/>
        <v>-0.9</v>
      </c>
      <c r="BC1315" s="7"/>
      <c r="BD1315" s="36"/>
      <c r="BE1315" s="7"/>
      <c r="BF1315" s="7"/>
      <c r="BG1315" s="7"/>
      <c r="BH1315" s="7"/>
    </row>
    <row r="1316" spans="1:60" ht="12.75" customHeight="1" x14ac:dyDescent="0.2">
      <c r="A1316" s="51" t="s">
        <v>233</v>
      </c>
      <c r="B1316" s="51"/>
      <c r="C1316" s="66" t="s">
        <v>1803</v>
      </c>
      <c r="D1316" s="52" t="s">
        <v>763</v>
      </c>
      <c r="E1316" s="52" t="s">
        <v>780</v>
      </c>
      <c r="F1316" s="53">
        <f>IFERROR(VLOOKUP(E1316,Fornecedores!$A$2:$B$2700,2,FALSE),"")</f>
        <v>2</v>
      </c>
      <c r="G1316" s="52" t="s">
        <v>234</v>
      </c>
      <c r="H1316" s="54"/>
      <c r="I1316" s="55">
        <f t="shared" si="436"/>
        <v>0</v>
      </c>
      <c r="J1316" s="55">
        <v>0</v>
      </c>
      <c r="K1316" s="55">
        <v>0</v>
      </c>
      <c r="L1316" s="55">
        <v>0</v>
      </c>
      <c r="M1316" s="55">
        <v>0</v>
      </c>
      <c r="N1316" s="55">
        <f t="shared" si="437"/>
        <v>0</v>
      </c>
      <c r="O1316" s="55">
        <v>0</v>
      </c>
      <c r="P1316" s="55">
        <v>0</v>
      </c>
      <c r="Q1316" s="55">
        <v>0</v>
      </c>
      <c r="R1316" s="55">
        <f t="shared" si="438"/>
        <v>1</v>
      </c>
      <c r="S1316" s="55">
        <v>1</v>
      </c>
      <c r="T1316" s="55">
        <v>0</v>
      </c>
      <c r="U1316" s="55">
        <v>0</v>
      </c>
      <c r="V1316" s="55">
        <v>0</v>
      </c>
      <c r="W1316" s="53">
        <v>0</v>
      </c>
      <c r="X1316" s="53">
        <v>0</v>
      </c>
      <c r="Y1316" s="55">
        <v>0</v>
      </c>
      <c r="Z1316" s="55">
        <v>0</v>
      </c>
      <c r="AA1316" s="53">
        <v>0</v>
      </c>
      <c r="AB1316" s="53">
        <v>0</v>
      </c>
      <c r="AC1316" s="55">
        <v>0</v>
      </c>
      <c r="AD1316" s="55">
        <f t="shared" si="439"/>
        <v>0</v>
      </c>
      <c r="AE1316" s="53">
        <v>0</v>
      </c>
      <c r="AF1316" s="55">
        <v>0</v>
      </c>
      <c r="AG1316" s="55">
        <v>0</v>
      </c>
      <c r="AH1316" s="55">
        <f t="shared" si="440"/>
        <v>1</v>
      </c>
      <c r="AI1316" s="55">
        <v>1</v>
      </c>
      <c r="AJ1316" s="55">
        <v>0</v>
      </c>
      <c r="AK1316" s="55">
        <v>0</v>
      </c>
      <c r="AL1316" s="55">
        <f t="shared" si="434"/>
        <v>0</v>
      </c>
      <c r="AM1316" s="55" t="s">
        <v>1912</v>
      </c>
      <c r="AN1316" s="55">
        <v>0</v>
      </c>
      <c r="AO1316" s="55">
        <v>0</v>
      </c>
      <c r="AP1316" s="55">
        <f t="shared" si="427"/>
        <v>0</v>
      </c>
      <c r="AQ1316" s="55">
        <f>IFERROR(VLOOKUP(A1316,[1]SIIMPLES!$A$2:$F$418,6,FALSE),0)</f>
        <v>0</v>
      </c>
      <c r="AR1316" s="55">
        <v>0</v>
      </c>
      <c r="AS1316" s="55">
        <v>0</v>
      </c>
      <c r="AT1316" s="55">
        <v>0</v>
      </c>
      <c r="AU1316" s="55">
        <v>0</v>
      </c>
      <c r="AV1316" s="55">
        <v>0</v>
      </c>
      <c r="AW1316" s="55"/>
      <c r="AX1316" s="55"/>
      <c r="AY1316" s="56">
        <f t="shared" si="441"/>
        <v>0.2</v>
      </c>
      <c r="AZ1316" s="55"/>
      <c r="BA1316" s="56">
        <v>0</v>
      </c>
      <c r="BB1316" s="41" t="str">
        <f t="shared" si="435"/>
        <v/>
      </c>
      <c r="BC1316" s="7"/>
      <c r="BD1316" s="36"/>
      <c r="BE1316" s="7"/>
      <c r="BF1316" s="7"/>
      <c r="BG1316" s="7"/>
      <c r="BH1316" s="7"/>
    </row>
    <row r="1317" spans="1:60" ht="12.75" customHeight="1" x14ac:dyDescent="0.2">
      <c r="A1317" s="51" t="s">
        <v>789</v>
      </c>
      <c r="B1317" s="51"/>
      <c r="C1317" s="66" t="s">
        <v>1803</v>
      </c>
      <c r="D1317" s="52" t="s">
        <v>763</v>
      </c>
      <c r="E1317" s="52" t="s">
        <v>1181</v>
      </c>
      <c r="F1317" s="53">
        <f>IFERROR(VLOOKUP(E1317,Fornecedores!$A$2:$B$2700,2,FALSE),"")</f>
        <v>9</v>
      </c>
      <c r="G1317" s="52" t="s">
        <v>925</v>
      </c>
      <c r="H1317" s="54"/>
      <c r="I1317" s="55">
        <f t="shared" si="436"/>
        <v>0</v>
      </c>
      <c r="J1317" s="55">
        <v>0</v>
      </c>
      <c r="K1317" s="55">
        <v>0</v>
      </c>
      <c r="L1317" s="55">
        <v>0</v>
      </c>
      <c r="M1317" s="55">
        <v>0</v>
      </c>
      <c r="N1317" s="55">
        <f t="shared" si="437"/>
        <v>0</v>
      </c>
      <c r="O1317" s="55">
        <v>0</v>
      </c>
      <c r="P1317" s="55">
        <v>0</v>
      </c>
      <c r="Q1317" s="55">
        <v>0</v>
      </c>
      <c r="R1317" s="55">
        <f t="shared" si="438"/>
        <v>0</v>
      </c>
      <c r="S1317" s="55">
        <v>0</v>
      </c>
      <c r="T1317" s="55">
        <v>0</v>
      </c>
      <c r="U1317" s="55">
        <v>0</v>
      </c>
      <c r="V1317" s="55">
        <v>0</v>
      </c>
      <c r="W1317" s="53">
        <v>0</v>
      </c>
      <c r="X1317" s="53">
        <v>0</v>
      </c>
      <c r="Y1317" s="55">
        <v>0</v>
      </c>
      <c r="Z1317" s="55">
        <v>0</v>
      </c>
      <c r="AA1317" s="53">
        <v>0</v>
      </c>
      <c r="AB1317" s="53">
        <v>0</v>
      </c>
      <c r="AC1317" s="55">
        <v>0</v>
      </c>
      <c r="AD1317" s="55">
        <f t="shared" si="439"/>
        <v>2</v>
      </c>
      <c r="AE1317" s="53">
        <v>0</v>
      </c>
      <c r="AF1317" s="55">
        <v>2</v>
      </c>
      <c r="AG1317" s="55">
        <v>0</v>
      </c>
      <c r="AH1317" s="55">
        <f t="shared" si="440"/>
        <v>0</v>
      </c>
      <c r="AI1317" s="55">
        <v>0</v>
      </c>
      <c r="AJ1317" s="55">
        <v>0</v>
      </c>
      <c r="AK1317" s="55">
        <v>0</v>
      </c>
      <c r="AL1317" s="55">
        <f t="shared" si="434"/>
        <v>0</v>
      </c>
      <c r="AM1317" s="55" t="s">
        <v>1912</v>
      </c>
      <c r="AN1317" s="55">
        <v>0</v>
      </c>
      <c r="AO1317" s="55">
        <v>0</v>
      </c>
      <c r="AP1317" s="55">
        <f t="shared" si="427"/>
        <v>0</v>
      </c>
      <c r="AQ1317" s="55">
        <f>IFERROR(VLOOKUP(A1317,[1]SIIMPLES!$A$2:$F$418,6,FALSE),0)</f>
        <v>0</v>
      </c>
      <c r="AR1317" s="55">
        <v>0</v>
      </c>
      <c r="AS1317" s="55">
        <v>4</v>
      </c>
      <c r="AT1317" s="55">
        <v>4</v>
      </c>
      <c r="AU1317" s="55">
        <v>0</v>
      </c>
      <c r="AV1317" s="55">
        <v>0</v>
      </c>
      <c r="AW1317" s="55"/>
      <c r="AX1317" s="55"/>
      <c r="AY1317" s="56">
        <f t="shared" si="441"/>
        <v>0.6</v>
      </c>
      <c r="AZ1317" s="55"/>
      <c r="BA1317" s="56">
        <v>16.666666666666668</v>
      </c>
      <c r="BB1317" s="41">
        <f t="shared" si="435"/>
        <v>-0.96399999999999997</v>
      </c>
      <c r="BC1317" s="13"/>
      <c r="BD1317" s="35"/>
      <c r="BE1317" s="13"/>
      <c r="BF1317" s="16">
        <f>SUM(BC1317:BE1317)</f>
        <v>0</v>
      </c>
      <c r="BG1317" s="17">
        <f t="shared" ref="BG1317:BG1327" si="442">IFERROR(BC1317/AY1317,"0")</f>
        <v>0</v>
      </c>
      <c r="BH1317" s="16">
        <f>IFERROR(IF(F1317=1,IF(BC1317&lt;AY1317*3,AY1317*3-BC1317,0),IF(BC1317&lt;AY1317,AY1317-BC1317,0)),"")</f>
        <v>0.6</v>
      </c>
    </row>
    <row r="1318" spans="1:60" ht="12.75" customHeight="1" x14ac:dyDescent="0.2">
      <c r="A1318" s="51" t="s">
        <v>338</v>
      </c>
      <c r="B1318" s="51"/>
      <c r="C1318" s="66" t="s">
        <v>1803</v>
      </c>
      <c r="D1318" s="52" t="s">
        <v>763</v>
      </c>
      <c r="E1318" s="52" t="s">
        <v>780</v>
      </c>
      <c r="F1318" s="53">
        <f>IFERROR(VLOOKUP(E1318,Fornecedores!$A$2:$B$2700,2,FALSE),"")</f>
        <v>2</v>
      </c>
      <c r="G1318" s="52" t="s">
        <v>339</v>
      </c>
      <c r="H1318" s="54"/>
      <c r="I1318" s="55">
        <f t="shared" si="436"/>
        <v>0</v>
      </c>
      <c r="J1318" s="55">
        <v>0</v>
      </c>
      <c r="K1318" s="55">
        <v>0</v>
      </c>
      <c r="L1318" s="55">
        <v>0</v>
      </c>
      <c r="M1318" s="55">
        <v>0</v>
      </c>
      <c r="N1318" s="55">
        <f t="shared" si="437"/>
        <v>0</v>
      </c>
      <c r="O1318" s="55">
        <v>0</v>
      </c>
      <c r="P1318" s="55">
        <v>0</v>
      </c>
      <c r="Q1318" s="55">
        <v>0</v>
      </c>
      <c r="R1318" s="55">
        <f t="shared" si="438"/>
        <v>0</v>
      </c>
      <c r="S1318" s="55">
        <v>0</v>
      </c>
      <c r="T1318" s="55">
        <v>0</v>
      </c>
      <c r="U1318" s="55">
        <v>0</v>
      </c>
      <c r="V1318" s="55">
        <v>1</v>
      </c>
      <c r="W1318" s="53">
        <v>1</v>
      </c>
      <c r="X1318" s="53">
        <v>0</v>
      </c>
      <c r="Y1318" s="55">
        <v>0</v>
      </c>
      <c r="Z1318" s="55">
        <v>1</v>
      </c>
      <c r="AA1318" s="53">
        <v>1</v>
      </c>
      <c r="AB1318" s="53">
        <v>0</v>
      </c>
      <c r="AC1318" s="55">
        <v>0</v>
      </c>
      <c r="AD1318" s="55">
        <f t="shared" si="439"/>
        <v>0</v>
      </c>
      <c r="AE1318" s="53">
        <v>0</v>
      </c>
      <c r="AF1318" s="55">
        <v>0</v>
      </c>
      <c r="AG1318" s="55">
        <v>0</v>
      </c>
      <c r="AH1318" s="55">
        <f t="shared" si="440"/>
        <v>0</v>
      </c>
      <c r="AI1318" s="55">
        <v>0</v>
      </c>
      <c r="AJ1318" s="55">
        <v>0</v>
      </c>
      <c r="AK1318" s="55">
        <v>0</v>
      </c>
      <c r="AL1318" s="55">
        <f t="shared" si="434"/>
        <v>2</v>
      </c>
      <c r="AM1318" s="55">
        <v>2</v>
      </c>
      <c r="AN1318" s="55">
        <v>0</v>
      </c>
      <c r="AO1318" s="55">
        <v>0</v>
      </c>
      <c r="AP1318" s="55">
        <f t="shared" si="427"/>
        <v>0</v>
      </c>
      <c r="AQ1318" s="55">
        <f>IFERROR(VLOOKUP(A1318,[1]SIIMPLES!$A$2:$F$418,6,FALSE),0)</f>
        <v>0</v>
      </c>
      <c r="AR1318" s="55">
        <v>0</v>
      </c>
      <c r="AS1318" s="55">
        <v>0</v>
      </c>
      <c r="AT1318" s="55">
        <v>0</v>
      </c>
      <c r="AU1318" s="55">
        <v>0</v>
      </c>
      <c r="AV1318" s="55">
        <v>0</v>
      </c>
      <c r="AW1318" s="55"/>
      <c r="AX1318" s="55"/>
      <c r="AY1318" s="56">
        <f t="shared" si="441"/>
        <v>0.4</v>
      </c>
      <c r="AZ1318" s="55"/>
      <c r="BA1318" s="56">
        <v>0</v>
      </c>
      <c r="BB1318" s="41" t="str">
        <f t="shared" si="435"/>
        <v/>
      </c>
      <c r="BC1318" s="7"/>
      <c r="BD1318" s="35"/>
      <c r="BE1318" s="13"/>
      <c r="BF1318" s="16">
        <f>SUM(BC1318:BE1318)</f>
        <v>0</v>
      </c>
      <c r="BG1318" s="17">
        <f t="shared" si="442"/>
        <v>0</v>
      </c>
      <c r="BH1318" s="16">
        <f>IFERROR(IF(F1318=1,IF(BC1318&lt;AY1318*3,AY1318*3-BC1318,0),IF(BC1318&lt;AY1318,AY1318-BC1318,0)),"")</f>
        <v>0.4</v>
      </c>
    </row>
    <row r="1319" spans="1:60" ht="12.75" customHeight="1" x14ac:dyDescent="0.2">
      <c r="A1319" s="51" t="s">
        <v>37</v>
      </c>
      <c r="B1319" s="51" t="s">
        <v>1077</v>
      </c>
      <c r="C1319" s="66" t="s">
        <v>1803</v>
      </c>
      <c r="D1319" s="52" t="s">
        <v>763</v>
      </c>
      <c r="E1319" s="52" t="s">
        <v>780</v>
      </c>
      <c r="F1319" s="53">
        <f>IFERROR(VLOOKUP(E1319,Fornecedores!$A$2:$B$2700,2,FALSE),"")</f>
        <v>2</v>
      </c>
      <c r="G1319" s="52" t="s">
        <v>38</v>
      </c>
      <c r="H1319" s="54"/>
      <c r="I1319" s="55">
        <f t="shared" si="436"/>
        <v>0</v>
      </c>
      <c r="J1319" s="55">
        <v>0</v>
      </c>
      <c r="K1319" s="55">
        <v>0</v>
      </c>
      <c r="L1319" s="55">
        <v>0</v>
      </c>
      <c r="M1319" s="55">
        <v>0</v>
      </c>
      <c r="N1319" s="55">
        <f t="shared" si="437"/>
        <v>0</v>
      </c>
      <c r="O1319" s="55">
        <v>0</v>
      </c>
      <c r="P1319" s="55">
        <v>0</v>
      </c>
      <c r="Q1319" s="55">
        <v>0</v>
      </c>
      <c r="R1319" s="55">
        <f t="shared" si="438"/>
        <v>0</v>
      </c>
      <c r="S1319" s="55">
        <v>0</v>
      </c>
      <c r="T1319" s="55">
        <v>0</v>
      </c>
      <c r="U1319" s="55">
        <v>0</v>
      </c>
      <c r="V1319" s="55">
        <v>0</v>
      </c>
      <c r="W1319" s="53">
        <v>0</v>
      </c>
      <c r="X1319" s="53">
        <v>0</v>
      </c>
      <c r="Y1319" s="55">
        <v>0</v>
      </c>
      <c r="Z1319" s="55">
        <v>0</v>
      </c>
      <c r="AA1319" s="53">
        <v>0</v>
      </c>
      <c r="AB1319" s="53">
        <v>0</v>
      </c>
      <c r="AC1319" s="55">
        <v>0</v>
      </c>
      <c r="AD1319" s="55">
        <f t="shared" si="439"/>
        <v>0</v>
      </c>
      <c r="AE1319" s="53">
        <v>0</v>
      </c>
      <c r="AF1319" s="55">
        <v>0</v>
      </c>
      <c r="AG1319" s="55">
        <v>0</v>
      </c>
      <c r="AH1319" s="55">
        <f t="shared" si="440"/>
        <v>0</v>
      </c>
      <c r="AI1319" s="55">
        <v>0</v>
      </c>
      <c r="AJ1319" s="55">
        <v>0</v>
      </c>
      <c r="AK1319" s="55">
        <v>0</v>
      </c>
      <c r="AL1319" s="55">
        <f t="shared" si="434"/>
        <v>0</v>
      </c>
      <c r="AM1319" s="55" t="s">
        <v>1912</v>
      </c>
      <c r="AN1319" s="55">
        <v>0</v>
      </c>
      <c r="AO1319" s="55">
        <v>0</v>
      </c>
      <c r="AP1319" s="55">
        <f t="shared" si="427"/>
        <v>0</v>
      </c>
      <c r="AQ1319" s="55">
        <f>IFERROR(VLOOKUP(A1319,[1]SIIMPLES!$A$2:$F$418,6,FALSE),0)</f>
        <v>0</v>
      </c>
      <c r="AR1319" s="55">
        <v>0</v>
      </c>
      <c r="AS1319" s="55">
        <v>0</v>
      </c>
      <c r="AT1319" s="55">
        <v>0</v>
      </c>
      <c r="AU1319" s="55">
        <v>0</v>
      </c>
      <c r="AV1319" s="55">
        <v>0</v>
      </c>
      <c r="AW1319" s="55"/>
      <c r="AX1319" s="55"/>
      <c r="AY1319" s="56">
        <f t="shared" si="441"/>
        <v>0</v>
      </c>
      <c r="AZ1319" s="55"/>
      <c r="BA1319" s="56">
        <v>0.33333333333333331</v>
      </c>
      <c r="BB1319" s="41">
        <f t="shared" si="435"/>
        <v>-1</v>
      </c>
      <c r="BC1319" s="7"/>
      <c r="BD1319" s="35"/>
      <c r="BE1319" s="13"/>
      <c r="BF1319" s="16">
        <f>SUM(BC1319:BE1319)</f>
        <v>0</v>
      </c>
      <c r="BG1319" s="17" t="str">
        <f t="shared" si="442"/>
        <v>0</v>
      </c>
      <c r="BH1319" s="16">
        <f>ROUND(IFERROR(IF(F1319=1,IF(BC1319&lt;AY1319*3,AY1319*3-BC1319,0),IF(BC1319&lt;AY1319,AY1319*0.6-BC1319,0)),""),0)</f>
        <v>0</v>
      </c>
    </row>
    <row r="1320" spans="1:60" ht="12.75" customHeight="1" x14ac:dyDescent="0.2">
      <c r="A1320" s="51" t="s">
        <v>253</v>
      </c>
      <c r="B1320" s="51"/>
      <c r="C1320" s="66" t="s">
        <v>1803</v>
      </c>
      <c r="D1320" s="52" t="s">
        <v>763</v>
      </c>
      <c r="E1320" s="52" t="s">
        <v>764</v>
      </c>
      <c r="F1320" s="53">
        <f>IFERROR(VLOOKUP(E1320,Fornecedores!$A$2:$B$2700,2,FALSE),"")</f>
        <v>10</v>
      </c>
      <c r="G1320" s="52" t="s">
        <v>254</v>
      </c>
      <c r="H1320" s="54"/>
      <c r="I1320" s="55">
        <f t="shared" si="436"/>
        <v>0</v>
      </c>
      <c r="J1320" s="55">
        <v>0</v>
      </c>
      <c r="K1320" s="55">
        <v>0</v>
      </c>
      <c r="L1320" s="55">
        <v>0</v>
      </c>
      <c r="M1320" s="55">
        <v>0</v>
      </c>
      <c r="N1320" s="55">
        <f t="shared" si="437"/>
        <v>0</v>
      </c>
      <c r="O1320" s="55">
        <v>0</v>
      </c>
      <c r="P1320" s="55">
        <v>0</v>
      </c>
      <c r="Q1320" s="55">
        <v>0</v>
      </c>
      <c r="R1320" s="55">
        <f t="shared" si="438"/>
        <v>0</v>
      </c>
      <c r="S1320" s="55">
        <v>0</v>
      </c>
      <c r="T1320" s="55">
        <v>0</v>
      </c>
      <c r="U1320" s="55">
        <v>0</v>
      </c>
      <c r="V1320" s="55">
        <v>0</v>
      </c>
      <c r="W1320" s="53">
        <v>0</v>
      </c>
      <c r="X1320" s="53">
        <v>0</v>
      </c>
      <c r="Y1320" s="55">
        <v>0</v>
      </c>
      <c r="Z1320" s="55">
        <v>0</v>
      </c>
      <c r="AA1320" s="53">
        <v>0</v>
      </c>
      <c r="AB1320" s="53">
        <v>0</v>
      </c>
      <c r="AC1320" s="55">
        <v>0</v>
      </c>
      <c r="AD1320" s="55">
        <f t="shared" si="439"/>
        <v>0</v>
      </c>
      <c r="AE1320" s="53">
        <v>0</v>
      </c>
      <c r="AF1320" s="55">
        <v>0</v>
      </c>
      <c r="AG1320" s="55">
        <v>0</v>
      </c>
      <c r="AH1320" s="55">
        <f t="shared" si="440"/>
        <v>0</v>
      </c>
      <c r="AI1320" s="55">
        <v>0</v>
      </c>
      <c r="AJ1320" s="55">
        <v>0</v>
      </c>
      <c r="AK1320" s="55">
        <v>0</v>
      </c>
      <c r="AL1320" s="55">
        <f t="shared" si="434"/>
        <v>0</v>
      </c>
      <c r="AM1320" s="55" t="s">
        <v>1912</v>
      </c>
      <c r="AN1320" s="55">
        <v>0</v>
      </c>
      <c r="AO1320" s="55">
        <v>0</v>
      </c>
      <c r="AP1320" s="55">
        <f t="shared" si="427"/>
        <v>0</v>
      </c>
      <c r="AQ1320" s="55">
        <f>IFERROR(VLOOKUP(A1320,[1]SIIMPLES!$A$2:$F$418,6,FALSE),0)</f>
        <v>0</v>
      </c>
      <c r="AR1320" s="55">
        <v>0</v>
      </c>
      <c r="AS1320" s="55">
        <v>0</v>
      </c>
      <c r="AT1320" s="55">
        <v>0</v>
      </c>
      <c r="AU1320" s="55">
        <v>0</v>
      </c>
      <c r="AV1320" s="55">
        <v>0</v>
      </c>
      <c r="AW1320" s="55"/>
      <c r="AX1320" s="55"/>
      <c r="AY1320" s="56">
        <f t="shared" si="441"/>
        <v>0</v>
      </c>
      <c r="AZ1320" s="55"/>
      <c r="BA1320" s="56">
        <v>0</v>
      </c>
      <c r="BB1320" s="41" t="str">
        <f t="shared" si="435"/>
        <v/>
      </c>
      <c r="BC1320" s="13"/>
      <c r="BD1320" s="35"/>
      <c r="BE1320" s="13"/>
      <c r="BF1320" s="16"/>
      <c r="BG1320" s="17" t="str">
        <f t="shared" si="442"/>
        <v>0</v>
      </c>
      <c r="BH1320" s="16">
        <f>IFERROR(IF(F1320=1,IF(BC1320&lt;AY1320*3,AY1320*3-BC1320,0),IF(BC1320&lt;AY1320,AY1320-BC1320,0)),"")</f>
        <v>0</v>
      </c>
    </row>
    <row r="1321" spans="1:60" ht="12.75" customHeight="1" x14ac:dyDescent="0.2">
      <c r="A1321" s="51" t="s">
        <v>1534</v>
      </c>
      <c r="B1321" s="51"/>
      <c r="C1321" s="66" t="s">
        <v>1803</v>
      </c>
      <c r="D1321" s="52" t="s">
        <v>1050</v>
      </c>
      <c r="E1321" s="52" t="s">
        <v>770</v>
      </c>
      <c r="F1321" s="53">
        <f>IFERROR(VLOOKUP(E1321,Fornecedores!$A$2:$B$2700,2,FALSE),"")</f>
        <v>17</v>
      </c>
      <c r="G1321" s="52" t="s">
        <v>1618</v>
      </c>
      <c r="H1321" s="57"/>
      <c r="I1321" s="55">
        <f t="shared" si="436"/>
        <v>0</v>
      </c>
      <c r="J1321" s="57" t="s">
        <v>1282</v>
      </c>
      <c r="K1321" s="55">
        <v>0</v>
      </c>
      <c r="L1321" s="55">
        <v>0</v>
      </c>
      <c r="M1321" s="55">
        <v>0</v>
      </c>
      <c r="N1321" s="55">
        <f t="shared" si="437"/>
        <v>0</v>
      </c>
      <c r="O1321" s="55">
        <v>0</v>
      </c>
      <c r="P1321" s="55">
        <v>0</v>
      </c>
      <c r="Q1321" s="55">
        <v>0</v>
      </c>
      <c r="R1321" s="55">
        <f t="shared" si="438"/>
        <v>0</v>
      </c>
      <c r="S1321" s="55">
        <v>0</v>
      </c>
      <c r="T1321" s="55">
        <v>0</v>
      </c>
      <c r="U1321" s="55">
        <v>0</v>
      </c>
      <c r="V1321" s="55">
        <v>0</v>
      </c>
      <c r="W1321" s="53">
        <v>0</v>
      </c>
      <c r="X1321" s="53">
        <v>0</v>
      </c>
      <c r="Y1321" s="55">
        <v>0</v>
      </c>
      <c r="Z1321" s="55">
        <v>0</v>
      </c>
      <c r="AA1321" s="53">
        <v>0</v>
      </c>
      <c r="AB1321" s="53">
        <v>0</v>
      </c>
      <c r="AC1321" s="55">
        <v>0</v>
      </c>
      <c r="AD1321" s="55">
        <f t="shared" si="439"/>
        <v>0</v>
      </c>
      <c r="AE1321" s="53">
        <v>0</v>
      </c>
      <c r="AF1321" s="55">
        <v>0</v>
      </c>
      <c r="AG1321" s="55">
        <v>0</v>
      </c>
      <c r="AH1321" s="55">
        <f t="shared" si="440"/>
        <v>0</v>
      </c>
      <c r="AI1321" s="55">
        <v>0</v>
      </c>
      <c r="AJ1321" s="55">
        <v>0</v>
      </c>
      <c r="AK1321" s="55">
        <v>0</v>
      </c>
      <c r="AL1321" s="55">
        <f t="shared" si="434"/>
        <v>0</v>
      </c>
      <c r="AM1321" s="55" t="s">
        <v>1912</v>
      </c>
      <c r="AN1321" s="55">
        <v>0</v>
      </c>
      <c r="AO1321" s="55">
        <v>0</v>
      </c>
      <c r="AP1321" s="55">
        <f t="shared" si="427"/>
        <v>0</v>
      </c>
      <c r="AQ1321" s="55">
        <f>IFERROR(VLOOKUP(A1321,[1]SIIMPLES!$A$2:$F$418,6,FALSE),0)</f>
        <v>0</v>
      </c>
      <c r="AR1321" s="55">
        <v>0</v>
      </c>
      <c r="AS1321" s="55">
        <v>0</v>
      </c>
      <c r="AT1321" s="55">
        <v>0</v>
      </c>
      <c r="AU1321" s="55">
        <v>0</v>
      </c>
      <c r="AV1321" s="55">
        <v>0</v>
      </c>
      <c r="AW1321" s="57"/>
      <c r="AX1321" s="57"/>
      <c r="AY1321" s="56">
        <f t="shared" si="441"/>
        <v>0</v>
      </c>
      <c r="AZ1321" s="55"/>
      <c r="BA1321" s="56" t="s">
        <v>1912</v>
      </c>
      <c r="BB1321" s="41" t="str">
        <f t="shared" si="435"/>
        <v/>
      </c>
      <c r="BC1321" s="13"/>
      <c r="BD1321" s="35"/>
      <c r="BE1321" s="13"/>
      <c r="BF1321" s="16">
        <f>SUM(BC1321:BE1321)</f>
        <v>0</v>
      </c>
      <c r="BG1321" s="17" t="str">
        <f t="shared" si="442"/>
        <v>0</v>
      </c>
      <c r="BH1321" s="16">
        <f>ROUND(IFERROR(IF(F1321=1,IF(BC1321&lt;AY1321*3,AY1321*3-BC1321,0),IF(BC1321&lt;AY1321,AY1321*0.6-BC1321,0)),""),0)</f>
        <v>0</v>
      </c>
    </row>
    <row r="1322" spans="1:60" ht="12.75" customHeight="1" x14ac:dyDescent="0.2">
      <c r="A1322" s="51" t="s">
        <v>249</v>
      </c>
      <c r="B1322" s="51"/>
      <c r="C1322" s="66" t="s">
        <v>1803</v>
      </c>
      <c r="D1322" s="52" t="s">
        <v>763</v>
      </c>
      <c r="E1322" s="52" t="s">
        <v>764</v>
      </c>
      <c r="F1322" s="53">
        <f>IFERROR(VLOOKUP(E1322,Fornecedores!$A$2:$B$2700,2,FALSE),"")</f>
        <v>10</v>
      </c>
      <c r="G1322" s="52" t="s">
        <v>250</v>
      </c>
      <c r="H1322" s="54"/>
      <c r="I1322" s="55">
        <f t="shared" si="436"/>
        <v>0</v>
      </c>
      <c r="J1322" s="55">
        <v>0</v>
      </c>
      <c r="K1322" s="55">
        <v>0</v>
      </c>
      <c r="L1322" s="55">
        <v>0</v>
      </c>
      <c r="M1322" s="55">
        <v>0</v>
      </c>
      <c r="N1322" s="55">
        <f t="shared" si="437"/>
        <v>0</v>
      </c>
      <c r="O1322" s="55">
        <v>0</v>
      </c>
      <c r="P1322" s="55">
        <v>0</v>
      </c>
      <c r="Q1322" s="55">
        <v>0</v>
      </c>
      <c r="R1322" s="55">
        <f t="shared" si="438"/>
        <v>0</v>
      </c>
      <c r="S1322" s="55">
        <v>0</v>
      </c>
      <c r="T1322" s="55">
        <v>0</v>
      </c>
      <c r="U1322" s="55">
        <v>0</v>
      </c>
      <c r="V1322" s="55">
        <v>0</v>
      </c>
      <c r="W1322" s="53">
        <v>0</v>
      </c>
      <c r="X1322" s="53">
        <v>0</v>
      </c>
      <c r="Y1322" s="55">
        <v>0</v>
      </c>
      <c r="Z1322" s="55">
        <v>0</v>
      </c>
      <c r="AA1322" s="53">
        <v>0</v>
      </c>
      <c r="AB1322" s="53">
        <v>0</v>
      </c>
      <c r="AC1322" s="55">
        <v>0</v>
      </c>
      <c r="AD1322" s="55">
        <f t="shared" si="439"/>
        <v>0</v>
      </c>
      <c r="AE1322" s="53">
        <v>0</v>
      </c>
      <c r="AF1322" s="55">
        <v>0</v>
      </c>
      <c r="AG1322" s="55">
        <v>0</v>
      </c>
      <c r="AH1322" s="55">
        <f t="shared" si="440"/>
        <v>0</v>
      </c>
      <c r="AI1322" s="55">
        <v>0</v>
      </c>
      <c r="AJ1322" s="55">
        <v>0</v>
      </c>
      <c r="AK1322" s="55">
        <v>0</v>
      </c>
      <c r="AL1322" s="55">
        <f t="shared" si="434"/>
        <v>0</v>
      </c>
      <c r="AM1322" s="55" t="s">
        <v>1912</v>
      </c>
      <c r="AN1322" s="55">
        <v>0</v>
      </c>
      <c r="AO1322" s="55">
        <v>0</v>
      </c>
      <c r="AP1322" s="55">
        <f t="shared" si="427"/>
        <v>0</v>
      </c>
      <c r="AQ1322" s="55">
        <f>IFERROR(VLOOKUP(A1322,[1]SIIMPLES!$A$2:$F$418,6,FALSE),0)</f>
        <v>0</v>
      </c>
      <c r="AR1322" s="55">
        <v>0</v>
      </c>
      <c r="AS1322" s="55">
        <v>0</v>
      </c>
      <c r="AT1322" s="55">
        <v>0</v>
      </c>
      <c r="AU1322" s="55">
        <v>0</v>
      </c>
      <c r="AV1322" s="55">
        <v>0</v>
      </c>
      <c r="AW1322" s="55"/>
      <c r="AX1322" s="55"/>
      <c r="AY1322" s="56">
        <f t="shared" si="441"/>
        <v>0</v>
      </c>
      <c r="AZ1322" s="55"/>
      <c r="BA1322" s="56">
        <v>0</v>
      </c>
      <c r="BB1322" s="41" t="str">
        <f t="shared" si="435"/>
        <v/>
      </c>
      <c r="BC1322" s="13"/>
      <c r="BD1322" s="35"/>
      <c r="BE1322" s="13"/>
      <c r="BF1322" s="16"/>
      <c r="BG1322" s="17" t="str">
        <f t="shared" si="442"/>
        <v>0</v>
      </c>
      <c r="BH1322" s="16">
        <f>IFERROR(IF(F1322=1,IF(BC1322&lt;AY1322*3,AY1322*3-BC1322,0),IF(BC1322&lt;AY1322,AY1322-BC1322,0)),"")</f>
        <v>0</v>
      </c>
    </row>
    <row r="1323" spans="1:60" ht="12.75" customHeight="1" x14ac:dyDescent="0.2">
      <c r="A1323" s="51" t="s">
        <v>251</v>
      </c>
      <c r="B1323" s="51"/>
      <c r="C1323" s="66" t="s">
        <v>1803</v>
      </c>
      <c r="D1323" s="52" t="s">
        <v>763</v>
      </c>
      <c r="E1323" s="52" t="s">
        <v>764</v>
      </c>
      <c r="F1323" s="53">
        <f>IFERROR(VLOOKUP(E1323,Fornecedores!$A$2:$B$2700,2,FALSE),"")</f>
        <v>10</v>
      </c>
      <c r="G1323" s="52" t="s">
        <v>252</v>
      </c>
      <c r="H1323" s="54"/>
      <c r="I1323" s="55">
        <f t="shared" si="436"/>
        <v>0</v>
      </c>
      <c r="J1323" s="55">
        <v>0</v>
      </c>
      <c r="K1323" s="55">
        <v>0</v>
      </c>
      <c r="L1323" s="55">
        <v>0</v>
      </c>
      <c r="M1323" s="55">
        <v>0</v>
      </c>
      <c r="N1323" s="55">
        <f t="shared" si="437"/>
        <v>0</v>
      </c>
      <c r="O1323" s="55">
        <v>0</v>
      </c>
      <c r="P1323" s="55">
        <v>0</v>
      </c>
      <c r="Q1323" s="55">
        <v>0</v>
      </c>
      <c r="R1323" s="55">
        <f t="shared" si="438"/>
        <v>0</v>
      </c>
      <c r="S1323" s="55">
        <v>0</v>
      </c>
      <c r="T1323" s="55">
        <v>0</v>
      </c>
      <c r="U1323" s="55">
        <v>0</v>
      </c>
      <c r="V1323" s="55">
        <v>0</v>
      </c>
      <c r="W1323" s="53">
        <v>0</v>
      </c>
      <c r="X1323" s="53">
        <v>0</v>
      </c>
      <c r="Y1323" s="55">
        <v>0</v>
      </c>
      <c r="Z1323" s="55">
        <v>0</v>
      </c>
      <c r="AA1323" s="53">
        <v>0</v>
      </c>
      <c r="AB1323" s="53">
        <v>0</v>
      </c>
      <c r="AC1323" s="55">
        <v>0</v>
      </c>
      <c r="AD1323" s="55">
        <f t="shared" si="439"/>
        <v>0</v>
      </c>
      <c r="AE1323" s="53">
        <v>0</v>
      </c>
      <c r="AF1323" s="55">
        <v>0</v>
      </c>
      <c r="AG1323" s="55">
        <v>0</v>
      </c>
      <c r="AH1323" s="55">
        <f t="shared" si="440"/>
        <v>1</v>
      </c>
      <c r="AI1323" s="55">
        <v>1</v>
      </c>
      <c r="AJ1323" s="55">
        <v>0</v>
      </c>
      <c r="AK1323" s="55">
        <v>0</v>
      </c>
      <c r="AL1323" s="55">
        <f t="shared" si="434"/>
        <v>0</v>
      </c>
      <c r="AM1323" s="55" t="s">
        <v>1912</v>
      </c>
      <c r="AN1323" s="55">
        <v>0</v>
      </c>
      <c r="AO1323" s="55">
        <v>0</v>
      </c>
      <c r="AP1323" s="55">
        <f t="shared" si="427"/>
        <v>0</v>
      </c>
      <c r="AQ1323" s="55">
        <f>IFERROR(VLOOKUP(A1323,[1]SIIMPLES!$A$2:$F$418,6,FALSE),0)</f>
        <v>0</v>
      </c>
      <c r="AR1323" s="55">
        <v>0</v>
      </c>
      <c r="AS1323" s="55">
        <v>0</v>
      </c>
      <c r="AT1323" s="55">
        <v>0</v>
      </c>
      <c r="AU1323" s="55">
        <v>0</v>
      </c>
      <c r="AV1323" s="55">
        <v>0</v>
      </c>
      <c r="AW1323" s="55"/>
      <c r="AX1323" s="55"/>
      <c r="AY1323" s="56">
        <f t="shared" si="441"/>
        <v>0.1</v>
      </c>
      <c r="AZ1323" s="55"/>
      <c r="BA1323" s="56">
        <v>0</v>
      </c>
      <c r="BB1323" s="41" t="str">
        <f t="shared" si="435"/>
        <v/>
      </c>
      <c r="BC1323" s="13"/>
      <c r="BD1323" s="35"/>
      <c r="BE1323" s="13"/>
      <c r="BF1323" s="16"/>
      <c r="BG1323" s="17">
        <f t="shared" si="442"/>
        <v>0</v>
      </c>
      <c r="BH1323" s="20">
        <f>ROUND(IFERROR(IF(F1323=1,IF(BC1323&lt;AY1323*3,AY1323*3-BC1323,0),IF(BC1323&lt;AY1323,AY1323*0.6-BC1323,0)),""),0)</f>
        <v>0</v>
      </c>
    </row>
    <row r="1324" spans="1:60" ht="12.75" customHeight="1" x14ac:dyDescent="0.2">
      <c r="A1324" s="51" t="s">
        <v>1450</v>
      </c>
      <c r="B1324" s="51"/>
      <c r="C1324" s="66" t="s">
        <v>1803</v>
      </c>
      <c r="D1324" s="52" t="s">
        <v>751</v>
      </c>
      <c r="E1324" s="52" t="s">
        <v>746</v>
      </c>
      <c r="F1324" s="53">
        <f>IFERROR(VLOOKUP(E1324,Fornecedores!$A$2:$B$2700,2,FALSE),"")</f>
        <v>11</v>
      </c>
      <c r="G1324" s="52" t="s">
        <v>1617</v>
      </c>
      <c r="H1324" s="57"/>
      <c r="I1324" s="55">
        <f t="shared" si="436"/>
        <v>0</v>
      </c>
      <c r="J1324" s="55">
        <v>0</v>
      </c>
      <c r="K1324" s="55">
        <v>0</v>
      </c>
      <c r="L1324" s="55">
        <v>0</v>
      </c>
      <c r="M1324" s="55">
        <v>0</v>
      </c>
      <c r="N1324" s="55">
        <f t="shared" si="437"/>
        <v>0</v>
      </c>
      <c r="O1324" s="55">
        <v>0</v>
      </c>
      <c r="P1324" s="55">
        <v>0</v>
      </c>
      <c r="Q1324" s="55">
        <v>0</v>
      </c>
      <c r="R1324" s="55">
        <f t="shared" si="438"/>
        <v>0</v>
      </c>
      <c r="S1324" s="55">
        <v>0</v>
      </c>
      <c r="T1324" s="55">
        <v>0</v>
      </c>
      <c r="U1324" s="55">
        <v>0</v>
      </c>
      <c r="V1324" s="55">
        <v>0</v>
      </c>
      <c r="W1324" s="53">
        <v>0</v>
      </c>
      <c r="X1324" s="53">
        <v>0</v>
      </c>
      <c r="Y1324" s="55">
        <v>0</v>
      </c>
      <c r="Z1324" s="55">
        <v>0</v>
      </c>
      <c r="AA1324" s="53">
        <v>0</v>
      </c>
      <c r="AB1324" s="53">
        <v>0</v>
      </c>
      <c r="AC1324" s="55">
        <v>0</v>
      </c>
      <c r="AD1324" s="55">
        <f t="shared" si="439"/>
        <v>0</v>
      </c>
      <c r="AE1324" s="53">
        <v>0</v>
      </c>
      <c r="AF1324" s="55">
        <v>0</v>
      </c>
      <c r="AG1324" s="55">
        <v>0</v>
      </c>
      <c r="AH1324" s="55">
        <f t="shared" si="440"/>
        <v>0</v>
      </c>
      <c r="AI1324" s="55">
        <v>0</v>
      </c>
      <c r="AJ1324" s="55">
        <v>0</v>
      </c>
      <c r="AK1324" s="55">
        <v>0</v>
      </c>
      <c r="AL1324" s="55">
        <f t="shared" si="434"/>
        <v>0</v>
      </c>
      <c r="AM1324" s="55" t="s">
        <v>1912</v>
      </c>
      <c r="AN1324" s="55">
        <v>0</v>
      </c>
      <c r="AO1324" s="55">
        <v>0</v>
      </c>
      <c r="AP1324" s="55">
        <f t="shared" si="427"/>
        <v>0</v>
      </c>
      <c r="AQ1324" s="55">
        <f>IFERROR(VLOOKUP(A1324,[1]SIIMPLES!$A$2:$F$418,6,FALSE),0)</f>
        <v>0</v>
      </c>
      <c r="AR1324" s="55">
        <v>0</v>
      </c>
      <c r="AS1324" s="55">
        <v>0</v>
      </c>
      <c r="AT1324" s="55">
        <v>0</v>
      </c>
      <c r="AU1324" s="55">
        <v>0</v>
      </c>
      <c r="AV1324" s="55">
        <v>0</v>
      </c>
      <c r="AW1324" s="57"/>
      <c r="AX1324" s="55"/>
      <c r="AY1324" s="56">
        <f t="shared" si="441"/>
        <v>0</v>
      </c>
      <c r="AZ1324" s="55"/>
      <c r="BA1324" s="56">
        <v>2</v>
      </c>
      <c r="BB1324" s="41">
        <f t="shared" si="435"/>
        <v>-1</v>
      </c>
      <c r="BC1324" s="7"/>
      <c r="BD1324" s="37"/>
      <c r="BE1324" s="13"/>
      <c r="BF1324" s="16">
        <f>SUM(BC1324:BE1324)</f>
        <v>0</v>
      </c>
      <c r="BG1324" s="17" t="str">
        <f t="shared" si="442"/>
        <v>0</v>
      </c>
      <c r="BH1324" s="16">
        <f>IFERROR(IF(F1324=1,IF(BC1324&lt;AY1324*3,AY1324*3-BC1324,0),IF(BC1324&lt;AY1324,AY1324-BC1324,0)),"")</f>
        <v>0</v>
      </c>
    </row>
    <row r="1325" spans="1:60" ht="12.75" customHeight="1" x14ac:dyDescent="0.2">
      <c r="A1325" s="51" t="s">
        <v>1535</v>
      </c>
      <c r="B1325" s="51"/>
      <c r="C1325" s="66" t="s">
        <v>1803</v>
      </c>
      <c r="D1325" s="52" t="s">
        <v>751</v>
      </c>
      <c r="E1325" s="52" t="s">
        <v>746</v>
      </c>
      <c r="F1325" s="53">
        <f>IFERROR(VLOOKUP(E1325,Fornecedores!$A$2:$B$2700,2,FALSE),"")</f>
        <v>11</v>
      </c>
      <c r="G1325" s="52" t="s">
        <v>1616</v>
      </c>
      <c r="H1325" s="57"/>
      <c r="I1325" s="55">
        <f t="shared" si="436"/>
        <v>0</v>
      </c>
      <c r="J1325" s="57" t="s">
        <v>1282</v>
      </c>
      <c r="K1325" s="55">
        <v>0</v>
      </c>
      <c r="L1325" s="55">
        <v>0</v>
      </c>
      <c r="M1325" s="55">
        <v>0</v>
      </c>
      <c r="N1325" s="55">
        <f t="shared" si="437"/>
        <v>0</v>
      </c>
      <c r="O1325" s="55">
        <v>0</v>
      </c>
      <c r="P1325" s="55">
        <v>0</v>
      </c>
      <c r="Q1325" s="55">
        <v>0</v>
      </c>
      <c r="R1325" s="55">
        <f t="shared" si="438"/>
        <v>2</v>
      </c>
      <c r="S1325" s="55">
        <v>0</v>
      </c>
      <c r="T1325" s="55">
        <v>2</v>
      </c>
      <c r="U1325" s="55">
        <v>0</v>
      </c>
      <c r="V1325" s="55">
        <v>2</v>
      </c>
      <c r="W1325" s="53">
        <v>0</v>
      </c>
      <c r="X1325" s="53">
        <v>2</v>
      </c>
      <c r="Y1325" s="55">
        <v>0</v>
      </c>
      <c r="Z1325" s="55">
        <v>0</v>
      </c>
      <c r="AA1325" s="53">
        <v>0</v>
      </c>
      <c r="AB1325" s="53">
        <v>0</v>
      </c>
      <c r="AC1325" s="55">
        <v>0</v>
      </c>
      <c r="AD1325" s="55">
        <f t="shared" si="439"/>
        <v>0</v>
      </c>
      <c r="AE1325" s="53">
        <v>0</v>
      </c>
      <c r="AF1325" s="55">
        <v>0</v>
      </c>
      <c r="AG1325" s="55">
        <v>0</v>
      </c>
      <c r="AH1325" s="55">
        <f t="shared" si="440"/>
        <v>0</v>
      </c>
      <c r="AI1325" s="55">
        <v>0</v>
      </c>
      <c r="AJ1325" s="55">
        <v>0</v>
      </c>
      <c r="AK1325" s="55">
        <v>0</v>
      </c>
      <c r="AL1325" s="55">
        <f t="shared" si="434"/>
        <v>0</v>
      </c>
      <c r="AM1325" s="55" t="s">
        <v>1912</v>
      </c>
      <c r="AN1325" s="55">
        <v>0</v>
      </c>
      <c r="AO1325" s="55">
        <v>0</v>
      </c>
      <c r="AP1325" s="55">
        <f t="shared" si="427"/>
        <v>0</v>
      </c>
      <c r="AQ1325" s="55">
        <f>IFERROR(VLOOKUP(A1325,[1]SIIMPLES!$A$2:$F$418,6,FALSE),0)</f>
        <v>0</v>
      </c>
      <c r="AR1325" s="55">
        <v>0</v>
      </c>
      <c r="AS1325" s="55">
        <v>0</v>
      </c>
      <c r="AT1325" s="55">
        <v>0</v>
      </c>
      <c r="AU1325" s="55">
        <v>0</v>
      </c>
      <c r="AV1325" s="55">
        <v>0</v>
      </c>
      <c r="AW1325" s="57"/>
      <c r="AX1325" s="57"/>
      <c r="AY1325" s="56">
        <f t="shared" si="441"/>
        <v>0.4</v>
      </c>
      <c r="AZ1325" s="55"/>
      <c r="BA1325" s="56" t="s">
        <v>1912</v>
      </c>
      <c r="BB1325" s="41" t="str">
        <f t="shared" si="435"/>
        <v/>
      </c>
      <c r="BC1325" s="13"/>
      <c r="BD1325" s="35"/>
      <c r="BE1325" s="13"/>
      <c r="BF1325" s="16">
        <f>SUM(BC1325:BE1325)</f>
        <v>0</v>
      </c>
      <c r="BG1325" s="17">
        <f t="shared" si="442"/>
        <v>0</v>
      </c>
      <c r="BH1325" s="16">
        <f>IFERROR(IF(F1325=1,IF(BC1325&lt;AY1325*3,AY1325*3-BC1325,0),IF(BC1325&lt;AY1325,AY1325-BC1325,0)),"")</f>
        <v>0.4</v>
      </c>
    </row>
    <row r="1326" spans="1:60" ht="12.75" customHeight="1" x14ac:dyDescent="0.2">
      <c r="A1326" s="51" t="s">
        <v>1517</v>
      </c>
      <c r="B1326" s="51"/>
      <c r="C1326" s="66" t="s">
        <v>1803</v>
      </c>
      <c r="D1326" s="52" t="s">
        <v>751</v>
      </c>
      <c r="E1326" s="52" t="s">
        <v>746</v>
      </c>
      <c r="F1326" s="53">
        <f>IFERROR(VLOOKUP(E1326,Fornecedores!$A$2:$B$2700,2,FALSE),"")</f>
        <v>11</v>
      </c>
      <c r="G1326" s="52" t="s">
        <v>1615</v>
      </c>
      <c r="H1326" s="57"/>
      <c r="I1326" s="55">
        <f t="shared" si="436"/>
        <v>0</v>
      </c>
      <c r="J1326" s="57" t="s">
        <v>1282</v>
      </c>
      <c r="K1326" s="55">
        <v>0</v>
      </c>
      <c r="L1326" s="55">
        <v>0</v>
      </c>
      <c r="M1326" s="55">
        <v>0</v>
      </c>
      <c r="N1326" s="55">
        <f t="shared" si="437"/>
        <v>0</v>
      </c>
      <c r="O1326" s="55">
        <v>0</v>
      </c>
      <c r="P1326" s="55">
        <v>0</v>
      </c>
      <c r="Q1326" s="55">
        <v>0</v>
      </c>
      <c r="R1326" s="55">
        <f t="shared" si="438"/>
        <v>0</v>
      </c>
      <c r="S1326" s="55">
        <v>0</v>
      </c>
      <c r="T1326" s="55">
        <v>0</v>
      </c>
      <c r="U1326" s="55">
        <v>0</v>
      </c>
      <c r="V1326" s="55">
        <v>0</v>
      </c>
      <c r="W1326" s="53">
        <v>0</v>
      </c>
      <c r="X1326" s="53">
        <v>0</v>
      </c>
      <c r="Y1326" s="55">
        <v>0</v>
      </c>
      <c r="Z1326" s="55">
        <v>0</v>
      </c>
      <c r="AA1326" s="53">
        <v>0</v>
      </c>
      <c r="AB1326" s="53">
        <v>0</v>
      </c>
      <c r="AC1326" s="55">
        <v>0</v>
      </c>
      <c r="AD1326" s="55">
        <f t="shared" si="439"/>
        <v>0</v>
      </c>
      <c r="AE1326" s="53">
        <v>0</v>
      </c>
      <c r="AF1326" s="55">
        <v>0</v>
      </c>
      <c r="AG1326" s="55">
        <v>0</v>
      </c>
      <c r="AH1326" s="55">
        <f t="shared" si="440"/>
        <v>0</v>
      </c>
      <c r="AI1326" s="55">
        <v>0</v>
      </c>
      <c r="AJ1326" s="55">
        <v>0</v>
      </c>
      <c r="AK1326" s="55">
        <v>0</v>
      </c>
      <c r="AL1326" s="55">
        <f t="shared" si="434"/>
        <v>0</v>
      </c>
      <c r="AM1326" s="55" t="s">
        <v>1912</v>
      </c>
      <c r="AN1326" s="55">
        <v>0</v>
      </c>
      <c r="AO1326" s="55">
        <v>0</v>
      </c>
      <c r="AP1326" s="55">
        <f t="shared" si="427"/>
        <v>0</v>
      </c>
      <c r="AQ1326" s="55">
        <f>IFERROR(VLOOKUP(A1326,[1]SIIMPLES!$A$2:$F$418,6,FALSE),0)</f>
        <v>0</v>
      </c>
      <c r="AR1326" s="55">
        <v>0</v>
      </c>
      <c r="AS1326" s="55">
        <v>0</v>
      </c>
      <c r="AT1326" s="55">
        <v>0</v>
      </c>
      <c r="AU1326" s="55">
        <v>0</v>
      </c>
      <c r="AV1326" s="55">
        <v>0</v>
      </c>
      <c r="AW1326" s="57"/>
      <c r="AX1326" s="57"/>
      <c r="AY1326" s="56">
        <f t="shared" si="441"/>
        <v>0</v>
      </c>
      <c r="AZ1326" s="55"/>
      <c r="BA1326" s="56" t="s">
        <v>1912</v>
      </c>
      <c r="BB1326" s="41" t="e">
        <f>1-BA1326/AY1326</f>
        <v>#VALUE!</v>
      </c>
      <c r="BC1326" s="13"/>
      <c r="BD1326" s="35"/>
      <c r="BE1326" s="13"/>
      <c r="BF1326" s="16"/>
      <c r="BG1326" s="17" t="str">
        <f t="shared" si="442"/>
        <v>0</v>
      </c>
      <c r="BH1326" s="20">
        <f>ROUND(IFERROR(IF(F1326=1,IF(BC1326&lt;AY1326*3,AY1326*3-BC1326,0),IF(BC1326&lt;AY1326,AY1326*0.6-BC1326,0)),""),0)</f>
        <v>0</v>
      </c>
    </row>
    <row r="1327" spans="1:60" ht="12.75" customHeight="1" x14ac:dyDescent="0.2">
      <c r="A1327" s="51" t="s">
        <v>1537</v>
      </c>
      <c r="B1327" s="51"/>
      <c r="C1327" s="66" t="s">
        <v>1803</v>
      </c>
      <c r="D1327" s="52" t="s">
        <v>751</v>
      </c>
      <c r="E1327" s="52" t="s">
        <v>746</v>
      </c>
      <c r="F1327" s="53">
        <f>IFERROR(VLOOKUP(E1327,Fornecedores!$A$2:$B$2700,2,FALSE),"")</f>
        <v>11</v>
      </c>
      <c r="G1327" s="52" t="s">
        <v>1614</v>
      </c>
      <c r="H1327" s="57"/>
      <c r="I1327" s="55">
        <f t="shared" si="436"/>
        <v>0</v>
      </c>
      <c r="J1327" s="57" t="s">
        <v>1282</v>
      </c>
      <c r="K1327" s="55">
        <v>0</v>
      </c>
      <c r="L1327" s="55">
        <v>0</v>
      </c>
      <c r="M1327" s="55">
        <v>0</v>
      </c>
      <c r="N1327" s="55">
        <f t="shared" si="437"/>
        <v>0</v>
      </c>
      <c r="O1327" s="55">
        <v>0</v>
      </c>
      <c r="P1327" s="55">
        <v>0</v>
      </c>
      <c r="Q1327" s="55">
        <v>0</v>
      </c>
      <c r="R1327" s="55">
        <f t="shared" si="438"/>
        <v>0</v>
      </c>
      <c r="S1327" s="55">
        <v>0</v>
      </c>
      <c r="T1327" s="55">
        <v>0</v>
      </c>
      <c r="U1327" s="55">
        <v>0</v>
      </c>
      <c r="V1327" s="55">
        <v>0</v>
      </c>
      <c r="W1327" s="53">
        <v>0</v>
      </c>
      <c r="X1327" s="53">
        <v>0</v>
      </c>
      <c r="Y1327" s="55">
        <v>0</v>
      </c>
      <c r="Z1327" s="55">
        <v>0</v>
      </c>
      <c r="AA1327" s="53">
        <v>0</v>
      </c>
      <c r="AB1327" s="53">
        <v>0</v>
      </c>
      <c r="AC1327" s="55">
        <v>0</v>
      </c>
      <c r="AD1327" s="55">
        <f t="shared" si="439"/>
        <v>0</v>
      </c>
      <c r="AE1327" s="53">
        <v>0</v>
      </c>
      <c r="AF1327" s="55">
        <v>0</v>
      </c>
      <c r="AG1327" s="55">
        <v>0</v>
      </c>
      <c r="AH1327" s="55">
        <f t="shared" si="440"/>
        <v>0</v>
      </c>
      <c r="AI1327" s="55">
        <v>0</v>
      </c>
      <c r="AJ1327" s="55">
        <v>0</v>
      </c>
      <c r="AK1327" s="55">
        <v>0</v>
      </c>
      <c r="AL1327" s="55">
        <f t="shared" si="434"/>
        <v>0</v>
      </c>
      <c r="AM1327" s="55" t="s">
        <v>1912</v>
      </c>
      <c r="AN1327" s="55">
        <v>0</v>
      </c>
      <c r="AO1327" s="55">
        <v>0</v>
      </c>
      <c r="AP1327" s="55">
        <f t="shared" si="427"/>
        <v>0</v>
      </c>
      <c r="AQ1327" s="55">
        <f>IFERROR(VLOOKUP(A1327,[1]SIIMPLES!$A$2:$F$418,6,FALSE),0)</f>
        <v>0</v>
      </c>
      <c r="AR1327" s="55">
        <v>0</v>
      </c>
      <c r="AS1327" s="55">
        <v>0</v>
      </c>
      <c r="AT1327" s="55">
        <v>0</v>
      </c>
      <c r="AU1327" s="55">
        <v>0</v>
      </c>
      <c r="AV1327" s="55">
        <v>0</v>
      </c>
      <c r="AW1327" s="57"/>
      <c r="AX1327" s="57"/>
      <c r="AY1327" s="56">
        <f t="shared" si="441"/>
        <v>0</v>
      </c>
      <c r="AZ1327" s="55"/>
      <c r="BA1327" s="56" t="s">
        <v>1912</v>
      </c>
      <c r="BB1327" s="41" t="str">
        <f t="shared" ref="BB1327:BB1337" si="443">IFERROR(AY1327/BA1327-1,"")</f>
        <v/>
      </c>
      <c r="BC1327" s="13"/>
      <c r="BD1327" s="35"/>
      <c r="BE1327" s="13"/>
      <c r="BF1327" s="16"/>
      <c r="BG1327" s="17" t="str">
        <f t="shared" si="442"/>
        <v>0</v>
      </c>
      <c r="BH1327" s="16">
        <f>IFERROR(IF(F1327=1,IF(BC1327&lt;AY1327*3,AY1327*3-BC1327,0),IF(BC1327&lt;AY1327,AY1327-BC1327,0)),"")</f>
        <v>0</v>
      </c>
    </row>
    <row r="1328" spans="1:60" ht="12.75" customHeight="1" x14ac:dyDescent="0.2">
      <c r="A1328" s="51" t="s">
        <v>1509</v>
      </c>
      <c r="B1328" s="51"/>
      <c r="C1328" s="66" t="s">
        <v>1803</v>
      </c>
      <c r="D1328" s="52" t="s">
        <v>751</v>
      </c>
      <c r="E1328" s="52" t="s">
        <v>746</v>
      </c>
      <c r="F1328" s="53">
        <f>IFERROR(VLOOKUP(E1328,Fornecedores!$A$2:$B$2700,2,FALSE),"")</f>
        <v>11</v>
      </c>
      <c r="G1328" s="52" t="s">
        <v>1613</v>
      </c>
      <c r="H1328" s="57"/>
      <c r="I1328" s="55">
        <f t="shared" si="436"/>
        <v>0</v>
      </c>
      <c r="J1328" s="57" t="s">
        <v>1282</v>
      </c>
      <c r="K1328" s="55">
        <v>0</v>
      </c>
      <c r="L1328" s="55">
        <v>0</v>
      </c>
      <c r="M1328" s="55">
        <v>0</v>
      </c>
      <c r="N1328" s="55">
        <f t="shared" si="437"/>
        <v>0</v>
      </c>
      <c r="O1328" s="55">
        <v>0</v>
      </c>
      <c r="P1328" s="55">
        <v>0</v>
      </c>
      <c r="Q1328" s="55">
        <v>0</v>
      </c>
      <c r="R1328" s="55">
        <f t="shared" si="438"/>
        <v>0</v>
      </c>
      <c r="S1328" s="55">
        <v>0</v>
      </c>
      <c r="T1328" s="55">
        <v>0</v>
      </c>
      <c r="U1328" s="55">
        <v>0</v>
      </c>
      <c r="V1328" s="55">
        <v>0</v>
      </c>
      <c r="W1328" s="53">
        <v>0</v>
      </c>
      <c r="X1328" s="53">
        <v>0</v>
      </c>
      <c r="Y1328" s="55">
        <v>0</v>
      </c>
      <c r="Z1328" s="55">
        <v>0</v>
      </c>
      <c r="AA1328" s="53">
        <v>0</v>
      </c>
      <c r="AB1328" s="53">
        <v>0</v>
      </c>
      <c r="AC1328" s="55">
        <v>0</v>
      </c>
      <c r="AD1328" s="55">
        <f t="shared" si="439"/>
        <v>0</v>
      </c>
      <c r="AE1328" s="53">
        <v>0</v>
      </c>
      <c r="AF1328" s="55">
        <v>0</v>
      </c>
      <c r="AG1328" s="55">
        <v>0</v>
      </c>
      <c r="AH1328" s="55">
        <f t="shared" si="440"/>
        <v>0</v>
      </c>
      <c r="AI1328" s="55">
        <v>0</v>
      </c>
      <c r="AJ1328" s="55">
        <v>0</v>
      </c>
      <c r="AK1328" s="55">
        <v>0</v>
      </c>
      <c r="AL1328" s="55">
        <f t="shared" si="434"/>
        <v>0</v>
      </c>
      <c r="AM1328" s="55" t="s">
        <v>1912</v>
      </c>
      <c r="AN1328" s="55">
        <v>0</v>
      </c>
      <c r="AO1328" s="55">
        <v>0</v>
      </c>
      <c r="AP1328" s="55">
        <f t="shared" si="427"/>
        <v>0</v>
      </c>
      <c r="AQ1328" s="55">
        <f>IFERROR(VLOOKUP(A1328,[1]SIIMPLES!$A$2:$F$418,6,FALSE),0)</f>
        <v>0</v>
      </c>
      <c r="AR1328" s="55">
        <v>0</v>
      </c>
      <c r="AS1328" s="55">
        <v>0</v>
      </c>
      <c r="AT1328" s="55">
        <v>0</v>
      </c>
      <c r="AU1328" s="55">
        <v>0</v>
      </c>
      <c r="AV1328" s="55">
        <v>0</v>
      </c>
      <c r="AW1328" s="57"/>
      <c r="AX1328" s="57"/>
      <c r="AY1328" s="56">
        <f t="shared" si="441"/>
        <v>0</v>
      </c>
      <c r="AZ1328" s="55"/>
      <c r="BA1328" s="56" t="s">
        <v>1912</v>
      </c>
      <c r="BB1328" s="41" t="str">
        <f t="shared" si="443"/>
        <v/>
      </c>
      <c r="BC1328" s="13"/>
      <c r="BD1328" s="35"/>
      <c r="BE1328" s="13"/>
      <c r="BF1328" s="16"/>
      <c r="BG1328" s="17"/>
      <c r="BH1328" s="16"/>
    </row>
    <row r="1329" spans="1:60" ht="12.75" customHeight="1" x14ac:dyDescent="0.2">
      <c r="A1329" s="51" t="s">
        <v>1254</v>
      </c>
      <c r="B1329" s="51"/>
      <c r="C1329" s="66" t="s">
        <v>1803</v>
      </c>
      <c r="D1329" s="52" t="s">
        <v>751</v>
      </c>
      <c r="E1329" s="52" t="s">
        <v>746</v>
      </c>
      <c r="F1329" s="53">
        <f>IFERROR(VLOOKUP(E1329,Fornecedores!$A$2:$B$2700,2,FALSE),"")</f>
        <v>11</v>
      </c>
      <c r="G1329" s="52" t="s">
        <v>1597</v>
      </c>
      <c r="H1329" s="57"/>
      <c r="I1329" s="55">
        <f t="shared" si="436"/>
        <v>1</v>
      </c>
      <c r="J1329" s="55">
        <v>1</v>
      </c>
      <c r="K1329" s="55">
        <v>0</v>
      </c>
      <c r="L1329" s="55">
        <v>0</v>
      </c>
      <c r="M1329" s="55">
        <v>0</v>
      </c>
      <c r="N1329" s="55">
        <f t="shared" si="437"/>
        <v>0</v>
      </c>
      <c r="O1329" s="55">
        <v>0</v>
      </c>
      <c r="P1329" s="55">
        <v>0</v>
      </c>
      <c r="Q1329" s="55">
        <v>0</v>
      </c>
      <c r="R1329" s="55">
        <f t="shared" si="438"/>
        <v>0</v>
      </c>
      <c r="S1329" s="55">
        <v>0</v>
      </c>
      <c r="T1329" s="55">
        <v>0</v>
      </c>
      <c r="U1329" s="55">
        <v>0</v>
      </c>
      <c r="V1329" s="55">
        <v>0</v>
      </c>
      <c r="W1329" s="53">
        <v>0</v>
      </c>
      <c r="X1329" s="53">
        <v>0</v>
      </c>
      <c r="Y1329" s="55">
        <v>0</v>
      </c>
      <c r="Z1329" s="55">
        <v>0</v>
      </c>
      <c r="AA1329" s="53">
        <v>0</v>
      </c>
      <c r="AB1329" s="53">
        <v>0</v>
      </c>
      <c r="AC1329" s="55">
        <v>0</v>
      </c>
      <c r="AD1329" s="55">
        <f t="shared" si="439"/>
        <v>0</v>
      </c>
      <c r="AE1329" s="53">
        <v>0</v>
      </c>
      <c r="AF1329" s="55">
        <v>0</v>
      </c>
      <c r="AG1329" s="55">
        <v>0</v>
      </c>
      <c r="AH1329" s="55">
        <f t="shared" si="440"/>
        <v>0</v>
      </c>
      <c r="AI1329" s="55">
        <v>0</v>
      </c>
      <c r="AJ1329" s="55">
        <v>0</v>
      </c>
      <c r="AK1329" s="55">
        <v>0</v>
      </c>
      <c r="AL1329" s="55">
        <f t="shared" si="434"/>
        <v>0</v>
      </c>
      <c r="AM1329" s="55" t="s">
        <v>1912</v>
      </c>
      <c r="AN1329" s="55">
        <v>0</v>
      </c>
      <c r="AO1329" s="55">
        <v>0</v>
      </c>
      <c r="AP1329" s="55">
        <f t="shared" si="427"/>
        <v>0</v>
      </c>
      <c r="AQ1329" s="55">
        <f>IFERROR(VLOOKUP(A1329,[1]SIIMPLES!$A$2:$F$418,6,FALSE),0)</f>
        <v>0</v>
      </c>
      <c r="AR1329" s="55">
        <v>0</v>
      </c>
      <c r="AS1329" s="55">
        <v>3</v>
      </c>
      <c r="AT1329" s="55">
        <v>3</v>
      </c>
      <c r="AU1329" s="55">
        <v>0</v>
      </c>
      <c r="AV1329" s="55">
        <v>0</v>
      </c>
      <c r="AW1329" s="55"/>
      <c r="AX1329" s="55"/>
      <c r="AY1329" s="56">
        <f t="shared" si="441"/>
        <v>0.4</v>
      </c>
      <c r="AZ1329" s="55"/>
      <c r="BA1329" s="56">
        <v>1.5</v>
      </c>
      <c r="BB1329" s="41">
        <f t="shared" si="443"/>
        <v>-0.73333333333333339</v>
      </c>
      <c r="BC1329" s="13"/>
      <c r="BD1329" s="35"/>
      <c r="BE1329" s="13"/>
      <c r="BF1329" s="16"/>
      <c r="BG1329" s="17"/>
      <c r="BH1329" s="16"/>
    </row>
    <row r="1330" spans="1:60" ht="12.75" customHeight="1" x14ac:dyDescent="0.2">
      <c r="A1330" s="51" t="s">
        <v>1403</v>
      </c>
      <c r="B1330" s="51"/>
      <c r="C1330" s="66" t="s">
        <v>1803</v>
      </c>
      <c r="D1330" s="52" t="s">
        <v>751</v>
      </c>
      <c r="E1330" s="52" t="s">
        <v>746</v>
      </c>
      <c r="F1330" s="53">
        <f>IFERROR(VLOOKUP(E1330,Fornecedores!$A$2:$B$2700,2,FALSE),"")</f>
        <v>11</v>
      </c>
      <c r="G1330" s="52" t="s">
        <v>1408</v>
      </c>
      <c r="H1330" s="57"/>
      <c r="I1330" s="55">
        <f t="shared" si="436"/>
        <v>0</v>
      </c>
      <c r="J1330" s="55">
        <v>0</v>
      </c>
      <c r="K1330" s="55">
        <v>0</v>
      </c>
      <c r="L1330" s="55">
        <v>0</v>
      </c>
      <c r="M1330" s="55">
        <v>0</v>
      </c>
      <c r="N1330" s="55">
        <f t="shared" si="437"/>
        <v>0</v>
      </c>
      <c r="O1330" s="55">
        <v>0</v>
      </c>
      <c r="P1330" s="55">
        <v>0</v>
      </c>
      <c r="Q1330" s="55">
        <v>0</v>
      </c>
      <c r="R1330" s="55">
        <f t="shared" si="438"/>
        <v>0</v>
      </c>
      <c r="S1330" s="55">
        <v>0</v>
      </c>
      <c r="T1330" s="55">
        <v>0</v>
      </c>
      <c r="U1330" s="55">
        <v>0</v>
      </c>
      <c r="V1330" s="55">
        <v>0</v>
      </c>
      <c r="W1330" s="53">
        <v>0</v>
      </c>
      <c r="X1330" s="53">
        <v>0</v>
      </c>
      <c r="Y1330" s="55">
        <v>0</v>
      </c>
      <c r="Z1330" s="55">
        <v>1</v>
      </c>
      <c r="AA1330" s="53">
        <v>1</v>
      </c>
      <c r="AB1330" s="53">
        <v>0</v>
      </c>
      <c r="AC1330" s="55">
        <v>0</v>
      </c>
      <c r="AD1330" s="55">
        <f t="shared" si="439"/>
        <v>0</v>
      </c>
      <c r="AE1330" s="53">
        <v>0</v>
      </c>
      <c r="AF1330" s="55">
        <v>0</v>
      </c>
      <c r="AG1330" s="55">
        <v>0</v>
      </c>
      <c r="AH1330" s="55">
        <f t="shared" si="440"/>
        <v>4</v>
      </c>
      <c r="AI1330" s="55">
        <v>4</v>
      </c>
      <c r="AJ1330" s="55">
        <v>0</v>
      </c>
      <c r="AK1330" s="55">
        <v>0</v>
      </c>
      <c r="AL1330" s="55">
        <f t="shared" si="434"/>
        <v>5</v>
      </c>
      <c r="AM1330" s="55">
        <v>5</v>
      </c>
      <c r="AN1330" s="55">
        <v>0</v>
      </c>
      <c r="AO1330" s="55">
        <v>0</v>
      </c>
      <c r="AP1330" s="55">
        <f t="shared" si="427"/>
        <v>0</v>
      </c>
      <c r="AQ1330" s="55">
        <f>IFERROR(VLOOKUP(A1330,[1]SIIMPLES!$A$2:$F$418,6,FALSE),0)</f>
        <v>0</v>
      </c>
      <c r="AR1330" s="55">
        <v>0</v>
      </c>
      <c r="AS1330" s="55">
        <v>0</v>
      </c>
      <c r="AT1330" s="55">
        <v>0</v>
      </c>
      <c r="AU1330" s="55">
        <v>0</v>
      </c>
      <c r="AV1330" s="55">
        <v>0</v>
      </c>
      <c r="AW1330" s="55"/>
      <c r="AX1330" s="55"/>
      <c r="AY1330" s="56">
        <f t="shared" si="441"/>
        <v>1</v>
      </c>
      <c r="AZ1330" s="55"/>
      <c r="BA1330" s="56">
        <v>2</v>
      </c>
      <c r="BB1330" s="41">
        <f t="shared" si="443"/>
        <v>-0.5</v>
      </c>
      <c r="BC1330" s="13"/>
      <c r="BD1330" s="35"/>
      <c r="BE1330" s="13"/>
      <c r="BF1330" s="16"/>
      <c r="BG1330" s="17"/>
      <c r="BH1330" s="16"/>
    </row>
    <row r="1331" spans="1:60" ht="12.75" customHeight="1" x14ac:dyDescent="0.2">
      <c r="A1331" s="51" t="s">
        <v>167</v>
      </c>
      <c r="B1331" s="51"/>
      <c r="C1331" s="66" t="s">
        <v>1803</v>
      </c>
      <c r="D1331" s="52" t="s">
        <v>763</v>
      </c>
      <c r="E1331" s="52" t="s">
        <v>764</v>
      </c>
      <c r="F1331" s="53">
        <f>IFERROR(VLOOKUP(E1331,Fornecedores!$A$2:$B$2700,2,FALSE),"")</f>
        <v>10</v>
      </c>
      <c r="G1331" s="52" t="s">
        <v>168</v>
      </c>
      <c r="H1331" s="54"/>
      <c r="I1331" s="55">
        <f t="shared" si="436"/>
        <v>0</v>
      </c>
      <c r="J1331" s="55">
        <v>0</v>
      </c>
      <c r="K1331" s="55">
        <v>0</v>
      </c>
      <c r="L1331" s="55">
        <v>0</v>
      </c>
      <c r="M1331" s="55">
        <v>0</v>
      </c>
      <c r="N1331" s="55">
        <f t="shared" si="437"/>
        <v>0</v>
      </c>
      <c r="O1331" s="55">
        <v>0</v>
      </c>
      <c r="P1331" s="55">
        <v>0</v>
      </c>
      <c r="Q1331" s="55">
        <v>0</v>
      </c>
      <c r="R1331" s="55">
        <f t="shared" si="438"/>
        <v>0</v>
      </c>
      <c r="S1331" s="55">
        <v>0</v>
      </c>
      <c r="T1331" s="55">
        <v>0</v>
      </c>
      <c r="U1331" s="55">
        <v>0</v>
      </c>
      <c r="V1331" s="55">
        <v>0</v>
      </c>
      <c r="W1331" s="53">
        <v>0</v>
      </c>
      <c r="X1331" s="53">
        <v>0</v>
      </c>
      <c r="Y1331" s="55">
        <v>0</v>
      </c>
      <c r="Z1331" s="55">
        <v>0</v>
      </c>
      <c r="AA1331" s="53">
        <v>0</v>
      </c>
      <c r="AB1331" s="53">
        <v>0</v>
      </c>
      <c r="AC1331" s="55">
        <v>0</v>
      </c>
      <c r="AD1331" s="55">
        <f t="shared" si="439"/>
        <v>0</v>
      </c>
      <c r="AE1331" s="53">
        <v>0</v>
      </c>
      <c r="AF1331" s="55">
        <v>0</v>
      </c>
      <c r="AG1331" s="55">
        <v>0</v>
      </c>
      <c r="AH1331" s="55">
        <f t="shared" si="440"/>
        <v>0</v>
      </c>
      <c r="AI1331" s="55">
        <v>0</v>
      </c>
      <c r="AJ1331" s="55">
        <v>0</v>
      </c>
      <c r="AK1331" s="55">
        <v>0</v>
      </c>
      <c r="AL1331" s="55">
        <f t="shared" si="434"/>
        <v>0</v>
      </c>
      <c r="AM1331" s="55" t="s">
        <v>1912</v>
      </c>
      <c r="AN1331" s="55">
        <v>0</v>
      </c>
      <c r="AO1331" s="55">
        <v>0</v>
      </c>
      <c r="AP1331" s="55">
        <f t="shared" si="427"/>
        <v>0</v>
      </c>
      <c r="AQ1331" s="55">
        <f>IFERROR(VLOOKUP(A1331,[1]SIIMPLES!$A$2:$F$418,6,FALSE),0)</f>
        <v>0</v>
      </c>
      <c r="AR1331" s="55">
        <v>0</v>
      </c>
      <c r="AS1331" s="55">
        <v>0</v>
      </c>
      <c r="AT1331" s="55">
        <v>0</v>
      </c>
      <c r="AU1331" s="55">
        <v>0</v>
      </c>
      <c r="AV1331" s="55">
        <v>0</v>
      </c>
      <c r="AW1331" s="55"/>
      <c r="AX1331" s="55"/>
      <c r="AY1331" s="56">
        <f t="shared" si="441"/>
        <v>0</v>
      </c>
      <c r="AZ1331" s="55"/>
      <c r="BA1331" s="56">
        <v>0.16666666666666666</v>
      </c>
      <c r="BB1331" s="41">
        <f t="shared" si="443"/>
        <v>-1</v>
      </c>
      <c r="BC1331" s="13"/>
      <c r="BD1331" s="35"/>
      <c r="BE1331" s="13"/>
      <c r="BF1331" s="16"/>
      <c r="BG1331" s="17"/>
      <c r="BH1331" s="16"/>
    </row>
    <row r="1332" spans="1:60" ht="12.75" customHeight="1" x14ac:dyDescent="0.2">
      <c r="A1332" s="51" t="s">
        <v>64</v>
      </c>
      <c r="B1332" s="51"/>
      <c r="C1332" s="66" t="s">
        <v>1803</v>
      </c>
      <c r="D1332" s="52" t="s">
        <v>763</v>
      </c>
      <c r="E1332" s="52" t="s">
        <v>764</v>
      </c>
      <c r="F1332" s="53">
        <f>IFERROR(VLOOKUP(E1332,Fornecedores!$A$2:$B$2700,2,FALSE),"")</f>
        <v>10</v>
      </c>
      <c r="G1332" s="52" t="s">
        <v>65</v>
      </c>
      <c r="H1332" s="54"/>
      <c r="I1332" s="55">
        <f t="shared" si="436"/>
        <v>0</v>
      </c>
      <c r="J1332" s="55">
        <v>0</v>
      </c>
      <c r="K1332" s="55">
        <v>0</v>
      </c>
      <c r="L1332" s="55">
        <v>0</v>
      </c>
      <c r="M1332" s="55">
        <v>0</v>
      </c>
      <c r="N1332" s="55">
        <f t="shared" si="437"/>
        <v>0</v>
      </c>
      <c r="O1332" s="55">
        <v>0</v>
      </c>
      <c r="P1332" s="55">
        <v>0</v>
      </c>
      <c r="Q1332" s="55">
        <v>0</v>
      </c>
      <c r="R1332" s="55">
        <f t="shared" si="438"/>
        <v>2</v>
      </c>
      <c r="S1332" s="55">
        <v>2</v>
      </c>
      <c r="T1332" s="55">
        <v>0</v>
      </c>
      <c r="U1332" s="55">
        <v>0</v>
      </c>
      <c r="V1332" s="55">
        <v>0</v>
      </c>
      <c r="W1332" s="53">
        <v>0</v>
      </c>
      <c r="X1332" s="53">
        <v>0</v>
      </c>
      <c r="Y1332" s="55">
        <v>0</v>
      </c>
      <c r="Z1332" s="55">
        <v>0</v>
      </c>
      <c r="AA1332" s="53">
        <v>0</v>
      </c>
      <c r="AB1332" s="53">
        <v>0</v>
      </c>
      <c r="AC1332" s="55">
        <v>0</v>
      </c>
      <c r="AD1332" s="55">
        <f t="shared" si="439"/>
        <v>0</v>
      </c>
      <c r="AE1332" s="53">
        <v>0</v>
      </c>
      <c r="AF1332" s="55">
        <v>0</v>
      </c>
      <c r="AG1332" s="55">
        <v>0</v>
      </c>
      <c r="AH1332" s="55">
        <f t="shared" si="440"/>
        <v>0</v>
      </c>
      <c r="AI1332" s="55">
        <v>0</v>
      </c>
      <c r="AJ1332" s="55">
        <v>0</v>
      </c>
      <c r="AK1332" s="55">
        <v>0</v>
      </c>
      <c r="AL1332" s="55">
        <f t="shared" si="434"/>
        <v>0</v>
      </c>
      <c r="AM1332" s="55" t="s">
        <v>1912</v>
      </c>
      <c r="AN1332" s="55">
        <v>0</v>
      </c>
      <c r="AO1332" s="55">
        <v>0</v>
      </c>
      <c r="AP1332" s="55">
        <f t="shared" ref="AP1332:AP1395" si="444">SUM(AQ1332:AR1332)</f>
        <v>0</v>
      </c>
      <c r="AQ1332" s="55">
        <f>IFERROR(VLOOKUP(A1332,[1]SIIMPLES!$A$2:$F$418,6,FALSE),0)</f>
        <v>0</v>
      </c>
      <c r="AR1332" s="55">
        <v>0</v>
      </c>
      <c r="AS1332" s="55">
        <v>0</v>
      </c>
      <c r="AT1332" s="55">
        <v>0</v>
      </c>
      <c r="AU1332" s="55">
        <v>0</v>
      </c>
      <c r="AV1332" s="55">
        <v>0</v>
      </c>
      <c r="AW1332" s="55"/>
      <c r="AX1332" s="55"/>
      <c r="AY1332" s="56">
        <f t="shared" si="441"/>
        <v>0.2</v>
      </c>
      <c r="AZ1332" s="55"/>
      <c r="BA1332" s="56">
        <v>0.16666666666666666</v>
      </c>
      <c r="BB1332" s="41">
        <f t="shared" si="443"/>
        <v>0.20000000000000018</v>
      </c>
      <c r="BC1332" s="10"/>
      <c r="BD1332" s="35"/>
      <c r="BE1332" s="13"/>
      <c r="BF1332" s="16"/>
      <c r="BG1332" s="17"/>
      <c r="BH1332" s="16"/>
    </row>
    <row r="1333" spans="1:60" ht="12.75" customHeight="1" x14ac:dyDescent="0.2">
      <c r="A1333" s="51" t="s">
        <v>793</v>
      </c>
      <c r="B1333" s="51"/>
      <c r="C1333" s="66" t="s">
        <v>1803</v>
      </c>
      <c r="D1333" s="52" t="s">
        <v>763</v>
      </c>
      <c r="E1333" s="52" t="s">
        <v>764</v>
      </c>
      <c r="F1333" s="53">
        <f>IFERROR(VLOOKUP(E1333,Fornecedores!$A$2:$B$2700,2,FALSE),"")</f>
        <v>10</v>
      </c>
      <c r="G1333" s="52" t="s">
        <v>937</v>
      </c>
      <c r="H1333" s="54"/>
      <c r="I1333" s="55">
        <f t="shared" si="436"/>
        <v>0</v>
      </c>
      <c r="J1333" s="55">
        <v>0</v>
      </c>
      <c r="K1333" s="55">
        <v>0</v>
      </c>
      <c r="L1333" s="55">
        <v>0</v>
      </c>
      <c r="M1333" s="55">
        <v>0</v>
      </c>
      <c r="N1333" s="55">
        <f t="shared" si="437"/>
        <v>0</v>
      </c>
      <c r="O1333" s="55">
        <v>0</v>
      </c>
      <c r="P1333" s="55">
        <v>0</v>
      </c>
      <c r="Q1333" s="55">
        <v>0</v>
      </c>
      <c r="R1333" s="55">
        <f t="shared" si="438"/>
        <v>0</v>
      </c>
      <c r="S1333" s="55">
        <v>0</v>
      </c>
      <c r="T1333" s="55">
        <v>0</v>
      </c>
      <c r="U1333" s="55">
        <v>0</v>
      </c>
      <c r="V1333" s="55">
        <v>0</v>
      </c>
      <c r="W1333" s="53">
        <v>0</v>
      </c>
      <c r="X1333" s="53">
        <v>0</v>
      </c>
      <c r="Y1333" s="55">
        <v>0</v>
      </c>
      <c r="Z1333" s="55">
        <v>0</v>
      </c>
      <c r="AA1333" s="53">
        <v>0</v>
      </c>
      <c r="AB1333" s="53">
        <v>0</v>
      </c>
      <c r="AC1333" s="55">
        <v>0</v>
      </c>
      <c r="AD1333" s="55">
        <f t="shared" si="439"/>
        <v>0</v>
      </c>
      <c r="AE1333" s="53">
        <v>0</v>
      </c>
      <c r="AF1333" s="55">
        <v>0</v>
      </c>
      <c r="AG1333" s="55">
        <v>0</v>
      </c>
      <c r="AH1333" s="55">
        <f t="shared" si="440"/>
        <v>0</v>
      </c>
      <c r="AI1333" s="55">
        <v>0</v>
      </c>
      <c r="AJ1333" s="55">
        <v>0</v>
      </c>
      <c r="AK1333" s="55">
        <v>0</v>
      </c>
      <c r="AL1333" s="55">
        <f t="shared" si="434"/>
        <v>0</v>
      </c>
      <c r="AM1333" s="55" t="s">
        <v>1912</v>
      </c>
      <c r="AN1333" s="55">
        <v>0</v>
      </c>
      <c r="AO1333" s="55">
        <v>0</v>
      </c>
      <c r="AP1333" s="55">
        <f t="shared" si="444"/>
        <v>0</v>
      </c>
      <c r="AQ1333" s="55">
        <f>IFERROR(VLOOKUP(A1333,[1]SIIMPLES!$A$2:$F$418,6,FALSE),0)</f>
        <v>0</v>
      </c>
      <c r="AR1333" s="55">
        <v>0</v>
      </c>
      <c r="AS1333" s="55">
        <v>0</v>
      </c>
      <c r="AT1333" s="55">
        <v>0</v>
      </c>
      <c r="AU1333" s="55">
        <v>0</v>
      </c>
      <c r="AV1333" s="55">
        <v>0</v>
      </c>
      <c r="AW1333" s="55"/>
      <c r="AX1333" s="55"/>
      <c r="AY1333" s="56">
        <f t="shared" si="441"/>
        <v>0</v>
      </c>
      <c r="AZ1333" s="55"/>
      <c r="BA1333" s="56">
        <v>0</v>
      </c>
      <c r="BB1333" s="41" t="str">
        <f t="shared" si="443"/>
        <v/>
      </c>
      <c r="BC1333" s="13"/>
      <c r="BD1333" s="35"/>
      <c r="BE1333" s="13"/>
      <c r="BF1333" s="16"/>
      <c r="BG1333" s="17"/>
      <c r="BH1333" s="16"/>
    </row>
    <row r="1334" spans="1:60" ht="12.75" customHeight="1" x14ac:dyDescent="0.2">
      <c r="A1334" s="51" t="s">
        <v>1543</v>
      </c>
      <c r="B1334" s="51"/>
      <c r="C1334" s="66" t="s">
        <v>1803</v>
      </c>
      <c r="D1334" s="52" t="s">
        <v>751</v>
      </c>
      <c r="E1334" s="52" t="s">
        <v>746</v>
      </c>
      <c r="F1334" s="53">
        <f>IFERROR(VLOOKUP(E1334,Fornecedores!$A$2:$B$2700,2,FALSE),"")</f>
        <v>11</v>
      </c>
      <c r="G1334" s="52" t="s">
        <v>1611</v>
      </c>
      <c r="H1334" s="57"/>
      <c r="I1334" s="55">
        <f t="shared" si="436"/>
        <v>0</v>
      </c>
      <c r="J1334" s="57" t="s">
        <v>1282</v>
      </c>
      <c r="K1334" s="55">
        <v>0</v>
      </c>
      <c r="L1334" s="55">
        <v>0</v>
      </c>
      <c r="M1334" s="55">
        <v>0</v>
      </c>
      <c r="N1334" s="55">
        <f t="shared" si="437"/>
        <v>1</v>
      </c>
      <c r="O1334" s="55">
        <v>0</v>
      </c>
      <c r="P1334" s="55">
        <v>1</v>
      </c>
      <c r="Q1334" s="55">
        <v>0</v>
      </c>
      <c r="R1334" s="55">
        <f t="shared" si="438"/>
        <v>0</v>
      </c>
      <c r="S1334" s="55">
        <v>0</v>
      </c>
      <c r="T1334" s="55">
        <v>0</v>
      </c>
      <c r="U1334" s="55">
        <v>0</v>
      </c>
      <c r="V1334" s="55">
        <v>0</v>
      </c>
      <c r="W1334" s="53">
        <v>0</v>
      </c>
      <c r="X1334" s="53">
        <v>0</v>
      </c>
      <c r="Y1334" s="55">
        <v>0</v>
      </c>
      <c r="Z1334" s="55">
        <v>2</v>
      </c>
      <c r="AA1334" s="53">
        <v>0</v>
      </c>
      <c r="AB1334" s="53">
        <v>2</v>
      </c>
      <c r="AC1334" s="55">
        <v>0</v>
      </c>
      <c r="AD1334" s="55">
        <f t="shared" si="439"/>
        <v>0</v>
      </c>
      <c r="AE1334" s="53">
        <v>0</v>
      </c>
      <c r="AF1334" s="55">
        <v>0</v>
      </c>
      <c r="AG1334" s="55">
        <v>0</v>
      </c>
      <c r="AH1334" s="55">
        <f t="shared" si="440"/>
        <v>0</v>
      </c>
      <c r="AI1334" s="55">
        <v>0</v>
      </c>
      <c r="AJ1334" s="55">
        <v>0</v>
      </c>
      <c r="AK1334" s="55">
        <v>0</v>
      </c>
      <c r="AL1334" s="55">
        <f t="shared" si="434"/>
        <v>0</v>
      </c>
      <c r="AM1334" s="55" t="s">
        <v>1912</v>
      </c>
      <c r="AN1334" s="55">
        <v>0</v>
      </c>
      <c r="AO1334" s="55">
        <v>0</v>
      </c>
      <c r="AP1334" s="55">
        <f t="shared" si="444"/>
        <v>0</v>
      </c>
      <c r="AQ1334" s="55">
        <f>IFERROR(VLOOKUP(A1334,[1]SIIMPLES!$A$2:$F$418,6,FALSE),0)</f>
        <v>0</v>
      </c>
      <c r="AR1334" s="55">
        <v>0</v>
      </c>
      <c r="AS1334" s="55">
        <v>0</v>
      </c>
      <c r="AT1334" s="55">
        <v>0</v>
      </c>
      <c r="AU1334" s="55">
        <v>0</v>
      </c>
      <c r="AV1334" s="55">
        <v>0</v>
      </c>
      <c r="AW1334" s="57"/>
      <c r="AX1334" s="57"/>
      <c r="AY1334" s="56">
        <f t="shared" si="441"/>
        <v>0.3</v>
      </c>
      <c r="AZ1334" s="55"/>
      <c r="BA1334" s="56" t="s">
        <v>1912</v>
      </c>
      <c r="BB1334" s="41" t="str">
        <f t="shared" si="443"/>
        <v/>
      </c>
      <c r="BC1334" s="13"/>
      <c r="BD1334" s="35"/>
      <c r="BE1334" s="13"/>
      <c r="BF1334" s="16"/>
      <c r="BG1334" s="17"/>
      <c r="BH1334" s="16"/>
    </row>
    <row r="1335" spans="1:60" ht="12.75" customHeight="1" x14ac:dyDescent="0.2">
      <c r="A1335" s="51" t="s">
        <v>1387</v>
      </c>
      <c r="B1335" s="51"/>
      <c r="C1335" s="66" t="s">
        <v>1803</v>
      </c>
      <c r="D1335" s="52" t="s">
        <v>751</v>
      </c>
      <c r="E1335" s="52" t="s">
        <v>746</v>
      </c>
      <c r="F1335" s="53">
        <f>IFERROR(VLOOKUP(E1335,Fornecedores!$A$2:$B$2700,2,FALSE),"")</f>
        <v>11</v>
      </c>
      <c r="G1335" s="52" t="s">
        <v>1589</v>
      </c>
      <c r="H1335" s="57"/>
      <c r="I1335" s="55">
        <f t="shared" si="436"/>
        <v>1</v>
      </c>
      <c r="J1335" s="55">
        <v>1</v>
      </c>
      <c r="K1335" s="55">
        <v>0</v>
      </c>
      <c r="L1335" s="55">
        <v>0</v>
      </c>
      <c r="M1335" s="55">
        <v>0</v>
      </c>
      <c r="N1335" s="55">
        <f t="shared" si="437"/>
        <v>1</v>
      </c>
      <c r="O1335" s="55">
        <v>0</v>
      </c>
      <c r="P1335" s="55">
        <v>1</v>
      </c>
      <c r="Q1335" s="55">
        <v>0</v>
      </c>
      <c r="R1335" s="55">
        <f t="shared" si="438"/>
        <v>1</v>
      </c>
      <c r="S1335" s="55">
        <v>1</v>
      </c>
      <c r="T1335" s="55">
        <v>0</v>
      </c>
      <c r="U1335" s="55">
        <v>0</v>
      </c>
      <c r="V1335" s="55">
        <v>1</v>
      </c>
      <c r="W1335" s="53">
        <v>1</v>
      </c>
      <c r="X1335" s="53">
        <v>0</v>
      </c>
      <c r="Y1335" s="55">
        <v>0</v>
      </c>
      <c r="Z1335" s="55">
        <v>2</v>
      </c>
      <c r="AA1335" s="53">
        <v>0</v>
      </c>
      <c r="AB1335" s="53">
        <v>2</v>
      </c>
      <c r="AC1335" s="55">
        <v>0</v>
      </c>
      <c r="AD1335" s="55">
        <f t="shared" si="439"/>
        <v>0</v>
      </c>
      <c r="AE1335" s="53">
        <v>0</v>
      </c>
      <c r="AF1335" s="55">
        <v>0</v>
      </c>
      <c r="AG1335" s="55">
        <v>0</v>
      </c>
      <c r="AH1335" s="55">
        <f t="shared" si="440"/>
        <v>0</v>
      </c>
      <c r="AI1335" s="55">
        <v>0</v>
      </c>
      <c r="AJ1335" s="55">
        <v>0</v>
      </c>
      <c r="AK1335" s="55">
        <v>0</v>
      </c>
      <c r="AL1335" s="55">
        <f t="shared" si="434"/>
        <v>0</v>
      </c>
      <c r="AM1335" s="55" t="s">
        <v>1912</v>
      </c>
      <c r="AN1335" s="55">
        <v>0</v>
      </c>
      <c r="AO1335" s="55">
        <v>0</v>
      </c>
      <c r="AP1335" s="55">
        <f t="shared" si="444"/>
        <v>0</v>
      </c>
      <c r="AQ1335" s="55">
        <f>IFERROR(VLOOKUP(A1335,[1]SIIMPLES!$A$2:$F$418,6,FALSE),0)</f>
        <v>0</v>
      </c>
      <c r="AR1335" s="55">
        <v>0</v>
      </c>
      <c r="AS1335" s="55">
        <v>0</v>
      </c>
      <c r="AT1335" s="55">
        <v>0</v>
      </c>
      <c r="AU1335" s="55">
        <v>0</v>
      </c>
      <c r="AV1335" s="55">
        <v>0</v>
      </c>
      <c r="AW1335" s="57"/>
      <c r="AX1335" s="55"/>
      <c r="AY1335" s="56">
        <f t="shared" si="441"/>
        <v>0.6</v>
      </c>
      <c r="AZ1335" s="55"/>
      <c r="BA1335" s="56">
        <v>0</v>
      </c>
      <c r="BB1335" s="41" t="str">
        <f t="shared" si="443"/>
        <v/>
      </c>
      <c r="BC1335" s="13"/>
      <c r="BD1335" s="35"/>
      <c r="BE1335" s="13"/>
      <c r="BF1335" s="16"/>
      <c r="BG1335" s="17"/>
      <c r="BH1335" s="16"/>
    </row>
    <row r="1336" spans="1:60" ht="12.75" customHeight="1" x14ac:dyDescent="0.2">
      <c r="A1336" s="51" t="s">
        <v>1544</v>
      </c>
      <c r="B1336" s="51"/>
      <c r="C1336" s="66" t="s">
        <v>1803</v>
      </c>
      <c r="D1336" s="52" t="s">
        <v>751</v>
      </c>
      <c r="E1336" s="52" t="s">
        <v>746</v>
      </c>
      <c r="F1336" s="53">
        <f>IFERROR(VLOOKUP(E1336,Fornecedores!$A$2:$B$2700,2,FALSE),"")</f>
        <v>11</v>
      </c>
      <c r="G1336" s="52" t="s">
        <v>1610</v>
      </c>
      <c r="H1336" s="57"/>
      <c r="I1336" s="55">
        <f t="shared" ref="I1336:I1367" si="445">SUM(J1336:M1336)</f>
        <v>0</v>
      </c>
      <c r="J1336" s="57" t="s">
        <v>1282</v>
      </c>
      <c r="K1336" s="55">
        <v>0</v>
      </c>
      <c r="L1336" s="55">
        <v>0</v>
      </c>
      <c r="M1336" s="55">
        <v>0</v>
      </c>
      <c r="N1336" s="55">
        <f t="shared" ref="N1336:N1367" si="446">SUM(O1336:Q1336)</f>
        <v>0</v>
      </c>
      <c r="O1336" s="55">
        <v>0</v>
      </c>
      <c r="P1336" s="55">
        <v>0</v>
      </c>
      <c r="Q1336" s="55">
        <v>0</v>
      </c>
      <c r="R1336" s="55">
        <f t="shared" ref="R1336:R1367" si="447">SUM(S1336:U1336)</f>
        <v>0</v>
      </c>
      <c r="S1336" s="55">
        <v>0</v>
      </c>
      <c r="T1336" s="55">
        <v>0</v>
      </c>
      <c r="U1336" s="55">
        <v>0</v>
      </c>
      <c r="V1336" s="55">
        <v>0</v>
      </c>
      <c r="W1336" s="53">
        <v>0</v>
      </c>
      <c r="X1336" s="53">
        <v>0</v>
      </c>
      <c r="Y1336" s="55">
        <v>0</v>
      </c>
      <c r="Z1336" s="55">
        <v>0</v>
      </c>
      <c r="AA1336" s="53">
        <v>0</v>
      </c>
      <c r="AB1336" s="53">
        <v>0</v>
      </c>
      <c r="AC1336" s="55">
        <v>0</v>
      </c>
      <c r="AD1336" s="55">
        <f t="shared" ref="AD1336:AD1367" si="448">SUM(AE1336:AG1336)</f>
        <v>0</v>
      </c>
      <c r="AE1336" s="53">
        <v>0</v>
      </c>
      <c r="AF1336" s="55">
        <v>0</v>
      </c>
      <c r="AG1336" s="55">
        <v>0</v>
      </c>
      <c r="AH1336" s="55">
        <f t="shared" si="440"/>
        <v>0</v>
      </c>
      <c r="AI1336" s="55">
        <v>0</v>
      </c>
      <c r="AJ1336" s="55">
        <v>0</v>
      </c>
      <c r="AK1336" s="55">
        <v>0</v>
      </c>
      <c r="AL1336" s="55">
        <f t="shared" si="434"/>
        <v>0</v>
      </c>
      <c r="AM1336" s="55" t="s">
        <v>1912</v>
      </c>
      <c r="AN1336" s="55">
        <v>0</v>
      </c>
      <c r="AO1336" s="55">
        <v>0</v>
      </c>
      <c r="AP1336" s="55">
        <f t="shared" si="444"/>
        <v>0</v>
      </c>
      <c r="AQ1336" s="55">
        <f>IFERROR(VLOOKUP(A1336,[1]SIIMPLES!$A$2:$F$418,6,FALSE),0)</f>
        <v>0</v>
      </c>
      <c r="AR1336" s="55">
        <v>0</v>
      </c>
      <c r="AS1336" s="55">
        <v>0</v>
      </c>
      <c r="AT1336" s="55">
        <v>0</v>
      </c>
      <c r="AU1336" s="55">
        <v>0</v>
      </c>
      <c r="AV1336" s="55">
        <v>0</v>
      </c>
      <c r="AW1336" s="57"/>
      <c r="AX1336" s="57"/>
      <c r="AY1336" s="56">
        <f t="shared" si="441"/>
        <v>0</v>
      </c>
      <c r="AZ1336" s="55"/>
      <c r="BA1336" s="56" t="s">
        <v>1912</v>
      </c>
      <c r="BB1336" s="41" t="str">
        <f t="shared" si="443"/>
        <v/>
      </c>
      <c r="BC1336" s="13"/>
      <c r="BD1336" s="35"/>
      <c r="BE1336" s="13"/>
      <c r="BF1336" s="16"/>
      <c r="BG1336" s="17"/>
      <c r="BH1336" s="16"/>
    </row>
    <row r="1337" spans="1:60" ht="12.75" customHeight="1" x14ac:dyDescent="0.2">
      <c r="A1337" s="51" t="s">
        <v>791</v>
      </c>
      <c r="B1337" s="51"/>
      <c r="C1337" s="66" t="s">
        <v>1803</v>
      </c>
      <c r="D1337" s="52" t="s">
        <v>763</v>
      </c>
      <c r="E1337" s="52" t="s">
        <v>1181</v>
      </c>
      <c r="F1337" s="53">
        <f>IFERROR(VLOOKUP(E1337,Fornecedores!$A$2:$B$2700,2,FALSE),"")</f>
        <v>9</v>
      </c>
      <c r="G1337" s="52" t="s">
        <v>935</v>
      </c>
      <c r="H1337" s="54"/>
      <c r="I1337" s="55">
        <f t="shared" si="445"/>
        <v>0</v>
      </c>
      <c r="J1337" s="55">
        <v>0</v>
      </c>
      <c r="K1337" s="55">
        <v>0</v>
      </c>
      <c r="L1337" s="55">
        <v>0</v>
      </c>
      <c r="M1337" s="55">
        <v>0</v>
      </c>
      <c r="N1337" s="55">
        <f t="shared" si="446"/>
        <v>0</v>
      </c>
      <c r="O1337" s="55">
        <v>0</v>
      </c>
      <c r="P1337" s="55">
        <v>0</v>
      </c>
      <c r="Q1337" s="55">
        <v>0</v>
      </c>
      <c r="R1337" s="55">
        <f t="shared" si="447"/>
        <v>0</v>
      </c>
      <c r="S1337" s="55">
        <v>0</v>
      </c>
      <c r="T1337" s="55">
        <v>0</v>
      </c>
      <c r="U1337" s="55">
        <v>0</v>
      </c>
      <c r="V1337" s="55">
        <v>0</v>
      </c>
      <c r="W1337" s="53">
        <v>0</v>
      </c>
      <c r="X1337" s="53">
        <v>0</v>
      </c>
      <c r="Y1337" s="55">
        <v>0</v>
      </c>
      <c r="Z1337" s="55">
        <v>0</v>
      </c>
      <c r="AA1337" s="53">
        <v>0</v>
      </c>
      <c r="AB1337" s="53">
        <v>0</v>
      </c>
      <c r="AC1337" s="55">
        <v>0</v>
      </c>
      <c r="AD1337" s="55">
        <f t="shared" si="448"/>
        <v>0</v>
      </c>
      <c r="AE1337" s="53">
        <v>0</v>
      </c>
      <c r="AF1337" s="55">
        <v>0</v>
      </c>
      <c r="AG1337" s="55">
        <v>0</v>
      </c>
      <c r="AH1337" s="55">
        <f t="shared" si="440"/>
        <v>0</v>
      </c>
      <c r="AI1337" s="55">
        <v>0</v>
      </c>
      <c r="AJ1337" s="55">
        <v>0</v>
      </c>
      <c r="AK1337" s="55">
        <v>0</v>
      </c>
      <c r="AL1337" s="55">
        <f t="shared" si="434"/>
        <v>0</v>
      </c>
      <c r="AM1337" s="55" t="s">
        <v>1912</v>
      </c>
      <c r="AN1337" s="55">
        <v>0</v>
      </c>
      <c r="AO1337" s="55">
        <v>0</v>
      </c>
      <c r="AP1337" s="55">
        <f t="shared" si="444"/>
        <v>0</v>
      </c>
      <c r="AQ1337" s="55">
        <f>IFERROR(VLOOKUP(A1337,[1]SIIMPLES!$A$2:$F$418,6,FALSE),0)</f>
        <v>0</v>
      </c>
      <c r="AR1337" s="55">
        <v>0</v>
      </c>
      <c r="AS1337" s="55">
        <v>0</v>
      </c>
      <c r="AT1337" s="55">
        <v>0</v>
      </c>
      <c r="AU1337" s="55">
        <v>0</v>
      </c>
      <c r="AV1337" s="55">
        <v>0</v>
      </c>
      <c r="AW1337" s="55"/>
      <c r="AX1337" s="55"/>
      <c r="AY1337" s="56">
        <f t="shared" si="441"/>
        <v>0</v>
      </c>
      <c r="AZ1337" s="55"/>
      <c r="BA1337" s="56">
        <v>1.6</v>
      </c>
      <c r="BB1337" s="41">
        <f t="shared" si="443"/>
        <v>-1</v>
      </c>
      <c r="BC1337" s="13"/>
      <c r="BD1337" s="35"/>
      <c r="BE1337" s="13"/>
      <c r="BF1337" s="16"/>
      <c r="BG1337" s="17"/>
      <c r="BH1337" s="16"/>
    </row>
    <row r="1338" spans="1:60" ht="12.75" customHeight="1" x14ac:dyDescent="0.2">
      <c r="A1338" s="51" t="s">
        <v>307</v>
      </c>
      <c r="B1338" s="51"/>
      <c r="C1338" s="66" t="s">
        <v>1803</v>
      </c>
      <c r="D1338" s="52" t="s">
        <v>763</v>
      </c>
      <c r="E1338" s="52" t="s">
        <v>780</v>
      </c>
      <c r="F1338" s="53">
        <f>IFERROR(VLOOKUP(E1338,Fornecedores!$A$2:$B$2700,2,FALSE),"")</f>
        <v>2</v>
      </c>
      <c r="G1338" s="52" t="s">
        <v>308</v>
      </c>
      <c r="H1338" s="54"/>
      <c r="I1338" s="55">
        <f t="shared" si="445"/>
        <v>0</v>
      </c>
      <c r="J1338" s="55">
        <v>0</v>
      </c>
      <c r="K1338" s="55">
        <v>0</v>
      </c>
      <c r="L1338" s="55">
        <v>0</v>
      </c>
      <c r="M1338" s="55">
        <v>0</v>
      </c>
      <c r="N1338" s="55">
        <f t="shared" si="446"/>
        <v>0</v>
      </c>
      <c r="O1338" s="55">
        <v>0</v>
      </c>
      <c r="P1338" s="55">
        <v>0</v>
      </c>
      <c r="Q1338" s="55">
        <v>0</v>
      </c>
      <c r="R1338" s="55">
        <f t="shared" si="447"/>
        <v>0</v>
      </c>
      <c r="S1338" s="55">
        <v>0</v>
      </c>
      <c r="T1338" s="55">
        <v>0</v>
      </c>
      <c r="U1338" s="55">
        <v>0</v>
      </c>
      <c r="V1338" s="55">
        <v>0</v>
      </c>
      <c r="W1338" s="53">
        <v>0</v>
      </c>
      <c r="X1338" s="53">
        <v>0</v>
      </c>
      <c r="Y1338" s="55">
        <v>0</v>
      </c>
      <c r="Z1338" s="55">
        <v>0</v>
      </c>
      <c r="AA1338" s="53">
        <v>0</v>
      </c>
      <c r="AB1338" s="53">
        <v>0</v>
      </c>
      <c r="AC1338" s="55">
        <v>0</v>
      </c>
      <c r="AD1338" s="55">
        <f t="shared" si="448"/>
        <v>0</v>
      </c>
      <c r="AE1338" s="53">
        <v>0</v>
      </c>
      <c r="AF1338" s="55">
        <v>0</v>
      </c>
      <c r="AG1338" s="55">
        <v>0</v>
      </c>
      <c r="AH1338" s="55">
        <f t="shared" si="440"/>
        <v>0</v>
      </c>
      <c r="AI1338" s="55">
        <v>0</v>
      </c>
      <c r="AJ1338" s="55">
        <v>0</v>
      </c>
      <c r="AK1338" s="55">
        <v>0</v>
      </c>
      <c r="AL1338" s="55">
        <f t="shared" si="434"/>
        <v>0</v>
      </c>
      <c r="AM1338" s="55" t="s">
        <v>1912</v>
      </c>
      <c r="AN1338" s="55">
        <v>0</v>
      </c>
      <c r="AO1338" s="55">
        <v>0</v>
      </c>
      <c r="AP1338" s="55">
        <f t="shared" si="444"/>
        <v>0</v>
      </c>
      <c r="AQ1338" s="55">
        <f>IFERROR(VLOOKUP(A1338,[1]SIIMPLES!$A$2:$F$418,6,FALSE),0)</f>
        <v>0</v>
      </c>
      <c r="AR1338" s="55">
        <v>0</v>
      </c>
      <c r="AS1338" s="55">
        <v>0</v>
      </c>
      <c r="AT1338" s="55">
        <v>0</v>
      </c>
      <c r="AU1338" s="55">
        <v>0</v>
      </c>
      <c r="AV1338" s="55">
        <v>0</v>
      </c>
      <c r="AW1338" s="55"/>
      <c r="AX1338" s="55"/>
      <c r="AY1338" s="56">
        <f t="shared" si="441"/>
        <v>0</v>
      </c>
      <c r="AZ1338" s="55"/>
      <c r="BA1338" s="56">
        <v>0</v>
      </c>
      <c r="BB1338" s="41"/>
      <c r="BC1338" s="13"/>
      <c r="BD1338" s="35"/>
      <c r="BE1338" s="13"/>
      <c r="BF1338" s="16"/>
      <c r="BG1338" s="17"/>
      <c r="BH1338" s="16"/>
    </row>
    <row r="1339" spans="1:60" ht="12.75" customHeight="1" x14ac:dyDescent="0.2">
      <c r="A1339" s="51" t="s">
        <v>278</v>
      </c>
      <c r="B1339" s="51"/>
      <c r="C1339" s="66" t="s">
        <v>1803</v>
      </c>
      <c r="D1339" s="52" t="s">
        <v>763</v>
      </c>
      <c r="E1339" s="52" t="s">
        <v>764</v>
      </c>
      <c r="F1339" s="53">
        <f>IFERROR(VLOOKUP(E1339,Fornecedores!$A$2:$B$2700,2,FALSE),"")</f>
        <v>10</v>
      </c>
      <c r="G1339" s="52" t="s">
        <v>279</v>
      </c>
      <c r="H1339" s="54"/>
      <c r="I1339" s="55">
        <f t="shared" si="445"/>
        <v>0</v>
      </c>
      <c r="J1339" s="55">
        <v>0</v>
      </c>
      <c r="K1339" s="55">
        <v>0</v>
      </c>
      <c r="L1339" s="55">
        <v>0</v>
      </c>
      <c r="M1339" s="55">
        <v>0</v>
      </c>
      <c r="N1339" s="55">
        <f t="shared" si="446"/>
        <v>0</v>
      </c>
      <c r="O1339" s="55">
        <v>0</v>
      </c>
      <c r="P1339" s="55">
        <v>0</v>
      </c>
      <c r="Q1339" s="55">
        <v>0</v>
      </c>
      <c r="R1339" s="55">
        <f t="shared" si="447"/>
        <v>2</v>
      </c>
      <c r="S1339" s="55">
        <v>2</v>
      </c>
      <c r="T1339" s="55">
        <v>0</v>
      </c>
      <c r="U1339" s="55">
        <v>0</v>
      </c>
      <c r="V1339" s="55">
        <v>0</v>
      </c>
      <c r="W1339" s="53">
        <v>0</v>
      </c>
      <c r="X1339" s="53">
        <v>0</v>
      </c>
      <c r="Y1339" s="55">
        <v>0</v>
      </c>
      <c r="Z1339" s="55">
        <v>0</v>
      </c>
      <c r="AA1339" s="53">
        <v>0</v>
      </c>
      <c r="AB1339" s="53">
        <v>0</v>
      </c>
      <c r="AC1339" s="55">
        <v>0</v>
      </c>
      <c r="AD1339" s="55">
        <f t="shared" si="448"/>
        <v>2</v>
      </c>
      <c r="AE1339" s="53">
        <v>2</v>
      </c>
      <c r="AF1339" s="55">
        <v>0</v>
      </c>
      <c r="AG1339" s="55">
        <v>0</v>
      </c>
      <c r="AH1339" s="55">
        <f t="shared" ref="AH1339:AH1370" si="449">SUM(AI1339:AK1339)</f>
        <v>2</v>
      </c>
      <c r="AI1339" s="55">
        <v>2</v>
      </c>
      <c r="AJ1339" s="55">
        <v>0</v>
      </c>
      <c r="AK1339" s="55">
        <v>0</v>
      </c>
      <c r="AL1339" s="55">
        <f t="shared" si="434"/>
        <v>0</v>
      </c>
      <c r="AM1339" s="55" t="s">
        <v>1912</v>
      </c>
      <c r="AN1339" s="55">
        <v>0</v>
      </c>
      <c r="AO1339" s="55">
        <v>0</v>
      </c>
      <c r="AP1339" s="55">
        <f t="shared" si="444"/>
        <v>0</v>
      </c>
      <c r="AQ1339" s="55">
        <f>IFERROR(VLOOKUP(A1339,[1]SIIMPLES!$A$2:$F$418,6,FALSE),0)</f>
        <v>0</v>
      </c>
      <c r="AR1339" s="55">
        <v>0</v>
      </c>
      <c r="AS1339" s="55">
        <v>0</v>
      </c>
      <c r="AT1339" s="55">
        <v>0</v>
      </c>
      <c r="AU1339" s="55">
        <v>0</v>
      </c>
      <c r="AV1339" s="55">
        <v>0</v>
      </c>
      <c r="AW1339" s="55"/>
      <c r="AX1339" s="55"/>
      <c r="AY1339" s="56">
        <f t="shared" ref="AY1339:AY1370" si="450">IFERROR(AVERAGE(I1339,N1339,R1339,V1339,Z1339,AD1339,AH1339,AL1339,AP1339,AS1339,AW1339,AX1339),"-")</f>
        <v>0.6</v>
      </c>
      <c r="AZ1339" s="55"/>
      <c r="BA1339" s="56">
        <v>0.16666666666666666</v>
      </c>
      <c r="BB1339" s="41"/>
      <c r="BC1339" s="13"/>
    </row>
    <row r="1340" spans="1:60" ht="12.75" customHeight="1" x14ac:dyDescent="0.2">
      <c r="A1340" s="51" t="s">
        <v>60</v>
      </c>
      <c r="B1340" s="51"/>
      <c r="C1340" s="66" t="s">
        <v>1803</v>
      </c>
      <c r="D1340" s="52" t="s">
        <v>763</v>
      </c>
      <c r="E1340" s="52" t="s">
        <v>764</v>
      </c>
      <c r="F1340" s="53">
        <f>IFERROR(VLOOKUP(E1340,Fornecedores!$A$2:$B$2700,2,FALSE),"")</f>
        <v>10</v>
      </c>
      <c r="G1340" s="52" t="s">
        <v>61</v>
      </c>
      <c r="H1340" s="54"/>
      <c r="I1340" s="55">
        <f t="shared" si="445"/>
        <v>0</v>
      </c>
      <c r="J1340" s="55">
        <v>0</v>
      </c>
      <c r="K1340" s="55">
        <v>0</v>
      </c>
      <c r="L1340" s="55">
        <v>0</v>
      </c>
      <c r="M1340" s="55">
        <v>0</v>
      </c>
      <c r="N1340" s="55">
        <f t="shared" si="446"/>
        <v>0</v>
      </c>
      <c r="O1340" s="55">
        <v>0</v>
      </c>
      <c r="P1340" s="55">
        <v>0</v>
      </c>
      <c r="Q1340" s="55">
        <v>0</v>
      </c>
      <c r="R1340" s="55">
        <f t="shared" si="447"/>
        <v>0</v>
      </c>
      <c r="S1340" s="55">
        <v>0</v>
      </c>
      <c r="T1340" s="55">
        <v>0</v>
      </c>
      <c r="U1340" s="55">
        <v>0</v>
      </c>
      <c r="V1340" s="55">
        <v>0</v>
      </c>
      <c r="W1340" s="53">
        <v>0</v>
      </c>
      <c r="X1340" s="53">
        <v>0</v>
      </c>
      <c r="Y1340" s="55">
        <v>0</v>
      </c>
      <c r="Z1340" s="55">
        <v>0</v>
      </c>
      <c r="AA1340" s="53">
        <v>0</v>
      </c>
      <c r="AB1340" s="53">
        <v>0</v>
      </c>
      <c r="AC1340" s="55">
        <v>0</v>
      </c>
      <c r="AD1340" s="55">
        <f t="shared" si="448"/>
        <v>0</v>
      </c>
      <c r="AE1340" s="53">
        <v>0</v>
      </c>
      <c r="AF1340" s="55">
        <v>0</v>
      </c>
      <c r="AG1340" s="55">
        <v>0</v>
      </c>
      <c r="AH1340" s="55">
        <f t="shared" si="449"/>
        <v>0</v>
      </c>
      <c r="AI1340" s="55">
        <v>0</v>
      </c>
      <c r="AJ1340" s="55">
        <v>0</v>
      </c>
      <c r="AK1340" s="55">
        <v>0</v>
      </c>
      <c r="AL1340" s="55">
        <f t="shared" si="434"/>
        <v>0</v>
      </c>
      <c r="AM1340" s="55" t="s">
        <v>1912</v>
      </c>
      <c r="AN1340" s="55">
        <v>0</v>
      </c>
      <c r="AO1340" s="55">
        <v>0</v>
      </c>
      <c r="AP1340" s="55">
        <f t="shared" si="444"/>
        <v>0</v>
      </c>
      <c r="AQ1340" s="55">
        <f>IFERROR(VLOOKUP(A1340,[1]SIIMPLES!$A$2:$F$418,6,FALSE),0)</f>
        <v>0</v>
      </c>
      <c r="AR1340" s="55">
        <v>0</v>
      </c>
      <c r="AS1340" s="55">
        <v>0</v>
      </c>
      <c r="AT1340" s="55">
        <v>0</v>
      </c>
      <c r="AU1340" s="55">
        <v>0</v>
      </c>
      <c r="AV1340" s="55">
        <v>0</v>
      </c>
      <c r="AW1340" s="55"/>
      <c r="AX1340" s="55"/>
      <c r="AY1340" s="56">
        <f t="shared" si="450"/>
        <v>0</v>
      </c>
      <c r="AZ1340" s="55"/>
      <c r="BA1340" s="56">
        <v>0</v>
      </c>
      <c r="BB1340" s="41"/>
      <c r="BC1340" s="13"/>
    </row>
    <row r="1341" spans="1:60" ht="12.75" customHeight="1" x14ac:dyDescent="0.2">
      <c r="A1341" s="51" t="s">
        <v>1119</v>
      </c>
      <c r="B1341" s="51"/>
      <c r="C1341" s="66" t="s">
        <v>1803</v>
      </c>
      <c r="D1341" s="52" t="s">
        <v>745</v>
      </c>
      <c r="E1341" s="52" t="s">
        <v>780</v>
      </c>
      <c r="F1341" s="53">
        <f>IFERROR(VLOOKUP(E1341,Fornecedores!$A$2:$B$2700,2,FALSE),"")</f>
        <v>2</v>
      </c>
      <c r="G1341" s="52" t="s">
        <v>1162</v>
      </c>
      <c r="H1341" s="54"/>
      <c r="I1341" s="55">
        <f t="shared" si="445"/>
        <v>1</v>
      </c>
      <c r="J1341" s="55">
        <v>0</v>
      </c>
      <c r="K1341" s="55">
        <v>1</v>
      </c>
      <c r="L1341" s="55">
        <v>0</v>
      </c>
      <c r="M1341" s="55">
        <v>0</v>
      </c>
      <c r="N1341" s="55">
        <f t="shared" si="446"/>
        <v>1</v>
      </c>
      <c r="O1341" s="55">
        <v>1</v>
      </c>
      <c r="P1341" s="55">
        <v>0</v>
      </c>
      <c r="Q1341" s="55">
        <v>0</v>
      </c>
      <c r="R1341" s="55">
        <f t="shared" si="447"/>
        <v>1</v>
      </c>
      <c r="S1341" s="55">
        <v>0</v>
      </c>
      <c r="T1341" s="55">
        <v>1</v>
      </c>
      <c r="U1341" s="55">
        <v>0</v>
      </c>
      <c r="V1341" s="55">
        <v>1</v>
      </c>
      <c r="W1341" s="53">
        <v>0</v>
      </c>
      <c r="X1341" s="53">
        <v>1</v>
      </c>
      <c r="Y1341" s="55">
        <v>0</v>
      </c>
      <c r="Z1341" s="55">
        <v>0</v>
      </c>
      <c r="AA1341" s="53">
        <v>0</v>
      </c>
      <c r="AB1341" s="53">
        <v>0</v>
      </c>
      <c r="AC1341" s="55">
        <v>0</v>
      </c>
      <c r="AD1341" s="55">
        <f t="shared" si="448"/>
        <v>0</v>
      </c>
      <c r="AE1341" s="53">
        <v>0</v>
      </c>
      <c r="AF1341" s="55">
        <v>0</v>
      </c>
      <c r="AG1341" s="55">
        <v>0</v>
      </c>
      <c r="AH1341" s="55">
        <f t="shared" si="449"/>
        <v>0</v>
      </c>
      <c r="AI1341" s="55">
        <v>0</v>
      </c>
      <c r="AJ1341" s="55">
        <v>0</v>
      </c>
      <c r="AK1341" s="55">
        <v>0</v>
      </c>
      <c r="AL1341" s="55">
        <f t="shared" si="434"/>
        <v>0</v>
      </c>
      <c r="AM1341" s="55" t="s">
        <v>1912</v>
      </c>
      <c r="AN1341" s="55">
        <v>0</v>
      </c>
      <c r="AO1341" s="55">
        <v>0</v>
      </c>
      <c r="AP1341" s="55">
        <f t="shared" si="444"/>
        <v>0</v>
      </c>
      <c r="AQ1341" s="55">
        <f>IFERROR(VLOOKUP(A1341,[1]SIIMPLES!$A$2:$F$418,6,FALSE),0)</f>
        <v>0</v>
      </c>
      <c r="AR1341" s="55">
        <v>0</v>
      </c>
      <c r="AS1341" s="55">
        <v>0</v>
      </c>
      <c r="AT1341" s="55">
        <v>0</v>
      </c>
      <c r="AU1341" s="55">
        <v>0</v>
      </c>
      <c r="AV1341" s="55">
        <v>0</v>
      </c>
      <c r="AW1341" s="55"/>
      <c r="AX1341" s="55"/>
      <c r="AY1341" s="56">
        <f t="shared" si="450"/>
        <v>0.4</v>
      </c>
      <c r="AZ1341" s="55"/>
      <c r="BA1341" s="56">
        <v>0</v>
      </c>
      <c r="BB1341" s="41"/>
      <c r="BC1341" s="13"/>
    </row>
    <row r="1342" spans="1:60" ht="12.75" customHeight="1" x14ac:dyDescent="0.2">
      <c r="A1342" s="51" t="s">
        <v>1120</v>
      </c>
      <c r="B1342" s="51"/>
      <c r="C1342" s="66" t="s">
        <v>1803</v>
      </c>
      <c r="D1342" s="52" t="s">
        <v>745</v>
      </c>
      <c r="E1342" s="52" t="s">
        <v>780</v>
      </c>
      <c r="F1342" s="53">
        <f>IFERROR(VLOOKUP(E1342,Fornecedores!$A$2:$B$2700,2,FALSE),"")</f>
        <v>2</v>
      </c>
      <c r="G1342" s="52" t="s">
        <v>1163</v>
      </c>
      <c r="H1342" s="54"/>
      <c r="I1342" s="55">
        <f t="shared" si="445"/>
        <v>1</v>
      </c>
      <c r="J1342" s="55">
        <v>0</v>
      </c>
      <c r="K1342" s="55">
        <v>1</v>
      </c>
      <c r="L1342" s="55">
        <v>0</v>
      </c>
      <c r="M1342" s="55">
        <v>0</v>
      </c>
      <c r="N1342" s="55">
        <f t="shared" si="446"/>
        <v>0</v>
      </c>
      <c r="O1342" s="55">
        <v>0</v>
      </c>
      <c r="P1342" s="55">
        <v>0</v>
      </c>
      <c r="Q1342" s="55">
        <v>0</v>
      </c>
      <c r="R1342" s="55">
        <f t="shared" si="447"/>
        <v>1</v>
      </c>
      <c r="S1342" s="55">
        <v>0</v>
      </c>
      <c r="T1342" s="55">
        <v>1</v>
      </c>
      <c r="U1342" s="55">
        <v>0</v>
      </c>
      <c r="V1342" s="55">
        <v>1</v>
      </c>
      <c r="W1342" s="53">
        <v>0</v>
      </c>
      <c r="X1342" s="53">
        <v>1</v>
      </c>
      <c r="Y1342" s="55">
        <v>0</v>
      </c>
      <c r="Z1342" s="55">
        <v>0</v>
      </c>
      <c r="AA1342" s="53">
        <v>0</v>
      </c>
      <c r="AB1342" s="53">
        <v>0</v>
      </c>
      <c r="AC1342" s="55">
        <v>0</v>
      </c>
      <c r="AD1342" s="55">
        <f t="shared" si="448"/>
        <v>0</v>
      </c>
      <c r="AE1342" s="53">
        <v>0</v>
      </c>
      <c r="AF1342" s="55">
        <v>0</v>
      </c>
      <c r="AG1342" s="55">
        <v>0</v>
      </c>
      <c r="AH1342" s="55">
        <f t="shared" si="449"/>
        <v>0</v>
      </c>
      <c r="AI1342" s="55">
        <v>0</v>
      </c>
      <c r="AJ1342" s="55">
        <v>0</v>
      </c>
      <c r="AK1342" s="55">
        <v>0</v>
      </c>
      <c r="AL1342" s="55">
        <f t="shared" si="434"/>
        <v>0</v>
      </c>
      <c r="AM1342" s="55" t="s">
        <v>1912</v>
      </c>
      <c r="AN1342" s="55">
        <v>0</v>
      </c>
      <c r="AO1342" s="55">
        <v>0</v>
      </c>
      <c r="AP1342" s="55">
        <f t="shared" si="444"/>
        <v>0</v>
      </c>
      <c r="AQ1342" s="55">
        <f>IFERROR(VLOOKUP(A1342,[1]SIIMPLES!$A$2:$F$418,6,FALSE),0)</f>
        <v>0</v>
      </c>
      <c r="AR1342" s="55">
        <v>0</v>
      </c>
      <c r="AS1342" s="55">
        <v>0</v>
      </c>
      <c r="AT1342" s="55">
        <v>0</v>
      </c>
      <c r="AU1342" s="55">
        <v>0</v>
      </c>
      <c r="AV1342" s="55">
        <v>0</v>
      </c>
      <c r="AW1342" s="55"/>
      <c r="AX1342" s="55"/>
      <c r="AY1342" s="56">
        <f t="shared" si="450"/>
        <v>0.3</v>
      </c>
      <c r="AZ1342" s="55"/>
      <c r="BA1342" s="56">
        <v>0</v>
      </c>
      <c r="BB1342" s="41"/>
      <c r="BC1342" s="13"/>
    </row>
    <row r="1343" spans="1:60" ht="12.75" customHeight="1" x14ac:dyDescent="0.2">
      <c r="A1343" s="51" t="s">
        <v>9</v>
      </c>
      <c r="B1343" s="51"/>
      <c r="C1343" s="66" t="s">
        <v>1803</v>
      </c>
      <c r="D1343" s="52" t="s">
        <v>763</v>
      </c>
      <c r="E1343" s="52" t="s">
        <v>764</v>
      </c>
      <c r="F1343" s="53">
        <f>IFERROR(VLOOKUP(E1343,Fornecedores!$A$2:$B$2700,2,FALSE),"")</f>
        <v>10</v>
      </c>
      <c r="G1343" s="52" t="s">
        <v>10</v>
      </c>
      <c r="H1343" s="54"/>
      <c r="I1343" s="55">
        <f t="shared" si="445"/>
        <v>0</v>
      </c>
      <c r="J1343" s="55">
        <v>0</v>
      </c>
      <c r="K1343" s="55">
        <v>0</v>
      </c>
      <c r="L1343" s="55">
        <v>0</v>
      </c>
      <c r="M1343" s="55">
        <v>0</v>
      </c>
      <c r="N1343" s="55">
        <f t="shared" si="446"/>
        <v>0</v>
      </c>
      <c r="O1343" s="55">
        <v>0</v>
      </c>
      <c r="P1343" s="55">
        <v>0</v>
      </c>
      <c r="Q1343" s="55">
        <v>0</v>
      </c>
      <c r="R1343" s="55">
        <f t="shared" si="447"/>
        <v>0</v>
      </c>
      <c r="S1343" s="55">
        <v>0</v>
      </c>
      <c r="T1343" s="55">
        <v>0</v>
      </c>
      <c r="U1343" s="55">
        <v>0</v>
      </c>
      <c r="V1343" s="55">
        <v>0</v>
      </c>
      <c r="W1343" s="53">
        <v>0</v>
      </c>
      <c r="X1343" s="53">
        <v>0</v>
      </c>
      <c r="Y1343" s="55">
        <v>0</v>
      </c>
      <c r="Z1343" s="55">
        <v>0</v>
      </c>
      <c r="AA1343" s="53">
        <v>0</v>
      </c>
      <c r="AB1343" s="53">
        <v>0</v>
      </c>
      <c r="AC1343" s="55">
        <v>0</v>
      </c>
      <c r="AD1343" s="55">
        <f t="shared" si="448"/>
        <v>0</v>
      </c>
      <c r="AE1343" s="53">
        <v>0</v>
      </c>
      <c r="AF1343" s="55">
        <v>0</v>
      </c>
      <c r="AG1343" s="55">
        <v>0</v>
      </c>
      <c r="AH1343" s="55">
        <f t="shared" si="449"/>
        <v>0</v>
      </c>
      <c r="AI1343" s="55">
        <v>0</v>
      </c>
      <c r="AJ1343" s="55">
        <v>0</v>
      </c>
      <c r="AK1343" s="55">
        <v>0</v>
      </c>
      <c r="AL1343" s="55">
        <f t="shared" si="434"/>
        <v>0</v>
      </c>
      <c r="AM1343" s="55" t="s">
        <v>1912</v>
      </c>
      <c r="AN1343" s="55">
        <v>0</v>
      </c>
      <c r="AO1343" s="55">
        <v>0</v>
      </c>
      <c r="AP1343" s="55">
        <f t="shared" si="444"/>
        <v>0</v>
      </c>
      <c r="AQ1343" s="55">
        <f>IFERROR(VLOOKUP(A1343,[1]SIIMPLES!$A$2:$F$418,6,FALSE),0)</f>
        <v>0</v>
      </c>
      <c r="AR1343" s="55">
        <v>0</v>
      </c>
      <c r="AS1343" s="55">
        <v>0</v>
      </c>
      <c r="AT1343" s="55">
        <v>0</v>
      </c>
      <c r="AU1343" s="55">
        <v>0</v>
      </c>
      <c r="AV1343" s="55">
        <v>0</v>
      </c>
      <c r="AW1343" s="55"/>
      <c r="AX1343" s="55"/>
      <c r="AY1343" s="56">
        <f t="shared" si="450"/>
        <v>0</v>
      </c>
      <c r="AZ1343" s="55"/>
      <c r="BA1343" s="56">
        <v>0</v>
      </c>
      <c r="BB1343" s="36"/>
      <c r="BC1343" s="7"/>
    </row>
    <row r="1344" spans="1:60" ht="12.75" customHeight="1" x14ac:dyDescent="0.2">
      <c r="A1344" s="51" t="s">
        <v>514</v>
      </c>
      <c r="B1344" s="51"/>
      <c r="C1344" s="66" t="s">
        <v>1803</v>
      </c>
      <c r="D1344" s="52" t="s">
        <v>763</v>
      </c>
      <c r="E1344" s="52" t="s">
        <v>764</v>
      </c>
      <c r="F1344" s="53">
        <f>IFERROR(VLOOKUP(E1344,Fornecedores!$A$2:$B$2700,2,FALSE),"")</f>
        <v>10</v>
      </c>
      <c r="G1344" s="52" t="s">
        <v>515</v>
      </c>
      <c r="H1344" s="54"/>
      <c r="I1344" s="55">
        <f t="shared" si="445"/>
        <v>0</v>
      </c>
      <c r="J1344" s="55">
        <v>0</v>
      </c>
      <c r="K1344" s="55">
        <v>0</v>
      </c>
      <c r="L1344" s="55">
        <v>0</v>
      </c>
      <c r="M1344" s="55">
        <v>0</v>
      </c>
      <c r="N1344" s="55">
        <f t="shared" si="446"/>
        <v>0</v>
      </c>
      <c r="O1344" s="55">
        <v>0</v>
      </c>
      <c r="P1344" s="55">
        <v>0</v>
      </c>
      <c r="Q1344" s="55">
        <v>0</v>
      </c>
      <c r="R1344" s="55">
        <f t="shared" si="447"/>
        <v>0</v>
      </c>
      <c r="S1344" s="55">
        <v>0</v>
      </c>
      <c r="T1344" s="55">
        <v>0</v>
      </c>
      <c r="U1344" s="55">
        <v>0</v>
      </c>
      <c r="V1344" s="55">
        <v>0</v>
      </c>
      <c r="W1344" s="53">
        <v>0</v>
      </c>
      <c r="X1344" s="53">
        <v>0</v>
      </c>
      <c r="Y1344" s="55">
        <v>0</v>
      </c>
      <c r="Z1344" s="55">
        <v>0</v>
      </c>
      <c r="AA1344" s="53">
        <v>0</v>
      </c>
      <c r="AB1344" s="53">
        <v>0</v>
      </c>
      <c r="AC1344" s="55">
        <v>0</v>
      </c>
      <c r="AD1344" s="55">
        <f t="shared" si="448"/>
        <v>0</v>
      </c>
      <c r="AE1344" s="53">
        <v>0</v>
      </c>
      <c r="AF1344" s="55">
        <v>0</v>
      </c>
      <c r="AG1344" s="55">
        <v>0</v>
      </c>
      <c r="AH1344" s="55">
        <f t="shared" si="449"/>
        <v>0</v>
      </c>
      <c r="AI1344" s="55">
        <v>0</v>
      </c>
      <c r="AJ1344" s="55">
        <v>0</v>
      </c>
      <c r="AK1344" s="55">
        <v>0</v>
      </c>
      <c r="AL1344" s="55">
        <f t="shared" si="434"/>
        <v>0</v>
      </c>
      <c r="AM1344" s="55" t="s">
        <v>1912</v>
      </c>
      <c r="AN1344" s="55">
        <v>0</v>
      </c>
      <c r="AO1344" s="55">
        <v>0</v>
      </c>
      <c r="AP1344" s="55">
        <f t="shared" si="444"/>
        <v>0</v>
      </c>
      <c r="AQ1344" s="55">
        <f>IFERROR(VLOOKUP(A1344,[1]SIIMPLES!$A$2:$F$418,6,FALSE),0)</f>
        <v>0</v>
      </c>
      <c r="AR1344" s="55">
        <v>0</v>
      </c>
      <c r="AS1344" s="55">
        <v>0</v>
      </c>
      <c r="AT1344" s="55">
        <v>0</v>
      </c>
      <c r="AU1344" s="55">
        <v>0</v>
      </c>
      <c r="AV1344" s="55">
        <v>0</v>
      </c>
      <c r="AW1344" s="55"/>
      <c r="AX1344" s="55"/>
      <c r="AY1344" s="56">
        <f t="shared" si="450"/>
        <v>0</v>
      </c>
      <c r="AZ1344" s="55"/>
      <c r="BA1344" s="56">
        <v>0.16666666666666666</v>
      </c>
      <c r="BB1344" s="36"/>
      <c r="BC1344" s="7"/>
    </row>
    <row r="1345" spans="1:55" ht="12.75" customHeight="1" x14ac:dyDescent="0.2">
      <c r="A1345" s="51" t="s">
        <v>516</v>
      </c>
      <c r="B1345" s="51"/>
      <c r="C1345" s="66" t="s">
        <v>1803</v>
      </c>
      <c r="D1345" s="52" t="s">
        <v>763</v>
      </c>
      <c r="E1345" s="52" t="s">
        <v>764</v>
      </c>
      <c r="F1345" s="53">
        <f>IFERROR(VLOOKUP(E1345,Fornecedores!$A$2:$B$2700,2,FALSE),"")</f>
        <v>10</v>
      </c>
      <c r="G1345" s="52" t="s">
        <v>517</v>
      </c>
      <c r="H1345" s="54"/>
      <c r="I1345" s="55">
        <f t="shared" si="445"/>
        <v>0</v>
      </c>
      <c r="J1345" s="55">
        <v>0</v>
      </c>
      <c r="K1345" s="55">
        <v>0</v>
      </c>
      <c r="L1345" s="55">
        <v>0</v>
      </c>
      <c r="M1345" s="55">
        <v>0</v>
      </c>
      <c r="N1345" s="55">
        <f t="shared" si="446"/>
        <v>0</v>
      </c>
      <c r="O1345" s="55">
        <v>0</v>
      </c>
      <c r="P1345" s="55">
        <v>0</v>
      </c>
      <c r="Q1345" s="55">
        <v>0</v>
      </c>
      <c r="R1345" s="55">
        <f t="shared" si="447"/>
        <v>0</v>
      </c>
      <c r="S1345" s="55">
        <v>0</v>
      </c>
      <c r="T1345" s="55">
        <v>0</v>
      </c>
      <c r="U1345" s="55">
        <v>0</v>
      </c>
      <c r="V1345" s="55">
        <v>0</v>
      </c>
      <c r="W1345" s="53">
        <v>0</v>
      </c>
      <c r="X1345" s="53">
        <v>0</v>
      </c>
      <c r="Y1345" s="55">
        <v>0</v>
      </c>
      <c r="Z1345" s="55">
        <v>0</v>
      </c>
      <c r="AA1345" s="53">
        <v>0</v>
      </c>
      <c r="AB1345" s="53">
        <v>0</v>
      </c>
      <c r="AC1345" s="55">
        <v>0</v>
      </c>
      <c r="AD1345" s="55">
        <f t="shared" si="448"/>
        <v>0</v>
      </c>
      <c r="AE1345" s="53">
        <v>0</v>
      </c>
      <c r="AF1345" s="55">
        <v>0</v>
      </c>
      <c r="AG1345" s="55">
        <v>0</v>
      </c>
      <c r="AH1345" s="55">
        <f t="shared" si="449"/>
        <v>0</v>
      </c>
      <c r="AI1345" s="55">
        <v>0</v>
      </c>
      <c r="AJ1345" s="55">
        <v>0</v>
      </c>
      <c r="AK1345" s="55">
        <v>0</v>
      </c>
      <c r="AL1345" s="55">
        <f t="shared" si="434"/>
        <v>0</v>
      </c>
      <c r="AM1345" s="55" t="s">
        <v>1912</v>
      </c>
      <c r="AN1345" s="55">
        <v>0</v>
      </c>
      <c r="AO1345" s="55">
        <v>0</v>
      </c>
      <c r="AP1345" s="55">
        <f t="shared" si="444"/>
        <v>0</v>
      </c>
      <c r="AQ1345" s="55">
        <f>IFERROR(VLOOKUP(A1345,[1]SIIMPLES!$A$2:$F$418,6,FALSE),0)</f>
        <v>0</v>
      </c>
      <c r="AR1345" s="55">
        <v>0</v>
      </c>
      <c r="AS1345" s="55">
        <v>0</v>
      </c>
      <c r="AT1345" s="55">
        <v>0</v>
      </c>
      <c r="AU1345" s="55">
        <v>0</v>
      </c>
      <c r="AV1345" s="55">
        <v>0</v>
      </c>
      <c r="AW1345" s="55"/>
      <c r="AX1345" s="55"/>
      <c r="AY1345" s="56">
        <f t="shared" si="450"/>
        <v>0</v>
      </c>
      <c r="AZ1345" s="55"/>
      <c r="BA1345" s="56">
        <v>0</v>
      </c>
      <c r="BB1345" s="36"/>
      <c r="BC1345" s="7"/>
    </row>
    <row r="1346" spans="1:55" ht="12.75" customHeight="1" x14ac:dyDescent="0.2">
      <c r="A1346" s="51" t="s">
        <v>256</v>
      </c>
      <c r="B1346" s="51"/>
      <c r="C1346" s="66" t="s">
        <v>1803</v>
      </c>
      <c r="D1346" s="52" t="s">
        <v>763</v>
      </c>
      <c r="E1346" s="52" t="s">
        <v>764</v>
      </c>
      <c r="F1346" s="53">
        <f>IFERROR(VLOOKUP(E1346,Fornecedores!$A$2:$B$2700,2,FALSE),"")</f>
        <v>10</v>
      </c>
      <c r="G1346" s="52" t="s">
        <v>257</v>
      </c>
      <c r="H1346" s="54"/>
      <c r="I1346" s="55">
        <f t="shared" si="445"/>
        <v>0</v>
      </c>
      <c r="J1346" s="55">
        <v>0</v>
      </c>
      <c r="K1346" s="55">
        <v>0</v>
      </c>
      <c r="L1346" s="55">
        <v>0</v>
      </c>
      <c r="M1346" s="55">
        <v>0</v>
      </c>
      <c r="N1346" s="55">
        <f t="shared" si="446"/>
        <v>0</v>
      </c>
      <c r="O1346" s="55">
        <v>0</v>
      </c>
      <c r="P1346" s="55">
        <v>0</v>
      </c>
      <c r="Q1346" s="55">
        <v>0</v>
      </c>
      <c r="R1346" s="55">
        <f t="shared" si="447"/>
        <v>0</v>
      </c>
      <c r="S1346" s="55">
        <v>0</v>
      </c>
      <c r="T1346" s="55">
        <v>0</v>
      </c>
      <c r="U1346" s="55">
        <v>0</v>
      </c>
      <c r="V1346" s="55">
        <v>0</v>
      </c>
      <c r="W1346" s="53">
        <v>0</v>
      </c>
      <c r="X1346" s="53">
        <v>0</v>
      </c>
      <c r="Y1346" s="55">
        <v>0</v>
      </c>
      <c r="Z1346" s="55">
        <v>0</v>
      </c>
      <c r="AA1346" s="53">
        <v>0</v>
      </c>
      <c r="AB1346" s="53">
        <v>0</v>
      </c>
      <c r="AC1346" s="55">
        <v>0</v>
      </c>
      <c r="AD1346" s="55">
        <f t="shared" si="448"/>
        <v>0</v>
      </c>
      <c r="AE1346" s="53">
        <v>0</v>
      </c>
      <c r="AF1346" s="55">
        <v>0</v>
      </c>
      <c r="AG1346" s="55">
        <v>0</v>
      </c>
      <c r="AH1346" s="55">
        <f t="shared" si="449"/>
        <v>0</v>
      </c>
      <c r="AI1346" s="55">
        <v>0</v>
      </c>
      <c r="AJ1346" s="55">
        <v>0</v>
      </c>
      <c r="AK1346" s="55">
        <v>0</v>
      </c>
      <c r="AL1346" s="55">
        <f t="shared" si="434"/>
        <v>0</v>
      </c>
      <c r="AM1346" s="55" t="s">
        <v>1912</v>
      </c>
      <c r="AN1346" s="55">
        <v>0</v>
      </c>
      <c r="AO1346" s="55">
        <v>0</v>
      </c>
      <c r="AP1346" s="55">
        <f t="shared" si="444"/>
        <v>0</v>
      </c>
      <c r="AQ1346" s="55">
        <f>IFERROR(VLOOKUP(A1346,[1]SIIMPLES!$A$2:$F$418,6,FALSE),0)</f>
        <v>0</v>
      </c>
      <c r="AR1346" s="55">
        <v>0</v>
      </c>
      <c r="AS1346" s="55">
        <v>0</v>
      </c>
      <c r="AT1346" s="55">
        <v>0</v>
      </c>
      <c r="AU1346" s="55">
        <v>0</v>
      </c>
      <c r="AV1346" s="55">
        <v>0</v>
      </c>
      <c r="AW1346" s="55"/>
      <c r="AX1346" s="55"/>
      <c r="AY1346" s="56">
        <f t="shared" si="450"/>
        <v>0</v>
      </c>
      <c r="AZ1346" s="55"/>
      <c r="BA1346" s="56">
        <v>0</v>
      </c>
      <c r="BB1346" s="36"/>
      <c r="BC1346" s="7"/>
    </row>
    <row r="1347" spans="1:55" ht="12.75" customHeight="1" x14ac:dyDescent="0.2">
      <c r="A1347" s="51" t="s">
        <v>806</v>
      </c>
      <c r="B1347" s="51"/>
      <c r="C1347" s="66" t="s">
        <v>1803</v>
      </c>
      <c r="D1347" s="52" t="s">
        <v>763</v>
      </c>
      <c r="E1347" s="52" t="s">
        <v>1181</v>
      </c>
      <c r="F1347" s="53">
        <f>IFERROR(VLOOKUP(E1347,Fornecedores!$A$2:$B$2700,2,FALSE),"")</f>
        <v>9</v>
      </c>
      <c r="G1347" s="52" t="s">
        <v>1004</v>
      </c>
      <c r="H1347" s="54"/>
      <c r="I1347" s="55">
        <f t="shared" si="445"/>
        <v>0</v>
      </c>
      <c r="J1347" s="55">
        <v>0</v>
      </c>
      <c r="K1347" s="55">
        <v>0</v>
      </c>
      <c r="L1347" s="55">
        <v>0</v>
      </c>
      <c r="M1347" s="55">
        <v>0</v>
      </c>
      <c r="N1347" s="55">
        <f t="shared" si="446"/>
        <v>0</v>
      </c>
      <c r="O1347" s="55">
        <v>0</v>
      </c>
      <c r="P1347" s="55">
        <v>0</v>
      </c>
      <c r="Q1347" s="55">
        <v>0</v>
      </c>
      <c r="R1347" s="55">
        <f t="shared" si="447"/>
        <v>0</v>
      </c>
      <c r="S1347" s="55">
        <v>0</v>
      </c>
      <c r="T1347" s="55">
        <v>0</v>
      </c>
      <c r="U1347" s="55">
        <v>0</v>
      </c>
      <c r="V1347" s="55">
        <v>0</v>
      </c>
      <c r="W1347" s="53">
        <v>0</v>
      </c>
      <c r="X1347" s="53">
        <v>0</v>
      </c>
      <c r="Y1347" s="55">
        <v>0</v>
      </c>
      <c r="Z1347" s="55">
        <v>0</v>
      </c>
      <c r="AA1347" s="53">
        <v>0</v>
      </c>
      <c r="AB1347" s="53">
        <v>0</v>
      </c>
      <c r="AC1347" s="55">
        <v>0</v>
      </c>
      <c r="AD1347" s="55">
        <f t="shared" si="448"/>
        <v>0</v>
      </c>
      <c r="AE1347" s="53">
        <v>0</v>
      </c>
      <c r="AF1347" s="55">
        <v>0</v>
      </c>
      <c r="AG1347" s="55">
        <v>0</v>
      </c>
      <c r="AH1347" s="55">
        <f t="shared" si="449"/>
        <v>0</v>
      </c>
      <c r="AI1347" s="55">
        <v>0</v>
      </c>
      <c r="AJ1347" s="55">
        <v>0</v>
      </c>
      <c r="AK1347" s="55">
        <v>0</v>
      </c>
      <c r="AL1347" s="55">
        <f t="shared" si="434"/>
        <v>0</v>
      </c>
      <c r="AM1347" s="55" t="s">
        <v>1912</v>
      </c>
      <c r="AN1347" s="55">
        <v>0</v>
      </c>
      <c r="AO1347" s="55">
        <v>0</v>
      </c>
      <c r="AP1347" s="55">
        <f t="shared" si="444"/>
        <v>0</v>
      </c>
      <c r="AQ1347" s="55">
        <f>IFERROR(VLOOKUP(A1347,[1]SIIMPLES!$A$2:$F$418,6,FALSE),0)</f>
        <v>0</v>
      </c>
      <c r="AR1347" s="55">
        <v>0</v>
      </c>
      <c r="AS1347" s="55">
        <v>0</v>
      </c>
      <c r="AT1347" s="55">
        <v>0</v>
      </c>
      <c r="AU1347" s="55">
        <v>0</v>
      </c>
      <c r="AV1347" s="55">
        <v>0</v>
      </c>
      <c r="AW1347" s="55"/>
      <c r="AX1347" s="55"/>
      <c r="AY1347" s="56">
        <f t="shared" si="450"/>
        <v>0</v>
      </c>
      <c r="AZ1347" s="55"/>
      <c r="BA1347" s="56">
        <v>0</v>
      </c>
      <c r="BB1347" s="36"/>
      <c r="BC1347" s="7"/>
    </row>
    <row r="1348" spans="1:55" ht="12.75" customHeight="1" x14ac:dyDescent="0.2">
      <c r="A1348" s="51" t="s">
        <v>1520</v>
      </c>
      <c r="B1348" s="51"/>
      <c r="C1348" s="66" t="s">
        <v>1803</v>
      </c>
      <c r="D1348" s="52" t="s">
        <v>1050</v>
      </c>
      <c r="E1348" s="52" t="s">
        <v>770</v>
      </c>
      <c r="F1348" s="53">
        <f>IFERROR(VLOOKUP(E1348,Fornecedores!$A$2:$B$2700,2,FALSE),"")</f>
        <v>17</v>
      </c>
      <c r="G1348" s="52" t="s">
        <v>1609</v>
      </c>
      <c r="H1348" s="57"/>
      <c r="I1348" s="55">
        <f t="shared" si="445"/>
        <v>0</v>
      </c>
      <c r="J1348" s="57" t="s">
        <v>1282</v>
      </c>
      <c r="K1348" s="55">
        <v>0</v>
      </c>
      <c r="L1348" s="55">
        <v>0</v>
      </c>
      <c r="M1348" s="55">
        <v>0</v>
      </c>
      <c r="N1348" s="55">
        <f t="shared" si="446"/>
        <v>0</v>
      </c>
      <c r="O1348" s="55">
        <v>0</v>
      </c>
      <c r="P1348" s="55">
        <v>0</v>
      </c>
      <c r="Q1348" s="55">
        <v>0</v>
      </c>
      <c r="R1348" s="55">
        <f t="shared" si="447"/>
        <v>0</v>
      </c>
      <c r="S1348" s="55">
        <v>0</v>
      </c>
      <c r="T1348" s="55">
        <v>0</v>
      </c>
      <c r="U1348" s="55">
        <v>0</v>
      </c>
      <c r="V1348" s="55">
        <v>0</v>
      </c>
      <c r="W1348" s="53">
        <v>0</v>
      </c>
      <c r="X1348" s="53">
        <v>0</v>
      </c>
      <c r="Y1348" s="55">
        <v>0</v>
      </c>
      <c r="Z1348" s="55">
        <v>0</v>
      </c>
      <c r="AA1348" s="53">
        <v>0</v>
      </c>
      <c r="AB1348" s="53">
        <v>0</v>
      </c>
      <c r="AC1348" s="55">
        <v>0</v>
      </c>
      <c r="AD1348" s="55">
        <f t="shared" si="448"/>
        <v>0</v>
      </c>
      <c r="AE1348" s="53">
        <v>0</v>
      </c>
      <c r="AF1348" s="55">
        <v>0</v>
      </c>
      <c r="AG1348" s="55">
        <v>0</v>
      </c>
      <c r="AH1348" s="55">
        <f t="shared" si="449"/>
        <v>0</v>
      </c>
      <c r="AI1348" s="55">
        <v>0</v>
      </c>
      <c r="AJ1348" s="55">
        <v>0</v>
      </c>
      <c r="AK1348" s="55">
        <v>0</v>
      </c>
      <c r="AL1348" s="55">
        <f t="shared" si="434"/>
        <v>0</v>
      </c>
      <c r="AM1348" s="55" t="s">
        <v>1912</v>
      </c>
      <c r="AN1348" s="55">
        <v>0</v>
      </c>
      <c r="AO1348" s="55">
        <v>0</v>
      </c>
      <c r="AP1348" s="55">
        <f t="shared" si="444"/>
        <v>0</v>
      </c>
      <c r="AQ1348" s="55">
        <f>IFERROR(VLOOKUP(A1348,[1]SIIMPLES!$A$2:$F$418,6,FALSE),0)</f>
        <v>0</v>
      </c>
      <c r="AR1348" s="55">
        <v>0</v>
      </c>
      <c r="AS1348" s="55">
        <v>0</v>
      </c>
      <c r="AT1348" s="55">
        <v>0</v>
      </c>
      <c r="AU1348" s="55">
        <v>0</v>
      </c>
      <c r="AV1348" s="55">
        <v>0</v>
      </c>
      <c r="AW1348" s="57"/>
      <c r="AX1348" s="57"/>
      <c r="AY1348" s="56">
        <f t="shared" si="450"/>
        <v>0</v>
      </c>
      <c r="AZ1348" s="55"/>
      <c r="BA1348" s="56" t="s">
        <v>1912</v>
      </c>
      <c r="BB1348" s="36"/>
      <c r="BC1348" s="7"/>
    </row>
    <row r="1349" spans="1:55" ht="12.75" customHeight="1" x14ac:dyDescent="0.2">
      <c r="A1349" s="51" t="s">
        <v>325</v>
      </c>
      <c r="B1349" s="51"/>
      <c r="C1349" s="66" t="s">
        <v>1803</v>
      </c>
      <c r="D1349" s="52" t="s">
        <v>763</v>
      </c>
      <c r="E1349" s="52" t="s">
        <v>780</v>
      </c>
      <c r="F1349" s="53">
        <f>IFERROR(VLOOKUP(E1349,Fornecedores!$A$2:$B$2700,2,FALSE),"")</f>
        <v>2</v>
      </c>
      <c r="G1349" s="52" t="s">
        <v>326</v>
      </c>
      <c r="H1349" s="54"/>
      <c r="I1349" s="55">
        <f t="shared" si="445"/>
        <v>0</v>
      </c>
      <c r="J1349" s="55">
        <v>0</v>
      </c>
      <c r="K1349" s="55">
        <v>0</v>
      </c>
      <c r="L1349" s="55">
        <v>0</v>
      </c>
      <c r="M1349" s="55">
        <v>0</v>
      </c>
      <c r="N1349" s="55">
        <f t="shared" si="446"/>
        <v>0</v>
      </c>
      <c r="O1349" s="55">
        <v>0</v>
      </c>
      <c r="P1349" s="55">
        <v>0</v>
      </c>
      <c r="Q1349" s="55">
        <v>0</v>
      </c>
      <c r="R1349" s="55">
        <f t="shared" si="447"/>
        <v>0</v>
      </c>
      <c r="S1349" s="55">
        <v>0</v>
      </c>
      <c r="T1349" s="55">
        <v>0</v>
      </c>
      <c r="U1349" s="55">
        <v>0</v>
      </c>
      <c r="V1349" s="55">
        <v>0</v>
      </c>
      <c r="W1349" s="53">
        <v>0</v>
      </c>
      <c r="X1349" s="53">
        <v>0</v>
      </c>
      <c r="Y1349" s="55">
        <v>0</v>
      </c>
      <c r="Z1349" s="55">
        <v>0</v>
      </c>
      <c r="AA1349" s="53">
        <v>0</v>
      </c>
      <c r="AB1349" s="53">
        <v>0</v>
      </c>
      <c r="AC1349" s="55">
        <v>0</v>
      </c>
      <c r="AD1349" s="55">
        <f t="shared" si="448"/>
        <v>0</v>
      </c>
      <c r="AE1349" s="53">
        <v>0</v>
      </c>
      <c r="AF1349" s="55">
        <v>0</v>
      </c>
      <c r="AG1349" s="55">
        <v>0</v>
      </c>
      <c r="AH1349" s="55">
        <f t="shared" si="449"/>
        <v>0</v>
      </c>
      <c r="AI1349" s="55">
        <v>0</v>
      </c>
      <c r="AJ1349" s="55">
        <v>0</v>
      </c>
      <c r="AK1349" s="55">
        <v>0</v>
      </c>
      <c r="AL1349" s="55">
        <f t="shared" si="434"/>
        <v>0</v>
      </c>
      <c r="AM1349" s="55" t="s">
        <v>1912</v>
      </c>
      <c r="AN1349" s="55">
        <v>0</v>
      </c>
      <c r="AO1349" s="55">
        <v>0</v>
      </c>
      <c r="AP1349" s="55">
        <f t="shared" si="444"/>
        <v>0</v>
      </c>
      <c r="AQ1349" s="55">
        <f>IFERROR(VLOOKUP(A1349,[1]SIIMPLES!$A$2:$F$418,6,FALSE),0)</f>
        <v>0</v>
      </c>
      <c r="AR1349" s="55">
        <v>0</v>
      </c>
      <c r="AS1349" s="55">
        <v>0</v>
      </c>
      <c r="AT1349" s="55">
        <v>0</v>
      </c>
      <c r="AU1349" s="55">
        <v>0</v>
      </c>
      <c r="AV1349" s="55">
        <v>0</v>
      </c>
      <c r="AW1349" s="55"/>
      <c r="AX1349" s="55"/>
      <c r="AY1349" s="56">
        <f t="shared" si="450"/>
        <v>0</v>
      </c>
      <c r="AZ1349" s="55"/>
      <c r="BA1349" s="56">
        <v>0</v>
      </c>
      <c r="BB1349" s="36"/>
      <c r="BC1349" s="7"/>
    </row>
    <row r="1350" spans="1:55" ht="12.75" customHeight="1" x14ac:dyDescent="0.2">
      <c r="A1350" s="51" t="s">
        <v>1512</v>
      </c>
      <c r="B1350" s="51"/>
      <c r="C1350" s="66" t="s">
        <v>1803</v>
      </c>
      <c r="D1350" s="52" t="s">
        <v>751</v>
      </c>
      <c r="E1350" s="52" t="s">
        <v>746</v>
      </c>
      <c r="F1350" s="53">
        <f>IFERROR(VLOOKUP(E1350,Fornecedores!$A$2:$B$2700,2,FALSE),"")</f>
        <v>11</v>
      </c>
      <c r="G1350" s="52" t="s">
        <v>1608</v>
      </c>
      <c r="H1350" s="57"/>
      <c r="I1350" s="55">
        <f t="shared" si="445"/>
        <v>0</v>
      </c>
      <c r="J1350" s="57" t="s">
        <v>1282</v>
      </c>
      <c r="K1350" s="55">
        <v>0</v>
      </c>
      <c r="L1350" s="55">
        <v>0</v>
      </c>
      <c r="M1350" s="55">
        <v>0</v>
      </c>
      <c r="N1350" s="55">
        <f t="shared" si="446"/>
        <v>0</v>
      </c>
      <c r="O1350" s="55">
        <v>0</v>
      </c>
      <c r="P1350" s="55">
        <v>0</v>
      </c>
      <c r="Q1350" s="55">
        <v>0</v>
      </c>
      <c r="R1350" s="55">
        <f t="shared" si="447"/>
        <v>0</v>
      </c>
      <c r="S1350" s="55">
        <v>0</v>
      </c>
      <c r="T1350" s="55">
        <v>0</v>
      </c>
      <c r="U1350" s="55">
        <v>0</v>
      </c>
      <c r="V1350" s="55">
        <v>0</v>
      </c>
      <c r="W1350" s="53">
        <v>0</v>
      </c>
      <c r="X1350" s="53">
        <v>0</v>
      </c>
      <c r="Y1350" s="55">
        <v>0</v>
      </c>
      <c r="Z1350" s="55">
        <v>0</v>
      </c>
      <c r="AA1350" s="53">
        <v>0</v>
      </c>
      <c r="AB1350" s="53">
        <v>0</v>
      </c>
      <c r="AC1350" s="55">
        <v>0</v>
      </c>
      <c r="AD1350" s="55">
        <f t="shared" si="448"/>
        <v>0</v>
      </c>
      <c r="AE1350" s="53">
        <v>0</v>
      </c>
      <c r="AF1350" s="55">
        <v>0</v>
      </c>
      <c r="AG1350" s="55">
        <v>0</v>
      </c>
      <c r="AH1350" s="55">
        <f t="shared" si="449"/>
        <v>0</v>
      </c>
      <c r="AI1350" s="55">
        <v>0</v>
      </c>
      <c r="AJ1350" s="55">
        <v>0</v>
      </c>
      <c r="AK1350" s="55">
        <v>0</v>
      </c>
      <c r="AL1350" s="55">
        <f t="shared" si="434"/>
        <v>0</v>
      </c>
      <c r="AM1350" s="55" t="s">
        <v>1912</v>
      </c>
      <c r="AN1350" s="55">
        <v>0</v>
      </c>
      <c r="AO1350" s="55">
        <v>0</v>
      </c>
      <c r="AP1350" s="55">
        <f t="shared" si="444"/>
        <v>0</v>
      </c>
      <c r="AQ1350" s="55">
        <f>IFERROR(VLOOKUP(A1350,[1]SIIMPLES!$A$2:$F$418,6,FALSE),0)</f>
        <v>0</v>
      </c>
      <c r="AR1350" s="55">
        <v>0</v>
      </c>
      <c r="AS1350" s="55">
        <v>0</v>
      </c>
      <c r="AT1350" s="55">
        <v>0</v>
      </c>
      <c r="AU1350" s="55">
        <v>0</v>
      </c>
      <c r="AV1350" s="55">
        <v>0</v>
      </c>
      <c r="AW1350" s="57"/>
      <c r="AX1350" s="57"/>
      <c r="AY1350" s="56">
        <f t="shared" si="450"/>
        <v>0</v>
      </c>
      <c r="AZ1350" s="55"/>
      <c r="BA1350" s="56" t="s">
        <v>1912</v>
      </c>
      <c r="BB1350" s="36"/>
      <c r="BC1350" s="7"/>
    </row>
    <row r="1351" spans="1:55" ht="12.75" customHeight="1" x14ac:dyDescent="0.2">
      <c r="A1351" s="51" t="s">
        <v>1453</v>
      </c>
      <c r="B1351" s="51"/>
      <c r="C1351" s="66" t="s">
        <v>1803</v>
      </c>
      <c r="D1351" s="52" t="s">
        <v>1475</v>
      </c>
      <c r="E1351" s="52" t="s">
        <v>1759</v>
      </c>
      <c r="F1351" s="53" t="str">
        <f>IFERROR(VLOOKUP(E1351,Fornecedores!$A$2:$B$2700,2,FALSE),"")</f>
        <v/>
      </c>
      <c r="G1351" s="52" t="s">
        <v>1466</v>
      </c>
      <c r="H1351" s="57"/>
      <c r="I1351" s="55">
        <f t="shared" si="445"/>
        <v>0</v>
      </c>
      <c r="J1351" s="55">
        <v>0</v>
      </c>
      <c r="K1351" s="55">
        <v>0</v>
      </c>
      <c r="L1351" s="55">
        <v>0</v>
      </c>
      <c r="M1351" s="55">
        <v>0</v>
      </c>
      <c r="N1351" s="55">
        <f t="shared" si="446"/>
        <v>0</v>
      </c>
      <c r="O1351" s="55">
        <v>0</v>
      </c>
      <c r="P1351" s="55">
        <v>0</v>
      </c>
      <c r="Q1351" s="55">
        <v>0</v>
      </c>
      <c r="R1351" s="55">
        <f t="shared" si="447"/>
        <v>0</v>
      </c>
      <c r="S1351" s="55">
        <v>0</v>
      </c>
      <c r="T1351" s="55">
        <v>0</v>
      </c>
      <c r="U1351" s="55">
        <v>0</v>
      </c>
      <c r="V1351" s="55">
        <v>0</v>
      </c>
      <c r="W1351" s="53">
        <v>0</v>
      </c>
      <c r="X1351" s="53">
        <v>0</v>
      </c>
      <c r="Y1351" s="55">
        <v>0</v>
      </c>
      <c r="Z1351" s="55">
        <v>0</v>
      </c>
      <c r="AA1351" s="53">
        <v>0</v>
      </c>
      <c r="AB1351" s="53">
        <v>0</v>
      </c>
      <c r="AC1351" s="55">
        <v>0</v>
      </c>
      <c r="AD1351" s="55">
        <f t="shared" si="448"/>
        <v>0</v>
      </c>
      <c r="AE1351" s="53">
        <v>0</v>
      </c>
      <c r="AF1351" s="55">
        <v>0</v>
      </c>
      <c r="AG1351" s="55">
        <v>0</v>
      </c>
      <c r="AH1351" s="55">
        <f t="shared" si="449"/>
        <v>0</v>
      </c>
      <c r="AI1351" s="55">
        <v>0</v>
      </c>
      <c r="AJ1351" s="55">
        <v>0</v>
      </c>
      <c r="AK1351" s="55">
        <v>0</v>
      </c>
      <c r="AL1351" s="55">
        <f t="shared" si="434"/>
        <v>0</v>
      </c>
      <c r="AM1351" s="55" t="s">
        <v>1912</v>
      </c>
      <c r="AN1351" s="55">
        <v>0</v>
      </c>
      <c r="AO1351" s="55">
        <v>0</v>
      </c>
      <c r="AP1351" s="55">
        <f t="shared" si="444"/>
        <v>0</v>
      </c>
      <c r="AQ1351" s="55">
        <f>IFERROR(VLOOKUP(A1351,[1]SIIMPLES!$A$2:$F$418,6,FALSE),0)</f>
        <v>0</v>
      </c>
      <c r="AR1351" s="55">
        <v>0</v>
      </c>
      <c r="AS1351" s="55">
        <v>0</v>
      </c>
      <c r="AT1351" s="55">
        <v>0</v>
      </c>
      <c r="AU1351" s="55">
        <v>0</v>
      </c>
      <c r="AV1351" s="55">
        <v>0</v>
      </c>
      <c r="AW1351" s="57"/>
      <c r="AX1351" s="55"/>
      <c r="AY1351" s="56">
        <f t="shared" si="450"/>
        <v>0</v>
      </c>
      <c r="AZ1351" s="55"/>
      <c r="BA1351" s="56">
        <v>1</v>
      </c>
      <c r="BB1351" s="36"/>
      <c r="BC1351" s="7"/>
    </row>
    <row r="1352" spans="1:55" ht="12.75" customHeight="1" x14ac:dyDescent="0.2">
      <c r="A1352" s="51" t="s">
        <v>808</v>
      </c>
      <c r="B1352" s="51"/>
      <c r="C1352" s="66" t="s">
        <v>1803</v>
      </c>
      <c r="D1352" s="52" t="s">
        <v>763</v>
      </c>
      <c r="E1352" s="52" t="s">
        <v>764</v>
      </c>
      <c r="F1352" s="53">
        <f>IFERROR(VLOOKUP(E1352,Fornecedores!$A$2:$B$2700,2,FALSE),"")</f>
        <v>10</v>
      </c>
      <c r="G1352" s="52" t="s">
        <v>1006</v>
      </c>
      <c r="H1352" s="54"/>
      <c r="I1352" s="55">
        <f t="shared" si="445"/>
        <v>0</v>
      </c>
      <c r="J1352" s="55">
        <v>0</v>
      </c>
      <c r="K1352" s="55">
        <v>0</v>
      </c>
      <c r="L1352" s="55">
        <v>0</v>
      </c>
      <c r="M1352" s="55">
        <v>0</v>
      </c>
      <c r="N1352" s="55">
        <f t="shared" si="446"/>
        <v>0</v>
      </c>
      <c r="O1352" s="55">
        <v>0</v>
      </c>
      <c r="P1352" s="55">
        <v>0</v>
      </c>
      <c r="Q1352" s="55">
        <v>0</v>
      </c>
      <c r="R1352" s="55">
        <f t="shared" si="447"/>
        <v>0</v>
      </c>
      <c r="S1352" s="55">
        <v>0</v>
      </c>
      <c r="T1352" s="55">
        <v>0</v>
      </c>
      <c r="U1352" s="55">
        <v>0</v>
      </c>
      <c r="V1352" s="55">
        <v>0</v>
      </c>
      <c r="W1352" s="53">
        <v>0</v>
      </c>
      <c r="X1352" s="53">
        <v>0</v>
      </c>
      <c r="Y1352" s="55">
        <v>0</v>
      </c>
      <c r="Z1352" s="55">
        <v>0</v>
      </c>
      <c r="AA1352" s="53">
        <v>0</v>
      </c>
      <c r="AB1352" s="53">
        <v>0</v>
      </c>
      <c r="AC1352" s="55">
        <v>0</v>
      </c>
      <c r="AD1352" s="55">
        <f t="shared" si="448"/>
        <v>0</v>
      </c>
      <c r="AE1352" s="53">
        <v>0</v>
      </c>
      <c r="AF1352" s="55">
        <v>0</v>
      </c>
      <c r="AG1352" s="55">
        <v>0</v>
      </c>
      <c r="AH1352" s="55">
        <f t="shared" si="449"/>
        <v>0</v>
      </c>
      <c r="AI1352" s="55">
        <v>0</v>
      </c>
      <c r="AJ1352" s="55">
        <v>0</v>
      </c>
      <c r="AK1352" s="55">
        <v>0</v>
      </c>
      <c r="AL1352" s="55">
        <f t="shared" si="434"/>
        <v>0</v>
      </c>
      <c r="AM1352" s="55" t="s">
        <v>1912</v>
      </c>
      <c r="AN1352" s="55">
        <v>0</v>
      </c>
      <c r="AO1352" s="55">
        <v>0</v>
      </c>
      <c r="AP1352" s="55">
        <f t="shared" si="444"/>
        <v>0</v>
      </c>
      <c r="AQ1352" s="55">
        <f>IFERROR(VLOOKUP(A1352,[1]SIIMPLES!$A$2:$F$418,6,FALSE),0)</f>
        <v>0</v>
      </c>
      <c r="AR1352" s="55">
        <v>0</v>
      </c>
      <c r="AS1352" s="55">
        <v>0</v>
      </c>
      <c r="AT1352" s="55">
        <v>0</v>
      </c>
      <c r="AU1352" s="55">
        <v>0</v>
      </c>
      <c r="AV1352" s="55">
        <v>0</v>
      </c>
      <c r="AW1352" s="55"/>
      <c r="AX1352" s="55"/>
      <c r="AY1352" s="56">
        <f t="shared" si="450"/>
        <v>0</v>
      </c>
      <c r="AZ1352" s="55"/>
      <c r="BA1352" s="56">
        <v>0.2</v>
      </c>
      <c r="BB1352" s="36"/>
      <c r="BC1352" s="7"/>
    </row>
    <row r="1353" spans="1:55" ht="12.75" customHeight="1" x14ac:dyDescent="0.2">
      <c r="A1353" s="51" t="s">
        <v>803</v>
      </c>
      <c r="B1353" s="51"/>
      <c r="C1353" s="66" t="s">
        <v>1803</v>
      </c>
      <c r="D1353" s="52" t="s">
        <v>763</v>
      </c>
      <c r="E1353" s="52" t="s">
        <v>764</v>
      </c>
      <c r="F1353" s="53">
        <f>IFERROR(VLOOKUP(E1353,Fornecedores!$A$2:$B$2700,2,FALSE),"")</f>
        <v>10</v>
      </c>
      <c r="G1353" s="52" t="s">
        <v>933</v>
      </c>
      <c r="H1353" s="54"/>
      <c r="I1353" s="55">
        <f t="shared" si="445"/>
        <v>0</v>
      </c>
      <c r="J1353" s="55">
        <v>0</v>
      </c>
      <c r="K1353" s="55">
        <v>0</v>
      </c>
      <c r="L1353" s="55">
        <v>0</v>
      </c>
      <c r="M1353" s="55">
        <v>0</v>
      </c>
      <c r="N1353" s="55">
        <f t="shared" si="446"/>
        <v>0</v>
      </c>
      <c r="O1353" s="55">
        <v>0</v>
      </c>
      <c r="P1353" s="55">
        <v>0</v>
      </c>
      <c r="Q1353" s="55">
        <v>0</v>
      </c>
      <c r="R1353" s="55">
        <f t="shared" si="447"/>
        <v>0</v>
      </c>
      <c r="S1353" s="55">
        <v>0</v>
      </c>
      <c r="T1353" s="55">
        <v>0</v>
      </c>
      <c r="U1353" s="55">
        <v>0</v>
      </c>
      <c r="V1353" s="55">
        <v>0</v>
      </c>
      <c r="W1353" s="53">
        <v>0</v>
      </c>
      <c r="X1353" s="53">
        <v>0</v>
      </c>
      <c r="Y1353" s="55">
        <v>0</v>
      </c>
      <c r="Z1353" s="55">
        <v>0</v>
      </c>
      <c r="AA1353" s="53">
        <v>0</v>
      </c>
      <c r="AB1353" s="53">
        <v>0</v>
      </c>
      <c r="AC1353" s="55">
        <v>0</v>
      </c>
      <c r="AD1353" s="55">
        <f t="shared" si="448"/>
        <v>0</v>
      </c>
      <c r="AE1353" s="53">
        <v>0</v>
      </c>
      <c r="AF1353" s="55">
        <v>0</v>
      </c>
      <c r="AG1353" s="55">
        <v>0</v>
      </c>
      <c r="AH1353" s="55">
        <f t="shared" si="449"/>
        <v>0</v>
      </c>
      <c r="AI1353" s="55">
        <v>0</v>
      </c>
      <c r="AJ1353" s="55">
        <v>0</v>
      </c>
      <c r="AK1353" s="55">
        <v>0</v>
      </c>
      <c r="AL1353" s="55">
        <f t="shared" si="434"/>
        <v>0</v>
      </c>
      <c r="AM1353" s="55" t="s">
        <v>1912</v>
      </c>
      <c r="AN1353" s="55">
        <v>0</v>
      </c>
      <c r="AO1353" s="55">
        <v>0</v>
      </c>
      <c r="AP1353" s="55">
        <f t="shared" si="444"/>
        <v>0</v>
      </c>
      <c r="AQ1353" s="55">
        <f>IFERROR(VLOOKUP(A1353,[1]SIIMPLES!$A$2:$F$418,6,FALSE),0)</f>
        <v>0</v>
      </c>
      <c r="AR1353" s="55">
        <v>0</v>
      </c>
      <c r="AS1353" s="55">
        <v>0</v>
      </c>
      <c r="AT1353" s="55">
        <v>0</v>
      </c>
      <c r="AU1353" s="55">
        <v>0</v>
      </c>
      <c r="AV1353" s="55">
        <v>0</v>
      </c>
      <c r="AW1353" s="55"/>
      <c r="AX1353" s="55"/>
      <c r="AY1353" s="56">
        <f t="shared" si="450"/>
        <v>0</v>
      </c>
      <c r="AZ1353" s="55"/>
      <c r="BA1353" s="56">
        <v>1.2</v>
      </c>
      <c r="BB1353" s="36"/>
      <c r="BC1353" s="7"/>
    </row>
    <row r="1354" spans="1:55" ht="12.75" customHeight="1" x14ac:dyDescent="0.2">
      <c r="A1354" s="51" t="s">
        <v>177</v>
      </c>
      <c r="B1354" s="51"/>
      <c r="C1354" s="66" t="s">
        <v>1803</v>
      </c>
      <c r="D1354" s="52" t="s">
        <v>763</v>
      </c>
      <c r="E1354" s="52" t="s">
        <v>764</v>
      </c>
      <c r="F1354" s="53">
        <f>IFERROR(VLOOKUP(E1354,Fornecedores!$A$2:$B$2700,2,FALSE),"")</f>
        <v>10</v>
      </c>
      <c r="G1354" s="52" t="s">
        <v>178</v>
      </c>
      <c r="H1354" s="54"/>
      <c r="I1354" s="55">
        <f t="shared" si="445"/>
        <v>0</v>
      </c>
      <c r="J1354" s="55">
        <v>0</v>
      </c>
      <c r="K1354" s="55">
        <v>0</v>
      </c>
      <c r="L1354" s="55">
        <v>0</v>
      </c>
      <c r="M1354" s="55">
        <v>0</v>
      </c>
      <c r="N1354" s="55">
        <f t="shared" si="446"/>
        <v>0</v>
      </c>
      <c r="O1354" s="55">
        <v>0</v>
      </c>
      <c r="P1354" s="55">
        <v>0</v>
      </c>
      <c r="Q1354" s="55">
        <v>0</v>
      </c>
      <c r="R1354" s="55">
        <f t="shared" si="447"/>
        <v>0</v>
      </c>
      <c r="S1354" s="55">
        <v>0</v>
      </c>
      <c r="T1354" s="55">
        <v>0</v>
      </c>
      <c r="U1354" s="55">
        <v>0</v>
      </c>
      <c r="V1354" s="55">
        <v>0</v>
      </c>
      <c r="W1354" s="53">
        <v>0</v>
      </c>
      <c r="X1354" s="53">
        <v>0</v>
      </c>
      <c r="Y1354" s="55">
        <v>0</v>
      </c>
      <c r="Z1354" s="55">
        <v>0</v>
      </c>
      <c r="AA1354" s="53">
        <v>0</v>
      </c>
      <c r="AB1354" s="53">
        <v>0</v>
      </c>
      <c r="AC1354" s="55">
        <v>0</v>
      </c>
      <c r="AD1354" s="55">
        <f t="shared" si="448"/>
        <v>0</v>
      </c>
      <c r="AE1354" s="53">
        <v>0</v>
      </c>
      <c r="AF1354" s="55">
        <v>0</v>
      </c>
      <c r="AG1354" s="55">
        <v>0</v>
      </c>
      <c r="AH1354" s="55">
        <f t="shared" si="449"/>
        <v>0</v>
      </c>
      <c r="AI1354" s="55">
        <v>0</v>
      </c>
      <c r="AJ1354" s="55">
        <v>0</v>
      </c>
      <c r="AK1354" s="55">
        <v>0</v>
      </c>
      <c r="AL1354" s="55">
        <f t="shared" si="434"/>
        <v>0</v>
      </c>
      <c r="AM1354" s="55" t="s">
        <v>1912</v>
      </c>
      <c r="AN1354" s="55">
        <v>0</v>
      </c>
      <c r="AO1354" s="55">
        <v>0</v>
      </c>
      <c r="AP1354" s="55">
        <f t="shared" si="444"/>
        <v>0</v>
      </c>
      <c r="AQ1354" s="55">
        <f>IFERROR(VLOOKUP(A1354,[1]SIIMPLES!$A$2:$F$418,6,FALSE),0)</f>
        <v>0</v>
      </c>
      <c r="AR1354" s="55">
        <v>0</v>
      </c>
      <c r="AS1354" s="55">
        <v>0</v>
      </c>
      <c r="AT1354" s="55">
        <v>0</v>
      </c>
      <c r="AU1354" s="55">
        <v>0</v>
      </c>
      <c r="AV1354" s="55">
        <v>0</v>
      </c>
      <c r="AW1354" s="55"/>
      <c r="AX1354" s="55"/>
      <c r="AY1354" s="56">
        <f t="shared" si="450"/>
        <v>0</v>
      </c>
      <c r="AZ1354" s="55"/>
      <c r="BA1354" s="56">
        <v>0</v>
      </c>
      <c r="BB1354" s="36"/>
      <c r="BC1354" s="7"/>
    </row>
    <row r="1355" spans="1:55" ht="12.75" customHeight="1" x14ac:dyDescent="0.2">
      <c r="A1355" s="51" t="s">
        <v>180</v>
      </c>
      <c r="B1355" s="51"/>
      <c r="C1355" s="66" t="s">
        <v>1803</v>
      </c>
      <c r="D1355" s="52" t="s">
        <v>763</v>
      </c>
      <c r="E1355" s="52" t="s">
        <v>764</v>
      </c>
      <c r="F1355" s="53">
        <f>IFERROR(VLOOKUP(E1355,Fornecedores!$A$2:$B$2700,2,FALSE),"")</f>
        <v>10</v>
      </c>
      <c r="G1355" s="52" t="s">
        <v>181</v>
      </c>
      <c r="H1355" s="54"/>
      <c r="I1355" s="55">
        <f t="shared" si="445"/>
        <v>0</v>
      </c>
      <c r="J1355" s="55">
        <v>0</v>
      </c>
      <c r="K1355" s="55">
        <v>0</v>
      </c>
      <c r="L1355" s="55">
        <v>0</v>
      </c>
      <c r="M1355" s="55">
        <v>0</v>
      </c>
      <c r="N1355" s="55">
        <f t="shared" si="446"/>
        <v>0</v>
      </c>
      <c r="O1355" s="55">
        <v>0</v>
      </c>
      <c r="P1355" s="55">
        <v>0</v>
      </c>
      <c r="Q1355" s="55">
        <v>0</v>
      </c>
      <c r="R1355" s="55">
        <f t="shared" si="447"/>
        <v>0</v>
      </c>
      <c r="S1355" s="55">
        <v>0</v>
      </c>
      <c r="T1355" s="55">
        <v>0</v>
      </c>
      <c r="U1355" s="55">
        <v>0</v>
      </c>
      <c r="V1355" s="55">
        <v>0</v>
      </c>
      <c r="W1355" s="53">
        <v>0</v>
      </c>
      <c r="X1355" s="53">
        <v>0</v>
      </c>
      <c r="Y1355" s="55">
        <v>0</v>
      </c>
      <c r="Z1355" s="55">
        <v>0</v>
      </c>
      <c r="AA1355" s="53">
        <v>0</v>
      </c>
      <c r="AB1355" s="53">
        <v>0</v>
      </c>
      <c r="AC1355" s="55">
        <v>0</v>
      </c>
      <c r="AD1355" s="55">
        <f t="shared" si="448"/>
        <v>0</v>
      </c>
      <c r="AE1355" s="53">
        <v>0</v>
      </c>
      <c r="AF1355" s="55">
        <v>0</v>
      </c>
      <c r="AG1355" s="55">
        <v>0</v>
      </c>
      <c r="AH1355" s="55">
        <f t="shared" si="449"/>
        <v>0</v>
      </c>
      <c r="AI1355" s="55">
        <v>0</v>
      </c>
      <c r="AJ1355" s="55">
        <v>0</v>
      </c>
      <c r="AK1355" s="55">
        <v>0</v>
      </c>
      <c r="AL1355" s="55">
        <f t="shared" si="434"/>
        <v>0</v>
      </c>
      <c r="AM1355" s="55" t="s">
        <v>1912</v>
      </c>
      <c r="AN1355" s="55">
        <v>0</v>
      </c>
      <c r="AO1355" s="55">
        <v>0</v>
      </c>
      <c r="AP1355" s="55">
        <f t="shared" si="444"/>
        <v>0</v>
      </c>
      <c r="AQ1355" s="55">
        <f>IFERROR(VLOOKUP(A1355,[1]SIIMPLES!$A$2:$F$418,6,FALSE),0)</f>
        <v>0</v>
      </c>
      <c r="AR1355" s="55">
        <v>0</v>
      </c>
      <c r="AS1355" s="55">
        <v>0</v>
      </c>
      <c r="AT1355" s="55">
        <v>0</v>
      </c>
      <c r="AU1355" s="55">
        <v>0</v>
      </c>
      <c r="AV1355" s="55">
        <v>0</v>
      </c>
      <c r="AW1355" s="55"/>
      <c r="AX1355" s="55"/>
      <c r="AY1355" s="56">
        <f t="shared" si="450"/>
        <v>0</v>
      </c>
      <c r="AZ1355" s="55"/>
      <c r="BA1355" s="56">
        <v>0</v>
      </c>
      <c r="BB1355" s="36"/>
      <c r="BC1355" s="7"/>
    </row>
    <row r="1356" spans="1:55" ht="12.75" customHeight="1" x14ac:dyDescent="0.2">
      <c r="A1356" s="51" t="s">
        <v>245</v>
      </c>
      <c r="B1356" s="51"/>
      <c r="C1356" s="66" t="s">
        <v>1803</v>
      </c>
      <c r="D1356" s="52" t="s">
        <v>763</v>
      </c>
      <c r="E1356" s="52" t="s">
        <v>764</v>
      </c>
      <c r="F1356" s="53">
        <f>IFERROR(VLOOKUP(E1356,Fornecedores!$A$2:$B$2700,2,FALSE),"")</f>
        <v>10</v>
      </c>
      <c r="G1356" s="52" t="s">
        <v>246</v>
      </c>
      <c r="H1356" s="54"/>
      <c r="I1356" s="55">
        <f t="shared" si="445"/>
        <v>0</v>
      </c>
      <c r="J1356" s="55">
        <v>0</v>
      </c>
      <c r="K1356" s="55">
        <v>0</v>
      </c>
      <c r="L1356" s="55">
        <v>0</v>
      </c>
      <c r="M1356" s="55">
        <v>0</v>
      </c>
      <c r="N1356" s="55">
        <f t="shared" si="446"/>
        <v>0</v>
      </c>
      <c r="O1356" s="55">
        <v>0</v>
      </c>
      <c r="P1356" s="55">
        <v>0</v>
      </c>
      <c r="Q1356" s="55">
        <v>0</v>
      </c>
      <c r="R1356" s="55">
        <f t="shared" si="447"/>
        <v>0</v>
      </c>
      <c r="S1356" s="55">
        <v>0</v>
      </c>
      <c r="T1356" s="55">
        <v>0</v>
      </c>
      <c r="U1356" s="55">
        <v>0</v>
      </c>
      <c r="V1356" s="55">
        <v>0</v>
      </c>
      <c r="W1356" s="53">
        <v>0</v>
      </c>
      <c r="X1356" s="53">
        <v>0</v>
      </c>
      <c r="Y1356" s="55">
        <v>0</v>
      </c>
      <c r="Z1356" s="55">
        <v>0</v>
      </c>
      <c r="AA1356" s="53">
        <v>0</v>
      </c>
      <c r="AB1356" s="53">
        <v>0</v>
      </c>
      <c r="AC1356" s="55">
        <v>0</v>
      </c>
      <c r="AD1356" s="55">
        <f t="shared" si="448"/>
        <v>0</v>
      </c>
      <c r="AE1356" s="53">
        <v>0</v>
      </c>
      <c r="AF1356" s="55">
        <v>0</v>
      </c>
      <c r="AG1356" s="55">
        <v>0</v>
      </c>
      <c r="AH1356" s="55">
        <f t="shared" si="449"/>
        <v>0</v>
      </c>
      <c r="AI1356" s="55">
        <v>0</v>
      </c>
      <c r="AJ1356" s="55">
        <v>0</v>
      </c>
      <c r="AK1356" s="55">
        <v>0</v>
      </c>
      <c r="AL1356" s="55">
        <f t="shared" si="434"/>
        <v>0</v>
      </c>
      <c r="AM1356" s="55" t="s">
        <v>1912</v>
      </c>
      <c r="AN1356" s="55">
        <v>0</v>
      </c>
      <c r="AO1356" s="55">
        <v>0</v>
      </c>
      <c r="AP1356" s="55">
        <f t="shared" si="444"/>
        <v>0</v>
      </c>
      <c r="AQ1356" s="55">
        <f>IFERROR(VLOOKUP(A1356,[1]SIIMPLES!$A$2:$F$418,6,FALSE),0)</f>
        <v>0</v>
      </c>
      <c r="AR1356" s="55">
        <v>0</v>
      </c>
      <c r="AS1356" s="55">
        <v>0</v>
      </c>
      <c r="AT1356" s="55">
        <v>0</v>
      </c>
      <c r="AU1356" s="55">
        <v>0</v>
      </c>
      <c r="AV1356" s="55">
        <v>0</v>
      </c>
      <c r="AW1356" s="55"/>
      <c r="AX1356" s="55"/>
      <c r="AY1356" s="56">
        <f t="shared" si="450"/>
        <v>0</v>
      </c>
      <c r="AZ1356" s="55"/>
      <c r="BA1356" s="56">
        <v>0</v>
      </c>
      <c r="BB1356" s="36"/>
      <c r="BC1356" s="7"/>
    </row>
    <row r="1357" spans="1:55" ht="12.75" customHeight="1" x14ac:dyDescent="0.2">
      <c r="A1357" s="51" t="s">
        <v>247</v>
      </c>
      <c r="B1357" s="51"/>
      <c r="C1357" s="66" t="s">
        <v>1803</v>
      </c>
      <c r="D1357" s="52" t="s">
        <v>763</v>
      </c>
      <c r="E1357" s="52" t="s">
        <v>764</v>
      </c>
      <c r="F1357" s="53">
        <f>IFERROR(VLOOKUP(E1357,Fornecedores!$A$2:$B$2700,2,FALSE),"")</f>
        <v>10</v>
      </c>
      <c r="G1357" s="52" t="s">
        <v>248</v>
      </c>
      <c r="H1357" s="54"/>
      <c r="I1357" s="55">
        <f t="shared" si="445"/>
        <v>0</v>
      </c>
      <c r="J1357" s="55">
        <v>0</v>
      </c>
      <c r="K1357" s="55">
        <v>0</v>
      </c>
      <c r="L1357" s="55">
        <v>0</v>
      </c>
      <c r="M1357" s="55">
        <v>0</v>
      </c>
      <c r="N1357" s="55">
        <f t="shared" si="446"/>
        <v>0</v>
      </c>
      <c r="O1357" s="55">
        <v>0</v>
      </c>
      <c r="P1357" s="55">
        <v>0</v>
      </c>
      <c r="Q1357" s="55">
        <v>0</v>
      </c>
      <c r="R1357" s="55">
        <f t="shared" si="447"/>
        <v>0</v>
      </c>
      <c r="S1357" s="55">
        <v>0</v>
      </c>
      <c r="T1357" s="55">
        <v>0</v>
      </c>
      <c r="U1357" s="55">
        <v>0</v>
      </c>
      <c r="V1357" s="55">
        <v>0</v>
      </c>
      <c r="W1357" s="53">
        <v>0</v>
      </c>
      <c r="X1357" s="53">
        <v>0</v>
      </c>
      <c r="Y1357" s="55">
        <v>0</v>
      </c>
      <c r="Z1357" s="55">
        <v>0</v>
      </c>
      <c r="AA1357" s="53">
        <v>0</v>
      </c>
      <c r="AB1357" s="53">
        <v>0</v>
      </c>
      <c r="AC1357" s="55">
        <v>0</v>
      </c>
      <c r="AD1357" s="55">
        <f t="shared" si="448"/>
        <v>0</v>
      </c>
      <c r="AE1357" s="53">
        <v>0</v>
      </c>
      <c r="AF1357" s="55">
        <v>0</v>
      </c>
      <c r="AG1357" s="55">
        <v>0</v>
      </c>
      <c r="AH1357" s="55">
        <f t="shared" si="449"/>
        <v>0</v>
      </c>
      <c r="AI1357" s="55">
        <v>0</v>
      </c>
      <c r="AJ1357" s="55">
        <v>0</v>
      </c>
      <c r="AK1357" s="55">
        <v>0</v>
      </c>
      <c r="AL1357" s="55">
        <f t="shared" si="434"/>
        <v>0</v>
      </c>
      <c r="AM1357" s="55" t="s">
        <v>1912</v>
      </c>
      <c r="AN1357" s="55">
        <v>0</v>
      </c>
      <c r="AO1357" s="55">
        <v>0</v>
      </c>
      <c r="AP1357" s="55">
        <f t="shared" si="444"/>
        <v>0</v>
      </c>
      <c r="AQ1357" s="55">
        <f>IFERROR(VLOOKUP(A1357,[1]SIIMPLES!$A$2:$F$418,6,FALSE),0)</f>
        <v>0</v>
      </c>
      <c r="AR1357" s="55">
        <v>0</v>
      </c>
      <c r="AS1357" s="55">
        <v>0</v>
      </c>
      <c r="AT1357" s="55">
        <v>0</v>
      </c>
      <c r="AU1357" s="55">
        <v>0</v>
      </c>
      <c r="AV1357" s="55">
        <v>0</v>
      </c>
      <c r="AW1357" s="55"/>
      <c r="AX1357" s="55"/>
      <c r="AY1357" s="56">
        <f t="shared" si="450"/>
        <v>0</v>
      </c>
      <c r="AZ1357" s="55"/>
      <c r="BA1357" s="56">
        <v>0</v>
      </c>
      <c r="BB1357" s="36"/>
      <c r="BC1357" s="7"/>
    </row>
    <row r="1358" spans="1:55" ht="12.75" customHeight="1" x14ac:dyDescent="0.2">
      <c r="A1358" s="51" t="s">
        <v>1513</v>
      </c>
      <c r="B1358" s="51"/>
      <c r="C1358" s="66" t="s">
        <v>1803</v>
      </c>
      <c r="D1358" s="52" t="s">
        <v>1050</v>
      </c>
      <c r="E1358" s="52" t="s">
        <v>770</v>
      </c>
      <c r="F1358" s="53">
        <f>IFERROR(VLOOKUP(E1358,Fornecedores!$A$2:$B$2700,2,FALSE),"")</f>
        <v>17</v>
      </c>
      <c r="G1358" s="52" t="s">
        <v>1607</v>
      </c>
      <c r="H1358" s="57"/>
      <c r="I1358" s="55">
        <f t="shared" si="445"/>
        <v>0</v>
      </c>
      <c r="J1358" s="57" t="s">
        <v>1282</v>
      </c>
      <c r="K1358" s="55">
        <v>0</v>
      </c>
      <c r="L1358" s="55">
        <v>0</v>
      </c>
      <c r="M1358" s="55">
        <v>0</v>
      </c>
      <c r="N1358" s="55">
        <f t="shared" si="446"/>
        <v>0</v>
      </c>
      <c r="O1358" s="55">
        <v>0</v>
      </c>
      <c r="P1358" s="55">
        <v>0</v>
      </c>
      <c r="Q1358" s="55">
        <v>0</v>
      </c>
      <c r="R1358" s="55">
        <f t="shared" si="447"/>
        <v>0</v>
      </c>
      <c r="S1358" s="55">
        <v>0</v>
      </c>
      <c r="T1358" s="55">
        <v>0</v>
      </c>
      <c r="U1358" s="55">
        <v>0</v>
      </c>
      <c r="V1358" s="55">
        <v>0</v>
      </c>
      <c r="W1358" s="53">
        <v>0</v>
      </c>
      <c r="X1358" s="53">
        <v>0</v>
      </c>
      <c r="Y1358" s="55">
        <v>0</v>
      </c>
      <c r="Z1358" s="55">
        <v>0</v>
      </c>
      <c r="AA1358" s="53">
        <v>0</v>
      </c>
      <c r="AB1358" s="53">
        <v>0</v>
      </c>
      <c r="AC1358" s="55">
        <v>0</v>
      </c>
      <c r="AD1358" s="55">
        <f t="shared" si="448"/>
        <v>0</v>
      </c>
      <c r="AE1358" s="53">
        <v>0</v>
      </c>
      <c r="AF1358" s="55">
        <v>0</v>
      </c>
      <c r="AG1358" s="55">
        <v>0</v>
      </c>
      <c r="AH1358" s="55">
        <f t="shared" si="449"/>
        <v>0</v>
      </c>
      <c r="AI1358" s="55">
        <v>0</v>
      </c>
      <c r="AJ1358" s="55">
        <v>0</v>
      </c>
      <c r="AK1358" s="55">
        <v>0</v>
      </c>
      <c r="AL1358" s="55">
        <f t="shared" si="434"/>
        <v>0</v>
      </c>
      <c r="AM1358" s="55" t="s">
        <v>1912</v>
      </c>
      <c r="AN1358" s="55">
        <v>0</v>
      </c>
      <c r="AO1358" s="55">
        <v>0</v>
      </c>
      <c r="AP1358" s="55">
        <f t="shared" si="444"/>
        <v>0</v>
      </c>
      <c r="AQ1358" s="55">
        <f>IFERROR(VLOOKUP(A1358,[1]SIIMPLES!$A$2:$F$418,6,FALSE),0)</f>
        <v>0</v>
      </c>
      <c r="AR1358" s="55">
        <v>0</v>
      </c>
      <c r="AS1358" s="55">
        <v>0</v>
      </c>
      <c r="AT1358" s="55">
        <v>0</v>
      </c>
      <c r="AU1358" s="55">
        <v>0</v>
      </c>
      <c r="AV1358" s="55">
        <v>0</v>
      </c>
      <c r="AW1358" s="57"/>
      <c r="AX1358" s="57"/>
      <c r="AY1358" s="56">
        <f t="shared" si="450"/>
        <v>0</v>
      </c>
      <c r="AZ1358" s="55"/>
      <c r="BA1358" s="56" t="s">
        <v>1912</v>
      </c>
      <c r="BB1358" s="36"/>
      <c r="BC1358" s="7"/>
    </row>
    <row r="1359" spans="1:55" ht="12.75" customHeight="1" x14ac:dyDescent="0.2">
      <c r="A1359" s="51" t="s">
        <v>792</v>
      </c>
      <c r="B1359" s="51"/>
      <c r="C1359" s="66" t="s">
        <v>1803</v>
      </c>
      <c r="D1359" s="52" t="s">
        <v>763</v>
      </c>
      <c r="E1359" s="52" t="s">
        <v>764</v>
      </c>
      <c r="F1359" s="53">
        <f>IFERROR(VLOOKUP(E1359,Fornecedores!$A$2:$B$2700,2,FALSE),"")</f>
        <v>10</v>
      </c>
      <c r="G1359" s="52" t="s">
        <v>936</v>
      </c>
      <c r="H1359" s="54"/>
      <c r="I1359" s="55">
        <f t="shared" si="445"/>
        <v>0</v>
      </c>
      <c r="J1359" s="55">
        <v>0</v>
      </c>
      <c r="K1359" s="55">
        <v>0</v>
      </c>
      <c r="L1359" s="55">
        <v>0</v>
      </c>
      <c r="M1359" s="55">
        <v>0</v>
      </c>
      <c r="N1359" s="55">
        <f t="shared" si="446"/>
        <v>0</v>
      </c>
      <c r="O1359" s="55">
        <v>0</v>
      </c>
      <c r="P1359" s="55">
        <v>0</v>
      </c>
      <c r="Q1359" s="55">
        <v>0</v>
      </c>
      <c r="R1359" s="55">
        <f t="shared" si="447"/>
        <v>0</v>
      </c>
      <c r="S1359" s="55">
        <v>0</v>
      </c>
      <c r="T1359" s="55">
        <v>0</v>
      </c>
      <c r="U1359" s="55">
        <v>0</v>
      </c>
      <c r="V1359" s="55">
        <v>0</v>
      </c>
      <c r="W1359" s="53">
        <v>0</v>
      </c>
      <c r="X1359" s="53">
        <v>0</v>
      </c>
      <c r="Y1359" s="55">
        <v>0</v>
      </c>
      <c r="Z1359" s="55">
        <v>0</v>
      </c>
      <c r="AA1359" s="53">
        <v>0</v>
      </c>
      <c r="AB1359" s="53">
        <v>0</v>
      </c>
      <c r="AC1359" s="55">
        <v>0</v>
      </c>
      <c r="AD1359" s="55">
        <f t="shared" si="448"/>
        <v>0</v>
      </c>
      <c r="AE1359" s="53">
        <v>0</v>
      </c>
      <c r="AF1359" s="55">
        <v>0</v>
      </c>
      <c r="AG1359" s="55">
        <v>0</v>
      </c>
      <c r="AH1359" s="55">
        <f t="shared" si="449"/>
        <v>0</v>
      </c>
      <c r="AI1359" s="55">
        <v>0</v>
      </c>
      <c r="AJ1359" s="55">
        <v>0</v>
      </c>
      <c r="AK1359" s="55">
        <v>0</v>
      </c>
      <c r="AL1359" s="55">
        <f t="shared" si="434"/>
        <v>0</v>
      </c>
      <c r="AM1359" s="55" t="s">
        <v>1912</v>
      </c>
      <c r="AN1359" s="55">
        <v>0</v>
      </c>
      <c r="AO1359" s="55">
        <v>0</v>
      </c>
      <c r="AP1359" s="55">
        <f t="shared" si="444"/>
        <v>0</v>
      </c>
      <c r="AQ1359" s="55">
        <f>IFERROR(VLOOKUP(A1359,[1]SIIMPLES!$A$2:$F$418,6,FALSE),0)</f>
        <v>0</v>
      </c>
      <c r="AR1359" s="55">
        <v>0</v>
      </c>
      <c r="AS1359" s="55">
        <v>0</v>
      </c>
      <c r="AT1359" s="55">
        <v>0</v>
      </c>
      <c r="AU1359" s="55">
        <v>0</v>
      </c>
      <c r="AV1359" s="55">
        <v>0</v>
      </c>
      <c r="AW1359" s="55"/>
      <c r="AX1359" s="55"/>
      <c r="AY1359" s="56">
        <f t="shared" si="450"/>
        <v>0</v>
      </c>
      <c r="AZ1359" s="55"/>
      <c r="BA1359" s="56">
        <v>0</v>
      </c>
      <c r="BB1359" s="36"/>
      <c r="BC1359" s="7"/>
    </row>
    <row r="1360" spans="1:55" ht="12.75" customHeight="1" x14ac:dyDescent="0.2">
      <c r="A1360" s="51" t="s">
        <v>108</v>
      </c>
      <c r="B1360" s="51"/>
      <c r="C1360" s="66" t="s">
        <v>1803</v>
      </c>
      <c r="D1360" s="52" t="s">
        <v>763</v>
      </c>
      <c r="E1360" s="52" t="s">
        <v>764</v>
      </c>
      <c r="F1360" s="53">
        <f>IFERROR(VLOOKUP(E1360,Fornecedores!$A$2:$B$2700,2,FALSE),"")</f>
        <v>10</v>
      </c>
      <c r="G1360" s="52" t="s">
        <v>109</v>
      </c>
      <c r="H1360" s="54"/>
      <c r="I1360" s="55">
        <f t="shared" si="445"/>
        <v>0</v>
      </c>
      <c r="J1360" s="55">
        <v>0</v>
      </c>
      <c r="K1360" s="55">
        <v>0</v>
      </c>
      <c r="L1360" s="55">
        <v>0</v>
      </c>
      <c r="M1360" s="55">
        <v>0</v>
      </c>
      <c r="N1360" s="55">
        <f t="shared" si="446"/>
        <v>0</v>
      </c>
      <c r="O1360" s="55">
        <v>0</v>
      </c>
      <c r="P1360" s="55">
        <v>0</v>
      </c>
      <c r="Q1360" s="55">
        <v>0</v>
      </c>
      <c r="R1360" s="55">
        <f t="shared" si="447"/>
        <v>0</v>
      </c>
      <c r="S1360" s="55">
        <v>0</v>
      </c>
      <c r="T1360" s="55">
        <v>0</v>
      </c>
      <c r="U1360" s="55">
        <v>0</v>
      </c>
      <c r="V1360" s="55">
        <v>0</v>
      </c>
      <c r="W1360" s="53">
        <v>0</v>
      </c>
      <c r="X1360" s="53">
        <v>0</v>
      </c>
      <c r="Y1360" s="55">
        <v>0</v>
      </c>
      <c r="Z1360" s="55">
        <v>0</v>
      </c>
      <c r="AA1360" s="53">
        <v>0</v>
      </c>
      <c r="AB1360" s="53">
        <v>0</v>
      </c>
      <c r="AC1360" s="55">
        <v>0</v>
      </c>
      <c r="AD1360" s="55">
        <f t="shared" si="448"/>
        <v>0</v>
      </c>
      <c r="AE1360" s="53">
        <v>0</v>
      </c>
      <c r="AF1360" s="55">
        <v>0</v>
      </c>
      <c r="AG1360" s="55">
        <v>0</v>
      </c>
      <c r="AH1360" s="55">
        <f t="shared" si="449"/>
        <v>0</v>
      </c>
      <c r="AI1360" s="55">
        <v>0</v>
      </c>
      <c r="AJ1360" s="55">
        <v>0</v>
      </c>
      <c r="AK1360" s="55">
        <v>0</v>
      </c>
      <c r="AL1360" s="55">
        <f t="shared" si="434"/>
        <v>0</v>
      </c>
      <c r="AM1360" s="55" t="s">
        <v>1912</v>
      </c>
      <c r="AN1360" s="55">
        <v>0</v>
      </c>
      <c r="AO1360" s="55">
        <v>0</v>
      </c>
      <c r="AP1360" s="55">
        <f t="shared" si="444"/>
        <v>0</v>
      </c>
      <c r="AQ1360" s="55">
        <f>IFERROR(VLOOKUP(A1360,[1]SIIMPLES!$A$2:$F$418,6,FALSE),0)</f>
        <v>0</v>
      </c>
      <c r="AR1360" s="55">
        <v>0</v>
      </c>
      <c r="AS1360" s="55">
        <v>0</v>
      </c>
      <c r="AT1360" s="55">
        <v>0</v>
      </c>
      <c r="AU1360" s="55">
        <v>0</v>
      </c>
      <c r="AV1360" s="55">
        <v>0</v>
      </c>
      <c r="AW1360" s="55"/>
      <c r="AX1360" s="55"/>
      <c r="AY1360" s="56">
        <f t="shared" si="450"/>
        <v>0</v>
      </c>
      <c r="AZ1360" s="55"/>
      <c r="BA1360" s="56">
        <v>0</v>
      </c>
      <c r="BB1360" s="36"/>
      <c r="BC1360" s="7"/>
    </row>
    <row r="1361" spans="1:55" ht="12.75" customHeight="1" x14ac:dyDescent="0.2">
      <c r="A1361" s="51" t="s">
        <v>1123</v>
      </c>
      <c r="B1361" s="51"/>
      <c r="C1361" s="66" t="s">
        <v>1803</v>
      </c>
      <c r="D1361" s="52" t="s">
        <v>745</v>
      </c>
      <c r="E1361" s="52" t="s">
        <v>780</v>
      </c>
      <c r="F1361" s="53">
        <f>IFERROR(VLOOKUP(E1361,Fornecedores!$A$2:$B$2700,2,FALSE),"")</f>
        <v>2</v>
      </c>
      <c r="G1361" s="52" t="s">
        <v>1166</v>
      </c>
      <c r="H1361" s="54"/>
      <c r="I1361" s="55">
        <f t="shared" si="445"/>
        <v>0</v>
      </c>
      <c r="J1361" s="55">
        <v>0</v>
      </c>
      <c r="K1361" s="55">
        <v>0</v>
      </c>
      <c r="L1361" s="55">
        <v>0</v>
      </c>
      <c r="M1361" s="55">
        <v>0</v>
      </c>
      <c r="N1361" s="55">
        <f t="shared" si="446"/>
        <v>0</v>
      </c>
      <c r="O1361" s="55">
        <v>0</v>
      </c>
      <c r="P1361" s="55">
        <v>0</v>
      </c>
      <c r="Q1361" s="55">
        <v>0</v>
      </c>
      <c r="R1361" s="55">
        <f t="shared" si="447"/>
        <v>0</v>
      </c>
      <c r="S1361" s="55">
        <v>0</v>
      </c>
      <c r="T1361" s="55">
        <v>0</v>
      </c>
      <c r="U1361" s="55">
        <v>0</v>
      </c>
      <c r="V1361" s="55">
        <v>0</v>
      </c>
      <c r="W1361" s="53">
        <v>0</v>
      </c>
      <c r="X1361" s="53">
        <v>0</v>
      </c>
      <c r="Y1361" s="55">
        <v>0</v>
      </c>
      <c r="Z1361" s="55">
        <v>0</v>
      </c>
      <c r="AA1361" s="53">
        <v>0</v>
      </c>
      <c r="AB1361" s="53">
        <v>0</v>
      </c>
      <c r="AC1361" s="55">
        <v>0</v>
      </c>
      <c r="AD1361" s="55">
        <f t="shared" si="448"/>
        <v>0</v>
      </c>
      <c r="AE1361" s="53">
        <v>0</v>
      </c>
      <c r="AF1361" s="55">
        <v>0</v>
      </c>
      <c r="AG1361" s="55">
        <v>0</v>
      </c>
      <c r="AH1361" s="55">
        <f t="shared" si="449"/>
        <v>0</v>
      </c>
      <c r="AI1361" s="55">
        <v>0</v>
      </c>
      <c r="AJ1361" s="55">
        <v>0</v>
      </c>
      <c r="AK1361" s="55">
        <v>0</v>
      </c>
      <c r="AL1361" s="55">
        <f t="shared" si="434"/>
        <v>0</v>
      </c>
      <c r="AM1361" s="55" t="s">
        <v>1912</v>
      </c>
      <c r="AN1361" s="55">
        <v>0</v>
      </c>
      <c r="AO1361" s="55">
        <v>0</v>
      </c>
      <c r="AP1361" s="55">
        <f t="shared" si="444"/>
        <v>0</v>
      </c>
      <c r="AQ1361" s="55">
        <f>IFERROR(VLOOKUP(A1361,[1]SIIMPLES!$A$2:$F$418,6,FALSE),0)</f>
        <v>0</v>
      </c>
      <c r="AR1361" s="55">
        <v>0</v>
      </c>
      <c r="AS1361" s="55">
        <v>0</v>
      </c>
      <c r="AT1361" s="55">
        <v>0</v>
      </c>
      <c r="AU1361" s="55">
        <v>0</v>
      </c>
      <c r="AV1361" s="55">
        <v>0</v>
      </c>
      <c r="AW1361" s="55"/>
      <c r="AX1361" s="55"/>
      <c r="AY1361" s="56">
        <f t="shared" si="450"/>
        <v>0</v>
      </c>
      <c r="AZ1361" s="55"/>
      <c r="BA1361" s="56">
        <v>0.66666666666666663</v>
      </c>
      <c r="BB1361" s="36"/>
      <c r="BC1361" s="7"/>
    </row>
    <row r="1362" spans="1:55" ht="12.75" customHeight="1" x14ac:dyDescent="0.2">
      <c r="A1362" s="51" t="s">
        <v>802</v>
      </c>
      <c r="B1362" s="51"/>
      <c r="C1362" s="66" t="s">
        <v>1803</v>
      </c>
      <c r="D1362" s="52" t="s">
        <v>763</v>
      </c>
      <c r="E1362" s="52" t="s">
        <v>764</v>
      </c>
      <c r="F1362" s="53">
        <f>IFERROR(VLOOKUP(E1362,Fornecedores!$A$2:$B$2700,2,FALSE),"")</f>
        <v>10</v>
      </c>
      <c r="G1362" s="52" t="s">
        <v>944</v>
      </c>
      <c r="H1362" s="54"/>
      <c r="I1362" s="55">
        <f t="shared" si="445"/>
        <v>0</v>
      </c>
      <c r="J1362" s="55">
        <v>0</v>
      </c>
      <c r="K1362" s="55">
        <v>0</v>
      </c>
      <c r="L1362" s="55">
        <v>0</v>
      </c>
      <c r="M1362" s="55">
        <v>0</v>
      </c>
      <c r="N1362" s="55">
        <f t="shared" si="446"/>
        <v>0</v>
      </c>
      <c r="O1362" s="55">
        <v>0</v>
      </c>
      <c r="P1362" s="55">
        <v>0</v>
      </c>
      <c r="Q1362" s="55">
        <v>0</v>
      </c>
      <c r="R1362" s="55">
        <f t="shared" si="447"/>
        <v>0</v>
      </c>
      <c r="S1362" s="55">
        <v>0</v>
      </c>
      <c r="T1362" s="55">
        <v>0</v>
      </c>
      <c r="U1362" s="55">
        <v>0</v>
      </c>
      <c r="V1362" s="55">
        <v>0</v>
      </c>
      <c r="W1362" s="53">
        <v>0</v>
      </c>
      <c r="X1362" s="53">
        <v>0</v>
      </c>
      <c r="Y1362" s="55">
        <v>0</v>
      </c>
      <c r="Z1362" s="55">
        <v>0</v>
      </c>
      <c r="AA1362" s="53">
        <v>0</v>
      </c>
      <c r="AB1362" s="53">
        <v>0</v>
      </c>
      <c r="AC1362" s="55">
        <v>0</v>
      </c>
      <c r="AD1362" s="55">
        <f t="shared" si="448"/>
        <v>0</v>
      </c>
      <c r="AE1362" s="53">
        <v>0</v>
      </c>
      <c r="AF1362" s="55">
        <v>0</v>
      </c>
      <c r="AG1362" s="55">
        <v>0</v>
      </c>
      <c r="AH1362" s="55">
        <f t="shared" si="449"/>
        <v>0</v>
      </c>
      <c r="AI1362" s="55">
        <v>0</v>
      </c>
      <c r="AJ1362" s="55">
        <v>0</v>
      </c>
      <c r="AK1362" s="55">
        <v>0</v>
      </c>
      <c r="AL1362" s="55">
        <f t="shared" si="434"/>
        <v>0</v>
      </c>
      <c r="AM1362" s="55" t="s">
        <v>1912</v>
      </c>
      <c r="AN1362" s="55">
        <v>0</v>
      </c>
      <c r="AO1362" s="55">
        <v>0</v>
      </c>
      <c r="AP1362" s="55">
        <f t="shared" si="444"/>
        <v>0</v>
      </c>
      <c r="AQ1362" s="55">
        <f>IFERROR(VLOOKUP(A1362,[1]SIIMPLES!$A$2:$F$418,6,FALSE),0)</f>
        <v>0</v>
      </c>
      <c r="AR1362" s="55">
        <v>0</v>
      </c>
      <c r="AS1362" s="55">
        <v>0</v>
      </c>
      <c r="AT1362" s="55">
        <v>0</v>
      </c>
      <c r="AU1362" s="55">
        <v>0</v>
      </c>
      <c r="AV1362" s="55">
        <v>0</v>
      </c>
      <c r="AW1362" s="55"/>
      <c r="AX1362" s="55"/>
      <c r="AY1362" s="56">
        <f t="shared" si="450"/>
        <v>0</v>
      </c>
      <c r="AZ1362" s="55"/>
      <c r="BA1362" s="56">
        <v>0</v>
      </c>
      <c r="BB1362" s="36"/>
      <c r="BC1362" s="7"/>
    </row>
    <row r="1363" spans="1:55" ht="12.75" customHeight="1" x14ac:dyDescent="0.2">
      <c r="A1363" s="51" t="s">
        <v>76</v>
      </c>
      <c r="B1363" s="51"/>
      <c r="C1363" s="66" t="s">
        <v>1803</v>
      </c>
      <c r="D1363" s="52" t="s">
        <v>763</v>
      </c>
      <c r="E1363" s="52" t="s">
        <v>764</v>
      </c>
      <c r="F1363" s="53">
        <f>IFERROR(VLOOKUP(E1363,Fornecedores!$A$2:$B$2700,2,FALSE),"")</f>
        <v>10</v>
      </c>
      <c r="G1363" s="52" t="s">
        <v>77</v>
      </c>
      <c r="H1363" s="54"/>
      <c r="I1363" s="55">
        <f t="shared" si="445"/>
        <v>0</v>
      </c>
      <c r="J1363" s="55">
        <v>0</v>
      </c>
      <c r="K1363" s="55">
        <v>0</v>
      </c>
      <c r="L1363" s="55">
        <v>0</v>
      </c>
      <c r="M1363" s="55">
        <v>0</v>
      </c>
      <c r="N1363" s="55">
        <f t="shared" si="446"/>
        <v>0</v>
      </c>
      <c r="O1363" s="55">
        <v>0</v>
      </c>
      <c r="P1363" s="55">
        <v>0</v>
      </c>
      <c r="Q1363" s="55">
        <v>0</v>
      </c>
      <c r="R1363" s="55">
        <f t="shared" si="447"/>
        <v>0</v>
      </c>
      <c r="S1363" s="55">
        <v>0</v>
      </c>
      <c r="T1363" s="55">
        <v>0</v>
      </c>
      <c r="U1363" s="55">
        <v>0</v>
      </c>
      <c r="V1363" s="55">
        <v>0</v>
      </c>
      <c r="W1363" s="53">
        <v>0</v>
      </c>
      <c r="X1363" s="53">
        <v>0</v>
      </c>
      <c r="Y1363" s="55">
        <v>0</v>
      </c>
      <c r="Z1363" s="55">
        <v>0</v>
      </c>
      <c r="AA1363" s="53">
        <v>0</v>
      </c>
      <c r="AB1363" s="53">
        <v>0</v>
      </c>
      <c r="AC1363" s="55">
        <v>0</v>
      </c>
      <c r="AD1363" s="55">
        <f t="shared" si="448"/>
        <v>0</v>
      </c>
      <c r="AE1363" s="53">
        <v>0</v>
      </c>
      <c r="AF1363" s="55">
        <v>0</v>
      </c>
      <c r="AG1363" s="55">
        <v>0</v>
      </c>
      <c r="AH1363" s="55">
        <f t="shared" si="449"/>
        <v>0</v>
      </c>
      <c r="AI1363" s="55">
        <v>0</v>
      </c>
      <c r="AJ1363" s="55">
        <v>0</v>
      </c>
      <c r="AK1363" s="55">
        <v>0</v>
      </c>
      <c r="AL1363" s="55">
        <f t="shared" ref="AL1363:AL1405" si="451">SUM(AM1363:AO1363)</f>
        <v>0</v>
      </c>
      <c r="AM1363" s="55" t="s">
        <v>1912</v>
      </c>
      <c r="AN1363" s="55">
        <v>0</v>
      </c>
      <c r="AO1363" s="55">
        <v>0</v>
      </c>
      <c r="AP1363" s="55">
        <f t="shared" si="444"/>
        <v>0</v>
      </c>
      <c r="AQ1363" s="55">
        <f>IFERROR(VLOOKUP(A1363,[1]SIIMPLES!$A$2:$F$418,6,FALSE),0)</f>
        <v>0</v>
      </c>
      <c r="AR1363" s="55">
        <v>0</v>
      </c>
      <c r="AS1363" s="55">
        <v>0</v>
      </c>
      <c r="AT1363" s="55">
        <v>0</v>
      </c>
      <c r="AU1363" s="55">
        <v>0</v>
      </c>
      <c r="AV1363" s="55">
        <v>0</v>
      </c>
      <c r="AW1363" s="55"/>
      <c r="AX1363" s="55"/>
      <c r="AY1363" s="56">
        <f t="shared" si="450"/>
        <v>0</v>
      </c>
      <c r="AZ1363" s="55"/>
      <c r="BA1363" s="56">
        <v>0</v>
      </c>
    </row>
    <row r="1364" spans="1:55" ht="12.75" customHeight="1" x14ac:dyDescent="0.2">
      <c r="A1364" s="51" t="s">
        <v>1522</v>
      </c>
      <c r="B1364" s="51"/>
      <c r="C1364" s="66" t="s">
        <v>1803</v>
      </c>
      <c r="D1364" s="52" t="s">
        <v>1050</v>
      </c>
      <c r="E1364" s="52" t="s">
        <v>770</v>
      </c>
      <c r="F1364" s="53">
        <f>IFERROR(VLOOKUP(E1364,Fornecedores!$A$2:$B$2700,2,FALSE),"")</f>
        <v>17</v>
      </c>
      <c r="G1364" s="52" t="s">
        <v>1606</v>
      </c>
      <c r="H1364" s="57"/>
      <c r="I1364" s="55">
        <f t="shared" si="445"/>
        <v>0</v>
      </c>
      <c r="J1364" s="57" t="s">
        <v>1282</v>
      </c>
      <c r="K1364" s="55">
        <v>0</v>
      </c>
      <c r="L1364" s="55">
        <v>0</v>
      </c>
      <c r="M1364" s="55">
        <v>0</v>
      </c>
      <c r="N1364" s="55">
        <f t="shared" si="446"/>
        <v>0</v>
      </c>
      <c r="O1364" s="55">
        <v>0</v>
      </c>
      <c r="P1364" s="55">
        <v>0</v>
      </c>
      <c r="Q1364" s="55">
        <v>0</v>
      </c>
      <c r="R1364" s="55">
        <f t="shared" si="447"/>
        <v>0</v>
      </c>
      <c r="S1364" s="55">
        <v>0</v>
      </c>
      <c r="T1364" s="55">
        <v>0</v>
      </c>
      <c r="U1364" s="55">
        <v>0</v>
      </c>
      <c r="V1364" s="55">
        <v>0</v>
      </c>
      <c r="W1364" s="53">
        <v>0</v>
      </c>
      <c r="X1364" s="53">
        <v>0</v>
      </c>
      <c r="Y1364" s="55">
        <v>0</v>
      </c>
      <c r="Z1364" s="55">
        <v>0</v>
      </c>
      <c r="AA1364" s="53">
        <v>0</v>
      </c>
      <c r="AB1364" s="53">
        <v>0</v>
      </c>
      <c r="AC1364" s="55">
        <v>0</v>
      </c>
      <c r="AD1364" s="55">
        <f t="shared" si="448"/>
        <v>0</v>
      </c>
      <c r="AE1364" s="53">
        <v>0</v>
      </c>
      <c r="AF1364" s="55">
        <v>0</v>
      </c>
      <c r="AG1364" s="55">
        <v>0</v>
      </c>
      <c r="AH1364" s="55">
        <f t="shared" si="449"/>
        <v>0</v>
      </c>
      <c r="AI1364" s="55">
        <v>0</v>
      </c>
      <c r="AJ1364" s="55">
        <v>0</v>
      </c>
      <c r="AK1364" s="55">
        <v>0</v>
      </c>
      <c r="AL1364" s="55">
        <f t="shared" si="451"/>
        <v>0</v>
      </c>
      <c r="AM1364" s="55" t="s">
        <v>1912</v>
      </c>
      <c r="AN1364" s="55">
        <v>0</v>
      </c>
      <c r="AO1364" s="55">
        <v>0</v>
      </c>
      <c r="AP1364" s="55">
        <f t="shared" si="444"/>
        <v>0</v>
      </c>
      <c r="AQ1364" s="55">
        <f>IFERROR(VLOOKUP(A1364,[1]SIIMPLES!$A$2:$F$418,6,FALSE),0)</f>
        <v>0</v>
      </c>
      <c r="AR1364" s="55">
        <v>0</v>
      </c>
      <c r="AS1364" s="55">
        <v>0</v>
      </c>
      <c r="AT1364" s="55">
        <v>0</v>
      </c>
      <c r="AU1364" s="55">
        <v>0</v>
      </c>
      <c r="AV1364" s="55">
        <v>0</v>
      </c>
      <c r="AW1364" s="57"/>
      <c r="AX1364" s="57"/>
      <c r="AY1364" s="56">
        <f t="shared" si="450"/>
        <v>0</v>
      </c>
      <c r="AZ1364" s="55"/>
      <c r="BA1364" s="56" t="s">
        <v>1912</v>
      </c>
    </row>
    <row r="1365" spans="1:55" ht="12.75" customHeight="1" x14ac:dyDescent="0.2">
      <c r="A1365" s="51" t="s">
        <v>796</v>
      </c>
      <c r="B1365" s="51"/>
      <c r="C1365" s="66" t="s">
        <v>1803</v>
      </c>
      <c r="D1365" s="52" t="s">
        <v>890</v>
      </c>
      <c r="E1365" s="52" t="s">
        <v>764</v>
      </c>
      <c r="F1365" s="53">
        <f>IFERROR(VLOOKUP(E1365,Fornecedores!$A$2:$B$2700,2,FALSE),"")</f>
        <v>10</v>
      </c>
      <c r="G1365" s="52" t="s">
        <v>891</v>
      </c>
      <c r="H1365" s="54"/>
      <c r="I1365" s="55">
        <f t="shared" si="445"/>
        <v>0</v>
      </c>
      <c r="J1365" s="55">
        <v>0</v>
      </c>
      <c r="K1365" s="55">
        <v>0</v>
      </c>
      <c r="L1365" s="55">
        <v>0</v>
      </c>
      <c r="M1365" s="55">
        <v>0</v>
      </c>
      <c r="N1365" s="55">
        <f t="shared" si="446"/>
        <v>0</v>
      </c>
      <c r="O1365" s="55">
        <v>0</v>
      </c>
      <c r="P1365" s="55">
        <v>0</v>
      </c>
      <c r="Q1365" s="55">
        <v>0</v>
      </c>
      <c r="R1365" s="55">
        <f t="shared" si="447"/>
        <v>0</v>
      </c>
      <c r="S1365" s="55">
        <v>0</v>
      </c>
      <c r="T1365" s="55">
        <v>0</v>
      </c>
      <c r="U1365" s="55">
        <v>0</v>
      </c>
      <c r="V1365" s="55">
        <v>0</v>
      </c>
      <c r="W1365" s="53">
        <v>0</v>
      </c>
      <c r="X1365" s="53">
        <v>0</v>
      </c>
      <c r="Y1365" s="55">
        <v>0</v>
      </c>
      <c r="Z1365" s="55">
        <v>0</v>
      </c>
      <c r="AA1365" s="53">
        <v>0</v>
      </c>
      <c r="AB1365" s="53">
        <v>0</v>
      </c>
      <c r="AC1365" s="55">
        <v>0</v>
      </c>
      <c r="AD1365" s="55">
        <f t="shared" si="448"/>
        <v>0</v>
      </c>
      <c r="AE1365" s="53">
        <v>0</v>
      </c>
      <c r="AF1365" s="55">
        <v>0</v>
      </c>
      <c r="AG1365" s="55">
        <v>0</v>
      </c>
      <c r="AH1365" s="55">
        <f t="shared" si="449"/>
        <v>0</v>
      </c>
      <c r="AI1365" s="55">
        <v>0</v>
      </c>
      <c r="AJ1365" s="55">
        <v>0</v>
      </c>
      <c r="AK1365" s="55">
        <v>0</v>
      </c>
      <c r="AL1365" s="55">
        <f t="shared" si="451"/>
        <v>0</v>
      </c>
      <c r="AM1365" s="55" t="s">
        <v>1912</v>
      </c>
      <c r="AN1365" s="55">
        <v>0</v>
      </c>
      <c r="AO1365" s="55">
        <v>0</v>
      </c>
      <c r="AP1365" s="55">
        <f t="shared" si="444"/>
        <v>0</v>
      </c>
      <c r="AQ1365" s="55">
        <f>IFERROR(VLOOKUP(A1365,[1]SIIMPLES!$A$2:$F$418,6,FALSE),0)</f>
        <v>0</v>
      </c>
      <c r="AR1365" s="55">
        <v>0</v>
      </c>
      <c r="AS1365" s="55">
        <v>0</v>
      </c>
      <c r="AT1365" s="55">
        <v>0</v>
      </c>
      <c r="AU1365" s="55">
        <v>0</v>
      </c>
      <c r="AV1365" s="55">
        <v>0</v>
      </c>
      <c r="AW1365" s="55"/>
      <c r="AX1365" s="55"/>
      <c r="AY1365" s="56">
        <f t="shared" si="450"/>
        <v>0</v>
      </c>
      <c r="AZ1365" s="55"/>
      <c r="BA1365" s="56">
        <v>0</v>
      </c>
    </row>
    <row r="1366" spans="1:55" ht="12.75" customHeight="1" x14ac:dyDescent="0.2">
      <c r="A1366" s="51" t="s">
        <v>797</v>
      </c>
      <c r="B1366" s="51"/>
      <c r="C1366" s="66" t="s">
        <v>1803</v>
      </c>
      <c r="D1366" s="52" t="s">
        <v>763</v>
      </c>
      <c r="E1366" s="52" t="s">
        <v>764</v>
      </c>
      <c r="F1366" s="53">
        <f>IFERROR(VLOOKUP(E1366,Fornecedores!$A$2:$B$2700,2,FALSE),"")</f>
        <v>10</v>
      </c>
      <c r="G1366" s="52" t="s">
        <v>940</v>
      </c>
      <c r="H1366" s="54"/>
      <c r="I1366" s="55">
        <f t="shared" si="445"/>
        <v>0</v>
      </c>
      <c r="J1366" s="55">
        <v>0</v>
      </c>
      <c r="K1366" s="55">
        <v>0</v>
      </c>
      <c r="L1366" s="55">
        <v>0</v>
      </c>
      <c r="M1366" s="55">
        <v>0</v>
      </c>
      <c r="N1366" s="55">
        <f t="shared" si="446"/>
        <v>0</v>
      </c>
      <c r="O1366" s="55">
        <v>0</v>
      </c>
      <c r="P1366" s="55">
        <v>0</v>
      </c>
      <c r="Q1366" s="55">
        <v>0</v>
      </c>
      <c r="R1366" s="55">
        <f t="shared" si="447"/>
        <v>0</v>
      </c>
      <c r="S1366" s="55">
        <v>0</v>
      </c>
      <c r="T1366" s="55">
        <v>0</v>
      </c>
      <c r="U1366" s="55">
        <v>0</v>
      </c>
      <c r="V1366" s="55">
        <v>0</v>
      </c>
      <c r="W1366" s="53">
        <v>0</v>
      </c>
      <c r="X1366" s="53">
        <v>0</v>
      </c>
      <c r="Y1366" s="55">
        <v>0</v>
      </c>
      <c r="Z1366" s="55">
        <v>0</v>
      </c>
      <c r="AA1366" s="53">
        <v>0</v>
      </c>
      <c r="AB1366" s="53">
        <v>0</v>
      </c>
      <c r="AC1366" s="55">
        <v>0</v>
      </c>
      <c r="AD1366" s="55">
        <f t="shared" si="448"/>
        <v>0</v>
      </c>
      <c r="AE1366" s="53">
        <v>0</v>
      </c>
      <c r="AF1366" s="55">
        <v>0</v>
      </c>
      <c r="AG1366" s="55">
        <v>0</v>
      </c>
      <c r="AH1366" s="55">
        <f t="shared" si="449"/>
        <v>0</v>
      </c>
      <c r="AI1366" s="55">
        <v>0</v>
      </c>
      <c r="AJ1366" s="55">
        <v>0</v>
      </c>
      <c r="AK1366" s="55">
        <v>0</v>
      </c>
      <c r="AL1366" s="55">
        <f t="shared" si="451"/>
        <v>0</v>
      </c>
      <c r="AM1366" s="55" t="s">
        <v>1912</v>
      </c>
      <c r="AN1366" s="55">
        <v>0</v>
      </c>
      <c r="AO1366" s="55">
        <v>0</v>
      </c>
      <c r="AP1366" s="55">
        <f t="shared" si="444"/>
        <v>0</v>
      </c>
      <c r="AQ1366" s="55">
        <f>IFERROR(VLOOKUP(A1366,[1]SIIMPLES!$A$2:$F$418,6,FALSE),0)</f>
        <v>0</v>
      </c>
      <c r="AR1366" s="55">
        <v>0</v>
      </c>
      <c r="AS1366" s="55">
        <v>0</v>
      </c>
      <c r="AT1366" s="55">
        <v>0</v>
      </c>
      <c r="AU1366" s="55">
        <v>0</v>
      </c>
      <c r="AV1366" s="55">
        <v>0</v>
      </c>
      <c r="AW1366" s="55"/>
      <c r="AX1366" s="55"/>
      <c r="AY1366" s="56">
        <f t="shared" si="450"/>
        <v>0</v>
      </c>
      <c r="AZ1366" s="55"/>
      <c r="BA1366" s="56">
        <v>0</v>
      </c>
    </row>
    <row r="1367" spans="1:55" ht="12.75" customHeight="1" x14ac:dyDescent="0.2">
      <c r="A1367" s="51" t="s">
        <v>139</v>
      </c>
      <c r="B1367" s="51"/>
      <c r="C1367" s="66" t="s">
        <v>1803</v>
      </c>
      <c r="D1367" s="52" t="s">
        <v>763</v>
      </c>
      <c r="E1367" s="52" t="s">
        <v>764</v>
      </c>
      <c r="F1367" s="53">
        <f>IFERROR(VLOOKUP(E1367,Fornecedores!$A$2:$B$2700,2,FALSE),"")</f>
        <v>10</v>
      </c>
      <c r="G1367" s="52" t="s">
        <v>140</v>
      </c>
      <c r="H1367" s="54"/>
      <c r="I1367" s="55">
        <f t="shared" si="445"/>
        <v>0</v>
      </c>
      <c r="J1367" s="55">
        <v>0</v>
      </c>
      <c r="K1367" s="55">
        <v>0</v>
      </c>
      <c r="L1367" s="55">
        <v>0</v>
      </c>
      <c r="M1367" s="55">
        <v>0</v>
      </c>
      <c r="N1367" s="55">
        <f t="shared" si="446"/>
        <v>0</v>
      </c>
      <c r="O1367" s="55">
        <v>0</v>
      </c>
      <c r="P1367" s="55">
        <v>0</v>
      </c>
      <c r="Q1367" s="55">
        <v>0</v>
      </c>
      <c r="R1367" s="55">
        <f t="shared" si="447"/>
        <v>0</v>
      </c>
      <c r="S1367" s="55">
        <v>0</v>
      </c>
      <c r="T1367" s="55">
        <v>0</v>
      </c>
      <c r="U1367" s="55">
        <v>0</v>
      </c>
      <c r="V1367" s="55">
        <v>0</v>
      </c>
      <c r="W1367" s="53">
        <v>0</v>
      </c>
      <c r="X1367" s="53">
        <v>0</v>
      </c>
      <c r="Y1367" s="55">
        <v>0</v>
      </c>
      <c r="Z1367" s="55">
        <v>0</v>
      </c>
      <c r="AA1367" s="53">
        <v>0</v>
      </c>
      <c r="AB1367" s="53">
        <v>0</v>
      </c>
      <c r="AC1367" s="55">
        <v>0</v>
      </c>
      <c r="AD1367" s="55">
        <f t="shared" si="448"/>
        <v>0</v>
      </c>
      <c r="AE1367" s="53">
        <v>0</v>
      </c>
      <c r="AF1367" s="55">
        <v>0</v>
      </c>
      <c r="AG1367" s="55">
        <v>0</v>
      </c>
      <c r="AH1367" s="55">
        <f t="shared" si="449"/>
        <v>0</v>
      </c>
      <c r="AI1367" s="55">
        <v>0</v>
      </c>
      <c r="AJ1367" s="55">
        <v>0</v>
      </c>
      <c r="AK1367" s="55">
        <v>0</v>
      </c>
      <c r="AL1367" s="55">
        <f t="shared" si="451"/>
        <v>0</v>
      </c>
      <c r="AM1367" s="55" t="s">
        <v>1912</v>
      </c>
      <c r="AN1367" s="55">
        <v>0</v>
      </c>
      <c r="AO1367" s="55">
        <v>0</v>
      </c>
      <c r="AP1367" s="55">
        <f t="shared" si="444"/>
        <v>0</v>
      </c>
      <c r="AQ1367" s="55">
        <f>IFERROR(VLOOKUP(A1367,[1]SIIMPLES!$A$2:$F$418,6,FALSE),0)</f>
        <v>0</v>
      </c>
      <c r="AR1367" s="55">
        <v>0</v>
      </c>
      <c r="AS1367" s="55">
        <v>0</v>
      </c>
      <c r="AT1367" s="55">
        <v>0</v>
      </c>
      <c r="AU1367" s="55">
        <v>0</v>
      </c>
      <c r="AV1367" s="55">
        <v>0</v>
      </c>
      <c r="AW1367" s="55"/>
      <c r="AX1367" s="55"/>
      <c r="AY1367" s="56">
        <f t="shared" si="450"/>
        <v>0</v>
      </c>
      <c r="AZ1367" s="55"/>
      <c r="BA1367" s="56">
        <v>0</v>
      </c>
    </row>
    <row r="1368" spans="1:55" ht="12.75" customHeight="1" x14ac:dyDescent="0.2">
      <c r="A1368" s="51" t="s">
        <v>391</v>
      </c>
      <c r="B1368" s="51"/>
      <c r="C1368" s="66" t="s">
        <v>1803</v>
      </c>
      <c r="D1368" s="52" t="s">
        <v>763</v>
      </c>
      <c r="E1368" s="52" t="s">
        <v>764</v>
      </c>
      <c r="F1368" s="53">
        <f>IFERROR(VLOOKUP(E1368,Fornecedores!$A$2:$B$2700,2,FALSE),"")</f>
        <v>10</v>
      </c>
      <c r="G1368" s="52" t="s">
        <v>392</v>
      </c>
      <c r="H1368" s="54"/>
      <c r="I1368" s="55">
        <f t="shared" ref="I1368:I1384" si="452">SUM(J1368:M1368)</f>
        <v>0</v>
      </c>
      <c r="J1368" s="55">
        <v>0</v>
      </c>
      <c r="K1368" s="55">
        <v>0</v>
      </c>
      <c r="L1368" s="55">
        <v>0</v>
      </c>
      <c r="M1368" s="55">
        <v>0</v>
      </c>
      <c r="N1368" s="55">
        <f t="shared" ref="N1368:N1384" si="453">SUM(O1368:Q1368)</f>
        <v>0</v>
      </c>
      <c r="O1368" s="55">
        <v>0</v>
      </c>
      <c r="P1368" s="55">
        <v>0</v>
      </c>
      <c r="Q1368" s="55">
        <v>0</v>
      </c>
      <c r="R1368" s="55">
        <f t="shared" ref="R1368:R1384" si="454">SUM(S1368:U1368)</f>
        <v>0</v>
      </c>
      <c r="S1368" s="55">
        <v>0</v>
      </c>
      <c r="T1368" s="55">
        <v>0</v>
      </c>
      <c r="U1368" s="55">
        <v>0</v>
      </c>
      <c r="V1368" s="55">
        <v>0</v>
      </c>
      <c r="W1368" s="53">
        <v>0</v>
      </c>
      <c r="X1368" s="53">
        <v>0</v>
      </c>
      <c r="Y1368" s="55">
        <v>0</v>
      </c>
      <c r="Z1368" s="55">
        <v>0</v>
      </c>
      <c r="AA1368" s="53">
        <v>0</v>
      </c>
      <c r="AB1368" s="53">
        <v>0</v>
      </c>
      <c r="AC1368" s="55">
        <v>0</v>
      </c>
      <c r="AD1368" s="55">
        <f t="shared" ref="AD1368:AD1384" si="455">SUM(AE1368:AG1368)</f>
        <v>0</v>
      </c>
      <c r="AE1368" s="53">
        <v>0</v>
      </c>
      <c r="AF1368" s="55">
        <v>0</v>
      </c>
      <c r="AG1368" s="55">
        <v>0</v>
      </c>
      <c r="AH1368" s="55">
        <f t="shared" si="449"/>
        <v>0</v>
      </c>
      <c r="AI1368" s="55">
        <v>0</v>
      </c>
      <c r="AJ1368" s="55">
        <v>0</v>
      </c>
      <c r="AK1368" s="55">
        <v>0</v>
      </c>
      <c r="AL1368" s="55">
        <f t="shared" si="451"/>
        <v>0</v>
      </c>
      <c r="AM1368" s="55" t="s">
        <v>1912</v>
      </c>
      <c r="AN1368" s="55">
        <v>0</v>
      </c>
      <c r="AO1368" s="55">
        <v>0</v>
      </c>
      <c r="AP1368" s="55">
        <f t="shared" si="444"/>
        <v>0</v>
      </c>
      <c r="AQ1368" s="55">
        <f>IFERROR(VLOOKUP(A1368,[1]SIIMPLES!$A$2:$F$418,6,FALSE),0)</f>
        <v>0</v>
      </c>
      <c r="AR1368" s="55">
        <v>0</v>
      </c>
      <c r="AS1368" s="55">
        <v>0</v>
      </c>
      <c r="AT1368" s="55">
        <v>0</v>
      </c>
      <c r="AU1368" s="55">
        <v>0</v>
      </c>
      <c r="AV1368" s="55">
        <v>0</v>
      </c>
      <c r="AW1368" s="55"/>
      <c r="AX1368" s="55"/>
      <c r="AY1368" s="56">
        <f t="shared" si="450"/>
        <v>0</v>
      </c>
      <c r="AZ1368" s="55"/>
      <c r="BA1368" s="56">
        <v>0</v>
      </c>
    </row>
    <row r="1369" spans="1:55" ht="12.75" customHeight="1" x14ac:dyDescent="0.2">
      <c r="A1369" s="51" t="s">
        <v>807</v>
      </c>
      <c r="B1369" s="51"/>
      <c r="C1369" s="66" t="s">
        <v>1803</v>
      </c>
      <c r="D1369" s="52" t="s">
        <v>763</v>
      </c>
      <c r="E1369" s="52" t="s">
        <v>764</v>
      </c>
      <c r="F1369" s="53">
        <f>IFERROR(VLOOKUP(E1369,Fornecedores!$A$2:$B$2700,2,FALSE),"")</f>
        <v>10</v>
      </c>
      <c r="G1369" s="52" t="s">
        <v>1005</v>
      </c>
      <c r="H1369" s="54"/>
      <c r="I1369" s="55">
        <f t="shared" si="452"/>
        <v>0</v>
      </c>
      <c r="J1369" s="55">
        <v>0</v>
      </c>
      <c r="K1369" s="55">
        <v>0</v>
      </c>
      <c r="L1369" s="55">
        <v>0</v>
      </c>
      <c r="M1369" s="55">
        <v>0</v>
      </c>
      <c r="N1369" s="55">
        <f t="shared" si="453"/>
        <v>0</v>
      </c>
      <c r="O1369" s="55">
        <v>0</v>
      </c>
      <c r="P1369" s="55">
        <v>0</v>
      </c>
      <c r="Q1369" s="55">
        <v>0</v>
      </c>
      <c r="R1369" s="55">
        <f t="shared" si="454"/>
        <v>0</v>
      </c>
      <c r="S1369" s="55">
        <v>0</v>
      </c>
      <c r="T1369" s="55">
        <v>0</v>
      </c>
      <c r="U1369" s="55">
        <v>0</v>
      </c>
      <c r="V1369" s="55">
        <v>0</v>
      </c>
      <c r="W1369" s="53">
        <v>0</v>
      </c>
      <c r="X1369" s="53">
        <v>0</v>
      </c>
      <c r="Y1369" s="55">
        <v>0</v>
      </c>
      <c r="Z1369" s="55">
        <v>0</v>
      </c>
      <c r="AA1369" s="53">
        <v>0</v>
      </c>
      <c r="AB1369" s="53">
        <v>0</v>
      </c>
      <c r="AC1369" s="55">
        <v>0</v>
      </c>
      <c r="AD1369" s="55">
        <f t="shared" si="455"/>
        <v>0</v>
      </c>
      <c r="AE1369" s="53">
        <v>0</v>
      </c>
      <c r="AF1369" s="55">
        <v>0</v>
      </c>
      <c r="AG1369" s="55">
        <v>0</v>
      </c>
      <c r="AH1369" s="55">
        <f t="shared" si="449"/>
        <v>0</v>
      </c>
      <c r="AI1369" s="55">
        <v>0</v>
      </c>
      <c r="AJ1369" s="55">
        <v>0</v>
      </c>
      <c r="AK1369" s="55">
        <v>0</v>
      </c>
      <c r="AL1369" s="55">
        <f t="shared" si="451"/>
        <v>0</v>
      </c>
      <c r="AM1369" s="55" t="s">
        <v>1912</v>
      </c>
      <c r="AN1369" s="55">
        <v>0</v>
      </c>
      <c r="AO1369" s="55">
        <v>0</v>
      </c>
      <c r="AP1369" s="55">
        <f t="shared" si="444"/>
        <v>0</v>
      </c>
      <c r="AQ1369" s="55">
        <f>IFERROR(VLOOKUP(A1369,[1]SIIMPLES!$A$2:$F$418,6,FALSE),0)</f>
        <v>0</v>
      </c>
      <c r="AR1369" s="55">
        <v>0</v>
      </c>
      <c r="AS1369" s="55">
        <v>0</v>
      </c>
      <c r="AT1369" s="55">
        <v>0</v>
      </c>
      <c r="AU1369" s="55">
        <v>0</v>
      </c>
      <c r="AV1369" s="55">
        <v>0</v>
      </c>
      <c r="AW1369" s="55"/>
      <c r="AX1369" s="55"/>
      <c r="AY1369" s="56">
        <f t="shared" si="450"/>
        <v>0</v>
      </c>
      <c r="AZ1369" s="55"/>
      <c r="BA1369" s="56">
        <v>0</v>
      </c>
    </row>
    <row r="1370" spans="1:55" ht="12.75" customHeight="1" x14ac:dyDescent="0.2">
      <c r="A1370" s="51" t="s">
        <v>130</v>
      </c>
      <c r="B1370" s="51"/>
      <c r="C1370" s="66" t="s">
        <v>1803</v>
      </c>
      <c r="D1370" s="52" t="s">
        <v>763</v>
      </c>
      <c r="E1370" s="52" t="s">
        <v>764</v>
      </c>
      <c r="F1370" s="53">
        <f>IFERROR(VLOOKUP(E1370,Fornecedores!$A$2:$B$2700,2,FALSE),"")</f>
        <v>10</v>
      </c>
      <c r="G1370" s="52" t="s">
        <v>131</v>
      </c>
      <c r="H1370" s="54"/>
      <c r="I1370" s="55">
        <f t="shared" si="452"/>
        <v>0</v>
      </c>
      <c r="J1370" s="55">
        <v>0</v>
      </c>
      <c r="K1370" s="55">
        <v>0</v>
      </c>
      <c r="L1370" s="55">
        <v>0</v>
      </c>
      <c r="M1370" s="55">
        <v>0</v>
      </c>
      <c r="N1370" s="55">
        <f t="shared" si="453"/>
        <v>0</v>
      </c>
      <c r="O1370" s="55">
        <v>0</v>
      </c>
      <c r="P1370" s="55">
        <v>0</v>
      </c>
      <c r="Q1370" s="55">
        <v>0</v>
      </c>
      <c r="R1370" s="55">
        <f t="shared" si="454"/>
        <v>0</v>
      </c>
      <c r="S1370" s="55">
        <v>0</v>
      </c>
      <c r="T1370" s="55">
        <v>0</v>
      </c>
      <c r="U1370" s="55">
        <v>0</v>
      </c>
      <c r="V1370" s="55">
        <v>0</v>
      </c>
      <c r="W1370" s="53">
        <v>0</v>
      </c>
      <c r="X1370" s="53">
        <v>0</v>
      </c>
      <c r="Y1370" s="55">
        <v>0</v>
      </c>
      <c r="Z1370" s="55">
        <v>0</v>
      </c>
      <c r="AA1370" s="53">
        <v>0</v>
      </c>
      <c r="AB1370" s="53">
        <v>0</v>
      </c>
      <c r="AC1370" s="55">
        <v>0</v>
      </c>
      <c r="AD1370" s="55">
        <f t="shared" si="455"/>
        <v>0</v>
      </c>
      <c r="AE1370" s="53">
        <v>0</v>
      </c>
      <c r="AF1370" s="55">
        <v>0</v>
      </c>
      <c r="AG1370" s="55">
        <v>0</v>
      </c>
      <c r="AH1370" s="55">
        <f t="shared" si="449"/>
        <v>0</v>
      </c>
      <c r="AI1370" s="55">
        <v>0</v>
      </c>
      <c r="AJ1370" s="55">
        <v>0</v>
      </c>
      <c r="AK1370" s="55">
        <v>0</v>
      </c>
      <c r="AL1370" s="55">
        <f t="shared" si="451"/>
        <v>0</v>
      </c>
      <c r="AM1370" s="55" t="s">
        <v>1912</v>
      </c>
      <c r="AN1370" s="55">
        <v>0</v>
      </c>
      <c r="AO1370" s="55">
        <v>0</v>
      </c>
      <c r="AP1370" s="55">
        <f t="shared" si="444"/>
        <v>0</v>
      </c>
      <c r="AQ1370" s="55">
        <f>IFERROR(VLOOKUP(A1370,[1]SIIMPLES!$A$2:$F$418,6,FALSE),0)</f>
        <v>0</v>
      </c>
      <c r="AR1370" s="55">
        <v>0</v>
      </c>
      <c r="AS1370" s="55">
        <v>0</v>
      </c>
      <c r="AT1370" s="55">
        <v>0</v>
      </c>
      <c r="AU1370" s="55">
        <v>0</v>
      </c>
      <c r="AV1370" s="55">
        <v>0</v>
      </c>
      <c r="AW1370" s="55"/>
      <c r="AX1370" s="55"/>
      <c r="AY1370" s="56">
        <f t="shared" si="450"/>
        <v>0</v>
      </c>
      <c r="AZ1370" s="55"/>
      <c r="BA1370" s="56">
        <v>0</v>
      </c>
    </row>
    <row r="1371" spans="1:55" ht="12.75" customHeight="1" x14ac:dyDescent="0.2">
      <c r="A1371" s="51" t="s">
        <v>174</v>
      </c>
      <c r="B1371" s="51"/>
      <c r="C1371" s="66" t="s">
        <v>1803</v>
      </c>
      <c r="D1371" s="52" t="s">
        <v>763</v>
      </c>
      <c r="E1371" s="52" t="s">
        <v>764</v>
      </c>
      <c r="F1371" s="53">
        <f>IFERROR(VLOOKUP(E1371,Fornecedores!$A$2:$B$2700,2,FALSE),"")</f>
        <v>10</v>
      </c>
      <c r="G1371" s="52" t="s">
        <v>175</v>
      </c>
      <c r="H1371" s="54"/>
      <c r="I1371" s="55">
        <f t="shared" si="452"/>
        <v>0</v>
      </c>
      <c r="J1371" s="55">
        <v>0</v>
      </c>
      <c r="K1371" s="55">
        <v>0</v>
      </c>
      <c r="L1371" s="55">
        <v>0</v>
      </c>
      <c r="M1371" s="55">
        <v>0</v>
      </c>
      <c r="N1371" s="55">
        <f t="shared" si="453"/>
        <v>0</v>
      </c>
      <c r="O1371" s="55">
        <v>0</v>
      </c>
      <c r="P1371" s="55">
        <v>0</v>
      </c>
      <c r="Q1371" s="55">
        <v>0</v>
      </c>
      <c r="R1371" s="55">
        <f t="shared" si="454"/>
        <v>0</v>
      </c>
      <c r="S1371" s="55">
        <v>0</v>
      </c>
      <c r="T1371" s="55">
        <v>0</v>
      </c>
      <c r="U1371" s="55">
        <v>0</v>
      </c>
      <c r="V1371" s="55">
        <v>0</v>
      </c>
      <c r="W1371" s="53">
        <v>0</v>
      </c>
      <c r="X1371" s="53">
        <v>0</v>
      </c>
      <c r="Y1371" s="55">
        <v>0</v>
      </c>
      <c r="Z1371" s="55">
        <v>0</v>
      </c>
      <c r="AA1371" s="53">
        <v>0</v>
      </c>
      <c r="AB1371" s="53">
        <v>0</v>
      </c>
      <c r="AC1371" s="55">
        <v>0</v>
      </c>
      <c r="AD1371" s="55">
        <f t="shared" si="455"/>
        <v>0</v>
      </c>
      <c r="AE1371" s="53">
        <v>0</v>
      </c>
      <c r="AF1371" s="55">
        <v>0</v>
      </c>
      <c r="AG1371" s="55">
        <v>0</v>
      </c>
      <c r="AH1371" s="55">
        <f t="shared" ref="AH1371:AH1384" si="456">SUM(AI1371:AK1371)</f>
        <v>0</v>
      </c>
      <c r="AI1371" s="55">
        <v>0</v>
      </c>
      <c r="AJ1371" s="55">
        <v>0</v>
      </c>
      <c r="AK1371" s="55">
        <v>0</v>
      </c>
      <c r="AL1371" s="55">
        <f t="shared" si="451"/>
        <v>0</v>
      </c>
      <c r="AM1371" s="55" t="s">
        <v>1912</v>
      </c>
      <c r="AN1371" s="55">
        <v>0</v>
      </c>
      <c r="AO1371" s="55">
        <v>0</v>
      </c>
      <c r="AP1371" s="55">
        <f t="shared" si="444"/>
        <v>0</v>
      </c>
      <c r="AQ1371" s="55">
        <f>IFERROR(VLOOKUP(A1371,[1]SIIMPLES!$A$2:$F$418,6,FALSE),0)</f>
        <v>0</v>
      </c>
      <c r="AR1371" s="55">
        <v>0</v>
      </c>
      <c r="AS1371" s="55">
        <v>0</v>
      </c>
      <c r="AT1371" s="55">
        <v>0</v>
      </c>
      <c r="AU1371" s="55">
        <v>0</v>
      </c>
      <c r="AV1371" s="55">
        <v>0</v>
      </c>
      <c r="AW1371" s="55"/>
      <c r="AX1371" s="55"/>
      <c r="AY1371" s="56">
        <f t="shared" ref="AY1371:AY1384" si="457">IFERROR(AVERAGE(I1371,N1371,R1371,V1371,Z1371,AD1371,AH1371,AL1371,AP1371,AS1371,AW1371,AX1371),"-")</f>
        <v>0</v>
      </c>
      <c r="AZ1371" s="55"/>
      <c r="BA1371" s="56">
        <v>0</v>
      </c>
    </row>
    <row r="1372" spans="1:55" ht="12.75" customHeight="1" x14ac:dyDescent="0.2">
      <c r="A1372" s="51" t="s">
        <v>1124</v>
      </c>
      <c r="B1372" s="51"/>
      <c r="C1372" s="66" t="s">
        <v>1803</v>
      </c>
      <c r="D1372" s="52" t="s">
        <v>1220</v>
      </c>
      <c r="E1372" s="52" t="s">
        <v>1221</v>
      </c>
      <c r="F1372" s="53">
        <f>IFERROR(VLOOKUP(E1372,Fornecedores!$A$2:$B$2700,2,FALSE),"")</f>
        <v>22</v>
      </c>
      <c r="G1372" s="52" t="s">
        <v>1167</v>
      </c>
      <c r="H1372" s="54"/>
      <c r="I1372" s="55">
        <f t="shared" si="452"/>
        <v>0</v>
      </c>
      <c r="J1372" s="55">
        <v>0</v>
      </c>
      <c r="K1372" s="55">
        <v>0</v>
      </c>
      <c r="L1372" s="55">
        <v>0</v>
      </c>
      <c r="M1372" s="55">
        <v>0</v>
      </c>
      <c r="N1372" s="55">
        <f t="shared" si="453"/>
        <v>0</v>
      </c>
      <c r="O1372" s="55">
        <v>0</v>
      </c>
      <c r="P1372" s="55">
        <v>0</v>
      </c>
      <c r="Q1372" s="55">
        <v>0</v>
      </c>
      <c r="R1372" s="55">
        <f t="shared" si="454"/>
        <v>0</v>
      </c>
      <c r="S1372" s="55">
        <v>0</v>
      </c>
      <c r="T1372" s="55">
        <v>0</v>
      </c>
      <c r="U1372" s="55">
        <v>0</v>
      </c>
      <c r="V1372" s="55">
        <v>0</v>
      </c>
      <c r="W1372" s="53">
        <v>0</v>
      </c>
      <c r="X1372" s="53">
        <v>0</v>
      </c>
      <c r="Y1372" s="55">
        <v>0</v>
      </c>
      <c r="Z1372" s="55">
        <v>0</v>
      </c>
      <c r="AA1372" s="53">
        <v>0</v>
      </c>
      <c r="AB1372" s="53">
        <v>0</v>
      </c>
      <c r="AC1372" s="55">
        <v>0</v>
      </c>
      <c r="AD1372" s="55">
        <f t="shared" si="455"/>
        <v>0</v>
      </c>
      <c r="AE1372" s="53">
        <v>0</v>
      </c>
      <c r="AF1372" s="55">
        <v>0</v>
      </c>
      <c r="AG1372" s="55">
        <v>0</v>
      </c>
      <c r="AH1372" s="55">
        <f t="shared" si="456"/>
        <v>0</v>
      </c>
      <c r="AI1372" s="55">
        <v>0</v>
      </c>
      <c r="AJ1372" s="55">
        <v>0</v>
      </c>
      <c r="AK1372" s="55">
        <v>0</v>
      </c>
      <c r="AL1372" s="55">
        <f t="shared" si="451"/>
        <v>0</v>
      </c>
      <c r="AM1372" s="55" t="s">
        <v>1912</v>
      </c>
      <c r="AN1372" s="55">
        <v>0</v>
      </c>
      <c r="AO1372" s="55">
        <v>0</v>
      </c>
      <c r="AP1372" s="55">
        <f t="shared" si="444"/>
        <v>0</v>
      </c>
      <c r="AQ1372" s="55">
        <f>IFERROR(VLOOKUP(A1372,[1]SIIMPLES!$A$2:$F$418,6,FALSE),0)</f>
        <v>0</v>
      </c>
      <c r="AR1372" s="55">
        <v>0</v>
      </c>
      <c r="AS1372" s="55">
        <v>0</v>
      </c>
      <c r="AT1372" s="55">
        <v>0</v>
      </c>
      <c r="AU1372" s="55">
        <v>0</v>
      </c>
      <c r="AV1372" s="55">
        <v>0</v>
      </c>
      <c r="AW1372" s="55"/>
      <c r="AX1372" s="55"/>
      <c r="AY1372" s="56">
        <f t="shared" si="457"/>
        <v>0</v>
      </c>
      <c r="AZ1372" s="55"/>
      <c r="BA1372" s="56">
        <v>0</v>
      </c>
    </row>
    <row r="1373" spans="1:55" ht="12.75" customHeight="1" x14ac:dyDescent="0.2">
      <c r="A1373" s="51" t="s">
        <v>1125</v>
      </c>
      <c r="B1373" s="51"/>
      <c r="C1373" s="66" t="s">
        <v>1803</v>
      </c>
      <c r="D1373" s="52" t="s">
        <v>1220</v>
      </c>
      <c r="E1373" s="52" t="s">
        <v>1221</v>
      </c>
      <c r="F1373" s="53">
        <f>IFERROR(VLOOKUP(E1373,Fornecedores!$A$2:$B$2700,2,FALSE),"")</f>
        <v>22</v>
      </c>
      <c r="G1373" s="52" t="s">
        <v>1168</v>
      </c>
      <c r="H1373" s="54"/>
      <c r="I1373" s="55">
        <f t="shared" si="452"/>
        <v>0</v>
      </c>
      <c r="J1373" s="55">
        <v>0</v>
      </c>
      <c r="K1373" s="55">
        <v>0</v>
      </c>
      <c r="L1373" s="55">
        <v>0</v>
      </c>
      <c r="M1373" s="55">
        <v>0</v>
      </c>
      <c r="N1373" s="55">
        <f t="shared" si="453"/>
        <v>0</v>
      </c>
      <c r="O1373" s="55">
        <v>0</v>
      </c>
      <c r="P1373" s="55">
        <v>0</v>
      </c>
      <c r="Q1373" s="55">
        <v>0</v>
      </c>
      <c r="R1373" s="55">
        <f t="shared" si="454"/>
        <v>0</v>
      </c>
      <c r="S1373" s="55">
        <v>0</v>
      </c>
      <c r="T1373" s="55">
        <v>0</v>
      </c>
      <c r="U1373" s="55">
        <v>0</v>
      </c>
      <c r="V1373" s="55">
        <v>0</v>
      </c>
      <c r="W1373" s="53">
        <v>0</v>
      </c>
      <c r="X1373" s="53">
        <v>0</v>
      </c>
      <c r="Y1373" s="55">
        <v>0</v>
      </c>
      <c r="Z1373" s="55">
        <v>0</v>
      </c>
      <c r="AA1373" s="53">
        <v>0</v>
      </c>
      <c r="AB1373" s="53">
        <v>0</v>
      </c>
      <c r="AC1373" s="55">
        <v>0</v>
      </c>
      <c r="AD1373" s="55">
        <f t="shared" si="455"/>
        <v>0</v>
      </c>
      <c r="AE1373" s="53">
        <v>0</v>
      </c>
      <c r="AF1373" s="55">
        <v>0</v>
      </c>
      <c r="AG1373" s="55">
        <v>0</v>
      </c>
      <c r="AH1373" s="55">
        <f t="shared" si="456"/>
        <v>0</v>
      </c>
      <c r="AI1373" s="55">
        <v>0</v>
      </c>
      <c r="AJ1373" s="55">
        <v>0</v>
      </c>
      <c r="AK1373" s="55">
        <v>0</v>
      </c>
      <c r="AL1373" s="55">
        <f t="shared" si="451"/>
        <v>0</v>
      </c>
      <c r="AM1373" s="55" t="s">
        <v>1912</v>
      </c>
      <c r="AN1373" s="55">
        <v>0</v>
      </c>
      <c r="AO1373" s="55">
        <v>0</v>
      </c>
      <c r="AP1373" s="55">
        <f t="shared" si="444"/>
        <v>0</v>
      </c>
      <c r="AQ1373" s="55">
        <f>IFERROR(VLOOKUP(A1373,[1]SIIMPLES!$A$2:$F$418,6,FALSE),0)</f>
        <v>0</v>
      </c>
      <c r="AR1373" s="55">
        <v>0</v>
      </c>
      <c r="AS1373" s="55">
        <v>0</v>
      </c>
      <c r="AT1373" s="55">
        <v>0</v>
      </c>
      <c r="AU1373" s="55">
        <v>0</v>
      </c>
      <c r="AV1373" s="55">
        <v>0</v>
      </c>
      <c r="AW1373" s="55"/>
      <c r="AX1373" s="55"/>
      <c r="AY1373" s="56">
        <f t="shared" si="457"/>
        <v>0</v>
      </c>
      <c r="AZ1373" s="55"/>
      <c r="BA1373" s="56">
        <v>1.6666666666666667</v>
      </c>
    </row>
    <row r="1374" spans="1:55" ht="12.75" customHeight="1" x14ac:dyDescent="0.2">
      <c r="A1374" s="51" t="s">
        <v>1126</v>
      </c>
      <c r="B1374" s="51"/>
      <c r="C1374" s="66" t="s">
        <v>1803</v>
      </c>
      <c r="D1374" s="52" t="s">
        <v>1220</v>
      </c>
      <c r="E1374" s="52" t="s">
        <v>1221</v>
      </c>
      <c r="F1374" s="53">
        <f>IFERROR(VLOOKUP(E1374,Fornecedores!$A$2:$B$2700,2,FALSE),"")</f>
        <v>22</v>
      </c>
      <c r="G1374" s="52" t="s">
        <v>1169</v>
      </c>
      <c r="H1374" s="54"/>
      <c r="I1374" s="55">
        <f t="shared" si="452"/>
        <v>0</v>
      </c>
      <c r="J1374" s="55">
        <v>0</v>
      </c>
      <c r="K1374" s="55">
        <v>0</v>
      </c>
      <c r="L1374" s="55">
        <v>0</v>
      </c>
      <c r="M1374" s="55">
        <v>0</v>
      </c>
      <c r="N1374" s="55">
        <f t="shared" si="453"/>
        <v>0</v>
      </c>
      <c r="O1374" s="55">
        <v>0</v>
      </c>
      <c r="P1374" s="55">
        <v>0</v>
      </c>
      <c r="Q1374" s="55">
        <v>0</v>
      </c>
      <c r="R1374" s="55">
        <f t="shared" si="454"/>
        <v>0</v>
      </c>
      <c r="S1374" s="55">
        <v>0</v>
      </c>
      <c r="T1374" s="55">
        <v>0</v>
      </c>
      <c r="U1374" s="55">
        <v>0</v>
      </c>
      <c r="V1374" s="55">
        <v>0</v>
      </c>
      <c r="W1374" s="53">
        <v>0</v>
      </c>
      <c r="X1374" s="53">
        <v>0</v>
      </c>
      <c r="Y1374" s="55">
        <v>0</v>
      </c>
      <c r="Z1374" s="55">
        <v>0</v>
      </c>
      <c r="AA1374" s="53">
        <v>0</v>
      </c>
      <c r="AB1374" s="53">
        <v>0</v>
      </c>
      <c r="AC1374" s="55">
        <v>0</v>
      </c>
      <c r="AD1374" s="55">
        <f t="shared" si="455"/>
        <v>0</v>
      </c>
      <c r="AE1374" s="53">
        <v>0</v>
      </c>
      <c r="AF1374" s="55">
        <v>0</v>
      </c>
      <c r="AG1374" s="55">
        <v>0</v>
      </c>
      <c r="AH1374" s="55">
        <f t="shared" si="456"/>
        <v>0</v>
      </c>
      <c r="AI1374" s="55">
        <v>0</v>
      </c>
      <c r="AJ1374" s="55">
        <v>0</v>
      </c>
      <c r="AK1374" s="55">
        <v>0</v>
      </c>
      <c r="AL1374" s="55">
        <f t="shared" si="451"/>
        <v>0</v>
      </c>
      <c r="AM1374" s="55" t="s">
        <v>1912</v>
      </c>
      <c r="AN1374" s="55">
        <v>0</v>
      </c>
      <c r="AO1374" s="55">
        <v>0</v>
      </c>
      <c r="AP1374" s="55">
        <f t="shared" si="444"/>
        <v>0</v>
      </c>
      <c r="AQ1374" s="55">
        <f>IFERROR(VLOOKUP(A1374,[1]SIIMPLES!$A$2:$F$418,6,FALSE),0)</f>
        <v>0</v>
      </c>
      <c r="AR1374" s="55">
        <v>0</v>
      </c>
      <c r="AS1374" s="55">
        <v>0</v>
      </c>
      <c r="AT1374" s="55">
        <v>0</v>
      </c>
      <c r="AU1374" s="55">
        <v>0</v>
      </c>
      <c r="AV1374" s="55">
        <v>0</v>
      </c>
      <c r="AW1374" s="55"/>
      <c r="AX1374" s="55"/>
      <c r="AY1374" s="56">
        <f t="shared" si="457"/>
        <v>0</v>
      </c>
      <c r="AZ1374" s="55"/>
      <c r="BA1374" s="56">
        <v>1.3333333333333333</v>
      </c>
    </row>
    <row r="1375" spans="1:55" ht="12.75" customHeight="1" x14ac:dyDescent="0.2">
      <c r="A1375" s="51" t="s">
        <v>1127</v>
      </c>
      <c r="B1375" s="51"/>
      <c r="C1375" s="66" t="s">
        <v>1803</v>
      </c>
      <c r="D1375" s="52" t="s">
        <v>1220</v>
      </c>
      <c r="E1375" s="52" t="s">
        <v>1221</v>
      </c>
      <c r="F1375" s="53">
        <f>IFERROR(VLOOKUP(E1375,Fornecedores!$A$2:$B$2700,2,FALSE),"")</f>
        <v>22</v>
      </c>
      <c r="G1375" s="52" t="s">
        <v>1170</v>
      </c>
      <c r="H1375" s="54"/>
      <c r="I1375" s="55">
        <f t="shared" si="452"/>
        <v>0</v>
      </c>
      <c r="J1375" s="55">
        <v>0</v>
      </c>
      <c r="K1375" s="55">
        <v>0</v>
      </c>
      <c r="L1375" s="55">
        <v>0</v>
      </c>
      <c r="M1375" s="55">
        <v>0</v>
      </c>
      <c r="N1375" s="55">
        <f t="shared" si="453"/>
        <v>0</v>
      </c>
      <c r="O1375" s="55">
        <v>0</v>
      </c>
      <c r="P1375" s="55">
        <v>0</v>
      </c>
      <c r="Q1375" s="55">
        <v>0</v>
      </c>
      <c r="R1375" s="55">
        <f t="shared" si="454"/>
        <v>0</v>
      </c>
      <c r="S1375" s="55">
        <v>0</v>
      </c>
      <c r="T1375" s="55">
        <v>0</v>
      </c>
      <c r="U1375" s="55">
        <v>0</v>
      </c>
      <c r="V1375" s="55">
        <v>0</v>
      </c>
      <c r="W1375" s="53">
        <v>0</v>
      </c>
      <c r="X1375" s="53">
        <v>0</v>
      </c>
      <c r="Y1375" s="55">
        <v>0</v>
      </c>
      <c r="Z1375" s="55">
        <v>0</v>
      </c>
      <c r="AA1375" s="53">
        <v>0</v>
      </c>
      <c r="AB1375" s="53">
        <v>0</v>
      </c>
      <c r="AC1375" s="55">
        <v>0</v>
      </c>
      <c r="AD1375" s="55">
        <f t="shared" si="455"/>
        <v>0</v>
      </c>
      <c r="AE1375" s="53">
        <v>0</v>
      </c>
      <c r="AF1375" s="55">
        <v>0</v>
      </c>
      <c r="AG1375" s="55">
        <v>0</v>
      </c>
      <c r="AH1375" s="55">
        <f t="shared" si="456"/>
        <v>0</v>
      </c>
      <c r="AI1375" s="55">
        <v>0</v>
      </c>
      <c r="AJ1375" s="55">
        <v>0</v>
      </c>
      <c r="AK1375" s="55">
        <v>0</v>
      </c>
      <c r="AL1375" s="55">
        <f t="shared" si="451"/>
        <v>0</v>
      </c>
      <c r="AM1375" s="55" t="s">
        <v>1912</v>
      </c>
      <c r="AN1375" s="55">
        <v>0</v>
      </c>
      <c r="AO1375" s="55">
        <v>0</v>
      </c>
      <c r="AP1375" s="55">
        <f t="shared" si="444"/>
        <v>0</v>
      </c>
      <c r="AQ1375" s="55">
        <f>IFERROR(VLOOKUP(A1375,[1]SIIMPLES!$A$2:$F$418,6,FALSE),0)</f>
        <v>0</v>
      </c>
      <c r="AR1375" s="55">
        <v>0</v>
      </c>
      <c r="AS1375" s="55">
        <v>0</v>
      </c>
      <c r="AT1375" s="55">
        <v>0</v>
      </c>
      <c r="AU1375" s="55">
        <v>0</v>
      </c>
      <c r="AV1375" s="55">
        <v>0</v>
      </c>
      <c r="AW1375" s="55"/>
      <c r="AX1375" s="55"/>
      <c r="AY1375" s="56">
        <f t="shared" si="457"/>
        <v>0</v>
      </c>
      <c r="AZ1375" s="55"/>
      <c r="BA1375" s="56">
        <v>0</v>
      </c>
    </row>
    <row r="1376" spans="1:55" ht="12.75" customHeight="1" x14ac:dyDescent="0.2">
      <c r="A1376" s="51" t="s">
        <v>1128</v>
      </c>
      <c r="B1376" s="51"/>
      <c r="C1376" s="66" t="s">
        <v>1803</v>
      </c>
      <c r="D1376" s="52" t="s">
        <v>1220</v>
      </c>
      <c r="E1376" s="52" t="s">
        <v>1221</v>
      </c>
      <c r="F1376" s="53">
        <f>IFERROR(VLOOKUP(E1376,Fornecedores!$A$2:$B$2700,2,FALSE),"")</f>
        <v>22</v>
      </c>
      <c r="G1376" s="52" t="s">
        <v>1171</v>
      </c>
      <c r="H1376" s="54"/>
      <c r="I1376" s="55">
        <f t="shared" si="452"/>
        <v>0</v>
      </c>
      <c r="J1376" s="55">
        <v>0</v>
      </c>
      <c r="K1376" s="55">
        <v>0</v>
      </c>
      <c r="L1376" s="55">
        <v>0</v>
      </c>
      <c r="M1376" s="55">
        <v>0</v>
      </c>
      <c r="N1376" s="55">
        <f t="shared" si="453"/>
        <v>0</v>
      </c>
      <c r="O1376" s="55">
        <v>0</v>
      </c>
      <c r="P1376" s="55">
        <v>0</v>
      </c>
      <c r="Q1376" s="55">
        <v>0</v>
      </c>
      <c r="R1376" s="55">
        <f t="shared" si="454"/>
        <v>0</v>
      </c>
      <c r="S1376" s="55">
        <v>0</v>
      </c>
      <c r="T1376" s="55">
        <v>0</v>
      </c>
      <c r="U1376" s="55">
        <v>0</v>
      </c>
      <c r="V1376" s="55">
        <v>0</v>
      </c>
      <c r="W1376" s="53">
        <v>0</v>
      </c>
      <c r="X1376" s="53">
        <v>0</v>
      </c>
      <c r="Y1376" s="55">
        <v>0</v>
      </c>
      <c r="Z1376" s="55">
        <v>0</v>
      </c>
      <c r="AA1376" s="53">
        <v>0</v>
      </c>
      <c r="AB1376" s="53">
        <v>0</v>
      </c>
      <c r="AC1376" s="55">
        <v>0</v>
      </c>
      <c r="AD1376" s="55">
        <f t="shared" si="455"/>
        <v>0</v>
      </c>
      <c r="AE1376" s="53">
        <v>0</v>
      </c>
      <c r="AF1376" s="55">
        <v>0</v>
      </c>
      <c r="AG1376" s="55">
        <v>0</v>
      </c>
      <c r="AH1376" s="55">
        <f t="shared" si="456"/>
        <v>0</v>
      </c>
      <c r="AI1376" s="55">
        <v>0</v>
      </c>
      <c r="AJ1376" s="55">
        <v>0</v>
      </c>
      <c r="AK1376" s="55">
        <v>0</v>
      </c>
      <c r="AL1376" s="55">
        <f t="shared" si="451"/>
        <v>0</v>
      </c>
      <c r="AM1376" s="55" t="s">
        <v>1912</v>
      </c>
      <c r="AN1376" s="55">
        <v>0</v>
      </c>
      <c r="AO1376" s="55">
        <v>0</v>
      </c>
      <c r="AP1376" s="55">
        <f t="shared" si="444"/>
        <v>0</v>
      </c>
      <c r="AQ1376" s="55">
        <f>IFERROR(VLOOKUP(A1376,[1]SIIMPLES!$A$2:$F$418,6,FALSE),0)</f>
        <v>0</v>
      </c>
      <c r="AR1376" s="55">
        <v>0</v>
      </c>
      <c r="AS1376" s="55">
        <v>0</v>
      </c>
      <c r="AT1376" s="55">
        <v>0</v>
      </c>
      <c r="AU1376" s="55">
        <v>0</v>
      </c>
      <c r="AV1376" s="55">
        <v>0</v>
      </c>
      <c r="AW1376" s="55"/>
      <c r="AX1376" s="55"/>
      <c r="AY1376" s="56">
        <f t="shared" si="457"/>
        <v>0</v>
      </c>
      <c r="AZ1376" s="55"/>
      <c r="BA1376" s="56">
        <v>0</v>
      </c>
    </row>
    <row r="1377" spans="1:53" ht="12.75" customHeight="1" x14ac:dyDescent="0.2">
      <c r="A1377" s="51" t="s">
        <v>1129</v>
      </c>
      <c r="B1377" s="51"/>
      <c r="C1377" s="66" t="s">
        <v>1803</v>
      </c>
      <c r="D1377" s="52" t="s">
        <v>1220</v>
      </c>
      <c r="E1377" s="52" t="s">
        <v>1221</v>
      </c>
      <c r="F1377" s="53">
        <f>IFERROR(VLOOKUP(E1377,Fornecedores!$A$2:$B$2700,2,FALSE),"")</f>
        <v>22</v>
      </c>
      <c r="G1377" s="52" t="s">
        <v>1172</v>
      </c>
      <c r="H1377" s="54"/>
      <c r="I1377" s="55">
        <f t="shared" si="452"/>
        <v>0</v>
      </c>
      <c r="J1377" s="55">
        <v>0</v>
      </c>
      <c r="K1377" s="55">
        <v>0</v>
      </c>
      <c r="L1377" s="55">
        <v>0</v>
      </c>
      <c r="M1377" s="55">
        <v>0</v>
      </c>
      <c r="N1377" s="55">
        <f t="shared" si="453"/>
        <v>0</v>
      </c>
      <c r="O1377" s="55">
        <v>0</v>
      </c>
      <c r="P1377" s="55">
        <v>0</v>
      </c>
      <c r="Q1377" s="55">
        <v>0</v>
      </c>
      <c r="R1377" s="55">
        <f t="shared" si="454"/>
        <v>0</v>
      </c>
      <c r="S1377" s="55">
        <v>0</v>
      </c>
      <c r="T1377" s="55">
        <v>0</v>
      </c>
      <c r="U1377" s="55">
        <v>0</v>
      </c>
      <c r="V1377" s="55">
        <v>0</v>
      </c>
      <c r="W1377" s="53">
        <v>0</v>
      </c>
      <c r="X1377" s="53">
        <v>0</v>
      </c>
      <c r="Y1377" s="55">
        <v>0</v>
      </c>
      <c r="Z1377" s="55">
        <v>0</v>
      </c>
      <c r="AA1377" s="53">
        <v>0</v>
      </c>
      <c r="AB1377" s="53">
        <v>0</v>
      </c>
      <c r="AC1377" s="55">
        <v>0</v>
      </c>
      <c r="AD1377" s="55">
        <f t="shared" si="455"/>
        <v>0</v>
      </c>
      <c r="AE1377" s="53">
        <v>0</v>
      </c>
      <c r="AF1377" s="55">
        <v>0</v>
      </c>
      <c r="AG1377" s="55">
        <v>0</v>
      </c>
      <c r="AH1377" s="55">
        <f t="shared" si="456"/>
        <v>0</v>
      </c>
      <c r="AI1377" s="55">
        <v>0</v>
      </c>
      <c r="AJ1377" s="55">
        <v>0</v>
      </c>
      <c r="AK1377" s="55">
        <v>0</v>
      </c>
      <c r="AL1377" s="55">
        <f t="shared" si="451"/>
        <v>0</v>
      </c>
      <c r="AM1377" s="55" t="s">
        <v>1912</v>
      </c>
      <c r="AN1377" s="55">
        <v>0</v>
      </c>
      <c r="AO1377" s="55">
        <v>0</v>
      </c>
      <c r="AP1377" s="55">
        <f t="shared" si="444"/>
        <v>0</v>
      </c>
      <c r="AQ1377" s="55">
        <f>IFERROR(VLOOKUP(A1377,[1]SIIMPLES!$A$2:$F$418,6,FALSE),0)</f>
        <v>0</v>
      </c>
      <c r="AR1377" s="55">
        <v>0</v>
      </c>
      <c r="AS1377" s="55">
        <v>0</v>
      </c>
      <c r="AT1377" s="55">
        <v>0</v>
      </c>
      <c r="AU1377" s="55">
        <v>0</v>
      </c>
      <c r="AV1377" s="55">
        <v>0</v>
      </c>
      <c r="AW1377" s="55"/>
      <c r="AX1377" s="55"/>
      <c r="AY1377" s="56">
        <f t="shared" si="457"/>
        <v>0</v>
      </c>
      <c r="AZ1377" s="55"/>
      <c r="BA1377" s="56">
        <v>0</v>
      </c>
    </row>
    <row r="1378" spans="1:53" ht="12.75" customHeight="1" x14ac:dyDescent="0.2">
      <c r="A1378" s="51" t="s">
        <v>1130</v>
      </c>
      <c r="B1378" s="51"/>
      <c r="C1378" s="66" t="s">
        <v>1803</v>
      </c>
      <c r="D1378" s="52" t="s">
        <v>1220</v>
      </c>
      <c r="E1378" s="52" t="s">
        <v>1221</v>
      </c>
      <c r="F1378" s="53">
        <f>IFERROR(VLOOKUP(E1378,Fornecedores!$A$2:$B$2700,2,FALSE),"")</f>
        <v>22</v>
      </c>
      <c r="G1378" s="52" t="s">
        <v>1173</v>
      </c>
      <c r="H1378" s="54"/>
      <c r="I1378" s="55">
        <f t="shared" si="452"/>
        <v>0</v>
      </c>
      <c r="J1378" s="55">
        <v>0</v>
      </c>
      <c r="K1378" s="55">
        <v>0</v>
      </c>
      <c r="L1378" s="55">
        <v>0</v>
      </c>
      <c r="M1378" s="55">
        <v>0</v>
      </c>
      <c r="N1378" s="55">
        <f t="shared" si="453"/>
        <v>0</v>
      </c>
      <c r="O1378" s="55">
        <v>0</v>
      </c>
      <c r="P1378" s="55">
        <v>0</v>
      </c>
      <c r="Q1378" s="55">
        <v>0</v>
      </c>
      <c r="R1378" s="55">
        <f t="shared" si="454"/>
        <v>0</v>
      </c>
      <c r="S1378" s="55">
        <v>0</v>
      </c>
      <c r="T1378" s="55">
        <v>0</v>
      </c>
      <c r="U1378" s="55">
        <v>0</v>
      </c>
      <c r="V1378" s="55">
        <v>0</v>
      </c>
      <c r="W1378" s="53">
        <v>0</v>
      </c>
      <c r="X1378" s="53">
        <v>0</v>
      </c>
      <c r="Y1378" s="55">
        <v>0</v>
      </c>
      <c r="Z1378" s="55">
        <v>0</v>
      </c>
      <c r="AA1378" s="53">
        <v>0</v>
      </c>
      <c r="AB1378" s="53">
        <v>0</v>
      </c>
      <c r="AC1378" s="55">
        <v>0</v>
      </c>
      <c r="AD1378" s="55">
        <f t="shared" si="455"/>
        <v>0</v>
      </c>
      <c r="AE1378" s="53">
        <v>0</v>
      </c>
      <c r="AF1378" s="55">
        <v>0</v>
      </c>
      <c r="AG1378" s="55">
        <v>0</v>
      </c>
      <c r="AH1378" s="55">
        <f t="shared" si="456"/>
        <v>0</v>
      </c>
      <c r="AI1378" s="55">
        <v>0</v>
      </c>
      <c r="AJ1378" s="55">
        <v>0</v>
      </c>
      <c r="AK1378" s="55">
        <v>0</v>
      </c>
      <c r="AL1378" s="55">
        <f t="shared" si="451"/>
        <v>0</v>
      </c>
      <c r="AM1378" s="55" t="s">
        <v>1912</v>
      </c>
      <c r="AN1378" s="55">
        <v>0</v>
      </c>
      <c r="AO1378" s="55">
        <v>0</v>
      </c>
      <c r="AP1378" s="55">
        <f t="shared" si="444"/>
        <v>0</v>
      </c>
      <c r="AQ1378" s="55">
        <f>IFERROR(VLOOKUP(A1378,[1]SIIMPLES!$A$2:$F$418,6,FALSE),0)</f>
        <v>0</v>
      </c>
      <c r="AR1378" s="55">
        <v>0</v>
      </c>
      <c r="AS1378" s="55">
        <v>0</v>
      </c>
      <c r="AT1378" s="55">
        <v>0</v>
      </c>
      <c r="AU1378" s="55">
        <v>0</v>
      </c>
      <c r="AV1378" s="55">
        <v>0</v>
      </c>
      <c r="AW1378" s="55"/>
      <c r="AX1378" s="55"/>
      <c r="AY1378" s="56">
        <f t="shared" si="457"/>
        <v>0</v>
      </c>
      <c r="AZ1378" s="55"/>
      <c r="BA1378" s="56">
        <v>0</v>
      </c>
    </row>
    <row r="1379" spans="1:53" ht="12.75" customHeight="1" x14ac:dyDescent="0.2">
      <c r="A1379" s="51" t="s">
        <v>1131</v>
      </c>
      <c r="B1379" s="51"/>
      <c r="C1379" s="66" t="s">
        <v>1803</v>
      </c>
      <c r="D1379" s="52" t="s">
        <v>1220</v>
      </c>
      <c r="E1379" s="52" t="s">
        <v>1221</v>
      </c>
      <c r="F1379" s="53">
        <f>IFERROR(VLOOKUP(E1379,Fornecedores!$A$2:$B$2700,2,FALSE),"")</f>
        <v>22</v>
      </c>
      <c r="G1379" s="52" t="s">
        <v>1174</v>
      </c>
      <c r="H1379" s="54"/>
      <c r="I1379" s="55">
        <f t="shared" si="452"/>
        <v>2</v>
      </c>
      <c r="J1379" s="55">
        <v>0</v>
      </c>
      <c r="K1379" s="55">
        <v>2</v>
      </c>
      <c r="L1379" s="55">
        <v>0</v>
      </c>
      <c r="M1379" s="55">
        <v>0</v>
      </c>
      <c r="N1379" s="55">
        <f t="shared" si="453"/>
        <v>0</v>
      </c>
      <c r="O1379" s="55">
        <v>0</v>
      </c>
      <c r="P1379" s="55">
        <v>0</v>
      </c>
      <c r="Q1379" s="55">
        <v>0</v>
      </c>
      <c r="R1379" s="55">
        <f t="shared" si="454"/>
        <v>0</v>
      </c>
      <c r="S1379" s="55">
        <v>0</v>
      </c>
      <c r="T1379" s="55">
        <v>0</v>
      </c>
      <c r="U1379" s="55">
        <v>0</v>
      </c>
      <c r="V1379" s="55">
        <v>0</v>
      </c>
      <c r="W1379" s="53">
        <v>0</v>
      </c>
      <c r="X1379" s="53">
        <v>0</v>
      </c>
      <c r="Y1379" s="55">
        <v>0</v>
      </c>
      <c r="Z1379" s="55">
        <v>2</v>
      </c>
      <c r="AA1379" s="53">
        <v>0</v>
      </c>
      <c r="AB1379" s="53">
        <v>2</v>
      </c>
      <c r="AC1379" s="55">
        <v>0</v>
      </c>
      <c r="AD1379" s="55">
        <f t="shared" si="455"/>
        <v>0</v>
      </c>
      <c r="AE1379" s="53">
        <v>0</v>
      </c>
      <c r="AF1379" s="55">
        <v>0</v>
      </c>
      <c r="AG1379" s="55">
        <v>0</v>
      </c>
      <c r="AH1379" s="55">
        <f t="shared" si="456"/>
        <v>0</v>
      </c>
      <c r="AI1379" s="55">
        <v>0</v>
      </c>
      <c r="AJ1379" s="55">
        <v>0</v>
      </c>
      <c r="AK1379" s="55">
        <v>0</v>
      </c>
      <c r="AL1379" s="55">
        <f t="shared" si="451"/>
        <v>0</v>
      </c>
      <c r="AM1379" s="55" t="s">
        <v>1912</v>
      </c>
      <c r="AN1379" s="55">
        <v>0</v>
      </c>
      <c r="AO1379" s="55">
        <v>0</v>
      </c>
      <c r="AP1379" s="55">
        <f t="shared" si="444"/>
        <v>0</v>
      </c>
      <c r="AQ1379" s="55">
        <f>IFERROR(VLOOKUP(A1379,[1]SIIMPLES!$A$2:$F$418,6,FALSE),0)</f>
        <v>0</v>
      </c>
      <c r="AR1379" s="55">
        <v>0</v>
      </c>
      <c r="AS1379" s="55">
        <v>0</v>
      </c>
      <c r="AT1379" s="55">
        <v>0</v>
      </c>
      <c r="AU1379" s="55">
        <v>0</v>
      </c>
      <c r="AV1379" s="55">
        <v>0</v>
      </c>
      <c r="AW1379" s="55"/>
      <c r="AX1379" s="55"/>
      <c r="AY1379" s="56">
        <f t="shared" si="457"/>
        <v>0.4</v>
      </c>
      <c r="AZ1379" s="55"/>
      <c r="BA1379" s="56">
        <v>0.66666666666666663</v>
      </c>
    </row>
    <row r="1380" spans="1:53" ht="12.75" customHeight="1" x14ac:dyDescent="0.2">
      <c r="A1380" s="51" t="s">
        <v>1132</v>
      </c>
      <c r="B1380" s="51"/>
      <c r="C1380" s="66" t="s">
        <v>1803</v>
      </c>
      <c r="D1380" s="52" t="s">
        <v>1220</v>
      </c>
      <c r="E1380" s="52" t="s">
        <v>1221</v>
      </c>
      <c r="F1380" s="53">
        <f>IFERROR(VLOOKUP(E1380,Fornecedores!$A$2:$B$2700,2,FALSE),"")</f>
        <v>22</v>
      </c>
      <c r="G1380" s="52" t="s">
        <v>1175</v>
      </c>
      <c r="H1380" s="54"/>
      <c r="I1380" s="55">
        <f t="shared" si="452"/>
        <v>1</v>
      </c>
      <c r="J1380" s="55">
        <v>1</v>
      </c>
      <c r="K1380" s="55">
        <v>0</v>
      </c>
      <c r="L1380" s="55">
        <v>0</v>
      </c>
      <c r="M1380" s="55">
        <v>0</v>
      </c>
      <c r="N1380" s="55">
        <f t="shared" si="453"/>
        <v>0</v>
      </c>
      <c r="O1380" s="55">
        <v>0</v>
      </c>
      <c r="P1380" s="55">
        <v>0</v>
      </c>
      <c r="Q1380" s="55">
        <v>0</v>
      </c>
      <c r="R1380" s="55">
        <f t="shared" si="454"/>
        <v>0</v>
      </c>
      <c r="S1380" s="55">
        <v>0</v>
      </c>
      <c r="T1380" s="55">
        <v>0</v>
      </c>
      <c r="U1380" s="55">
        <v>0</v>
      </c>
      <c r="V1380" s="55">
        <v>0</v>
      </c>
      <c r="W1380" s="53">
        <v>0</v>
      </c>
      <c r="X1380" s="53">
        <v>0</v>
      </c>
      <c r="Y1380" s="55">
        <v>0</v>
      </c>
      <c r="Z1380" s="55">
        <v>0</v>
      </c>
      <c r="AA1380" s="53">
        <v>0</v>
      </c>
      <c r="AB1380" s="53">
        <v>0</v>
      </c>
      <c r="AC1380" s="55">
        <v>0</v>
      </c>
      <c r="AD1380" s="55">
        <f t="shared" si="455"/>
        <v>6</v>
      </c>
      <c r="AE1380" s="53">
        <v>0</v>
      </c>
      <c r="AF1380" s="55">
        <v>6</v>
      </c>
      <c r="AG1380" s="55">
        <v>0</v>
      </c>
      <c r="AH1380" s="55">
        <f t="shared" si="456"/>
        <v>10</v>
      </c>
      <c r="AI1380" s="55">
        <v>0</v>
      </c>
      <c r="AJ1380" s="55">
        <v>10</v>
      </c>
      <c r="AK1380" s="55">
        <v>0</v>
      </c>
      <c r="AL1380" s="55">
        <f t="shared" si="451"/>
        <v>0</v>
      </c>
      <c r="AM1380" s="55" t="s">
        <v>1912</v>
      </c>
      <c r="AN1380" s="55">
        <v>0</v>
      </c>
      <c r="AO1380" s="55">
        <v>0</v>
      </c>
      <c r="AP1380" s="55">
        <f t="shared" si="444"/>
        <v>0</v>
      </c>
      <c r="AQ1380" s="55">
        <f>IFERROR(VLOOKUP(A1380,[1]SIIMPLES!$A$2:$F$418,6,FALSE),0)</f>
        <v>0</v>
      </c>
      <c r="AR1380" s="55">
        <v>0</v>
      </c>
      <c r="AS1380" s="55">
        <v>0</v>
      </c>
      <c r="AT1380" s="55">
        <v>0</v>
      </c>
      <c r="AU1380" s="55">
        <v>0</v>
      </c>
      <c r="AV1380" s="55">
        <v>0</v>
      </c>
      <c r="AW1380" s="55"/>
      <c r="AX1380" s="55"/>
      <c r="AY1380" s="56">
        <f t="shared" si="457"/>
        <v>1.7</v>
      </c>
      <c r="AZ1380" s="55"/>
      <c r="BA1380" s="56">
        <v>1.3333333333333333</v>
      </c>
    </row>
    <row r="1381" spans="1:53" ht="12.75" customHeight="1" x14ac:dyDescent="0.2">
      <c r="A1381" s="51" t="s">
        <v>1133</v>
      </c>
      <c r="B1381" s="51"/>
      <c r="C1381" s="66" t="s">
        <v>1803</v>
      </c>
      <c r="D1381" s="52" t="s">
        <v>1220</v>
      </c>
      <c r="E1381" s="52" t="s">
        <v>1221</v>
      </c>
      <c r="F1381" s="53">
        <f>IFERROR(VLOOKUP(E1381,Fornecedores!$A$2:$B$2700,2,FALSE),"")</f>
        <v>22</v>
      </c>
      <c r="G1381" s="52" t="s">
        <v>1176</v>
      </c>
      <c r="H1381" s="54"/>
      <c r="I1381" s="55">
        <f t="shared" si="452"/>
        <v>0</v>
      </c>
      <c r="J1381" s="55">
        <v>0</v>
      </c>
      <c r="K1381" s="55">
        <v>0</v>
      </c>
      <c r="L1381" s="55">
        <v>0</v>
      </c>
      <c r="M1381" s="55">
        <v>0</v>
      </c>
      <c r="N1381" s="55">
        <f t="shared" si="453"/>
        <v>0</v>
      </c>
      <c r="O1381" s="55">
        <v>0</v>
      </c>
      <c r="P1381" s="55">
        <v>0</v>
      </c>
      <c r="Q1381" s="55">
        <v>0</v>
      </c>
      <c r="R1381" s="55">
        <f t="shared" si="454"/>
        <v>0</v>
      </c>
      <c r="S1381" s="55">
        <v>0</v>
      </c>
      <c r="T1381" s="55">
        <v>0</v>
      </c>
      <c r="U1381" s="55">
        <v>0</v>
      </c>
      <c r="V1381" s="55">
        <v>0</v>
      </c>
      <c r="W1381" s="53">
        <v>0</v>
      </c>
      <c r="X1381" s="53">
        <v>0</v>
      </c>
      <c r="Y1381" s="55">
        <v>0</v>
      </c>
      <c r="Z1381" s="55">
        <v>6</v>
      </c>
      <c r="AA1381" s="53">
        <v>0</v>
      </c>
      <c r="AB1381" s="53">
        <v>6</v>
      </c>
      <c r="AC1381" s="55">
        <v>0</v>
      </c>
      <c r="AD1381" s="55">
        <f t="shared" si="455"/>
        <v>12</v>
      </c>
      <c r="AE1381" s="53">
        <v>0</v>
      </c>
      <c r="AF1381" s="55">
        <v>12</v>
      </c>
      <c r="AG1381" s="55">
        <v>0</v>
      </c>
      <c r="AH1381" s="55">
        <f t="shared" si="456"/>
        <v>2</v>
      </c>
      <c r="AI1381" s="55">
        <v>0</v>
      </c>
      <c r="AJ1381" s="55">
        <v>2</v>
      </c>
      <c r="AK1381" s="55">
        <v>0</v>
      </c>
      <c r="AL1381" s="55">
        <f t="shared" si="451"/>
        <v>0</v>
      </c>
      <c r="AM1381" s="55" t="s">
        <v>1912</v>
      </c>
      <c r="AN1381" s="55">
        <v>0</v>
      </c>
      <c r="AO1381" s="55">
        <v>0</v>
      </c>
      <c r="AP1381" s="55">
        <f t="shared" si="444"/>
        <v>0</v>
      </c>
      <c r="AQ1381" s="55">
        <f>IFERROR(VLOOKUP(A1381,[1]SIIMPLES!$A$2:$F$418,6,FALSE),0)</f>
        <v>0</v>
      </c>
      <c r="AR1381" s="55">
        <v>0</v>
      </c>
      <c r="AS1381" s="55">
        <v>0</v>
      </c>
      <c r="AT1381" s="55">
        <v>0</v>
      </c>
      <c r="AU1381" s="55">
        <v>0</v>
      </c>
      <c r="AV1381" s="55">
        <v>0</v>
      </c>
      <c r="AW1381" s="55"/>
      <c r="AX1381" s="55"/>
      <c r="AY1381" s="56">
        <f t="shared" si="457"/>
        <v>2</v>
      </c>
      <c r="AZ1381" s="55"/>
      <c r="BA1381" s="56">
        <v>0</v>
      </c>
    </row>
    <row r="1382" spans="1:53" ht="12.75" customHeight="1" x14ac:dyDescent="0.2">
      <c r="A1382" s="51" t="s">
        <v>1134</v>
      </c>
      <c r="B1382" s="51"/>
      <c r="C1382" s="66" t="s">
        <v>1803</v>
      </c>
      <c r="D1382" s="52" t="s">
        <v>1220</v>
      </c>
      <c r="E1382" s="52" t="s">
        <v>1221</v>
      </c>
      <c r="F1382" s="53">
        <f>IFERROR(VLOOKUP(E1382,Fornecedores!$A$2:$B$2700,2,FALSE),"")</f>
        <v>22</v>
      </c>
      <c r="G1382" s="52" t="s">
        <v>1177</v>
      </c>
      <c r="H1382" s="54"/>
      <c r="I1382" s="55">
        <f t="shared" si="452"/>
        <v>0</v>
      </c>
      <c r="J1382" s="55">
        <v>0</v>
      </c>
      <c r="K1382" s="55">
        <v>0</v>
      </c>
      <c r="L1382" s="55">
        <v>0</v>
      </c>
      <c r="M1382" s="55">
        <v>0</v>
      </c>
      <c r="N1382" s="55">
        <f t="shared" si="453"/>
        <v>0</v>
      </c>
      <c r="O1382" s="55">
        <v>0</v>
      </c>
      <c r="P1382" s="55">
        <v>0</v>
      </c>
      <c r="Q1382" s="55">
        <v>0</v>
      </c>
      <c r="R1382" s="55">
        <f t="shared" si="454"/>
        <v>0</v>
      </c>
      <c r="S1382" s="55">
        <v>0</v>
      </c>
      <c r="T1382" s="55">
        <v>0</v>
      </c>
      <c r="U1382" s="55">
        <v>0</v>
      </c>
      <c r="V1382" s="55">
        <v>0</v>
      </c>
      <c r="W1382" s="53">
        <v>0</v>
      </c>
      <c r="X1382" s="53">
        <v>0</v>
      </c>
      <c r="Y1382" s="55">
        <v>0</v>
      </c>
      <c r="Z1382" s="55">
        <v>0</v>
      </c>
      <c r="AA1382" s="53">
        <v>0</v>
      </c>
      <c r="AB1382" s="53">
        <v>0</v>
      </c>
      <c r="AC1382" s="55">
        <v>0</v>
      </c>
      <c r="AD1382" s="55">
        <f t="shared" si="455"/>
        <v>0</v>
      </c>
      <c r="AE1382" s="53">
        <v>0</v>
      </c>
      <c r="AF1382" s="55">
        <v>0</v>
      </c>
      <c r="AG1382" s="55">
        <v>0</v>
      </c>
      <c r="AH1382" s="55">
        <f t="shared" si="456"/>
        <v>0</v>
      </c>
      <c r="AI1382" s="55">
        <v>0</v>
      </c>
      <c r="AJ1382" s="55">
        <v>0</v>
      </c>
      <c r="AK1382" s="55">
        <v>0</v>
      </c>
      <c r="AL1382" s="55">
        <f t="shared" si="451"/>
        <v>0</v>
      </c>
      <c r="AM1382" s="55" t="s">
        <v>1912</v>
      </c>
      <c r="AN1382" s="55">
        <v>0</v>
      </c>
      <c r="AO1382" s="55">
        <v>0</v>
      </c>
      <c r="AP1382" s="55">
        <f t="shared" si="444"/>
        <v>0</v>
      </c>
      <c r="AQ1382" s="55">
        <f>IFERROR(VLOOKUP(A1382,[1]SIIMPLES!$A$2:$F$418,6,FALSE),0)</f>
        <v>0</v>
      </c>
      <c r="AR1382" s="55">
        <v>0</v>
      </c>
      <c r="AS1382" s="55">
        <v>1</v>
      </c>
      <c r="AT1382" s="55">
        <v>1</v>
      </c>
      <c r="AU1382" s="55">
        <v>0</v>
      </c>
      <c r="AV1382" s="55">
        <v>0</v>
      </c>
      <c r="AW1382" s="55"/>
      <c r="AX1382" s="55"/>
      <c r="AY1382" s="56">
        <f t="shared" si="457"/>
        <v>0.1</v>
      </c>
      <c r="AZ1382" s="55"/>
      <c r="BA1382" s="56">
        <v>0</v>
      </c>
    </row>
    <row r="1383" spans="1:53" ht="12.75" customHeight="1" x14ac:dyDescent="0.2">
      <c r="A1383" s="51" t="s">
        <v>1255</v>
      </c>
      <c r="B1383" s="51"/>
      <c r="C1383" s="66" t="s">
        <v>1803</v>
      </c>
      <c r="D1383" s="52" t="s">
        <v>757</v>
      </c>
      <c r="E1383" s="52" t="s">
        <v>1232</v>
      </c>
      <c r="F1383" s="53">
        <f>IFERROR(VLOOKUP(E1383,Fornecedores!$A$2:$B$2700,2,FALSE),"")</f>
        <v>15</v>
      </c>
      <c r="G1383" s="52" t="s">
        <v>1572</v>
      </c>
      <c r="H1383" s="57"/>
      <c r="I1383" s="55">
        <f t="shared" si="452"/>
        <v>4</v>
      </c>
      <c r="J1383" s="55">
        <v>4</v>
      </c>
      <c r="K1383" s="55">
        <v>0</v>
      </c>
      <c r="L1383" s="55">
        <v>0</v>
      </c>
      <c r="M1383" s="55">
        <v>0</v>
      </c>
      <c r="N1383" s="55">
        <f t="shared" si="453"/>
        <v>15</v>
      </c>
      <c r="O1383" s="55">
        <v>15</v>
      </c>
      <c r="P1383" s="55">
        <v>0</v>
      </c>
      <c r="Q1383" s="55">
        <v>0</v>
      </c>
      <c r="R1383" s="55">
        <f t="shared" si="454"/>
        <v>11</v>
      </c>
      <c r="S1383" s="55">
        <v>11</v>
      </c>
      <c r="T1383" s="55">
        <v>0</v>
      </c>
      <c r="U1383" s="55">
        <v>0</v>
      </c>
      <c r="V1383" s="55">
        <v>0</v>
      </c>
      <c r="W1383" s="53">
        <v>0</v>
      </c>
      <c r="X1383" s="53">
        <v>0</v>
      </c>
      <c r="Y1383" s="55">
        <v>0</v>
      </c>
      <c r="Z1383" s="55">
        <v>0</v>
      </c>
      <c r="AA1383" s="53">
        <v>0</v>
      </c>
      <c r="AB1383" s="53">
        <v>0</v>
      </c>
      <c r="AC1383" s="55">
        <v>0</v>
      </c>
      <c r="AD1383" s="55">
        <f t="shared" si="455"/>
        <v>0</v>
      </c>
      <c r="AE1383" s="53">
        <v>0</v>
      </c>
      <c r="AF1383" s="55">
        <v>0</v>
      </c>
      <c r="AG1383" s="55">
        <v>0</v>
      </c>
      <c r="AH1383" s="55">
        <f t="shared" si="456"/>
        <v>2</v>
      </c>
      <c r="AI1383" s="55">
        <v>2</v>
      </c>
      <c r="AJ1383" s="55">
        <v>0</v>
      </c>
      <c r="AK1383" s="55">
        <v>0</v>
      </c>
      <c r="AL1383" s="55">
        <f t="shared" si="451"/>
        <v>1</v>
      </c>
      <c r="AM1383" s="55">
        <v>1</v>
      </c>
      <c r="AN1383" s="55">
        <v>0</v>
      </c>
      <c r="AO1383" s="55">
        <v>0</v>
      </c>
      <c r="AP1383" s="55">
        <f t="shared" si="444"/>
        <v>0</v>
      </c>
      <c r="AQ1383" s="55">
        <f>IFERROR(VLOOKUP(A1383,[1]SIIMPLES!$A$2:$F$418,6,FALSE),0)</f>
        <v>0</v>
      </c>
      <c r="AR1383" s="55">
        <v>0</v>
      </c>
      <c r="AS1383" s="55">
        <v>0</v>
      </c>
      <c r="AT1383" s="55">
        <v>0</v>
      </c>
      <c r="AU1383" s="55">
        <v>0</v>
      </c>
      <c r="AV1383" s="55">
        <v>0</v>
      </c>
      <c r="AW1383" s="55"/>
      <c r="AX1383" s="55"/>
      <c r="AY1383" s="56">
        <f t="shared" si="457"/>
        <v>3.3</v>
      </c>
      <c r="AZ1383" s="55"/>
      <c r="BA1383" s="56">
        <v>1</v>
      </c>
    </row>
    <row r="1384" spans="1:53" ht="12.75" customHeight="1" x14ac:dyDescent="0.2">
      <c r="A1384" s="51" t="s">
        <v>385</v>
      </c>
      <c r="B1384" s="51" t="s">
        <v>1077</v>
      </c>
      <c r="C1384" s="66" t="s">
        <v>1803</v>
      </c>
      <c r="D1384" s="52" t="s">
        <v>760</v>
      </c>
      <c r="E1384" s="52" t="s">
        <v>736</v>
      </c>
      <c r="F1384" s="53">
        <f>IFERROR(VLOOKUP(E1384,Fornecedores!$A$2:$B$2700,2,FALSE),"")</f>
        <v>5</v>
      </c>
      <c r="G1384" s="52" t="s">
        <v>386</v>
      </c>
      <c r="H1384" s="54"/>
      <c r="I1384" s="55">
        <f t="shared" si="452"/>
        <v>3</v>
      </c>
      <c r="J1384" s="55">
        <v>3</v>
      </c>
      <c r="K1384" s="55">
        <v>0</v>
      </c>
      <c r="L1384" s="55">
        <v>0</v>
      </c>
      <c r="M1384" s="55">
        <v>0</v>
      </c>
      <c r="N1384" s="55">
        <f t="shared" si="453"/>
        <v>2</v>
      </c>
      <c r="O1384" s="55">
        <v>2</v>
      </c>
      <c r="P1384" s="55">
        <v>0</v>
      </c>
      <c r="Q1384" s="55">
        <v>0</v>
      </c>
      <c r="R1384" s="55">
        <f t="shared" si="454"/>
        <v>0</v>
      </c>
      <c r="S1384" s="55">
        <v>0</v>
      </c>
      <c r="T1384" s="55">
        <v>0</v>
      </c>
      <c r="U1384" s="55">
        <v>0</v>
      </c>
      <c r="V1384" s="55">
        <v>0</v>
      </c>
      <c r="W1384" s="53">
        <v>0</v>
      </c>
      <c r="X1384" s="53">
        <v>0</v>
      </c>
      <c r="Y1384" s="55">
        <v>0</v>
      </c>
      <c r="Z1384" s="55">
        <v>3</v>
      </c>
      <c r="AA1384" s="53">
        <v>3</v>
      </c>
      <c r="AB1384" s="53">
        <v>0</v>
      </c>
      <c r="AC1384" s="55">
        <v>0</v>
      </c>
      <c r="AD1384" s="55">
        <f t="shared" si="455"/>
        <v>2</v>
      </c>
      <c r="AE1384" s="53">
        <v>2</v>
      </c>
      <c r="AF1384" s="55">
        <v>0</v>
      </c>
      <c r="AG1384" s="55">
        <v>0</v>
      </c>
      <c r="AH1384" s="55">
        <f t="shared" si="456"/>
        <v>3</v>
      </c>
      <c r="AI1384" s="55">
        <v>3</v>
      </c>
      <c r="AJ1384" s="55">
        <v>0</v>
      </c>
      <c r="AK1384" s="55">
        <v>0</v>
      </c>
      <c r="AL1384" s="55">
        <f t="shared" si="451"/>
        <v>0</v>
      </c>
      <c r="AM1384" s="55" t="s">
        <v>1912</v>
      </c>
      <c r="AN1384" s="55">
        <v>0</v>
      </c>
      <c r="AO1384" s="55">
        <v>0</v>
      </c>
      <c r="AP1384" s="55">
        <f t="shared" si="444"/>
        <v>0</v>
      </c>
      <c r="AQ1384" s="55">
        <f>IFERROR(VLOOKUP(A1384,[1]SIIMPLES!$A$2:$F$418,6,FALSE),0)</f>
        <v>0</v>
      </c>
      <c r="AR1384" s="55">
        <v>0</v>
      </c>
      <c r="AS1384" s="55">
        <v>0</v>
      </c>
      <c r="AT1384" s="55">
        <v>0</v>
      </c>
      <c r="AU1384" s="55">
        <v>0</v>
      </c>
      <c r="AV1384" s="55">
        <v>0</v>
      </c>
      <c r="AW1384" s="55"/>
      <c r="AX1384" s="55"/>
      <c r="AY1384" s="56">
        <f t="shared" si="457"/>
        <v>1.3</v>
      </c>
      <c r="AZ1384" s="55"/>
      <c r="BA1384" s="56">
        <v>0.83333333333333337</v>
      </c>
    </row>
    <row r="1385" spans="1:53" ht="12.75" customHeight="1" x14ac:dyDescent="0.2">
      <c r="A1385" s="28" t="s">
        <v>2067</v>
      </c>
      <c r="B1385" s="28"/>
      <c r="C1385" s="28" t="s">
        <v>1803</v>
      </c>
      <c r="D1385" s="83" t="s">
        <v>731</v>
      </c>
      <c r="E1385" s="83" t="s">
        <v>730</v>
      </c>
      <c r="F1385" s="84"/>
      <c r="G1385" s="85" t="s">
        <v>2075</v>
      </c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55">
        <f t="shared" si="451"/>
        <v>1</v>
      </c>
      <c r="AM1385" s="55">
        <v>1</v>
      </c>
      <c r="AN1385" s="55">
        <v>0</v>
      </c>
      <c r="AO1385" s="55">
        <v>0</v>
      </c>
      <c r="AP1385" s="55">
        <f t="shared" si="444"/>
        <v>0</v>
      </c>
      <c r="AQ1385" s="55">
        <f>IFERROR(VLOOKUP(A1385,[1]SIIMPLES!$A$2:$F$418,6,FALSE),0)</f>
        <v>0</v>
      </c>
      <c r="AR1385" s="55">
        <v>0</v>
      </c>
      <c r="AS1385" s="55">
        <v>0</v>
      </c>
      <c r="AT1385" s="55">
        <v>0</v>
      </c>
      <c r="AU1385" s="55">
        <v>0</v>
      </c>
      <c r="AV1385" s="55">
        <v>0</v>
      </c>
      <c r="AW1385" s="7"/>
      <c r="AX1385" s="7"/>
      <c r="AY1385" s="7"/>
      <c r="AZ1385" s="7"/>
      <c r="BA1385" s="7"/>
    </row>
    <row r="1386" spans="1:53" ht="12.75" customHeight="1" x14ac:dyDescent="0.2">
      <c r="A1386" s="51" t="s">
        <v>1096</v>
      </c>
      <c r="B1386" s="51" t="s">
        <v>1077</v>
      </c>
      <c r="C1386" s="66" t="s">
        <v>1803</v>
      </c>
      <c r="D1386" s="65" t="s">
        <v>1243</v>
      </c>
      <c r="E1386" s="52" t="s">
        <v>730</v>
      </c>
      <c r="F1386" s="53">
        <f>IFERROR(VLOOKUP(E1386,Fornecedores!$A$2:$B$2700,2,FALSE),"")</f>
        <v>3</v>
      </c>
      <c r="G1386" s="52" t="s">
        <v>1241</v>
      </c>
      <c r="H1386" s="54"/>
      <c r="I1386" s="55">
        <f>SUM(J1386:M1386)</f>
        <v>1</v>
      </c>
      <c r="J1386" s="55">
        <v>1</v>
      </c>
      <c r="K1386" s="55">
        <v>0</v>
      </c>
      <c r="L1386" s="55">
        <v>0</v>
      </c>
      <c r="M1386" s="55">
        <v>0</v>
      </c>
      <c r="N1386" s="55">
        <f>SUM(O1386:Q1386)</f>
        <v>2</v>
      </c>
      <c r="O1386" s="55">
        <v>2</v>
      </c>
      <c r="P1386" s="55">
        <v>0</v>
      </c>
      <c r="Q1386" s="55">
        <v>0</v>
      </c>
      <c r="R1386" s="55">
        <f>SUM(S1386:U1386)</f>
        <v>1</v>
      </c>
      <c r="S1386" s="55">
        <v>1</v>
      </c>
      <c r="T1386" s="55">
        <v>0</v>
      </c>
      <c r="U1386" s="55">
        <v>0</v>
      </c>
      <c r="V1386" s="55">
        <v>0</v>
      </c>
      <c r="W1386" s="53">
        <v>0</v>
      </c>
      <c r="X1386" s="53">
        <v>0</v>
      </c>
      <c r="Y1386" s="55">
        <v>0</v>
      </c>
      <c r="Z1386" s="55">
        <v>2</v>
      </c>
      <c r="AA1386" s="53">
        <v>2</v>
      </c>
      <c r="AB1386" s="53">
        <v>0</v>
      </c>
      <c r="AC1386" s="55">
        <v>0</v>
      </c>
      <c r="AD1386" s="55">
        <f>SUM(AE1386:AG1386)</f>
        <v>0</v>
      </c>
      <c r="AE1386" s="53">
        <v>0</v>
      </c>
      <c r="AF1386" s="55">
        <v>0</v>
      </c>
      <c r="AG1386" s="55">
        <v>0</v>
      </c>
      <c r="AH1386" s="55">
        <f>SUM(AI1386:AK1386)</f>
        <v>0</v>
      </c>
      <c r="AI1386" s="55">
        <v>0</v>
      </c>
      <c r="AJ1386" s="55">
        <v>0</v>
      </c>
      <c r="AK1386" s="55">
        <v>0</v>
      </c>
      <c r="AL1386" s="55">
        <f t="shared" si="451"/>
        <v>0</v>
      </c>
      <c r="AM1386" s="55" t="s">
        <v>1912</v>
      </c>
      <c r="AN1386" s="55">
        <v>0</v>
      </c>
      <c r="AO1386" s="55">
        <v>0</v>
      </c>
      <c r="AP1386" s="55">
        <f t="shared" si="444"/>
        <v>0</v>
      </c>
      <c r="AQ1386" s="55">
        <f>IFERROR(VLOOKUP(A1386,[1]SIIMPLES!$A$2:$F$418,6,FALSE),0)</f>
        <v>0</v>
      </c>
      <c r="AR1386" s="55">
        <v>0</v>
      </c>
      <c r="AS1386" s="55">
        <v>0</v>
      </c>
      <c r="AT1386" s="55">
        <v>0</v>
      </c>
      <c r="AU1386" s="55">
        <v>0</v>
      </c>
      <c r="AV1386" s="55">
        <v>0</v>
      </c>
      <c r="AW1386" s="55"/>
      <c r="AX1386" s="55"/>
      <c r="AY1386" s="56">
        <f>IFERROR(AVERAGE(I1386,N1386,R1386,V1386,Z1386,AD1386,AH1386,AL1386,AP1386,AS1386,AW1386,AX1386),"-")</f>
        <v>0.6</v>
      </c>
      <c r="AZ1386" s="55"/>
      <c r="BA1386" s="56">
        <v>1.3333333333333333</v>
      </c>
    </row>
    <row r="1387" spans="1:53" ht="12.75" customHeight="1" x14ac:dyDescent="0.2">
      <c r="A1387" s="51" t="s">
        <v>1626</v>
      </c>
      <c r="B1387" s="51"/>
      <c r="C1387" s="66" t="s">
        <v>1803</v>
      </c>
      <c r="D1387" s="65" t="s">
        <v>731</v>
      </c>
      <c r="E1387" s="52" t="s">
        <v>730</v>
      </c>
      <c r="F1387" s="53">
        <f>IFERROR(VLOOKUP(E1387,Fornecedores!$A$2:$B$2700,2,FALSE),"")</f>
        <v>3</v>
      </c>
      <c r="G1387" s="52" t="s">
        <v>1697</v>
      </c>
      <c r="H1387" s="57"/>
      <c r="I1387" s="55">
        <f>SUM(J1387:M1387)</f>
        <v>0</v>
      </c>
      <c r="J1387" s="57"/>
      <c r="K1387" s="57"/>
      <c r="L1387" s="57"/>
      <c r="M1387" s="57"/>
      <c r="N1387" s="55">
        <f>SUM(O1387:Q1387)</f>
        <v>1</v>
      </c>
      <c r="O1387" s="55">
        <v>1</v>
      </c>
      <c r="P1387" s="55">
        <v>0</v>
      </c>
      <c r="Q1387" s="55">
        <v>0</v>
      </c>
      <c r="R1387" s="55">
        <f>SUM(S1387:U1387)</f>
        <v>1</v>
      </c>
      <c r="S1387" s="55">
        <v>1</v>
      </c>
      <c r="T1387" s="55">
        <v>0</v>
      </c>
      <c r="U1387" s="55">
        <v>0</v>
      </c>
      <c r="V1387" s="55">
        <v>2</v>
      </c>
      <c r="W1387" s="53">
        <v>2</v>
      </c>
      <c r="X1387" s="53">
        <v>0</v>
      </c>
      <c r="Y1387" s="55">
        <v>0</v>
      </c>
      <c r="Z1387" s="55">
        <v>0</v>
      </c>
      <c r="AA1387" s="53">
        <v>0</v>
      </c>
      <c r="AB1387" s="53">
        <v>0</v>
      </c>
      <c r="AC1387" s="55">
        <v>0</v>
      </c>
      <c r="AD1387" s="55">
        <f>SUM(AE1387:AG1387)</f>
        <v>0</v>
      </c>
      <c r="AE1387" s="53">
        <v>0</v>
      </c>
      <c r="AF1387" s="55">
        <v>0</v>
      </c>
      <c r="AG1387" s="55">
        <v>0</v>
      </c>
      <c r="AH1387" s="55">
        <f>SUM(AI1387:AK1387)</f>
        <v>1</v>
      </c>
      <c r="AI1387" s="55">
        <v>1</v>
      </c>
      <c r="AJ1387" s="55">
        <v>0</v>
      </c>
      <c r="AK1387" s="55">
        <v>0</v>
      </c>
      <c r="AL1387" s="55">
        <f t="shared" si="451"/>
        <v>0</v>
      </c>
      <c r="AM1387" s="55" t="s">
        <v>1912</v>
      </c>
      <c r="AN1387" s="55">
        <v>0</v>
      </c>
      <c r="AO1387" s="55">
        <v>0</v>
      </c>
      <c r="AP1387" s="55">
        <f t="shared" si="444"/>
        <v>0</v>
      </c>
      <c r="AQ1387" s="55">
        <f>IFERROR(VLOOKUP(A1387,[1]SIIMPLES!$A$2:$F$418,6,FALSE),0)</f>
        <v>0</v>
      </c>
      <c r="AR1387" s="55">
        <v>0</v>
      </c>
      <c r="AS1387" s="55">
        <v>1</v>
      </c>
      <c r="AT1387" s="55">
        <v>1</v>
      </c>
      <c r="AU1387" s="55">
        <v>0</v>
      </c>
      <c r="AV1387" s="55">
        <v>0</v>
      </c>
      <c r="AW1387" s="57"/>
      <c r="AX1387" s="57"/>
      <c r="AY1387" s="56">
        <f>IFERROR(AVERAGE(I1387,N1387,R1387,V1387,Z1387,AD1387,AH1387,AL1387,AP1387,AS1387,AW1387,AX1387),"-")</f>
        <v>0.6</v>
      </c>
      <c r="AZ1387" s="57"/>
      <c r="BA1387" s="56" t="s">
        <v>1912</v>
      </c>
    </row>
    <row r="1388" spans="1:53" ht="12.75" customHeight="1" x14ac:dyDescent="0.2">
      <c r="A1388" s="51" t="s">
        <v>1094</v>
      </c>
      <c r="B1388" s="51" t="s">
        <v>1077</v>
      </c>
      <c r="C1388" s="66" t="s">
        <v>1803</v>
      </c>
      <c r="D1388" s="65" t="s">
        <v>739</v>
      </c>
      <c r="E1388" s="52" t="s">
        <v>730</v>
      </c>
      <c r="F1388" s="53">
        <f>IFERROR(VLOOKUP(E1388,Fornecedores!$A$2:$B$2700,2,FALSE),"")</f>
        <v>3</v>
      </c>
      <c r="G1388" s="52" t="s">
        <v>1240</v>
      </c>
      <c r="H1388" s="54"/>
      <c r="I1388" s="55">
        <f>SUM(J1388:M1388)</f>
        <v>0</v>
      </c>
      <c r="J1388" s="55">
        <v>0</v>
      </c>
      <c r="K1388" s="55">
        <v>0</v>
      </c>
      <c r="L1388" s="55">
        <v>0</v>
      </c>
      <c r="M1388" s="55">
        <v>0</v>
      </c>
      <c r="N1388" s="55">
        <f>SUM(O1388:Q1388)</f>
        <v>1</v>
      </c>
      <c r="O1388" s="55">
        <v>1</v>
      </c>
      <c r="P1388" s="55">
        <v>0</v>
      </c>
      <c r="Q1388" s="55">
        <v>0</v>
      </c>
      <c r="R1388" s="55">
        <f>SUM(S1388:U1388)</f>
        <v>0</v>
      </c>
      <c r="S1388" s="55">
        <v>0</v>
      </c>
      <c r="T1388" s="55">
        <v>0</v>
      </c>
      <c r="U1388" s="55">
        <v>0</v>
      </c>
      <c r="V1388" s="55">
        <v>4</v>
      </c>
      <c r="W1388" s="53">
        <v>4</v>
      </c>
      <c r="X1388" s="53">
        <v>0</v>
      </c>
      <c r="Y1388" s="55">
        <v>0</v>
      </c>
      <c r="Z1388" s="55">
        <v>0</v>
      </c>
      <c r="AA1388" s="53">
        <v>0</v>
      </c>
      <c r="AB1388" s="53">
        <v>0</v>
      </c>
      <c r="AC1388" s="55">
        <v>0</v>
      </c>
      <c r="AD1388" s="55">
        <f>SUM(AE1388:AG1388)</f>
        <v>0</v>
      </c>
      <c r="AE1388" s="53">
        <v>0</v>
      </c>
      <c r="AF1388" s="55">
        <v>0</v>
      </c>
      <c r="AG1388" s="55">
        <v>0</v>
      </c>
      <c r="AH1388" s="55">
        <f>SUM(AI1388:AK1388)</f>
        <v>0</v>
      </c>
      <c r="AI1388" s="55">
        <v>0</v>
      </c>
      <c r="AJ1388" s="55">
        <v>0</v>
      </c>
      <c r="AK1388" s="55">
        <v>0</v>
      </c>
      <c r="AL1388" s="55">
        <f t="shared" si="451"/>
        <v>0</v>
      </c>
      <c r="AM1388" s="55" t="s">
        <v>1912</v>
      </c>
      <c r="AN1388" s="55">
        <v>0</v>
      </c>
      <c r="AO1388" s="55">
        <v>0</v>
      </c>
      <c r="AP1388" s="55">
        <f t="shared" si="444"/>
        <v>0</v>
      </c>
      <c r="AQ1388" s="55">
        <f>IFERROR(VLOOKUP(A1388,[1]SIIMPLES!$A$2:$F$418,6,FALSE),0)</f>
        <v>0</v>
      </c>
      <c r="AR1388" s="55">
        <v>0</v>
      </c>
      <c r="AS1388" s="55">
        <v>0</v>
      </c>
      <c r="AT1388" s="55">
        <v>0</v>
      </c>
      <c r="AU1388" s="55">
        <v>0</v>
      </c>
      <c r="AV1388" s="55">
        <v>0</v>
      </c>
      <c r="AW1388" s="55"/>
      <c r="AX1388" s="55"/>
      <c r="AY1388" s="56">
        <f>IFERROR(AVERAGE(I1388,N1388,R1388,V1388,Z1388,AD1388,AH1388,AL1388,AP1388,AS1388,AW1388,AX1388),"-")</f>
        <v>0.5</v>
      </c>
      <c r="AZ1388" s="55"/>
      <c r="BA1388" s="56">
        <v>0.33333333333333331</v>
      </c>
    </row>
    <row r="1389" spans="1:53" ht="12.75" customHeight="1" x14ac:dyDescent="0.2">
      <c r="A1389" s="51" t="s">
        <v>1091</v>
      </c>
      <c r="B1389" s="51" t="s">
        <v>1077</v>
      </c>
      <c r="C1389" s="66" t="s">
        <v>1803</v>
      </c>
      <c r="D1389" s="65" t="s">
        <v>1242</v>
      </c>
      <c r="E1389" s="52" t="s">
        <v>730</v>
      </c>
      <c r="F1389" s="53">
        <f>IFERROR(VLOOKUP(E1389,Fornecedores!$A$2:$B$2700,2,FALSE),"")</f>
        <v>3</v>
      </c>
      <c r="G1389" s="52" t="s">
        <v>1238</v>
      </c>
      <c r="H1389" s="54"/>
      <c r="I1389" s="55">
        <f>SUM(J1389:M1389)</f>
        <v>2</v>
      </c>
      <c r="J1389" s="55">
        <v>2</v>
      </c>
      <c r="K1389" s="55">
        <v>0</v>
      </c>
      <c r="L1389" s="55">
        <v>0</v>
      </c>
      <c r="M1389" s="55">
        <v>0</v>
      </c>
      <c r="N1389" s="55">
        <f>SUM(O1389:Q1389)</f>
        <v>0</v>
      </c>
      <c r="O1389" s="55">
        <v>0</v>
      </c>
      <c r="P1389" s="55">
        <v>0</v>
      </c>
      <c r="Q1389" s="55">
        <v>0</v>
      </c>
      <c r="R1389" s="55">
        <f>SUM(S1389:U1389)</f>
        <v>0</v>
      </c>
      <c r="S1389" s="55">
        <v>0</v>
      </c>
      <c r="T1389" s="55">
        <v>0</v>
      </c>
      <c r="U1389" s="55">
        <v>0</v>
      </c>
      <c r="V1389" s="55">
        <v>0</v>
      </c>
      <c r="W1389" s="53">
        <v>0</v>
      </c>
      <c r="X1389" s="53">
        <v>0</v>
      </c>
      <c r="Y1389" s="55">
        <v>0</v>
      </c>
      <c r="Z1389" s="55">
        <v>0</v>
      </c>
      <c r="AA1389" s="53">
        <v>0</v>
      </c>
      <c r="AB1389" s="53">
        <v>0</v>
      </c>
      <c r="AC1389" s="55">
        <v>0</v>
      </c>
      <c r="AD1389" s="55">
        <f>SUM(AE1389:AG1389)</f>
        <v>2</v>
      </c>
      <c r="AE1389" s="53">
        <v>2</v>
      </c>
      <c r="AF1389" s="55">
        <v>0</v>
      </c>
      <c r="AG1389" s="55">
        <v>0</v>
      </c>
      <c r="AH1389" s="55">
        <f>SUM(AI1389:AK1389)</f>
        <v>1</v>
      </c>
      <c r="AI1389" s="55">
        <v>1</v>
      </c>
      <c r="AJ1389" s="55">
        <v>0</v>
      </c>
      <c r="AK1389" s="55">
        <v>0</v>
      </c>
      <c r="AL1389" s="55">
        <f t="shared" si="451"/>
        <v>0</v>
      </c>
      <c r="AM1389" s="55" t="s">
        <v>1912</v>
      </c>
      <c r="AN1389" s="55">
        <v>0</v>
      </c>
      <c r="AO1389" s="55">
        <v>0</v>
      </c>
      <c r="AP1389" s="55">
        <f t="shared" si="444"/>
        <v>0</v>
      </c>
      <c r="AQ1389" s="55">
        <f>IFERROR(VLOOKUP(A1389,[1]SIIMPLES!$A$2:$F$418,6,FALSE),0)</f>
        <v>0</v>
      </c>
      <c r="AR1389" s="55">
        <v>0</v>
      </c>
      <c r="AS1389" s="55">
        <v>0</v>
      </c>
      <c r="AT1389" s="55">
        <v>0</v>
      </c>
      <c r="AU1389" s="55">
        <v>0</v>
      </c>
      <c r="AV1389" s="55">
        <v>0</v>
      </c>
      <c r="AW1389" s="55"/>
      <c r="AX1389" s="55"/>
      <c r="AY1389" s="56">
        <f>IFERROR(AVERAGE(I1389,N1389,R1389,V1389,Z1389,AD1389,AH1389,AL1389,AP1389,AS1389,AW1389,AX1389),"-")</f>
        <v>0.5</v>
      </c>
      <c r="AZ1389" s="55"/>
      <c r="BA1389" s="56">
        <v>0</v>
      </c>
    </row>
    <row r="1390" spans="1:53" ht="12.75" customHeight="1" x14ac:dyDescent="0.2">
      <c r="A1390" s="68" t="s">
        <v>1637</v>
      </c>
      <c r="B1390" s="51"/>
      <c r="C1390" s="66" t="s">
        <v>1803</v>
      </c>
      <c r="D1390" s="65" t="s">
        <v>731</v>
      </c>
      <c r="E1390" s="52" t="s">
        <v>730</v>
      </c>
      <c r="F1390" s="53">
        <f>IFERROR(VLOOKUP(E1390,Fornecedores!$A$2:$B$2700,2,FALSE),"")</f>
        <v>3</v>
      </c>
      <c r="G1390" s="52" t="s">
        <v>1757</v>
      </c>
      <c r="H1390" s="57"/>
      <c r="I1390" s="55">
        <f>SUM(J1390:M1390)</f>
        <v>0</v>
      </c>
      <c r="J1390" s="57"/>
      <c r="K1390" s="57"/>
      <c r="L1390" s="57"/>
      <c r="M1390" s="57"/>
      <c r="N1390" s="55">
        <f>SUM(O1390:Q1390)</f>
        <v>0</v>
      </c>
      <c r="O1390" s="57"/>
      <c r="P1390" s="57"/>
      <c r="Q1390" s="57"/>
      <c r="R1390" s="55">
        <f>SUM(S1390:U1390)</f>
        <v>1</v>
      </c>
      <c r="S1390" s="55">
        <v>1</v>
      </c>
      <c r="T1390" s="55">
        <v>0</v>
      </c>
      <c r="U1390" s="57"/>
      <c r="V1390" s="55">
        <v>0</v>
      </c>
      <c r="W1390" s="53">
        <v>0</v>
      </c>
      <c r="X1390" s="53">
        <v>0</v>
      </c>
      <c r="Y1390" s="55">
        <v>0</v>
      </c>
      <c r="Z1390" s="55">
        <v>0</v>
      </c>
      <c r="AA1390" s="53">
        <v>0</v>
      </c>
      <c r="AB1390" s="53">
        <v>0</v>
      </c>
      <c r="AC1390" s="55">
        <v>0</v>
      </c>
      <c r="AD1390" s="55">
        <f>SUM(AE1390:AG1390)</f>
        <v>0</v>
      </c>
      <c r="AE1390" s="53">
        <v>0</v>
      </c>
      <c r="AF1390" s="55">
        <v>0</v>
      </c>
      <c r="AG1390" s="55">
        <v>0</v>
      </c>
      <c r="AH1390" s="55">
        <f>SUM(AI1390:AK1390)</f>
        <v>1</v>
      </c>
      <c r="AI1390" s="55">
        <v>1</v>
      </c>
      <c r="AJ1390" s="55">
        <v>0</v>
      </c>
      <c r="AK1390" s="55">
        <v>0</v>
      </c>
      <c r="AL1390" s="55">
        <f t="shared" si="451"/>
        <v>0</v>
      </c>
      <c r="AM1390" s="55" t="s">
        <v>1912</v>
      </c>
      <c r="AN1390" s="55">
        <v>0</v>
      </c>
      <c r="AO1390" s="55">
        <v>0</v>
      </c>
      <c r="AP1390" s="55">
        <f t="shared" si="444"/>
        <v>0</v>
      </c>
      <c r="AQ1390" s="55">
        <f>IFERROR(VLOOKUP(A1390,[1]SIIMPLES!$A$2:$F$418,6,FALSE),0)</f>
        <v>0</v>
      </c>
      <c r="AR1390" s="55">
        <v>0</v>
      </c>
      <c r="AS1390" s="55">
        <v>0</v>
      </c>
      <c r="AT1390" s="55">
        <v>0</v>
      </c>
      <c r="AU1390" s="55">
        <v>0</v>
      </c>
      <c r="AV1390" s="55">
        <v>0</v>
      </c>
      <c r="AW1390" s="57"/>
      <c r="AX1390" s="57"/>
      <c r="AY1390" s="56">
        <f>IFERROR(AVERAGE(I1390,N1390,R1390,V1390,Z1390,AD1390,AH1390,AL1390,AP1390,AS1390,AW1390,AX1390),"-")</f>
        <v>0.2</v>
      </c>
      <c r="AZ1390" s="57"/>
      <c r="BA1390" s="56" t="s">
        <v>1912</v>
      </c>
    </row>
    <row r="1391" spans="1:53" ht="12.75" customHeight="1" x14ac:dyDescent="0.2">
      <c r="A1391" s="28" t="s">
        <v>2068</v>
      </c>
      <c r="B1391" s="28"/>
      <c r="C1391" s="28" t="s">
        <v>1803</v>
      </c>
      <c r="D1391" s="83" t="s">
        <v>731</v>
      </c>
      <c r="E1391" s="83" t="s">
        <v>780</v>
      </c>
      <c r="F1391" s="84"/>
      <c r="G1391" s="85" t="s">
        <v>2077</v>
      </c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55">
        <f t="shared" si="451"/>
        <v>1</v>
      </c>
      <c r="AM1391" s="55">
        <v>1</v>
      </c>
      <c r="AN1391" s="55">
        <v>0</v>
      </c>
      <c r="AO1391" s="55">
        <v>0</v>
      </c>
      <c r="AP1391" s="55">
        <f t="shared" si="444"/>
        <v>0</v>
      </c>
      <c r="AQ1391" s="55">
        <f>IFERROR(VLOOKUP(A1391,[1]SIIMPLES!$A$2:$F$418,6,FALSE),0)</f>
        <v>0</v>
      </c>
      <c r="AR1391" s="55">
        <v>0</v>
      </c>
      <c r="AS1391" s="55">
        <v>0</v>
      </c>
      <c r="AT1391" s="55">
        <v>0</v>
      </c>
      <c r="AU1391" s="55">
        <v>0</v>
      </c>
      <c r="AV1391" s="55">
        <v>0</v>
      </c>
      <c r="AW1391" s="7"/>
      <c r="AX1391" s="7"/>
      <c r="AY1391" s="7"/>
      <c r="AZ1391" s="7"/>
      <c r="BA1391" s="7"/>
    </row>
    <row r="1392" spans="1:53" ht="12.75" customHeight="1" x14ac:dyDescent="0.2">
      <c r="A1392" s="51" t="s">
        <v>1846</v>
      </c>
      <c r="B1392" s="51"/>
      <c r="C1392" s="66" t="s">
        <v>1803</v>
      </c>
      <c r="D1392" s="65" t="s">
        <v>1900</v>
      </c>
      <c r="E1392" s="52" t="str">
        <f>VLOOKUP(A1392,[2]CMV!$A$1:$E$2043,5,FALSE)</f>
        <v>LT CORREA</v>
      </c>
      <c r="F1392" s="53"/>
      <c r="G1392" s="52" t="str">
        <f>VLOOKUP(A1392,[2]CMV!$A$1:$F$2043,6,FALSE)</f>
        <v>Bucha Da Caixa De Direção Elétrica Megane Grand Tour</v>
      </c>
      <c r="H1392" s="57"/>
      <c r="I1392" s="57"/>
      <c r="J1392" s="57"/>
      <c r="K1392" s="57"/>
      <c r="L1392" s="57"/>
      <c r="M1392" s="57"/>
      <c r="N1392" s="57"/>
      <c r="O1392" s="57"/>
      <c r="P1392" s="57"/>
      <c r="Q1392" s="57"/>
      <c r="R1392" s="57"/>
      <c r="S1392" s="57"/>
      <c r="T1392" s="57"/>
      <c r="U1392" s="57"/>
      <c r="V1392" s="57"/>
      <c r="W1392" s="57"/>
      <c r="X1392" s="53">
        <v>0</v>
      </c>
      <c r="Y1392" s="57"/>
      <c r="Z1392" s="55">
        <v>1</v>
      </c>
      <c r="AA1392" s="53">
        <v>1</v>
      </c>
      <c r="AB1392" s="53">
        <v>0</v>
      </c>
      <c r="AC1392" s="55">
        <v>0</v>
      </c>
      <c r="AD1392" s="55">
        <f t="shared" ref="AD1392:AD1405" si="458">SUM(AE1392:AG1392)</f>
        <v>0</v>
      </c>
      <c r="AE1392" s="53">
        <v>0</v>
      </c>
      <c r="AF1392" s="55">
        <v>0</v>
      </c>
      <c r="AG1392" s="55">
        <v>0</v>
      </c>
      <c r="AH1392" s="55">
        <f t="shared" ref="AH1392:AH1405" si="459">SUM(AI1392:AK1392)</f>
        <v>1</v>
      </c>
      <c r="AI1392" s="55">
        <v>1</v>
      </c>
      <c r="AJ1392" s="55">
        <v>0</v>
      </c>
      <c r="AK1392" s="55">
        <v>0</v>
      </c>
      <c r="AL1392" s="55">
        <f t="shared" si="451"/>
        <v>0</v>
      </c>
      <c r="AM1392" s="55" t="s">
        <v>1912</v>
      </c>
      <c r="AN1392" s="55">
        <v>0</v>
      </c>
      <c r="AO1392" s="55">
        <v>0</v>
      </c>
      <c r="AP1392" s="55">
        <f t="shared" si="444"/>
        <v>0</v>
      </c>
      <c r="AQ1392" s="55">
        <f>IFERROR(VLOOKUP(A1392,[1]SIIMPLES!$A$2:$F$418,6,FALSE),0)</f>
        <v>0</v>
      </c>
      <c r="AR1392" s="55">
        <v>0</v>
      </c>
      <c r="AS1392" s="55">
        <v>0</v>
      </c>
      <c r="AT1392" s="55">
        <v>0</v>
      </c>
      <c r="AU1392" s="55">
        <v>0</v>
      </c>
      <c r="AV1392" s="55">
        <v>0</v>
      </c>
      <c r="AW1392" s="57"/>
      <c r="AX1392" s="57"/>
      <c r="AY1392" s="56">
        <f t="shared" ref="AY1392:AY1405" si="460">IFERROR(AVERAGE(I1392,N1392,R1392,V1392,Z1392,AD1392,AH1392,AL1392,AP1392,AS1392,AW1392,AX1392),"-")</f>
        <v>0.33333333333333331</v>
      </c>
      <c r="AZ1392" s="57"/>
      <c r="BA1392" s="57"/>
    </row>
    <row r="1393" spans="1:53" ht="12.75" customHeight="1" x14ac:dyDescent="0.2">
      <c r="A1393" s="51" t="s">
        <v>1623</v>
      </c>
      <c r="B1393" s="51"/>
      <c r="C1393" s="66" t="s">
        <v>1803</v>
      </c>
      <c r="D1393" s="65" t="s">
        <v>731</v>
      </c>
      <c r="E1393" s="52" t="s">
        <v>730</v>
      </c>
      <c r="F1393" s="53">
        <f>IFERROR(VLOOKUP(E1393,Fornecedores!$A$2:$B$2700,2,FALSE),"")</f>
        <v>3</v>
      </c>
      <c r="G1393" s="52" t="s">
        <v>1751</v>
      </c>
      <c r="H1393" s="57"/>
      <c r="I1393" s="55">
        <f t="shared" ref="I1393:I1405" si="461">SUM(J1393:M1393)</f>
        <v>0</v>
      </c>
      <c r="J1393" s="57"/>
      <c r="K1393" s="57"/>
      <c r="L1393" s="57"/>
      <c r="M1393" s="57"/>
      <c r="N1393" s="55">
        <f t="shared" ref="N1393:N1400" si="462">SUM(O1393:Q1393)</f>
        <v>2</v>
      </c>
      <c r="O1393" s="55">
        <v>2</v>
      </c>
      <c r="P1393" s="55">
        <v>0</v>
      </c>
      <c r="Q1393" s="55">
        <v>0</v>
      </c>
      <c r="R1393" s="55">
        <f t="shared" ref="R1393:R1405" si="463">SUM(S1393:U1393)</f>
        <v>1</v>
      </c>
      <c r="S1393" s="55">
        <v>1</v>
      </c>
      <c r="T1393" s="55">
        <v>0</v>
      </c>
      <c r="U1393" s="55">
        <v>0</v>
      </c>
      <c r="V1393" s="55">
        <v>1</v>
      </c>
      <c r="W1393" s="53">
        <v>1</v>
      </c>
      <c r="X1393" s="53">
        <v>0</v>
      </c>
      <c r="Y1393" s="55">
        <v>0</v>
      </c>
      <c r="Z1393" s="55">
        <v>3</v>
      </c>
      <c r="AA1393" s="53">
        <v>3</v>
      </c>
      <c r="AB1393" s="53">
        <v>0</v>
      </c>
      <c r="AC1393" s="55">
        <v>0</v>
      </c>
      <c r="AD1393" s="55">
        <f t="shared" si="458"/>
        <v>0</v>
      </c>
      <c r="AE1393" s="53">
        <v>0</v>
      </c>
      <c r="AF1393" s="55">
        <v>0</v>
      </c>
      <c r="AG1393" s="55">
        <v>0</v>
      </c>
      <c r="AH1393" s="55">
        <f t="shared" si="459"/>
        <v>0</v>
      </c>
      <c r="AI1393" s="55">
        <v>0</v>
      </c>
      <c r="AJ1393" s="55">
        <v>0</v>
      </c>
      <c r="AK1393" s="55">
        <v>0</v>
      </c>
      <c r="AL1393" s="55">
        <f t="shared" si="451"/>
        <v>1</v>
      </c>
      <c r="AM1393" s="55">
        <v>1</v>
      </c>
      <c r="AN1393" s="55">
        <v>0</v>
      </c>
      <c r="AO1393" s="55">
        <v>0</v>
      </c>
      <c r="AP1393" s="55">
        <f t="shared" si="444"/>
        <v>0</v>
      </c>
      <c r="AQ1393" s="55">
        <f>IFERROR(VLOOKUP(A1393,[1]SIIMPLES!$A$2:$F$418,6,FALSE),0)</f>
        <v>0</v>
      </c>
      <c r="AR1393" s="55">
        <v>0</v>
      </c>
      <c r="AS1393" s="55">
        <v>0</v>
      </c>
      <c r="AT1393" s="55">
        <v>0</v>
      </c>
      <c r="AU1393" s="55">
        <v>0</v>
      </c>
      <c r="AV1393" s="55">
        <v>0</v>
      </c>
      <c r="AW1393" s="57"/>
      <c r="AX1393" s="57"/>
      <c r="AY1393" s="56">
        <f t="shared" si="460"/>
        <v>0.8</v>
      </c>
      <c r="AZ1393" s="57"/>
      <c r="BA1393" s="56" t="s">
        <v>1912</v>
      </c>
    </row>
    <row r="1394" spans="1:53" ht="12.75" customHeight="1" x14ac:dyDescent="0.2">
      <c r="A1394" s="51" t="s">
        <v>1136</v>
      </c>
      <c r="B1394" s="51" t="s">
        <v>1077</v>
      </c>
      <c r="C1394" s="66" t="s">
        <v>1803</v>
      </c>
      <c r="D1394" s="65" t="s">
        <v>729</v>
      </c>
      <c r="E1394" s="52" t="s">
        <v>730</v>
      </c>
      <c r="F1394" s="53">
        <f>IFERROR(VLOOKUP(E1394,Fornecedores!$A$2:$B$2700,2,FALSE),"")</f>
        <v>3</v>
      </c>
      <c r="G1394" s="52" t="s">
        <v>1180</v>
      </c>
      <c r="H1394" s="54"/>
      <c r="I1394" s="55">
        <f t="shared" si="461"/>
        <v>1</v>
      </c>
      <c r="J1394" s="55">
        <v>1</v>
      </c>
      <c r="K1394" s="55">
        <v>0</v>
      </c>
      <c r="L1394" s="55">
        <v>0</v>
      </c>
      <c r="M1394" s="55">
        <v>0</v>
      </c>
      <c r="N1394" s="55">
        <f t="shared" si="462"/>
        <v>1</v>
      </c>
      <c r="O1394" s="55">
        <v>1</v>
      </c>
      <c r="P1394" s="55">
        <v>0</v>
      </c>
      <c r="Q1394" s="55">
        <v>0</v>
      </c>
      <c r="R1394" s="55">
        <f t="shared" si="463"/>
        <v>0</v>
      </c>
      <c r="S1394" s="55">
        <v>0</v>
      </c>
      <c r="T1394" s="55">
        <v>0</v>
      </c>
      <c r="U1394" s="55">
        <v>0</v>
      </c>
      <c r="V1394" s="55">
        <v>3</v>
      </c>
      <c r="W1394" s="53">
        <v>1</v>
      </c>
      <c r="X1394" s="53">
        <v>2</v>
      </c>
      <c r="Y1394" s="55">
        <v>0</v>
      </c>
      <c r="Z1394" s="55">
        <v>0</v>
      </c>
      <c r="AA1394" s="53">
        <v>0</v>
      </c>
      <c r="AB1394" s="53">
        <v>0</v>
      </c>
      <c r="AC1394" s="55">
        <v>0</v>
      </c>
      <c r="AD1394" s="55">
        <f t="shared" si="458"/>
        <v>0</v>
      </c>
      <c r="AE1394" s="53">
        <v>0</v>
      </c>
      <c r="AF1394" s="55">
        <v>0</v>
      </c>
      <c r="AG1394" s="55">
        <v>0</v>
      </c>
      <c r="AH1394" s="55">
        <f t="shared" si="459"/>
        <v>0</v>
      </c>
      <c r="AI1394" s="55">
        <v>0</v>
      </c>
      <c r="AJ1394" s="55">
        <v>0</v>
      </c>
      <c r="AK1394" s="55">
        <v>0</v>
      </c>
      <c r="AL1394" s="55">
        <f t="shared" si="451"/>
        <v>0</v>
      </c>
      <c r="AM1394" s="55" t="s">
        <v>1912</v>
      </c>
      <c r="AN1394" s="55">
        <v>0</v>
      </c>
      <c r="AO1394" s="55">
        <v>0</v>
      </c>
      <c r="AP1394" s="55">
        <f t="shared" si="444"/>
        <v>0</v>
      </c>
      <c r="AQ1394" s="55">
        <f>IFERROR(VLOOKUP(A1394,[1]SIIMPLES!$A$2:$F$418,6,FALSE),0)</f>
        <v>0</v>
      </c>
      <c r="AR1394" s="55">
        <v>0</v>
      </c>
      <c r="AS1394" s="55">
        <v>0</v>
      </c>
      <c r="AT1394" s="55">
        <v>0</v>
      </c>
      <c r="AU1394" s="55">
        <v>0</v>
      </c>
      <c r="AV1394" s="55">
        <v>0</v>
      </c>
      <c r="AW1394" s="55"/>
      <c r="AX1394" s="55"/>
      <c r="AY1394" s="56">
        <f t="shared" si="460"/>
        <v>0.5</v>
      </c>
      <c r="AZ1394" s="55"/>
      <c r="BA1394" s="56">
        <v>0.33333333333333331</v>
      </c>
    </row>
    <row r="1395" spans="1:53" ht="12.75" customHeight="1" x14ac:dyDescent="0.2">
      <c r="A1395" s="51" t="s">
        <v>1098</v>
      </c>
      <c r="B1395" s="51" t="s">
        <v>1077</v>
      </c>
      <c r="C1395" s="66" t="s">
        <v>1803</v>
      </c>
      <c r="D1395" s="65" t="s">
        <v>729</v>
      </c>
      <c r="E1395" s="52" t="s">
        <v>730</v>
      </c>
      <c r="F1395" s="53">
        <f>IFERROR(VLOOKUP(E1395,Fornecedores!$A$2:$B$2700,2,FALSE),"")</f>
        <v>3</v>
      </c>
      <c r="G1395" s="52" t="s">
        <v>1138</v>
      </c>
      <c r="H1395" s="54" t="s">
        <v>1075</v>
      </c>
      <c r="I1395" s="55">
        <f t="shared" si="461"/>
        <v>0</v>
      </c>
      <c r="J1395" s="55">
        <v>0</v>
      </c>
      <c r="K1395" s="55">
        <v>0</v>
      </c>
      <c r="L1395" s="55">
        <v>0</v>
      </c>
      <c r="M1395" s="55">
        <v>0</v>
      </c>
      <c r="N1395" s="55">
        <f t="shared" si="462"/>
        <v>2</v>
      </c>
      <c r="O1395" s="55">
        <v>0</v>
      </c>
      <c r="P1395" s="55">
        <v>2</v>
      </c>
      <c r="Q1395" s="55">
        <v>0</v>
      </c>
      <c r="R1395" s="55">
        <f t="shared" si="463"/>
        <v>2</v>
      </c>
      <c r="S1395" s="55">
        <v>0</v>
      </c>
      <c r="T1395" s="55">
        <v>2</v>
      </c>
      <c r="U1395" s="55">
        <v>0</v>
      </c>
      <c r="V1395" s="55">
        <v>6</v>
      </c>
      <c r="W1395" s="53">
        <v>0</v>
      </c>
      <c r="X1395" s="53">
        <v>6</v>
      </c>
      <c r="Y1395" s="55">
        <v>0</v>
      </c>
      <c r="Z1395" s="55">
        <v>2</v>
      </c>
      <c r="AA1395" s="53">
        <v>0</v>
      </c>
      <c r="AB1395" s="53">
        <v>2</v>
      </c>
      <c r="AC1395" s="55">
        <v>0</v>
      </c>
      <c r="AD1395" s="55">
        <f t="shared" si="458"/>
        <v>4</v>
      </c>
      <c r="AE1395" s="53">
        <v>0</v>
      </c>
      <c r="AF1395" s="55">
        <v>4</v>
      </c>
      <c r="AG1395" s="55">
        <v>0</v>
      </c>
      <c r="AH1395" s="55">
        <f t="shared" si="459"/>
        <v>0</v>
      </c>
      <c r="AI1395" s="55">
        <v>0</v>
      </c>
      <c r="AJ1395" s="55">
        <v>0</v>
      </c>
      <c r="AK1395" s="55">
        <v>0</v>
      </c>
      <c r="AL1395" s="55">
        <f t="shared" si="451"/>
        <v>2</v>
      </c>
      <c r="AM1395" s="55" t="s">
        <v>1912</v>
      </c>
      <c r="AN1395" s="55">
        <v>2</v>
      </c>
      <c r="AO1395" s="55">
        <v>0</v>
      </c>
      <c r="AP1395" s="55">
        <f t="shared" si="444"/>
        <v>0</v>
      </c>
      <c r="AQ1395" s="55">
        <f>IFERROR(VLOOKUP(A1395,[1]SIIMPLES!$A$2:$F$418,6,FALSE),0)</f>
        <v>0</v>
      </c>
      <c r="AR1395" s="55">
        <v>0</v>
      </c>
      <c r="AS1395" s="55">
        <v>0</v>
      </c>
      <c r="AT1395" s="55">
        <v>0</v>
      </c>
      <c r="AU1395" s="55">
        <v>0</v>
      </c>
      <c r="AV1395" s="55">
        <v>0</v>
      </c>
      <c r="AW1395" s="55"/>
      <c r="AX1395" s="55"/>
      <c r="AY1395" s="56">
        <f t="shared" si="460"/>
        <v>1.8</v>
      </c>
      <c r="AZ1395" s="55"/>
      <c r="BA1395" s="56">
        <v>1.3333333333333333</v>
      </c>
    </row>
    <row r="1396" spans="1:53" ht="12.75" customHeight="1" x14ac:dyDescent="0.2">
      <c r="A1396" s="69" t="s">
        <v>1702</v>
      </c>
      <c r="B1396" s="51"/>
      <c r="C1396" s="66" t="s">
        <v>1803</v>
      </c>
      <c r="D1396" s="65" t="s">
        <v>733</v>
      </c>
      <c r="E1396" s="52" t="s">
        <v>730</v>
      </c>
      <c r="F1396" s="53">
        <f>IFERROR(VLOOKUP(E1396,Fornecedores!$A$2:$B$2700,2,FALSE),"")</f>
        <v>3</v>
      </c>
      <c r="G1396" s="52" t="s">
        <v>1701</v>
      </c>
      <c r="H1396" s="57"/>
      <c r="I1396" s="55">
        <f t="shared" si="461"/>
        <v>0</v>
      </c>
      <c r="J1396" s="57"/>
      <c r="K1396" s="57"/>
      <c r="L1396" s="57"/>
      <c r="M1396" s="57"/>
      <c r="N1396" s="55">
        <f t="shared" si="462"/>
        <v>0</v>
      </c>
      <c r="O1396" s="57"/>
      <c r="P1396" s="57"/>
      <c r="Q1396" s="57"/>
      <c r="R1396" s="55">
        <f t="shared" si="463"/>
        <v>1</v>
      </c>
      <c r="S1396" s="55">
        <v>1</v>
      </c>
      <c r="T1396" s="55">
        <v>0</v>
      </c>
      <c r="U1396" s="57"/>
      <c r="V1396" s="55">
        <v>0</v>
      </c>
      <c r="W1396" s="53">
        <v>0</v>
      </c>
      <c r="X1396" s="53">
        <v>0</v>
      </c>
      <c r="Y1396" s="55">
        <v>0</v>
      </c>
      <c r="Z1396" s="55">
        <v>0</v>
      </c>
      <c r="AA1396" s="53">
        <v>0</v>
      </c>
      <c r="AB1396" s="53">
        <v>0</v>
      </c>
      <c r="AC1396" s="55">
        <v>0</v>
      </c>
      <c r="AD1396" s="55">
        <f t="shared" si="458"/>
        <v>0</v>
      </c>
      <c r="AE1396" s="53">
        <v>0</v>
      </c>
      <c r="AF1396" s="55">
        <v>0</v>
      </c>
      <c r="AG1396" s="55">
        <v>0</v>
      </c>
      <c r="AH1396" s="55">
        <f t="shared" si="459"/>
        <v>0</v>
      </c>
      <c r="AI1396" s="55">
        <v>0</v>
      </c>
      <c r="AJ1396" s="55">
        <v>0</v>
      </c>
      <c r="AK1396" s="55">
        <v>0</v>
      </c>
      <c r="AL1396" s="55">
        <f t="shared" si="451"/>
        <v>0</v>
      </c>
      <c r="AM1396" s="55" t="s">
        <v>1912</v>
      </c>
      <c r="AN1396" s="55">
        <v>0</v>
      </c>
      <c r="AO1396" s="55">
        <v>0</v>
      </c>
      <c r="AP1396" s="55">
        <f t="shared" ref="AP1396:AP1405" si="464">SUM(AQ1396:AR1396)</f>
        <v>0</v>
      </c>
      <c r="AQ1396" s="55">
        <f>IFERROR(VLOOKUP(A1396,[1]SIIMPLES!$A$2:$F$418,6,FALSE),0)</f>
        <v>0</v>
      </c>
      <c r="AR1396" s="55">
        <v>0</v>
      </c>
      <c r="AS1396" s="55">
        <v>0</v>
      </c>
      <c r="AT1396" s="55">
        <v>0</v>
      </c>
      <c r="AU1396" s="55">
        <v>0</v>
      </c>
      <c r="AV1396" s="55">
        <v>0</v>
      </c>
      <c r="AW1396" s="57"/>
      <c r="AX1396" s="57"/>
      <c r="AY1396" s="56">
        <f t="shared" si="460"/>
        <v>0.1</v>
      </c>
      <c r="AZ1396" s="57"/>
      <c r="BA1396" s="56" t="s">
        <v>1912</v>
      </c>
    </row>
    <row r="1397" spans="1:53" ht="12.75" customHeight="1" x14ac:dyDescent="0.2">
      <c r="A1397" s="51" t="s">
        <v>1194</v>
      </c>
      <c r="B1397" s="51"/>
      <c r="C1397" s="66" t="s">
        <v>1803</v>
      </c>
      <c r="D1397" s="52" t="s">
        <v>1230</v>
      </c>
      <c r="E1397" s="52" t="s">
        <v>741</v>
      </c>
      <c r="F1397" s="53">
        <f>IFERROR(VLOOKUP(E1397,Fornecedores!$A$2:$B$2700,2,FALSE),"")</f>
        <v>7</v>
      </c>
      <c r="G1397" s="52" t="s">
        <v>1213</v>
      </c>
      <c r="H1397" s="54"/>
      <c r="I1397" s="55">
        <f t="shared" si="461"/>
        <v>0</v>
      </c>
      <c r="J1397" s="55">
        <v>0</v>
      </c>
      <c r="K1397" s="55">
        <v>0</v>
      </c>
      <c r="L1397" s="55">
        <v>0</v>
      </c>
      <c r="M1397" s="55">
        <v>0</v>
      </c>
      <c r="N1397" s="55">
        <f t="shared" si="462"/>
        <v>1</v>
      </c>
      <c r="O1397" s="55">
        <v>1</v>
      </c>
      <c r="P1397" s="55">
        <v>0</v>
      </c>
      <c r="Q1397" s="55">
        <v>0</v>
      </c>
      <c r="R1397" s="55">
        <f t="shared" si="463"/>
        <v>0</v>
      </c>
      <c r="S1397" s="55">
        <v>0</v>
      </c>
      <c r="T1397" s="55">
        <v>0</v>
      </c>
      <c r="U1397" s="55">
        <v>0</v>
      </c>
      <c r="V1397" s="55">
        <v>1</v>
      </c>
      <c r="W1397" s="53">
        <v>1</v>
      </c>
      <c r="X1397" s="53">
        <v>0</v>
      </c>
      <c r="Y1397" s="55">
        <v>0</v>
      </c>
      <c r="Z1397" s="55">
        <v>1</v>
      </c>
      <c r="AA1397" s="53">
        <v>1</v>
      </c>
      <c r="AB1397" s="53">
        <v>0</v>
      </c>
      <c r="AC1397" s="55">
        <v>0</v>
      </c>
      <c r="AD1397" s="55">
        <f t="shared" si="458"/>
        <v>0</v>
      </c>
      <c r="AE1397" s="53">
        <v>0</v>
      </c>
      <c r="AF1397" s="55">
        <v>0</v>
      </c>
      <c r="AG1397" s="55">
        <v>0</v>
      </c>
      <c r="AH1397" s="55">
        <f t="shared" si="459"/>
        <v>0</v>
      </c>
      <c r="AI1397" s="55">
        <v>0</v>
      </c>
      <c r="AJ1397" s="55">
        <v>0</v>
      </c>
      <c r="AK1397" s="55">
        <v>0</v>
      </c>
      <c r="AL1397" s="55">
        <f t="shared" si="451"/>
        <v>0</v>
      </c>
      <c r="AM1397" s="55" t="s">
        <v>1912</v>
      </c>
      <c r="AN1397" s="55">
        <v>0</v>
      </c>
      <c r="AO1397" s="55">
        <v>0</v>
      </c>
      <c r="AP1397" s="55">
        <f t="shared" si="464"/>
        <v>0</v>
      </c>
      <c r="AQ1397" s="55">
        <f>IFERROR(VLOOKUP(A1397,[1]SIIMPLES!$A$2:$F$418,6,FALSE),0)</f>
        <v>0</v>
      </c>
      <c r="AR1397" s="55">
        <v>0</v>
      </c>
      <c r="AS1397" s="55">
        <v>1</v>
      </c>
      <c r="AT1397" s="55">
        <v>1</v>
      </c>
      <c r="AU1397" s="55">
        <v>0</v>
      </c>
      <c r="AV1397" s="55">
        <v>0</v>
      </c>
      <c r="AW1397" s="55"/>
      <c r="AX1397" s="55"/>
      <c r="AY1397" s="56">
        <f t="shared" si="460"/>
        <v>0.4</v>
      </c>
      <c r="AZ1397" s="55"/>
      <c r="BA1397" s="56">
        <v>0.66666666666666663</v>
      </c>
    </row>
    <row r="1398" spans="1:53" ht="12.75" customHeight="1" x14ac:dyDescent="0.2">
      <c r="A1398" s="51" t="s">
        <v>1277</v>
      </c>
      <c r="B1398" s="51"/>
      <c r="C1398" s="66" t="s">
        <v>1803</v>
      </c>
      <c r="D1398" s="52" t="s">
        <v>740</v>
      </c>
      <c r="E1398" s="52" t="s">
        <v>741</v>
      </c>
      <c r="F1398" s="53">
        <f>IFERROR(VLOOKUP(E1398,Fornecedores!$A$2:$B$2700,2,FALSE),"")</f>
        <v>7</v>
      </c>
      <c r="G1398" s="52" t="s">
        <v>1570</v>
      </c>
      <c r="H1398" s="57"/>
      <c r="I1398" s="55">
        <f t="shared" si="461"/>
        <v>6</v>
      </c>
      <c r="J1398" s="55">
        <v>0</v>
      </c>
      <c r="K1398" s="55">
        <v>6</v>
      </c>
      <c r="L1398" s="55">
        <v>0</v>
      </c>
      <c r="M1398" s="55">
        <v>0</v>
      </c>
      <c r="N1398" s="55">
        <f t="shared" si="462"/>
        <v>0</v>
      </c>
      <c r="O1398" s="55">
        <v>0</v>
      </c>
      <c r="P1398" s="55">
        <v>0</v>
      </c>
      <c r="Q1398" s="55">
        <v>0</v>
      </c>
      <c r="R1398" s="55">
        <f t="shared" si="463"/>
        <v>0</v>
      </c>
      <c r="S1398" s="55">
        <v>0</v>
      </c>
      <c r="T1398" s="55">
        <v>0</v>
      </c>
      <c r="U1398" s="55">
        <v>0</v>
      </c>
      <c r="V1398" s="55">
        <v>2</v>
      </c>
      <c r="W1398" s="53">
        <v>0</v>
      </c>
      <c r="X1398" s="53">
        <v>2</v>
      </c>
      <c r="Y1398" s="55">
        <v>0</v>
      </c>
      <c r="Z1398" s="55">
        <v>2</v>
      </c>
      <c r="AA1398" s="53">
        <v>2</v>
      </c>
      <c r="AB1398" s="53">
        <v>0</v>
      </c>
      <c r="AC1398" s="55">
        <v>0</v>
      </c>
      <c r="AD1398" s="55">
        <f t="shared" si="458"/>
        <v>5</v>
      </c>
      <c r="AE1398" s="53">
        <v>1</v>
      </c>
      <c r="AF1398" s="55">
        <v>4</v>
      </c>
      <c r="AG1398" s="55">
        <v>0</v>
      </c>
      <c r="AH1398" s="55">
        <f t="shared" si="459"/>
        <v>0</v>
      </c>
      <c r="AI1398" s="55">
        <v>0</v>
      </c>
      <c r="AJ1398" s="55">
        <v>0</v>
      </c>
      <c r="AK1398" s="55">
        <v>0</v>
      </c>
      <c r="AL1398" s="55">
        <f t="shared" si="451"/>
        <v>0</v>
      </c>
      <c r="AM1398" s="55" t="s">
        <v>1912</v>
      </c>
      <c r="AN1398" s="55">
        <v>0</v>
      </c>
      <c r="AO1398" s="55">
        <v>0</v>
      </c>
      <c r="AP1398" s="55">
        <f t="shared" si="464"/>
        <v>0</v>
      </c>
      <c r="AQ1398" s="55">
        <f>IFERROR(VLOOKUP(A1398,[1]SIIMPLES!$A$2:$F$418,6,FALSE),0)</f>
        <v>0</v>
      </c>
      <c r="AR1398" s="55">
        <v>0</v>
      </c>
      <c r="AS1398" s="55">
        <v>0</v>
      </c>
      <c r="AT1398" s="55">
        <v>0</v>
      </c>
      <c r="AU1398" s="55">
        <v>0</v>
      </c>
      <c r="AV1398" s="55">
        <v>0</v>
      </c>
      <c r="AW1398" s="55"/>
      <c r="AX1398" s="55"/>
      <c r="AY1398" s="56">
        <f t="shared" si="460"/>
        <v>1.5</v>
      </c>
      <c r="AZ1398" s="55"/>
      <c r="BA1398" s="56">
        <v>0</v>
      </c>
    </row>
    <row r="1399" spans="1:53" ht="12.75" customHeight="1" x14ac:dyDescent="0.2">
      <c r="A1399" s="51" t="s">
        <v>778</v>
      </c>
      <c r="B1399" s="51"/>
      <c r="C1399" s="66" t="s">
        <v>1803</v>
      </c>
      <c r="D1399" s="52" t="s">
        <v>740</v>
      </c>
      <c r="E1399" s="52" t="s">
        <v>741</v>
      </c>
      <c r="F1399" s="53">
        <f>IFERROR(VLOOKUP(E1399,Fornecedores!$A$2:$B$2700,2,FALSE),"")</f>
        <v>7</v>
      </c>
      <c r="G1399" s="52" t="s">
        <v>225</v>
      </c>
      <c r="H1399" s="54"/>
      <c r="I1399" s="55">
        <f t="shared" si="461"/>
        <v>0</v>
      </c>
      <c r="J1399" s="55">
        <v>0</v>
      </c>
      <c r="K1399" s="55">
        <v>0</v>
      </c>
      <c r="L1399" s="55">
        <v>0</v>
      </c>
      <c r="M1399" s="55">
        <v>0</v>
      </c>
      <c r="N1399" s="55">
        <f t="shared" si="462"/>
        <v>0</v>
      </c>
      <c r="O1399" s="55">
        <v>0</v>
      </c>
      <c r="P1399" s="55">
        <v>0</v>
      </c>
      <c r="Q1399" s="55">
        <v>0</v>
      </c>
      <c r="R1399" s="55">
        <f t="shared" si="463"/>
        <v>0</v>
      </c>
      <c r="S1399" s="55">
        <v>0</v>
      </c>
      <c r="T1399" s="55">
        <v>0</v>
      </c>
      <c r="U1399" s="55">
        <v>0</v>
      </c>
      <c r="V1399" s="55">
        <v>0</v>
      </c>
      <c r="W1399" s="53">
        <v>0</v>
      </c>
      <c r="X1399" s="53">
        <v>0</v>
      </c>
      <c r="Y1399" s="55">
        <v>0</v>
      </c>
      <c r="Z1399" s="55">
        <v>0</v>
      </c>
      <c r="AA1399" s="53">
        <v>0</v>
      </c>
      <c r="AB1399" s="53">
        <v>0</v>
      </c>
      <c r="AC1399" s="55">
        <v>0</v>
      </c>
      <c r="AD1399" s="55">
        <f t="shared" si="458"/>
        <v>0</v>
      </c>
      <c r="AE1399" s="53">
        <v>0</v>
      </c>
      <c r="AF1399" s="55">
        <v>0</v>
      </c>
      <c r="AG1399" s="55">
        <v>0</v>
      </c>
      <c r="AH1399" s="55">
        <f t="shared" si="459"/>
        <v>0</v>
      </c>
      <c r="AI1399" s="55">
        <v>0</v>
      </c>
      <c r="AJ1399" s="55">
        <v>0</v>
      </c>
      <c r="AK1399" s="55">
        <v>0</v>
      </c>
      <c r="AL1399" s="55">
        <f t="shared" si="451"/>
        <v>0</v>
      </c>
      <c r="AM1399" s="55" t="s">
        <v>1912</v>
      </c>
      <c r="AN1399" s="55">
        <v>0</v>
      </c>
      <c r="AO1399" s="55">
        <v>0</v>
      </c>
      <c r="AP1399" s="55">
        <f t="shared" si="464"/>
        <v>0</v>
      </c>
      <c r="AQ1399" s="55">
        <f>IFERROR(VLOOKUP(A1399,[1]SIIMPLES!$A$2:$F$418,6,FALSE),0)</f>
        <v>0</v>
      </c>
      <c r="AR1399" s="55">
        <v>0</v>
      </c>
      <c r="AS1399" s="55">
        <v>0</v>
      </c>
      <c r="AT1399" s="55">
        <v>0</v>
      </c>
      <c r="AU1399" s="55">
        <v>0</v>
      </c>
      <c r="AV1399" s="55">
        <v>0</v>
      </c>
      <c r="AW1399" s="55"/>
      <c r="AX1399" s="55"/>
      <c r="AY1399" s="56">
        <f t="shared" si="460"/>
        <v>0</v>
      </c>
      <c r="AZ1399" s="55"/>
      <c r="BA1399" s="56">
        <v>0</v>
      </c>
    </row>
    <row r="1400" spans="1:53" ht="12.75" customHeight="1" x14ac:dyDescent="0.2">
      <c r="A1400" s="51" t="s">
        <v>1493</v>
      </c>
      <c r="B1400" s="51"/>
      <c r="C1400" s="66" t="s">
        <v>1803</v>
      </c>
      <c r="D1400" s="52" t="s">
        <v>740</v>
      </c>
      <c r="E1400" s="52" t="s">
        <v>741</v>
      </c>
      <c r="F1400" s="53">
        <f>IFERROR(VLOOKUP(E1400,Fornecedores!$A$2:$B$2700,2,FALSE),"")</f>
        <v>7</v>
      </c>
      <c r="G1400" s="52" t="s">
        <v>1497</v>
      </c>
      <c r="H1400" s="57"/>
      <c r="I1400" s="55">
        <f t="shared" si="461"/>
        <v>1</v>
      </c>
      <c r="J1400" s="55">
        <v>1</v>
      </c>
      <c r="K1400" s="55">
        <v>0</v>
      </c>
      <c r="L1400" s="55">
        <v>0</v>
      </c>
      <c r="M1400" s="55">
        <v>0</v>
      </c>
      <c r="N1400" s="55">
        <f t="shared" si="462"/>
        <v>0</v>
      </c>
      <c r="O1400" s="55">
        <v>0</v>
      </c>
      <c r="P1400" s="55">
        <v>0</v>
      </c>
      <c r="Q1400" s="55">
        <v>0</v>
      </c>
      <c r="R1400" s="55">
        <f t="shared" si="463"/>
        <v>0</v>
      </c>
      <c r="S1400" s="55">
        <v>0</v>
      </c>
      <c r="T1400" s="55">
        <v>0</v>
      </c>
      <c r="U1400" s="55">
        <v>0</v>
      </c>
      <c r="V1400" s="55">
        <v>0</v>
      </c>
      <c r="W1400" s="53">
        <v>0</v>
      </c>
      <c r="X1400" s="53">
        <v>0</v>
      </c>
      <c r="Y1400" s="55">
        <v>0</v>
      </c>
      <c r="Z1400" s="55">
        <v>0</v>
      </c>
      <c r="AA1400" s="53">
        <v>0</v>
      </c>
      <c r="AB1400" s="53">
        <v>0</v>
      </c>
      <c r="AC1400" s="55">
        <v>0</v>
      </c>
      <c r="AD1400" s="55">
        <f t="shared" si="458"/>
        <v>0</v>
      </c>
      <c r="AE1400" s="53">
        <v>0</v>
      </c>
      <c r="AF1400" s="55">
        <v>0</v>
      </c>
      <c r="AG1400" s="55">
        <v>0</v>
      </c>
      <c r="AH1400" s="55">
        <f t="shared" si="459"/>
        <v>0</v>
      </c>
      <c r="AI1400" s="55">
        <v>0</v>
      </c>
      <c r="AJ1400" s="55">
        <v>0</v>
      </c>
      <c r="AK1400" s="55">
        <v>0</v>
      </c>
      <c r="AL1400" s="55">
        <f t="shared" si="451"/>
        <v>0</v>
      </c>
      <c r="AM1400" s="55" t="s">
        <v>1912</v>
      </c>
      <c r="AN1400" s="55">
        <v>0</v>
      </c>
      <c r="AO1400" s="55">
        <v>0</v>
      </c>
      <c r="AP1400" s="55">
        <f t="shared" si="464"/>
        <v>0</v>
      </c>
      <c r="AQ1400" s="55">
        <f>IFERROR(VLOOKUP(A1400,[1]SIIMPLES!$A$2:$F$418,6,FALSE),0)</f>
        <v>0</v>
      </c>
      <c r="AR1400" s="55">
        <v>0</v>
      </c>
      <c r="AS1400" s="55">
        <v>4</v>
      </c>
      <c r="AT1400" s="55">
        <v>0</v>
      </c>
      <c r="AU1400" s="55">
        <v>0</v>
      </c>
      <c r="AV1400" s="55">
        <v>4</v>
      </c>
      <c r="AW1400" s="57"/>
      <c r="AX1400" s="57"/>
      <c r="AY1400" s="56">
        <f t="shared" si="460"/>
        <v>0.5</v>
      </c>
      <c r="AZ1400" s="55"/>
      <c r="BA1400" s="56" t="s">
        <v>1912</v>
      </c>
    </row>
    <row r="1401" spans="1:53" ht="12.75" customHeight="1" x14ac:dyDescent="0.2">
      <c r="A1401" s="51" t="s">
        <v>1630</v>
      </c>
      <c r="B1401" s="51"/>
      <c r="C1401" s="66" t="s">
        <v>1803</v>
      </c>
      <c r="D1401" s="52" t="s">
        <v>745</v>
      </c>
      <c r="E1401" s="52" t="s">
        <v>780</v>
      </c>
      <c r="F1401" s="53">
        <f>IFERROR(VLOOKUP(E1401,Fornecedores!$A$2:$B$2700,2,FALSE),"")</f>
        <v>2</v>
      </c>
      <c r="G1401" s="52" t="s">
        <v>1698</v>
      </c>
      <c r="H1401" s="57"/>
      <c r="I1401" s="55">
        <f t="shared" si="461"/>
        <v>0</v>
      </c>
      <c r="J1401" s="57"/>
      <c r="K1401" s="57"/>
      <c r="L1401" s="57"/>
      <c r="M1401" s="57"/>
      <c r="N1401" s="57"/>
      <c r="O1401" s="57"/>
      <c r="P1401" s="57"/>
      <c r="Q1401" s="57"/>
      <c r="R1401" s="55">
        <f t="shared" si="463"/>
        <v>8</v>
      </c>
      <c r="S1401" s="55">
        <v>0</v>
      </c>
      <c r="T1401" s="55">
        <v>0</v>
      </c>
      <c r="U1401" s="55">
        <v>8</v>
      </c>
      <c r="V1401" s="55">
        <v>0</v>
      </c>
      <c r="W1401" s="53">
        <v>0</v>
      </c>
      <c r="X1401" s="53">
        <v>0</v>
      </c>
      <c r="Y1401" s="55">
        <v>0</v>
      </c>
      <c r="Z1401" s="55">
        <v>2</v>
      </c>
      <c r="AA1401" s="53">
        <v>0</v>
      </c>
      <c r="AB1401" s="53">
        <v>0</v>
      </c>
      <c r="AC1401" s="55">
        <v>2</v>
      </c>
      <c r="AD1401" s="55">
        <f t="shared" si="458"/>
        <v>4</v>
      </c>
      <c r="AE1401" s="53">
        <v>0</v>
      </c>
      <c r="AF1401" s="55">
        <v>0</v>
      </c>
      <c r="AG1401" s="55">
        <v>4</v>
      </c>
      <c r="AH1401" s="55">
        <f t="shared" si="459"/>
        <v>0</v>
      </c>
      <c r="AI1401" s="55">
        <v>0</v>
      </c>
      <c r="AJ1401" s="55">
        <v>0</v>
      </c>
      <c r="AK1401" s="55">
        <v>0</v>
      </c>
      <c r="AL1401" s="55">
        <f t="shared" si="451"/>
        <v>10</v>
      </c>
      <c r="AM1401" s="55" t="s">
        <v>1912</v>
      </c>
      <c r="AN1401" s="55">
        <v>0</v>
      </c>
      <c r="AO1401" s="55">
        <v>10</v>
      </c>
      <c r="AP1401" s="55">
        <f t="shared" si="464"/>
        <v>0</v>
      </c>
      <c r="AQ1401" s="55">
        <f>IFERROR(VLOOKUP(A1401,[1]SIIMPLES!$A$2:$F$418,6,FALSE),0)</f>
        <v>0</v>
      </c>
      <c r="AR1401" s="55">
        <v>0</v>
      </c>
      <c r="AS1401" s="55">
        <v>0</v>
      </c>
      <c r="AT1401" s="55">
        <v>0</v>
      </c>
      <c r="AU1401" s="55">
        <v>0</v>
      </c>
      <c r="AV1401" s="55">
        <v>0</v>
      </c>
      <c r="AW1401" s="57"/>
      <c r="AX1401" s="57"/>
      <c r="AY1401" s="56">
        <f t="shared" si="460"/>
        <v>2.6666666666666665</v>
      </c>
      <c r="AZ1401" s="57"/>
      <c r="BA1401" s="56" t="s">
        <v>1912</v>
      </c>
    </row>
    <row r="1402" spans="1:53" ht="12.75" customHeight="1" x14ac:dyDescent="0.2">
      <c r="A1402" s="51" t="s">
        <v>1631</v>
      </c>
      <c r="B1402" s="51"/>
      <c r="C1402" s="66" t="s">
        <v>1803</v>
      </c>
      <c r="D1402" s="52" t="s">
        <v>1908</v>
      </c>
      <c r="E1402" s="52" t="s">
        <v>780</v>
      </c>
      <c r="F1402" s="53">
        <f>IFERROR(VLOOKUP(E1402,Fornecedores!$A$2:$B$2700,2,FALSE),"")</f>
        <v>2</v>
      </c>
      <c r="G1402" s="52" t="s">
        <v>1699</v>
      </c>
      <c r="H1402" s="57"/>
      <c r="I1402" s="55">
        <f t="shared" si="461"/>
        <v>0</v>
      </c>
      <c r="J1402" s="57"/>
      <c r="K1402" s="57"/>
      <c r="L1402" s="57"/>
      <c r="M1402" s="57"/>
      <c r="N1402" s="57"/>
      <c r="O1402" s="57"/>
      <c r="P1402" s="57"/>
      <c r="Q1402" s="57"/>
      <c r="R1402" s="55">
        <f t="shared" si="463"/>
        <v>8</v>
      </c>
      <c r="S1402" s="55">
        <v>0</v>
      </c>
      <c r="T1402" s="55">
        <v>0</v>
      </c>
      <c r="U1402" s="55">
        <v>8</v>
      </c>
      <c r="V1402" s="55">
        <v>0</v>
      </c>
      <c r="W1402" s="53">
        <v>0</v>
      </c>
      <c r="X1402" s="53">
        <v>0</v>
      </c>
      <c r="Y1402" s="55">
        <v>0</v>
      </c>
      <c r="Z1402" s="55">
        <v>0</v>
      </c>
      <c r="AA1402" s="53">
        <v>0</v>
      </c>
      <c r="AB1402" s="53">
        <v>0</v>
      </c>
      <c r="AC1402" s="55">
        <v>0</v>
      </c>
      <c r="AD1402" s="55">
        <f t="shared" si="458"/>
        <v>0</v>
      </c>
      <c r="AE1402" s="53">
        <v>0</v>
      </c>
      <c r="AF1402" s="55">
        <v>0</v>
      </c>
      <c r="AG1402" s="55">
        <v>0</v>
      </c>
      <c r="AH1402" s="55">
        <f t="shared" si="459"/>
        <v>0</v>
      </c>
      <c r="AI1402" s="55">
        <v>0</v>
      </c>
      <c r="AJ1402" s="55">
        <v>0</v>
      </c>
      <c r="AK1402" s="55">
        <v>0</v>
      </c>
      <c r="AL1402" s="55">
        <f t="shared" si="451"/>
        <v>0</v>
      </c>
      <c r="AM1402" s="55" t="s">
        <v>1912</v>
      </c>
      <c r="AN1402" s="55">
        <v>0</v>
      </c>
      <c r="AO1402" s="55">
        <v>0</v>
      </c>
      <c r="AP1402" s="55">
        <f t="shared" si="464"/>
        <v>0</v>
      </c>
      <c r="AQ1402" s="55">
        <f>IFERROR(VLOOKUP(A1402,[1]SIIMPLES!$A$2:$F$418,6,FALSE),0)</f>
        <v>0</v>
      </c>
      <c r="AR1402" s="55">
        <v>0</v>
      </c>
      <c r="AS1402" s="55">
        <v>0</v>
      </c>
      <c r="AT1402" s="55">
        <v>0</v>
      </c>
      <c r="AU1402" s="55">
        <v>0</v>
      </c>
      <c r="AV1402" s="55">
        <v>0</v>
      </c>
      <c r="AW1402" s="57"/>
      <c r="AX1402" s="57"/>
      <c r="AY1402" s="56">
        <f t="shared" si="460"/>
        <v>0.88888888888888884</v>
      </c>
      <c r="AZ1402" s="57"/>
      <c r="BA1402" s="56" t="s">
        <v>1912</v>
      </c>
    </row>
    <row r="1403" spans="1:53" ht="12.75" customHeight="1" x14ac:dyDescent="0.2">
      <c r="A1403" s="51" t="s">
        <v>1281</v>
      </c>
      <c r="B1403" s="51"/>
      <c r="C1403" s="66" t="s">
        <v>1803</v>
      </c>
      <c r="D1403" s="52" t="s">
        <v>740</v>
      </c>
      <c r="E1403" s="52" t="s">
        <v>741</v>
      </c>
      <c r="F1403" s="53">
        <f>IFERROR(VLOOKUP(E1403,Fornecedores!$A$2:$B$2700,2,FALSE),"")</f>
        <v>7</v>
      </c>
      <c r="G1403" s="52" t="s">
        <v>1603</v>
      </c>
      <c r="H1403" s="57"/>
      <c r="I1403" s="55">
        <f t="shared" si="461"/>
        <v>0</v>
      </c>
      <c r="J1403" s="55">
        <v>0</v>
      </c>
      <c r="K1403" s="55">
        <v>0</v>
      </c>
      <c r="L1403" s="55">
        <v>0</v>
      </c>
      <c r="M1403" s="55">
        <v>0</v>
      </c>
      <c r="N1403" s="55">
        <f>SUM(O1403:Q1403)</f>
        <v>0</v>
      </c>
      <c r="O1403" s="55">
        <v>0</v>
      </c>
      <c r="P1403" s="55">
        <v>0</v>
      </c>
      <c r="Q1403" s="55">
        <v>0</v>
      </c>
      <c r="R1403" s="55">
        <f t="shared" si="463"/>
        <v>0</v>
      </c>
      <c r="S1403" s="55">
        <v>0</v>
      </c>
      <c r="T1403" s="55">
        <v>0</v>
      </c>
      <c r="U1403" s="55">
        <v>0</v>
      </c>
      <c r="V1403" s="55">
        <v>3</v>
      </c>
      <c r="W1403" s="53">
        <v>1</v>
      </c>
      <c r="X1403" s="53">
        <v>2</v>
      </c>
      <c r="Y1403" s="55">
        <v>0</v>
      </c>
      <c r="Z1403" s="55">
        <v>0</v>
      </c>
      <c r="AA1403" s="53">
        <v>0</v>
      </c>
      <c r="AB1403" s="53">
        <v>0</v>
      </c>
      <c r="AC1403" s="55">
        <v>0</v>
      </c>
      <c r="AD1403" s="55">
        <f t="shared" si="458"/>
        <v>1</v>
      </c>
      <c r="AE1403" s="53">
        <v>1</v>
      </c>
      <c r="AF1403" s="55">
        <v>0</v>
      </c>
      <c r="AG1403" s="55">
        <v>0</v>
      </c>
      <c r="AH1403" s="55">
        <f t="shared" si="459"/>
        <v>0</v>
      </c>
      <c r="AI1403" s="55">
        <v>0</v>
      </c>
      <c r="AJ1403" s="55">
        <v>0</v>
      </c>
      <c r="AK1403" s="55">
        <v>0</v>
      </c>
      <c r="AL1403" s="55">
        <f t="shared" si="451"/>
        <v>0</v>
      </c>
      <c r="AM1403" s="55" t="s">
        <v>1912</v>
      </c>
      <c r="AN1403" s="55">
        <v>0</v>
      </c>
      <c r="AO1403" s="55">
        <v>0</v>
      </c>
      <c r="AP1403" s="55">
        <f t="shared" si="464"/>
        <v>0</v>
      </c>
      <c r="AQ1403" s="55">
        <f>IFERROR(VLOOKUP(A1403,[1]SIIMPLES!$A$2:$F$418,6,FALSE),0)</f>
        <v>0</v>
      </c>
      <c r="AR1403" s="55">
        <v>0</v>
      </c>
      <c r="AS1403" s="55">
        <v>0</v>
      </c>
      <c r="AT1403" s="55">
        <v>0</v>
      </c>
      <c r="AU1403" s="55">
        <v>0</v>
      </c>
      <c r="AV1403" s="55">
        <v>0</v>
      </c>
      <c r="AW1403" s="55"/>
      <c r="AX1403" s="55"/>
      <c r="AY1403" s="56">
        <f t="shared" si="460"/>
        <v>0.4</v>
      </c>
      <c r="AZ1403" s="55"/>
      <c r="BA1403" s="56">
        <v>0</v>
      </c>
    </row>
    <row r="1404" spans="1:53" ht="12.75" customHeight="1" x14ac:dyDescent="0.2">
      <c r="A1404" s="51" t="s">
        <v>266</v>
      </c>
      <c r="B1404" s="51"/>
      <c r="C1404" s="66" t="s">
        <v>1803</v>
      </c>
      <c r="D1404" s="52" t="s">
        <v>740</v>
      </c>
      <c r="E1404" s="52" t="s">
        <v>741</v>
      </c>
      <c r="F1404" s="53">
        <f>IFERROR(VLOOKUP(E1404,Fornecedores!$A$2:$B$2700,2,FALSE),"")</f>
        <v>7</v>
      </c>
      <c r="G1404" s="52" t="s">
        <v>267</v>
      </c>
      <c r="H1404" s="54"/>
      <c r="I1404" s="55">
        <f t="shared" si="461"/>
        <v>0</v>
      </c>
      <c r="J1404" s="55">
        <v>0</v>
      </c>
      <c r="K1404" s="55">
        <v>0</v>
      </c>
      <c r="L1404" s="55">
        <v>0</v>
      </c>
      <c r="M1404" s="55">
        <v>0</v>
      </c>
      <c r="N1404" s="55">
        <f>SUM(O1404:Q1404)</f>
        <v>4</v>
      </c>
      <c r="O1404" s="55">
        <v>0</v>
      </c>
      <c r="P1404" s="55">
        <v>4</v>
      </c>
      <c r="Q1404" s="55">
        <v>0</v>
      </c>
      <c r="R1404" s="55">
        <f t="shared" si="463"/>
        <v>4</v>
      </c>
      <c r="S1404" s="55">
        <v>2</v>
      </c>
      <c r="T1404" s="55">
        <v>2</v>
      </c>
      <c r="U1404" s="55">
        <v>0</v>
      </c>
      <c r="V1404" s="55">
        <v>8</v>
      </c>
      <c r="W1404" s="53">
        <v>0</v>
      </c>
      <c r="X1404" s="53">
        <v>8</v>
      </c>
      <c r="Y1404" s="55">
        <v>0</v>
      </c>
      <c r="Z1404" s="55">
        <v>14</v>
      </c>
      <c r="AA1404" s="53">
        <v>0</v>
      </c>
      <c r="AB1404" s="53">
        <v>14</v>
      </c>
      <c r="AC1404" s="55">
        <v>0</v>
      </c>
      <c r="AD1404" s="55">
        <f t="shared" si="458"/>
        <v>8</v>
      </c>
      <c r="AE1404" s="53">
        <v>0</v>
      </c>
      <c r="AF1404" s="55">
        <v>8</v>
      </c>
      <c r="AG1404" s="55">
        <v>0</v>
      </c>
      <c r="AH1404" s="55">
        <f t="shared" si="459"/>
        <v>6</v>
      </c>
      <c r="AI1404" s="55">
        <v>0</v>
      </c>
      <c r="AJ1404" s="55">
        <v>6</v>
      </c>
      <c r="AK1404" s="55">
        <v>0</v>
      </c>
      <c r="AL1404" s="55">
        <f t="shared" si="451"/>
        <v>4</v>
      </c>
      <c r="AM1404" s="55" t="s">
        <v>1912</v>
      </c>
      <c r="AN1404" s="55">
        <v>4</v>
      </c>
      <c r="AO1404" s="55">
        <v>0</v>
      </c>
      <c r="AP1404" s="55">
        <f t="shared" si="464"/>
        <v>0</v>
      </c>
      <c r="AQ1404" s="55">
        <f>IFERROR(VLOOKUP(A1404,[1]SIIMPLES!$A$2:$F$418,6,FALSE),0)</f>
        <v>0</v>
      </c>
      <c r="AR1404" s="55">
        <v>0</v>
      </c>
      <c r="AS1404" s="55">
        <v>4</v>
      </c>
      <c r="AT1404" s="55">
        <v>0</v>
      </c>
      <c r="AU1404" s="55">
        <v>0</v>
      </c>
      <c r="AV1404" s="55">
        <v>4</v>
      </c>
      <c r="AW1404" s="55"/>
      <c r="AX1404" s="55"/>
      <c r="AY1404" s="56">
        <f t="shared" si="460"/>
        <v>5.2</v>
      </c>
      <c r="AZ1404" s="55"/>
      <c r="BA1404" s="56">
        <v>0.66666666666666663</v>
      </c>
    </row>
    <row r="1405" spans="1:53" ht="12.75" customHeight="1" x14ac:dyDescent="0.2">
      <c r="A1405" s="51" t="s">
        <v>1554</v>
      </c>
      <c r="B1405" s="51"/>
      <c r="C1405" s="66" t="s">
        <v>1803</v>
      </c>
      <c r="D1405" s="52" t="s">
        <v>740</v>
      </c>
      <c r="E1405" s="52" t="s">
        <v>923</v>
      </c>
      <c r="F1405" s="53">
        <f>IFERROR(VLOOKUP(E1405,Fornecedores!$A$2:$B$2700,2,FALSE),"")</f>
        <v>12</v>
      </c>
      <c r="G1405" s="52" t="s">
        <v>1602</v>
      </c>
      <c r="H1405" s="57"/>
      <c r="I1405" s="55">
        <f t="shared" si="461"/>
        <v>0</v>
      </c>
      <c r="J1405" s="57" t="s">
        <v>1282</v>
      </c>
      <c r="K1405" s="55">
        <v>0</v>
      </c>
      <c r="L1405" s="55">
        <v>0</v>
      </c>
      <c r="M1405" s="55">
        <v>0</v>
      </c>
      <c r="N1405" s="55">
        <f>SUM(O1405:Q1405)</f>
        <v>0</v>
      </c>
      <c r="O1405" s="55">
        <v>0</v>
      </c>
      <c r="P1405" s="55">
        <v>0</v>
      </c>
      <c r="Q1405" s="55">
        <v>0</v>
      </c>
      <c r="R1405" s="55">
        <f t="shared" si="463"/>
        <v>0</v>
      </c>
      <c r="S1405" s="55">
        <v>0</v>
      </c>
      <c r="T1405" s="55">
        <v>0</v>
      </c>
      <c r="U1405" s="55">
        <v>0</v>
      </c>
      <c r="V1405" s="55">
        <v>0</v>
      </c>
      <c r="W1405" s="53">
        <v>0</v>
      </c>
      <c r="X1405" s="53">
        <v>0</v>
      </c>
      <c r="Y1405" s="55">
        <v>0</v>
      </c>
      <c r="Z1405" s="55">
        <v>0</v>
      </c>
      <c r="AA1405" s="53">
        <v>0</v>
      </c>
      <c r="AB1405" s="53">
        <v>0</v>
      </c>
      <c r="AC1405" s="55">
        <v>0</v>
      </c>
      <c r="AD1405" s="55">
        <f t="shared" si="458"/>
        <v>0</v>
      </c>
      <c r="AE1405" s="53">
        <v>0</v>
      </c>
      <c r="AF1405" s="55">
        <v>0</v>
      </c>
      <c r="AG1405" s="55">
        <v>0</v>
      </c>
      <c r="AH1405" s="55">
        <f t="shared" si="459"/>
        <v>0</v>
      </c>
      <c r="AI1405" s="55">
        <v>0</v>
      </c>
      <c r="AJ1405" s="55">
        <v>0</v>
      </c>
      <c r="AK1405" s="55">
        <v>0</v>
      </c>
      <c r="AL1405" s="55">
        <f t="shared" si="451"/>
        <v>0</v>
      </c>
      <c r="AM1405" s="55" t="s">
        <v>1912</v>
      </c>
      <c r="AN1405" s="55">
        <v>0</v>
      </c>
      <c r="AO1405" s="55">
        <v>0</v>
      </c>
      <c r="AP1405" s="55">
        <f t="shared" si="464"/>
        <v>0</v>
      </c>
      <c r="AQ1405" s="55">
        <f>IFERROR(VLOOKUP(A1405,[1]SIIMPLES!$A$2:$F$418,6,FALSE),0)</f>
        <v>0</v>
      </c>
      <c r="AR1405" s="55">
        <v>0</v>
      </c>
      <c r="AS1405" s="55">
        <v>2</v>
      </c>
      <c r="AT1405" s="55">
        <v>0</v>
      </c>
      <c r="AU1405" s="55">
        <v>0</v>
      </c>
      <c r="AV1405" s="55">
        <v>2</v>
      </c>
      <c r="AW1405" s="57"/>
      <c r="AX1405" s="57"/>
      <c r="AY1405" s="56">
        <f t="shared" si="460"/>
        <v>0.2</v>
      </c>
      <c r="AZ1405" s="55"/>
      <c r="BA1405" s="56" t="s">
        <v>1912</v>
      </c>
    </row>
    <row r="1406" spans="1:53" ht="12.75" customHeight="1" x14ac:dyDescent="0.2">
      <c r="A1406" s="51" t="s">
        <v>1267</v>
      </c>
      <c r="B1406" s="51"/>
      <c r="C1406" s="66" t="s">
        <v>1803</v>
      </c>
      <c r="D1406" s="52" t="s">
        <v>1274</v>
      </c>
      <c r="E1406" s="52" t="s">
        <v>1761</v>
      </c>
      <c r="F1406" s="53" t="str">
        <f>IFERROR(VLOOKUP(E1406,Fornecedores!$A$2:$B$2700,2,FALSE),"")</f>
        <v/>
      </c>
      <c r="G1406" s="52" t="s">
        <v>1395</v>
      </c>
      <c r="H1406" s="57"/>
      <c r="I1406" s="55">
        <f t="shared" ref="I1406:I1428" si="465">SUM(J1406:M1406)</f>
        <v>0</v>
      </c>
      <c r="J1406" s="55">
        <v>0</v>
      </c>
      <c r="K1406" s="55">
        <v>0</v>
      </c>
      <c r="L1406" s="55">
        <v>0</v>
      </c>
      <c r="M1406" s="55">
        <v>0</v>
      </c>
      <c r="N1406" s="55">
        <f t="shared" ref="N1406:N1428" si="466">SUM(O1406:Q1406)</f>
        <v>0</v>
      </c>
      <c r="O1406" s="55">
        <v>0</v>
      </c>
      <c r="P1406" s="55">
        <v>0</v>
      </c>
      <c r="Q1406" s="55">
        <v>0</v>
      </c>
      <c r="R1406" s="55">
        <f t="shared" ref="R1406:R1428" si="467">SUM(S1406:U1406)</f>
        <v>0</v>
      </c>
      <c r="S1406" s="55">
        <v>0</v>
      </c>
      <c r="T1406" s="55">
        <v>0</v>
      </c>
      <c r="U1406" s="55">
        <v>0</v>
      </c>
      <c r="V1406" s="55">
        <v>0</v>
      </c>
      <c r="W1406" s="53">
        <v>0</v>
      </c>
      <c r="X1406" s="53">
        <v>0</v>
      </c>
      <c r="Y1406" s="55">
        <v>0</v>
      </c>
      <c r="Z1406" s="55">
        <v>0</v>
      </c>
      <c r="AA1406" s="53">
        <v>0</v>
      </c>
      <c r="AB1406" s="53">
        <v>0</v>
      </c>
      <c r="AC1406" s="55">
        <v>0</v>
      </c>
      <c r="AD1406" s="55">
        <f t="shared" ref="AD1406:AD1428" si="468">SUM(AE1406:AG1406)</f>
        <v>0</v>
      </c>
      <c r="AE1406" s="53">
        <v>0</v>
      </c>
      <c r="AF1406" s="55">
        <v>0</v>
      </c>
      <c r="AG1406" s="55">
        <v>0</v>
      </c>
      <c r="AH1406" s="55">
        <f t="shared" ref="AH1406:AH1423" si="469">SUM(AI1406:AK1406)</f>
        <v>0</v>
      </c>
      <c r="AI1406" s="55">
        <v>0</v>
      </c>
      <c r="AJ1406" s="55">
        <v>0</v>
      </c>
      <c r="AK1406" s="55">
        <v>0</v>
      </c>
      <c r="AL1406" s="55">
        <f t="shared" ref="AL1406:AL1426" si="470">SUM(AM1406:AO1406)</f>
        <v>0</v>
      </c>
      <c r="AM1406" s="55" t="s">
        <v>1912</v>
      </c>
      <c r="AN1406" s="55">
        <v>0</v>
      </c>
      <c r="AO1406" s="55">
        <v>0</v>
      </c>
      <c r="AP1406" s="55">
        <f t="shared" ref="AP1406:AP1410" si="471">SUM(AQ1406:AR1406)</f>
        <v>0</v>
      </c>
      <c r="AQ1406" s="55">
        <f>IFERROR(VLOOKUP(A1406,[1]SIIMPLES!$A$2:$F$418,6,FALSE),0)</f>
        <v>0</v>
      </c>
      <c r="AR1406" s="55">
        <v>0</v>
      </c>
      <c r="AS1406" s="55">
        <v>0</v>
      </c>
      <c r="AT1406" s="55">
        <v>0</v>
      </c>
      <c r="AU1406" s="55">
        <v>0</v>
      </c>
      <c r="AV1406" s="55">
        <v>0</v>
      </c>
      <c r="AW1406" s="55"/>
      <c r="AX1406" s="55"/>
      <c r="AY1406" s="56">
        <f t="shared" ref="AY1406:AY1428" si="472">IFERROR(AVERAGE(I1406,N1406,R1406,V1406,Z1406,AD1406,AH1406,AL1406,AP1406,AS1406,AW1406,AX1406),"-")</f>
        <v>0</v>
      </c>
      <c r="AZ1406" s="55"/>
      <c r="BA1406" s="56">
        <v>1</v>
      </c>
    </row>
    <row r="1407" spans="1:53" ht="12.75" customHeight="1" x14ac:dyDescent="0.2">
      <c r="A1407" s="51" t="s">
        <v>1191</v>
      </c>
      <c r="B1407" s="51"/>
      <c r="C1407" s="66" t="s">
        <v>1803</v>
      </c>
      <c r="D1407" s="52" t="s">
        <v>1225</v>
      </c>
      <c r="E1407" s="52" t="s">
        <v>1224</v>
      </c>
      <c r="F1407" s="53">
        <f>IFERROR(VLOOKUP(E1407,Fornecedores!$A$2:$B$2700,2,FALSE),"")</f>
        <v>25</v>
      </c>
      <c r="G1407" s="52" t="s">
        <v>1209</v>
      </c>
      <c r="H1407" s="54"/>
      <c r="I1407" s="55">
        <f t="shared" si="465"/>
        <v>2</v>
      </c>
      <c r="J1407" s="55">
        <v>0</v>
      </c>
      <c r="K1407" s="55">
        <v>0</v>
      </c>
      <c r="L1407" s="55">
        <v>0</v>
      </c>
      <c r="M1407" s="55">
        <v>2</v>
      </c>
      <c r="N1407" s="55">
        <f t="shared" si="466"/>
        <v>0</v>
      </c>
      <c r="O1407" s="55">
        <v>0</v>
      </c>
      <c r="P1407" s="55">
        <v>0</v>
      </c>
      <c r="Q1407" s="55">
        <v>0</v>
      </c>
      <c r="R1407" s="55">
        <f t="shared" si="467"/>
        <v>0</v>
      </c>
      <c r="S1407" s="55">
        <v>0</v>
      </c>
      <c r="T1407" s="55">
        <v>0</v>
      </c>
      <c r="U1407" s="55">
        <v>0</v>
      </c>
      <c r="V1407" s="55">
        <v>0</v>
      </c>
      <c r="W1407" s="53">
        <v>0</v>
      </c>
      <c r="X1407" s="53">
        <v>0</v>
      </c>
      <c r="Y1407" s="55">
        <v>0</v>
      </c>
      <c r="Z1407" s="55">
        <v>0</v>
      </c>
      <c r="AA1407" s="53">
        <v>0</v>
      </c>
      <c r="AB1407" s="53">
        <v>0</v>
      </c>
      <c r="AC1407" s="55">
        <v>0</v>
      </c>
      <c r="AD1407" s="55">
        <f t="shared" si="468"/>
        <v>0</v>
      </c>
      <c r="AE1407" s="53">
        <v>0</v>
      </c>
      <c r="AF1407" s="55">
        <v>0</v>
      </c>
      <c r="AG1407" s="55">
        <v>0</v>
      </c>
      <c r="AH1407" s="55">
        <f t="shared" si="469"/>
        <v>0</v>
      </c>
      <c r="AI1407" s="55">
        <v>0</v>
      </c>
      <c r="AJ1407" s="55">
        <v>0</v>
      </c>
      <c r="AK1407" s="55">
        <v>0</v>
      </c>
      <c r="AL1407" s="55">
        <f t="shared" si="470"/>
        <v>13</v>
      </c>
      <c r="AM1407" s="55" t="s">
        <v>1912</v>
      </c>
      <c r="AN1407" s="55">
        <v>0</v>
      </c>
      <c r="AO1407" s="55">
        <v>13</v>
      </c>
      <c r="AP1407" s="55">
        <f t="shared" si="471"/>
        <v>0</v>
      </c>
      <c r="AQ1407" s="55">
        <f>IFERROR(VLOOKUP(A1407,[1]SIIMPLES!$A$2:$F$418,6,FALSE),0)</f>
        <v>0</v>
      </c>
      <c r="AR1407" s="55">
        <v>0</v>
      </c>
      <c r="AS1407" s="55">
        <v>0</v>
      </c>
      <c r="AT1407" s="55">
        <v>0</v>
      </c>
      <c r="AU1407" s="55">
        <v>0</v>
      </c>
      <c r="AV1407" s="55">
        <v>0</v>
      </c>
      <c r="AW1407" s="55"/>
      <c r="AX1407" s="55"/>
      <c r="AY1407" s="56">
        <f t="shared" si="472"/>
        <v>1.5</v>
      </c>
      <c r="AZ1407" s="55"/>
      <c r="BA1407" s="56">
        <v>1.3333333333333333</v>
      </c>
    </row>
    <row r="1408" spans="1:53" ht="12.75" customHeight="1" x14ac:dyDescent="0.2">
      <c r="A1408" s="68" t="s">
        <v>1411</v>
      </c>
      <c r="B1408" s="51"/>
      <c r="C1408" s="66" t="s">
        <v>1803</v>
      </c>
      <c r="D1408" s="52" t="s">
        <v>1226</v>
      </c>
      <c r="E1408" s="52" t="s">
        <v>1761</v>
      </c>
      <c r="F1408" s="53" t="str">
        <f>IFERROR(VLOOKUP(E1408,Fornecedores!$A$2:$B$2700,2,FALSE),"")</f>
        <v/>
      </c>
      <c r="G1408" s="52" t="s">
        <v>1600</v>
      </c>
      <c r="H1408" s="57"/>
      <c r="I1408" s="55">
        <f t="shared" si="465"/>
        <v>0</v>
      </c>
      <c r="J1408" s="55">
        <v>0</v>
      </c>
      <c r="K1408" s="55">
        <v>0</v>
      </c>
      <c r="L1408" s="55">
        <v>0</v>
      </c>
      <c r="M1408" s="55">
        <v>0</v>
      </c>
      <c r="N1408" s="55">
        <f t="shared" si="466"/>
        <v>0</v>
      </c>
      <c r="O1408" s="55">
        <v>0</v>
      </c>
      <c r="P1408" s="55">
        <v>0</v>
      </c>
      <c r="Q1408" s="55">
        <v>0</v>
      </c>
      <c r="R1408" s="55">
        <f t="shared" si="467"/>
        <v>0</v>
      </c>
      <c r="S1408" s="55">
        <v>0</v>
      </c>
      <c r="T1408" s="55">
        <v>0</v>
      </c>
      <c r="U1408" s="55">
        <v>0</v>
      </c>
      <c r="V1408" s="55">
        <v>0</v>
      </c>
      <c r="W1408" s="53">
        <v>0</v>
      </c>
      <c r="X1408" s="53">
        <v>0</v>
      </c>
      <c r="Y1408" s="55">
        <v>0</v>
      </c>
      <c r="Z1408" s="55">
        <v>0</v>
      </c>
      <c r="AA1408" s="53">
        <v>0</v>
      </c>
      <c r="AB1408" s="53">
        <v>0</v>
      </c>
      <c r="AC1408" s="55">
        <v>0</v>
      </c>
      <c r="AD1408" s="55">
        <f t="shared" si="468"/>
        <v>0</v>
      </c>
      <c r="AE1408" s="53">
        <v>0</v>
      </c>
      <c r="AF1408" s="55">
        <v>0</v>
      </c>
      <c r="AG1408" s="55">
        <v>0</v>
      </c>
      <c r="AH1408" s="55">
        <f t="shared" si="469"/>
        <v>0</v>
      </c>
      <c r="AI1408" s="55">
        <v>0</v>
      </c>
      <c r="AJ1408" s="55">
        <v>0</v>
      </c>
      <c r="AK1408" s="55">
        <v>0</v>
      </c>
      <c r="AL1408" s="55">
        <f t="shared" si="470"/>
        <v>0</v>
      </c>
      <c r="AM1408" s="55" t="s">
        <v>1912</v>
      </c>
      <c r="AN1408" s="55">
        <v>0</v>
      </c>
      <c r="AO1408" s="55">
        <v>0</v>
      </c>
      <c r="AP1408" s="55">
        <f t="shared" si="471"/>
        <v>0</v>
      </c>
      <c r="AQ1408" s="55">
        <f>IFERROR(VLOOKUP(A1408,[1]SIIMPLES!$A$2:$F$418,6,FALSE),0)</f>
        <v>0</v>
      </c>
      <c r="AR1408" s="55">
        <v>0</v>
      </c>
      <c r="AS1408" s="55">
        <v>0</v>
      </c>
      <c r="AT1408" s="55">
        <v>0</v>
      </c>
      <c r="AU1408" s="55">
        <v>0</v>
      </c>
      <c r="AV1408" s="55">
        <v>0</v>
      </c>
      <c r="AW1408" s="57"/>
      <c r="AX1408" s="55"/>
      <c r="AY1408" s="56">
        <f t="shared" si="472"/>
        <v>0</v>
      </c>
      <c r="AZ1408" s="55"/>
      <c r="BA1408" s="56">
        <v>1</v>
      </c>
    </row>
    <row r="1409" spans="1:53" ht="12.75" customHeight="1" x14ac:dyDescent="0.2">
      <c r="A1409" s="51" t="s">
        <v>1452</v>
      </c>
      <c r="B1409" s="51"/>
      <c r="C1409" s="66" t="s">
        <v>1803</v>
      </c>
      <c r="D1409" s="52" t="s">
        <v>1274</v>
      </c>
      <c r="E1409" s="52" t="s">
        <v>1462</v>
      </c>
      <c r="F1409" s="53" t="str">
        <f>IFERROR(VLOOKUP(E1409,Fornecedores!$A$2:$B$2700,2,FALSE),"")</f>
        <v/>
      </c>
      <c r="G1409" s="52" t="s">
        <v>1465</v>
      </c>
      <c r="H1409" s="57"/>
      <c r="I1409" s="55">
        <f t="shared" si="465"/>
        <v>0</v>
      </c>
      <c r="J1409" s="55">
        <v>0</v>
      </c>
      <c r="K1409" s="55">
        <v>0</v>
      </c>
      <c r="L1409" s="55">
        <v>0</v>
      </c>
      <c r="M1409" s="55">
        <v>0</v>
      </c>
      <c r="N1409" s="55">
        <f t="shared" si="466"/>
        <v>0</v>
      </c>
      <c r="O1409" s="55">
        <v>0</v>
      </c>
      <c r="P1409" s="55">
        <v>0</v>
      </c>
      <c r="Q1409" s="55">
        <v>0</v>
      </c>
      <c r="R1409" s="55">
        <f t="shared" si="467"/>
        <v>0</v>
      </c>
      <c r="S1409" s="55">
        <v>0</v>
      </c>
      <c r="T1409" s="55">
        <v>0</v>
      </c>
      <c r="U1409" s="55">
        <v>0</v>
      </c>
      <c r="V1409" s="55">
        <v>0</v>
      </c>
      <c r="W1409" s="53">
        <v>0</v>
      </c>
      <c r="X1409" s="53">
        <v>0</v>
      </c>
      <c r="Y1409" s="55">
        <v>0</v>
      </c>
      <c r="Z1409" s="55">
        <v>0</v>
      </c>
      <c r="AA1409" s="53">
        <v>0</v>
      </c>
      <c r="AB1409" s="53">
        <v>0</v>
      </c>
      <c r="AC1409" s="55">
        <v>0</v>
      </c>
      <c r="AD1409" s="55">
        <f t="shared" si="468"/>
        <v>0</v>
      </c>
      <c r="AE1409" s="53">
        <v>0</v>
      </c>
      <c r="AF1409" s="55">
        <v>0</v>
      </c>
      <c r="AG1409" s="55">
        <v>0</v>
      </c>
      <c r="AH1409" s="55">
        <f t="shared" si="469"/>
        <v>0</v>
      </c>
      <c r="AI1409" s="55">
        <v>0</v>
      </c>
      <c r="AJ1409" s="55">
        <v>0</v>
      </c>
      <c r="AK1409" s="55">
        <v>0</v>
      </c>
      <c r="AL1409" s="55">
        <f t="shared" si="470"/>
        <v>12</v>
      </c>
      <c r="AM1409" s="55" t="s">
        <v>1912</v>
      </c>
      <c r="AN1409" s="55">
        <v>0</v>
      </c>
      <c r="AO1409" s="55">
        <v>12</v>
      </c>
      <c r="AP1409" s="55">
        <f t="shared" si="471"/>
        <v>0</v>
      </c>
      <c r="AQ1409" s="55">
        <f>IFERROR(VLOOKUP(A1409,[1]SIIMPLES!$A$2:$F$418,6,FALSE),0)</f>
        <v>0</v>
      </c>
      <c r="AR1409" s="55">
        <v>0</v>
      </c>
      <c r="AS1409" s="55">
        <v>0</v>
      </c>
      <c r="AT1409" s="55">
        <v>0</v>
      </c>
      <c r="AU1409" s="55">
        <v>0</v>
      </c>
      <c r="AV1409" s="55">
        <v>0</v>
      </c>
      <c r="AW1409" s="57"/>
      <c r="AX1409" s="55"/>
      <c r="AY1409" s="56">
        <f t="shared" si="472"/>
        <v>1.2</v>
      </c>
      <c r="AZ1409" s="55"/>
      <c r="BA1409" s="56">
        <v>2</v>
      </c>
    </row>
    <row r="1410" spans="1:53" ht="12.75" customHeight="1" x14ac:dyDescent="0.2">
      <c r="A1410" s="68" t="s">
        <v>1412</v>
      </c>
      <c r="B1410" s="51"/>
      <c r="C1410" s="66" t="s">
        <v>1803</v>
      </c>
      <c r="D1410" s="52" t="s">
        <v>1225</v>
      </c>
      <c r="E1410" s="52" t="s">
        <v>1761</v>
      </c>
      <c r="F1410" s="53" t="str">
        <f>IFERROR(VLOOKUP(E1410,Fornecedores!$A$2:$B$2700,2,FALSE),"")</f>
        <v/>
      </c>
      <c r="G1410" s="52" t="s">
        <v>1599</v>
      </c>
      <c r="H1410" s="57"/>
      <c r="I1410" s="55">
        <f t="shared" si="465"/>
        <v>0</v>
      </c>
      <c r="J1410" s="55">
        <v>0</v>
      </c>
      <c r="K1410" s="55">
        <v>0</v>
      </c>
      <c r="L1410" s="55">
        <v>0</v>
      </c>
      <c r="M1410" s="55">
        <v>0</v>
      </c>
      <c r="N1410" s="55">
        <f t="shared" si="466"/>
        <v>0</v>
      </c>
      <c r="O1410" s="55">
        <v>0</v>
      </c>
      <c r="P1410" s="55">
        <v>0</v>
      </c>
      <c r="Q1410" s="55">
        <v>0</v>
      </c>
      <c r="R1410" s="55">
        <f t="shared" si="467"/>
        <v>0</v>
      </c>
      <c r="S1410" s="55">
        <v>0</v>
      </c>
      <c r="T1410" s="55">
        <v>0</v>
      </c>
      <c r="U1410" s="55">
        <v>0</v>
      </c>
      <c r="V1410" s="55">
        <v>0</v>
      </c>
      <c r="W1410" s="53">
        <v>0</v>
      </c>
      <c r="X1410" s="53">
        <v>0</v>
      </c>
      <c r="Y1410" s="55">
        <v>0</v>
      </c>
      <c r="Z1410" s="55">
        <v>0</v>
      </c>
      <c r="AA1410" s="53">
        <v>0</v>
      </c>
      <c r="AB1410" s="53">
        <v>0</v>
      </c>
      <c r="AC1410" s="55">
        <v>0</v>
      </c>
      <c r="AD1410" s="55">
        <f t="shared" si="468"/>
        <v>0</v>
      </c>
      <c r="AE1410" s="53">
        <v>0</v>
      </c>
      <c r="AF1410" s="55">
        <v>0</v>
      </c>
      <c r="AG1410" s="55">
        <v>0</v>
      </c>
      <c r="AH1410" s="55">
        <f t="shared" si="469"/>
        <v>0</v>
      </c>
      <c r="AI1410" s="55">
        <v>0</v>
      </c>
      <c r="AJ1410" s="55">
        <v>0</v>
      </c>
      <c r="AK1410" s="55">
        <v>0</v>
      </c>
      <c r="AL1410" s="55">
        <f t="shared" si="470"/>
        <v>0</v>
      </c>
      <c r="AM1410" s="55" t="s">
        <v>1912</v>
      </c>
      <c r="AN1410" s="55">
        <v>0</v>
      </c>
      <c r="AO1410" s="55">
        <v>0</v>
      </c>
      <c r="AP1410" s="55">
        <f t="shared" si="471"/>
        <v>0</v>
      </c>
      <c r="AQ1410" s="55">
        <f>IFERROR(VLOOKUP(A1410,[1]SIIMPLES!$A$2:$F$418,6,FALSE),0)</f>
        <v>0</v>
      </c>
      <c r="AR1410" s="55">
        <v>0</v>
      </c>
      <c r="AS1410" s="55">
        <v>0</v>
      </c>
      <c r="AT1410" s="55">
        <v>0</v>
      </c>
      <c r="AU1410" s="55">
        <v>0</v>
      </c>
      <c r="AV1410" s="55">
        <v>0</v>
      </c>
      <c r="AW1410" s="57"/>
      <c r="AX1410" s="55"/>
      <c r="AY1410" s="56">
        <f t="shared" si="472"/>
        <v>0</v>
      </c>
      <c r="AZ1410" s="55"/>
      <c r="BA1410" s="56">
        <v>0</v>
      </c>
    </row>
    <row r="1411" spans="1:53" ht="12.75" customHeight="1" x14ac:dyDescent="0.2">
      <c r="A1411" s="68" t="s">
        <v>1414</v>
      </c>
      <c r="B1411" s="51"/>
      <c r="C1411" s="66" t="s">
        <v>1803</v>
      </c>
      <c r="D1411" s="52" t="s">
        <v>1445</v>
      </c>
      <c r="E1411" s="52" t="s">
        <v>1761</v>
      </c>
      <c r="F1411" s="53" t="str">
        <f>IFERROR(VLOOKUP(E1411,Fornecedores!$A$2:$B$2700,2,FALSE),"")</f>
        <v/>
      </c>
      <c r="G1411" s="52" t="s">
        <v>1601</v>
      </c>
      <c r="H1411" s="57"/>
      <c r="I1411" s="55">
        <f t="shared" si="465"/>
        <v>0</v>
      </c>
      <c r="J1411" s="55">
        <v>0</v>
      </c>
      <c r="K1411" s="55">
        <v>0</v>
      </c>
      <c r="L1411" s="55">
        <v>0</v>
      </c>
      <c r="M1411" s="55">
        <v>0</v>
      </c>
      <c r="N1411" s="55">
        <f t="shared" si="466"/>
        <v>0</v>
      </c>
      <c r="O1411" s="55">
        <v>0</v>
      </c>
      <c r="P1411" s="55">
        <v>0</v>
      </c>
      <c r="Q1411" s="55">
        <v>0</v>
      </c>
      <c r="R1411" s="55">
        <f t="shared" si="467"/>
        <v>0</v>
      </c>
      <c r="S1411" s="55">
        <v>0</v>
      </c>
      <c r="T1411" s="55">
        <v>0</v>
      </c>
      <c r="U1411" s="55">
        <v>0</v>
      </c>
      <c r="V1411" s="55">
        <v>0</v>
      </c>
      <c r="W1411" s="53">
        <v>0</v>
      </c>
      <c r="X1411" s="53">
        <v>0</v>
      </c>
      <c r="Y1411" s="55">
        <v>0</v>
      </c>
      <c r="Z1411" s="55">
        <v>0</v>
      </c>
      <c r="AA1411" s="53">
        <v>0</v>
      </c>
      <c r="AB1411" s="53">
        <v>0</v>
      </c>
      <c r="AC1411" s="55">
        <v>0</v>
      </c>
      <c r="AD1411" s="55">
        <f t="shared" si="468"/>
        <v>0</v>
      </c>
      <c r="AE1411" s="53">
        <v>0</v>
      </c>
      <c r="AF1411" s="55">
        <v>0</v>
      </c>
      <c r="AG1411" s="55">
        <v>0</v>
      </c>
      <c r="AH1411" s="55">
        <f t="shared" si="469"/>
        <v>0</v>
      </c>
      <c r="AI1411" s="55">
        <v>0</v>
      </c>
      <c r="AJ1411" s="55">
        <v>0</v>
      </c>
      <c r="AK1411" s="55">
        <v>0</v>
      </c>
      <c r="AL1411" s="55">
        <f t="shared" si="470"/>
        <v>0</v>
      </c>
      <c r="AM1411" s="55" t="s">
        <v>1912</v>
      </c>
      <c r="AN1411" s="55">
        <v>0</v>
      </c>
      <c r="AO1411" s="55">
        <v>0</v>
      </c>
      <c r="AP1411" s="55">
        <f t="shared" ref="AP1411:AP1474" si="473">SUM(AQ1411:AR1411)</f>
        <v>0</v>
      </c>
      <c r="AQ1411" s="55">
        <f>IFERROR(VLOOKUP(A1411,[1]SIIMPLES!$A$2:$F$418,6,FALSE),0)</f>
        <v>0</v>
      </c>
      <c r="AR1411" s="55">
        <v>0</v>
      </c>
      <c r="AS1411" s="55">
        <v>1</v>
      </c>
      <c r="AT1411" s="55">
        <v>1</v>
      </c>
      <c r="AU1411" s="55">
        <v>0</v>
      </c>
      <c r="AV1411" s="55">
        <v>0</v>
      </c>
      <c r="AW1411" s="57"/>
      <c r="AX1411" s="55"/>
      <c r="AY1411" s="56">
        <f t="shared" si="472"/>
        <v>0.1</v>
      </c>
      <c r="AZ1411" s="55"/>
      <c r="BA1411" s="56">
        <v>1</v>
      </c>
    </row>
    <row r="1412" spans="1:53" ht="12.75" customHeight="1" x14ac:dyDescent="0.2">
      <c r="A1412" s="51" t="s">
        <v>302</v>
      </c>
      <c r="B1412" s="51" t="s">
        <v>1077</v>
      </c>
      <c r="C1412" s="66" t="s">
        <v>1803</v>
      </c>
      <c r="D1412" s="65" t="s">
        <v>744</v>
      </c>
      <c r="E1412" s="67" t="s">
        <v>727</v>
      </c>
      <c r="F1412" s="53">
        <f>IFERROR(VLOOKUP(E1412,Fornecedores!$A$2:$B$2700,2,FALSE),"")</f>
        <v>1</v>
      </c>
      <c r="G1412" s="52" t="s">
        <v>303</v>
      </c>
      <c r="H1412" s="54"/>
      <c r="I1412" s="55">
        <f t="shared" si="465"/>
        <v>0</v>
      </c>
      <c r="J1412" s="55">
        <v>0</v>
      </c>
      <c r="K1412" s="55">
        <v>0</v>
      </c>
      <c r="L1412" s="55">
        <v>0</v>
      </c>
      <c r="M1412" s="55">
        <v>0</v>
      </c>
      <c r="N1412" s="55">
        <f t="shared" si="466"/>
        <v>0</v>
      </c>
      <c r="O1412" s="55">
        <v>0</v>
      </c>
      <c r="P1412" s="55">
        <v>0</v>
      </c>
      <c r="Q1412" s="55">
        <v>0</v>
      </c>
      <c r="R1412" s="55">
        <f t="shared" si="467"/>
        <v>2</v>
      </c>
      <c r="S1412" s="55">
        <v>0</v>
      </c>
      <c r="T1412" s="55">
        <v>0</v>
      </c>
      <c r="U1412" s="55">
        <v>2</v>
      </c>
      <c r="V1412" s="55">
        <v>30</v>
      </c>
      <c r="W1412" s="53">
        <v>0</v>
      </c>
      <c r="X1412" s="53">
        <v>0</v>
      </c>
      <c r="Y1412" s="55">
        <v>30</v>
      </c>
      <c r="Z1412" s="55">
        <v>0</v>
      </c>
      <c r="AA1412" s="53">
        <v>0</v>
      </c>
      <c r="AB1412" s="53">
        <v>0</v>
      </c>
      <c r="AC1412" s="55">
        <v>0</v>
      </c>
      <c r="AD1412" s="55">
        <f t="shared" si="468"/>
        <v>1</v>
      </c>
      <c r="AE1412" s="53">
        <v>1</v>
      </c>
      <c r="AF1412" s="55">
        <v>0</v>
      </c>
      <c r="AG1412" s="55">
        <v>0</v>
      </c>
      <c r="AH1412" s="55">
        <f t="shared" si="469"/>
        <v>0</v>
      </c>
      <c r="AI1412" s="55">
        <v>0</v>
      </c>
      <c r="AJ1412" s="55">
        <v>0</v>
      </c>
      <c r="AK1412" s="55">
        <v>0</v>
      </c>
      <c r="AL1412" s="55">
        <f t="shared" si="470"/>
        <v>10</v>
      </c>
      <c r="AM1412" s="55" t="s">
        <v>1912</v>
      </c>
      <c r="AN1412" s="55">
        <v>0</v>
      </c>
      <c r="AO1412" s="55">
        <v>10</v>
      </c>
      <c r="AP1412" s="55">
        <f t="shared" si="473"/>
        <v>0</v>
      </c>
      <c r="AQ1412" s="55">
        <f>IFERROR(VLOOKUP(A1412,[1]SIIMPLES!$A$2:$F$418,6,FALSE),0)</f>
        <v>0</v>
      </c>
      <c r="AR1412" s="55">
        <v>0</v>
      </c>
      <c r="AS1412" s="55">
        <v>0</v>
      </c>
      <c r="AT1412" s="55">
        <v>0</v>
      </c>
      <c r="AU1412" s="55">
        <v>0</v>
      </c>
      <c r="AV1412" s="55">
        <v>0</v>
      </c>
      <c r="AW1412" s="55"/>
      <c r="AX1412" s="55"/>
      <c r="AY1412" s="56">
        <f t="shared" si="472"/>
        <v>4.3</v>
      </c>
      <c r="AZ1412" s="55"/>
      <c r="BA1412" s="56">
        <v>6.666666666666667</v>
      </c>
    </row>
    <row r="1413" spans="1:53" ht="12.75" customHeight="1" x14ac:dyDescent="0.2">
      <c r="A1413" s="51" t="s">
        <v>45</v>
      </c>
      <c r="B1413" s="51" t="s">
        <v>1086</v>
      </c>
      <c r="C1413" s="66" t="s">
        <v>1803</v>
      </c>
      <c r="D1413" s="52" t="s">
        <v>745</v>
      </c>
      <c r="E1413" s="52" t="s">
        <v>780</v>
      </c>
      <c r="F1413" s="53">
        <f>IFERROR(VLOOKUP(E1413,Fornecedores!$A$2:$B$2700,2,FALSE),"")</f>
        <v>2</v>
      </c>
      <c r="G1413" s="52" t="s">
        <v>46</v>
      </c>
      <c r="H1413" s="54"/>
      <c r="I1413" s="55">
        <f t="shared" si="465"/>
        <v>0</v>
      </c>
      <c r="J1413" s="55">
        <v>0</v>
      </c>
      <c r="K1413" s="55">
        <v>0</v>
      </c>
      <c r="L1413" s="55">
        <v>0</v>
      </c>
      <c r="M1413" s="55">
        <v>0</v>
      </c>
      <c r="N1413" s="55">
        <f t="shared" si="466"/>
        <v>0</v>
      </c>
      <c r="O1413" s="55">
        <v>0</v>
      </c>
      <c r="P1413" s="55">
        <v>0</v>
      </c>
      <c r="Q1413" s="55">
        <v>0</v>
      </c>
      <c r="R1413" s="55">
        <f t="shared" si="467"/>
        <v>0</v>
      </c>
      <c r="S1413" s="55">
        <v>0</v>
      </c>
      <c r="T1413" s="55">
        <v>0</v>
      </c>
      <c r="U1413" s="55">
        <v>0</v>
      </c>
      <c r="V1413" s="55">
        <v>0</v>
      </c>
      <c r="W1413" s="53">
        <v>0</v>
      </c>
      <c r="X1413" s="53">
        <v>0</v>
      </c>
      <c r="Y1413" s="55">
        <v>0</v>
      </c>
      <c r="Z1413" s="55">
        <v>0</v>
      </c>
      <c r="AA1413" s="53">
        <v>0</v>
      </c>
      <c r="AB1413" s="53">
        <v>0</v>
      </c>
      <c r="AC1413" s="55">
        <v>0</v>
      </c>
      <c r="AD1413" s="55">
        <f t="shared" si="468"/>
        <v>0</v>
      </c>
      <c r="AE1413" s="53">
        <v>0</v>
      </c>
      <c r="AF1413" s="55">
        <v>0</v>
      </c>
      <c r="AG1413" s="55">
        <v>0</v>
      </c>
      <c r="AH1413" s="55">
        <f t="shared" si="469"/>
        <v>0</v>
      </c>
      <c r="AI1413" s="55">
        <v>0</v>
      </c>
      <c r="AJ1413" s="55">
        <v>0</v>
      </c>
      <c r="AK1413" s="55">
        <v>0</v>
      </c>
      <c r="AL1413" s="55">
        <f t="shared" si="470"/>
        <v>0</v>
      </c>
      <c r="AM1413" s="55" t="s">
        <v>1912</v>
      </c>
      <c r="AN1413" s="55">
        <v>0</v>
      </c>
      <c r="AO1413" s="55">
        <v>0</v>
      </c>
      <c r="AP1413" s="55">
        <f t="shared" si="473"/>
        <v>0</v>
      </c>
      <c r="AQ1413" s="55">
        <f>IFERROR(VLOOKUP(A1413,[1]SIIMPLES!$A$2:$F$418,6,FALSE),0)</f>
        <v>0</v>
      </c>
      <c r="AR1413" s="55">
        <v>0</v>
      </c>
      <c r="AS1413" s="55">
        <v>0</v>
      </c>
      <c r="AT1413" s="55">
        <v>0</v>
      </c>
      <c r="AU1413" s="55">
        <v>0</v>
      </c>
      <c r="AV1413" s="55">
        <v>0</v>
      </c>
      <c r="AW1413" s="55"/>
      <c r="AX1413" s="55"/>
      <c r="AY1413" s="56">
        <f t="shared" si="472"/>
        <v>0</v>
      </c>
      <c r="AZ1413" s="55"/>
      <c r="BA1413" s="56">
        <v>0</v>
      </c>
    </row>
    <row r="1414" spans="1:53" ht="12.75" customHeight="1" x14ac:dyDescent="0.2">
      <c r="A1414" s="51" t="s">
        <v>217</v>
      </c>
      <c r="B1414" s="51" t="s">
        <v>1077</v>
      </c>
      <c r="C1414" s="66" t="s">
        <v>1803</v>
      </c>
      <c r="D1414" s="52" t="s">
        <v>745</v>
      </c>
      <c r="E1414" s="52" t="s">
        <v>780</v>
      </c>
      <c r="F1414" s="53">
        <f>IFERROR(VLOOKUP(E1414,Fornecedores!$A$2:$B$2700,2,FALSE),"")</f>
        <v>2</v>
      </c>
      <c r="G1414" s="52" t="s">
        <v>218</v>
      </c>
      <c r="H1414" s="54"/>
      <c r="I1414" s="55">
        <f t="shared" si="465"/>
        <v>0</v>
      </c>
      <c r="J1414" s="55">
        <v>0</v>
      </c>
      <c r="K1414" s="55">
        <v>0</v>
      </c>
      <c r="L1414" s="55">
        <v>0</v>
      </c>
      <c r="M1414" s="55">
        <v>0</v>
      </c>
      <c r="N1414" s="55">
        <f t="shared" si="466"/>
        <v>0</v>
      </c>
      <c r="O1414" s="55">
        <v>0</v>
      </c>
      <c r="P1414" s="55">
        <v>0</v>
      </c>
      <c r="Q1414" s="55">
        <v>0</v>
      </c>
      <c r="R1414" s="55">
        <f t="shared" si="467"/>
        <v>0</v>
      </c>
      <c r="S1414" s="55">
        <v>0</v>
      </c>
      <c r="T1414" s="55">
        <v>0</v>
      </c>
      <c r="U1414" s="55">
        <v>0</v>
      </c>
      <c r="V1414" s="55">
        <v>0</v>
      </c>
      <c r="W1414" s="53">
        <v>0</v>
      </c>
      <c r="X1414" s="53">
        <v>0</v>
      </c>
      <c r="Y1414" s="55">
        <v>0</v>
      </c>
      <c r="Z1414" s="55">
        <v>0</v>
      </c>
      <c r="AA1414" s="53">
        <v>0</v>
      </c>
      <c r="AB1414" s="53">
        <v>0</v>
      </c>
      <c r="AC1414" s="55">
        <v>0</v>
      </c>
      <c r="AD1414" s="55">
        <f t="shared" si="468"/>
        <v>0</v>
      </c>
      <c r="AE1414" s="53">
        <v>0</v>
      </c>
      <c r="AF1414" s="55">
        <v>0</v>
      </c>
      <c r="AG1414" s="55">
        <v>0</v>
      </c>
      <c r="AH1414" s="55">
        <f t="shared" si="469"/>
        <v>0</v>
      </c>
      <c r="AI1414" s="55">
        <v>0</v>
      </c>
      <c r="AJ1414" s="55">
        <v>0</v>
      </c>
      <c r="AK1414" s="55">
        <v>0</v>
      </c>
      <c r="AL1414" s="55">
        <f t="shared" si="470"/>
        <v>0</v>
      </c>
      <c r="AM1414" s="55" t="s">
        <v>1912</v>
      </c>
      <c r="AN1414" s="55">
        <v>0</v>
      </c>
      <c r="AO1414" s="55">
        <v>0</v>
      </c>
      <c r="AP1414" s="55">
        <f t="shared" si="473"/>
        <v>0</v>
      </c>
      <c r="AQ1414" s="55">
        <f>IFERROR(VLOOKUP(A1414,[1]SIIMPLES!$A$2:$F$418,6,FALSE),0)</f>
        <v>0</v>
      </c>
      <c r="AR1414" s="55">
        <v>0</v>
      </c>
      <c r="AS1414" s="55">
        <v>0</v>
      </c>
      <c r="AT1414" s="55">
        <v>0</v>
      </c>
      <c r="AU1414" s="55">
        <v>0</v>
      </c>
      <c r="AV1414" s="55">
        <v>0</v>
      </c>
      <c r="AW1414" s="55"/>
      <c r="AX1414" s="55"/>
      <c r="AY1414" s="56">
        <f t="shared" si="472"/>
        <v>0</v>
      </c>
      <c r="AZ1414" s="55"/>
      <c r="BA1414" s="56">
        <v>0</v>
      </c>
    </row>
    <row r="1415" spans="1:53" ht="12.75" customHeight="1" x14ac:dyDescent="0.2">
      <c r="A1415" s="51" t="s">
        <v>599</v>
      </c>
      <c r="B1415" s="51" t="s">
        <v>1086</v>
      </c>
      <c r="C1415" s="66" t="s">
        <v>1803</v>
      </c>
      <c r="D1415" s="52" t="s">
        <v>745</v>
      </c>
      <c r="E1415" s="52" t="s">
        <v>780</v>
      </c>
      <c r="F1415" s="53">
        <f>IFERROR(VLOOKUP(E1415,Fornecedores!$A$2:$B$2700,2,FALSE),"")</f>
        <v>2</v>
      </c>
      <c r="G1415" s="52" t="s">
        <v>600</v>
      </c>
      <c r="H1415" s="54"/>
      <c r="I1415" s="55">
        <f t="shared" si="465"/>
        <v>0</v>
      </c>
      <c r="J1415" s="55">
        <v>0</v>
      </c>
      <c r="K1415" s="55">
        <v>0</v>
      </c>
      <c r="L1415" s="55">
        <v>0</v>
      </c>
      <c r="M1415" s="55">
        <v>0</v>
      </c>
      <c r="N1415" s="55">
        <f t="shared" si="466"/>
        <v>0</v>
      </c>
      <c r="O1415" s="55">
        <v>0</v>
      </c>
      <c r="P1415" s="55">
        <v>0</v>
      </c>
      <c r="Q1415" s="55">
        <v>0</v>
      </c>
      <c r="R1415" s="55">
        <f t="shared" si="467"/>
        <v>0</v>
      </c>
      <c r="S1415" s="55">
        <v>0</v>
      </c>
      <c r="T1415" s="55">
        <v>0</v>
      </c>
      <c r="U1415" s="55">
        <v>0</v>
      </c>
      <c r="V1415" s="55">
        <v>0</v>
      </c>
      <c r="W1415" s="53">
        <v>0</v>
      </c>
      <c r="X1415" s="53">
        <v>0</v>
      </c>
      <c r="Y1415" s="55">
        <v>0</v>
      </c>
      <c r="Z1415" s="55">
        <v>0</v>
      </c>
      <c r="AA1415" s="53">
        <v>0</v>
      </c>
      <c r="AB1415" s="53">
        <v>0</v>
      </c>
      <c r="AC1415" s="55">
        <v>0</v>
      </c>
      <c r="AD1415" s="55">
        <f t="shared" si="468"/>
        <v>0</v>
      </c>
      <c r="AE1415" s="53">
        <v>0</v>
      </c>
      <c r="AF1415" s="55">
        <v>0</v>
      </c>
      <c r="AG1415" s="55">
        <v>0</v>
      </c>
      <c r="AH1415" s="55">
        <f t="shared" si="469"/>
        <v>0</v>
      </c>
      <c r="AI1415" s="55">
        <v>0</v>
      </c>
      <c r="AJ1415" s="55">
        <v>0</v>
      </c>
      <c r="AK1415" s="55">
        <v>0</v>
      </c>
      <c r="AL1415" s="55">
        <f t="shared" si="470"/>
        <v>0</v>
      </c>
      <c r="AM1415" s="55" t="s">
        <v>1912</v>
      </c>
      <c r="AN1415" s="55">
        <v>0</v>
      </c>
      <c r="AO1415" s="55">
        <v>0</v>
      </c>
      <c r="AP1415" s="55">
        <f t="shared" si="473"/>
        <v>0</v>
      </c>
      <c r="AQ1415" s="55">
        <f>IFERROR(VLOOKUP(A1415,[1]SIIMPLES!$A$2:$F$418,6,FALSE),0)</f>
        <v>0</v>
      </c>
      <c r="AR1415" s="55">
        <v>0</v>
      </c>
      <c r="AS1415" s="55">
        <v>0</v>
      </c>
      <c r="AT1415" s="55">
        <v>0</v>
      </c>
      <c r="AU1415" s="55">
        <v>0</v>
      </c>
      <c r="AV1415" s="55">
        <v>0</v>
      </c>
      <c r="AW1415" s="55"/>
      <c r="AX1415" s="55"/>
      <c r="AY1415" s="56">
        <f t="shared" si="472"/>
        <v>0</v>
      </c>
      <c r="AZ1415" s="55"/>
      <c r="BA1415" s="56">
        <v>0</v>
      </c>
    </row>
    <row r="1416" spans="1:53" ht="12.75" customHeight="1" x14ac:dyDescent="0.2">
      <c r="A1416" s="51" t="s">
        <v>203</v>
      </c>
      <c r="B1416" s="51" t="s">
        <v>1077</v>
      </c>
      <c r="C1416" s="66" t="s">
        <v>1803</v>
      </c>
      <c r="D1416" s="52" t="s">
        <v>745</v>
      </c>
      <c r="E1416" s="52" t="s">
        <v>780</v>
      </c>
      <c r="F1416" s="53">
        <f>IFERROR(VLOOKUP(E1416,Fornecedores!$A$2:$B$2700,2,FALSE),"")</f>
        <v>2</v>
      </c>
      <c r="G1416" s="52" t="s">
        <v>204</v>
      </c>
      <c r="H1416" s="54"/>
      <c r="I1416" s="55">
        <f t="shared" si="465"/>
        <v>0</v>
      </c>
      <c r="J1416" s="55">
        <v>0</v>
      </c>
      <c r="K1416" s="55">
        <v>0</v>
      </c>
      <c r="L1416" s="55">
        <v>0</v>
      </c>
      <c r="M1416" s="55">
        <v>0</v>
      </c>
      <c r="N1416" s="55">
        <f t="shared" si="466"/>
        <v>0</v>
      </c>
      <c r="O1416" s="55">
        <v>0</v>
      </c>
      <c r="P1416" s="55">
        <v>0</v>
      </c>
      <c r="Q1416" s="55">
        <v>0</v>
      </c>
      <c r="R1416" s="55">
        <f t="shared" si="467"/>
        <v>0</v>
      </c>
      <c r="S1416" s="55">
        <v>0</v>
      </c>
      <c r="T1416" s="55">
        <v>0</v>
      </c>
      <c r="U1416" s="55">
        <v>0</v>
      </c>
      <c r="V1416" s="55">
        <v>0</v>
      </c>
      <c r="W1416" s="53">
        <v>0</v>
      </c>
      <c r="X1416" s="53">
        <v>0</v>
      </c>
      <c r="Y1416" s="55">
        <v>0</v>
      </c>
      <c r="Z1416" s="55">
        <v>0</v>
      </c>
      <c r="AA1416" s="53">
        <v>0</v>
      </c>
      <c r="AB1416" s="53">
        <v>0</v>
      </c>
      <c r="AC1416" s="55">
        <v>0</v>
      </c>
      <c r="AD1416" s="55">
        <f t="shared" si="468"/>
        <v>0</v>
      </c>
      <c r="AE1416" s="53">
        <v>0</v>
      </c>
      <c r="AF1416" s="55">
        <v>0</v>
      </c>
      <c r="AG1416" s="55">
        <v>0</v>
      </c>
      <c r="AH1416" s="55">
        <f t="shared" si="469"/>
        <v>0</v>
      </c>
      <c r="AI1416" s="55">
        <v>0</v>
      </c>
      <c r="AJ1416" s="55">
        <v>0</v>
      </c>
      <c r="AK1416" s="55">
        <v>0</v>
      </c>
      <c r="AL1416" s="55">
        <f t="shared" si="470"/>
        <v>0</v>
      </c>
      <c r="AM1416" s="55" t="s">
        <v>1912</v>
      </c>
      <c r="AN1416" s="55">
        <v>0</v>
      </c>
      <c r="AO1416" s="55">
        <v>0</v>
      </c>
      <c r="AP1416" s="55">
        <f t="shared" si="473"/>
        <v>0</v>
      </c>
      <c r="AQ1416" s="55">
        <f>IFERROR(VLOOKUP(A1416,[1]SIIMPLES!$A$2:$F$418,6,FALSE),0)</f>
        <v>0</v>
      </c>
      <c r="AR1416" s="55">
        <v>0</v>
      </c>
      <c r="AS1416" s="55">
        <v>0</v>
      </c>
      <c r="AT1416" s="55">
        <v>0</v>
      </c>
      <c r="AU1416" s="55">
        <v>0</v>
      </c>
      <c r="AV1416" s="55">
        <v>0</v>
      </c>
      <c r="AW1416" s="55"/>
      <c r="AX1416" s="55"/>
      <c r="AY1416" s="56">
        <f t="shared" si="472"/>
        <v>0</v>
      </c>
      <c r="AZ1416" s="55"/>
      <c r="BA1416" s="56">
        <v>0</v>
      </c>
    </row>
    <row r="1417" spans="1:53" ht="12.75" customHeight="1" x14ac:dyDescent="0.2">
      <c r="A1417" s="51" t="s">
        <v>5</v>
      </c>
      <c r="B1417" s="51" t="s">
        <v>1077</v>
      </c>
      <c r="C1417" s="66" t="s">
        <v>1803</v>
      </c>
      <c r="D1417" s="52" t="s">
        <v>745</v>
      </c>
      <c r="E1417" s="52" t="s">
        <v>780</v>
      </c>
      <c r="F1417" s="53">
        <f>IFERROR(VLOOKUP(E1417,Fornecedores!$A$2:$B$2700,2,FALSE),"")</f>
        <v>2</v>
      </c>
      <c r="G1417" s="52" t="s">
        <v>171</v>
      </c>
      <c r="H1417" s="54"/>
      <c r="I1417" s="55">
        <f t="shared" si="465"/>
        <v>0</v>
      </c>
      <c r="J1417" s="55">
        <v>0</v>
      </c>
      <c r="K1417" s="55">
        <v>0</v>
      </c>
      <c r="L1417" s="55">
        <v>0</v>
      </c>
      <c r="M1417" s="55">
        <v>0</v>
      </c>
      <c r="N1417" s="55">
        <f t="shared" si="466"/>
        <v>0</v>
      </c>
      <c r="O1417" s="55">
        <v>0</v>
      </c>
      <c r="P1417" s="55">
        <v>0</v>
      </c>
      <c r="Q1417" s="55">
        <v>0</v>
      </c>
      <c r="R1417" s="55">
        <f t="shared" si="467"/>
        <v>0</v>
      </c>
      <c r="S1417" s="55">
        <v>0</v>
      </c>
      <c r="T1417" s="55">
        <v>0</v>
      </c>
      <c r="U1417" s="55">
        <v>0</v>
      </c>
      <c r="V1417" s="55">
        <v>0</v>
      </c>
      <c r="W1417" s="53">
        <v>0</v>
      </c>
      <c r="X1417" s="53">
        <v>0</v>
      </c>
      <c r="Y1417" s="55">
        <v>0</v>
      </c>
      <c r="Z1417" s="55">
        <v>0</v>
      </c>
      <c r="AA1417" s="53">
        <v>0</v>
      </c>
      <c r="AB1417" s="53">
        <v>0</v>
      </c>
      <c r="AC1417" s="55">
        <v>0</v>
      </c>
      <c r="AD1417" s="55">
        <f t="shared" si="468"/>
        <v>0</v>
      </c>
      <c r="AE1417" s="53">
        <v>0</v>
      </c>
      <c r="AF1417" s="55">
        <v>0</v>
      </c>
      <c r="AG1417" s="55">
        <v>0</v>
      </c>
      <c r="AH1417" s="55">
        <f t="shared" si="469"/>
        <v>0</v>
      </c>
      <c r="AI1417" s="55">
        <v>0</v>
      </c>
      <c r="AJ1417" s="55">
        <v>0</v>
      </c>
      <c r="AK1417" s="55">
        <v>0</v>
      </c>
      <c r="AL1417" s="55">
        <f t="shared" si="470"/>
        <v>0</v>
      </c>
      <c r="AM1417" s="55" t="s">
        <v>1912</v>
      </c>
      <c r="AN1417" s="55">
        <v>0</v>
      </c>
      <c r="AO1417" s="55">
        <v>0</v>
      </c>
      <c r="AP1417" s="55">
        <f t="shared" si="473"/>
        <v>0</v>
      </c>
      <c r="AQ1417" s="55">
        <f>IFERROR(VLOOKUP(A1417,[1]SIIMPLES!$A$2:$F$418,6,FALSE),0)</f>
        <v>0</v>
      </c>
      <c r="AR1417" s="55">
        <v>0</v>
      </c>
      <c r="AS1417" s="55">
        <v>0</v>
      </c>
      <c r="AT1417" s="55">
        <v>0</v>
      </c>
      <c r="AU1417" s="55">
        <v>0</v>
      </c>
      <c r="AV1417" s="55">
        <v>0</v>
      </c>
      <c r="AW1417" s="55"/>
      <c r="AX1417" s="55"/>
      <c r="AY1417" s="56">
        <f t="shared" si="472"/>
        <v>0</v>
      </c>
      <c r="AZ1417" s="55"/>
      <c r="BA1417" s="56">
        <v>0</v>
      </c>
    </row>
    <row r="1418" spans="1:53" ht="12.75" customHeight="1" x14ac:dyDescent="0.2">
      <c r="A1418" s="51" t="s">
        <v>243</v>
      </c>
      <c r="B1418" s="51" t="s">
        <v>1077</v>
      </c>
      <c r="C1418" s="66" t="s">
        <v>1803</v>
      </c>
      <c r="D1418" s="52" t="s">
        <v>745</v>
      </c>
      <c r="E1418" s="52" t="s">
        <v>780</v>
      </c>
      <c r="F1418" s="53">
        <f>IFERROR(VLOOKUP(E1418,Fornecedores!$A$2:$B$2700,2,FALSE),"")</f>
        <v>2</v>
      </c>
      <c r="G1418" s="52" t="s">
        <v>1084</v>
      </c>
      <c r="H1418" s="54"/>
      <c r="I1418" s="55">
        <f t="shared" si="465"/>
        <v>0</v>
      </c>
      <c r="J1418" s="55">
        <v>0</v>
      </c>
      <c r="K1418" s="55">
        <v>0</v>
      </c>
      <c r="L1418" s="55">
        <v>0</v>
      </c>
      <c r="M1418" s="55">
        <v>0</v>
      </c>
      <c r="N1418" s="55">
        <f t="shared" si="466"/>
        <v>0</v>
      </c>
      <c r="O1418" s="55">
        <v>0</v>
      </c>
      <c r="P1418" s="55">
        <v>0</v>
      </c>
      <c r="Q1418" s="55">
        <v>0</v>
      </c>
      <c r="R1418" s="55">
        <f t="shared" si="467"/>
        <v>0</v>
      </c>
      <c r="S1418" s="55">
        <v>0</v>
      </c>
      <c r="T1418" s="55">
        <v>0</v>
      </c>
      <c r="U1418" s="55">
        <v>0</v>
      </c>
      <c r="V1418" s="55">
        <v>0</v>
      </c>
      <c r="W1418" s="53">
        <v>0</v>
      </c>
      <c r="X1418" s="53">
        <v>0</v>
      </c>
      <c r="Y1418" s="55">
        <v>0</v>
      </c>
      <c r="Z1418" s="55">
        <v>0</v>
      </c>
      <c r="AA1418" s="53">
        <v>0</v>
      </c>
      <c r="AB1418" s="53">
        <v>0</v>
      </c>
      <c r="AC1418" s="55">
        <v>0</v>
      </c>
      <c r="AD1418" s="55">
        <f t="shared" si="468"/>
        <v>0</v>
      </c>
      <c r="AE1418" s="53">
        <v>0</v>
      </c>
      <c r="AF1418" s="55">
        <v>0</v>
      </c>
      <c r="AG1418" s="55">
        <v>0</v>
      </c>
      <c r="AH1418" s="55">
        <f t="shared" si="469"/>
        <v>0</v>
      </c>
      <c r="AI1418" s="55">
        <v>0</v>
      </c>
      <c r="AJ1418" s="55">
        <v>0</v>
      </c>
      <c r="AK1418" s="55">
        <v>0</v>
      </c>
      <c r="AL1418" s="55">
        <f t="shared" si="470"/>
        <v>0</v>
      </c>
      <c r="AM1418" s="55" t="s">
        <v>1912</v>
      </c>
      <c r="AN1418" s="55">
        <v>0</v>
      </c>
      <c r="AO1418" s="55">
        <v>0</v>
      </c>
      <c r="AP1418" s="55">
        <f t="shared" si="473"/>
        <v>0</v>
      </c>
      <c r="AQ1418" s="55">
        <f>IFERROR(VLOOKUP(A1418,[1]SIIMPLES!$A$2:$F$418,6,FALSE),0)</f>
        <v>0</v>
      </c>
      <c r="AR1418" s="55">
        <v>0</v>
      </c>
      <c r="AS1418" s="55">
        <v>0</v>
      </c>
      <c r="AT1418" s="55">
        <v>0</v>
      </c>
      <c r="AU1418" s="55">
        <v>0</v>
      </c>
      <c r="AV1418" s="55">
        <v>0</v>
      </c>
      <c r="AW1418" s="55"/>
      <c r="AX1418" s="55"/>
      <c r="AY1418" s="56">
        <f t="shared" si="472"/>
        <v>0</v>
      </c>
      <c r="AZ1418" s="55"/>
      <c r="BA1418" s="56">
        <v>0</v>
      </c>
    </row>
    <row r="1419" spans="1:53" ht="12.75" customHeight="1" x14ac:dyDescent="0.2">
      <c r="A1419" s="51" t="s">
        <v>214</v>
      </c>
      <c r="B1419" s="51" t="s">
        <v>1077</v>
      </c>
      <c r="C1419" s="66" t="s">
        <v>1803</v>
      </c>
      <c r="D1419" s="52" t="s">
        <v>745</v>
      </c>
      <c r="E1419" s="52" t="s">
        <v>780</v>
      </c>
      <c r="F1419" s="53">
        <f>IFERROR(VLOOKUP(E1419,Fornecedores!$A$2:$B$2700,2,FALSE),"")</f>
        <v>2</v>
      </c>
      <c r="G1419" s="52" t="s">
        <v>215</v>
      </c>
      <c r="H1419" s="54"/>
      <c r="I1419" s="55">
        <f t="shared" si="465"/>
        <v>0</v>
      </c>
      <c r="J1419" s="55">
        <v>0</v>
      </c>
      <c r="K1419" s="55">
        <v>0</v>
      </c>
      <c r="L1419" s="55">
        <v>0</v>
      </c>
      <c r="M1419" s="55">
        <v>0</v>
      </c>
      <c r="N1419" s="55">
        <f t="shared" si="466"/>
        <v>0</v>
      </c>
      <c r="O1419" s="55">
        <v>0</v>
      </c>
      <c r="P1419" s="55">
        <v>0</v>
      </c>
      <c r="Q1419" s="55">
        <v>0</v>
      </c>
      <c r="R1419" s="55">
        <f t="shared" si="467"/>
        <v>0</v>
      </c>
      <c r="S1419" s="55">
        <v>0</v>
      </c>
      <c r="T1419" s="55">
        <v>0</v>
      </c>
      <c r="U1419" s="55">
        <v>0</v>
      </c>
      <c r="V1419" s="55">
        <v>0</v>
      </c>
      <c r="W1419" s="53">
        <v>0</v>
      </c>
      <c r="X1419" s="53">
        <v>0</v>
      </c>
      <c r="Y1419" s="55">
        <v>0</v>
      </c>
      <c r="Z1419" s="55">
        <v>0</v>
      </c>
      <c r="AA1419" s="53">
        <v>0</v>
      </c>
      <c r="AB1419" s="53">
        <v>0</v>
      </c>
      <c r="AC1419" s="55">
        <v>0</v>
      </c>
      <c r="AD1419" s="55">
        <f t="shared" si="468"/>
        <v>0</v>
      </c>
      <c r="AE1419" s="53">
        <v>0</v>
      </c>
      <c r="AF1419" s="55">
        <v>0</v>
      </c>
      <c r="AG1419" s="55">
        <v>0</v>
      </c>
      <c r="AH1419" s="55">
        <f t="shared" si="469"/>
        <v>0</v>
      </c>
      <c r="AI1419" s="55">
        <v>0</v>
      </c>
      <c r="AJ1419" s="55">
        <v>0</v>
      </c>
      <c r="AK1419" s="55">
        <v>0</v>
      </c>
      <c r="AL1419" s="55">
        <f t="shared" si="470"/>
        <v>0</v>
      </c>
      <c r="AM1419" s="55" t="s">
        <v>1912</v>
      </c>
      <c r="AN1419" s="55">
        <v>0</v>
      </c>
      <c r="AO1419" s="55">
        <v>0</v>
      </c>
      <c r="AP1419" s="55">
        <f t="shared" si="473"/>
        <v>0</v>
      </c>
      <c r="AQ1419" s="55">
        <f>IFERROR(VLOOKUP(A1419,[1]SIIMPLES!$A$2:$F$418,6,FALSE),0)</f>
        <v>0</v>
      </c>
      <c r="AR1419" s="55">
        <v>0</v>
      </c>
      <c r="AS1419" s="55">
        <v>0</v>
      </c>
      <c r="AT1419" s="55">
        <v>0</v>
      </c>
      <c r="AU1419" s="55">
        <v>0</v>
      </c>
      <c r="AV1419" s="55">
        <v>0</v>
      </c>
      <c r="AW1419" s="55"/>
      <c r="AX1419" s="55"/>
      <c r="AY1419" s="56">
        <f t="shared" si="472"/>
        <v>0</v>
      </c>
      <c r="AZ1419" s="55"/>
      <c r="BA1419" s="56">
        <v>0</v>
      </c>
    </row>
    <row r="1420" spans="1:53" ht="12.75" customHeight="1" x14ac:dyDescent="0.2">
      <c r="A1420" s="51" t="s">
        <v>197</v>
      </c>
      <c r="B1420" s="51" t="s">
        <v>1077</v>
      </c>
      <c r="C1420" s="66" t="s">
        <v>1803</v>
      </c>
      <c r="D1420" s="52" t="s">
        <v>745</v>
      </c>
      <c r="E1420" s="52" t="s">
        <v>780</v>
      </c>
      <c r="F1420" s="53">
        <f>IFERROR(VLOOKUP(E1420,Fornecedores!$A$2:$B$2700,2,FALSE),"")</f>
        <v>2</v>
      </c>
      <c r="G1420" s="52" t="s">
        <v>198</v>
      </c>
      <c r="H1420" s="54"/>
      <c r="I1420" s="55">
        <f t="shared" si="465"/>
        <v>0</v>
      </c>
      <c r="J1420" s="55">
        <v>0</v>
      </c>
      <c r="K1420" s="55">
        <v>0</v>
      </c>
      <c r="L1420" s="55">
        <v>0</v>
      </c>
      <c r="M1420" s="55">
        <v>0</v>
      </c>
      <c r="N1420" s="55">
        <f t="shared" si="466"/>
        <v>0</v>
      </c>
      <c r="O1420" s="55">
        <v>0</v>
      </c>
      <c r="P1420" s="55">
        <v>0</v>
      </c>
      <c r="Q1420" s="55">
        <v>0</v>
      </c>
      <c r="R1420" s="55">
        <f t="shared" si="467"/>
        <v>0</v>
      </c>
      <c r="S1420" s="55">
        <v>0</v>
      </c>
      <c r="T1420" s="55">
        <v>0</v>
      </c>
      <c r="U1420" s="55">
        <v>0</v>
      </c>
      <c r="V1420" s="55">
        <v>0</v>
      </c>
      <c r="W1420" s="53">
        <v>0</v>
      </c>
      <c r="X1420" s="53">
        <v>0</v>
      </c>
      <c r="Y1420" s="55">
        <v>0</v>
      </c>
      <c r="Z1420" s="55">
        <v>0</v>
      </c>
      <c r="AA1420" s="53">
        <v>0</v>
      </c>
      <c r="AB1420" s="53">
        <v>0</v>
      </c>
      <c r="AC1420" s="55">
        <v>0</v>
      </c>
      <c r="AD1420" s="55">
        <f t="shared" si="468"/>
        <v>0</v>
      </c>
      <c r="AE1420" s="53">
        <v>0</v>
      </c>
      <c r="AF1420" s="55">
        <v>0</v>
      </c>
      <c r="AG1420" s="55">
        <v>0</v>
      </c>
      <c r="AH1420" s="55">
        <f t="shared" si="469"/>
        <v>0</v>
      </c>
      <c r="AI1420" s="55">
        <v>0</v>
      </c>
      <c r="AJ1420" s="55">
        <v>0</v>
      </c>
      <c r="AK1420" s="55">
        <v>0</v>
      </c>
      <c r="AL1420" s="55">
        <f t="shared" si="470"/>
        <v>0</v>
      </c>
      <c r="AM1420" s="55" t="s">
        <v>1912</v>
      </c>
      <c r="AN1420" s="55">
        <v>0</v>
      </c>
      <c r="AO1420" s="55">
        <v>0</v>
      </c>
      <c r="AP1420" s="55">
        <f t="shared" si="473"/>
        <v>0</v>
      </c>
      <c r="AQ1420" s="55">
        <f>IFERROR(VLOOKUP(A1420,[1]SIIMPLES!$A$2:$F$418,6,FALSE),0)</f>
        <v>0</v>
      </c>
      <c r="AR1420" s="55">
        <v>0</v>
      </c>
      <c r="AS1420" s="55">
        <v>0</v>
      </c>
      <c r="AT1420" s="55">
        <v>0</v>
      </c>
      <c r="AU1420" s="55">
        <v>0</v>
      </c>
      <c r="AV1420" s="55">
        <v>0</v>
      </c>
      <c r="AW1420" s="55"/>
      <c r="AX1420" s="55"/>
      <c r="AY1420" s="56">
        <f t="shared" si="472"/>
        <v>0</v>
      </c>
      <c r="AZ1420" s="55"/>
      <c r="BA1420" s="56">
        <v>0</v>
      </c>
    </row>
    <row r="1421" spans="1:53" ht="12.75" customHeight="1" x14ac:dyDescent="0.2">
      <c r="A1421" s="51" t="s">
        <v>240</v>
      </c>
      <c r="B1421" s="51" t="s">
        <v>1077</v>
      </c>
      <c r="C1421" s="66" t="s">
        <v>1803</v>
      </c>
      <c r="D1421" s="52" t="s">
        <v>745</v>
      </c>
      <c r="E1421" s="52" t="s">
        <v>780</v>
      </c>
      <c r="F1421" s="53">
        <f>IFERROR(VLOOKUP(E1421,Fornecedores!$A$2:$B$2700,2,FALSE),"")</f>
        <v>2</v>
      </c>
      <c r="G1421" s="52" t="s">
        <v>241</v>
      </c>
      <c r="H1421" s="54"/>
      <c r="I1421" s="55">
        <f t="shared" si="465"/>
        <v>0</v>
      </c>
      <c r="J1421" s="55">
        <v>0</v>
      </c>
      <c r="K1421" s="55">
        <v>0</v>
      </c>
      <c r="L1421" s="55">
        <v>0</v>
      </c>
      <c r="M1421" s="55">
        <v>0</v>
      </c>
      <c r="N1421" s="55">
        <f t="shared" si="466"/>
        <v>0</v>
      </c>
      <c r="O1421" s="55">
        <v>0</v>
      </c>
      <c r="P1421" s="55">
        <v>0</v>
      </c>
      <c r="Q1421" s="55">
        <v>0</v>
      </c>
      <c r="R1421" s="55">
        <f t="shared" si="467"/>
        <v>0</v>
      </c>
      <c r="S1421" s="55">
        <v>0</v>
      </c>
      <c r="T1421" s="55">
        <v>0</v>
      </c>
      <c r="U1421" s="55">
        <v>0</v>
      </c>
      <c r="V1421" s="55">
        <v>0</v>
      </c>
      <c r="W1421" s="53">
        <v>0</v>
      </c>
      <c r="X1421" s="53">
        <v>0</v>
      </c>
      <c r="Y1421" s="55">
        <v>0</v>
      </c>
      <c r="Z1421" s="55">
        <v>0</v>
      </c>
      <c r="AA1421" s="53">
        <v>0</v>
      </c>
      <c r="AB1421" s="53">
        <v>0</v>
      </c>
      <c r="AC1421" s="55">
        <v>0</v>
      </c>
      <c r="AD1421" s="55">
        <f t="shared" si="468"/>
        <v>0</v>
      </c>
      <c r="AE1421" s="53">
        <v>0</v>
      </c>
      <c r="AF1421" s="55">
        <v>0</v>
      </c>
      <c r="AG1421" s="55">
        <v>0</v>
      </c>
      <c r="AH1421" s="55">
        <f t="shared" si="469"/>
        <v>0</v>
      </c>
      <c r="AI1421" s="55">
        <v>0</v>
      </c>
      <c r="AJ1421" s="55">
        <v>0</v>
      </c>
      <c r="AK1421" s="55">
        <v>0</v>
      </c>
      <c r="AL1421" s="55">
        <f t="shared" si="470"/>
        <v>0</v>
      </c>
      <c r="AM1421" s="55" t="s">
        <v>1912</v>
      </c>
      <c r="AN1421" s="55">
        <v>0</v>
      </c>
      <c r="AO1421" s="55">
        <v>0</v>
      </c>
      <c r="AP1421" s="55">
        <f t="shared" si="473"/>
        <v>0</v>
      </c>
      <c r="AQ1421" s="55">
        <f>IFERROR(VLOOKUP(A1421,[1]SIIMPLES!$A$2:$F$418,6,FALSE),0)</f>
        <v>0</v>
      </c>
      <c r="AR1421" s="55">
        <v>0</v>
      </c>
      <c r="AS1421" s="55">
        <v>0</v>
      </c>
      <c r="AT1421" s="55">
        <v>0</v>
      </c>
      <c r="AU1421" s="55">
        <v>0</v>
      </c>
      <c r="AV1421" s="55">
        <v>0</v>
      </c>
      <c r="AW1421" s="55"/>
      <c r="AX1421" s="55"/>
      <c r="AY1421" s="56">
        <f t="shared" si="472"/>
        <v>0</v>
      </c>
      <c r="AZ1421" s="55"/>
      <c r="BA1421" s="56">
        <v>0.5</v>
      </c>
    </row>
    <row r="1422" spans="1:53" ht="12.75" customHeight="1" x14ac:dyDescent="0.2">
      <c r="A1422" s="51" t="s">
        <v>100</v>
      </c>
      <c r="B1422" s="51" t="s">
        <v>1077</v>
      </c>
      <c r="C1422" s="66" t="s">
        <v>1803</v>
      </c>
      <c r="D1422" s="52" t="s">
        <v>745</v>
      </c>
      <c r="E1422" s="52" t="s">
        <v>780</v>
      </c>
      <c r="F1422" s="53">
        <f>IFERROR(VLOOKUP(E1422,Fornecedores!$A$2:$B$2700,2,FALSE),"")</f>
        <v>2</v>
      </c>
      <c r="G1422" s="52" t="s">
        <v>101</v>
      </c>
      <c r="H1422" s="54"/>
      <c r="I1422" s="55">
        <f t="shared" si="465"/>
        <v>0</v>
      </c>
      <c r="J1422" s="55">
        <v>0</v>
      </c>
      <c r="K1422" s="55">
        <v>0</v>
      </c>
      <c r="L1422" s="55">
        <v>0</v>
      </c>
      <c r="M1422" s="55">
        <v>0</v>
      </c>
      <c r="N1422" s="55">
        <f t="shared" si="466"/>
        <v>0</v>
      </c>
      <c r="O1422" s="55">
        <v>0</v>
      </c>
      <c r="P1422" s="55">
        <v>0</v>
      </c>
      <c r="Q1422" s="55">
        <v>0</v>
      </c>
      <c r="R1422" s="55">
        <f t="shared" si="467"/>
        <v>0</v>
      </c>
      <c r="S1422" s="55">
        <v>0</v>
      </c>
      <c r="T1422" s="55">
        <v>0</v>
      </c>
      <c r="U1422" s="55">
        <v>0</v>
      </c>
      <c r="V1422" s="55">
        <v>0</v>
      </c>
      <c r="W1422" s="53">
        <v>0</v>
      </c>
      <c r="X1422" s="53">
        <v>0</v>
      </c>
      <c r="Y1422" s="55">
        <v>0</v>
      </c>
      <c r="Z1422" s="55">
        <v>0</v>
      </c>
      <c r="AA1422" s="53">
        <v>0</v>
      </c>
      <c r="AB1422" s="53">
        <v>0</v>
      </c>
      <c r="AC1422" s="55">
        <v>0</v>
      </c>
      <c r="AD1422" s="55">
        <f t="shared" si="468"/>
        <v>0</v>
      </c>
      <c r="AE1422" s="53">
        <v>0</v>
      </c>
      <c r="AF1422" s="55">
        <v>0</v>
      </c>
      <c r="AG1422" s="55">
        <v>0</v>
      </c>
      <c r="AH1422" s="55">
        <f t="shared" si="469"/>
        <v>0</v>
      </c>
      <c r="AI1422" s="55">
        <v>0</v>
      </c>
      <c r="AJ1422" s="55">
        <v>0</v>
      </c>
      <c r="AK1422" s="55">
        <v>0</v>
      </c>
      <c r="AL1422" s="55">
        <f t="shared" si="470"/>
        <v>0</v>
      </c>
      <c r="AM1422" s="55" t="s">
        <v>1912</v>
      </c>
      <c r="AN1422" s="55">
        <v>0</v>
      </c>
      <c r="AO1422" s="55">
        <v>0</v>
      </c>
      <c r="AP1422" s="55">
        <f t="shared" si="473"/>
        <v>0</v>
      </c>
      <c r="AQ1422" s="55">
        <f>IFERROR(VLOOKUP(A1422,[1]SIIMPLES!$A$2:$F$418,6,FALSE),0)</f>
        <v>0</v>
      </c>
      <c r="AR1422" s="55">
        <v>0</v>
      </c>
      <c r="AS1422" s="55">
        <v>0</v>
      </c>
      <c r="AT1422" s="55">
        <v>0</v>
      </c>
      <c r="AU1422" s="55">
        <v>0</v>
      </c>
      <c r="AV1422" s="55">
        <v>0</v>
      </c>
      <c r="AW1422" s="55"/>
      <c r="AX1422" s="55"/>
      <c r="AY1422" s="56">
        <f t="shared" si="472"/>
        <v>0</v>
      </c>
      <c r="AZ1422" s="55"/>
      <c r="BA1422" s="56">
        <v>0</v>
      </c>
    </row>
    <row r="1423" spans="1:53" ht="12.75" customHeight="1" x14ac:dyDescent="0.2">
      <c r="A1423" s="51" t="s">
        <v>813</v>
      </c>
      <c r="B1423" s="51" t="s">
        <v>1086</v>
      </c>
      <c r="C1423" s="66" t="s">
        <v>1803</v>
      </c>
      <c r="D1423" s="52" t="s">
        <v>745</v>
      </c>
      <c r="E1423" s="52" t="s">
        <v>780</v>
      </c>
      <c r="F1423" s="53">
        <f>IFERROR(VLOOKUP(E1423,Fornecedores!$A$2:$B$2700,2,FALSE),"")</f>
        <v>2</v>
      </c>
      <c r="G1423" s="52" t="s">
        <v>1085</v>
      </c>
      <c r="H1423" s="54"/>
      <c r="I1423" s="55">
        <f t="shared" si="465"/>
        <v>0</v>
      </c>
      <c r="J1423" s="55">
        <v>0</v>
      </c>
      <c r="K1423" s="55">
        <v>0</v>
      </c>
      <c r="L1423" s="55">
        <v>0</v>
      </c>
      <c r="M1423" s="55">
        <v>0</v>
      </c>
      <c r="N1423" s="55">
        <f t="shared" si="466"/>
        <v>0</v>
      </c>
      <c r="O1423" s="55">
        <v>0</v>
      </c>
      <c r="P1423" s="55">
        <v>0</v>
      </c>
      <c r="Q1423" s="55">
        <v>0</v>
      </c>
      <c r="R1423" s="55">
        <f t="shared" si="467"/>
        <v>0</v>
      </c>
      <c r="S1423" s="55">
        <v>0</v>
      </c>
      <c r="T1423" s="55">
        <v>0</v>
      </c>
      <c r="U1423" s="55">
        <v>0</v>
      </c>
      <c r="V1423" s="55">
        <v>0</v>
      </c>
      <c r="W1423" s="53">
        <v>0</v>
      </c>
      <c r="X1423" s="53">
        <v>0</v>
      </c>
      <c r="Y1423" s="55">
        <v>0</v>
      </c>
      <c r="Z1423" s="55">
        <v>0</v>
      </c>
      <c r="AA1423" s="53">
        <v>0</v>
      </c>
      <c r="AB1423" s="53">
        <v>0</v>
      </c>
      <c r="AC1423" s="55">
        <v>0</v>
      </c>
      <c r="AD1423" s="55">
        <f t="shared" si="468"/>
        <v>0</v>
      </c>
      <c r="AE1423" s="53">
        <v>0</v>
      </c>
      <c r="AF1423" s="55">
        <v>0</v>
      </c>
      <c r="AG1423" s="55">
        <v>0</v>
      </c>
      <c r="AH1423" s="55">
        <f t="shared" si="469"/>
        <v>0</v>
      </c>
      <c r="AI1423" s="55">
        <v>0</v>
      </c>
      <c r="AJ1423" s="55">
        <v>0</v>
      </c>
      <c r="AK1423" s="55">
        <v>0</v>
      </c>
      <c r="AL1423" s="55">
        <f t="shared" si="470"/>
        <v>0</v>
      </c>
      <c r="AM1423" s="55" t="s">
        <v>1912</v>
      </c>
      <c r="AN1423" s="55">
        <v>0</v>
      </c>
      <c r="AO1423" s="55">
        <v>0</v>
      </c>
      <c r="AP1423" s="55">
        <f t="shared" si="473"/>
        <v>0</v>
      </c>
      <c r="AQ1423" s="55">
        <f>IFERROR(VLOOKUP(A1423,[1]SIIMPLES!$A$2:$F$418,6,FALSE),0)</f>
        <v>0</v>
      </c>
      <c r="AR1423" s="55">
        <v>0</v>
      </c>
      <c r="AS1423" s="55">
        <v>0</v>
      </c>
      <c r="AT1423" s="55">
        <v>0</v>
      </c>
      <c r="AU1423" s="55">
        <v>0</v>
      </c>
      <c r="AV1423" s="55">
        <v>0</v>
      </c>
      <c r="AW1423" s="55"/>
      <c r="AX1423" s="55"/>
      <c r="AY1423" s="56">
        <f t="shared" si="472"/>
        <v>0</v>
      </c>
      <c r="AZ1423" s="55"/>
      <c r="BA1423" s="56">
        <v>0</v>
      </c>
    </row>
    <row r="1424" spans="1:53" ht="12.75" customHeight="1" x14ac:dyDescent="0.2">
      <c r="A1424" s="51" t="s">
        <v>194</v>
      </c>
      <c r="B1424" s="51" t="s">
        <v>1077</v>
      </c>
      <c r="C1424" s="66" t="s">
        <v>1803</v>
      </c>
      <c r="D1424" s="52" t="s">
        <v>745</v>
      </c>
      <c r="E1424" s="52" t="s">
        <v>780</v>
      </c>
      <c r="F1424" s="53">
        <f>IFERROR(VLOOKUP(E1424,Fornecedores!$A$2:$B$2700,2,FALSE),"")</f>
        <v>2</v>
      </c>
      <c r="G1424" s="52" t="s">
        <v>195</v>
      </c>
      <c r="H1424" s="54"/>
      <c r="I1424" s="55">
        <f t="shared" si="465"/>
        <v>0</v>
      </c>
      <c r="J1424" s="55">
        <v>0</v>
      </c>
      <c r="K1424" s="55">
        <v>0</v>
      </c>
      <c r="L1424" s="55">
        <v>0</v>
      </c>
      <c r="M1424" s="55">
        <v>0</v>
      </c>
      <c r="N1424" s="55">
        <f t="shared" si="466"/>
        <v>0</v>
      </c>
      <c r="O1424" s="55">
        <v>0</v>
      </c>
      <c r="P1424" s="55">
        <v>0</v>
      </c>
      <c r="Q1424" s="55">
        <v>0</v>
      </c>
      <c r="R1424" s="55">
        <f t="shared" si="467"/>
        <v>0</v>
      </c>
      <c r="S1424" s="55">
        <v>0</v>
      </c>
      <c r="T1424" s="55">
        <v>0</v>
      </c>
      <c r="U1424" s="55">
        <v>0</v>
      </c>
      <c r="V1424" s="55">
        <v>0</v>
      </c>
      <c r="W1424" s="53">
        <v>0</v>
      </c>
      <c r="X1424" s="53">
        <v>0</v>
      </c>
      <c r="Y1424" s="55">
        <v>0</v>
      </c>
      <c r="Z1424" s="55">
        <v>0</v>
      </c>
      <c r="AA1424" s="53">
        <v>0</v>
      </c>
      <c r="AB1424" s="53">
        <v>0</v>
      </c>
      <c r="AC1424" s="55">
        <v>0</v>
      </c>
      <c r="AD1424" s="55">
        <f t="shared" si="468"/>
        <v>0</v>
      </c>
      <c r="AE1424" s="53">
        <v>0</v>
      </c>
      <c r="AF1424" s="55">
        <v>0</v>
      </c>
      <c r="AG1424" s="55">
        <v>0</v>
      </c>
      <c r="AH1424" s="55">
        <f t="shared" ref="AH1424:AH1455" si="474">SUM(AI1424:AK1424)</f>
        <v>0</v>
      </c>
      <c r="AI1424" s="55">
        <v>0</v>
      </c>
      <c r="AJ1424" s="55">
        <v>0</v>
      </c>
      <c r="AK1424" s="55">
        <v>0</v>
      </c>
      <c r="AL1424" s="55">
        <f t="shared" si="470"/>
        <v>0</v>
      </c>
      <c r="AM1424" s="55" t="s">
        <v>1912</v>
      </c>
      <c r="AN1424" s="55">
        <v>0</v>
      </c>
      <c r="AO1424" s="55">
        <v>0</v>
      </c>
      <c r="AP1424" s="55">
        <f t="shared" si="473"/>
        <v>0</v>
      </c>
      <c r="AQ1424" s="55">
        <f>IFERROR(VLOOKUP(A1424,[1]SIIMPLES!$A$2:$F$418,6,FALSE),0)</f>
        <v>0</v>
      </c>
      <c r="AR1424" s="55">
        <v>0</v>
      </c>
      <c r="AS1424" s="55">
        <v>0</v>
      </c>
      <c r="AT1424" s="55">
        <v>0</v>
      </c>
      <c r="AU1424" s="55">
        <v>0</v>
      </c>
      <c r="AV1424" s="55">
        <v>0</v>
      </c>
      <c r="AW1424" s="55"/>
      <c r="AX1424" s="55"/>
      <c r="AY1424" s="56">
        <f t="shared" si="472"/>
        <v>0</v>
      </c>
      <c r="AZ1424" s="55"/>
      <c r="BA1424" s="56">
        <v>0.33333333333333331</v>
      </c>
    </row>
    <row r="1425" spans="1:53" ht="12.75" customHeight="1" x14ac:dyDescent="0.2">
      <c r="A1425" s="51" t="s">
        <v>1264</v>
      </c>
      <c r="B1425" s="51"/>
      <c r="C1425" s="66" t="s">
        <v>1803</v>
      </c>
      <c r="D1425" s="52" t="s">
        <v>1272</v>
      </c>
      <c r="E1425" s="52" t="str">
        <f>VLOOKUP(A1425,[3]CMV!$A$1:$E$1988,5,FALSE)</f>
        <v>TERRITÓRIO</v>
      </c>
      <c r="F1425" s="53" t="str">
        <f>IFERROR(VLOOKUP(E1425,Fornecedores!$A$2:$B$2700,2,FALSE),"")</f>
        <v/>
      </c>
      <c r="G1425" s="52" t="s">
        <v>1265</v>
      </c>
      <c r="H1425" s="57"/>
      <c r="I1425" s="55">
        <f t="shared" si="465"/>
        <v>0</v>
      </c>
      <c r="J1425" s="55">
        <v>0</v>
      </c>
      <c r="K1425" s="55">
        <v>0</v>
      </c>
      <c r="L1425" s="55">
        <v>0</v>
      </c>
      <c r="M1425" s="55">
        <v>0</v>
      </c>
      <c r="N1425" s="55">
        <f t="shared" si="466"/>
        <v>0</v>
      </c>
      <c r="O1425" s="55">
        <v>0</v>
      </c>
      <c r="P1425" s="55">
        <v>0</v>
      </c>
      <c r="Q1425" s="55">
        <v>0</v>
      </c>
      <c r="R1425" s="55">
        <f t="shared" si="467"/>
        <v>0</v>
      </c>
      <c r="S1425" s="55">
        <v>0</v>
      </c>
      <c r="T1425" s="55">
        <v>0</v>
      </c>
      <c r="U1425" s="55">
        <v>0</v>
      </c>
      <c r="V1425" s="55">
        <v>0</v>
      </c>
      <c r="W1425" s="53">
        <v>0</v>
      </c>
      <c r="X1425" s="53">
        <v>0</v>
      </c>
      <c r="Y1425" s="55">
        <v>0</v>
      </c>
      <c r="Z1425" s="55">
        <v>0</v>
      </c>
      <c r="AA1425" s="53">
        <v>0</v>
      </c>
      <c r="AB1425" s="53">
        <v>0</v>
      </c>
      <c r="AC1425" s="55">
        <v>0</v>
      </c>
      <c r="AD1425" s="55">
        <f t="shared" si="468"/>
        <v>0</v>
      </c>
      <c r="AE1425" s="53">
        <v>0</v>
      </c>
      <c r="AF1425" s="55">
        <v>0</v>
      </c>
      <c r="AG1425" s="55">
        <v>0</v>
      </c>
      <c r="AH1425" s="55">
        <f t="shared" si="474"/>
        <v>0</v>
      </c>
      <c r="AI1425" s="55">
        <v>0</v>
      </c>
      <c r="AJ1425" s="55">
        <v>0</v>
      </c>
      <c r="AK1425" s="55">
        <v>0</v>
      </c>
      <c r="AL1425" s="55">
        <f t="shared" si="470"/>
        <v>0</v>
      </c>
      <c r="AM1425" s="55" t="s">
        <v>1912</v>
      </c>
      <c r="AN1425" s="55">
        <v>0</v>
      </c>
      <c r="AO1425" s="55">
        <v>0</v>
      </c>
      <c r="AP1425" s="55">
        <f t="shared" si="473"/>
        <v>0</v>
      </c>
      <c r="AQ1425" s="55">
        <f>IFERROR(VLOOKUP(A1425,[1]SIIMPLES!$A$2:$F$418,6,FALSE),0)</f>
        <v>0</v>
      </c>
      <c r="AR1425" s="55">
        <v>0</v>
      </c>
      <c r="AS1425" s="55">
        <v>0</v>
      </c>
      <c r="AT1425" s="55">
        <v>0</v>
      </c>
      <c r="AU1425" s="55">
        <v>0</v>
      </c>
      <c r="AV1425" s="55">
        <v>0</v>
      </c>
      <c r="AW1425" s="55"/>
      <c r="AX1425" s="55"/>
      <c r="AY1425" s="56">
        <f t="shared" si="472"/>
        <v>0</v>
      </c>
      <c r="AZ1425" s="55"/>
      <c r="BA1425" s="56">
        <v>0</v>
      </c>
    </row>
    <row r="1426" spans="1:53" ht="12.75" customHeight="1" x14ac:dyDescent="0.2">
      <c r="A1426" s="51" t="s">
        <v>438</v>
      </c>
      <c r="B1426" s="51" t="s">
        <v>1077</v>
      </c>
      <c r="C1426" s="66" t="s">
        <v>1803</v>
      </c>
      <c r="D1426" s="65" t="s">
        <v>739</v>
      </c>
      <c r="E1426" s="67" t="s">
        <v>727</v>
      </c>
      <c r="F1426" s="53">
        <f>IFERROR(VLOOKUP(E1426,Fornecedores!$A$2:$B$2700,2,FALSE),"")</f>
        <v>1</v>
      </c>
      <c r="G1426" s="52" t="s">
        <v>439</v>
      </c>
      <c r="H1426" s="54"/>
      <c r="I1426" s="55">
        <f t="shared" si="465"/>
        <v>4</v>
      </c>
      <c r="J1426" s="55">
        <v>4</v>
      </c>
      <c r="K1426" s="55">
        <v>0</v>
      </c>
      <c r="L1426" s="55">
        <v>0</v>
      </c>
      <c r="M1426" s="55">
        <v>0</v>
      </c>
      <c r="N1426" s="55">
        <f t="shared" si="466"/>
        <v>1</v>
      </c>
      <c r="O1426" s="55">
        <v>1</v>
      </c>
      <c r="P1426" s="55">
        <v>0</v>
      </c>
      <c r="Q1426" s="55">
        <v>0</v>
      </c>
      <c r="R1426" s="55">
        <f t="shared" si="467"/>
        <v>2</v>
      </c>
      <c r="S1426" s="55">
        <v>2</v>
      </c>
      <c r="T1426" s="55">
        <v>0</v>
      </c>
      <c r="U1426" s="55">
        <v>0</v>
      </c>
      <c r="V1426" s="55">
        <v>1</v>
      </c>
      <c r="W1426" s="53">
        <v>0</v>
      </c>
      <c r="X1426" s="53">
        <v>1</v>
      </c>
      <c r="Y1426" s="55">
        <v>0</v>
      </c>
      <c r="Z1426" s="55">
        <v>0</v>
      </c>
      <c r="AA1426" s="53">
        <v>0</v>
      </c>
      <c r="AB1426" s="53">
        <v>0</v>
      </c>
      <c r="AC1426" s="55">
        <v>0</v>
      </c>
      <c r="AD1426" s="55">
        <f t="shared" si="468"/>
        <v>0</v>
      </c>
      <c r="AE1426" s="53">
        <v>0</v>
      </c>
      <c r="AF1426" s="55">
        <v>0</v>
      </c>
      <c r="AG1426" s="55">
        <v>0</v>
      </c>
      <c r="AH1426" s="55">
        <f t="shared" si="474"/>
        <v>0</v>
      </c>
      <c r="AI1426" s="55">
        <v>0</v>
      </c>
      <c r="AJ1426" s="55">
        <v>0</v>
      </c>
      <c r="AK1426" s="55">
        <v>0</v>
      </c>
      <c r="AL1426" s="55">
        <f t="shared" si="470"/>
        <v>0</v>
      </c>
      <c r="AM1426" s="55" t="s">
        <v>1912</v>
      </c>
      <c r="AN1426" s="55">
        <v>0</v>
      </c>
      <c r="AO1426" s="55">
        <v>0</v>
      </c>
      <c r="AP1426" s="55">
        <f t="shared" si="473"/>
        <v>0</v>
      </c>
      <c r="AQ1426" s="55">
        <f>IFERROR(VLOOKUP(A1426,[1]SIIMPLES!$A$2:$F$418,6,FALSE),0)</f>
        <v>0</v>
      </c>
      <c r="AR1426" s="55">
        <v>0</v>
      </c>
      <c r="AS1426" s="55">
        <v>0</v>
      </c>
      <c r="AT1426" s="55">
        <v>0</v>
      </c>
      <c r="AU1426" s="55">
        <v>0</v>
      </c>
      <c r="AV1426" s="55">
        <v>0</v>
      </c>
      <c r="AW1426" s="55"/>
      <c r="AX1426" s="55"/>
      <c r="AY1426" s="56">
        <f t="shared" si="472"/>
        <v>0.8</v>
      </c>
      <c r="AZ1426" s="55"/>
      <c r="BA1426" s="56">
        <v>40.833333333333336</v>
      </c>
    </row>
    <row r="1427" spans="1:53" ht="12.75" customHeight="1" x14ac:dyDescent="0.2">
      <c r="A1427" s="51" t="s">
        <v>1259</v>
      </c>
      <c r="B1427" s="51"/>
      <c r="C1427" s="66" t="s">
        <v>1803</v>
      </c>
      <c r="D1427" s="52" t="s">
        <v>739</v>
      </c>
      <c r="E1427" s="52" t="str">
        <f>VLOOKUP(A1427,[3]CMV!$A$1:$E$1988,5,FALSE)</f>
        <v>SPARE</v>
      </c>
      <c r="F1427" s="53">
        <f>IFERROR(VLOOKUP(E1427,Fornecedores!$A$2:$B$2700,2,FALSE),"")</f>
        <v>2</v>
      </c>
      <c r="G1427" s="52" t="s">
        <v>1392</v>
      </c>
      <c r="H1427" s="57"/>
      <c r="I1427" s="55">
        <f t="shared" si="465"/>
        <v>2</v>
      </c>
      <c r="J1427" s="55">
        <v>0</v>
      </c>
      <c r="K1427" s="55">
        <v>2</v>
      </c>
      <c r="L1427" s="55">
        <v>0</v>
      </c>
      <c r="M1427" s="55">
        <v>0</v>
      </c>
      <c r="N1427" s="55">
        <f t="shared" si="466"/>
        <v>0</v>
      </c>
      <c r="O1427" s="55">
        <v>0</v>
      </c>
      <c r="P1427" s="55">
        <v>0</v>
      </c>
      <c r="Q1427" s="55">
        <v>0</v>
      </c>
      <c r="R1427" s="55">
        <f t="shared" si="467"/>
        <v>0</v>
      </c>
      <c r="S1427" s="55">
        <v>0</v>
      </c>
      <c r="T1427" s="55">
        <v>0</v>
      </c>
      <c r="U1427" s="55">
        <v>0</v>
      </c>
      <c r="V1427" s="55">
        <v>0</v>
      </c>
      <c r="W1427" s="53">
        <v>0</v>
      </c>
      <c r="X1427" s="53">
        <v>0</v>
      </c>
      <c r="Y1427" s="55">
        <v>0</v>
      </c>
      <c r="Z1427" s="55">
        <v>0</v>
      </c>
      <c r="AA1427" s="53">
        <v>0</v>
      </c>
      <c r="AB1427" s="53">
        <v>0</v>
      </c>
      <c r="AC1427" s="55">
        <v>0</v>
      </c>
      <c r="AD1427" s="55">
        <f t="shared" si="468"/>
        <v>0</v>
      </c>
      <c r="AE1427" s="53">
        <v>0</v>
      </c>
      <c r="AF1427" s="55">
        <v>0</v>
      </c>
      <c r="AG1427" s="55">
        <v>0</v>
      </c>
      <c r="AH1427" s="55">
        <f t="shared" si="474"/>
        <v>0</v>
      </c>
      <c r="AI1427" s="55">
        <v>0</v>
      </c>
      <c r="AJ1427" s="55">
        <v>0</v>
      </c>
      <c r="AK1427" s="55">
        <v>0</v>
      </c>
      <c r="AL1427" s="55">
        <f t="shared" ref="AL1427:AL1490" si="475">SUM(AM1427:AO1427)</f>
        <v>0</v>
      </c>
      <c r="AM1427" s="55" t="s">
        <v>1912</v>
      </c>
      <c r="AN1427" s="55">
        <v>0</v>
      </c>
      <c r="AO1427" s="55">
        <v>0</v>
      </c>
      <c r="AP1427" s="55">
        <f t="shared" si="473"/>
        <v>0</v>
      </c>
      <c r="AQ1427" s="55">
        <f>IFERROR(VLOOKUP(A1427,[1]SIIMPLES!$A$2:$F$418,6,FALSE),0)</f>
        <v>0</v>
      </c>
      <c r="AR1427" s="55">
        <v>0</v>
      </c>
      <c r="AS1427" s="55">
        <v>0</v>
      </c>
      <c r="AT1427" s="55">
        <v>0</v>
      </c>
      <c r="AU1427" s="55">
        <v>0</v>
      </c>
      <c r="AV1427" s="55">
        <v>0</v>
      </c>
      <c r="AW1427" s="55"/>
      <c r="AX1427" s="55"/>
      <c r="AY1427" s="56">
        <f t="shared" si="472"/>
        <v>0.2</v>
      </c>
      <c r="AZ1427" s="55"/>
      <c r="BA1427" s="56">
        <v>3</v>
      </c>
    </row>
    <row r="1428" spans="1:53" ht="12.75" customHeight="1" x14ac:dyDescent="0.2">
      <c r="A1428" s="51" t="s">
        <v>26</v>
      </c>
      <c r="B1428" s="51"/>
      <c r="C1428" s="66" t="s">
        <v>1803</v>
      </c>
      <c r="D1428" s="52" t="s">
        <v>739</v>
      </c>
      <c r="E1428" s="52" t="s">
        <v>780</v>
      </c>
      <c r="F1428" s="53">
        <f>IFERROR(VLOOKUP(E1428,Fornecedores!$A$2:$B$2700,2,FALSE),"")</f>
        <v>2</v>
      </c>
      <c r="G1428" s="52" t="s">
        <v>200</v>
      </c>
      <c r="H1428" s="54"/>
      <c r="I1428" s="55">
        <f t="shared" si="465"/>
        <v>1</v>
      </c>
      <c r="J1428" s="55">
        <v>1</v>
      </c>
      <c r="K1428" s="55">
        <v>0</v>
      </c>
      <c r="L1428" s="55">
        <v>0</v>
      </c>
      <c r="M1428" s="55">
        <v>0</v>
      </c>
      <c r="N1428" s="55">
        <f t="shared" si="466"/>
        <v>1</v>
      </c>
      <c r="O1428" s="55">
        <v>1</v>
      </c>
      <c r="P1428" s="55">
        <v>0</v>
      </c>
      <c r="Q1428" s="55">
        <v>0</v>
      </c>
      <c r="R1428" s="55">
        <f t="shared" si="467"/>
        <v>0</v>
      </c>
      <c r="S1428" s="55">
        <v>0</v>
      </c>
      <c r="T1428" s="55">
        <v>0</v>
      </c>
      <c r="U1428" s="55">
        <v>0</v>
      </c>
      <c r="V1428" s="55">
        <v>0</v>
      </c>
      <c r="W1428" s="53">
        <v>0</v>
      </c>
      <c r="X1428" s="53">
        <v>0</v>
      </c>
      <c r="Y1428" s="55">
        <v>0</v>
      </c>
      <c r="Z1428" s="55">
        <v>0</v>
      </c>
      <c r="AA1428" s="53">
        <v>0</v>
      </c>
      <c r="AB1428" s="53">
        <v>0</v>
      </c>
      <c r="AC1428" s="55">
        <v>0</v>
      </c>
      <c r="AD1428" s="55">
        <f t="shared" si="468"/>
        <v>0</v>
      </c>
      <c r="AE1428" s="53">
        <v>0</v>
      </c>
      <c r="AF1428" s="55">
        <v>0</v>
      </c>
      <c r="AG1428" s="55">
        <v>0</v>
      </c>
      <c r="AH1428" s="55">
        <f t="shared" si="474"/>
        <v>0</v>
      </c>
      <c r="AI1428" s="55">
        <v>0</v>
      </c>
      <c r="AJ1428" s="55">
        <v>0</v>
      </c>
      <c r="AK1428" s="55">
        <v>0</v>
      </c>
      <c r="AL1428" s="55">
        <f t="shared" si="475"/>
        <v>0</v>
      </c>
      <c r="AM1428" s="55" t="s">
        <v>1912</v>
      </c>
      <c r="AN1428" s="55">
        <v>0</v>
      </c>
      <c r="AO1428" s="55">
        <v>0</v>
      </c>
      <c r="AP1428" s="55">
        <f t="shared" si="473"/>
        <v>0</v>
      </c>
      <c r="AQ1428" s="55">
        <f>IFERROR(VLOOKUP(A1428,[1]SIIMPLES!$A$2:$F$418,6,FALSE),0)</f>
        <v>0</v>
      </c>
      <c r="AR1428" s="55">
        <v>0</v>
      </c>
      <c r="AS1428" s="55">
        <v>0</v>
      </c>
      <c r="AT1428" s="55">
        <v>0</v>
      </c>
      <c r="AU1428" s="55">
        <v>0</v>
      </c>
      <c r="AV1428" s="55">
        <v>0</v>
      </c>
      <c r="AW1428" s="55"/>
      <c r="AX1428" s="55"/>
      <c r="AY1428" s="56">
        <f t="shared" si="472"/>
        <v>0.2</v>
      </c>
      <c r="AZ1428" s="55"/>
      <c r="BA1428" s="56">
        <v>0.5</v>
      </c>
    </row>
    <row r="1429" spans="1:53" ht="12.75" customHeight="1" x14ac:dyDescent="0.2">
      <c r="A1429" s="82" t="s">
        <v>1986</v>
      </c>
      <c r="B1429" s="28"/>
      <c r="C1429" s="28" t="s">
        <v>1803</v>
      </c>
      <c r="D1429" s="83" t="s">
        <v>1761</v>
      </c>
      <c r="E1429" s="83">
        <v>0</v>
      </c>
      <c r="F1429" s="84"/>
      <c r="G1429" s="85" t="s">
        <v>2039</v>
      </c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3">
        <f t="shared" si="474"/>
        <v>1</v>
      </c>
      <c r="AI1429" s="7"/>
      <c r="AJ1429" s="7"/>
      <c r="AK1429" s="55">
        <v>1</v>
      </c>
      <c r="AL1429" s="55">
        <f t="shared" si="475"/>
        <v>0</v>
      </c>
      <c r="AM1429" s="55" t="s">
        <v>1912</v>
      </c>
      <c r="AN1429" s="55">
        <v>0</v>
      </c>
      <c r="AO1429" s="55">
        <v>0</v>
      </c>
      <c r="AP1429" s="55">
        <f t="shared" si="473"/>
        <v>0</v>
      </c>
      <c r="AQ1429" s="55">
        <f>IFERROR(VLOOKUP(A1429,[1]SIIMPLES!$A$2:$F$418,6,FALSE),0)</f>
        <v>0</v>
      </c>
      <c r="AR1429" s="55">
        <v>0</v>
      </c>
      <c r="AS1429" s="55">
        <v>0</v>
      </c>
      <c r="AT1429" s="55">
        <v>0</v>
      </c>
      <c r="AU1429" s="55">
        <v>0</v>
      </c>
      <c r="AV1429" s="55">
        <v>0</v>
      </c>
      <c r="AW1429" s="7"/>
      <c r="AX1429" s="7"/>
      <c r="AY1429" s="7"/>
      <c r="AZ1429" s="7"/>
      <c r="BA1429" s="7"/>
    </row>
    <row r="1430" spans="1:53" ht="12.75" customHeight="1" x14ac:dyDescent="0.2">
      <c r="A1430" s="51" t="s">
        <v>1195</v>
      </c>
      <c r="B1430" s="51"/>
      <c r="C1430" s="66" t="s">
        <v>1803</v>
      </c>
      <c r="D1430" s="52" t="s">
        <v>1231</v>
      </c>
      <c r="E1430" s="52" t="s">
        <v>741</v>
      </c>
      <c r="F1430" s="53">
        <f>IFERROR(VLOOKUP(E1430,Fornecedores!$A$2:$B$2700,2,FALSE),"")</f>
        <v>7</v>
      </c>
      <c r="G1430" s="52" t="s">
        <v>1214</v>
      </c>
      <c r="H1430" s="54"/>
      <c r="I1430" s="55">
        <f>SUM(J1430:M1430)</f>
        <v>0</v>
      </c>
      <c r="J1430" s="55">
        <v>0</v>
      </c>
      <c r="K1430" s="55">
        <v>0</v>
      </c>
      <c r="L1430" s="55">
        <v>0</v>
      </c>
      <c r="M1430" s="55">
        <v>0</v>
      </c>
      <c r="N1430" s="55">
        <f>SUM(O1430:Q1430)</f>
        <v>0</v>
      </c>
      <c r="O1430" s="55">
        <v>0</v>
      </c>
      <c r="P1430" s="55">
        <v>0</v>
      </c>
      <c r="Q1430" s="55">
        <v>0</v>
      </c>
      <c r="R1430" s="55">
        <f>SUM(S1430:U1430)</f>
        <v>0</v>
      </c>
      <c r="S1430" s="55">
        <v>0</v>
      </c>
      <c r="T1430" s="55">
        <v>0</v>
      </c>
      <c r="U1430" s="55">
        <v>0</v>
      </c>
      <c r="V1430" s="55">
        <v>0</v>
      </c>
      <c r="W1430" s="53">
        <v>0</v>
      </c>
      <c r="X1430" s="53">
        <v>0</v>
      </c>
      <c r="Y1430" s="55">
        <v>0</v>
      </c>
      <c r="Z1430" s="55">
        <v>0</v>
      </c>
      <c r="AA1430" s="53">
        <v>0</v>
      </c>
      <c r="AB1430" s="53">
        <v>0</v>
      </c>
      <c r="AC1430" s="55">
        <v>0</v>
      </c>
      <c r="AD1430" s="55">
        <f t="shared" ref="AD1430:AD1441" si="476">SUM(AE1430:AG1430)</f>
        <v>0</v>
      </c>
      <c r="AE1430" s="53">
        <v>0</v>
      </c>
      <c r="AF1430" s="55">
        <v>0</v>
      </c>
      <c r="AG1430" s="55">
        <v>0</v>
      </c>
      <c r="AH1430" s="55">
        <f t="shared" si="474"/>
        <v>0</v>
      </c>
      <c r="AI1430" s="55">
        <v>0</v>
      </c>
      <c r="AJ1430" s="55">
        <v>0</v>
      </c>
      <c r="AK1430" s="55">
        <v>0</v>
      </c>
      <c r="AL1430" s="55">
        <f t="shared" si="475"/>
        <v>0</v>
      </c>
      <c r="AM1430" s="55" t="s">
        <v>1912</v>
      </c>
      <c r="AN1430" s="55">
        <v>0</v>
      </c>
      <c r="AO1430" s="55">
        <v>0</v>
      </c>
      <c r="AP1430" s="55">
        <f t="shared" si="473"/>
        <v>0</v>
      </c>
      <c r="AQ1430" s="55">
        <f>IFERROR(VLOOKUP(A1430,[1]SIIMPLES!$A$2:$F$418,6,FALSE),0)</f>
        <v>0</v>
      </c>
      <c r="AR1430" s="55">
        <v>0</v>
      </c>
      <c r="AS1430" s="55">
        <v>0</v>
      </c>
      <c r="AT1430" s="55">
        <v>0</v>
      </c>
      <c r="AU1430" s="55">
        <v>0</v>
      </c>
      <c r="AV1430" s="55">
        <v>0</v>
      </c>
      <c r="AW1430" s="55"/>
      <c r="AX1430" s="55"/>
      <c r="AY1430" s="56">
        <f t="shared" ref="AY1430:AY1441" si="477">IFERROR(AVERAGE(I1430,N1430,R1430,V1430,Z1430,AD1430,AH1430,AL1430,AP1430,AS1430,AW1430,AX1430),"-")</f>
        <v>0</v>
      </c>
      <c r="AZ1430" s="55"/>
      <c r="BA1430" s="56">
        <v>3.3333333333333335</v>
      </c>
    </row>
    <row r="1431" spans="1:53" ht="12.75" customHeight="1" x14ac:dyDescent="0.2">
      <c r="A1431" s="51" t="s">
        <v>1196</v>
      </c>
      <c r="B1431" s="51"/>
      <c r="C1431" s="66" t="s">
        <v>1803</v>
      </c>
      <c r="D1431" s="52" t="s">
        <v>1231</v>
      </c>
      <c r="E1431" s="52" t="s">
        <v>741</v>
      </c>
      <c r="F1431" s="53">
        <f>IFERROR(VLOOKUP(E1431,Fornecedores!$A$2:$B$2700,2,FALSE),"")</f>
        <v>7</v>
      </c>
      <c r="G1431" s="52" t="s">
        <v>1215</v>
      </c>
      <c r="H1431" s="54"/>
      <c r="I1431" s="55">
        <f>SUM(J1431:M1431)</f>
        <v>0</v>
      </c>
      <c r="J1431" s="55">
        <v>0</v>
      </c>
      <c r="K1431" s="55">
        <v>0</v>
      </c>
      <c r="L1431" s="55">
        <v>0</v>
      </c>
      <c r="M1431" s="55">
        <v>0</v>
      </c>
      <c r="N1431" s="55">
        <f>SUM(O1431:Q1431)</f>
        <v>0</v>
      </c>
      <c r="O1431" s="55">
        <v>0</v>
      </c>
      <c r="P1431" s="55">
        <v>0</v>
      </c>
      <c r="Q1431" s="55">
        <v>0</v>
      </c>
      <c r="R1431" s="55">
        <f>SUM(S1431:U1431)</f>
        <v>0</v>
      </c>
      <c r="S1431" s="55">
        <v>0</v>
      </c>
      <c r="T1431" s="55">
        <v>0</v>
      </c>
      <c r="U1431" s="55">
        <v>0</v>
      </c>
      <c r="V1431" s="55">
        <v>0</v>
      </c>
      <c r="W1431" s="53">
        <v>0</v>
      </c>
      <c r="X1431" s="53">
        <v>0</v>
      </c>
      <c r="Y1431" s="55">
        <v>0</v>
      </c>
      <c r="Z1431" s="55">
        <v>0</v>
      </c>
      <c r="AA1431" s="53">
        <v>0</v>
      </c>
      <c r="AB1431" s="53">
        <v>0</v>
      </c>
      <c r="AC1431" s="55">
        <v>0</v>
      </c>
      <c r="AD1431" s="55">
        <f t="shared" si="476"/>
        <v>0</v>
      </c>
      <c r="AE1431" s="53">
        <v>0</v>
      </c>
      <c r="AF1431" s="55">
        <v>0</v>
      </c>
      <c r="AG1431" s="55">
        <v>0</v>
      </c>
      <c r="AH1431" s="55">
        <f t="shared" si="474"/>
        <v>0</v>
      </c>
      <c r="AI1431" s="55">
        <v>0</v>
      </c>
      <c r="AJ1431" s="55">
        <v>0</v>
      </c>
      <c r="AK1431" s="55">
        <v>0</v>
      </c>
      <c r="AL1431" s="55">
        <f t="shared" si="475"/>
        <v>0</v>
      </c>
      <c r="AM1431" s="55" t="s">
        <v>1912</v>
      </c>
      <c r="AN1431" s="55">
        <v>0</v>
      </c>
      <c r="AO1431" s="55">
        <v>0</v>
      </c>
      <c r="AP1431" s="55">
        <f t="shared" si="473"/>
        <v>0</v>
      </c>
      <c r="AQ1431" s="55">
        <f>IFERROR(VLOOKUP(A1431,[1]SIIMPLES!$A$2:$F$418,6,FALSE),0)</f>
        <v>0</v>
      </c>
      <c r="AR1431" s="55">
        <v>0</v>
      </c>
      <c r="AS1431" s="55">
        <v>0</v>
      </c>
      <c r="AT1431" s="55">
        <v>0</v>
      </c>
      <c r="AU1431" s="55">
        <v>0</v>
      </c>
      <c r="AV1431" s="55">
        <v>0</v>
      </c>
      <c r="AW1431" s="55"/>
      <c r="AX1431" s="55"/>
      <c r="AY1431" s="56">
        <f t="shared" si="477"/>
        <v>0</v>
      </c>
      <c r="AZ1431" s="55"/>
      <c r="BA1431" s="56">
        <v>3.3333333333333335</v>
      </c>
    </row>
    <row r="1432" spans="1:53" ht="12.75" customHeight="1" x14ac:dyDescent="0.2">
      <c r="A1432" s="51" t="s">
        <v>1197</v>
      </c>
      <c r="B1432" s="51"/>
      <c r="C1432" s="66" t="s">
        <v>1803</v>
      </c>
      <c r="D1432" s="52" t="s">
        <v>1231</v>
      </c>
      <c r="E1432" s="52" t="s">
        <v>741</v>
      </c>
      <c r="F1432" s="53">
        <f>IFERROR(VLOOKUP(E1432,Fornecedores!$A$2:$B$2700,2,FALSE),"")</f>
        <v>7</v>
      </c>
      <c r="G1432" s="52" t="s">
        <v>1216</v>
      </c>
      <c r="H1432" s="54"/>
      <c r="I1432" s="55">
        <f>SUM(J1432:M1432)</f>
        <v>0</v>
      </c>
      <c r="J1432" s="55">
        <v>0</v>
      </c>
      <c r="K1432" s="55">
        <v>0</v>
      </c>
      <c r="L1432" s="55">
        <v>0</v>
      </c>
      <c r="M1432" s="55">
        <v>0</v>
      </c>
      <c r="N1432" s="55">
        <f>SUM(O1432:Q1432)</f>
        <v>0</v>
      </c>
      <c r="O1432" s="55">
        <v>0</v>
      </c>
      <c r="P1432" s="55">
        <v>0</v>
      </c>
      <c r="Q1432" s="55">
        <v>0</v>
      </c>
      <c r="R1432" s="55">
        <f>SUM(S1432:U1432)</f>
        <v>0</v>
      </c>
      <c r="S1432" s="55">
        <v>0</v>
      </c>
      <c r="T1432" s="55">
        <v>0</v>
      </c>
      <c r="U1432" s="55">
        <v>0</v>
      </c>
      <c r="V1432" s="55">
        <v>0</v>
      </c>
      <c r="W1432" s="53">
        <v>0</v>
      </c>
      <c r="X1432" s="53">
        <v>0</v>
      </c>
      <c r="Y1432" s="55">
        <v>0</v>
      </c>
      <c r="Z1432" s="55">
        <v>0</v>
      </c>
      <c r="AA1432" s="53">
        <v>0</v>
      </c>
      <c r="AB1432" s="53">
        <v>0</v>
      </c>
      <c r="AC1432" s="55">
        <v>0</v>
      </c>
      <c r="AD1432" s="55">
        <f t="shared" si="476"/>
        <v>0</v>
      </c>
      <c r="AE1432" s="53">
        <v>0</v>
      </c>
      <c r="AF1432" s="55">
        <v>0</v>
      </c>
      <c r="AG1432" s="55">
        <v>0</v>
      </c>
      <c r="AH1432" s="55">
        <f t="shared" si="474"/>
        <v>0</v>
      </c>
      <c r="AI1432" s="55">
        <v>0</v>
      </c>
      <c r="AJ1432" s="55">
        <v>0</v>
      </c>
      <c r="AK1432" s="55">
        <v>0</v>
      </c>
      <c r="AL1432" s="55">
        <f t="shared" si="475"/>
        <v>0</v>
      </c>
      <c r="AM1432" s="55" t="s">
        <v>1912</v>
      </c>
      <c r="AN1432" s="55">
        <v>0</v>
      </c>
      <c r="AO1432" s="55">
        <v>0</v>
      </c>
      <c r="AP1432" s="55">
        <f t="shared" si="473"/>
        <v>0</v>
      </c>
      <c r="AQ1432" s="55">
        <f>IFERROR(VLOOKUP(A1432,[1]SIIMPLES!$A$2:$F$418,6,FALSE),0)</f>
        <v>0</v>
      </c>
      <c r="AR1432" s="55">
        <v>0</v>
      </c>
      <c r="AS1432" s="55">
        <v>0</v>
      </c>
      <c r="AT1432" s="55">
        <v>0</v>
      </c>
      <c r="AU1432" s="55">
        <v>0</v>
      </c>
      <c r="AV1432" s="55">
        <v>0</v>
      </c>
      <c r="AW1432" s="55"/>
      <c r="AX1432" s="55"/>
      <c r="AY1432" s="56">
        <f t="shared" si="477"/>
        <v>0</v>
      </c>
      <c r="AZ1432" s="55"/>
      <c r="BA1432" s="56">
        <v>3.3333333333333335</v>
      </c>
    </row>
    <row r="1433" spans="1:53" ht="12.75" customHeight="1" x14ac:dyDescent="0.2">
      <c r="A1433" s="51" t="s">
        <v>1198</v>
      </c>
      <c r="B1433" s="51"/>
      <c r="C1433" s="66" t="s">
        <v>1803</v>
      </c>
      <c r="D1433" s="52" t="s">
        <v>1231</v>
      </c>
      <c r="E1433" s="52" t="s">
        <v>741</v>
      </c>
      <c r="F1433" s="53">
        <f>IFERROR(VLOOKUP(E1433,Fornecedores!$A$2:$B$2700,2,FALSE),"")</f>
        <v>7</v>
      </c>
      <c r="G1433" s="52" t="s">
        <v>1217</v>
      </c>
      <c r="H1433" s="54"/>
      <c r="I1433" s="55">
        <f>SUM(J1433:M1433)</f>
        <v>0</v>
      </c>
      <c r="J1433" s="55">
        <v>0</v>
      </c>
      <c r="K1433" s="55">
        <v>0</v>
      </c>
      <c r="L1433" s="55">
        <v>0</v>
      </c>
      <c r="M1433" s="55">
        <v>0</v>
      </c>
      <c r="N1433" s="55">
        <f>SUM(O1433:Q1433)</f>
        <v>0</v>
      </c>
      <c r="O1433" s="55">
        <v>0</v>
      </c>
      <c r="P1433" s="55">
        <v>0</v>
      </c>
      <c r="Q1433" s="55">
        <v>0</v>
      </c>
      <c r="R1433" s="55">
        <f>SUM(S1433:U1433)</f>
        <v>0</v>
      </c>
      <c r="S1433" s="55">
        <v>0</v>
      </c>
      <c r="T1433" s="55">
        <v>0</v>
      </c>
      <c r="U1433" s="55">
        <v>0</v>
      </c>
      <c r="V1433" s="55">
        <v>0</v>
      </c>
      <c r="W1433" s="53">
        <v>0</v>
      </c>
      <c r="X1433" s="53">
        <v>0</v>
      </c>
      <c r="Y1433" s="55">
        <v>0</v>
      </c>
      <c r="Z1433" s="55">
        <v>0</v>
      </c>
      <c r="AA1433" s="53">
        <v>0</v>
      </c>
      <c r="AB1433" s="53">
        <v>0</v>
      </c>
      <c r="AC1433" s="55">
        <v>0</v>
      </c>
      <c r="AD1433" s="55">
        <f t="shared" si="476"/>
        <v>0</v>
      </c>
      <c r="AE1433" s="53">
        <v>0</v>
      </c>
      <c r="AF1433" s="55">
        <v>0</v>
      </c>
      <c r="AG1433" s="55">
        <v>0</v>
      </c>
      <c r="AH1433" s="55">
        <f t="shared" si="474"/>
        <v>0</v>
      </c>
      <c r="AI1433" s="55">
        <v>0</v>
      </c>
      <c r="AJ1433" s="55">
        <v>0</v>
      </c>
      <c r="AK1433" s="55">
        <v>0</v>
      </c>
      <c r="AL1433" s="55">
        <f t="shared" si="475"/>
        <v>0</v>
      </c>
      <c r="AM1433" s="55" t="s">
        <v>1912</v>
      </c>
      <c r="AN1433" s="55">
        <v>0</v>
      </c>
      <c r="AO1433" s="55">
        <v>0</v>
      </c>
      <c r="AP1433" s="55">
        <f t="shared" si="473"/>
        <v>0</v>
      </c>
      <c r="AQ1433" s="55">
        <f>IFERROR(VLOOKUP(A1433,[1]SIIMPLES!$A$2:$F$418,6,FALSE),0)</f>
        <v>0</v>
      </c>
      <c r="AR1433" s="55">
        <v>0</v>
      </c>
      <c r="AS1433" s="55">
        <v>0</v>
      </c>
      <c r="AT1433" s="55">
        <v>0</v>
      </c>
      <c r="AU1433" s="55">
        <v>0</v>
      </c>
      <c r="AV1433" s="55">
        <v>0</v>
      </c>
      <c r="AW1433" s="55"/>
      <c r="AX1433" s="55"/>
      <c r="AY1433" s="56">
        <f t="shared" si="477"/>
        <v>0</v>
      </c>
      <c r="AZ1433" s="55"/>
      <c r="BA1433" s="56">
        <v>3.3333333333333335</v>
      </c>
    </row>
    <row r="1434" spans="1:53" ht="12.75" customHeight="1" x14ac:dyDescent="0.2">
      <c r="A1434" s="51" t="s">
        <v>1199</v>
      </c>
      <c r="B1434" s="51"/>
      <c r="C1434" s="66" t="s">
        <v>1803</v>
      </c>
      <c r="D1434" s="52" t="s">
        <v>1229</v>
      </c>
      <c r="E1434" s="52" t="str">
        <f>VLOOKUP(A1434,[2]CMV!$A$1:$E$2043,5,FALSE)</f>
        <v>POLO</v>
      </c>
      <c r="F1434" s="53">
        <f>IFERROR(VLOOKUP(E1434,Fornecedores!$A$2:$B$2700,2,FALSE),"")</f>
        <v>7</v>
      </c>
      <c r="G1434" s="52" t="s">
        <v>1218</v>
      </c>
      <c r="H1434" s="57"/>
      <c r="I1434" s="55">
        <f>SUM(J1434:M1434)</f>
        <v>0</v>
      </c>
      <c r="J1434" s="55">
        <v>0</v>
      </c>
      <c r="K1434" s="55">
        <v>0</v>
      </c>
      <c r="L1434" s="55">
        <v>0</v>
      </c>
      <c r="M1434" s="55">
        <v>0</v>
      </c>
      <c r="N1434" s="55">
        <f>SUM(O1434:Q1434)</f>
        <v>0</v>
      </c>
      <c r="O1434" s="55">
        <v>0</v>
      </c>
      <c r="P1434" s="55">
        <v>0</v>
      </c>
      <c r="Q1434" s="55">
        <v>0</v>
      </c>
      <c r="R1434" s="55">
        <f>SUM(S1434:U1434)</f>
        <v>0</v>
      </c>
      <c r="S1434" s="55">
        <v>0</v>
      </c>
      <c r="T1434" s="55">
        <v>0</v>
      </c>
      <c r="U1434" s="55">
        <v>0</v>
      </c>
      <c r="V1434" s="55">
        <v>0</v>
      </c>
      <c r="W1434" s="53">
        <v>0</v>
      </c>
      <c r="X1434" s="53">
        <v>0</v>
      </c>
      <c r="Y1434" s="55">
        <v>0</v>
      </c>
      <c r="Z1434" s="55">
        <v>0</v>
      </c>
      <c r="AA1434" s="53">
        <v>0</v>
      </c>
      <c r="AB1434" s="53">
        <v>0</v>
      </c>
      <c r="AC1434" s="55">
        <v>0</v>
      </c>
      <c r="AD1434" s="55">
        <f t="shared" si="476"/>
        <v>0</v>
      </c>
      <c r="AE1434" s="53">
        <v>0</v>
      </c>
      <c r="AF1434" s="55">
        <v>0</v>
      </c>
      <c r="AG1434" s="55">
        <v>0</v>
      </c>
      <c r="AH1434" s="55">
        <f t="shared" si="474"/>
        <v>0</v>
      </c>
      <c r="AI1434" s="55">
        <v>0</v>
      </c>
      <c r="AJ1434" s="55">
        <v>0</v>
      </c>
      <c r="AK1434" s="55">
        <v>0</v>
      </c>
      <c r="AL1434" s="55">
        <f t="shared" si="475"/>
        <v>0</v>
      </c>
      <c r="AM1434" s="55" t="s">
        <v>1912</v>
      </c>
      <c r="AN1434" s="55">
        <v>0</v>
      </c>
      <c r="AO1434" s="55">
        <v>0</v>
      </c>
      <c r="AP1434" s="55">
        <f t="shared" si="473"/>
        <v>0</v>
      </c>
      <c r="AQ1434" s="55">
        <f>IFERROR(VLOOKUP(A1434,[1]SIIMPLES!$A$2:$F$418,6,FALSE),0)</f>
        <v>0</v>
      </c>
      <c r="AR1434" s="55">
        <v>0</v>
      </c>
      <c r="AS1434" s="55">
        <v>0</v>
      </c>
      <c r="AT1434" s="55">
        <v>0</v>
      </c>
      <c r="AU1434" s="55">
        <v>0</v>
      </c>
      <c r="AV1434" s="55">
        <v>0</v>
      </c>
      <c r="AW1434" s="55"/>
      <c r="AX1434" s="55"/>
      <c r="AY1434" s="56">
        <f t="shared" si="477"/>
        <v>0</v>
      </c>
      <c r="AZ1434" s="55"/>
      <c r="BA1434" s="56">
        <v>3.3333333333333335</v>
      </c>
    </row>
    <row r="1435" spans="1:53" ht="12.75" customHeight="1" x14ac:dyDescent="0.2">
      <c r="A1435" s="51" t="s">
        <v>1845</v>
      </c>
      <c r="B1435" s="51"/>
      <c r="C1435" s="66" t="s">
        <v>1803</v>
      </c>
      <c r="D1435" s="52" t="s">
        <v>1901</v>
      </c>
      <c r="E1435" s="52" t="str">
        <f>VLOOKUP(A1435,[2]CMV!$A$1:$E$2043,5,FALSE)</f>
        <v>Outros</v>
      </c>
      <c r="F1435" s="53"/>
      <c r="G1435" s="52" t="str">
        <f>VLOOKUP(A1435,[2]CMV!$A$1:$F$2043,6,FALSE)</f>
        <v>Par De Calotas Graxa Rolamento Manga Eixo Tras Peugeot 206</v>
      </c>
      <c r="H1435" s="57"/>
      <c r="I1435" s="57"/>
      <c r="J1435" s="57"/>
      <c r="K1435" s="57"/>
      <c r="L1435" s="57"/>
      <c r="M1435" s="57"/>
      <c r="N1435" s="57"/>
      <c r="O1435" s="57"/>
      <c r="P1435" s="57"/>
      <c r="Q1435" s="57"/>
      <c r="R1435" s="57"/>
      <c r="S1435" s="57"/>
      <c r="T1435" s="57"/>
      <c r="U1435" s="57"/>
      <c r="V1435" s="57"/>
      <c r="W1435" s="57"/>
      <c r="X1435" s="53">
        <v>0</v>
      </c>
      <c r="Y1435" s="57"/>
      <c r="Z1435" s="55">
        <v>1</v>
      </c>
      <c r="AA1435" s="53">
        <v>1</v>
      </c>
      <c r="AB1435" s="53">
        <v>0</v>
      </c>
      <c r="AC1435" s="55">
        <v>0</v>
      </c>
      <c r="AD1435" s="55">
        <f t="shared" si="476"/>
        <v>1</v>
      </c>
      <c r="AE1435" s="53">
        <v>1</v>
      </c>
      <c r="AF1435" s="55">
        <v>0</v>
      </c>
      <c r="AG1435" s="55">
        <v>0</v>
      </c>
      <c r="AH1435" s="55">
        <f t="shared" si="474"/>
        <v>0</v>
      </c>
      <c r="AI1435" s="55">
        <v>0</v>
      </c>
      <c r="AJ1435" s="55">
        <v>0</v>
      </c>
      <c r="AK1435" s="55">
        <v>0</v>
      </c>
      <c r="AL1435" s="55">
        <f t="shared" si="475"/>
        <v>0</v>
      </c>
      <c r="AM1435" s="55" t="s">
        <v>1912</v>
      </c>
      <c r="AN1435" s="55">
        <v>0</v>
      </c>
      <c r="AO1435" s="55">
        <v>0</v>
      </c>
      <c r="AP1435" s="55">
        <f t="shared" si="473"/>
        <v>0</v>
      </c>
      <c r="AQ1435" s="55">
        <f>IFERROR(VLOOKUP(A1435,[1]SIIMPLES!$A$2:$F$418,6,FALSE),0)</f>
        <v>0</v>
      </c>
      <c r="AR1435" s="55">
        <v>0</v>
      </c>
      <c r="AS1435" s="55">
        <v>0</v>
      </c>
      <c r="AT1435" s="55">
        <v>0</v>
      </c>
      <c r="AU1435" s="55">
        <v>0</v>
      </c>
      <c r="AV1435" s="55">
        <v>0</v>
      </c>
      <c r="AW1435" s="57"/>
      <c r="AX1435" s="57"/>
      <c r="AY1435" s="56">
        <f t="shared" si="477"/>
        <v>0.33333333333333331</v>
      </c>
      <c r="AZ1435" s="57"/>
      <c r="BA1435" s="57"/>
    </row>
    <row r="1436" spans="1:53" ht="12.75" customHeight="1" x14ac:dyDescent="0.2">
      <c r="A1436" s="51" t="s">
        <v>191</v>
      </c>
      <c r="B1436" s="51" t="s">
        <v>1077</v>
      </c>
      <c r="C1436" s="66" t="s">
        <v>1803</v>
      </c>
      <c r="D1436" s="52" t="s">
        <v>762</v>
      </c>
      <c r="E1436" s="52" t="s">
        <v>769</v>
      </c>
      <c r="F1436" s="53">
        <f>IFERROR(VLOOKUP(E1436,Fornecedores!$A$2:$B$2700,2,FALSE),"")</f>
        <v>23</v>
      </c>
      <c r="G1436" s="52" t="s">
        <v>192</v>
      </c>
      <c r="H1436" s="57"/>
      <c r="I1436" s="55">
        <f>SUM(J1436:M1436)</f>
        <v>10</v>
      </c>
      <c r="J1436" s="55">
        <v>0</v>
      </c>
      <c r="K1436" s="55">
        <v>0</v>
      </c>
      <c r="L1436" s="55">
        <v>0</v>
      </c>
      <c r="M1436" s="55">
        <v>10</v>
      </c>
      <c r="N1436" s="55">
        <f>SUM(O1436:Q1436)</f>
        <v>0</v>
      </c>
      <c r="O1436" s="55">
        <v>0</v>
      </c>
      <c r="P1436" s="55">
        <v>0</v>
      </c>
      <c r="Q1436" s="55">
        <v>0</v>
      </c>
      <c r="R1436" s="55">
        <f>SUM(S1436:U1436)</f>
        <v>0</v>
      </c>
      <c r="S1436" s="55">
        <v>0</v>
      </c>
      <c r="T1436" s="55">
        <v>0</v>
      </c>
      <c r="U1436" s="55">
        <v>0</v>
      </c>
      <c r="V1436" s="55">
        <v>3</v>
      </c>
      <c r="W1436" s="53">
        <v>3</v>
      </c>
      <c r="X1436" s="53">
        <v>0</v>
      </c>
      <c r="Y1436" s="55">
        <v>0</v>
      </c>
      <c r="Z1436" s="55">
        <v>1</v>
      </c>
      <c r="AA1436" s="53">
        <v>1</v>
      </c>
      <c r="AB1436" s="53">
        <v>0</v>
      </c>
      <c r="AC1436" s="55">
        <v>0</v>
      </c>
      <c r="AD1436" s="55">
        <f t="shared" si="476"/>
        <v>12</v>
      </c>
      <c r="AE1436" s="53">
        <v>12</v>
      </c>
      <c r="AF1436" s="55">
        <v>0</v>
      </c>
      <c r="AG1436" s="55">
        <v>0</v>
      </c>
      <c r="AH1436" s="55">
        <f t="shared" si="474"/>
        <v>1</v>
      </c>
      <c r="AI1436" s="55">
        <v>1</v>
      </c>
      <c r="AJ1436" s="55">
        <v>0</v>
      </c>
      <c r="AK1436" s="55">
        <v>0</v>
      </c>
      <c r="AL1436" s="55">
        <f t="shared" si="475"/>
        <v>0</v>
      </c>
      <c r="AM1436" s="55" t="s">
        <v>1912</v>
      </c>
      <c r="AN1436" s="55">
        <v>0</v>
      </c>
      <c r="AO1436" s="55">
        <v>0</v>
      </c>
      <c r="AP1436" s="55">
        <f t="shared" si="473"/>
        <v>0</v>
      </c>
      <c r="AQ1436" s="55">
        <f>IFERROR(VLOOKUP(A1436,[1]SIIMPLES!$A$2:$F$418,6,FALSE),0)</f>
        <v>0</v>
      </c>
      <c r="AR1436" s="55">
        <v>0</v>
      </c>
      <c r="AS1436" s="55">
        <v>0</v>
      </c>
      <c r="AT1436" s="55">
        <v>0</v>
      </c>
      <c r="AU1436" s="55">
        <v>0</v>
      </c>
      <c r="AV1436" s="55">
        <v>0</v>
      </c>
      <c r="AW1436" s="55"/>
      <c r="AX1436" s="55"/>
      <c r="AY1436" s="56">
        <f t="shared" si="477"/>
        <v>2.7</v>
      </c>
      <c r="AZ1436" s="55"/>
      <c r="BA1436" s="56">
        <v>4</v>
      </c>
    </row>
    <row r="1437" spans="1:53" ht="12.75" customHeight="1" x14ac:dyDescent="0.2">
      <c r="A1437" s="51" t="s">
        <v>1193</v>
      </c>
      <c r="B1437" s="51"/>
      <c r="C1437" s="66" t="s">
        <v>1803</v>
      </c>
      <c r="D1437" s="52" t="s">
        <v>1228</v>
      </c>
      <c r="E1437" s="52" t="s">
        <v>1224</v>
      </c>
      <c r="F1437" s="53">
        <f>IFERROR(VLOOKUP(E1437,Fornecedores!$A$2:$B$2700,2,FALSE),"")</f>
        <v>25</v>
      </c>
      <c r="G1437" s="52" t="s">
        <v>1212</v>
      </c>
      <c r="H1437" s="57"/>
      <c r="I1437" s="55">
        <f>SUM(J1437:M1437)</f>
        <v>0</v>
      </c>
      <c r="J1437" s="55">
        <v>0</v>
      </c>
      <c r="K1437" s="55">
        <v>0</v>
      </c>
      <c r="L1437" s="55">
        <v>0</v>
      </c>
      <c r="M1437" s="55">
        <v>0</v>
      </c>
      <c r="N1437" s="55">
        <f>SUM(O1437:Q1437)</f>
        <v>0</v>
      </c>
      <c r="O1437" s="55">
        <v>0</v>
      </c>
      <c r="P1437" s="55">
        <v>0</v>
      </c>
      <c r="Q1437" s="55">
        <v>0</v>
      </c>
      <c r="R1437" s="55">
        <f>SUM(S1437:U1437)</f>
        <v>0</v>
      </c>
      <c r="S1437" s="55">
        <v>0</v>
      </c>
      <c r="T1437" s="55">
        <v>0</v>
      </c>
      <c r="U1437" s="55">
        <v>0</v>
      </c>
      <c r="V1437" s="55">
        <v>0</v>
      </c>
      <c r="W1437" s="53">
        <v>0</v>
      </c>
      <c r="X1437" s="53">
        <v>0</v>
      </c>
      <c r="Y1437" s="55">
        <v>0</v>
      </c>
      <c r="Z1437" s="55">
        <v>0</v>
      </c>
      <c r="AA1437" s="53">
        <v>0</v>
      </c>
      <c r="AB1437" s="53">
        <v>0</v>
      </c>
      <c r="AC1437" s="55">
        <v>0</v>
      </c>
      <c r="AD1437" s="55">
        <f t="shared" si="476"/>
        <v>0</v>
      </c>
      <c r="AE1437" s="53">
        <v>0</v>
      </c>
      <c r="AF1437" s="55">
        <v>0</v>
      </c>
      <c r="AG1437" s="55">
        <v>0</v>
      </c>
      <c r="AH1437" s="55">
        <f t="shared" si="474"/>
        <v>0</v>
      </c>
      <c r="AI1437" s="55">
        <v>0</v>
      </c>
      <c r="AJ1437" s="55">
        <v>0</v>
      </c>
      <c r="AK1437" s="55">
        <v>0</v>
      </c>
      <c r="AL1437" s="55">
        <f t="shared" si="475"/>
        <v>0</v>
      </c>
      <c r="AM1437" s="55" t="s">
        <v>1912</v>
      </c>
      <c r="AN1437" s="55">
        <v>0</v>
      </c>
      <c r="AO1437" s="55">
        <v>0</v>
      </c>
      <c r="AP1437" s="55">
        <f t="shared" si="473"/>
        <v>0</v>
      </c>
      <c r="AQ1437" s="55">
        <f>IFERROR(VLOOKUP(A1437,[1]SIIMPLES!$A$2:$F$418,6,FALSE),0)</f>
        <v>0</v>
      </c>
      <c r="AR1437" s="55">
        <v>0</v>
      </c>
      <c r="AS1437" s="55">
        <v>0</v>
      </c>
      <c r="AT1437" s="55">
        <v>0</v>
      </c>
      <c r="AU1437" s="55">
        <v>0</v>
      </c>
      <c r="AV1437" s="55">
        <v>0</v>
      </c>
      <c r="AW1437" s="55"/>
      <c r="AX1437" s="55"/>
      <c r="AY1437" s="56">
        <f t="shared" si="477"/>
        <v>0</v>
      </c>
      <c r="AZ1437" s="55"/>
      <c r="BA1437" s="56">
        <v>0.33333333333333331</v>
      </c>
    </row>
    <row r="1438" spans="1:53" ht="12.75" customHeight="1" x14ac:dyDescent="0.2">
      <c r="A1438" s="51" t="s">
        <v>1268</v>
      </c>
      <c r="B1438" s="51"/>
      <c r="C1438" s="66" t="s">
        <v>1803</v>
      </c>
      <c r="D1438" s="52" t="s">
        <v>1274</v>
      </c>
      <c r="E1438" s="52" t="s">
        <v>1761</v>
      </c>
      <c r="F1438" s="53" t="str">
        <f>IFERROR(VLOOKUP(E1438,Fornecedores!$A$2:$B$2700,2,FALSE),"")</f>
        <v/>
      </c>
      <c r="G1438" s="52" t="s">
        <v>1396</v>
      </c>
      <c r="H1438" s="57"/>
      <c r="I1438" s="55">
        <f>SUM(J1438:M1438)</f>
        <v>0</v>
      </c>
      <c r="J1438" s="55">
        <v>0</v>
      </c>
      <c r="K1438" s="55">
        <v>0</v>
      </c>
      <c r="L1438" s="55">
        <v>0</v>
      </c>
      <c r="M1438" s="55">
        <v>0</v>
      </c>
      <c r="N1438" s="55">
        <f>SUM(O1438:Q1438)</f>
        <v>0</v>
      </c>
      <c r="O1438" s="55">
        <v>0</v>
      </c>
      <c r="P1438" s="55">
        <v>0</v>
      </c>
      <c r="Q1438" s="55">
        <v>0</v>
      </c>
      <c r="R1438" s="55">
        <f>SUM(S1438:U1438)</f>
        <v>0</v>
      </c>
      <c r="S1438" s="55">
        <v>0</v>
      </c>
      <c r="T1438" s="55">
        <v>0</v>
      </c>
      <c r="U1438" s="55">
        <v>0</v>
      </c>
      <c r="V1438" s="55">
        <v>0</v>
      </c>
      <c r="W1438" s="53">
        <v>0</v>
      </c>
      <c r="X1438" s="53">
        <v>0</v>
      </c>
      <c r="Y1438" s="55">
        <v>0</v>
      </c>
      <c r="Z1438" s="55">
        <v>0</v>
      </c>
      <c r="AA1438" s="53">
        <v>0</v>
      </c>
      <c r="AB1438" s="53">
        <v>0</v>
      </c>
      <c r="AC1438" s="55">
        <v>0</v>
      </c>
      <c r="AD1438" s="55">
        <f t="shared" si="476"/>
        <v>0</v>
      </c>
      <c r="AE1438" s="53">
        <v>0</v>
      </c>
      <c r="AF1438" s="55">
        <v>0</v>
      </c>
      <c r="AG1438" s="55">
        <v>0</v>
      </c>
      <c r="AH1438" s="55">
        <f t="shared" si="474"/>
        <v>0</v>
      </c>
      <c r="AI1438" s="55">
        <v>0</v>
      </c>
      <c r="AJ1438" s="55">
        <v>0</v>
      </c>
      <c r="AK1438" s="55">
        <v>0</v>
      </c>
      <c r="AL1438" s="55">
        <f t="shared" si="475"/>
        <v>0</v>
      </c>
      <c r="AM1438" s="55" t="s">
        <v>1912</v>
      </c>
      <c r="AN1438" s="55">
        <v>0</v>
      </c>
      <c r="AO1438" s="55">
        <v>0</v>
      </c>
      <c r="AP1438" s="55">
        <f t="shared" si="473"/>
        <v>0</v>
      </c>
      <c r="AQ1438" s="55">
        <f>IFERROR(VLOOKUP(A1438,[1]SIIMPLES!$A$2:$F$418,6,FALSE),0)</f>
        <v>0</v>
      </c>
      <c r="AR1438" s="55">
        <v>0</v>
      </c>
      <c r="AS1438" s="55">
        <v>0</v>
      </c>
      <c r="AT1438" s="55">
        <v>0</v>
      </c>
      <c r="AU1438" s="55">
        <v>0</v>
      </c>
      <c r="AV1438" s="55">
        <v>0</v>
      </c>
      <c r="AW1438" s="55"/>
      <c r="AX1438" s="55"/>
      <c r="AY1438" s="56">
        <f t="shared" si="477"/>
        <v>0</v>
      </c>
      <c r="AZ1438" s="55"/>
      <c r="BA1438" s="56">
        <v>0</v>
      </c>
    </row>
    <row r="1439" spans="1:53" ht="12.75" customHeight="1" x14ac:dyDescent="0.2">
      <c r="A1439" s="68">
        <v>6301</v>
      </c>
      <c r="B1439" s="51"/>
      <c r="C1439" s="66" t="s">
        <v>1851</v>
      </c>
      <c r="D1439" s="52" t="s">
        <v>1908</v>
      </c>
      <c r="E1439" s="52" t="str">
        <f>VLOOKUP(A1439,[2]CMV!$A$1:$E$2043,5,FALSE)</f>
        <v>POLO</v>
      </c>
      <c r="F1439" s="53"/>
      <c r="G1439" s="52" t="str">
        <f>VLOOKUP(A1439,[2]CMV!$A$1:$F$2043,6,FALSE)</f>
        <v>ROLAMENTO 6301</v>
      </c>
      <c r="H1439" s="57"/>
      <c r="I1439" s="57"/>
      <c r="J1439" s="57"/>
      <c r="K1439" s="57"/>
      <c r="L1439" s="57"/>
      <c r="M1439" s="57"/>
      <c r="N1439" s="57"/>
      <c r="O1439" s="57"/>
      <c r="P1439" s="57"/>
      <c r="Q1439" s="57"/>
      <c r="R1439" s="57"/>
      <c r="S1439" s="57"/>
      <c r="T1439" s="57"/>
      <c r="U1439" s="57"/>
      <c r="V1439" s="57"/>
      <c r="W1439" s="57"/>
      <c r="X1439" s="53">
        <v>0</v>
      </c>
      <c r="Y1439" s="57"/>
      <c r="Z1439" s="55">
        <v>10</v>
      </c>
      <c r="AA1439" s="57"/>
      <c r="AB1439" s="57"/>
      <c r="AC1439" s="55">
        <v>10</v>
      </c>
      <c r="AD1439" s="55">
        <f t="shared" si="476"/>
        <v>0</v>
      </c>
      <c r="AE1439" s="53">
        <v>0</v>
      </c>
      <c r="AF1439" s="55">
        <v>0</v>
      </c>
      <c r="AG1439" s="55">
        <v>0</v>
      </c>
      <c r="AH1439" s="55">
        <f t="shared" si="474"/>
        <v>0</v>
      </c>
      <c r="AI1439" s="55">
        <v>0</v>
      </c>
      <c r="AJ1439" s="55">
        <v>0</v>
      </c>
      <c r="AK1439" s="55">
        <v>0</v>
      </c>
      <c r="AL1439" s="55">
        <f t="shared" si="475"/>
        <v>0</v>
      </c>
      <c r="AM1439" s="55" t="s">
        <v>1912</v>
      </c>
      <c r="AN1439" s="55">
        <v>0</v>
      </c>
      <c r="AO1439" s="55">
        <v>0</v>
      </c>
      <c r="AP1439" s="55">
        <f t="shared" si="473"/>
        <v>0</v>
      </c>
      <c r="AQ1439" s="55">
        <f>IFERROR(VLOOKUP(A1439,[1]SIIMPLES!$A$2:$F$418,6,FALSE),0)</f>
        <v>0</v>
      </c>
      <c r="AR1439" s="55">
        <v>0</v>
      </c>
      <c r="AS1439" s="55">
        <v>0</v>
      </c>
      <c r="AT1439" s="55">
        <v>0</v>
      </c>
      <c r="AU1439" s="55">
        <v>0</v>
      </c>
      <c r="AV1439" s="55">
        <v>0</v>
      </c>
      <c r="AW1439" s="57"/>
      <c r="AX1439" s="57"/>
      <c r="AY1439" s="56">
        <f t="shared" si="477"/>
        <v>1.6666666666666667</v>
      </c>
      <c r="AZ1439" s="57"/>
      <c r="BA1439" s="57"/>
    </row>
    <row r="1440" spans="1:53" ht="12.75" customHeight="1" x14ac:dyDescent="0.2">
      <c r="A1440" s="51">
        <v>10141</v>
      </c>
      <c r="B1440" s="51"/>
      <c r="C1440" s="66" t="s">
        <v>1851</v>
      </c>
      <c r="D1440" s="52" t="s">
        <v>1903</v>
      </c>
      <c r="E1440" s="52" t="str">
        <f>VLOOKUP(A1440,[3]CMV!$A$1:$E$1988,5,FALSE)</f>
        <v>POLO</v>
      </c>
      <c r="F1440" s="53"/>
      <c r="G1440" s="52" t="str">
        <f>VLOOKUP(A1440,[2]CMV!$A$1:$F$2043,6,FALSE)</f>
        <v>REFIL BOMBA DE COMBUSTÍVEL COMET MIRAGE 250 YAHAMA FAZER 250 LANDER 250 TENERE 250</v>
      </c>
      <c r="H1440" s="57"/>
      <c r="I1440" s="55">
        <f>SUM(J1440:M1440)</f>
        <v>0</v>
      </c>
      <c r="J1440" s="55">
        <v>0</v>
      </c>
      <c r="K1440" s="55">
        <v>0</v>
      </c>
      <c r="L1440" s="55">
        <v>0</v>
      </c>
      <c r="M1440" s="55">
        <v>0</v>
      </c>
      <c r="N1440" s="55">
        <f>SUM(O1440:Q1440)</f>
        <v>0</v>
      </c>
      <c r="O1440" s="57"/>
      <c r="P1440" s="57"/>
      <c r="Q1440" s="57"/>
      <c r="R1440" s="55">
        <f>SUM(S1440:U1440)</f>
        <v>0</v>
      </c>
      <c r="S1440" s="57"/>
      <c r="T1440" s="57"/>
      <c r="U1440" s="57"/>
      <c r="V1440" s="55">
        <v>1</v>
      </c>
      <c r="W1440" s="57"/>
      <c r="X1440" s="53">
        <v>0</v>
      </c>
      <c r="Y1440" s="55">
        <v>1</v>
      </c>
      <c r="Z1440" s="55">
        <v>0</v>
      </c>
      <c r="AA1440" s="53">
        <v>0</v>
      </c>
      <c r="AB1440" s="53">
        <v>0</v>
      </c>
      <c r="AC1440" s="55">
        <v>0</v>
      </c>
      <c r="AD1440" s="55">
        <f t="shared" si="476"/>
        <v>0</v>
      </c>
      <c r="AE1440" s="53">
        <v>0</v>
      </c>
      <c r="AF1440" s="55">
        <v>0</v>
      </c>
      <c r="AG1440" s="55">
        <v>0</v>
      </c>
      <c r="AH1440" s="55">
        <f t="shared" si="474"/>
        <v>2</v>
      </c>
      <c r="AI1440" s="55">
        <v>0</v>
      </c>
      <c r="AJ1440" s="55">
        <v>0</v>
      </c>
      <c r="AK1440" s="55">
        <v>2</v>
      </c>
      <c r="AL1440" s="55">
        <f t="shared" si="475"/>
        <v>2</v>
      </c>
      <c r="AM1440" s="55" t="s">
        <v>1912</v>
      </c>
      <c r="AN1440" s="55">
        <v>0</v>
      </c>
      <c r="AO1440" s="55">
        <v>2</v>
      </c>
      <c r="AP1440" s="55">
        <f t="shared" si="473"/>
        <v>0</v>
      </c>
      <c r="AQ1440" s="55">
        <f>IFERROR(VLOOKUP(A1440,[1]SIIMPLES!$A$2:$F$418,6,FALSE),0)</f>
        <v>0</v>
      </c>
      <c r="AR1440" s="55">
        <v>0</v>
      </c>
      <c r="AS1440" s="55">
        <v>0</v>
      </c>
      <c r="AT1440" s="55">
        <v>0</v>
      </c>
      <c r="AU1440" s="55">
        <v>0</v>
      </c>
      <c r="AV1440" s="55">
        <v>0</v>
      </c>
      <c r="AW1440" s="57"/>
      <c r="AX1440" s="57"/>
      <c r="AY1440" s="56">
        <f t="shared" si="477"/>
        <v>0.5</v>
      </c>
      <c r="AZ1440" s="57"/>
      <c r="BA1440" s="56" t="s">
        <v>1912</v>
      </c>
    </row>
    <row r="1441" spans="1:53" ht="12.75" customHeight="1" x14ac:dyDescent="0.2">
      <c r="A1441" s="51">
        <v>10145</v>
      </c>
      <c r="B1441" s="51"/>
      <c r="C1441" s="66" t="s">
        <v>1851</v>
      </c>
      <c r="D1441" s="52" t="s">
        <v>1903</v>
      </c>
      <c r="E1441" s="52" t="str">
        <f>VLOOKUP(A1441,[3]CMV!$A$1:$E$1988,5,FALSE)</f>
        <v>POLO</v>
      </c>
      <c r="F1441" s="53"/>
      <c r="G1441" s="52" t="str">
        <f>VLOOKUP(A1441,[2]CMV!$A$1:$F$2043,6,FALSE)</f>
        <v>REFIL BOMBA DE COMBUSTÍVEL NXR150 BROS XRE 300 NXR 150 BROS MIX</v>
      </c>
      <c r="H1441" s="57"/>
      <c r="I1441" s="55">
        <f>SUM(J1441:M1441)</f>
        <v>0</v>
      </c>
      <c r="J1441" s="55">
        <v>0</v>
      </c>
      <c r="K1441" s="55">
        <v>0</v>
      </c>
      <c r="L1441" s="55">
        <v>0</v>
      </c>
      <c r="M1441" s="55">
        <v>0</v>
      </c>
      <c r="N1441" s="55">
        <f>SUM(O1441:Q1441)</f>
        <v>0</v>
      </c>
      <c r="O1441" s="57"/>
      <c r="P1441" s="57"/>
      <c r="Q1441" s="57"/>
      <c r="R1441" s="55">
        <f>SUM(S1441:U1441)</f>
        <v>0</v>
      </c>
      <c r="S1441" s="57"/>
      <c r="T1441" s="57"/>
      <c r="U1441" s="57"/>
      <c r="V1441" s="55">
        <v>1</v>
      </c>
      <c r="W1441" s="57"/>
      <c r="X1441" s="53">
        <v>0</v>
      </c>
      <c r="Y1441" s="55">
        <v>1</v>
      </c>
      <c r="Z1441" s="55">
        <v>0</v>
      </c>
      <c r="AA1441" s="53">
        <v>0</v>
      </c>
      <c r="AB1441" s="53">
        <v>0</v>
      </c>
      <c r="AC1441" s="55">
        <v>0</v>
      </c>
      <c r="AD1441" s="55">
        <f t="shared" si="476"/>
        <v>0</v>
      </c>
      <c r="AE1441" s="53">
        <v>0</v>
      </c>
      <c r="AF1441" s="55">
        <v>0</v>
      </c>
      <c r="AG1441" s="55">
        <v>0</v>
      </c>
      <c r="AH1441" s="55">
        <f t="shared" si="474"/>
        <v>1</v>
      </c>
      <c r="AI1441" s="55">
        <v>0</v>
      </c>
      <c r="AJ1441" s="55">
        <v>0</v>
      </c>
      <c r="AK1441" s="55">
        <v>1</v>
      </c>
      <c r="AL1441" s="55">
        <f t="shared" si="475"/>
        <v>0</v>
      </c>
      <c r="AM1441" s="55" t="s">
        <v>1912</v>
      </c>
      <c r="AN1441" s="55">
        <v>0</v>
      </c>
      <c r="AO1441" s="55">
        <v>0</v>
      </c>
      <c r="AP1441" s="55">
        <f t="shared" si="473"/>
        <v>0</v>
      </c>
      <c r="AQ1441" s="55">
        <f>IFERROR(VLOOKUP(A1441,[1]SIIMPLES!$A$2:$F$418,6,FALSE),0)</f>
        <v>0</v>
      </c>
      <c r="AR1441" s="55">
        <v>0</v>
      </c>
      <c r="AS1441" s="55">
        <v>0</v>
      </c>
      <c r="AT1441" s="55">
        <v>0</v>
      </c>
      <c r="AU1441" s="55">
        <v>0</v>
      </c>
      <c r="AV1441" s="55">
        <v>0</v>
      </c>
      <c r="AW1441" s="57"/>
      <c r="AX1441" s="57"/>
      <c r="AY1441" s="56">
        <f t="shared" si="477"/>
        <v>0.2</v>
      </c>
      <c r="AZ1441" s="57"/>
      <c r="BA1441" s="56" t="s">
        <v>1912</v>
      </c>
    </row>
    <row r="1442" spans="1:53" ht="12.75" customHeight="1" x14ac:dyDescent="0.2">
      <c r="A1442" s="82">
        <v>10147</v>
      </c>
      <c r="B1442" s="28"/>
      <c r="C1442" s="28" t="s">
        <v>1851</v>
      </c>
      <c r="D1442" s="83" t="s">
        <v>2014</v>
      </c>
      <c r="E1442" s="83" t="s">
        <v>741</v>
      </c>
      <c r="F1442" s="84"/>
      <c r="G1442" s="85" t="s">
        <v>2023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3">
        <f t="shared" si="474"/>
        <v>2</v>
      </c>
      <c r="AI1442" s="7"/>
      <c r="AJ1442" s="7"/>
      <c r="AK1442" s="55">
        <v>2</v>
      </c>
      <c r="AL1442" s="55">
        <f t="shared" si="475"/>
        <v>0</v>
      </c>
      <c r="AM1442" s="55" t="s">
        <v>1912</v>
      </c>
      <c r="AN1442" s="55">
        <v>0</v>
      </c>
      <c r="AO1442" s="55">
        <v>0</v>
      </c>
      <c r="AP1442" s="55">
        <f t="shared" si="473"/>
        <v>0</v>
      </c>
      <c r="AQ1442" s="55">
        <f>IFERROR(VLOOKUP(A1442,[1]SIIMPLES!$A$2:$F$418,6,FALSE),0)</f>
        <v>0</v>
      </c>
      <c r="AR1442" s="55">
        <v>0</v>
      </c>
      <c r="AS1442" s="55">
        <v>0</v>
      </c>
      <c r="AT1442" s="55">
        <v>0</v>
      </c>
      <c r="AU1442" s="55">
        <v>0</v>
      </c>
      <c r="AV1442" s="55">
        <v>0</v>
      </c>
      <c r="AW1442" s="7"/>
      <c r="AX1442" s="7"/>
      <c r="AY1442" s="7"/>
      <c r="AZ1442" s="7"/>
      <c r="BA1442" s="7"/>
    </row>
    <row r="1443" spans="1:53" ht="12.75" customHeight="1" x14ac:dyDescent="0.2">
      <c r="A1443" s="82">
        <v>10148</v>
      </c>
      <c r="B1443" s="28"/>
      <c r="C1443" s="28" t="s">
        <v>1851</v>
      </c>
      <c r="D1443" s="83" t="s">
        <v>2014</v>
      </c>
      <c r="E1443" s="83" t="s">
        <v>741</v>
      </c>
      <c r="F1443" s="84"/>
      <c r="G1443" s="85" t="s">
        <v>2038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3">
        <f t="shared" si="474"/>
        <v>1</v>
      </c>
      <c r="AI1443" s="7"/>
      <c r="AJ1443" s="7"/>
      <c r="AK1443" s="55">
        <v>1</v>
      </c>
      <c r="AL1443" s="55">
        <f t="shared" si="475"/>
        <v>2</v>
      </c>
      <c r="AM1443" s="55" t="s">
        <v>1912</v>
      </c>
      <c r="AN1443" s="55">
        <v>0</v>
      </c>
      <c r="AO1443" s="55">
        <v>2</v>
      </c>
      <c r="AP1443" s="55">
        <f t="shared" si="473"/>
        <v>0</v>
      </c>
      <c r="AQ1443" s="55">
        <f>IFERROR(VLOOKUP(A1443,[1]SIIMPLES!$A$2:$F$418,6,FALSE),0)</f>
        <v>0</v>
      </c>
      <c r="AR1443" s="55">
        <v>0</v>
      </c>
      <c r="AS1443" s="55">
        <v>0</v>
      </c>
      <c r="AT1443" s="55">
        <v>0</v>
      </c>
      <c r="AU1443" s="55">
        <v>0</v>
      </c>
      <c r="AV1443" s="55">
        <v>0</v>
      </c>
      <c r="AW1443" s="7"/>
      <c r="AX1443" s="7"/>
      <c r="AY1443" s="7"/>
      <c r="AZ1443" s="7"/>
      <c r="BA1443" s="7"/>
    </row>
    <row r="1444" spans="1:53" ht="12.75" customHeight="1" x14ac:dyDescent="0.2">
      <c r="A1444" s="68">
        <v>10149</v>
      </c>
      <c r="B1444" s="51"/>
      <c r="C1444" s="66" t="str">
        <f>VLOOKUP(A1444,[2]CMV!$A$1:$B$2115,2,FALSE)</f>
        <v>MOTO PEÇAS</v>
      </c>
      <c r="D1444" s="52" t="str">
        <f>VLOOKUP(A1444,[2]CMV!$A$1:$C$2115,3,FALSE)</f>
        <v>Bomba Combustível MOTO</v>
      </c>
      <c r="E1444" s="52" t="str">
        <f>VLOOKUP(A1444,[2]CMV!$A$1:$E$2115,5,FALSE)</f>
        <v>POLO</v>
      </c>
      <c r="F1444" s="53"/>
      <c r="G1444" s="67" t="str">
        <f>VLOOKUP(A1444,[2]CMV!$A$1:$F$2115,6,FALSE)</f>
        <v>REFIL BOMBA DE COMBUSTÍVELHONDA CB300 2009 EM DIANTE</v>
      </c>
      <c r="H1444" s="57"/>
      <c r="I1444" s="57"/>
      <c r="J1444" s="57"/>
      <c r="K1444" s="57"/>
      <c r="L1444" s="57"/>
      <c r="M1444" s="57"/>
      <c r="N1444" s="57"/>
      <c r="O1444" s="57"/>
      <c r="P1444" s="57"/>
      <c r="Q1444" s="57"/>
      <c r="R1444" s="57"/>
      <c r="S1444" s="57"/>
      <c r="T1444" s="57"/>
      <c r="U1444" s="57"/>
      <c r="V1444" s="57"/>
      <c r="W1444" s="57"/>
      <c r="X1444" s="57"/>
      <c r="Y1444" s="57"/>
      <c r="Z1444" s="57"/>
      <c r="AA1444" s="57"/>
      <c r="AB1444" s="57"/>
      <c r="AC1444" s="57"/>
      <c r="AD1444" s="55">
        <f>SUM(AE1444:AG1444)</f>
        <v>1</v>
      </c>
      <c r="AE1444" s="57"/>
      <c r="AF1444" s="57"/>
      <c r="AG1444" s="55">
        <v>1</v>
      </c>
      <c r="AH1444" s="55">
        <f t="shared" si="474"/>
        <v>1</v>
      </c>
      <c r="AI1444" s="55">
        <v>0</v>
      </c>
      <c r="AJ1444" s="55">
        <v>0</v>
      </c>
      <c r="AK1444" s="55">
        <v>1</v>
      </c>
      <c r="AL1444" s="55">
        <f t="shared" si="475"/>
        <v>3</v>
      </c>
      <c r="AM1444" s="55" t="s">
        <v>1912</v>
      </c>
      <c r="AN1444" s="55">
        <v>0</v>
      </c>
      <c r="AO1444" s="55">
        <v>3</v>
      </c>
      <c r="AP1444" s="55">
        <f t="shared" si="473"/>
        <v>0</v>
      </c>
      <c r="AQ1444" s="55">
        <f>IFERROR(VLOOKUP(A1444,[1]SIIMPLES!$A$2:$F$418,6,FALSE),0)</f>
        <v>0</v>
      </c>
      <c r="AR1444" s="55">
        <v>0</v>
      </c>
      <c r="AS1444" s="55">
        <v>0</v>
      </c>
      <c r="AT1444" s="55">
        <v>0</v>
      </c>
      <c r="AU1444" s="55">
        <v>0</v>
      </c>
      <c r="AV1444" s="55">
        <v>0</v>
      </c>
      <c r="AW1444" s="57"/>
      <c r="AX1444" s="57"/>
      <c r="AY1444" s="56">
        <f>IFERROR(AVERAGE(I1444,N1444,R1444,V1444,Z1444,AD1444,AH1444,AL1444,AP1444,AS1444,AW1444,AX1444),"-")</f>
        <v>1</v>
      </c>
      <c r="AZ1444" s="57"/>
      <c r="BA1444" s="57"/>
    </row>
    <row r="1445" spans="1:53" ht="12.75" customHeight="1" x14ac:dyDescent="0.2">
      <c r="A1445" s="82">
        <v>10162</v>
      </c>
      <c r="B1445" s="28"/>
      <c r="C1445" s="28" t="s">
        <v>1851</v>
      </c>
      <c r="D1445" s="83" t="s">
        <v>2014</v>
      </c>
      <c r="E1445" s="83" t="s">
        <v>741</v>
      </c>
      <c r="F1445" s="84"/>
      <c r="G1445" s="85" t="s">
        <v>2032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3">
        <f t="shared" si="474"/>
        <v>1</v>
      </c>
      <c r="AI1445" s="7"/>
      <c r="AJ1445" s="7"/>
      <c r="AK1445" s="55">
        <v>1</v>
      </c>
      <c r="AL1445" s="55">
        <f t="shared" si="475"/>
        <v>0</v>
      </c>
      <c r="AM1445" s="55" t="s">
        <v>1912</v>
      </c>
      <c r="AN1445" s="55">
        <v>0</v>
      </c>
      <c r="AO1445" s="55">
        <v>0</v>
      </c>
      <c r="AP1445" s="55">
        <f t="shared" si="473"/>
        <v>0</v>
      </c>
      <c r="AQ1445" s="55">
        <f>IFERROR(VLOOKUP(A1445,[1]SIIMPLES!$A$2:$F$418,6,FALSE),0)</f>
        <v>0</v>
      </c>
      <c r="AR1445" s="55">
        <v>0</v>
      </c>
      <c r="AS1445" s="55">
        <v>0</v>
      </c>
      <c r="AT1445" s="55">
        <v>0</v>
      </c>
      <c r="AU1445" s="55">
        <v>0</v>
      </c>
      <c r="AV1445" s="55">
        <v>0</v>
      </c>
      <c r="AW1445" s="7"/>
      <c r="AX1445" s="7"/>
      <c r="AY1445" s="7"/>
      <c r="AZ1445" s="7"/>
      <c r="BA1445" s="7"/>
    </row>
    <row r="1446" spans="1:53" ht="12.75" customHeight="1" x14ac:dyDescent="0.2">
      <c r="A1446" s="82">
        <v>10172</v>
      </c>
      <c r="B1446" s="28"/>
      <c r="C1446" s="28" t="s">
        <v>1851</v>
      </c>
      <c r="D1446" s="83" t="s">
        <v>2014</v>
      </c>
      <c r="E1446" s="83" t="s">
        <v>741</v>
      </c>
      <c r="F1446" s="84"/>
      <c r="G1446" s="85" t="s">
        <v>2015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3">
        <f t="shared" si="474"/>
        <v>3</v>
      </c>
      <c r="AI1446" s="7"/>
      <c r="AJ1446" s="7"/>
      <c r="AK1446" s="55">
        <v>3</v>
      </c>
      <c r="AL1446" s="55">
        <f t="shared" si="475"/>
        <v>4</v>
      </c>
      <c r="AM1446" s="55" t="s">
        <v>1912</v>
      </c>
      <c r="AN1446" s="55">
        <v>0</v>
      </c>
      <c r="AO1446" s="55">
        <v>4</v>
      </c>
      <c r="AP1446" s="55">
        <f t="shared" si="473"/>
        <v>0</v>
      </c>
      <c r="AQ1446" s="55">
        <f>IFERROR(VLOOKUP(A1446,[1]SIIMPLES!$A$2:$F$418,6,FALSE),0)</f>
        <v>0</v>
      </c>
      <c r="AR1446" s="55">
        <v>0</v>
      </c>
      <c r="AS1446" s="55">
        <v>0</v>
      </c>
      <c r="AT1446" s="55">
        <v>0</v>
      </c>
      <c r="AU1446" s="55">
        <v>0</v>
      </c>
      <c r="AV1446" s="55">
        <v>0</v>
      </c>
      <c r="AW1446" s="7"/>
      <c r="AX1446" s="7"/>
      <c r="AY1446" s="7"/>
      <c r="AZ1446" s="7"/>
      <c r="BA1446" s="7"/>
    </row>
    <row r="1447" spans="1:53" ht="12.75" customHeight="1" x14ac:dyDescent="0.2">
      <c r="A1447" s="82">
        <v>10180</v>
      </c>
      <c r="B1447" s="28"/>
      <c r="C1447" s="28" t="s">
        <v>1851</v>
      </c>
      <c r="D1447" s="83" t="s">
        <v>2014</v>
      </c>
      <c r="E1447" s="83" t="s">
        <v>741</v>
      </c>
      <c r="F1447" s="84"/>
      <c r="G1447" s="85" t="s">
        <v>2027</v>
      </c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3">
        <f t="shared" si="474"/>
        <v>2</v>
      </c>
      <c r="AI1447" s="7"/>
      <c r="AJ1447" s="7"/>
      <c r="AK1447" s="55">
        <v>2</v>
      </c>
      <c r="AL1447" s="55">
        <f t="shared" si="475"/>
        <v>2</v>
      </c>
      <c r="AM1447" s="55" t="s">
        <v>1912</v>
      </c>
      <c r="AN1447" s="55">
        <v>0</v>
      </c>
      <c r="AO1447" s="55">
        <v>2</v>
      </c>
      <c r="AP1447" s="55">
        <f t="shared" si="473"/>
        <v>0</v>
      </c>
      <c r="AQ1447" s="55">
        <f>IFERROR(VLOOKUP(A1447,[1]SIIMPLES!$A$2:$F$418,6,FALSE),0)</f>
        <v>0</v>
      </c>
      <c r="AR1447" s="55">
        <v>0</v>
      </c>
      <c r="AS1447" s="55">
        <v>1</v>
      </c>
      <c r="AT1447" s="55">
        <v>0</v>
      </c>
      <c r="AU1447" s="55">
        <v>0</v>
      </c>
      <c r="AV1447" s="55">
        <v>1</v>
      </c>
      <c r="AW1447" s="7"/>
      <c r="AX1447" s="7"/>
      <c r="AY1447" s="7"/>
      <c r="AZ1447" s="7"/>
      <c r="BA1447" s="7"/>
    </row>
    <row r="1448" spans="1:53" ht="12.75" customHeight="1" x14ac:dyDescent="0.2">
      <c r="A1448" s="68">
        <v>10197</v>
      </c>
      <c r="B1448" s="51"/>
      <c r="C1448" s="66" t="str">
        <f>VLOOKUP(A1448,[2]CMV!$A$1:$B$2115,2,FALSE)</f>
        <v>MOTO PEÇAS</v>
      </c>
      <c r="D1448" s="52" t="str">
        <f>VLOOKUP(A1448,[2]CMV!$A$1:$C$2115,3,FALSE)</f>
        <v>Bomba Combustível MOTO</v>
      </c>
      <c r="E1448" s="52" t="str">
        <f>VLOOKUP(A1448,[2]CMV!$A$1:$E$2115,5,FALSE)</f>
        <v>POLO</v>
      </c>
      <c r="F1448" s="53"/>
      <c r="G1448" s="67" t="str">
        <f>VLOOKUP(A1448,[2]CMV!$A$1:$F$2115,6,FALSE)</f>
        <v>REFIL BOMBA DE COMBUSTÍVEL FACTOR 150 FAZER 150 XTZ CROSSER 150</v>
      </c>
      <c r="H1448" s="57"/>
      <c r="I1448" s="57"/>
      <c r="J1448" s="57"/>
      <c r="K1448" s="57"/>
      <c r="L1448" s="57"/>
      <c r="M1448" s="57"/>
      <c r="N1448" s="57"/>
      <c r="O1448" s="57"/>
      <c r="P1448" s="57"/>
      <c r="Q1448" s="57"/>
      <c r="R1448" s="57"/>
      <c r="S1448" s="57"/>
      <c r="T1448" s="57"/>
      <c r="U1448" s="57"/>
      <c r="V1448" s="57"/>
      <c r="W1448" s="57"/>
      <c r="X1448" s="57"/>
      <c r="Y1448" s="57"/>
      <c r="Z1448" s="57"/>
      <c r="AA1448" s="57"/>
      <c r="AB1448" s="57"/>
      <c r="AC1448" s="57"/>
      <c r="AD1448" s="55">
        <f>SUM(AE1448:AG1448)</f>
        <v>1</v>
      </c>
      <c r="AE1448" s="57"/>
      <c r="AF1448" s="57"/>
      <c r="AG1448" s="55">
        <v>1</v>
      </c>
      <c r="AH1448" s="55">
        <f t="shared" si="474"/>
        <v>1</v>
      </c>
      <c r="AI1448" s="55">
        <v>0</v>
      </c>
      <c r="AJ1448" s="55">
        <v>0</v>
      </c>
      <c r="AK1448" s="55">
        <v>1</v>
      </c>
      <c r="AL1448" s="55">
        <f t="shared" si="475"/>
        <v>1</v>
      </c>
      <c r="AM1448" s="55" t="s">
        <v>1912</v>
      </c>
      <c r="AN1448" s="55">
        <v>0</v>
      </c>
      <c r="AO1448" s="55">
        <v>1</v>
      </c>
      <c r="AP1448" s="55">
        <f t="shared" si="473"/>
        <v>0</v>
      </c>
      <c r="AQ1448" s="55">
        <f>IFERROR(VLOOKUP(A1448,[1]SIIMPLES!$A$2:$F$418,6,FALSE),0)</f>
        <v>0</v>
      </c>
      <c r="AR1448" s="55">
        <v>0</v>
      </c>
      <c r="AS1448" s="55">
        <v>2</v>
      </c>
      <c r="AT1448" s="55">
        <v>0</v>
      </c>
      <c r="AU1448" s="55">
        <v>0</v>
      </c>
      <c r="AV1448" s="55">
        <v>2</v>
      </c>
      <c r="AW1448" s="57"/>
      <c r="AX1448" s="57"/>
      <c r="AY1448" s="56">
        <f>IFERROR(AVERAGE(I1448,N1448,R1448,V1448,Z1448,AD1448,AH1448,AL1448,AP1448,AS1448,AW1448,AX1448),"-")</f>
        <v>1</v>
      </c>
      <c r="AZ1448" s="57"/>
      <c r="BA1448" s="57"/>
    </row>
    <row r="1449" spans="1:53" ht="12.75" customHeight="1" x14ac:dyDescent="0.2">
      <c r="A1449" s="51">
        <v>10463</v>
      </c>
      <c r="B1449" s="51"/>
      <c r="C1449" s="66" t="s">
        <v>1851</v>
      </c>
      <c r="D1449" s="52" t="s">
        <v>1903</v>
      </c>
      <c r="E1449" s="52" t="str">
        <f>VLOOKUP(A1449,[3]CMV!$A$1:$E$1988,5,FALSE)</f>
        <v>POLO</v>
      </c>
      <c r="F1449" s="53"/>
      <c r="G1449" s="52" t="str">
        <f>VLOOKUP(A1449,[2]CMV!$A$1:$F$2043,6,FALSE)</f>
        <v>BOMBA DE COMBUSTÍVEL COMPLETA HONDA TITAN 150 GASOLINA 2009 EM DIANTE</v>
      </c>
      <c r="H1449" s="57"/>
      <c r="I1449" s="55">
        <f>SUM(J1449:M1449)</f>
        <v>0</v>
      </c>
      <c r="J1449" s="55">
        <v>0</v>
      </c>
      <c r="K1449" s="55">
        <v>0</v>
      </c>
      <c r="L1449" s="55">
        <v>0</v>
      </c>
      <c r="M1449" s="55">
        <v>0</v>
      </c>
      <c r="N1449" s="55">
        <f>SUM(O1449:Q1449)</f>
        <v>0</v>
      </c>
      <c r="O1449" s="57"/>
      <c r="P1449" s="57"/>
      <c r="Q1449" s="57"/>
      <c r="R1449" s="55">
        <f>SUM(S1449:U1449)</f>
        <v>0</v>
      </c>
      <c r="S1449" s="57"/>
      <c r="T1449" s="57"/>
      <c r="U1449" s="57"/>
      <c r="V1449" s="55">
        <v>1</v>
      </c>
      <c r="W1449" s="57"/>
      <c r="X1449" s="53">
        <v>0</v>
      </c>
      <c r="Y1449" s="55">
        <v>1</v>
      </c>
      <c r="Z1449" s="55">
        <v>0</v>
      </c>
      <c r="AA1449" s="53">
        <v>0</v>
      </c>
      <c r="AB1449" s="53">
        <v>0</v>
      </c>
      <c r="AC1449" s="55">
        <v>0</v>
      </c>
      <c r="AD1449" s="55">
        <f>SUM(AE1449:AG1449)</f>
        <v>0</v>
      </c>
      <c r="AE1449" s="53">
        <v>0</v>
      </c>
      <c r="AF1449" s="55">
        <v>0</v>
      </c>
      <c r="AG1449" s="55">
        <v>0</v>
      </c>
      <c r="AH1449" s="55">
        <f t="shared" si="474"/>
        <v>0</v>
      </c>
      <c r="AI1449" s="55">
        <v>0</v>
      </c>
      <c r="AJ1449" s="55">
        <v>0</v>
      </c>
      <c r="AK1449" s="55">
        <v>0</v>
      </c>
      <c r="AL1449" s="55">
        <f t="shared" si="475"/>
        <v>0</v>
      </c>
      <c r="AM1449" s="55" t="s">
        <v>1912</v>
      </c>
      <c r="AN1449" s="55">
        <v>0</v>
      </c>
      <c r="AO1449" s="55">
        <v>0</v>
      </c>
      <c r="AP1449" s="55">
        <f t="shared" si="473"/>
        <v>0</v>
      </c>
      <c r="AQ1449" s="55">
        <f>IFERROR(VLOOKUP(A1449,[1]SIIMPLES!$A$2:$F$418,6,FALSE),0)</f>
        <v>0</v>
      </c>
      <c r="AR1449" s="55">
        <v>0</v>
      </c>
      <c r="AS1449" s="55">
        <v>0</v>
      </c>
      <c r="AT1449" s="55">
        <v>0</v>
      </c>
      <c r="AU1449" s="55">
        <v>0</v>
      </c>
      <c r="AV1449" s="55">
        <v>0</v>
      </c>
      <c r="AW1449" s="57"/>
      <c r="AX1449" s="57"/>
      <c r="AY1449" s="56">
        <f>IFERROR(AVERAGE(I1449,N1449,R1449,V1449,Z1449,AD1449,AH1449,AL1449,AP1449,AS1449,AW1449,AX1449),"-")</f>
        <v>0.1</v>
      </c>
      <c r="AZ1449" s="57"/>
      <c r="BA1449" s="56" t="s">
        <v>1912</v>
      </c>
    </row>
    <row r="1450" spans="1:53" ht="12.75" customHeight="1" x14ac:dyDescent="0.2">
      <c r="A1450" s="68">
        <v>10468</v>
      </c>
      <c r="B1450" s="51"/>
      <c r="C1450" s="66" t="str">
        <f>VLOOKUP(A1450,[2]CMV!$A$1:$B$2115,2,FALSE)</f>
        <v>MOTO PEÇAS</v>
      </c>
      <c r="D1450" s="52" t="str">
        <f>VLOOKUP(A1450,[2]CMV!$A$1:$C$2115,3,FALSE)</f>
        <v>Bomba Combustível MOTO</v>
      </c>
      <c r="E1450" s="52" t="str">
        <f>VLOOKUP(A1450,[2]CMV!$A$1:$E$2115,5,FALSE)</f>
        <v>POLO</v>
      </c>
      <c r="F1450" s="53"/>
      <c r="G1450" s="67" t="str">
        <f>VLOOKUP(A1450,[2]CMV!$A$1:$F$2115,6,FALSE)</f>
        <v>BOMBA DE COMBUSTÍVEL COMPLETA HONDA CG 150 FAN FLWX 2014 EM DIANTE</v>
      </c>
      <c r="H1450" s="57"/>
      <c r="I1450" s="57"/>
      <c r="J1450" s="57"/>
      <c r="K1450" s="57"/>
      <c r="L1450" s="57"/>
      <c r="M1450" s="57"/>
      <c r="N1450" s="57"/>
      <c r="O1450" s="57"/>
      <c r="P1450" s="57"/>
      <c r="Q1450" s="57"/>
      <c r="R1450" s="57"/>
      <c r="S1450" s="57"/>
      <c r="T1450" s="57"/>
      <c r="U1450" s="57"/>
      <c r="V1450" s="57"/>
      <c r="W1450" s="57"/>
      <c r="X1450" s="57"/>
      <c r="Y1450" s="57"/>
      <c r="Z1450" s="57"/>
      <c r="AA1450" s="57"/>
      <c r="AB1450" s="57"/>
      <c r="AC1450" s="57"/>
      <c r="AD1450" s="55">
        <f>SUM(AE1450:AG1450)</f>
        <v>1</v>
      </c>
      <c r="AE1450" s="57"/>
      <c r="AF1450" s="57"/>
      <c r="AG1450" s="55">
        <v>1</v>
      </c>
      <c r="AH1450" s="55">
        <f t="shared" si="474"/>
        <v>0</v>
      </c>
      <c r="AI1450" s="55">
        <v>0</v>
      </c>
      <c r="AJ1450" s="55">
        <v>0</v>
      </c>
      <c r="AK1450" s="55">
        <v>0</v>
      </c>
      <c r="AL1450" s="55">
        <f t="shared" si="475"/>
        <v>0</v>
      </c>
      <c r="AM1450" s="55" t="s">
        <v>1912</v>
      </c>
      <c r="AN1450" s="55">
        <v>0</v>
      </c>
      <c r="AO1450" s="55">
        <v>0</v>
      </c>
      <c r="AP1450" s="55">
        <f t="shared" si="473"/>
        <v>0</v>
      </c>
      <c r="AQ1450" s="55">
        <f>IFERROR(VLOOKUP(A1450,[1]SIIMPLES!$A$2:$F$418,6,FALSE),0)</f>
        <v>0</v>
      </c>
      <c r="AR1450" s="55">
        <v>0</v>
      </c>
      <c r="AS1450" s="55">
        <v>0</v>
      </c>
      <c r="AT1450" s="55">
        <v>0</v>
      </c>
      <c r="AU1450" s="55">
        <v>0</v>
      </c>
      <c r="AV1450" s="55">
        <v>0</v>
      </c>
      <c r="AW1450" s="57"/>
      <c r="AX1450" s="57"/>
      <c r="AY1450" s="56">
        <f>IFERROR(AVERAGE(I1450,N1450,R1450,V1450,Z1450,AD1450,AH1450,AL1450,AP1450,AS1450,AW1450,AX1450),"-")</f>
        <v>0.2</v>
      </c>
      <c r="AZ1450" s="57"/>
      <c r="BA1450" s="57"/>
    </row>
    <row r="1451" spans="1:53" ht="12.75" customHeight="1" x14ac:dyDescent="0.2">
      <c r="A1451" s="68">
        <v>14446</v>
      </c>
      <c r="B1451" s="51"/>
      <c r="C1451" s="66" t="s">
        <v>1851</v>
      </c>
      <c r="D1451" s="52" t="s">
        <v>1907</v>
      </c>
      <c r="E1451" s="52" t="str">
        <f>VLOOKUP(A1451,[2]CMV!$A$1:$E$2043,5,FALSE)</f>
        <v>TREVILUB</v>
      </c>
      <c r="F1451" s="53"/>
      <c r="G1451" s="52" t="str">
        <f>VLOOKUP(A1451,[2]CMV!$A$1:$F$2043,6,FALSE)</f>
        <v>ÓLEO MOTOR 4T 10W30 IPIRANGA</v>
      </c>
      <c r="H1451" s="57"/>
      <c r="I1451" s="57"/>
      <c r="J1451" s="57"/>
      <c r="K1451" s="57"/>
      <c r="L1451" s="57"/>
      <c r="M1451" s="57"/>
      <c r="N1451" s="57"/>
      <c r="O1451" s="57"/>
      <c r="P1451" s="57"/>
      <c r="Q1451" s="57"/>
      <c r="R1451" s="57"/>
      <c r="S1451" s="57"/>
      <c r="T1451" s="57"/>
      <c r="U1451" s="57"/>
      <c r="V1451" s="57"/>
      <c r="W1451" s="57"/>
      <c r="X1451" s="53">
        <v>0</v>
      </c>
      <c r="Y1451" s="57"/>
      <c r="Z1451" s="55">
        <v>29</v>
      </c>
      <c r="AA1451" s="57"/>
      <c r="AB1451" s="57"/>
      <c r="AC1451" s="55">
        <v>29</v>
      </c>
      <c r="AD1451" s="55">
        <f>SUM(AE1451:AG1451)</f>
        <v>3</v>
      </c>
      <c r="AE1451" s="53">
        <v>0</v>
      </c>
      <c r="AF1451" s="55">
        <v>0</v>
      </c>
      <c r="AG1451" s="55">
        <v>3</v>
      </c>
      <c r="AH1451" s="55">
        <f t="shared" si="474"/>
        <v>34</v>
      </c>
      <c r="AI1451" s="55">
        <v>0</v>
      </c>
      <c r="AJ1451" s="55">
        <v>0</v>
      </c>
      <c r="AK1451" s="55">
        <v>34</v>
      </c>
      <c r="AL1451" s="55">
        <f t="shared" si="475"/>
        <v>31</v>
      </c>
      <c r="AM1451" s="55" t="s">
        <v>1912</v>
      </c>
      <c r="AN1451" s="55">
        <v>0</v>
      </c>
      <c r="AO1451" s="55">
        <v>31</v>
      </c>
      <c r="AP1451" s="55">
        <f t="shared" si="473"/>
        <v>0</v>
      </c>
      <c r="AQ1451" s="55">
        <f>IFERROR(VLOOKUP(A1451,[1]SIIMPLES!$A$2:$F$418,6,FALSE),0)</f>
        <v>0</v>
      </c>
      <c r="AR1451" s="55">
        <v>0</v>
      </c>
      <c r="AS1451" s="55">
        <v>0</v>
      </c>
      <c r="AT1451" s="55">
        <v>0</v>
      </c>
      <c r="AU1451" s="55">
        <v>0</v>
      </c>
      <c r="AV1451" s="55">
        <v>0</v>
      </c>
      <c r="AW1451" s="57"/>
      <c r="AX1451" s="57"/>
      <c r="AY1451" s="56">
        <f>IFERROR(AVERAGE(I1451,N1451,R1451,V1451,Z1451,AD1451,AH1451,AL1451,AP1451,AS1451,AW1451,AX1451),"-")</f>
        <v>16.166666666666668</v>
      </c>
      <c r="AZ1451" s="57"/>
      <c r="BA1451" s="57"/>
    </row>
    <row r="1452" spans="1:53" ht="12.75" customHeight="1" x14ac:dyDescent="0.2">
      <c r="A1452" s="82" t="s">
        <v>2001</v>
      </c>
      <c r="B1452" s="28"/>
      <c r="C1452" s="28" t="s">
        <v>1851</v>
      </c>
      <c r="D1452" s="83" t="s">
        <v>918</v>
      </c>
      <c r="E1452" s="83" t="s">
        <v>919</v>
      </c>
      <c r="F1452" s="84"/>
      <c r="G1452" s="85" t="s">
        <v>2057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3">
        <f t="shared" si="474"/>
        <v>1</v>
      </c>
      <c r="AI1452" s="7"/>
      <c r="AJ1452" s="7"/>
      <c r="AK1452" s="55">
        <v>1</v>
      </c>
      <c r="AL1452" s="55">
        <f t="shared" si="475"/>
        <v>0</v>
      </c>
      <c r="AM1452" s="55" t="s">
        <v>1912</v>
      </c>
      <c r="AN1452" s="55">
        <v>0</v>
      </c>
      <c r="AO1452" s="55">
        <v>0</v>
      </c>
      <c r="AP1452" s="55">
        <f t="shared" si="473"/>
        <v>0</v>
      </c>
      <c r="AQ1452" s="55">
        <f>IFERROR(VLOOKUP(A1452,[1]SIIMPLES!$A$2:$F$418,6,FALSE),0)</f>
        <v>0</v>
      </c>
      <c r="AR1452" s="55">
        <v>0</v>
      </c>
      <c r="AS1452" s="55">
        <v>0</v>
      </c>
      <c r="AT1452" s="55">
        <v>0</v>
      </c>
      <c r="AU1452" s="55">
        <v>0</v>
      </c>
      <c r="AV1452" s="55">
        <v>0</v>
      </c>
      <c r="AW1452" s="7"/>
      <c r="AX1452" s="7"/>
      <c r="AY1452" s="7"/>
      <c r="AZ1452" s="7"/>
      <c r="BA1452" s="7"/>
    </row>
    <row r="1453" spans="1:53" ht="12.75" customHeight="1" x14ac:dyDescent="0.2">
      <c r="A1453" s="82" t="s">
        <v>1984</v>
      </c>
      <c r="B1453" s="28"/>
      <c r="C1453" s="28" t="s">
        <v>1851</v>
      </c>
      <c r="D1453" s="83" t="s">
        <v>2014</v>
      </c>
      <c r="E1453" s="83" t="s">
        <v>741</v>
      </c>
      <c r="F1453" s="84"/>
      <c r="G1453" s="85" t="s">
        <v>2036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3">
        <f t="shared" si="474"/>
        <v>1</v>
      </c>
      <c r="AI1453" s="7"/>
      <c r="AJ1453" s="7"/>
      <c r="AK1453" s="55">
        <v>1</v>
      </c>
      <c r="AL1453" s="55">
        <f t="shared" si="475"/>
        <v>2</v>
      </c>
      <c r="AM1453" s="55" t="s">
        <v>1912</v>
      </c>
      <c r="AN1453" s="55">
        <v>0</v>
      </c>
      <c r="AO1453" s="55">
        <v>2</v>
      </c>
      <c r="AP1453" s="55">
        <f t="shared" si="473"/>
        <v>0</v>
      </c>
      <c r="AQ1453" s="55">
        <f>IFERROR(VLOOKUP(A1453,[1]SIIMPLES!$A$2:$F$418,6,FALSE),0)</f>
        <v>0</v>
      </c>
      <c r="AR1453" s="55">
        <v>0</v>
      </c>
      <c r="AS1453" s="55">
        <v>0</v>
      </c>
      <c r="AT1453" s="55">
        <v>0</v>
      </c>
      <c r="AU1453" s="55">
        <v>0</v>
      </c>
      <c r="AV1453" s="55">
        <v>0</v>
      </c>
      <c r="AW1453" s="7"/>
      <c r="AX1453" s="7"/>
      <c r="AY1453" s="7"/>
      <c r="AZ1453" s="7"/>
      <c r="BA1453" s="7"/>
    </row>
    <row r="1454" spans="1:53" ht="12.75" customHeight="1" x14ac:dyDescent="0.2">
      <c r="A1454" s="82" t="s">
        <v>2002</v>
      </c>
      <c r="B1454" s="28"/>
      <c r="C1454" s="28" t="s">
        <v>1851</v>
      </c>
      <c r="D1454" s="83" t="s">
        <v>1761</v>
      </c>
      <c r="E1454" s="83" t="s">
        <v>2025</v>
      </c>
      <c r="F1454" s="84"/>
      <c r="G1454" s="85" t="s">
        <v>2058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3">
        <f t="shared" si="474"/>
        <v>3</v>
      </c>
      <c r="AI1454" s="7"/>
      <c r="AJ1454" s="7"/>
      <c r="AK1454" s="55">
        <v>3</v>
      </c>
      <c r="AL1454" s="55">
        <f t="shared" si="475"/>
        <v>0</v>
      </c>
      <c r="AM1454" s="55" t="s">
        <v>1912</v>
      </c>
      <c r="AN1454" s="55">
        <v>0</v>
      </c>
      <c r="AO1454" s="55">
        <v>0</v>
      </c>
      <c r="AP1454" s="55">
        <f t="shared" si="473"/>
        <v>0</v>
      </c>
      <c r="AQ1454" s="55">
        <f>IFERROR(VLOOKUP(A1454,[1]SIIMPLES!$A$2:$F$418,6,FALSE),0)</f>
        <v>0</v>
      </c>
      <c r="AR1454" s="55">
        <v>0</v>
      </c>
      <c r="AS1454" s="55">
        <v>0</v>
      </c>
      <c r="AT1454" s="55">
        <v>0</v>
      </c>
      <c r="AU1454" s="55">
        <v>0</v>
      </c>
      <c r="AV1454" s="55">
        <v>0</v>
      </c>
      <c r="AW1454" s="7"/>
      <c r="AX1454" s="7"/>
      <c r="AY1454" s="7"/>
      <c r="AZ1454" s="7"/>
      <c r="BA1454" s="7"/>
    </row>
    <row r="1455" spans="1:53" ht="12.75" customHeight="1" x14ac:dyDescent="0.2">
      <c r="A1455" s="82" t="s">
        <v>2005</v>
      </c>
      <c r="B1455" s="28"/>
      <c r="C1455" s="28" t="s">
        <v>1851</v>
      </c>
      <c r="D1455" s="83" t="s">
        <v>1761</v>
      </c>
      <c r="E1455" s="83" t="s">
        <v>2025</v>
      </c>
      <c r="F1455" s="84"/>
      <c r="G1455" s="85" t="s">
        <v>2061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3">
        <f t="shared" si="474"/>
        <v>2</v>
      </c>
      <c r="AI1455" s="7"/>
      <c r="AJ1455" s="7"/>
      <c r="AK1455" s="55">
        <v>2</v>
      </c>
      <c r="AL1455" s="55">
        <f t="shared" si="475"/>
        <v>0</v>
      </c>
      <c r="AM1455" s="55" t="s">
        <v>1912</v>
      </c>
      <c r="AN1455" s="55">
        <v>0</v>
      </c>
      <c r="AO1455" s="55">
        <v>0</v>
      </c>
      <c r="AP1455" s="55">
        <f t="shared" si="473"/>
        <v>0</v>
      </c>
      <c r="AQ1455" s="55">
        <f>IFERROR(VLOOKUP(A1455,[1]SIIMPLES!$A$2:$F$418,6,FALSE),0)</f>
        <v>0</v>
      </c>
      <c r="AR1455" s="55">
        <v>0</v>
      </c>
      <c r="AS1455" s="55">
        <v>0</v>
      </c>
      <c r="AT1455" s="55">
        <v>0</v>
      </c>
      <c r="AU1455" s="55">
        <v>0</v>
      </c>
      <c r="AV1455" s="55">
        <v>0</v>
      </c>
      <c r="AW1455" s="7"/>
      <c r="AX1455" s="7"/>
      <c r="AY1455" s="7"/>
      <c r="AZ1455" s="7"/>
      <c r="BA1455" s="7"/>
    </row>
    <row r="1456" spans="1:53" ht="12.75" customHeight="1" x14ac:dyDescent="0.2">
      <c r="A1456" s="82" t="s">
        <v>2000</v>
      </c>
      <c r="B1456" s="28"/>
      <c r="C1456" s="28" t="s">
        <v>1851</v>
      </c>
      <c r="D1456" s="83" t="s">
        <v>918</v>
      </c>
      <c r="E1456" s="83" t="s">
        <v>919</v>
      </c>
      <c r="F1456" s="84"/>
      <c r="G1456" s="85" t="s">
        <v>2056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3">
        <f t="shared" ref="AH1456:AH1487" si="478">SUM(AI1456:AK1456)</f>
        <v>1</v>
      </c>
      <c r="AI1456" s="7"/>
      <c r="AJ1456" s="7"/>
      <c r="AK1456" s="55">
        <v>1</v>
      </c>
      <c r="AL1456" s="55">
        <f t="shared" si="475"/>
        <v>0</v>
      </c>
      <c r="AM1456" s="55" t="s">
        <v>1912</v>
      </c>
      <c r="AN1456" s="55">
        <v>0</v>
      </c>
      <c r="AO1456" s="55">
        <v>0</v>
      </c>
      <c r="AP1456" s="55">
        <f t="shared" si="473"/>
        <v>0</v>
      </c>
      <c r="AQ1456" s="55">
        <f>IFERROR(VLOOKUP(A1456,[1]SIIMPLES!$A$2:$F$418,6,FALSE),0)</f>
        <v>0</v>
      </c>
      <c r="AR1456" s="55">
        <v>0</v>
      </c>
      <c r="AS1456" s="55">
        <v>0</v>
      </c>
      <c r="AT1456" s="55">
        <v>0</v>
      </c>
      <c r="AU1456" s="55">
        <v>0</v>
      </c>
      <c r="AV1456" s="55">
        <v>0</v>
      </c>
      <c r="AW1456" s="7"/>
      <c r="AX1456" s="7"/>
      <c r="AY1456" s="7"/>
      <c r="AZ1456" s="7"/>
      <c r="BA1456" s="7"/>
    </row>
    <row r="1457" spans="1:53" ht="12.75" customHeight="1" x14ac:dyDescent="0.2">
      <c r="A1457" s="82" t="s">
        <v>1988</v>
      </c>
      <c r="B1457" s="28"/>
      <c r="C1457" s="28" t="s">
        <v>1851</v>
      </c>
      <c r="D1457" s="83" t="s">
        <v>918</v>
      </c>
      <c r="E1457" s="83" t="s">
        <v>919</v>
      </c>
      <c r="F1457" s="84"/>
      <c r="G1457" s="85" t="s">
        <v>2041</v>
      </c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3">
        <f t="shared" si="478"/>
        <v>5</v>
      </c>
      <c r="AI1457" s="7"/>
      <c r="AJ1457" s="7"/>
      <c r="AK1457" s="55">
        <v>5</v>
      </c>
      <c r="AL1457" s="55">
        <f t="shared" si="475"/>
        <v>0</v>
      </c>
      <c r="AM1457" s="55" t="s">
        <v>1912</v>
      </c>
      <c r="AN1457" s="55">
        <v>0</v>
      </c>
      <c r="AO1457" s="55">
        <v>0</v>
      </c>
      <c r="AP1457" s="55">
        <f t="shared" si="473"/>
        <v>0</v>
      </c>
      <c r="AQ1457" s="55">
        <f>IFERROR(VLOOKUP(A1457,[1]SIIMPLES!$A$2:$F$418,6,FALSE),0)</f>
        <v>0</v>
      </c>
      <c r="AR1457" s="55">
        <v>0</v>
      </c>
      <c r="AS1457" s="55">
        <v>0</v>
      </c>
      <c r="AT1457" s="55">
        <v>0</v>
      </c>
      <c r="AU1457" s="55">
        <v>0</v>
      </c>
      <c r="AV1457" s="55">
        <v>0</v>
      </c>
      <c r="AW1457" s="7"/>
      <c r="AX1457" s="7"/>
      <c r="AY1457" s="7"/>
      <c r="AZ1457" s="7"/>
      <c r="BA1457" s="7"/>
    </row>
    <row r="1458" spans="1:53" ht="12.75" customHeight="1" x14ac:dyDescent="0.2">
      <c r="A1458" s="51" t="s">
        <v>1460</v>
      </c>
      <c r="B1458" s="51"/>
      <c r="C1458" s="66" t="s">
        <v>1851</v>
      </c>
      <c r="D1458" s="52" t="s">
        <v>918</v>
      </c>
      <c r="E1458" s="52" t="s">
        <v>919</v>
      </c>
      <c r="F1458" s="53">
        <f>IFERROR(VLOOKUP(E1458,Fornecedores!$A$2:$B$2700,2,FALSE),"")</f>
        <v>13</v>
      </c>
      <c r="G1458" s="52" t="s">
        <v>1472</v>
      </c>
      <c r="H1458" s="57"/>
      <c r="I1458" s="55">
        <f>SUM(J1458:M1458)</f>
        <v>0</v>
      </c>
      <c r="J1458" s="55">
        <v>0</v>
      </c>
      <c r="K1458" s="55">
        <v>0</v>
      </c>
      <c r="L1458" s="55">
        <v>0</v>
      </c>
      <c r="M1458" s="55">
        <v>0</v>
      </c>
      <c r="N1458" s="55">
        <f>SUM(O1458:Q1458)</f>
        <v>0</v>
      </c>
      <c r="O1458" s="55">
        <v>0</v>
      </c>
      <c r="P1458" s="55">
        <v>0</v>
      </c>
      <c r="Q1458" s="55">
        <v>0</v>
      </c>
      <c r="R1458" s="55">
        <f>SUM(S1458:U1458)</f>
        <v>0</v>
      </c>
      <c r="S1458" s="55">
        <v>0</v>
      </c>
      <c r="T1458" s="55">
        <v>0</v>
      </c>
      <c r="U1458" s="55">
        <v>0</v>
      </c>
      <c r="V1458" s="55">
        <v>0</v>
      </c>
      <c r="W1458" s="53">
        <v>0</v>
      </c>
      <c r="X1458" s="53">
        <v>0</v>
      </c>
      <c r="Y1458" s="55">
        <v>0</v>
      </c>
      <c r="Z1458" s="55">
        <v>2</v>
      </c>
      <c r="AA1458" s="53">
        <v>0</v>
      </c>
      <c r="AB1458" s="53">
        <v>0</v>
      </c>
      <c r="AC1458" s="55">
        <v>2</v>
      </c>
      <c r="AD1458" s="55">
        <f>SUM(AE1458:AG1458)</f>
        <v>0</v>
      </c>
      <c r="AE1458" s="53">
        <v>0</v>
      </c>
      <c r="AF1458" s="55">
        <v>0</v>
      </c>
      <c r="AG1458" s="55">
        <v>0</v>
      </c>
      <c r="AH1458" s="55">
        <f t="shared" si="478"/>
        <v>0</v>
      </c>
      <c r="AI1458" s="55">
        <v>0</v>
      </c>
      <c r="AJ1458" s="55">
        <v>0</v>
      </c>
      <c r="AK1458" s="55">
        <v>0</v>
      </c>
      <c r="AL1458" s="55">
        <f t="shared" si="475"/>
        <v>0</v>
      </c>
      <c r="AM1458" s="55" t="s">
        <v>1912</v>
      </c>
      <c r="AN1458" s="55">
        <v>0</v>
      </c>
      <c r="AO1458" s="55">
        <v>0</v>
      </c>
      <c r="AP1458" s="55">
        <f t="shared" si="473"/>
        <v>0</v>
      </c>
      <c r="AQ1458" s="55">
        <f>IFERROR(VLOOKUP(A1458,[1]SIIMPLES!$A$2:$F$418,6,FALSE),0)</f>
        <v>0</v>
      </c>
      <c r="AR1458" s="55">
        <v>0</v>
      </c>
      <c r="AS1458" s="55">
        <v>0</v>
      </c>
      <c r="AT1458" s="55">
        <v>0</v>
      </c>
      <c r="AU1458" s="55">
        <v>0</v>
      </c>
      <c r="AV1458" s="55">
        <v>0</v>
      </c>
      <c r="AW1458" s="57"/>
      <c r="AX1458" s="55"/>
      <c r="AY1458" s="56">
        <f>IFERROR(AVERAGE(I1458,N1458,R1458,V1458,Z1458,AD1458,AH1458,AL1458,AP1458,AS1458,AW1458,AX1458),"-")</f>
        <v>0.2</v>
      </c>
      <c r="AZ1458" s="55"/>
      <c r="BA1458" s="56">
        <v>5</v>
      </c>
    </row>
    <row r="1459" spans="1:53" ht="12.75" customHeight="1" x14ac:dyDescent="0.2">
      <c r="A1459" s="82" t="s">
        <v>1999</v>
      </c>
      <c r="B1459" s="28"/>
      <c r="C1459" s="28" t="s">
        <v>1851</v>
      </c>
      <c r="D1459" s="83" t="s">
        <v>918</v>
      </c>
      <c r="E1459" s="83" t="s">
        <v>919</v>
      </c>
      <c r="F1459" s="84"/>
      <c r="G1459" s="85" t="s">
        <v>2055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3">
        <f t="shared" si="478"/>
        <v>1</v>
      </c>
      <c r="AI1459" s="7"/>
      <c r="AJ1459" s="7"/>
      <c r="AK1459" s="55">
        <v>1</v>
      </c>
      <c r="AL1459" s="55">
        <f t="shared" si="475"/>
        <v>0</v>
      </c>
      <c r="AM1459" s="55" t="s">
        <v>1912</v>
      </c>
      <c r="AN1459" s="55">
        <v>0</v>
      </c>
      <c r="AO1459" s="55">
        <v>0</v>
      </c>
      <c r="AP1459" s="55">
        <f t="shared" si="473"/>
        <v>0</v>
      </c>
      <c r="AQ1459" s="55">
        <f>IFERROR(VLOOKUP(A1459,[1]SIIMPLES!$A$2:$F$418,6,FALSE),0)</f>
        <v>0</v>
      </c>
      <c r="AR1459" s="55">
        <v>0</v>
      </c>
      <c r="AS1459" s="55">
        <v>0</v>
      </c>
      <c r="AT1459" s="55">
        <v>0</v>
      </c>
      <c r="AU1459" s="55">
        <v>0</v>
      </c>
      <c r="AV1459" s="55">
        <v>0</v>
      </c>
      <c r="AW1459" s="7"/>
      <c r="AX1459" s="7"/>
      <c r="AY1459" s="7"/>
      <c r="AZ1459" s="7"/>
      <c r="BA1459" s="7"/>
    </row>
    <row r="1460" spans="1:53" ht="12.75" customHeight="1" x14ac:dyDescent="0.2">
      <c r="A1460" s="51" t="s">
        <v>1799</v>
      </c>
      <c r="B1460" s="51"/>
      <c r="C1460" s="66" t="s">
        <v>1851</v>
      </c>
      <c r="D1460" s="52" t="s">
        <v>918</v>
      </c>
      <c r="E1460" s="52" t="str">
        <f>VLOOKUP(A1460,[3]CMV!$A$1:$E$1988,5,FALSE)</f>
        <v>KRATER</v>
      </c>
      <c r="F1460" s="53"/>
      <c r="G1460" s="52" t="str">
        <f>VLOOKUP(A1460,[2]CMV!$A$1:$F$2043,6,FALSE)</f>
        <v>JUNTA LATERAL MOTOR CG 150 TITAN BROS 150 CRF 150 LD</v>
      </c>
      <c r="H1460" s="57"/>
      <c r="I1460" s="55">
        <f>SUM(J1460:M1460)</f>
        <v>0</v>
      </c>
      <c r="J1460" s="55">
        <v>0</v>
      </c>
      <c r="K1460" s="55">
        <v>0</v>
      </c>
      <c r="L1460" s="55">
        <v>0</v>
      </c>
      <c r="M1460" s="55">
        <v>0</v>
      </c>
      <c r="N1460" s="55">
        <f>SUM(O1460:Q1460)</f>
        <v>0</v>
      </c>
      <c r="O1460" s="57"/>
      <c r="P1460" s="57"/>
      <c r="Q1460" s="57"/>
      <c r="R1460" s="55">
        <f>SUM(S1460:U1460)</f>
        <v>0</v>
      </c>
      <c r="S1460" s="57"/>
      <c r="T1460" s="57"/>
      <c r="U1460" s="57"/>
      <c r="V1460" s="55">
        <v>1</v>
      </c>
      <c r="W1460" s="57"/>
      <c r="X1460" s="53">
        <v>0</v>
      </c>
      <c r="Y1460" s="55">
        <v>1</v>
      </c>
      <c r="Z1460" s="55">
        <v>2</v>
      </c>
      <c r="AA1460" s="53">
        <v>0</v>
      </c>
      <c r="AB1460" s="53">
        <v>0</v>
      </c>
      <c r="AC1460" s="55">
        <v>2</v>
      </c>
      <c r="AD1460" s="55">
        <f>SUM(AE1460:AG1460)</f>
        <v>0</v>
      </c>
      <c r="AE1460" s="53">
        <v>0</v>
      </c>
      <c r="AF1460" s="55">
        <v>0</v>
      </c>
      <c r="AG1460" s="55">
        <v>0</v>
      </c>
      <c r="AH1460" s="55">
        <f t="shared" si="478"/>
        <v>0</v>
      </c>
      <c r="AI1460" s="55">
        <v>0</v>
      </c>
      <c r="AJ1460" s="55">
        <v>0</v>
      </c>
      <c r="AK1460" s="55">
        <v>0</v>
      </c>
      <c r="AL1460" s="55">
        <f t="shared" si="475"/>
        <v>0</v>
      </c>
      <c r="AM1460" s="55" t="s">
        <v>1912</v>
      </c>
      <c r="AN1460" s="55">
        <v>0</v>
      </c>
      <c r="AO1460" s="55">
        <v>0</v>
      </c>
      <c r="AP1460" s="55">
        <f t="shared" si="473"/>
        <v>0</v>
      </c>
      <c r="AQ1460" s="55">
        <f>IFERROR(VLOOKUP(A1460,[1]SIIMPLES!$A$2:$F$418,6,FALSE),0)</f>
        <v>0</v>
      </c>
      <c r="AR1460" s="55">
        <v>0</v>
      </c>
      <c r="AS1460" s="55">
        <v>0</v>
      </c>
      <c r="AT1460" s="55">
        <v>0</v>
      </c>
      <c r="AU1460" s="55">
        <v>0</v>
      </c>
      <c r="AV1460" s="55">
        <v>0</v>
      </c>
      <c r="AW1460" s="57"/>
      <c r="AX1460" s="57"/>
      <c r="AY1460" s="56">
        <f>IFERROR(AVERAGE(I1460,N1460,R1460,V1460,Z1460,AD1460,AH1460,AL1460,AP1460,AS1460,AW1460,AX1460),"-")</f>
        <v>0.3</v>
      </c>
      <c r="AZ1460" s="57"/>
      <c r="BA1460" s="56" t="s">
        <v>1912</v>
      </c>
    </row>
    <row r="1461" spans="1:53" ht="12.75" customHeight="1" x14ac:dyDescent="0.2">
      <c r="A1461" s="82" t="s">
        <v>2007</v>
      </c>
      <c r="B1461" s="28"/>
      <c r="C1461" s="28" t="s">
        <v>1851</v>
      </c>
      <c r="D1461" s="83" t="s">
        <v>1761</v>
      </c>
      <c r="E1461" s="83" t="s">
        <v>919</v>
      </c>
      <c r="F1461" s="84"/>
      <c r="G1461" s="85" t="s">
        <v>2063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3">
        <f t="shared" si="478"/>
        <v>1</v>
      </c>
      <c r="AI1461" s="7"/>
      <c r="AJ1461" s="7"/>
      <c r="AK1461" s="55">
        <v>1</v>
      </c>
      <c r="AL1461" s="55">
        <f t="shared" si="475"/>
        <v>0</v>
      </c>
      <c r="AM1461" s="55" t="s">
        <v>1912</v>
      </c>
      <c r="AN1461" s="55">
        <v>0</v>
      </c>
      <c r="AO1461" s="55">
        <v>0</v>
      </c>
      <c r="AP1461" s="55">
        <f t="shared" si="473"/>
        <v>0</v>
      </c>
      <c r="AQ1461" s="55">
        <f>IFERROR(VLOOKUP(A1461,[1]SIIMPLES!$A$2:$F$418,6,FALSE),0)</f>
        <v>0</v>
      </c>
      <c r="AR1461" s="55">
        <v>0</v>
      </c>
      <c r="AS1461" s="55">
        <v>0</v>
      </c>
      <c r="AT1461" s="55">
        <v>0</v>
      </c>
      <c r="AU1461" s="55">
        <v>0</v>
      </c>
      <c r="AV1461" s="55">
        <v>0</v>
      </c>
      <c r="AW1461" s="7"/>
      <c r="AX1461" s="7"/>
      <c r="AY1461" s="7"/>
      <c r="AZ1461" s="7"/>
      <c r="BA1461" s="7"/>
    </row>
    <row r="1462" spans="1:53" ht="12.75" customHeight="1" x14ac:dyDescent="0.2">
      <c r="A1462" s="82" t="s">
        <v>1990</v>
      </c>
      <c r="B1462" s="28"/>
      <c r="C1462" s="28" t="s">
        <v>1851</v>
      </c>
      <c r="D1462" s="83" t="s">
        <v>918</v>
      </c>
      <c r="E1462" s="83" t="s">
        <v>919</v>
      </c>
      <c r="F1462" s="84"/>
      <c r="G1462" s="85" t="s">
        <v>2043</v>
      </c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3">
        <f t="shared" si="478"/>
        <v>1</v>
      </c>
      <c r="AI1462" s="7"/>
      <c r="AJ1462" s="7"/>
      <c r="AK1462" s="55">
        <v>1</v>
      </c>
      <c r="AL1462" s="55">
        <f t="shared" si="475"/>
        <v>0</v>
      </c>
      <c r="AM1462" s="55" t="s">
        <v>1912</v>
      </c>
      <c r="AN1462" s="55">
        <v>0</v>
      </c>
      <c r="AO1462" s="55">
        <v>0</v>
      </c>
      <c r="AP1462" s="55">
        <f t="shared" si="473"/>
        <v>0</v>
      </c>
      <c r="AQ1462" s="55">
        <f>IFERROR(VLOOKUP(A1462,[1]SIIMPLES!$A$2:$F$418,6,FALSE),0)</f>
        <v>0</v>
      </c>
      <c r="AR1462" s="55">
        <v>0</v>
      </c>
      <c r="AS1462" s="55">
        <v>0</v>
      </c>
      <c r="AT1462" s="55">
        <v>0</v>
      </c>
      <c r="AU1462" s="55">
        <v>0</v>
      </c>
      <c r="AV1462" s="55">
        <v>0</v>
      </c>
      <c r="AW1462" s="7"/>
      <c r="AX1462" s="7"/>
      <c r="AY1462" s="7"/>
      <c r="AZ1462" s="7"/>
      <c r="BA1462" s="7"/>
    </row>
    <row r="1463" spans="1:53" s="75" customFormat="1" ht="12.75" customHeight="1" x14ac:dyDescent="0.2">
      <c r="A1463" s="51" t="s">
        <v>1459</v>
      </c>
      <c r="B1463" s="51"/>
      <c r="C1463" s="66" t="s">
        <v>1851</v>
      </c>
      <c r="D1463" s="52" t="s">
        <v>918</v>
      </c>
      <c r="E1463" s="52" t="s">
        <v>919</v>
      </c>
      <c r="F1463" s="53">
        <f>IFERROR(VLOOKUP(E1463,Fornecedores!$A$2:$B$2700,2,FALSE),"")</f>
        <v>13</v>
      </c>
      <c r="G1463" s="52" t="s">
        <v>1471</v>
      </c>
      <c r="H1463" s="57"/>
      <c r="I1463" s="55">
        <f>SUM(J1463:M1463)</f>
        <v>0</v>
      </c>
      <c r="J1463" s="55">
        <v>0</v>
      </c>
      <c r="K1463" s="55">
        <v>0</v>
      </c>
      <c r="L1463" s="55">
        <v>0</v>
      </c>
      <c r="M1463" s="55">
        <v>0</v>
      </c>
      <c r="N1463" s="55">
        <f>SUM(O1463:Q1463)</f>
        <v>0</v>
      </c>
      <c r="O1463" s="55">
        <v>0</v>
      </c>
      <c r="P1463" s="55">
        <v>0</v>
      </c>
      <c r="Q1463" s="55">
        <v>0</v>
      </c>
      <c r="R1463" s="55">
        <f>SUM(S1463:U1463)</f>
        <v>0</v>
      </c>
      <c r="S1463" s="55">
        <v>0</v>
      </c>
      <c r="T1463" s="55">
        <v>0</v>
      </c>
      <c r="U1463" s="55">
        <v>0</v>
      </c>
      <c r="V1463" s="55">
        <v>0</v>
      </c>
      <c r="W1463" s="53">
        <v>0</v>
      </c>
      <c r="X1463" s="53">
        <v>0</v>
      </c>
      <c r="Y1463" s="55">
        <v>0</v>
      </c>
      <c r="Z1463" s="55">
        <v>0</v>
      </c>
      <c r="AA1463" s="53">
        <v>0</v>
      </c>
      <c r="AB1463" s="53">
        <v>0</v>
      </c>
      <c r="AC1463" s="55">
        <v>0</v>
      </c>
      <c r="AD1463" s="55">
        <f t="shared" ref="AD1463:AD1469" si="479">SUM(AE1463:AG1463)</f>
        <v>0</v>
      </c>
      <c r="AE1463" s="53">
        <v>0</v>
      </c>
      <c r="AF1463" s="55">
        <v>0</v>
      </c>
      <c r="AG1463" s="55">
        <v>0</v>
      </c>
      <c r="AH1463" s="55">
        <f t="shared" si="478"/>
        <v>0</v>
      </c>
      <c r="AI1463" s="55">
        <v>0</v>
      </c>
      <c r="AJ1463" s="55">
        <v>0</v>
      </c>
      <c r="AK1463" s="55">
        <v>0</v>
      </c>
      <c r="AL1463" s="55">
        <f t="shared" si="475"/>
        <v>0</v>
      </c>
      <c r="AM1463" s="55" t="s">
        <v>1912</v>
      </c>
      <c r="AN1463" s="55">
        <v>0</v>
      </c>
      <c r="AO1463" s="55">
        <v>0</v>
      </c>
      <c r="AP1463" s="55">
        <f t="shared" si="473"/>
        <v>0</v>
      </c>
      <c r="AQ1463" s="55">
        <f>IFERROR(VLOOKUP(A1463,[1]SIIMPLES!$A$2:$F$418,6,FALSE),0)</f>
        <v>0</v>
      </c>
      <c r="AR1463" s="55">
        <v>0</v>
      </c>
      <c r="AS1463" s="55">
        <v>0</v>
      </c>
      <c r="AT1463" s="55">
        <v>0</v>
      </c>
      <c r="AU1463" s="55">
        <v>0</v>
      </c>
      <c r="AV1463" s="55">
        <v>0</v>
      </c>
      <c r="AW1463" s="57"/>
      <c r="AX1463" s="55"/>
      <c r="AY1463" s="56">
        <f t="shared" ref="AY1463:AY1469" si="480">IFERROR(AVERAGE(I1463,N1463,R1463,V1463,Z1463,AD1463,AH1463,AL1463,AP1463,AS1463,AW1463,AX1463),"-")</f>
        <v>0</v>
      </c>
      <c r="AZ1463" s="55"/>
      <c r="BA1463" s="56">
        <v>5</v>
      </c>
    </row>
    <row r="1464" spans="1:53" s="75" customFormat="1" ht="12.75" customHeight="1" x14ac:dyDescent="0.2">
      <c r="A1464" s="66" t="s">
        <v>1458</v>
      </c>
      <c r="B1464" s="66"/>
      <c r="C1464" s="66" t="s">
        <v>1851</v>
      </c>
      <c r="D1464" s="65" t="s">
        <v>918</v>
      </c>
      <c r="E1464" s="65" t="s">
        <v>919</v>
      </c>
      <c r="F1464" s="54">
        <f>IFERROR(VLOOKUP(E1464,Fornecedores!$A$2:$B$2700,2,FALSE),"")</f>
        <v>13</v>
      </c>
      <c r="G1464" s="65" t="s">
        <v>1470</v>
      </c>
      <c r="H1464" s="72"/>
      <c r="I1464" s="73">
        <f>SUM(J1464:M1464)</f>
        <v>0</v>
      </c>
      <c r="J1464" s="73">
        <v>0</v>
      </c>
      <c r="K1464" s="73">
        <v>0</v>
      </c>
      <c r="L1464" s="73">
        <v>0</v>
      </c>
      <c r="M1464" s="73">
        <v>0</v>
      </c>
      <c r="N1464" s="73">
        <f>SUM(O1464:Q1464)</f>
        <v>0</v>
      </c>
      <c r="O1464" s="73">
        <v>0</v>
      </c>
      <c r="P1464" s="73">
        <v>0</v>
      </c>
      <c r="Q1464" s="73">
        <v>0</v>
      </c>
      <c r="R1464" s="73">
        <f>SUM(S1464:U1464)</f>
        <v>0</v>
      </c>
      <c r="S1464" s="73">
        <v>0</v>
      </c>
      <c r="T1464" s="73">
        <v>0</v>
      </c>
      <c r="U1464" s="73">
        <v>0</v>
      </c>
      <c r="V1464" s="73">
        <v>0</v>
      </c>
      <c r="W1464" s="54">
        <v>0</v>
      </c>
      <c r="X1464" s="54">
        <v>0</v>
      </c>
      <c r="Y1464" s="73">
        <v>0</v>
      </c>
      <c r="Z1464" s="73">
        <v>0</v>
      </c>
      <c r="AA1464" s="54">
        <v>0</v>
      </c>
      <c r="AB1464" s="54">
        <v>0</v>
      </c>
      <c r="AC1464" s="73">
        <v>0</v>
      </c>
      <c r="AD1464" s="73">
        <f t="shared" si="479"/>
        <v>0</v>
      </c>
      <c r="AE1464" s="54">
        <v>0</v>
      </c>
      <c r="AF1464" s="73">
        <v>0</v>
      </c>
      <c r="AG1464" s="73">
        <v>0</v>
      </c>
      <c r="AH1464" s="73">
        <f t="shared" si="478"/>
        <v>0</v>
      </c>
      <c r="AI1464" s="55">
        <v>0</v>
      </c>
      <c r="AJ1464" s="55">
        <v>0</v>
      </c>
      <c r="AK1464" s="55">
        <v>0</v>
      </c>
      <c r="AL1464" s="55">
        <f t="shared" si="475"/>
        <v>0</v>
      </c>
      <c r="AM1464" s="55" t="s">
        <v>1912</v>
      </c>
      <c r="AN1464" s="55">
        <v>0</v>
      </c>
      <c r="AO1464" s="55">
        <v>0</v>
      </c>
      <c r="AP1464" s="55">
        <f t="shared" si="473"/>
        <v>0</v>
      </c>
      <c r="AQ1464" s="55">
        <f>IFERROR(VLOOKUP(A1464,[1]SIIMPLES!$A$2:$F$418,6,FALSE),0)</f>
        <v>0</v>
      </c>
      <c r="AR1464" s="55">
        <v>0</v>
      </c>
      <c r="AS1464" s="55">
        <v>0</v>
      </c>
      <c r="AT1464" s="55">
        <v>0</v>
      </c>
      <c r="AU1464" s="55">
        <v>0</v>
      </c>
      <c r="AV1464" s="55">
        <v>0</v>
      </c>
      <c r="AW1464" s="72"/>
      <c r="AX1464" s="73"/>
      <c r="AY1464" s="74">
        <f t="shared" si="480"/>
        <v>0</v>
      </c>
      <c r="AZ1464" s="73"/>
      <c r="BA1464" s="74">
        <v>5</v>
      </c>
    </row>
    <row r="1465" spans="1:53" s="75" customFormat="1" ht="12.75" customHeight="1" x14ac:dyDescent="0.2">
      <c r="A1465" s="68" t="s">
        <v>1866</v>
      </c>
      <c r="B1465" s="51"/>
      <c r="C1465" s="66" t="s">
        <v>1851</v>
      </c>
      <c r="D1465" s="52" t="s">
        <v>918</v>
      </c>
      <c r="E1465" s="52" t="str">
        <f>VLOOKUP(A1465,[2]CMV!$A$1:$E$2043,5,FALSE)</f>
        <v>KRATER</v>
      </c>
      <c r="F1465" s="53"/>
      <c r="G1465" s="52" t="str">
        <f>VLOOKUP(A1465,[2]CMV!$A$1:$F$2043,6,FALSE)</f>
        <v>JUNTA LATERAL MOTOR YS 250 FAZER XTZ 250 LANDER 2005 EM DIANTE LD</v>
      </c>
      <c r="H1465" s="57"/>
      <c r="I1465" s="57" t="s">
        <v>1075</v>
      </c>
      <c r="J1465" s="57"/>
      <c r="K1465" s="57"/>
      <c r="L1465" s="57"/>
      <c r="M1465" s="57"/>
      <c r="N1465" s="57"/>
      <c r="O1465" s="57"/>
      <c r="P1465" s="57"/>
      <c r="Q1465" s="57"/>
      <c r="R1465" s="57"/>
      <c r="S1465" s="57"/>
      <c r="T1465" s="57"/>
      <c r="U1465" s="57"/>
      <c r="V1465" s="57"/>
      <c r="W1465" s="57"/>
      <c r="X1465" s="53">
        <v>0</v>
      </c>
      <c r="Y1465" s="57"/>
      <c r="Z1465" s="55">
        <v>2</v>
      </c>
      <c r="AA1465" s="57"/>
      <c r="AB1465" s="57"/>
      <c r="AC1465" s="55">
        <v>2</v>
      </c>
      <c r="AD1465" s="55">
        <f t="shared" si="479"/>
        <v>0</v>
      </c>
      <c r="AE1465" s="53">
        <v>0</v>
      </c>
      <c r="AF1465" s="55">
        <v>0</v>
      </c>
      <c r="AG1465" s="55">
        <v>0</v>
      </c>
      <c r="AH1465" s="55">
        <f t="shared" si="478"/>
        <v>0</v>
      </c>
      <c r="AI1465" s="55">
        <v>0</v>
      </c>
      <c r="AJ1465" s="55">
        <v>0</v>
      </c>
      <c r="AK1465" s="55">
        <v>0</v>
      </c>
      <c r="AL1465" s="55">
        <f t="shared" si="475"/>
        <v>0</v>
      </c>
      <c r="AM1465" s="55" t="s">
        <v>1912</v>
      </c>
      <c r="AN1465" s="55">
        <v>0</v>
      </c>
      <c r="AO1465" s="55">
        <v>0</v>
      </c>
      <c r="AP1465" s="55">
        <f t="shared" si="473"/>
        <v>0</v>
      </c>
      <c r="AQ1465" s="55">
        <f>IFERROR(VLOOKUP(A1465,[1]SIIMPLES!$A$2:$F$418,6,FALSE),0)</f>
        <v>0</v>
      </c>
      <c r="AR1465" s="55">
        <v>0</v>
      </c>
      <c r="AS1465" s="55">
        <v>0</v>
      </c>
      <c r="AT1465" s="55">
        <v>0</v>
      </c>
      <c r="AU1465" s="55">
        <v>0</v>
      </c>
      <c r="AV1465" s="55">
        <v>0</v>
      </c>
      <c r="AW1465" s="57"/>
      <c r="AX1465" s="57"/>
      <c r="AY1465" s="56">
        <f t="shared" si="480"/>
        <v>0.33333333333333331</v>
      </c>
      <c r="AZ1465" s="57"/>
      <c r="BA1465" s="57"/>
    </row>
    <row r="1466" spans="1:53" s="75" customFormat="1" ht="12.75" customHeight="1" x14ac:dyDescent="0.2">
      <c r="A1466" s="66" t="s">
        <v>1457</v>
      </c>
      <c r="B1466" s="66"/>
      <c r="C1466" s="66" t="s">
        <v>1851</v>
      </c>
      <c r="D1466" s="65" t="s">
        <v>1477</v>
      </c>
      <c r="E1466" s="65" t="s">
        <v>919</v>
      </c>
      <c r="F1466" s="54">
        <f>IFERROR(VLOOKUP(E1466,Fornecedores!$A$2:$B$2700,2,FALSE),"")</f>
        <v>13</v>
      </c>
      <c r="G1466" s="65" t="s">
        <v>1469</v>
      </c>
      <c r="H1466" s="72"/>
      <c r="I1466" s="73">
        <f>SUM(J1466:M1466)</f>
        <v>0</v>
      </c>
      <c r="J1466" s="73">
        <v>0</v>
      </c>
      <c r="K1466" s="73">
        <v>0</v>
      </c>
      <c r="L1466" s="73">
        <v>0</v>
      </c>
      <c r="M1466" s="73">
        <v>0</v>
      </c>
      <c r="N1466" s="73">
        <f>SUM(O1466:Q1466)</f>
        <v>0</v>
      </c>
      <c r="O1466" s="73">
        <v>0</v>
      </c>
      <c r="P1466" s="73">
        <v>0</v>
      </c>
      <c r="Q1466" s="73">
        <v>0</v>
      </c>
      <c r="R1466" s="73">
        <f>SUM(S1466:U1466)</f>
        <v>0</v>
      </c>
      <c r="S1466" s="73">
        <v>0</v>
      </c>
      <c r="T1466" s="73">
        <v>0</v>
      </c>
      <c r="U1466" s="73">
        <v>0</v>
      </c>
      <c r="V1466" s="73">
        <v>0</v>
      </c>
      <c r="W1466" s="54">
        <v>0</v>
      </c>
      <c r="X1466" s="54">
        <v>0</v>
      </c>
      <c r="Y1466" s="73">
        <v>0</v>
      </c>
      <c r="Z1466" s="73">
        <v>0</v>
      </c>
      <c r="AA1466" s="54">
        <v>0</v>
      </c>
      <c r="AB1466" s="54">
        <v>0</v>
      </c>
      <c r="AC1466" s="73">
        <v>0</v>
      </c>
      <c r="AD1466" s="73">
        <f t="shared" si="479"/>
        <v>0</v>
      </c>
      <c r="AE1466" s="54">
        <v>0</v>
      </c>
      <c r="AF1466" s="73">
        <v>0</v>
      </c>
      <c r="AG1466" s="73">
        <v>0</v>
      </c>
      <c r="AH1466" s="73">
        <f t="shared" si="478"/>
        <v>0</v>
      </c>
      <c r="AI1466" s="55">
        <v>0</v>
      </c>
      <c r="AJ1466" s="55">
        <v>0</v>
      </c>
      <c r="AK1466" s="55">
        <v>0</v>
      </c>
      <c r="AL1466" s="55">
        <f t="shared" si="475"/>
        <v>0</v>
      </c>
      <c r="AM1466" s="55" t="s">
        <v>1912</v>
      </c>
      <c r="AN1466" s="55">
        <v>0</v>
      </c>
      <c r="AO1466" s="55">
        <v>0</v>
      </c>
      <c r="AP1466" s="55">
        <f t="shared" si="473"/>
        <v>0</v>
      </c>
      <c r="AQ1466" s="55">
        <f>IFERROR(VLOOKUP(A1466,[1]SIIMPLES!$A$2:$F$418,6,FALSE),0)</f>
        <v>0</v>
      </c>
      <c r="AR1466" s="55">
        <v>0</v>
      </c>
      <c r="AS1466" s="55">
        <v>0</v>
      </c>
      <c r="AT1466" s="55">
        <v>0</v>
      </c>
      <c r="AU1466" s="55">
        <v>0</v>
      </c>
      <c r="AV1466" s="55">
        <v>0</v>
      </c>
      <c r="AW1466" s="72"/>
      <c r="AX1466" s="73"/>
      <c r="AY1466" s="74">
        <f t="shared" si="480"/>
        <v>0</v>
      </c>
      <c r="AZ1466" s="73"/>
      <c r="BA1466" s="74">
        <v>5</v>
      </c>
    </row>
    <row r="1467" spans="1:53" s="75" customFormat="1" ht="12.75" customHeight="1" x14ac:dyDescent="0.2">
      <c r="A1467" s="68" t="s">
        <v>1938</v>
      </c>
      <c r="B1467" s="51"/>
      <c r="C1467" s="66" t="str">
        <f>VLOOKUP(A1467,[2]CMV!$A$1:$B$2115,2,FALSE)</f>
        <v>MOTO PEÇAS</v>
      </c>
      <c r="D1467" s="52" t="str">
        <f>VLOOKUP(A1467,[2]CMV!$A$1:$C$2115,3,FALSE)</f>
        <v>ÓLEO MOTOR</v>
      </c>
      <c r="E1467" s="52" t="str">
        <f>VLOOKUP(A1467,[2]CMV!$A$1:$E$2115,5,FALSE)</f>
        <v>Outros</v>
      </c>
      <c r="F1467" s="53"/>
      <c r="G1467" s="67" t="str">
        <f>VLOOKUP(A1467,[2]CMV!$A$1:$F$2115,6,FALSE)</f>
        <v>20W50 OLEO MOTOR RB LUBRIFICANTES</v>
      </c>
      <c r="H1467" s="57"/>
      <c r="I1467" s="57"/>
      <c r="J1467" s="57"/>
      <c r="K1467" s="57"/>
      <c r="L1467" s="57"/>
      <c r="M1467" s="57"/>
      <c r="N1467" s="57"/>
      <c r="O1467" s="57"/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57"/>
      <c r="AA1467" s="57"/>
      <c r="AB1467" s="57"/>
      <c r="AC1467" s="57"/>
      <c r="AD1467" s="55">
        <f t="shared" si="479"/>
        <v>4</v>
      </c>
      <c r="AE1467" s="57"/>
      <c r="AF1467" s="57"/>
      <c r="AG1467" s="55">
        <v>4</v>
      </c>
      <c r="AH1467" s="55">
        <f t="shared" si="478"/>
        <v>0</v>
      </c>
      <c r="AI1467" s="55">
        <v>0</v>
      </c>
      <c r="AJ1467" s="55">
        <v>0</v>
      </c>
      <c r="AK1467" s="55">
        <v>0</v>
      </c>
      <c r="AL1467" s="55">
        <f t="shared" si="475"/>
        <v>0</v>
      </c>
      <c r="AM1467" s="55" t="s">
        <v>1912</v>
      </c>
      <c r="AN1467" s="55">
        <v>0</v>
      </c>
      <c r="AO1467" s="55">
        <v>0</v>
      </c>
      <c r="AP1467" s="55">
        <f t="shared" si="473"/>
        <v>0</v>
      </c>
      <c r="AQ1467" s="55">
        <f>IFERROR(VLOOKUP(A1467,[1]SIIMPLES!$A$2:$F$418,6,FALSE),0)</f>
        <v>0</v>
      </c>
      <c r="AR1467" s="55">
        <v>0</v>
      </c>
      <c r="AS1467" s="55">
        <v>0</v>
      </c>
      <c r="AT1467" s="55">
        <v>0</v>
      </c>
      <c r="AU1467" s="55">
        <v>0</v>
      </c>
      <c r="AV1467" s="55">
        <v>0</v>
      </c>
      <c r="AW1467" s="57"/>
      <c r="AX1467" s="57"/>
      <c r="AY1467" s="56">
        <f t="shared" si="480"/>
        <v>0.8</v>
      </c>
      <c r="AZ1467" s="57"/>
      <c r="BA1467" s="57"/>
    </row>
    <row r="1468" spans="1:53" s="75" customFormat="1" ht="12.75" customHeight="1" x14ac:dyDescent="0.2">
      <c r="A1468" s="68" t="s">
        <v>1857</v>
      </c>
      <c r="B1468" s="51"/>
      <c r="C1468" s="66" t="s">
        <v>1851</v>
      </c>
      <c r="D1468" s="52" t="s">
        <v>1907</v>
      </c>
      <c r="E1468" s="52" t="str">
        <f>VLOOKUP(A1468,[2]CMV!$A$1:$E$2043,5,FALSE)</f>
        <v>Outros</v>
      </c>
      <c r="F1468" s="53"/>
      <c r="G1468" s="52" t="str">
        <f>VLOOKUP(A1468,[2]CMV!$A$1:$F$2043,6,FALSE)</f>
        <v>ÓLEO DE MOTOR 20W50L</v>
      </c>
      <c r="H1468" s="57"/>
      <c r="I1468" s="57"/>
      <c r="J1468" s="57"/>
      <c r="K1468" s="57"/>
      <c r="L1468" s="57"/>
      <c r="M1468" s="57"/>
      <c r="N1468" s="57"/>
      <c r="O1468" s="57"/>
      <c r="P1468" s="57"/>
      <c r="Q1468" s="57"/>
      <c r="R1468" s="57"/>
      <c r="S1468" s="57"/>
      <c r="T1468" s="57"/>
      <c r="U1468" s="57"/>
      <c r="V1468" s="57"/>
      <c r="W1468" s="57"/>
      <c r="X1468" s="53">
        <v>0</v>
      </c>
      <c r="Y1468" s="57"/>
      <c r="Z1468" s="55">
        <v>24</v>
      </c>
      <c r="AA1468" s="57"/>
      <c r="AB1468" s="57"/>
      <c r="AC1468" s="55">
        <v>24</v>
      </c>
      <c r="AD1468" s="55">
        <f t="shared" si="479"/>
        <v>0</v>
      </c>
      <c r="AE1468" s="53">
        <v>0</v>
      </c>
      <c r="AF1468" s="55">
        <v>0</v>
      </c>
      <c r="AG1468" s="55">
        <v>0</v>
      </c>
      <c r="AH1468" s="55">
        <f t="shared" si="478"/>
        <v>0</v>
      </c>
      <c r="AI1468" s="55">
        <v>0</v>
      </c>
      <c r="AJ1468" s="55">
        <v>0</v>
      </c>
      <c r="AK1468" s="55">
        <v>0</v>
      </c>
      <c r="AL1468" s="55">
        <f t="shared" si="475"/>
        <v>0</v>
      </c>
      <c r="AM1468" s="55" t="s">
        <v>1912</v>
      </c>
      <c r="AN1468" s="55">
        <v>0</v>
      </c>
      <c r="AO1468" s="55">
        <v>0</v>
      </c>
      <c r="AP1468" s="55">
        <f t="shared" si="473"/>
        <v>0</v>
      </c>
      <c r="AQ1468" s="55">
        <f>IFERROR(VLOOKUP(A1468,[1]SIIMPLES!$A$2:$F$418,6,FALSE),0)</f>
        <v>0</v>
      </c>
      <c r="AR1468" s="55">
        <v>0</v>
      </c>
      <c r="AS1468" s="55">
        <v>0</v>
      </c>
      <c r="AT1468" s="55">
        <v>0</v>
      </c>
      <c r="AU1468" s="55">
        <v>0</v>
      </c>
      <c r="AV1468" s="55">
        <v>0</v>
      </c>
      <c r="AW1468" s="57"/>
      <c r="AX1468" s="57"/>
      <c r="AY1468" s="56">
        <f t="shared" si="480"/>
        <v>4</v>
      </c>
      <c r="AZ1468" s="57"/>
      <c r="BA1468" s="57"/>
    </row>
    <row r="1469" spans="1:53" ht="12.75" customHeight="1" x14ac:dyDescent="0.2">
      <c r="A1469" s="68" t="s">
        <v>1856</v>
      </c>
      <c r="B1469" s="51"/>
      <c r="C1469" s="66" t="s">
        <v>1851</v>
      </c>
      <c r="D1469" s="52" t="s">
        <v>1907</v>
      </c>
      <c r="E1469" s="52" t="str">
        <f>VLOOKUP(A1469,[2]CMV!$A$1:$E$2043,5,FALSE)</f>
        <v>Outros</v>
      </c>
      <c r="F1469" s="53"/>
      <c r="G1469" s="52" t="str">
        <f>VLOOKUP(A1469,[2]CMV!$A$1:$F$2043,6,FALSE)</f>
        <v>OLEO 20W50 VR LUB</v>
      </c>
      <c r="H1469" s="57"/>
      <c r="I1469" s="57"/>
      <c r="J1469" s="57"/>
      <c r="K1469" s="57"/>
      <c r="L1469" s="57"/>
      <c r="M1469" s="57"/>
      <c r="N1469" s="57"/>
      <c r="O1469" s="57"/>
      <c r="P1469" s="57"/>
      <c r="Q1469" s="57"/>
      <c r="R1469" s="57"/>
      <c r="S1469" s="57"/>
      <c r="T1469" s="57"/>
      <c r="U1469" s="57"/>
      <c r="V1469" s="57"/>
      <c r="W1469" s="57"/>
      <c r="X1469" s="53">
        <v>0</v>
      </c>
      <c r="Y1469" s="57"/>
      <c r="Z1469" s="55">
        <v>24</v>
      </c>
      <c r="AA1469" s="57"/>
      <c r="AB1469" s="57"/>
      <c r="AC1469" s="55">
        <v>24</v>
      </c>
      <c r="AD1469" s="55">
        <f t="shared" si="479"/>
        <v>0</v>
      </c>
      <c r="AE1469" s="53">
        <v>0</v>
      </c>
      <c r="AF1469" s="55">
        <v>0</v>
      </c>
      <c r="AG1469" s="55">
        <v>0</v>
      </c>
      <c r="AH1469" s="55">
        <f t="shared" si="478"/>
        <v>0</v>
      </c>
      <c r="AI1469" s="55">
        <v>0</v>
      </c>
      <c r="AJ1469" s="55">
        <v>0</v>
      </c>
      <c r="AK1469" s="55">
        <v>0</v>
      </c>
      <c r="AL1469" s="55">
        <f t="shared" si="475"/>
        <v>0</v>
      </c>
      <c r="AM1469" s="55" t="s">
        <v>1912</v>
      </c>
      <c r="AN1469" s="55">
        <v>0</v>
      </c>
      <c r="AO1469" s="55">
        <v>0</v>
      </c>
      <c r="AP1469" s="55">
        <f t="shared" si="473"/>
        <v>0</v>
      </c>
      <c r="AQ1469" s="55">
        <f>IFERROR(VLOOKUP(A1469,[1]SIIMPLES!$A$2:$F$418,6,FALSE),0)</f>
        <v>0</v>
      </c>
      <c r="AR1469" s="55">
        <v>0</v>
      </c>
      <c r="AS1469" s="55">
        <v>0</v>
      </c>
      <c r="AT1469" s="55">
        <v>0</v>
      </c>
      <c r="AU1469" s="55">
        <v>0</v>
      </c>
      <c r="AV1469" s="55">
        <v>0</v>
      </c>
      <c r="AW1469" s="57"/>
      <c r="AX1469" s="57"/>
      <c r="AY1469" s="56">
        <f t="shared" si="480"/>
        <v>4</v>
      </c>
      <c r="AZ1469" s="57"/>
      <c r="BA1469" s="57"/>
    </row>
    <row r="1470" spans="1:53" ht="12.75" customHeight="1" x14ac:dyDescent="0.2">
      <c r="A1470" s="82" t="s">
        <v>1978</v>
      </c>
      <c r="B1470" s="28"/>
      <c r="C1470" s="28" t="s">
        <v>1851</v>
      </c>
      <c r="D1470" s="83" t="s">
        <v>2024</v>
      </c>
      <c r="E1470" s="83" t="s">
        <v>2025</v>
      </c>
      <c r="F1470" s="84"/>
      <c r="G1470" s="85" t="s">
        <v>2026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3">
        <f t="shared" si="478"/>
        <v>40</v>
      </c>
      <c r="AI1470" s="7"/>
      <c r="AJ1470" s="7"/>
      <c r="AK1470" s="55">
        <v>40</v>
      </c>
      <c r="AL1470" s="55">
        <f t="shared" si="475"/>
        <v>10</v>
      </c>
      <c r="AM1470" s="55" t="s">
        <v>1912</v>
      </c>
      <c r="AN1470" s="55">
        <v>0</v>
      </c>
      <c r="AO1470" s="55">
        <v>10</v>
      </c>
      <c r="AP1470" s="55">
        <f t="shared" si="473"/>
        <v>0</v>
      </c>
      <c r="AQ1470" s="55">
        <f>IFERROR(VLOOKUP(A1470,[1]SIIMPLES!$A$2:$F$418,6,FALSE),0)</f>
        <v>0</v>
      </c>
      <c r="AR1470" s="55">
        <v>0</v>
      </c>
      <c r="AS1470" s="55">
        <v>0</v>
      </c>
      <c r="AT1470" s="55">
        <v>0</v>
      </c>
      <c r="AU1470" s="55">
        <v>0</v>
      </c>
      <c r="AV1470" s="55">
        <v>0</v>
      </c>
      <c r="AW1470" s="7"/>
      <c r="AX1470" s="7"/>
      <c r="AY1470" s="7"/>
      <c r="AZ1470" s="7"/>
      <c r="BA1470" s="7"/>
    </row>
    <row r="1471" spans="1:53" ht="12.75" customHeight="1" x14ac:dyDescent="0.2">
      <c r="A1471" s="82" t="s">
        <v>1992</v>
      </c>
      <c r="B1471" s="28"/>
      <c r="C1471" s="28" t="s">
        <v>1851</v>
      </c>
      <c r="D1471" s="83" t="s">
        <v>1761</v>
      </c>
      <c r="E1471" s="83" t="s">
        <v>2025</v>
      </c>
      <c r="F1471" s="84"/>
      <c r="G1471" s="85" t="s">
        <v>2046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3">
        <f t="shared" si="478"/>
        <v>1</v>
      </c>
      <c r="AI1471" s="7"/>
      <c r="AJ1471" s="7"/>
      <c r="AK1471" s="55">
        <v>1</v>
      </c>
      <c r="AL1471" s="55">
        <f t="shared" si="475"/>
        <v>0</v>
      </c>
      <c r="AM1471" s="55" t="s">
        <v>1912</v>
      </c>
      <c r="AN1471" s="55">
        <v>0</v>
      </c>
      <c r="AO1471" s="55">
        <v>0</v>
      </c>
      <c r="AP1471" s="55">
        <f t="shared" si="473"/>
        <v>0</v>
      </c>
      <c r="AQ1471" s="55">
        <f>IFERROR(VLOOKUP(A1471,[1]SIIMPLES!$A$2:$F$418,6,FALSE),0)</f>
        <v>0</v>
      </c>
      <c r="AR1471" s="55">
        <v>0</v>
      </c>
      <c r="AS1471" s="55">
        <v>0</v>
      </c>
      <c r="AT1471" s="55">
        <v>0</v>
      </c>
      <c r="AU1471" s="55">
        <v>0</v>
      </c>
      <c r="AV1471" s="55">
        <v>0</v>
      </c>
      <c r="AW1471" s="7"/>
      <c r="AX1471" s="7"/>
      <c r="AY1471" s="7"/>
      <c r="AZ1471" s="7"/>
      <c r="BA1471" s="7"/>
    </row>
    <row r="1472" spans="1:53" ht="12.75" customHeight="1" x14ac:dyDescent="0.2">
      <c r="A1472" s="82" t="s">
        <v>1996</v>
      </c>
      <c r="B1472" s="28"/>
      <c r="C1472" s="28" t="s">
        <v>1851</v>
      </c>
      <c r="D1472" s="83" t="s">
        <v>1761</v>
      </c>
      <c r="E1472" s="83" t="s">
        <v>2025</v>
      </c>
      <c r="F1472" s="84"/>
      <c r="G1472" s="85" t="s">
        <v>2051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3">
        <f t="shared" si="478"/>
        <v>1</v>
      </c>
      <c r="AI1472" s="7"/>
      <c r="AJ1472" s="7"/>
      <c r="AK1472" s="55">
        <v>1</v>
      </c>
      <c r="AL1472" s="55">
        <f t="shared" si="475"/>
        <v>0</v>
      </c>
      <c r="AM1472" s="55" t="s">
        <v>1912</v>
      </c>
      <c r="AN1472" s="55">
        <v>0</v>
      </c>
      <c r="AO1472" s="55">
        <v>0</v>
      </c>
      <c r="AP1472" s="55">
        <f t="shared" si="473"/>
        <v>0</v>
      </c>
      <c r="AQ1472" s="55">
        <f>IFERROR(VLOOKUP(A1472,[1]SIIMPLES!$A$2:$F$418,6,FALSE),0)</f>
        <v>0</v>
      </c>
      <c r="AR1472" s="55">
        <v>0</v>
      </c>
      <c r="AS1472" s="55">
        <v>0</v>
      </c>
      <c r="AT1472" s="55">
        <v>0</v>
      </c>
      <c r="AU1472" s="55">
        <v>0</v>
      </c>
      <c r="AV1472" s="55">
        <v>0</v>
      </c>
      <c r="AW1472" s="7"/>
      <c r="AX1472" s="7"/>
      <c r="AY1472" s="7"/>
      <c r="AZ1472" s="7"/>
      <c r="BA1472" s="7"/>
    </row>
    <row r="1473" spans="1:53" ht="12.75" customHeight="1" x14ac:dyDescent="0.2">
      <c r="A1473" s="82" t="s">
        <v>1998</v>
      </c>
      <c r="B1473" s="28"/>
      <c r="C1473" s="28" t="s">
        <v>1851</v>
      </c>
      <c r="D1473" s="83" t="s">
        <v>2053</v>
      </c>
      <c r="E1473" s="83" t="s">
        <v>2025</v>
      </c>
      <c r="F1473" s="84"/>
      <c r="G1473" s="85" t="s">
        <v>2054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3">
        <f t="shared" si="478"/>
        <v>1</v>
      </c>
      <c r="AI1473" s="7"/>
      <c r="AJ1473" s="7"/>
      <c r="AK1473" s="55">
        <v>1</v>
      </c>
      <c r="AL1473" s="55">
        <f t="shared" si="475"/>
        <v>0</v>
      </c>
      <c r="AM1473" s="55" t="s">
        <v>1912</v>
      </c>
      <c r="AN1473" s="55">
        <v>0</v>
      </c>
      <c r="AO1473" s="55">
        <v>0</v>
      </c>
      <c r="AP1473" s="55">
        <f t="shared" si="473"/>
        <v>0</v>
      </c>
      <c r="AQ1473" s="55">
        <f>IFERROR(VLOOKUP(A1473,[1]SIIMPLES!$A$2:$F$418,6,FALSE),0)</f>
        <v>0</v>
      </c>
      <c r="AR1473" s="55">
        <v>0</v>
      </c>
      <c r="AS1473" s="55">
        <v>0</v>
      </c>
      <c r="AT1473" s="55">
        <v>0</v>
      </c>
      <c r="AU1473" s="55">
        <v>0</v>
      </c>
      <c r="AV1473" s="55">
        <v>0</v>
      </c>
      <c r="AW1473" s="7"/>
      <c r="AX1473" s="7"/>
      <c r="AY1473" s="7"/>
      <c r="AZ1473" s="7"/>
      <c r="BA1473" s="7"/>
    </row>
    <row r="1474" spans="1:53" ht="12.75" customHeight="1" x14ac:dyDescent="0.2">
      <c r="A1474" s="82" t="s">
        <v>2009</v>
      </c>
      <c r="B1474" s="28"/>
      <c r="C1474" s="28" t="s">
        <v>1851</v>
      </c>
      <c r="D1474" s="83" t="s">
        <v>1761</v>
      </c>
      <c r="E1474" s="83" t="s">
        <v>2025</v>
      </c>
      <c r="F1474" s="84"/>
      <c r="G1474" s="85" t="s">
        <v>2065</v>
      </c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3">
        <f t="shared" si="478"/>
        <v>1</v>
      </c>
      <c r="AI1474" s="7"/>
      <c r="AJ1474" s="7"/>
      <c r="AK1474" s="55">
        <v>1</v>
      </c>
      <c r="AL1474" s="55">
        <f t="shared" si="475"/>
        <v>0</v>
      </c>
      <c r="AM1474" s="55" t="s">
        <v>1912</v>
      </c>
      <c r="AN1474" s="55">
        <v>0</v>
      </c>
      <c r="AO1474" s="55">
        <v>0</v>
      </c>
      <c r="AP1474" s="55">
        <f t="shared" si="473"/>
        <v>0</v>
      </c>
      <c r="AQ1474" s="55">
        <f>IFERROR(VLOOKUP(A1474,[1]SIIMPLES!$A$2:$F$418,6,FALSE),0)</f>
        <v>0</v>
      </c>
      <c r="AR1474" s="55">
        <v>0</v>
      </c>
      <c r="AS1474" s="55">
        <v>0</v>
      </c>
      <c r="AT1474" s="55">
        <v>0</v>
      </c>
      <c r="AU1474" s="55">
        <v>0</v>
      </c>
      <c r="AV1474" s="55">
        <v>0</v>
      </c>
      <c r="AW1474" s="7"/>
      <c r="AX1474" s="7"/>
      <c r="AY1474" s="7"/>
      <c r="AZ1474" s="7"/>
      <c r="BA1474" s="7"/>
    </row>
    <row r="1475" spans="1:53" ht="12.75" customHeight="1" x14ac:dyDescent="0.2">
      <c r="A1475" s="82" t="s">
        <v>1980</v>
      </c>
      <c r="B1475" s="28"/>
      <c r="C1475" s="28" t="s">
        <v>1851</v>
      </c>
      <c r="D1475" s="83" t="s">
        <v>1761</v>
      </c>
      <c r="E1475" s="83" t="s">
        <v>2025</v>
      </c>
      <c r="F1475" s="84"/>
      <c r="G1475" s="85" t="s">
        <v>2030</v>
      </c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3">
        <f t="shared" si="478"/>
        <v>1</v>
      </c>
      <c r="AI1475" s="7"/>
      <c r="AJ1475" s="7"/>
      <c r="AK1475" s="55">
        <v>1</v>
      </c>
      <c r="AL1475" s="55">
        <f t="shared" si="475"/>
        <v>2</v>
      </c>
      <c r="AM1475" s="55" t="s">
        <v>1912</v>
      </c>
      <c r="AN1475" s="55">
        <v>0</v>
      </c>
      <c r="AO1475" s="55">
        <v>2</v>
      </c>
      <c r="AP1475" s="55">
        <f t="shared" ref="AP1475:AP1538" si="481">SUM(AQ1475:AR1475)</f>
        <v>0</v>
      </c>
      <c r="AQ1475" s="55">
        <f>IFERROR(VLOOKUP(A1475,[1]SIIMPLES!$A$2:$F$418,6,FALSE),0)</f>
        <v>0</v>
      </c>
      <c r="AR1475" s="55">
        <v>0</v>
      </c>
      <c r="AS1475" s="55">
        <v>0</v>
      </c>
      <c r="AT1475" s="55">
        <v>0</v>
      </c>
      <c r="AU1475" s="55">
        <v>0</v>
      </c>
      <c r="AV1475" s="55">
        <v>0</v>
      </c>
      <c r="AW1475" s="7"/>
      <c r="AX1475" s="7"/>
      <c r="AY1475" s="7"/>
      <c r="AZ1475" s="7"/>
      <c r="BA1475" s="7"/>
    </row>
    <row r="1476" spans="1:53" ht="12.75" customHeight="1" x14ac:dyDescent="0.2">
      <c r="A1476" s="82" t="s">
        <v>1981</v>
      </c>
      <c r="B1476" s="28"/>
      <c r="C1476" s="28" t="s">
        <v>1851</v>
      </c>
      <c r="D1476" s="83" t="s">
        <v>1761</v>
      </c>
      <c r="E1476" s="83" t="s">
        <v>2025</v>
      </c>
      <c r="F1476" s="84"/>
      <c r="G1476" s="85" t="s">
        <v>2031</v>
      </c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3">
        <f t="shared" si="478"/>
        <v>4</v>
      </c>
      <c r="AI1476" s="7"/>
      <c r="AJ1476" s="7"/>
      <c r="AK1476" s="55">
        <v>4</v>
      </c>
      <c r="AL1476" s="55">
        <f t="shared" si="475"/>
        <v>0</v>
      </c>
      <c r="AM1476" s="55" t="s">
        <v>1912</v>
      </c>
      <c r="AN1476" s="55">
        <v>0</v>
      </c>
      <c r="AO1476" s="55">
        <v>0</v>
      </c>
      <c r="AP1476" s="55">
        <f t="shared" si="481"/>
        <v>0</v>
      </c>
      <c r="AQ1476" s="55">
        <f>IFERROR(VLOOKUP(A1476,[1]SIIMPLES!$A$2:$F$418,6,FALSE),0)</f>
        <v>0</v>
      </c>
      <c r="AR1476" s="55">
        <v>0</v>
      </c>
      <c r="AS1476" s="55">
        <v>4</v>
      </c>
      <c r="AT1476" s="55">
        <v>0</v>
      </c>
      <c r="AU1476" s="55">
        <v>0</v>
      </c>
      <c r="AV1476" s="55">
        <v>4</v>
      </c>
      <c r="AW1476" s="7"/>
      <c r="AX1476" s="7"/>
      <c r="AY1476" s="7"/>
      <c r="AZ1476" s="7"/>
      <c r="BA1476" s="7"/>
    </row>
    <row r="1477" spans="1:53" ht="12.75" customHeight="1" x14ac:dyDescent="0.2">
      <c r="A1477" s="68" t="s">
        <v>1952</v>
      </c>
      <c r="B1477" s="51"/>
      <c r="C1477" s="66" t="str">
        <f>VLOOKUP(A1477,[2]CMV!$A$1:$B$2115,2,FALSE)</f>
        <v>MOTO PEÇAS</v>
      </c>
      <c r="D1477" s="52" t="str">
        <f>VLOOKUP(A1477,[2]CMV!$A$1:$C$2115,3,FALSE)</f>
        <v>BUZINA MOTO</v>
      </c>
      <c r="E1477" s="52" t="str">
        <f>VLOOKUP(A1477,[2]CMV!$A$1:$E$2115,5,FALSE)</f>
        <v>POLO</v>
      </c>
      <c r="F1477" s="53"/>
      <c r="G1477" s="67" t="str">
        <f>VLOOKUP(A1477,[2]CMV!$A$1:$F$2115,6,FALSE)</f>
        <v>BUZINA DE MOTO BIZ 100 BIZ 110I BIZ 125 BIZ 125+</v>
      </c>
      <c r="H1477" s="57"/>
      <c r="I1477" s="57"/>
      <c r="J1477" s="57"/>
      <c r="K1477" s="57"/>
      <c r="L1477" s="57"/>
      <c r="M1477" s="57"/>
      <c r="N1477" s="57"/>
      <c r="O1477" s="57"/>
      <c r="P1477" s="57"/>
      <c r="Q1477" s="57"/>
      <c r="R1477" s="57"/>
      <c r="S1477" s="57"/>
      <c r="T1477" s="57"/>
      <c r="U1477" s="57"/>
      <c r="V1477" s="57"/>
      <c r="W1477" s="57"/>
      <c r="X1477" s="57"/>
      <c r="Y1477" s="57"/>
      <c r="Z1477" s="57"/>
      <c r="AA1477" s="57"/>
      <c r="AB1477" s="57"/>
      <c r="AC1477" s="57"/>
      <c r="AD1477" s="55">
        <f t="shared" ref="AD1477:AD1517" si="482">SUM(AE1477:AG1477)</f>
        <v>2</v>
      </c>
      <c r="AE1477" s="57"/>
      <c r="AF1477" s="57"/>
      <c r="AG1477" s="55">
        <v>2</v>
      </c>
      <c r="AH1477" s="55">
        <f t="shared" si="478"/>
        <v>0</v>
      </c>
      <c r="AI1477" s="55">
        <v>0</v>
      </c>
      <c r="AJ1477" s="55">
        <v>0</v>
      </c>
      <c r="AK1477" s="55">
        <v>0</v>
      </c>
      <c r="AL1477" s="55">
        <f t="shared" si="475"/>
        <v>0</v>
      </c>
      <c r="AM1477" s="55" t="s">
        <v>1912</v>
      </c>
      <c r="AN1477" s="55">
        <v>0</v>
      </c>
      <c r="AO1477" s="55">
        <v>0</v>
      </c>
      <c r="AP1477" s="55">
        <f t="shared" si="481"/>
        <v>0</v>
      </c>
      <c r="AQ1477" s="55">
        <f>IFERROR(VLOOKUP(A1477,[1]SIIMPLES!$A$2:$F$418,6,FALSE),0)</f>
        <v>0</v>
      </c>
      <c r="AR1477" s="55">
        <v>0</v>
      </c>
      <c r="AS1477" s="55">
        <v>0</v>
      </c>
      <c r="AT1477" s="55">
        <v>0</v>
      </c>
      <c r="AU1477" s="55">
        <v>0</v>
      </c>
      <c r="AV1477" s="55">
        <v>0</v>
      </c>
      <c r="AW1477" s="57"/>
      <c r="AX1477" s="57"/>
      <c r="AY1477" s="56">
        <f t="shared" ref="AY1477:AY1517" si="483">IFERROR(AVERAGE(I1477,N1477,R1477,V1477,Z1477,AD1477,AH1477,AL1477,AP1477,AS1477,AW1477,AX1477),"-")</f>
        <v>0.4</v>
      </c>
      <c r="AZ1477" s="57"/>
      <c r="BA1477" s="57"/>
    </row>
    <row r="1478" spans="1:53" ht="12.75" customHeight="1" x14ac:dyDescent="0.2">
      <c r="A1478" s="68" t="s">
        <v>1875</v>
      </c>
      <c r="B1478" s="51"/>
      <c r="C1478" s="66" t="s">
        <v>1851</v>
      </c>
      <c r="D1478" s="52" t="s">
        <v>1764</v>
      </c>
      <c r="E1478" s="52" t="str">
        <f>VLOOKUP(A1478,[2]CMV!$A$1:$E$2043,5,FALSE)</f>
        <v>POLO</v>
      </c>
      <c r="F1478" s="53"/>
      <c r="G1478" s="52" t="str">
        <f>VLOOKUP(A1478,[2]CMV!$A$1:$F$2043,6,FALSE)</f>
        <v>CABO ACELERADOR CG 125 TITAN KS/EX/ES de ... até 2009 CG 150 TITAN EX de ... até 2009</v>
      </c>
      <c r="H1478" s="57"/>
      <c r="I1478" s="57" t="s">
        <v>1075</v>
      </c>
      <c r="J1478" s="57"/>
      <c r="K1478" s="57"/>
      <c r="L1478" s="57"/>
      <c r="M1478" s="57"/>
      <c r="N1478" s="57"/>
      <c r="O1478" s="57"/>
      <c r="P1478" s="57"/>
      <c r="Q1478" s="57"/>
      <c r="R1478" s="57"/>
      <c r="S1478" s="57"/>
      <c r="T1478" s="57"/>
      <c r="U1478" s="57"/>
      <c r="V1478" s="57"/>
      <c r="W1478" s="57"/>
      <c r="X1478" s="53">
        <v>0</v>
      </c>
      <c r="Y1478" s="57"/>
      <c r="Z1478" s="55">
        <v>2</v>
      </c>
      <c r="AA1478" s="57"/>
      <c r="AB1478" s="57"/>
      <c r="AC1478" s="55">
        <v>2</v>
      </c>
      <c r="AD1478" s="55">
        <f t="shared" si="482"/>
        <v>0</v>
      </c>
      <c r="AE1478" s="53">
        <v>0</v>
      </c>
      <c r="AF1478" s="55">
        <v>0</v>
      </c>
      <c r="AG1478" s="55">
        <v>0</v>
      </c>
      <c r="AH1478" s="55">
        <f t="shared" si="478"/>
        <v>0</v>
      </c>
      <c r="AI1478" s="55">
        <v>0</v>
      </c>
      <c r="AJ1478" s="55">
        <v>0</v>
      </c>
      <c r="AK1478" s="55">
        <v>0</v>
      </c>
      <c r="AL1478" s="55">
        <f t="shared" si="475"/>
        <v>0</v>
      </c>
      <c r="AM1478" s="55" t="s">
        <v>1912</v>
      </c>
      <c r="AN1478" s="55">
        <v>0</v>
      </c>
      <c r="AO1478" s="55">
        <v>0</v>
      </c>
      <c r="AP1478" s="55">
        <f t="shared" si="481"/>
        <v>0</v>
      </c>
      <c r="AQ1478" s="55">
        <f>IFERROR(VLOOKUP(A1478,[1]SIIMPLES!$A$2:$F$418,6,FALSE),0)</f>
        <v>0</v>
      </c>
      <c r="AR1478" s="55">
        <v>0</v>
      </c>
      <c r="AS1478" s="55">
        <v>0</v>
      </c>
      <c r="AT1478" s="55">
        <v>0</v>
      </c>
      <c r="AU1478" s="55">
        <v>0</v>
      </c>
      <c r="AV1478" s="55">
        <v>0</v>
      </c>
      <c r="AW1478" s="57"/>
      <c r="AX1478" s="57"/>
      <c r="AY1478" s="56">
        <f t="shared" si="483"/>
        <v>0.33333333333333331</v>
      </c>
      <c r="AZ1478" s="57"/>
      <c r="BA1478" s="57"/>
    </row>
    <row r="1479" spans="1:53" ht="12.75" customHeight="1" x14ac:dyDescent="0.2">
      <c r="A1479" s="68" t="s">
        <v>1872</v>
      </c>
      <c r="B1479" s="51"/>
      <c r="C1479" s="66" t="s">
        <v>1851</v>
      </c>
      <c r="D1479" s="52" t="s">
        <v>1764</v>
      </c>
      <c r="E1479" s="52" t="str">
        <f>VLOOKUP(A1479,[2]CMV!$A$1:$E$2043,5,FALSE)</f>
        <v>POLO</v>
      </c>
      <c r="F1479" s="53"/>
      <c r="G1479" s="52" t="str">
        <f>VLOOKUP(A1479,[2]CMV!$A$1:$F$2043,6,FALSE)</f>
        <v>CABO ACELERADOR PARA MOTO HONDA CG 125 TITAN CARGO ES KS KSE</v>
      </c>
      <c r="H1479" s="57"/>
      <c r="I1479" s="57" t="s">
        <v>1075</v>
      </c>
      <c r="J1479" s="57"/>
      <c r="K1479" s="57"/>
      <c r="L1479" s="57"/>
      <c r="M1479" s="57"/>
      <c r="N1479" s="57"/>
      <c r="O1479" s="57"/>
      <c r="P1479" s="57"/>
      <c r="Q1479" s="57"/>
      <c r="R1479" s="57"/>
      <c r="S1479" s="57"/>
      <c r="T1479" s="57"/>
      <c r="U1479" s="57"/>
      <c r="V1479" s="57"/>
      <c r="W1479" s="57"/>
      <c r="X1479" s="53">
        <v>0</v>
      </c>
      <c r="Y1479" s="57"/>
      <c r="Z1479" s="55">
        <v>2</v>
      </c>
      <c r="AA1479" s="57"/>
      <c r="AB1479" s="57"/>
      <c r="AC1479" s="55">
        <v>2</v>
      </c>
      <c r="AD1479" s="55">
        <f t="shared" si="482"/>
        <v>0</v>
      </c>
      <c r="AE1479" s="53">
        <v>0</v>
      </c>
      <c r="AF1479" s="55">
        <v>0</v>
      </c>
      <c r="AG1479" s="55">
        <v>0</v>
      </c>
      <c r="AH1479" s="55">
        <f t="shared" si="478"/>
        <v>0</v>
      </c>
      <c r="AI1479" s="55">
        <v>0</v>
      </c>
      <c r="AJ1479" s="55">
        <v>0</v>
      </c>
      <c r="AK1479" s="55">
        <v>0</v>
      </c>
      <c r="AL1479" s="55">
        <f t="shared" si="475"/>
        <v>0</v>
      </c>
      <c r="AM1479" s="55" t="s">
        <v>1912</v>
      </c>
      <c r="AN1479" s="55">
        <v>0</v>
      </c>
      <c r="AO1479" s="55">
        <v>0</v>
      </c>
      <c r="AP1479" s="55">
        <f t="shared" si="481"/>
        <v>0</v>
      </c>
      <c r="AQ1479" s="55">
        <f>IFERROR(VLOOKUP(A1479,[1]SIIMPLES!$A$2:$F$418,6,FALSE),0)</f>
        <v>0</v>
      </c>
      <c r="AR1479" s="55">
        <v>0</v>
      </c>
      <c r="AS1479" s="55">
        <v>0</v>
      </c>
      <c r="AT1479" s="55">
        <v>0</v>
      </c>
      <c r="AU1479" s="55">
        <v>0</v>
      </c>
      <c r="AV1479" s="55">
        <v>0</v>
      </c>
      <c r="AW1479" s="57"/>
      <c r="AX1479" s="57"/>
      <c r="AY1479" s="56">
        <f t="shared" si="483"/>
        <v>0.33333333333333331</v>
      </c>
      <c r="AZ1479" s="57"/>
      <c r="BA1479" s="57"/>
    </row>
    <row r="1480" spans="1:53" ht="12.75" customHeight="1" x14ac:dyDescent="0.2">
      <c r="A1480" s="68" t="s">
        <v>1425</v>
      </c>
      <c r="B1480" s="51"/>
      <c r="C1480" s="66" t="s">
        <v>1851</v>
      </c>
      <c r="D1480" s="52" t="s">
        <v>1764</v>
      </c>
      <c r="E1480" s="52" t="s">
        <v>741</v>
      </c>
      <c r="F1480" s="53">
        <f>IFERROR(VLOOKUP(E1480,Fornecedores!$A$2:$B$2700,2,FALSE),"")</f>
        <v>7</v>
      </c>
      <c r="G1480" s="52" t="s">
        <v>1652</v>
      </c>
      <c r="H1480" s="57"/>
      <c r="I1480" s="55">
        <f>SUM(J1480:M1480)</f>
        <v>0</v>
      </c>
      <c r="J1480" s="55">
        <v>0</v>
      </c>
      <c r="K1480" s="55">
        <v>0</v>
      </c>
      <c r="L1480" s="55">
        <v>0</v>
      </c>
      <c r="M1480" s="55">
        <v>0</v>
      </c>
      <c r="N1480" s="55">
        <f>SUM(O1480:Q1480)</f>
        <v>0</v>
      </c>
      <c r="O1480" s="55">
        <v>0</v>
      </c>
      <c r="P1480" s="55">
        <v>0</v>
      </c>
      <c r="Q1480" s="55">
        <v>0</v>
      </c>
      <c r="R1480" s="55">
        <f>SUM(S1480:U1480)</f>
        <v>0</v>
      </c>
      <c r="S1480" s="55">
        <v>0</v>
      </c>
      <c r="T1480" s="55">
        <v>0</v>
      </c>
      <c r="U1480" s="55">
        <v>0</v>
      </c>
      <c r="V1480" s="55">
        <v>0</v>
      </c>
      <c r="W1480" s="53">
        <v>0</v>
      </c>
      <c r="X1480" s="53">
        <v>0</v>
      </c>
      <c r="Y1480" s="55">
        <v>0</v>
      </c>
      <c r="Z1480" s="55">
        <v>0</v>
      </c>
      <c r="AA1480" s="53">
        <v>0</v>
      </c>
      <c r="AB1480" s="53">
        <v>0</v>
      </c>
      <c r="AC1480" s="55">
        <v>0</v>
      </c>
      <c r="AD1480" s="55">
        <f t="shared" si="482"/>
        <v>10</v>
      </c>
      <c r="AE1480" s="53">
        <v>0</v>
      </c>
      <c r="AF1480" s="55">
        <v>0</v>
      </c>
      <c r="AG1480" s="55">
        <v>10</v>
      </c>
      <c r="AH1480" s="55">
        <f t="shared" si="478"/>
        <v>0</v>
      </c>
      <c r="AI1480" s="55">
        <v>0</v>
      </c>
      <c r="AJ1480" s="55">
        <v>0</v>
      </c>
      <c r="AK1480" s="55">
        <v>0</v>
      </c>
      <c r="AL1480" s="55">
        <f t="shared" si="475"/>
        <v>0</v>
      </c>
      <c r="AM1480" s="55" t="s">
        <v>1912</v>
      </c>
      <c r="AN1480" s="55">
        <v>0</v>
      </c>
      <c r="AO1480" s="55">
        <v>0</v>
      </c>
      <c r="AP1480" s="55">
        <f t="shared" si="481"/>
        <v>0</v>
      </c>
      <c r="AQ1480" s="55">
        <f>IFERROR(VLOOKUP(A1480,[1]SIIMPLES!$A$2:$F$418,6,FALSE),0)</f>
        <v>0</v>
      </c>
      <c r="AR1480" s="55">
        <v>0</v>
      </c>
      <c r="AS1480" s="55">
        <v>2</v>
      </c>
      <c r="AT1480" s="55">
        <v>0</v>
      </c>
      <c r="AU1480" s="55">
        <v>0</v>
      </c>
      <c r="AV1480" s="55">
        <v>2</v>
      </c>
      <c r="AW1480" s="57"/>
      <c r="AX1480" s="55"/>
      <c r="AY1480" s="56">
        <f t="shared" si="483"/>
        <v>1.2</v>
      </c>
      <c r="AZ1480" s="55"/>
      <c r="BA1480" s="56">
        <v>0</v>
      </c>
    </row>
    <row r="1481" spans="1:53" ht="12.75" customHeight="1" x14ac:dyDescent="0.2">
      <c r="A1481" s="51" t="s">
        <v>1183</v>
      </c>
      <c r="B1481" s="51"/>
      <c r="C1481" s="66" t="s">
        <v>1851</v>
      </c>
      <c r="D1481" s="52" t="s">
        <v>1764</v>
      </c>
      <c r="E1481" s="52" t="s">
        <v>741</v>
      </c>
      <c r="F1481" s="53">
        <f>IFERROR(VLOOKUP(E1481,Fornecedores!$A$2:$B$2700,2,FALSE),"")</f>
        <v>7</v>
      </c>
      <c r="G1481" s="52" t="s">
        <v>1201</v>
      </c>
      <c r="H1481" s="54"/>
      <c r="I1481" s="55">
        <f>SUM(J1481:M1481)</f>
        <v>0</v>
      </c>
      <c r="J1481" s="55">
        <v>0</v>
      </c>
      <c r="K1481" s="55">
        <v>0</v>
      </c>
      <c r="L1481" s="55">
        <v>0</v>
      </c>
      <c r="M1481" s="55">
        <v>0</v>
      </c>
      <c r="N1481" s="55">
        <f>SUM(O1481:Q1481)</f>
        <v>0</v>
      </c>
      <c r="O1481" s="55">
        <v>0</v>
      </c>
      <c r="P1481" s="55">
        <v>0</v>
      </c>
      <c r="Q1481" s="55">
        <v>0</v>
      </c>
      <c r="R1481" s="55">
        <f>SUM(S1481:U1481)</f>
        <v>0</v>
      </c>
      <c r="S1481" s="55">
        <v>0</v>
      </c>
      <c r="T1481" s="55">
        <v>0</v>
      </c>
      <c r="U1481" s="55">
        <v>0</v>
      </c>
      <c r="V1481" s="55">
        <v>0</v>
      </c>
      <c r="W1481" s="53">
        <v>0</v>
      </c>
      <c r="X1481" s="53">
        <v>0</v>
      </c>
      <c r="Y1481" s="55">
        <v>0</v>
      </c>
      <c r="Z1481" s="55">
        <v>2</v>
      </c>
      <c r="AA1481" s="53">
        <v>0</v>
      </c>
      <c r="AB1481" s="53">
        <v>0</v>
      </c>
      <c r="AC1481" s="55">
        <v>2</v>
      </c>
      <c r="AD1481" s="55">
        <f t="shared" si="482"/>
        <v>0</v>
      </c>
      <c r="AE1481" s="53">
        <v>0</v>
      </c>
      <c r="AF1481" s="55">
        <v>0</v>
      </c>
      <c r="AG1481" s="55">
        <v>0</v>
      </c>
      <c r="AH1481" s="55">
        <f t="shared" si="478"/>
        <v>5</v>
      </c>
      <c r="AI1481" s="55">
        <v>0</v>
      </c>
      <c r="AJ1481" s="55">
        <v>0</v>
      </c>
      <c r="AK1481" s="55">
        <v>5</v>
      </c>
      <c r="AL1481" s="55">
        <f t="shared" si="475"/>
        <v>0</v>
      </c>
      <c r="AM1481" s="55" t="s">
        <v>1912</v>
      </c>
      <c r="AN1481" s="55">
        <v>0</v>
      </c>
      <c r="AO1481" s="55">
        <v>0</v>
      </c>
      <c r="AP1481" s="55">
        <f t="shared" si="481"/>
        <v>0</v>
      </c>
      <c r="AQ1481" s="55">
        <f>IFERROR(VLOOKUP(A1481,[1]SIIMPLES!$A$2:$F$418,6,FALSE),0)</f>
        <v>0</v>
      </c>
      <c r="AR1481" s="55">
        <v>0</v>
      </c>
      <c r="AS1481" s="55">
        <v>0</v>
      </c>
      <c r="AT1481" s="55">
        <v>0</v>
      </c>
      <c r="AU1481" s="55">
        <v>0</v>
      </c>
      <c r="AV1481" s="55">
        <v>0</v>
      </c>
      <c r="AW1481" s="55"/>
      <c r="AX1481" s="55"/>
      <c r="AY1481" s="56">
        <f t="shared" si="483"/>
        <v>0.7</v>
      </c>
      <c r="AZ1481" s="55"/>
      <c r="BA1481" s="56">
        <v>3.3333333333333335</v>
      </c>
    </row>
    <row r="1482" spans="1:53" ht="12.75" customHeight="1" x14ac:dyDescent="0.2">
      <c r="A1482" s="51" t="s">
        <v>1790</v>
      </c>
      <c r="B1482" s="51"/>
      <c r="C1482" s="66" t="s">
        <v>1851</v>
      </c>
      <c r="D1482" s="52" t="s">
        <v>1764</v>
      </c>
      <c r="E1482" s="52" t="str">
        <f>VLOOKUP(A1482,[3]CMV!$A$1:$E$1988,5,FALSE)</f>
        <v>POLO</v>
      </c>
      <c r="F1482" s="53"/>
      <c r="G1482" s="52" t="str">
        <f>VLOOKUP(A1482,[2]CMV!$A$1:$F$2043,6,FALSE)</f>
        <v>CABO ACELERADOR PARA MOTO CBX 250 TWISTER</v>
      </c>
      <c r="H1482" s="57"/>
      <c r="I1482" s="55">
        <f>SUM(J1482:M1482)</f>
        <v>0</v>
      </c>
      <c r="J1482" s="55">
        <v>0</v>
      </c>
      <c r="K1482" s="55">
        <v>0</v>
      </c>
      <c r="L1482" s="55">
        <v>0</v>
      </c>
      <c r="M1482" s="55">
        <v>0</v>
      </c>
      <c r="N1482" s="55">
        <f>SUM(O1482:Q1482)</f>
        <v>0</v>
      </c>
      <c r="O1482" s="57"/>
      <c r="P1482" s="57"/>
      <c r="Q1482" s="57"/>
      <c r="R1482" s="55">
        <f>SUM(S1482:U1482)</f>
        <v>0</v>
      </c>
      <c r="S1482" s="57"/>
      <c r="T1482" s="57"/>
      <c r="U1482" s="57"/>
      <c r="V1482" s="55">
        <v>6</v>
      </c>
      <c r="W1482" s="57"/>
      <c r="X1482" s="53">
        <v>0</v>
      </c>
      <c r="Y1482" s="55">
        <v>6</v>
      </c>
      <c r="Z1482" s="55">
        <v>2</v>
      </c>
      <c r="AA1482" s="53">
        <v>0</v>
      </c>
      <c r="AB1482" s="53">
        <v>0</v>
      </c>
      <c r="AC1482" s="55">
        <v>2</v>
      </c>
      <c r="AD1482" s="55">
        <f t="shared" si="482"/>
        <v>0</v>
      </c>
      <c r="AE1482" s="53">
        <v>0</v>
      </c>
      <c r="AF1482" s="55">
        <v>0</v>
      </c>
      <c r="AG1482" s="55">
        <v>0</v>
      </c>
      <c r="AH1482" s="55">
        <f t="shared" si="478"/>
        <v>0</v>
      </c>
      <c r="AI1482" s="55">
        <v>0</v>
      </c>
      <c r="AJ1482" s="55">
        <v>0</v>
      </c>
      <c r="AK1482" s="55">
        <v>0</v>
      </c>
      <c r="AL1482" s="55">
        <f t="shared" si="475"/>
        <v>0</v>
      </c>
      <c r="AM1482" s="55" t="s">
        <v>1912</v>
      </c>
      <c r="AN1482" s="55">
        <v>0</v>
      </c>
      <c r="AO1482" s="55">
        <v>0</v>
      </c>
      <c r="AP1482" s="55">
        <f t="shared" si="481"/>
        <v>0</v>
      </c>
      <c r="AQ1482" s="55">
        <f>IFERROR(VLOOKUP(A1482,[1]SIIMPLES!$A$2:$F$418,6,FALSE),0)</f>
        <v>0</v>
      </c>
      <c r="AR1482" s="55">
        <v>0</v>
      </c>
      <c r="AS1482" s="55">
        <v>1</v>
      </c>
      <c r="AT1482" s="55">
        <v>0</v>
      </c>
      <c r="AU1482" s="55">
        <v>0</v>
      </c>
      <c r="AV1482" s="55">
        <v>1</v>
      </c>
      <c r="AW1482" s="57"/>
      <c r="AX1482" s="57"/>
      <c r="AY1482" s="56">
        <f t="shared" si="483"/>
        <v>0.9</v>
      </c>
      <c r="AZ1482" s="57"/>
      <c r="BA1482" s="56" t="s">
        <v>1912</v>
      </c>
    </row>
    <row r="1483" spans="1:53" ht="12.75" customHeight="1" x14ac:dyDescent="0.2">
      <c r="A1483" s="68" t="s">
        <v>1869</v>
      </c>
      <c r="B1483" s="51"/>
      <c r="C1483" s="66" t="s">
        <v>1851</v>
      </c>
      <c r="D1483" s="52" t="s">
        <v>1764</v>
      </c>
      <c r="E1483" s="52" t="str">
        <f>VLOOKUP(A1483,[2]CMV!$A$1:$E$2043,5,FALSE)</f>
        <v>POLO</v>
      </c>
      <c r="F1483" s="53"/>
      <c r="G1483" s="52" t="str">
        <f>VLOOKUP(A1483,[2]CMV!$A$1:$F$2043,6,FALSE)</f>
        <v>CABO ACELERADOR PARA MOTO CG125 FAN 2009</v>
      </c>
      <c r="H1483" s="57"/>
      <c r="I1483" s="57"/>
      <c r="J1483" s="57"/>
      <c r="K1483" s="57"/>
      <c r="L1483" s="57"/>
      <c r="M1483" s="57"/>
      <c r="N1483" s="57"/>
      <c r="O1483" s="57"/>
      <c r="P1483" s="57"/>
      <c r="Q1483" s="57"/>
      <c r="R1483" s="57"/>
      <c r="S1483" s="57"/>
      <c r="T1483" s="57"/>
      <c r="U1483" s="57"/>
      <c r="V1483" s="57"/>
      <c r="W1483" s="57"/>
      <c r="X1483" s="53">
        <v>0</v>
      </c>
      <c r="Y1483" s="57"/>
      <c r="Z1483" s="55">
        <v>2</v>
      </c>
      <c r="AA1483" s="57"/>
      <c r="AB1483" s="57"/>
      <c r="AC1483" s="55">
        <v>2</v>
      </c>
      <c r="AD1483" s="55">
        <f t="shared" si="482"/>
        <v>0</v>
      </c>
      <c r="AE1483" s="53">
        <v>0</v>
      </c>
      <c r="AF1483" s="55">
        <v>0</v>
      </c>
      <c r="AG1483" s="55">
        <v>0</v>
      </c>
      <c r="AH1483" s="55">
        <f t="shared" si="478"/>
        <v>5</v>
      </c>
      <c r="AI1483" s="55">
        <v>0</v>
      </c>
      <c r="AJ1483" s="55">
        <v>0</v>
      </c>
      <c r="AK1483" s="55">
        <v>5</v>
      </c>
      <c r="AL1483" s="55">
        <f t="shared" si="475"/>
        <v>0</v>
      </c>
      <c r="AM1483" s="55" t="s">
        <v>1912</v>
      </c>
      <c r="AN1483" s="55">
        <v>0</v>
      </c>
      <c r="AO1483" s="55">
        <v>0</v>
      </c>
      <c r="AP1483" s="55">
        <f t="shared" si="481"/>
        <v>0</v>
      </c>
      <c r="AQ1483" s="55">
        <f>IFERROR(VLOOKUP(A1483,[1]SIIMPLES!$A$2:$F$418,6,FALSE),0)</f>
        <v>0</v>
      </c>
      <c r="AR1483" s="55">
        <v>0</v>
      </c>
      <c r="AS1483" s="55">
        <v>0</v>
      </c>
      <c r="AT1483" s="55">
        <v>0</v>
      </c>
      <c r="AU1483" s="55">
        <v>0</v>
      </c>
      <c r="AV1483" s="55">
        <v>0</v>
      </c>
      <c r="AW1483" s="57"/>
      <c r="AX1483" s="57"/>
      <c r="AY1483" s="56">
        <f t="shared" si="483"/>
        <v>1.1666666666666667</v>
      </c>
      <c r="AZ1483" s="57"/>
      <c r="BA1483" s="57"/>
    </row>
    <row r="1484" spans="1:53" ht="12.75" customHeight="1" x14ac:dyDescent="0.2">
      <c r="A1484" s="51" t="s">
        <v>1184</v>
      </c>
      <c r="B1484" s="51"/>
      <c r="C1484" s="66" t="s">
        <v>1851</v>
      </c>
      <c r="D1484" s="52" t="s">
        <v>1764</v>
      </c>
      <c r="E1484" s="52" t="s">
        <v>741</v>
      </c>
      <c r="F1484" s="53">
        <f>IFERROR(VLOOKUP(E1484,Fornecedores!$A$2:$B$2700,2,FALSE),"")</f>
        <v>7</v>
      </c>
      <c r="G1484" s="52" t="s">
        <v>1202</v>
      </c>
      <c r="H1484" s="54"/>
      <c r="I1484" s="55">
        <f>SUM(J1484:M1484)</f>
        <v>2</v>
      </c>
      <c r="J1484" s="55">
        <v>2</v>
      </c>
      <c r="K1484" s="55">
        <v>0</v>
      </c>
      <c r="L1484" s="55">
        <v>0</v>
      </c>
      <c r="M1484" s="55">
        <v>0</v>
      </c>
      <c r="N1484" s="55">
        <f>SUM(O1484:Q1484)</f>
        <v>0</v>
      </c>
      <c r="O1484" s="55">
        <v>0</v>
      </c>
      <c r="P1484" s="55">
        <v>0</v>
      </c>
      <c r="Q1484" s="55">
        <v>0</v>
      </c>
      <c r="R1484" s="55">
        <f>SUM(S1484:U1484)</f>
        <v>0</v>
      </c>
      <c r="S1484" s="55">
        <v>0</v>
      </c>
      <c r="T1484" s="55">
        <v>0</v>
      </c>
      <c r="U1484" s="55">
        <v>0</v>
      </c>
      <c r="V1484" s="55">
        <v>3</v>
      </c>
      <c r="W1484" s="53">
        <v>0</v>
      </c>
      <c r="X1484" s="53">
        <v>0</v>
      </c>
      <c r="Y1484" s="55">
        <v>3</v>
      </c>
      <c r="Z1484" s="55">
        <v>0</v>
      </c>
      <c r="AA1484" s="53">
        <v>0</v>
      </c>
      <c r="AB1484" s="53">
        <v>0</v>
      </c>
      <c r="AC1484" s="55">
        <v>0</v>
      </c>
      <c r="AD1484" s="55">
        <f t="shared" si="482"/>
        <v>0</v>
      </c>
      <c r="AE1484" s="53">
        <v>0</v>
      </c>
      <c r="AF1484" s="55">
        <v>0</v>
      </c>
      <c r="AG1484" s="55">
        <v>0</v>
      </c>
      <c r="AH1484" s="55">
        <f t="shared" si="478"/>
        <v>0</v>
      </c>
      <c r="AI1484" s="55">
        <v>0</v>
      </c>
      <c r="AJ1484" s="55">
        <v>0</v>
      </c>
      <c r="AK1484" s="55">
        <v>0</v>
      </c>
      <c r="AL1484" s="55">
        <f t="shared" si="475"/>
        <v>0</v>
      </c>
      <c r="AM1484" s="55" t="s">
        <v>1912</v>
      </c>
      <c r="AN1484" s="55">
        <v>0</v>
      </c>
      <c r="AO1484" s="55">
        <v>0</v>
      </c>
      <c r="AP1484" s="55">
        <f t="shared" si="481"/>
        <v>0</v>
      </c>
      <c r="AQ1484" s="55">
        <f>IFERROR(VLOOKUP(A1484,[1]SIIMPLES!$A$2:$F$418,6,FALSE),0)</f>
        <v>0</v>
      </c>
      <c r="AR1484" s="55">
        <v>0</v>
      </c>
      <c r="AS1484" s="55">
        <v>0</v>
      </c>
      <c r="AT1484" s="55">
        <v>0</v>
      </c>
      <c r="AU1484" s="55">
        <v>0</v>
      </c>
      <c r="AV1484" s="55">
        <v>0</v>
      </c>
      <c r="AW1484" s="55"/>
      <c r="AX1484" s="55"/>
      <c r="AY1484" s="56">
        <f t="shared" si="483"/>
        <v>0.5</v>
      </c>
      <c r="AZ1484" s="55"/>
      <c r="BA1484" s="56">
        <v>1.6666666666666667</v>
      </c>
    </row>
    <row r="1485" spans="1:53" ht="12.75" customHeight="1" x14ac:dyDescent="0.2">
      <c r="A1485" s="51" t="s">
        <v>1800</v>
      </c>
      <c r="B1485" s="51"/>
      <c r="C1485" s="66" t="s">
        <v>1851</v>
      </c>
      <c r="D1485" s="52" t="s">
        <v>1764</v>
      </c>
      <c r="E1485" s="52" t="str">
        <f>VLOOKUP(A1485,[3]CMV!$A$1:$E$1988,5,FALSE)</f>
        <v>POLO</v>
      </c>
      <c r="F1485" s="53">
        <f>IFERROR(VLOOKUP(E1485,Fornecedores!$A$2:$B$2700,2,FALSE),"")</f>
        <v>7</v>
      </c>
      <c r="G1485" s="52" t="s">
        <v>1767</v>
      </c>
      <c r="H1485" s="57"/>
      <c r="I1485" s="55">
        <f>SUM(J1485:M1485)</f>
        <v>0</v>
      </c>
      <c r="J1485" s="55">
        <v>0</v>
      </c>
      <c r="K1485" s="55">
        <v>0</v>
      </c>
      <c r="L1485" s="55">
        <v>0</v>
      </c>
      <c r="M1485" s="55">
        <v>0</v>
      </c>
      <c r="N1485" s="55">
        <f>SUM(O1485:Q1485)</f>
        <v>0</v>
      </c>
      <c r="O1485" s="57"/>
      <c r="P1485" s="57"/>
      <c r="Q1485" s="57"/>
      <c r="R1485" s="55">
        <f>SUM(S1485:U1485)</f>
        <v>0</v>
      </c>
      <c r="S1485" s="57"/>
      <c r="T1485" s="57"/>
      <c r="U1485" s="57"/>
      <c r="V1485" s="55">
        <v>1</v>
      </c>
      <c r="W1485" s="57"/>
      <c r="X1485" s="53">
        <v>0</v>
      </c>
      <c r="Y1485" s="55">
        <v>1</v>
      </c>
      <c r="Z1485" s="55">
        <v>0</v>
      </c>
      <c r="AA1485" s="53">
        <v>0</v>
      </c>
      <c r="AB1485" s="53">
        <v>0</v>
      </c>
      <c r="AC1485" s="55">
        <v>0</v>
      </c>
      <c r="AD1485" s="55">
        <f t="shared" si="482"/>
        <v>0</v>
      </c>
      <c r="AE1485" s="53">
        <v>0</v>
      </c>
      <c r="AF1485" s="55">
        <v>0</v>
      </c>
      <c r="AG1485" s="55">
        <v>0</v>
      </c>
      <c r="AH1485" s="55">
        <f t="shared" si="478"/>
        <v>1</v>
      </c>
      <c r="AI1485" s="55">
        <v>1</v>
      </c>
      <c r="AJ1485" s="55">
        <v>0</v>
      </c>
      <c r="AK1485" s="55">
        <v>0</v>
      </c>
      <c r="AL1485" s="55">
        <f t="shared" si="475"/>
        <v>0</v>
      </c>
      <c r="AM1485" s="55" t="s">
        <v>1912</v>
      </c>
      <c r="AN1485" s="55">
        <v>0</v>
      </c>
      <c r="AO1485" s="55">
        <v>0</v>
      </c>
      <c r="AP1485" s="55">
        <f t="shared" si="481"/>
        <v>0</v>
      </c>
      <c r="AQ1485" s="55">
        <f>IFERROR(VLOOKUP(A1485,[1]SIIMPLES!$A$2:$F$418,6,FALSE),0)</f>
        <v>0</v>
      </c>
      <c r="AR1485" s="55">
        <v>0</v>
      </c>
      <c r="AS1485" s="55">
        <v>0</v>
      </c>
      <c r="AT1485" s="55">
        <v>0</v>
      </c>
      <c r="AU1485" s="55">
        <v>0</v>
      </c>
      <c r="AV1485" s="55">
        <v>0</v>
      </c>
      <c r="AW1485" s="57"/>
      <c r="AX1485" s="57"/>
      <c r="AY1485" s="56">
        <f t="shared" si="483"/>
        <v>0.2</v>
      </c>
      <c r="AZ1485" s="57"/>
      <c r="BA1485" s="56" t="s">
        <v>1912</v>
      </c>
    </row>
    <row r="1486" spans="1:53" ht="12.75" customHeight="1" x14ac:dyDescent="0.2">
      <c r="A1486" s="68" t="s">
        <v>1873</v>
      </c>
      <c r="B1486" s="51"/>
      <c r="C1486" s="66" t="s">
        <v>1851</v>
      </c>
      <c r="D1486" s="52" t="s">
        <v>1764</v>
      </c>
      <c r="E1486" s="52" t="str">
        <f>VLOOKUP(A1486,[2]CMV!$A$1:$E$2043,5,FALSE)</f>
        <v>POLO</v>
      </c>
      <c r="F1486" s="53"/>
      <c r="G1486" s="52" t="str">
        <f>VLOOKUP(A1486,[2]CMV!$A$1:$F$2043,6,FALSE)</f>
        <v>CABO ACELERADOR PARA MOTO CG 125 FAN ES KS</v>
      </c>
      <c r="H1486" s="57"/>
      <c r="I1486" s="57"/>
      <c r="J1486" s="57"/>
      <c r="K1486" s="57"/>
      <c r="L1486" s="57"/>
      <c r="M1486" s="57"/>
      <c r="N1486" s="57"/>
      <c r="O1486" s="57"/>
      <c r="P1486" s="57"/>
      <c r="Q1486" s="57"/>
      <c r="R1486" s="57"/>
      <c r="S1486" s="57"/>
      <c r="T1486" s="57"/>
      <c r="U1486" s="57"/>
      <c r="V1486" s="57"/>
      <c r="W1486" s="57"/>
      <c r="X1486" s="53">
        <v>0</v>
      </c>
      <c r="Y1486" s="57"/>
      <c r="Z1486" s="55">
        <v>2</v>
      </c>
      <c r="AA1486" s="57"/>
      <c r="AB1486" s="57"/>
      <c r="AC1486" s="55">
        <v>2</v>
      </c>
      <c r="AD1486" s="55">
        <f t="shared" si="482"/>
        <v>0</v>
      </c>
      <c r="AE1486" s="53">
        <v>0</v>
      </c>
      <c r="AF1486" s="55">
        <v>0</v>
      </c>
      <c r="AG1486" s="55">
        <v>0</v>
      </c>
      <c r="AH1486" s="55">
        <f t="shared" si="478"/>
        <v>0</v>
      </c>
      <c r="AI1486" s="55">
        <v>0</v>
      </c>
      <c r="AJ1486" s="55">
        <v>0</v>
      </c>
      <c r="AK1486" s="55">
        <v>0</v>
      </c>
      <c r="AL1486" s="55">
        <f t="shared" si="475"/>
        <v>0</v>
      </c>
      <c r="AM1486" s="55" t="s">
        <v>1912</v>
      </c>
      <c r="AN1486" s="55">
        <v>0</v>
      </c>
      <c r="AO1486" s="55">
        <v>0</v>
      </c>
      <c r="AP1486" s="55">
        <f t="shared" si="481"/>
        <v>0</v>
      </c>
      <c r="AQ1486" s="55">
        <f>IFERROR(VLOOKUP(A1486,[1]SIIMPLES!$A$2:$F$418,6,FALSE),0)</f>
        <v>0</v>
      </c>
      <c r="AR1486" s="55">
        <v>0</v>
      </c>
      <c r="AS1486" s="55">
        <v>0</v>
      </c>
      <c r="AT1486" s="55">
        <v>0</v>
      </c>
      <c r="AU1486" s="55">
        <v>0</v>
      </c>
      <c r="AV1486" s="55">
        <v>0</v>
      </c>
      <c r="AW1486" s="57"/>
      <c r="AX1486" s="57"/>
      <c r="AY1486" s="56">
        <f t="shared" si="483"/>
        <v>0.33333333333333331</v>
      </c>
      <c r="AZ1486" s="57"/>
      <c r="BA1486" s="57"/>
    </row>
    <row r="1487" spans="1:53" ht="12.75" customHeight="1" x14ac:dyDescent="0.2">
      <c r="A1487" s="68" t="s">
        <v>1419</v>
      </c>
      <c r="B1487" s="51"/>
      <c r="C1487" s="66" t="s">
        <v>1851</v>
      </c>
      <c r="D1487" s="52" t="s">
        <v>1764</v>
      </c>
      <c r="E1487" s="52" t="s">
        <v>741</v>
      </c>
      <c r="F1487" s="53">
        <f>IFERROR(VLOOKUP(E1487,Fornecedores!$A$2:$B$2700,2,FALSE),"")</f>
        <v>7</v>
      </c>
      <c r="G1487" s="52" t="s">
        <v>1650</v>
      </c>
      <c r="H1487" s="57"/>
      <c r="I1487" s="55">
        <f>SUM(J1487:M1487)</f>
        <v>0</v>
      </c>
      <c r="J1487" s="55">
        <v>0</v>
      </c>
      <c r="K1487" s="55">
        <v>0</v>
      </c>
      <c r="L1487" s="55">
        <v>0</v>
      </c>
      <c r="M1487" s="55">
        <v>0</v>
      </c>
      <c r="N1487" s="55">
        <f>SUM(O1487:Q1487)</f>
        <v>0</v>
      </c>
      <c r="O1487" s="55">
        <v>0</v>
      </c>
      <c r="P1487" s="55">
        <v>0</v>
      </c>
      <c r="Q1487" s="55">
        <v>0</v>
      </c>
      <c r="R1487" s="55">
        <f>SUM(S1487:U1487)</f>
        <v>5</v>
      </c>
      <c r="S1487" s="55">
        <v>0</v>
      </c>
      <c r="T1487" s="55">
        <v>0</v>
      </c>
      <c r="U1487" s="55">
        <v>5</v>
      </c>
      <c r="V1487" s="55">
        <v>6</v>
      </c>
      <c r="W1487" s="53">
        <v>0</v>
      </c>
      <c r="X1487" s="53">
        <v>0</v>
      </c>
      <c r="Y1487" s="55">
        <v>6</v>
      </c>
      <c r="Z1487" s="55">
        <v>2</v>
      </c>
      <c r="AA1487" s="53">
        <v>0</v>
      </c>
      <c r="AB1487" s="53">
        <v>0</v>
      </c>
      <c r="AC1487" s="55">
        <v>2</v>
      </c>
      <c r="AD1487" s="55">
        <f t="shared" si="482"/>
        <v>14</v>
      </c>
      <c r="AE1487" s="53">
        <v>0</v>
      </c>
      <c r="AF1487" s="55">
        <v>0</v>
      </c>
      <c r="AG1487" s="55">
        <v>14</v>
      </c>
      <c r="AH1487" s="55">
        <f t="shared" si="478"/>
        <v>4</v>
      </c>
      <c r="AI1487" s="55">
        <v>0</v>
      </c>
      <c r="AJ1487" s="55">
        <v>0</v>
      </c>
      <c r="AK1487" s="55">
        <v>4</v>
      </c>
      <c r="AL1487" s="55">
        <f t="shared" si="475"/>
        <v>0</v>
      </c>
      <c r="AM1487" s="55" t="s">
        <v>1912</v>
      </c>
      <c r="AN1487" s="55">
        <v>0</v>
      </c>
      <c r="AO1487" s="55">
        <v>0</v>
      </c>
      <c r="AP1487" s="55">
        <f t="shared" si="481"/>
        <v>0</v>
      </c>
      <c r="AQ1487" s="55">
        <f>IFERROR(VLOOKUP(A1487,[1]SIIMPLES!$A$2:$F$418,6,FALSE),0)</f>
        <v>0</v>
      </c>
      <c r="AR1487" s="55">
        <v>0</v>
      </c>
      <c r="AS1487" s="55">
        <v>0</v>
      </c>
      <c r="AT1487" s="55">
        <v>0</v>
      </c>
      <c r="AU1487" s="55">
        <v>0</v>
      </c>
      <c r="AV1487" s="55">
        <v>0</v>
      </c>
      <c r="AW1487" s="57"/>
      <c r="AX1487" s="55"/>
      <c r="AY1487" s="56">
        <f t="shared" si="483"/>
        <v>3.1</v>
      </c>
      <c r="AZ1487" s="55"/>
      <c r="BA1487" s="56">
        <v>0</v>
      </c>
    </row>
    <row r="1488" spans="1:53" ht="12.75" customHeight="1" x14ac:dyDescent="0.2">
      <c r="A1488" s="68" t="s">
        <v>1878</v>
      </c>
      <c r="B1488" s="51"/>
      <c r="C1488" s="66" t="s">
        <v>1851</v>
      </c>
      <c r="D1488" s="52" t="s">
        <v>1764</v>
      </c>
      <c r="E1488" s="52" t="str">
        <f>VLOOKUP(A1488,[2]CMV!$A$1:$E$2043,5,FALSE)</f>
        <v>POLO</v>
      </c>
      <c r="F1488" s="53"/>
      <c r="G1488" s="52" t="str">
        <f>VLOOKUP(A1488,[2]CMV!$A$1:$F$2043,6,FALSE)</f>
        <v>CABO ACELERADOR PARA MOTO YAHAMA FAZER YS 250</v>
      </c>
      <c r="H1488" s="57"/>
      <c r="I1488" s="57" t="s">
        <v>1075</v>
      </c>
      <c r="J1488" s="57"/>
      <c r="K1488" s="57"/>
      <c r="L1488" s="57"/>
      <c r="M1488" s="57"/>
      <c r="N1488" s="57"/>
      <c r="O1488" s="57"/>
      <c r="P1488" s="57"/>
      <c r="Q1488" s="57"/>
      <c r="R1488" s="57"/>
      <c r="S1488" s="57"/>
      <c r="T1488" s="57"/>
      <c r="U1488" s="57"/>
      <c r="V1488" s="57"/>
      <c r="W1488" s="57"/>
      <c r="X1488" s="53">
        <v>0</v>
      </c>
      <c r="Y1488" s="57"/>
      <c r="Z1488" s="55">
        <v>1</v>
      </c>
      <c r="AA1488" s="57"/>
      <c r="AB1488" s="57"/>
      <c r="AC1488" s="55">
        <v>1</v>
      </c>
      <c r="AD1488" s="55">
        <f t="shared" si="482"/>
        <v>0</v>
      </c>
      <c r="AE1488" s="53">
        <v>0</v>
      </c>
      <c r="AF1488" s="55">
        <v>0</v>
      </c>
      <c r="AG1488" s="55">
        <v>0</v>
      </c>
      <c r="AH1488" s="55">
        <f t="shared" ref="AH1488:AH1519" si="484">SUM(AI1488:AK1488)</f>
        <v>0</v>
      </c>
      <c r="AI1488" s="55">
        <v>0</v>
      </c>
      <c r="AJ1488" s="55">
        <v>0</v>
      </c>
      <c r="AK1488" s="55">
        <v>0</v>
      </c>
      <c r="AL1488" s="55">
        <f t="shared" si="475"/>
        <v>0</v>
      </c>
      <c r="AM1488" s="55" t="s">
        <v>1912</v>
      </c>
      <c r="AN1488" s="55">
        <v>0</v>
      </c>
      <c r="AO1488" s="55">
        <v>0</v>
      </c>
      <c r="AP1488" s="55">
        <f t="shared" si="481"/>
        <v>0</v>
      </c>
      <c r="AQ1488" s="55">
        <f>IFERROR(VLOOKUP(A1488,[1]SIIMPLES!$A$2:$F$418,6,FALSE),0)</f>
        <v>0</v>
      </c>
      <c r="AR1488" s="55">
        <v>0</v>
      </c>
      <c r="AS1488" s="55">
        <v>2</v>
      </c>
      <c r="AT1488" s="55">
        <v>0</v>
      </c>
      <c r="AU1488" s="55">
        <v>0</v>
      </c>
      <c r="AV1488" s="55">
        <v>2</v>
      </c>
      <c r="AW1488" s="57"/>
      <c r="AX1488" s="57"/>
      <c r="AY1488" s="56">
        <f t="shared" si="483"/>
        <v>0.5</v>
      </c>
      <c r="AZ1488" s="57"/>
      <c r="BA1488" s="57"/>
    </row>
    <row r="1489" spans="1:53" ht="12.75" customHeight="1" x14ac:dyDescent="0.2">
      <c r="A1489" s="68" t="s">
        <v>1850</v>
      </c>
      <c r="B1489" s="51"/>
      <c r="C1489" s="66" t="s">
        <v>1851</v>
      </c>
      <c r="D1489" s="52" t="s">
        <v>1764</v>
      </c>
      <c r="E1489" s="52" t="s">
        <v>741</v>
      </c>
      <c r="F1489" s="53">
        <f>IFERROR(VLOOKUP(E1489,Fornecedores!$A$2:$B$2700,2,FALSE),"")</f>
        <v>7</v>
      </c>
      <c r="G1489" s="52" t="s">
        <v>1703</v>
      </c>
      <c r="H1489" s="57"/>
      <c r="I1489" s="55">
        <f>SUM(J1489:M1489)</f>
        <v>0</v>
      </c>
      <c r="J1489" s="57"/>
      <c r="K1489" s="57"/>
      <c r="L1489" s="57"/>
      <c r="M1489" s="57"/>
      <c r="N1489" s="55">
        <f>SUM(O1489:Q1489)</f>
        <v>0</v>
      </c>
      <c r="O1489" s="57"/>
      <c r="P1489" s="57"/>
      <c r="Q1489" s="57"/>
      <c r="R1489" s="55">
        <f>SUM(S1489:U1489)</f>
        <v>1</v>
      </c>
      <c r="S1489" s="55">
        <v>1</v>
      </c>
      <c r="T1489" s="55">
        <v>0</v>
      </c>
      <c r="U1489" s="57"/>
      <c r="V1489" s="55">
        <v>0</v>
      </c>
      <c r="W1489" s="53">
        <v>0</v>
      </c>
      <c r="X1489" s="53">
        <v>0</v>
      </c>
      <c r="Y1489" s="55">
        <v>0</v>
      </c>
      <c r="Z1489" s="55">
        <v>2</v>
      </c>
      <c r="AA1489" s="53">
        <v>0</v>
      </c>
      <c r="AB1489" s="53">
        <v>0</v>
      </c>
      <c r="AC1489" s="55">
        <v>2</v>
      </c>
      <c r="AD1489" s="55">
        <f t="shared" si="482"/>
        <v>1</v>
      </c>
      <c r="AE1489" s="53">
        <v>1</v>
      </c>
      <c r="AF1489" s="55">
        <v>0</v>
      </c>
      <c r="AG1489" s="55">
        <v>0</v>
      </c>
      <c r="AH1489" s="55">
        <f t="shared" si="484"/>
        <v>0</v>
      </c>
      <c r="AI1489" s="55">
        <v>0</v>
      </c>
      <c r="AJ1489" s="55">
        <v>0</v>
      </c>
      <c r="AK1489" s="55">
        <v>0</v>
      </c>
      <c r="AL1489" s="55">
        <f t="shared" si="475"/>
        <v>1</v>
      </c>
      <c r="AM1489" s="55" t="s">
        <v>1912</v>
      </c>
      <c r="AN1489" s="55">
        <v>0</v>
      </c>
      <c r="AO1489" s="55">
        <v>1</v>
      </c>
      <c r="AP1489" s="55">
        <f t="shared" si="481"/>
        <v>0</v>
      </c>
      <c r="AQ1489" s="55">
        <f>IFERROR(VLOOKUP(A1489,[1]SIIMPLES!$A$2:$F$418,6,FALSE),0)</f>
        <v>0</v>
      </c>
      <c r="AR1489" s="55">
        <v>0</v>
      </c>
      <c r="AS1489" s="55">
        <v>0</v>
      </c>
      <c r="AT1489" s="55">
        <v>0</v>
      </c>
      <c r="AU1489" s="55">
        <v>0</v>
      </c>
      <c r="AV1489" s="55">
        <v>0</v>
      </c>
      <c r="AW1489" s="57"/>
      <c r="AX1489" s="57"/>
      <c r="AY1489" s="56">
        <f t="shared" si="483"/>
        <v>0.5</v>
      </c>
      <c r="AZ1489" s="57"/>
      <c r="BA1489" s="56" t="s">
        <v>1912</v>
      </c>
    </row>
    <row r="1490" spans="1:53" ht="12.75" customHeight="1" x14ac:dyDescent="0.2">
      <c r="A1490" s="68" t="s">
        <v>1964</v>
      </c>
      <c r="B1490" s="51"/>
      <c r="C1490" s="66" t="str">
        <f>VLOOKUP(A1490,[2]CMV!$A$1:$B$2115,2,FALSE)</f>
        <v>MOTO PEÇAS</v>
      </c>
      <c r="D1490" s="52" t="str">
        <f>VLOOKUP(A1490,[2]CMV!$A$1:$C$2115,3,FALSE)</f>
        <v>Cabo Acelerador Moto</v>
      </c>
      <c r="E1490" s="52" t="str">
        <f>VLOOKUP(A1490,[2]CMV!$A$1:$E$2115,5,FALSE)</f>
        <v>POLO</v>
      </c>
      <c r="F1490" s="53"/>
      <c r="G1490" s="67" t="str">
        <f>VLOOKUP(A1490,[2]CMV!$A$1:$F$2115,6,FALSE)</f>
        <v>CABO ACELERADOR HONDA XRE 300 09&gt;15</v>
      </c>
      <c r="H1490" s="57"/>
      <c r="I1490" s="57"/>
      <c r="J1490" s="57"/>
      <c r="K1490" s="57"/>
      <c r="L1490" s="57"/>
      <c r="M1490" s="57"/>
      <c r="N1490" s="57"/>
      <c r="O1490" s="57"/>
      <c r="P1490" s="57"/>
      <c r="Q1490" s="57"/>
      <c r="R1490" s="57"/>
      <c r="S1490" s="57"/>
      <c r="T1490" s="57"/>
      <c r="U1490" s="57"/>
      <c r="V1490" s="57"/>
      <c r="W1490" s="57"/>
      <c r="X1490" s="57"/>
      <c r="Y1490" s="57"/>
      <c r="Z1490" s="57"/>
      <c r="AA1490" s="57"/>
      <c r="AB1490" s="57"/>
      <c r="AC1490" s="57"/>
      <c r="AD1490" s="55">
        <f t="shared" si="482"/>
        <v>1</v>
      </c>
      <c r="AE1490" s="57"/>
      <c r="AF1490" s="57"/>
      <c r="AG1490" s="55">
        <v>1</v>
      </c>
      <c r="AH1490" s="55">
        <f t="shared" si="484"/>
        <v>0</v>
      </c>
      <c r="AI1490" s="55">
        <v>0</v>
      </c>
      <c r="AJ1490" s="55">
        <v>0</v>
      </c>
      <c r="AK1490" s="55">
        <v>0</v>
      </c>
      <c r="AL1490" s="55">
        <f t="shared" si="475"/>
        <v>0</v>
      </c>
      <c r="AM1490" s="55" t="s">
        <v>1912</v>
      </c>
      <c r="AN1490" s="55">
        <v>0</v>
      </c>
      <c r="AO1490" s="55">
        <v>0</v>
      </c>
      <c r="AP1490" s="55">
        <f t="shared" si="481"/>
        <v>0</v>
      </c>
      <c r="AQ1490" s="55">
        <f>IFERROR(VLOOKUP(A1490,[1]SIIMPLES!$A$2:$F$418,6,FALSE),0)</f>
        <v>0</v>
      </c>
      <c r="AR1490" s="55">
        <v>0</v>
      </c>
      <c r="AS1490" s="55">
        <v>0</v>
      </c>
      <c r="AT1490" s="55">
        <v>0</v>
      </c>
      <c r="AU1490" s="55">
        <v>0</v>
      </c>
      <c r="AV1490" s="55">
        <v>0</v>
      </c>
      <c r="AW1490" s="57"/>
      <c r="AX1490" s="57"/>
      <c r="AY1490" s="56">
        <f t="shared" si="483"/>
        <v>0.2</v>
      </c>
      <c r="AZ1490" s="57"/>
      <c r="BA1490" s="57"/>
    </row>
    <row r="1491" spans="1:53" ht="12.75" customHeight="1" x14ac:dyDescent="0.2">
      <c r="A1491" s="68" t="s">
        <v>1961</v>
      </c>
      <c r="B1491" s="51"/>
      <c r="C1491" s="66" t="str">
        <f>VLOOKUP(A1491,[2]CMV!$A$1:$B$2115,2,FALSE)</f>
        <v>MOTO PEÇAS</v>
      </c>
      <c r="D1491" s="52" t="str">
        <f>VLOOKUP(A1491,[2]CMV!$A$1:$C$2115,3,FALSE)</f>
        <v>Cabo Acelerador Moto</v>
      </c>
      <c r="E1491" s="52" t="str">
        <f>VLOOKUP(A1491,[2]CMV!$A$1:$E$2115,5,FALSE)</f>
        <v>POLO</v>
      </c>
      <c r="F1491" s="53"/>
      <c r="G1491" s="67" t="str">
        <f>VLOOKUP(A1491,[2]CMV!$A$1:$F$2115,6,FALSE)</f>
        <v>CABO ACELERADOR HONDA CB 300 R 3</v>
      </c>
      <c r="H1491" s="57"/>
      <c r="I1491" s="57"/>
      <c r="J1491" s="57"/>
      <c r="K1491" s="57"/>
      <c r="L1491" s="57"/>
      <c r="M1491" s="57"/>
      <c r="N1491" s="57"/>
      <c r="O1491" s="57"/>
      <c r="P1491" s="57"/>
      <c r="Q1491" s="57"/>
      <c r="R1491" s="57"/>
      <c r="S1491" s="57"/>
      <c r="T1491" s="57"/>
      <c r="U1491" s="57"/>
      <c r="V1491" s="57"/>
      <c r="W1491" s="57"/>
      <c r="X1491" s="57"/>
      <c r="Y1491" s="57"/>
      <c r="Z1491" s="57"/>
      <c r="AA1491" s="57"/>
      <c r="AB1491" s="57"/>
      <c r="AC1491" s="57"/>
      <c r="AD1491" s="55">
        <f t="shared" si="482"/>
        <v>1</v>
      </c>
      <c r="AE1491" s="57"/>
      <c r="AF1491" s="57"/>
      <c r="AG1491" s="55">
        <v>1</v>
      </c>
      <c r="AH1491" s="55">
        <f t="shared" si="484"/>
        <v>2</v>
      </c>
      <c r="AI1491" s="55">
        <v>0</v>
      </c>
      <c r="AJ1491" s="55">
        <v>0</v>
      </c>
      <c r="AK1491" s="55">
        <v>2</v>
      </c>
      <c r="AL1491" s="55">
        <f t="shared" ref="AL1491:AL1554" si="485">SUM(AM1491:AO1491)</f>
        <v>2</v>
      </c>
      <c r="AM1491" s="55" t="s">
        <v>1912</v>
      </c>
      <c r="AN1491" s="55">
        <v>0</v>
      </c>
      <c r="AO1491" s="55">
        <v>2</v>
      </c>
      <c r="AP1491" s="55">
        <f t="shared" si="481"/>
        <v>0</v>
      </c>
      <c r="AQ1491" s="55">
        <f>IFERROR(VLOOKUP(A1491,[1]SIIMPLES!$A$2:$F$418,6,FALSE),0)</f>
        <v>0</v>
      </c>
      <c r="AR1491" s="55">
        <v>0</v>
      </c>
      <c r="AS1491" s="55">
        <v>0</v>
      </c>
      <c r="AT1491" s="55">
        <v>0</v>
      </c>
      <c r="AU1491" s="55">
        <v>0</v>
      </c>
      <c r="AV1491" s="55">
        <v>0</v>
      </c>
      <c r="AW1491" s="57"/>
      <c r="AX1491" s="57"/>
      <c r="AY1491" s="56">
        <f t="shared" si="483"/>
        <v>1</v>
      </c>
      <c r="AZ1491" s="57"/>
      <c r="BA1491" s="57"/>
    </row>
    <row r="1492" spans="1:53" ht="12.75" customHeight="1" x14ac:dyDescent="0.2">
      <c r="A1492" s="68" t="s">
        <v>1956</v>
      </c>
      <c r="B1492" s="51"/>
      <c r="C1492" s="66" t="str">
        <f>VLOOKUP(A1492,[2]CMV!$A$1:$B$2115,2,FALSE)</f>
        <v>MOTO PEÇAS</v>
      </c>
      <c r="D1492" s="52" t="str">
        <f>VLOOKUP(A1492,[2]CMV!$A$1:$C$2115,3,FALSE)</f>
        <v>Cabo Acelerador Moto</v>
      </c>
      <c r="E1492" s="52" t="str">
        <f>VLOOKUP(A1492,[2]CMV!$A$1:$E$2115,5,FALSE)</f>
        <v>POLO</v>
      </c>
      <c r="F1492" s="53"/>
      <c r="G1492" s="67" t="str">
        <f>VLOOKUP(A1492,[2]CMV!$A$1:$F$2115,6,FALSE)</f>
        <v>CABO ACELERADOR HONDA CB 300 R 6 PC</v>
      </c>
      <c r="H1492" s="57"/>
      <c r="I1492" s="57"/>
      <c r="J1492" s="57"/>
      <c r="K1492" s="57"/>
      <c r="L1492" s="57"/>
      <c r="M1492" s="57"/>
      <c r="N1492" s="57"/>
      <c r="O1492" s="57"/>
      <c r="P1492" s="57"/>
      <c r="Q1492" s="57"/>
      <c r="R1492" s="57"/>
      <c r="S1492" s="57"/>
      <c r="T1492" s="57"/>
      <c r="U1492" s="57"/>
      <c r="V1492" s="57"/>
      <c r="W1492" s="57"/>
      <c r="X1492" s="57"/>
      <c r="Y1492" s="57"/>
      <c r="Z1492" s="57"/>
      <c r="AA1492" s="57"/>
      <c r="AB1492" s="57"/>
      <c r="AC1492" s="57"/>
      <c r="AD1492" s="55">
        <f t="shared" si="482"/>
        <v>1</v>
      </c>
      <c r="AE1492" s="57"/>
      <c r="AF1492" s="57"/>
      <c r="AG1492" s="55">
        <v>1</v>
      </c>
      <c r="AH1492" s="55">
        <f t="shared" si="484"/>
        <v>2</v>
      </c>
      <c r="AI1492" s="55">
        <v>0</v>
      </c>
      <c r="AJ1492" s="55">
        <v>0</v>
      </c>
      <c r="AK1492" s="55">
        <v>2</v>
      </c>
      <c r="AL1492" s="55">
        <f t="shared" si="485"/>
        <v>2</v>
      </c>
      <c r="AM1492" s="55" t="s">
        <v>1912</v>
      </c>
      <c r="AN1492" s="55">
        <v>0</v>
      </c>
      <c r="AO1492" s="55">
        <v>2</v>
      </c>
      <c r="AP1492" s="55">
        <f t="shared" si="481"/>
        <v>0</v>
      </c>
      <c r="AQ1492" s="55">
        <f>IFERROR(VLOOKUP(A1492,[1]SIIMPLES!$A$2:$F$418,6,FALSE),0)</f>
        <v>0</v>
      </c>
      <c r="AR1492" s="55">
        <v>0</v>
      </c>
      <c r="AS1492" s="55">
        <v>0</v>
      </c>
      <c r="AT1492" s="55">
        <v>0</v>
      </c>
      <c r="AU1492" s="55">
        <v>0</v>
      </c>
      <c r="AV1492" s="55">
        <v>0</v>
      </c>
      <c r="AW1492" s="57"/>
      <c r="AX1492" s="57"/>
      <c r="AY1492" s="56">
        <f t="shared" si="483"/>
        <v>1</v>
      </c>
      <c r="AZ1492" s="57"/>
      <c r="BA1492" s="57"/>
    </row>
    <row r="1493" spans="1:53" ht="12.75" customHeight="1" x14ac:dyDescent="0.2">
      <c r="A1493" s="68" t="s">
        <v>1949</v>
      </c>
      <c r="B1493" s="51"/>
      <c r="C1493" s="66" t="str">
        <f>VLOOKUP(A1493,[2]CMV!$A$1:$B$2115,2,FALSE)</f>
        <v>MOTO PEÇAS</v>
      </c>
      <c r="D1493" s="52" t="str">
        <f>VLOOKUP(A1493,[2]CMV!$A$1:$C$2115,3,FALSE)</f>
        <v>Cabo Acelerador Moto</v>
      </c>
      <c r="E1493" s="52" t="str">
        <f>VLOOKUP(A1493,[2]CMV!$A$1:$E$2115,5,FALSE)</f>
        <v>POLO</v>
      </c>
      <c r="F1493" s="53"/>
      <c r="G1493" s="67" t="str">
        <f>VLOOKUP(A1493,[2]CMV!$A$1:$F$2115,6,FALSE)</f>
        <v>CABO ACELERADOR HONDA BIZ 125 09&gt;10</v>
      </c>
      <c r="H1493" s="57"/>
      <c r="I1493" s="57"/>
      <c r="J1493" s="57"/>
      <c r="K1493" s="57"/>
      <c r="L1493" s="57"/>
      <c r="M1493" s="57"/>
      <c r="N1493" s="57"/>
      <c r="O1493" s="57"/>
      <c r="P1493" s="57"/>
      <c r="Q1493" s="57"/>
      <c r="R1493" s="57"/>
      <c r="S1493" s="57"/>
      <c r="T1493" s="57"/>
      <c r="U1493" s="57"/>
      <c r="V1493" s="57"/>
      <c r="W1493" s="57"/>
      <c r="X1493" s="57"/>
      <c r="Y1493" s="57"/>
      <c r="Z1493" s="57"/>
      <c r="AA1493" s="57"/>
      <c r="AB1493" s="57"/>
      <c r="AC1493" s="57"/>
      <c r="AD1493" s="55">
        <f t="shared" si="482"/>
        <v>2</v>
      </c>
      <c r="AE1493" s="57"/>
      <c r="AF1493" s="57"/>
      <c r="AG1493" s="55">
        <v>2</v>
      </c>
      <c r="AH1493" s="55">
        <f t="shared" si="484"/>
        <v>0</v>
      </c>
      <c r="AI1493" s="55">
        <v>0</v>
      </c>
      <c r="AJ1493" s="55">
        <v>0</v>
      </c>
      <c r="AK1493" s="55">
        <v>0</v>
      </c>
      <c r="AL1493" s="55">
        <f t="shared" si="485"/>
        <v>0</v>
      </c>
      <c r="AM1493" s="55" t="s">
        <v>1912</v>
      </c>
      <c r="AN1493" s="55">
        <v>0</v>
      </c>
      <c r="AO1493" s="55">
        <v>0</v>
      </c>
      <c r="AP1493" s="55">
        <f t="shared" si="481"/>
        <v>0</v>
      </c>
      <c r="AQ1493" s="55">
        <f>IFERROR(VLOOKUP(A1493,[1]SIIMPLES!$A$2:$F$418,6,FALSE),0)</f>
        <v>0</v>
      </c>
      <c r="AR1493" s="55">
        <v>0</v>
      </c>
      <c r="AS1493" s="55">
        <v>0</v>
      </c>
      <c r="AT1493" s="55">
        <v>0</v>
      </c>
      <c r="AU1493" s="55">
        <v>0</v>
      </c>
      <c r="AV1493" s="55">
        <v>0</v>
      </c>
      <c r="AW1493" s="57"/>
      <c r="AX1493" s="57"/>
      <c r="AY1493" s="56">
        <f t="shared" si="483"/>
        <v>0.4</v>
      </c>
      <c r="AZ1493" s="57"/>
      <c r="BA1493" s="57"/>
    </row>
    <row r="1494" spans="1:53" ht="12.75" customHeight="1" x14ac:dyDescent="0.2">
      <c r="A1494" s="68" t="s">
        <v>1957</v>
      </c>
      <c r="B1494" s="51"/>
      <c r="C1494" s="66" t="str">
        <f>VLOOKUP(A1494,[2]CMV!$A$1:$B$2115,2,FALSE)</f>
        <v>MOTO PEÇAS</v>
      </c>
      <c r="D1494" s="52" t="str">
        <f>VLOOKUP(A1494,[2]CMV!$A$1:$C$2115,3,FALSE)</f>
        <v>Cabo Acelerador Moto</v>
      </c>
      <c r="E1494" s="52" t="str">
        <f>VLOOKUP(A1494,[2]CMV!$A$1:$E$2115,5,FALSE)</f>
        <v>POLO</v>
      </c>
      <c r="F1494" s="53"/>
      <c r="G1494" s="67" t="str">
        <f>VLOOKUP(A1494,[2]CMV!$A$1:$F$2115,6,FALSE)</f>
        <v>CABO ACELERADOR HONDA BIZ 125 11&gt;13</v>
      </c>
      <c r="H1494" s="57"/>
      <c r="I1494" s="57"/>
      <c r="J1494" s="57"/>
      <c r="K1494" s="57"/>
      <c r="L1494" s="57"/>
      <c r="M1494" s="57"/>
      <c r="N1494" s="57"/>
      <c r="O1494" s="57"/>
      <c r="P1494" s="57"/>
      <c r="Q1494" s="57"/>
      <c r="R1494" s="57"/>
      <c r="S1494" s="57"/>
      <c r="T1494" s="57"/>
      <c r="U1494" s="57"/>
      <c r="V1494" s="57"/>
      <c r="W1494" s="57"/>
      <c r="X1494" s="57"/>
      <c r="Y1494" s="57"/>
      <c r="Z1494" s="57"/>
      <c r="AA1494" s="57"/>
      <c r="AB1494" s="57"/>
      <c r="AC1494" s="57"/>
      <c r="AD1494" s="55">
        <f t="shared" si="482"/>
        <v>1</v>
      </c>
      <c r="AE1494" s="57"/>
      <c r="AF1494" s="57"/>
      <c r="AG1494" s="55">
        <v>1</v>
      </c>
      <c r="AH1494" s="55">
        <f t="shared" si="484"/>
        <v>0</v>
      </c>
      <c r="AI1494" s="55">
        <v>0</v>
      </c>
      <c r="AJ1494" s="55">
        <v>0</v>
      </c>
      <c r="AK1494" s="55">
        <v>0</v>
      </c>
      <c r="AL1494" s="55">
        <f t="shared" si="485"/>
        <v>0</v>
      </c>
      <c r="AM1494" s="55" t="s">
        <v>1912</v>
      </c>
      <c r="AN1494" s="55">
        <v>0</v>
      </c>
      <c r="AO1494" s="55">
        <v>0</v>
      </c>
      <c r="AP1494" s="55">
        <f t="shared" si="481"/>
        <v>0</v>
      </c>
      <c r="AQ1494" s="55">
        <f>IFERROR(VLOOKUP(A1494,[1]SIIMPLES!$A$2:$F$418,6,FALSE),0)</f>
        <v>0</v>
      </c>
      <c r="AR1494" s="55">
        <v>0</v>
      </c>
      <c r="AS1494" s="55">
        <v>0</v>
      </c>
      <c r="AT1494" s="55">
        <v>0</v>
      </c>
      <c r="AU1494" s="55">
        <v>0</v>
      </c>
      <c r="AV1494" s="55">
        <v>0</v>
      </c>
      <c r="AW1494" s="57"/>
      <c r="AX1494" s="57"/>
      <c r="AY1494" s="56">
        <f t="shared" si="483"/>
        <v>0.2</v>
      </c>
      <c r="AZ1494" s="57"/>
      <c r="BA1494" s="57"/>
    </row>
    <row r="1495" spans="1:53" ht="12.75" customHeight="1" x14ac:dyDescent="0.2">
      <c r="A1495" s="68" t="s">
        <v>1963</v>
      </c>
      <c r="B1495" s="51"/>
      <c r="C1495" s="66" t="str">
        <f>VLOOKUP(A1495,[2]CMV!$A$1:$B$2115,2,FALSE)</f>
        <v>MOTO PEÇAS</v>
      </c>
      <c r="D1495" s="52" t="str">
        <f>VLOOKUP(A1495,[2]CMV!$A$1:$C$2115,3,FALSE)</f>
        <v>Cabo Acelerador Moto</v>
      </c>
      <c r="E1495" s="52" t="str">
        <f>VLOOKUP(A1495,[2]CMV!$A$1:$E$2115,5,FALSE)</f>
        <v>POLO</v>
      </c>
      <c r="F1495" s="53"/>
      <c r="G1495" s="67" t="str">
        <f>VLOOKUP(A1495,[2]CMV!$A$1:$F$2115,6,FALSE)</f>
        <v>CABO ACELERADOR HONDA POP 110 16&gt;</v>
      </c>
      <c r="H1495" s="57"/>
      <c r="I1495" s="57"/>
      <c r="J1495" s="57"/>
      <c r="K1495" s="57"/>
      <c r="L1495" s="57"/>
      <c r="M1495" s="57"/>
      <c r="N1495" s="57"/>
      <c r="O1495" s="57"/>
      <c r="P1495" s="57"/>
      <c r="Q1495" s="57"/>
      <c r="R1495" s="57"/>
      <c r="S1495" s="57"/>
      <c r="T1495" s="57"/>
      <c r="U1495" s="57"/>
      <c r="V1495" s="57"/>
      <c r="W1495" s="57"/>
      <c r="X1495" s="57"/>
      <c r="Y1495" s="57"/>
      <c r="Z1495" s="57"/>
      <c r="AA1495" s="57"/>
      <c r="AB1495" s="57"/>
      <c r="AC1495" s="57"/>
      <c r="AD1495" s="55">
        <f t="shared" si="482"/>
        <v>1</v>
      </c>
      <c r="AE1495" s="57"/>
      <c r="AF1495" s="57"/>
      <c r="AG1495" s="55">
        <v>1</v>
      </c>
      <c r="AH1495" s="55">
        <f t="shared" si="484"/>
        <v>0</v>
      </c>
      <c r="AI1495" s="55">
        <v>0</v>
      </c>
      <c r="AJ1495" s="55">
        <v>0</v>
      </c>
      <c r="AK1495" s="55">
        <v>0</v>
      </c>
      <c r="AL1495" s="55">
        <f t="shared" si="485"/>
        <v>0</v>
      </c>
      <c r="AM1495" s="55" t="s">
        <v>1912</v>
      </c>
      <c r="AN1495" s="55">
        <v>0</v>
      </c>
      <c r="AO1495" s="55">
        <v>0</v>
      </c>
      <c r="AP1495" s="55">
        <f t="shared" si="481"/>
        <v>0</v>
      </c>
      <c r="AQ1495" s="55">
        <f>IFERROR(VLOOKUP(A1495,[1]SIIMPLES!$A$2:$F$418,6,FALSE),0)</f>
        <v>0</v>
      </c>
      <c r="AR1495" s="55">
        <v>0</v>
      </c>
      <c r="AS1495" s="55">
        <v>0</v>
      </c>
      <c r="AT1495" s="55">
        <v>0</v>
      </c>
      <c r="AU1495" s="55">
        <v>0</v>
      </c>
      <c r="AV1495" s="55">
        <v>0</v>
      </c>
      <c r="AW1495" s="57"/>
      <c r="AX1495" s="57"/>
      <c r="AY1495" s="56">
        <f t="shared" si="483"/>
        <v>0.2</v>
      </c>
      <c r="AZ1495" s="57"/>
      <c r="BA1495" s="57"/>
    </row>
    <row r="1496" spans="1:53" ht="12.75" customHeight="1" x14ac:dyDescent="0.2">
      <c r="A1496" s="68" t="s">
        <v>1422</v>
      </c>
      <c r="B1496" s="51"/>
      <c r="C1496" s="66" t="s">
        <v>1851</v>
      </c>
      <c r="D1496" s="52" t="s">
        <v>1273</v>
      </c>
      <c r="E1496" s="52" t="s">
        <v>741</v>
      </c>
      <c r="F1496" s="53">
        <f>IFERROR(VLOOKUP(E1496,Fornecedores!$A$2:$B$2700,2,FALSE),"")</f>
        <v>7</v>
      </c>
      <c r="G1496" s="52" t="str">
        <f>VLOOKUP(A1496,[2]CMV!$A$1:$F$2043,6,FALSE)</f>
        <v>CABO DA EMBREAGEM PARA MOTO YAHAMA YBR 125 E ED K</v>
      </c>
      <c r="H1496" s="57"/>
      <c r="I1496" s="55">
        <f>SUM(J1496:M1496)</f>
        <v>0</v>
      </c>
      <c r="J1496" s="55">
        <v>0</v>
      </c>
      <c r="K1496" s="55">
        <v>0</v>
      </c>
      <c r="L1496" s="55">
        <v>0</v>
      </c>
      <c r="M1496" s="55">
        <v>0</v>
      </c>
      <c r="N1496" s="55">
        <f>SUM(O1496:Q1496)</f>
        <v>0</v>
      </c>
      <c r="O1496" s="55">
        <v>0</v>
      </c>
      <c r="P1496" s="55">
        <v>0</v>
      </c>
      <c r="Q1496" s="55">
        <v>0</v>
      </c>
      <c r="R1496" s="55">
        <f>SUM(S1496:U1496)</f>
        <v>0</v>
      </c>
      <c r="S1496" s="55">
        <v>0</v>
      </c>
      <c r="T1496" s="55">
        <v>0</v>
      </c>
      <c r="U1496" s="55">
        <v>0</v>
      </c>
      <c r="V1496" s="55">
        <v>0</v>
      </c>
      <c r="W1496" s="53">
        <v>0</v>
      </c>
      <c r="X1496" s="53">
        <v>0</v>
      </c>
      <c r="Y1496" s="55">
        <v>0</v>
      </c>
      <c r="Z1496" s="55">
        <v>2</v>
      </c>
      <c r="AA1496" s="53">
        <v>0</v>
      </c>
      <c r="AB1496" s="53">
        <v>0</v>
      </c>
      <c r="AC1496" s="55">
        <v>2</v>
      </c>
      <c r="AD1496" s="55">
        <f t="shared" si="482"/>
        <v>2</v>
      </c>
      <c r="AE1496" s="53">
        <v>0</v>
      </c>
      <c r="AF1496" s="55">
        <v>0</v>
      </c>
      <c r="AG1496" s="55">
        <v>2</v>
      </c>
      <c r="AH1496" s="55">
        <f t="shared" si="484"/>
        <v>0</v>
      </c>
      <c r="AI1496" s="55">
        <v>0</v>
      </c>
      <c r="AJ1496" s="55">
        <v>0</v>
      </c>
      <c r="AK1496" s="55">
        <v>0</v>
      </c>
      <c r="AL1496" s="55">
        <f t="shared" si="485"/>
        <v>0</v>
      </c>
      <c r="AM1496" s="55" t="s">
        <v>1912</v>
      </c>
      <c r="AN1496" s="55">
        <v>0</v>
      </c>
      <c r="AO1496" s="55">
        <v>0</v>
      </c>
      <c r="AP1496" s="55">
        <f t="shared" si="481"/>
        <v>0</v>
      </c>
      <c r="AQ1496" s="55">
        <f>IFERROR(VLOOKUP(A1496,[1]SIIMPLES!$A$2:$F$418,6,FALSE),0)</f>
        <v>0</v>
      </c>
      <c r="AR1496" s="55">
        <v>0</v>
      </c>
      <c r="AS1496" s="55">
        <v>2</v>
      </c>
      <c r="AT1496" s="55">
        <v>0</v>
      </c>
      <c r="AU1496" s="55">
        <v>0</v>
      </c>
      <c r="AV1496" s="55">
        <v>2</v>
      </c>
      <c r="AW1496" s="57"/>
      <c r="AX1496" s="55"/>
      <c r="AY1496" s="56">
        <f t="shared" si="483"/>
        <v>0.6</v>
      </c>
      <c r="AZ1496" s="55"/>
      <c r="BA1496" s="56">
        <v>0</v>
      </c>
    </row>
    <row r="1497" spans="1:53" x14ac:dyDescent="0.2">
      <c r="A1497" s="51" t="s">
        <v>1792</v>
      </c>
      <c r="B1497" s="51"/>
      <c r="C1497" s="66" t="s">
        <v>1851</v>
      </c>
      <c r="D1497" s="52" t="s">
        <v>1273</v>
      </c>
      <c r="E1497" s="52" t="str">
        <f>VLOOKUP(A1497,[3]CMV!$A$1:$E$1988,5,FALSE)</f>
        <v>POLO</v>
      </c>
      <c r="F1497" s="53"/>
      <c r="G1497" s="52" t="str">
        <f>VLOOKUP(A1497,[2]CMV!$A$1:$F$2043,6,FALSE)</f>
        <v>CABO DA EMBREAGEM PARA MOTO YAHAMA YBR 125 FACTOR</v>
      </c>
      <c r="H1497" s="57"/>
      <c r="I1497" s="55">
        <f>SUM(J1497:M1497)</f>
        <v>0</v>
      </c>
      <c r="J1497" s="55">
        <v>0</v>
      </c>
      <c r="K1497" s="55">
        <v>0</v>
      </c>
      <c r="L1497" s="55">
        <v>0</v>
      </c>
      <c r="M1497" s="55">
        <v>0</v>
      </c>
      <c r="N1497" s="55">
        <f>SUM(O1497:Q1497)</f>
        <v>0</v>
      </c>
      <c r="O1497" s="57"/>
      <c r="P1497" s="57"/>
      <c r="Q1497" s="57"/>
      <c r="R1497" s="55">
        <f>SUM(S1497:U1497)</f>
        <v>0</v>
      </c>
      <c r="S1497" s="57"/>
      <c r="T1497" s="57"/>
      <c r="U1497" s="57"/>
      <c r="V1497" s="55">
        <v>6</v>
      </c>
      <c r="W1497" s="57"/>
      <c r="X1497" s="53">
        <v>0</v>
      </c>
      <c r="Y1497" s="55">
        <v>6</v>
      </c>
      <c r="Z1497" s="55">
        <v>0</v>
      </c>
      <c r="AA1497" s="53">
        <v>0</v>
      </c>
      <c r="AB1497" s="53">
        <v>0</v>
      </c>
      <c r="AC1497" s="55">
        <v>0</v>
      </c>
      <c r="AD1497" s="55">
        <f t="shared" si="482"/>
        <v>0</v>
      </c>
      <c r="AE1497" s="53">
        <v>0</v>
      </c>
      <c r="AF1497" s="55">
        <v>0</v>
      </c>
      <c r="AG1497" s="55">
        <v>0</v>
      </c>
      <c r="AH1497" s="55">
        <f t="shared" si="484"/>
        <v>0</v>
      </c>
      <c r="AI1497" s="55">
        <v>0</v>
      </c>
      <c r="AJ1497" s="55">
        <v>0</v>
      </c>
      <c r="AK1497" s="55">
        <v>0</v>
      </c>
      <c r="AL1497" s="55">
        <f t="shared" si="485"/>
        <v>0</v>
      </c>
      <c r="AM1497" s="55" t="s">
        <v>1912</v>
      </c>
      <c r="AN1497" s="55">
        <v>0</v>
      </c>
      <c r="AO1497" s="55">
        <v>0</v>
      </c>
      <c r="AP1497" s="55">
        <f t="shared" si="481"/>
        <v>0</v>
      </c>
      <c r="AQ1497" s="55">
        <f>IFERROR(VLOOKUP(A1497,[1]SIIMPLES!$A$2:$F$418,6,FALSE),0)</f>
        <v>0</v>
      </c>
      <c r="AR1497" s="55">
        <v>0</v>
      </c>
      <c r="AS1497" s="55">
        <v>2</v>
      </c>
      <c r="AT1497" s="55">
        <v>0</v>
      </c>
      <c r="AU1497" s="55">
        <v>0</v>
      </c>
      <c r="AV1497" s="55">
        <v>2</v>
      </c>
      <c r="AW1497" s="57"/>
      <c r="AX1497" s="57"/>
      <c r="AY1497" s="56">
        <f t="shared" si="483"/>
        <v>0.8</v>
      </c>
      <c r="AZ1497" s="57"/>
      <c r="BA1497" s="56" t="s">
        <v>1912</v>
      </c>
    </row>
    <row r="1498" spans="1:53" ht="12.75" customHeight="1" x14ac:dyDescent="0.2">
      <c r="A1498" s="68" t="s">
        <v>1879</v>
      </c>
      <c r="B1498" s="51"/>
      <c r="C1498" s="66" t="s">
        <v>1851</v>
      </c>
      <c r="D1498" s="52" t="s">
        <v>1273</v>
      </c>
      <c r="E1498" s="52" t="str">
        <f>VLOOKUP(A1498,[2]CMV!$A$1:$E$2043,5,FALSE)</f>
        <v>POLO</v>
      </c>
      <c r="F1498" s="53"/>
      <c r="G1498" s="52" t="str">
        <f>VLOOKUP(A1498,[2]CMV!$A$1:$F$2043,6,FALSE)</f>
        <v>CABO DA EMBREAGEM PARA MOTO CG 125 TITAN 1990 A 1999</v>
      </c>
      <c r="H1498" s="57"/>
      <c r="I1498" s="57" t="s">
        <v>1075</v>
      </c>
      <c r="J1498" s="57"/>
      <c r="K1498" s="57"/>
      <c r="L1498" s="57"/>
      <c r="M1498" s="57"/>
      <c r="N1498" s="57"/>
      <c r="O1498" s="57"/>
      <c r="P1498" s="57"/>
      <c r="Q1498" s="57"/>
      <c r="R1498" s="57"/>
      <c r="S1498" s="57"/>
      <c r="T1498" s="57"/>
      <c r="U1498" s="57"/>
      <c r="V1498" s="57"/>
      <c r="W1498" s="57"/>
      <c r="X1498" s="53">
        <v>0</v>
      </c>
      <c r="Y1498" s="57"/>
      <c r="Z1498" s="55">
        <v>1</v>
      </c>
      <c r="AA1498" s="57"/>
      <c r="AB1498" s="57"/>
      <c r="AC1498" s="55">
        <v>1</v>
      </c>
      <c r="AD1498" s="55">
        <f t="shared" si="482"/>
        <v>0</v>
      </c>
      <c r="AE1498" s="53">
        <v>0</v>
      </c>
      <c r="AF1498" s="55">
        <v>0</v>
      </c>
      <c r="AG1498" s="55">
        <v>0</v>
      </c>
      <c r="AH1498" s="55">
        <f t="shared" si="484"/>
        <v>0</v>
      </c>
      <c r="AI1498" s="55">
        <v>0</v>
      </c>
      <c r="AJ1498" s="55">
        <v>0</v>
      </c>
      <c r="AK1498" s="55">
        <v>0</v>
      </c>
      <c r="AL1498" s="55">
        <f t="shared" si="485"/>
        <v>0</v>
      </c>
      <c r="AM1498" s="55" t="s">
        <v>1912</v>
      </c>
      <c r="AN1498" s="55">
        <v>0</v>
      </c>
      <c r="AO1498" s="55">
        <v>0</v>
      </c>
      <c r="AP1498" s="55">
        <f t="shared" si="481"/>
        <v>0</v>
      </c>
      <c r="AQ1498" s="55">
        <f>IFERROR(VLOOKUP(A1498,[1]SIIMPLES!$A$2:$F$418,6,FALSE),0)</f>
        <v>0</v>
      </c>
      <c r="AR1498" s="55">
        <v>0</v>
      </c>
      <c r="AS1498" s="55">
        <v>0</v>
      </c>
      <c r="AT1498" s="55">
        <v>0</v>
      </c>
      <c r="AU1498" s="55">
        <v>0</v>
      </c>
      <c r="AV1498" s="55">
        <v>0</v>
      </c>
      <c r="AW1498" s="57"/>
      <c r="AX1498" s="57"/>
      <c r="AY1498" s="56">
        <f t="shared" si="483"/>
        <v>0.16666666666666666</v>
      </c>
      <c r="AZ1498" s="57"/>
      <c r="BA1498" s="57"/>
    </row>
    <row r="1499" spans="1:53" ht="12.75" customHeight="1" x14ac:dyDescent="0.2">
      <c r="A1499" s="68" t="s">
        <v>1426</v>
      </c>
      <c r="B1499" s="51"/>
      <c r="C1499" s="66" t="s">
        <v>1851</v>
      </c>
      <c r="D1499" s="52" t="s">
        <v>1273</v>
      </c>
      <c r="E1499" s="52" t="s">
        <v>741</v>
      </c>
      <c r="F1499" s="53">
        <f>IFERROR(VLOOKUP(E1499,Fornecedores!$A$2:$B$2700,2,FALSE),"")</f>
        <v>7</v>
      </c>
      <c r="G1499" s="52" t="str">
        <f>VLOOKUP(A1499,[2]CMV!$A$1:$F$2043,6,FALSE)</f>
        <v>CABO DA EMBREAGEM PARA MOTO HONDA CG 125 TITAN KS KSE</v>
      </c>
      <c r="H1499" s="57"/>
      <c r="I1499" s="55">
        <f>SUM(J1499:M1499)</f>
        <v>0</v>
      </c>
      <c r="J1499" s="55">
        <v>0</v>
      </c>
      <c r="K1499" s="55">
        <v>0</v>
      </c>
      <c r="L1499" s="55">
        <v>0</v>
      </c>
      <c r="M1499" s="55">
        <v>0</v>
      </c>
      <c r="N1499" s="55">
        <f>SUM(O1499:Q1499)</f>
        <v>0</v>
      </c>
      <c r="O1499" s="55">
        <v>0</v>
      </c>
      <c r="P1499" s="55">
        <v>0</v>
      </c>
      <c r="Q1499" s="55">
        <v>0</v>
      </c>
      <c r="R1499" s="55">
        <f>SUM(S1499:U1499)</f>
        <v>0</v>
      </c>
      <c r="S1499" s="55">
        <v>0</v>
      </c>
      <c r="T1499" s="55">
        <v>0</v>
      </c>
      <c r="U1499" s="55">
        <v>0</v>
      </c>
      <c r="V1499" s="55">
        <v>4</v>
      </c>
      <c r="W1499" s="53">
        <v>0</v>
      </c>
      <c r="X1499" s="53">
        <v>0</v>
      </c>
      <c r="Y1499" s="55">
        <v>4</v>
      </c>
      <c r="Z1499" s="55">
        <v>5</v>
      </c>
      <c r="AA1499" s="53">
        <v>0</v>
      </c>
      <c r="AB1499" s="53">
        <v>0</v>
      </c>
      <c r="AC1499" s="55">
        <v>5</v>
      </c>
      <c r="AD1499" s="55">
        <f t="shared" si="482"/>
        <v>3</v>
      </c>
      <c r="AE1499" s="53">
        <v>0</v>
      </c>
      <c r="AF1499" s="55">
        <v>0</v>
      </c>
      <c r="AG1499" s="55">
        <v>3</v>
      </c>
      <c r="AH1499" s="55">
        <f t="shared" si="484"/>
        <v>0</v>
      </c>
      <c r="AI1499" s="55">
        <v>0</v>
      </c>
      <c r="AJ1499" s="55">
        <v>0</v>
      </c>
      <c r="AK1499" s="55">
        <v>0</v>
      </c>
      <c r="AL1499" s="55">
        <f t="shared" si="485"/>
        <v>0</v>
      </c>
      <c r="AM1499" s="55" t="s">
        <v>1912</v>
      </c>
      <c r="AN1499" s="55">
        <v>0</v>
      </c>
      <c r="AO1499" s="55">
        <v>0</v>
      </c>
      <c r="AP1499" s="55">
        <f t="shared" si="481"/>
        <v>0</v>
      </c>
      <c r="AQ1499" s="55">
        <f>IFERROR(VLOOKUP(A1499,[1]SIIMPLES!$A$2:$F$418,6,FALSE),0)</f>
        <v>0</v>
      </c>
      <c r="AR1499" s="55">
        <v>0</v>
      </c>
      <c r="AS1499" s="55">
        <v>2</v>
      </c>
      <c r="AT1499" s="55">
        <v>0</v>
      </c>
      <c r="AU1499" s="55">
        <v>0</v>
      </c>
      <c r="AV1499" s="55">
        <v>2</v>
      </c>
      <c r="AW1499" s="57"/>
      <c r="AX1499" s="55"/>
      <c r="AY1499" s="56">
        <f t="shared" si="483"/>
        <v>1.4</v>
      </c>
      <c r="AZ1499" s="55"/>
      <c r="BA1499" s="56">
        <v>0</v>
      </c>
    </row>
    <row r="1500" spans="1:53" ht="12.75" customHeight="1" x14ac:dyDescent="0.2">
      <c r="A1500" s="68" t="s">
        <v>1877</v>
      </c>
      <c r="B1500" s="51"/>
      <c r="C1500" s="66" t="s">
        <v>1851</v>
      </c>
      <c r="D1500" s="52" t="s">
        <v>1273</v>
      </c>
      <c r="E1500" s="52" t="str">
        <f>VLOOKUP(A1500,[2]CMV!$A$1:$E$2043,5,FALSE)</f>
        <v>POLO</v>
      </c>
      <c r="F1500" s="53"/>
      <c r="G1500" s="52" t="str">
        <f>VLOOKUP(A1500,[2]CMV!$A$1:$F$2043,6,FALSE)</f>
        <v>CABO DA EMBREAGEM PARA MOTO CG160 FAN TITAN 2016 EM DIANTE</v>
      </c>
      <c r="H1500" s="57"/>
      <c r="I1500" s="57" t="s">
        <v>1075</v>
      </c>
      <c r="J1500" s="57"/>
      <c r="K1500" s="57"/>
      <c r="L1500" s="57"/>
      <c r="M1500" s="57"/>
      <c r="N1500" s="57"/>
      <c r="O1500" s="57"/>
      <c r="P1500" s="57"/>
      <c r="Q1500" s="57"/>
      <c r="R1500" s="57"/>
      <c r="S1500" s="57"/>
      <c r="T1500" s="57"/>
      <c r="U1500" s="57"/>
      <c r="V1500" s="57"/>
      <c r="W1500" s="57"/>
      <c r="X1500" s="53">
        <v>0</v>
      </c>
      <c r="Y1500" s="57"/>
      <c r="Z1500" s="55">
        <v>1</v>
      </c>
      <c r="AA1500" s="57"/>
      <c r="AB1500" s="57"/>
      <c r="AC1500" s="55">
        <v>1</v>
      </c>
      <c r="AD1500" s="55">
        <f t="shared" si="482"/>
        <v>0</v>
      </c>
      <c r="AE1500" s="53">
        <v>0</v>
      </c>
      <c r="AF1500" s="55">
        <v>0</v>
      </c>
      <c r="AG1500" s="55">
        <v>0</v>
      </c>
      <c r="AH1500" s="55">
        <f t="shared" si="484"/>
        <v>0</v>
      </c>
      <c r="AI1500" s="55">
        <v>0</v>
      </c>
      <c r="AJ1500" s="55">
        <v>0</v>
      </c>
      <c r="AK1500" s="55">
        <v>0</v>
      </c>
      <c r="AL1500" s="55">
        <f t="shared" si="485"/>
        <v>0</v>
      </c>
      <c r="AM1500" s="55" t="s">
        <v>1912</v>
      </c>
      <c r="AN1500" s="55">
        <v>0</v>
      </c>
      <c r="AO1500" s="55">
        <v>0</v>
      </c>
      <c r="AP1500" s="55">
        <f t="shared" si="481"/>
        <v>0</v>
      </c>
      <c r="AQ1500" s="55">
        <f>IFERROR(VLOOKUP(A1500,[1]SIIMPLES!$A$2:$F$418,6,FALSE),0)</f>
        <v>0</v>
      </c>
      <c r="AR1500" s="55">
        <v>0</v>
      </c>
      <c r="AS1500" s="55">
        <v>0</v>
      </c>
      <c r="AT1500" s="55">
        <v>0</v>
      </c>
      <c r="AU1500" s="55">
        <v>0</v>
      </c>
      <c r="AV1500" s="55">
        <v>0</v>
      </c>
      <c r="AW1500" s="57"/>
      <c r="AX1500" s="57"/>
      <c r="AY1500" s="56">
        <f t="shared" si="483"/>
        <v>0.16666666666666666</v>
      </c>
      <c r="AZ1500" s="57"/>
      <c r="BA1500" s="57"/>
    </row>
    <row r="1501" spans="1:53" ht="12.75" customHeight="1" x14ac:dyDescent="0.2">
      <c r="A1501" s="51" t="s">
        <v>1266</v>
      </c>
      <c r="B1501" s="51"/>
      <c r="C1501" s="66" t="s">
        <v>1851</v>
      </c>
      <c r="D1501" s="52" t="s">
        <v>1273</v>
      </c>
      <c r="E1501" s="52" t="s">
        <v>741</v>
      </c>
      <c r="F1501" s="53">
        <f>IFERROR(VLOOKUP(E1501,Fornecedores!$A$2:$B$2700,2,FALSE),"")</f>
        <v>7</v>
      </c>
      <c r="G1501" s="52" t="s">
        <v>1886</v>
      </c>
      <c r="H1501" s="57"/>
      <c r="I1501" s="55">
        <f t="shared" ref="I1501:I1507" si="486">SUM(J1501:M1501)</f>
        <v>0</v>
      </c>
      <c r="J1501" s="55">
        <v>0</v>
      </c>
      <c r="K1501" s="55">
        <v>0</v>
      </c>
      <c r="L1501" s="55">
        <v>0</v>
      </c>
      <c r="M1501" s="55">
        <v>0</v>
      </c>
      <c r="N1501" s="55">
        <f t="shared" ref="N1501:N1507" si="487">SUM(O1501:Q1501)</f>
        <v>0</v>
      </c>
      <c r="O1501" s="55">
        <v>0</v>
      </c>
      <c r="P1501" s="55">
        <v>0</v>
      </c>
      <c r="Q1501" s="55">
        <v>0</v>
      </c>
      <c r="R1501" s="55">
        <f t="shared" ref="R1501:R1507" si="488">SUM(S1501:U1501)</f>
        <v>4</v>
      </c>
      <c r="S1501" s="55">
        <v>0</v>
      </c>
      <c r="T1501" s="55">
        <v>0</v>
      </c>
      <c r="U1501" s="55">
        <v>4</v>
      </c>
      <c r="V1501" s="55">
        <v>0</v>
      </c>
      <c r="W1501" s="53">
        <v>0</v>
      </c>
      <c r="X1501" s="53">
        <v>0</v>
      </c>
      <c r="Y1501" s="55">
        <v>0</v>
      </c>
      <c r="Z1501" s="55">
        <v>0</v>
      </c>
      <c r="AA1501" s="53">
        <v>0</v>
      </c>
      <c r="AB1501" s="53">
        <v>0</v>
      </c>
      <c r="AC1501" s="55">
        <v>0</v>
      </c>
      <c r="AD1501" s="55">
        <f t="shared" si="482"/>
        <v>0</v>
      </c>
      <c r="AE1501" s="53">
        <v>0</v>
      </c>
      <c r="AF1501" s="55">
        <v>0</v>
      </c>
      <c r="AG1501" s="55">
        <v>0</v>
      </c>
      <c r="AH1501" s="55">
        <f t="shared" si="484"/>
        <v>0</v>
      </c>
      <c r="AI1501" s="55">
        <v>0</v>
      </c>
      <c r="AJ1501" s="55">
        <v>0</v>
      </c>
      <c r="AK1501" s="55">
        <v>0</v>
      </c>
      <c r="AL1501" s="55">
        <f t="shared" si="485"/>
        <v>0</v>
      </c>
      <c r="AM1501" s="55" t="s">
        <v>1912</v>
      </c>
      <c r="AN1501" s="55">
        <v>0</v>
      </c>
      <c r="AO1501" s="55">
        <v>0</v>
      </c>
      <c r="AP1501" s="55">
        <f t="shared" si="481"/>
        <v>0</v>
      </c>
      <c r="AQ1501" s="55">
        <f>IFERROR(VLOOKUP(A1501,[1]SIIMPLES!$A$2:$F$418,6,FALSE),0)</f>
        <v>0</v>
      </c>
      <c r="AR1501" s="55">
        <v>0</v>
      </c>
      <c r="AS1501" s="55">
        <v>5</v>
      </c>
      <c r="AT1501" s="55">
        <v>0</v>
      </c>
      <c r="AU1501" s="55">
        <v>0</v>
      </c>
      <c r="AV1501" s="55">
        <v>5</v>
      </c>
      <c r="AW1501" s="55"/>
      <c r="AX1501" s="55"/>
      <c r="AY1501" s="56">
        <f t="shared" si="483"/>
        <v>0.9</v>
      </c>
      <c r="AZ1501" s="55"/>
      <c r="BA1501" s="56">
        <v>0</v>
      </c>
    </row>
    <row r="1502" spans="1:53" ht="12.75" customHeight="1" x14ac:dyDescent="0.2">
      <c r="A1502" s="51" t="s">
        <v>1185</v>
      </c>
      <c r="B1502" s="51"/>
      <c r="C1502" s="66" t="s">
        <v>1851</v>
      </c>
      <c r="D1502" s="52" t="s">
        <v>1776</v>
      </c>
      <c r="E1502" s="52" t="s">
        <v>741</v>
      </c>
      <c r="F1502" s="53">
        <f>IFERROR(VLOOKUP(E1502,Fornecedores!$A$2:$B$2700,2,FALSE),"")</f>
        <v>7</v>
      </c>
      <c r="G1502" s="52" t="s">
        <v>1203</v>
      </c>
      <c r="H1502" s="54"/>
      <c r="I1502" s="55">
        <f t="shared" si="486"/>
        <v>0</v>
      </c>
      <c r="J1502" s="55">
        <v>0</v>
      </c>
      <c r="K1502" s="55">
        <v>0</v>
      </c>
      <c r="L1502" s="55">
        <v>0</v>
      </c>
      <c r="M1502" s="55">
        <v>0</v>
      </c>
      <c r="N1502" s="55">
        <f t="shared" si="487"/>
        <v>0</v>
      </c>
      <c r="O1502" s="55">
        <v>0</v>
      </c>
      <c r="P1502" s="55">
        <v>0</v>
      </c>
      <c r="Q1502" s="55">
        <v>0</v>
      </c>
      <c r="R1502" s="55">
        <f t="shared" si="488"/>
        <v>0</v>
      </c>
      <c r="S1502" s="55">
        <v>0</v>
      </c>
      <c r="T1502" s="55">
        <v>0</v>
      </c>
      <c r="U1502" s="55">
        <v>0</v>
      </c>
      <c r="V1502" s="55">
        <v>10</v>
      </c>
      <c r="W1502" s="53">
        <v>0</v>
      </c>
      <c r="X1502" s="53">
        <v>0</v>
      </c>
      <c r="Y1502" s="55">
        <v>10</v>
      </c>
      <c r="Z1502" s="55">
        <v>2</v>
      </c>
      <c r="AA1502" s="53">
        <v>0</v>
      </c>
      <c r="AB1502" s="53">
        <v>0</v>
      </c>
      <c r="AC1502" s="55">
        <v>2</v>
      </c>
      <c r="AD1502" s="55">
        <f t="shared" si="482"/>
        <v>0</v>
      </c>
      <c r="AE1502" s="53">
        <v>0</v>
      </c>
      <c r="AF1502" s="55">
        <v>0</v>
      </c>
      <c r="AG1502" s="55">
        <v>0</v>
      </c>
      <c r="AH1502" s="55">
        <f t="shared" si="484"/>
        <v>0</v>
      </c>
      <c r="AI1502" s="55">
        <v>0</v>
      </c>
      <c r="AJ1502" s="55">
        <v>0</v>
      </c>
      <c r="AK1502" s="55">
        <v>0</v>
      </c>
      <c r="AL1502" s="55">
        <f t="shared" si="485"/>
        <v>1</v>
      </c>
      <c r="AM1502" s="55">
        <v>1</v>
      </c>
      <c r="AN1502" s="55">
        <v>0</v>
      </c>
      <c r="AO1502" s="55">
        <v>0</v>
      </c>
      <c r="AP1502" s="55">
        <f t="shared" si="481"/>
        <v>0</v>
      </c>
      <c r="AQ1502" s="55">
        <f>IFERROR(VLOOKUP(A1502,[1]SIIMPLES!$A$2:$F$418,6,FALSE),0)</f>
        <v>0</v>
      </c>
      <c r="AR1502" s="55">
        <v>0</v>
      </c>
      <c r="AS1502" s="55">
        <v>0</v>
      </c>
      <c r="AT1502" s="55">
        <v>0</v>
      </c>
      <c r="AU1502" s="55">
        <v>0</v>
      </c>
      <c r="AV1502" s="55">
        <v>0</v>
      </c>
      <c r="AW1502" s="55"/>
      <c r="AX1502" s="55"/>
      <c r="AY1502" s="56">
        <f t="shared" si="483"/>
        <v>1.3</v>
      </c>
      <c r="AZ1502" s="55"/>
      <c r="BA1502" s="56">
        <v>3.3333333333333335</v>
      </c>
    </row>
    <row r="1503" spans="1:53" ht="12.75" customHeight="1" x14ac:dyDescent="0.2">
      <c r="A1503" s="51" t="s">
        <v>1186</v>
      </c>
      <c r="B1503" s="51"/>
      <c r="C1503" s="66" t="s">
        <v>1851</v>
      </c>
      <c r="D1503" s="52" t="s">
        <v>1776</v>
      </c>
      <c r="E1503" s="52" t="s">
        <v>741</v>
      </c>
      <c r="F1503" s="53">
        <f>IFERROR(VLOOKUP(E1503,Fornecedores!$A$2:$B$2700,2,FALSE),"")</f>
        <v>7</v>
      </c>
      <c r="G1503" s="52" t="s">
        <v>1204</v>
      </c>
      <c r="H1503" s="54"/>
      <c r="I1503" s="55">
        <f t="shared" si="486"/>
        <v>0</v>
      </c>
      <c r="J1503" s="55">
        <v>0</v>
      </c>
      <c r="K1503" s="55">
        <v>0</v>
      </c>
      <c r="L1503" s="55">
        <v>0</v>
      </c>
      <c r="M1503" s="55">
        <v>0</v>
      </c>
      <c r="N1503" s="55">
        <f t="shared" si="487"/>
        <v>0</v>
      </c>
      <c r="O1503" s="55">
        <v>0</v>
      </c>
      <c r="P1503" s="55">
        <v>0</v>
      </c>
      <c r="Q1503" s="55">
        <v>0</v>
      </c>
      <c r="R1503" s="55">
        <f t="shared" si="488"/>
        <v>0</v>
      </c>
      <c r="S1503" s="55">
        <v>0</v>
      </c>
      <c r="T1503" s="55">
        <v>0</v>
      </c>
      <c r="U1503" s="55">
        <v>0</v>
      </c>
      <c r="V1503" s="55">
        <v>0</v>
      </c>
      <c r="W1503" s="53">
        <v>0</v>
      </c>
      <c r="X1503" s="53">
        <v>0</v>
      </c>
      <c r="Y1503" s="55">
        <v>0</v>
      </c>
      <c r="Z1503" s="55">
        <v>2</v>
      </c>
      <c r="AA1503" s="53">
        <v>0</v>
      </c>
      <c r="AB1503" s="53">
        <v>0</v>
      </c>
      <c r="AC1503" s="55">
        <v>2</v>
      </c>
      <c r="AD1503" s="55">
        <f t="shared" si="482"/>
        <v>0</v>
      </c>
      <c r="AE1503" s="53">
        <v>0</v>
      </c>
      <c r="AF1503" s="55">
        <v>0</v>
      </c>
      <c r="AG1503" s="55">
        <v>0</v>
      </c>
      <c r="AH1503" s="55">
        <f t="shared" si="484"/>
        <v>0</v>
      </c>
      <c r="AI1503" s="55">
        <v>0</v>
      </c>
      <c r="AJ1503" s="55">
        <v>0</v>
      </c>
      <c r="AK1503" s="55">
        <v>0</v>
      </c>
      <c r="AL1503" s="55">
        <f t="shared" si="485"/>
        <v>0</v>
      </c>
      <c r="AM1503" s="55" t="s">
        <v>1912</v>
      </c>
      <c r="AN1503" s="55">
        <v>0</v>
      </c>
      <c r="AO1503" s="55">
        <v>0</v>
      </c>
      <c r="AP1503" s="55">
        <f t="shared" si="481"/>
        <v>0</v>
      </c>
      <c r="AQ1503" s="55">
        <f>IFERROR(VLOOKUP(A1503,[1]SIIMPLES!$A$2:$F$418,6,FALSE),0)</f>
        <v>0</v>
      </c>
      <c r="AR1503" s="55">
        <v>0</v>
      </c>
      <c r="AS1503" s="55">
        <v>0</v>
      </c>
      <c r="AT1503" s="55">
        <v>0</v>
      </c>
      <c r="AU1503" s="55">
        <v>0</v>
      </c>
      <c r="AV1503" s="55">
        <v>0</v>
      </c>
      <c r="AW1503" s="55"/>
      <c r="AX1503" s="55"/>
      <c r="AY1503" s="56">
        <f t="shared" si="483"/>
        <v>0.2</v>
      </c>
      <c r="AZ1503" s="55"/>
      <c r="BA1503" s="56">
        <v>1</v>
      </c>
    </row>
    <row r="1504" spans="1:53" ht="12.75" customHeight="1" x14ac:dyDescent="0.2">
      <c r="A1504" s="51" t="s">
        <v>1633</v>
      </c>
      <c r="B1504" s="51"/>
      <c r="C1504" s="66" t="s">
        <v>1851</v>
      </c>
      <c r="D1504" s="52" t="s">
        <v>1273</v>
      </c>
      <c r="E1504" s="52" t="s">
        <v>741</v>
      </c>
      <c r="F1504" s="53">
        <f>IFERROR(VLOOKUP(E1504,Fornecedores!$A$2:$B$2700,2,FALSE),"")</f>
        <v>7</v>
      </c>
      <c r="G1504" s="52" t="s">
        <v>1696</v>
      </c>
      <c r="H1504" s="57"/>
      <c r="I1504" s="55">
        <f t="shared" si="486"/>
        <v>0</v>
      </c>
      <c r="J1504" s="57"/>
      <c r="K1504" s="57"/>
      <c r="L1504" s="57"/>
      <c r="M1504" s="57"/>
      <c r="N1504" s="55">
        <f t="shared" si="487"/>
        <v>1</v>
      </c>
      <c r="O1504" s="55">
        <v>1</v>
      </c>
      <c r="P1504" s="57"/>
      <c r="Q1504" s="57"/>
      <c r="R1504" s="55">
        <f t="shared" si="488"/>
        <v>3</v>
      </c>
      <c r="S1504" s="55">
        <v>0</v>
      </c>
      <c r="T1504" s="55">
        <v>0</v>
      </c>
      <c r="U1504" s="55">
        <v>3</v>
      </c>
      <c r="V1504" s="55">
        <v>3</v>
      </c>
      <c r="W1504" s="53">
        <v>3</v>
      </c>
      <c r="X1504" s="53">
        <v>0</v>
      </c>
      <c r="Y1504" s="55">
        <v>0</v>
      </c>
      <c r="Z1504" s="55">
        <v>2</v>
      </c>
      <c r="AA1504" s="53">
        <v>0</v>
      </c>
      <c r="AB1504" s="53">
        <v>0</v>
      </c>
      <c r="AC1504" s="55">
        <v>2</v>
      </c>
      <c r="AD1504" s="55">
        <f t="shared" si="482"/>
        <v>0</v>
      </c>
      <c r="AE1504" s="53">
        <v>0</v>
      </c>
      <c r="AF1504" s="55">
        <v>0</v>
      </c>
      <c r="AG1504" s="55">
        <v>0</v>
      </c>
      <c r="AH1504" s="55">
        <f t="shared" si="484"/>
        <v>0</v>
      </c>
      <c r="AI1504" s="55">
        <v>0</v>
      </c>
      <c r="AJ1504" s="55">
        <v>0</v>
      </c>
      <c r="AK1504" s="55">
        <v>0</v>
      </c>
      <c r="AL1504" s="55">
        <f t="shared" si="485"/>
        <v>0</v>
      </c>
      <c r="AM1504" s="55" t="s">
        <v>1912</v>
      </c>
      <c r="AN1504" s="55">
        <v>0</v>
      </c>
      <c r="AO1504" s="55">
        <v>0</v>
      </c>
      <c r="AP1504" s="55">
        <f t="shared" si="481"/>
        <v>0</v>
      </c>
      <c r="AQ1504" s="55">
        <f>IFERROR(VLOOKUP(A1504,[1]SIIMPLES!$A$2:$F$418,6,FALSE),0)</f>
        <v>0</v>
      </c>
      <c r="AR1504" s="55">
        <v>0</v>
      </c>
      <c r="AS1504" s="55">
        <v>2</v>
      </c>
      <c r="AT1504" s="55">
        <v>0</v>
      </c>
      <c r="AU1504" s="55">
        <v>0</v>
      </c>
      <c r="AV1504" s="55">
        <v>2</v>
      </c>
      <c r="AW1504" s="57"/>
      <c r="AX1504" s="57"/>
      <c r="AY1504" s="56">
        <f t="shared" si="483"/>
        <v>1.1000000000000001</v>
      </c>
      <c r="AZ1504" s="57"/>
      <c r="BA1504" s="56" t="s">
        <v>1912</v>
      </c>
    </row>
    <row r="1505" spans="1:53" ht="12.75" customHeight="1" x14ac:dyDescent="0.2">
      <c r="A1505" s="51" t="s">
        <v>1187</v>
      </c>
      <c r="B1505" s="51"/>
      <c r="C1505" s="66" t="s">
        <v>1851</v>
      </c>
      <c r="D1505" s="52" t="s">
        <v>1776</v>
      </c>
      <c r="E1505" s="52" t="s">
        <v>741</v>
      </c>
      <c r="F1505" s="53">
        <f>IFERROR(VLOOKUP(E1505,Fornecedores!$A$2:$B$2700,2,FALSE),"")</f>
        <v>7</v>
      </c>
      <c r="G1505" s="52" t="s">
        <v>1205</v>
      </c>
      <c r="H1505" s="54"/>
      <c r="I1505" s="55">
        <f t="shared" si="486"/>
        <v>0</v>
      </c>
      <c r="J1505" s="55">
        <v>0</v>
      </c>
      <c r="K1505" s="55">
        <v>0</v>
      </c>
      <c r="L1505" s="55">
        <v>0</v>
      </c>
      <c r="M1505" s="55">
        <v>0</v>
      </c>
      <c r="N1505" s="55">
        <f t="shared" si="487"/>
        <v>0</v>
      </c>
      <c r="O1505" s="55">
        <v>0</v>
      </c>
      <c r="P1505" s="55">
        <v>0</v>
      </c>
      <c r="Q1505" s="55">
        <v>0</v>
      </c>
      <c r="R1505" s="55">
        <f t="shared" si="488"/>
        <v>0</v>
      </c>
      <c r="S1505" s="55">
        <v>0</v>
      </c>
      <c r="T1505" s="55">
        <v>0</v>
      </c>
      <c r="U1505" s="55">
        <v>0</v>
      </c>
      <c r="V1505" s="55">
        <v>0</v>
      </c>
      <c r="W1505" s="53">
        <v>0</v>
      </c>
      <c r="X1505" s="53">
        <v>0</v>
      </c>
      <c r="Y1505" s="55">
        <v>0</v>
      </c>
      <c r="Z1505" s="55">
        <v>0</v>
      </c>
      <c r="AA1505" s="53">
        <v>0</v>
      </c>
      <c r="AB1505" s="53">
        <v>0</v>
      </c>
      <c r="AC1505" s="55">
        <v>0</v>
      </c>
      <c r="AD1505" s="55">
        <f t="shared" si="482"/>
        <v>1</v>
      </c>
      <c r="AE1505" s="53">
        <v>0</v>
      </c>
      <c r="AF1505" s="55">
        <v>0</v>
      </c>
      <c r="AG1505" s="55">
        <v>1</v>
      </c>
      <c r="AH1505" s="55">
        <f t="shared" si="484"/>
        <v>0</v>
      </c>
      <c r="AI1505" s="55">
        <v>0</v>
      </c>
      <c r="AJ1505" s="55">
        <v>0</v>
      </c>
      <c r="AK1505" s="55">
        <v>0</v>
      </c>
      <c r="AL1505" s="55">
        <f t="shared" si="485"/>
        <v>0</v>
      </c>
      <c r="AM1505" s="55" t="s">
        <v>1912</v>
      </c>
      <c r="AN1505" s="55">
        <v>0</v>
      </c>
      <c r="AO1505" s="55">
        <v>0</v>
      </c>
      <c r="AP1505" s="55">
        <f t="shared" si="481"/>
        <v>0</v>
      </c>
      <c r="AQ1505" s="55">
        <f>IFERROR(VLOOKUP(A1505,[1]SIIMPLES!$A$2:$F$418,6,FALSE),0)</f>
        <v>0</v>
      </c>
      <c r="AR1505" s="55">
        <v>0</v>
      </c>
      <c r="AS1505" s="55">
        <v>0</v>
      </c>
      <c r="AT1505" s="55">
        <v>0</v>
      </c>
      <c r="AU1505" s="55">
        <v>0</v>
      </c>
      <c r="AV1505" s="55">
        <v>0</v>
      </c>
      <c r="AW1505" s="55"/>
      <c r="AX1505" s="55"/>
      <c r="AY1505" s="56">
        <f t="shared" si="483"/>
        <v>0.1</v>
      </c>
      <c r="AZ1505" s="55"/>
      <c r="BA1505" s="56">
        <v>1.6666666666666667</v>
      </c>
    </row>
    <row r="1506" spans="1:53" ht="12.75" customHeight="1" x14ac:dyDescent="0.2">
      <c r="A1506" s="51" t="s">
        <v>1801</v>
      </c>
      <c r="B1506" s="51"/>
      <c r="C1506" s="66" t="s">
        <v>1851</v>
      </c>
      <c r="D1506" s="52" t="s">
        <v>1273</v>
      </c>
      <c r="E1506" s="52" t="str">
        <f>VLOOKUP(A1506,[3]CMV!$A$1:$E$1988,5,FALSE)</f>
        <v>POLO</v>
      </c>
      <c r="F1506" s="53">
        <f>IFERROR(VLOOKUP(E1506,Fornecedores!$A$2:$B$2700,2,FALSE),"")</f>
        <v>7</v>
      </c>
      <c r="G1506" s="52" t="str">
        <f>VLOOKUP(A1506,[2]CMV!$A$1:$F$2043,6,FALSE)</f>
        <v>CABO DA EMBREAGEM PARA MOTO HONDA CBX250 TWISTER</v>
      </c>
      <c r="H1506" s="57"/>
      <c r="I1506" s="55">
        <f t="shared" si="486"/>
        <v>0</v>
      </c>
      <c r="J1506" s="55">
        <v>0</v>
      </c>
      <c r="K1506" s="55">
        <v>0</v>
      </c>
      <c r="L1506" s="55">
        <v>0</v>
      </c>
      <c r="M1506" s="55">
        <v>0</v>
      </c>
      <c r="N1506" s="55">
        <f t="shared" si="487"/>
        <v>0</v>
      </c>
      <c r="O1506" s="57"/>
      <c r="P1506" s="57"/>
      <c r="Q1506" s="57"/>
      <c r="R1506" s="55">
        <f t="shared" si="488"/>
        <v>0</v>
      </c>
      <c r="S1506" s="57"/>
      <c r="T1506" s="57"/>
      <c r="U1506" s="57"/>
      <c r="V1506" s="55">
        <v>1</v>
      </c>
      <c r="W1506" s="57" t="s">
        <v>1284</v>
      </c>
      <c r="X1506" s="53">
        <v>0</v>
      </c>
      <c r="Y1506" s="55">
        <v>1</v>
      </c>
      <c r="Z1506" s="55">
        <v>0</v>
      </c>
      <c r="AA1506" s="53">
        <v>0</v>
      </c>
      <c r="AB1506" s="53">
        <v>0</v>
      </c>
      <c r="AC1506" s="55">
        <v>0</v>
      </c>
      <c r="AD1506" s="55">
        <f t="shared" si="482"/>
        <v>2</v>
      </c>
      <c r="AE1506" s="53">
        <v>0</v>
      </c>
      <c r="AF1506" s="55">
        <v>0</v>
      </c>
      <c r="AG1506" s="55">
        <v>2</v>
      </c>
      <c r="AH1506" s="55">
        <f t="shared" si="484"/>
        <v>0</v>
      </c>
      <c r="AI1506" s="55">
        <v>0</v>
      </c>
      <c r="AJ1506" s="55">
        <v>0</v>
      </c>
      <c r="AK1506" s="55">
        <v>0</v>
      </c>
      <c r="AL1506" s="55">
        <f t="shared" si="485"/>
        <v>0</v>
      </c>
      <c r="AM1506" s="55" t="s">
        <v>1912</v>
      </c>
      <c r="AN1506" s="55">
        <v>0</v>
      </c>
      <c r="AO1506" s="55">
        <v>0</v>
      </c>
      <c r="AP1506" s="55">
        <f t="shared" si="481"/>
        <v>0</v>
      </c>
      <c r="AQ1506" s="55">
        <f>IFERROR(VLOOKUP(A1506,[1]SIIMPLES!$A$2:$F$418,6,FALSE),0)</f>
        <v>0</v>
      </c>
      <c r="AR1506" s="55">
        <v>0</v>
      </c>
      <c r="AS1506" s="55">
        <v>0</v>
      </c>
      <c r="AT1506" s="55">
        <v>0</v>
      </c>
      <c r="AU1506" s="55">
        <v>0</v>
      </c>
      <c r="AV1506" s="55">
        <v>0</v>
      </c>
      <c r="AW1506" s="57"/>
      <c r="AX1506" s="57"/>
      <c r="AY1506" s="56">
        <f t="shared" si="483"/>
        <v>0.3</v>
      </c>
      <c r="AZ1506" s="57"/>
      <c r="BA1506" s="56" t="s">
        <v>1912</v>
      </c>
    </row>
    <row r="1507" spans="1:53" ht="12.75" customHeight="1" x14ac:dyDescent="0.2">
      <c r="A1507" s="51" t="s">
        <v>1189</v>
      </c>
      <c r="B1507" s="51"/>
      <c r="C1507" s="66" t="s">
        <v>1851</v>
      </c>
      <c r="D1507" s="52" t="s">
        <v>1273</v>
      </c>
      <c r="E1507" s="52" t="str">
        <f>VLOOKUP(A1507,[3]CMV!$A$1:$E$1988,5,FALSE)</f>
        <v>POLO</v>
      </c>
      <c r="F1507" s="53">
        <f>IFERROR(VLOOKUP(E1507,Fornecedores!$A$2:$B$2700,2,FALSE),"")</f>
        <v>7</v>
      </c>
      <c r="G1507" s="52" t="s">
        <v>1207</v>
      </c>
      <c r="H1507" s="57"/>
      <c r="I1507" s="55">
        <f t="shared" si="486"/>
        <v>0</v>
      </c>
      <c r="J1507" s="55">
        <v>0</v>
      </c>
      <c r="K1507" s="55">
        <v>0</v>
      </c>
      <c r="L1507" s="55">
        <v>0</v>
      </c>
      <c r="M1507" s="55">
        <v>0</v>
      </c>
      <c r="N1507" s="55">
        <f t="shared" si="487"/>
        <v>0</v>
      </c>
      <c r="O1507" s="55"/>
      <c r="P1507" s="55"/>
      <c r="Q1507" s="55"/>
      <c r="R1507" s="55">
        <f t="shared" si="488"/>
        <v>0</v>
      </c>
      <c r="S1507" s="55"/>
      <c r="T1507" s="55"/>
      <c r="U1507" s="55"/>
      <c r="V1507" s="55">
        <v>1</v>
      </c>
      <c r="W1507" s="53">
        <v>1</v>
      </c>
      <c r="X1507" s="53">
        <v>0</v>
      </c>
      <c r="Y1507" s="55">
        <v>0</v>
      </c>
      <c r="Z1507" s="55">
        <v>1</v>
      </c>
      <c r="AA1507" s="53">
        <v>0</v>
      </c>
      <c r="AB1507" s="53">
        <v>0</v>
      </c>
      <c r="AC1507" s="55">
        <v>1</v>
      </c>
      <c r="AD1507" s="55">
        <f t="shared" si="482"/>
        <v>2</v>
      </c>
      <c r="AE1507" s="53">
        <v>0</v>
      </c>
      <c r="AF1507" s="55">
        <v>0</v>
      </c>
      <c r="AG1507" s="55">
        <v>2</v>
      </c>
      <c r="AH1507" s="55">
        <f t="shared" si="484"/>
        <v>0</v>
      </c>
      <c r="AI1507" s="55">
        <v>0</v>
      </c>
      <c r="AJ1507" s="55">
        <v>0</v>
      </c>
      <c r="AK1507" s="55">
        <v>0</v>
      </c>
      <c r="AL1507" s="55">
        <f t="shared" si="485"/>
        <v>1</v>
      </c>
      <c r="AM1507" s="55" t="s">
        <v>1912</v>
      </c>
      <c r="AN1507" s="55">
        <v>0</v>
      </c>
      <c r="AO1507" s="55">
        <v>1</v>
      </c>
      <c r="AP1507" s="55">
        <f t="shared" si="481"/>
        <v>0</v>
      </c>
      <c r="AQ1507" s="55">
        <f>IFERROR(VLOOKUP(A1507,[1]SIIMPLES!$A$2:$F$418,6,FALSE),0)</f>
        <v>0</v>
      </c>
      <c r="AR1507" s="55">
        <v>0</v>
      </c>
      <c r="AS1507" s="55">
        <v>4</v>
      </c>
      <c r="AT1507" s="55">
        <v>0</v>
      </c>
      <c r="AU1507" s="55">
        <v>0</v>
      </c>
      <c r="AV1507" s="55">
        <v>4</v>
      </c>
      <c r="AW1507" s="55"/>
      <c r="AX1507" s="55"/>
      <c r="AY1507" s="56">
        <f t="shared" si="483"/>
        <v>0.9</v>
      </c>
      <c r="AZ1507" s="55"/>
      <c r="BA1507" s="56">
        <v>1.6666666666666667</v>
      </c>
    </row>
    <row r="1508" spans="1:53" ht="12.75" customHeight="1" x14ac:dyDescent="0.2">
      <c r="A1508" s="68" t="s">
        <v>1885</v>
      </c>
      <c r="B1508" s="51"/>
      <c r="C1508" s="66" t="s">
        <v>1851</v>
      </c>
      <c r="D1508" s="52" t="s">
        <v>1273</v>
      </c>
      <c r="E1508" s="52" t="str">
        <f>VLOOKUP(A1508,[2]CMV!$A$1:$E$2043,5,FALSE)</f>
        <v>POLO</v>
      </c>
      <c r="F1508" s="53"/>
      <c r="G1508" s="52" t="str">
        <f>VLOOKUP(A1508,[2]CMV!$A$1:$F$2043,6,FALSE)</f>
        <v>CABO DA EMBREAGEM PARA MOTO YAHAMA XT 250 TÉNÉRÉ</v>
      </c>
      <c r="H1508" s="57"/>
      <c r="I1508" s="57" t="s">
        <v>1075</v>
      </c>
      <c r="J1508" s="57"/>
      <c r="K1508" s="57"/>
      <c r="L1508" s="57"/>
      <c r="M1508" s="57"/>
      <c r="N1508" s="57"/>
      <c r="O1508" s="57"/>
      <c r="P1508" s="57"/>
      <c r="Q1508" s="57"/>
      <c r="R1508" s="57"/>
      <c r="S1508" s="57"/>
      <c r="T1508" s="57"/>
      <c r="U1508" s="57"/>
      <c r="V1508" s="57"/>
      <c r="W1508" s="57"/>
      <c r="X1508" s="53">
        <v>0</v>
      </c>
      <c r="Y1508" s="57"/>
      <c r="Z1508" s="55">
        <v>1</v>
      </c>
      <c r="AA1508" s="57"/>
      <c r="AB1508" s="57"/>
      <c r="AC1508" s="55">
        <v>1</v>
      </c>
      <c r="AD1508" s="55">
        <f t="shared" si="482"/>
        <v>2</v>
      </c>
      <c r="AE1508" s="53">
        <v>0</v>
      </c>
      <c r="AF1508" s="55">
        <v>0</v>
      </c>
      <c r="AG1508" s="55">
        <v>2</v>
      </c>
      <c r="AH1508" s="55">
        <f t="shared" si="484"/>
        <v>0</v>
      </c>
      <c r="AI1508" s="55">
        <v>0</v>
      </c>
      <c r="AJ1508" s="55">
        <v>0</v>
      </c>
      <c r="AK1508" s="55">
        <v>0</v>
      </c>
      <c r="AL1508" s="55">
        <f t="shared" si="485"/>
        <v>0</v>
      </c>
      <c r="AM1508" s="55" t="s">
        <v>1912</v>
      </c>
      <c r="AN1508" s="55">
        <v>0</v>
      </c>
      <c r="AO1508" s="55">
        <v>0</v>
      </c>
      <c r="AP1508" s="55">
        <f t="shared" si="481"/>
        <v>0</v>
      </c>
      <c r="AQ1508" s="55">
        <f>IFERROR(VLOOKUP(A1508,[1]SIIMPLES!$A$2:$F$418,6,FALSE),0)</f>
        <v>0</v>
      </c>
      <c r="AR1508" s="55">
        <v>0</v>
      </c>
      <c r="AS1508" s="55">
        <v>0</v>
      </c>
      <c r="AT1508" s="55">
        <v>0</v>
      </c>
      <c r="AU1508" s="55">
        <v>0</v>
      </c>
      <c r="AV1508" s="55">
        <v>0</v>
      </c>
      <c r="AW1508" s="57"/>
      <c r="AX1508" s="57"/>
      <c r="AY1508" s="56">
        <f t="shared" si="483"/>
        <v>0.5</v>
      </c>
      <c r="AZ1508" s="57"/>
      <c r="BA1508" s="57"/>
    </row>
    <row r="1509" spans="1:53" ht="12.75" customHeight="1" x14ac:dyDescent="0.2">
      <c r="A1509" s="51" t="s">
        <v>1190</v>
      </c>
      <c r="B1509" s="51"/>
      <c r="C1509" s="66" t="s">
        <v>1851</v>
      </c>
      <c r="D1509" s="52" t="s">
        <v>1776</v>
      </c>
      <c r="E1509" s="52" t="s">
        <v>741</v>
      </c>
      <c r="F1509" s="53">
        <f>IFERROR(VLOOKUP(E1509,Fornecedores!$A$2:$B$2700,2,FALSE),"")</f>
        <v>7</v>
      </c>
      <c r="G1509" s="52" t="s">
        <v>1208</v>
      </c>
      <c r="H1509" s="54"/>
      <c r="I1509" s="55">
        <f>SUM(J1509:M1509)</f>
        <v>0</v>
      </c>
      <c r="J1509" s="55">
        <v>0</v>
      </c>
      <c r="K1509" s="55">
        <v>0</v>
      </c>
      <c r="L1509" s="55">
        <v>0</v>
      </c>
      <c r="M1509" s="55">
        <v>0</v>
      </c>
      <c r="N1509" s="55">
        <f>SUM(O1509:Q1509)</f>
        <v>0</v>
      </c>
      <c r="O1509" s="55">
        <v>0</v>
      </c>
      <c r="P1509" s="55">
        <v>0</v>
      </c>
      <c r="Q1509" s="55">
        <v>0</v>
      </c>
      <c r="R1509" s="55">
        <f>SUM(S1509:U1509)</f>
        <v>0</v>
      </c>
      <c r="S1509" s="55">
        <v>0</v>
      </c>
      <c r="T1509" s="55">
        <v>0</v>
      </c>
      <c r="U1509" s="55">
        <v>0</v>
      </c>
      <c r="V1509" s="55">
        <v>0</v>
      </c>
      <c r="W1509" s="53">
        <v>0</v>
      </c>
      <c r="X1509" s="53">
        <v>0</v>
      </c>
      <c r="Y1509" s="55">
        <v>0</v>
      </c>
      <c r="Z1509" s="55">
        <v>2</v>
      </c>
      <c r="AA1509" s="53">
        <v>0</v>
      </c>
      <c r="AB1509" s="53">
        <v>0</v>
      </c>
      <c r="AC1509" s="55">
        <v>2</v>
      </c>
      <c r="AD1509" s="55">
        <f t="shared" si="482"/>
        <v>0</v>
      </c>
      <c r="AE1509" s="53">
        <v>0</v>
      </c>
      <c r="AF1509" s="55">
        <v>0</v>
      </c>
      <c r="AG1509" s="55">
        <v>0</v>
      </c>
      <c r="AH1509" s="55">
        <f t="shared" si="484"/>
        <v>0</v>
      </c>
      <c r="AI1509" s="55">
        <v>0</v>
      </c>
      <c r="AJ1509" s="55">
        <v>0</v>
      </c>
      <c r="AK1509" s="55">
        <v>0</v>
      </c>
      <c r="AL1509" s="55">
        <f t="shared" si="485"/>
        <v>0</v>
      </c>
      <c r="AM1509" s="55" t="s">
        <v>1912</v>
      </c>
      <c r="AN1509" s="55">
        <v>0</v>
      </c>
      <c r="AO1509" s="55">
        <v>0</v>
      </c>
      <c r="AP1509" s="55">
        <f t="shared" si="481"/>
        <v>0</v>
      </c>
      <c r="AQ1509" s="55">
        <f>IFERROR(VLOOKUP(A1509,[1]SIIMPLES!$A$2:$F$418,6,FALSE),0)</f>
        <v>0</v>
      </c>
      <c r="AR1509" s="55">
        <v>0</v>
      </c>
      <c r="AS1509" s="55">
        <v>0</v>
      </c>
      <c r="AT1509" s="55">
        <v>0</v>
      </c>
      <c r="AU1509" s="55">
        <v>0</v>
      </c>
      <c r="AV1509" s="55">
        <v>0</v>
      </c>
      <c r="AW1509" s="55"/>
      <c r="AX1509" s="55"/>
      <c r="AY1509" s="56">
        <f t="shared" si="483"/>
        <v>0.2</v>
      </c>
      <c r="AZ1509" s="55"/>
      <c r="BA1509" s="56">
        <v>1.6666666666666667</v>
      </c>
    </row>
    <row r="1510" spans="1:53" ht="12.75" customHeight="1" x14ac:dyDescent="0.2">
      <c r="A1510" s="68" t="s">
        <v>1951</v>
      </c>
      <c r="B1510" s="51"/>
      <c r="C1510" s="66" t="str">
        <f>VLOOKUP(A1510,[2]CMV!$A$1:$B$2115,2,FALSE)</f>
        <v>MOTO PEÇAS</v>
      </c>
      <c r="D1510" s="52" t="str">
        <f>VLOOKUP(A1510,[2]CMV!$A$1:$C$2115,3,FALSE)</f>
        <v>Cabo Embreagem moto</v>
      </c>
      <c r="E1510" s="52" t="str">
        <f>VLOOKUP(A1510,[2]CMV!$A$1:$E$2115,5,FALSE)</f>
        <v>POLO</v>
      </c>
      <c r="F1510" s="53"/>
      <c r="G1510" s="67" t="str">
        <f>VLOOKUP(A1510,[2]CMV!$A$1:$F$2115,6,FALSE)</f>
        <v>CABO EMBREAGEM YAMAHA FAZER YS 250 10&gt;11</v>
      </c>
      <c r="H1510" s="57"/>
      <c r="I1510" s="57"/>
      <c r="J1510" s="57"/>
      <c r="K1510" s="57"/>
      <c r="L1510" s="57"/>
      <c r="M1510" s="57"/>
      <c r="N1510" s="57"/>
      <c r="O1510" s="57"/>
      <c r="P1510" s="57"/>
      <c r="Q1510" s="57"/>
      <c r="R1510" s="57"/>
      <c r="S1510" s="57"/>
      <c r="T1510" s="57"/>
      <c r="U1510" s="57"/>
      <c r="V1510" s="57"/>
      <c r="W1510" s="57"/>
      <c r="X1510" s="57"/>
      <c r="Y1510" s="57"/>
      <c r="Z1510" s="57"/>
      <c r="AA1510" s="57"/>
      <c r="AB1510" s="57"/>
      <c r="AC1510" s="57"/>
      <c r="AD1510" s="55">
        <f t="shared" si="482"/>
        <v>2</v>
      </c>
      <c r="AE1510" s="57"/>
      <c r="AF1510" s="57"/>
      <c r="AG1510" s="55">
        <v>2</v>
      </c>
      <c r="AH1510" s="55">
        <f t="shared" si="484"/>
        <v>0</v>
      </c>
      <c r="AI1510" s="55">
        <v>0</v>
      </c>
      <c r="AJ1510" s="55">
        <v>0</v>
      </c>
      <c r="AK1510" s="55">
        <v>0</v>
      </c>
      <c r="AL1510" s="55">
        <f t="shared" si="485"/>
        <v>0</v>
      </c>
      <c r="AM1510" s="55" t="s">
        <v>1912</v>
      </c>
      <c r="AN1510" s="55">
        <v>0</v>
      </c>
      <c r="AO1510" s="55">
        <v>0</v>
      </c>
      <c r="AP1510" s="55">
        <f t="shared" si="481"/>
        <v>0</v>
      </c>
      <c r="AQ1510" s="55">
        <f>IFERROR(VLOOKUP(A1510,[1]SIIMPLES!$A$2:$F$418,6,FALSE),0)</f>
        <v>0</v>
      </c>
      <c r="AR1510" s="55">
        <v>0</v>
      </c>
      <c r="AS1510" s="55">
        <v>1</v>
      </c>
      <c r="AT1510" s="55">
        <v>0</v>
      </c>
      <c r="AU1510" s="55">
        <v>0</v>
      </c>
      <c r="AV1510" s="55">
        <v>1</v>
      </c>
      <c r="AW1510" s="57"/>
      <c r="AX1510" s="57"/>
      <c r="AY1510" s="56">
        <f t="shared" si="483"/>
        <v>0.6</v>
      </c>
      <c r="AZ1510" s="57"/>
      <c r="BA1510" s="57"/>
    </row>
    <row r="1511" spans="1:53" ht="12.75" customHeight="1" x14ac:dyDescent="0.2">
      <c r="A1511" s="68" t="s">
        <v>1953</v>
      </c>
      <c r="B1511" s="51"/>
      <c r="C1511" s="66" t="str">
        <f>VLOOKUP(A1511,[2]CMV!$A$1:$B$2115,2,FALSE)</f>
        <v>MOTO PEÇAS</v>
      </c>
      <c r="D1511" s="52" t="str">
        <f>VLOOKUP(A1511,[2]CMV!$A$1:$C$2115,3,FALSE)</f>
        <v>Cabo Embreagem moto</v>
      </c>
      <c r="E1511" s="52" t="str">
        <f>VLOOKUP(A1511,[2]CMV!$A$1:$E$2115,5,FALSE)</f>
        <v>POLO</v>
      </c>
      <c r="F1511" s="53"/>
      <c r="G1511" s="67" t="str">
        <f>VLOOKUP(A1511,[2]CMV!$A$1:$F$2115,6,FALSE)</f>
        <v>CABO EMBREAGEM YAMAHA FAZER YS 150 SED /</v>
      </c>
      <c r="H1511" s="57"/>
      <c r="I1511" s="57"/>
      <c r="J1511" s="57"/>
      <c r="K1511" s="57"/>
      <c r="L1511" s="57"/>
      <c r="M1511" s="57"/>
      <c r="N1511" s="57"/>
      <c r="O1511" s="57"/>
      <c r="P1511" s="57"/>
      <c r="Q1511" s="57"/>
      <c r="R1511" s="57"/>
      <c r="S1511" s="57"/>
      <c r="T1511" s="57"/>
      <c r="U1511" s="57"/>
      <c r="V1511" s="57"/>
      <c r="W1511" s="57"/>
      <c r="X1511" s="57"/>
      <c r="Y1511" s="57"/>
      <c r="Z1511" s="57"/>
      <c r="AA1511" s="57"/>
      <c r="AB1511" s="57"/>
      <c r="AC1511" s="57"/>
      <c r="AD1511" s="55">
        <f t="shared" si="482"/>
        <v>2</v>
      </c>
      <c r="AE1511" s="57"/>
      <c r="AF1511" s="57"/>
      <c r="AG1511" s="55">
        <v>2</v>
      </c>
      <c r="AH1511" s="55">
        <f t="shared" si="484"/>
        <v>0</v>
      </c>
      <c r="AI1511" s="55">
        <v>0</v>
      </c>
      <c r="AJ1511" s="55">
        <v>0</v>
      </c>
      <c r="AK1511" s="55">
        <v>0</v>
      </c>
      <c r="AL1511" s="55">
        <f t="shared" si="485"/>
        <v>2</v>
      </c>
      <c r="AM1511" s="55" t="s">
        <v>1912</v>
      </c>
      <c r="AN1511" s="55">
        <v>0</v>
      </c>
      <c r="AO1511" s="55">
        <v>2</v>
      </c>
      <c r="AP1511" s="55">
        <f t="shared" si="481"/>
        <v>0</v>
      </c>
      <c r="AQ1511" s="55">
        <f>IFERROR(VLOOKUP(A1511,[1]SIIMPLES!$A$2:$F$418,6,FALSE),0)</f>
        <v>0</v>
      </c>
      <c r="AR1511" s="55">
        <v>0</v>
      </c>
      <c r="AS1511" s="55">
        <v>0</v>
      </c>
      <c r="AT1511" s="55">
        <v>0</v>
      </c>
      <c r="AU1511" s="55">
        <v>0</v>
      </c>
      <c r="AV1511" s="55">
        <v>0</v>
      </c>
      <c r="AW1511" s="57"/>
      <c r="AX1511" s="57"/>
      <c r="AY1511" s="56">
        <f t="shared" si="483"/>
        <v>0.8</v>
      </c>
      <c r="AZ1511" s="57"/>
      <c r="BA1511" s="57"/>
    </row>
    <row r="1512" spans="1:53" ht="12.75" customHeight="1" x14ac:dyDescent="0.2">
      <c r="A1512" s="68" t="s">
        <v>1958</v>
      </c>
      <c r="B1512" s="51"/>
      <c r="C1512" s="66" t="str">
        <f>VLOOKUP(A1512,[2]CMV!$A$1:$B$2115,2,FALSE)</f>
        <v>MOTO PEÇAS</v>
      </c>
      <c r="D1512" s="52" t="str">
        <f>VLOOKUP(A1512,[2]CMV!$A$1:$C$2115,3,FALSE)</f>
        <v>Cabo Embreagem moto</v>
      </c>
      <c r="E1512" s="52" t="str">
        <f>VLOOKUP(A1512,[2]CMV!$A$1:$E$2115,5,FALSE)</f>
        <v>POLO</v>
      </c>
      <c r="F1512" s="53"/>
      <c r="G1512" s="67" t="str">
        <f>VLOOKUP(A1512,[2]CMV!$A$1:$F$2115,6,FALSE)</f>
        <v>CABO EMBREAGEM HONDA XR 200 R 10</v>
      </c>
      <c r="H1512" s="57"/>
      <c r="I1512" s="57"/>
      <c r="J1512" s="57"/>
      <c r="K1512" s="57"/>
      <c r="L1512" s="57"/>
      <c r="M1512" s="57"/>
      <c r="N1512" s="57"/>
      <c r="O1512" s="57"/>
      <c r="P1512" s="57"/>
      <c r="Q1512" s="57"/>
      <c r="R1512" s="57"/>
      <c r="S1512" s="57"/>
      <c r="T1512" s="57"/>
      <c r="U1512" s="57"/>
      <c r="V1512" s="57"/>
      <c r="W1512" s="57"/>
      <c r="X1512" s="57"/>
      <c r="Y1512" s="57"/>
      <c r="Z1512" s="57"/>
      <c r="AA1512" s="57"/>
      <c r="AB1512" s="57"/>
      <c r="AC1512" s="57"/>
      <c r="AD1512" s="55">
        <f t="shared" si="482"/>
        <v>1</v>
      </c>
      <c r="AE1512" s="57"/>
      <c r="AF1512" s="57"/>
      <c r="AG1512" s="55">
        <v>1</v>
      </c>
      <c r="AH1512" s="55">
        <f t="shared" si="484"/>
        <v>0</v>
      </c>
      <c r="AI1512" s="55">
        <v>0</v>
      </c>
      <c r="AJ1512" s="55">
        <v>0</v>
      </c>
      <c r="AK1512" s="55">
        <v>0</v>
      </c>
      <c r="AL1512" s="55">
        <f t="shared" si="485"/>
        <v>0</v>
      </c>
      <c r="AM1512" s="55" t="s">
        <v>1912</v>
      </c>
      <c r="AN1512" s="55">
        <v>0</v>
      </c>
      <c r="AO1512" s="55">
        <v>0</v>
      </c>
      <c r="AP1512" s="55">
        <f t="shared" si="481"/>
        <v>0</v>
      </c>
      <c r="AQ1512" s="55">
        <f>IFERROR(VLOOKUP(A1512,[1]SIIMPLES!$A$2:$F$418,6,FALSE),0)</f>
        <v>0</v>
      </c>
      <c r="AR1512" s="55">
        <v>0</v>
      </c>
      <c r="AS1512" s="55">
        <v>1</v>
      </c>
      <c r="AT1512" s="55">
        <v>0</v>
      </c>
      <c r="AU1512" s="55">
        <v>0</v>
      </c>
      <c r="AV1512" s="55">
        <v>1</v>
      </c>
      <c r="AW1512" s="57"/>
      <c r="AX1512" s="57"/>
      <c r="AY1512" s="56">
        <f t="shared" si="483"/>
        <v>0.4</v>
      </c>
      <c r="AZ1512" s="57"/>
      <c r="BA1512" s="57"/>
    </row>
    <row r="1513" spans="1:53" x14ac:dyDescent="0.2">
      <c r="A1513" s="91" t="s">
        <v>1930</v>
      </c>
      <c r="B1513" s="90"/>
      <c r="C1513" s="92" t="str">
        <f>VLOOKUP(A1513,[2]CMV!$A$1:$B$2115,2,FALSE)</f>
        <v>MOTO PEÇAS</v>
      </c>
      <c r="D1513" s="93" t="str">
        <f>VLOOKUP(A1513,[2]CMV!$A$1:$C$2115,3,FALSE)</f>
        <v>Cabo Embreagem moto</v>
      </c>
      <c r="E1513" s="93" t="str">
        <f>VLOOKUP(A1513,[2]CMV!$A$1:$E$2115,5,FALSE)</f>
        <v>POLO</v>
      </c>
      <c r="F1513" s="95"/>
      <c r="G1513" s="94" t="str">
        <f>VLOOKUP(A1513,[2]CMV!$A$1:$F$2115,6,FALSE)</f>
        <v>CABO EMBREAGEM HONDA</v>
      </c>
      <c r="H1513" s="96"/>
      <c r="I1513" s="96"/>
      <c r="J1513" s="96"/>
      <c r="K1513" s="96"/>
      <c r="L1513" s="96"/>
      <c r="M1513" s="96"/>
      <c r="N1513" s="96"/>
      <c r="O1513" s="96"/>
      <c r="P1513" s="96"/>
      <c r="Q1513" s="96"/>
      <c r="R1513" s="96"/>
      <c r="S1513" s="96"/>
      <c r="T1513" s="96"/>
      <c r="U1513" s="96"/>
      <c r="V1513" s="96"/>
      <c r="W1513" s="96"/>
      <c r="X1513" s="96"/>
      <c r="Y1513" s="96"/>
      <c r="Z1513" s="96"/>
      <c r="AA1513" s="96"/>
      <c r="AB1513" s="96"/>
      <c r="AC1513" s="96"/>
      <c r="AD1513" s="88">
        <f t="shared" si="482"/>
        <v>10</v>
      </c>
      <c r="AE1513" s="96"/>
      <c r="AF1513" s="96"/>
      <c r="AG1513" s="88">
        <v>10</v>
      </c>
      <c r="AH1513" s="88">
        <f t="shared" si="484"/>
        <v>0</v>
      </c>
      <c r="AI1513" s="88">
        <v>0</v>
      </c>
      <c r="AJ1513" s="88">
        <v>0</v>
      </c>
      <c r="AK1513" s="88">
        <v>0</v>
      </c>
      <c r="AL1513" s="55">
        <f t="shared" si="485"/>
        <v>0</v>
      </c>
      <c r="AM1513" s="55" t="s">
        <v>1912</v>
      </c>
      <c r="AN1513" s="55">
        <v>0</v>
      </c>
      <c r="AO1513" s="55">
        <v>0</v>
      </c>
      <c r="AP1513" s="55">
        <f t="shared" si="481"/>
        <v>0</v>
      </c>
      <c r="AQ1513" s="55">
        <f>IFERROR(VLOOKUP(A1513,[1]SIIMPLES!$A$2:$F$418,6,FALSE),0)</f>
        <v>0</v>
      </c>
      <c r="AR1513" s="55">
        <v>0</v>
      </c>
      <c r="AS1513" s="55">
        <v>0</v>
      </c>
      <c r="AT1513" s="55">
        <v>0</v>
      </c>
      <c r="AU1513" s="55">
        <v>0</v>
      </c>
      <c r="AV1513" s="55">
        <v>0</v>
      </c>
      <c r="AW1513" s="96"/>
      <c r="AX1513" s="96"/>
      <c r="AY1513" s="97">
        <f t="shared" si="483"/>
        <v>2</v>
      </c>
      <c r="AZ1513" s="96"/>
      <c r="BA1513" s="96"/>
    </row>
    <row r="1514" spans="1:53" x14ac:dyDescent="0.2">
      <c r="A1514" s="91" t="s">
        <v>1416</v>
      </c>
      <c r="B1514" s="90"/>
      <c r="C1514" s="92" t="s">
        <v>1851</v>
      </c>
      <c r="D1514" s="93" t="s">
        <v>1765</v>
      </c>
      <c r="E1514" s="93" t="s">
        <v>741</v>
      </c>
      <c r="F1514" s="95">
        <f>IFERROR(VLOOKUP(E1514,Fornecedores!$A$2:$B$2700,2,FALSE),"")</f>
        <v>7</v>
      </c>
      <c r="G1514" s="93" t="str">
        <f>VLOOKUP(A1514,[2]CMV!$A$1:$F$2043,6,FALSE)</f>
        <v>CABO DE FREIO PARA MOTO HONDA CG 125 FAN CES CKS ES KS 2009 A 2011</v>
      </c>
      <c r="H1514" s="96"/>
      <c r="I1514" s="88">
        <f>SUM(J1514:M1514)</f>
        <v>0</v>
      </c>
      <c r="J1514" s="88">
        <v>0</v>
      </c>
      <c r="K1514" s="88">
        <v>0</v>
      </c>
      <c r="L1514" s="88">
        <v>0</v>
      </c>
      <c r="M1514" s="88">
        <v>0</v>
      </c>
      <c r="N1514" s="88">
        <f>SUM(O1514:Q1514)</f>
        <v>0</v>
      </c>
      <c r="O1514" s="88">
        <v>0</v>
      </c>
      <c r="P1514" s="88">
        <v>0</v>
      </c>
      <c r="Q1514" s="88">
        <v>0</v>
      </c>
      <c r="R1514" s="88">
        <f>SUM(S1514:U1514)</f>
        <v>0</v>
      </c>
      <c r="S1514" s="88">
        <v>0</v>
      </c>
      <c r="T1514" s="88">
        <v>0</v>
      </c>
      <c r="U1514" s="88">
        <v>0</v>
      </c>
      <c r="V1514" s="88">
        <v>1</v>
      </c>
      <c r="W1514" s="95">
        <v>0</v>
      </c>
      <c r="X1514" s="95">
        <v>0</v>
      </c>
      <c r="Y1514" s="88">
        <v>1</v>
      </c>
      <c r="Z1514" s="88">
        <v>2</v>
      </c>
      <c r="AA1514" s="95">
        <v>0</v>
      </c>
      <c r="AB1514" s="95">
        <v>0</v>
      </c>
      <c r="AC1514" s="88">
        <v>2</v>
      </c>
      <c r="AD1514" s="88">
        <f t="shared" si="482"/>
        <v>0</v>
      </c>
      <c r="AE1514" s="95">
        <v>0</v>
      </c>
      <c r="AF1514" s="88">
        <v>0</v>
      </c>
      <c r="AG1514" s="88">
        <v>0</v>
      </c>
      <c r="AH1514" s="88">
        <f t="shared" si="484"/>
        <v>0</v>
      </c>
      <c r="AI1514" s="88">
        <v>0</v>
      </c>
      <c r="AJ1514" s="88">
        <v>0</v>
      </c>
      <c r="AK1514" s="88">
        <v>0</v>
      </c>
      <c r="AL1514" s="55">
        <f t="shared" si="485"/>
        <v>0</v>
      </c>
      <c r="AM1514" s="55" t="s">
        <v>1912</v>
      </c>
      <c r="AN1514" s="55">
        <v>0</v>
      </c>
      <c r="AO1514" s="55">
        <v>0</v>
      </c>
      <c r="AP1514" s="55">
        <f t="shared" si="481"/>
        <v>0</v>
      </c>
      <c r="AQ1514" s="55">
        <f>IFERROR(VLOOKUP(A1514,[1]SIIMPLES!$A$2:$F$418,6,FALSE),0)</f>
        <v>0</v>
      </c>
      <c r="AR1514" s="55">
        <v>0</v>
      </c>
      <c r="AS1514" s="55">
        <v>0</v>
      </c>
      <c r="AT1514" s="55">
        <v>0</v>
      </c>
      <c r="AU1514" s="55">
        <v>0</v>
      </c>
      <c r="AV1514" s="55">
        <v>0</v>
      </c>
      <c r="AW1514" s="96"/>
      <c r="AX1514" s="88"/>
      <c r="AY1514" s="97">
        <f t="shared" si="483"/>
        <v>0.3</v>
      </c>
      <c r="AZ1514" s="88"/>
      <c r="BA1514" s="97">
        <v>0</v>
      </c>
    </row>
    <row r="1515" spans="1:53" x14ac:dyDescent="0.2">
      <c r="A1515" s="90" t="s">
        <v>1796</v>
      </c>
      <c r="B1515" s="90"/>
      <c r="C1515" s="92" t="s">
        <v>1851</v>
      </c>
      <c r="D1515" s="93" t="s">
        <v>1765</v>
      </c>
      <c r="E1515" s="93" t="str">
        <f>VLOOKUP(A1515,[3]CMV!$A$1:$E$1988,5,FALSE)</f>
        <v>POLO</v>
      </c>
      <c r="F1515" s="95"/>
      <c r="G1515" s="93" t="str">
        <f>VLOOKUP(A1515,[2]CMV!$A$1:$F$2043,6,FALSE)</f>
        <v>CABO DE FREIO PARA MOTO HONDA CG 125 TITAN ES JOB KS 2004 A 2008</v>
      </c>
      <c r="H1515" s="96"/>
      <c r="I1515" s="88">
        <f>SUM(J1515:M1515)</f>
        <v>0</v>
      </c>
      <c r="J1515" s="88">
        <v>0</v>
      </c>
      <c r="K1515" s="88">
        <v>0</v>
      </c>
      <c r="L1515" s="88">
        <v>0</v>
      </c>
      <c r="M1515" s="88">
        <v>0</v>
      </c>
      <c r="N1515" s="88">
        <f>SUM(O1515:Q1515)</f>
        <v>0</v>
      </c>
      <c r="O1515" s="96"/>
      <c r="P1515" s="96"/>
      <c r="Q1515" s="96"/>
      <c r="R1515" s="88">
        <f>SUM(S1515:U1515)</f>
        <v>0</v>
      </c>
      <c r="S1515" s="96"/>
      <c r="T1515" s="96"/>
      <c r="U1515" s="96"/>
      <c r="V1515" s="88">
        <v>2</v>
      </c>
      <c r="W1515" s="96"/>
      <c r="X1515" s="95">
        <v>0</v>
      </c>
      <c r="Y1515" s="88">
        <v>2</v>
      </c>
      <c r="Z1515" s="88">
        <v>1</v>
      </c>
      <c r="AA1515" s="95">
        <v>0</v>
      </c>
      <c r="AB1515" s="95">
        <v>0</v>
      </c>
      <c r="AC1515" s="88">
        <v>1</v>
      </c>
      <c r="AD1515" s="88">
        <f t="shared" si="482"/>
        <v>0</v>
      </c>
      <c r="AE1515" s="95">
        <v>0</v>
      </c>
      <c r="AF1515" s="88">
        <v>0</v>
      </c>
      <c r="AG1515" s="88">
        <v>0</v>
      </c>
      <c r="AH1515" s="88">
        <f t="shared" si="484"/>
        <v>0</v>
      </c>
      <c r="AI1515" s="88">
        <v>0</v>
      </c>
      <c r="AJ1515" s="88">
        <v>0</v>
      </c>
      <c r="AK1515" s="88">
        <v>0</v>
      </c>
      <c r="AL1515" s="55">
        <f t="shared" si="485"/>
        <v>0</v>
      </c>
      <c r="AM1515" s="55" t="s">
        <v>1912</v>
      </c>
      <c r="AN1515" s="55">
        <v>0</v>
      </c>
      <c r="AO1515" s="55">
        <v>0</v>
      </c>
      <c r="AP1515" s="55">
        <f t="shared" si="481"/>
        <v>0</v>
      </c>
      <c r="AQ1515" s="55">
        <f>IFERROR(VLOOKUP(A1515,[1]SIIMPLES!$A$2:$F$418,6,FALSE),0)</f>
        <v>0</v>
      </c>
      <c r="AR1515" s="55">
        <v>0</v>
      </c>
      <c r="AS1515" s="55">
        <v>0</v>
      </c>
      <c r="AT1515" s="55">
        <v>0</v>
      </c>
      <c r="AU1515" s="55">
        <v>0</v>
      </c>
      <c r="AV1515" s="55">
        <v>0</v>
      </c>
      <c r="AW1515" s="96"/>
      <c r="AX1515" s="96"/>
      <c r="AY1515" s="97">
        <f t="shared" si="483"/>
        <v>0.3</v>
      </c>
      <c r="AZ1515" s="96"/>
      <c r="BA1515" s="97" t="s">
        <v>1912</v>
      </c>
    </row>
    <row r="1516" spans="1:53" x14ac:dyDescent="0.2">
      <c r="A1516" s="91" t="s">
        <v>1802</v>
      </c>
      <c r="B1516" s="90"/>
      <c r="C1516" s="92" t="s">
        <v>1851</v>
      </c>
      <c r="D1516" s="93" t="s">
        <v>1765</v>
      </c>
      <c r="E1516" s="93" t="s">
        <v>741</v>
      </c>
      <c r="F1516" s="95">
        <f>IFERROR(VLOOKUP(E1516,Fornecedores!$A$2:$B$2700,2,FALSE),"")</f>
        <v>7</v>
      </c>
      <c r="G1516" s="93" t="s">
        <v>1704</v>
      </c>
      <c r="H1516" s="96"/>
      <c r="I1516" s="88">
        <f>SUM(J1516:M1516)</f>
        <v>0</v>
      </c>
      <c r="J1516" s="96"/>
      <c r="K1516" s="96"/>
      <c r="L1516" s="96"/>
      <c r="M1516" s="96"/>
      <c r="N1516" s="88">
        <f>SUM(O1516:Q1516)</f>
        <v>0</v>
      </c>
      <c r="O1516" s="96"/>
      <c r="P1516" s="96"/>
      <c r="Q1516" s="96"/>
      <c r="R1516" s="88">
        <f>SUM(S1516:U1516)</f>
        <v>0</v>
      </c>
      <c r="S1516" s="88">
        <v>0</v>
      </c>
      <c r="T1516" s="88">
        <v>0</v>
      </c>
      <c r="U1516" s="96"/>
      <c r="V1516" s="88">
        <v>0</v>
      </c>
      <c r="W1516" s="95">
        <v>0</v>
      </c>
      <c r="X1516" s="95">
        <v>0</v>
      </c>
      <c r="Y1516" s="88">
        <v>0</v>
      </c>
      <c r="Z1516" s="88">
        <v>3</v>
      </c>
      <c r="AA1516" s="95">
        <v>0</v>
      </c>
      <c r="AB1516" s="95">
        <v>0</v>
      </c>
      <c r="AC1516" s="88">
        <v>3</v>
      </c>
      <c r="AD1516" s="88">
        <f t="shared" si="482"/>
        <v>3</v>
      </c>
      <c r="AE1516" s="95">
        <v>3</v>
      </c>
      <c r="AF1516" s="88">
        <v>0</v>
      </c>
      <c r="AG1516" s="88">
        <v>0</v>
      </c>
      <c r="AH1516" s="88">
        <f t="shared" si="484"/>
        <v>1</v>
      </c>
      <c r="AI1516" s="88">
        <v>1</v>
      </c>
      <c r="AJ1516" s="88">
        <v>0</v>
      </c>
      <c r="AK1516" s="88">
        <v>0</v>
      </c>
      <c r="AL1516" s="55">
        <f t="shared" si="485"/>
        <v>0</v>
      </c>
      <c r="AM1516" s="55" t="s">
        <v>1912</v>
      </c>
      <c r="AN1516" s="55">
        <v>0</v>
      </c>
      <c r="AO1516" s="55">
        <v>0</v>
      </c>
      <c r="AP1516" s="55">
        <f t="shared" si="481"/>
        <v>0</v>
      </c>
      <c r="AQ1516" s="55">
        <f>IFERROR(VLOOKUP(A1516,[1]SIIMPLES!$A$2:$F$418,6,FALSE),0)</f>
        <v>0</v>
      </c>
      <c r="AR1516" s="55">
        <v>0</v>
      </c>
      <c r="AS1516" s="55">
        <v>0</v>
      </c>
      <c r="AT1516" s="55">
        <v>0</v>
      </c>
      <c r="AU1516" s="55">
        <v>0</v>
      </c>
      <c r="AV1516" s="55">
        <v>0</v>
      </c>
      <c r="AW1516" s="96"/>
      <c r="AX1516" s="96"/>
      <c r="AY1516" s="97">
        <f t="shared" si="483"/>
        <v>0.7</v>
      </c>
      <c r="AZ1516" s="96"/>
      <c r="BA1516" s="97" t="s">
        <v>1912</v>
      </c>
    </row>
    <row r="1517" spans="1:53" x14ac:dyDescent="0.2">
      <c r="A1517" s="90" t="s">
        <v>1797</v>
      </c>
      <c r="B1517" s="90"/>
      <c r="C1517" s="92" t="s">
        <v>1851</v>
      </c>
      <c r="D1517" s="93" t="s">
        <v>1765</v>
      </c>
      <c r="E1517" s="93" t="str">
        <f>VLOOKUP(A1517,[3]CMV!$A$1:$E$1988,5,FALSE)</f>
        <v>POLO</v>
      </c>
      <c r="F1517" s="95"/>
      <c r="G1517" s="93" t="str">
        <f>VLOOKUP(A1517,[2]CMV!$A$1:$F$2043,6,FALSE)</f>
        <v>CABO DE FREIO PARA MOTO HONDA CG 125 FAN</v>
      </c>
      <c r="H1517" s="96"/>
      <c r="I1517" s="88">
        <f>SUM(J1517:M1517)</f>
        <v>0</v>
      </c>
      <c r="J1517" s="88">
        <v>0</v>
      </c>
      <c r="K1517" s="88">
        <v>0</v>
      </c>
      <c r="L1517" s="88">
        <v>0</v>
      </c>
      <c r="M1517" s="88">
        <v>0</v>
      </c>
      <c r="N1517" s="88">
        <f>SUM(O1517:Q1517)</f>
        <v>0</v>
      </c>
      <c r="O1517" s="96"/>
      <c r="P1517" s="96"/>
      <c r="Q1517" s="96"/>
      <c r="R1517" s="88">
        <f>SUM(S1517:U1517)</f>
        <v>0</v>
      </c>
      <c r="S1517" s="96"/>
      <c r="T1517" s="96"/>
      <c r="U1517" s="96"/>
      <c r="V1517" s="88">
        <v>2</v>
      </c>
      <c r="W1517" s="96"/>
      <c r="X1517" s="95">
        <v>0</v>
      </c>
      <c r="Y1517" s="88">
        <v>2</v>
      </c>
      <c r="Z1517" s="88">
        <v>0</v>
      </c>
      <c r="AA1517" s="95">
        <v>0</v>
      </c>
      <c r="AB1517" s="95">
        <v>0</v>
      </c>
      <c r="AC1517" s="88">
        <v>0</v>
      </c>
      <c r="AD1517" s="88">
        <f t="shared" si="482"/>
        <v>0</v>
      </c>
      <c r="AE1517" s="95">
        <v>0</v>
      </c>
      <c r="AF1517" s="88">
        <v>0</v>
      </c>
      <c r="AG1517" s="88">
        <v>0</v>
      </c>
      <c r="AH1517" s="88">
        <f t="shared" si="484"/>
        <v>0</v>
      </c>
      <c r="AI1517" s="88">
        <v>0</v>
      </c>
      <c r="AJ1517" s="88">
        <v>0</v>
      </c>
      <c r="AK1517" s="88">
        <v>0</v>
      </c>
      <c r="AL1517" s="55">
        <f t="shared" si="485"/>
        <v>0</v>
      </c>
      <c r="AM1517" s="55" t="s">
        <v>1912</v>
      </c>
      <c r="AN1517" s="55">
        <v>0</v>
      </c>
      <c r="AO1517" s="55">
        <v>0</v>
      </c>
      <c r="AP1517" s="55">
        <f t="shared" si="481"/>
        <v>0</v>
      </c>
      <c r="AQ1517" s="55">
        <f>IFERROR(VLOOKUP(A1517,[1]SIIMPLES!$A$2:$F$418,6,FALSE),0)</f>
        <v>0</v>
      </c>
      <c r="AR1517" s="55">
        <v>0</v>
      </c>
      <c r="AS1517" s="55">
        <v>0</v>
      </c>
      <c r="AT1517" s="55">
        <v>0</v>
      </c>
      <c r="AU1517" s="55">
        <v>0</v>
      </c>
      <c r="AV1517" s="55">
        <v>0</v>
      </c>
      <c r="AW1517" s="96"/>
      <c r="AX1517" s="96"/>
      <c r="AY1517" s="97">
        <f t="shared" si="483"/>
        <v>0.2</v>
      </c>
      <c r="AZ1517" s="96"/>
      <c r="BA1517" s="97" t="s">
        <v>1912</v>
      </c>
    </row>
    <row r="1518" spans="1:53" x14ac:dyDescent="0.2">
      <c r="A1518" s="86" t="s">
        <v>2008</v>
      </c>
      <c r="C1518" s="26" t="s">
        <v>1851</v>
      </c>
      <c r="D1518" s="38" t="s">
        <v>1765</v>
      </c>
      <c r="E1518" s="38" t="s">
        <v>741</v>
      </c>
      <c r="G1518" s="15" t="s">
        <v>2064</v>
      </c>
      <c r="AH1518" s="87">
        <f t="shared" si="484"/>
        <v>1</v>
      </c>
      <c r="AK1518" s="88">
        <v>1</v>
      </c>
      <c r="AL1518" s="55">
        <f t="shared" si="485"/>
        <v>0</v>
      </c>
      <c r="AM1518" s="55" t="s">
        <v>1912</v>
      </c>
      <c r="AN1518" s="55">
        <v>0</v>
      </c>
      <c r="AO1518" s="55">
        <v>0</v>
      </c>
      <c r="AP1518" s="55">
        <f t="shared" si="481"/>
        <v>0</v>
      </c>
      <c r="AQ1518" s="55">
        <f>IFERROR(VLOOKUP(A1518,[1]SIIMPLES!$A$2:$F$418,6,FALSE),0)</f>
        <v>0</v>
      </c>
      <c r="AR1518" s="55">
        <v>0</v>
      </c>
      <c r="AS1518" s="55">
        <v>0</v>
      </c>
      <c r="AT1518" s="55">
        <v>0</v>
      </c>
      <c r="AU1518" s="55">
        <v>0</v>
      </c>
      <c r="AV1518" s="55">
        <v>0</v>
      </c>
    </row>
    <row r="1519" spans="1:53" x14ac:dyDescent="0.2">
      <c r="A1519" s="91" t="s">
        <v>1960</v>
      </c>
      <c r="B1519" s="90"/>
      <c r="C1519" s="92" t="str">
        <f>VLOOKUP(A1519,[2]CMV!$A$1:$B$2115,2,FALSE)</f>
        <v>MOTO PEÇAS</v>
      </c>
      <c r="D1519" s="93" t="str">
        <f>VLOOKUP(A1519,[2]CMV!$A$1:$C$2115,3,FALSE)</f>
        <v>Cabo Freio Moto</v>
      </c>
      <c r="E1519" s="93" t="str">
        <f>VLOOKUP(A1519,[2]CMV!$A$1:$E$2115,5,FALSE)</f>
        <v>POLO</v>
      </c>
      <c r="F1519" s="95"/>
      <c r="G1519" s="94" t="str">
        <f>VLOOKUP(A1519,[2]CMV!$A$1:$F$2115,6,FALSE)</f>
        <v>CABO FREIO YAMAHA YBR 125 FACTOR ED 09&gt; 10</v>
      </c>
      <c r="H1519" s="96"/>
      <c r="I1519" s="96"/>
      <c r="J1519" s="96"/>
      <c r="K1519" s="96"/>
      <c r="L1519" s="96"/>
      <c r="M1519" s="96"/>
      <c r="N1519" s="96"/>
      <c r="O1519" s="96"/>
      <c r="P1519" s="96"/>
      <c r="Q1519" s="96"/>
      <c r="R1519" s="96"/>
      <c r="S1519" s="96"/>
      <c r="T1519" s="96"/>
      <c r="U1519" s="96"/>
      <c r="V1519" s="96"/>
      <c r="W1519" s="96"/>
      <c r="X1519" s="96"/>
      <c r="Y1519" s="96"/>
      <c r="Z1519" s="96"/>
      <c r="AA1519" s="96"/>
      <c r="AB1519" s="96"/>
      <c r="AC1519" s="96"/>
      <c r="AD1519" s="88">
        <f t="shared" ref="AD1519:AD1531" si="489">SUM(AE1519:AG1519)</f>
        <v>1</v>
      </c>
      <c r="AE1519" s="96"/>
      <c r="AF1519" s="96"/>
      <c r="AG1519" s="88">
        <v>1</v>
      </c>
      <c r="AH1519" s="88">
        <f t="shared" si="484"/>
        <v>0</v>
      </c>
      <c r="AI1519" s="88">
        <v>0</v>
      </c>
      <c r="AJ1519" s="88">
        <v>0</v>
      </c>
      <c r="AK1519" s="88">
        <v>0</v>
      </c>
      <c r="AL1519" s="55">
        <f t="shared" si="485"/>
        <v>0</v>
      </c>
      <c r="AM1519" s="55" t="s">
        <v>1912</v>
      </c>
      <c r="AN1519" s="55">
        <v>0</v>
      </c>
      <c r="AO1519" s="55">
        <v>0</v>
      </c>
      <c r="AP1519" s="55">
        <f t="shared" si="481"/>
        <v>0</v>
      </c>
      <c r="AQ1519" s="55">
        <f>IFERROR(VLOOKUP(A1519,[1]SIIMPLES!$A$2:$F$418,6,FALSE),0)</f>
        <v>0</v>
      </c>
      <c r="AR1519" s="55">
        <v>0</v>
      </c>
      <c r="AS1519" s="55">
        <v>0</v>
      </c>
      <c r="AT1519" s="55">
        <v>0</v>
      </c>
      <c r="AU1519" s="55">
        <v>0</v>
      </c>
      <c r="AV1519" s="55">
        <v>0</v>
      </c>
      <c r="AW1519" s="96"/>
      <c r="AX1519" s="96"/>
      <c r="AY1519" s="97">
        <f t="shared" ref="AY1519:AY1531" si="490">IFERROR(AVERAGE(I1519,N1519,R1519,V1519,Z1519,AD1519,AH1519,AL1519,AP1519,AS1519,AW1519,AX1519),"-")</f>
        <v>0.2</v>
      </c>
      <c r="AZ1519" s="96"/>
      <c r="BA1519" s="96"/>
    </row>
    <row r="1520" spans="1:53" x14ac:dyDescent="0.2">
      <c r="A1520" s="91" t="s">
        <v>1945</v>
      </c>
      <c r="B1520" s="90"/>
      <c r="C1520" s="92" t="str">
        <f>VLOOKUP(A1520,[2]CMV!$A$1:$B$2115,2,FALSE)</f>
        <v>MOTO PEÇAS</v>
      </c>
      <c r="D1520" s="93" t="str">
        <f>VLOOKUP(A1520,[2]CMV!$A$1:$C$2115,3,FALSE)</f>
        <v>CABO AFOGADOR</v>
      </c>
      <c r="E1520" s="93" t="str">
        <f>VLOOKUP(A1520,[2]CMV!$A$1:$E$2115,5,FALSE)</f>
        <v>POLO</v>
      </c>
      <c r="F1520" s="95"/>
      <c r="G1520" s="94" t="str">
        <f>VLOOKUP(A1520,[2]CMV!$A$1:$F$2115,6,FALSE)</f>
        <v>CABO AFOGADOR HONDA CBX 250 TWISTER 5</v>
      </c>
      <c r="H1520" s="96"/>
      <c r="I1520" s="96"/>
      <c r="J1520" s="96"/>
      <c r="K1520" s="96"/>
      <c r="L1520" s="96"/>
      <c r="M1520" s="96"/>
      <c r="N1520" s="96"/>
      <c r="O1520" s="96"/>
      <c r="P1520" s="96"/>
      <c r="Q1520" s="96"/>
      <c r="R1520" s="96"/>
      <c r="S1520" s="96"/>
      <c r="T1520" s="96"/>
      <c r="U1520" s="96"/>
      <c r="V1520" s="96"/>
      <c r="W1520" s="96"/>
      <c r="X1520" s="96"/>
      <c r="Y1520" s="96"/>
      <c r="Z1520" s="96"/>
      <c r="AA1520" s="96"/>
      <c r="AB1520" s="96"/>
      <c r="AC1520" s="96"/>
      <c r="AD1520" s="88">
        <f t="shared" si="489"/>
        <v>2</v>
      </c>
      <c r="AE1520" s="96"/>
      <c r="AF1520" s="96"/>
      <c r="AG1520" s="88">
        <v>2</v>
      </c>
      <c r="AH1520" s="88">
        <f t="shared" ref="AH1520:AH1551" si="491">SUM(AI1520:AK1520)</f>
        <v>2</v>
      </c>
      <c r="AI1520" s="88">
        <v>0</v>
      </c>
      <c r="AJ1520" s="88">
        <v>0</v>
      </c>
      <c r="AK1520" s="88">
        <v>2</v>
      </c>
      <c r="AL1520" s="55">
        <f t="shared" si="485"/>
        <v>0</v>
      </c>
      <c r="AM1520" s="55" t="s">
        <v>1912</v>
      </c>
      <c r="AN1520" s="55">
        <v>0</v>
      </c>
      <c r="AO1520" s="55">
        <v>0</v>
      </c>
      <c r="AP1520" s="55">
        <f t="shared" si="481"/>
        <v>0</v>
      </c>
      <c r="AQ1520" s="55">
        <f>IFERROR(VLOOKUP(A1520,[1]SIIMPLES!$A$2:$F$418,6,FALSE),0)</f>
        <v>0</v>
      </c>
      <c r="AR1520" s="55">
        <v>0</v>
      </c>
      <c r="AS1520" s="55">
        <v>0</v>
      </c>
      <c r="AT1520" s="55">
        <v>0</v>
      </c>
      <c r="AU1520" s="55">
        <v>0</v>
      </c>
      <c r="AV1520" s="55">
        <v>0</v>
      </c>
      <c r="AW1520" s="96"/>
      <c r="AX1520" s="96"/>
      <c r="AY1520" s="97">
        <f t="shared" si="490"/>
        <v>0.8</v>
      </c>
      <c r="AZ1520" s="96"/>
      <c r="BA1520" s="96"/>
    </row>
    <row r="1521" spans="1:53" x14ac:dyDescent="0.2">
      <c r="A1521" s="91" t="s">
        <v>1962</v>
      </c>
      <c r="B1521" s="90"/>
      <c r="C1521" s="92" t="str">
        <f>VLOOKUP(A1521,[2]CMV!$A$1:$B$2115,2,FALSE)</f>
        <v>MOTO PEÇAS</v>
      </c>
      <c r="D1521" s="93" t="str">
        <f>VLOOKUP(A1521,[2]CMV!$A$1:$C$2115,3,FALSE)</f>
        <v>Cabo Tacômetro Moto</v>
      </c>
      <c r="E1521" s="93" t="str">
        <f>VLOOKUP(A1521,[2]CMV!$A$1:$E$2115,5,FALSE)</f>
        <v>POLO</v>
      </c>
      <c r="F1521" s="95"/>
      <c r="G1521" s="94" t="str">
        <f>VLOOKUP(A1521,[2]CMV!$A$1:$F$2115,6,FALSE)</f>
        <v>CABO TACÔMETRO SUZUKI YES 125 2</v>
      </c>
      <c r="H1521" s="96"/>
      <c r="I1521" s="96"/>
      <c r="J1521" s="96"/>
      <c r="K1521" s="96"/>
      <c r="L1521" s="96"/>
      <c r="M1521" s="96"/>
      <c r="N1521" s="96"/>
      <c r="O1521" s="96"/>
      <c r="P1521" s="96"/>
      <c r="Q1521" s="96"/>
      <c r="R1521" s="96"/>
      <c r="S1521" s="96"/>
      <c r="T1521" s="96"/>
      <c r="U1521" s="96"/>
      <c r="V1521" s="96"/>
      <c r="W1521" s="96"/>
      <c r="X1521" s="96"/>
      <c r="Y1521" s="96"/>
      <c r="Z1521" s="96"/>
      <c r="AA1521" s="96"/>
      <c r="AB1521" s="96"/>
      <c r="AC1521" s="96"/>
      <c r="AD1521" s="88">
        <f t="shared" si="489"/>
        <v>1</v>
      </c>
      <c r="AE1521" s="96"/>
      <c r="AF1521" s="96"/>
      <c r="AG1521" s="88">
        <v>1</v>
      </c>
      <c r="AH1521" s="88">
        <f t="shared" si="491"/>
        <v>0</v>
      </c>
      <c r="AI1521" s="88">
        <v>0</v>
      </c>
      <c r="AJ1521" s="88">
        <v>0</v>
      </c>
      <c r="AK1521" s="88">
        <v>0</v>
      </c>
      <c r="AL1521" s="55">
        <f t="shared" si="485"/>
        <v>0</v>
      </c>
      <c r="AM1521" s="88" t="s">
        <v>1912</v>
      </c>
      <c r="AN1521" s="55">
        <v>0</v>
      </c>
      <c r="AO1521" s="55">
        <v>0</v>
      </c>
      <c r="AP1521" s="55">
        <f t="shared" si="481"/>
        <v>0</v>
      </c>
      <c r="AQ1521" s="55">
        <f>IFERROR(VLOOKUP(A1521,[1]SIIMPLES!$A$2:$F$418,6,FALSE),0)</f>
        <v>0</v>
      </c>
      <c r="AR1521" s="55">
        <v>0</v>
      </c>
      <c r="AS1521" s="55">
        <v>0</v>
      </c>
      <c r="AT1521" s="55">
        <v>0</v>
      </c>
      <c r="AU1521" s="55">
        <v>0</v>
      </c>
      <c r="AV1521" s="55">
        <v>0</v>
      </c>
      <c r="AW1521" s="96"/>
      <c r="AX1521" s="96"/>
      <c r="AY1521" s="97">
        <f t="shared" si="490"/>
        <v>0.2</v>
      </c>
      <c r="AZ1521" s="96"/>
      <c r="BA1521" s="96"/>
    </row>
    <row r="1522" spans="1:53" x14ac:dyDescent="0.2">
      <c r="A1522" s="91" t="s">
        <v>1421</v>
      </c>
      <c r="B1522" s="90"/>
      <c r="C1522" s="92" t="s">
        <v>1851</v>
      </c>
      <c r="D1522" s="93" t="s">
        <v>755</v>
      </c>
      <c r="E1522" s="93" t="s">
        <v>741</v>
      </c>
      <c r="F1522" s="95">
        <f>IFERROR(VLOOKUP(E1522,Fornecedores!$A$2:$B$2700,2,FALSE),"")</f>
        <v>7</v>
      </c>
      <c r="G1522" s="93" t="s">
        <v>1648</v>
      </c>
      <c r="H1522" s="96"/>
      <c r="I1522" s="88">
        <f>SUM(J1522:M1522)</f>
        <v>0</v>
      </c>
      <c r="J1522" s="88">
        <v>0</v>
      </c>
      <c r="K1522" s="88">
        <v>0</v>
      </c>
      <c r="L1522" s="88">
        <v>0</v>
      </c>
      <c r="M1522" s="88">
        <v>0</v>
      </c>
      <c r="N1522" s="88">
        <f>SUM(O1522:Q1522)</f>
        <v>0</v>
      </c>
      <c r="O1522" s="88">
        <v>0</v>
      </c>
      <c r="P1522" s="88">
        <v>0</v>
      </c>
      <c r="Q1522" s="88">
        <v>0</v>
      </c>
      <c r="R1522" s="88">
        <f>SUM(S1522:U1522)</f>
        <v>0</v>
      </c>
      <c r="S1522" s="88">
        <v>0</v>
      </c>
      <c r="T1522" s="88">
        <v>0</v>
      </c>
      <c r="U1522" s="88">
        <v>0</v>
      </c>
      <c r="V1522" s="88">
        <v>0</v>
      </c>
      <c r="W1522" s="95">
        <v>0</v>
      </c>
      <c r="X1522" s="95">
        <v>0</v>
      </c>
      <c r="Y1522" s="88">
        <v>0</v>
      </c>
      <c r="Z1522" s="88">
        <v>0</v>
      </c>
      <c r="AA1522" s="95">
        <v>0</v>
      </c>
      <c r="AB1522" s="95">
        <v>0</v>
      </c>
      <c r="AC1522" s="88">
        <v>0</v>
      </c>
      <c r="AD1522" s="88">
        <f t="shared" si="489"/>
        <v>1</v>
      </c>
      <c r="AE1522" s="95">
        <v>0</v>
      </c>
      <c r="AF1522" s="88">
        <v>0</v>
      </c>
      <c r="AG1522" s="88">
        <v>1</v>
      </c>
      <c r="AH1522" s="88">
        <f t="shared" si="491"/>
        <v>0</v>
      </c>
      <c r="AI1522" s="88">
        <v>0</v>
      </c>
      <c r="AJ1522" s="88">
        <v>0</v>
      </c>
      <c r="AK1522" s="88">
        <v>0</v>
      </c>
      <c r="AL1522" s="55">
        <f t="shared" si="485"/>
        <v>0</v>
      </c>
      <c r="AM1522" s="88" t="s">
        <v>1912</v>
      </c>
      <c r="AN1522" s="88">
        <v>0</v>
      </c>
      <c r="AO1522" s="55">
        <v>0</v>
      </c>
      <c r="AP1522" s="55">
        <f t="shared" si="481"/>
        <v>0</v>
      </c>
      <c r="AQ1522" s="55">
        <f>IFERROR(VLOOKUP(A1522,[1]SIIMPLES!$A$2:$F$418,6,FALSE),0)</f>
        <v>0</v>
      </c>
      <c r="AR1522" s="55">
        <v>0</v>
      </c>
      <c r="AS1522" s="55">
        <v>0</v>
      </c>
      <c r="AT1522" s="55">
        <v>0</v>
      </c>
      <c r="AU1522" s="55">
        <v>0</v>
      </c>
      <c r="AV1522" s="55">
        <v>0</v>
      </c>
      <c r="AW1522" s="96"/>
      <c r="AX1522" s="88"/>
      <c r="AY1522" s="97">
        <f t="shared" si="490"/>
        <v>0.1</v>
      </c>
      <c r="AZ1522" s="88"/>
      <c r="BA1522" s="97">
        <v>0</v>
      </c>
    </row>
    <row r="1523" spans="1:53" x14ac:dyDescent="0.2">
      <c r="A1523" s="91" t="s">
        <v>1415</v>
      </c>
      <c r="B1523" s="90"/>
      <c r="C1523" s="92" t="s">
        <v>1851</v>
      </c>
      <c r="D1523" s="93" t="s">
        <v>755</v>
      </c>
      <c r="E1523" s="93" t="s">
        <v>741</v>
      </c>
      <c r="F1523" s="95">
        <f>IFERROR(VLOOKUP(E1523,Fornecedores!$A$2:$B$2700,2,FALSE),"")</f>
        <v>7</v>
      </c>
      <c r="G1523" s="93" t="s">
        <v>1647</v>
      </c>
      <c r="H1523" s="96"/>
      <c r="I1523" s="88">
        <f>SUM(J1523:M1523)</f>
        <v>0</v>
      </c>
      <c r="J1523" s="88">
        <v>0</v>
      </c>
      <c r="K1523" s="88">
        <v>0</v>
      </c>
      <c r="L1523" s="88">
        <v>0</v>
      </c>
      <c r="M1523" s="88">
        <v>0</v>
      </c>
      <c r="N1523" s="88">
        <f>SUM(O1523:Q1523)</f>
        <v>0</v>
      </c>
      <c r="O1523" s="88">
        <v>0</v>
      </c>
      <c r="P1523" s="88">
        <v>0</v>
      </c>
      <c r="Q1523" s="88">
        <v>0</v>
      </c>
      <c r="R1523" s="88">
        <f>SUM(S1523:U1523)</f>
        <v>5</v>
      </c>
      <c r="S1523" s="88">
        <v>0</v>
      </c>
      <c r="T1523" s="88">
        <v>0</v>
      </c>
      <c r="U1523" s="88">
        <v>5</v>
      </c>
      <c r="V1523" s="88">
        <v>0</v>
      </c>
      <c r="W1523" s="95">
        <v>0</v>
      </c>
      <c r="X1523" s="95">
        <v>0</v>
      </c>
      <c r="Y1523" s="88">
        <v>0</v>
      </c>
      <c r="Z1523" s="88">
        <v>0</v>
      </c>
      <c r="AA1523" s="95">
        <v>0</v>
      </c>
      <c r="AB1523" s="95">
        <v>0</v>
      </c>
      <c r="AC1523" s="88">
        <v>0</v>
      </c>
      <c r="AD1523" s="88">
        <f t="shared" si="489"/>
        <v>2</v>
      </c>
      <c r="AE1523" s="95">
        <v>0</v>
      </c>
      <c r="AF1523" s="88">
        <v>0</v>
      </c>
      <c r="AG1523" s="88">
        <v>2</v>
      </c>
      <c r="AH1523" s="88">
        <f t="shared" si="491"/>
        <v>0</v>
      </c>
      <c r="AI1523" s="88">
        <v>0</v>
      </c>
      <c r="AJ1523" s="88">
        <v>0</v>
      </c>
      <c r="AK1523" s="88">
        <v>0</v>
      </c>
      <c r="AL1523" s="55">
        <f t="shared" si="485"/>
        <v>0</v>
      </c>
      <c r="AM1523" s="88" t="s">
        <v>1912</v>
      </c>
      <c r="AN1523" s="88">
        <v>0</v>
      </c>
      <c r="AO1523" s="55">
        <v>0</v>
      </c>
      <c r="AP1523" s="55">
        <f t="shared" si="481"/>
        <v>0</v>
      </c>
      <c r="AQ1523" s="55">
        <f>IFERROR(VLOOKUP(A1523,[1]SIIMPLES!$A$2:$F$418,6,FALSE),0)</f>
        <v>0</v>
      </c>
      <c r="AR1523" s="55">
        <v>0</v>
      </c>
      <c r="AS1523" s="55">
        <v>0</v>
      </c>
      <c r="AT1523" s="55">
        <v>0</v>
      </c>
      <c r="AU1523" s="55">
        <v>0</v>
      </c>
      <c r="AV1523" s="55">
        <v>0</v>
      </c>
      <c r="AW1523" s="96"/>
      <c r="AX1523" s="88"/>
      <c r="AY1523" s="97">
        <f t="shared" si="490"/>
        <v>0.7</v>
      </c>
      <c r="AZ1523" s="88"/>
      <c r="BA1523" s="97">
        <v>0</v>
      </c>
    </row>
    <row r="1524" spans="1:53" x14ac:dyDescent="0.2">
      <c r="A1524" s="91" t="s">
        <v>1965</v>
      </c>
      <c r="B1524" s="90"/>
      <c r="C1524" s="92" t="str">
        <f>VLOOKUP(A1524,[2]CMV!$A$1:$B$2115,2,FALSE)</f>
        <v>MOTO PEÇAS</v>
      </c>
      <c r="D1524" s="93" t="str">
        <f>VLOOKUP(A1524,[2]CMV!$A$1:$C$2115,3,FALSE)</f>
        <v>Cabo velocímetro Moto</v>
      </c>
      <c r="E1524" s="93" t="str">
        <f>VLOOKUP(A1524,[2]CMV!$A$1:$E$2115,5,FALSE)</f>
        <v>POLO</v>
      </c>
      <c r="F1524" s="95"/>
      <c r="G1524" s="94" t="str">
        <f>VLOOKUP(A1524,[2]CMV!$A$1:$F$2115,6,FALSE)</f>
        <v>CABO DE VELOCÍMETRO PARA MOTO HONDA CG 125 TITAN KS 2000 EM DIANTE</v>
      </c>
      <c r="H1524" s="96"/>
      <c r="I1524" s="96"/>
      <c r="J1524" s="96"/>
      <c r="K1524" s="96"/>
      <c r="L1524" s="96"/>
      <c r="M1524" s="96"/>
      <c r="N1524" s="96"/>
      <c r="O1524" s="96"/>
      <c r="P1524" s="96"/>
      <c r="Q1524" s="96"/>
      <c r="R1524" s="96"/>
      <c r="S1524" s="96"/>
      <c r="T1524" s="96"/>
      <c r="U1524" s="96"/>
      <c r="V1524" s="96"/>
      <c r="W1524" s="96"/>
      <c r="X1524" s="96"/>
      <c r="Y1524" s="96"/>
      <c r="Z1524" s="96"/>
      <c r="AA1524" s="96"/>
      <c r="AB1524" s="96"/>
      <c r="AC1524" s="96"/>
      <c r="AD1524" s="88">
        <f t="shared" si="489"/>
        <v>1</v>
      </c>
      <c r="AE1524" s="96"/>
      <c r="AF1524" s="96"/>
      <c r="AG1524" s="88">
        <v>1</v>
      </c>
      <c r="AH1524" s="88">
        <f t="shared" si="491"/>
        <v>0</v>
      </c>
      <c r="AI1524" s="88">
        <v>0</v>
      </c>
      <c r="AJ1524" s="88">
        <v>0</v>
      </c>
      <c r="AK1524" s="88">
        <v>0</v>
      </c>
      <c r="AL1524" s="55">
        <f t="shared" si="485"/>
        <v>0</v>
      </c>
      <c r="AM1524" s="88" t="s">
        <v>1912</v>
      </c>
      <c r="AN1524" s="88">
        <v>0</v>
      </c>
      <c r="AO1524" s="55">
        <v>0</v>
      </c>
      <c r="AP1524" s="55">
        <f t="shared" si="481"/>
        <v>0</v>
      </c>
      <c r="AQ1524" s="55">
        <f>IFERROR(VLOOKUP(A1524,[1]SIIMPLES!$A$2:$F$418,6,FALSE),0)</f>
        <v>0</v>
      </c>
      <c r="AR1524" s="55">
        <v>0</v>
      </c>
      <c r="AS1524" s="55">
        <v>0</v>
      </c>
      <c r="AT1524" s="55">
        <v>0</v>
      </c>
      <c r="AU1524" s="55">
        <v>0</v>
      </c>
      <c r="AV1524" s="55">
        <v>0</v>
      </c>
      <c r="AW1524" s="96"/>
      <c r="AX1524" s="96"/>
      <c r="AY1524" s="97">
        <f t="shared" si="490"/>
        <v>0.2</v>
      </c>
      <c r="AZ1524" s="96"/>
      <c r="BA1524" s="96"/>
    </row>
    <row r="1525" spans="1:53" x14ac:dyDescent="0.2">
      <c r="A1525" s="91" t="s">
        <v>1966</v>
      </c>
      <c r="B1525" s="90"/>
      <c r="C1525" s="92" t="str">
        <f>VLOOKUP(A1525,[2]CMV!$A$1:$B$2115,2,FALSE)</f>
        <v>MOTO PEÇAS</v>
      </c>
      <c r="D1525" s="93" t="str">
        <f>VLOOKUP(A1525,[2]CMV!$A$1:$C$2115,3,FALSE)</f>
        <v>Cabo velocímetro Moto</v>
      </c>
      <c r="E1525" s="93" t="str">
        <f>VLOOKUP(A1525,[2]CMV!$A$1:$E$2115,5,FALSE)</f>
        <v>POLO</v>
      </c>
      <c r="F1525" s="95"/>
      <c r="G1525" s="94" t="str">
        <f>VLOOKUP(A1525,[2]CMV!$A$1:$F$2115,6,FALSE)</f>
        <v>CABO DE VELOCÍMETRO PARA MOTO HONDA CBX 250 TWISTER</v>
      </c>
      <c r="H1525" s="96"/>
      <c r="I1525" s="96"/>
      <c r="J1525" s="96"/>
      <c r="K1525" s="96"/>
      <c r="L1525" s="96"/>
      <c r="M1525" s="96"/>
      <c r="N1525" s="96"/>
      <c r="O1525" s="96"/>
      <c r="P1525" s="96"/>
      <c r="Q1525" s="96"/>
      <c r="R1525" s="96"/>
      <c r="S1525" s="96"/>
      <c r="T1525" s="96"/>
      <c r="U1525" s="96"/>
      <c r="V1525" s="96"/>
      <c r="W1525" s="96"/>
      <c r="X1525" s="96"/>
      <c r="Y1525" s="96"/>
      <c r="Z1525" s="96"/>
      <c r="AA1525" s="96"/>
      <c r="AB1525" s="96"/>
      <c r="AC1525" s="96"/>
      <c r="AD1525" s="88">
        <f t="shared" si="489"/>
        <v>1</v>
      </c>
      <c r="AE1525" s="96"/>
      <c r="AF1525" s="96"/>
      <c r="AG1525" s="88">
        <v>1</v>
      </c>
      <c r="AH1525" s="88">
        <f t="shared" si="491"/>
        <v>0</v>
      </c>
      <c r="AI1525" s="88">
        <v>0</v>
      </c>
      <c r="AJ1525" s="88">
        <v>0</v>
      </c>
      <c r="AK1525" s="88">
        <v>0</v>
      </c>
      <c r="AL1525" s="55">
        <f t="shared" si="485"/>
        <v>0</v>
      </c>
      <c r="AM1525" s="88" t="s">
        <v>1912</v>
      </c>
      <c r="AN1525" s="88">
        <v>0</v>
      </c>
      <c r="AO1525" s="55">
        <v>0</v>
      </c>
      <c r="AP1525" s="55">
        <f t="shared" si="481"/>
        <v>0</v>
      </c>
      <c r="AQ1525" s="55">
        <f>IFERROR(VLOOKUP(A1525,[1]SIIMPLES!$A$2:$F$418,6,FALSE),0)</f>
        <v>0</v>
      </c>
      <c r="AR1525" s="55">
        <v>0</v>
      </c>
      <c r="AS1525" s="55">
        <v>0</v>
      </c>
      <c r="AT1525" s="55">
        <v>0</v>
      </c>
      <c r="AU1525" s="55">
        <v>0</v>
      </c>
      <c r="AV1525" s="55">
        <v>0</v>
      </c>
      <c r="AW1525" s="96"/>
      <c r="AX1525" s="96"/>
      <c r="AY1525" s="97">
        <f t="shared" si="490"/>
        <v>0.2</v>
      </c>
      <c r="AZ1525" s="96"/>
      <c r="BA1525" s="96"/>
    </row>
    <row r="1526" spans="1:53" x14ac:dyDescent="0.2">
      <c r="A1526" s="91" t="s">
        <v>1967</v>
      </c>
      <c r="B1526" s="90"/>
      <c r="C1526" s="92" t="str">
        <f>VLOOKUP(A1526,[2]CMV!$A$1:$B$2115,2,FALSE)</f>
        <v>MOTO PEÇAS</v>
      </c>
      <c r="D1526" s="93" t="str">
        <f>VLOOKUP(A1526,[2]CMV!$A$1:$C$2115,3,FALSE)</f>
        <v>Cabo velocímetro Moto</v>
      </c>
      <c r="E1526" s="93" t="str">
        <f>VLOOKUP(A1526,[2]CMV!$A$1:$E$2115,5,FALSE)</f>
        <v>POLO</v>
      </c>
      <c r="F1526" s="95"/>
      <c r="G1526" s="94" t="str">
        <f>VLOOKUP(A1526,[2]CMV!$A$1:$F$2115,6,FALSE)</f>
        <v>CABO DE VELOCÍMETRO PARA MOTO HONDA NXR 150 BROS ATÉ 2015</v>
      </c>
      <c r="H1526" s="96"/>
      <c r="I1526" s="96"/>
      <c r="J1526" s="96"/>
      <c r="K1526" s="96"/>
      <c r="L1526" s="96"/>
      <c r="M1526" s="96"/>
      <c r="N1526" s="96"/>
      <c r="O1526" s="96"/>
      <c r="P1526" s="96"/>
      <c r="Q1526" s="96"/>
      <c r="R1526" s="96"/>
      <c r="S1526" s="96"/>
      <c r="T1526" s="96"/>
      <c r="U1526" s="96"/>
      <c r="V1526" s="96"/>
      <c r="W1526" s="96"/>
      <c r="X1526" s="96"/>
      <c r="Y1526" s="96"/>
      <c r="Z1526" s="96"/>
      <c r="AA1526" s="96"/>
      <c r="AB1526" s="96"/>
      <c r="AC1526" s="96"/>
      <c r="AD1526" s="88">
        <f t="shared" si="489"/>
        <v>1</v>
      </c>
      <c r="AE1526" s="96"/>
      <c r="AF1526" s="96"/>
      <c r="AG1526" s="88">
        <v>1</v>
      </c>
      <c r="AH1526" s="88">
        <f t="shared" si="491"/>
        <v>0</v>
      </c>
      <c r="AI1526" s="88">
        <v>0</v>
      </c>
      <c r="AJ1526" s="88">
        <v>0</v>
      </c>
      <c r="AK1526" s="88">
        <v>0</v>
      </c>
      <c r="AL1526" s="55">
        <f t="shared" si="485"/>
        <v>0</v>
      </c>
      <c r="AM1526" s="88" t="s">
        <v>1912</v>
      </c>
      <c r="AN1526" s="88">
        <v>0</v>
      </c>
      <c r="AO1526" s="55">
        <v>0</v>
      </c>
      <c r="AP1526" s="55">
        <f t="shared" si="481"/>
        <v>0</v>
      </c>
      <c r="AQ1526" s="55">
        <f>IFERROR(VLOOKUP(A1526,[1]SIIMPLES!$A$2:$F$418,6,FALSE),0)</f>
        <v>0</v>
      </c>
      <c r="AR1526" s="55">
        <v>0</v>
      </c>
      <c r="AS1526" s="55">
        <v>0</v>
      </c>
      <c r="AT1526" s="55">
        <v>0</v>
      </c>
      <c r="AU1526" s="55">
        <v>0</v>
      </c>
      <c r="AV1526" s="55">
        <v>0</v>
      </c>
      <c r="AW1526" s="96"/>
      <c r="AX1526" s="96"/>
      <c r="AY1526" s="97">
        <f t="shared" si="490"/>
        <v>0.2</v>
      </c>
      <c r="AZ1526" s="96"/>
      <c r="BA1526" s="96"/>
    </row>
    <row r="1527" spans="1:53" x14ac:dyDescent="0.2">
      <c r="A1527" s="91" t="s">
        <v>1968</v>
      </c>
      <c r="B1527" s="90"/>
      <c r="C1527" s="92" t="str">
        <f>VLOOKUP(A1527,[2]CMV!$A$1:$B$2115,2,FALSE)</f>
        <v>MOTO PEÇAS</v>
      </c>
      <c r="D1527" s="93" t="str">
        <f>VLOOKUP(A1527,[2]CMV!$A$1:$C$2115,3,FALSE)</f>
        <v>Cabo velocímetro Moto</v>
      </c>
      <c r="E1527" s="93" t="str">
        <f>VLOOKUP(A1527,[2]CMV!$A$1:$E$2115,5,FALSE)</f>
        <v>POLO</v>
      </c>
      <c r="F1527" s="95"/>
      <c r="G1527" s="94" t="str">
        <f>VLOOKUP(A1527,[2]CMV!$A$1:$F$2115,6,FALSE)</f>
        <v>CABO DE VELOCÍMETRO PARA MOTO HONDA XLR 125 NX 200 XR 250 NX 400 FALCON</v>
      </c>
      <c r="H1527" s="96"/>
      <c r="I1527" s="96"/>
      <c r="J1527" s="96"/>
      <c r="K1527" s="96"/>
      <c r="L1527" s="96"/>
      <c r="M1527" s="96"/>
      <c r="N1527" s="96"/>
      <c r="O1527" s="96"/>
      <c r="P1527" s="96"/>
      <c r="Q1527" s="96"/>
      <c r="R1527" s="96"/>
      <c r="S1527" s="96"/>
      <c r="T1527" s="96"/>
      <c r="U1527" s="96"/>
      <c r="V1527" s="96"/>
      <c r="W1527" s="96"/>
      <c r="X1527" s="96"/>
      <c r="Y1527" s="96"/>
      <c r="Z1527" s="96"/>
      <c r="AA1527" s="96"/>
      <c r="AB1527" s="96"/>
      <c r="AC1527" s="96"/>
      <c r="AD1527" s="88">
        <f t="shared" si="489"/>
        <v>1</v>
      </c>
      <c r="AE1527" s="96"/>
      <c r="AF1527" s="96"/>
      <c r="AG1527" s="88">
        <v>1</v>
      </c>
      <c r="AH1527" s="88">
        <f t="shared" si="491"/>
        <v>0</v>
      </c>
      <c r="AI1527" s="88">
        <v>0</v>
      </c>
      <c r="AJ1527" s="88">
        <v>0</v>
      </c>
      <c r="AK1527" s="88">
        <v>0</v>
      </c>
      <c r="AL1527" s="55">
        <f t="shared" si="485"/>
        <v>1</v>
      </c>
      <c r="AM1527" s="88" t="s">
        <v>1912</v>
      </c>
      <c r="AN1527" s="88">
        <v>0</v>
      </c>
      <c r="AO1527" s="55">
        <v>1</v>
      </c>
      <c r="AP1527" s="55">
        <f t="shared" si="481"/>
        <v>0</v>
      </c>
      <c r="AQ1527" s="55">
        <f>IFERROR(VLOOKUP(A1527,[1]SIIMPLES!$A$2:$F$418,6,FALSE),0)</f>
        <v>0</v>
      </c>
      <c r="AR1527" s="55">
        <v>0</v>
      </c>
      <c r="AS1527" s="55">
        <v>0</v>
      </c>
      <c r="AT1527" s="55">
        <v>0</v>
      </c>
      <c r="AU1527" s="55">
        <v>0</v>
      </c>
      <c r="AV1527" s="55">
        <v>0</v>
      </c>
      <c r="AW1527" s="96"/>
      <c r="AX1527" s="96"/>
      <c r="AY1527" s="97">
        <f t="shared" si="490"/>
        <v>0.4</v>
      </c>
      <c r="AZ1527" s="96"/>
      <c r="BA1527" s="96"/>
    </row>
    <row r="1528" spans="1:53" x14ac:dyDescent="0.2">
      <c r="A1528" s="90" t="s">
        <v>1849</v>
      </c>
      <c r="B1528" s="90"/>
      <c r="C1528" s="92" t="s">
        <v>1851</v>
      </c>
      <c r="D1528" s="93" t="s">
        <v>755</v>
      </c>
      <c r="E1528" s="93" t="s">
        <v>741</v>
      </c>
      <c r="F1528" s="95">
        <f>IFERROR(VLOOKUP(E1528,Fornecedores!$A$2:$B$2700,2,FALSE),"")</f>
        <v>7</v>
      </c>
      <c r="G1528" s="93" t="s">
        <v>1590</v>
      </c>
      <c r="H1528" s="96"/>
      <c r="I1528" s="88">
        <f>SUM(J1528:M1528)</f>
        <v>1</v>
      </c>
      <c r="J1528" s="88">
        <v>1</v>
      </c>
      <c r="K1528" s="88">
        <v>0</v>
      </c>
      <c r="L1528" s="88">
        <v>0</v>
      </c>
      <c r="M1528" s="88">
        <v>0</v>
      </c>
      <c r="N1528" s="88">
        <f>SUM(O1528:Q1528)</f>
        <v>1</v>
      </c>
      <c r="O1528" s="88">
        <v>1</v>
      </c>
      <c r="P1528" s="88">
        <v>0</v>
      </c>
      <c r="Q1528" s="88">
        <v>0</v>
      </c>
      <c r="R1528" s="88">
        <f>SUM(S1528:U1528)</f>
        <v>2</v>
      </c>
      <c r="S1528" s="88">
        <v>2</v>
      </c>
      <c r="T1528" s="88">
        <v>0</v>
      </c>
      <c r="U1528" s="88">
        <v>0</v>
      </c>
      <c r="V1528" s="88">
        <v>0</v>
      </c>
      <c r="W1528" s="95">
        <v>0</v>
      </c>
      <c r="X1528" s="95">
        <v>0</v>
      </c>
      <c r="Y1528" s="88">
        <v>0</v>
      </c>
      <c r="Z1528" s="88">
        <v>0</v>
      </c>
      <c r="AA1528" s="95">
        <v>0</v>
      </c>
      <c r="AB1528" s="95">
        <v>0</v>
      </c>
      <c r="AC1528" s="88">
        <v>0</v>
      </c>
      <c r="AD1528" s="88">
        <f t="shared" si="489"/>
        <v>1</v>
      </c>
      <c r="AE1528" s="95">
        <v>0</v>
      </c>
      <c r="AF1528" s="88">
        <v>0</v>
      </c>
      <c r="AG1528" s="88">
        <v>1</v>
      </c>
      <c r="AH1528" s="88">
        <f t="shared" si="491"/>
        <v>0</v>
      </c>
      <c r="AI1528" s="88">
        <v>0</v>
      </c>
      <c r="AJ1528" s="88">
        <v>0</v>
      </c>
      <c r="AK1528" s="88">
        <v>0</v>
      </c>
      <c r="AL1528" s="55">
        <f t="shared" si="485"/>
        <v>0</v>
      </c>
      <c r="AM1528" s="88" t="s">
        <v>1912</v>
      </c>
      <c r="AN1528" s="88">
        <v>0</v>
      </c>
      <c r="AO1528" s="55">
        <v>0</v>
      </c>
      <c r="AP1528" s="55">
        <f t="shared" si="481"/>
        <v>0</v>
      </c>
      <c r="AQ1528" s="55">
        <f>IFERROR(VLOOKUP(A1528,[1]SIIMPLES!$A$2:$F$418,6,FALSE),0)</f>
        <v>0</v>
      </c>
      <c r="AR1528" s="55">
        <v>0</v>
      </c>
      <c r="AS1528" s="55">
        <v>0</v>
      </c>
      <c r="AT1528" s="55">
        <v>0</v>
      </c>
      <c r="AU1528" s="55">
        <v>0</v>
      </c>
      <c r="AV1528" s="55">
        <v>0</v>
      </c>
      <c r="AW1528" s="96"/>
      <c r="AX1528" s="88"/>
      <c r="AY1528" s="97">
        <f t="shared" si="490"/>
        <v>0.5</v>
      </c>
      <c r="AZ1528" s="88"/>
      <c r="BA1528" s="97" t="s">
        <v>1912</v>
      </c>
    </row>
    <row r="1529" spans="1:53" x14ac:dyDescent="0.2">
      <c r="A1529" s="90" t="s">
        <v>1848</v>
      </c>
      <c r="B1529" s="90"/>
      <c r="C1529" s="92" t="s">
        <v>1851</v>
      </c>
      <c r="D1529" s="93" t="s">
        <v>755</v>
      </c>
      <c r="E1529" s="93" t="s">
        <v>741</v>
      </c>
      <c r="F1529" s="95">
        <f>IFERROR(VLOOKUP(E1529,Fornecedores!$A$2:$B$2700,2,FALSE),"")</f>
        <v>7</v>
      </c>
      <c r="G1529" s="93" t="s">
        <v>1694</v>
      </c>
      <c r="H1529" s="96"/>
      <c r="I1529" s="88">
        <f>SUM(J1529:M1529)</f>
        <v>0</v>
      </c>
      <c r="J1529" s="96"/>
      <c r="K1529" s="96"/>
      <c r="L1529" s="96"/>
      <c r="M1529" s="96"/>
      <c r="N1529" s="88">
        <f>SUM(O1529:Q1529)</f>
        <v>2</v>
      </c>
      <c r="O1529" s="88">
        <v>2</v>
      </c>
      <c r="P1529" s="88">
        <v>0</v>
      </c>
      <c r="Q1529" s="88">
        <v>0</v>
      </c>
      <c r="R1529" s="88">
        <f>SUM(S1529:U1529)</f>
        <v>0</v>
      </c>
      <c r="S1529" s="88">
        <v>0</v>
      </c>
      <c r="T1529" s="88">
        <v>0</v>
      </c>
      <c r="U1529" s="88">
        <v>0</v>
      </c>
      <c r="V1529" s="88">
        <v>0</v>
      </c>
      <c r="W1529" s="95">
        <v>0</v>
      </c>
      <c r="X1529" s="95">
        <v>0</v>
      </c>
      <c r="Y1529" s="88">
        <v>0</v>
      </c>
      <c r="Z1529" s="88">
        <v>2</v>
      </c>
      <c r="AA1529" s="95">
        <v>2</v>
      </c>
      <c r="AB1529" s="95">
        <v>0</v>
      </c>
      <c r="AC1529" s="88">
        <v>0</v>
      </c>
      <c r="AD1529" s="88">
        <f t="shared" si="489"/>
        <v>2</v>
      </c>
      <c r="AE1529" s="95">
        <v>1</v>
      </c>
      <c r="AF1529" s="88">
        <v>0</v>
      </c>
      <c r="AG1529" s="88">
        <v>1</v>
      </c>
      <c r="AH1529" s="88">
        <f t="shared" si="491"/>
        <v>0</v>
      </c>
      <c r="AI1529" s="88">
        <v>0</v>
      </c>
      <c r="AJ1529" s="88">
        <v>0</v>
      </c>
      <c r="AK1529" s="88">
        <v>0</v>
      </c>
      <c r="AL1529" s="55">
        <f t="shared" si="485"/>
        <v>0</v>
      </c>
      <c r="AM1529" s="88" t="s">
        <v>1912</v>
      </c>
      <c r="AN1529" s="88">
        <v>0</v>
      </c>
      <c r="AO1529" s="55">
        <v>0</v>
      </c>
      <c r="AP1529" s="55">
        <f t="shared" si="481"/>
        <v>0</v>
      </c>
      <c r="AQ1529" s="55">
        <f>IFERROR(VLOOKUP(A1529,[1]SIIMPLES!$A$2:$F$418,6,FALSE),0)</f>
        <v>0</v>
      </c>
      <c r="AR1529" s="55">
        <v>0</v>
      </c>
      <c r="AS1529" s="55">
        <v>0</v>
      </c>
      <c r="AT1529" s="55">
        <v>0</v>
      </c>
      <c r="AU1529" s="55">
        <v>0</v>
      </c>
      <c r="AV1529" s="55">
        <v>0</v>
      </c>
      <c r="AW1529" s="96"/>
      <c r="AX1529" s="96"/>
      <c r="AY1529" s="97">
        <f t="shared" si="490"/>
        <v>0.6</v>
      </c>
      <c r="AZ1529" s="96"/>
      <c r="BA1529" s="97" t="s">
        <v>1912</v>
      </c>
    </row>
    <row r="1530" spans="1:53" x14ac:dyDescent="0.2">
      <c r="A1530" s="90" t="s">
        <v>1791</v>
      </c>
      <c r="B1530" s="90"/>
      <c r="C1530" s="92" t="s">
        <v>1851</v>
      </c>
      <c r="D1530" s="93" t="s">
        <v>1898</v>
      </c>
      <c r="E1530" s="93" t="str">
        <f>VLOOKUP(A1530,[3]CMV!$A$1:$E$1988,5,FALSE)</f>
        <v>POLO</v>
      </c>
      <c r="F1530" s="95"/>
      <c r="G1530" s="93" t="str">
        <f>VLOOKUP(A1530,[2]CMV!$A$1:$F$2043,6,FALSE)</f>
        <v>CABO DE VELOCÍMETRO PARA MOTO HONDA CG 150 TITAN EDS ES ESD KS</v>
      </c>
      <c r="H1530" s="96"/>
      <c r="I1530" s="88">
        <f>SUM(J1530:M1530)</f>
        <v>0</v>
      </c>
      <c r="J1530" s="88">
        <v>0</v>
      </c>
      <c r="K1530" s="88">
        <v>0</v>
      </c>
      <c r="L1530" s="88">
        <v>0</v>
      </c>
      <c r="M1530" s="88">
        <v>0</v>
      </c>
      <c r="N1530" s="88">
        <f>SUM(O1530:Q1530)</f>
        <v>0</v>
      </c>
      <c r="O1530" s="96"/>
      <c r="P1530" s="96"/>
      <c r="Q1530" s="96"/>
      <c r="R1530" s="88">
        <f>SUM(S1530:U1530)</f>
        <v>0</v>
      </c>
      <c r="S1530" s="96"/>
      <c r="T1530" s="96"/>
      <c r="U1530" s="96"/>
      <c r="V1530" s="88">
        <v>6</v>
      </c>
      <c r="W1530" s="96"/>
      <c r="X1530" s="95">
        <v>0</v>
      </c>
      <c r="Y1530" s="88">
        <v>6</v>
      </c>
      <c r="Z1530" s="88">
        <v>0</v>
      </c>
      <c r="AA1530" s="95">
        <v>0</v>
      </c>
      <c r="AB1530" s="95">
        <v>0</v>
      </c>
      <c r="AC1530" s="88">
        <v>0</v>
      </c>
      <c r="AD1530" s="88">
        <f t="shared" si="489"/>
        <v>1</v>
      </c>
      <c r="AE1530" s="95">
        <v>0</v>
      </c>
      <c r="AF1530" s="88">
        <v>0</v>
      </c>
      <c r="AG1530" s="88">
        <v>1</v>
      </c>
      <c r="AH1530" s="88">
        <f t="shared" si="491"/>
        <v>0</v>
      </c>
      <c r="AI1530" s="88">
        <v>0</v>
      </c>
      <c r="AJ1530" s="88">
        <v>0</v>
      </c>
      <c r="AK1530" s="88">
        <v>0</v>
      </c>
      <c r="AL1530" s="55">
        <f t="shared" si="485"/>
        <v>0</v>
      </c>
      <c r="AM1530" s="88" t="s">
        <v>1912</v>
      </c>
      <c r="AN1530" s="88">
        <v>0</v>
      </c>
      <c r="AO1530" s="55">
        <v>0</v>
      </c>
      <c r="AP1530" s="55">
        <f t="shared" si="481"/>
        <v>0</v>
      </c>
      <c r="AQ1530" s="55">
        <f>IFERROR(VLOOKUP(A1530,[1]SIIMPLES!$A$2:$F$418,6,FALSE),0)</f>
        <v>0</v>
      </c>
      <c r="AR1530" s="55">
        <v>0</v>
      </c>
      <c r="AS1530" s="55">
        <v>0</v>
      </c>
      <c r="AT1530" s="55">
        <v>0</v>
      </c>
      <c r="AU1530" s="55">
        <v>0</v>
      </c>
      <c r="AV1530" s="55">
        <v>0</v>
      </c>
      <c r="AW1530" s="96"/>
      <c r="AX1530" s="96"/>
      <c r="AY1530" s="97">
        <f t="shared" si="490"/>
        <v>0.7</v>
      </c>
      <c r="AZ1530" s="96"/>
      <c r="BA1530" s="97" t="s">
        <v>1912</v>
      </c>
    </row>
    <row r="1531" spans="1:53" x14ac:dyDescent="0.2">
      <c r="A1531" s="91" t="s">
        <v>1954</v>
      </c>
      <c r="B1531" s="90"/>
      <c r="C1531" s="92" t="str">
        <f>VLOOKUP(A1531,[2]CMV!$A$1:$B$2115,2,FALSE)</f>
        <v>MOTO PEÇAS</v>
      </c>
      <c r="D1531" s="93" t="str">
        <f>VLOOKUP(A1531,[2]CMV!$A$1:$C$2115,3,FALSE)</f>
        <v>Cabo velocímetro Moto</v>
      </c>
      <c r="E1531" s="93" t="str">
        <f>VLOOKUP(A1531,[2]CMV!$A$1:$E$2115,5,FALSE)</f>
        <v>POLO</v>
      </c>
      <c r="F1531" s="95"/>
      <c r="G1531" s="94" t="str">
        <f>VLOOKUP(A1531,[2]CMV!$A$1:$F$2115,6,FALSE)</f>
        <v>CABO VELOCÍMETRO YAMAHA YBR 125 FACTOR 5</v>
      </c>
      <c r="H1531" s="96"/>
      <c r="I1531" s="96"/>
      <c r="J1531" s="96"/>
      <c r="K1531" s="96"/>
      <c r="L1531" s="96"/>
      <c r="M1531" s="96"/>
      <c r="N1531" s="96"/>
      <c r="O1531" s="96"/>
      <c r="P1531" s="96"/>
      <c r="Q1531" s="96"/>
      <c r="R1531" s="96"/>
      <c r="S1531" s="96"/>
      <c r="T1531" s="96"/>
      <c r="U1531" s="96"/>
      <c r="V1531" s="96"/>
      <c r="W1531" s="96"/>
      <c r="X1531" s="96"/>
      <c r="Y1531" s="96"/>
      <c r="Z1531" s="96"/>
      <c r="AA1531" s="96"/>
      <c r="AB1531" s="96"/>
      <c r="AC1531" s="96"/>
      <c r="AD1531" s="88">
        <f t="shared" si="489"/>
        <v>2</v>
      </c>
      <c r="AE1531" s="96"/>
      <c r="AF1531" s="96"/>
      <c r="AG1531" s="88">
        <v>2</v>
      </c>
      <c r="AH1531" s="88">
        <f t="shared" si="491"/>
        <v>0</v>
      </c>
      <c r="AI1531" s="88">
        <v>0</v>
      </c>
      <c r="AJ1531" s="88">
        <v>0</v>
      </c>
      <c r="AK1531" s="88">
        <v>0</v>
      </c>
      <c r="AL1531" s="55">
        <f t="shared" si="485"/>
        <v>0</v>
      </c>
      <c r="AM1531" s="88" t="s">
        <v>1912</v>
      </c>
      <c r="AN1531" s="88">
        <v>0</v>
      </c>
      <c r="AO1531" s="55">
        <v>0</v>
      </c>
      <c r="AP1531" s="55">
        <f t="shared" si="481"/>
        <v>0</v>
      </c>
      <c r="AQ1531" s="55">
        <f>IFERROR(VLOOKUP(A1531,[1]SIIMPLES!$A$2:$F$418,6,FALSE),0)</f>
        <v>0</v>
      </c>
      <c r="AR1531" s="55">
        <v>0</v>
      </c>
      <c r="AS1531" s="55">
        <v>0</v>
      </c>
      <c r="AT1531" s="55">
        <v>0</v>
      </c>
      <c r="AU1531" s="55">
        <v>0</v>
      </c>
      <c r="AV1531" s="55">
        <v>0</v>
      </c>
      <c r="AW1531" s="96"/>
      <c r="AX1531" s="96"/>
      <c r="AY1531" s="97">
        <f t="shared" si="490"/>
        <v>0.4</v>
      </c>
      <c r="AZ1531" s="96"/>
      <c r="BA1531" s="96"/>
    </row>
    <row r="1532" spans="1:53" x14ac:dyDescent="0.2">
      <c r="A1532" s="86" t="s">
        <v>1974</v>
      </c>
      <c r="C1532" s="26" t="s">
        <v>1851</v>
      </c>
      <c r="D1532" s="38" t="s">
        <v>2012</v>
      </c>
      <c r="E1532" s="38">
        <v>0</v>
      </c>
      <c r="G1532" s="15" t="s">
        <v>2013</v>
      </c>
      <c r="AH1532" s="87">
        <f t="shared" si="491"/>
        <v>22</v>
      </c>
      <c r="AK1532" s="88">
        <v>22</v>
      </c>
      <c r="AL1532" s="55">
        <f t="shared" si="485"/>
        <v>0</v>
      </c>
      <c r="AM1532" s="88" t="s">
        <v>1912</v>
      </c>
      <c r="AN1532" s="88">
        <v>0</v>
      </c>
      <c r="AO1532" s="55">
        <v>0</v>
      </c>
      <c r="AP1532" s="55">
        <f t="shared" si="481"/>
        <v>0</v>
      </c>
      <c r="AQ1532" s="55">
        <f>IFERROR(VLOOKUP(A1532,[1]SIIMPLES!$A$2:$F$418,6,FALSE),0)</f>
        <v>0</v>
      </c>
      <c r="AR1532" s="55">
        <v>0</v>
      </c>
      <c r="AS1532" s="55">
        <v>0</v>
      </c>
      <c r="AT1532" s="55">
        <v>0</v>
      </c>
      <c r="AU1532" s="55">
        <v>0</v>
      </c>
      <c r="AV1532" s="55">
        <v>0</v>
      </c>
    </row>
    <row r="1533" spans="1:53" x14ac:dyDescent="0.2">
      <c r="A1533" s="86" t="s">
        <v>1975</v>
      </c>
      <c r="C1533" s="26" t="s">
        <v>1851</v>
      </c>
      <c r="D1533" s="38" t="s">
        <v>2016</v>
      </c>
      <c r="E1533" s="38" t="s">
        <v>2017</v>
      </c>
      <c r="G1533" s="15" t="s">
        <v>2018</v>
      </c>
      <c r="AH1533" s="87">
        <f t="shared" si="491"/>
        <v>2</v>
      </c>
      <c r="AK1533" s="88">
        <v>2</v>
      </c>
      <c r="AL1533" s="55">
        <f t="shared" si="485"/>
        <v>2</v>
      </c>
      <c r="AM1533" s="88" t="s">
        <v>1912</v>
      </c>
      <c r="AN1533" s="88">
        <v>0</v>
      </c>
      <c r="AO1533" s="55">
        <v>2</v>
      </c>
      <c r="AP1533" s="55">
        <f t="shared" si="481"/>
        <v>0</v>
      </c>
      <c r="AQ1533" s="55">
        <f>IFERROR(VLOOKUP(A1533,[1]SIIMPLES!$A$2:$F$418,6,FALSE),0)</f>
        <v>0</v>
      </c>
      <c r="AR1533" s="55">
        <v>0</v>
      </c>
      <c r="AS1533" s="55">
        <v>0</v>
      </c>
      <c r="AT1533" s="55">
        <v>0</v>
      </c>
      <c r="AU1533" s="55">
        <v>0</v>
      </c>
      <c r="AV1533" s="55">
        <v>0</v>
      </c>
    </row>
    <row r="1534" spans="1:53" x14ac:dyDescent="0.2">
      <c r="A1534" s="86" t="s">
        <v>1989</v>
      </c>
      <c r="C1534" s="26" t="s">
        <v>1851</v>
      </c>
      <c r="D1534" s="38" t="s">
        <v>2033</v>
      </c>
      <c r="E1534" s="38" t="s">
        <v>2017</v>
      </c>
      <c r="G1534" s="15" t="s">
        <v>2042</v>
      </c>
      <c r="AH1534" s="87">
        <f t="shared" si="491"/>
        <v>3</v>
      </c>
      <c r="AK1534" s="88">
        <v>3</v>
      </c>
      <c r="AL1534" s="55">
        <f t="shared" si="485"/>
        <v>0</v>
      </c>
      <c r="AM1534" s="88" t="s">
        <v>1912</v>
      </c>
      <c r="AN1534" s="88">
        <v>0</v>
      </c>
      <c r="AO1534" s="55">
        <v>0</v>
      </c>
      <c r="AP1534" s="55">
        <f t="shared" si="481"/>
        <v>0</v>
      </c>
      <c r="AQ1534" s="55">
        <f>IFERROR(VLOOKUP(A1534,[1]SIIMPLES!$A$2:$F$418,6,FALSE),0)</f>
        <v>0</v>
      </c>
      <c r="AR1534" s="55">
        <v>0</v>
      </c>
      <c r="AS1534" s="55">
        <v>0</v>
      </c>
      <c r="AT1534" s="55">
        <v>0</v>
      </c>
      <c r="AU1534" s="55">
        <v>0</v>
      </c>
      <c r="AV1534" s="55">
        <v>0</v>
      </c>
    </row>
    <row r="1535" spans="1:53" x14ac:dyDescent="0.2">
      <c r="A1535" s="91" t="s">
        <v>1940</v>
      </c>
      <c r="B1535" s="90"/>
      <c r="C1535" s="92" t="str">
        <f>VLOOKUP(A1535,[2]CMV!$A$1:$B$2115,2,FALSE)</f>
        <v>MOTO PEÇAS</v>
      </c>
      <c r="D1535" s="93" t="str">
        <f>VLOOKUP(A1535,[2]CMV!$A$1:$C$2115,3,FALSE)</f>
        <v>PASTILHA DE FREIO MOTO</v>
      </c>
      <c r="E1535" s="93" t="str">
        <f>VLOOKUP(A1535,[2]CMV!$A$1:$E$2115,5,FALSE)</f>
        <v>FABRECK</v>
      </c>
      <c r="F1535" s="95"/>
      <c r="G1535" s="94" t="str">
        <f>VLOOKUP(A1535,[2]CMV!$A$1:$F$2115,6,FALSE)</f>
        <v>PASTILHA DE FREIO DIANTEIRO TITAN 150 2009,ED FAN 125 2013 ED , TITAN 160 ESD2016...ED , FAZER 250EN2019...</v>
      </c>
      <c r="H1535" s="96"/>
      <c r="I1535" s="96"/>
      <c r="J1535" s="96"/>
      <c r="K1535" s="96"/>
      <c r="L1535" s="96"/>
      <c r="M1535" s="96"/>
      <c r="N1535" s="96"/>
      <c r="O1535" s="96"/>
      <c r="P1535" s="96"/>
      <c r="Q1535" s="96"/>
      <c r="R1535" s="96"/>
      <c r="S1535" s="96"/>
      <c r="T1535" s="96"/>
      <c r="U1535" s="96"/>
      <c r="V1535" s="96"/>
      <c r="W1535" s="96"/>
      <c r="X1535" s="96"/>
      <c r="Y1535" s="96"/>
      <c r="Z1535" s="96"/>
      <c r="AA1535" s="96"/>
      <c r="AB1535" s="96"/>
      <c r="AC1535" s="96"/>
      <c r="AD1535" s="88">
        <f>SUM(AE1535:AG1535)</f>
        <v>2</v>
      </c>
      <c r="AE1535" s="96"/>
      <c r="AF1535" s="96"/>
      <c r="AG1535" s="88">
        <v>2</v>
      </c>
      <c r="AH1535" s="88">
        <f t="shared" si="491"/>
        <v>1</v>
      </c>
      <c r="AI1535" s="88">
        <v>0</v>
      </c>
      <c r="AJ1535" s="88">
        <v>0</v>
      </c>
      <c r="AK1535" s="88">
        <v>1</v>
      </c>
      <c r="AL1535" s="55">
        <f t="shared" si="485"/>
        <v>1</v>
      </c>
      <c r="AM1535" s="88" t="s">
        <v>1912</v>
      </c>
      <c r="AN1535" s="88">
        <v>0</v>
      </c>
      <c r="AO1535" s="55">
        <v>1</v>
      </c>
      <c r="AP1535" s="55">
        <f t="shared" si="481"/>
        <v>0</v>
      </c>
      <c r="AQ1535" s="55">
        <f>IFERROR(VLOOKUP(A1535,[1]SIIMPLES!$A$2:$F$418,6,FALSE),0)</f>
        <v>0</v>
      </c>
      <c r="AR1535" s="55">
        <v>0</v>
      </c>
      <c r="AS1535" s="55">
        <v>4</v>
      </c>
      <c r="AT1535" s="55">
        <v>0</v>
      </c>
      <c r="AU1535" s="55">
        <v>0</v>
      </c>
      <c r="AV1535" s="55">
        <v>4</v>
      </c>
      <c r="AW1535" s="96"/>
      <c r="AX1535" s="96"/>
      <c r="AY1535" s="97">
        <f>IFERROR(AVERAGE(I1535,N1535,R1535,V1535,Z1535,AD1535,AH1535,AL1535,AP1535,AS1535,AW1535,AX1535),"-")</f>
        <v>1.6</v>
      </c>
      <c r="AZ1535" s="96"/>
      <c r="BA1535" s="96"/>
    </row>
    <row r="1536" spans="1:53" x14ac:dyDescent="0.2">
      <c r="A1536" s="86" t="s">
        <v>1993</v>
      </c>
      <c r="C1536" s="26" t="s">
        <v>1851</v>
      </c>
      <c r="D1536" s="38" t="s">
        <v>2047</v>
      </c>
      <c r="E1536" s="38" t="s">
        <v>2017</v>
      </c>
      <c r="G1536" s="15" t="s">
        <v>2048</v>
      </c>
      <c r="AH1536" s="87">
        <f t="shared" si="491"/>
        <v>1</v>
      </c>
      <c r="AK1536" s="88">
        <v>1</v>
      </c>
      <c r="AL1536" s="55">
        <f t="shared" si="485"/>
        <v>0</v>
      </c>
      <c r="AM1536" s="88" t="s">
        <v>1912</v>
      </c>
      <c r="AN1536" s="88">
        <v>0</v>
      </c>
      <c r="AO1536" s="55">
        <v>0</v>
      </c>
      <c r="AP1536" s="55">
        <f t="shared" si="481"/>
        <v>0</v>
      </c>
      <c r="AQ1536" s="55">
        <f>IFERROR(VLOOKUP(A1536,[1]SIIMPLES!$A$2:$F$418,6,FALSE),0)</f>
        <v>0</v>
      </c>
      <c r="AR1536" s="55">
        <v>0</v>
      </c>
      <c r="AS1536" s="55">
        <v>0</v>
      </c>
      <c r="AT1536" s="55">
        <v>0</v>
      </c>
      <c r="AU1536" s="55">
        <v>0</v>
      </c>
      <c r="AV1536" s="55">
        <v>0</v>
      </c>
    </row>
    <row r="1537" spans="1:53" x14ac:dyDescent="0.2">
      <c r="A1537" s="91" t="s">
        <v>1934</v>
      </c>
      <c r="B1537" s="90"/>
      <c r="C1537" s="92" t="str">
        <f>VLOOKUP(A1537,[2]CMV!$A$1:$B$2115,2,FALSE)</f>
        <v>MOTO PEÇAS</v>
      </c>
      <c r="D1537" s="93" t="str">
        <f>VLOOKUP(A1537,[2]CMV!$A$1:$C$2115,3,FALSE)</f>
        <v>MANETE EMBREAGEM</v>
      </c>
      <c r="E1537" s="93" t="str">
        <f>VLOOKUP(A1537,[2]CMV!$A$1:$E$2115,5,FALSE)</f>
        <v>FABRECK</v>
      </c>
      <c r="F1537" s="95"/>
      <c r="G1537" s="94" t="str">
        <f>VLOOKUP(A1537,[2]CMV!$A$1:$F$2115,6,FALSE)</f>
        <v>MANETE DE EMBREAGEM</v>
      </c>
      <c r="H1537" s="96"/>
      <c r="I1537" s="96"/>
      <c r="J1537" s="96"/>
      <c r="K1537" s="96"/>
      <c r="L1537" s="96"/>
      <c r="M1537" s="96"/>
      <c r="N1537" s="96"/>
      <c r="O1537" s="96"/>
      <c r="P1537" s="96"/>
      <c r="Q1537" s="96"/>
      <c r="R1537" s="96"/>
      <c r="S1537" s="96"/>
      <c r="T1537" s="96"/>
      <c r="U1537" s="96"/>
      <c r="V1537" s="96"/>
      <c r="W1537" s="96"/>
      <c r="X1537" s="96"/>
      <c r="Y1537" s="96"/>
      <c r="Z1537" s="96"/>
      <c r="AA1537" s="96"/>
      <c r="AB1537" s="96"/>
      <c r="AC1537" s="96"/>
      <c r="AD1537" s="88">
        <f>SUM(AE1537:AG1537)</f>
        <v>5</v>
      </c>
      <c r="AE1537" s="96"/>
      <c r="AF1537" s="96"/>
      <c r="AG1537" s="88">
        <v>5</v>
      </c>
      <c r="AH1537" s="88">
        <f t="shared" si="491"/>
        <v>0</v>
      </c>
      <c r="AI1537" s="88">
        <v>0</v>
      </c>
      <c r="AJ1537" s="88">
        <v>0</v>
      </c>
      <c r="AK1537" s="88">
        <v>0</v>
      </c>
      <c r="AL1537" s="55">
        <f t="shared" si="485"/>
        <v>2</v>
      </c>
      <c r="AM1537" s="88" t="s">
        <v>1912</v>
      </c>
      <c r="AN1537" s="88">
        <v>0</v>
      </c>
      <c r="AO1537" s="55">
        <v>2</v>
      </c>
      <c r="AP1537" s="55">
        <f t="shared" si="481"/>
        <v>0</v>
      </c>
      <c r="AQ1537" s="55">
        <f>IFERROR(VLOOKUP(A1537,[1]SIIMPLES!$A$2:$F$418,6,FALSE),0)</f>
        <v>0</v>
      </c>
      <c r="AR1537" s="55">
        <v>0</v>
      </c>
      <c r="AS1537" s="55">
        <v>1</v>
      </c>
      <c r="AT1537" s="55">
        <v>0</v>
      </c>
      <c r="AU1537" s="55">
        <v>0</v>
      </c>
      <c r="AV1537" s="55">
        <v>1</v>
      </c>
      <c r="AW1537" s="96"/>
      <c r="AX1537" s="96"/>
      <c r="AY1537" s="97">
        <f>IFERROR(AVERAGE(I1537,N1537,R1537,V1537,Z1537,AD1537,AH1537,AL1537,AP1537,AS1537,AW1537,AX1537),"-")</f>
        <v>1.6</v>
      </c>
      <c r="AZ1537" s="96"/>
      <c r="BA1537" s="96"/>
    </row>
    <row r="1538" spans="1:53" x14ac:dyDescent="0.2">
      <c r="A1538" s="86" t="s">
        <v>1979</v>
      </c>
      <c r="C1538" s="26" t="s">
        <v>1851</v>
      </c>
      <c r="D1538" s="38" t="s">
        <v>2028</v>
      </c>
      <c r="E1538" s="38" t="s">
        <v>2017</v>
      </c>
      <c r="G1538" s="15" t="s">
        <v>2029</v>
      </c>
      <c r="AH1538" s="87">
        <f t="shared" si="491"/>
        <v>9</v>
      </c>
      <c r="AK1538" s="88">
        <v>9</v>
      </c>
      <c r="AL1538" s="55">
        <f t="shared" si="485"/>
        <v>1</v>
      </c>
      <c r="AM1538" s="88" t="s">
        <v>1912</v>
      </c>
      <c r="AN1538" s="88">
        <v>0</v>
      </c>
      <c r="AO1538" s="55">
        <v>1</v>
      </c>
      <c r="AP1538" s="55">
        <f t="shared" si="481"/>
        <v>0</v>
      </c>
      <c r="AQ1538" s="55">
        <f>IFERROR(VLOOKUP(A1538,[1]SIIMPLES!$A$2:$F$418,6,FALSE),0)</f>
        <v>0</v>
      </c>
      <c r="AR1538" s="55">
        <v>0</v>
      </c>
      <c r="AS1538" s="55">
        <v>0</v>
      </c>
      <c r="AT1538" s="55">
        <v>0</v>
      </c>
      <c r="AU1538" s="55">
        <v>0</v>
      </c>
      <c r="AV1538" s="55">
        <v>0</v>
      </c>
    </row>
    <row r="1539" spans="1:53" x14ac:dyDescent="0.2">
      <c r="A1539" s="92" t="s">
        <v>1251</v>
      </c>
      <c r="B1539" s="92"/>
      <c r="C1539" s="92" t="s">
        <v>1851</v>
      </c>
      <c r="D1539" s="98" t="s">
        <v>918</v>
      </c>
      <c r="E1539" s="98" t="s">
        <v>919</v>
      </c>
      <c r="F1539" s="99">
        <f>IFERROR(VLOOKUP(E1539,Fornecedores!$A$2:$B$2700,2,FALSE),"")</f>
        <v>13</v>
      </c>
      <c r="G1539" s="98" t="s">
        <v>1398</v>
      </c>
      <c r="H1539" s="100"/>
      <c r="I1539" s="87">
        <f t="shared" ref="I1539:I1544" si="492">SUM(J1539:M1539)</f>
        <v>0</v>
      </c>
      <c r="J1539" s="87">
        <v>0</v>
      </c>
      <c r="K1539" s="87">
        <v>0</v>
      </c>
      <c r="L1539" s="87">
        <v>0</v>
      </c>
      <c r="M1539" s="87">
        <v>0</v>
      </c>
      <c r="N1539" s="87">
        <f t="shared" ref="N1539:N1544" si="493">SUM(O1539:Q1539)</f>
        <v>0</v>
      </c>
      <c r="O1539" s="87">
        <v>0</v>
      </c>
      <c r="P1539" s="87">
        <v>0</v>
      </c>
      <c r="Q1539" s="87">
        <v>0</v>
      </c>
      <c r="R1539" s="87">
        <f t="shared" ref="R1539:R1544" si="494">SUM(S1539:U1539)</f>
        <v>0</v>
      </c>
      <c r="S1539" s="87">
        <v>0</v>
      </c>
      <c r="T1539" s="87">
        <v>0</v>
      </c>
      <c r="U1539" s="87">
        <v>0</v>
      </c>
      <c r="V1539" s="87">
        <v>0</v>
      </c>
      <c r="W1539" s="99">
        <v>0</v>
      </c>
      <c r="X1539" s="99">
        <v>0</v>
      </c>
      <c r="Y1539" s="87">
        <v>0</v>
      </c>
      <c r="Z1539" s="87">
        <v>0</v>
      </c>
      <c r="AA1539" s="99">
        <v>0</v>
      </c>
      <c r="AB1539" s="99">
        <v>0</v>
      </c>
      <c r="AC1539" s="87">
        <v>0</v>
      </c>
      <c r="AD1539" s="87">
        <f t="shared" ref="AD1539:AD1546" si="495">SUM(AE1539:AG1539)</f>
        <v>0</v>
      </c>
      <c r="AE1539" s="99">
        <v>0</v>
      </c>
      <c r="AF1539" s="87">
        <v>0</v>
      </c>
      <c r="AG1539" s="87">
        <v>0</v>
      </c>
      <c r="AH1539" s="87">
        <f t="shared" si="491"/>
        <v>0</v>
      </c>
      <c r="AI1539" s="88">
        <v>0</v>
      </c>
      <c r="AJ1539" s="88">
        <v>0</v>
      </c>
      <c r="AK1539" s="88">
        <v>0</v>
      </c>
      <c r="AL1539" s="55">
        <f t="shared" si="485"/>
        <v>1</v>
      </c>
      <c r="AM1539" s="88" t="s">
        <v>1912</v>
      </c>
      <c r="AN1539" s="88">
        <v>0</v>
      </c>
      <c r="AO1539" s="55">
        <v>1</v>
      </c>
      <c r="AP1539" s="55">
        <f t="shared" ref="AP1539:AP1602" si="496">SUM(AQ1539:AR1539)</f>
        <v>0</v>
      </c>
      <c r="AQ1539" s="55">
        <f>IFERROR(VLOOKUP(A1539,[1]SIIMPLES!$A$2:$F$418,6,FALSE),0)</f>
        <v>0</v>
      </c>
      <c r="AR1539" s="55">
        <v>0</v>
      </c>
      <c r="AS1539" s="55">
        <v>1</v>
      </c>
      <c r="AT1539" s="55">
        <v>1</v>
      </c>
      <c r="AU1539" s="55">
        <v>0</v>
      </c>
      <c r="AV1539" s="55">
        <v>0</v>
      </c>
      <c r="AW1539" s="87"/>
      <c r="AX1539" s="87"/>
      <c r="AY1539" s="102">
        <f t="shared" ref="AY1539:AY1546" si="497">IFERROR(AVERAGE(I1539,N1539,R1539,V1539,Z1539,AD1539,AH1539,AL1539,AP1539,AS1539,AW1539,AX1539),"-")</f>
        <v>0.2</v>
      </c>
      <c r="AZ1539" s="87"/>
      <c r="BA1539" s="102">
        <v>1</v>
      </c>
    </row>
    <row r="1540" spans="1:53" x14ac:dyDescent="0.2">
      <c r="A1540" s="90" t="s">
        <v>1385</v>
      </c>
      <c r="B1540" s="90"/>
      <c r="C1540" s="92" t="s">
        <v>1851</v>
      </c>
      <c r="D1540" s="93" t="s">
        <v>918</v>
      </c>
      <c r="E1540" s="93" t="s">
        <v>919</v>
      </c>
      <c r="F1540" s="95">
        <f>IFERROR(VLOOKUP(E1540,Fornecedores!$A$2:$B$2700,2,FALSE),"")</f>
        <v>13</v>
      </c>
      <c r="G1540" s="93" t="s">
        <v>1720</v>
      </c>
      <c r="H1540" s="96"/>
      <c r="I1540" s="88">
        <f t="shared" si="492"/>
        <v>0</v>
      </c>
      <c r="J1540" s="88">
        <v>0</v>
      </c>
      <c r="K1540" s="88">
        <v>0</v>
      </c>
      <c r="L1540" s="88">
        <v>0</v>
      </c>
      <c r="M1540" s="88">
        <v>0</v>
      </c>
      <c r="N1540" s="88">
        <f t="shared" si="493"/>
        <v>0</v>
      </c>
      <c r="O1540" s="88">
        <v>0</v>
      </c>
      <c r="P1540" s="88">
        <v>0</v>
      </c>
      <c r="Q1540" s="88">
        <v>0</v>
      </c>
      <c r="R1540" s="88">
        <f t="shared" si="494"/>
        <v>0</v>
      </c>
      <c r="S1540" s="88">
        <v>0</v>
      </c>
      <c r="T1540" s="88">
        <v>0</v>
      </c>
      <c r="U1540" s="88">
        <v>0</v>
      </c>
      <c r="V1540" s="88">
        <v>0</v>
      </c>
      <c r="W1540" s="95">
        <v>0</v>
      </c>
      <c r="X1540" s="95">
        <v>0</v>
      </c>
      <c r="Y1540" s="88">
        <v>0</v>
      </c>
      <c r="Z1540" s="88">
        <v>0</v>
      </c>
      <c r="AA1540" s="95">
        <v>0</v>
      </c>
      <c r="AB1540" s="95">
        <v>0</v>
      </c>
      <c r="AC1540" s="88">
        <v>0</v>
      </c>
      <c r="AD1540" s="88">
        <f t="shared" si="495"/>
        <v>1</v>
      </c>
      <c r="AE1540" s="95">
        <v>1</v>
      </c>
      <c r="AF1540" s="88">
        <v>0</v>
      </c>
      <c r="AG1540" s="88">
        <v>0</v>
      </c>
      <c r="AH1540" s="88">
        <f t="shared" si="491"/>
        <v>1</v>
      </c>
      <c r="AI1540" s="88">
        <v>1</v>
      </c>
      <c r="AJ1540" s="88">
        <v>0</v>
      </c>
      <c r="AK1540" s="88">
        <v>0</v>
      </c>
      <c r="AL1540" s="55">
        <f t="shared" si="485"/>
        <v>0</v>
      </c>
      <c r="AM1540" s="88" t="s">
        <v>1912</v>
      </c>
      <c r="AN1540" s="88">
        <v>0</v>
      </c>
      <c r="AO1540" s="55">
        <v>0</v>
      </c>
      <c r="AP1540" s="55">
        <f t="shared" si="496"/>
        <v>0</v>
      </c>
      <c r="AQ1540" s="55">
        <f>IFERROR(VLOOKUP(A1540,[1]SIIMPLES!$A$2:$F$418,6,FALSE),0)</f>
        <v>0</v>
      </c>
      <c r="AR1540" s="55">
        <v>0</v>
      </c>
      <c r="AS1540" s="55">
        <v>1</v>
      </c>
      <c r="AT1540" s="55">
        <v>1</v>
      </c>
      <c r="AU1540" s="55">
        <v>0</v>
      </c>
      <c r="AV1540" s="55">
        <v>0</v>
      </c>
      <c r="AW1540" s="96"/>
      <c r="AX1540" s="88"/>
      <c r="AY1540" s="97">
        <f t="shared" si="497"/>
        <v>0.3</v>
      </c>
      <c r="AZ1540" s="88"/>
      <c r="BA1540" s="97">
        <v>0</v>
      </c>
    </row>
    <row r="1541" spans="1:53" x14ac:dyDescent="0.2">
      <c r="A1541" s="90" t="s">
        <v>1495</v>
      </c>
      <c r="B1541" s="90"/>
      <c r="C1541" s="92" t="s">
        <v>1851</v>
      </c>
      <c r="D1541" s="93" t="s">
        <v>918</v>
      </c>
      <c r="E1541" s="93" t="s">
        <v>1503</v>
      </c>
      <c r="F1541" s="95">
        <f>IFERROR(VLOOKUP(E1541,Fornecedores!$A$2:$B$2700,2,FALSE),"")</f>
        <v>13</v>
      </c>
      <c r="G1541" s="93" t="s">
        <v>1504</v>
      </c>
      <c r="H1541" s="96"/>
      <c r="I1541" s="88">
        <f t="shared" si="492"/>
        <v>1</v>
      </c>
      <c r="J1541" s="88">
        <v>1</v>
      </c>
      <c r="K1541" s="88">
        <v>0</v>
      </c>
      <c r="L1541" s="88">
        <v>0</v>
      </c>
      <c r="M1541" s="88">
        <v>0</v>
      </c>
      <c r="N1541" s="88">
        <f t="shared" si="493"/>
        <v>1</v>
      </c>
      <c r="O1541" s="88">
        <v>1</v>
      </c>
      <c r="P1541" s="88">
        <v>0</v>
      </c>
      <c r="Q1541" s="88">
        <v>0</v>
      </c>
      <c r="R1541" s="88">
        <f t="shared" si="494"/>
        <v>1</v>
      </c>
      <c r="S1541" s="88">
        <v>1</v>
      </c>
      <c r="T1541" s="88">
        <v>0</v>
      </c>
      <c r="U1541" s="88">
        <v>0</v>
      </c>
      <c r="V1541" s="88">
        <v>5</v>
      </c>
      <c r="W1541" s="95">
        <v>5</v>
      </c>
      <c r="X1541" s="95">
        <v>0</v>
      </c>
      <c r="Y1541" s="88">
        <v>0</v>
      </c>
      <c r="Z1541" s="88">
        <v>0</v>
      </c>
      <c r="AA1541" s="95">
        <v>0</v>
      </c>
      <c r="AB1541" s="95">
        <v>0</v>
      </c>
      <c r="AC1541" s="88">
        <v>0</v>
      </c>
      <c r="AD1541" s="88">
        <f t="shared" si="495"/>
        <v>0</v>
      </c>
      <c r="AE1541" s="95">
        <v>0</v>
      </c>
      <c r="AF1541" s="88">
        <v>0</v>
      </c>
      <c r="AG1541" s="88">
        <v>0</v>
      </c>
      <c r="AH1541" s="88">
        <f t="shared" si="491"/>
        <v>2</v>
      </c>
      <c r="AI1541" s="88">
        <v>2</v>
      </c>
      <c r="AJ1541" s="88">
        <v>0</v>
      </c>
      <c r="AK1541" s="88">
        <v>0</v>
      </c>
      <c r="AL1541" s="55">
        <f t="shared" si="485"/>
        <v>0</v>
      </c>
      <c r="AM1541" s="88" t="s">
        <v>1912</v>
      </c>
      <c r="AN1541" s="88">
        <v>0</v>
      </c>
      <c r="AO1541" s="55">
        <v>0</v>
      </c>
      <c r="AP1541" s="55">
        <f t="shared" si="496"/>
        <v>0</v>
      </c>
      <c r="AQ1541" s="55">
        <f>IFERROR(VLOOKUP(A1541,[1]SIIMPLES!$A$2:$F$418,6,FALSE),0)</f>
        <v>0</v>
      </c>
      <c r="AR1541" s="55">
        <v>0</v>
      </c>
      <c r="AS1541" s="55">
        <v>1</v>
      </c>
      <c r="AT1541" s="55">
        <v>1</v>
      </c>
      <c r="AU1541" s="55">
        <v>0</v>
      </c>
      <c r="AV1541" s="55">
        <v>0</v>
      </c>
      <c r="AW1541" s="96"/>
      <c r="AX1541" s="96"/>
      <c r="AY1541" s="97">
        <f t="shared" si="497"/>
        <v>1.1000000000000001</v>
      </c>
      <c r="AZ1541" s="88"/>
      <c r="BA1541" s="97" t="s">
        <v>1912</v>
      </c>
    </row>
    <row r="1542" spans="1:53" x14ac:dyDescent="0.2">
      <c r="A1542" s="90" t="s">
        <v>824</v>
      </c>
      <c r="B1542" s="90" t="s">
        <v>1077</v>
      </c>
      <c r="C1542" s="92" t="s">
        <v>1851</v>
      </c>
      <c r="D1542" s="93" t="s">
        <v>918</v>
      </c>
      <c r="E1542" s="93" t="s">
        <v>919</v>
      </c>
      <c r="F1542" s="95">
        <f>IFERROR(VLOOKUP(E1542,Fornecedores!$A$2:$B$2700,2,FALSE),"")</f>
        <v>13</v>
      </c>
      <c r="G1542" s="93" t="s">
        <v>920</v>
      </c>
      <c r="H1542" s="96"/>
      <c r="I1542" s="88">
        <f t="shared" si="492"/>
        <v>0</v>
      </c>
      <c r="J1542" s="88">
        <v>0</v>
      </c>
      <c r="K1542" s="88">
        <v>0</v>
      </c>
      <c r="L1542" s="88">
        <v>0</v>
      </c>
      <c r="M1542" s="88">
        <v>0</v>
      </c>
      <c r="N1542" s="88">
        <f t="shared" si="493"/>
        <v>0</v>
      </c>
      <c r="O1542" s="88">
        <v>0</v>
      </c>
      <c r="P1542" s="88">
        <v>0</v>
      </c>
      <c r="Q1542" s="88">
        <v>0</v>
      </c>
      <c r="R1542" s="88">
        <f t="shared" si="494"/>
        <v>0</v>
      </c>
      <c r="S1542" s="88">
        <v>0</v>
      </c>
      <c r="T1542" s="88">
        <v>0</v>
      </c>
      <c r="U1542" s="88">
        <v>0</v>
      </c>
      <c r="V1542" s="88">
        <v>0</v>
      </c>
      <c r="W1542" s="95">
        <v>0</v>
      </c>
      <c r="X1542" s="95">
        <v>0</v>
      </c>
      <c r="Y1542" s="88">
        <v>0</v>
      </c>
      <c r="Z1542" s="88">
        <v>1</v>
      </c>
      <c r="AA1542" s="95">
        <v>1</v>
      </c>
      <c r="AB1542" s="95">
        <v>0</v>
      </c>
      <c r="AC1542" s="88">
        <v>0</v>
      </c>
      <c r="AD1542" s="88">
        <f t="shared" si="495"/>
        <v>0</v>
      </c>
      <c r="AE1542" s="95">
        <v>0</v>
      </c>
      <c r="AF1542" s="88">
        <v>0</v>
      </c>
      <c r="AG1542" s="88">
        <v>0</v>
      </c>
      <c r="AH1542" s="88">
        <f t="shared" si="491"/>
        <v>0</v>
      </c>
      <c r="AI1542" s="88">
        <v>0</v>
      </c>
      <c r="AJ1542" s="88">
        <v>0</v>
      </c>
      <c r="AK1542" s="88">
        <v>0</v>
      </c>
      <c r="AL1542" s="55">
        <f t="shared" si="485"/>
        <v>1</v>
      </c>
      <c r="AM1542" s="88">
        <v>1</v>
      </c>
      <c r="AN1542" s="88">
        <v>0</v>
      </c>
      <c r="AO1542" s="55">
        <v>0</v>
      </c>
      <c r="AP1542" s="55">
        <f t="shared" si="496"/>
        <v>0</v>
      </c>
      <c r="AQ1542" s="55">
        <f>IFERROR(VLOOKUP(A1542,[1]SIIMPLES!$A$2:$F$418,6,FALSE),0)</f>
        <v>0</v>
      </c>
      <c r="AR1542" s="55">
        <v>0</v>
      </c>
      <c r="AS1542" s="55">
        <v>0</v>
      </c>
      <c r="AT1542" s="55">
        <v>0</v>
      </c>
      <c r="AU1542" s="55">
        <v>0</v>
      </c>
      <c r="AV1542" s="55">
        <v>0</v>
      </c>
      <c r="AW1542" s="88"/>
      <c r="AX1542" s="88"/>
      <c r="AY1542" s="97">
        <f t="shared" si="497"/>
        <v>0.2</v>
      </c>
      <c r="AZ1542" s="88"/>
      <c r="BA1542" s="97">
        <v>1.5</v>
      </c>
    </row>
    <row r="1543" spans="1:53" x14ac:dyDescent="0.2">
      <c r="A1543" s="90" t="s">
        <v>1092</v>
      </c>
      <c r="B1543" s="90"/>
      <c r="C1543" s="92" t="s">
        <v>1851</v>
      </c>
      <c r="D1543" s="93" t="s">
        <v>918</v>
      </c>
      <c r="E1543" s="93" t="s">
        <v>919</v>
      </c>
      <c r="F1543" s="95">
        <f>IFERROR(VLOOKUP(E1543,Fornecedores!$A$2:$B$2700,2,FALSE),"")</f>
        <v>13</v>
      </c>
      <c r="G1543" s="93" t="s">
        <v>1239</v>
      </c>
      <c r="H1543" s="99"/>
      <c r="I1543" s="88">
        <f t="shared" si="492"/>
        <v>0</v>
      </c>
      <c r="J1543" s="88">
        <v>0</v>
      </c>
      <c r="K1543" s="88">
        <v>0</v>
      </c>
      <c r="L1543" s="88">
        <v>0</v>
      </c>
      <c r="M1543" s="88">
        <v>0</v>
      </c>
      <c r="N1543" s="88">
        <f t="shared" si="493"/>
        <v>0</v>
      </c>
      <c r="O1543" s="88">
        <v>0</v>
      </c>
      <c r="P1543" s="88">
        <v>0</v>
      </c>
      <c r="Q1543" s="88">
        <v>0</v>
      </c>
      <c r="R1543" s="88">
        <f t="shared" si="494"/>
        <v>2</v>
      </c>
      <c r="S1543" s="88">
        <v>2</v>
      </c>
      <c r="T1543" s="88">
        <v>0</v>
      </c>
      <c r="U1543" s="88">
        <v>0</v>
      </c>
      <c r="V1543" s="88">
        <v>2</v>
      </c>
      <c r="W1543" s="95">
        <v>2</v>
      </c>
      <c r="X1543" s="95">
        <v>0</v>
      </c>
      <c r="Y1543" s="88">
        <v>0</v>
      </c>
      <c r="Z1543" s="88">
        <v>1</v>
      </c>
      <c r="AA1543" s="95">
        <v>1</v>
      </c>
      <c r="AB1543" s="95">
        <v>0</v>
      </c>
      <c r="AC1543" s="88">
        <v>0</v>
      </c>
      <c r="AD1543" s="88">
        <f t="shared" si="495"/>
        <v>0</v>
      </c>
      <c r="AE1543" s="95">
        <v>0</v>
      </c>
      <c r="AF1543" s="88">
        <v>0</v>
      </c>
      <c r="AG1543" s="88">
        <v>0</v>
      </c>
      <c r="AH1543" s="88">
        <f t="shared" si="491"/>
        <v>0</v>
      </c>
      <c r="AI1543" s="88">
        <v>0</v>
      </c>
      <c r="AJ1543" s="88">
        <v>0</v>
      </c>
      <c r="AK1543" s="88">
        <v>0</v>
      </c>
      <c r="AL1543" s="55">
        <f t="shared" si="485"/>
        <v>0</v>
      </c>
      <c r="AM1543" s="88" t="s">
        <v>1912</v>
      </c>
      <c r="AN1543" s="88">
        <v>0</v>
      </c>
      <c r="AO1543" s="55">
        <v>0</v>
      </c>
      <c r="AP1543" s="55">
        <f t="shared" si="496"/>
        <v>0</v>
      </c>
      <c r="AQ1543" s="55">
        <f>IFERROR(VLOOKUP(A1543,[1]SIIMPLES!$A$2:$F$418,6,FALSE),0)</f>
        <v>0</v>
      </c>
      <c r="AR1543" s="55">
        <v>0</v>
      </c>
      <c r="AS1543" s="55">
        <v>0</v>
      </c>
      <c r="AT1543" s="55">
        <v>0</v>
      </c>
      <c r="AU1543" s="55">
        <v>0</v>
      </c>
      <c r="AV1543" s="55">
        <v>0</v>
      </c>
      <c r="AW1543" s="88"/>
      <c r="AX1543" s="88"/>
      <c r="AY1543" s="97">
        <f t="shared" si="497"/>
        <v>0.5</v>
      </c>
      <c r="AZ1543" s="88"/>
      <c r="BA1543" s="97">
        <v>1.3333333333333333</v>
      </c>
    </row>
    <row r="1544" spans="1:53" x14ac:dyDescent="0.2">
      <c r="A1544" s="90" t="s">
        <v>1436</v>
      </c>
      <c r="B1544" s="90"/>
      <c r="C1544" s="92" t="s">
        <v>1851</v>
      </c>
      <c r="D1544" s="93" t="s">
        <v>918</v>
      </c>
      <c r="E1544" s="93" t="s">
        <v>919</v>
      </c>
      <c r="F1544" s="95">
        <f>IFERROR(VLOOKUP(E1544,Fornecedores!$A$2:$B$2700,2,FALSE),"")</f>
        <v>13</v>
      </c>
      <c r="G1544" s="93" t="s">
        <v>1440</v>
      </c>
      <c r="H1544" s="96"/>
      <c r="I1544" s="88">
        <f t="shared" si="492"/>
        <v>0</v>
      </c>
      <c r="J1544" s="88">
        <v>0</v>
      </c>
      <c r="K1544" s="88">
        <v>0</v>
      </c>
      <c r="L1544" s="88">
        <v>0</v>
      </c>
      <c r="M1544" s="88">
        <v>0</v>
      </c>
      <c r="N1544" s="88">
        <f t="shared" si="493"/>
        <v>0</v>
      </c>
      <c r="O1544" s="88">
        <v>0</v>
      </c>
      <c r="P1544" s="88">
        <v>0</v>
      </c>
      <c r="Q1544" s="88">
        <v>0</v>
      </c>
      <c r="R1544" s="88">
        <f t="shared" si="494"/>
        <v>1</v>
      </c>
      <c r="S1544" s="88">
        <v>1</v>
      </c>
      <c r="T1544" s="88">
        <v>0</v>
      </c>
      <c r="U1544" s="88">
        <v>0</v>
      </c>
      <c r="V1544" s="88">
        <v>1</v>
      </c>
      <c r="W1544" s="95">
        <v>1</v>
      </c>
      <c r="X1544" s="95">
        <v>0</v>
      </c>
      <c r="Y1544" s="88">
        <v>0</v>
      </c>
      <c r="Z1544" s="88">
        <v>1</v>
      </c>
      <c r="AA1544" s="95">
        <v>1</v>
      </c>
      <c r="AB1544" s="95">
        <v>0</v>
      </c>
      <c r="AC1544" s="88">
        <v>0</v>
      </c>
      <c r="AD1544" s="88">
        <f t="shared" si="495"/>
        <v>0</v>
      </c>
      <c r="AE1544" s="95">
        <v>0</v>
      </c>
      <c r="AF1544" s="88">
        <v>0</v>
      </c>
      <c r="AG1544" s="88">
        <v>0</v>
      </c>
      <c r="AH1544" s="88">
        <f t="shared" si="491"/>
        <v>0</v>
      </c>
      <c r="AI1544" s="88">
        <v>0</v>
      </c>
      <c r="AJ1544" s="88">
        <v>0</v>
      </c>
      <c r="AK1544" s="88">
        <v>0</v>
      </c>
      <c r="AL1544" s="55">
        <f t="shared" si="485"/>
        <v>1</v>
      </c>
      <c r="AM1544" s="88" t="s">
        <v>1912</v>
      </c>
      <c r="AN1544" s="88">
        <v>0</v>
      </c>
      <c r="AO1544" s="55">
        <v>1</v>
      </c>
      <c r="AP1544" s="55">
        <f t="shared" si="496"/>
        <v>0</v>
      </c>
      <c r="AQ1544" s="55">
        <f>IFERROR(VLOOKUP(A1544,[1]SIIMPLES!$A$2:$F$418,6,FALSE),0)</f>
        <v>0</v>
      </c>
      <c r="AR1544" s="55">
        <v>0</v>
      </c>
      <c r="AS1544" s="55">
        <v>1</v>
      </c>
      <c r="AT1544" s="55">
        <v>1</v>
      </c>
      <c r="AU1544" s="55">
        <v>0</v>
      </c>
      <c r="AV1544" s="55">
        <v>0</v>
      </c>
      <c r="AW1544" s="96"/>
      <c r="AX1544" s="88"/>
      <c r="AY1544" s="97">
        <f t="shared" si="497"/>
        <v>0.5</v>
      </c>
      <c r="AZ1544" s="88"/>
      <c r="BA1544" s="97">
        <v>1</v>
      </c>
    </row>
    <row r="1545" spans="1:53" x14ac:dyDescent="0.2">
      <c r="A1545" s="90" t="s">
        <v>1914</v>
      </c>
      <c r="B1545" s="90"/>
      <c r="C1545" s="92" t="s">
        <v>1851</v>
      </c>
      <c r="D1545" s="93" t="s">
        <v>755</v>
      </c>
      <c r="E1545" s="93" t="s">
        <v>741</v>
      </c>
      <c r="F1545" s="95">
        <f>IFERROR(VLOOKUP(E1545,Fornecedores!$A$2:$B$2700,2,FALSE),"")</f>
        <v>7</v>
      </c>
      <c r="G1545" s="94" t="s">
        <v>1924</v>
      </c>
      <c r="H1545" s="96"/>
      <c r="I1545" s="96"/>
      <c r="J1545" s="96"/>
      <c r="K1545" s="96"/>
      <c r="L1545" s="96"/>
      <c r="M1545" s="96"/>
      <c r="N1545" s="96"/>
      <c r="O1545" s="96"/>
      <c r="P1545" s="96"/>
      <c r="Q1545" s="96"/>
      <c r="R1545" s="96"/>
      <c r="S1545" s="96"/>
      <c r="T1545" s="96"/>
      <c r="U1545" s="96"/>
      <c r="V1545" s="96"/>
      <c r="W1545" s="96"/>
      <c r="X1545" s="96"/>
      <c r="Y1545" s="96"/>
      <c r="Z1545" s="96"/>
      <c r="AA1545" s="96"/>
      <c r="AB1545" s="96"/>
      <c r="AC1545" s="96"/>
      <c r="AD1545" s="88">
        <f t="shared" si="495"/>
        <v>1</v>
      </c>
      <c r="AE1545" s="95">
        <v>1</v>
      </c>
      <c r="AF1545" s="88">
        <v>0</v>
      </c>
      <c r="AG1545" s="88">
        <v>0</v>
      </c>
      <c r="AH1545" s="88">
        <f t="shared" si="491"/>
        <v>0</v>
      </c>
      <c r="AI1545" s="88">
        <v>0</v>
      </c>
      <c r="AJ1545" s="88">
        <v>0</v>
      </c>
      <c r="AK1545" s="88">
        <v>0</v>
      </c>
      <c r="AL1545" s="55">
        <f t="shared" si="485"/>
        <v>0</v>
      </c>
      <c r="AM1545" s="88" t="s">
        <v>1912</v>
      </c>
      <c r="AN1545" s="88">
        <v>0</v>
      </c>
      <c r="AO1545" s="55">
        <v>0</v>
      </c>
      <c r="AP1545" s="55">
        <f t="shared" si="496"/>
        <v>0</v>
      </c>
      <c r="AQ1545" s="55">
        <f>IFERROR(VLOOKUP(A1545,[1]SIIMPLES!$A$2:$F$418,6,FALSE),0)</f>
        <v>0</v>
      </c>
      <c r="AR1545" s="55">
        <v>0</v>
      </c>
      <c r="AS1545" s="55">
        <v>0</v>
      </c>
      <c r="AT1545" s="55">
        <v>0</v>
      </c>
      <c r="AU1545" s="55">
        <v>0</v>
      </c>
      <c r="AV1545" s="55">
        <v>0</v>
      </c>
      <c r="AW1545" s="96"/>
      <c r="AX1545" s="96"/>
      <c r="AY1545" s="97">
        <f t="shared" si="497"/>
        <v>0.2</v>
      </c>
      <c r="AZ1545" s="96"/>
      <c r="BA1545" s="96"/>
    </row>
    <row r="1546" spans="1:53" x14ac:dyDescent="0.2">
      <c r="A1546" s="91" t="s">
        <v>1942</v>
      </c>
      <c r="B1546" s="90"/>
      <c r="C1546" s="92" t="str">
        <f>VLOOKUP(A1546,[2]CMV!$A$1:$B$2115,2,FALSE)</f>
        <v>MOTO PEÇAS</v>
      </c>
      <c r="D1546" s="93" t="str">
        <f>VLOOKUP(A1546,[2]CMV!$A$1:$C$2115,3,FALSE)</f>
        <v>ANTENA CORTA PIPA</v>
      </c>
      <c r="E1546" s="93" t="str">
        <f>VLOOKUP(A1546,[2]CMV!$A$1:$E$2115,5,FALSE)</f>
        <v>JOJAFER</v>
      </c>
      <c r="F1546" s="95"/>
      <c r="G1546" s="94" t="str">
        <f>VLOOKUP(A1546,[2]CMV!$A$1:$F$2115,6,FALSE)</f>
        <v>ANTENA CORTA PIPA JJF 6 EST XMAX PRETA</v>
      </c>
      <c r="H1546" s="96"/>
      <c r="I1546" s="96"/>
      <c r="J1546" s="96"/>
      <c r="K1546" s="96"/>
      <c r="L1546" s="96"/>
      <c r="M1546" s="96"/>
      <c r="N1546" s="96"/>
      <c r="O1546" s="96"/>
      <c r="P1546" s="96"/>
      <c r="Q1546" s="96"/>
      <c r="R1546" s="96"/>
      <c r="S1546" s="96"/>
      <c r="T1546" s="96"/>
      <c r="U1546" s="96"/>
      <c r="V1546" s="96"/>
      <c r="W1546" s="96"/>
      <c r="X1546" s="96"/>
      <c r="Y1546" s="96"/>
      <c r="Z1546" s="96"/>
      <c r="AA1546" s="96"/>
      <c r="AB1546" s="96"/>
      <c r="AC1546" s="96"/>
      <c r="AD1546" s="88">
        <f t="shared" si="495"/>
        <v>2</v>
      </c>
      <c r="AE1546" s="96"/>
      <c r="AF1546" s="96"/>
      <c r="AG1546" s="88">
        <v>2</v>
      </c>
      <c r="AH1546" s="88">
        <f t="shared" si="491"/>
        <v>0</v>
      </c>
      <c r="AI1546" s="88">
        <v>0</v>
      </c>
      <c r="AJ1546" s="88">
        <v>0</v>
      </c>
      <c r="AK1546" s="88">
        <v>0</v>
      </c>
      <c r="AL1546" s="55">
        <f t="shared" si="485"/>
        <v>0</v>
      </c>
      <c r="AM1546" s="88" t="s">
        <v>1912</v>
      </c>
      <c r="AN1546" s="88">
        <v>0</v>
      </c>
      <c r="AO1546" s="55">
        <v>0</v>
      </c>
      <c r="AP1546" s="55">
        <f t="shared" si="496"/>
        <v>0</v>
      </c>
      <c r="AQ1546" s="55">
        <f>IFERROR(VLOOKUP(A1546,[1]SIIMPLES!$A$2:$F$418,6,FALSE),0)</f>
        <v>0</v>
      </c>
      <c r="AR1546" s="55">
        <v>0</v>
      </c>
      <c r="AS1546" s="55">
        <v>0</v>
      </c>
      <c r="AT1546" s="55">
        <v>0</v>
      </c>
      <c r="AU1546" s="55">
        <v>0</v>
      </c>
      <c r="AV1546" s="55">
        <v>0</v>
      </c>
      <c r="AW1546" s="96"/>
      <c r="AX1546" s="96"/>
      <c r="AY1546" s="97">
        <f t="shared" si="497"/>
        <v>0.4</v>
      </c>
      <c r="AZ1546" s="96"/>
      <c r="BA1546" s="96"/>
    </row>
    <row r="1547" spans="1:53" x14ac:dyDescent="0.2">
      <c r="A1547" s="86" t="s">
        <v>1991</v>
      </c>
      <c r="C1547" s="26" t="s">
        <v>1851</v>
      </c>
      <c r="D1547" s="38" t="s">
        <v>1910</v>
      </c>
      <c r="E1547" s="38" t="s">
        <v>2044</v>
      </c>
      <c r="G1547" s="15" t="s">
        <v>2045</v>
      </c>
      <c r="AH1547" s="87">
        <f t="shared" si="491"/>
        <v>1</v>
      </c>
      <c r="AK1547" s="88">
        <v>1</v>
      </c>
      <c r="AL1547" s="55">
        <f t="shared" si="485"/>
        <v>0</v>
      </c>
      <c r="AM1547" s="88" t="s">
        <v>1912</v>
      </c>
      <c r="AN1547" s="88">
        <v>0</v>
      </c>
      <c r="AO1547" s="55">
        <v>0</v>
      </c>
      <c r="AP1547" s="55">
        <f t="shared" si="496"/>
        <v>0</v>
      </c>
      <c r="AQ1547" s="55">
        <f>IFERROR(VLOOKUP(A1547,[1]SIIMPLES!$A$2:$F$418,6,FALSE),0)</f>
        <v>0</v>
      </c>
      <c r="AR1547" s="55">
        <v>0</v>
      </c>
      <c r="AS1547" s="55">
        <v>0</v>
      </c>
      <c r="AT1547" s="55">
        <v>0</v>
      </c>
      <c r="AU1547" s="55">
        <v>0</v>
      </c>
      <c r="AV1547" s="55">
        <v>0</v>
      </c>
    </row>
    <row r="1548" spans="1:53" x14ac:dyDescent="0.2">
      <c r="A1548" s="91" t="s">
        <v>1939</v>
      </c>
      <c r="B1548" s="90"/>
      <c r="C1548" s="92" t="str">
        <f>VLOOKUP(A1548,[2]CMV!$A$1:$B$2115,2,FALSE)</f>
        <v>MOTO PEÇAS</v>
      </c>
      <c r="D1548" s="93" t="str">
        <f>VLOOKUP(A1548,[2]CMV!$A$1:$C$2115,3,FALSE)</f>
        <v>ANTENA CORTA PIPA</v>
      </c>
      <c r="E1548" s="93" t="str">
        <f>VLOOKUP(A1548,[2]CMV!$A$1:$E$2115,5,FALSE)</f>
        <v>JOJAFER</v>
      </c>
      <c r="F1548" s="95"/>
      <c r="G1548" s="94" t="str">
        <f>VLOOKUP(A1548,[2]CMV!$A$1:$F$2115,6,FALSE)</f>
        <v>ANTENA CORTA PIPA JJF 6 EST GUIDAO PRETA 7/8 EL" ABRAC ALUM C/RED</v>
      </c>
      <c r="H1548" s="96"/>
      <c r="I1548" s="96"/>
      <c r="J1548" s="96"/>
      <c r="K1548" s="96"/>
      <c r="L1548" s="96"/>
      <c r="M1548" s="96"/>
      <c r="N1548" s="96"/>
      <c r="O1548" s="96"/>
      <c r="P1548" s="96"/>
      <c r="Q1548" s="96"/>
      <c r="R1548" s="96"/>
      <c r="S1548" s="96"/>
      <c r="T1548" s="96"/>
      <c r="U1548" s="96"/>
      <c r="V1548" s="96"/>
      <c r="W1548" s="96"/>
      <c r="X1548" s="96"/>
      <c r="Y1548" s="96"/>
      <c r="Z1548" s="96"/>
      <c r="AA1548" s="96"/>
      <c r="AB1548" s="96"/>
      <c r="AC1548" s="96"/>
      <c r="AD1548" s="88">
        <f t="shared" ref="AD1548:AD1579" si="498">SUM(AE1548:AG1548)</f>
        <v>3</v>
      </c>
      <c r="AE1548" s="96"/>
      <c r="AF1548" s="96"/>
      <c r="AG1548" s="88">
        <v>3</v>
      </c>
      <c r="AH1548" s="88">
        <f t="shared" si="491"/>
        <v>1</v>
      </c>
      <c r="AI1548" s="88">
        <v>0</v>
      </c>
      <c r="AJ1548" s="88">
        <v>0</v>
      </c>
      <c r="AK1548" s="88">
        <v>1</v>
      </c>
      <c r="AL1548" s="55">
        <f t="shared" si="485"/>
        <v>0</v>
      </c>
      <c r="AM1548" s="88" t="s">
        <v>1912</v>
      </c>
      <c r="AN1548" s="88">
        <v>0</v>
      </c>
      <c r="AO1548" s="55">
        <v>0</v>
      </c>
      <c r="AP1548" s="55">
        <f t="shared" si="496"/>
        <v>0</v>
      </c>
      <c r="AQ1548" s="55">
        <f>IFERROR(VLOOKUP(A1548,[1]SIIMPLES!$A$2:$F$418,6,FALSE),0)</f>
        <v>0</v>
      </c>
      <c r="AR1548" s="55">
        <v>0</v>
      </c>
      <c r="AS1548" s="55">
        <v>4</v>
      </c>
      <c r="AT1548" s="55">
        <v>0</v>
      </c>
      <c r="AU1548" s="55">
        <v>0</v>
      </c>
      <c r="AV1548" s="55">
        <v>4</v>
      </c>
      <c r="AW1548" s="96"/>
      <c r="AX1548" s="96"/>
      <c r="AY1548" s="97">
        <f t="shared" ref="AY1548:AY1579" si="499">IFERROR(AVERAGE(I1548,N1548,R1548,V1548,Z1548,AD1548,AH1548,AL1548,AP1548,AS1548,AW1548,AX1548),"-")</f>
        <v>1.6</v>
      </c>
      <c r="AZ1548" s="96"/>
      <c r="BA1548" s="96"/>
    </row>
    <row r="1549" spans="1:53" x14ac:dyDescent="0.2">
      <c r="A1549" s="91" t="s">
        <v>1880</v>
      </c>
      <c r="B1549" s="90"/>
      <c r="C1549" s="92" t="s">
        <v>1851</v>
      </c>
      <c r="D1549" s="93" t="s">
        <v>1910</v>
      </c>
      <c r="E1549" s="93" t="str">
        <f>VLOOKUP(A1549,[2]CMV!$A$1:$E$2043,5,FALSE)</f>
        <v>JOJAFER</v>
      </c>
      <c r="F1549" s="95"/>
      <c r="G1549" s="93" t="str">
        <f>VLOOKUP(A1549,[2]CMV!$A$1:$F$2043,6,FALSE)</f>
        <v>ANTENA CORTA PIPA 6 ESTÁGIO PRETA</v>
      </c>
      <c r="H1549" s="96"/>
      <c r="I1549" s="96" t="s">
        <v>1075</v>
      </c>
      <c r="J1549" s="96"/>
      <c r="K1549" s="96"/>
      <c r="L1549" s="96"/>
      <c r="M1549" s="96"/>
      <c r="N1549" s="96"/>
      <c r="O1549" s="96"/>
      <c r="P1549" s="96"/>
      <c r="Q1549" s="96"/>
      <c r="R1549" s="96"/>
      <c r="S1549" s="96"/>
      <c r="T1549" s="96"/>
      <c r="U1549" s="96"/>
      <c r="V1549" s="96"/>
      <c r="W1549" s="96"/>
      <c r="X1549" s="95">
        <v>0</v>
      </c>
      <c r="Y1549" s="96"/>
      <c r="Z1549" s="88">
        <v>1</v>
      </c>
      <c r="AA1549" s="96"/>
      <c r="AB1549" s="96"/>
      <c r="AC1549" s="88">
        <v>1</v>
      </c>
      <c r="AD1549" s="88">
        <f t="shared" si="498"/>
        <v>0</v>
      </c>
      <c r="AE1549" s="95">
        <v>0</v>
      </c>
      <c r="AF1549" s="88">
        <v>0</v>
      </c>
      <c r="AG1549" s="88">
        <v>0</v>
      </c>
      <c r="AH1549" s="88">
        <f t="shared" si="491"/>
        <v>0</v>
      </c>
      <c r="AI1549" s="88">
        <v>0</v>
      </c>
      <c r="AJ1549" s="88">
        <v>0</v>
      </c>
      <c r="AK1549" s="88">
        <v>0</v>
      </c>
      <c r="AL1549" s="55">
        <f t="shared" si="485"/>
        <v>0</v>
      </c>
      <c r="AM1549" s="88" t="s">
        <v>1912</v>
      </c>
      <c r="AN1549" s="88">
        <v>0</v>
      </c>
      <c r="AO1549" s="55">
        <v>0</v>
      </c>
      <c r="AP1549" s="55">
        <f t="shared" si="496"/>
        <v>0</v>
      </c>
      <c r="AQ1549" s="55">
        <f>IFERROR(VLOOKUP(A1549,[1]SIIMPLES!$A$2:$F$418,6,FALSE),0)</f>
        <v>0</v>
      </c>
      <c r="AR1549" s="55">
        <v>0</v>
      </c>
      <c r="AS1549" s="55">
        <v>0</v>
      </c>
      <c r="AT1549" s="55">
        <v>0</v>
      </c>
      <c r="AU1549" s="55">
        <v>0</v>
      </c>
      <c r="AV1549" s="55">
        <v>0</v>
      </c>
      <c r="AW1549" s="96"/>
      <c r="AX1549" s="96"/>
      <c r="AY1549" s="97">
        <f t="shared" si="499"/>
        <v>0.16666666666666666</v>
      </c>
      <c r="AZ1549" s="96"/>
      <c r="BA1549" s="96"/>
    </row>
    <row r="1550" spans="1:53" x14ac:dyDescent="0.2">
      <c r="A1550" s="91" t="s">
        <v>1876</v>
      </c>
      <c r="B1550" s="90"/>
      <c r="C1550" s="92" t="s">
        <v>1851</v>
      </c>
      <c r="D1550" s="93" t="s">
        <v>1910</v>
      </c>
      <c r="E1550" s="93" t="str">
        <f>VLOOKUP(A1550,[2]CMV!$A$1:$E$2043,5,FALSE)</f>
        <v>JOJAFER</v>
      </c>
      <c r="F1550" s="95"/>
      <c r="G1550" s="93" t="str">
        <f>VLOOKUP(A1550,[2]CMV!$A$1:$F$2043,6,FALSE)</f>
        <v>ANTENA CORTA PIPA JJF FIXA GUIDAO INOX ABRAX ZINCADA</v>
      </c>
      <c r="H1550" s="96"/>
      <c r="I1550" s="96" t="s">
        <v>1075</v>
      </c>
      <c r="J1550" s="96"/>
      <c r="K1550" s="96"/>
      <c r="L1550" s="96"/>
      <c r="M1550" s="96"/>
      <c r="N1550" s="96"/>
      <c r="O1550" s="96"/>
      <c r="P1550" s="96"/>
      <c r="Q1550" s="96"/>
      <c r="R1550" s="96"/>
      <c r="S1550" s="96"/>
      <c r="T1550" s="96"/>
      <c r="U1550" s="96"/>
      <c r="V1550" s="96"/>
      <c r="W1550" s="96"/>
      <c r="X1550" s="95">
        <v>0</v>
      </c>
      <c r="Y1550" s="96"/>
      <c r="Z1550" s="88">
        <v>1</v>
      </c>
      <c r="AA1550" s="96"/>
      <c r="AB1550" s="96"/>
      <c r="AC1550" s="88">
        <v>1</v>
      </c>
      <c r="AD1550" s="88">
        <f t="shared" si="498"/>
        <v>0</v>
      </c>
      <c r="AE1550" s="95">
        <v>0</v>
      </c>
      <c r="AF1550" s="88">
        <v>0</v>
      </c>
      <c r="AG1550" s="88">
        <v>0</v>
      </c>
      <c r="AH1550" s="88">
        <f t="shared" si="491"/>
        <v>0</v>
      </c>
      <c r="AI1550" s="88">
        <v>0</v>
      </c>
      <c r="AJ1550" s="88">
        <v>0</v>
      </c>
      <c r="AK1550" s="88">
        <v>0</v>
      </c>
      <c r="AL1550" s="55">
        <f t="shared" si="485"/>
        <v>0</v>
      </c>
      <c r="AM1550" s="88" t="s">
        <v>1912</v>
      </c>
      <c r="AN1550" s="88">
        <v>0</v>
      </c>
      <c r="AO1550" s="55">
        <v>0</v>
      </c>
      <c r="AP1550" s="55">
        <f t="shared" si="496"/>
        <v>0</v>
      </c>
      <c r="AQ1550" s="55">
        <f>IFERROR(VLOOKUP(A1550,[1]SIIMPLES!$A$2:$F$418,6,FALSE),0)</f>
        <v>0</v>
      </c>
      <c r="AR1550" s="55">
        <v>0</v>
      </c>
      <c r="AS1550" s="55">
        <v>0</v>
      </c>
      <c r="AT1550" s="55">
        <v>0</v>
      </c>
      <c r="AU1550" s="55">
        <v>0</v>
      </c>
      <c r="AV1550" s="55">
        <v>0</v>
      </c>
      <c r="AW1550" s="96"/>
      <c r="AX1550" s="96"/>
      <c r="AY1550" s="97">
        <f t="shared" si="499"/>
        <v>0.16666666666666666</v>
      </c>
      <c r="AZ1550" s="96"/>
      <c r="BA1550" s="96"/>
    </row>
    <row r="1551" spans="1:53" x14ac:dyDescent="0.2">
      <c r="A1551" s="91" t="s">
        <v>1882</v>
      </c>
      <c r="B1551" s="90"/>
      <c r="C1551" s="92" t="s">
        <v>1851</v>
      </c>
      <c r="D1551" s="93" t="s">
        <v>1910</v>
      </c>
      <c r="E1551" s="93" t="str">
        <f>VLOOKUP(A1551,[2]CMV!$A$1:$E$2043,5,FALSE)</f>
        <v>JOJAFER</v>
      </c>
      <c r="F1551" s="95"/>
      <c r="G1551" s="93" t="str">
        <f>VLOOKUP(A1551,[2]CMV!$A$1:$F$2043,6,FALSE)</f>
        <v>ANTENA CORTA PIPA JJF FIXA RETROV INOX COM REFORÇO</v>
      </c>
      <c r="H1551" s="96"/>
      <c r="I1551" s="96" t="s">
        <v>1075</v>
      </c>
      <c r="J1551" s="96"/>
      <c r="K1551" s="96"/>
      <c r="L1551" s="96"/>
      <c r="M1551" s="96"/>
      <c r="N1551" s="96"/>
      <c r="O1551" s="96"/>
      <c r="P1551" s="96"/>
      <c r="Q1551" s="96"/>
      <c r="R1551" s="96"/>
      <c r="S1551" s="96"/>
      <c r="T1551" s="96"/>
      <c r="U1551" s="96"/>
      <c r="V1551" s="96"/>
      <c r="W1551" s="96"/>
      <c r="X1551" s="95">
        <v>0</v>
      </c>
      <c r="Y1551" s="96"/>
      <c r="Z1551" s="88">
        <v>1</v>
      </c>
      <c r="AA1551" s="96"/>
      <c r="AB1551" s="96"/>
      <c r="AC1551" s="88">
        <v>1</v>
      </c>
      <c r="AD1551" s="88">
        <f t="shared" si="498"/>
        <v>10</v>
      </c>
      <c r="AE1551" s="95">
        <v>0</v>
      </c>
      <c r="AF1551" s="88">
        <v>0</v>
      </c>
      <c r="AG1551" s="88">
        <v>10</v>
      </c>
      <c r="AH1551" s="88">
        <f t="shared" si="491"/>
        <v>0</v>
      </c>
      <c r="AI1551" s="88">
        <v>0</v>
      </c>
      <c r="AJ1551" s="88">
        <v>0</v>
      </c>
      <c r="AK1551" s="88">
        <v>0</v>
      </c>
      <c r="AL1551" s="55">
        <f t="shared" si="485"/>
        <v>0</v>
      </c>
      <c r="AM1551" s="88" t="s">
        <v>1912</v>
      </c>
      <c r="AN1551" s="88">
        <v>0</v>
      </c>
      <c r="AO1551" s="55">
        <v>0</v>
      </c>
      <c r="AP1551" s="55">
        <f t="shared" si="496"/>
        <v>0</v>
      </c>
      <c r="AQ1551" s="55">
        <f>IFERROR(VLOOKUP(A1551,[1]SIIMPLES!$A$2:$F$418,6,FALSE),0)</f>
        <v>0</v>
      </c>
      <c r="AR1551" s="55">
        <v>0</v>
      </c>
      <c r="AS1551" s="55">
        <v>0</v>
      </c>
      <c r="AT1551" s="55">
        <v>0</v>
      </c>
      <c r="AU1551" s="55">
        <v>0</v>
      </c>
      <c r="AV1551" s="55">
        <v>0</v>
      </c>
      <c r="AW1551" s="96"/>
      <c r="AX1551" s="96"/>
      <c r="AY1551" s="97">
        <f t="shared" si="499"/>
        <v>1.8333333333333333</v>
      </c>
      <c r="AZ1551" s="96"/>
      <c r="BA1551" s="96"/>
    </row>
    <row r="1552" spans="1:53" x14ac:dyDescent="0.2">
      <c r="A1552" s="91" t="s">
        <v>1946</v>
      </c>
      <c r="B1552" s="90"/>
      <c r="C1552" s="92" t="str">
        <f>VLOOKUP(A1552,[2]CMV!$A$1:$B$2115,2,FALSE)</f>
        <v>MOTO PEÇAS</v>
      </c>
      <c r="D1552" s="93" t="str">
        <f>VLOOKUP(A1552,[2]CMV!$A$1:$C$2115,3,FALSE)</f>
        <v>ANTENA CORTA PIPA</v>
      </c>
      <c r="E1552" s="93" t="str">
        <f>VLOOKUP(A1552,[2]CMV!$A$1:$E$2115,5,FALSE)</f>
        <v>JOJAFER</v>
      </c>
      <c r="F1552" s="95"/>
      <c r="G1552" s="94" t="str">
        <f>VLOOKUP(A1552,[2]CMV!$A$1:$F$2115,6,FALSE)</f>
        <v>ANTENA CORTA PIPA 6 EST GUIDAO 7/8 E 1"C/ RED INOX ABRAC FIBRA CROMADA</v>
      </c>
      <c r="H1552" s="96"/>
      <c r="I1552" s="96"/>
      <c r="J1552" s="96"/>
      <c r="K1552" s="96"/>
      <c r="L1552" s="96"/>
      <c r="M1552" s="96"/>
      <c r="N1552" s="96"/>
      <c r="O1552" s="96"/>
      <c r="P1552" s="96"/>
      <c r="Q1552" s="96"/>
      <c r="R1552" s="96"/>
      <c r="S1552" s="96"/>
      <c r="T1552" s="96"/>
      <c r="U1552" s="96"/>
      <c r="V1552" s="96"/>
      <c r="W1552" s="96"/>
      <c r="X1552" s="96"/>
      <c r="Y1552" s="96"/>
      <c r="Z1552" s="96"/>
      <c r="AA1552" s="96"/>
      <c r="AB1552" s="96"/>
      <c r="AC1552" s="96"/>
      <c r="AD1552" s="88">
        <f t="shared" si="498"/>
        <v>2</v>
      </c>
      <c r="AE1552" s="96"/>
      <c r="AF1552" s="96"/>
      <c r="AG1552" s="88">
        <v>2</v>
      </c>
      <c r="AH1552" s="88">
        <f t="shared" ref="AH1552:AH1581" si="500">SUM(AI1552:AK1552)</f>
        <v>0</v>
      </c>
      <c r="AI1552" s="88">
        <v>0</v>
      </c>
      <c r="AJ1552" s="88">
        <v>0</v>
      </c>
      <c r="AK1552" s="88">
        <v>0</v>
      </c>
      <c r="AL1552" s="55">
        <f t="shared" si="485"/>
        <v>1</v>
      </c>
      <c r="AM1552" s="88" t="s">
        <v>1912</v>
      </c>
      <c r="AN1552" s="88">
        <v>0</v>
      </c>
      <c r="AO1552" s="55">
        <v>1</v>
      </c>
      <c r="AP1552" s="55">
        <f t="shared" si="496"/>
        <v>0</v>
      </c>
      <c r="AQ1552" s="55">
        <f>IFERROR(VLOOKUP(A1552,[1]SIIMPLES!$A$2:$F$418,6,FALSE),0)</f>
        <v>0</v>
      </c>
      <c r="AR1552" s="55">
        <v>0</v>
      </c>
      <c r="AS1552" s="55">
        <v>0</v>
      </c>
      <c r="AT1552" s="55">
        <v>0</v>
      </c>
      <c r="AU1552" s="55">
        <v>0</v>
      </c>
      <c r="AV1552" s="55">
        <v>0</v>
      </c>
      <c r="AW1552" s="96"/>
      <c r="AX1552" s="96"/>
      <c r="AY1552" s="97">
        <f t="shared" si="499"/>
        <v>0.6</v>
      </c>
      <c r="AZ1552" s="96"/>
      <c r="BA1552" s="96"/>
    </row>
    <row r="1553" spans="1:53" x14ac:dyDescent="0.2">
      <c r="A1553" s="91" t="s">
        <v>1874</v>
      </c>
      <c r="B1553" s="90"/>
      <c r="C1553" s="92" t="s">
        <v>1851</v>
      </c>
      <c r="D1553" s="93" t="s">
        <v>1910</v>
      </c>
      <c r="E1553" s="93" t="str">
        <f>VLOOKUP(A1553,[2]CMV!$A$1:$E$2043,5,FALSE)</f>
        <v>JOJAFER</v>
      </c>
      <c r="F1553" s="95"/>
      <c r="G1553" s="93" t="str">
        <f>VLOOKUP(A1553,[2]CMV!$A$1:$F$2043,6,FALSE)</f>
        <v>ANTENA CORTA PIPA 6 ESTÁGIO PRETA 7/8</v>
      </c>
      <c r="H1553" s="96"/>
      <c r="I1553" s="96"/>
      <c r="J1553" s="96"/>
      <c r="K1553" s="96"/>
      <c r="L1553" s="96"/>
      <c r="M1553" s="96"/>
      <c r="N1553" s="96"/>
      <c r="O1553" s="96"/>
      <c r="P1553" s="96"/>
      <c r="Q1553" s="96"/>
      <c r="R1553" s="96"/>
      <c r="S1553" s="96"/>
      <c r="T1553" s="96"/>
      <c r="U1553" s="96"/>
      <c r="V1553" s="96"/>
      <c r="W1553" s="96"/>
      <c r="X1553" s="95">
        <v>0</v>
      </c>
      <c r="Y1553" s="96"/>
      <c r="Z1553" s="88">
        <v>2</v>
      </c>
      <c r="AA1553" s="96"/>
      <c r="AB1553" s="96"/>
      <c r="AC1553" s="88">
        <v>2</v>
      </c>
      <c r="AD1553" s="88">
        <f t="shared" si="498"/>
        <v>0</v>
      </c>
      <c r="AE1553" s="95">
        <v>0</v>
      </c>
      <c r="AF1553" s="88">
        <v>0</v>
      </c>
      <c r="AG1553" s="88">
        <v>0</v>
      </c>
      <c r="AH1553" s="88">
        <f t="shared" si="500"/>
        <v>0</v>
      </c>
      <c r="AI1553" s="88">
        <v>0</v>
      </c>
      <c r="AJ1553" s="88">
        <v>0</v>
      </c>
      <c r="AK1553" s="88">
        <v>0</v>
      </c>
      <c r="AL1553" s="55">
        <f t="shared" si="485"/>
        <v>0</v>
      </c>
      <c r="AM1553" s="88" t="s">
        <v>1912</v>
      </c>
      <c r="AN1553" s="88">
        <v>0</v>
      </c>
      <c r="AO1553" s="55">
        <v>0</v>
      </c>
      <c r="AP1553" s="55">
        <f t="shared" si="496"/>
        <v>0</v>
      </c>
      <c r="AQ1553" s="55">
        <f>IFERROR(VLOOKUP(A1553,[1]SIIMPLES!$A$2:$F$418,6,FALSE),0)</f>
        <v>0</v>
      </c>
      <c r="AR1553" s="55">
        <v>0</v>
      </c>
      <c r="AS1553" s="55">
        <v>0</v>
      </c>
      <c r="AT1553" s="55">
        <v>0</v>
      </c>
      <c r="AU1553" s="55">
        <v>0</v>
      </c>
      <c r="AV1553" s="55">
        <v>0</v>
      </c>
      <c r="AW1553" s="96"/>
      <c r="AX1553" s="96"/>
      <c r="AY1553" s="97">
        <f t="shared" si="499"/>
        <v>0.33333333333333331</v>
      </c>
      <c r="AZ1553" s="96"/>
      <c r="BA1553" s="96"/>
    </row>
    <row r="1554" spans="1:53" x14ac:dyDescent="0.2">
      <c r="A1554" s="91" t="s">
        <v>1868</v>
      </c>
      <c r="B1554" s="90"/>
      <c r="C1554" s="92" t="s">
        <v>1851</v>
      </c>
      <c r="D1554" s="93" t="s">
        <v>1910</v>
      </c>
      <c r="E1554" s="93" t="str">
        <f>VLOOKUP(A1554,[2]CMV!$A$1:$E$2043,5,FALSE)</f>
        <v>JOJAFER</v>
      </c>
      <c r="F1554" s="95"/>
      <c r="G1554" s="93" t="str">
        <f>VLOOKUP(A1554,[2]CMV!$A$1:$F$2043,6,FALSE)</f>
        <v>ANTENA CORTA PIPA 6 ESTÁGIO PRETA RETROVISOR</v>
      </c>
      <c r="H1554" s="96"/>
      <c r="I1554" s="96"/>
      <c r="J1554" s="96"/>
      <c r="K1554" s="96"/>
      <c r="L1554" s="96"/>
      <c r="M1554" s="96"/>
      <c r="N1554" s="96"/>
      <c r="O1554" s="96"/>
      <c r="P1554" s="96"/>
      <c r="Q1554" s="96"/>
      <c r="R1554" s="96"/>
      <c r="S1554" s="96"/>
      <c r="T1554" s="96"/>
      <c r="U1554" s="96"/>
      <c r="V1554" s="96"/>
      <c r="W1554" s="96"/>
      <c r="X1554" s="95">
        <v>0</v>
      </c>
      <c r="Y1554" s="96"/>
      <c r="Z1554" s="88">
        <v>2</v>
      </c>
      <c r="AA1554" s="96"/>
      <c r="AB1554" s="96"/>
      <c r="AC1554" s="88">
        <v>2</v>
      </c>
      <c r="AD1554" s="88">
        <f t="shared" si="498"/>
        <v>0</v>
      </c>
      <c r="AE1554" s="95">
        <v>0</v>
      </c>
      <c r="AF1554" s="88">
        <v>0</v>
      </c>
      <c r="AG1554" s="88">
        <v>0</v>
      </c>
      <c r="AH1554" s="88">
        <f t="shared" si="500"/>
        <v>0</v>
      </c>
      <c r="AI1554" s="88">
        <v>0</v>
      </c>
      <c r="AJ1554" s="88">
        <v>0</v>
      </c>
      <c r="AK1554" s="88">
        <v>0</v>
      </c>
      <c r="AL1554" s="88">
        <f t="shared" si="485"/>
        <v>0</v>
      </c>
      <c r="AM1554" s="88" t="s">
        <v>1912</v>
      </c>
      <c r="AN1554" s="88">
        <v>0</v>
      </c>
      <c r="AO1554" s="88">
        <v>0</v>
      </c>
      <c r="AP1554" s="55">
        <f t="shared" si="496"/>
        <v>0</v>
      </c>
      <c r="AQ1554" s="55">
        <f>IFERROR(VLOOKUP(A1554,[1]SIIMPLES!$A$2:$F$418,6,FALSE),0)</f>
        <v>0</v>
      </c>
      <c r="AR1554" s="55">
        <v>0</v>
      </c>
      <c r="AS1554" s="55">
        <v>0</v>
      </c>
      <c r="AT1554" s="55">
        <v>0</v>
      </c>
      <c r="AU1554" s="55">
        <v>0</v>
      </c>
      <c r="AV1554" s="55">
        <v>0</v>
      </c>
      <c r="AW1554" s="96"/>
      <c r="AX1554" s="96"/>
      <c r="AY1554" s="97">
        <f t="shared" si="499"/>
        <v>0.33333333333333331</v>
      </c>
      <c r="AZ1554" s="96"/>
      <c r="BA1554" s="96"/>
    </row>
    <row r="1555" spans="1:53" x14ac:dyDescent="0.2">
      <c r="A1555" s="91" t="s">
        <v>1955</v>
      </c>
      <c r="B1555" s="90"/>
      <c r="C1555" s="92" t="str">
        <f>VLOOKUP(A1555,[2]CMV!$A$1:$B$2115,2,FALSE)</f>
        <v>MOTO PEÇAS</v>
      </c>
      <c r="D1555" s="93" t="str">
        <f>VLOOKUP(A1555,[2]CMV!$A$1:$C$2115,3,FALSE)</f>
        <v>ANTENA CORTA PIPA</v>
      </c>
      <c r="E1555" s="93" t="str">
        <f>VLOOKUP(A1555,[2]CMV!$A$1:$E$2115,5,FALSE)</f>
        <v>JOJAFER</v>
      </c>
      <c r="F1555" s="95"/>
      <c r="G1555" s="94" t="str">
        <f>VLOOKUP(A1555,[2]CMV!$A$1:$F$2115,6,FALSE)</f>
        <v>ANTENA CORTA PIPA 6 EST RETROV PRETA INOX</v>
      </c>
      <c r="H1555" s="96"/>
      <c r="I1555" s="96"/>
      <c r="J1555" s="96"/>
      <c r="K1555" s="96"/>
      <c r="L1555" s="96"/>
      <c r="M1555" s="96"/>
      <c r="N1555" s="96"/>
      <c r="O1555" s="96"/>
      <c r="P1555" s="96"/>
      <c r="Q1555" s="96"/>
      <c r="R1555" s="96"/>
      <c r="S1555" s="96"/>
      <c r="T1555" s="96"/>
      <c r="U1555" s="96"/>
      <c r="V1555" s="96"/>
      <c r="W1555" s="96"/>
      <c r="X1555" s="96"/>
      <c r="Y1555" s="96"/>
      <c r="Z1555" s="96"/>
      <c r="AA1555" s="96"/>
      <c r="AB1555" s="96"/>
      <c r="AC1555" s="96"/>
      <c r="AD1555" s="88">
        <f t="shared" si="498"/>
        <v>2</v>
      </c>
      <c r="AE1555" s="96"/>
      <c r="AF1555" s="96"/>
      <c r="AG1555" s="88">
        <v>2</v>
      </c>
      <c r="AH1555" s="88">
        <f t="shared" si="500"/>
        <v>0</v>
      </c>
      <c r="AI1555" s="88">
        <v>0</v>
      </c>
      <c r="AJ1555" s="88">
        <v>0</v>
      </c>
      <c r="AK1555" s="88">
        <v>0</v>
      </c>
      <c r="AL1555" s="88">
        <f t="shared" ref="AL1555:AL1605" si="501">SUM(AM1555:AO1555)</f>
        <v>0</v>
      </c>
      <c r="AM1555" s="88" t="s">
        <v>1912</v>
      </c>
      <c r="AN1555" s="88">
        <v>0</v>
      </c>
      <c r="AO1555" s="88">
        <v>0</v>
      </c>
      <c r="AP1555" s="55">
        <f t="shared" si="496"/>
        <v>0</v>
      </c>
      <c r="AQ1555" s="55">
        <f>IFERROR(VLOOKUP(A1555,[1]SIIMPLES!$A$2:$F$418,6,FALSE),0)</f>
        <v>0</v>
      </c>
      <c r="AR1555" s="55">
        <v>0</v>
      </c>
      <c r="AS1555" s="55">
        <v>0</v>
      </c>
      <c r="AT1555" s="55">
        <v>0</v>
      </c>
      <c r="AU1555" s="55">
        <v>0</v>
      </c>
      <c r="AV1555" s="55">
        <v>0</v>
      </c>
      <c r="AW1555" s="96"/>
      <c r="AX1555" s="96"/>
      <c r="AY1555" s="97">
        <f t="shared" si="499"/>
        <v>0.4</v>
      </c>
      <c r="AZ1555" s="96"/>
      <c r="BA1555" s="96"/>
    </row>
    <row r="1556" spans="1:53" x14ac:dyDescent="0.2">
      <c r="A1556" s="91" t="s">
        <v>1865</v>
      </c>
      <c r="B1556" s="90"/>
      <c r="C1556" s="92" t="s">
        <v>1851</v>
      </c>
      <c r="D1556" s="93" t="s">
        <v>1910</v>
      </c>
      <c r="E1556" s="93" t="str">
        <f>VLOOKUP(A1556,[2]CMV!$A$1:$E$2043,5,FALSE)</f>
        <v>JOJAFER</v>
      </c>
      <c r="F1556" s="95"/>
      <c r="G1556" s="93" t="str">
        <f>VLOOKUP(A1556,[2]CMV!$A$1:$F$2043,6,FALSE)</f>
        <v>ANTENA CORTA PIPA 6 ESTÁGIO INOX RETROVISOR</v>
      </c>
      <c r="H1556" s="96"/>
      <c r="I1556" s="96"/>
      <c r="J1556" s="96"/>
      <c r="K1556" s="96"/>
      <c r="L1556" s="96"/>
      <c r="M1556" s="96"/>
      <c r="N1556" s="96"/>
      <c r="O1556" s="96"/>
      <c r="P1556" s="96"/>
      <c r="Q1556" s="96"/>
      <c r="R1556" s="96"/>
      <c r="S1556" s="96"/>
      <c r="T1556" s="96"/>
      <c r="U1556" s="96"/>
      <c r="V1556" s="96"/>
      <c r="W1556" s="96"/>
      <c r="X1556" s="95">
        <v>0</v>
      </c>
      <c r="Y1556" s="96"/>
      <c r="Z1556" s="88">
        <v>2</v>
      </c>
      <c r="AA1556" s="96"/>
      <c r="AB1556" s="96"/>
      <c r="AC1556" s="88">
        <v>2</v>
      </c>
      <c r="AD1556" s="88">
        <f t="shared" si="498"/>
        <v>0</v>
      </c>
      <c r="AE1556" s="95">
        <v>0</v>
      </c>
      <c r="AF1556" s="88">
        <v>0</v>
      </c>
      <c r="AG1556" s="88">
        <v>0</v>
      </c>
      <c r="AH1556" s="88">
        <f t="shared" si="500"/>
        <v>0</v>
      </c>
      <c r="AI1556" s="88">
        <v>0</v>
      </c>
      <c r="AJ1556" s="88">
        <v>0</v>
      </c>
      <c r="AK1556" s="88">
        <v>0</v>
      </c>
      <c r="AL1556" s="88">
        <f t="shared" si="501"/>
        <v>0</v>
      </c>
      <c r="AM1556" s="88" t="s">
        <v>1912</v>
      </c>
      <c r="AN1556" s="88">
        <v>0</v>
      </c>
      <c r="AO1556" s="88">
        <v>0</v>
      </c>
      <c r="AP1556" s="55">
        <f t="shared" si="496"/>
        <v>0</v>
      </c>
      <c r="AQ1556" s="55">
        <f>IFERROR(VLOOKUP(A1556,[1]SIIMPLES!$A$2:$F$418,6,FALSE),0)</f>
        <v>0</v>
      </c>
      <c r="AR1556" s="55">
        <v>0</v>
      </c>
      <c r="AS1556" s="55">
        <v>0</v>
      </c>
      <c r="AT1556" s="55">
        <v>0</v>
      </c>
      <c r="AU1556" s="55">
        <v>0</v>
      </c>
      <c r="AV1556" s="55">
        <v>0</v>
      </c>
      <c r="AW1556" s="96"/>
      <c r="AX1556" s="96"/>
      <c r="AY1556" s="97">
        <f t="shared" si="499"/>
        <v>0.33333333333333331</v>
      </c>
      <c r="AZ1556" s="96"/>
      <c r="BA1556" s="96"/>
    </row>
    <row r="1557" spans="1:53" x14ac:dyDescent="0.2">
      <c r="A1557" s="91" t="s">
        <v>1881</v>
      </c>
      <c r="B1557" s="90"/>
      <c r="C1557" s="92" t="s">
        <v>1851</v>
      </c>
      <c r="D1557" s="93" t="s">
        <v>1910</v>
      </c>
      <c r="E1557" s="93" t="str">
        <f>VLOOKUP(A1557,[2]CMV!$A$1:$E$2043,5,FALSE)</f>
        <v>JOJAFER</v>
      </c>
      <c r="F1557" s="95"/>
      <c r="G1557" s="93" t="str">
        <f>VLOOKUP(A1557,[2]CMV!$A$1:$F$2043,6,FALSE)</f>
        <v>ANTENA CORTA PIPA JJF GUIDAO 2 EST ALUMIN HASTE CARBONO</v>
      </c>
      <c r="H1557" s="96"/>
      <c r="I1557" s="96" t="s">
        <v>1075</v>
      </c>
      <c r="J1557" s="96"/>
      <c r="K1557" s="96"/>
      <c r="L1557" s="96"/>
      <c r="M1557" s="96"/>
      <c r="N1557" s="96"/>
      <c r="O1557" s="96"/>
      <c r="P1557" s="96"/>
      <c r="Q1557" s="96"/>
      <c r="R1557" s="96"/>
      <c r="S1557" s="96"/>
      <c r="T1557" s="96"/>
      <c r="U1557" s="96"/>
      <c r="V1557" s="96"/>
      <c r="W1557" s="96"/>
      <c r="X1557" s="95">
        <v>0</v>
      </c>
      <c r="Y1557" s="96"/>
      <c r="Z1557" s="88">
        <v>1</v>
      </c>
      <c r="AA1557" s="96"/>
      <c r="AB1557" s="96"/>
      <c r="AC1557" s="88">
        <v>1</v>
      </c>
      <c r="AD1557" s="88">
        <f t="shared" si="498"/>
        <v>1</v>
      </c>
      <c r="AE1557" s="95">
        <v>0</v>
      </c>
      <c r="AF1557" s="88">
        <v>0</v>
      </c>
      <c r="AG1557" s="88">
        <v>1</v>
      </c>
      <c r="AH1557" s="88">
        <f t="shared" si="500"/>
        <v>0</v>
      </c>
      <c r="AI1557" s="88">
        <v>0</v>
      </c>
      <c r="AJ1557" s="88">
        <v>0</v>
      </c>
      <c r="AK1557" s="88">
        <v>0</v>
      </c>
      <c r="AL1557" s="88">
        <f t="shared" si="501"/>
        <v>0</v>
      </c>
      <c r="AM1557" s="88" t="s">
        <v>1912</v>
      </c>
      <c r="AN1557" s="88">
        <v>0</v>
      </c>
      <c r="AO1557" s="88">
        <v>0</v>
      </c>
      <c r="AP1557" s="55">
        <f t="shared" si="496"/>
        <v>0</v>
      </c>
      <c r="AQ1557" s="55">
        <f>IFERROR(VLOOKUP(A1557,[1]SIIMPLES!$A$2:$F$418,6,FALSE),0)</f>
        <v>0</v>
      </c>
      <c r="AR1557" s="55">
        <v>0</v>
      </c>
      <c r="AS1557" s="55">
        <v>0</v>
      </c>
      <c r="AT1557" s="55">
        <v>0</v>
      </c>
      <c r="AU1557" s="55">
        <v>0</v>
      </c>
      <c r="AV1557" s="55">
        <v>0</v>
      </c>
      <c r="AW1557" s="96"/>
      <c r="AX1557" s="96"/>
      <c r="AY1557" s="97">
        <f t="shared" si="499"/>
        <v>0.33333333333333331</v>
      </c>
      <c r="AZ1557" s="96"/>
      <c r="BA1557" s="96"/>
    </row>
    <row r="1558" spans="1:53" x14ac:dyDescent="0.2">
      <c r="A1558" s="91" t="s">
        <v>1883</v>
      </c>
      <c r="B1558" s="90"/>
      <c r="C1558" s="92" t="s">
        <v>1851</v>
      </c>
      <c r="D1558" s="93" t="s">
        <v>1910</v>
      </c>
      <c r="E1558" s="93" t="str">
        <f>VLOOKUP(A1558,[2]CMV!$A$1:$E$2043,5,FALSE)</f>
        <v>JOJAFER</v>
      </c>
      <c r="F1558" s="95"/>
      <c r="G1558" s="93" t="str">
        <f>VLOOKUP(A1558,[2]CMV!$A$1:$F$2043,6,FALSE)</f>
        <v>ANTENA CORTA PIPA JJF RETROV 2 EST ALUMIN HASTE CARBONO</v>
      </c>
      <c r="H1558" s="96"/>
      <c r="I1558" s="96" t="s">
        <v>1075</v>
      </c>
      <c r="J1558" s="96"/>
      <c r="K1558" s="96"/>
      <c r="L1558" s="96"/>
      <c r="M1558" s="96"/>
      <c r="N1558" s="96"/>
      <c r="O1558" s="96"/>
      <c r="P1558" s="96"/>
      <c r="Q1558" s="96"/>
      <c r="R1558" s="96"/>
      <c r="S1558" s="96"/>
      <c r="T1558" s="96"/>
      <c r="U1558" s="96"/>
      <c r="V1558" s="96"/>
      <c r="W1558" s="96"/>
      <c r="X1558" s="95">
        <v>0</v>
      </c>
      <c r="Y1558" s="96"/>
      <c r="Z1558" s="88">
        <v>1</v>
      </c>
      <c r="AA1558" s="96"/>
      <c r="AB1558" s="96"/>
      <c r="AC1558" s="88">
        <v>1</v>
      </c>
      <c r="AD1558" s="88">
        <f t="shared" si="498"/>
        <v>1</v>
      </c>
      <c r="AE1558" s="95">
        <v>0</v>
      </c>
      <c r="AF1558" s="88">
        <v>0</v>
      </c>
      <c r="AG1558" s="88">
        <v>1</v>
      </c>
      <c r="AH1558" s="88">
        <f t="shared" si="500"/>
        <v>0</v>
      </c>
      <c r="AI1558" s="88">
        <v>0</v>
      </c>
      <c r="AJ1558" s="88">
        <v>0</v>
      </c>
      <c r="AK1558" s="88">
        <v>0</v>
      </c>
      <c r="AL1558" s="88">
        <f t="shared" si="501"/>
        <v>0</v>
      </c>
      <c r="AM1558" s="88" t="s">
        <v>1912</v>
      </c>
      <c r="AN1558" s="88">
        <v>0</v>
      </c>
      <c r="AO1558" s="88">
        <v>0</v>
      </c>
      <c r="AP1558" s="55">
        <f t="shared" si="496"/>
        <v>0</v>
      </c>
      <c r="AQ1558" s="55">
        <f>IFERROR(VLOOKUP(A1558,[1]SIIMPLES!$A$2:$F$418,6,FALSE),0)</f>
        <v>0</v>
      </c>
      <c r="AR1558" s="55">
        <v>0</v>
      </c>
      <c r="AS1558" s="55">
        <v>0</v>
      </c>
      <c r="AT1558" s="55">
        <v>0</v>
      </c>
      <c r="AU1558" s="55">
        <v>0</v>
      </c>
      <c r="AV1558" s="55">
        <v>0</v>
      </c>
      <c r="AW1558" s="96"/>
      <c r="AX1558" s="96"/>
      <c r="AY1558" s="97">
        <f t="shared" si="499"/>
        <v>0.33333333333333331</v>
      </c>
      <c r="AZ1558" s="96"/>
      <c r="BA1558" s="96"/>
    </row>
    <row r="1559" spans="1:53" x14ac:dyDescent="0.2">
      <c r="A1559" s="91" t="s">
        <v>1948</v>
      </c>
      <c r="B1559" s="90"/>
      <c r="C1559" s="92" t="str">
        <f>VLOOKUP(A1559,[2]CMV!$A$1:$B$2115,2,FALSE)</f>
        <v>MOTO PEÇAS</v>
      </c>
      <c r="D1559" s="93" t="str">
        <f>VLOOKUP(A1559,[2]CMV!$A$1:$C$2115,3,FALSE)</f>
        <v>ANTENA CORTA PIPA</v>
      </c>
      <c r="E1559" s="93" t="str">
        <f>VLOOKUP(A1559,[2]CMV!$A$1:$E$2115,5,FALSE)</f>
        <v>JOJAFER</v>
      </c>
      <c r="F1559" s="95"/>
      <c r="G1559" s="94" t="str">
        <f>VLOOKUP(A1559,[2]CMV!$A$1:$F$2115,6,FALSE)</f>
        <v>ANTENA JJF RETROV 2 ESTAG ALUMIN PRETO CARBONO</v>
      </c>
      <c r="H1559" s="96"/>
      <c r="I1559" s="96"/>
      <c r="J1559" s="96"/>
      <c r="K1559" s="96"/>
      <c r="L1559" s="96"/>
      <c r="M1559" s="96"/>
      <c r="N1559" s="96"/>
      <c r="O1559" s="96"/>
      <c r="P1559" s="96"/>
      <c r="Q1559" s="96"/>
      <c r="R1559" s="96"/>
      <c r="S1559" s="96"/>
      <c r="T1559" s="96"/>
      <c r="U1559" s="96"/>
      <c r="V1559" s="96"/>
      <c r="W1559" s="96"/>
      <c r="X1559" s="96"/>
      <c r="Y1559" s="96"/>
      <c r="Z1559" s="96"/>
      <c r="AA1559" s="96"/>
      <c r="AB1559" s="96"/>
      <c r="AC1559" s="96"/>
      <c r="AD1559" s="88">
        <f t="shared" si="498"/>
        <v>2</v>
      </c>
      <c r="AE1559" s="96"/>
      <c r="AF1559" s="96"/>
      <c r="AG1559" s="88">
        <v>2</v>
      </c>
      <c r="AH1559" s="88">
        <f t="shared" si="500"/>
        <v>0</v>
      </c>
      <c r="AI1559" s="88">
        <v>0</v>
      </c>
      <c r="AJ1559" s="88">
        <v>0</v>
      </c>
      <c r="AK1559" s="88">
        <v>0</v>
      </c>
      <c r="AL1559" s="88">
        <f t="shared" si="501"/>
        <v>0</v>
      </c>
      <c r="AM1559" s="88" t="s">
        <v>1912</v>
      </c>
      <c r="AN1559" s="88">
        <v>0</v>
      </c>
      <c r="AO1559" s="88">
        <v>0</v>
      </c>
      <c r="AP1559" s="55">
        <f t="shared" si="496"/>
        <v>0</v>
      </c>
      <c r="AQ1559" s="55">
        <f>IFERROR(VLOOKUP(A1559,[1]SIIMPLES!$A$2:$F$418,6,FALSE),0)</f>
        <v>0</v>
      </c>
      <c r="AR1559" s="55">
        <v>0</v>
      </c>
      <c r="AS1559" s="55">
        <v>0</v>
      </c>
      <c r="AT1559" s="55">
        <v>0</v>
      </c>
      <c r="AU1559" s="55">
        <v>0</v>
      </c>
      <c r="AV1559" s="55">
        <v>0</v>
      </c>
      <c r="AW1559" s="96"/>
      <c r="AX1559" s="96"/>
      <c r="AY1559" s="97">
        <f t="shared" si="499"/>
        <v>0.4</v>
      </c>
      <c r="AZ1559" s="96"/>
      <c r="BA1559" s="96"/>
    </row>
    <row r="1560" spans="1:53" x14ac:dyDescent="0.2">
      <c r="A1560" s="91" t="s">
        <v>1950</v>
      </c>
      <c r="B1560" s="90"/>
      <c r="C1560" s="92" t="str">
        <f>VLOOKUP(A1560,[2]CMV!$A$1:$B$2115,2,FALSE)</f>
        <v>MOTO PEÇAS</v>
      </c>
      <c r="D1560" s="93" t="str">
        <f>VLOOKUP(A1560,[2]CMV!$A$1:$C$2115,3,FALSE)</f>
        <v>ANTENA CORTA PIPA</v>
      </c>
      <c r="E1560" s="93" t="str">
        <f>VLOOKUP(A1560,[2]CMV!$A$1:$E$2115,5,FALSE)</f>
        <v>JOJAFER</v>
      </c>
      <c r="F1560" s="95"/>
      <c r="G1560" s="94" t="str">
        <f>VLOOKUP(A1560,[2]CMV!$A$1:$F$2115,6,FALSE)</f>
        <v>ANTENA CORTA PIPA JJF FIXA GUIDAO INOX ABRAX ZINCADA</v>
      </c>
      <c r="H1560" s="96"/>
      <c r="I1560" s="96"/>
      <c r="J1560" s="96"/>
      <c r="K1560" s="96"/>
      <c r="L1560" s="96"/>
      <c r="M1560" s="96"/>
      <c r="N1560" s="96"/>
      <c r="O1560" s="96"/>
      <c r="P1560" s="96"/>
      <c r="Q1560" s="96"/>
      <c r="R1560" s="96"/>
      <c r="S1560" s="96"/>
      <c r="T1560" s="96"/>
      <c r="U1560" s="96"/>
      <c r="V1560" s="96"/>
      <c r="W1560" s="96"/>
      <c r="X1560" s="96"/>
      <c r="Y1560" s="96"/>
      <c r="Z1560" s="96"/>
      <c r="AA1560" s="96"/>
      <c r="AB1560" s="96"/>
      <c r="AC1560" s="96"/>
      <c r="AD1560" s="88">
        <f t="shared" si="498"/>
        <v>2</v>
      </c>
      <c r="AE1560" s="96"/>
      <c r="AF1560" s="96"/>
      <c r="AG1560" s="88">
        <v>2</v>
      </c>
      <c r="AH1560" s="88">
        <f t="shared" si="500"/>
        <v>0</v>
      </c>
      <c r="AI1560" s="88">
        <v>0</v>
      </c>
      <c r="AJ1560" s="88">
        <v>0</v>
      </c>
      <c r="AK1560" s="88">
        <v>0</v>
      </c>
      <c r="AL1560" s="88">
        <f t="shared" si="501"/>
        <v>0</v>
      </c>
      <c r="AM1560" s="88" t="s">
        <v>1912</v>
      </c>
      <c r="AN1560" s="88">
        <v>0</v>
      </c>
      <c r="AO1560" s="88">
        <v>0</v>
      </c>
      <c r="AP1560" s="55">
        <f t="shared" si="496"/>
        <v>0</v>
      </c>
      <c r="AQ1560" s="55">
        <f>IFERROR(VLOOKUP(A1560,[1]SIIMPLES!$A$2:$F$418,6,FALSE),0)</f>
        <v>0</v>
      </c>
      <c r="AR1560" s="55">
        <v>0</v>
      </c>
      <c r="AS1560" s="55">
        <v>0</v>
      </c>
      <c r="AT1560" s="55">
        <v>0</v>
      </c>
      <c r="AU1560" s="55">
        <v>0</v>
      </c>
      <c r="AV1560" s="55">
        <v>0</v>
      </c>
      <c r="AW1560" s="96"/>
      <c r="AX1560" s="96"/>
      <c r="AY1560" s="97">
        <f t="shared" si="499"/>
        <v>0.4</v>
      </c>
      <c r="AZ1560" s="96"/>
      <c r="BA1560" s="96"/>
    </row>
    <row r="1561" spans="1:53" x14ac:dyDescent="0.2">
      <c r="A1561" s="91" t="s">
        <v>1937</v>
      </c>
      <c r="B1561" s="90"/>
      <c r="C1561" s="92" t="str">
        <f>VLOOKUP(A1561,[2]CMV!$A$1:$B$2115,2,FALSE)</f>
        <v>MOTO PEÇAS</v>
      </c>
      <c r="D1561" s="93" t="str">
        <f>VLOOKUP(A1561,[2]CMV!$A$1:$C$2115,3,FALSE)</f>
        <v>ROLAMENTO MOTO</v>
      </c>
      <c r="E1561" s="93" t="str">
        <f>VLOOKUP(A1561,[2]CMV!$A$1:$E$2115,5,FALSE)</f>
        <v>POLO</v>
      </c>
      <c r="F1561" s="95"/>
      <c r="G1561" s="94" t="str">
        <f>VLOOKUP(A1561,[2]CMV!$A$1:$F$2115,6,FALSE)</f>
        <v>ROLAMENTO</v>
      </c>
      <c r="H1561" s="96"/>
      <c r="I1561" s="96"/>
      <c r="J1561" s="96"/>
      <c r="K1561" s="96"/>
      <c r="L1561" s="96"/>
      <c r="M1561" s="96"/>
      <c r="N1561" s="96"/>
      <c r="O1561" s="96"/>
      <c r="P1561" s="96"/>
      <c r="Q1561" s="96"/>
      <c r="R1561" s="96"/>
      <c r="S1561" s="96"/>
      <c r="T1561" s="96"/>
      <c r="U1561" s="96"/>
      <c r="V1561" s="96"/>
      <c r="W1561" s="96"/>
      <c r="X1561" s="96"/>
      <c r="Y1561" s="96"/>
      <c r="Z1561" s="96"/>
      <c r="AA1561" s="96"/>
      <c r="AB1561" s="96"/>
      <c r="AC1561" s="96"/>
      <c r="AD1561" s="88">
        <f t="shared" si="498"/>
        <v>4</v>
      </c>
      <c r="AE1561" s="96"/>
      <c r="AF1561" s="96"/>
      <c r="AG1561" s="88">
        <v>4</v>
      </c>
      <c r="AH1561" s="88">
        <f t="shared" si="500"/>
        <v>0</v>
      </c>
      <c r="AI1561" s="88">
        <v>0</v>
      </c>
      <c r="AJ1561" s="88">
        <v>0</v>
      </c>
      <c r="AK1561" s="88">
        <v>0</v>
      </c>
      <c r="AL1561" s="88">
        <f t="shared" si="501"/>
        <v>0</v>
      </c>
      <c r="AM1561" s="88" t="s">
        <v>1912</v>
      </c>
      <c r="AN1561" s="88">
        <v>0</v>
      </c>
      <c r="AO1561" s="88">
        <v>0</v>
      </c>
      <c r="AP1561" s="55">
        <f t="shared" si="496"/>
        <v>0</v>
      </c>
      <c r="AQ1561" s="55">
        <f>IFERROR(VLOOKUP(A1561,[1]SIIMPLES!$A$2:$F$418,6,FALSE),0)</f>
        <v>0</v>
      </c>
      <c r="AR1561" s="55">
        <v>0</v>
      </c>
      <c r="AS1561" s="55">
        <v>0</v>
      </c>
      <c r="AT1561" s="55">
        <v>0</v>
      </c>
      <c r="AU1561" s="55">
        <v>0</v>
      </c>
      <c r="AV1561" s="55">
        <v>0</v>
      </c>
      <c r="AW1561" s="96"/>
      <c r="AX1561" s="96"/>
      <c r="AY1561" s="97">
        <f t="shared" si="499"/>
        <v>0.8</v>
      </c>
      <c r="AZ1561" s="96"/>
      <c r="BA1561" s="96"/>
    </row>
    <row r="1562" spans="1:53" x14ac:dyDescent="0.2">
      <c r="A1562" s="91" t="s">
        <v>1864</v>
      </c>
      <c r="B1562" s="90"/>
      <c r="C1562" s="92" t="s">
        <v>1851</v>
      </c>
      <c r="D1562" s="93" t="s">
        <v>1908</v>
      </c>
      <c r="E1562" s="93" t="str">
        <f>VLOOKUP(A1562,[2]CMV!$A$1:$E$2043,5,FALSE)</f>
        <v>POLO</v>
      </c>
      <c r="F1562" s="95"/>
      <c r="G1562" s="93" t="str">
        <f>VLOOKUP(A1562,[2]CMV!$A$1:$F$2043,6,FALSE)</f>
        <v>ROLAMENTO</v>
      </c>
      <c r="H1562" s="96"/>
      <c r="I1562" s="96"/>
      <c r="J1562" s="96"/>
      <c r="K1562" s="96"/>
      <c r="L1562" s="96"/>
      <c r="M1562" s="96"/>
      <c r="N1562" s="96"/>
      <c r="O1562" s="96"/>
      <c r="P1562" s="96"/>
      <c r="Q1562" s="96"/>
      <c r="R1562" s="96"/>
      <c r="S1562" s="96"/>
      <c r="T1562" s="96"/>
      <c r="U1562" s="96"/>
      <c r="V1562" s="96"/>
      <c r="W1562" s="96"/>
      <c r="X1562" s="95">
        <v>0</v>
      </c>
      <c r="Y1562" s="96"/>
      <c r="Z1562" s="88">
        <v>2</v>
      </c>
      <c r="AA1562" s="96"/>
      <c r="AB1562" s="96"/>
      <c r="AC1562" s="88">
        <v>2</v>
      </c>
      <c r="AD1562" s="88">
        <f t="shared" si="498"/>
        <v>0</v>
      </c>
      <c r="AE1562" s="95">
        <v>0</v>
      </c>
      <c r="AF1562" s="88">
        <v>0</v>
      </c>
      <c r="AG1562" s="88">
        <v>0</v>
      </c>
      <c r="AH1562" s="88">
        <f t="shared" si="500"/>
        <v>0</v>
      </c>
      <c r="AI1562" s="88">
        <v>0</v>
      </c>
      <c r="AJ1562" s="88">
        <v>0</v>
      </c>
      <c r="AK1562" s="88">
        <v>0</v>
      </c>
      <c r="AL1562" s="88">
        <f t="shared" si="501"/>
        <v>0</v>
      </c>
      <c r="AM1562" s="88" t="s">
        <v>1912</v>
      </c>
      <c r="AN1562" s="88">
        <v>0</v>
      </c>
      <c r="AO1562" s="88">
        <v>0</v>
      </c>
      <c r="AP1562" s="55">
        <f t="shared" si="496"/>
        <v>0</v>
      </c>
      <c r="AQ1562" s="55">
        <f>IFERROR(VLOOKUP(A1562,[1]SIIMPLES!$A$2:$F$418,6,FALSE),0)</f>
        <v>0</v>
      </c>
      <c r="AR1562" s="55">
        <v>0</v>
      </c>
      <c r="AS1562" s="55">
        <v>0</v>
      </c>
      <c r="AT1562" s="55">
        <v>0</v>
      </c>
      <c r="AU1562" s="55">
        <v>0</v>
      </c>
      <c r="AV1562" s="55">
        <v>0</v>
      </c>
      <c r="AW1562" s="96"/>
      <c r="AX1562" s="96"/>
      <c r="AY1562" s="97">
        <f t="shared" si="499"/>
        <v>0.33333333333333331</v>
      </c>
      <c r="AZ1562" s="96"/>
      <c r="BA1562" s="96"/>
    </row>
    <row r="1563" spans="1:53" x14ac:dyDescent="0.2">
      <c r="A1563" s="91" t="s">
        <v>1927</v>
      </c>
      <c r="B1563" s="90"/>
      <c r="C1563" s="92" t="str">
        <f>VLOOKUP(A1563,[2]CMV!$A$1:$B$2115,2,FALSE)</f>
        <v>MOTO PEÇAS</v>
      </c>
      <c r="D1563" s="93" t="str">
        <f>VLOOKUP(A1563,[2]CMV!$A$1:$C$2115,3,FALSE)</f>
        <v>ROLAMENTO MOTO</v>
      </c>
      <c r="E1563" s="93" t="str">
        <f>VLOOKUP(A1563,[2]CMV!$A$1:$E$2115,5,FALSE)</f>
        <v>POLO</v>
      </c>
      <c r="F1563" s="95"/>
      <c r="G1563" s="94" t="str">
        <f>VLOOKUP(A1563,[2]CMV!$A$1:$F$2115,6,FALSE)</f>
        <v>ROLAMENTO RODA DIANTEIRA CG TITAN 125 - NX 200 / NX 350 SAHARA / NX4 FALCON 400 / XLX 250R / XLX 350 / XR 200</v>
      </c>
      <c r="H1563" s="96"/>
      <c r="I1563" s="96" t="s">
        <v>1075</v>
      </c>
      <c r="J1563" s="96"/>
      <c r="K1563" s="96"/>
      <c r="L1563" s="96"/>
      <c r="M1563" s="96"/>
      <c r="N1563" s="96"/>
      <c r="O1563" s="96"/>
      <c r="P1563" s="96"/>
      <c r="Q1563" s="96"/>
      <c r="R1563" s="96"/>
      <c r="S1563" s="96"/>
      <c r="T1563" s="96"/>
      <c r="U1563" s="96"/>
      <c r="V1563" s="96"/>
      <c r="W1563" s="96"/>
      <c r="X1563" s="96"/>
      <c r="Y1563" s="96"/>
      <c r="Z1563" s="96"/>
      <c r="AA1563" s="96"/>
      <c r="AB1563" s="96"/>
      <c r="AC1563" s="96"/>
      <c r="AD1563" s="88">
        <f t="shared" si="498"/>
        <v>20</v>
      </c>
      <c r="AE1563" s="96"/>
      <c r="AF1563" s="96"/>
      <c r="AG1563" s="88">
        <v>20</v>
      </c>
      <c r="AH1563" s="88">
        <f t="shared" si="500"/>
        <v>2</v>
      </c>
      <c r="AI1563" s="88">
        <v>0</v>
      </c>
      <c r="AJ1563" s="88">
        <v>0</v>
      </c>
      <c r="AK1563" s="88">
        <v>2</v>
      </c>
      <c r="AL1563" s="88">
        <f t="shared" si="501"/>
        <v>10</v>
      </c>
      <c r="AM1563" s="88" t="s">
        <v>1912</v>
      </c>
      <c r="AN1563" s="88">
        <v>0</v>
      </c>
      <c r="AO1563" s="88">
        <v>10</v>
      </c>
      <c r="AP1563" s="55">
        <f t="shared" si="496"/>
        <v>0</v>
      </c>
      <c r="AQ1563" s="55">
        <f>IFERROR(VLOOKUP(A1563,[1]SIIMPLES!$A$2:$F$418,6,FALSE),0)</f>
        <v>0</v>
      </c>
      <c r="AR1563" s="55">
        <v>0</v>
      </c>
      <c r="AS1563" s="55">
        <v>0</v>
      </c>
      <c r="AT1563" s="55">
        <v>0</v>
      </c>
      <c r="AU1563" s="55">
        <v>0</v>
      </c>
      <c r="AV1563" s="55">
        <v>0</v>
      </c>
      <c r="AW1563" s="96"/>
      <c r="AX1563" s="96"/>
      <c r="AY1563" s="97">
        <f t="shared" si="499"/>
        <v>6.4</v>
      </c>
      <c r="AZ1563" s="96"/>
      <c r="BA1563" s="96"/>
    </row>
    <row r="1564" spans="1:53" x14ac:dyDescent="0.2">
      <c r="A1564" s="91" t="s">
        <v>1928</v>
      </c>
      <c r="B1564" s="90"/>
      <c r="C1564" s="92" t="str">
        <f>VLOOKUP(A1564,[2]CMV!$A$1:$B$2115,2,FALSE)</f>
        <v>MOTO PEÇAS</v>
      </c>
      <c r="D1564" s="93" t="str">
        <f>VLOOKUP(A1564,[2]CMV!$A$1:$C$2115,3,FALSE)</f>
        <v>ROLAMENTO MOTO</v>
      </c>
      <c r="E1564" s="93" t="str">
        <f>VLOOKUP(A1564,[2]CMV!$A$1:$E$2115,5,FALSE)</f>
        <v>POLO</v>
      </c>
      <c r="F1564" s="95"/>
      <c r="G1564" s="94" t="str">
        <f>VLOOKUP(A1564,[2]CMV!$A$1:$F$2115,6,FALSE)</f>
        <v>ROLAMENTO</v>
      </c>
      <c r="H1564" s="96"/>
      <c r="I1564" s="96"/>
      <c r="J1564" s="96"/>
      <c r="K1564" s="96"/>
      <c r="L1564" s="96"/>
      <c r="M1564" s="96"/>
      <c r="N1564" s="96"/>
      <c r="O1564" s="96"/>
      <c r="P1564" s="96"/>
      <c r="Q1564" s="96"/>
      <c r="R1564" s="96"/>
      <c r="S1564" s="96"/>
      <c r="T1564" s="96"/>
      <c r="U1564" s="96"/>
      <c r="V1564" s="96"/>
      <c r="W1564" s="96"/>
      <c r="X1564" s="96"/>
      <c r="Y1564" s="96"/>
      <c r="Z1564" s="96"/>
      <c r="AA1564" s="96"/>
      <c r="AB1564" s="96"/>
      <c r="AC1564" s="96"/>
      <c r="AD1564" s="88">
        <f t="shared" si="498"/>
        <v>10</v>
      </c>
      <c r="AE1564" s="96"/>
      <c r="AF1564" s="96"/>
      <c r="AG1564" s="88">
        <v>10</v>
      </c>
      <c r="AH1564" s="88">
        <f t="shared" si="500"/>
        <v>0</v>
      </c>
      <c r="AI1564" s="88">
        <v>0</v>
      </c>
      <c r="AJ1564" s="88">
        <v>0</v>
      </c>
      <c r="AK1564" s="88">
        <v>0</v>
      </c>
      <c r="AL1564" s="88">
        <f t="shared" si="501"/>
        <v>10</v>
      </c>
      <c r="AM1564" s="88" t="s">
        <v>1912</v>
      </c>
      <c r="AN1564" s="88">
        <v>0</v>
      </c>
      <c r="AO1564" s="88">
        <v>10</v>
      </c>
      <c r="AP1564" s="55">
        <f t="shared" si="496"/>
        <v>0</v>
      </c>
      <c r="AQ1564" s="55">
        <f>IFERROR(VLOOKUP(A1564,[1]SIIMPLES!$A$2:$F$418,6,FALSE),0)</f>
        <v>0</v>
      </c>
      <c r="AR1564" s="55">
        <v>0</v>
      </c>
      <c r="AS1564" s="55">
        <v>0</v>
      </c>
      <c r="AT1564" s="55">
        <v>0</v>
      </c>
      <c r="AU1564" s="55">
        <v>0</v>
      </c>
      <c r="AV1564" s="55">
        <v>0</v>
      </c>
      <c r="AW1564" s="96"/>
      <c r="AX1564" s="96"/>
      <c r="AY1564" s="97">
        <f t="shared" si="499"/>
        <v>4</v>
      </c>
      <c r="AZ1564" s="96"/>
      <c r="BA1564" s="96"/>
    </row>
    <row r="1565" spans="1:53" x14ac:dyDescent="0.2">
      <c r="A1565" s="91" t="s">
        <v>1932</v>
      </c>
      <c r="B1565" s="90"/>
      <c r="C1565" s="92" t="str">
        <f>VLOOKUP(A1565,[2]CMV!$A$1:$B$2115,2,FALSE)</f>
        <v>MOTO PEÇAS</v>
      </c>
      <c r="D1565" s="93" t="str">
        <f>VLOOKUP(A1565,[2]CMV!$A$1:$C$2115,3,FALSE)</f>
        <v>ROLAMENTO MOTO</v>
      </c>
      <c r="E1565" s="93" t="str">
        <f>VLOOKUP(A1565,[2]CMV!$A$1:$E$2115,5,FALSE)</f>
        <v>POLO</v>
      </c>
      <c r="F1565" s="95"/>
      <c r="G1565" s="94" t="str">
        <f>VLOOKUP(A1565,[2]CMV!$A$1:$F$2115,6,FALSE)</f>
        <v>ROLAMENTO FORD ALTERNADOR CARGO F-1000</v>
      </c>
      <c r="H1565" s="96"/>
      <c r="I1565" s="96"/>
      <c r="J1565" s="96"/>
      <c r="K1565" s="96"/>
      <c r="L1565" s="96"/>
      <c r="M1565" s="96"/>
      <c r="N1565" s="96"/>
      <c r="O1565" s="96"/>
      <c r="P1565" s="96"/>
      <c r="Q1565" s="96"/>
      <c r="R1565" s="96"/>
      <c r="S1565" s="96"/>
      <c r="T1565" s="96"/>
      <c r="U1565" s="96"/>
      <c r="V1565" s="96"/>
      <c r="W1565" s="96"/>
      <c r="X1565" s="96"/>
      <c r="Y1565" s="96"/>
      <c r="Z1565" s="96"/>
      <c r="AA1565" s="96"/>
      <c r="AB1565" s="96"/>
      <c r="AC1565" s="96"/>
      <c r="AD1565" s="88">
        <f t="shared" si="498"/>
        <v>5</v>
      </c>
      <c r="AE1565" s="96"/>
      <c r="AF1565" s="96"/>
      <c r="AG1565" s="88">
        <v>5</v>
      </c>
      <c r="AH1565" s="88">
        <f t="shared" si="500"/>
        <v>0</v>
      </c>
      <c r="AI1565" s="88">
        <v>0</v>
      </c>
      <c r="AJ1565" s="88">
        <v>0</v>
      </c>
      <c r="AK1565" s="88">
        <v>0</v>
      </c>
      <c r="AL1565" s="88">
        <f t="shared" si="501"/>
        <v>0</v>
      </c>
      <c r="AM1565" s="88" t="s">
        <v>1912</v>
      </c>
      <c r="AN1565" s="88">
        <v>0</v>
      </c>
      <c r="AO1565" s="88">
        <v>0</v>
      </c>
      <c r="AP1565" s="55">
        <f t="shared" si="496"/>
        <v>0</v>
      </c>
      <c r="AQ1565" s="55">
        <f>IFERROR(VLOOKUP(A1565,[1]SIIMPLES!$A$2:$F$418,6,FALSE),0)</f>
        <v>0</v>
      </c>
      <c r="AR1565" s="55">
        <v>0</v>
      </c>
      <c r="AS1565" s="55">
        <v>0</v>
      </c>
      <c r="AT1565" s="55">
        <v>0</v>
      </c>
      <c r="AU1565" s="55">
        <v>0</v>
      </c>
      <c r="AV1565" s="55">
        <v>0</v>
      </c>
      <c r="AW1565" s="96"/>
      <c r="AX1565" s="96"/>
      <c r="AY1565" s="97">
        <f t="shared" si="499"/>
        <v>1</v>
      </c>
      <c r="AZ1565" s="96"/>
      <c r="BA1565" s="96"/>
    </row>
    <row r="1566" spans="1:53" x14ac:dyDescent="0.2">
      <c r="A1566" s="91" t="s">
        <v>1947</v>
      </c>
      <c r="B1566" s="90"/>
      <c r="C1566" s="92" t="str">
        <f>VLOOKUP(A1566,[2]CMV!$A$1:$B$2115,2,FALSE)</f>
        <v>MOTO PEÇAS</v>
      </c>
      <c r="D1566" s="93" t="str">
        <f>VLOOKUP(A1566,[2]CMV!$A$1:$C$2115,3,FALSE)</f>
        <v>Kit Relação moto</v>
      </c>
      <c r="E1566" s="93" t="str">
        <f>VLOOKUP(A1566,[2]CMV!$A$1:$E$2115,5,FALSE)</f>
        <v>PANDÃO</v>
      </c>
      <c r="F1566" s="95"/>
      <c r="G1566" s="94" t="str">
        <f>VLOOKUP(A1566,[2]CMV!$A$1:$F$2115,6,FALSE)</f>
        <v>KIT TRANSMISSÃO BIZ 110</v>
      </c>
      <c r="H1566" s="96"/>
      <c r="I1566" s="96"/>
      <c r="J1566" s="96"/>
      <c r="K1566" s="96"/>
      <c r="L1566" s="96"/>
      <c r="M1566" s="96"/>
      <c r="N1566" s="96"/>
      <c r="O1566" s="96"/>
      <c r="P1566" s="96"/>
      <c r="Q1566" s="96"/>
      <c r="R1566" s="96"/>
      <c r="S1566" s="96"/>
      <c r="T1566" s="96"/>
      <c r="U1566" s="96"/>
      <c r="V1566" s="96"/>
      <c r="W1566" s="96"/>
      <c r="X1566" s="96"/>
      <c r="Y1566" s="96"/>
      <c r="Z1566" s="96"/>
      <c r="AA1566" s="96"/>
      <c r="AB1566" s="96"/>
      <c r="AC1566" s="96"/>
      <c r="AD1566" s="88">
        <f t="shared" si="498"/>
        <v>2</v>
      </c>
      <c r="AE1566" s="96"/>
      <c r="AF1566" s="96"/>
      <c r="AG1566" s="88">
        <v>2</v>
      </c>
      <c r="AH1566" s="88">
        <f t="shared" si="500"/>
        <v>0</v>
      </c>
      <c r="AI1566" s="88">
        <v>0</v>
      </c>
      <c r="AJ1566" s="88">
        <v>0</v>
      </c>
      <c r="AK1566" s="88">
        <v>0</v>
      </c>
      <c r="AL1566" s="88">
        <f t="shared" si="501"/>
        <v>3</v>
      </c>
      <c r="AM1566" s="88" t="s">
        <v>1912</v>
      </c>
      <c r="AN1566" s="88">
        <v>0</v>
      </c>
      <c r="AO1566" s="88">
        <v>3</v>
      </c>
      <c r="AP1566" s="55">
        <f t="shared" si="496"/>
        <v>0</v>
      </c>
      <c r="AQ1566" s="55">
        <f>IFERROR(VLOOKUP(A1566,[1]SIIMPLES!$A$2:$F$418,6,FALSE),0)</f>
        <v>0</v>
      </c>
      <c r="AR1566" s="55">
        <v>0</v>
      </c>
      <c r="AS1566" s="55">
        <v>0</v>
      </c>
      <c r="AT1566" s="55">
        <v>0</v>
      </c>
      <c r="AU1566" s="55">
        <v>0</v>
      </c>
      <c r="AV1566" s="55">
        <v>0</v>
      </c>
      <c r="AW1566" s="96"/>
      <c r="AX1566" s="96"/>
      <c r="AY1566" s="97">
        <f t="shared" si="499"/>
        <v>1</v>
      </c>
      <c r="AZ1566" s="96"/>
      <c r="BA1566" s="96"/>
    </row>
    <row r="1567" spans="1:53" x14ac:dyDescent="0.2">
      <c r="A1567" s="91" t="s">
        <v>1870</v>
      </c>
      <c r="B1567" s="90"/>
      <c r="C1567" s="92" t="s">
        <v>1851</v>
      </c>
      <c r="D1567" s="93" t="s">
        <v>1911</v>
      </c>
      <c r="E1567" s="93" t="str">
        <f>VLOOKUP(A1567,[2]CMV!$A$1:$E$2043,5,FALSE)</f>
        <v>PANDÃO</v>
      </c>
      <c r="F1567" s="95"/>
      <c r="G1567" s="93" t="str">
        <f>VLOOKUP(A1567,[2]CMV!$A$1:$F$2043,6,FALSE)</f>
        <v>PASTILHA FREIO SEMI-METALICA BIZ 125+ 06/...(D)-NX 150 89/...(D)-BRO</v>
      </c>
      <c r="H1567" s="96"/>
      <c r="I1567" s="96" t="s">
        <v>1075</v>
      </c>
      <c r="J1567" s="96"/>
      <c r="K1567" s="96"/>
      <c r="L1567" s="96"/>
      <c r="M1567" s="96"/>
      <c r="N1567" s="96"/>
      <c r="O1567" s="96"/>
      <c r="P1567" s="96"/>
      <c r="Q1567" s="96"/>
      <c r="R1567" s="96"/>
      <c r="S1567" s="96"/>
      <c r="T1567" s="96"/>
      <c r="U1567" s="96"/>
      <c r="V1567" s="96"/>
      <c r="W1567" s="96"/>
      <c r="X1567" s="95">
        <v>0</v>
      </c>
      <c r="Y1567" s="96"/>
      <c r="Z1567" s="88">
        <v>2</v>
      </c>
      <c r="AA1567" s="96"/>
      <c r="AB1567" s="96"/>
      <c r="AC1567" s="88">
        <v>2</v>
      </c>
      <c r="AD1567" s="88">
        <f t="shared" si="498"/>
        <v>5</v>
      </c>
      <c r="AE1567" s="95">
        <v>0</v>
      </c>
      <c r="AF1567" s="88">
        <v>0</v>
      </c>
      <c r="AG1567" s="88">
        <v>5</v>
      </c>
      <c r="AH1567" s="88">
        <f t="shared" si="500"/>
        <v>0</v>
      </c>
      <c r="AI1567" s="88">
        <v>0</v>
      </c>
      <c r="AJ1567" s="88">
        <v>0</v>
      </c>
      <c r="AK1567" s="88">
        <v>0</v>
      </c>
      <c r="AL1567" s="88">
        <f t="shared" si="501"/>
        <v>0</v>
      </c>
      <c r="AM1567" s="88" t="s">
        <v>1912</v>
      </c>
      <c r="AN1567" s="88">
        <v>0</v>
      </c>
      <c r="AO1567" s="88">
        <v>0</v>
      </c>
      <c r="AP1567" s="55">
        <f t="shared" si="496"/>
        <v>0</v>
      </c>
      <c r="AQ1567" s="55">
        <f>IFERROR(VLOOKUP(A1567,[1]SIIMPLES!$A$2:$F$418,6,FALSE),0)</f>
        <v>0</v>
      </c>
      <c r="AR1567" s="55">
        <v>0</v>
      </c>
      <c r="AS1567" s="55">
        <v>0</v>
      </c>
      <c r="AT1567" s="55">
        <v>0</v>
      </c>
      <c r="AU1567" s="55">
        <v>0</v>
      </c>
      <c r="AV1567" s="55">
        <v>0</v>
      </c>
      <c r="AW1567" s="96"/>
      <c r="AX1567" s="96"/>
      <c r="AY1567" s="97">
        <f t="shared" si="499"/>
        <v>1.1666666666666667</v>
      </c>
      <c r="AZ1567" s="96"/>
      <c r="BA1567" s="96"/>
    </row>
    <row r="1568" spans="1:53" x14ac:dyDescent="0.2">
      <c r="A1568" s="91" t="s">
        <v>1867</v>
      </c>
      <c r="B1568" s="90"/>
      <c r="C1568" s="92" t="s">
        <v>1851</v>
      </c>
      <c r="D1568" s="93" t="s">
        <v>1911</v>
      </c>
      <c r="E1568" s="93" t="str">
        <f>VLOOKUP(A1568,[2]CMV!$A$1:$E$2043,5,FALSE)</f>
        <v>PANDÃO</v>
      </c>
      <c r="F1568" s="95"/>
      <c r="G1568" s="93" t="str">
        <f>VLOOKUP(A1568,[2]CMV!$A$1:$F$2043,6,FALSE)</f>
        <v>PASTILHA FREIO SEMI-METALICA CG 150 TITAN ESD CBS (COMBI BRAKE) 14/15</v>
      </c>
      <c r="H1568" s="96"/>
      <c r="I1568" s="96" t="s">
        <v>1075</v>
      </c>
      <c r="J1568" s="96"/>
      <c r="K1568" s="96"/>
      <c r="L1568" s="96"/>
      <c r="M1568" s="96"/>
      <c r="N1568" s="96"/>
      <c r="O1568" s="96"/>
      <c r="P1568" s="96"/>
      <c r="Q1568" s="96"/>
      <c r="R1568" s="96"/>
      <c r="S1568" s="96"/>
      <c r="T1568" s="96"/>
      <c r="U1568" s="96"/>
      <c r="V1568" s="96"/>
      <c r="W1568" s="96"/>
      <c r="X1568" s="95">
        <v>0</v>
      </c>
      <c r="Y1568" s="96"/>
      <c r="Z1568" s="88">
        <v>2</v>
      </c>
      <c r="AA1568" s="96"/>
      <c r="AB1568" s="96"/>
      <c r="AC1568" s="88">
        <v>2</v>
      </c>
      <c r="AD1568" s="88">
        <f t="shared" si="498"/>
        <v>5</v>
      </c>
      <c r="AE1568" s="95">
        <v>0</v>
      </c>
      <c r="AF1568" s="88">
        <v>0</v>
      </c>
      <c r="AG1568" s="88">
        <v>5</v>
      </c>
      <c r="AH1568" s="88">
        <f t="shared" si="500"/>
        <v>0</v>
      </c>
      <c r="AI1568" s="88">
        <v>0</v>
      </c>
      <c r="AJ1568" s="88">
        <v>0</v>
      </c>
      <c r="AK1568" s="88">
        <v>0</v>
      </c>
      <c r="AL1568" s="88">
        <f t="shared" si="501"/>
        <v>0</v>
      </c>
      <c r="AM1568" s="88" t="s">
        <v>1912</v>
      </c>
      <c r="AN1568" s="88">
        <v>0</v>
      </c>
      <c r="AO1568" s="88">
        <v>0</v>
      </c>
      <c r="AP1568" s="55">
        <f t="shared" si="496"/>
        <v>0</v>
      </c>
      <c r="AQ1568" s="55">
        <f>IFERROR(VLOOKUP(A1568,[1]SIIMPLES!$A$2:$F$418,6,FALSE),0)</f>
        <v>0</v>
      </c>
      <c r="AR1568" s="55">
        <v>0</v>
      </c>
      <c r="AS1568" s="55">
        <v>0</v>
      </c>
      <c r="AT1568" s="55">
        <v>0</v>
      </c>
      <c r="AU1568" s="55">
        <v>0</v>
      </c>
      <c r="AV1568" s="55">
        <v>0</v>
      </c>
      <c r="AW1568" s="96"/>
      <c r="AX1568" s="96"/>
      <c r="AY1568" s="97">
        <f t="shared" si="499"/>
        <v>1.1666666666666667</v>
      </c>
      <c r="AZ1568" s="96"/>
      <c r="BA1568" s="96"/>
    </row>
    <row r="1569" spans="1:53" x14ac:dyDescent="0.2">
      <c r="A1569" s="91" t="s">
        <v>1943</v>
      </c>
      <c r="B1569" s="90"/>
      <c r="C1569" s="92" t="str">
        <f>VLOOKUP(A1569,[2]CMV!$A$1:$B$2115,2,FALSE)</f>
        <v>MOTO PEÇAS</v>
      </c>
      <c r="D1569" s="93" t="str">
        <f>VLOOKUP(A1569,[2]CMV!$A$1:$C$2115,3,FALSE)</f>
        <v>PASTILHA DE FREIO MOTO</v>
      </c>
      <c r="E1569" s="93" t="str">
        <f>VLOOKUP(A1569,[2]CMV!$A$1:$E$2115,5,FALSE)</f>
        <v>PANDÃO</v>
      </c>
      <c r="F1569" s="95"/>
      <c r="G1569" s="94" t="str">
        <f>VLOOKUP(A1569,[2]CMV!$A$1:$F$2115,6,FALSE)</f>
        <v>PASTILHA FREIO SEMI-METALICA CG 150 TITAN MIX ESD 09/15(D)-CG 160 FA</v>
      </c>
      <c r="H1569" s="96"/>
      <c r="I1569" s="96"/>
      <c r="J1569" s="96"/>
      <c r="K1569" s="96"/>
      <c r="L1569" s="96"/>
      <c r="M1569" s="96"/>
      <c r="N1569" s="96"/>
      <c r="O1569" s="96"/>
      <c r="P1569" s="96"/>
      <c r="Q1569" s="96"/>
      <c r="R1569" s="96"/>
      <c r="S1569" s="96"/>
      <c r="T1569" s="96"/>
      <c r="U1569" s="96"/>
      <c r="V1569" s="96"/>
      <c r="W1569" s="96"/>
      <c r="X1569" s="96"/>
      <c r="Y1569" s="96"/>
      <c r="Z1569" s="96"/>
      <c r="AA1569" s="96"/>
      <c r="AB1569" s="96"/>
      <c r="AC1569" s="96"/>
      <c r="AD1569" s="88">
        <f t="shared" si="498"/>
        <v>2</v>
      </c>
      <c r="AE1569" s="96"/>
      <c r="AF1569" s="96"/>
      <c r="AG1569" s="88">
        <v>2</v>
      </c>
      <c r="AH1569" s="88">
        <f t="shared" si="500"/>
        <v>0</v>
      </c>
      <c r="AI1569" s="88">
        <v>0</v>
      </c>
      <c r="AJ1569" s="88">
        <v>0</v>
      </c>
      <c r="AK1569" s="88">
        <v>0</v>
      </c>
      <c r="AL1569" s="88">
        <f t="shared" si="501"/>
        <v>0</v>
      </c>
      <c r="AM1569" s="88" t="s">
        <v>1912</v>
      </c>
      <c r="AN1569" s="88">
        <v>0</v>
      </c>
      <c r="AO1569" s="88">
        <v>0</v>
      </c>
      <c r="AP1569" s="55">
        <f t="shared" si="496"/>
        <v>0</v>
      </c>
      <c r="AQ1569" s="55">
        <f>IFERROR(VLOOKUP(A1569,[1]SIIMPLES!$A$2:$F$418,6,FALSE),0)</f>
        <v>0</v>
      </c>
      <c r="AR1569" s="55">
        <v>0</v>
      </c>
      <c r="AS1569" s="55">
        <v>0</v>
      </c>
      <c r="AT1569" s="55">
        <v>0</v>
      </c>
      <c r="AU1569" s="55">
        <v>0</v>
      </c>
      <c r="AV1569" s="55">
        <v>0</v>
      </c>
      <c r="AW1569" s="96"/>
      <c r="AX1569" s="96"/>
      <c r="AY1569" s="97">
        <f t="shared" si="499"/>
        <v>0.4</v>
      </c>
      <c r="AZ1569" s="96"/>
      <c r="BA1569" s="96"/>
    </row>
    <row r="1570" spans="1:53" x14ac:dyDescent="0.2">
      <c r="A1570" s="91" t="s">
        <v>1871</v>
      </c>
      <c r="B1570" s="90"/>
      <c r="C1570" s="92" t="s">
        <v>1851</v>
      </c>
      <c r="D1570" s="93" t="s">
        <v>1911</v>
      </c>
      <c r="E1570" s="93" t="str">
        <f>VLOOKUP(A1570,[2]CMV!$A$1:$E$2043,5,FALSE)</f>
        <v>PANDÃO</v>
      </c>
      <c r="F1570" s="95"/>
      <c r="G1570" s="93" t="str">
        <f>VLOOKUP(A1570,[2]CMV!$A$1:$F$2043,6,FALSE)</f>
        <v>PASTILHA FREIO SEMI-METALICA CG 160 FAN CBS (COMBI BRAKE)18/... - CG</v>
      </c>
      <c r="H1570" s="96"/>
      <c r="I1570" s="96" t="s">
        <v>1075</v>
      </c>
      <c r="J1570" s="96"/>
      <c r="K1570" s="96"/>
      <c r="L1570" s="96"/>
      <c r="M1570" s="96"/>
      <c r="N1570" s="96"/>
      <c r="O1570" s="96"/>
      <c r="P1570" s="96"/>
      <c r="Q1570" s="96"/>
      <c r="R1570" s="96"/>
      <c r="S1570" s="96"/>
      <c r="T1570" s="96"/>
      <c r="U1570" s="96"/>
      <c r="V1570" s="96"/>
      <c r="W1570" s="96"/>
      <c r="X1570" s="95">
        <v>0</v>
      </c>
      <c r="Y1570" s="96"/>
      <c r="Z1570" s="88">
        <v>2</v>
      </c>
      <c r="AA1570" s="96"/>
      <c r="AB1570" s="96"/>
      <c r="AC1570" s="88">
        <v>2</v>
      </c>
      <c r="AD1570" s="88">
        <f t="shared" si="498"/>
        <v>2</v>
      </c>
      <c r="AE1570" s="95">
        <v>0</v>
      </c>
      <c r="AF1570" s="88">
        <v>0</v>
      </c>
      <c r="AG1570" s="88">
        <v>2</v>
      </c>
      <c r="AH1570" s="88">
        <f t="shared" si="500"/>
        <v>0</v>
      </c>
      <c r="AI1570" s="88">
        <v>0</v>
      </c>
      <c r="AJ1570" s="88">
        <v>0</v>
      </c>
      <c r="AK1570" s="88">
        <v>0</v>
      </c>
      <c r="AL1570" s="88">
        <f t="shared" si="501"/>
        <v>0</v>
      </c>
      <c r="AM1570" s="88" t="s">
        <v>1912</v>
      </c>
      <c r="AN1570" s="88">
        <v>0</v>
      </c>
      <c r="AO1570" s="88">
        <v>0</v>
      </c>
      <c r="AP1570" s="55">
        <f t="shared" si="496"/>
        <v>0</v>
      </c>
      <c r="AQ1570" s="55">
        <f>IFERROR(VLOOKUP(A1570,[1]SIIMPLES!$A$2:$F$418,6,FALSE),0)</f>
        <v>0</v>
      </c>
      <c r="AR1570" s="55">
        <v>0</v>
      </c>
      <c r="AS1570" s="55">
        <v>0</v>
      </c>
      <c r="AT1570" s="55">
        <v>0</v>
      </c>
      <c r="AU1570" s="55">
        <v>0</v>
      </c>
      <c r="AV1570" s="55">
        <v>0</v>
      </c>
      <c r="AW1570" s="96"/>
      <c r="AX1570" s="96"/>
      <c r="AY1570" s="97">
        <f t="shared" si="499"/>
        <v>0.66666666666666663</v>
      </c>
      <c r="AZ1570" s="96"/>
      <c r="BA1570" s="96"/>
    </row>
    <row r="1571" spans="1:53" x14ac:dyDescent="0.2">
      <c r="A1571" s="91" t="s">
        <v>1935</v>
      </c>
      <c r="B1571" s="90"/>
      <c r="C1571" s="92" t="str">
        <f>VLOOKUP(A1571,[2]CMV!$A$1:$B$2115,2,FALSE)</f>
        <v>MOTO PEÇAS</v>
      </c>
      <c r="D1571" s="93" t="str">
        <f>VLOOKUP(A1571,[2]CMV!$A$1:$C$2115,3,FALSE)</f>
        <v>PASTILHA DE FREIO MOTO</v>
      </c>
      <c r="E1571" s="93" t="str">
        <f>VLOOKUP(A1571,[2]CMV!$A$1:$E$2115,5,FALSE)</f>
        <v>PANDÃO</v>
      </c>
      <c r="F1571" s="95"/>
      <c r="G1571" s="94" t="str">
        <f>VLOOKUP(A1571,[2]CMV!$A$1:$F$2115,6,FALSE)</f>
        <v>pastilha de freio yamaha ybr 150 factor ed 16/...</v>
      </c>
      <c r="H1571" s="96"/>
      <c r="I1571" s="96"/>
      <c r="J1571" s="96"/>
      <c r="K1571" s="96"/>
      <c r="L1571" s="96"/>
      <c r="M1571" s="96"/>
      <c r="N1571" s="96"/>
      <c r="O1571" s="96"/>
      <c r="P1571" s="96"/>
      <c r="Q1571" s="96"/>
      <c r="R1571" s="96"/>
      <c r="S1571" s="96"/>
      <c r="T1571" s="96"/>
      <c r="U1571" s="96"/>
      <c r="V1571" s="96"/>
      <c r="W1571" s="96"/>
      <c r="X1571" s="96"/>
      <c r="Y1571" s="96"/>
      <c r="Z1571" s="96"/>
      <c r="AA1571" s="96"/>
      <c r="AB1571" s="96"/>
      <c r="AC1571" s="96"/>
      <c r="AD1571" s="88">
        <f t="shared" si="498"/>
        <v>5</v>
      </c>
      <c r="AE1571" s="96"/>
      <c r="AF1571" s="96"/>
      <c r="AG1571" s="88">
        <v>5</v>
      </c>
      <c r="AH1571" s="88">
        <f t="shared" si="500"/>
        <v>0</v>
      </c>
      <c r="AI1571" s="88">
        <v>0</v>
      </c>
      <c r="AJ1571" s="88">
        <v>0</v>
      </c>
      <c r="AK1571" s="88">
        <v>0</v>
      </c>
      <c r="AL1571" s="88">
        <f t="shared" si="501"/>
        <v>0</v>
      </c>
      <c r="AM1571" s="88" t="s">
        <v>1912</v>
      </c>
      <c r="AN1571" s="88">
        <v>0</v>
      </c>
      <c r="AO1571" s="88">
        <v>0</v>
      </c>
      <c r="AP1571" s="55">
        <f t="shared" si="496"/>
        <v>0</v>
      </c>
      <c r="AQ1571" s="55">
        <f>IFERROR(VLOOKUP(A1571,[1]SIIMPLES!$A$2:$F$418,6,FALSE),0)</f>
        <v>0</v>
      </c>
      <c r="AR1571" s="55">
        <v>0</v>
      </c>
      <c r="AS1571" s="55">
        <v>1</v>
      </c>
      <c r="AT1571" s="55">
        <v>0</v>
      </c>
      <c r="AU1571" s="55">
        <v>0</v>
      </c>
      <c r="AV1571" s="55">
        <v>1</v>
      </c>
      <c r="AW1571" s="96"/>
      <c r="AX1571" s="96"/>
      <c r="AY1571" s="97">
        <f t="shared" si="499"/>
        <v>1.2</v>
      </c>
      <c r="AZ1571" s="96"/>
      <c r="BA1571" s="96"/>
    </row>
    <row r="1572" spans="1:53" x14ac:dyDescent="0.2">
      <c r="A1572" s="91" t="s">
        <v>1862</v>
      </c>
      <c r="B1572" s="90"/>
      <c r="C1572" s="92" t="s">
        <v>1851</v>
      </c>
      <c r="D1572" s="93" t="s">
        <v>1908</v>
      </c>
      <c r="E1572" s="93" t="str">
        <f>VLOOKUP(A1572,[2]CMV!$A$1:$E$2043,5,FALSE)</f>
        <v>POLO</v>
      </c>
      <c r="F1572" s="95"/>
      <c r="G1572" s="93" t="str">
        <f>VLOOKUP(A1572,[2]CMV!$A$1:$F$2043,6,FALSE)</f>
        <v>NZT6000/2RS</v>
      </c>
      <c r="H1572" s="96"/>
      <c r="I1572" s="96"/>
      <c r="J1572" s="96"/>
      <c r="K1572" s="96"/>
      <c r="L1572" s="96"/>
      <c r="M1572" s="96"/>
      <c r="N1572" s="96"/>
      <c r="O1572" s="96"/>
      <c r="P1572" s="96"/>
      <c r="Q1572" s="96"/>
      <c r="R1572" s="96"/>
      <c r="S1572" s="96"/>
      <c r="T1572" s="96"/>
      <c r="U1572" s="96"/>
      <c r="V1572" s="96"/>
      <c r="W1572" s="96"/>
      <c r="X1572" s="95">
        <v>0</v>
      </c>
      <c r="Y1572" s="96"/>
      <c r="Z1572" s="88">
        <v>3</v>
      </c>
      <c r="AA1572" s="96"/>
      <c r="AB1572" s="96"/>
      <c r="AC1572" s="88">
        <v>3</v>
      </c>
      <c r="AD1572" s="88">
        <f t="shared" si="498"/>
        <v>0</v>
      </c>
      <c r="AE1572" s="95">
        <v>0</v>
      </c>
      <c r="AF1572" s="88">
        <v>0</v>
      </c>
      <c r="AG1572" s="88">
        <v>0</v>
      </c>
      <c r="AH1572" s="88">
        <f t="shared" si="500"/>
        <v>0</v>
      </c>
      <c r="AI1572" s="88">
        <v>0</v>
      </c>
      <c r="AJ1572" s="88">
        <v>0</v>
      </c>
      <c r="AK1572" s="88">
        <v>0</v>
      </c>
      <c r="AL1572" s="88">
        <f t="shared" si="501"/>
        <v>0</v>
      </c>
      <c r="AM1572" s="88" t="s">
        <v>1912</v>
      </c>
      <c r="AN1572" s="88">
        <v>0</v>
      </c>
      <c r="AO1572" s="88">
        <v>0</v>
      </c>
      <c r="AP1572" s="55">
        <f t="shared" si="496"/>
        <v>0</v>
      </c>
      <c r="AQ1572" s="55">
        <f>IFERROR(VLOOKUP(A1572,[1]SIIMPLES!$A$2:$F$418,6,FALSE),0)</f>
        <v>0</v>
      </c>
      <c r="AR1572" s="55">
        <v>0</v>
      </c>
      <c r="AS1572" s="55">
        <v>0</v>
      </c>
      <c r="AT1572" s="55">
        <v>0</v>
      </c>
      <c r="AU1572" s="55">
        <v>0</v>
      </c>
      <c r="AV1572" s="55">
        <v>0</v>
      </c>
      <c r="AW1572" s="96"/>
      <c r="AX1572" s="96"/>
      <c r="AY1572" s="97">
        <f t="shared" si="499"/>
        <v>0.5</v>
      </c>
      <c r="AZ1572" s="96"/>
      <c r="BA1572" s="96"/>
    </row>
    <row r="1573" spans="1:53" x14ac:dyDescent="0.2">
      <c r="A1573" s="91" t="s">
        <v>1863</v>
      </c>
      <c r="B1573" s="90"/>
      <c r="C1573" s="92" t="s">
        <v>1851</v>
      </c>
      <c r="D1573" s="93" t="s">
        <v>1908</v>
      </c>
      <c r="E1573" s="93" t="str">
        <f>VLOOKUP(A1573,[2]CMV!$A$1:$E$2043,5,FALSE)</f>
        <v>POLO</v>
      </c>
      <c r="F1573" s="95"/>
      <c r="G1573" s="93" t="str">
        <f>VLOOKUP(A1573,[2]CMV!$A$1:$F$2043,6,FALSE)</f>
        <v>nzt6002/2rs</v>
      </c>
      <c r="H1573" s="96"/>
      <c r="I1573" s="96"/>
      <c r="J1573" s="96"/>
      <c r="K1573" s="96"/>
      <c r="L1573" s="96"/>
      <c r="M1573" s="96"/>
      <c r="N1573" s="96"/>
      <c r="O1573" s="96"/>
      <c r="P1573" s="96"/>
      <c r="Q1573" s="96"/>
      <c r="R1573" s="96"/>
      <c r="S1573" s="96"/>
      <c r="T1573" s="96"/>
      <c r="U1573" s="96"/>
      <c r="V1573" s="96"/>
      <c r="W1573" s="96"/>
      <c r="X1573" s="95">
        <v>0</v>
      </c>
      <c r="Y1573" s="96"/>
      <c r="Z1573" s="88">
        <v>3</v>
      </c>
      <c r="AA1573" s="96"/>
      <c r="AB1573" s="96"/>
      <c r="AC1573" s="88">
        <v>3</v>
      </c>
      <c r="AD1573" s="88">
        <f t="shared" si="498"/>
        <v>0</v>
      </c>
      <c r="AE1573" s="95">
        <v>0</v>
      </c>
      <c r="AF1573" s="88">
        <v>0</v>
      </c>
      <c r="AG1573" s="88">
        <v>0</v>
      </c>
      <c r="AH1573" s="88">
        <f t="shared" si="500"/>
        <v>0</v>
      </c>
      <c r="AI1573" s="88">
        <v>0</v>
      </c>
      <c r="AJ1573" s="88">
        <v>0</v>
      </c>
      <c r="AK1573" s="88">
        <v>0</v>
      </c>
      <c r="AL1573" s="88">
        <f t="shared" si="501"/>
        <v>0</v>
      </c>
      <c r="AM1573" s="88" t="s">
        <v>1912</v>
      </c>
      <c r="AN1573" s="88">
        <v>0</v>
      </c>
      <c r="AO1573" s="88">
        <v>0</v>
      </c>
      <c r="AP1573" s="55">
        <f t="shared" si="496"/>
        <v>0</v>
      </c>
      <c r="AQ1573" s="55">
        <f>IFERROR(VLOOKUP(A1573,[1]SIIMPLES!$A$2:$F$418,6,FALSE),0)</f>
        <v>0</v>
      </c>
      <c r="AR1573" s="55">
        <v>0</v>
      </c>
      <c r="AS1573" s="55">
        <v>0</v>
      </c>
      <c r="AT1573" s="55">
        <v>0</v>
      </c>
      <c r="AU1573" s="55">
        <v>0</v>
      </c>
      <c r="AV1573" s="55">
        <v>0</v>
      </c>
      <c r="AW1573" s="96"/>
      <c r="AX1573" s="96"/>
      <c r="AY1573" s="97">
        <f t="shared" si="499"/>
        <v>0.5</v>
      </c>
      <c r="AZ1573" s="96"/>
      <c r="BA1573" s="96"/>
    </row>
    <row r="1574" spans="1:53" x14ac:dyDescent="0.2">
      <c r="A1574" s="91" t="s">
        <v>1858</v>
      </c>
      <c r="B1574" s="90"/>
      <c r="C1574" s="92" t="s">
        <v>1851</v>
      </c>
      <c r="D1574" s="93" t="s">
        <v>1908</v>
      </c>
      <c r="E1574" s="93" t="str">
        <f>VLOOKUP(A1574,[2]CMV!$A$1:$E$2043,5,FALSE)</f>
        <v>POLO</v>
      </c>
      <c r="F1574" s="95"/>
      <c r="G1574" s="93" t="str">
        <f>VLOOKUP(A1574,[2]CMV!$A$1:$F$2043,6,FALSE)</f>
        <v>NZT6003/2RS</v>
      </c>
      <c r="H1574" s="96"/>
      <c r="I1574" s="96"/>
      <c r="J1574" s="96"/>
      <c r="K1574" s="96"/>
      <c r="L1574" s="96"/>
      <c r="M1574" s="96"/>
      <c r="N1574" s="96"/>
      <c r="O1574" s="96"/>
      <c r="P1574" s="96"/>
      <c r="Q1574" s="96"/>
      <c r="R1574" s="96"/>
      <c r="S1574" s="96"/>
      <c r="T1574" s="96"/>
      <c r="U1574" s="96"/>
      <c r="V1574" s="96"/>
      <c r="W1574" s="96"/>
      <c r="X1574" s="95">
        <v>0</v>
      </c>
      <c r="Y1574" s="96"/>
      <c r="Z1574" s="88">
        <v>5</v>
      </c>
      <c r="AA1574" s="96"/>
      <c r="AB1574" s="96"/>
      <c r="AC1574" s="88">
        <v>5</v>
      </c>
      <c r="AD1574" s="88">
        <f t="shared" si="498"/>
        <v>0</v>
      </c>
      <c r="AE1574" s="95">
        <v>0</v>
      </c>
      <c r="AF1574" s="88">
        <v>0</v>
      </c>
      <c r="AG1574" s="88">
        <v>0</v>
      </c>
      <c r="AH1574" s="88">
        <f t="shared" si="500"/>
        <v>0</v>
      </c>
      <c r="AI1574" s="88">
        <v>0</v>
      </c>
      <c r="AJ1574" s="88">
        <v>0</v>
      </c>
      <c r="AK1574" s="88">
        <v>0</v>
      </c>
      <c r="AL1574" s="88">
        <f t="shared" si="501"/>
        <v>0</v>
      </c>
      <c r="AM1574" s="88" t="s">
        <v>1912</v>
      </c>
      <c r="AN1574" s="88">
        <v>0</v>
      </c>
      <c r="AO1574" s="88">
        <v>0</v>
      </c>
      <c r="AP1574" s="55">
        <f t="shared" si="496"/>
        <v>0</v>
      </c>
      <c r="AQ1574" s="55">
        <f>IFERROR(VLOOKUP(A1574,[1]SIIMPLES!$A$2:$F$418,6,FALSE),0)</f>
        <v>0</v>
      </c>
      <c r="AR1574" s="55">
        <v>0</v>
      </c>
      <c r="AS1574" s="55">
        <v>0</v>
      </c>
      <c r="AT1574" s="55">
        <v>0</v>
      </c>
      <c r="AU1574" s="55">
        <v>0</v>
      </c>
      <c r="AV1574" s="55">
        <v>0</v>
      </c>
      <c r="AW1574" s="96"/>
      <c r="AX1574" s="96"/>
      <c r="AY1574" s="97">
        <f t="shared" si="499"/>
        <v>0.83333333333333337</v>
      </c>
      <c r="AZ1574" s="96"/>
      <c r="BA1574" s="96"/>
    </row>
    <row r="1575" spans="1:53" x14ac:dyDescent="0.2">
      <c r="A1575" s="91" t="s">
        <v>1859</v>
      </c>
      <c r="B1575" s="90"/>
      <c r="C1575" s="92" t="s">
        <v>1851</v>
      </c>
      <c r="D1575" s="93" t="s">
        <v>1908</v>
      </c>
      <c r="E1575" s="93" t="str">
        <f>VLOOKUP(A1575,[2]CMV!$A$1:$E$2043,5,FALSE)</f>
        <v>POLO</v>
      </c>
      <c r="F1575" s="95"/>
      <c r="G1575" s="93" t="str">
        <f>VLOOKUP(A1575,[2]CMV!$A$1:$F$2043,6,FALSE)</f>
        <v>NZT6301/2RS</v>
      </c>
      <c r="H1575" s="96"/>
      <c r="I1575" s="96"/>
      <c r="J1575" s="96"/>
      <c r="K1575" s="96"/>
      <c r="L1575" s="96"/>
      <c r="M1575" s="96"/>
      <c r="N1575" s="96"/>
      <c r="O1575" s="96"/>
      <c r="P1575" s="96"/>
      <c r="Q1575" s="96"/>
      <c r="R1575" s="96"/>
      <c r="S1575" s="96"/>
      <c r="T1575" s="96"/>
      <c r="U1575" s="96"/>
      <c r="V1575" s="96"/>
      <c r="W1575" s="96"/>
      <c r="X1575" s="95">
        <v>0</v>
      </c>
      <c r="Y1575" s="96"/>
      <c r="Z1575" s="88">
        <v>5</v>
      </c>
      <c r="AA1575" s="96"/>
      <c r="AB1575" s="96"/>
      <c r="AC1575" s="88">
        <v>5</v>
      </c>
      <c r="AD1575" s="88">
        <f t="shared" si="498"/>
        <v>0</v>
      </c>
      <c r="AE1575" s="95">
        <v>0</v>
      </c>
      <c r="AF1575" s="88">
        <v>0</v>
      </c>
      <c r="AG1575" s="88">
        <v>0</v>
      </c>
      <c r="AH1575" s="88">
        <f t="shared" si="500"/>
        <v>0</v>
      </c>
      <c r="AI1575" s="88">
        <v>0</v>
      </c>
      <c r="AJ1575" s="88">
        <v>0</v>
      </c>
      <c r="AK1575" s="88">
        <v>0</v>
      </c>
      <c r="AL1575" s="88">
        <f t="shared" si="501"/>
        <v>0</v>
      </c>
      <c r="AM1575" s="88" t="s">
        <v>1912</v>
      </c>
      <c r="AN1575" s="88">
        <v>0</v>
      </c>
      <c r="AO1575" s="88">
        <v>0</v>
      </c>
      <c r="AP1575" s="55">
        <f t="shared" si="496"/>
        <v>0</v>
      </c>
      <c r="AQ1575" s="55">
        <f>IFERROR(VLOOKUP(A1575,[1]SIIMPLES!$A$2:$F$418,6,FALSE),0)</f>
        <v>0</v>
      </c>
      <c r="AR1575" s="55">
        <v>0</v>
      </c>
      <c r="AS1575" s="55">
        <v>0</v>
      </c>
      <c r="AT1575" s="55">
        <v>0</v>
      </c>
      <c r="AU1575" s="55">
        <v>0</v>
      </c>
      <c r="AV1575" s="55">
        <v>0</v>
      </c>
      <c r="AW1575" s="96"/>
      <c r="AX1575" s="96"/>
      <c r="AY1575" s="97">
        <f t="shared" si="499"/>
        <v>0.83333333333333337</v>
      </c>
      <c r="AZ1575" s="96"/>
      <c r="BA1575" s="96"/>
    </row>
    <row r="1576" spans="1:53" x14ac:dyDescent="0.2">
      <c r="A1576" s="91" t="s">
        <v>1860</v>
      </c>
      <c r="B1576" s="90"/>
      <c r="C1576" s="92" t="s">
        <v>1851</v>
      </c>
      <c r="D1576" s="93" t="s">
        <v>1908</v>
      </c>
      <c r="E1576" s="93" t="str">
        <f>VLOOKUP(A1576,[2]CMV!$A$1:$E$2043,5,FALSE)</f>
        <v>POLO</v>
      </c>
      <c r="F1576" s="95"/>
      <c r="G1576" s="93" t="str">
        <f>VLOOKUP(A1576,[2]CMV!$A$1:$F$2043,6,FALSE)</f>
        <v>NZT6302/2RS</v>
      </c>
      <c r="H1576" s="96"/>
      <c r="I1576" s="96"/>
      <c r="J1576" s="96"/>
      <c r="K1576" s="96"/>
      <c r="L1576" s="96"/>
      <c r="M1576" s="96"/>
      <c r="N1576" s="96"/>
      <c r="O1576" s="96"/>
      <c r="P1576" s="96"/>
      <c r="Q1576" s="96"/>
      <c r="R1576" s="96"/>
      <c r="S1576" s="96"/>
      <c r="T1576" s="96"/>
      <c r="U1576" s="96"/>
      <c r="V1576" s="96"/>
      <c r="W1576" s="96"/>
      <c r="X1576" s="95">
        <v>0</v>
      </c>
      <c r="Y1576" s="96"/>
      <c r="Z1576" s="88">
        <v>3</v>
      </c>
      <c r="AA1576" s="96"/>
      <c r="AB1576" s="96"/>
      <c r="AC1576" s="88">
        <v>3</v>
      </c>
      <c r="AD1576" s="88">
        <f t="shared" si="498"/>
        <v>18</v>
      </c>
      <c r="AE1576" s="95">
        <v>0</v>
      </c>
      <c r="AF1576" s="88">
        <v>0</v>
      </c>
      <c r="AG1576" s="88">
        <v>18</v>
      </c>
      <c r="AH1576" s="88">
        <f t="shared" si="500"/>
        <v>4</v>
      </c>
      <c r="AI1576" s="88">
        <v>0</v>
      </c>
      <c r="AJ1576" s="88">
        <v>0</v>
      </c>
      <c r="AK1576" s="88">
        <v>4</v>
      </c>
      <c r="AL1576" s="88">
        <f t="shared" si="501"/>
        <v>0</v>
      </c>
      <c r="AM1576" s="88" t="s">
        <v>1912</v>
      </c>
      <c r="AN1576" s="88">
        <v>0</v>
      </c>
      <c r="AO1576" s="88">
        <v>0</v>
      </c>
      <c r="AP1576" s="55">
        <f t="shared" si="496"/>
        <v>0</v>
      </c>
      <c r="AQ1576" s="55">
        <f>IFERROR(VLOOKUP(A1576,[1]SIIMPLES!$A$2:$F$418,6,FALSE),0)</f>
        <v>0</v>
      </c>
      <c r="AR1576" s="55">
        <v>0</v>
      </c>
      <c r="AS1576" s="55">
        <v>0</v>
      </c>
      <c r="AT1576" s="55">
        <v>0</v>
      </c>
      <c r="AU1576" s="55">
        <v>0</v>
      </c>
      <c r="AV1576" s="55">
        <v>0</v>
      </c>
      <c r="AW1576" s="96"/>
      <c r="AX1576" s="96"/>
      <c r="AY1576" s="97">
        <f t="shared" si="499"/>
        <v>4.166666666666667</v>
      </c>
      <c r="AZ1576" s="96"/>
      <c r="BA1576" s="96"/>
    </row>
    <row r="1577" spans="1:53" x14ac:dyDescent="0.2">
      <c r="A1577" s="91" t="s">
        <v>1959</v>
      </c>
      <c r="B1577" s="90"/>
      <c r="C1577" s="92" t="str">
        <f>VLOOKUP(A1577,[2]CMV!$A$1:$B$2115,2,FALSE)</f>
        <v>MOTO PEÇAS</v>
      </c>
      <c r="D1577" s="93" t="str">
        <f>VLOOKUP(A1577,[2]CMV!$A$1:$C$2115,3,FALSE)</f>
        <v>Kit Relação moto</v>
      </c>
      <c r="E1577" s="93" t="str">
        <f>VLOOKUP(A1577,[2]CMV!$A$1:$E$2115,5,FALSE)</f>
        <v>POLO</v>
      </c>
      <c r="F1577" s="95"/>
      <c r="G1577" s="94" t="str">
        <f>VLOOKUP(A1577,[2]CMV!$A$1:$F$2115,6,FALSE)</f>
        <v>KIT TRANSMISSÃO HONDA FAN</v>
      </c>
      <c r="H1577" s="96"/>
      <c r="I1577" s="96"/>
      <c r="J1577" s="96"/>
      <c r="K1577" s="96"/>
      <c r="L1577" s="96"/>
      <c r="M1577" s="96"/>
      <c r="N1577" s="96"/>
      <c r="O1577" s="96"/>
      <c r="P1577" s="96"/>
      <c r="Q1577" s="96"/>
      <c r="R1577" s="96"/>
      <c r="S1577" s="96"/>
      <c r="T1577" s="96"/>
      <c r="U1577" s="96"/>
      <c r="V1577" s="96"/>
      <c r="W1577" s="96"/>
      <c r="X1577" s="96"/>
      <c r="Y1577" s="96"/>
      <c r="Z1577" s="96"/>
      <c r="AA1577" s="96"/>
      <c r="AB1577" s="96"/>
      <c r="AC1577" s="96"/>
      <c r="AD1577" s="88">
        <f t="shared" si="498"/>
        <v>1</v>
      </c>
      <c r="AE1577" s="96"/>
      <c r="AF1577" s="96"/>
      <c r="AG1577" s="88">
        <v>1</v>
      </c>
      <c r="AH1577" s="88">
        <f t="shared" si="500"/>
        <v>1</v>
      </c>
      <c r="AI1577" s="88">
        <v>0</v>
      </c>
      <c r="AJ1577" s="88">
        <v>0</v>
      </c>
      <c r="AK1577" s="88">
        <v>1</v>
      </c>
      <c r="AL1577" s="88">
        <f t="shared" si="501"/>
        <v>2</v>
      </c>
      <c r="AM1577" s="88" t="s">
        <v>1912</v>
      </c>
      <c r="AN1577" s="88">
        <v>0</v>
      </c>
      <c r="AO1577" s="88">
        <v>2</v>
      </c>
      <c r="AP1577" s="55">
        <f t="shared" si="496"/>
        <v>0</v>
      </c>
      <c r="AQ1577" s="55">
        <f>IFERROR(VLOOKUP(A1577,[1]SIIMPLES!$A$2:$F$418,6,FALSE),0)</f>
        <v>0</v>
      </c>
      <c r="AR1577" s="55">
        <v>0</v>
      </c>
      <c r="AS1577" s="55">
        <v>0</v>
      </c>
      <c r="AT1577" s="55">
        <v>0</v>
      </c>
      <c r="AU1577" s="55">
        <v>0</v>
      </c>
      <c r="AV1577" s="55">
        <v>0</v>
      </c>
      <c r="AW1577" s="96"/>
      <c r="AX1577" s="96"/>
      <c r="AY1577" s="97">
        <f t="shared" si="499"/>
        <v>0.8</v>
      </c>
      <c r="AZ1577" s="96"/>
      <c r="BA1577" s="96"/>
    </row>
    <row r="1578" spans="1:53" x14ac:dyDescent="0.2">
      <c r="A1578" s="90" t="s">
        <v>1795</v>
      </c>
      <c r="B1578" s="90"/>
      <c r="C1578" s="92" t="s">
        <v>1851</v>
      </c>
      <c r="D1578" s="93" t="s">
        <v>1902</v>
      </c>
      <c r="E1578" s="93" t="str">
        <f>VLOOKUP(A1578,[2]CMV!$A$1:$E$2043,5,FALSE)</f>
        <v>POLO</v>
      </c>
      <c r="F1578" s="95"/>
      <c r="G1578" s="93" t="str">
        <f>VLOOKUP(A1578,[2]CMV!$A$1:$F$2043,6,FALSE)</f>
        <v>KIT TRANSMISSÃO HONDA CG TITAN</v>
      </c>
      <c r="H1578" s="96"/>
      <c r="I1578" s="88">
        <f>SUM(J1578:M1578)</f>
        <v>0</v>
      </c>
      <c r="J1578" s="88">
        <v>0</v>
      </c>
      <c r="K1578" s="88">
        <v>0</v>
      </c>
      <c r="L1578" s="88">
        <v>0</v>
      </c>
      <c r="M1578" s="88">
        <v>0</v>
      </c>
      <c r="N1578" s="88">
        <f>SUM(O1578:Q1578)</f>
        <v>0</v>
      </c>
      <c r="O1578" s="96"/>
      <c r="P1578" s="96"/>
      <c r="Q1578" s="96"/>
      <c r="R1578" s="88">
        <f>SUM(S1578:U1578)</f>
        <v>0</v>
      </c>
      <c r="S1578" s="96"/>
      <c r="T1578" s="96"/>
      <c r="U1578" s="96"/>
      <c r="V1578" s="88">
        <v>2</v>
      </c>
      <c r="W1578" s="96"/>
      <c r="X1578" s="95">
        <v>0</v>
      </c>
      <c r="Y1578" s="88">
        <v>2</v>
      </c>
      <c r="Z1578" s="88">
        <v>0</v>
      </c>
      <c r="AA1578" s="95">
        <v>0</v>
      </c>
      <c r="AB1578" s="95">
        <v>0</v>
      </c>
      <c r="AC1578" s="88">
        <v>0</v>
      </c>
      <c r="AD1578" s="88">
        <f t="shared" si="498"/>
        <v>0</v>
      </c>
      <c r="AE1578" s="95">
        <v>0</v>
      </c>
      <c r="AF1578" s="88">
        <v>0</v>
      </c>
      <c r="AG1578" s="88">
        <v>0</v>
      </c>
      <c r="AH1578" s="88">
        <f t="shared" si="500"/>
        <v>53</v>
      </c>
      <c r="AI1578" s="88">
        <v>0</v>
      </c>
      <c r="AJ1578" s="88">
        <v>0</v>
      </c>
      <c r="AK1578" s="88">
        <v>53</v>
      </c>
      <c r="AL1578" s="88">
        <f t="shared" si="501"/>
        <v>22</v>
      </c>
      <c r="AM1578" s="88" t="s">
        <v>1912</v>
      </c>
      <c r="AN1578" s="88">
        <v>0</v>
      </c>
      <c r="AO1578" s="88">
        <v>22</v>
      </c>
      <c r="AP1578" s="55">
        <f t="shared" si="496"/>
        <v>0</v>
      </c>
      <c r="AQ1578" s="55">
        <f>IFERROR(VLOOKUP(A1578,[1]SIIMPLES!$A$2:$F$418,6,FALSE),0)</f>
        <v>0</v>
      </c>
      <c r="AR1578" s="55">
        <v>0</v>
      </c>
      <c r="AS1578" s="55">
        <v>2</v>
      </c>
      <c r="AT1578" s="55">
        <v>0</v>
      </c>
      <c r="AU1578" s="55">
        <v>0</v>
      </c>
      <c r="AV1578" s="55">
        <v>2</v>
      </c>
      <c r="AW1578" s="96"/>
      <c r="AX1578" s="96"/>
      <c r="AY1578" s="97">
        <f t="shared" si="499"/>
        <v>7.9</v>
      </c>
      <c r="AZ1578" s="96"/>
      <c r="BA1578" s="97" t="s">
        <v>1912</v>
      </c>
    </row>
    <row r="1579" spans="1:53" x14ac:dyDescent="0.2">
      <c r="A1579" s="91" t="s">
        <v>1884</v>
      </c>
      <c r="B1579" s="90"/>
      <c r="C1579" s="92" t="s">
        <v>1851</v>
      </c>
      <c r="D1579" s="93" t="s">
        <v>1902</v>
      </c>
      <c r="E1579" s="93" t="str">
        <f>VLOOKUP(A1579,[2]CMV!$A$1:$E$2043,5,FALSE)</f>
        <v>POLO</v>
      </c>
      <c r="F1579" s="95"/>
      <c r="G1579" s="93" t="str">
        <f>VLOOKUP(A1579,[2]CMV!$A$1:$F$2043,6,FALSE)</f>
        <v>KIT TRANSMISSÃO BIZ</v>
      </c>
      <c r="H1579" s="96"/>
      <c r="I1579" s="96"/>
      <c r="J1579" s="96"/>
      <c r="K1579" s="96"/>
      <c r="L1579" s="96"/>
      <c r="M1579" s="96"/>
      <c r="N1579" s="96"/>
      <c r="O1579" s="96"/>
      <c r="P1579" s="96"/>
      <c r="Q1579" s="96"/>
      <c r="R1579" s="96"/>
      <c r="S1579" s="96"/>
      <c r="T1579" s="96"/>
      <c r="U1579" s="96"/>
      <c r="V1579" s="96"/>
      <c r="W1579" s="96"/>
      <c r="X1579" s="95">
        <v>0</v>
      </c>
      <c r="Y1579" s="96"/>
      <c r="Z1579" s="88">
        <v>1</v>
      </c>
      <c r="AA1579" s="96"/>
      <c r="AB1579" s="96"/>
      <c r="AC1579" s="88">
        <v>1</v>
      </c>
      <c r="AD1579" s="88">
        <f t="shared" si="498"/>
        <v>0</v>
      </c>
      <c r="AE1579" s="95">
        <v>0</v>
      </c>
      <c r="AF1579" s="88">
        <v>0</v>
      </c>
      <c r="AG1579" s="88">
        <v>0</v>
      </c>
      <c r="AH1579" s="88">
        <f t="shared" si="500"/>
        <v>0</v>
      </c>
      <c r="AI1579" s="88">
        <v>0</v>
      </c>
      <c r="AJ1579" s="88">
        <v>0</v>
      </c>
      <c r="AK1579" s="88">
        <v>0</v>
      </c>
      <c r="AL1579" s="88">
        <f t="shared" si="501"/>
        <v>3</v>
      </c>
      <c r="AM1579" s="88" t="s">
        <v>1912</v>
      </c>
      <c r="AN1579" s="88">
        <v>0</v>
      </c>
      <c r="AO1579" s="88">
        <v>3</v>
      </c>
      <c r="AP1579" s="55">
        <f t="shared" si="496"/>
        <v>0</v>
      </c>
      <c r="AQ1579" s="55">
        <f>IFERROR(VLOOKUP(A1579,[1]SIIMPLES!$A$2:$F$418,6,FALSE),0)</f>
        <v>0</v>
      </c>
      <c r="AR1579" s="55">
        <v>0</v>
      </c>
      <c r="AS1579" s="55">
        <v>0</v>
      </c>
      <c r="AT1579" s="55">
        <v>0</v>
      </c>
      <c r="AU1579" s="55">
        <v>0</v>
      </c>
      <c r="AV1579" s="55">
        <v>0</v>
      </c>
      <c r="AW1579" s="96"/>
      <c r="AX1579" s="96"/>
      <c r="AY1579" s="97">
        <f t="shared" si="499"/>
        <v>0.66666666666666663</v>
      </c>
      <c r="AZ1579" s="96"/>
      <c r="BA1579" s="96"/>
    </row>
    <row r="1580" spans="1:53" x14ac:dyDescent="0.2">
      <c r="A1580" s="86" t="s">
        <v>1977</v>
      </c>
      <c r="C1580" s="26" t="s">
        <v>1851</v>
      </c>
      <c r="D1580" s="38" t="s">
        <v>2012</v>
      </c>
      <c r="E1580" s="38">
        <v>0</v>
      </c>
      <c r="G1580" s="15" t="s">
        <v>2020</v>
      </c>
      <c r="AH1580" s="87">
        <f t="shared" si="500"/>
        <v>12</v>
      </c>
      <c r="AK1580" s="88">
        <v>12</v>
      </c>
      <c r="AL1580" s="88">
        <f t="shared" si="501"/>
        <v>0</v>
      </c>
      <c r="AM1580" s="88" t="s">
        <v>1912</v>
      </c>
      <c r="AN1580" s="88">
        <v>0</v>
      </c>
      <c r="AO1580" s="88">
        <v>0</v>
      </c>
      <c r="AP1580" s="55">
        <f t="shared" si="496"/>
        <v>0</v>
      </c>
      <c r="AQ1580" s="55">
        <f>IFERROR(VLOOKUP(A1580,[1]SIIMPLES!$A$2:$F$418,6,FALSE),0)</f>
        <v>0</v>
      </c>
      <c r="AR1580" s="55">
        <v>0</v>
      </c>
      <c r="AS1580" s="55">
        <v>0</v>
      </c>
      <c r="AT1580" s="55">
        <v>0</v>
      </c>
      <c r="AU1580" s="55">
        <v>0</v>
      </c>
      <c r="AV1580" s="55">
        <v>0</v>
      </c>
    </row>
    <row r="1581" spans="1:53" x14ac:dyDescent="0.2">
      <c r="A1581" s="90" t="s">
        <v>320</v>
      </c>
      <c r="B1581" s="90" t="s">
        <v>1077</v>
      </c>
      <c r="C1581" s="92" t="s">
        <v>1851</v>
      </c>
      <c r="D1581" s="93" t="s">
        <v>755</v>
      </c>
      <c r="E1581" s="93" t="s">
        <v>727</v>
      </c>
      <c r="F1581" s="95">
        <f>IFERROR(VLOOKUP(E1581,Fornecedores!$A$2:$B$2700,2,FALSE),"")</f>
        <v>1</v>
      </c>
      <c r="G1581" s="93" t="s">
        <v>321</v>
      </c>
      <c r="H1581" s="96"/>
      <c r="I1581" s="88">
        <f>SUM(J1581:M1581)</f>
        <v>14</v>
      </c>
      <c r="J1581" s="88">
        <v>14</v>
      </c>
      <c r="K1581" s="88">
        <v>0</v>
      </c>
      <c r="L1581" s="88">
        <v>0</v>
      </c>
      <c r="M1581" s="88">
        <v>0</v>
      </c>
      <c r="N1581" s="88">
        <f>SUM(O1581:Q1581)</f>
        <v>0</v>
      </c>
      <c r="O1581" s="88">
        <v>0</v>
      </c>
      <c r="P1581" s="88">
        <v>0</v>
      </c>
      <c r="Q1581" s="88">
        <v>0</v>
      </c>
      <c r="R1581" s="88">
        <f>SUM(S1581:U1581)</f>
        <v>0</v>
      </c>
      <c r="S1581" s="88">
        <v>0</v>
      </c>
      <c r="T1581" s="88">
        <v>0</v>
      </c>
      <c r="U1581" s="88">
        <v>0</v>
      </c>
      <c r="V1581" s="88">
        <v>1</v>
      </c>
      <c r="W1581" s="95">
        <v>1</v>
      </c>
      <c r="X1581" s="95">
        <v>0</v>
      </c>
      <c r="Y1581" s="88">
        <v>0</v>
      </c>
      <c r="Z1581" s="88">
        <v>0</v>
      </c>
      <c r="AA1581" s="95">
        <v>0</v>
      </c>
      <c r="AB1581" s="95">
        <v>0</v>
      </c>
      <c r="AC1581" s="88">
        <v>0</v>
      </c>
      <c r="AD1581" s="88">
        <f>SUM(AE1581:AG1581)</f>
        <v>1</v>
      </c>
      <c r="AE1581" s="95">
        <v>1</v>
      </c>
      <c r="AF1581" s="88">
        <v>0</v>
      </c>
      <c r="AG1581" s="88">
        <v>0</v>
      </c>
      <c r="AH1581" s="88">
        <f t="shared" si="500"/>
        <v>1</v>
      </c>
      <c r="AI1581" s="88">
        <v>1</v>
      </c>
      <c r="AJ1581" s="88">
        <v>0</v>
      </c>
      <c r="AK1581" s="88">
        <v>0</v>
      </c>
      <c r="AL1581" s="88">
        <f t="shared" si="501"/>
        <v>0</v>
      </c>
      <c r="AM1581" s="88" t="s">
        <v>1912</v>
      </c>
      <c r="AN1581" s="88">
        <v>0</v>
      </c>
      <c r="AO1581" s="88">
        <v>0</v>
      </c>
      <c r="AP1581" s="55">
        <f t="shared" si="496"/>
        <v>0</v>
      </c>
      <c r="AQ1581" s="55">
        <f>IFERROR(VLOOKUP(A1581,[1]SIIMPLES!$A$2:$F$418,6,FALSE),0)</f>
        <v>0</v>
      </c>
      <c r="AR1581" s="55">
        <v>0</v>
      </c>
      <c r="AS1581" s="55">
        <v>0</v>
      </c>
      <c r="AT1581" s="55">
        <v>0</v>
      </c>
      <c r="AU1581" s="55">
        <v>0</v>
      </c>
      <c r="AV1581" s="55">
        <v>0</v>
      </c>
      <c r="AW1581" s="88"/>
      <c r="AX1581" s="88"/>
      <c r="AY1581" s="97">
        <f>IFERROR(AVERAGE(I1581,N1581,R1581,V1581,Z1581,AD1581,AH1581,AL1581,AP1581,AS1581,AW1581,AX1581),"-")</f>
        <v>1.7</v>
      </c>
      <c r="AZ1581" s="88"/>
      <c r="BA1581" s="97">
        <v>10.666666666666666</v>
      </c>
    </row>
    <row r="1582" spans="1:53" x14ac:dyDescent="0.2">
      <c r="A1582" s="26">
        <v>10171</v>
      </c>
      <c r="C1582" s="26" t="s">
        <v>1851</v>
      </c>
      <c r="D1582" s="38" t="s">
        <v>2014</v>
      </c>
      <c r="E1582" s="38" t="s">
        <v>741</v>
      </c>
      <c r="G1582" s="15" t="s">
        <v>2102</v>
      </c>
      <c r="AL1582" s="88">
        <f t="shared" si="501"/>
        <v>3</v>
      </c>
      <c r="AO1582" s="88">
        <v>3</v>
      </c>
      <c r="AP1582" s="55">
        <f t="shared" si="496"/>
        <v>0</v>
      </c>
      <c r="AQ1582" s="55">
        <f>IFERROR(VLOOKUP(A1582,[1]SIIMPLES!$A$2:$F$418,6,FALSE),0)</f>
        <v>0</v>
      </c>
      <c r="AR1582" s="55">
        <v>0</v>
      </c>
      <c r="AS1582" s="55">
        <v>0</v>
      </c>
      <c r="AT1582" s="55">
        <v>0</v>
      </c>
      <c r="AU1582" s="55">
        <v>0</v>
      </c>
      <c r="AV1582" s="55">
        <v>0</v>
      </c>
    </row>
    <row r="1583" spans="1:53" x14ac:dyDescent="0.2">
      <c r="A1583" s="26">
        <v>10458</v>
      </c>
      <c r="C1583" s="26" t="s">
        <v>1851</v>
      </c>
      <c r="D1583" s="38" t="s">
        <v>2014</v>
      </c>
      <c r="E1583" s="38" t="s">
        <v>741</v>
      </c>
      <c r="G1583" s="15" t="s">
        <v>2103</v>
      </c>
      <c r="AL1583" s="88">
        <f t="shared" si="501"/>
        <v>2</v>
      </c>
      <c r="AO1583" s="88">
        <v>2</v>
      </c>
      <c r="AP1583" s="55">
        <f t="shared" si="496"/>
        <v>0</v>
      </c>
      <c r="AQ1583" s="55">
        <f>IFERROR(VLOOKUP(A1583,[1]SIIMPLES!$A$2:$F$418,6,FALSE),0)</f>
        <v>0</v>
      </c>
      <c r="AR1583" s="55">
        <v>0</v>
      </c>
      <c r="AS1583" s="55">
        <v>0</v>
      </c>
      <c r="AT1583" s="55">
        <v>0</v>
      </c>
      <c r="AU1583" s="55">
        <v>0</v>
      </c>
      <c r="AV1583" s="55">
        <v>0</v>
      </c>
    </row>
    <row r="1584" spans="1:53" x14ac:dyDescent="0.2">
      <c r="A1584" s="26">
        <v>11096</v>
      </c>
      <c r="C1584" s="26" t="s">
        <v>1803</v>
      </c>
      <c r="D1584" s="38" t="s">
        <v>1922</v>
      </c>
      <c r="E1584" s="38" t="s">
        <v>2017</v>
      </c>
      <c r="G1584" s="15">
        <v>11096</v>
      </c>
      <c r="AL1584" s="88">
        <f t="shared" si="501"/>
        <v>6</v>
      </c>
      <c r="AO1584" s="88">
        <v>6</v>
      </c>
      <c r="AP1584" s="55">
        <f t="shared" si="496"/>
        <v>0</v>
      </c>
      <c r="AQ1584" s="55">
        <f>IFERROR(VLOOKUP(A1584,[1]SIIMPLES!$A$2:$F$418,6,FALSE),0)</f>
        <v>0</v>
      </c>
      <c r="AR1584" s="55">
        <v>0</v>
      </c>
      <c r="AS1584" s="55">
        <v>1</v>
      </c>
      <c r="AT1584" s="55">
        <v>1</v>
      </c>
      <c r="AU1584" s="55">
        <v>0</v>
      </c>
      <c r="AV1584" s="55">
        <v>0</v>
      </c>
    </row>
    <row r="1585" spans="1:48" x14ac:dyDescent="0.2">
      <c r="A1585" s="26">
        <v>66600</v>
      </c>
      <c r="C1585" s="26" t="s">
        <v>1803</v>
      </c>
      <c r="D1585" s="38" t="s">
        <v>2104</v>
      </c>
      <c r="E1585" s="38" t="s">
        <v>1758</v>
      </c>
      <c r="G1585" s="15" t="s">
        <v>2105</v>
      </c>
      <c r="AL1585" s="88">
        <f t="shared" si="501"/>
        <v>2</v>
      </c>
      <c r="AO1585" s="88">
        <v>2</v>
      </c>
      <c r="AP1585" s="55">
        <f t="shared" si="496"/>
        <v>0</v>
      </c>
      <c r="AQ1585" s="55">
        <f>IFERROR(VLOOKUP(A1585,[1]SIIMPLES!$A$2:$F$418,6,FALSE),0)</f>
        <v>0</v>
      </c>
      <c r="AR1585" s="55">
        <v>0</v>
      </c>
      <c r="AS1585" s="55">
        <v>0</v>
      </c>
      <c r="AT1585" s="55">
        <v>0</v>
      </c>
      <c r="AU1585" s="55">
        <v>0</v>
      </c>
      <c r="AV1585" s="55">
        <v>0</v>
      </c>
    </row>
    <row r="1586" spans="1:48" x14ac:dyDescent="0.2">
      <c r="A1586" s="26">
        <v>164624</v>
      </c>
      <c r="C1586" s="26" t="s">
        <v>1851</v>
      </c>
      <c r="D1586" s="38" t="s">
        <v>2108</v>
      </c>
      <c r="E1586" s="38" t="s">
        <v>2109</v>
      </c>
      <c r="G1586" s="15" t="s">
        <v>2110</v>
      </c>
      <c r="AL1586" s="88">
        <f t="shared" si="501"/>
        <v>1</v>
      </c>
      <c r="AO1586" s="88">
        <v>1</v>
      </c>
      <c r="AP1586" s="55">
        <f t="shared" si="496"/>
        <v>0</v>
      </c>
      <c r="AQ1586" s="55">
        <f>IFERROR(VLOOKUP(A1586,[1]SIIMPLES!$A$2:$F$418,6,FALSE),0)</f>
        <v>0</v>
      </c>
      <c r="AR1586" s="55">
        <v>0</v>
      </c>
      <c r="AS1586" s="55">
        <v>0</v>
      </c>
      <c r="AT1586" s="55">
        <v>0</v>
      </c>
      <c r="AU1586" s="55">
        <v>0</v>
      </c>
      <c r="AV1586" s="55">
        <v>0</v>
      </c>
    </row>
    <row r="1587" spans="1:48" x14ac:dyDescent="0.2">
      <c r="A1587" s="26">
        <v>300820</v>
      </c>
      <c r="C1587" s="26" t="s">
        <v>1851</v>
      </c>
      <c r="D1587" s="38" t="s">
        <v>2012</v>
      </c>
      <c r="E1587" s="38" t="s">
        <v>2111</v>
      </c>
      <c r="G1587" s="15" t="s">
        <v>2112</v>
      </c>
      <c r="AL1587" s="88">
        <f t="shared" si="501"/>
        <v>12</v>
      </c>
      <c r="AO1587" s="88">
        <v>12</v>
      </c>
      <c r="AP1587" s="55">
        <f t="shared" si="496"/>
        <v>0</v>
      </c>
      <c r="AQ1587" s="55">
        <f>IFERROR(VLOOKUP(A1587,[1]SIIMPLES!$A$2:$F$418,6,FALSE),0)</f>
        <v>0</v>
      </c>
      <c r="AR1587" s="55">
        <v>0</v>
      </c>
      <c r="AS1587" s="55">
        <v>0</v>
      </c>
      <c r="AT1587" s="55">
        <v>0</v>
      </c>
      <c r="AU1587" s="55">
        <v>0</v>
      </c>
      <c r="AV1587" s="55">
        <v>0</v>
      </c>
    </row>
    <row r="1588" spans="1:48" x14ac:dyDescent="0.2">
      <c r="A1588" s="26" t="s">
        <v>2100</v>
      </c>
      <c r="C1588" s="26" t="s">
        <v>1803</v>
      </c>
      <c r="D1588" s="38" t="s">
        <v>1274</v>
      </c>
      <c r="E1588" s="38" t="s">
        <v>1462</v>
      </c>
      <c r="G1588" s="15" t="s">
        <v>2115</v>
      </c>
      <c r="AL1588" s="88">
        <f t="shared" si="501"/>
        <v>1</v>
      </c>
      <c r="AO1588" s="88">
        <v>1</v>
      </c>
      <c r="AP1588" s="55">
        <f t="shared" si="496"/>
        <v>0</v>
      </c>
      <c r="AQ1588" s="55">
        <f>IFERROR(VLOOKUP(A1588,[1]SIIMPLES!$A$2:$F$418,6,FALSE),0)</f>
        <v>0</v>
      </c>
      <c r="AR1588" s="55">
        <v>0</v>
      </c>
      <c r="AS1588" s="55">
        <v>0</v>
      </c>
      <c r="AT1588" s="55">
        <v>0</v>
      </c>
      <c r="AU1588" s="55">
        <v>0</v>
      </c>
      <c r="AV1588" s="55">
        <v>0</v>
      </c>
    </row>
    <row r="1589" spans="1:48" x14ac:dyDescent="0.2">
      <c r="A1589" s="26" t="s">
        <v>2085</v>
      </c>
      <c r="C1589" s="26" t="s">
        <v>1803</v>
      </c>
      <c r="D1589" s="38" t="s">
        <v>2012</v>
      </c>
      <c r="E1589" s="38" t="s">
        <v>2116</v>
      </c>
      <c r="G1589" s="15" t="s">
        <v>2117</v>
      </c>
      <c r="AL1589" s="88">
        <f t="shared" si="501"/>
        <v>12</v>
      </c>
      <c r="AO1589" s="88">
        <v>12</v>
      </c>
      <c r="AP1589" s="55">
        <f t="shared" si="496"/>
        <v>0</v>
      </c>
      <c r="AQ1589" s="55">
        <f>IFERROR(VLOOKUP(A1589,[1]SIIMPLES!$A$2:$F$418,6,FALSE),0)</f>
        <v>0</v>
      </c>
      <c r="AR1589" s="55">
        <v>0</v>
      </c>
      <c r="AS1589" s="55">
        <v>0</v>
      </c>
      <c r="AT1589" s="55">
        <v>0</v>
      </c>
      <c r="AU1589" s="55">
        <v>0</v>
      </c>
      <c r="AV1589" s="55">
        <v>0</v>
      </c>
    </row>
    <row r="1590" spans="1:48" x14ac:dyDescent="0.2">
      <c r="A1590" s="26" t="s">
        <v>2082</v>
      </c>
      <c r="C1590" s="26" t="s">
        <v>1803</v>
      </c>
      <c r="D1590" s="38" t="s">
        <v>2012</v>
      </c>
      <c r="E1590" s="38" t="s">
        <v>2116</v>
      </c>
      <c r="G1590" s="15" t="s">
        <v>2118</v>
      </c>
      <c r="AL1590" s="88">
        <f t="shared" si="501"/>
        <v>21</v>
      </c>
      <c r="AO1590" s="88">
        <v>21</v>
      </c>
      <c r="AP1590" s="55">
        <f t="shared" si="496"/>
        <v>0</v>
      </c>
      <c r="AQ1590" s="55">
        <f>IFERROR(VLOOKUP(A1590,[1]SIIMPLES!$A$2:$F$418,6,FALSE),0)</f>
        <v>0</v>
      </c>
      <c r="AR1590" s="55">
        <v>0</v>
      </c>
      <c r="AS1590" s="55">
        <v>0</v>
      </c>
      <c r="AT1590" s="55">
        <v>0</v>
      </c>
      <c r="AU1590" s="55">
        <v>0</v>
      </c>
      <c r="AV1590" s="55">
        <v>0</v>
      </c>
    </row>
    <row r="1591" spans="1:48" x14ac:dyDescent="0.2">
      <c r="A1591" s="26" t="s">
        <v>2092</v>
      </c>
      <c r="C1591" s="26" t="s">
        <v>1851</v>
      </c>
      <c r="D1591" s="38" t="s">
        <v>2024</v>
      </c>
      <c r="E1591" s="38" t="s">
        <v>2025</v>
      </c>
      <c r="G1591" s="15" t="s">
        <v>2119</v>
      </c>
      <c r="AL1591" s="88">
        <f t="shared" si="501"/>
        <v>2</v>
      </c>
      <c r="AO1591" s="88">
        <v>2</v>
      </c>
      <c r="AP1591" s="55">
        <f t="shared" si="496"/>
        <v>0</v>
      </c>
      <c r="AQ1591" s="55">
        <f>IFERROR(VLOOKUP(A1591,[1]SIIMPLES!$A$2:$F$418,6,FALSE),0)</f>
        <v>0</v>
      </c>
      <c r="AR1591" s="55">
        <v>0</v>
      </c>
      <c r="AS1591" s="55">
        <v>2</v>
      </c>
      <c r="AT1591" s="55">
        <v>0</v>
      </c>
      <c r="AU1591" s="55">
        <v>0</v>
      </c>
      <c r="AV1591" s="55">
        <v>2</v>
      </c>
    </row>
    <row r="1592" spans="1:48" x14ac:dyDescent="0.2">
      <c r="A1592" s="26" t="s">
        <v>2081</v>
      </c>
      <c r="C1592" s="26" t="s">
        <v>1851</v>
      </c>
      <c r="D1592" s="38" t="s">
        <v>2012</v>
      </c>
      <c r="E1592" s="38" t="s">
        <v>2106</v>
      </c>
      <c r="G1592" s="15" t="s">
        <v>2122</v>
      </c>
      <c r="AL1592" s="88">
        <f t="shared" si="501"/>
        <v>24</v>
      </c>
      <c r="AO1592" s="88">
        <v>24</v>
      </c>
      <c r="AP1592" s="55">
        <f t="shared" si="496"/>
        <v>0</v>
      </c>
      <c r="AQ1592" s="55">
        <f>IFERROR(VLOOKUP(A1592,[1]SIIMPLES!$A$2:$F$418,6,FALSE),0)</f>
        <v>0</v>
      </c>
      <c r="AR1592" s="55">
        <v>0</v>
      </c>
      <c r="AS1592" s="55">
        <v>0</v>
      </c>
      <c r="AT1592" s="55">
        <v>0</v>
      </c>
      <c r="AU1592" s="55">
        <v>0</v>
      </c>
      <c r="AV1592" s="55">
        <v>0</v>
      </c>
    </row>
    <row r="1593" spans="1:48" x14ac:dyDescent="0.2">
      <c r="A1593" s="26" t="s">
        <v>2101</v>
      </c>
      <c r="C1593" s="26" t="s">
        <v>1851</v>
      </c>
      <c r="D1593" s="38" t="s">
        <v>1764</v>
      </c>
      <c r="E1593" s="38" t="s">
        <v>741</v>
      </c>
      <c r="G1593" s="15" t="s">
        <v>2123</v>
      </c>
      <c r="AL1593" s="88">
        <f t="shared" si="501"/>
        <v>1</v>
      </c>
      <c r="AO1593" s="88">
        <v>1</v>
      </c>
      <c r="AP1593" s="55">
        <f t="shared" si="496"/>
        <v>0</v>
      </c>
      <c r="AQ1593" s="55">
        <f>IFERROR(VLOOKUP(A1593,[1]SIIMPLES!$A$2:$F$418,6,FALSE),0)</f>
        <v>0</v>
      </c>
      <c r="AR1593" s="55">
        <v>0</v>
      </c>
      <c r="AS1593" s="55">
        <v>0</v>
      </c>
      <c r="AT1593" s="55">
        <v>0</v>
      </c>
      <c r="AU1593" s="55">
        <v>0</v>
      </c>
      <c r="AV1593" s="55">
        <v>0</v>
      </c>
    </row>
    <row r="1594" spans="1:48" x14ac:dyDescent="0.2">
      <c r="A1594" s="26" t="s">
        <v>2098</v>
      </c>
      <c r="C1594" s="26" t="s">
        <v>1851</v>
      </c>
      <c r="D1594" s="38" t="s">
        <v>1273</v>
      </c>
      <c r="E1594" s="38" t="s">
        <v>741</v>
      </c>
      <c r="G1594" s="15" t="s">
        <v>2124</v>
      </c>
      <c r="AL1594" s="88">
        <f t="shared" si="501"/>
        <v>1</v>
      </c>
      <c r="AO1594" s="88">
        <v>1</v>
      </c>
      <c r="AP1594" s="55">
        <f t="shared" si="496"/>
        <v>0</v>
      </c>
      <c r="AQ1594" s="55">
        <f>IFERROR(VLOOKUP(A1594,[1]SIIMPLES!$A$2:$F$418,6,FALSE),0)</f>
        <v>0</v>
      </c>
      <c r="AR1594" s="55">
        <v>0</v>
      </c>
      <c r="AS1594" s="55">
        <v>1</v>
      </c>
      <c r="AT1594" s="55">
        <v>0</v>
      </c>
      <c r="AU1594" s="55">
        <v>0</v>
      </c>
      <c r="AV1594" s="55">
        <v>1</v>
      </c>
    </row>
    <row r="1595" spans="1:48" x14ac:dyDescent="0.2">
      <c r="A1595" s="26" t="s">
        <v>2099</v>
      </c>
      <c r="C1595" s="26" t="s">
        <v>1851</v>
      </c>
      <c r="D1595" s="38" t="s">
        <v>2016</v>
      </c>
      <c r="E1595" s="38" t="s">
        <v>2017</v>
      </c>
      <c r="G1595" s="15" t="s">
        <v>2018</v>
      </c>
      <c r="AL1595" s="88">
        <f t="shared" si="501"/>
        <v>1</v>
      </c>
      <c r="AO1595" s="88">
        <v>1</v>
      </c>
      <c r="AP1595" s="55">
        <f t="shared" si="496"/>
        <v>0</v>
      </c>
      <c r="AQ1595" s="55">
        <f>IFERROR(VLOOKUP(A1595,[1]SIIMPLES!$A$2:$F$418,6,FALSE),0)</f>
        <v>0</v>
      </c>
      <c r="AR1595" s="55">
        <v>0</v>
      </c>
      <c r="AS1595" s="55">
        <v>0</v>
      </c>
      <c r="AT1595" s="55">
        <v>0</v>
      </c>
      <c r="AU1595" s="55">
        <v>0</v>
      </c>
      <c r="AV1595" s="55">
        <v>0</v>
      </c>
    </row>
    <row r="1596" spans="1:48" x14ac:dyDescent="0.2">
      <c r="A1596" s="26" t="s">
        <v>2093</v>
      </c>
      <c r="C1596" s="26" t="s">
        <v>1851</v>
      </c>
      <c r="D1596" s="38" t="s">
        <v>2047</v>
      </c>
      <c r="E1596" s="38" t="s">
        <v>2017</v>
      </c>
      <c r="G1596" s="15" t="s">
        <v>2126</v>
      </c>
      <c r="AL1596" s="88">
        <f t="shared" si="501"/>
        <v>2</v>
      </c>
      <c r="AO1596" s="88">
        <v>2</v>
      </c>
      <c r="AP1596" s="55">
        <f t="shared" si="496"/>
        <v>0</v>
      </c>
      <c r="AQ1596" s="55">
        <f>IFERROR(VLOOKUP(A1596,[1]SIIMPLES!$A$2:$F$418,6,FALSE),0)</f>
        <v>0</v>
      </c>
      <c r="AR1596" s="55">
        <v>0</v>
      </c>
      <c r="AS1596" s="55">
        <v>4</v>
      </c>
      <c r="AT1596" s="55">
        <v>0</v>
      </c>
      <c r="AU1596" s="55">
        <v>0</v>
      </c>
      <c r="AV1596" s="55">
        <v>4</v>
      </c>
    </row>
    <row r="1597" spans="1:48" x14ac:dyDescent="0.2">
      <c r="A1597" s="26" t="s">
        <v>2089</v>
      </c>
      <c r="C1597" s="26" t="s">
        <v>1851</v>
      </c>
      <c r="D1597" s="38" t="s">
        <v>2047</v>
      </c>
      <c r="E1597" s="38" t="s">
        <v>2017</v>
      </c>
      <c r="G1597" s="15" t="s">
        <v>2127</v>
      </c>
      <c r="AL1597" s="88">
        <f t="shared" si="501"/>
        <v>2</v>
      </c>
      <c r="AO1597" s="88">
        <v>2</v>
      </c>
      <c r="AP1597" s="55">
        <f t="shared" si="496"/>
        <v>0</v>
      </c>
      <c r="AQ1597" s="55">
        <f>IFERROR(VLOOKUP(A1597,[1]SIIMPLES!$A$2:$F$418,6,FALSE),0)</f>
        <v>0</v>
      </c>
      <c r="AR1597" s="55">
        <v>0</v>
      </c>
      <c r="AS1597" s="55">
        <v>0</v>
      </c>
      <c r="AT1597" s="55">
        <v>0</v>
      </c>
      <c r="AU1597" s="55">
        <v>0</v>
      </c>
      <c r="AV1597" s="55">
        <v>0</v>
      </c>
    </row>
    <row r="1598" spans="1:48" x14ac:dyDescent="0.2">
      <c r="A1598" s="26" t="s">
        <v>2094</v>
      </c>
      <c r="C1598" s="26" t="s">
        <v>1851</v>
      </c>
      <c r="D1598" s="38" t="s">
        <v>918</v>
      </c>
      <c r="E1598" s="38" t="s">
        <v>919</v>
      </c>
      <c r="G1598" s="15" t="s">
        <v>2128</v>
      </c>
      <c r="AL1598" s="88">
        <f t="shared" si="501"/>
        <v>1</v>
      </c>
      <c r="AO1598" s="88">
        <v>1</v>
      </c>
      <c r="AP1598" s="55">
        <f t="shared" si="496"/>
        <v>0</v>
      </c>
      <c r="AQ1598" s="55">
        <f>IFERROR(VLOOKUP(A1598,[1]SIIMPLES!$A$2:$F$418,6,FALSE),0)</f>
        <v>0</v>
      </c>
      <c r="AR1598" s="55">
        <v>0</v>
      </c>
      <c r="AS1598" s="55">
        <v>0</v>
      </c>
      <c r="AT1598" s="55">
        <v>0</v>
      </c>
      <c r="AU1598" s="55">
        <v>0</v>
      </c>
      <c r="AV1598" s="55">
        <v>0</v>
      </c>
    </row>
    <row r="1599" spans="1:48" x14ac:dyDescent="0.2">
      <c r="A1599" s="26" t="s">
        <v>2096</v>
      </c>
      <c r="C1599" s="26" t="s">
        <v>1851</v>
      </c>
      <c r="D1599" s="38" t="s">
        <v>918</v>
      </c>
      <c r="E1599" s="38" t="s">
        <v>919</v>
      </c>
      <c r="G1599" s="15" t="s">
        <v>2129</v>
      </c>
      <c r="AL1599" s="88">
        <f t="shared" si="501"/>
        <v>1</v>
      </c>
      <c r="AO1599" s="88">
        <v>1</v>
      </c>
      <c r="AP1599" s="55">
        <f t="shared" si="496"/>
        <v>0</v>
      </c>
      <c r="AQ1599" s="55">
        <f>IFERROR(VLOOKUP(A1599,[1]SIIMPLES!$A$2:$F$418,6,FALSE),0)</f>
        <v>0</v>
      </c>
      <c r="AR1599" s="55">
        <v>0</v>
      </c>
      <c r="AS1599" s="55">
        <v>0</v>
      </c>
      <c r="AT1599" s="55">
        <v>0</v>
      </c>
      <c r="AU1599" s="55">
        <v>0</v>
      </c>
      <c r="AV1599" s="55">
        <v>0</v>
      </c>
    </row>
    <row r="1600" spans="1:48" x14ac:dyDescent="0.2">
      <c r="A1600" s="26" t="s">
        <v>2097</v>
      </c>
      <c r="C1600" s="26" t="s">
        <v>1851</v>
      </c>
      <c r="D1600" s="38" t="s">
        <v>918</v>
      </c>
      <c r="E1600" s="38" t="s">
        <v>919</v>
      </c>
      <c r="G1600" s="15" t="s">
        <v>2130</v>
      </c>
      <c r="AL1600" s="88">
        <f t="shared" si="501"/>
        <v>1</v>
      </c>
      <c r="AO1600" s="88">
        <v>1</v>
      </c>
      <c r="AP1600" s="55">
        <f t="shared" si="496"/>
        <v>0</v>
      </c>
      <c r="AQ1600" s="55">
        <f>IFERROR(VLOOKUP(A1600,[1]SIIMPLES!$A$2:$F$418,6,FALSE),0)</f>
        <v>0</v>
      </c>
      <c r="AR1600" s="55">
        <v>0</v>
      </c>
      <c r="AS1600" s="55">
        <v>0</v>
      </c>
      <c r="AT1600" s="55">
        <v>0</v>
      </c>
      <c r="AU1600" s="55">
        <v>0</v>
      </c>
      <c r="AV1600" s="55">
        <v>0</v>
      </c>
    </row>
    <row r="1601" spans="1:48" x14ac:dyDescent="0.2">
      <c r="A1601" s="26" t="s">
        <v>2083</v>
      </c>
      <c r="C1601" s="26" t="s">
        <v>1851</v>
      </c>
      <c r="D1601" s="38" t="s">
        <v>1908</v>
      </c>
      <c r="E1601" s="38" t="s">
        <v>741</v>
      </c>
      <c r="G1601" s="15" t="s">
        <v>2131</v>
      </c>
      <c r="AL1601" s="88">
        <f t="shared" si="501"/>
        <v>15</v>
      </c>
      <c r="AO1601" s="88">
        <v>15</v>
      </c>
      <c r="AP1601" s="55">
        <f t="shared" si="496"/>
        <v>0</v>
      </c>
      <c r="AQ1601" s="55">
        <f>IFERROR(VLOOKUP(A1601,[1]SIIMPLES!$A$2:$F$418,6,FALSE),0)</f>
        <v>0</v>
      </c>
      <c r="AR1601" s="55">
        <v>0</v>
      </c>
      <c r="AS1601" s="55">
        <v>0</v>
      </c>
      <c r="AT1601" s="55">
        <v>0</v>
      </c>
      <c r="AU1601" s="55">
        <v>0</v>
      </c>
      <c r="AV1601" s="55">
        <v>0</v>
      </c>
    </row>
    <row r="1602" spans="1:48" x14ac:dyDescent="0.2">
      <c r="A1602" s="26" t="s">
        <v>2084</v>
      </c>
      <c r="C1602" s="26" t="s">
        <v>1803</v>
      </c>
      <c r="D1602" s="38" t="s">
        <v>1274</v>
      </c>
      <c r="E1602" s="38" t="s">
        <v>1462</v>
      </c>
      <c r="G1602" s="15" t="s">
        <v>2132</v>
      </c>
      <c r="AL1602" s="88">
        <f t="shared" si="501"/>
        <v>14</v>
      </c>
      <c r="AO1602" s="88">
        <v>14</v>
      </c>
      <c r="AP1602" s="55">
        <f t="shared" si="496"/>
        <v>0</v>
      </c>
      <c r="AQ1602" s="55">
        <f>IFERROR(VLOOKUP(A1602,[1]SIIMPLES!$A$2:$F$418,6,FALSE),0)</f>
        <v>0</v>
      </c>
      <c r="AR1602" s="55">
        <v>0</v>
      </c>
      <c r="AS1602" s="55">
        <v>0</v>
      </c>
      <c r="AT1602" s="55">
        <v>0</v>
      </c>
      <c r="AU1602" s="55">
        <v>0</v>
      </c>
      <c r="AV1602" s="55">
        <v>0</v>
      </c>
    </row>
    <row r="1603" spans="1:48" x14ac:dyDescent="0.2">
      <c r="A1603" s="26" t="s">
        <v>2090</v>
      </c>
      <c r="C1603" s="26" t="s">
        <v>1803</v>
      </c>
      <c r="D1603" s="38" t="s">
        <v>1855</v>
      </c>
      <c r="E1603" s="38" t="s">
        <v>1854</v>
      </c>
      <c r="G1603" s="15" t="s">
        <v>2133</v>
      </c>
      <c r="AL1603" s="88">
        <f t="shared" si="501"/>
        <v>2</v>
      </c>
      <c r="AO1603" s="88">
        <v>2</v>
      </c>
      <c r="AP1603" s="55">
        <f t="shared" ref="AP1603:AP1605" si="502">SUM(AQ1603:AR1603)</f>
        <v>0</v>
      </c>
      <c r="AQ1603" s="55">
        <f>IFERROR(VLOOKUP(A1603,[1]SIIMPLES!$A$2:$F$418,6,FALSE),0)</f>
        <v>0</v>
      </c>
      <c r="AR1603" s="55">
        <v>0</v>
      </c>
      <c r="AS1603" s="55">
        <v>0</v>
      </c>
      <c r="AT1603" s="55">
        <v>0</v>
      </c>
      <c r="AU1603" s="55">
        <v>0</v>
      </c>
      <c r="AV1603" s="55">
        <v>0</v>
      </c>
    </row>
    <row r="1604" spans="1:48" x14ac:dyDescent="0.2">
      <c r="A1604" s="26" t="s">
        <v>2091</v>
      </c>
      <c r="C1604" s="26" t="s">
        <v>1851</v>
      </c>
      <c r="D1604" s="38" t="s">
        <v>2134</v>
      </c>
      <c r="E1604" s="38" t="s">
        <v>1854</v>
      </c>
      <c r="G1604" s="15" t="s">
        <v>2135</v>
      </c>
      <c r="AL1604" s="88">
        <f t="shared" si="501"/>
        <v>2</v>
      </c>
      <c r="AO1604" s="88">
        <v>2</v>
      </c>
      <c r="AP1604" s="55">
        <f t="shared" si="502"/>
        <v>0</v>
      </c>
      <c r="AQ1604" s="55">
        <f>IFERROR(VLOOKUP(A1604,[1]SIIMPLES!$A$2:$F$418,6,FALSE),0)</f>
        <v>0</v>
      </c>
      <c r="AR1604" s="55">
        <v>0</v>
      </c>
      <c r="AS1604" s="55">
        <v>0</v>
      </c>
      <c r="AT1604" s="55">
        <v>0</v>
      </c>
      <c r="AU1604" s="55">
        <v>0</v>
      </c>
      <c r="AV1604" s="55">
        <v>0</v>
      </c>
    </row>
    <row r="1605" spans="1:48" x14ac:dyDescent="0.2">
      <c r="A1605" s="26" t="s">
        <v>2088</v>
      </c>
      <c r="C1605" s="26" t="s">
        <v>1851</v>
      </c>
      <c r="D1605" s="38" t="s">
        <v>1902</v>
      </c>
      <c r="E1605" s="38" t="s">
        <v>1854</v>
      </c>
      <c r="G1605" s="15" t="s">
        <v>2136</v>
      </c>
      <c r="AL1605" s="88">
        <f t="shared" si="501"/>
        <v>2</v>
      </c>
      <c r="AO1605" s="88">
        <v>2</v>
      </c>
      <c r="AP1605" s="55">
        <f t="shared" si="502"/>
        <v>0</v>
      </c>
      <c r="AQ1605" s="55">
        <f>IFERROR(VLOOKUP(A1605,[1]SIIMPLES!$A$2:$F$418,6,FALSE),0)</f>
        <v>0</v>
      </c>
      <c r="AR1605" s="55">
        <v>0</v>
      </c>
      <c r="AS1605" s="55">
        <v>0</v>
      </c>
      <c r="AT1605" s="55">
        <v>0</v>
      </c>
      <c r="AU1605" s="55">
        <v>0</v>
      </c>
      <c r="AV1605" s="55">
        <v>0</v>
      </c>
    </row>
    <row r="1608" spans="1:48" x14ac:dyDescent="0.2">
      <c r="A1608" s="103"/>
    </row>
    <row r="1609" spans="1:48" x14ac:dyDescent="0.2">
      <c r="A1609" s="103"/>
    </row>
    <row r="1045538" spans="1:7" x14ac:dyDescent="0.2">
      <c r="A1045538" s="32"/>
      <c r="B1045538" s="2"/>
      <c r="C1045538" s="78"/>
      <c r="D1045538" s="78"/>
      <c r="G1045538" s="78"/>
    </row>
  </sheetData>
  <sortState xmlns:xlrd2="http://schemas.microsoft.com/office/spreadsheetml/2017/richdata2" ref="A1517:A1607">
    <sortCondition ref="A1517"/>
  </sortState>
  <conditionalFormatting sqref="A3">
    <cfRule type="duplicateValues" dxfId="7" priority="1"/>
    <cfRule type="duplicateValues" dxfId="6" priority="2"/>
  </conditionalFormatting>
  <conditionalFormatting sqref="A4:A1048576 A1:A2">
    <cfRule type="duplicateValues" dxfId="5" priority="5"/>
  </conditionalFormatting>
  <conditionalFormatting sqref="A1328:A1338">
    <cfRule type="duplicateValues" dxfId="4" priority="7"/>
  </conditionalFormatting>
  <conditionalFormatting sqref="A1339:A1048576 A1:A2 A4:A1327">
    <cfRule type="duplicateValues" dxfId="3" priority="12"/>
  </conditionalFormatting>
  <conditionalFormatting sqref="C2">
    <cfRule type="duplicateValues" dxfId="2" priority="6"/>
  </conditionalFormatting>
  <pageMargins left="0" right="0" top="0.39370078740157483" bottom="0.39370078740157483" header="0.31496062992125984" footer="0.19685039370078741"/>
  <pageSetup paperSize="9" scale="83" fitToHeight="0" orientation="landscape" horizontalDpi="203" verticalDpi="203" r:id="rId1"/>
  <headerFooter>
    <oddFooter>&amp;R&amp;P</oddFooter>
  </headerFooter>
  <ignoredErrors>
    <ignoredError sqref="BB1" formula="1"/>
  </ignoredErrors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2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'2024'!I1168:AX1168</xm:f>
              <xm:sqref>H1168</xm:sqref>
            </x14:sparkline>
            <x14:sparkline>
              <xm:f>'2024'!I3:AX3</xm:f>
              <xm:sqref>H3</xm:sqref>
            </x14:sparkline>
            <x14:sparkline>
              <xm:f>'2024'!I5:AX5</xm:f>
              <xm:sqref>H5</xm:sqref>
            </x14:sparkline>
            <x14:sparkline>
              <xm:f>'2024'!I6:AX6</xm:f>
              <xm:sqref>H6</xm:sqref>
            </x14:sparkline>
            <x14:sparkline>
              <xm:f>'2024'!I7:AX7</xm:f>
              <xm:sqref>H7</xm:sqref>
            </x14:sparkline>
            <x14:sparkline>
              <xm:f>'2024'!I8:AX8</xm:f>
              <xm:sqref>H8</xm:sqref>
            </x14:sparkline>
            <x14:sparkline>
              <xm:f>'2024'!I9:AX9</xm:f>
              <xm:sqref>H9</xm:sqref>
            </x14:sparkline>
            <x14:sparkline>
              <xm:f>'2024'!I10:AX10</xm:f>
              <xm:sqref>H10</xm:sqref>
            </x14:sparkline>
            <x14:sparkline>
              <xm:f>'2024'!I11:AX11</xm:f>
              <xm:sqref>H11</xm:sqref>
            </x14:sparkline>
            <x14:sparkline>
              <xm:f>'2024'!I12:AX12</xm:f>
              <xm:sqref>H12</xm:sqref>
            </x14:sparkline>
            <x14:sparkline>
              <xm:f>'2024'!I13:AX13</xm:f>
              <xm:sqref>H13</xm:sqref>
            </x14:sparkline>
            <x14:sparkline>
              <xm:f>'2024'!I14:AX14</xm:f>
              <xm:sqref>H14</xm:sqref>
            </x14:sparkline>
            <x14:sparkline>
              <xm:f>'2024'!I15:AX15</xm:f>
              <xm:sqref>H15</xm:sqref>
            </x14:sparkline>
            <x14:sparkline>
              <xm:f>'2024'!I16:AX16</xm:f>
              <xm:sqref>H16</xm:sqref>
            </x14:sparkline>
            <x14:sparkline>
              <xm:f>'2024'!I17:AX17</xm:f>
              <xm:sqref>H17</xm:sqref>
            </x14:sparkline>
            <x14:sparkline>
              <xm:f>'2024'!I18:AX18</xm:f>
              <xm:sqref>H18</xm:sqref>
            </x14:sparkline>
            <x14:sparkline>
              <xm:f>'2024'!I19:AX19</xm:f>
              <xm:sqref>H19</xm:sqref>
            </x14:sparkline>
            <x14:sparkline>
              <xm:f>'2024'!I20:AX20</xm:f>
              <xm:sqref>H20</xm:sqref>
            </x14:sparkline>
            <x14:sparkline>
              <xm:f>'2024'!I21:AX21</xm:f>
              <xm:sqref>H21</xm:sqref>
            </x14:sparkline>
            <x14:sparkline>
              <xm:f>'2024'!I22:AX22</xm:f>
              <xm:sqref>H22</xm:sqref>
            </x14:sparkline>
            <x14:sparkline>
              <xm:f>'2024'!I23:AX23</xm:f>
              <xm:sqref>H23</xm:sqref>
            </x14:sparkline>
            <x14:sparkline>
              <xm:f>'2024'!I24:AX24</xm:f>
              <xm:sqref>H24</xm:sqref>
            </x14:sparkline>
            <x14:sparkline>
              <xm:f>'2024'!I25:AX25</xm:f>
              <xm:sqref>H25</xm:sqref>
            </x14:sparkline>
            <x14:sparkline>
              <xm:f>'2024'!I29:AX29</xm:f>
              <xm:sqref>H29</xm:sqref>
            </x14:sparkline>
            <x14:sparkline>
              <xm:f>'2024'!I30:AX30</xm:f>
              <xm:sqref>H30</xm:sqref>
            </x14:sparkline>
            <x14:sparkline>
              <xm:f>'2024'!I31:AX31</xm:f>
              <xm:sqref>H31</xm:sqref>
            </x14:sparkline>
            <x14:sparkline>
              <xm:f>'2024'!I37:AX37</xm:f>
              <xm:sqref>H37</xm:sqref>
            </x14:sparkline>
            <x14:sparkline>
              <xm:f>'2024'!I38:AX38</xm:f>
              <xm:sqref>H38</xm:sqref>
            </x14:sparkline>
            <x14:sparkline>
              <xm:f>'2024'!I39:AX39</xm:f>
              <xm:sqref>H39</xm:sqref>
            </x14:sparkline>
            <x14:sparkline>
              <xm:f>'2024'!I40:AX40</xm:f>
              <xm:sqref>H40</xm:sqref>
            </x14:sparkline>
            <x14:sparkline>
              <xm:f>'2024'!I41:AX41</xm:f>
              <xm:sqref>H41</xm:sqref>
            </x14:sparkline>
            <x14:sparkline>
              <xm:f>'2024'!I42:AX42</xm:f>
              <xm:sqref>H42</xm:sqref>
            </x14:sparkline>
            <x14:sparkline>
              <xm:f>'2024'!I43:AX43</xm:f>
              <xm:sqref>H43</xm:sqref>
            </x14:sparkline>
            <x14:sparkline>
              <xm:f>'2024'!I44:AX44</xm:f>
              <xm:sqref>H44</xm:sqref>
            </x14:sparkline>
            <x14:sparkline>
              <xm:f>'2024'!I56:AX56</xm:f>
              <xm:sqref>H56</xm:sqref>
            </x14:sparkline>
            <x14:sparkline>
              <xm:f>'2024'!I57:AX57</xm:f>
              <xm:sqref>H57</xm:sqref>
            </x14:sparkline>
            <x14:sparkline>
              <xm:f>'2024'!I58:AX58</xm:f>
              <xm:sqref>H58</xm:sqref>
            </x14:sparkline>
            <x14:sparkline>
              <xm:f>'2024'!I59:AX59</xm:f>
              <xm:sqref>H59</xm:sqref>
            </x14:sparkline>
            <x14:sparkline>
              <xm:f>'2024'!I63:AX63</xm:f>
              <xm:sqref>H63</xm:sqref>
            </x14:sparkline>
            <x14:sparkline>
              <xm:f>'2024'!I64:AX64</xm:f>
              <xm:sqref>H64</xm:sqref>
            </x14:sparkline>
            <x14:sparkline>
              <xm:f>'2024'!I65:AX65</xm:f>
              <xm:sqref>H65</xm:sqref>
            </x14:sparkline>
            <x14:sparkline>
              <xm:f>'2024'!I66:AX66</xm:f>
              <xm:sqref>H66</xm:sqref>
            </x14:sparkline>
            <x14:sparkline>
              <xm:f>'2024'!I67:AX67</xm:f>
              <xm:sqref>H67</xm:sqref>
            </x14:sparkline>
            <x14:sparkline>
              <xm:f>'2024'!I68:AX68</xm:f>
              <xm:sqref>H68</xm:sqref>
            </x14:sparkline>
            <x14:sparkline>
              <xm:f>'2024'!I69:AX69</xm:f>
              <xm:sqref>H69</xm:sqref>
            </x14:sparkline>
            <x14:sparkline>
              <xm:f>'2024'!I70:AX70</xm:f>
              <xm:sqref>H70</xm:sqref>
            </x14:sparkline>
            <x14:sparkline>
              <xm:f>'2024'!I71:AX71</xm:f>
              <xm:sqref>H71</xm:sqref>
            </x14:sparkline>
            <x14:sparkline>
              <xm:f>'2024'!I72:AX72</xm:f>
              <xm:sqref>H72</xm:sqref>
            </x14:sparkline>
            <x14:sparkline>
              <xm:f>'2024'!I73:AX73</xm:f>
              <xm:sqref>H73</xm:sqref>
            </x14:sparkline>
            <x14:sparkline>
              <xm:f>'2024'!I74:AX74</xm:f>
              <xm:sqref>H74</xm:sqref>
            </x14:sparkline>
            <x14:sparkline>
              <xm:f>'2024'!I75:AX75</xm:f>
              <xm:sqref>H75</xm:sqref>
            </x14:sparkline>
            <x14:sparkline>
              <xm:f>'2024'!I76:AX76</xm:f>
              <xm:sqref>H76</xm:sqref>
            </x14:sparkline>
            <x14:sparkline>
              <xm:f>'2024'!I77:AX77</xm:f>
              <xm:sqref>H77</xm:sqref>
            </x14:sparkline>
            <x14:sparkline>
              <xm:f>'2024'!I78:AX78</xm:f>
              <xm:sqref>H78</xm:sqref>
            </x14:sparkline>
            <x14:sparkline>
              <xm:f>'2024'!I79:AX79</xm:f>
              <xm:sqref>H79</xm:sqref>
            </x14:sparkline>
            <x14:sparkline>
              <xm:f>'2024'!I80:AX80</xm:f>
              <xm:sqref>H80</xm:sqref>
            </x14:sparkline>
            <x14:sparkline>
              <xm:f>'2024'!I81:AX81</xm:f>
              <xm:sqref>H81</xm:sqref>
            </x14:sparkline>
            <x14:sparkline>
              <xm:f>'2024'!I82:AX82</xm:f>
              <xm:sqref>H82</xm:sqref>
            </x14:sparkline>
            <x14:sparkline>
              <xm:f>'2024'!I83:AX83</xm:f>
              <xm:sqref>H83</xm:sqref>
            </x14:sparkline>
            <x14:sparkline>
              <xm:f>'2024'!I84:AX84</xm:f>
              <xm:sqref>H84</xm:sqref>
            </x14:sparkline>
            <x14:sparkline>
              <xm:f>'2024'!I85:AX85</xm:f>
              <xm:sqref>H85</xm:sqref>
            </x14:sparkline>
            <x14:sparkline>
              <xm:f>'2024'!I86:AX86</xm:f>
              <xm:sqref>H86</xm:sqref>
            </x14:sparkline>
            <x14:sparkline>
              <xm:f>'2024'!I87:AX87</xm:f>
              <xm:sqref>H87</xm:sqref>
            </x14:sparkline>
            <x14:sparkline>
              <xm:f>'2024'!I88:AX88</xm:f>
              <xm:sqref>H88</xm:sqref>
            </x14:sparkline>
            <x14:sparkline>
              <xm:f>'2024'!I89:AX89</xm:f>
              <xm:sqref>H89</xm:sqref>
            </x14:sparkline>
            <x14:sparkline>
              <xm:f>'2024'!I90:AX90</xm:f>
              <xm:sqref>H90</xm:sqref>
            </x14:sparkline>
            <x14:sparkline>
              <xm:f>'2024'!I91:AX91</xm:f>
              <xm:sqref>H91</xm:sqref>
            </x14:sparkline>
            <x14:sparkline>
              <xm:f>'2024'!I92:AX92</xm:f>
              <xm:sqref>H92</xm:sqref>
            </x14:sparkline>
            <x14:sparkline>
              <xm:f>'2024'!I93:AX93</xm:f>
              <xm:sqref>H93</xm:sqref>
            </x14:sparkline>
            <x14:sparkline>
              <xm:f>'2024'!I94:AX94</xm:f>
              <xm:sqref>H94</xm:sqref>
            </x14:sparkline>
            <x14:sparkline>
              <xm:f>'2024'!I95:AX95</xm:f>
              <xm:sqref>H95</xm:sqref>
            </x14:sparkline>
            <x14:sparkline>
              <xm:f>'2024'!I96:AX96</xm:f>
              <xm:sqref>H96</xm:sqref>
            </x14:sparkline>
            <x14:sparkline>
              <xm:f>'2024'!I97:AX97</xm:f>
              <xm:sqref>H97</xm:sqref>
            </x14:sparkline>
            <x14:sparkline>
              <xm:f>'2024'!I98:AX98</xm:f>
              <xm:sqref>H98</xm:sqref>
            </x14:sparkline>
            <x14:sparkline>
              <xm:f>'2024'!I99:AX99</xm:f>
              <xm:sqref>H99</xm:sqref>
            </x14:sparkline>
            <x14:sparkline>
              <xm:f>'2024'!I100:AX100</xm:f>
              <xm:sqref>H100</xm:sqref>
            </x14:sparkline>
            <x14:sparkline>
              <xm:f>'2024'!I101:AX101</xm:f>
              <xm:sqref>H101</xm:sqref>
            </x14:sparkline>
            <x14:sparkline>
              <xm:f>'2024'!I103:AX103</xm:f>
              <xm:sqref>H103</xm:sqref>
            </x14:sparkline>
            <x14:sparkline>
              <xm:f>'2024'!I104:AX104</xm:f>
              <xm:sqref>H104</xm:sqref>
            </x14:sparkline>
            <x14:sparkline>
              <xm:f>'2024'!I107:AX107</xm:f>
              <xm:sqref>H107</xm:sqref>
            </x14:sparkline>
            <x14:sparkline>
              <xm:f>'2024'!I108:AX108</xm:f>
              <xm:sqref>H108</xm:sqref>
            </x14:sparkline>
            <x14:sparkline>
              <xm:f>'2024'!I109:AX109</xm:f>
              <xm:sqref>H109</xm:sqref>
            </x14:sparkline>
            <x14:sparkline>
              <xm:f>'2024'!I110:AX110</xm:f>
              <xm:sqref>H110</xm:sqref>
            </x14:sparkline>
            <x14:sparkline>
              <xm:f>'2024'!I111:AX111</xm:f>
              <xm:sqref>H111</xm:sqref>
            </x14:sparkline>
            <x14:sparkline>
              <xm:f>'2024'!I112:AX112</xm:f>
              <xm:sqref>H112</xm:sqref>
            </x14:sparkline>
            <x14:sparkline>
              <xm:f>'2024'!I115:AX115</xm:f>
              <xm:sqref>H115</xm:sqref>
            </x14:sparkline>
            <x14:sparkline>
              <xm:f>'2024'!I116:AX116</xm:f>
              <xm:sqref>H116</xm:sqref>
            </x14:sparkline>
            <x14:sparkline>
              <xm:f>'2024'!I117:AX117</xm:f>
              <xm:sqref>H117</xm:sqref>
            </x14:sparkline>
            <x14:sparkline>
              <xm:f>'2024'!I118:AX118</xm:f>
              <xm:sqref>H118</xm:sqref>
            </x14:sparkline>
            <x14:sparkline>
              <xm:f>'2024'!I119:AX119</xm:f>
              <xm:sqref>H119</xm:sqref>
            </x14:sparkline>
            <x14:sparkline>
              <xm:f>'2024'!I120:AX120</xm:f>
              <xm:sqref>H120</xm:sqref>
            </x14:sparkline>
            <x14:sparkline>
              <xm:f>'2024'!I124:AX124</xm:f>
              <xm:sqref>H124</xm:sqref>
            </x14:sparkline>
            <x14:sparkline>
              <xm:f>'2024'!I125:AX125</xm:f>
              <xm:sqref>H125</xm:sqref>
            </x14:sparkline>
            <x14:sparkline>
              <xm:f>'2024'!I126:AX126</xm:f>
              <xm:sqref>H126</xm:sqref>
            </x14:sparkline>
            <x14:sparkline>
              <xm:f>'2024'!I127:AX127</xm:f>
              <xm:sqref>H127</xm:sqref>
            </x14:sparkline>
            <x14:sparkline>
              <xm:f>'2024'!I128:AX128</xm:f>
              <xm:sqref>H128</xm:sqref>
            </x14:sparkline>
            <x14:sparkline>
              <xm:f>'2024'!I133:AX133</xm:f>
              <xm:sqref>H133</xm:sqref>
            </x14:sparkline>
            <x14:sparkline>
              <xm:f>'2024'!I134:AX134</xm:f>
              <xm:sqref>H134</xm:sqref>
            </x14:sparkline>
            <x14:sparkline>
              <xm:f>'2024'!I135:AX135</xm:f>
              <xm:sqref>H135</xm:sqref>
            </x14:sparkline>
            <x14:sparkline>
              <xm:f>'2024'!I136:AX136</xm:f>
              <xm:sqref>H136</xm:sqref>
            </x14:sparkline>
            <x14:sparkline>
              <xm:f>'2024'!I137:AX137</xm:f>
              <xm:sqref>H137</xm:sqref>
            </x14:sparkline>
            <x14:sparkline>
              <xm:f>'2024'!I138:AX138</xm:f>
              <xm:sqref>H138</xm:sqref>
            </x14:sparkline>
            <x14:sparkline>
              <xm:f>'2024'!I139:AX139</xm:f>
              <xm:sqref>H139</xm:sqref>
            </x14:sparkline>
            <x14:sparkline>
              <xm:f>'2024'!I140:AX140</xm:f>
              <xm:sqref>H140</xm:sqref>
            </x14:sparkline>
            <x14:sparkline>
              <xm:f>'2024'!I141:AX141</xm:f>
              <xm:sqref>H141</xm:sqref>
            </x14:sparkline>
            <x14:sparkline>
              <xm:f>'2024'!I142:AX142</xm:f>
              <xm:sqref>H142</xm:sqref>
            </x14:sparkline>
            <x14:sparkline>
              <xm:f>'2024'!I143:AX143</xm:f>
              <xm:sqref>H143</xm:sqref>
            </x14:sparkline>
            <x14:sparkline>
              <xm:f>'2024'!I150:AX150</xm:f>
              <xm:sqref>H150</xm:sqref>
            </x14:sparkline>
            <x14:sparkline>
              <xm:f>'2024'!I151:AX151</xm:f>
              <xm:sqref>H151</xm:sqref>
            </x14:sparkline>
            <x14:sparkline>
              <xm:f>'2024'!I152:AX152</xm:f>
              <xm:sqref>H152</xm:sqref>
            </x14:sparkline>
            <x14:sparkline>
              <xm:f>'2024'!I153:AX153</xm:f>
              <xm:sqref>H153</xm:sqref>
            </x14:sparkline>
            <x14:sparkline>
              <xm:f>'2024'!I154:AX154</xm:f>
              <xm:sqref>H154</xm:sqref>
            </x14:sparkline>
            <x14:sparkline>
              <xm:f>'2024'!I155:AX155</xm:f>
              <xm:sqref>H155</xm:sqref>
            </x14:sparkline>
            <x14:sparkline>
              <xm:f>'2024'!I156:AX156</xm:f>
              <xm:sqref>H156</xm:sqref>
            </x14:sparkline>
            <x14:sparkline>
              <xm:f>'2024'!I157:AX157</xm:f>
              <xm:sqref>H157</xm:sqref>
            </x14:sparkline>
            <x14:sparkline>
              <xm:f>'2024'!I158:AX158</xm:f>
              <xm:sqref>H158</xm:sqref>
            </x14:sparkline>
            <x14:sparkline>
              <xm:f>'2024'!I159:AX159</xm:f>
              <xm:sqref>H159</xm:sqref>
            </x14:sparkline>
            <x14:sparkline>
              <xm:f>'2024'!I160:AX160</xm:f>
              <xm:sqref>H160</xm:sqref>
            </x14:sparkline>
            <x14:sparkline>
              <xm:f>'2024'!I176:AX176</xm:f>
              <xm:sqref>H176</xm:sqref>
            </x14:sparkline>
            <x14:sparkline>
              <xm:f>'2024'!I177:AX177</xm:f>
              <xm:sqref>H177</xm:sqref>
            </x14:sparkline>
            <x14:sparkline>
              <xm:f>'2024'!I178:AX178</xm:f>
              <xm:sqref>H178</xm:sqref>
            </x14:sparkline>
            <x14:sparkline>
              <xm:f>'2024'!I179:AX179</xm:f>
              <xm:sqref>H179</xm:sqref>
            </x14:sparkline>
            <x14:sparkline>
              <xm:f>'2024'!I180:AX180</xm:f>
              <xm:sqref>H180</xm:sqref>
            </x14:sparkline>
            <x14:sparkline>
              <xm:f>'2024'!I181:AX181</xm:f>
              <xm:sqref>H181</xm:sqref>
            </x14:sparkline>
            <x14:sparkline>
              <xm:f>'2024'!I182:AX182</xm:f>
              <xm:sqref>H182</xm:sqref>
            </x14:sparkline>
            <x14:sparkline>
              <xm:f>'2024'!I183:AX183</xm:f>
              <xm:sqref>H183</xm:sqref>
            </x14:sparkline>
            <x14:sparkline>
              <xm:f>'2024'!I184:AX184</xm:f>
              <xm:sqref>H184</xm:sqref>
            </x14:sparkline>
            <x14:sparkline>
              <xm:f>'2024'!I185:AX185</xm:f>
              <xm:sqref>H185</xm:sqref>
            </x14:sparkline>
            <x14:sparkline>
              <xm:f>'2024'!I186:AX186</xm:f>
              <xm:sqref>H186</xm:sqref>
            </x14:sparkline>
            <x14:sparkline>
              <xm:f>'2024'!I187:AX187</xm:f>
              <xm:sqref>H187</xm:sqref>
            </x14:sparkline>
            <x14:sparkline>
              <xm:f>'2024'!I188:AX188</xm:f>
              <xm:sqref>H188</xm:sqref>
            </x14:sparkline>
            <x14:sparkline>
              <xm:f>'2024'!I189:AX189</xm:f>
              <xm:sqref>H189</xm:sqref>
            </x14:sparkline>
            <x14:sparkline>
              <xm:f>'2024'!I190:AX190</xm:f>
              <xm:sqref>H190</xm:sqref>
            </x14:sparkline>
            <x14:sparkline>
              <xm:f>'2024'!I191:AX191</xm:f>
              <xm:sqref>H191</xm:sqref>
            </x14:sparkline>
            <x14:sparkline>
              <xm:f>'2024'!I192:AX192</xm:f>
              <xm:sqref>H192</xm:sqref>
            </x14:sparkline>
            <x14:sparkline>
              <xm:f>'2024'!I218:AX218</xm:f>
              <xm:sqref>H218</xm:sqref>
            </x14:sparkline>
            <x14:sparkline>
              <xm:f>'2024'!I219:AX219</xm:f>
              <xm:sqref>H219</xm:sqref>
            </x14:sparkline>
            <x14:sparkline>
              <xm:f>'2024'!I220:AX220</xm:f>
              <xm:sqref>H220</xm:sqref>
            </x14:sparkline>
            <x14:sparkline>
              <xm:f>'2024'!I221:AX221</xm:f>
              <xm:sqref>H221</xm:sqref>
            </x14:sparkline>
            <x14:sparkline>
              <xm:f>'2024'!I222:AX222</xm:f>
              <xm:sqref>H222</xm:sqref>
            </x14:sparkline>
            <x14:sparkline>
              <xm:f>'2024'!I223:AX223</xm:f>
              <xm:sqref>H223</xm:sqref>
            </x14:sparkline>
            <x14:sparkline>
              <xm:f>'2024'!I224:AX224</xm:f>
              <xm:sqref>H224</xm:sqref>
            </x14:sparkline>
            <x14:sparkline>
              <xm:f>'2024'!I225:AX225</xm:f>
              <xm:sqref>H225</xm:sqref>
            </x14:sparkline>
            <x14:sparkline>
              <xm:f>'2024'!I226:AX226</xm:f>
              <xm:sqref>H226</xm:sqref>
            </x14:sparkline>
            <x14:sparkline>
              <xm:f>'2024'!I227:AX227</xm:f>
              <xm:sqref>H227</xm:sqref>
            </x14:sparkline>
            <x14:sparkline>
              <xm:f>'2024'!I228:AX228</xm:f>
              <xm:sqref>H228</xm:sqref>
            </x14:sparkline>
            <x14:sparkline>
              <xm:f>'2024'!I229:AX229</xm:f>
              <xm:sqref>H229</xm:sqref>
            </x14:sparkline>
            <x14:sparkline>
              <xm:f>'2024'!I230:AX230</xm:f>
              <xm:sqref>H230</xm:sqref>
            </x14:sparkline>
            <x14:sparkline>
              <xm:f>'2024'!I231:AX231</xm:f>
              <xm:sqref>H231</xm:sqref>
            </x14:sparkline>
            <x14:sparkline>
              <xm:f>'2024'!I232:AX232</xm:f>
              <xm:sqref>H232</xm:sqref>
            </x14:sparkline>
            <x14:sparkline>
              <xm:f>'2024'!I233:AX233</xm:f>
              <xm:sqref>H233</xm:sqref>
            </x14:sparkline>
            <x14:sparkline>
              <xm:f>'2024'!I234:AX234</xm:f>
              <xm:sqref>H234</xm:sqref>
            </x14:sparkline>
            <x14:sparkline>
              <xm:f>'2024'!I235:AX235</xm:f>
              <xm:sqref>H235</xm:sqref>
            </x14:sparkline>
            <x14:sparkline>
              <xm:f>'2024'!I236:AX236</xm:f>
              <xm:sqref>H236</xm:sqref>
            </x14:sparkline>
            <x14:sparkline>
              <xm:f>'2024'!I237:AX237</xm:f>
              <xm:sqref>H237</xm:sqref>
            </x14:sparkline>
            <x14:sparkline>
              <xm:f>'2024'!I238:AX238</xm:f>
              <xm:sqref>H238</xm:sqref>
            </x14:sparkline>
            <x14:sparkline>
              <xm:f>'2024'!I239:AX239</xm:f>
              <xm:sqref>H239</xm:sqref>
            </x14:sparkline>
            <x14:sparkline>
              <xm:f>'2024'!I240:AX240</xm:f>
              <xm:sqref>H240</xm:sqref>
            </x14:sparkline>
            <x14:sparkline>
              <xm:f>'2024'!I241:AX241</xm:f>
              <xm:sqref>H241</xm:sqref>
            </x14:sparkline>
            <x14:sparkline>
              <xm:f>'2024'!I242:AX242</xm:f>
              <xm:sqref>H242</xm:sqref>
            </x14:sparkline>
            <x14:sparkline>
              <xm:f>'2024'!I243:AX243</xm:f>
              <xm:sqref>H243</xm:sqref>
            </x14:sparkline>
            <x14:sparkline>
              <xm:f>'2024'!I244:AX244</xm:f>
              <xm:sqref>H244</xm:sqref>
            </x14:sparkline>
            <x14:sparkline>
              <xm:f>'2024'!I245:AX245</xm:f>
              <xm:sqref>H245</xm:sqref>
            </x14:sparkline>
            <x14:sparkline>
              <xm:f>'2024'!I246:AX246</xm:f>
              <xm:sqref>H246</xm:sqref>
            </x14:sparkline>
            <x14:sparkline>
              <xm:f>'2024'!I247:AX247</xm:f>
              <xm:sqref>H247</xm:sqref>
            </x14:sparkline>
            <x14:sparkline>
              <xm:f>'2024'!I248:AX248</xm:f>
              <xm:sqref>H248</xm:sqref>
            </x14:sparkline>
            <x14:sparkline>
              <xm:f>'2024'!I249:AX249</xm:f>
              <xm:sqref>H249</xm:sqref>
            </x14:sparkline>
            <x14:sparkline>
              <xm:f>'2024'!I250:AX250</xm:f>
              <xm:sqref>H250</xm:sqref>
            </x14:sparkline>
            <x14:sparkline>
              <xm:f>'2024'!I251:AX251</xm:f>
              <xm:sqref>H251</xm:sqref>
            </x14:sparkline>
            <x14:sparkline>
              <xm:f>'2024'!I252:AX252</xm:f>
              <xm:sqref>H252</xm:sqref>
            </x14:sparkline>
            <x14:sparkline>
              <xm:f>'2024'!I253:AX253</xm:f>
              <xm:sqref>H253</xm:sqref>
            </x14:sparkline>
            <x14:sparkline>
              <xm:f>'2024'!I315:AX315</xm:f>
              <xm:sqref>H315</xm:sqref>
            </x14:sparkline>
            <x14:sparkline>
              <xm:f>'2024'!I316:AX316</xm:f>
              <xm:sqref>H316</xm:sqref>
            </x14:sparkline>
            <x14:sparkline>
              <xm:f>'2024'!I317:AX317</xm:f>
              <xm:sqref>H317</xm:sqref>
            </x14:sparkline>
            <x14:sparkline>
              <xm:f>'2024'!I318:AX318</xm:f>
              <xm:sqref>H318</xm:sqref>
            </x14:sparkline>
            <x14:sparkline>
              <xm:f>'2024'!I319:AX319</xm:f>
              <xm:sqref>H319</xm:sqref>
            </x14:sparkline>
            <x14:sparkline>
              <xm:f>'2024'!I320:AX320</xm:f>
              <xm:sqref>H320</xm:sqref>
            </x14:sparkline>
            <x14:sparkline>
              <xm:f>'2024'!I321:AX321</xm:f>
              <xm:sqref>H321</xm:sqref>
            </x14:sparkline>
            <x14:sparkline>
              <xm:f>'2024'!I322:AX322</xm:f>
              <xm:sqref>H322</xm:sqref>
            </x14:sparkline>
            <x14:sparkline>
              <xm:f>'2024'!I323:AX323</xm:f>
              <xm:sqref>H323</xm:sqref>
            </x14:sparkline>
            <x14:sparkline>
              <xm:f>'2024'!I324:AX324</xm:f>
              <xm:sqref>H324</xm:sqref>
            </x14:sparkline>
            <x14:sparkline>
              <xm:f>'2024'!I325:AX325</xm:f>
              <xm:sqref>H325</xm:sqref>
            </x14:sparkline>
            <x14:sparkline>
              <xm:f>'2024'!I326:AX326</xm:f>
              <xm:sqref>H326</xm:sqref>
            </x14:sparkline>
            <x14:sparkline>
              <xm:f>'2024'!I327:AX327</xm:f>
              <xm:sqref>H327</xm:sqref>
            </x14:sparkline>
            <x14:sparkline>
              <xm:f>'2024'!I328:AX328</xm:f>
              <xm:sqref>H328</xm:sqref>
            </x14:sparkline>
            <x14:sparkline>
              <xm:f>'2024'!I329:AX329</xm:f>
              <xm:sqref>H329</xm:sqref>
            </x14:sparkline>
            <x14:sparkline>
              <xm:f>'2024'!I330:AX330</xm:f>
              <xm:sqref>H330</xm:sqref>
            </x14:sparkline>
            <x14:sparkline>
              <xm:f>'2024'!I331:AX331</xm:f>
              <xm:sqref>H331</xm:sqref>
            </x14:sparkline>
            <x14:sparkline>
              <xm:f>'2024'!I332:AX332</xm:f>
              <xm:sqref>H332</xm:sqref>
            </x14:sparkline>
            <x14:sparkline>
              <xm:f>'2024'!I333:AX333</xm:f>
              <xm:sqref>H333</xm:sqref>
            </x14:sparkline>
            <x14:sparkline>
              <xm:f>'2024'!I334:AX334</xm:f>
              <xm:sqref>H334</xm:sqref>
            </x14:sparkline>
            <x14:sparkline>
              <xm:f>'2024'!I335:AX335</xm:f>
              <xm:sqref>H335</xm:sqref>
            </x14:sparkline>
            <x14:sparkline>
              <xm:f>'2024'!I336:AX336</xm:f>
              <xm:sqref>H336</xm:sqref>
            </x14:sparkline>
            <x14:sparkline>
              <xm:f>'2024'!I337:AX337</xm:f>
              <xm:sqref>H337</xm:sqref>
            </x14:sparkline>
            <x14:sparkline>
              <xm:f>'2024'!I338:AX338</xm:f>
              <xm:sqref>H338</xm:sqref>
            </x14:sparkline>
            <x14:sparkline>
              <xm:f>'2024'!I339:AX339</xm:f>
              <xm:sqref>H339</xm:sqref>
            </x14:sparkline>
            <x14:sparkline>
              <xm:f>'2024'!I340:AX340</xm:f>
              <xm:sqref>H340</xm:sqref>
            </x14:sparkline>
            <x14:sparkline>
              <xm:f>'2024'!I341:AX341</xm:f>
              <xm:sqref>H341</xm:sqref>
            </x14:sparkline>
            <x14:sparkline>
              <xm:f>'2024'!I342:AX342</xm:f>
              <xm:sqref>H342</xm:sqref>
            </x14:sparkline>
            <x14:sparkline>
              <xm:f>'2024'!I343:AX343</xm:f>
              <xm:sqref>H343</xm:sqref>
            </x14:sparkline>
            <x14:sparkline>
              <xm:f>'2024'!I344:AX344</xm:f>
              <xm:sqref>H344</xm:sqref>
            </x14:sparkline>
            <x14:sparkline>
              <xm:f>'2024'!I345:AX345</xm:f>
              <xm:sqref>H345</xm:sqref>
            </x14:sparkline>
            <x14:sparkline>
              <xm:f>'2024'!I346:AX346</xm:f>
              <xm:sqref>H346</xm:sqref>
            </x14:sparkline>
            <x14:sparkline>
              <xm:f>'2024'!I347:AX347</xm:f>
              <xm:sqref>H347</xm:sqref>
            </x14:sparkline>
            <x14:sparkline>
              <xm:f>'2024'!I348:AX348</xm:f>
              <xm:sqref>H348</xm:sqref>
            </x14:sparkline>
            <x14:sparkline>
              <xm:f>'2024'!I349:AX349</xm:f>
              <xm:sqref>H349</xm:sqref>
            </x14:sparkline>
            <x14:sparkline>
              <xm:f>'2024'!I350:AX350</xm:f>
              <xm:sqref>H350</xm:sqref>
            </x14:sparkline>
            <x14:sparkline>
              <xm:f>'2024'!I351:AX351</xm:f>
              <xm:sqref>H351</xm:sqref>
            </x14:sparkline>
            <x14:sparkline>
              <xm:f>'2024'!I352:AX352</xm:f>
              <xm:sqref>H352</xm:sqref>
            </x14:sparkline>
            <x14:sparkline>
              <xm:f>'2024'!I353:AX353</xm:f>
              <xm:sqref>H353</xm:sqref>
            </x14:sparkline>
            <x14:sparkline>
              <xm:f>'2024'!I354:AX354</xm:f>
              <xm:sqref>H354</xm:sqref>
            </x14:sparkline>
            <x14:sparkline>
              <xm:f>'2024'!I355:AX355</xm:f>
              <xm:sqref>H355</xm:sqref>
            </x14:sparkline>
            <x14:sparkline>
              <xm:f>'2024'!I356:AX356</xm:f>
              <xm:sqref>H356</xm:sqref>
            </x14:sparkline>
            <x14:sparkline>
              <xm:f>'2024'!I357:AX357</xm:f>
              <xm:sqref>H357</xm:sqref>
            </x14:sparkline>
            <x14:sparkline>
              <xm:f>'2024'!I358:AX358</xm:f>
              <xm:sqref>H358</xm:sqref>
            </x14:sparkline>
            <x14:sparkline>
              <xm:f>'2024'!I359:AX359</xm:f>
              <xm:sqref>H359</xm:sqref>
            </x14:sparkline>
            <x14:sparkline>
              <xm:f>'2024'!I360:AX360</xm:f>
              <xm:sqref>H360</xm:sqref>
            </x14:sparkline>
            <x14:sparkline>
              <xm:f>'2024'!I361:AX361</xm:f>
              <xm:sqref>H361</xm:sqref>
            </x14:sparkline>
            <x14:sparkline>
              <xm:f>'2024'!I362:AX362</xm:f>
              <xm:sqref>H362</xm:sqref>
            </x14:sparkline>
            <x14:sparkline>
              <xm:f>'2024'!I363:AX363</xm:f>
              <xm:sqref>H363</xm:sqref>
            </x14:sparkline>
            <x14:sparkline>
              <xm:f>'2024'!I364:AX364</xm:f>
              <xm:sqref>H364</xm:sqref>
            </x14:sparkline>
            <x14:sparkline>
              <xm:f>'2024'!I365:AX365</xm:f>
              <xm:sqref>H365</xm:sqref>
            </x14:sparkline>
            <x14:sparkline>
              <xm:f>'2024'!I366:AX366</xm:f>
              <xm:sqref>H366</xm:sqref>
            </x14:sparkline>
            <x14:sparkline>
              <xm:f>'2024'!I367:AX367</xm:f>
              <xm:sqref>H367</xm:sqref>
            </x14:sparkline>
            <x14:sparkline>
              <xm:f>'2024'!I368:AX368</xm:f>
              <xm:sqref>H368</xm:sqref>
            </x14:sparkline>
            <x14:sparkline>
              <xm:f>'2024'!I369:AX369</xm:f>
              <xm:sqref>H369</xm:sqref>
            </x14:sparkline>
            <x14:sparkline>
              <xm:f>'2024'!I370:AX370</xm:f>
              <xm:sqref>H370</xm:sqref>
            </x14:sparkline>
            <x14:sparkline>
              <xm:f>'2024'!I371:AX371</xm:f>
              <xm:sqref>H371</xm:sqref>
            </x14:sparkline>
            <x14:sparkline>
              <xm:f>'2024'!I372:AX372</xm:f>
              <xm:sqref>H372</xm:sqref>
            </x14:sparkline>
            <x14:sparkline>
              <xm:f>'2024'!I373:AX373</xm:f>
              <xm:sqref>H373</xm:sqref>
            </x14:sparkline>
            <x14:sparkline>
              <xm:f>'2024'!I374:AX374</xm:f>
              <xm:sqref>H374</xm:sqref>
            </x14:sparkline>
            <x14:sparkline>
              <xm:f>'2024'!I375:AX375</xm:f>
              <xm:sqref>H375</xm:sqref>
            </x14:sparkline>
            <x14:sparkline>
              <xm:f>'2024'!I376:AX376</xm:f>
              <xm:sqref>H376</xm:sqref>
            </x14:sparkline>
            <x14:sparkline>
              <xm:f>'2024'!I377:AX377</xm:f>
              <xm:sqref>H377</xm:sqref>
            </x14:sparkline>
            <x14:sparkline>
              <xm:f>'2024'!I378:AX378</xm:f>
              <xm:sqref>H378</xm:sqref>
            </x14:sparkline>
            <x14:sparkline>
              <xm:f>'2024'!I379:AX379</xm:f>
              <xm:sqref>H379</xm:sqref>
            </x14:sparkline>
            <x14:sparkline>
              <xm:f>'2024'!I380:AX380</xm:f>
              <xm:sqref>H380</xm:sqref>
            </x14:sparkline>
            <x14:sparkline>
              <xm:f>'2024'!I381:AX381</xm:f>
              <xm:sqref>H381</xm:sqref>
            </x14:sparkline>
            <x14:sparkline>
              <xm:f>'2024'!I382:AX382</xm:f>
              <xm:sqref>H382</xm:sqref>
            </x14:sparkline>
            <x14:sparkline>
              <xm:f>'2024'!I383:AX383</xm:f>
              <xm:sqref>H383</xm:sqref>
            </x14:sparkline>
            <x14:sparkline>
              <xm:f>'2024'!I384:AX384</xm:f>
              <xm:sqref>H384</xm:sqref>
            </x14:sparkline>
            <x14:sparkline>
              <xm:f>'2024'!I385:AX385</xm:f>
              <xm:sqref>H385</xm:sqref>
            </x14:sparkline>
            <x14:sparkline>
              <xm:f>'2024'!I386:AX386</xm:f>
              <xm:sqref>H386</xm:sqref>
            </x14:sparkline>
            <x14:sparkline>
              <xm:f>'2024'!I387:AX387</xm:f>
              <xm:sqref>H387</xm:sqref>
            </x14:sparkline>
            <x14:sparkline>
              <xm:f>'2024'!I388:AX388</xm:f>
              <xm:sqref>H388</xm:sqref>
            </x14:sparkline>
            <x14:sparkline>
              <xm:f>'2024'!I389:AX389</xm:f>
              <xm:sqref>H389</xm:sqref>
            </x14:sparkline>
            <x14:sparkline>
              <xm:f>'2024'!I390:AX390</xm:f>
              <xm:sqref>H390</xm:sqref>
            </x14:sparkline>
            <x14:sparkline>
              <xm:f>'2024'!I391:AX391</xm:f>
              <xm:sqref>H391</xm:sqref>
            </x14:sparkline>
            <x14:sparkline>
              <xm:f>'2024'!I392:AX392</xm:f>
              <xm:sqref>H392</xm:sqref>
            </x14:sparkline>
            <x14:sparkline>
              <xm:f>'2024'!I393:AX393</xm:f>
              <xm:sqref>H393</xm:sqref>
            </x14:sparkline>
            <x14:sparkline>
              <xm:f>'2024'!I394:AX394</xm:f>
              <xm:sqref>H394</xm:sqref>
            </x14:sparkline>
            <x14:sparkline>
              <xm:f>'2024'!I395:AX395</xm:f>
              <xm:sqref>H395</xm:sqref>
            </x14:sparkline>
            <x14:sparkline>
              <xm:f>'2024'!I396:AX396</xm:f>
              <xm:sqref>H396</xm:sqref>
            </x14:sparkline>
            <x14:sparkline>
              <xm:f>'2024'!I397:AX397</xm:f>
              <xm:sqref>H397</xm:sqref>
            </x14:sparkline>
            <x14:sparkline>
              <xm:f>'2024'!I398:AX398</xm:f>
              <xm:sqref>H398</xm:sqref>
            </x14:sparkline>
            <x14:sparkline>
              <xm:f>'2024'!I399:AX399</xm:f>
              <xm:sqref>H399</xm:sqref>
            </x14:sparkline>
            <x14:sparkline>
              <xm:f>'2024'!I731:AX731</xm:f>
              <xm:sqref>H731</xm:sqref>
            </x14:sparkline>
            <x14:sparkline>
              <xm:f>'2024'!I732:AX732</xm:f>
              <xm:sqref>H732</xm:sqref>
            </x14:sparkline>
            <x14:sparkline>
              <xm:f>'2024'!I733:AX733</xm:f>
              <xm:sqref>H733</xm:sqref>
            </x14:sparkline>
            <x14:sparkline>
              <xm:f>'2024'!I734:AX734</xm:f>
              <xm:sqref>H734</xm:sqref>
            </x14:sparkline>
            <x14:sparkline>
              <xm:f>'2024'!I735:AX735</xm:f>
              <xm:sqref>H735</xm:sqref>
            </x14:sparkline>
            <x14:sparkline>
              <xm:f>'2024'!I736:AX736</xm:f>
              <xm:sqref>H736</xm:sqref>
            </x14:sparkline>
            <x14:sparkline>
              <xm:f>'2024'!I737:AX737</xm:f>
              <xm:sqref>H737</xm:sqref>
            </x14:sparkline>
            <x14:sparkline>
              <xm:f>'2024'!I738:AX738</xm:f>
              <xm:sqref>H738</xm:sqref>
            </x14:sparkline>
            <x14:sparkline>
              <xm:f>'2024'!I739:AX739</xm:f>
              <xm:sqref>H739</xm:sqref>
            </x14:sparkline>
            <x14:sparkline>
              <xm:f>'2024'!I740:AX740</xm:f>
              <xm:sqref>H740</xm:sqref>
            </x14:sparkline>
            <x14:sparkline>
              <xm:f>'2024'!I741:AX741</xm:f>
              <xm:sqref>H741</xm:sqref>
            </x14:sparkline>
            <x14:sparkline>
              <xm:f>'2024'!I742:AX742</xm:f>
              <xm:sqref>H742</xm:sqref>
            </x14:sparkline>
            <x14:sparkline>
              <xm:f>'2024'!I743:AX743</xm:f>
              <xm:sqref>H743</xm:sqref>
            </x14:sparkline>
            <x14:sparkline>
              <xm:f>'2024'!I744:AX744</xm:f>
              <xm:sqref>H744</xm:sqref>
            </x14:sparkline>
            <x14:sparkline>
              <xm:f>'2024'!I745:AX745</xm:f>
              <xm:sqref>H745</xm:sqref>
            </x14:sparkline>
            <x14:sparkline>
              <xm:f>'2024'!I746:AX746</xm:f>
              <xm:sqref>H746</xm:sqref>
            </x14:sparkline>
            <x14:sparkline>
              <xm:f>'2024'!I747:AX747</xm:f>
              <xm:sqref>H747</xm:sqref>
            </x14:sparkline>
          </x14:sparklines>
        </x14:sparklineGroup>
        <x14:sparklineGroup displayEmptyCellsAs="gap" xr2:uid="{00000000-0003-0000-02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'2024'!I144:AX144</xm:f>
              <xm:sqref>H144</xm:sqref>
            </x14:sparkline>
          </x14:sparklines>
        </x14:sparklineGroup>
        <x14:sparklineGroup displayEmptyCellsAs="gap" xr2:uid="{00000000-0003-0000-02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'2024'!I704:AX704</xm:f>
              <xm:sqref>H704</xm:sqref>
            </x14:sparkline>
            <x14:sparkline>
              <xm:f>'2024'!I703:AX703</xm:f>
              <xm:sqref>H703</xm:sqref>
            </x14:sparkline>
            <x14:sparkline>
              <xm:f>'2024'!I702:AX702</xm:f>
              <xm:sqref>H702</xm:sqref>
            </x14:sparkline>
            <x14:sparkline>
              <xm:f>'2024'!I701:AX701</xm:f>
              <xm:sqref>H701</xm:sqref>
            </x14:sparkline>
            <x14:sparkline>
              <xm:f>'2024'!I700:AX700</xm:f>
              <xm:sqref>H700</xm:sqref>
            </x14:sparkline>
            <x14:sparkline>
              <xm:f>'2024'!I699:AX699</xm:f>
              <xm:sqref>H699</xm:sqref>
            </x14:sparkline>
            <x14:sparkline>
              <xm:f>'2024'!I698:AX698</xm:f>
              <xm:sqref>H698</xm:sqref>
            </x14:sparkline>
            <x14:sparkline>
              <xm:f>'2024'!I697:AX697</xm:f>
              <xm:sqref>H697</xm:sqref>
            </x14:sparkline>
            <x14:sparkline>
              <xm:f>'2024'!I696:AX696</xm:f>
              <xm:sqref>H696</xm:sqref>
            </x14:sparkline>
            <x14:sparkline>
              <xm:f>'2024'!I695:AX695</xm:f>
              <xm:sqref>H695</xm:sqref>
            </x14:sparkline>
            <x14:sparkline>
              <xm:f>'2024'!I694:AX694</xm:f>
              <xm:sqref>H694</xm:sqref>
            </x14:sparkline>
            <x14:sparkline>
              <xm:f>'2024'!I693:AX693</xm:f>
              <xm:sqref>H693</xm:sqref>
            </x14:sparkline>
            <x14:sparkline>
              <xm:f>'2024'!I692:AX692</xm:f>
              <xm:sqref>H692</xm:sqref>
            </x14:sparkline>
            <x14:sparkline>
              <xm:f>'2024'!I691:AX691</xm:f>
              <xm:sqref>H691</xm:sqref>
            </x14:sparkline>
            <x14:sparkline>
              <xm:f>'2024'!I690:AX690</xm:f>
              <xm:sqref>H690</xm:sqref>
            </x14:sparkline>
            <x14:sparkline>
              <xm:f>'2024'!I689:AX689</xm:f>
              <xm:sqref>H689</xm:sqref>
            </x14:sparkline>
            <x14:sparkline>
              <xm:f>'2024'!I688:AX688</xm:f>
              <xm:sqref>H688</xm:sqref>
            </x14:sparkline>
            <x14:sparkline>
              <xm:f>'2024'!I687:AX687</xm:f>
              <xm:sqref>H687</xm:sqref>
            </x14:sparkline>
            <x14:sparkline>
              <xm:f>'2024'!I686:AX686</xm:f>
              <xm:sqref>H686</xm:sqref>
            </x14:sparkline>
            <x14:sparkline>
              <xm:f>'2024'!I685:AX685</xm:f>
              <xm:sqref>H685</xm:sqref>
            </x14:sparkline>
            <x14:sparkline>
              <xm:f>'2024'!I684:AX684</xm:f>
              <xm:sqref>H684</xm:sqref>
            </x14:sparkline>
            <x14:sparkline>
              <xm:f>'2024'!I683:AX683</xm:f>
              <xm:sqref>H683</xm:sqref>
            </x14:sparkline>
            <x14:sparkline>
              <xm:f>'2024'!I682:AX682</xm:f>
              <xm:sqref>H682</xm:sqref>
            </x14:sparkline>
            <x14:sparkline>
              <xm:f>'2024'!I681:AX681</xm:f>
              <xm:sqref>H681</xm:sqref>
            </x14:sparkline>
            <x14:sparkline>
              <xm:f>'2024'!I680:AX680</xm:f>
              <xm:sqref>H680</xm:sqref>
            </x14:sparkline>
            <x14:sparkline>
              <xm:f>'2024'!I679:AX679</xm:f>
              <xm:sqref>H679</xm:sqref>
            </x14:sparkline>
            <x14:sparkline>
              <xm:f>'2024'!I678:AX678</xm:f>
              <xm:sqref>H678</xm:sqref>
            </x14:sparkline>
            <x14:sparkline>
              <xm:f>'2024'!I677:AX677</xm:f>
              <xm:sqref>H677</xm:sqref>
            </x14:sparkline>
            <x14:sparkline>
              <xm:f>'2024'!I676:AX676</xm:f>
              <xm:sqref>H676</xm:sqref>
            </x14:sparkline>
            <x14:sparkline>
              <xm:f>'2024'!I675:AX675</xm:f>
              <xm:sqref>H675</xm:sqref>
            </x14:sparkline>
            <x14:sparkline>
              <xm:f>'2024'!I674:AX674</xm:f>
              <xm:sqref>H674</xm:sqref>
            </x14:sparkline>
            <x14:sparkline>
              <xm:f>'2024'!I673:AX673</xm:f>
              <xm:sqref>H673</xm:sqref>
            </x14:sparkline>
            <x14:sparkline>
              <xm:f>'2024'!I672:AX672</xm:f>
              <xm:sqref>H672</xm:sqref>
            </x14:sparkline>
            <x14:sparkline>
              <xm:f>'2024'!I671:AX671</xm:f>
              <xm:sqref>H671</xm:sqref>
            </x14:sparkline>
            <x14:sparkline>
              <xm:f>'2024'!I670:AX670</xm:f>
              <xm:sqref>H670</xm:sqref>
            </x14:sparkline>
            <x14:sparkline>
              <xm:f>'2024'!I669:AX669</xm:f>
              <xm:sqref>H669</xm:sqref>
            </x14:sparkline>
            <x14:sparkline>
              <xm:f>'2024'!I668:AX668</xm:f>
              <xm:sqref>H668</xm:sqref>
            </x14:sparkline>
            <x14:sparkline>
              <xm:f>'2024'!I667:AX667</xm:f>
              <xm:sqref>H667</xm:sqref>
            </x14:sparkline>
            <x14:sparkline>
              <xm:f>'2024'!I666:AX666</xm:f>
              <xm:sqref>H666</xm:sqref>
            </x14:sparkline>
            <x14:sparkline>
              <xm:f>'2024'!I665:AX665</xm:f>
              <xm:sqref>H665</xm:sqref>
            </x14:sparkline>
            <x14:sparkline>
              <xm:f>'2024'!I664:AX664</xm:f>
              <xm:sqref>H664</xm:sqref>
            </x14:sparkline>
            <x14:sparkline>
              <xm:f>'2024'!I663:AX663</xm:f>
              <xm:sqref>H663</xm:sqref>
            </x14:sparkline>
            <x14:sparkline>
              <xm:f>'2024'!I662:AX662</xm:f>
              <xm:sqref>H662</xm:sqref>
            </x14:sparkline>
            <x14:sparkline>
              <xm:f>'2024'!I661:AX661</xm:f>
              <xm:sqref>H661</xm:sqref>
            </x14:sparkline>
            <x14:sparkline>
              <xm:f>'2024'!I660:AX660</xm:f>
              <xm:sqref>H660</xm:sqref>
            </x14:sparkline>
            <x14:sparkline>
              <xm:f>'2024'!I659:AX659</xm:f>
              <xm:sqref>H659</xm:sqref>
            </x14:sparkline>
            <x14:sparkline>
              <xm:f>'2024'!I658:AX658</xm:f>
              <xm:sqref>H658</xm:sqref>
            </x14:sparkline>
            <x14:sparkline>
              <xm:f>'2024'!I657:AX657</xm:f>
              <xm:sqref>H657</xm:sqref>
            </x14:sparkline>
            <x14:sparkline>
              <xm:f>'2024'!I656:AX656</xm:f>
              <xm:sqref>H656</xm:sqref>
            </x14:sparkline>
            <x14:sparkline>
              <xm:f>'2024'!I655:AX655</xm:f>
              <xm:sqref>H655</xm:sqref>
            </x14:sparkline>
            <x14:sparkline>
              <xm:f>'2024'!I654:AX654</xm:f>
              <xm:sqref>H654</xm:sqref>
            </x14:sparkline>
            <x14:sparkline>
              <xm:f>'2024'!I653:AX653</xm:f>
              <xm:sqref>H653</xm:sqref>
            </x14:sparkline>
            <x14:sparkline>
              <xm:f>'2024'!I652:AX652</xm:f>
              <xm:sqref>H652</xm:sqref>
            </x14:sparkline>
            <x14:sparkline>
              <xm:f>'2024'!I651:AX651</xm:f>
              <xm:sqref>H651</xm:sqref>
            </x14:sparkline>
            <x14:sparkline>
              <xm:f>'2024'!I650:AX650</xm:f>
              <xm:sqref>H650</xm:sqref>
            </x14:sparkline>
            <x14:sparkline>
              <xm:f>'2024'!I649:AX649</xm:f>
              <xm:sqref>H649</xm:sqref>
            </x14:sparkline>
            <x14:sparkline>
              <xm:f>'2024'!I648:AX648</xm:f>
              <xm:sqref>H648</xm:sqref>
            </x14:sparkline>
            <x14:sparkline>
              <xm:f>'2024'!I647:AX647</xm:f>
              <xm:sqref>H647</xm:sqref>
            </x14:sparkline>
            <x14:sparkline>
              <xm:f>'2024'!I646:AX646</xm:f>
              <xm:sqref>H646</xm:sqref>
            </x14:sparkline>
            <x14:sparkline>
              <xm:f>'2024'!I645:AX645</xm:f>
              <xm:sqref>H645</xm:sqref>
            </x14:sparkline>
            <x14:sparkline>
              <xm:f>'2024'!I644:AX644</xm:f>
              <xm:sqref>H644</xm:sqref>
            </x14:sparkline>
            <x14:sparkline>
              <xm:f>'2024'!I643:AX643</xm:f>
              <xm:sqref>H643</xm:sqref>
            </x14:sparkline>
            <x14:sparkline>
              <xm:f>'2024'!I642:AX642</xm:f>
              <xm:sqref>H642</xm:sqref>
            </x14:sparkline>
            <x14:sparkline>
              <xm:f>'2024'!I641:AX641</xm:f>
              <xm:sqref>H641</xm:sqref>
            </x14:sparkline>
            <x14:sparkline>
              <xm:f>'2024'!I640:AX640</xm:f>
              <xm:sqref>H640</xm:sqref>
            </x14:sparkline>
            <x14:sparkline>
              <xm:f>'2024'!I639:AX639</xm:f>
              <xm:sqref>H639</xm:sqref>
            </x14:sparkline>
            <x14:sparkline>
              <xm:f>'2024'!I638:AX638</xm:f>
              <xm:sqref>H638</xm:sqref>
            </x14:sparkline>
            <x14:sparkline>
              <xm:f>'2024'!I637:AX637</xm:f>
              <xm:sqref>H637</xm:sqref>
            </x14:sparkline>
            <x14:sparkline>
              <xm:f>'2024'!I636:AX636</xm:f>
              <xm:sqref>H636</xm:sqref>
            </x14:sparkline>
            <x14:sparkline>
              <xm:f>'2024'!I635:AX635</xm:f>
              <xm:sqref>H635</xm:sqref>
            </x14:sparkline>
            <x14:sparkline>
              <xm:f>'2024'!I634:AX634</xm:f>
              <xm:sqref>H634</xm:sqref>
            </x14:sparkline>
            <x14:sparkline>
              <xm:f>'2024'!I633:AX633</xm:f>
              <xm:sqref>H633</xm:sqref>
            </x14:sparkline>
            <x14:sparkline>
              <xm:f>'2024'!I632:AX632</xm:f>
              <xm:sqref>H632</xm:sqref>
            </x14:sparkline>
            <x14:sparkline>
              <xm:f>'2024'!I631:AX631</xm:f>
              <xm:sqref>H631</xm:sqref>
            </x14:sparkline>
            <x14:sparkline>
              <xm:f>'2024'!I630:AX630</xm:f>
              <xm:sqref>H630</xm:sqref>
            </x14:sparkline>
            <x14:sparkline>
              <xm:f>'2024'!I629:AX629</xm:f>
              <xm:sqref>H629</xm:sqref>
            </x14:sparkline>
            <x14:sparkline>
              <xm:f>'2024'!I628:AX628</xm:f>
              <xm:sqref>H628</xm:sqref>
            </x14:sparkline>
            <x14:sparkline>
              <xm:f>'2024'!I627:AX627</xm:f>
              <xm:sqref>H627</xm:sqref>
            </x14:sparkline>
            <x14:sparkline>
              <xm:f>'2024'!I626:AX626</xm:f>
              <xm:sqref>H626</xm:sqref>
            </x14:sparkline>
            <x14:sparkline>
              <xm:f>'2024'!I625:AX625</xm:f>
              <xm:sqref>H625</xm:sqref>
            </x14:sparkline>
            <x14:sparkline>
              <xm:f>'2024'!I624:AX624</xm:f>
              <xm:sqref>H624</xm:sqref>
            </x14:sparkline>
            <x14:sparkline>
              <xm:f>'2024'!I623:AX623</xm:f>
              <xm:sqref>H623</xm:sqref>
            </x14:sparkline>
            <x14:sparkline>
              <xm:f>'2024'!I622:AX622</xm:f>
              <xm:sqref>H622</xm:sqref>
            </x14:sparkline>
            <x14:sparkline>
              <xm:f>'2024'!I621:AX621</xm:f>
              <xm:sqref>H621</xm:sqref>
            </x14:sparkline>
            <x14:sparkline>
              <xm:f>'2024'!I620:AX620</xm:f>
              <xm:sqref>H620</xm:sqref>
            </x14:sparkline>
            <x14:sparkline>
              <xm:f>'2024'!I619:AX619</xm:f>
              <xm:sqref>H619</xm:sqref>
            </x14:sparkline>
            <x14:sparkline>
              <xm:f>'2024'!I618:AX618</xm:f>
              <xm:sqref>H618</xm:sqref>
            </x14:sparkline>
            <x14:sparkline>
              <xm:f>'2024'!I617:AX617</xm:f>
              <xm:sqref>H617</xm:sqref>
            </x14:sparkline>
            <x14:sparkline>
              <xm:f>'2024'!I616:AX616</xm:f>
              <xm:sqref>H616</xm:sqref>
            </x14:sparkline>
            <x14:sparkline>
              <xm:f>'2024'!I615:AX615</xm:f>
              <xm:sqref>H615</xm:sqref>
            </x14:sparkline>
            <x14:sparkline>
              <xm:f>'2024'!I614:AX614</xm:f>
              <xm:sqref>H614</xm:sqref>
            </x14:sparkline>
            <x14:sparkline>
              <xm:f>'2024'!I613:AX613</xm:f>
              <xm:sqref>H613</xm:sqref>
            </x14:sparkline>
            <x14:sparkline>
              <xm:f>'2024'!I612:AX612</xm:f>
              <xm:sqref>H612</xm:sqref>
            </x14:sparkline>
            <x14:sparkline>
              <xm:f>'2024'!I611:AX611</xm:f>
              <xm:sqref>H611</xm:sqref>
            </x14:sparkline>
            <x14:sparkline>
              <xm:f>'2024'!I610:AX610</xm:f>
              <xm:sqref>H610</xm:sqref>
            </x14:sparkline>
            <x14:sparkline>
              <xm:f>'2024'!I609:AX609</xm:f>
              <xm:sqref>H609</xm:sqref>
            </x14:sparkline>
            <x14:sparkline>
              <xm:f>'2024'!I608:AX608</xm:f>
              <xm:sqref>H608</xm:sqref>
            </x14:sparkline>
            <x14:sparkline>
              <xm:f>'2024'!I607:AX607</xm:f>
              <xm:sqref>H607</xm:sqref>
            </x14:sparkline>
            <x14:sparkline>
              <xm:f>'2024'!I606:AX606</xm:f>
              <xm:sqref>H606</xm:sqref>
            </x14:sparkline>
            <x14:sparkline>
              <xm:f>'2024'!I605:AX605</xm:f>
              <xm:sqref>H605</xm:sqref>
            </x14:sparkline>
            <x14:sparkline>
              <xm:f>'2024'!I604:AX604</xm:f>
              <xm:sqref>H604</xm:sqref>
            </x14:sparkline>
            <x14:sparkline>
              <xm:f>'2024'!I603:AX603</xm:f>
              <xm:sqref>H603</xm:sqref>
            </x14:sparkline>
            <x14:sparkline>
              <xm:f>'2024'!I602:AX602</xm:f>
              <xm:sqref>H602</xm:sqref>
            </x14:sparkline>
            <x14:sparkline>
              <xm:f>'2024'!I601:AX601</xm:f>
              <xm:sqref>H601</xm:sqref>
            </x14:sparkline>
            <x14:sparkline>
              <xm:f>'2024'!I600:AX600</xm:f>
              <xm:sqref>H600</xm:sqref>
            </x14:sparkline>
            <x14:sparkline>
              <xm:f>'2024'!I599:AX599</xm:f>
              <xm:sqref>H599</xm:sqref>
            </x14:sparkline>
            <x14:sparkline>
              <xm:f>'2024'!I598:AX598</xm:f>
              <xm:sqref>H598</xm:sqref>
            </x14:sparkline>
            <x14:sparkline>
              <xm:f>'2024'!I597:AX597</xm:f>
              <xm:sqref>H597</xm:sqref>
            </x14:sparkline>
            <x14:sparkline>
              <xm:f>'2024'!I596:AX596</xm:f>
              <xm:sqref>H596</xm:sqref>
            </x14:sparkline>
            <x14:sparkline>
              <xm:f>'2024'!I595:AX595</xm:f>
              <xm:sqref>H595</xm:sqref>
            </x14:sparkline>
            <x14:sparkline>
              <xm:f>'2024'!I594:AX594</xm:f>
              <xm:sqref>H594</xm:sqref>
            </x14:sparkline>
            <x14:sparkline>
              <xm:f>'2024'!I593:AX593</xm:f>
              <xm:sqref>H593</xm:sqref>
            </x14:sparkline>
            <x14:sparkline>
              <xm:f>'2024'!I592:AX592</xm:f>
              <xm:sqref>H592</xm:sqref>
            </x14:sparkline>
            <x14:sparkline>
              <xm:f>'2024'!I591:AX591</xm:f>
              <xm:sqref>H591</xm:sqref>
            </x14:sparkline>
            <x14:sparkline>
              <xm:f>'2024'!I590:AX590</xm:f>
              <xm:sqref>H590</xm:sqref>
            </x14:sparkline>
            <x14:sparkline>
              <xm:f>'2024'!I589:AX589</xm:f>
              <xm:sqref>H589</xm:sqref>
            </x14:sparkline>
            <x14:sparkline>
              <xm:f>'2024'!I588:AX588</xm:f>
              <xm:sqref>H588</xm:sqref>
            </x14:sparkline>
            <x14:sparkline>
              <xm:f>'2024'!I587:AX587</xm:f>
              <xm:sqref>H587</xm:sqref>
            </x14:sparkline>
            <x14:sparkline>
              <xm:f>'2024'!I586:AX586</xm:f>
              <xm:sqref>H586</xm:sqref>
            </x14:sparkline>
            <x14:sparkline>
              <xm:f>'2024'!I585:AX585</xm:f>
              <xm:sqref>H585</xm:sqref>
            </x14:sparkline>
            <x14:sparkline>
              <xm:f>'2024'!I584:AX584</xm:f>
              <xm:sqref>H584</xm:sqref>
            </x14:sparkline>
            <x14:sparkline>
              <xm:f>'2024'!I583:AX583</xm:f>
              <xm:sqref>H583</xm:sqref>
            </x14:sparkline>
            <x14:sparkline>
              <xm:f>'2024'!I582:AX582</xm:f>
              <xm:sqref>H582</xm:sqref>
            </x14:sparkline>
            <x14:sparkline>
              <xm:f>'2024'!I581:AX581</xm:f>
              <xm:sqref>H581</xm:sqref>
            </x14:sparkline>
            <x14:sparkline>
              <xm:f>'2024'!I580:AX580</xm:f>
              <xm:sqref>H580</xm:sqref>
            </x14:sparkline>
            <x14:sparkline>
              <xm:f>'2024'!I579:AX579</xm:f>
              <xm:sqref>H579</xm:sqref>
            </x14:sparkline>
            <x14:sparkline>
              <xm:f>'2024'!I578:AX578</xm:f>
              <xm:sqref>H578</xm:sqref>
            </x14:sparkline>
            <x14:sparkline>
              <xm:f>'2024'!I577:AX577</xm:f>
              <xm:sqref>H577</xm:sqref>
            </x14:sparkline>
            <x14:sparkline>
              <xm:f>'2024'!I576:AX576</xm:f>
              <xm:sqref>H576</xm:sqref>
            </x14:sparkline>
            <x14:sparkline>
              <xm:f>'2024'!I575:AX575</xm:f>
              <xm:sqref>H575</xm:sqref>
            </x14:sparkline>
            <x14:sparkline>
              <xm:f>'2024'!I574:AX574</xm:f>
              <xm:sqref>H574</xm:sqref>
            </x14:sparkline>
            <x14:sparkline>
              <xm:f>'2024'!I573:AX573</xm:f>
              <xm:sqref>H573</xm:sqref>
            </x14:sparkline>
            <x14:sparkline>
              <xm:f>'2024'!I572:AX572</xm:f>
              <xm:sqref>H572</xm:sqref>
            </x14:sparkline>
            <x14:sparkline>
              <xm:f>'2024'!I571:AX571</xm:f>
              <xm:sqref>H571</xm:sqref>
            </x14:sparkline>
            <x14:sparkline>
              <xm:f>'2024'!I570:AX570</xm:f>
              <xm:sqref>H570</xm:sqref>
            </x14:sparkline>
            <x14:sparkline>
              <xm:f>'2024'!I569:AX569</xm:f>
              <xm:sqref>H569</xm:sqref>
            </x14:sparkline>
            <x14:sparkline>
              <xm:f>'2024'!I568:AX568</xm:f>
              <xm:sqref>H568</xm:sqref>
            </x14:sparkline>
            <x14:sparkline>
              <xm:f>'2024'!I567:AX567</xm:f>
              <xm:sqref>H567</xm:sqref>
            </x14:sparkline>
            <x14:sparkline>
              <xm:f>'2024'!I566:AX566</xm:f>
              <xm:sqref>H566</xm:sqref>
            </x14:sparkline>
            <x14:sparkline>
              <xm:f>'2024'!I565:AX565</xm:f>
              <xm:sqref>H565</xm:sqref>
            </x14:sparkline>
            <x14:sparkline>
              <xm:f>'2024'!I564:AX564</xm:f>
              <xm:sqref>H564</xm:sqref>
            </x14:sparkline>
            <x14:sparkline>
              <xm:f>'2024'!I563:AX563</xm:f>
              <xm:sqref>H563</xm:sqref>
            </x14:sparkline>
            <x14:sparkline>
              <xm:f>'2024'!I562:AX562</xm:f>
              <xm:sqref>H562</xm:sqref>
            </x14:sparkline>
            <x14:sparkline>
              <xm:f>'2024'!I561:AX561</xm:f>
              <xm:sqref>H561</xm:sqref>
            </x14:sparkline>
            <x14:sparkline>
              <xm:f>'2024'!I560:AX560</xm:f>
              <xm:sqref>H560</xm:sqref>
            </x14:sparkline>
            <x14:sparkline>
              <xm:f>'2024'!I559:AX559</xm:f>
              <xm:sqref>H559</xm:sqref>
            </x14:sparkline>
            <x14:sparkline>
              <xm:f>'2024'!I558:AX558</xm:f>
              <xm:sqref>H558</xm:sqref>
            </x14:sparkline>
            <x14:sparkline>
              <xm:f>'2024'!I557:AX557</xm:f>
              <xm:sqref>H557</xm:sqref>
            </x14:sparkline>
            <x14:sparkline>
              <xm:f>'2024'!I556:AX556</xm:f>
              <xm:sqref>H556</xm:sqref>
            </x14:sparkline>
            <x14:sparkline>
              <xm:f>'2024'!I555:AX555</xm:f>
              <xm:sqref>H555</xm:sqref>
            </x14:sparkline>
            <x14:sparkline>
              <xm:f>'2024'!I554:AX554</xm:f>
              <xm:sqref>H554</xm:sqref>
            </x14:sparkline>
            <x14:sparkline>
              <xm:f>'2024'!I553:AX553</xm:f>
              <xm:sqref>H553</xm:sqref>
            </x14:sparkline>
            <x14:sparkline>
              <xm:f>'2024'!I552:AX552</xm:f>
              <xm:sqref>H552</xm:sqref>
            </x14:sparkline>
            <x14:sparkline>
              <xm:f>'2024'!I551:AX551</xm:f>
              <xm:sqref>H551</xm:sqref>
            </x14:sparkline>
            <x14:sparkline>
              <xm:f>'2024'!I550:AX550</xm:f>
              <xm:sqref>H550</xm:sqref>
            </x14:sparkline>
            <x14:sparkline>
              <xm:f>'2024'!I549:AX549</xm:f>
              <xm:sqref>H549</xm:sqref>
            </x14:sparkline>
            <x14:sparkline>
              <xm:f>'2024'!I548:AX548</xm:f>
              <xm:sqref>H548</xm:sqref>
            </x14:sparkline>
            <x14:sparkline>
              <xm:f>'2024'!I547:AX547</xm:f>
              <xm:sqref>H547</xm:sqref>
            </x14:sparkline>
            <x14:sparkline>
              <xm:f>'2024'!I546:AX546</xm:f>
              <xm:sqref>H546</xm:sqref>
            </x14:sparkline>
            <x14:sparkline>
              <xm:f>'2024'!I545:AX545</xm:f>
              <xm:sqref>H545</xm:sqref>
            </x14:sparkline>
            <x14:sparkline>
              <xm:f>'2024'!I544:AX544</xm:f>
              <xm:sqref>H544</xm:sqref>
            </x14:sparkline>
            <x14:sparkline>
              <xm:f>'2024'!I543:AX543</xm:f>
              <xm:sqref>H543</xm:sqref>
            </x14:sparkline>
            <x14:sparkline>
              <xm:f>'2024'!I542:AX542</xm:f>
              <xm:sqref>H542</xm:sqref>
            </x14:sparkline>
            <x14:sparkline>
              <xm:f>'2024'!I541:AX541</xm:f>
              <xm:sqref>H541</xm:sqref>
            </x14:sparkline>
            <x14:sparkline>
              <xm:f>'2024'!I540:AX540</xm:f>
              <xm:sqref>H540</xm:sqref>
            </x14:sparkline>
            <x14:sparkline>
              <xm:f>'2024'!I539:AX539</xm:f>
              <xm:sqref>H539</xm:sqref>
            </x14:sparkline>
            <x14:sparkline>
              <xm:f>'2024'!I538:AX538</xm:f>
              <xm:sqref>H538</xm:sqref>
            </x14:sparkline>
            <x14:sparkline>
              <xm:f>'2024'!I537:AX537</xm:f>
              <xm:sqref>H537</xm:sqref>
            </x14:sparkline>
            <x14:sparkline>
              <xm:f>'2024'!I536:AX536</xm:f>
              <xm:sqref>H536</xm:sqref>
            </x14:sparkline>
            <x14:sparkline>
              <xm:f>'2024'!I535:AX535</xm:f>
              <xm:sqref>H535</xm:sqref>
            </x14:sparkline>
            <x14:sparkline>
              <xm:f>'2024'!I534:AX534</xm:f>
              <xm:sqref>H534</xm:sqref>
            </x14:sparkline>
            <x14:sparkline>
              <xm:f>'2024'!I533:AX533</xm:f>
              <xm:sqref>H533</xm:sqref>
            </x14:sparkline>
            <x14:sparkline>
              <xm:f>'2024'!I532:AX532</xm:f>
              <xm:sqref>H532</xm:sqref>
            </x14:sparkline>
            <x14:sparkline>
              <xm:f>'2024'!I531:AX531</xm:f>
              <xm:sqref>H531</xm:sqref>
            </x14:sparkline>
            <x14:sparkline>
              <xm:f>'2024'!I530:AX530</xm:f>
              <xm:sqref>H530</xm:sqref>
            </x14:sparkline>
            <x14:sparkline>
              <xm:f>'2024'!I529:AX529</xm:f>
              <xm:sqref>H529</xm:sqref>
            </x14:sparkline>
            <x14:sparkline>
              <xm:f>'2024'!I528:AX528</xm:f>
              <xm:sqref>H528</xm:sqref>
            </x14:sparkline>
            <x14:sparkline>
              <xm:f>'2024'!I527:AX527</xm:f>
              <xm:sqref>H527</xm:sqref>
            </x14:sparkline>
            <x14:sparkline>
              <xm:f>'2024'!I526:AX526</xm:f>
              <xm:sqref>H526</xm:sqref>
            </x14:sparkline>
            <x14:sparkline>
              <xm:f>'2024'!I525:AX525</xm:f>
              <xm:sqref>H525</xm:sqref>
            </x14:sparkline>
            <x14:sparkline>
              <xm:f>'2024'!I524:AX524</xm:f>
              <xm:sqref>H524</xm:sqref>
            </x14:sparkline>
            <x14:sparkline>
              <xm:f>'2024'!I523:AX523</xm:f>
              <xm:sqref>H523</xm:sqref>
            </x14:sparkline>
            <x14:sparkline>
              <xm:f>'2024'!I522:AX522</xm:f>
              <xm:sqref>H522</xm:sqref>
            </x14:sparkline>
            <x14:sparkline>
              <xm:f>'2024'!I521:AX521</xm:f>
              <xm:sqref>H521</xm:sqref>
            </x14:sparkline>
            <x14:sparkline>
              <xm:f>'2024'!I520:AX520</xm:f>
              <xm:sqref>H520</xm:sqref>
            </x14:sparkline>
            <x14:sparkline>
              <xm:f>'2024'!I519:AX519</xm:f>
              <xm:sqref>H519</xm:sqref>
            </x14:sparkline>
            <x14:sparkline>
              <xm:f>'2024'!I518:AX518</xm:f>
              <xm:sqref>H518</xm:sqref>
            </x14:sparkline>
            <x14:sparkline>
              <xm:f>'2024'!I517:AX517</xm:f>
              <xm:sqref>H517</xm:sqref>
            </x14:sparkline>
            <x14:sparkline>
              <xm:f>'2024'!I516:AX516</xm:f>
              <xm:sqref>H516</xm:sqref>
            </x14:sparkline>
            <x14:sparkline>
              <xm:f>'2024'!I515:AX515</xm:f>
              <xm:sqref>H515</xm:sqref>
            </x14:sparkline>
            <x14:sparkline>
              <xm:f>'2024'!I514:AX514</xm:f>
              <xm:sqref>H514</xm:sqref>
            </x14:sparkline>
            <x14:sparkline>
              <xm:f>'2024'!I513:AX513</xm:f>
              <xm:sqref>H513</xm:sqref>
            </x14:sparkline>
            <x14:sparkline>
              <xm:f>'2024'!I512:AX512</xm:f>
              <xm:sqref>H512</xm:sqref>
            </x14:sparkline>
            <x14:sparkline>
              <xm:f>'2024'!I511:AX511</xm:f>
              <xm:sqref>H511</xm:sqref>
            </x14:sparkline>
            <x14:sparkline>
              <xm:f>'2024'!I510:AX510</xm:f>
              <xm:sqref>H510</xm:sqref>
            </x14:sparkline>
            <x14:sparkline>
              <xm:f>'2024'!I509:AX509</xm:f>
              <xm:sqref>H509</xm:sqref>
            </x14:sparkline>
            <x14:sparkline>
              <xm:f>'2024'!I508:AX508</xm:f>
              <xm:sqref>H508</xm:sqref>
            </x14:sparkline>
            <x14:sparkline>
              <xm:f>'2024'!I507:AX507</xm:f>
              <xm:sqref>H507</xm:sqref>
            </x14:sparkline>
            <x14:sparkline>
              <xm:f>'2024'!I506:AX506</xm:f>
              <xm:sqref>H506</xm:sqref>
            </x14:sparkline>
            <x14:sparkline>
              <xm:f>'2024'!I505:AX505</xm:f>
              <xm:sqref>H505</xm:sqref>
            </x14:sparkline>
            <x14:sparkline>
              <xm:f>'2024'!I504:AX504</xm:f>
              <xm:sqref>H504</xm:sqref>
            </x14:sparkline>
            <x14:sparkline>
              <xm:f>'2024'!I503:AX503</xm:f>
              <xm:sqref>H503</xm:sqref>
            </x14:sparkline>
            <x14:sparkline>
              <xm:f>'2024'!I502:AX502</xm:f>
              <xm:sqref>H502</xm:sqref>
            </x14:sparkline>
            <x14:sparkline>
              <xm:f>'2024'!I501:AX501</xm:f>
              <xm:sqref>H501</xm:sqref>
            </x14:sparkline>
            <x14:sparkline>
              <xm:f>'2024'!I500:AX500</xm:f>
              <xm:sqref>H500</xm:sqref>
            </x14:sparkline>
            <x14:sparkline>
              <xm:f>'2024'!I499:AX499</xm:f>
              <xm:sqref>H499</xm:sqref>
            </x14:sparkline>
            <x14:sparkline>
              <xm:f>'2024'!I498:AX498</xm:f>
              <xm:sqref>H498</xm:sqref>
            </x14:sparkline>
            <x14:sparkline>
              <xm:f>'2024'!I497:AX497</xm:f>
              <xm:sqref>H497</xm:sqref>
            </x14:sparkline>
            <x14:sparkline>
              <xm:f>'2024'!I496:AX496</xm:f>
              <xm:sqref>H496</xm:sqref>
            </x14:sparkline>
            <x14:sparkline>
              <xm:f>'2024'!I495:AX495</xm:f>
              <xm:sqref>H495</xm:sqref>
            </x14:sparkline>
            <x14:sparkline>
              <xm:f>'2024'!I494:AX494</xm:f>
              <xm:sqref>H494</xm:sqref>
            </x14:sparkline>
            <x14:sparkline>
              <xm:f>'2024'!I493:AX493</xm:f>
              <xm:sqref>H493</xm:sqref>
            </x14:sparkline>
            <x14:sparkline>
              <xm:f>'2024'!I492:AX492</xm:f>
              <xm:sqref>H492</xm:sqref>
            </x14:sparkline>
            <x14:sparkline>
              <xm:f>'2024'!I491:AX491</xm:f>
              <xm:sqref>H491</xm:sqref>
            </x14:sparkline>
            <x14:sparkline>
              <xm:f>'2024'!I490:AX490</xm:f>
              <xm:sqref>H490</xm:sqref>
            </x14:sparkline>
            <x14:sparkline>
              <xm:f>'2024'!I489:AX489</xm:f>
              <xm:sqref>H489</xm:sqref>
            </x14:sparkline>
            <x14:sparkline>
              <xm:f>'2024'!I488:AX488</xm:f>
              <xm:sqref>H488</xm:sqref>
            </x14:sparkline>
            <x14:sparkline>
              <xm:f>'2024'!I487:AX487</xm:f>
              <xm:sqref>H487</xm:sqref>
            </x14:sparkline>
            <x14:sparkline>
              <xm:f>'2024'!I486:AX486</xm:f>
              <xm:sqref>H486</xm:sqref>
            </x14:sparkline>
            <x14:sparkline>
              <xm:f>'2024'!I485:AX485</xm:f>
              <xm:sqref>H485</xm:sqref>
            </x14:sparkline>
            <x14:sparkline>
              <xm:f>'2024'!I484:AX484</xm:f>
              <xm:sqref>H484</xm:sqref>
            </x14:sparkline>
            <x14:sparkline>
              <xm:f>'2024'!I483:AX483</xm:f>
              <xm:sqref>H483</xm:sqref>
            </x14:sparkline>
            <x14:sparkline>
              <xm:f>'2024'!I482:AX482</xm:f>
              <xm:sqref>H482</xm:sqref>
            </x14:sparkline>
            <x14:sparkline>
              <xm:f>'2024'!I481:AX481</xm:f>
              <xm:sqref>H481</xm:sqref>
            </x14:sparkline>
            <x14:sparkline>
              <xm:f>'2024'!I480:AX480</xm:f>
              <xm:sqref>H480</xm:sqref>
            </x14:sparkline>
            <x14:sparkline>
              <xm:f>'2024'!I479:AX479</xm:f>
              <xm:sqref>H479</xm:sqref>
            </x14:sparkline>
            <x14:sparkline>
              <xm:f>'2024'!I478:AX478</xm:f>
              <xm:sqref>H478</xm:sqref>
            </x14:sparkline>
            <x14:sparkline>
              <xm:f>'2024'!I477:AX477</xm:f>
              <xm:sqref>H477</xm:sqref>
            </x14:sparkline>
            <x14:sparkline>
              <xm:f>'2024'!I476:AX476</xm:f>
              <xm:sqref>H476</xm:sqref>
            </x14:sparkline>
            <x14:sparkline>
              <xm:f>'2024'!I475:AX475</xm:f>
              <xm:sqref>H475</xm:sqref>
            </x14:sparkline>
            <x14:sparkline>
              <xm:f>'2024'!I474:AX474</xm:f>
              <xm:sqref>H474</xm:sqref>
            </x14:sparkline>
            <x14:sparkline>
              <xm:f>'2024'!I473:AX473</xm:f>
              <xm:sqref>H473</xm:sqref>
            </x14:sparkline>
            <x14:sparkline>
              <xm:f>'2024'!I472:AX472</xm:f>
              <xm:sqref>H472</xm:sqref>
            </x14:sparkline>
            <x14:sparkline>
              <xm:f>'2024'!I471:AX471</xm:f>
              <xm:sqref>H471</xm:sqref>
            </x14:sparkline>
            <x14:sparkline>
              <xm:f>'2024'!I470:AX470</xm:f>
              <xm:sqref>H470</xm:sqref>
            </x14:sparkline>
            <x14:sparkline>
              <xm:f>'2024'!I469:AX469</xm:f>
              <xm:sqref>H469</xm:sqref>
            </x14:sparkline>
            <x14:sparkline>
              <xm:f>'2024'!I468:AX468</xm:f>
              <xm:sqref>H468</xm:sqref>
            </x14:sparkline>
            <x14:sparkline>
              <xm:f>'2024'!I467:AX467</xm:f>
              <xm:sqref>H467</xm:sqref>
            </x14:sparkline>
            <x14:sparkline>
              <xm:f>'2024'!I466:AX466</xm:f>
              <xm:sqref>H466</xm:sqref>
            </x14:sparkline>
            <x14:sparkline>
              <xm:f>'2024'!I465:AX465</xm:f>
              <xm:sqref>H465</xm:sqref>
            </x14:sparkline>
            <x14:sparkline>
              <xm:f>'2024'!I464:AX464</xm:f>
              <xm:sqref>H464</xm:sqref>
            </x14:sparkline>
            <x14:sparkline>
              <xm:f>'2024'!I463:AX463</xm:f>
              <xm:sqref>H463</xm:sqref>
            </x14:sparkline>
            <x14:sparkline>
              <xm:f>'2024'!I462:AX462</xm:f>
              <xm:sqref>H462</xm:sqref>
            </x14:sparkline>
            <x14:sparkline>
              <xm:f>'2024'!I461:AX461</xm:f>
              <xm:sqref>H461</xm:sqref>
            </x14:sparkline>
            <x14:sparkline>
              <xm:f>'2024'!I460:AX460</xm:f>
              <xm:sqref>H460</xm:sqref>
            </x14:sparkline>
            <x14:sparkline>
              <xm:f>'2024'!I459:AX459</xm:f>
              <xm:sqref>H459</xm:sqref>
            </x14:sparkline>
            <x14:sparkline>
              <xm:f>'2024'!I458:AX458</xm:f>
              <xm:sqref>H458</xm:sqref>
            </x14:sparkline>
            <x14:sparkline>
              <xm:f>'2024'!I457:AX457</xm:f>
              <xm:sqref>H457</xm:sqref>
            </x14:sparkline>
            <x14:sparkline>
              <xm:f>'2024'!I456:AX456</xm:f>
              <xm:sqref>H456</xm:sqref>
            </x14:sparkline>
            <x14:sparkline>
              <xm:f>'2024'!I455:AX455</xm:f>
              <xm:sqref>H455</xm:sqref>
            </x14:sparkline>
            <x14:sparkline>
              <xm:f>'2024'!I454:AX454</xm:f>
              <xm:sqref>H454</xm:sqref>
            </x14:sparkline>
            <x14:sparkline>
              <xm:f>'2024'!I453:AX453</xm:f>
              <xm:sqref>H453</xm:sqref>
            </x14:sparkline>
            <x14:sparkline>
              <xm:f>'2024'!I452:AX452</xm:f>
              <xm:sqref>H452</xm:sqref>
            </x14:sparkline>
            <x14:sparkline>
              <xm:f>'2024'!I451:AX451</xm:f>
              <xm:sqref>H451</xm:sqref>
            </x14:sparkline>
            <x14:sparkline>
              <xm:f>'2024'!I450:AX450</xm:f>
              <xm:sqref>H450</xm:sqref>
            </x14:sparkline>
            <x14:sparkline>
              <xm:f>'2024'!I449:AX449</xm:f>
              <xm:sqref>H449</xm:sqref>
            </x14:sparkline>
            <x14:sparkline>
              <xm:f>'2024'!I448:AX448</xm:f>
              <xm:sqref>H448</xm:sqref>
            </x14:sparkline>
            <x14:sparkline>
              <xm:f>'2024'!I447:AX447</xm:f>
              <xm:sqref>H447</xm:sqref>
            </x14:sparkline>
            <x14:sparkline>
              <xm:f>'2024'!I446:AX446</xm:f>
              <xm:sqref>H446</xm:sqref>
            </x14:sparkline>
            <x14:sparkline>
              <xm:f>'2024'!I445:AX445</xm:f>
              <xm:sqref>H445</xm:sqref>
            </x14:sparkline>
            <x14:sparkline>
              <xm:f>'2024'!I444:AX444</xm:f>
              <xm:sqref>H444</xm:sqref>
            </x14:sparkline>
            <x14:sparkline>
              <xm:f>'2024'!I443:AX443</xm:f>
              <xm:sqref>H443</xm:sqref>
            </x14:sparkline>
            <x14:sparkline>
              <xm:f>'2024'!I442:AX442</xm:f>
              <xm:sqref>H442</xm:sqref>
            </x14:sparkline>
            <x14:sparkline>
              <xm:f>'2024'!I441:AX441</xm:f>
              <xm:sqref>H441</xm:sqref>
            </x14:sparkline>
            <x14:sparkline>
              <xm:f>'2024'!I440:AX440</xm:f>
              <xm:sqref>H440</xm:sqref>
            </x14:sparkline>
            <x14:sparkline>
              <xm:f>'2024'!I439:AX439</xm:f>
              <xm:sqref>H439</xm:sqref>
            </x14:sparkline>
            <x14:sparkline>
              <xm:f>'2024'!I438:AX438</xm:f>
              <xm:sqref>H438</xm:sqref>
            </x14:sparkline>
            <x14:sparkline>
              <xm:f>'2024'!I437:AX437</xm:f>
              <xm:sqref>H437</xm:sqref>
            </x14:sparkline>
            <x14:sparkline>
              <xm:f>'2024'!I436:AX436</xm:f>
              <xm:sqref>H436</xm:sqref>
            </x14:sparkline>
            <x14:sparkline>
              <xm:f>'2024'!I435:AX435</xm:f>
              <xm:sqref>H435</xm:sqref>
            </x14:sparkline>
            <x14:sparkline>
              <xm:f>'2024'!I434:AX434</xm:f>
              <xm:sqref>H434</xm:sqref>
            </x14:sparkline>
            <x14:sparkline>
              <xm:f>'2024'!I433:AX433</xm:f>
              <xm:sqref>H433</xm:sqref>
            </x14:sparkline>
            <x14:sparkline>
              <xm:f>'2024'!I432:AX432</xm:f>
              <xm:sqref>H432</xm:sqref>
            </x14:sparkline>
            <x14:sparkline>
              <xm:f>'2024'!I431:AX431</xm:f>
              <xm:sqref>H431</xm:sqref>
            </x14:sparkline>
            <x14:sparkline>
              <xm:f>'2024'!I430:AX430</xm:f>
              <xm:sqref>H430</xm:sqref>
            </x14:sparkline>
            <x14:sparkline>
              <xm:f>'2024'!I429:AX429</xm:f>
              <xm:sqref>H429</xm:sqref>
            </x14:sparkline>
            <x14:sparkline>
              <xm:f>'2024'!I428:AX428</xm:f>
              <xm:sqref>H428</xm:sqref>
            </x14:sparkline>
            <x14:sparkline>
              <xm:f>'2024'!I427:AX427</xm:f>
              <xm:sqref>H427</xm:sqref>
            </x14:sparkline>
            <x14:sparkline>
              <xm:f>'2024'!I426:AX426</xm:f>
              <xm:sqref>H426</xm:sqref>
            </x14:sparkline>
            <x14:sparkline>
              <xm:f>'2024'!I425:AX425</xm:f>
              <xm:sqref>H425</xm:sqref>
            </x14:sparkline>
            <x14:sparkline>
              <xm:f>'2024'!I424:AX424</xm:f>
              <xm:sqref>H424</xm:sqref>
            </x14:sparkline>
            <x14:sparkline>
              <xm:f>'2024'!I423:AX423</xm:f>
              <xm:sqref>H423</xm:sqref>
            </x14:sparkline>
            <x14:sparkline>
              <xm:f>'2024'!I422:AX422</xm:f>
              <xm:sqref>H422</xm:sqref>
            </x14:sparkline>
            <x14:sparkline>
              <xm:f>'2024'!I421:AX421</xm:f>
              <xm:sqref>H421</xm:sqref>
            </x14:sparkline>
            <x14:sparkline>
              <xm:f>'2024'!I420:AX420</xm:f>
              <xm:sqref>H420</xm:sqref>
            </x14:sparkline>
            <x14:sparkline>
              <xm:f>'2024'!I419:AX419</xm:f>
              <xm:sqref>H419</xm:sqref>
            </x14:sparkline>
            <x14:sparkline>
              <xm:f>'2024'!I418:AX418</xm:f>
              <xm:sqref>H418</xm:sqref>
            </x14:sparkline>
            <x14:sparkline>
              <xm:f>'2024'!I417:AX417</xm:f>
              <xm:sqref>H417</xm:sqref>
            </x14:sparkline>
            <x14:sparkline>
              <xm:f>'2024'!I416:AX416</xm:f>
              <xm:sqref>H416</xm:sqref>
            </x14:sparkline>
            <x14:sparkline>
              <xm:f>'2024'!I415:AX415</xm:f>
              <xm:sqref>H415</xm:sqref>
            </x14:sparkline>
            <x14:sparkline>
              <xm:f>'2024'!I414:AX414</xm:f>
              <xm:sqref>H414</xm:sqref>
            </x14:sparkline>
            <x14:sparkline>
              <xm:f>'2024'!I413:AX413</xm:f>
              <xm:sqref>H413</xm:sqref>
            </x14:sparkline>
            <x14:sparkline>
              <xm:f>'2024'!I412:AX412</xm:f>
              <xm:sqref>H412</xm:sqref>
            </x14:sparkline>
            <x14:sparkline>
              <xm:f>'2024'!I411:AX411</xm:f>
              <xm:sqref>H411</xm:sqref>
            </x14:sparkline>
            <x14:sparkline>
              <xm:f>'2024'!I410:AX410</xm:f>
              <xm:sqref>H410</xm:sqref>
            </x14:sparkline>
            <x14:sparkline>
              <xm:f>'2024'!I409:AX409</xm:f>
              <xm:sqref>H409</xm:sqref>
            </x14:sparkline>
            <x14:sparkline>
              <xm:f>'2024'!I408:AX408</xm:f>
              <xm:sqref>H408</xm:sqref>
            </x14:sparkline>
            <x14:sparkline>
              <xm:f>'2024'!I407:AX407</xm:f>
              <xm:sqref>H407</xm:sqref>
            </x14:sparkline>
            <x14:sparkline>
              <xm:f>'2024'!I406:AX406</xm:f>
              <xm:sqref>H406</xm:sqref>
            </x14:sparkline>
            <x14:sparkline>
              <xm:f>'2024'!I405:AX405</xm:f>
              <xm:sqref>H405</xm:sqref>
            </x14:sparkline>
            <x14:sparkline>
              <xm:f>'2024'!I404:AX404</xm:f>
              <xm:sqref>H404</xm:sqref>
            </x14:sparkline>
            <x14:sparkline>
              <xm:f>'2024'!I403:AX403</xm:f>
              <xm:sqref>H403</xm:sqref>
            </x14:sparkline>
            <x14:sparkline>
              <xm:f>'2024'!I402:AX402</xm:f>
              <xm:sqref>H402</xm:sqref>
            </x14:sparkline>
            <x14:sparkline>
              <xm:f>'2024'!I401:AX401</xm:f>
              <xm:sqref>H401</xm:sqref>
            </x14:sparkline>
            <x14:sparkline>
              <xm:f>'2024'!I400:AX400</xm:f>
              <xm:sqref>H400</xm:sqref>
            </x14:sparkline>
            <x14:sparkline>
              <xm:f>'2024'!I314:AX314</xm:f>
              <xm:sqref>H314</xm:sqref>
            </x14:sparkline>
            <x14:sparkline>
              <xm:f>'2024'!I313:AX313</xm:f>
              <xm:sqref>H313</xm:sqref>
            </x14:sparkline>
            <x14:sparkline>
              <xm:f>'2024'!I312:AX312</xm:f>
              <xm:sqref>H312</xm:sqref>
            </x14:sparkline>
            <x14:sparkline>
              <xm:f>'2024'!I311:AX311</xm:f>
              <xm:sqref>H311</xm:sqref>
            </x14:sparkline>
            <x14:sparkline>
              <xm:f>'2024'!I310:AX310</xm:f>
              <xm:sqref>H310</xm:sqref>
            </x14:sparkline>
            <x14:sparkline>
              <xm:f>'2024'!I309:AX309</xm:f>
              <xm:sqref>H309</xm:sqref>
            </x14:sparkline>
            <x14:sparkline>
              <xm:f>'2024'!I308:AX308</xm:f>
              <xm:sqref>H308</xm:sqref>
            </x14:sparkline>
            <x14:sparkline>
              <xm:f>'2024'!I307:AX307</xm:f>
              <xm:sqref>H307</xm:sqref>
            </x14:sparkline>
            <x14:sparkline>
              <xm:f>'2024'!I306:AX306</xm:f>
              <xm:sqref>H306</xm:sqref>
            </x14:sparkline>
            <x14:sparkline>
              <xm:f>'2024'!I305:AX305</xm:f>
              <xm:sqref>H305</xm:sqref>
            </x14:sparkline>
            <x14:sparkline>
              <xm:f>'2024'!I304:AX304</xm:f>
              <xm:sqref>H304</xm:sqref>
            </x14:sparkline>
            <x14:sparkline>
              <xm:f>'2024'!I303:AX303</xm:f>
              <xm:sqref>H303</xm:sqref>
            </x14:sparkline>
            <x14:sparkline>
              <xm:f>'2024'!I302:AX302</xm:f>
              <xm:sqref>H302</xm:sqref>
            </x14:sparkline>
            <x14:sparkline>
              <xm:f>'2024'!I301:AX301</xm:f>
              <xm:sqref>H301</xm:sqref>
            </x14:sparkline>
            <x14:sparkline>
              <xm:f>'2024'!I300:AX300</xm:f>
              <xm:sqref>H300</xm:sqref>
            </x14:sparkline>
            <x14:sparkline>
              <xm:f>'2024'!I299:AX299</xm:f>
              <xm:sqref>H299</xm:sqref>
            </x14:sparkline>
            <x14:sparkline>
              <xm:f>'2024'!I298:AX298</xm:f>
              <xm:sqref>H298</xm:sqref>
            </x14:sparkline>
            <x14:sparkline>
              <xm:f>'2024'!I297:AX297</xm:f>
              <xm:sqref>H297</xm:sqref>
            </x14:sparkline>
            <x14:sparkline>
              <xm:f>'2024'!I296:AX296</xm:f>
              <xm:sqref>H296</xm:sqref>
            </x14:sparkline>
            <x14:sparkline>
              <xm:f>'2024'!I295:AX295</xm:f>
              <xm:sqref>H295</xm:sqref>
            </x14:sparkline>
            <x14:sparkline>
              <xm:f>'2024'!I294:AX294</xm:f>
              <xm:sqref>H294</xm:sqref>
            </x14:sparkline>
            <x14:sparkline>
              <xm:f>'2024'!I293:AX293</xm:f>
              <xm:sqref>H293</xm:sqref>
            </x14:sparkline>
            <x14:sparkline>
              <xm:f>'2024'!I292:AX292</xm:f>
              <xm:sqref>H292</xm:sqref>
            </x14:sparkline>
            <x14:sparkline>
              <xm:f>'2024'!I291:AX291</xm:f>
              <xm:sqref>H291</xm:sqref>
            </x14:sparkline>
            <x14:sparkline>
              <xm:f>'2024'!I290:AX290</xm:f>
              <xm:sqref>H290</xm:sqref>
            </x14:sparkline>
            <x14:sparkline>
              <xm:f>'2024'!I289:AX289</xm:f>
              <xm:sqref>H289</xm:sqref>
            </x14:sparkline>
            <x14:sparkline>
              <xm:f>'2024'!I288:AX288</xm:f>
              <xm:sqref>H288</xm:sqref>
            </x14:sparkline>
            <x14:sparkline>
              <xm:f>'2024'!I287:AX287</xm:f>
              <xm:sqref>H287</xm:sqref>
            </x14:sparkline>
            <x14:sparkline>
              <xm:f>'2024'!I286:AX286</xm:f>
              <xm:sqref>H286</xm:sqref>
            </x14:sparkline>
            <x14:sparkline>
              <xm:f>'2024'!I285:AX285</xm:f>
              <xm:sqref>H285</xm:sqref>
            </x14:sparkline>
            <x14:sparkline>
              <xm:f>'2024'!I284:AX284</xm:f>
              <xm:sqref>H284</xm:sqref>
            </x14:sparkline>
            <x14:sparkline>
              <xm:f>'2024'!I283:AX283</xm:f>
              <xm:sqref>H283</xm:sqref>
            </x14:sparkline>
            <x14:sparkline>
              <xm:f>'2024'!I282:AX282</xm:f>
              <xm:sqref>H282</xm:sqref>
            </x14:sparkline>
            <x14:sparkline>
              <xm:f>'2024'!I281:AX281</xm:f>
              <xm:sqref>H281</xm:sqref>
            </x14:sparkline>
            <x14:sparkline>
              <xm:f>'2024'!I280:AX280</xm:f>
              <xm:sqref>H280</xm:sqref>
            </x14:sparkline>
            <x14:sparkline>
              <xm:f>'2024'!I279:AX279</xm:f>
              <xm:sqref>H279</xm:sqref>
            </x14:sparkline>
            <x14:sparkline>
              <xm:f>'2024'!I278:AX278</xm:f>
              <xm:sqref>H278</xm:sqref>
            </x14:sparkline>
            <x14:sparkline>
              <xm:f>'2024'!I277:AX277</xm:f>
              <xm:sqref>H277</xm:sqref>
            </x14:sparkline>
            <x14:sparkline>
              <xm:f>'2024'!I276:AX276</xm:f>
              <xm:sqref>H276</xm:sqref>
            </x14:sparkline>
            <x14:sparkline>
              <xm:f>'2024'!I275:AX275</xm:f>
              <xm:sqref>H275</xm:sqref>
            </x14:sparkline>
            <x14:sparkline>
              <xm:f>'2024'!I274:AX274</xm:f>
              <xm:sqref>H274</xm:sqref>
            </x14:sparkline>
            <x14:sparkline>
              <xm:f>'2024'!I273:AX273</xm:f>
              <xm:sqref>H273</xm:sqref>
            </x14:sparkline>
            <x14:sparkline>
              <xm:f>'2024'!I272:AX272</xm:f>
              <xm:sqref>H272</xm:sqref>
            </x14:sparkline>
            <x14:sparkline>
              <xm:f>'2024'!I271:AX271</xm:f>
              <xm:sqref>H271</xm:sqref>
            </x14:sparkline>
            <x14:sparkline>
              <xm:f>'2024'!I270:AX270</xm:f>
              <xm:sqref>H270</xm:sqref>
            </x14:sparkline>
            <x14:sparkline>
              <xm:f>'2024'!I269:AX269</xm:f>
              <xm:sqref>H269</xm:sqref>
            </x14:sparkline>
            <x14:sparkline>
              <xm:f>'2024'!I268:AX268</xm:f>
              <xm:sqref>H268</xm:sqref>
            </x14:sparkline>
            <x14:sparkline>
              <xm:f>'2024'!I267:AX267</xm:f>
              <xm:sqref>H267</xm:sqref>
            </x14:sparkline>
            <x14:sparkline>
              <xm:f>'2024'!I266:AX266</xm:f>
              <xm:sqref>H266</xm:sqref>
            </x14:sparkline>
            <x14:sparkline>
              <xm:f>'2024'!I265:AX265</xm:f>
              <xm:sqref>H265</xm:sqref>
            </x14:sparkline>
            <x14:sparkline>
              <xm:f>'2024'!I264:AX264</xm:f>
              <xm:sqref>H264</xm:sqref>
            </x14:sparkline>
            <x14:sparkline>
              <xm:f>'2024'!I263:AX263</xm:f>
              <xm:sqref>H263</xm:sqref>
            </x14:sparkline>
            <x14:sparkline>
              <xm:f>'2024'!I262:AX262</xm:f>
              <xm:sqref>H262</xm:sqref>
            </x14:sparkline>
            <x14:sparkline>
              <xm:f>'2024'!I261:AX261</xm:f>
              <xm:sqref>H261</xm:sqref>
            </x14:sparkline>
            <x14:sparkline>
              <xm:f>'2024'!I260:AX260</xm:f>
              <xm:sqref>H260</xm:sqref>
            </x14:sparkline>
            <x14:sparkline>
              <xm:f>'2024'!I259:AX259</xm:f>
              <xm:sqref>H259</xm:sqref>
            </x14:sparkline>
            <x14:sparkline>
              <xm:f>'2024'!I258:AX258</xm:f>
              <xm:sqref>H258</xm:sqref>
            </x14:sparkline>
            <x14:sparkline>
              <xm:f>'2024'!I257:AX257</xm:f>
              <xm:sqref>H257</xm:sqref>
            </x14:sparkline>
            <x14:sparkline>
              <xm:f>'2024'!I256:AX256</xm:f>
              <xm:sqref>H256</xm:sqref>
            </x14:sparkline>
            <x14:sparkline>
              <xm:f>'2024'!I255:AX255</xm:f>
              <xm:sqref>H255</xm:sqref>
            </x14:sparkline>
            <x14:sparkline>
              <xm:f>'2024'!I254:AX254</xm:f>
              <xm:sqref>H254</xm:sqref>
            </x14:sparkline>
            <x14:sparkline>
              <xm:f>'2024'!I217:AX217</xm:f>
              <xm:sqref>H217</xm:sqref>
            </x14:sparkline>
            <x14:sparkline>
              <xm:f>'2024'!I216:AX216</xm:f>
              <xm:sqref>H216</xm:sqref>
            </x14:sparkline>
            <x14:sparkline>
              <xm:f>'2024'!I215:AX215</xm:f>
              <xm:sqref>H215</xm:sqref>
            </x14:sparkline>
            <x14:sparkline>
              <xm:f>'2024'!I214:AX214</xm:f>
              <xm:sqref>H214</xm:sqref>
            </x14:sparkline>
            <x14:sparkline>
              <xm:f>'2024'!I213:AX213</xm:f>
              <xm:sqref>H213</xm:sqref>
            </x14:sparkline>
            <x14:sparkline>
              <xm:f>'2024'!I212:AX212</xm:f>
              <xm:sqref>H212</xm:sqref>
            </x14:sparkline>
            <x14:sparkline>
              <xm:f>'2024'!I211:AX211</xm:f>
              <xm:sqref>H211</xm:sqref>
            </x14:sparkline>
            <x14:sparkline>
              <xm:f>'2024'!I210:AX210</xm:f>
              <xm:sqref>H210</xm:sqref>
            </x14:sparkline>
            <x14:sparkline>
              <xm:f>'2024'!I209:AX209</xm:f>
              <xm:sqref>H209</xm:sqref>
            </x14:sparkline>
            <x14:sparkline>
              <xm:f>'2024'!I208:AX208</xm:f>
              <xm:sqref>H208</xm:sqref>
            </x14:sparkline>
            <x14:sparkline>
              <xm:f>'2024'!I207:AX207</xm:f>
              <xm:sqref>H207</xm:sqref>
            </x14:sparkline>
            <x14:sparkline>
              <xm:f>'2024'!I206:AX206</xm:f>
              <xm:sqref>H206</xm:sqref>
            </x14:sparkline>
            <x14:sparkline>
              <xm:f>'2024'!I205:AX205</xm:f>
              <xm:sqref>H205</xm:sqref>
            </x14:sparkline>
            <x14:sparkline>
              <xm:f>'2024'!I204:AX204</xm:f>
              <xm:sqref>H204</xm:sqref>
            </x14:sparkline>
            <x14:sparkline>
              <xm:f>'2024'!I203:AX203</xm:f>
              <xm:sqref>H203</xm:sqref>
            </x14:sparkline>
            <x14:sparkline>
              <xm:f>'2024'!I202:AX202</xm:f>
              <xm:sqref>H202</xm:sqref>
            </x14:sparkline>
            <x14:sparkline>
              <xm:f>'2024'!I201:AX201</xm:f>
              <xm:sqref>H201</xm:sqref>
            </x14:sparkline>
            <x14:sparkline>
              <xm:f>'2024'!I200:AX200</xm:f>
              <xm:sqref>H200</xm:sqref>
            </x14:sparkline>
            <x14:sparkline>
              <xm:f>'2024'!I199:AX199</xm:f>
              <xm:sqref>H199</xm:sqref>
            </x14:sparkline>
            <x14:sparkline>
              <xm:f>'2024'!I198:AX198</xm:f>
              <xm:sqref>H198</xm:sqref>
            </x14:sparkline>
            <x14:sparkline>
              <xm:f>'2024'!I197:AX197</xm:f>
              <xm:sqref>H197</xm:sqref>
            </x14:sparkline>
            <x14:sparkline>
              <xm:f>'2024'!I196:AX196</xm:f>
              <xm:sqref>H196</xm:sqref>
            </x14:sparkline>
            <x14:sparkline>
              <xm:f>'2024'!I195:AX195</xm:f>
              <xm:sqref>H195</xm:sqref>
            </x14:sparkline>
            <x14:sparkline>
              <xm:f>'2024'!I194:AX194</xm:f>
              <xm:sqref>H194</xm:sqref>
            </x14:sparkline>
            <x14:sparkline>
              <xm:f>'2024'!I193:AX193</xm:f>
              <xm:sqref>H193</xm:sqref>
            </x14:sparkline>
            <x14:sparkline>
              <xm:f>'2024'!I175:AX175</xm:f>
              <xm:sqref>H175</xm:sqref>
            </x14:sparkline>
            <x14:sparkline>
              <xm:f>'2024'!I174:AX174</xm:f>
              <xm:sqref>H174</xm:sqref>
            </x14:sparkline>
            <x14:sparkline>
              <xm:f>'2024'!I173:AX173</xm:f>
              <xm:sqref>H173</xm:sqref>
            </x14:sparkline>
            <x14:sparkline>
              <xm:f>'2024'!I172:AX172</xm:f>
              <xm:sqref>H172</xm:sqref>
            </x14:sparkline>
            <x14:sparkline>
              <xm:f>'2024'!I171:AX171</xm:f>
              <xm:sqref>H171</xm:sqref>
            </x14:sparkline>
            <x14:sparkline>
              <xm:f>'2024'!I170:AX170</xm:f>
              <xm:sqref>H170</xm:sqref>
            </x14:sparkline>
            <x14:sparkline>
              <xm:f>'2024'!I169:AX169</xm:f>
              <xm:sqref>H169</xm:sqref>
            </x14:sparkline>
            <x14:sparkline>
              <xm:f>'2024'!I168:AX168</xm:f>
              <xm:sqref>H168</xm:sqref>
            </x14:sparkline>
            <x14:sparkline>
              <xm:f>'2024'!I167:AX167</xm:f>
              <xm:sqref>H167</xm:sqref>
            </x14:sparkline>
            <x14:sparkline>
              <xm:f>'2024'!I166:AX166</xm:f>
              <xm:sqref>H166</xm:sqref>
            </x14:sparkline>
            <x14:sparkline>
              <xm:f>'2024'!I165:AX165</xm:f>
              <xm:sqref>H165</xm:sqref>
            </x14:sparkline>
            <x14:sparkline>
              <xm:f>'2024'!I164:AX164</xm:f>
              <xm:sqref>H164</xm:sqref>
            </x14:sparkline>
            <x14:sparkline>
              <xm:f>'2024'!I163:AX163</xm:f>
              <xm:sqref>H163</xm:sqref>
            </x14:sparkline>
            <x14:sparkline>
              <xm:f>'2024'!I162:AX162</xm:f>
              <xm:sqref>H162</xm:sqref>
            </x14:sparkline>
            <x14:sparkline>
              <xm:f>'2024'!I161:AX161</xm:f>
              <xm:sqref>H161</xm:sqref>
            </x14:sparkline>
            <x14:sparkline>
              <xm:f>'2024'!I149:AX149</xm:f>
              <xm:sqref>H149</xm:sqref>
            </x14:sparkline>
            <x14:sparkline>
              <xm:f>'2024'!I148:AX148</xm:f>
              <xm:sqref>H148</xm:sqref>
            </x14:sparkline>
            <x14:sparkline>
              <xm:f>'2024'!I147:AX147</xm:f>
              <xm:sqref>H147</xm:sqref>
            </x14:sparkline>
            <x14:sparkline>
              <xm:f>'2024'!I146:AX146</xm:f>
              <xm:sqref>H146</xm:sqref>
            </x14:sparkline>
            <x14:sparkline>
              <xm:f>'2024'!I145:AX145</xm:f>
              <xm:sqref>H145</xm:sqref>
            </x14:sparkline>
            <x14:sparkline>
              <xm:f>'2024'!I132:AX132</xm:f>
              <xm:sqref>H132</xm:sqref>
            </x14:sparkline>
            <x14:sparkline>
              <xm:f>'2024'!I131:AX131</xm:f>
              <xm:sqref>H131</xm:sqref>
            </x14:sparkline>
            <x14:sparkline>
              <xm:f>'2024'!I130:AX130</xm:f>
              <xm:sqref>H130</xm:sqref>
            </x14:sparkline>
            <x14:sparkline>
              <xm:f>'2024'!I129:AX129</xm:f>
              <xm:sqref>H129</xm:sqref>
            </x14:sparkline>
            <x14:sparkline>
              <xm:f>'2024'!I123:AX123</xm:f>
              <xm:sqref>H123</xm:sqref>
            </x14:sparkline>
            <x14:sparkline>
              <xm:f>'2024'!I122:AX122</xm:f>
              <xm:sqref>H122</xm:sqref>
            </x14:sparkline>
            <x14:sparkline>
              <xm:f>'2024'!I121:AX121</xm:f>
              <xm:sqref>H121</xm:sqref>
            </x14:sparkline>
            <x14:sparkline>
              <xm:f>'2024'!I114:AX114</xm:f>
              <xm:sqref>H114</xm:sqref>
            </x14:sparkline>
            <x14:sparkline>
              <xm:f>'2024'!I113:AX113</xm:f>
              <xm:sqref>H113</xm:sqref>
            </x14:sparkline>
            <x14:sparkline>
              <xm:f>'2024'!I106:AX106</xm:f>
              <xm:sqref>H106</xm:sqref>
            </x14:sparkline>
            <x14:sparkline>
              <xm:f>'2024'!I105:AX105</xm:f>
              <xm:sqref>H105</xm:sqref>
            </x14:sparkline>
            <x14:sparkline>
              <xm:f>'2024'!I102:AX102</xm:f>
              <xm:sqref>H102</xm:sqref>
            </x14:sparkline>
            <x14:sparkline>
              <xm:f>'2024'!I62:AX62</xm:f>
              <xm:sqref>H62</xm:sqref>
            </x14:sparkline>
            <x14:sparkline>
              <xm:f>'2024'!I61:AX61</xm:f>
              <xm:sqref>H61</xm:sqref>
            </x14:sparkline>
            <x14:sparkline>
              <xm:f>'2024'!I60:AX60</xm:f>
              <xm:sqref>H60</xm:sqref>
            </x14:sparkline>
            <x14:sparkline>
              <xm:f>'2024'!I55:AX55</xm:f>
              <xm:sqref>H55</xm:sqref>
            </x14:sparkline>
            <x14:sparkline>
              <xm:f>'2024'!I54:AX54</xm:f>
              <xm:sqref>H54</xm:sqref>
            </x14:sparkline>
            <x14:sparkline>
              <xm:f>'2024'!I53:AX53</xm:f>
              <xm:sqref>H53</xm:sqref>
            </x14:sparkline>
            <x14:sparkline>
              <xm:f>'2024'!I52:AX52</xm:f>
              <xm:sqref>H52</xm:sqref>
            </x14:sparkline>
            <x14:sparkline>
              <xm:f>'2024'!I51:AX51</xm:f>
              <xm:sqref>H51</xm:sqref>
            </x14:sparkline>
            <x14:sparkline>
              <xm:f>'2024'!I50:AX50</xm:f>
              <xm:sqref>H50</xm:sqref>
            </x14:sparkline>
            <x14:sparkline>
              <xm:f>'2024'!I49:AX49</xm:f>
              <xm:sqref>H49</xm:sqref>
            </x14:sparkline>
            <x14:sparkline>
              <xm:f>'2024'!I48:AX48</xm:f>
              <xm:sqref>H48</xm:sqref>
            </x14:sparkline>
            <x14:sparkline>
              <xm:f>'2024'!I47:AX47</xm:f>
              <xm:sqref>H47</xm:sqref>
            </x14:sparkline>
            <x14:sparkline>
              <xm:f>'2024'!I46:AX46</xm:f>
              <xm:sqref>H46</xm:sqref>
            </x14:sparkline>
            <x14:sparkline>
              <xm:f>'2024'!I45:AX45</xm:f>
              <xm:sqref>H45</xm:sqref>
            </x14:sparkline>
            <x14:sparkline>
              <xm:f>'2024'!I36:AX36</xm:f>
              <xm:sqref>H36</xm:sqref>
            </x14:sparkline>
            <x14:sparkline>
              <xm:f>'2024'!I35:AX35</xm:f>
              <xm:sqref>H35</xm:sqref>
            </x14:sparkline>
            <x14:sparkline>
              <xm:f>'2024'!I34:AX34</xm:f>
              <xm:sqref>H34</xm:sqref>
            </x14:sparkline>
            <x14:sparkline>
              <xm:f>'2024'!I33:AX33</xm:f>
              <xm:sqref>H33</xm:sqref>
            </x14:sparkline>
            <x14:sparkline>
              <xm:f>'2024'!I32:AX32</xm:f>
              <xm:sqref>H32</xm:sqref>
            </x14:sparkline>
            <x14:sparkline>
              <xm:f>'2024'!I28:AX28</xm:f>
              <xm:sqref>H28</xm:sqref>
            </x14:sparkline>
            <x14:sparkline>
              <xm:f>'2024'!I27:AX27</xm:f>
              <xm:sqref>H27</xm:sqref>
            </x14:sparkline>
            <x14:sparkline>
              <xm:f>'2024'!I26:AX26</xm:f>
              <xm:sqref>H26</xm:sqref>
            </x14:sparkline>
            <x14:sparkline>
              <xm:f>'2024'!I4:AX4</xm:f>
              <xm:sqref>H4</xm:sqref>
            </x14:sparkline>
            <x14:sparkline>
              <xm:f>'2024'!I706:AX706</xm:f>
              <xm:sqref>H706</xm:sqref>
            </x14:sparkline>
            <x14:sparkline>
              <xm:f>'2024'!I707:AX707</xm:f>
              <xm:sqref>H707</xm:sqref>
            </x14:sparkline>
            <x14:sparkline>
              <xm:f>'2024'!I723:AX723</xm:f>
              <xm:sqref>H723</xm:sqref>
            </x14:sparkline>
            <x14:sparkline>
              <xm:f>'2024'!I781:AX781</xm:f>
              <xm:sqref>H781</xm:sqref>
            </x14:sparkline>
            <x14:sparkline>
              <xm:f>'2024'!I782:AX782</xm:f>
              <xm:sqref>H782</xm:sqref>
            </x14:sparkline>
            <x14:sparkline>
              <xm:f>'2024'!I785:AX785</xm:f>
              <xm:sqref>H785</xm:sqref>
            </x14:sparkline>
            <x14:sparkline>
              <xm:f>'2024'!I786:AX786</xm:f>
              <xm:sqref>H786</xm:sqref>
            </x14:sparkline>
            <x14:sparkline>
              <xm:f>'2024'!I840:AX840</xm:f>
              <xm:sqref>H840</xm:sqref>
            </x14:sparkline>
            <x14:sparkline>
              <xm:f>'2024'!I932:AX932</xm:f>
              <xm:sqref>H932</xm:sqref>
            </x14:sparkline>
            <x14:sparkline>
              <xm:f>'2024'!I933:AX933</xm:f>
              <xm:sqref>H933</xm:sqref>
            </x14:sparkline>
            <x14:sparkline>
              <xm:f>'2024'!I934:AX934</xm:f>
              <xm:sqref>H934</xm:sqref>
            </x14:sparkline>
            <x14:sparkline>
              <xm:f>'2024'!I936:AX936</xm:f>
              <xm:sqref>H936</xm:sqref>
            </x14:sparkline>
            <x14:sparkline>
              <xm:f>'2024'!I1333:AX1333</xm:f>
              <xm:sqref>H1333</xm:sqref>
            </x14:sparkline>
            <x14:sparkline>
              <xm:f>'2024'!I1334:AX1334</xm:f>
              <xm:sqref>H1334</xm:sqref>
            </x14:sparkline>
            <x14:sparkline>
              <xm:f>'2024'!I1335:AX1335</xm:f>
              <xm:sqref>H1335</xm:sqref>
            </x14:sparkline>
            <x14:sparkline>
              <xm:f>'2024'!I1359:AX1359</xm:f>
              <xm:sqref>H1359</xm:sqref>
            </x14:sparkline>
            <x14:sparkline>
              <xm:f>'2024'!I1360:AX1360</xm:f>
              <xm:sqref>H1360</xm:sqref>
            </x14:sparkline>
          </x14:sparklines>
        </x14:sparklineGroup>
        <x14:sparklineGroup displayEmptyCellsAs="gap" xr2:uid="{00000000-0003-0000-02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'2024'!I1:AX1</xm:f>
              <xm:sqref>H1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5"/>
  <sheetViews>
    <sheetView showGridLines="0" zoomScaleNormal="100" workbookViewId="0">
      <pane xSplit="2" ySplit="2" topLeftCell="F17" activePane="bottomRight" state="frozen"/>
      <selection pane="topRight" activeCell="C1" sqref="C1"/>
      <selection pane="bottomLeft" activeCell="A3" sqref="A3"/>
      <selection pane="bottomRight" activeCell="A18" sqref="A18:A35"/>
    </sheetView>
  </sheetViews>
  <sheetFormatPr defaultColWidth="9.140625" defaultRowHeight="12.75" x14ac:dyDescent="0.2"/>
  <cols>
    <col min="1" max="1" width="16.42578125" style="15" bestFit="1" customWidth="1"/>
    <col min="2" max="2" width="19.140625" style="26" bestFit="1" customWidth="1"/>
    <col min="3" max="3" width="20.85546875" style="32" bestFit="1" customWidth="1"/>
    <col min="4" max="4" width="22.7109375" style="2" bestFit="1" customWidth="1"/>
    <col min="5" max="5" width="106.7109375" style="15" bestFit="1" customWidth="1"/>
    <col min="6" max="6" width="11.7109375" style="2" bestFit="1" customWidth="1"/>
    <col min="7" max="7" width="13.140625" style="2" bestFit="1" customWidth="1"/>
    <col min="8" max="8" width="10.7109375" style="2" bestFit="1" customWidth="1"/>
    <col min="9" max="10" width="12.28515625" style="2" bestFit="1" customWidth="1"/>
    <col min="11" max="11" width="12.42578125" style="2" customWidth="1"/>
    <col min="12" max="12" width="9.42578125" style="2" customWidth="1"/>
    <col min="13" max="13" width="10.42578125" style="2" customWidth="1"/>
    <col min="14" max="15" width="11.28515625" style="2" customWidth="1"/>
    <col min="16" max="16" width="10.42578125" style="2" customWidth="1"/>
    <col min="17" max="19" width="11.28515625" style="2" customWidth="1"/>
    <col min="20" max="20" width="10.42578125" style="2" customWidth="1"/>
    <col min="21" max="23" width="11.28515625" style="2" customWidth="1"/>
    <col min="24" max="24" width="10.42578125" style="2" customWidth="1"/>
    <col min="25" max="34" width="11.28515625" style="2" customWidth="1"/>
    <col min="35" max="16384" width="9.140625" style="2"/>
  </cols>
  <sheetData>
    <row r="1" spans="1:10" x14ac:dyDescent="0.2">
      <c r="F1" s="18">
        <v>18</v>
      </c>
      <c r="G1" s="18">
        <v>5</v>
      </c>
      <c r="H1" s="18">
        <v>38</v>
      </c>
      <c r="I1" s="17">
        <f>IFERROR(AVERAGE(F1:H1,),"-")</f>
        <v>15.25</v>
      </c>
      <c r="J1" s="18">
        <f>SUBTOTAL(9,J3:J8495)</f>
        <v>35.499999999999993</v>
      </c>
    </row>
    <row r="2" spans="1:10" s="1" customFormat="1" ht="30" x14ac:dyDescent="0.2">
      <c r="A2" s="14" t="s">
        <v>1781</v>
      </c>
      <c r="B2" s="5" t="s">
        <v>2</v>
      </c>
      <c r="C2" s="6" t="s">
        <v>725</v>
      </c>
      <c r="D2" s="6" t="s">
        <v>776</v>
      </c>
      <c r="E2" s="14" t="s">
        <v>724</v>
      </c>
      <c r="F2" s="12" t="s">
        <v>1481</v>
      </c>
      <c r="G2" s="12" t="s">
        <v>1483</v>
      </c>
      <c r="H2" s="12" t="s">
        <v>1484</v>
      </c>
      <c r="I2" s="22" t="s">
        <v>1558</v>
      </c>
      <c r="J2" s="24" t="s">
        <v>1480</v>
      </c>
    </row>
    <row r="3" spans="1:10" ht="12.75" customHeight="1" x14ac:dyDescent="0.2">
      <c r="A3" s="9" t="s">
        <v>1782</v>
      </c>
      <c r="B3" s="28" t="s">
        <v>1633</v>
      </c>
      <c r="C3" s="25" t="s">
        <v>1273</v>
      </c>
      <c r="D3" s="8" t="s">
        <v>741</v>
      </c>
      <c r="E3" s="9" t="s">
        <v>1696</v>
      </c>
      <c r="F3" s="16"/>
      <c r="G3" s="7"/>
      <c r="H3" s="16">
        <v>3</v>
      </c>
      <c r="I3" s="17">
        <f t="shared" ref="I3:I35" si="0">IFERROR(AVERAGE(F3:H3,),"-")</f>
        <v>1.5</v>
      </c>
      <c r="J3" s="17" t="str">
        <f>IFERROR(VLOOKUP(B3,'[5]2023'!$A$3:$AK$1248,37,FALSE),"")</f>
        <v/>
      </c>
    </row>
    <row r="4" spans="1:10" ht="12.75" customHeight="1" x14ac:dyDescent="0.2">
      <c r="A4" s="9" t="s">
        <v>1782</v>
      </c>
      <c r="B4" s="27" t="s">
        <v>320</v>
      </c>
      <c r="C4" s="9" t="s">
        <v>755</v>
      </c>
      <c r="D4" s="9" t="s">
        <v>727</v>
      </c>
      <c r="E4" s="9" t="s">
        <v>321</v>
      </c>
      <c r="F4" s="16">
        <v>14</v>
      </c>
      <c r="G4" s="16">
        <v>0</v>
      </c>
      <c r="H4" s="16">
        <v>0</v>
      </c>
      <c r="I4" s="17">
        <f t="shared" si="0"/>
        <v>3.5</v>
      </c>
      <c r="J4" s="17">
        <f>IFERROR(VLOOKUP(B4,'[5]2023'!$A$3:$AK$1248,37,FALSE),"")</f>
        <v>10.666666666666666</v>
      </c>
    </row>
    <row r="5" spans="1:10" ht="12.75" customHeight="1" x14ac:dyDescent="0.2">
      <c r="A5" s="9" t="s">
        <v>1782</v>
      </c>
      <c r="B5" s="28" t="s">
        <v>1433</v>
      </c>
      <c r="C5" s="9" t="s">
        <v>1764</v>
      </c>
      <c r="D5" s="9" t="s">
        <v>741</v>
      </c>
      <c r="E5" s="9" t="s">
        <v>1775</v>
      </c>
      <c r="F5" s="16">
        <v>2</v>
      </c>
      <c r="G5" s="16">
        <v>0</v>
      </c>
      <c r="H5" s="16">
        <v>0</v>
      </c>
      <c r="I5" s="17">
        <f t="shared" si="0"/>
        <v>0.5</v>
      </c>
      <c r="J5" s="17">
        <f>IFERROR(VLOOKUP(B5,'[5]2023'!$A$3:$AK$1248,37,FALSE),"")</f>
        <v>7</v>
      </c>
    </row>
    <row r="6" spans="1:10" ht="12.75" customHeight="1" x14ac:dyDescent="0.2">
      <c r="A6" s="9" t="s">
        <v>1782</v>
      </c>
      <c r="B6" s="31" t="s">
        <v>1420</v>
      </c>
      <c r="C6" s="25" t="s">
        <v>1764</v>
      </c>
      <c r="D6" s="25" t="s">
        <v>741</v>
      </c>
      <c r="E6" s="9" t="s">
        <v>1649</v>
      </c>
      <c r="F6" s="16">
        <v>0</v>
      </c>
      <c r="G6" s="16">
        <v>0</v>
      </c>
      <c r="H6" s="16">
        <v>6</v>
      </c>
      <c r="I6" s="17">
        <f t="shared" si="0"/>
        <v>1.5</v>
      </c>
      <c r="J6" s="17">
        <f>IFERROR(VLOOKUP(B6,'[5]2023'!$A$3:$AK$1248,37,FALSE),"")</f>
        <v>0</v>
      </c>
    </row>
    <row r="7" spans="1:10" ht="12.75" customHeight="1" x14ac:dyDescent="0.2">
      <c r="A7" s="9" t="s">
        <v>1782</v>
      </c>
      <c r="B7" s="27" t="s">
        <v>1189</v>
      </c>
      <c r="C7" s="9" t="s">
        <v>1776</v>
      </c>
      <c r="D7" s="9" t="s">
        <v>741</v>
      </c>
      <c r="E7" s="9" t="s">
        <v>1207</v>
      </c>
      <c r="F7" s="16">
        <v>0</v>
      </c>
      <c r="G7" s="16">
        <v>0</v>
      </c>
      <c r="H7" s="16">
        <v>5</v>
      </c>
      <c r="I7" s="17">
        <f t="shared" si="0"/>
        <v>1.25</v>
      </c>
      <c r="J7" s="17">
        <f>IFERROR(VLOOKUP(B7,'[5]2023'!$A$3:$AK$1248,37,FALSE),"")</f>
        <v>1.6666666666666667</v>
      </c>
    </row>
    <row r="8" spans="1:10" ht="12.75" customHeight="1" x14ac:dyDescent="0.2">
      <c r="A8" s="9" t="s">
        <v>1784</v>
      </c>
      <c r="B8" s="31" t="s">
        <v>1418</v>
      </c>
      <c r="C8" s="25" t="s">
        <v>1764</v>
      </c>
      <c r="D8" s="25" t="s">
        <v>741</v>
      </c>
      <c r="E8" s="9" t="s">
        <v>1653</v>
      </c>
      <c r="F8" s="16">
        <v>0</v>
      </c>
      <c r="G8" s="16">
        <v>0</v>
      </c>
      <c r="H8" s="16">
        <v>5</v>
      </c>
      <c r="I8" s="17">
        <f t="shared" si="0"/>
        <v>1.25</v>
      </c>
      <c r="J8" s="17">
        <f>IFERROR(VLOOKUP(B8,'[5]2023'!$A$3:$AK$1248,37,FALSE),"")</f>
        <v>0</v>
      </c>
    </row>
    <row r="9" spans="1:10" ht="12.75" customHeight="1" x14ac:dyDescent="0.2">
      <c r="A9" s="9" t="s">
        <v>1784</v>
      </c>
      <c r="B9" s="31" t="s">
        <v>1419</v>
      </c>
      <c r="C9" s="25" t="s">
        <v>1764</v>
      </c>
      <c r="D9" s="25" t="s">
        <v>741</v>
      </c>
      <c r="E9" s="9" t="s">
        <v>1650</v>
      </c>
      <c r="F9" s="16">
        <v>0</v>
      </c>
      <c r="G9" s="16">
        <v>0</v>
      </c>
      <c r="H9" s="16">
        <v>5</v>
      </c>
      <c r="I9" s="17">
        <f t="shared" si="0"/>
        <v>1.25</v>
      </c>
      <c r="J9" s="17">
        <f>IFERROR(VLOOKUP(B9,'[5]2023'!$A$3:$AK$1248,37,FALSE),"")</f>
        <v>0</v>
      </c>
    </row>
    <row r="10" spans="1:10" ht="12.75" customHeight="1" x14ac:dyDescent="0.2">
      <c r="A10" s="9" t="s">
        <v>1784</v>
      </c>
      <c r="B10" s="31" t="s">
        <v>1415</v>
      </c>
      <c r="C10" s="25" t="s">
        <v>755</v>
      </c>
      <c r="D10" s="25" t="s">
        <v>741</v>
      </c>
      <c r="E10" s="9" t="s">
        <v>1647</v>
      </c>
      <c r="F10" s="16">
        <v>0</v>
      </c>
      <c r="G10" s="16">
        <v>0</v>
      </c>
      <c r="H10" s="16">
        <v>5</v>
      </c>
      <c r="I10" s="17">
        <f t="shared" si="0"/>
        <v>1.25</v>
      </c>
      <c r="J10" s="17">
        <f>IFERROR(VLOOKUP(B10,'[5]2023'!$A$3:$AK$1248,37,FALSE),"")</f>
        <v>0</v>
      </c>
    </row>
    <row r="11" spans="1:10" ht="12.75" customHeight="1" x14ac:dyDescent="0.2">
      <c r="A11" s="9" t="s">
        <v>1784</v>
      </c>
      <c r="B11" s="28" t="s">
        <v>1622</v>
      </c>
      <c r="C11" s="25" t="s">
        <v>755</v>
      </c>
      <c r="D11" s="8" t="s">
        <v>741</v>
      </c>
      <c r="E11" s="9" t="s">
        <v>1694</v>
      </c>
      <c r="F11" s="16">
        <v>0</v>
      </c>
      <c r="G11" s="16">
        <v>2</v>
      </c>
      <c r="H11" s="16">
        <v>0</v>
      </c>
      <c r="I11" s="17">
        <f t="shared" si="0"/>
        <v>0.5</v>
      </c>
      <c r="J11" s="17" t="str">
        <f>IFERROR(VLOOKUP(B11,'[5]2023'!$A$3:$AK$1248,37,FALSE),"")</f>
        <v/>
      </c>
    </row>
    <row r="12" spans="1:10" ht="12.75" customHeight="1" x14ac:dyDescent="0.2">
      <c r="A12" s="9" t="s">
        <v>1784</v>
      </c>
      <c r="B12" s="31" t="s">
        <v>1635</v>
      </c>
      <c r="C12" s="25" t="s">
        <v>1764</v>
      </c>
      <c r="D12" s="8" t="s">
        <v>741</v>
      </c>
      <c r="E12" s="9" t="s">
        <v>1651</v>
      </c>
      <c r="F12" s="16">
        <v>0</v>
      </c>
      <c r="G12" s="16">
        <v>0</v>
      </c>
      <c r="H12" s="16">
        <v>1</v>
      </c>
      <c r="I12" s="17">
        <f t="shared" si="0"/>
        <v>0.25</v>
      </c>
      <c r="J12" s="17" t="str">
        <f>IFERROR(VLOOKUP(B12,'[5]2023'!$A$3:$AK$1248,37,FALSE),"")</f>
        <v/>
      </c>
    </row>
    <row r="13" spans="1:10" ht="12.75" customHeight="1" x14ac:dyDescent="0.2">
      <c r="A13" s="9" t="s">
        <v>1784</v>
      </c>
      <c r="B13" s="31" t="s">
        <v>1636</v>
      </c>
      <c r="C13" s="25" t="s">
        <v>1764</v>
      </c>
      <c r="D13" s="8" t="s">
        <v>741</v>
      </c>
      <c r="E13" s="9" t="s">
        <v>1703</v>
      </c>
      <c r="F13" s="16">
        <v>0</v>
      </c>
      <c r="G13" s="16">
        <v>0</v>
      </c>
      <c r="H13" s="16">
        <v>1</v>
      </c>
      <c r="I13" s="17">
        <f t="shared" si="0"/>
        <v>0.25</v>
      </c>
      <c r="J13" s="17" t="str">
        <f>IFERROR(VLOOKUP(B13,'[5]2023'!$A$3:$AK$1248,37,FALSE),"")</f>
        <v/>
      </c>
    </row>
    <row r="14" spans="1:10" ht="12.75" customHeight="1" x14ac:dyDescent="0.2">
      <c r="A14" s="9" t="s">
        <v>1784</v>
      </c>
      <c r="B14" s="28" t="s">
        <v>1625</v>
      </c>
      <c r="C14" s="25" t="s">
        <v>1273</v>
      </c>
      <c r="D14" s="8" t="s">
        <v>741</v>
      </c>
      <c r="E14" s="9" t="s">
        <v>1696</v>
      </c>
      <c r="F14" s="16">
        <v>0</v>
      </c>
      <c r="G14" s="16">
        <v>1</v>
      </c>
      <c r="H14" s="16">
        <v>0</v>
      </c>
      <c r="I14" s="17">
        <f t="shared" si="0"/>
        <v>0.25</v>
      </c>
      <c r="J14" s="17" t="str">
        <f>IFERROR(VLOOKUP(B14,'[5]2023'!$A$3:$AK$1248,37,FALSE),"")</f>
        <v/>
      </c>
    </row>
    <row r="15" spans="1:10" ht="12.75" customHeight="1" x14ac:dyDescent="0.2">
      <c r="A15" s="9" t="s">
        <v>1784</v>
      </c>
      <c r="B15" s="28">
        <v>880409</v>
      </c>
      <c r="C15" s="9" t="s">
        <v>755</v>
      </c>
      <c r="D15" s="9" t="s">
        <v>727</v>
      </c>
      <c r="E15" s="9" t="s">
        <v>1593</v>
      </c>
      <c r="F15" s="16">
        <v>1</v>
      </c>
      <c r="G15" s="16">
        <v>1</v>
      </c>
      <c r="H15" s="16">
        <v>1</v>
      </c>
      <c r="I15" s="17">
        <f t="shared" si="0"/>
        <v>0.75</v>
      </c>
      <c r="J15" s="17">
        <f>IFERROR(VLOOKUP(B15,'[5]2023'!$A$3:$AK$1248,37,FALSE),"")</f>
        <v>0.5</v>
      </c>
    </row>
    <row r="16" spans="1:10" ht="12.75" customHeight="1" x14ac:dyDescent="0.2">
      <c r="A16" s="9" t="s">
        <v>1784</v>
      </c>
      <c r="B16" s="28" t="s">
        <v>1266</v>
      </c>
      <c r="C16" s="9" t="s">
        <v>1273</v>
      </c>
      <c r="D16" s="8" t="s">
        <v>741</v>
      </c>
      <c r="E16" s="9"/>
      <c r="F16" s="16">
        <v>0</v>
      </c>
      <c r="G16" s="16">
        <v>0</v>
      </c>
      <c r="H16" s="16">
        <v>4</v>
      </c>
      <c r="I16" s="17">
        <f t="shared" si="0"/>
        <v>1</v>
      </c>
      <c r="J16" s="17">
        <f>IFERROR(VLOOKUP(B16,'[5]2023'!$A$3:$AK$1248,37,FALSE),"")</f>
        <v>0</v>
      </c>
    </row>
    <row r="17" spans="1:10" ht="12.75" customHeight="1" x14ac:dyDescent="0.2">
      <c r="A17" s="9" t="s">
        <v>1784</v>
      </c>
      <c r="B17" s="28" t="s">
        <v>1390</v>
      </c>
      <c r="C17" s="25" t="s">
        <v>755</v>
      </c>
      <c r="D17" s="8" t="s">
        <v>741</v>
      </c>
      <c r="E17" s="9" t="s">
        <v>1590</v>
      </c>
      <c r="F17" s="16">
        <v>1</v>
      </c>
      <c r="G17" s="16">
        <v>1</v>
      </c>
      <c r="H17" s="16">
        <v>2</v>
      </c>
      <c r="I17" s="17">
        <f t="shared" si="0"/>
        <v>1</v>
      </c>
      <c r="J17" s="17">
        <f>IFERROR(VLOOKUP(B17,'[5]2023'!$A$3:$AK$1248,37,FALSE),"")</f>
        <v>0</v>
      </c>
    </row>
    <row r="18" spans="1:10" ht="12.75" customHeight="1" x14ac:dyDescent="0.2">
      <c r="A18" s="9" t="s">
        <v>1783</v>
      </c>
      <c r="B18" s="28">
        <v>330254</v>
      </c>
      <c r="C18" s="25" t="s">
        <v>755</v>
      </c>
      <c r="D18" s="9" t="s">
        <v>727</v>
      </c>
      <c r="E18" s="9" t="s">
        <v>1745</v>
      </c>
      <c r="F18" s="16">
        <v>0</v>
      </c>
      <c r="G18" s="16">
        <v>0</v>
      </c>
      <c r="H18" s="16">
        <v>0</v>
      </c>
      <c r="I18" s="17">
        <f t="shared" si="0"/>
        <v>0</v>
      </c>
      <c r="J18" s="17" t="str">
        <f>IFERROR(VLOOKUP(B18,'[5]2023'!$A$3:$AK$1248,37,FALSE),"")</f>
        <v/>
      </c>
    </row>
    <row r="19" spans="1:10" ht="12.75" customHeight="1" x14ac:dyDescent="0.2">
      <c r="A19" s="9" t="s">
        <v>1783</v>
      </c>
      <c r="B19" s="29">
        <v>330351</v>
      </c>
      <c r="C19" s="8" t="s">
        <v>1764</v>
      </c>
      <c r="D19" s="25" t="s">
        <v>1758</v>
      </c>
      <c r="E19" s="9" t="s">
        <v>1744</v>
      </c>
      <c r="F19" s="16">
        <v>0</v>
      </c>
      <c r="G19" s="16">
        <v>0</v>
      </c>
      <c r="H19" s="16">
        <v>0</v>
      </c>
      <c r="I19" s="17">
        <f t="shared" si="0"/>
        <v>0</v>
      </c>
      <c r="J19" s="17" t="str">
        <f>IFERROR(VLOOKUP(B19,'[5]2023'!$A$3:$AK$1248,37,FALSE),"")</f>
        <v/>
      </c>
    </row>
    <row r="20" spans="1:10" ht="12.75" customHeight="1" x14ac:dyDescent="0.2">
      <c r="A20" s="9" t="s">
        <v>1783</v>
      </c>
      <c r="B20" s="27" t="s">
        <v>1183</v>
      </c>
      <c r="C20" s="9" t="s">
        <v>1764</v>
      </c>
      <c r="D20" s="9" t="s">
        <v>741</v>
      </c>
      <c r="E20" s="9" t="s">
        <v>1201</v>
      </c>
      <c r="F20" s="16">
        <v>0</v>
      </c>
      <c r="G20" s="16">
        <v>0</v>
      </c>
      <c r="H20" s="16">
        <v>0</v>
      </c>
      <c r="I20" s="17">
        <f t="shared" si="0"/>
        <v>0</v>
      </c>
      <c r="J20" s="17">
        <f>IFERROR(VLOOKUP(B20,'[5]2023'!$A$3:$AK$1248,37,FALSE),"")</f>
        <v>3.3333333333333335</v>
      </c>
    </row>
    <row r="21" spans="1:10" ht="12.75" customHeight="1" x14ac:dyDescent="0.2">
      <c r="A21" s="9" t="s">
        <v>1783</v>
      </c>
      <c r="B21" s="27" t="s">
        <v>1185</v>
      </c>
      <c r="C21" s="9" t="s">
        <v>1776</v>
      </c>
      <c r="D21" s="9" t="s">
        <v>741</v>
      </c>
      <c r="E21" s="9" t="s">
        <v>1203</v>
      </c>
      <c r="F21" s="16">
        <v>0</v>
      </c>
      <c r="G21" s="16">
        <v>0</v>
      </c>
      <c r="H21" s="16">
        <v>0</v>
      </c>
      <c r="I21" s="17">
        <f t="shared" si="0"/>
        <v>0</v>
      </c>
      <c r="J21" s="17">
        <f>IFERROR(VLOOKUP(B21,'[5]2023'!$A$3:$AK$1248,37,FALSE),"")</f>
        <v>3.3333333333333335</v>
      </c>
    </row>
    <row r="22" spans="1:10" ht="12.75" customHeight="1" x14ac:dyDescent="0.2">
      <c r="A22" s="9" t="s">
        <v>1783</v>
      </c>
      <c r="B22" s="27" t="s">
        <v>1188</v>
      </c>
      <c r="C22" s="9" t="s">
        <v>1776</v>
      </c>
      <c r="D22" s="9" t="s">
        <v>741</v>
      </c>
      <c r="E22" s="9" t="s">
        <v>1206</v>
      </c>
      <c r="F22" s="16">
        <v>0</v>
      </c>
      <c r="G22" s="16">
        <v>0</v>
      </c>
      <c r="H22" s="16">
        <v>0</v>
      </c>
      <c r="I22" s="17">
        <f t="shared" si="0"/>
        <v>0</v>
      </c>
      <c r="J22" s="17">
        <f>IFERROR(VLOOKUP(B22,'[5]2023'!$A$3:$AK$1248,37,FALSE),"")</f>
        <v>3</v>
      </c>
    </row>
    <row r="23" spans="1:10" ht="12.75" customHeight="1" x14ac:dyDescent="0.2">
      <c r="A23" s="9" t="s">
        <v>1783</v>
      </c>
      <c r="B23" s="27" t="s">
        <v>1184</v>
      </c>
      <c r="C23" s="9" t="s">
        <v>1764</v>
      </c>
      <c r="D23" s="9" t="s">
        <v>741</v>
      </c>
      <c r="E23" s="9" t="s">
        <v>1202</v>
      </c>
      <c r="F23" s="16">
        <v>0</v>
      </c>
      <c r="G23" s="16">
        <v>0</v>
      </c>
      <c r="H23" s="16">
        <v>0</v>
      </c>
      <c r="I23" s="17">
        <f t="shared" si="0"/>
        <v>0</v>
      </c>
      <c r="J23" s="17">
        <f>IFERROR(VLOOKUP(B23,'[5]2023'!$A$3:$AK$1248,37,FALSE),"")</f>
        <v>1.6666666666666667</v>
      </c>
    </row>
    <row r="24" spans="1:10" ht="12.75" customHeight="1" x14ac:dyDescent="0.2">
      <c r="A24" s="9" t="s">
        <v>1783</v>
      </c>
      <c r="B24" s="27" t="s">
        <v>1187</v>
      </c>
      <c r="C24" s="9" t="s">
        <v>1776</v>
      </c>
      <c r="D24" s="9" t="s">
        <v>741</v>
      </c>
      <c r="E24" s="9" t="s">
        <v>1205</v>
      </c>
      <c r="F24" s="16">
        <v>0</v>
      </c>
      <c r="G24" s="16">
        <v>0</v>
      </c>
      <c r="H24" s="16">
        <v>0</v>
      </c>
      <c r="I24" s="17">
        <f t="shared" si="0"/>
        <v>0</v>
      </c>
      <c r="J24" s="17">
        <f>IFERROR(VLOOKUP(B24,'[5]2023'!$A$3:$AK$1248,37,FALSE),"")</f>
        <v>1.6666666666666667</v>
      </c>
    </row>
    <row r="25" spans="1:10" ht="12.75" customHeight="1" x14ac:dyDescent="0.2">
      <c r="A25" s="9" t="s">
        <v>1783</v>
      </c>
      <c r="B25" s="27" t="s">
        <v>1190</v>
      </c>
      <c r="C25" s="9" t="s">
        <v>1776</v>
      </c>
      <c r="D25" s="9" t="s">
        <v>741</v>
      </c>
      <c r="E25" s="9" t="s">
        <v>1208</v>
      </c>
      <c r="F25" s="16">
        <v>0</v>
      </c>
      <c r="G25" s="16">
        <v>0</v>
      </c>
      <c r="H25" s="16">
        <v>0</v>
      </c>
      <c r="I25" s="17">
        <f t="shared" si="0"/>
        <v>0</v>
      </c>
      <c r="J25" s="17">
        <f>IFERROR(VLOOKUP(B25,'[5]2023'!$A$3:$AK$1248,37,FALSE),"")</f>
        <v>1.6666666666666667</v>
      </c>
    </row>
    <row r="26" spans="1:10" ht="12.75" customHeight="1" x14ac:dyDescent="0.2">
      <c r="A26" s="9" t="s">
        <v>1783</v>
      </c>
      <c r="B26" s="27" t="s">
        <v>1186</v>
      </c>
      <c r="C26" s="9" t="s">
        <v>1776</v>
      </c>
      <c r="D26" s="9" t="s">
        <v>741</v>
      </c>
      <c r="E26" s="9" t="s">
        <v>1204</v>
      </c>
      <c r="F26" s="16">
        <v>0</v>
      </c>
      <c r="G26" s="16">
        <v>0</v>
      </c>
      <c r="H26" s="16">
        <v>0</v>
      </c>
      <c r="I26" s="17">
        <f t="shared" si="0"/>
        <v>0</v>
      </c>
      <c r="J26" s="17">
        <f>IFERROR(VLOOKUP(B26,'[5]2023'!$A$3:$AK$1248,37,FALSE),"")</f>
        <v>1</v>
      </c>
    </row>
    <row r="27" spans="1:10" ht="12.75" customHeight="1" x14ac:dyDescent="0.2">
      <c r="A27" s="9" t="s">
        <v>1783</v>
      </c>
      <c r="B27" s="28" t="s">
        <v>1388</v>
      </c>
      <c r="C27" s="25" t="s">
        <v>1764</v>
      </c>
      <c r="D27" s="25" t="s">
        <v>741</v>
      </c>
      <c r="E27" s="9" t="s">
        <v>1767</v>
      </c>
      <c r="F27" s="16">
        <v>0</v>
      </c>
      <c r="G27" s="16">
        <v>0</v>
      </c>
      <c r="H27" s="16">
        <v>0</v>
      </c>
      <c r="I27" s="17">
        <f t="shared" si="0"/>
        <v>0</v>
      </c>
      <c r="J27" s="17">
        <f>IFERROR(VLOOKUP(B27,'[5]2023'!$A$3:$AK$1248,37,FALSE),"")</f>
        <v>0</v>
      </c>
    </row>
    <row r="28" spans="1:10" ht="12.75" customHeight="1" x14ac:dyDescent="0.2">
      <c r="A28" s="9" t="s">
        <v>1783</v>
      </c>
      <c r="B28" s="28" t="s">
        <v>1389</v>
      </c>
      <c r="C28" s="25" t="s">
        <v>1764</v>
      </c>
      <c r="D28" s="25" t="s">
        <v>741</v>
      </c>
      <c r="E28" s="9" t="s">
        <v>1768</v>
      </c>
      <c r="F28" s="16">
        <v>0</v>
      </c>
      <c r="G28" s="16">
        <v>0</v>
      </c>
      <c r="H28" s="16">
        <v>0</v>
      </c>
      <c r="I28" s="17">
        <f t="shared" si="0"/>
        <v>0</v>
      </c>
      <c r="J28" s="17">
        <f>IFERROR(VLOOKUP(B28,'[5]2023'!$A$3:$AK$1248,37,FALSE),"")</f>
        <v>0</v>
      </c>
    </row>
    <row r="29" spans="1:10" ht="12.75" customHeight="1" x14ac:dyDescent="0.2">
      <c r="A29" s="9" t="s">
        <v>1783</v>
      </c>
      <c r="B29" s="31" t="s">
        <v>1423</v>
      </c>
      <c r="C29" s="25" t="s">
        <v>1764</v>
      </c>
      <c r="D29" s="25" t="s">
        <v>741</v>
      </c>
      <c r="E29" s="9" t="s">
        <v>1654</v>
      </c>
      <c r="F29" s="16">
        <v>0</v>
      </c>
      <c r="G29" s="16">
        <v>0</v>
      </c>
      <c r="H29" s="16">
        <v>0</v>
      </c>
      <c r="I29" s="17">
        <f t="shared" si="0"/>
        <v>0</v>
      </c>
      <c r="J29" s="17">
        <f>IFERROR(VLOOKUP(B29,'[5]2023'!$A$3:$AK$1248,37,FALSE),"")</f>
        <v>0</v>
      </c>
    </row>
    <row r="30" spans="1:10" ht="12.75" customHeight="1" x14ac:dyDescent="0.2">
      <c r="A30" s="9" t="s">
        <v>1783</v>
      </c>
      <c r="B30" s="31" t="s">
        <v>1425</v>
      </c>
      <c r="C30" s="25" t="s">
        <v>1764</v>
      </c>
      <c r="D30" s="25" t="s">
        <v>741</v>
      </c>
      <c r="E30" s="9" t="s">
        <v>1652</v>
      </c>
      <c r="F30" s="16">
        <v>0</v>
      </c>
      <c r="G30" s="16">
        <v>0</v>
      </c>
      <c r="H30" s="16">
        <v>0</v>
      </c>
      <c r="I30" s="17">
        <f t="shared" si="0"/>
        <v>0</v>
      </c>
      <c r="J30" s="17">
        <f>IFERROR(VLOOKUP(B30,'[5]2023'!$A$3:$AK$1248,37,FALSE),"")</f>
        <v>0</v>
      </c>
    </row>
    <row r="31" spans="1:10" ht="12.75" customHeight="1" x14ac:dyDescent="0.2">
      <c r="A31" s="9" t="s">
        <v>1783</v>
      </c>
      <c r="B31" s="31" t="s">
        <v>1417</v>
      </c>
      <c r="C31" s="25" t="s">
        <v>1764</v>
      </c>
      <c r="D31" s="25" t="s">
        <v>741</v>
      </c>
      <c r="E31" s="9" t="s">
        <v>1651</v>
      </c>
      <c r="F31" s="16">
        <v>0</v>
      </c>
      <c r="G31" s="16">
        <v>0</v>
      </c>
      <c r="H31" s="16">
        <v>0</v>
      </c>
      <c r="I31" s="17">
        <f t="shared" si="0"/>
        <v>0</v>
      </c>
      <c r="J31" s="17">
        <f>IFERROR(VLOOKUP(B31,'[5]2023'!$A$3:$AK$1248,37,FALSE),"")</f>
        <v>0</v>
      </c>
    </row>
    <row r="32" spans="1:10" ht="12.75" customHeight="1" x14ac:dyDescent="0.2">
      <c r="A32" s="9" t="s">
        <v>1783</v>
      </c>
      <c r="B32" s="31" t="s">
        <v>1426</v>
      </c>
      <c r="C32" s="25" t="s">
        <v>1273</v>
      </c>
      <c r="D32" s="25" t="s">
        <v>741</v>
      </c>
      <c r="E32" s="9"/>
      <c r="F32" s="16">
        <v>0</v>
      </c>
      <c r="G32" s="16">
        <v>0</v>
      </c>
      <c r="H32" s="16">
        <v>0</v>
      </c>
      <c r="I32" s="17">
        <f t="shared" si="0"/>
        <v>0</v>
      </c>
      <c r="J32" s="17">
        <f>IFERROR(VLOOKUP(B32,'[5]2023'!$A$3:$AK$1248,37,FALSE),"")</f>
        <v>0</v>
      </c>
    </row>
    <row r="33" spans="1:10" ht="12.75" customHeight="1" x14ac:dyDescent="0.2">
      <c r="A33" s="9" t="s">
        <v>1783</v>
      </c>
      <c r="B33" s="31" t="s">
        <v>1427</v>
      </c>
      <c r="C33" s="25" t="s">
        <v>1273</v>
      </c>
      <c r="D33" s="25" t="s">
        <v>741</v>
      </c>
      <c r="E33" s="9"/>
      <c r="F33" s="16">
        <v>0</v>
      </c>
      <c r="G33" s="16">
        <v>0</v>
      </c>
      <c r="H33" s="16">
        <v>0</v>
      </c>
      <c r="I33" s="17">
        <f t="shared" si="0"/>
        <v>0</v>
      </c>
      <c r="J33" s="17">
        <f>IFERROR(VLOOKUP(B33,'[5]2023'!$A$3:$AK$1248,37,FALSE),"")</f>
        <v>0</v>
      </c>
    </row>
    <row r="34" spans="1:10" ht="12.75" customHeight="1" x14ac:dyDescent="0.2">
      <c r="A34" s="9" t="s">
        <v>1783</v>
      </c>
      <c r="B34" s="31" t="s">
        <v>1422</v>
      </c>
      <c r="C34" s="25" t="s">
        <v>1273</v>
      </c>
      <c r="D34" s="25" t="s">
        <v>741</v>
      </c>
      <c r="E34" s="9"/>
      <c r="F34" s="16">
        <v>0</v>
      </c>
      <c r="G34" s="16">
        <v>0</v>
      </c>
      <c r="H34" s="16">
        <v>0</v>
      </c>
      <c r="I34" s="17">
        <f t="shared" si="0"/>
        <v>0</v>
      </c>
      <c r="J34" s="17">
        <f>IFERROR(VLOOKUP(B34,'[5]2023'!$A$3:$AK$1248,37,FALSE),"")</f>
        <v>0</v>
      </c>
    </row>
    <row r="35" spans="1:10" x14ac:dyDescent="0.2">
      <c r="A35" s="9" t="s">
        <v>1783</v>
      </c>
      <c r="B35" s="31" t="s">
        <v>1421</v>
      </c>
      <c r="C35" s="25" t="s">
        <v>755</v>
      </c>
      <c r="D35" s="25" t="s">
        <v>741</v>
      </c>
      <c r="E35" s="9" t="s">
        <v>1648</v>
      </c>
      <c r="F35" s="16">
        <v>0</v>
      </c>
      <c r="G35" s="16">
        <v>0</v>
      </c>
      <c r="H35" s="16">
        <v>0</v>
      </c>
      <c r="I35" s="17">
        <f t="shared" si="0"/>
        <v>0</v>
      </c>
      <c r="J35" s="17">
        <f>IFERROR(VLOOKUP(B35,'[5]2023'!$A$3:$AK$1248,37,FALSE),"")</f>
        <v>0</v>
      </c>
    </row>
  </sheetData>
  <autoFilter ref="A2:J2" xr:uid="{00000000-0009-0000-0000-000003000000}"/>
  <conditionalFormatting sqref="B1:B3 B5:B1048576">
    <cfRule type="duplicateValues" dxfId="1" priority="2"/>
  </conditionalFormatting>
  <conditionalFormatting sqref="B4">
    <cfRule type="duplicateValues" dxfId="0" priority="1"/>
  </conditionalFormatting>
  <pageMargins left="0" right="0" top="0" bottom="0" header="0.31496062992125984" footer="0.31496062992125984"/>
  <pageSetup paperSize="9" fitToHeight="0" orientation="landscape" horizontalDpi="203" verticalDpi="203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Fornecedores</vt:lpstr>
      <vt:lpstr>2024</vt:lpstr>
      <vt:lpstr>Curva ABC moto</vt:lpstr>
      <vt:lpstr>'2024'!Titulos_de_impressao</vt:lpstr>
      <vt:lpstr>'Curva ABC moto'!Titulos_de_impressao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Raposo</cp:lastModifiedBy>
  <cp:lastPrinted>2024-10-08T13:53:21Z</cp:lastPrinted>
  <dcterms:created xsi:type="dcterms:W3CDTF">2023-07-05T13:47:18Z</dcterms:created>
  <dcterms:modified xsi:type="dcterms:W3CDTF">2025-03-05T17:28:38Z</dcterms:modified>
</cp:coreProperties>
</file>